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UDIA_LARUCCIA_26" sheetId="1" r:id="rId5"/>
    <sheet state="visible" name="CARLOS_DIAZ_10MAG26" sheetId="2" r:id="rId6"/>
    <sheet state="visible" name="BRASILIAN_GEM_DAY_10MAG26" sheetId="3" r:id="rId7"/>
    <sheet state="visible" name="FERGIEANDREA_10MAG26" sheetId="4" r:id="rId8"/>
    <sheet state="visible" name="JASMINE_ANDRIANO_19APR26" sheetId="5" r:id="rId9"/>
    <sheet state="visible" name="AMBERALDRIN_15MAR26" sheetId="6" r:id="rId10"/>
    <sheet state="visible" name="DIA_EN_CUBA_15MAR26" sheetId="7" r:id="rId11"/>
    <sheet state="visible" name="ANAHITA_01MAR26" sheetId="8" r:id="rId12"/>
    <sheet state="visible" name="EMANUEL_LO_22FEB26" sheetId="9" r:id="rId13"/>
    <sheet state="visible" name="ALESSIO_CAVALIERE_01FEB26" sheetId="10" r:id="rId14"/>
    <sheet state="visible" name="NEREA_14DIC25" sheetId="11" r:id="rId15"/>
    <sheet state="visible" name="DEBORAH_ESPOSITO_16NOV25" sheetId="12" r:id="rId16"/>
    <sheet state="visible" name="NICOLO_DE_ANGELIS_16NOV25" sheetId="13" r:id="rId17"/>
    <sheet state="visible" name="KUMO_09NOV25" sheetId="14" r:id="rId18"/>
    <sheet state="visible" name="LELI_09NOV25" sheetId="15" r:id="rId19"/>
    <sheet state="visible" name="LULU_26OTT25" sheetId="16" r:id="rId20"/>
    <sheet state="visible" name="TIMOR_STEFFENS_26OTT25" sheetId="17" r:id="rId21"/>
    <sheet state="visible" name="BANANA_19OTT25" sheetId="18" r:id="rId22"/>
    <sheet state="visible" name="RIEPILOGO BP WS" sheetId="19" r:id="rId23"/>
    <sheet state="visible" name="elenchi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tc={16585e46-f5e9-4308-8ff9-45158ab5aea7}</author>
    <author>tc={2342bed8-f80d-4afa-bd6b-c36885d385cb}</author>
    <author>tc={3c6f0d78-cc6d-4b9d-ac80-a64941ee3f0b}</author>
    <author>tc={5ab8ce44-9cef-41ac-9b6b-e788f2445cd3}</author>
    <author>tc={9a3b5efa-6988-4ad4-8704-b7ff405e355e}</author>
  </authors>
  <commentList>
    <comment authorId="0" ref="B18">
      <text>
        <t xml:space="preserve">Riportare importo colonna AE del FILE RESOCONTO
</t>
      </text>
    </comment>
    <comment authorId="0" ref="B19">
      <text>
        <t xml:space="preserve">RIPORTARE IMPORTI COLONNA Z 
FILE RESOCONTO 
</t>
      </text>
    </comment>
    <comment authorId="1" xr:uid="{16585e46-f5e9-4308-8ff9-45158ab5aea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Già aperti
</t>
      </text>
    </comment>
    <comment authorId="2" xr:uid="{2342bed8-f80d-4afa-bd6b-c36885d385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Ipotetico
</t>
      </text>
    </comment>
    <comment authorId="3" xr:uid="{3c6f0d78-cc6d-4b9d-ac80-a64941ee3f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https://docs.google.com/spreadsheets/d/1w_v-LytfJUSGD2382sduIgEApmqF1mMjksjNng1JfDs/edit?gid=19013453#gid=19013453
</t>
      </text>
    </comment>
    <comment authorId="4" xr:uid="{5ab8ce44-9cef-41ac-9b6b-e788f2445c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dividere con festa di Natale
</t>
      </text>
    </comment>
    <comment authorId="5" xr:uid="{9a3b5efa-6988-4ad4-8704-b7ff405e35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Ipotetico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tc={70999aa6-03ef-4761-903f-f7bcfecb07f5}</author>
  </authors>
  <commentList>
    <comment authorId="0" ref="B18">
      <text>
        <t xml:space="preserve">Riportare importo colonna AE del FILE RESOCONTO
</t>
      </text>
    </comment>
    <comment authorId="0" ref="B19">
      <text>
        <t xml:space="preserve">Somma delle colonne C+E+G+I+K x €1,50 del FILE RESOCONTO
</t>
      </text>
    </comment>
    <comment authorId="1" xr:uid="{70999aa6-03ef-4761-903f-f7bcfecb07f5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Già aperti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Riportare importo colonna AE del FILE RESOCONTO
</t>
      </text>
    </comment>
    <comment authorId="0" ref="B19">
      <text>
        <t xml:space="preserve">RIPORTARE IMPORTI COLONNA Z 
FILE RESOCONTO 
</t>
      </text>
    </comment>
    <comment authorId="0" ref="B32">
      <text>
        <t xml:space="preserve">cella collegata al file 2526_ISCRITTI WORKSHOP</t>
      </text>
    </comment>
    <comment authorId="0" ref="B37">
      <text>
        <t xml:space="preserve">cella collegata al file 2526_ISCRITTI WORKSHOP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Riportare importo colonna AE del FILE RESOCONTO
</t>
      </text>
    </comment>
    <comment authorId="0" ref="B19">
      <text>
        <t xml:space="preserve">RIPORTARE IMPORTI COLONNA Z 
FILE RESOCONTO 
</t>
      </text>
    </comment>
    <comment authorId="0" ref="B31">
      <text>
        <t xml:space="preserve">cella collegata al file 2526_ISCRITTI WORKSHOP</t>
      </text>
    </comment>
    <comment authorId="0" ref="B36">
      <text>
        <t xml:space="preserve">cella collegata al file 2526_ISCRITTI WORKSHOP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50% dei voli</t>
      </text>
    </comment>
    <comment authorId="0" ref="B18">
      <text>
        <t xml:space="preserve">Riportare importo colonna AE del FILE RESOCONTO
</t>
      </text>
    </comment>
    <comment authorId="0" ref="B19">
      <text>
        <t xml:space="preserve">RIPORTARE IMPORTI COLONNA Z 
FILE RESOCONTO 
</t>
      </text>
    </comment>
    <comment authorId="0" ref="B32">
      <text>
        <t xml:space="preserve">cella collegata al file 2526_ISCRITTI WORKSHOP</t>
      </text>
    </comment>
    <comment authorId="0" ref="B37">
      <text>
        <t xml:space="preserve">cella collegata al file 2526_ISCRITTI WORKSHOP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tc={34eea645-88d7-4dd9-8f1b-fbd9daa0aadc}</author>
    <author>tc={5f12ab98-cab9-414d-9d1e-f979f7385942}</author>
  </authors>
  <commentList>
    <comment authorId="0" ref="B18">
      <text>
        <t xml:space="preserve">Riportare importo colonna AE del FILE RESOCONTO
</t>
      </text>
    </comment>
    <comment authorId="0" ref="B19">
      <text>
        <t xml:space="preserve">RIPORTARE IMPORTI COLONNA Z 
FILE RESOCONTO 
</t>
      </text>
    </comment>
    <comment authorId="0" ref="B31">
      <text>
        <t xml:space="preserve">cella collegata al file 2526_ISCRITTI WORKSHOP</t>
      </text>
    </comment>
    <comment authorId="0" ref="B36">
      <text>
        <t xml:space="preserve">cella collegata al file 2526_ISCRITTI WORKSHOP</t>
      </text>
    </comment>
    <comment authorId="1" xr:uid="{34eea645-88d7-4dd9-8f1b-fbd9daa0aadc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METTERE IN NEGATIVO
</t>
      </text>
    </comment>
    <comment authorId="2" xr:uid="{5f12ab98-cab9-414d-9d1e-f979f7385942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Allegare cella a File ISCRITTI quando sarà pronto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tc={5f914c21-4e34-4265-918d-3cdde3b06b10}</author>
  </authors>
  <commentList>
    <comment authorId="0" ref="B18">
      <text>
        <t xml:space="preserve">Riportare importo colonna AE del FILE RESOCONTO
</t>
      </text>
    </comment>
    <comment authorId="0" ref="B19">
      <text>
        <t xml:space="preserve">RIPORTARE IMPORTI COLONNA Z 
FILE RESOCONTO 
</t>
      </text>
    </comment>
    <comment authorId="0" ref="B31">
      <text>
        <t xml:space="preserve">cella collegata al file 2526_ISCRITTI WORKSHOP</t>
      </text>
    </comment>
    <comment authorId="0" ref="B36">
      <text>
        <t xml:space="preserve">cella collegata al file 2526_ISCRITTI WORKSHOP</t>
      </text>
    </comment>
    <comment authorId="1" xr:uid="{5f914c21-4e34-4265-918d-3cdde3b06b10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essere NEGATIVO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Riportare importo colonna AE del FILE RESOCONTO
</t>
      </text>
    </comment>
    <comment authorId="0" ref="B19">
      <text>
        <t xml:space="preserve">RIPORTARE IMPORTI COLONNA Z 
FILE RESOCONTO 
</t>
      </text>
    </comment>
    <comment authorId="0" ref="B31">
      <text>
        <t xml:space="preserve">cella collegata al file 2526_ISCRITTI WORKSHOP</t>
      </text>
    </comment>
    <comment authorId="0" ref="B36">
      <text>
        <t xml:space="preserve">cella collegata al file 2526_ISCRITTI WORKSHOP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Riportare importo colonna AE del FILE RESOCONTO
</t>
      </text>
    </comment>
    <comment authorId="0" ref="B19">
      <text>
        <t xml:space="preserve">RIPORTARE IMPORTI COLONNA Z 
FILE RESOCONTO 
</t>
      </text>
    </comment>
    <comment authorId="0" ref="B31">
      <text>
        <t xml:space="preserve">cella collegata al file 2526_ISCRITTI WORKSHOP</t>
      </text>
    </comment>
    <comment authorId="0" ref="B36">
      <text>
        <t xml:space="preserve">cella collegata al file 2526_ISCRITTI WORKSHOP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Riportare importo colonna AE del FILE RESOCONTO
</t>
      </text>
    </comment>
    <comment authorId="0" ref="B18">
      <text>
        <t xml:space="preserve">Somma delle colonne C+E+G+I+K x €1,50 del FILE RESOCONTO
</t>
      </text>
    </comment>
    <comment authorId="0" ref="B30">
      <text>
        <t xml:space="preserve">cella collegata al file 2526_ISCRITTI WORKSHOP</t>
      </text>
    </comment>
    <comment authorId="0" ref="B35">
      <text>
        <t xml:space="preserve">cella collegata al file 2526_ISCRITTI WORKSHOP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tc={0b40f8a0-fa13-4886-adab-51f7c0dbb3cb}</author>
  </authors>
  <commentList>
    <comment authorId="0" ref="B17">
      <text>
        <t xml:space="preserve">Riportare importo colonna AE del FILE RESOCONTO
</t>
      </text>
    </comment>
    <comment authorId="0" ref="B18">
      <text>
        <t xml:space="preserve">Somma delle colonne C+E+G+I+K x €1,50 del FILE RESOCONTO
</t>
      </text>
    </comment>
    <comment authorId="0" ref="B30">
      <text>
        <t xml:space="preserve">cella collegata al file 2526_ISCRITTI WORKSHOP</t>
      </text>
    </comment>
    <comment authorId="0" ref="B34">
      <text>
        <t xml:space="preserve">cella collegata al file 2526_ISCRITTI WORKSHOP</t>
      </text>
    </comment>
    <comment authorId="1" xr:uid="{0b40f8a0-fa13-4886-adab-51f7c0dbb3cb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Già presente per festa di Natale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tc={314d9564-c687-4d74-a4af-bd959e855b6c}</author>
  </authors>
  <commentList>
    <comment authorId="0" ref="C5">
      <text>
        <t xml:space="preserve">Doveva essere a carico nostro il taxi da SG a stazione centrale, ma alla fine l'ha accompagnata in macchina un'allieva</t>
      </text>
    </comment>
    <comment authorId="0" ref="B17">
      <text>
        <t xml:space="preserve">Riportare importo colonna AE del FILE RESOCONTO
</t>
      </text>
    </comment>
    <comment authorId="0" ref="B18">
      <text>
        <t xml:space="preserve">Somma delle colonne C+E+G+I+K x €1,50 del FILE RESOCONTO
</t>
      </text>
    </comment>
    <comment authorId="0" ref="B29">
      <text>
        <t xml:space="preserve">cella collegata al file 24_25_ISCRITTI WORKSHOP</t>
      </text>
    </comment>
    <comment authorId="0" ref="B33">
      <text>
        <t xml:space="preserve">cella collegata al file 24_25_ISCRITTI WORKSHOP</t>
      </text>
    </comment>
    <comment authorId="1" xr:uid="{314d9564-c687-4d74-a4af-bd959e855b6c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Già aperti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tc={83f96801-309e-4356-9037-3b1da7575386}</author>
  </authors>
  <commentList>
    <comment authorId="0" ref="B17">
      <text>
        <t xml:space="preserve">Riportare importo colonna AE del FILE RESOCONTO
</t>
      </text>
    </comment>
    <comment authorId="0" ref="B18">
      <text>
        <t xml:space="preserve">Somma delle colonne C+E+G+I+K x €1,50 del FILE RESOCONTO
</t>
      </text>
    </comment>
    <comment authorId="0" ref="B29">
      <text>
        <t xml:space="preserve">cella collegata al file 2526_ISCRITTI WORKSHOP</t>
      </text>
    </comment>
    <comment authorId="0" ref="B33">
      <text>
        <t xml:space="preserve">cella collegata al file 2526_ISCRITTI WORKSHOP</t>
      </text>
    </comment>
    <comment authorId="1" xr:uid="{83f96801-309e-4356-9037-3b1da7575386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Già aperti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tc={15ccc4c6-7ccf-4097-b829-be8227a75d77}</author>
    <author>tc={43a168a1-68d8-4204-bfb1-fd674c202db7}</author>
    <author>tc={686e6f5e-69b0-4226-865d-a29313bfc4c2}</author>
    <author>tc={bf97cfdb-93ac-4a9b-b826-3ee275af1e8c}</author>
    <author>tc={ec29e7d0-fb27-4bef-9c6c-467907754dc9}</author>
    <author>tc={ec69f812-2c11-4339-b510-6acbee588d7c}</author>
  </authors>
  <commentList>
    <comment authorId="0" ref="B17">
      <text>
        <t xml:space="preserve">Riportare importo colonna AE del FILE RESOCONTO
</t>
      </text>
    </comment>
    <comment authorId="0" ref="B18">
      <text>
        <t xml:space="preserve">Somma delle colonne C+E+G+I+K x €1,50 del FILE RESOCONTO
</t>
      </text>
    </comment>
    <comment authorId="0" ref="B29">
      <text>
        <t xml:space="preserve">cella collegata al file 2526_ISCRITTI WORKSHOP</t>
      </text>
    </comment>
    <comment authorId="0" ref="B33">
      <text>
        <t xml:space="preserve">cella collegata al file 2526_ISCRITTI WORKSHOP</t>
      </text>
    </comment>
    <comment authorId="1" xr:uid="{15ccc4c6-7ccf-4097-b829-be8227a75d77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Diviso con WS Leli
</t>
      </text>
    </comment>
    <comment authorId="2" xr:uid="{43a168a1-68d8-4204-bfb1-fd674c202db7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questo: aggiungere €360 di incasso lezioni private
</t>
      </text>
    </comment>
    <comment authorId="3" xr:uid="{686e6f5e-69b0-4226-865d-a29313bfc4c2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Già aperti
</t>
      </text>
    </comment>
    <comment authorId="4" xr:uid="{bf97cfdb-93ac-4a9b-b826-3ee275af1e8c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DEFINIRE
</t>
      </text>
    </comment>
    <comment authorId="5" xr:uid="{ec29e7d0-fb27-4bef-9c6c-467907754dc9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CONFERMARE se 2h o 1h30
</t>
      </text>
    </comment>
    <comment authorId="6" xr:uid="{ec69f812-2c11-4339-b510-6acbee588d7c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questo: aggiungere €250 di uscita per lezioni private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tc={80355d36-20f7-4996-bc8f-d89c4ae7fa73}</author>
    <author>tc={9090661e-f984-41ec-9976-499e1e694644}</author>
  </authors>
  <commentList>
    <comment authorId="0" ref="B17">
      <text>
        <t xml:space="preserve">Riportare importo colonna AE del FILE RESOCONTO
</t>
      </text>
    </comment>
    <comment authorId="0" ref="B18">
      <text>
        <t xml:space="preserve">Somma delle colonne C+E+G+I+K x €1,50 del FILE RESOCONTO
</t>
      </text>
    </comment>
    <comment authorId="0" ref="B29">
      <text>
        <t xml:space="preserve">cella collegata al file 2526_ISCRITTI WORKSHOP</t>
      </text>
    </comment>
    <comment authorId="0" ref="B33">
      <text>
        <t xml:space="preserve">cella collegata al file 2526_ISCRITTI WORKSHOP</t>
      </text>
    </comment>
    <comment authorId="1" xr:uid="{80355d36-20f7-4996-bc8f-d89c4ae7fa73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Già aperti
</t>
      </text>
    </comment>
    <comment authorId="2" xr:uid="{9090661e-f984-41ec-9976-499e1e694644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Diviso con WS Kumo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tc={80bf3b41-66b5-409a-85b6-6f3312292241}</author>
    <author>tc={8e74fbea-0f0f-4abf-93d4-7f897a8e21a9}</author>
    <author>tc={a242101e-9374-4d1b-b07c-e43275987d73}</author>
    <author>tc={e90858c4-17a3-4145-9f7c-d88018be8ff4}</author>
  </authors>
  <commentList>
    <comment authorId="0" ref="B17">
      <text>
        <t xml:space="preserve">Riportare importo colonna AE del FILE RESOCONTO
</t>
      </text>
    </comment>
    <comment authorId="0" ref="B18">
      <text>
        <t xml:space="preserve">Somma delle colonne C+E+G+I+K x €1,50 del FILE RESOCONTO
</t>
      </text>
    </comment>
    <comment authorId="0" ref="B29">
      <text>
        <t xml:space="preserve">cella collegata al file 2526_ISCRITTI WORKSHOP</t>
      </text>
    </comment>
    <comment authorId="0" ref="B33">
      <text>
        <t xml:space="preserve">cella collegata al file 2526_ISCRITTI WORKSHOP</t>
      </text>
    </comment>
    <comment authorId="0" ref="G34">
      <text>
        <t xml:space="preserve">2 LEZIONI PRIVATE (vendute a €180 cad.) 26/10/2025</t>
      </text>
    </comment>
    <comment authorId="1" xr:uid="{80bf3b41-66b5-409a-85b6-6f3312292241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183€
</t>
      </text>
    </comment>
    <comment authorId="2" xr:uid="{8e74fbea-0f0f-4abf-93d4-7f897a8e21a9}" ref="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questo importo aggiungere €360
</t>
      </text>
    </comment>
    <comment authorId="3" xr:uid="{a242101e-9374-4d1b-b07c-e43275987d73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Divise con Timor
</t>
      </text>
    </comment>
    <comment authorId="4" xr:uid="{e90858c4-17a3-4145-9f7c-d88018be8ff4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Spese divise con WS Timor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tc={06ff96b9-291d-47e7-a737-3a7c91ee80c0}</author>
    <author>tc={0ffb340e-a867-48ae-9c48-e7c69667393d}</author>
    <author>tc={28a758f2-7497-4bf5-b0db-a3effde10f2f}</author>
    <author>tc={46d45f95-26a9-41db-8cf7-e8052866a233}</author>
    <author>tc={f352b3a2-c1e7-42cb-a293-dc43f6760256}</author>
  </authors>
  <commentList>
    <comment authorId="0" ref="E7">
      <text>
        <t xml:space="preserve">€145 cad + €7 cad tassa di soggiorno</t>
      </text>
    </comment>
    <comment authorId="0" ref="B18">
      <text>
        <t xml:space="preserve">Riportare importo colonna AE del FILE RESOCONTO
</t>
      </text>
    </comment>
    <comment authorId="0" ref="B19">
      <text>
        <t xml:space="preserve">Somma delle colonne C+E+G+I+K x €1,50 del FILE RESOCONTO
</t>
      </text>
    </comment>
    <comment authorId="0" ref="B31">
      <text>
        <t xml:space="preserve">cella collegata al file 2526_ISCRITTI WORKSHOP</t>
      </text>
    </comment>
    <comment authorId="0" ref="B35">
      <text>
        <t xml:space="preserve"> cella collegata al file 2526_ISCRITTI WORKSHOP
</t>
      </text>
    </comment>
    <comment authorId="1" xr:uid="{06ff96b9-291d-47e7-a737-3a7c91ee80c0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Ipotetico
</t>
      </text>
    </comment>
    <comment authorId="2" xr:uid="{0ffb340e-a867-48ae-9c48-e7c69667393d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426,75
</t>
      </text>
    </comment>
    <comment authorId="3" xr:uid="{28a758f2-7497-4bf5-b0db-a3effde10f2f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Ipotetico
</t>
      </text>
    </comment>
    <comment authorId="4" xr:uid="{46d45f95-26a9-41db-8cf7-e8052866a233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Spese divise con WS Lulu
</t>
      </text>
    </comment>
    <comment authorId="5" xr:uid="{f352b3a2-c1e7-42cb-a293-dc43f6760256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Divise con Lulu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tc={5b138cb5-76ed-47f1-8f98-f4ac945b6f96}</author>
    <author>tc={9d54b8d8-eb24-4637-a944-f8c25b6f093c}</author>
    <author>tc={aa7725b3-87fb-410b-a6f8-4ef9fe370d24}</author>
    <author>tc={b45ea451-14b6-4895-90b4-e00494973acd}</author>
  </authors>
  <commentList>
    <comment authorId="0" ref="B17">
      <text>
        <t xml:space="preserve">Riportare importo colonna AE del FILE RESOCONTO
</t>
      </text>
    </comment>
    <comment authorId="0" ref="B18">
      <text>
        <t xml:space="preserve">Somma delle colonne C+E+G+I+K x €1,50 del FILE RESOCONTO
</t>
      </text>
    </comment>
    <comment authorId="0" ref="B29">
      <text>
        <t xml:space="preserve">cella collegata al file 2526_ISCRITTI WORKSHOP</t>
      </text>
    </comment>
    <comment authorId="0" ref="B33">
      <text>
        <t xml:space="preserve">cella collegata al file 2526_ISCRITTI WORKSHOP</t>
      </text>
    </comment>
    <comment authorId="1" xr:uid="{5b138cb5-76ed-47f1-8f98-f4ac945b6f96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@santo@studio-gem.it Verificare che sia importo finale
Attività assegnata a santo@studio-gem.it
</t>
      </text>
    </comment>
    <comment authorId="2" xr:uid="{9d54b8d8-eb24-4637-a944-f8c25b6f093c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@santo@studio-gem.it Inserire (cifra forfait)
Attività assegnata a santo@studio-gem.it
Reply:
	131,38€
</t>
      </text>
    </comment>
    <comment authorId="3" xr:uid="{aa7725b3-87fb-410b-a6f8-4ef9fe370d24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Già aperti
</t>
      </text>
    </comment>
    <comment authorId="4" xr:uid="{b45ea451-14b6-4895-90b4-e00494973acd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Usa la tshirt che le abbiamo dato l'ultima volta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tc={103afbcc-e0dc-4a41-b5ce-5cb06ecbc768}</author>
    <author>tc={3f48bb3c-3b6a-4242-8a97-16e30215b5ee}</author>
    <author>tc={52ca7182-e299-4da6-afec-11c59b9b7f5a}</author>
    <author>tc={5ae9de7d-9f2a-4783-b4f2-39089d950847}</author>
    <author>tc={7f5cba8a-2d6e-4bc2-ba75-ca74cf6402cb}</author>
    <author>tc={8e1ce325-cc9b-44f4-9797-238143abd5ff}</author>
    <author>tc={8e7b8a61-7731-4024-83e7-d97b99d4b199}</author>
    <author>tc={9efc0ef9-4373-4c86-b07a-a0412b60662d}</author>
    <author>tc={b302dcc3-27f6-4e9e-a220-b72a35fbc4b9}</author>
    <author>tc={d593b40c-33ad-4190-910c-c27befc759ef}</author>
    <author>tc={d7afaa8c-1018-4629-b74a-577971b585a4}</author>
    <author>tc={fcbdf8e5-8ab1-41ab-8d1b-b0fe5472fdd7}</author>
  </authors>
  <commentList>
    <comment authorId="0" ref="A2">
      <text>
        <t xml:space="preserve">inserisci link -&gt; CERCO foglio -&gt; digito il nome del foglio -&gt; lo seleziono -&gt; correggo la striscia di testo togliendo la data e lasciando solo il nome dell'artista</t>
      </text>
    </comment>
    <comment authorId="0" ref="D2">
      <text>
        <t xml:space="preserve">AGGANCIARE LA CELLA. Come fare: "= (punto sulla cella che mi interessa, andando nel foglio che mi interessa)"</t>
      </text>
    </comment>
    <comment authorId="0" ref="E2">
      <text>
        <t xml:space="preserve">AGGANCIARE LA CELLA. Come fare: "= (punto sulla cella che mi interessa, andando nel foglio che mi interessa)"</t>
      </text>
    </comment>
    <comment authorId="0" ref="F2">
      <text>
        <t xml:space="preserve">AGGANCIARE LA CELLA. Come fare: "= (punto sulla cella che mi interessa, andando nel foglio che mi interessa)"</t>
      </text>
    </comment>
    <comment authorId="1" xr:uid="{103afbcc-e0dc-4a41-b5ce-5cb06ecbc768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2" xr:uid="{3f48bb3c-3b6a-4242-8a97-16e30215b5ee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3" xr:uid="{52ca7182-e299-4da6-afec-11c59b9b7f5a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4" xr:uid="{5ae9de7d-9f2a-4783-b4f2-39089d950847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5" xr:uid="{7f5cba8a-2d6e-4bc2-ba75-ca74cf6402cb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6" xr:uid="{8e1ce325-cc9b-44f4-9797-238143abd5ff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7" xr:uid="{8e7b8a61-7731-4024-83e7-d97b99d4b199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8" xr:uid="{9efc0ef9-4373-4c86-b07a-a0412b60662d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9" xr:uid="{b302dcc3-27f6-4e9e-a220-b72a35fbc4b9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10" xr:uid="{d593b40c-33ad-4190-910c-c27befc759ef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11" xr:uid="{d7afaa8c-1018-4629-b74a-577971b585a4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  <comment authorId="12" xr:uid="{fcbdf8e5-8ab1-41ab-8d1b-b0fe5472fdd7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AGGANCIARE LA CELLA. Come fare: "= (punto sulla cella che mi interessa, andando nel foglio che mi interessa)"
</t>
      </text>
    </comment>
  </commentList>
</comments>
</file>

<file path=xl/sharedStrings.xml><?xml version="1.0" encoding="utf-8"?>
<sst xmlns="http://schemas.openxmlformats.org/spreadsheetml/2006/main" count="1200" uniqueCount="268">
  <si>
    <t>CLAUDIA LARUCCIA</t>
  </si>
  <si>
    <t>Descrizione</t>
  </si>
  <si>
    <t>Dettagli</t>
  </si>
  <si>
    <t>Q.t</t>
  </si>
  <si>
    <t>Importo</t>
  </si>
  <si>
    <t>Metodo di pagamento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</si>
  <si>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</si>
  <si>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Fee artist</t>
  </si>
  <si>
    <t>WS da 1h 30</t>
  </si>
  <si>
    <t>Bonifico</t>
  </si>
  <si>
    <t>Spese di viaggio</t>
  </si>
  <si>
    <t>-</t>
  </si>
  <si>
    <t>Carta</t>
  </si>
  <si>
    <t>Taxi da aeroporto a Hotel</t>
  </si>
  <si>
    <t>Taxi da Hotel a aeroporto</t>
  </si>
  <si>
    <t>Hotel</t>
  </si>
  <si>
    <t>Pranzi</t>
  </si>
  <si>
    <t>Cene</t>
  </si>
  <si>
    <t>Adidas</t>
  </si>
  <si>
    <t>Tshirt</t>
  </si>
  <si>
    <t>Rid Bancario</t>
  </si>
  <si>
    <t>TOTALE USCITE X ARTISTA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</si>
  <si>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</si>
  <si>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Affitto spazio</t>
  </si>
  <si>
    <t>No (minimo €300)</t>
  </si>
  <si>
    <t xml:space="preserve">Personale </t>
  </si>
  <si>
    <t>Video maker</t>
  </si>
  <si>
    <t>Affitto Yuri</t>
  </si>
  <si>
    <t>Volantini</t>
  </si>
  <si>
    <t>Manifesti</t>
  </si>
  <si>
    <t>Fish singolo per vendita</t>
  </si>
  <si>
    <t>Contanti cassa Elisa</t>
  </si>
  <si>
    <t>Bonus team per vendita</t>
  </si>
  <si>
    <t>Pranzo per team</t>
  </si>
  <si>
    <t>Sponsorizzate</t>
  </si>
  <si>
    <t>Resi</t>
  </si>
  <si>
    <t>Commissioni Online</t>
  </si>
  <si>
    <t>Percentuale del 1,5% su una media di €36</t>
  </si>
  <si>
    <t>Commissioni</t>
  </si>
  <si>
    <t>TOTALE USCITE EXTRA</t>
  </si>
  <si>
    <t>TOTALE USCITE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</si>
  <si>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>€32 entro il 28 gennaio compreso
(con cod sconto €30)
€37 entro il 28 marzo compreso
(con cod sconto €35)
€42 il giorno stesso
(con cod sconto €40)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</si>
  <si>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</si>
  <si>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</si>
  <si>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</si>
  <si>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ENTRATE</t>
  </si>
  <si>
    <t>RICAVO/PERDITA</t>
  </si>
  <si>
    <t>CARLOS DIAZ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</si>
  <si>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</si>
  <si>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Tshirt JE9024 tg XL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</si>
  <si>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</si>
  <si>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</t>
  </si>
  <si>
    <t>Video per sponsorizzate Meta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</si>
  <si>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>€37 entro il X compreso
(con cod sconto €35)
€42 entro il Y compreso
(con cod sconto €40)
€45 il giorno stesso
(con cod sconto €43)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</si>
  <si>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</si>
  <si>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</si>
  <si>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</si>
  <si>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BRASILIAN GEM DAY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</si>
  <si>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</si>
  <si>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A/R Londra-Mi</t>
  </si>
  <si>
    <t>Taxi da aeroporto SG</t>
  </si>
  <si>
    <t>Taxi da SG a aeroporto</t>
  </si>
  <si>
    <t>Fee Carlos</t>
  </si>
  <si>
    <t>WS da 1h30</t>
  </si>
  <si>
    <t xml:space="preserve">Tshirt 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</si>
  <si>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</si>
  <si>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
€37 fino al 09 Maggio compreso
(con cod sconto €35)
€42 il giorno stesso
(con cod sconto €40)
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</si>
  <si>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</si>
  <si>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</si>
  <si>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</si>
  <si>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FERGIE &amp; ANDREA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</si>
  <si>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</si>
  <si>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Fee artists</t>
  </si>
  <si>
    <t>Openclass da 1,5h</t>
  </si>
  <si>
    <t>Tshirt JE9024 tg M
Tshirt JC5943 Tg M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</si>
  <si>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</si>
  <si>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 persone (€10/h) x 2h30</t>
  </si>
  <si>
    <t>Percentuale del 1,5% su una media di €23,5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</si>
  <si>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€22 entro il 30 Aprile compreso
(con cod sconto €20)
€27 dall'1 Maggio al 10 Maggio compreso
(con cod sconto €25)
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</si>
  <si>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</si>
  <si>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</si>
  <si>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</si>
  <si>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JASMINE ANDRIANO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</si>
  <si>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</si>
  <si>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Volo A/R Bari-Mi (al 50%)</t>
  </si>
  <si>
    <t>Tshirt JC5943 Tg M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</si>
  <si>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</si>
  <si>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2H30
Spese divise con Affitto Modulo
(calcolo approssimativo)</t>
  </si>
  <si>
    <t>Videomaker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</si>
  <si>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>€32 entro il 18 marzo compreso
(con cod sconto €30)
€37 entro il 18 aprile compreso
(con cod sconto €35)
€42 il giorno stesso
(con cod sconto €40)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</si>
  <si>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</si>
  <si>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</si>
  <si>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</si>
  <si>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AMBER e ALDRIN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</si>
  <si>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</si>
  <si>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Openclass da 2h
30% dell'incasso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</si>
  <si>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</si>
  <si>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Affitto Modulo + WS Dìa en cuba
(calcolo approssimativo)</t>
  </si>
  <si>
    <t>Percentuale del 1,5% su una media di €31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</si>
  <si>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€32 entro il 14 Marzo compreso
(con cod sconto €30)
€37 il giorno stesso
(con cod sconto €35)
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</si>
  <si>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</si>
  <si>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</si>
  <si>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</si>
  <si>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DIA EN CUBA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</si>
  <si>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</si>
  <si>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30% dell'incasso</t>
  </si>
  <si>
    <t>2h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</si>
  <si>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</si>
  <si>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Affitto Modulo + Openclass Amber&amp;Aldrin
(calcolo approssimativo)</t>
  </si>
  <si>
    <t>180+IVA</t>
  </si>
  <si>
    <t>Percentuale del 1,5% su una media di €34,50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</si>
  <si>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</t>
    </r>
    <r>
      <rPr>
        <rFont val="Calibri"/>
        <b/>
        <color rgb="FF980000"/>
        <sz val="11.0"/>
      </rPr>
      <t xml:space="preserve">
€32 entro il 14 febbraio compreso
(con cod sconto €30)
€37 entro il 15 marzo compreso
(con cod sconto €35)
COD SCONTO: €2
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</si>
  <si>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</si>
  <si>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</si>
  <si>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</si>
  <si>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ANAHITA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</si>
  <si>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</si>
  <si>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</si>
  <si>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€22 entro il 15 Febbraio compreso
(con cod sconto €20)
€27 dal 15 Febbraio al 01 Marzo compreso
(con cod sconto €25)
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</si>
  <si>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</si>
  <si>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</si>
  <si>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</si>
  <si>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EMANUEL LO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</si>
  <si>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</si>
  <si>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WS da 1h 45</t>
  </si>
  <si>
    <t>Roma-Milano Executive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</si>
  <si>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</si>
  <si>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Affitto KV
(calcolo approssimativo)</t>
  </si>
  <si>
    <t>Percentuale del 1,5% su una media di €44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</si>
  <si>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€45
COD SCONTO: €2
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</si>
  <si>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</si>
  <si>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</si>
  <si>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</si>
  <si>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ALESSIO CAVALIERE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</si>
  <si>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</si>
  <si>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Treno</t>
  </si>
  <si>
    <r>
      <rPr>
        <rFont val="Calibri"/>
        <color theme="1"/>
      </rPr>
      <t xml:space="preserve">A/R Na-Mi
</t>
    </r>
    <r>
      <rPr>
        <rFont val="Calibri"/>
        <i/>
        <color theme="1"/>
      </rPr>
      <t>Anticipati da Sara</t>
    </r>
  </si>
  <si>
    <t>Spese trasporto</t>
  </si>
  <si>
    <t>Tshirt JE9024 tg L</t>
  </si>
  <si>
    <t>TOTALE USCITE ARTISTA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</si>
  <si>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</si>
  <si>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No (ma minimo €300 euro)</t>
  </si>
  <si>
    <t>2h30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</si>
  <si>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</t>
    </r>
    <r>
      <rPr>
        <rFont val="Calibri"/>
        <b/>
        <color rgb="FF980000"/>
        <sz val="11.0"/>
      </rPr>
      <t xml:space="preserve">
€37 entro il 31 Gennaio compreso
(con cod sconto €35)
€42 il giorno stesso
(con cod sconto €40)
</t>
    </r>
  </si>
  <si>
    <r>
      <rPr>
        <rFont val="Calibri"/>
        <color theme="1"/>
        <sz val="11.0"/>
      </rPr>
      <t xml:space="preserve">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(60 PX che pagano con cod sconto €30)
</t>
    </r>
  </si>
  <si>
    <r>
      <rPr>
        <rFont val="Calibri"/>
        <color rgb="FF000000"/>
        <sz val="11.0"/>
      </rPr>
      <t xml:space="preserve">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(60 PX che pagano prezzo pieno €42)
</t>
    </r>
  </si>
  <si>
    <r>
      <rPr>
        <rFont val="Calibri"/>
        <color theme="1"/>
        <sz val="11.0"/>
      </rPr>
      <t xml:space="preserve">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</si>
  <si>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NEREA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</si>
  <si>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</si>
  <si>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Hotel (due notti)</t>
  </si>
  <si>
    <t>Tshirt JC5943 Tg S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</si>
  <si>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</si>
  <si>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1 persona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</si>
  <si>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€27 entro il 15 ottobre compreso
(con cod sconto €25)
€32 entro iul 15 novembre compreso
(con cod sconto €30)
€37 il giorno stesso
(con cod sconto €35)
</t>
    </r>
  </si>
  <si>
    <r>
      <t xml:space="preserve">
</t>
    </r>
    <r>
      <rPr>
        <rFont val="Calibri"/>
        <color theme="1"/>
        <sz val="11.0"/>
      </rPr>
      <t xml:space="preserve">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(40 PX che pagano con cod sconto €25)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</si>
  <si>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(40 PX che pagano prezzo pieno €37)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</si>
  <si>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</si>
  <si>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DEBORAH ESPOSITO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</si>
  <si>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</si>
  <si>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A/R Na-Mi</t>
  </si>
  <si>
    <t>Tshirt JC5943 Tg L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</si>
  <si>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</si>
  <si>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WS Nicolò
(calcolo approssimativo)</t>
  </si>
  <si>
    <t>Spese divise con WS Nicolò</t>
  </si>
  <si>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€32 entro il 15 ottobre compreso
(con cod sconto €30)
€37 entro il 15 novembre compreso
(con cod sconto €35)
€42 il giorno stesso
(con cod sconto €40)
</t>
    </r>
  </si>
  <si>
    <r>
      <rPr>
        <rFont val="Calibri"/>
        <color theme="1"/>
        <sz val="11.0"/>
      </rPr>
      <t xml:space="preserve">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(40 PX che pagano con cod sconto €30)
</t>
    </r>
  </si>
  <si>
    <r>
      <rPr>
        <rFont val="Calibri"/>
        <color rgb="FF000000"/>
        <sz val="11.0"/>
      </rPr>
      <t xml:space="preserve">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(40 PX che pagano prezzo pieno €32)
</t>
    </r>
  </si>
  <si>
    <r>
      <rPr>
        <rFont val="Calibri"/>
        <color theme="1"/>
        <sz val="11.0"/>
      </rPr>
      <t xml:space="preserve">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</si>
  <si>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NICOLO DE ANGELIS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</si>
  <si>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</si>
  <si>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Tshirt JE9024 tg M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</si>
  <si>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</si>
  <si>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WS Deborah
(calcolo approssimativo)</t>
  </si>
  <si>
    <t>Spese divise con WS Deborah Esposito</t>
  </si>
  <si>
    <t>Percentuale del 1,5% su una media di €30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</si>
  <si>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€27 entro il 15 ottobre compreso
(con cod sconto €25)
€32 entro iul 15 novembre compreso
(con cod sconto €30)
€37 il giorno stesso
(con cod sconto €35)
</t>
    </r>
  </si>
  <si>
    <r>
      <t xml:space="preserve">
</t>
    </r>
    <r>
      <rPr>
        <rFont val="Calibri"/>
        <color theme="1"/>
        <sz val="11.0"/>
      </rPr>
      <t xml:space="preserve">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(40 PX che pagano con cod sconto €25)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</si>
  <si>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(40 PX che pagano prezzo pieno €37)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</si>
  <si>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</si>
  <si>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KUMO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</si>
  <si>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</si>
  <si>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WS da 2h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</si>
  <si>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</si>
  <si>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WS Leli
(calcolo approssimativo)</t>
  </si>
  <si>
    <t>Percentuale del 1,5% su una media di €35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</si>
  <si>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€32 entro l'8 ottobre compreso
(con cod sconto €30)
€37 entro il l'8 novembre compreso
(con cod sconto €35)
€42 il giorno stesso
(con cod sconto €40)
</t>
    </r>
  </si>
  <si>
    <r>
      <rPr>
        <rFont val="Calibri"/>
        <color theme="1"/>
        <sz val="11.0"/>
      </rPr>
      <t xml:space="preserve">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(60 PX che pagano con cod sconto €30)
</t>
    </r>
  </si>
  <si>
    <r>
      <rPr>
        <rFont val="Calibri"/>
        <color rgb="FF000000"/>
        <sz val="11.0"/>
      </rPr>
      <t xml:space="preserve">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(60 PX che pagano prezzo pieno €42)
</t>
    </r>
  </si>
  <si>
    <r>
      <rPr>
        <rFont val="Calibri"/>
        <color theme="1"/>
        <sz val="11.0"/>
      </rPr>
      <t xml:space="preserve">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</si>
  <si>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LELI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</si>
  <si>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</si>
  <si>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Top JX3896 tg M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</si>
  <si>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</si>
  <si>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WS Kumo
(calcolo approssimativo)</t>
  </si>
  <si>
    <t>Percentuale del 1,5% su una media di €27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</si>
  <si>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€27 entro l' 8 ottobre compreso
(con cod sconto €25)
€32 entro l' 8 novembre compreso
(con cod sconto €30)
€37 il giorno stesso
(con cod sconto €35)
</t>
    </r>
  </si>
  <si>
    <r>
      <rPr>
        <rFont val="Calibri"/>
        <color theme="1"/>
        <sz val="11.0"/>
      </rPr>
      <t xml:space="preserve">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(20 PX che pagano con cod sconto €25)
</t>
    </r>
  </si>
  <si>
    <r>
      <rPr>
        <rFont val="Calibri"/>
        <color rgb="FF000000"/>
        <sz val="11.0"/>
      </rPr>
      <t xml:space="preserve">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(20 PX che pagano prezzo pieno €37)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</si>
  <si>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</si>
  <si>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LULU KULOVA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</si>
  <si>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</si>
  <si>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Lezioni private</t>
  </si>
  <si>
    <t>Top JX3896 tg XS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</si>
  <si>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</si>
  <si>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WS Timor
(calcolo approssimativo)</t>
  </si>
  <si>
    <t>Spese divise con WS Timor</t>
  </si>
  <si>
    <t>Percentuale del 1,5% su una media di €34</t>
  </si>
  <si>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€32 entro il 25 settembre compreso
(con cod sconto €30)
€37 entro il 25 ottobre compreso
(con cod sconto €35)
€42 il giorno stesso
(con cod sconto €40)
</t>
    </r>
  </si>
  <si>
    <r>
      <rPr>
        <rFont val="Calibri"/>
        <color theme="1"/>
        <sz val="11.0"/>
      </rPr>
      <t xml:space="preserve">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(40 PX che pagano con cod sconto €30)
</t>
    </r>
  </si>
  <si>
    <r>
      <rPr>
        <rFont val="Calibri"/>
        <color rgb="FF000000"/>
        <sz val="11.0"/>
      </rPr>
      <t xml:space="preserve">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(40 PX che pagano prezzo pieno €32)
</t>
    </r>
  </si>
  <si>
    <r>
      <rPr>
        <rFont val="Calibri"/>
        <color theme="1"/>
        <sz val="11.0"/>
      </rPr>
      <t xml:space="preserve">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</si>
  <si>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ENTRATE EXTRA</t>
  </si>
  <si>
    <t>TIMOR STEFFENS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</si>
  <si>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</si>
  <si>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Volo Amsterdam - Milano A/R</t>
  </si>
  <si>
    <t>Uber da aeroporto a Hotel</t>
  </si>
  <si>
    <t>Uber da Hotel a aeroporto</t>
  </si>
  <si>
    <t>2 a carico di SG 
1 a carico dell'artista</t>
  </si>
  <si>
    <t>Fino ad un massimo di €15</t>
  </si>
  <si>
    <t>Fino ad un massimo di €30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</si>
  <si>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</si>
  <si>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3h30/4h
Spese divise con WS Lulu
(calcolo approssimativo)</t>
  </si>
  <si>
    <t>Spese divise con WS Lulu</t>
  </si>
  <si>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€45
COD SCONTO: €2
</t>
    </r>
  </si>
  <si>
    <r>
      <rPr>
        <rFont val="Calibri"/>
        <color theme="1"/>
        <sz val="11.0"/>
      </rPr>
      <t xml:space="preserve">
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(60 PX che pagano con cod sconto €43)
</t>
    </r>
  </si>
  <si>
    <r>
      <rPr>
        <rFont val="Calibri"/>
        <color rgb="FF000000"/>
        <sz val="11.0"/>
      </rPr>
      <t xml:space="preserve">
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(60 PX che pagano a prezzo pieno €45)
</t>
    </r>
  </si>
  <si>
    <r>
      <rPr>
        <rFont val="Calibri"/>
        <color theme="1"/>
        <sz val="11.0"/>
      </rPr>
      <t xml:space="preserve">
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</si>
  <si>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BANANA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</si>
  <si>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ARTISTA</t>
    </r>
  </si>
  <si>
    <t>Fee artist Banana</t>
  </si>
  <si>
    <t>1 WS da 2h
Metà del cachet stabilito per 2 date</t>
  </si>
  <si>
    <t>Freddy</t>
  </si>
  <si>
    <t>Tshirt VELOCITY5MT tg L</t>
  </si>
  <si>
    <r>
      <rPr>
        <rFont val="Calibri"/>
        <color theme="1"/>
        <sz val="11.0"/>
      </rPr>
      <t xml:space="preserve">USCITE
</t>
    </r>
    <r>
      <rPr>
        <rFont val="Calibri"/>
        <b/>
        <color theme="1"/>
        <sz val="11.0"/>
      </rPr>
      <t>EXTRA</t>
    </r>
  </si>
  <si>
    <t>3h30
(calcolo approssimativo)</t>
  </si>
  <si>
    <t>Percentuale del 1,5% su una media di €33,50</t>
  </si>
  <si>
    <r>
      <rPr>
        <rFont val="Calibri"/>
        <b/>
        <color theme="1"/>
        <sz val="11.0"/>
      </rPr>
      <t>STIMA</t>
    </r>
    <r>
      <rPr>
        <rFont val="Calibri"/>
        <color theme="1"/>
        <sz val="11.0"/>
      </rPr>
      <t xml:space="preserve"> CONTRIBUTI/INCASSI
</t>
    </r>
    <r>
      <rPr>
        <rFont val="Calibri"/>
        <b/>
        <color rgb="FF980000"/>
        <sz val="11.0"/>
      </rPr>
      <t xml:space="preserve">€32 entro il 18 settembre compreso
(con cod sconto €30)
€37 entro il 18 ottobre compreso
(con cod sconto €35)
€42 il giorno stesso
(con cod sconto €40)
</t>
    </r>
  </si>
  <si>
    <r>
      <rPr>
        <rFont val="Calibri"/>
        <color theme="1"/>
        <sz val="11.0"/>
      </rPr>
      <t xml:space="preserve">Stima del </t>
    </r>
    <r>
      <rPr>
        <rFont val="Calibri"/>
        <b/>
        <color theme="1"/>
        <sz val="11.0"/>
      </rPr>
      <t>MINIMO</t>
    </r>
    <r>
      <rPr>
        <rFont val="Calibri"/>
        <color theme="1"/>
        <sz val="11.0"/>
      </rPr>
      <t xml:space="preserve"> incassabile
(60 PX che pagano con cod sconto €30)
</t>
    </r>
  </si>
  <si>
    <r>
      <rPr>
        <rFont val="Calibri"/>
        <color rgb="FF000000"/>
        <sz val="11.0"/>
      </rPr>
      <t xml:space="preserve">Stima del </t>
    </r>
    <r>
      <rPr>
        <rFont val="Calibri"/>
        <b/>
        <color rgb="FF000000"/>
        <sz val="11.0"/>
      </rPr>
      <t>MASSIMO</t>
    </r>
    <r>
      <rPr>
        <rFont val="Calibri"/>
        <color rgb="FF000000"/>
        <sz val="11.0"/>
      </rPr>
      <t xml:space="preserve"> incassabile
(60 PX che pagano prezzo pieno €42)
</t>
    </r>
  </si>
  <si>
    <r>
      <rPr>
        <rFont val="Calibri"/>
        <color theme="1"/>
        <sz val="11.0"/>
      </rPr>
      <t xml:space="preserve">Stima </t>
    </r>
    <r>
      <rPr>
        <rFont val="Calibri"/>
        <b/>
        <color theme="1"/>
        <sz val="11.0"/>
      </rPr>
      <t>MEDIA</t>
    </r>
    <r>
      <rPr>
        <rFont val="Calibri"/>
        <color theme="1"/>
        <sz val="11.0"/>
      </rPr>
      <t xml:space="preserve"> incassabile
</t>
    </r>
  </si>
  <si>
    <t>WORKSHOP e OPENCLASS 2025-2026</t>
  </si>
  <si>
    <t>ARTISTA</t>
  </si>
  <si>
    <t>DATA</t>
  </si>
  <si>
    <t>GENERE</t>
  </si>
  <si>
    <t>USCITE</t>
  </si>
  <si>
    <t>PERDITA/RICAVO</t>
  </si>
  <si>
    <t>PARTECIPANTI</t>
  </si>
  <si>
    <t>NON TESSERATI</t>
  </si>
  <si>
    <t>TESSERATI</t>
  </si>
  <si>
    <t>AFROFUSION</t>
  </si>
  <si>
    <t>COMMERCIAL</t>
  </si>
  <si>
    <t>HEELS FUSION</t>
  </si>
  <si>
    <t>URBAN</t>
  </si>
  <si>
    <t>INDIAN FUSION</t>
  </si>
  <si>
    <t>SALSA MUSICALITY</t>
  </si>
  <si>
    <t>HEELS</t>
  </si>
  <si>
    <t>SALSA FLAMENCO</t>
  </si>
  <si>
    <t>1 febb 2026</t>
  </si>
  <si>
    <t>22 febb 2026</t>
  </si>
  <si>
    <t>HIPHOP</t>
  </si>
  <si>
    <t>SALSA CUBANA</t>
  </si>
  <si>
    <t>AMBER&amp;ALDRIN</t>
  </si>
  <si>
    <t>URBAN COREOGRAFICO</t>
  </si>
  <si>
    <t>TOTALE</t>
  </si>
  <si>
    <t>LEGENDA</t>
  </si>
  <si>
    <t>Verde = WS danza</t>
  </si>
  <si>
    <t>Giallo = WS ballo</t>
  </si>
  <si>
    <t>Contanti Segreteria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</si>
</sst>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_-[$€-2]* #,##0.00_-;_-[$€-2]* \-#,##0.00_-;_-[$€-2]* &quot;-&quot;??_-;_-@"/>
    <numFmt numFmtId="166" formatCode="_-[$€-2]* #,##0.00_-;_-[$€-2]* \-#,##0.00_-;_-[$€-2]* &quot;-&quot;??.00_-;_-@"/>
    <numFmt numFmtId="167" formatCode="d&quot; &quot;mmm&quot; &quot;yyyy"/>
  </numFmts>
  <fonts count="19">
    <font>
      <sz val="11.0"/>
      <color theme="1"/>
      <name val="Calibri"/>
      <scheme val="minor"/>
    </font>
    <font>
      <b/>
      <sz val="16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u/>
      <color rgb="FF0000FF"/>
    </font>
    <font>
      <b/>
      <sz val="16.0"/>
      <color rgb="FF000000"/>
      <name val="Calibri"/>
    </font>
    <font>
      <b/>
      <u/>
      <sz val="16.0"/>
      <color rgb="FF0000FF"/>
      <name val="Calibri"/>
    </font>
    <font>
      <sz val="12.0"/>
      <color theme="1"/>
      <name val="Calibri"/>
    </font>
    <font>
      <sz val="11.0"/>
      <color rgb="FFEA9999"/>
      <name val="Calibri"/>
    </font>
    <font>
      <b/>
      <sz val="15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sz val="12.0"/>
      <color theme="1"/>
      <name val="Arial"/>
    </font>
    <font>
      <b/>
      <sz val="10.0"/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CEA6D2"/>
        <bgColor rgb="FFCEA6D2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92D051"/>
        <bgColor rgb="FF92D051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5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CCCCCC"/>
      </left>
      <right style="thin">
        <color rgb="FFCCCCCC"/>
      </right>
      <bottom style="medium">
        <color rgb="FF000000"/>
      </bottom>
    </border>
    <border>
      <left style="thin">
        <color rgb="FFCCCCCC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CCCCCC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000000"/>
      </right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ck">
        <color rgb="FF000000"/>
      </left>
      <right style="thick">
        <color rgb="FF000000"/>
      </right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000000"/>
      </left>
      <right style="thick">
        <color rgb="FF000000"/>
      </right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ck">
        <color rgb="FF000000"/>
      </left>
      <right style="thick">
        <color rgb="FF000000"/>
      </right>
      <top style="thin">
        <color rgb="FFCCCCCC"/>
      </top>
    </border>
    <border>
      <right style="thin">
        <color rgb="FF000000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4" numFmtId="164" xfId="0" applyAlignment="1" applyFont="1" applyNumberFormat="1">
      <alignment horizontal="center" readingOrder="0" shrinkToFit="0" vertical="center" wrapText="1"/>
    </xf>
    <xf borderId="0" fillId="3" fontId="5" numFmtId="165" xfId="0" applyAlignment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6" fillId="0" fontId="4" numFmtId="164" xfId="0" applyAlignment="1" applyBorder="1" applyFont="1" applyNumberFormat="1">
      <alignment horizontal="center" readingOrder="0" shrinkToFit="0" vertical="center" wrapText="1"/>
    </xf>
    <xf borderId="6" fillId="0" fontId="5" numFmtId="166" xfId="0" applyAlignment="1" applyBorder="1" applyFont="1" applyNumberFormat="1">
      <alignment readingOrder="0" shrinkToFit="0" vertical="center" wrapText="1"/>
    </xf>
    <xf borderId="7" fillId="0" fontId="5" numFmtId="166" xfId="0" applyAlignment="1" applyBorder="1" applyFont="1" applyNumberFormat="1">
      <alignment readingOrder="0" shrinkToFit="0" vertical="center" wrapText="1"/>
    </xf>
    <xf borderId="8" fillId="0" fontId="2" numFmtId="0" xfId="0" applyBorder="1" applyFont="1"/>
    <xf borderId="0" fillId="0" fontId="3" numFmtId="0" xfId="0" applyAlignment="1" applyFont="1">
      <alignment readingOrder="0" shrinkToFit="0" vertical="center" wrapText="1"/>
    </xf>
    <xf borderId="9" fillId="0" fontId="4" numFmtId="164" xfId="0" applyAlignment="1" applyBorder="1" applyFont="1" applyNumberFormat="1">
      <alignment horizontal="center" readingOrder="0" shrinkToFit="0" vertical="center" wrapText="1"/>
    </xf>
    <xf borderId="9" fillId="0" fontId="5" numFmtId="166" xfId="0" applyAlignment="1" applyBorder="1" applyFont="1" applyNumberFormat="1">
      <alignment readingOrder="0" shrinkToFit="0" vertical="center" wrapText="1"/>
    </xf>
    <xf borderId="10" fillId="0" fontId="5" numFmtId="166" xfId="0" applyAlignment="1" applyBorder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1" fillId="0" fontId="2" numFmtId="0" xfId="0" applyBorder="1" applyFont="1"/>
    <xf borderId="12" fillId="0" fontId="7" numFmtId="0" xfId="0" applyAlignment="1" applyBorder="1" applyFont="1">
      <alignment shrinkToFit="0" vertical="center" wrapText="1"/>
    </xf>
    <xf borderId="13" fillId="0" fontId="2" numFmtId="0" xfId="0" applyBorder="1" applyFont="1"/>
    <xf borderId="14" fillId="0" fontId="2" numFmtId="0" xfId="0" applyBorder="1" applyFont="1"/>
    <xf borderId="14" fillId="0" fontId="8" numFmtId="166" xfId="0" applyAlignment="1" applyBorder="1" applyFont="1" applyNumberFormat="1">
      <alignment shrinkToFit="0" vertical="center" wrapText="1"/>
    </xf>
    <xf borderId="15" fillId="0" fontId="5" numFmtId="166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166" xfId="0" applyAlignment="1" applyFont="1" applyNumberForma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9" fillId="0" fontId="4" numFmtId="16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9" fillId="4" fontId="5" numFmtId="166" xfId="0" applyAlignment="1" applyBorder="1" applyFill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6" fillId="0" fontId="5" numFmtId="166" xfId="0" applyAlignment="1" applyBorder="1" applyFont="1" applyNumberFormat="1">
      <alignment readingOrder="0" shrinkToFit="0" vertical="center" wrapText="1"/>
    </xf>
    <xf borderId="0" fillId="0" fontId="5" numFmtId="166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2" fillId="5" fontId="7" numFmtId="0" xfId="0" applyAlignment="1" applyBorder="1" applyFill="1" applyFont="1">
      <alignment shrinkToFit="0" vertical="center" wrapText="1"/>
    </xf>
    <xf borderId="14" fillId="5" fontId="8" numFmtId="166" xfId="0" applyAlignment="1" applyBorder="1" applyFont="1" applyNumberFormat="1">
      <alignment shrinkToFit="0" vertical="center" wrapText="1"/>
    </xf>
    <xf borderId="0" fillId="0" fontId="8" numFmtId="166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8" numFmtId="166" xfId="0" applyAlignment="1" applyFont="1" applyNumberFormat="1">
      <alignment readingOrder="0" shrinkToFit="0" vertical="center" wrapText="1"/>
    </xf>
    <xf borderId="4" fillId="6" fontId="4" numFmtId="0" xfId="0" applyAlignment="1" applyBorder="1" applyFill="1" applyFont="1">
      <alignment horizontal="center" readingOrder="0" shrinkToFit="0" vertical="center" wrapText="1"/>
    </xf>
    <xf borderId="5" fillId="7" fontId="4" numFmtId="0" xfId="0" applyAlignment="1" applyBorder="1" applyFill="1" applyFont="1">
      <alignment readingOrder="0" shrinkToFit="0" vertical="center" wrapText="1"/>
    </xf>
    <xf borderId="5" fillId="7" fontId="4" numFmtId="165" xfId="0" applyAlignment="1" applyBorder="1" applyFont="1" applyNumberFormat="1">
      <alignment horizontal="left" readingOrder="0" shrinkToFit="0" vertical="center" wrapText="1"/>
    </xf>
    <xf borderId="5" fillId="7" fontId="4" numFmtId="164" xfId="0" applyAlignment="1" applyBorder="1" applyFont="1" applyNumberFormat="1">
      <alignment horizontal="center" readingOrder="0" shrinkToFit="0" vertical="center" wrapText="1"/>
    </xf>
    <xf borderId="7" fillId="7" fontId="5" numFmtId="166" xfId="0" applyAlignment="1" applyBorder="1" applyFont="1" applyNumberFormat="1">
      <alignment shrinkToFit="0" vertical="center" wrapText="1"/>
    </xf>
    <xf borderId="17" fillId="7" fontId="8" numFmtId="166" xfId="0" applyAlignment="1" applyBorder="1" applyFont="1" applyNumberFormat="1">
      <alignment shrinkToFit="0" vertical="center" wrapText="1"/>
    </xf>
    <xf borderId="0" fillId="8" fontId="5" numFmtId="0" xfId="0" applyAlignment="1" applyFill="1" applyFont="1">
      <alignment horizontal="left" readingOrder="0"/>
    </xf>
    <xf borderId="0" fillId="8" fontId="4" numFmtId="165" xfId="0" applyAlignment="1" applyFont="1" applyNumberFormat="1">
      <alignment horizontal="left" readingOrder="0" shrinkToFit="0" vertical="center" wrapText="1"/>
    </xf>
    <xf borderId="0" fillId="8" fontId="4" numFmtId="164" xfId="0" applyAlignment="1" applyFont="1" applyNumberFormat="1">
      <alignment horizontal="center" readingOrder="0" shrinkToFit="0" vertical="center" wrapText="1"/>
    </xf>
    <xf borderId="10" fillId="8" fontId="5" numFmtId="166" xfId="0" applyAlignment="1" applyBorder="1" applyFont="1" applyNumberFormat="1">
      <alignment shrinkToFit="0" vertical="center" wrapText="1"/>
    </xf>
    <xf borderId="17" fillId="8" fontId="8" numFmtId="166" xfId="0" applyAlignment="1" applyBorder="1" applyFont="1" applyNumberFormat="1">
      <alignment shrinkToFit="0" vertical="center" wrapText="1"/>
    </xf>
    <xf borderId="18" fillId="9" fontId="4" numFmtId="0" xfId="0" applyAlignment="1" applyBorder="1" applyFill="1" applyFont="1">
      <alignment readingOrder="0" shrinkToFit="0" vertical="center" wrapText="1"/>
    </xf>
    <xf borderId="0" fillId="9" fontId="4" numFmtId="165" xfId="0" applyAlignment="1" applyFont="1" applyNumberFormat="1">
      <alignment horizontal="center" readingOrder="0" shrinkToFit="0" vertical="center" wrapText="1"/>
    </xf>
    <xf borderId="18" fillId="9" fontId="4" numFmtId="164" xfId="0" applyAlignment="1" applyBorder="1" applyFont="1" applyNumberFormat="1">
      <alignment horizontal="center" readingOrder="0" shrinkToFit="0" vertical="center" wrapText="1"/>
    </xf>
    <xf borderId="15" fillId="9" fontId="5" numFmtId="166" xfId="0" applyAlignment="1" applyBorder="1" applyFont="1" applyNumberFormat="1">
      <alignment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13" fillId="0" fontId="4" numFmtId="165" xfId="0" applyAlignment="1" applyBorder="1" applyFont="1" applyNumberFormat="1">
      <alignment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19" fillId="0" fontId="5" numFmtId="166" xfId="0" applyAlignment="1" applyBorder="1" applyFont="1" applyNumberFormat="1">
      <alignment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0" fillId="0" fontId="4" numFmtId="165" xfId="0" applyAlignment="1" applyFont="1" applyNumberFormat="1">
      <alignment readingOrder="0" shrinkToFit="0" vertical="center" wrapText="1"/>
    </xf>
    <xf borderId="5" fillId="0" fontId="4" numFmtId="164" xfId="0" applyAlignment="1" applyBorder="1" applyFont="1" applyNumberFormat="1">
      <alignment horizontal="center" readingOrder="0" shrinkToFit="0" vertical="center" wrapText="1"/>
    </xf>
    <xf borderId="6" fillId="0" fontId="5" numFmtId="166" xfId="0" applyAlignment="1" applyBorder="1" applyFont="1" applyNumberFormat="1">
      <alignment shrinkToFit="0" vertical="center" wrapText="1"/>
    </xf>
    <xf borderId="9" fillId="0" fontId="5" numFmtId="166" xfId="0" applyAlignment="1" applyBorder="1" applyFont="1" applyNumberFormat="1">
      <alignment shrinkToFit="0" vertical="center" wrapText="1"/>
    </xf>
    <xf borderId="0" fillId="0" fontId="3" numFmtId="165" xfId="0" applyAlignment="1" applyFont="1" applyNumberFormat="1">
      <alignment readingOrder="0" shrinkToFit="0" vertical="center" wrapText="1"/>
    </xf>
    <xf borderId="18" fillId="0" fontId="7" numFmtId="0" xfId="0" applyAlignment="1" applyBorder="1" applyFont="1">
      <alignment shrinkToFit="0" vertical="center" wrapText="1"/>
    </xf>
    <xf borderId="18" fillId="0" fontId="7" numFmtId="164" xfId="0" applyAlignment="1" applyBorder="1" applyFont="1" applyNumberFormat="1">
      <alignment horizontal="center" shrinkToFit="0" vertical="center" wrapText="1"/>
    </xf>
    <xf borderId="9" fillId="0" fontId="8" numFmtId="166" xfId="0" applyAlignment="1" applyBorder="1" applyFont="1" applyNumberFormat="1">
      <alignment shrinkToFit="0" vertical="center" wrapText="1"/>
    </xf>
    <xf borderId="5" fillId="0" fontId="5" numFmtId="166" xfId="0" applyAlignment="1" applyBorder="1" applyFont="1" applyNumberFormat="1">
      <alignment shrinkToFit="0" vertical="center" wrapText="1"/>
    </xf>
    <xf borderId="12" fillId="0" fontId="7" numFmtId="0" xfId="0" applyAlignment="1" applyBorder="1" applyFont="1">
      <alignment horizontal="righ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5" fillId="7" fontId="4" numFmtId="0" xfId="0" applyAlignment="1" applyBorder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18" fillId="9" fontId="4" numFmtId="0" xfId="0" applyAlignment="1" applyBorder="1" applyFont="1">
      <alignment horizontal="center" readingOrder="0" shrinkToFit="0" vertical="center" wrapText="1"/>
    </xf>
    <xf borderId="17" fillId="9" fontId="8" numFmtId="166" xfId="0" applyAlignment="1" applyBorder="1" applyFont="1" applyNumberForma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5" fillId="10" fontId="3" numFmtId="0" xfId="0" applyAlignment="1" applyBorder="1" applyFill="1" applyFont="1">
      <alignment horizontal="right" readingOrder="0" shrinkToFit="0" vertical="center" wrapText="1"/>
    </xf>
    <xf borderId="0" fillId="11" fontId="4" numFmtId="165" xfId="0" applyAlignment="1" applyFill="1" applyFont="1" applyNumberFormat="1">
      <alignment readingOrder="0" shrinkToFit="0" vertical="center" wrapText="1"/>
    </xf>
    <xf borderId="5" fillId="11" fontId="4" numFmtId="0" xfId="0" applyAlignment="1" applyBorder="1" applyFont="1">
      <alignment horizontal="center" readingOrder="0" shrinkToFit="0" vertical="center" wrapText="1"/>
    </xf>
    <xf borderId="5" fillId="11" fontId="5" numFmtId="166" xfId="0" applyAlignment="1" applyBorder="1" applyFont="1" applyNumberFormat="1">
      <alignment shrinkToFit="0" vertical="center" wrapText="1"/>
    </xf>
    <xf borderId="6" fillId="11" fontId="5" numFmtId="166" xfId="0" applyAlignment="1" applyBorder="1" applyFont="1" applyNumberFormat="1">
      <alignment shrinkToFit="0" vertical="center" wrapText="1"/>
    </xf>
    <xf borderId="0" fillId="10" fontId="4" numFmtId="165" xfId="0" applyAlignment="1" applyFont="1" applyNumberFormat="1">
      <alignment readingOrder="0" shrinkToFit="0" vertical="center" wrapText="1"/>
    </xf>
    <xf borderId="0" fillId="10" fontId="4" numFmtId="0" xfId="0" applyAlignment="1" applyFont="1">
      <alignment horizontal="center" readingOrder="0" shrinkToFit="0" vertical="center" wrapText="1"/>
    </xf>
    <xf borderId="0" fillId="10" fontId="5" numFmtId="166" xfId="0" applyAlignment="1" applyFont="1" applyNumberFormat="1">
      <alignment shrinkToFit="0" vertical="center" wrapText="1"/>
    </xf>
    <xf borderId="9" fillId="10" fontId="5" numFmtId="166" xfId="0" applyAlignment="1" applyBorder="1" applyFont="1" applyNumberFormat="1">
      <alignment shrinkToFit="0" vertical="center" wrapText="1"/>
    </xf>
    <xf borderId="18" fillId="0" fontId="2" numFmtId="0" xfId="0" applyBorder="1" applyFont="1"/>
    <xf borderId="18" fillId="10" fontId="4" numFmtId="165" xfId="0" applyAlignment="1" applyBorder="1" applyFont="1" applyNumberFormat="1">
      <alignment readingOrder="0" shrinkToFit="0" vertical="center" wrapText="1"/>
    </xf>
    <xf borderId="18" fillId="10" fontId="4" numFmtId="0" xfId="0" applyAlignment="1" applyBorder="1" applyFont="1">
      <alignment horizontal="center" readingOrder="0" shrinkToFit="0" vertical="center" wrapText="1"/>
    </xf>
    <xf borderId="18" fillId="10" fontId="5" numFmtId="166" xfId="0" applyAlignment="1" applyBorder="1" applyFont="1" applyNumberFormat="1">
      <alignment shrinkToFit="0" vertical="center" wrapText="1"/>
    </xf>
    <xf borderId="0" fillId="12" fontId="3" numFmtId="0" xfId="0" applyAlignment="1" applyFill="1" applyFont="1">
      <alignment horizontal="right" readingOrder="0" shrinkToFit="0" vertical="center" wrapText="1"/>
    </xf>
    <xf borderId="0" fillId="12" fontId="4" numFmtId="165" xfId="0" applyAlignment="1" applyFont="1" applyNumberFormat="1">
      <alignment readingOrder="0" shrinkToFit="0" vertical="center" wrapText="1"/>
    </xf>
    <xf borderId="8" fillId="13" fontId="7" numFmtId="0" xfId="0" applyAlignment="1" applyBorder="1" applyFill="1" applyFont="1">
      <alignment horizontal="center" readingOrder="0" shrinkToFit="0" vertical="center" wrapText="1"/>
    </xf>
    <xf borderId="0" fillId="13" fontId="8" numFmtId="166" xfId="0" applyAlignment="1" applyFont="1" applyNumberFormat="1">
      <alignment shrinkToFit="0" vertical="center" wrapText="1"/>
    </xf>
    <xf borderId="4" fillId="0" fontId="5" numFmtId="166" xfId="0" applyAlignment="1" applyBorder="1" applyFont="1" applyNumberFormat="1">
      <alignment shrinkToFit="0" vertical="center" wrapText="1"/>
    </xf>
    <xf borderId="8" fillId="0" fontId="5" numFmtId="166" xfId="0" applyAlignment="1" applyBorder="1" applyFont="1" applyNumberFormat="1">
      <alignment shrinkToFit="0" vertical="center" wrapText="1"/>
    </xf>
    <xf borderId="0" fillId="12" fontId="3" numFmtId="165" xfId="0" applyAlignment="1" applyFont="1" applyNumberForma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9" fillId="3" fontId="5" numFmtId="165" xfId="0" applyAlignment="1" applyBorder="1" applyFont="1" applyNumberFormat="1">
      <alignment horizontal="center" readingOrder="0" shrinkToFit="0" vertical="center" wrapText="1"/>
    </xf>
    <xf borderId="9" fillId="14" fontId="5" numFmtId="166" xfId="0" applyAlignment="1" applyBorder="1" applyFill="1" applyFont="1" applyNumberFormat="1">
      <alignment readingOrder="0" shrinkToFit="0" vertical="center" wrapText="1"/>
    </xf>
    <xf borderId="10" fillId="9" fontId="5" numFmtId="166" xfId="0" applyAlignment="1" applyBorder="1" applyFont="1" applyNumberFormat="1">
      <alignment shrinkToFit="0" vertical="center" wrapText="1"/>
    </xf>
    <xf borderId="13" fillId="0" fontId="5" numFmtId="166" xfId="0" applyAlignment="1" applyBorder="1" applyFont="1" applyNumberFormat="1">
      <alignment shrinkToFit="0" vertical="center" wrapText="1"/>
    </xf>
    <xf borderId="0" fillId="11" fontId="4" numFmtId="165" xfId="0" applyAlignment="1" applyFont="1" applyNumberFormat="1">
      <alignment horizontal="right" readingOrder="0" shrinkToFit="0" vertical="center" wrapText="1"/>
    </xf>
    <xf borderId="5" fillId="11" fontId="4" numFmtId="164" xfId="0" applyAlignment="1" applyBorder="1" applyFont="1" applyNumberFormat="1">
      <alignment horizontal="right" readingOrder="0" shrinkToFit="0" vertical="center" wrapText="1"/>
    </xf>
    <xf borderId="9" fillId="11" fontId="5" numFmtId="166" xfId="0" applyAlignment="1" applyBorder="1" applyFont="1" applyNumberFormat="1">
      <alignment horizontal="right" shrinkToFit="0" vertical="center" wrapText="1"/>
    </xf>
    <xf borderId="0" fillId="0" fontId="5" numFmtId="166" xfId="0" applyAlignment="1" applyFont="1" applyNumberFormat="1">
      <alignment horizontal="right" shrinkToFit="0" vertical="center" wrapText="1"/>
    </xf>
    <xf borderId="0" fillId="0" fontId="4" numFmtId="165" xfId="0" applyAlignment="1" applyFont="1" applyNumberFormat="1">
      <alignment horizontal="right" readingOrder="0" shrinkToFit="0" vertical="center" wrapText="1"/>
    </xf>
    <xf borderId="0" fillId="0" fontId="4" numFmtId="164" xfId="0" applyAlignment="1" applyFont="1" applyNumberFormat="1">
      <alignment horizontal="right" readingOrder="0" shrinkToFit="0" vertical="center" wrapText="1"/>
    </xf>
    <xf borderId="9" fillId="0" fontId="5" numFmtId="166" xfId="0" applyAlignment="1" applyBorder="1" applyFont="1" applyNumberFormat="1">
      <alignment horizontal="right" shrinkToFit="0" vertical="center" wrapText="1"/>
    </xf>
    <xf borderId="20" fillId="10" fontId="4" numFmtId="165" xfId="0" applyAlignment="1" applyBorder="1" applyFont="1" applyNumberFormat="1">
      <alignment horizontal="right" readingOrder="0" shrinkToFit="0" vertical="center" wrapText="1"/>
    </xf>
    <xf borderId="20" fillId="10" fontId="4" numFmtId="164" xfId="0" applyAlignment="1" applyBorder="1" applyFont="1" applyNumberFormat="1">
      <alignment horizontal="right" readingOrder="0" shrinkToFit="0" vertical="center" wrapText="1"/>
    </xf>
    <xf borderId="21" fillId="10" fontId="5" numFmtId="166" xfId="0" applyAlignment="1" applyBorder="1" applyFont="1" applyNumberFormat="1">
      <alignment horizontal="right" shrinkToFit="0" vertical="center" wrapText="1"/>
    </xf>
    <xf borderId="22" fillId="0" fontId="2" numFmtId="0" xfId="0" applyBorder="1" applyFont="1"/>
    <xf borderId="22" fillId="10" fontId="4" numFmtId="165" xfId="0" applyAlignment="1" applyBorder="1" applyFont="1" applyNumberFormat="1">
      <alignment horizontal="right" readingOrder="0" shrinkToFit="0" vertical="center" wrapText="1"/>
    </xf>
    <xf borderId="0" fillId="10" fontId="4" numFmtId="164" xfId="0" applyAlignment="1" applyFont="1" applyNumberFormat="1">
      <alignment horizontal="right" readingOrder="0" shrinkToFit="0" vertical="center" wrapText="1"/>
    </xf>
    <xf borderId="9" fillId="10" fontId="5" numFmtId="166" xfId="0" applyAlignment="1" applyBorder="1" applyFont="1" applyNumberFormat="1">
      <alignment horizontal="right" shrinkToFit="0" vertical="center" wrapText="1"/>
    </xf>
    <xf borderId="4" fillId="13" fontId="8" numFmtId="164" xfId="0" applyAlignment="1" applyBorder="1" applyFont="1" applyNumberFormat="1">
      <alignment horizontal="left" readingOrder="0" shrinkToFit="0" vertical="center" wrapText="1"/>
    </xf>
    <xf borderId="6" fillId="13" fontId="8" numFmtId="166" xfId="0" applyAlignment="1" applyBorder="1" applyFont="1" applyNumberFormat="1">
      <alignment shrinkToFit="0" vertical="center" wrapText="1"/>
    </xf>
    <xf borderId="9" fillId="0" fontId="2" numFmtId="0" xfId="0" applyBorder="1" applyFont="1"/>
    <xf borderId="16" fillId="0" fontId="2" numFmtId="0" xfId="0" applyBorder="1" applyFont="1"/>
    <xf borderId="1" fillId="2" fontId="11" numFmtId="0" xfId="0" applyAlignment="1" applyBorder="1" applyFont="1">
      <alignment horizontal="center" readingOrder="0" shrinkToFit="0" vertical="center" wrapText="1"/>
    </xf>
    <xf borderId="9" fillId="15" fontId="5" numFmtId="166" xfId="0" applyAlignment="1" applyBorder="1" applyFill="1" applyFont="1" applyNumberFormat="1">
      <alignment readingOrder="0" shrinkToFit="0" vertical="center" wrapText="1"/>
    </xf>
    <xf borderId="5" fillId="11" fontId="4" numFmtId="164" xfId="0" applyAlignment="1" applyBorder="1" applyFont="1" applyNumberFormat="1">
      <alignment horizontal="center" readingOrder="0" shrinkToFit="0" vertical="center" wrapText="1"/>
    </xf>
    <xf borderId="0" fillId="10" fontId="4" numFmtId="164" xfId="0" applyAlignment="1" applyFont="1" applyNumberFormat="1">
      <alignment horizontal="center" readingOrder="0" shrinkToFit="0" vertical="center" wrapText="1"/>
    </xf>
    <xf borderId="18" fillId="10" fontId="4" numFmtId="164" xfId="0" applyAlignment="1" applyBorder="1" applyFont="1" applyNumberFormat="1">
      <alignment horizontal="center" readingOrder="0" shrinkToFit="0" vertical="center" wrapText="1"/>
    </xf>
    <xf borderId="0" fillId="12" fontId="3" numFmtId="165" xfId="0" applyAlignment="1" applyFont="1" applyNumberFormat="1">
      <alignment horizontal="right" readingOrder="0" shrinkToFit="0" vertical="center" wrapText="1"/>
    </xf>
    <xf borderId="8" fillId="13" fontId="7" numFmtId="164" xfId="0" applyAlignment="1" applyBorder="1" applyFont="1" applyNumberFormat="1">
      <alignment horizontal="left" readingOrder="0" shrinkToFit="0" vertical="center" wrapText="1"/>
    </xf>
    <xf borderId="7" fillId="8" fontId="8" numFmtId="166" xfId="0" applyAlignment="1" applyBorder="1" applyFont="1" applyNumberFormat="1">
      <alignment shrinkToFit="0" vertical="center" wrapText="1"/>
    </xf>
    <xf borderId="0" fillId="10" fontId="4" numFmtId="165" xfId="0" applyAlignment="1" applyFont="1" applyNumberFormat="1">
      <alignment horizontal="right" readingOrder="0" shrinkToFit="0" vertical="center" wrapText="1"/>
    </xf>
    <xf borderId="18" fillId="10" fontId="4" numFmtId="165" xfId="0" applyAlignment="1" applyBorder="1" applyFont="1" applyNumberFormat="1">
      <alignment horizontal="right" readingOrder="0" shrinkToFit="0" vertical="center" wrapText="1"/>
    </xf>
    <xf borderId="16" fillId="10" fontId="5" numFmtId="166" xfId="0" applyAlignment="1" applyBorder="1" applyFont="1" applyNumberFormat="1">
      <alignment shrinkToFit="0" vertical="center" wrapText="1"/>
    </xf>
    <xf borderId="4" fillId="13" fontId="7" numFmtId="164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20" fillId="10" fontId="4" numFmtId="164" xfId="0" applyAlignment="1" applyBorder="1" applyFont="1" applyNumberFormat="1">
      <alignment horizontal="center" readingOrder="0" shrinkToFit="0" vertical="center" wrapText="1"/>
    </xf>
    <xf borderId="20" fillId="10" fontId="5" numFmtId="166" xfId="0" applyAlignment="1" applyBorder="1" applyFont="1" applyNumberFormat="1">
      <alignment shrinkToFit="0" vertical="center" wrapText="1"/>
    </xf>
    <xf borderId="21" fillId="10" fontId="5" numFmtId="166" xfId="0" applyAlignment="1" applyBorder="1" applyFont="1" applyNumberFormat="1">
      <alignment shrinkToFit="0" vertical="center" wrapText="1"/>
    </xf>
    <xf borderId="5" fillId="12" fontId="3" numFmtId="165" xfId="0" applyAlignment="1" applyBorder="1" applyFont="1" applyNumberFormat="1">
      <alignment horizontal="right" readingOrder="0" shrinkToFit="0" vertical="center" wrapText="1"/>
    </xf>
    <xf borderId="5" fillId="12" fontId="4" numFmtId="165" xfId="0" applyAlignment="1" applyBorder="1" applyFont="1" applyNumberFormat="1">
      <alignment readingOrder="0" shrinkToFit="0" vertical="center" wrapText="1"/>
    </xf>
    <xf borderId="5" fillId="13" fontId="8" numFmtId="166" xfId="0" applyAlignment="1" applyBorder="1" applyFont="1" applyNumberFormat="1">
      <alignment shrinkToFit="0" vertical="center" wrapText="1"/>
    </xf>
    <xf borderId="22" fillId="10" fontId="5" numFmtId="166" xfId="0" applyAlignment="1" applyBorder="1" applyFont="1" applyNumberFormat="1">
      <alignment shrinkToFit="0" vertical="center" wrapText="1"/>
    </xf>
    <xf borderId="23" fillId="10" fontId="5" numFmtId="166" xfId="0" applyAlignment="1" applyBorder="1" applyFont="1" applyNumberFormat="1">
      <alignment shrinkToFit="0" vertical="center" wrapText="1"/>
    </xf>
    <xf borderId="6" fillId="13" fontId="8" numFmtId="166" xfId="0" applyAlignment="1" applyBorder="1" applyFont="1" applyNumberFormat="1">
      <alignment horizontal="right" shrinkToFit="0" vertical="center" wrapText="1"/>
    </xf>
    <xf borderId="18" fillId="0" fontId="5" numFmtId="166" xfId="0" applyAlignment="1" applyBorder="1" applyFont="1" applyNumberFormat="1">
      <alignment shrinkToFit="0" vertical="center" wrapText="1"/>
    </xf>
    <xf borderId="16" fillId="0" fontId="5" numFmtId="166" xfId="0" applyAlignment="1" applyBorder="1" applyFont="1" applyNumberFormat="1">
      <alignment shrinkToFit="0" vertical="center" wrapText="1"/>
    </xf>
    <xf borderId="12" fillId="0" fontId="7" numFmtId="0" xfId="0" applyAlignment="1" applyBorder="1" applyFont="1">
      <alignment readingOrder="0" shrinkToFit="0" vertical="center" wrapText="1"/>
    </xf>
    <xf borderId="5" fillId="0" fontId="5" numFmtId="166" xfId="0" applyAlignment="1" applyBorder="1" applyFont="1" applyNumberForma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readingOrder="0" shrinkToFit="0" vertical="center" wrapText="1"/>
    </xf>
    <xf borderId="18" fillId="0" fontId="8" numFmtId="166" xfId="0" applyAlignment="1" applyBorder="1" applyFont="1" applyNumberFormat="1">
      <alignment readingOrder="0" shrinkToFit="0" vertical="center" wrapText="1"/>
    </xf>
    <xf borderId="5" fillId="7" fontId="4" numFmtId="165" xfId="0" applyAlignment="1" applyBorder="1" applyFont="1" applyNumberFormat="1">
      <alignment horizontal="right" readingOrder="0" shrinkToFit="0" vertical="center" wrapText="1"/>
    </xf>
    <xf borderId="6" fillId="7" fontId="4" numFmtId="0" xfId="0" applyAlignment="1" applyBorder="1" applyFont="1">
      <alignment horizontal="center" readingOrder="0" shrinkToFit="0" vertical="center" wrapText="1"/>
    </xf>
    <xf borderId="24" fillId="7" fontId="5" numFmtId="166" xfId="0" applyAlignment="1" applyBorder="1" applyFont="1" applyNumberFormat="1">
      <alignment shrinkToFit="0" vertical="center" wrapText="1"/>
    </xf>
    <xf borderId="0" fillId="8" fontId="5" numFmtId="0" xfId="0" applyAlignment="1" applyFont="1">
      <alignment horizontal="left" readingOrder="0" vertical="center"/>
    </xf>
    <xf borderId="0" fillId="8" fontId="4" numFmtId="165" xfId="0" applyAlignment="1" applyFont="1" applyNumberFormat="1">
      <alignment horizontal="right" readingOrder="0" shrinkToFit="0" vertical="center" wrapText="1"/>
    </xf>
    <xf borderId="9" fillId="8" fontId="4" numFmtId="0" xfId="0" applyAlignment="1" applyBorder="1" applyFont="1">
      <alignment horizontal="center" readingOrder="0" shrinkToFit="0" vertical="center" wrapText="1"/>
    </xf>
    <xf borderId="25" fillId="8" fontId="5" numFmtId="166" xfId="0" applyAlignment="1" applyBorder="1" applyFont="1" applyNumberFormat="1">
      <alignment shrinkToFit="0" vertical="center" wrapText="1"/>
    </xf>
    <xf borderId="14" fillId="8" fontId="8" numFmtId="166" xfId="0" applyAlignment="1" applyBorder="1" applyFont="1" applyNumberFormat="1">
      <alignment shrinkToFit="0" vertical="center" wrapText="1"/>
    </xf>
    <xf borderId="18" fillId="9" fontId="4" numFmtId="165" xfId="0" applyAlignment="1" applyBorder="1" applyFont="1" applyNumberFormat="1">
      <alignment horizontal="right" readingOrder="0" shrinkToFit="0" vertical="center" wrapText="1"/>
    </xf>
    <xf borderId="9" fillId="9" fontId="4" numFmtId="0" xfId="0" applyAlignment="1" applyBorder="1" applyFont="1">
      <alignment horizontal="center" readingOrder="0" shrinkToFit="0" vertical="center" wrapText="1"/>
    </xf>
    <xf borderId="25" fillId="9" fontId="5" numFmtId="166" xfId="0" applyAlignment="1" applyBorder="1" applyFont="1" applyNumberFormat="1">
      <alignment shrinkToFit="0" vertical="center" wrapText="1"/>
    </xf>
    <xf borderId="7" fillId="9" fontId="8" numFmtId="166" xfId="0" applyAlignment="1" applyBorder="1" applyFont="1" applyNumberFormat="1">
      <alignment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readingOrder="0" shrinkToFit="0" vertical="center" wrapText="1"/>
    </xf>
    <xf borderId="18" fillId="0" fontId="4" numFmtId="165" xfId="0" applyAlignment="1" applyBorder="1" applyFont="1" applyNumberFormat="1">
      <alignment readingOrder="0" shrinkToFit="0" vertical="center" wrapText="1"/>
    </xf>
    <xf borderId="5" fillId="0" fontId="4" numFmtId="164" xfId="0" applyAlignment="1" applyBorder="1" applyFont="1" applyNumberFormat="1">
      <alignment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0" fillId="10" fontId="3" numFmtId="0" xfId="0" applyAlignment="1" applyFont="1">
      <alignment horizontal="right" readingOrder="0" shrinkToFit="0" vertical="center" wrapText="1"/>
    </xf>
    <xf borderId="0" fillId="11" fontId="4" numFmtId="0" xfId="0" applyAlignment="1" applyFont="1">
      <alignment horizontal="right" readingOrder="0" shrinkToFit="0" vertical="center" wrapText="1"/>
    </xf>
    <xf borderId="5" fillId="11" fontId="4" numFmtId="165" xfId="0" applyAlignment="1" applyBorder="1" applyFont="1" applyNumberFormat="1">
      <alignment horizontal="right" readingOrder="0" shrinkToFit="0" vertical="center" wrapText="1"/>
    </xf>
    <xf borderId="5" fillId="11" fontId="5" numFmtId="165" xfId="0" applyAlignment="1" applyBorder="1" applyFont="1" applyNumberFormat="1">
      <alignment shrinkToFit="0" vertical="center" wrapText="1"/>
    </xf>
    <xf borderId="5" fillId="11" fontId="5" numFmtId="0" xfId="0" applyAlignment="1" applyBorder="1" applyFont="1">
      <alignment shrinkToFit="0" vertical="center" wrapText="1"/>
    </xf>
    <xf borderId="6" fillId="11" fontId="5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horizontal="right" readingOrder="0" shrinkToFit="0" vertical="center" wrapText="1"/>
    </xf>
    <xf borderId="22" fillId="0" fontId="5" numFmtId="0" xfId="0" applyAlignment="1" applyBorder="1" applyFont="1">
      <alignment shrinkToFit="0" vertical="center" wrapText="1"/>
    </xf>
    <xf borderId="23" fillId="0" fontId="5" numFmtId="0" xfId="0" applyAlignment="1" applyBorder="1" applyFont="1">
      <alignment shrinkToFit="0" vertical="center" wrapText="1"/>
    </xf>
    <xf borderId="0" fillId="10" fontId="4" numFmtId="0" xfId="0" applyAlignment="1" applyFont="1">
      <alignment horizontal="right" readingOrder="0" shrinkToFit="0" vertical="center" wrapText="1"/>
    </xf>
    <xf borderId="0" fillId="10" fontId="5" numFmtId="165" xfId="0" applyAlignment="1" applyFont="1" applyNumberFormat="1">
      <alignment shrinkToFit="0" vertical="center" wrapText="1"/>
    </xf>
    <xf borderId="0" fillId="10" fontId="5" numFmtId="0" xfId="0" applyAlignment="1" applyFont="1">
      <alignment shrinkToFit="0" vertical="center" wrapText="1"/>
    </xf>
    <xf borderId="9" fillId="10" fontId="5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5" numFmtId="0" xfId="0" applyAlignment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22" fillId="10" fontId="4" numFmtId="0" xfId="0" applyAlignment="1" applyBorder="1" applyFont="1">
      <alignment horizontal="right" readingOrder="0" shrinkToFit="0" vertical="center" wrapText="1"/>
    </xf>
    <xf borderId="22" fillId="10" fontId="5" numFmtId="165" xfId="0" applyAlignment="1" applyBorder="1" applyFont="1" applyNumberFormat="1">
      <alignment shrinkToFit="0" vertical="center" wrapText="1"/>
    </xf>
    <xf borderId="22" fillId="10" fontId="5" numFmtId="0" xfId="0" applyAlignment="1" applyBorder="1" applyFont="1">
      <alignment shrinkToFit="0" vertical="center" wrapText="1"/>
    </xf>
    <xf borderId="23" fillId="10" fontId="5" numFmtId="0" xfId="0" applyAlignment="1" applyBorder="1" applyFont="1">
      <alignment shrinkToFit="0" vertical="center" wrapText="1"/>
    </xf>
    <xf borderId="4" fillId="13" fontId="7" numFmtId="164" xfId="0" applyAlignment="1" applyBorder="1" applyFont="1" applyNumberFormat="1">
      <alignment readingOrder="0" shrinkToFit="0" vertical="center" wrapText="1"/>
    </xf>
    <xf borderId="0" fillId="12" fontId="4" numFmtId="165" xfId="0" applyAlignment="1" applyFont="1" applyNumberFormat="1">
      <alignment horizontal="right" shrinkToFit="0" vertical="center" wrapText="1"/>
    </xf>
    <xf borderId="0" fillId="12" fontId="4" numFmtId="165" xfId="0" applyAlignment="1" applyFont="1" applyNumberFormat="1">
      <alignment shrinkToFit="0" vertical="center" wrapText="1"/>
    </xf>
    <xf borderId="9" fillId="0" fontId="3" numFmtId="0" xfId="0" applyBorder="1" applyFont="1"/>
    <xf borderId="16" fillId="0" fontId="8" numFmtId="166" xfId="0" applyAlignment="1" applyBorder="1" applyFont="1" applyNumberFormat="1">
      <alignment shrinkToFit="0" vertical="center" wrapText="1"/>
    </xf>
    <xf borderId="18" fillId="0" fontId="3" numFmtId="0" xfId="0" applyBorder="1" applyFont="1"/>
    <xf borderId="16" fillId="0" fontId="3" numFmtId="0" xfId="0" applyBorder="1" applyFont="1"/>
    <xf borderId="0" fillId="0" fontId="7" numFmtId="164" xfId="0" applyAlignment="1" applyFont="1" applyNumberFormat="1">
      <alignment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8" fillId="9" fontId="4" numFmtId="165" xfId="0" applyAlignment="1" applyBorder="1" applyFont="1" applyNumberFormat="1">
      <alignment readingOrder="0" shrinkToFit="0" vertical="center" wrapText="1"/>
    </xf>
    <xf borderId="14" fillId="9" fontId="8" numFmtId="166" xfId="0" applyAlignment="1" applyBorder="1" applyFont="1" applyNumberFormat="1">
      <alignment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5" fillId="16" fontId="4" numFmtId="164" xfId="0" applyAlignment="1" applyBorder="1" applyFill="1" applyFont="1" applyNumberFormat="1">
      <alignment horizontal="right" readingOrder="0" shrinkToFit="0" vertical="center" wrapText="1"/>
    </xf>
    <xf borderId="5" fillId="16" fontId="5" numFmtId="166" xfId="0" applyAlignment="1" applyBorder="1" applyFont="1" applyNumberFormat="1">
      <alignment shrinkToFit="0" vertical="center" wrapText="1"/>
    </xf>
    <xf borderId="6" fillId="16" fontId="5" numFmtId="166" xfId="0" applyAlignment="1" applyBorder="1" applyFont="1" applyNumberFormat="1">
      <alignment shrinkToFit="0" vertical="center" wrapText="1"/>
    </xf>
    <xf borderId="22" fillId="0" fontId="3" numFmtId="0" xfId="0" applyAlignment="1" applyBorder="1" applyFont="1">
      <alignment horizontal="right" readingOrder="0" shrinkToFit="0" vertical="center" wrapText="1"/>
    </xf>
    <xf borderId="22" fillId="11" fontId="4" numFmtId="165" xfId="0" applyAlignment="1" applyBorder="1" applyFont="1" applyNumberFormat="1">
      <alignment horizontal="right" readingOrder="0" shrinkToFit="0" vertical="center" wrapText="1"/>
    </xf>
    <xf borderId="22" fillId="16" fontId="4" numFmtId="164" xfId="0" applyAlignment="1" applyBorder="1" applyFont="1" applyNumberFormat="1">
      <alignment horizontal="right" readingOrder="0" shrinkToFit="0" vertical="center" wrapText="1"/>
    </xf>
    <xf borderId="22" fillId="11" fontId="5" numFmtId="166" xfId="0" applyAlignment="1" applyBorder="1" applyFont="1" applyNumberFormat="1">
      <alignment shrinkToFit="0" vertical="center" wrapText="1"/>
    </xf>
    <xf borderId="22" fillId="16" fontId="5" numFmtId="166" xfId="0" applyAlignment="1" applyBorder="1" applyFont="1" applyNumberFormat="1">
      <alignment shrinkToFit="0" vertical="center" wrapText="1"/>
    </xf>
    <xf borderId="23" fillId="16" fontId="5" numFmtId="166" xfId="0" applyAlignment="1" applyBorder="1" applyFont="1" applyNumberFormat="1">
      <alignment shrinkToFit="0" vertical="center" wrapText="1"/>
    </xf>
    <xf borderId="0" fillId="16" fontId="4" numFmtId="164" xfId="0" applyAlignment="1" applyFont="1" applyNumberFormat="1">
      <alignment horizontal="right" readingOrder="0" shrinkToFit="0" vertical="center" wrapText="1"/>
    </xf>
    <xf borderId="0" fillId="11" fontId="5" numFmtId="166" xfId="0" applyAlignment="1" applyFont="1" applyNumberFormat="1">
      <alignment shrinkToFit="0" vertical="center" wrapText="1"/>
    </xf>
    <xf borderId="0" fillId="16" fontId="5" numFmtId="166" xfId="0" applyAlignment="1" applyFont="1" applyNumberFormat="1">
      <alignment shrinkToFit="0" vertical="center" wrapText="1"/>
    </xf>
    <xf borderId="9" fillId="16" fontId="5" numFmtId="166" xfId="0" applyAlignment="1" applyBorder="1" applyFont="1" applyNumberFormat="1">
      <alignment shrinkToFit="0" vertical="center" wrapText="1"/>
    </xf>
    <xf borderId="8" fillId="13" fontId="7" numFmtId="164" xfId="0" applyAlignment="1" applyBorder="1" applyFont="1" applyNumberFormat="1">
      <alignment readingOrder="0" shrinkToFit="0" vertical="center" wrapText="1"/>
    </xf>
    <xf borderId="9" fillId="13" fontId="8" numFmtId="166" xfId="0" applyAlignment="1" applyBorder="1" applyFont="1" applyNumberFormat="1">
      <alignment shrinkToFit="0" vertical="center" wrapText="1"/>
    </xf>
    <xf borderId="25" fillId="9" fontId="5" numFmtId="166" xfId="0" applyAlignment="1" applyBorder="1" applyFont="1" applyNumberFormat="1">
      <alignment horizontal="right" readingOrder="0" shrinkToFit="0" vertical="center" wrapText="1"/>
    </xf>
    <xf borderId="26" fillId="9" fontId="8" numFmtId="166" xfId="0" applyAlignment="1" applyBorder="1" applyFont="1" applyNumberFormat="1">
      <alignment readingOrder="0" shrinkToFit="0" vertical="center" wrapText="1"/>
    </xf>
    <xf borderId="18" fillId="11" fontId="5" numFmtId="166" xfId="0" applyAlignment="1" applyBorder="1" applyFont="1" applyNumberFormat="1">
      <alignment shrinkToFit="0" vertical="center" wrapText="1"/>
    </xf>
    <xf borderId="12" fillId="13" fontId="8" numFmtId="166" xfId="0" applyAlignment="1" applyBorder="1" applyFont="1" applyNumberFormat="1">
      <alignment readingOrder="0" shrinkToFit="0" vertical="center" wrapText="1"/>
    </xf>
    <xf borderId="14" fillId="13" fontId="8" numFmtId="165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0" fontId="3" numFmtId="0" xfId="0" applyAlignment="1" applyBorder="1" applyFont="1">
      <alignment horizontal="right" readingOrder="0" shrinkToFit="0" vertical="center" wrapText="1"/>
    </xf>
    <xf borderId="5" fillId="11" fontId="5" numFmtId="166" xfId="0" applyAlignment="1" applyBorder="1" applyFont="1" applyNumberFormat="1">
      <alignment horizontal="right" shrinkToFit="0" vertical="center" wrapText="1"/>
    </xf>
    <xf borderId="0" fillId="16" fontId="5" numFmtId="166" xfId="0" applyAlignment="1" applyFont="1" applyNumberFormat="1">
      <alignment horizontal="right" shrinkToFit="0" vertical="center" wrapText="1"/>
    </xf>
    <xf borderId="6" fillId="16" fontId="5" numFmtId="166" xfId="0" applyAlignment="1" applyBorder="1" applyFont="1" applyNumberFormat="1">
      <alignment horizontal="right" shrinkToFit="0" vertical="center" wrapText="1"/>
    </xf>
    <xf borderId="0" fillId="11" fontId="5" numFmtId="166" xfId="0" applyAlignment="1" applyFont="1" applyNumberFormat="1">
      <alignment horizontal="right" shrinkToFit="0" vertical="center" wrapText="1"/>
    </xf>
    <xf borderId="9" fillId="16" fontId="5" numFmtId="166" xfId="0" applyAlignment="1" applyBorder="1" applyFont="1" applyNumberFormat="1">
      <alignment horizontal="right" shrinkToFit="0" vertical="center" wrapText="1"/>
    </xf>
    <xf borderId="22" fillId="16" fontId="5" numFmtId="166" xfId="0" applyAlignment="1" applyBorder="1" applyFont="1" applyNumberFormat="1">
      <alignment horizontal="right" shrinkToFit="0" vertical="center" wrapText="1"/>
    </xf>
    <xf borderId="22" fillId="11" fontId="5" numFmtId="166" xfId="0" applyAlignment="1" applyBorder="1" applyFont="1" applyNumberFormat="1">
      <alignment horizontal="right" shrinkToFit="0" vertical="center" wrapText="1"/>
    </xf>
    <xf borderId="23" fillId="16" fontId="5" numFmtId="166" xfId="0" applyAlignment="1" applyBorder="1" applyFont="1" applyNumberFormat="1">
      <alignment horizontal="right" shrinkToFit="0" vertical="center" wrapText="1"/>
    </xf>
    <xf borderId="0" fillId="12" fontId="4" numFmtId="165" xfId="0" applyAlignment="1" applyFont="1" applyNumberFormat="1">
      <alignment horizontal="right" readingOrder="0" shrinkToFit="0" vertical="center" wrapText="1"/>
    </xf>
    <xf borderId="4" fillId="13" fontId="7" numFmtId="164" xfId="0" applyAlignment="1" applyBorder="1" applyFont="1" applyNumberFormat="1">
      <alignment horizontal="center" readingOrder="0" shrinkToFit="0" vertical="center" wrapText="1"/>
    </xf>
    <xf borderId="18" fillId="0" fontId="8" numFmtId="166" xfId="0" applyAlignment="1" applyBorder="1" applyFont="1" applyNumberFormat="1">
      <alignment shrinkToFit="0" vertical="center" wrapText="1"/>
    </xf>
    <xf borderId="9" fillId="0" fontId="13" numFmtId="166" xfId="0" applyAlignment="1" applyBorder="1" applyFont="1" applyNumberFormat="1">
      <alignment readingOrder="0" shrinkToFit="0" vertical="center" wrapText="1"/>
    </xf>
    <xf borderId="20" fillId="0" fontId="3" numFmtId="0" xfId="0" applyAlignment="1" applyBorder="1" applyFont="1">
      <alignment horizontal="right" readingOrder="0" shrinkToFit="0" vertical="center" wrapText="1"/>
    </xf>
    <xf borderId="20" fillId="11" fontId="4" numFmtId="165" xfId="0" applyAlignment="1" applyBorder="1" applyFont="1" applyNumberFormat="1">
      <alignment horizontal="right" readingOrder="0" shrinkToFit="0" vertical="center" wrapText="1"/>
    </xf>
    <xf borderId="20" fillId="16" fontId="4" numFmtId="164" xfId="0" applyAlignment="1" applyBorder="1" applyFont="1" applyNumberFormat="1">
      <alignment horizontal="right" readingOrder="0" shrinkToFit="0" vertical="center" wrapText="1"/>
    </xf>
    <xf borderId="20" fillId="11" fontId="5" numFmtId="166" xfId="0" applyAlignment="1" applyBorder="1" applyFont="1" applyNumberFormat="1">
      <alignment shrinkToFit="0" vertical="center" wrapText="1"/>
    </xf>
    <xf borderId="20" fillId="16" fontId="5" numFmtId="166" xfId="0" applyAlignment="1" applyBorder="1" applyFont="1" applyNumberFormat="1">
      <alignment shrinkToFit="0" vertical="center" wrapText="1"/>
    </xf>
    <xf borderId="21" fillId="16" fontId="5" numFmtId="166" xfId="0" applyAlignment="1" applyBorder="1" applyFont="1" applyNumberFormat="1">
      <alignment shrinkToFit="0" vertical="center" wrapText="1"/>
    </xf>
    <xf borderId="27" fillId="17" fontId="14" numFmtId="0" xfId="0" applyAlignment="1" applyBorder="1" applyFill="1" applyFont="1">
      <alignment horizontal="center" readingOrder="0" vertical="center"/>
    </xf>
    <xf borderId="28" fillId="0" fontId="2" numFmtId="0" xfId="0" applyBorder="1" applyFont="1"/>
    <xf borderId="29" fillId="0" fontId="2" numFmtId="0" xfId="0" applyBorder="1" applyFont="1"/>
    <xf borderId="30" fillId="3" fontId="15" numFmtId="0" xfId="0" applyAlignment="1" applyBorder="1" applyFont="1">
      <alignment horizontal="left" readingOrder="0" vertical="center"/>
    </xf>
    <xf borderId="31" fillId="3" fontId="15" numFmtId="167" xfId="0" applyAlignment="1" applyBorder="1" applyFont="1" applyNumberFormat="1">
      <alignment horizontal="left" readingOrder="0" vertical="center"/>
    </xf>
    <xf borderId="32" fillId="3" fontId="15" numFmtId="0" xfId="0" applyAlignment="1" applyBorder="1" applyFont="1">
      <alignment horizontal="left" readingOrder="0" vertical="center"/>
    </xf>
    <xf borderId="33" fillId="3" fontId="15" numFmtId="0" xfId="0" applyAlignment="1" applyBorder="1" applyFont="1">
      <alignment horizontal="right" readingOrder="0" vertical="center"/>
    </xf>
    <xf borderId="31" fillId="3" fontId="15" numFmtId="0" xfId="0" applyAlignment="1" applyBorder="1" applyFont="1">
      <alignment horizontal="right" readingOrder="0" vertical="center"/>
    </xf>
    <xf borderId="34" fillId="3" fontId="15" numFmtId="0" xfId="0" applyAlignment="1" applyBorder="1" applyFont="1">
      <alignment horizontal="right" readingOrder="0" vertical="center"/>
    </xf>
    <xf borderId="35" fillId="3" fontId="15" numFmtId="0" xfId="0" applyAlignment="1" applyBorder="1" applyFont="1">
      <alignment horizontal="center" readingOrder="0" vertical="center"/>
    </xf>
    <xf borderId="36" fillId="3" fontId="15" numFmtId="0" xfId="0" applyAlignment="1" applyBorder="1" applyFont="1">
      <alignment horizontal="center" readingOrder="0" vertical="center"/>
    </xf>
    <xf borderId="37" fillId="18" fontId="15" numFmtId="0" xfId="0" applyAlignment="1" applyBorder="1" applyFill="1" applyFont="1">
      <alignment horizontal="left" readingOrder="0" vertical="center"/>
    </xf>
    <xf borderId="38" fillId="18" fontId="16" numFmtId="167" xfId="0" applyAlignment="1" applyBorder="1" applyFont="1" applyNumberFormat="1">
      <alignment horizontal="left" readingOrder="0" vertical="center"/>
    </xf>
    <xf borderId="39" fillId="18" fontId="16" numFmtId="0" xfId="0" applyAlignment="1" applyBorder="1" applyFont="1">
      <alignment horizontal="left" readingOrder="0" vertical="center"/>
    </xf>
    <xf borderId="40" fillId="18" fontId="16" numFmtId="165" xfId="0" applyAlignment="1" applyBorder="1" applyFont="1" applyNumberFormat="1">
      <alignment horizontal="right" vertical="center"/>
    </xf>
    <xf borderId="41" fillId="18" fontId="16" numFmtId="165" xfId="0" applyAlignment="1" applyBorder="1" applyFont="1" applyNumberFormat="1">
      <alignment horizontal="right" readingOrder="0" vertical="center"/>
    </xf>
    <xf borderId="42" fillId="18" fontId="15" numFmtId="165" xfId="0" applyAlignment="1" applyBorder="1" applyFont="1" applyNumberFormat="1">
      <alignment horizontal="right" vertical="center"/>
    </xf>
    <xf borderId="43" fillId="18" fontId="16" numFmtId="0" xfId="0" applyAlignment="1" applyBorder="1" applyFont="1">
      <alignment horizontal="center" vertical="center"/>
    </xf>
    <xf borderId="0" fillId="18" fontId="16" numFmtId="0" xfId="0" applyAlignment="1" applyFont="1">
      <alignment horizontal="center" vertical="center"/>
    </xf>
    <xf borderId="44" fillId="18" fontId="15" numFmtId="0" xfId="0" applyAlignment="1" applyBorder="1" applyFont="1">
      <alignment horizontal="left" readingOrder="0" vertical="center"/>
    </xf>
    <xf borderId="45" fillId="18" fontId="16" numFmtId="165" xfId="0" applyAlignment="1" applyBorder="1" applyFont="1" applyNumberFormat="1">
      <alignment horizontal="right" vertical="center"/>
    </xf>
    <xf borderId="46" fillId="18" fontId="15" numFmtId="165" xfId="0" applyAlignment="1" applyBorder="1" applyFont="1" applyNumberFormat="1">
      <alignment horizontal="right" vertical="center"/>
    </xf>
    <xf borderId="47" fillId="18" fontId="16" numFmtId="0" xfId="0" applyAlignment="1" applyBorder="1" applyFont="1">
      <alignment horizontal="center" vertical="center"/>
    </xf>
    <xf borderId="44" fillId="18" fontId="15" numFmtId="0" xfId="0" applyAlignment="1" applyBorder="1" applyFont="1">
      <alignment horizontal="left" readingOrder="0" vertical="center"/>
    </xf>
    <xf borderId="38" fillId="18" fontId="16" numFmtId="165" xfId="0" applyAlignment="1" applyBorder="1" applyFont="1" applyNumberFormat="1">
      <alignment horizontal="right" vertical="center"/>
    </xf>
    <xf borderId="0" fillId="18" fontId="17" numFmtId="0" xfId="0" applyAlignment="1" applyFont="1">
      <alignment horizontal="center" vertical="center"/>
    </xf>
    <xf borderId="44" fillId="19" fontId="15" numFmtId="0" xfId="0" applyAlignment="1" applyBorder="1" applyFill="1" applyFont="1">
      <alignment horizontal="left" readingOrder="0" vertical="center"/>
    </xf>
    <xf borderId="38" fillId="19" fontId="16" numFmtId="167" xfId="0" applyAlignment="1" applyBorder="1" applyFont="1" applyNumberFormat="1">
      <alignment horizontal="left" readingOrder="0" vertical="center"/>
    </xf>
    <xf borderId="39" fillId="19" fontId="16" numFmtId="0" xfId="0" applyAlignment="1" applyBorder="1" applyFont="1">
      <alignment horizontal="left" readingOrder="0" vertical="center"/>
    </xf>
    <xf borderId="45" fillId="19" fontId="16" numFmtId="165" xfId="0" applyAlignment="1" applyBorder="1" applyFont="1" applyNumberFormat="1">
      <alignment horizontal="right" vertical="center"/>
    </xf>
    <xf borderId="38" fillId="19" fontId="16" numFmtId="165" xfId="0" applyAlignment="1" applyBorder="1" applyFont="1" applyNumberFormat="1">
      <alignment horizontal="right" vertical="center"/>
    </xf>
    <xf borderId="46" fillId="19" fontId="15" numFmtId="165" xfId="0" applyAlignment="1" applyBorder="1" applyFont="1" applyNumberFormat="1">
      <alignment horizontal="right" vertical="center"/>
    </xf>
    <xf borderId="47" fillId="19" fontId="16" numFmtId="0" xfId="0" applyAlignment="1" applyBorder="1" applyFont="1">
      <alignment horizontal="center" vertical="center"/>
    </xf>
    <xf borderId="0" fillId="19" fontId="16" numFmtId="0" xfId="0" applyAlignment="1" applyFont="1">
      <alignment horizontal="center" vertical="center"/>
    </xf>
    <xf borderId="45" fillId="18" fontId="16" numFmtId="165" xfId="0" applyAlignment="1" applyBorder="1" applyFont="1" applyNumberFormat="1">
      <alignment horizontal="right" readingOrder="0" vertical="center"/>
    </xf>
    <xf borderId="38" fillId="18" fontId="16" numFmtId="0" xfId="0" applyAlignment="1" applyBorder="1" applyFont="1">
      <alignment horizontal="left" readingOrder="0" vertical="center"/>
    </xf>
    <xf borderId="44" fillId="19" fontId="15" numFmtId="0" xfId="0" applyAlignment="1" applyBorder="1" applyFont="1">
      <alignment horizontal="left" readingOrder="0" vertical="center"/>
    </xf>
    <xf borderId="45" fillId="19" fontId="16" numFmtId="165" xfId="0" applyAlignment="1" applyBorder="1" applyFont="1" applyNumberFormat="1">
      <alignment horizontal="right" readingOrder="0" vertical="center"/>
    </xf>
    <xf borderId="44" fillId="18" fontId="15" numFmtId="0" xfId="0" applyAlignment="1" applyBorder="1" applyFont="1">
      <alignment horizontal="left" readingOrder="0" vertical="center"/>
    </xf>
    <xf borderId="48" fillId="18" fontId="16" numFmtId="165" xfId="0" applyAlignment="1" applyBorder="1" applyFont="1" applyNumberFormat="1">
      <alignment horizontal="right" vertical="center"/>
    </xf>
    <xf borderId="49" fillId="18" fontId="16" numFmtId="165" xfId="0" applyAlignment="1" applyBorder="1" applyFont="1" applyNumberFormat="1">
      <alignment horizontal="right" vertical="center"/>
    </xf>
    <xf borderId="50" fillId="18" fontId="15" numFmtId="165" xfId="0" applyAlignment="1" applyBorder="1" applyFont="1" applyNumberFormat="1">
      <alignment horizontal="right" vertical="center"/>
    </xf>
    <xf borderId="51" fillId="18" fontId="16" numFmtId="0" xfId="0" applyAlignment="1" applyBorder="1" applyFont="1">
      <alignment horizontal="center" vertical="center"/>
    </xf>
    <xf borderId="44" fillId="0" fontId="15" numFmtId="0" xfId="0" applyAlignment="1" applyBorder="1" applyFont="1">
      <alignment horizontal="left" readingOrder="0" vertical="center"/>
    </xf>
    <xf borderId="38" fillId="0" fontId="16" numFmtId="167" xfId="0" applyAlignment="1" applyBorder="1" applyFont="1" applyNumberFormat="1">
      <alignment horizontal="left" readingOrder="0" vertical="center"/>
    </xf>
    <xf borderId="39" fillId="0" fontId="16" numFmtId="0" xfId="0" applyAlignment="1" applyBorder="1" applyFont="1">
      <alignment horizontal="left" readingOrder="0" vertical="center"/>
    </xf>
    <xf borderId="48" fillId="0" fontId="16" numFmtId="165" xfId="0" applyAlignment="1" applyBorder="1" applyFont="1" applyNumberFormat="1">
      <alignment horizontal="right" vertical="center"/>
    </xf>
    <xf borderId="49" fillId="0" fontId="16" numFmtId="165" xfId="0" applyAlignment="1" applyBorder="1" applyFont="1" applyNumberFormat="1">
      <alignment horizontal="right" vertical="center"/>
    </xf>
    <xf borderId="50" fillId="0" fontId="15" numFmtId="165" xfId="0" applyAlignment="1" applyBorder="1" applyFont="1" applyNumberFormat="1">
      <alignment horizontal="right" vertical="center"/>
    </xf>
    <xf borderId="51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44" fillId="0" fontId="16" numFmtId="0" xfId="0" applyAlignment="1" applyBorder="1" applyFont="1">
      <alignment horizontal="left" vertical="center"/>
    </xf>
    <xf borderId="38" fillId="0" fontId="16" numFmtId="167" xfId="0" applyAlignment="1" applyBorder="1" applyFont="1" applyNumberFormat="1">
      <alignment horizontal="left" vertical="center"/>
    </xf>
    <xf borderId="39" fillId="0" fontId="16" numFmtId="167" xfId="0" applyAlignment="1" applyBorder="1" applyFont="1" applyNumberFormat="1">
      <alignment horizontal="left" vertical="center"/>
    </xf>
    <xf borderId="38" fillId="0" fontId="15" numFmtId="0" xfId="0" applyAlignment="1" applyBorder="1" applyFont="1">
      <alignment horizontal="right" readingOrder="0" vertical="center"/>
    </xf>
    <xf borderId="45" fillId="0" fontId="2" numFmtId="0" xfId="0" applyBorder="1" applyFont="1"/>
    <xf borderId="27" fillId="3" fontId="15" numFmtId="0" xfId="0" applyAlignment="1" applyBorder="1" applyFont="1">
      <alignment horizontal="center" readingOrder="0" vertical="center"/>
    </xf>
    <xf borderId="52" fillId="3" fontId="15" numFmtId="165" xfId="0" applyAlignment="1" applyBorder="1" applyFont="1" applyNumberFormat="1">
      <alignment horizontal="right" vertical="center"/>
    </xf>
    <xf borderId="28" fillId="3" fontId="15" numFmtId="165" xfId="0" applyAlignment="1" applyBorder="1" applyFont="1" applyNumberFormat="1">
      <alignment horizontal="right" vertical="center"/>
    </xf>
    <xf borderId="27" fillId="5" fontId="15" numFmtId="165" xfId="0" applyAlignment="1" applyBorder="1" applyFont="1" applyNumberFormat="1">
      <alignment horizontal="right" vertical="center"/>
    </xf>
    <xf borderId="27" fillId="3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right" readingOrder="0" vertical="center"/>
    </xf>
    <xf borderId="53" fillId="0" fontId="15" numFmtId="0" xfId="0" applyAlignment="1" applyBorder="1" applyFont="1">
      <alignment horizontal="center" readingOrder="0" vertical="center"/>
    </xf>
    <xf borderId="53" fillId="18" fontId="18" numFmtId="0" xfId="0" applyAlignment="1" applyBorder="1" applyFont="1">
      <alignment horizontal="center" readingOrder="0" vertical="center"/>
    </xf>
    <xf borderId="53" fillId="19" fontId="18" numFmtId="0" xfId="0" applyAlignment="1" applyBorder="1" applyFont="1">
      <alignment horizontal="center" readingOrder="0" vertical="center"/>
    </xf>
    <xf borderId="0" fillId="0" fontId="15" numFmtId="165" xfId="0" applyAlignment="1" applyFont="1" applyNumberFormat="1">
      <alignment horizontal="right" vertical="center"/>
    </xf>
    <xf borderId="0" fillId="0" fontId="15" numFmtId="0" xfId="0" applyAlignment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>
  <Task id="{b431b369-4594-4e97-ad98-3a4b17e002e2}">
    <Anchor>
      <Comment id="{9d54b8d8-eb24-4637-a944-f8c25b6f093c}"/>
    </Anchor>
    <History>
      <Event time="2025-10-20T09:09:00.00" id="{9916138d-732a-45e3-afc7-16d205891135}">
        <Attribution userId="placeholder@email.com" userName="Sara Jannelli SG" userProvider="google-sheets"/>
        <Anchor>
          <Comment id="{9d54b8d8-eb24-4637-a944-f8c25b6f093c}"/>
        </Anchor>
        <Create/>
      </Event>
      <Event time="2025-10-20T09:09:00.00" id="{a485ab04-746d-43ae-bf0a-2b641d664516}">
        <Attribution userId="placeholder@email.com" userName="Sara Jannelli SG" userProvider="google-sheets"/>
        <Anchor>
          <Comment id="{9d54b8d8-eb24-4637-a944-f8c25b6f093c}"/>
        </Anchor>
        <Assign userId="santo@studio-gem.it" userName="santo@studio-gem.it" userProvider="google-sheets"/>
      </Event>
    </History>
  </Task>
  <Task id="{7cd3272d-fe50-473f-b4ea-5e3b5a99e62a}">
    <Anchor>
      <Comment id="{5b138cb5-76ed-47f1-8f98-f4ac945b6f96}"/>
    </Anchor>
    <History>
      <Event time="2025-10-20T13:59:34.00" id="{1a140674-416d-48f1-b7db-30ac5ae58173}">
        <Attribution userId="placeholder@email.com" userName="Sara Jannelli SG" userProvider="google-sheets"/>
        <Anchor>
          <Comment id="{5b138cb5-76ed-47f1-8f98-f4ac945b6f96}"/>
        </Anchor>
        <Create/>
      </Event>
      <Event time="2025-10-20T13:59:34.00" id="{5aa9ae0a-d065-4fb8-8f6c-44ce45dac929}">
        <Attribution userId="placeholder@email.com" userName="Sara Jannelli SG" userProvider="google-sheets"/>
        <Anchor>
          <Comment id="{5b138cb5-76ed-47f1-8f98-f4ac945b6f96}"/>
        </Anchor>
        <Assign userId="santo@studio-gem.it" userName="santo@studio-gem.it" userProvider="google-sheets"/>
      </Event>
    </History>
  </Task>
</Tasks>
</file>

<file path=xl/documenttasks/documenttask1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mm_Gem SG" id="{61052028-98a8-45b7-9f56-72c0aa810f59}" providerId="google-sheets"/>
  <x18tc:person displayName="Sara Jannelli SG" id="{4a5ba766-85a3-4fc9-83f1-40f598f336a9}" providerId="google-sheets"/>
  <x18tc:person displayName="santo@studio-gem.it" id="{3d5f2389-24c0-4a1d-882d-9b58299e0c0d}" userId="santo@studio-gem.it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16T07:33:14.00" personId="{4a5ba766-85a3-4fc9-83f1-40f598f336a9}" id="{5ab8ce44-9cef-41ac-9b6b-e788f2445cd3}" done="1">
    <x18tc:text xml:space="preserve">Da dividere con festa di Natale</x18tc:text>
  </x18tc:threadedComment>
  <x18tc:threadedComment ref="A1" dT="2025-07-16T07:33:46.00" personId="{4a5ba766-85a3-4fc9-83f1-40f598f336a9}" id="{9a3b5efa-6988-4ad4-8704-b7ff405e355e}" done="0">
    <x18tc:text xml:space="preserve">Ipotetico</x18tc:text>
  </x18tc:threadedComment>
  <x18tc:threadedComment ref="A1" dT="2025-07-16T07:33:43.00" personId="{4a5ba766-85a3-4fc9-83f1-40f598f336a9}" id="{2342bed8-f80d-4afa-bd6b-c36885d385cb}" done="0">
    <x18tc:text xml:space="preserve">Ipotetico</x18tc:text>
  </x18tc:threadedComment>
  <x18tc:threadedComment ref="A1" dT="2025-07-16T07:33:23.00" personId="{4a5ba766-85a3-4fc9-83f1-40f598f336a9}" id="{16585e46-f5e9-4308-8ff9-45158ab5aea7}" done="0">
    <x18tc:text xml:space="preserve">Già aperti</x18tc:text>
  </x18tc:threadedComment>
  <x18tc:threadedComment ref="A1" dT="2025-07-24T14:34:19.00" personId="{4a5ba766-85a3-4fc9-83f1-40f598f336a9}" id="{3c6f0d78-cc6d-4b9d-ac80-a64941ee3f0b}" done="1">
    <x18tc:text xml:space="preserve">https://docs.google.com/spreadsheets/d/1w_v-LytfJUSGD2382sduIgEApmqF1mMjksjNng1JfDs/edit?gid=19013453#gid=19013453</x18tc:text>
    <x18tc:extLst>
      <ext uri="{F7C98A9C-CBB3-438F-8F68-D28B6AF4A901}">
        <xltc2:checksum/>
        <xltc2:hyperlink startIndex="0" length="114" url="https://docs.google.com/spreadsheets/d/1w_v-LytfJUSGD2382sduIgEApmqF1mMjksjNng1JfDs/edit?gid=19013453#gid=19013453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4" dT="2025-06-04T12:11:41.00" personId="{4a5ba766-85a3-4fc9-83f1-40f598f336a9}" id="{70999aa6-03ef-4761-903f-f7bcfecb07f5}" done="1">
    <x18tc:text xml:space="preserve">Già aperti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6-01-15T15:20:28.00" personId="{4a5ba766-85a3-4fc9-83f1-40f598f336a9}" id="{5f12ab98-cab9-414d-9d1e-f979f7385942}" done="1">
    <x18tc:text xml:space="preserve">Allegare cella a File ISCRITTI quando sarà pronto</x18tc:text>
  </x18tc:threadedComment>
  <x18tc:threadedComment ref="E3" dT="2026-02-27T15:37:23.00" personId="{4a5ba766-85a3-4fc9-83f1-40f598f336a9}" id="{34eea645-88d7-4dd9-8f1b-fbd9daa0aadc}" done="1">
    <x18tc:text xml:space="preserve">METTERE IN NEGATIVO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6-02-27T15:33:00.00" personId="{4a5ba766-85a3-4fc9-83f1-40f598f336a9}" id="{5f914c21-4e34-4265-918d-3cdde3b06b10}" done="1">
    <x18tc:text xml:space="preserve">Deve essere NEGATIVO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" dT="2025-12-10T14:53:02.00" personId="{4a5ba766-85a3-4fc9-83f1-40f598f336a9}" id="{0b40f8a0-fa13-4886-adab-51f7c0dbb3cb}" done="1">
    <x18tc:text xml:space="preserve">Già presente per festa di Natale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" dT="2025-07-17T10:16:01.00" personId="{4a5ba766-85a3-4fc9-83f1-40f598f336a9}" id="{314d9564-c687-4d74-a4af-bd959e855b6c}" done="1">
    <x18tc:text xml:space="preserve">Già aperti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" dT="2025-07-14T09:27:56.00" personId="{4a5ba766-85a3-4fc9-83f1-40f598f336a9}" id="{83f96801-309e-4356-9037-3b1da7575386}" done="1">
    <x18tc:text xml:space="preserve">Già aperti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" dT="2025-06-04T12:13:07.00" personId="{4a5ba766-85a3-4fc9-83f1-40f598f336a9}" id="{ec29e7d0-fb27-4bef-9c6c-467907754dc9}" done="1">
    <x18tc:text xml:space="preserve">DA CONFERMARE se 2h o 1h30</x18tc:text>
  </x18tc:threadedComment>
  <x18tc:threadedComment ref="E13" dT="2025-06-04T12:13:22.00" personId="{4a5ba766-85a3-4fc9-83f1-40f598f336a9}" id="{686e6f5e-69b0-4226-865d-a29313bfc4c2}" done="1">
    <x18tc:text xml:space="preserve">Già aperti</x18tc:text>
  </x18tc:threadedComment>
  <x18tc:threadedComment ref="E14" dT="2025-07-24T14:47:43.00" personId="{4a5ba766-85a3-4fc9-83f1-40f598f336a9}" id="{15ccc4c6-7ccf-4097-b829-be8227a75d77}" done="1">
    <x18tc:text xml:space="preserve">Diviso con WS Leli</x18tc:text>
  </x18tc:threadedComment>
  <x18tc:threadedComment ref="F3" dT="2025-06-04T12:12:38.00" personId="{4a5ba766-85a3-4fc9-83f1-40f598f336a9}" id="{bf97cfdb-93ac-4a9b-b826-3ee275af1e8c}" done="1">
    <x18tc:text xml:space="preserve">DA DEFINIRE</x18tc:text>
  </x18tc:threadedComment>
  <x18tc:threadedComment ref="E23" dT="2025-10-14T09:58:53.00" personId="{4a5ba766-85a3-4fc9-83f1-40f598f336a9}" id="{ec69f812-2c11-4339-b510-6acbee588d7c}" done="1">
    <x18tc:text xml:space="preserve">A questo: aggiungere €250 di uscita per lezioni private</x18tc:text>
  </x18tc:threadedComment>
  <x18tc:threadedComment ref="E33" dT="2025-10-14T09:58:09.00" personId="{4a5ba766-85a3-4fc9-83f1-40f598f336a9}" id="{43a168a1-68d8-4204-bfb1-fd674c202db7}" done="1">
    <x18tc:text xml:space="preserve">A questo: aggiungere €360 di incasso lezioni private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" dT="2025-07-09T10:05:00.00" personId="{4a5ba766-85a3-4fc9-83f1-40f598f336a9}" id="{80355d36-20f7-4996-bc8f-d89c4ae7fa73}" done="1">
    <x18tc:text xml:space="preserve">Già aperti</x18tc:text>
  </x18tc:threadedComment>
  <x18tc:threadedComment ref="E14" dT="2025-07-24T14:48:00.00" personId="{4a5ba766-85a3-4fc9-83f1-40f598f336a9}" id="{9090661e-f984-41ec-9976-499e1e694644}" done="1">
    <x18tc:text xml:space="preserve">Diviso con WS Kumo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4" dT="2025-07-21T12:00:25.00" personId="{4a5ba766-85a3-4fc9-83f1-40f598f336a9}" id="{e90858c4-17a3-4145-9f7c-d88018be8ff4}" done="1">
    <x18tc:text xml:space="preserve">Spese divise con WS Timor</x18tc:text>
  </x18tc:threadedComment>
  <x18tc:threadedComment ref="E19" dT="2025-10-29T08:29:10.00" personId="{61052028-98a8-45b7-9f56-72c0aa810f59}" id="{80bf3b41-66b5-409a-85b6-6f3312292241}" done="1">
    <x18tc:text xml:space="preserve">183€</x18tc:text>
  </x18tc:threadedComment>
  <x18tc:threadedComment ref="E13" dT="2025-07-10T09:26:16.00" personId="{4a5ba766-85a3-4fc9-83f1-40f598f336a9}" id="{a242101e-9374-4d1b-b07c-e43275987d73}" done="1">
    <x18tc:text xml:space="preserve">Divise con Timor</x18tc:text>
  </x18tc:threadedComment>
  <x18tc:threadedComment ref="E38" dT="2025-10-28T15:56:22.00" personId="{4a5ba766-85a3-4fc9-83f1-40f598f336a9}" id="{8e74fbea-0f0f-4abf-93d4-7f897a8e21a9}" done="1">
    <x18tc:text xml:space="preserve">A questo importo aggiungere €360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9" dT="2025-07-14T09:18:21.00" personId="{4a5ba766-85a3-4fc9-83f1-40f598f336a9}" id="{28a758f2-7497-4bf5-b0db-a3effde10f2f}" done="1">
    <x18tc:text xml:space="preserve">Ipotetico</x18tc:text>
  </x18tc:threadedComment>
  <x18tc:threadedComment ref="E15" dT="2025-07-21T12:00:11.00" personId="{4a5ba766-85a3-4fc9-83f1-40f598f336a9}" id="{46d45f95-26a9-41db-8cf7-e8052866a233}" done="1">
    <x18tc:text xml:space="preserve">Spese divise con WS Lulu</x18tc:text>
  </x18tc:threadedComment>
  <x18tc:threadedComment ref="E18" dT="2025-07-14T09:18:18.00" personId="{4a5ba766-85a3-4fc9-83f1-40f598f336a9}" id="{06ff96b9-291d-47e7-a737-3a7c91ee80c0}" done="1">
    <x18tc:text xml:space="preserve">Ipotetico</x18tc:text>
  </x18tc:threadedComment>
  <x18tc:threadedComment ref="E14" dT="2025-07-14T09:17:49.00" personId="{4a5ba766-85a3-4fc9-83f1-40f598f336a9}" id="{f352b3a2-c1e7-42cb-a293-dc43f6760256}" done="1">
    <x18tc:text xml:space="preserve">Divise con Lulu</x18tc:text>
  </x18tc:threadedComment>
  <x18tc:threadedComment ref="E20" dT="2025-10-29T08:26:34.00" personId="{61052028-98a8-45b7-9f56-72c0aa810f59}" id="{0ffb340e-a867-48ae-9c48-e7c69667393d}" done="1">
    <x18tc:text xml:space="preserve">426,75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5-10-13T07:07:38.00" personId="{4a5ba766-85a3-4fc9-83f1-40f598f336a9}" id="{b45ea451-14b6-4895-90b4-e00494973acd}" done="1">
    <x18tc:text xml:space="preserve">Usa la tshirt che le abbiamo dato l'ultima volta</x18tc:text>
  </x18tc:threadedComment>
  <x18tc:threadedComment ref="E13" dT="2025-06-04T12:11:54.00" personId="{4a5ba766-85a3-4fc9-83f1-40f598f336a9}" id="{aa7725b3-87fb-410b-a6f8-4ef9fe370d24}" done="1">
    <x18tc:text xml:space="preserve">Già aperti</x18tc:text>
  </x18tc:threadedComment>
  <x18tc:threadedComment ref="E19" dT="2025-10-20T09:09:00.00" personId="{4a5ba766-85a3-4fc9-83f1-40f598f336a9}" id="{9d54b8d8-eb24-4637-a944-f8c25b6f093c}" done="1">
    <x18tc:text xml:space="preserve">@santo@studio-gem.it Inserire (cifra forfait)
Attività assegnata a santo@studio-gem.it</x18tc:text>
    <x18tc:mentions>
      <x18tc:mention mentionpersonId="{3d5f2389-24c0-4a1d-882d-9b58299e0c0d}" mentionId="{0a48c641-86e3-457b-a123-d21fc86d53de}" startIndex="0" length="20"/>
    </x18tc:mentions>
  </x18tc:threadedComment>
  <x18tc:threadedComment ref="E19" dT="2025-10-20T10:27:17.00" personId="{61052028-98a8-45b7-9f56-72c0aa810f59}" id="{9b4b47b2-c871-41cb-a893-c330d5c0485d}" parentId="{9d54b8d8-eb24-4637-a944-f8c25b6f093c}">
    <x18tc:text xml:space="preserve">131,38€</x18tc:text>
  </x18tc:threadedComment>
  <x18tc:threadedComment ref="E19" dT="2025-10-20T13:59:34.00" personId="{4a5ba766-85a3-4fc9-83f1-40f598f336a9}" id="{5b138cb5-76ed-47f1-8f98-f4ac945b6f96}" done="1">
    <x18tc:text xml:space="preserve">@santo@studio-gem.it Verificare che sia importo finale
Attività assegnata a santo@studio-gem.it</x18tc:text>
    <x18tc:mentions>
      <x18tc:mention mentionpersonId="{3d5f2389-24c0-4a1d-882d-9b58299e0c0d}" mentionId="{b6c5365f-e8df-4d07-8d53-d9007df5066e}" startIndex="0" length="20"/>
    </x18tc:mentions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5-05-29T11:15:37.00" personId="{4a5ba766-85a3-4fc9-83f1-40f598f336a9}" id="{d7afaa8c-1018-4629-b74a-577971b585a4}" done="1">
    <x18tc:text xml:space="preserve">AGGANCIARE LA CELLA. Come fare: "= (punto sulla cella che mi interessa, andando nel foglio che mi interessa)"</x18tc:text>
  </x18tc:threadedComment>
  <x18tc:threadedComment ref="I3" dT="2025-05-29T11:15:25.00" personId="{4a5ba766-85a3-4fc9-83f1-40f598f336a9}" id="{3f48bb3c-3b6a-4242-8a97-16e30215b5ee}" done="0">
    <x18tc:text xml:space="preserve">AGGANCIARE LA CELLA. Come fare: "= (punto sulla cella che mi interessa, andando nel foglio che mi interessa)"</x18tc:text>
  </x18tc:threadedComment>
  <x18tc:threadedComment ref="F3" dT="2025-05-29T11:14:08.00" personId="{4a5ba766-85a3-4fc9-83f1-40f598f336a9}" id="{d593b40c-33ad-4190-910c-c27befc759ef}" done="1">
    <x18tc:text xml:space="preserve">AGGANCIARE LA CELLA. Come fare: "= (punto sulla cella che mi interessa, andando nel foglio che mi interessa)"</x18tc:text>
  </x18tc:threadedComment>
  <x18tc:threadedComment ref="I4" dT="2025-05-29T11:15:29.00" personId="{4a5ba766-85a3-4fc9-83f1-40f598f336a9}" id="{8e1ce325-cc9b-44f4-9797-238143abd5ff}" done="0">
    <x18tc:text xml:space="preserve">AGGANCIARE LA CELLA. Come fare: "= (punto sulla cella che mi interessa, andando nel foglio che mi interessa)"</x18tc:text>
  </x18tc:threadedComment>
  <x18tc:threadedComment ref="E3" dT="2025-05-29T11:14:11.00" personId="{4a5ba766-85a3-4fc9-83f1-40f598f336a9}" id="{8e7b8a61-7731-4024-83e7-d97b99d4b199}" done="1">
    <x18tc:text xml:space="preserve">AGGANCIARE LA CELLA. Come fare: "= (punto sulla cella che mi interessa, andando nel foglio che mi interessa)"</x18tc:text>
  </x18tc:threadedComment>
  <x18tc:threadedComment ref="F4" dT="2025-05-29T11:13:58.00" personId="{4a5ba766-85a3-4fc9-83f1-40f598f336a9}" id="{7f5cba8a-2d6e-4bc2-ba75-ca74cf6402cb}" done="1">
    <x18tc:text xml:space="preserve">AGGANCIARE LA CELLA. Come fare: "= (punto sulla cella che mi interessa, andando nel foglio che mi interessa)"</x18tc:text>
  </x18tc:threadedComment>
  <x18tc:threadedComment ref="D3" dT="2025-05-29T11:15:33.00" personId="{4a5ba766-85a3-4fc9-83f1-40f598f336a9}" id="{5ae9de7d-9f2a-4783-b4f2-39089d950847}" done="1">
    <x18tc:text xml:space="preserve">AGGANCIARE LA CELLA. Come fare: "= (punto sulla cella che mi interessa, andando nel foglio che mi interessa)"</x18tc:text>
  </x18tc:threadedComment>
  <x18tc:threadedComment ref="E4" dT="2025-05-29T11:14:15.00" personId="{4a5ba766-85a3-4fc9-83f1-40f598f336a9}" id="{52ca7182-e299-4da6-afec-11c59b9b7f5a}" done="1">
    <x18tc:text xml:space="preserve">AGGANCIARE LA CELLA. Come fare: "= (punto sulla cella che mi interessa, andando nel foglio che mi interessa)"</x18tc:text>
  </x18tc:threadedComment>
  <x18tc:threadedComment ref="G3" dT="2025-05-29T11:14:20.00" personId="{4a5ba766-85a3-4fc9-83f1-40f598f336a9}" id="{fcbdf8e5-8ab1-41ab-8d1b-b0fe5472fdd7}" done="1">
    <x18tc:text xml:space="preserve">AGGANCIARE LA CELLA. Come fare: "= (punto sulla cella che mi interessa, andando nel foglio che mi interessa)"</x18tc:text>
  </x18tc:threadedComment>
  <x18tc:threadedComment ref="G4" dT="2025-05-29T11:15:13.00" personId="{4a5ba766-85a3-4fc9-83f1-40f598f336a9}" id="{103afbcc-e0dc-4a41-b5ce-5cb06ecbc768}" done="1">
    <x18tc:text xml:space="preserve">AGGANCIARE LA CELLA. Come fare: "= (punto sulla cella che mi interessa, andando nel foglio che mi interessa)"</x18tc:text>
  </x18tc:threadedComment>
  <x18tc:threadedComment ref="H3" dT="2025-05-29T11:15:17.00" personId="{4a5ba766-85a3-4fc9-83f1-40f598f336a9}" id="{9efc0ef9-4373-4c86-b07a-a0412b60662d}" done="0">
    <x18tc:text xml:space="preserve">AGGANCIARE LA CELLA. Come fare: "= (punto sulla cella che mi interessa, andando nel foglio che mi interessa)"</x18tc:text>
  </x18tc:threadedComment>
  <x18tc:threadedComment ref="H4" dT="2025-05-29T11:15:20.00" personId="{4a5ba766-85a3-4fc9-83f1-40f598f336a9}" id="{b302dcc3-27f6-4e9e-a220-b72a35fbc4b9}" done="0">
    <x18tc:text xml:space="preserve">AGGANCIARE LA CELLA. Come fare: "= (punto sulla cella che mi interessa, andando nel foglio che mi interessa)"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LI87gUOvEcmOJ1KX8-cicBSPYPpe_Sf9Q1VhivM4Xpg/edit?gid=1270308959" TargetMode="External"/><Relationship Id="rId5" Type="http://schemas.openxmlformats.org/officeDocument/2006/relationships/hyperlink" Target="https://docs.google.com/spreadsheets/d/1LI87gUOvEcmOJ1KX8-cicBSPYPpe_Sf9Q1VhivM4Xpg/edit?gid=1270308959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LI87gUOvEcmOJ1KX8-cicBSPYPpe_Sf9Q1VhivM4Xpg/edit?gid=1270308959" TargetMode="External"/><Relationship Id="rId5" Type="http://schemas.openxmlformats.org/officeDocument/2006/relationships/hyperlink" Target="https://docs.google.com/spreadsheets/d/1LI87gUOvEcmOJ1KX8-cicBSPYPpe_Sf9Q1VhivM4Xpg/edit?gid=1270308959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LI87gUOvEcmOJ1KX8-cicBSPYPpe_Sf9Q1VhivM4Xpg/edit?gid=1270308959" TargetMode="External"/><Relationship Id="rId3" Type="http://schemas.openxmlformats.org/officeDocument/2006/relationships/hyperlink" Target="https://docs.google.com/spreadsheets/d/1LI87gUOvEcmOJ1KX8-cicBSPYPpe_Sf9Q1VhivM4Xpg/edit?gid=1270308959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cs.google.com/spreadsheets/d/1LI87gUOvEcmOJ1KX8-cicBSPYPpe_Sf9Q1VhivM4Xpg/edit?gid=1270308959" TargetMode="External"/><Relationship Id="rId3" Type="http://schemas.openxmlformats.org/officeDocument/2006/relationships/hyperlink" Target="https://docs.google.com/spreadsheets/d/1LI87gUOvEcmOJ1KX8-cicBSPYPpe_Sf9Q1VhivM4Xpg/edit?gid=1270308959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docs.google.com/spreadsheets/d/1w_v-LytfJUSGD2382sduIgEApmqF1mMjksjNng1JfDs/edit?gid=877651539" TargetMode="External"/><Relationship Id="rId3" Type="http://schemas.openxmlformats.org/officeDocument/2006/relationships/hyperlink" Target="https://docs.google.com/spreadsheets/d/1LI87gUOvEcmOJ1KX8-cicBSPYPpe_Sf9Q1VhivM4Xpg/edit?gid=1270308959" TargetMode="External"/><Relationship Id="rId4" Type="http://schemas.openxmlformats.org/officeDocument/2006/relationships/hyperlink" Target="https://docs.google.com/spreadsheets/d/1LI87gUOvEcmOJ1KX8-cicBSPYPpe_Sf9Q1VhivM4Xpg/edit?gid=1270308959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spreadsheets/d/1w_v-LytfJUSGD2382sduIgEApmqF1mMjksjNng1JfDs/edit?gid=2099203427" TargetMode="External"/><Relationship Id="rId5" Type="http://schemas.openxmlformats.org/officeDocument/2006/relationships/hyperlink" Target="https://docs.google.com/spreadsheets/d/1LI87gUOvEcmOJ1KX8-cicBSPYPpe_Sf9Q1VhivM4Xpg/edit?gid=1270308959" TargetMode="External"/><Relationship Id="rId6" Type="http://schemas.openxmlformats.org/officeDocument/2006/relationships/hyperlink" Target="https://docs.google.com/spreadsheets/d/1LI87gUOvEcmOJ1KX8-cicBSPYPpe_Sf9Q1VhivM4Xpg/edit?gid=1270308959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docs.google.com/spreadsheets/d/1w_v-LytfJUSGD2382sduIgEApmqF1mMjksjNng1JfDs/edit?gid=600344138" TargetMode="External"/><Relationship Id="rId5" Type="http://schemas.openxmlformats.org/officeDocument/2006/relationships/hyperlink" Target="https://docs.google.com/spreadsheets/d/1LI87gUOvEcmOJ1KX8-cicBSPYPpe_Sf9Q1VhivM4Xpg/edit?gid=1270308959" TargetMode="External"/><Relationship Id="rId6" Type="http://schemas.openxmlformats.org/officeDocument/2006/relationships/hyperlink" Target="https://docs.google.com/spreadsheets/d/1LI87gUOvEcmOJ1KX8-cicBSPYPpe_Sf9Q1VhivM4Xpg/edit?gid=1270308959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https://docs.google.com/spreadsheets/d/1w_v-LytfJUSGD2382sduIgEApmqF1mMjksjNng1JfDs/edit?gid=1366849665" TargetMode="External"/><Relationship Id="rId3" Type="http://schemas.openxmlformats.org/officeDocument/2006/relationships/hyperlink" Target="https://docs.google.com/spreadsheets/d/1LI87gUOvEcmOJ1KX8-cicBSPYPpe_Sf9Q1VhivM4Xpg/edit?gid=1270308959" TargetMode="External"/><Relationship Id="rId4" Type="http://schemas.openxmlformats.org/officeDocument/2006/relationships/hyperlink" Target="https://docs.google.com/spreadsheets/d/1LI87gUOvEcmOJ1KX8-cicBSPYPpe_Sf9Q1VhivM4Xpg/edit?gid=1270308959" TargetMode="External"/><Relationship Id="rId5" Type="http://schemas.openxmlformats.org/officeDocument/2006/relationships/drawing" Target="../drawings/drawing8.xml"/><Relationship Id="rId6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s://docs.google.com/spreadsheets/d/1w_v-LytfJUSGD2382sduIgEApmqF1mMjksjNng1JfDs/edit?gid=931267824" TargetMode="External"/><Relationship Id="rId3" Type="http://schemas.openxmlformats.org/officeDocument/2006/relationships/hyperlink" Target="https://docs.google.com/spreadsheets/d/1LI87gUOvEcmOJ1KX8-cicBSPYPpe_Sf9Q1VhivM4Xpg/edit?gid=1270308959" TargetMode="External"/><Relationship Id="rId4" Type="http://schemas.openxmlformats.org/officeDocument/2006/relationships/hyperlink" Target="https://docs.google.com/spreadsheets/d/1LI87gUOvEcmOJ1KX8-cicBSPYPpe_Sf9Q1VhivM4Xpg/edit?gid=1270308959" TargetMode="External"/><Relationship Id="rId5" Type="http://schemas.openxmlformats.org/officeDocument/2006/relationships/drawing" Target="../drawings/drawing9.xml"/><Relationship Id="rId6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s://docs.google.com/spreadsheets/d/1LI87gUOvEcmOJ1KX8-cicBSPYPpe_Sf9Q1VhivM4Xpg/edit?gid=608116879" TargetMode="External"/><Relationship Id="rId3" Type="http://schemas.openxmlformats.org/officeDocument/2006/relationships/hyperlink" Target="https://docs.google.com/spreadsheets/d/1LI87gUOvEcmOJ1KX8-cicBSPYPpe_Sf9Q1VhivM4Xpg/edit?gid=608116879" TargetMode="Externa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docs.google.com/spreadsheets/d/1w_v-LytfJUSGD2382sduIgEApmqF1mMjksjNng1JfDs/edit?gid=19013453" TargetMode="External"/><Relationship Id="rId5" Type="http://schemas.openxmlformats.org/officeDocument/2006/relationships/hyperlink" Target="https://docs.google.com/spreadsheets/d/1LI87gUOvEcmOJ1KX8-cicBSPYPpe_Sf9Q1VhivM4Xpg/edit?gid=1270308959" TargetMode="External"/><Relationship Id="rId6" Type="http://schemas.openxmlformats.org/officeDocument/2006/relationships/hyperlink" Target="https://docs.google.com/spreadsheets/d/1LI87gUOvEcmOJ1KX8-cicBSPYPpe_Sf9Q1VhivM4Xpg/edit?gid=1270308959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docs.google.com/spreadsheets/d/1w_v-LytfJUSGD2382sduIgEApmqF1mMjksjNng1JfDs/edit?gid=950170506" TargetMode="External"/><Relationship Id="rId5" Type="http://schemas.openxmlformats.org/officeDocument/2006/relationships/hyperlink" Target="https://docs.google.com/spreadsheets/d/1LI87gUOvEcmOJ1KX8-cicBSPYPpe_Sf9Q1VhivM4Xpg/edit?gid=1270308959" TargetMode="External"/><Relationship Id="rId6" Type="http://schemas.openxmlformats.org/officeDocument/2006/relationships/hyperlink" Target="https://docs.google.com/spreadsheets/d/1LI87gUOvEcmOJ1KX8-cicBSPYPpe_Sf9Q1VhivM4Xpg/edit?gid=1270308959" TargetMode="External"/><Relationship Id="rId7" Type="http://schemas.openxmlformats.org/officeDocument/2006/relationships/drawing" Target="../drawings/drawing12.xml"/><Relationship Id="rId8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docs.google.com/spreadsheets/d/1w_v-LytfJUSGD2382sduIgEApmqF1mMjksjNng1JfDs/edit?gid=2093722118" TargetMode="External"/><Relationship Id="rId5" Type="http://schemas.openxmlformats.org/officeDocument/2006/relationships/hyperlink" Target="https://docs.google.com/spreadsheets/d/1LI87gUOvEcmOJ1KX8-cicBSPYPpe_Sf9Q1VhivM4Xpg/edit?gid=1270308959" TargetMode="External"/><Relationship Id="rId6" Type="http://schemas.openxmlformats.org/officeDocument/2006/relationships/hyperlink" Target="https://docs.google.com/spreadsheets/d/1LI87gUOvEcmOJ1KX8-cicBSPYPpe_Sf9Q1VhivM4Xpg/edit?gid=1270308959" TargetMode="External"/><Relationship Id="rId7" Type="http://schemas.openxmlformats.org/officeDocument/2006/relationships/drawing" Target="../drawings/drawing13.xml"/><Relationship Id="rId8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hyperlink" Target="https://docs.google.com/spreadsheets/d/1w_v-LytfJUSGD2382sduIgEApmqF1mMjksjNng1JfDs/edit?gid=1834005674" TargetMode="External"/><Relationship Id="rId5" Type="http://schemas.openxmlformats.org/officeDocument/2006/relationships/hyperlink" Target="https://docs.google.com/spreadsheets/d/1LI87gUOvEcmOJ1KX8-cicBSPYPpe_Sf9Q1VhivM4Xpg/edit?gid=608116879" TargetMode="External"/><Relationship Id="rId6" Type="http://schemas.openxmlformats.org/officeDocument/2006/relationships/hyperlink" Target="https://docs.google.com/spreadsheets/d/1LI87gUOvEcmOJ1KX8-cicBSPYPpe_Sf9Q1VhivM4Xpg/edit?gid=608116879" TargetMode="External"/><Relationship Id="rId7" Type="http://schemas.openxmlformats.org/officeDocument/2006/relationships/drawing" Target="../drawings/drawing14.xml"/><Relationship Id="rId8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hyperlink" Target="https://docs.google.com/spreadsheets/d/1w_v-LytfJUSGD2382sduIgEApmqF1mMjksjNng1JfDs/edit?gid=1453842258" TargetMode="External"/><Relationship Id="rId5" Type="http://schemas.openxmlformats.org/officeDocument/2006/relationships/hyperlink" Target="https://docs.google.com/spreadsheets/d/1LI87gUOvEcmOJ1KX8-cicBSPYPpe_Sf9Q1VhivM4Xpg/edit?gid=1270308959" TargetMode="External"/><Relationship Id="rId6" Type="http://schemas.openxmlformats.org/officeDocument/2006/relationships/hyperlink" Target="https://docs.google.com/spreadsheets/d/1LI87gUOvEcmOJ1KX8-cicBSPYPpe_Sf9Q1VhivM4Xpg/edit?gid=1270308959" TargetMode="External"/><Relationship Id="rId7" Type="http://schemas.openxmlformats.org/officeDocument/2006/relationships/drawing" Target="../drawings/drawing15.xml"/><Relationship Id="rId8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hyperlink" Target="https://docs.google.com/spreadsheets/d/1w_v-LytfJUSGD2382sduIgEApmqF1mMjksjNng1JfDs/edit?gid=134075723" TargetMode="External"/><Relationship Id="rId5" Type="http://schemas.openxmlformats.org/officeDocument/2006/relationships/hyperlink" Target="https://docs.google.com/spreadsheets/d/1LI87gUOvEcmOJ1KX8-cicBSPYPpe_Sf9Q1VhivM4Xpg/edit?gid=608116879" TargetMode="External"/><Relationship Id="rId6" Type="http://schemas.openxmlformats.org/officeDocument/2006/relationships/hyperlink" Target="https://docs.google.com/spreadsheets/d/1LI87gUOvEcmOJ1KX8-cicBSPYPpe_Sf9Q1VhivM4Xpg/edit?gid=608116879" TargetMode="External"/><Relationship Id="rId7" Type="http://schemas.openxmlformats.org/officeDocument/2006/relationships/drawing" Target="../drawings/drawing16.xml"/><Relationship Id="rId8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hyperlink" Target="https://docs.google.com/spreadsheets/d/1w_v-LytfJUSGD2382sduIgEApmqF1mMjksjNng1JfDs/edit?gid=1299208853" TargetMode="External"/><Relationship Id="rId5" Type="http://schemas.openxmlformats.org/officeDocument/2006/relationships/hyperlink" Target="https://docs.google.com/spreadsheets/d/1LI87gUOvEcmOJ1KX8-cicBSPYPpe_Sf9Q1VhivM4Xpg/edit?gid=608116879" TargetMode="External"/><Relationship Id="rId6" Type="http://schemas.openxmlformats.org/officeDocument/2006/relationships/hyperlink" Target="https://docs.google.com/spreadsheets/d/1LI87gUOvEcmOJ1KX8-cicBSPYPpe_Sf9Q1VhivM4Xpg/edit?gid=608116879" TargetMode="External"/><Relationship Id="rId7" Type="http://schemas.openxmlformats.org/officeDocument/2006/relationships/drawing" Target="../drawings/drawing17.xml"/><Relationship Id="rId8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hyperlink" Target="https://docs.google.com/spreadsheets/d/1w_v-LytfJUSGD2382sduIgEApmqF1mMjksjNng1JfDs/edit?gid=1675710362" TargetMode="External"/><Relationship Id="rId5" Type="http://schemas.openxmlformats.org/officeDocument/2006/relationships/hyperlink" Target="https://docs.google.com/spreadsheets/d/1LI87gUOvEcmOJ1KX8-cicBSPYPpe_Sf9Q1VhivM4Xpg/edit?gid=608116879" TargetMode="External"/><Relationship Id="rId6" Type="http://schemas.openxmlformats.org/officeDocument/2006/relationships/hyperlink" Target="https://docs.google.com/spreadsheets/d/1LI87gUOvEcmOJ1KX8-cicBSPYPpe_Sf9Q1VhivM4Xpg/edit?gid=608116879" TargetMode="External"/><Relationship Id="rId7" Type="http://schemas.openxmlformats.org/officeDocument/2006/relationships/drawing" Target="../drawings/drawing18.xml"/><Relationship Id="rId8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6.43"/>
    <col customWidth="1" min="5" max="6" width="17.86"/>
  </cols>
  <sheetData>
    <row r="1" ht="43.5" customHeight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</row>
    <row r="3">
      <c r="A3" s="8" t="s">
        <v>6</v>
      </c>
      <c r="B3" s="9" t="s">
        <v>7</v>
      </c>
      <c r="C3" s="9" t="s">
        <v>8</v>
      </c>
      <c r="D3" s="10">
        <v>1.0</v>
      </c>
      <c r="E3" s="11">
        <v>-550.0</v>
      </c>
      <c r="F3" s="12" t="s">
        <v>9</v>
      </c>
    </row>
    <row r="4">
      <c r="A4" s="13"/>
      <c r="B4" s="14" t="s">
        <v>10</v>
      </c>
      <c r="C4" s="14"/>
      <c r="D4" s="15" t="s">
        <v>11</v>
      </c>
      <c r="E4" s="16">
        <v>0.0</v>
      </c>
      <c r="F4" s="17" t="s">
        <v>12</v>
      </c>
    </row>
    <row r="5">
      <c r="A5" s="13"/>
      <c r="B5" s="14" t="s">
        <v>13</v>
      </c>
      <c r="C5" s="18"/>
      <c r="D5" s="15" t="s">
        <v>11</v>
      </c>
      <c r="E5" s="16">
        <v>0.0</v>
      </c>
      <c r="F5" s="17"/>
    </row>
    <row r="6">
      <c r="A6" s="13"/>
      <c r="B6" s="14" t="s">
        <v>14</v>
      </c>
      <c r="C6" s="18"/>
      <c r="D6" s="15" t="s">
        <v>11</v>
      </c>
      <c r="E6" s="16">
        <v>0.0</v>
      </c>
      <c r="F6" s="17"/>
    </row>
    <row r="7">
      <c r="A7" s="13"/>
      <c r="B7" s="14" t="s">
        <v>15</v>
      </c>
      <c r="C7" s="18"/>
      <c r="D7" s="15">
        <v>0.0</v>
      </c>
      <c r="E7" s="16">
        <v>0.0</v>
      </c>
      <c r="F7" s="17"/>
    </row>
    <row r="8">
      <c r="A8" s="13"/>
      <c r="B8" s="14" t="s">
        <v>16</v>
      </c>
      <c r="C8" s="18"/>
      <c r="D8" s="15">
        <v>0.0</v>
      </c>
      <c r="E8" s="16">
        <v>0.0</v>
      </c>
      <c r="F8" s="17"/>
    </row>
    <row r="9">
      <c r="A9" s="13"/>
      <c r="B9" s="14" t="s">
        <v>17</v>
      </c>
      <c r="C9" s="18"/>
      <c r="D9" s="15">
        <v>0.0</v>
      </c>
      <c r="E9" s="16">
        <v>0.0</v>
      </c>
      <c r="F9" s="17"/>
    </row>
    <row r="10">
      <c r="A10" s="13"/>
      <c r="B10" s="14" t="s">
        <v>18</v>
      </c>
      <c r="C10" s="14" t="s">
        <v>19</v>
      </c>
      <c r="D10" s="15">
        <v>1.0</v>
      </c>
      <c r="E10" s="16">
        <v>-18.0</v>
      </c>
      <c r="F10" s="17" t="s">
        <v>20</v>
      </c>
    </row>
    <row r="11">
      <c r="A11" s="19"/>
      <c r="B11" s="20" t="s">
        <v>21</v>
      </c>
      <c r="C11" s="21"/>
      <c r="D11" s="22"/>
      <c r="E11" s="23">
        <f>SUM(E3:E10)</f>
        <v>-568</v>
      </c>
      <c r="F11" s="24"/>
    </row>
    <row r="12">
      <c r="A12" s="25"/>
      <c r="B12" s="25"/>
      <c r="C12" s="25"/>
      <c r="D12" s="26"/>
      <c r="E12" s="27"/>
      <c r="F12" s="27"/>
    </row>
    <row r="13">
      <c r="A13" s="8" t="s">
        <v>22</v>
      </c>
      <c r="B13" s="28" t="s">
        <v>23</v>
      </c>
      <c r="C13" s="9" t="s">
        <v>24</v>
      </c>
      <c r="D13" s="10" t="s">
        <v>11</v>
      </c>
      <c r="E13" s="11">
        <v>0.0</v>
      </c>
      <c r="F13" s="11"/>
    </row>
    <row r="14">
      <c r="A14" s="13"/>
      <c r="B14" s="14" t="s">
        <v>25</v>
      </c>
      <c r="C14" s="29">
        <v>3.0</v>
      </c>
      <c r="D14" s="15" t="s">
        <v>11</v>
      </c>
      <c r="E14" s="16">
        <v>-100.0</v>
      </c>
      <c r="F14" s="16" t="s">
        <v>9</v>
      </c>
    </row>
    <row r="15">
      <c r="A15" s="13"/>
      <c r="B15" s="14" t="s">
        <v>26</v>
      </c>
      <c r="C15" s="18"/>
      <c r="D15" s="15" t="s">
        <v>11</v>
      </c>
      <c r="E15" s="16">
        <v>-200.0</v>
      </c>
      <c r="F15" s="16" t="s">
        <v>27</v>
      </c>
    </row>
    <row r="16">
      <c r="A16" s="13"/>
      <c r="B16" s="14" t="s">
        <v>28</v>
      </c>
      <c r="C16" s="25"/>
      <c r="D16" s="30"/>
      <c r="E16" s="16">
        <v>-10.0</v>
      </c>
      <c r="F16" s="16" t="s">
        <v>9</v>
      </c>
    </row>
    <row r="17">
      <c r="A17" s="13"/>
      <c r="B17" s="14" t="s">
        <v>29</v>
      </c>
      <c r="C17" s="25"/>
      <c r="D17" s="15" t="s">
        <v>11</v>
      </c>
      <c r="E17" s="16">
        <v>0.0</v>
      </c>
      <c r="F17" s="16"/>
    </row>
    <row r="18">
      <c r="A18" s="13"/>
      <c r="B18" s="31" t="s">
        <v>30</v>
      </c>
      <c r="C18" s="14"/>
      <c r="D18" s="15" t="s">
        <v>11</v>
      </c>
      <c r="E18" s="32">
        <v>-20.0</v>
      </c>
      <c r="F18" s="16" t="s">
        <v>31</v>
      </c>
    </row>
    <row r="19">
      <c r="A19" s="13"/>
      <c r="B19" s="31" t="s">
        <v>32</v>
      </c>
      <c r="C19" s="14"/>
      <c r="D19" s="15" t="s">
        <v>11</v>
      </c>
      <c r="E19" s="32">
        <v>-20.0</v>
      </c>
      <c r="F19" s="16" t="s">
        <v>31</v>
      </c>
    </row>
    <row r="20">
      <c r="A20" s="13"/>
      <c r="B20" s="14" t="s">
        <v>33</v>
      </c>
      <c r="C20" s="25"/>
      <c r="D20" s="15" t="s">
        <v>11</v>
      </c>
      <c r="E20" s="16">
        <v>0.0</v>
      </c>
      <c r="F20" s="16"/>
    </row>
    <row r="21">
      <c r="A21" s="13"/>
      <c r="B21" s="14" t="s">
        <v>34</v>
      </c>
      <c r="C21" s="18"/>
      <c r="D21" s="15" t="s">
        <v>11</v>
      </c>
      <c r="E21" s="16">
        <v>-200.0</v>
      </c>
      <c r="F21" s="16" t="s">
        <v>12</v>
      </c>
    </row>
    <row r="22">
      <c r="A22" s="13"/>
      <c r="B22" s="14" t="s">
        <v>35</v>
      </c>
      <c r="C22" s="25"/>
      <c r="D22" s="15" t="s">
        <v>11</v>
      </c>
      <c r="E22" s="16">
        <v>0.0</v>
      </c>
      <c r="F22" s="16"/>
    </row>
    <row r="23">
      <c r="A23" s="13"/>
      <c r="B23" s="33" t="s">
        <v>36</v>
      </c>
      <c r="C23" s="14" t="s">
        <v>37</v>
      </c>
      <c r="D23" s="15">
        <v>60.0</v>
      </c>
      <c r="E23" s="32">
        <f>D23*36*-1.5%</f>
        <v>-32.4</v>
      </c>
      <c r="F23" s="34" t="s">
        <v>38</v>
      </c>
    </row>
    <row r="24">
      <c r="A24" s="19"/>
      <c r="B24" s="20" t="s">
        <v>39</v>
      </c>
      <c r="C24" s="21"/>
      <c r="D24" s="22"/>
      <c r="E24" s="23">
        <f>SUM(E13:E23)</f>
        <v>-582.4</v>
      </c>
      <c r="F24" s="35"/>
    </row>
    <row r="25">
      <c r="A25" s="36"/>
      <c r="B25" s="25"/>
      <c r="C25" s="25"/>
      <c r="D25" s="26"/>
      <c r="E25" s="27"/>
      <c r="F25" s="27"/>
    </row>
    <row r="26" ht="15.75" customHeight="1">
      <c r="A26" s="36"/>
      <c r="B26" s="37" t="s">
        <v>40</v>
      </c>
      <c r="C26" s="21"/>
      <c r="D26" s="22"/>
      <c r="E26" s="38">
        <f>E11+E24</f>
        <v>-1150.4</v>
      </c>
      <c r="F26" s="39"/>
    </row>
    <row r="27" ht="15.75" customHeight="1">
      <c r="A27" s="25"/>
      <c r="B27" s="25"/>
      <c r="C27" s="25"/>
      <c r="D27" s="40"/>
      <c r="E27" s="41"/>
      <c r="F27" s="41"/>
    </row>
    <row r="28" ht="15.75" customHeight="1">
      <c r="A28" s="42" t="s">
        <v>41</v>
      </c>
      <c r="B28" s="43" t="s">
        <v>42</v>
      </c>
      <c r="C28" s="44">
        <v>30.0</v>
      </c>
      <c r="D28" s="45">
        <v>60.0</v>
      </c>
      <c r="E28" s="46">
        <f t="shared" ref="E28:E30" si="1">C28*D28</f>
        <v>1800</v>
      </c>
      <c r="F28" s="47">
        <f>E26+E28</f>
        <v>649.6</v>
      </c>
    </row>
    <row r="29" ht="15.75" customHeight="1">
      <c r="A29" s="13"/>
      <c r="B29" s="48" t="s">
        <v>43</v>
      </c>
      <c r="C29" s="49">
        <v>42.0</v>
      </c>
      <c r="D29" s="50">
        <v>60.0</v>
      </c>
      <c r="E29" s="51">
        <f t="shared" si="1"/>
        <v>2520</v>
      </c>
      <c r="F29" s="52">
        <f>E26+E29</f>
        <v>1369.6</v>
      </c>
    </row>
    <row r="30" ht="15.75" customHeight="1">
      <c r="A30" s="19"/>
      <c r="B30" s="53" t="s">
        <v>44</v>
      </c>
      <c r="C30" s="54">
        <v>36.0</v>
      </c>
      <c r="D30" s="55">
        <v>60.0</v>
      </c>
      <c r="E30" s="56">
        <f t="shared" si="1"/>
        <v>2160</v>
      </c>
      <c r="F30" s="52">
        <f>E26+E30</f>
        <v>1009.6</v>
      </c>
    </row>
    <row r="31" ht="15.75" customHeight="1">
      <c r="A31" s="57"/>
      <c r="B31" s="14"/>
      <c r="C31" s="58"/>
      <c r="D31" s="59"/>
      <c r="E31" s="27"/>
      <c r="F31" s="60"/>
    </row>
    <row r="32" ht="15.75" customHeight="1">
      <c r="A32" s="61" t="s">
        <v>45</v>
      </c>
      <c r="B32" s="62"/>
      <c r="C32" s="63"/>
      <c r="D32" s="64"/>
      <c r="E32" s="65"/>
      <c r="F32" s="27"/>
    </row>
    <row r="33" ht="15.75" customHeight="1">
      <c r="A33" s="13"/>
      <c r="B33" s="14"/>
      <c r="C33" s="63"/>
      <c r="D33" s="59"/>
      <c r="E33" s="66"/>
      <c r="F33" s="27"/>
    </row>
    <row r="34" ht="15.75" customHeight="1">
      <c r="A34" s="13"/>
      <c r="B34" s="14"/>
      <c r="C34" s="63"/>
      <c r="D34" s="59"/>
      <c r="E34" s="66"/>
      <c r="F34" s="27"/>
    </row>
    <row r="35" ht="15.75" customHeight="1">
      <c r="A35" s="13"/>
      <c r="B35" s="14"/>
      <c r="C35" s="63"/>
      <c r="D35" s="59"/>
      <c r="E35" s="66"/>
      <c r="F35" s="27"/>
    </row>
    <row r="36" ht="15.75" customHeight="1">
      <c r="A36" s="13"/>
      <c r="B36" s="14"/>
      <c r="C36" s="63"/>
      <c r="D36" s="59"/>
      <c r="E36" s="66"/>
      <c r="F36" s="27"/>
    </row>
    <row r="37" ht="15.75" customHeight="1">
      <c r="A37" s="13"/>
      <c r="B37" s="14"/>
      <c r="C37" s="63"/>
      <c r="D37" s="59"/>
      <c r="E37" s="66"/>
      <c r="F37" s="27"/>
    </row>
    <row r="38" ht="15.75" customHeight="1">
      <c r="A38" s="13"/>
      <c r="B38" s="14"/>
      <c r="C38" s="63"/>
      <c r="D38" s="59"/>
      <c r="E38" s="66"/>
      <c r="F38" s="27"/>
    </row>
    <row r="39" ht="15.75" customHeight="1">
      <c r="A39" s="13"/>
      <c r="B39" s="14"/>
      <c r="C39" s="67"/>
      <c r="D39" s="59"/>
      <c r="E39" s="66"/>
      <c r="F39" s="27"/>
    </row>
    <row r="40" ht="15.75" customHeight="1">
      <c r="A40" s="19"/>
      <c r="B40" s="68"/>
      <c r="C40" s="68"/>
      <c r="D40" s="69"/>
      <c r="E40" s="70"/>
      <c r="F40" s="27"/>
    </row>
    <row r="41" ht="15.75" customHeight="1">
      <c r="A41" s="25"/>
      <c r="B41" s="25"/>
      <c r="C41" s="25"/>
      <c r="D41" s="26"/>
      <c r="E41" s="71"/>
      <c r="F41" s="27"/>
    </row>
    <row r="42" ht="15.75" customHeight="1">
      <c r="A42" s="25"/>
      <c r="B42" s="25"/>
      <c r="C42" s="25"/>
      <c r="D42" s="26"/>
      <c r="E42" s="27"/>
    </row>
    <row r="43" ht="15.75" customHeight="1">
      <c r="A43" s="25"/>
      <c r="B43" s="72" t="s">
        <v>46</v>
      </c>
      <c r="C43" s="21"/>
      <c r="D43" s="22"/>
      <c r="E43" s="23">
        <f>E40+E26</f>
        <v>-1150.4</v>
      </c>
    </row>
    <row r="44" ht="15.75" customHeight="1">
      <c r="A44" s="25"/>
      <c r="B44" s="73"/>
      <c r="C44" s="74"/>
      <c r="D44" s="75"/>
      <c r="E44" s="39"/>
    </row>
  </sheetData>
  <mergeCells count="9">
    <mergeCell ref="A32:A40"/>
    <mergeCell ref="B43:D43"/>
    <mergeCell ref="A1:F1"/>
    <mergeCell ref="A3:A11"/>
    <mergeCell ref="B11:D11"/>
    <mergeCell ref="A13:A24"/>
    <mergeCell ref="B24:D24"/>
    <mergeCell ref="B26:D26"/>
    <mergeCell ref="A28:A30"/>
  </mergeCells>
  <conditionalFormatting sqref="A2:F44">
    <cfRule type="cellIs" dxfId="0" priority="1" operator="lessThan">
      <formula>0</formula>
    </cfRule>
  </conditionalFormatting>
  <dataValidations>
    <dataValidation type="list" allowBlank="1" showErrorMessage="1" sqref="F3:F10 F13:F23">
      <formula1>elenchi!$A$1:$A$100</formula1>
    </dataValidation>
  </dataValidations>
  <hyperlinks>
    <hyperlink r:id="rId4" location="gid=1270308959" ref="B18"/>
    <hyperlink r:id="rId5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6.43"/>
    <col customWidth="1" min="5" max="6" width="17.86"/>
  </cols>
  <sheetData>
    <row r="1" ht="43.5" customHeight="1">
      <c r="A1" s="1" t="s">
        <v>47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</row>
    <row r="3">
      <c r="A3" s="8" t="s">
        <v>48</v>
      </c>
      <c r="B3" s="9" t="s">
        <v>7</v>
      </c>
      <c r="C3" s="9" t="s">
        <v>8</v>
      </c>
      <c r="D3" s="10">
        <v>1.0</v>
      </c>
      <c r="E3" s="11">
        <v>-1000.0</v>
      </c>
      <c r="F3" s="12"/>
    </row>
    <row r="4">
      <c r="A4" s="13"/>
      <c r="B4" s="14" t="s">
        <v>10</v>
      </c>
      <c r="C4" s="14"/>
      <c r="D4" s="15" t="s">
        <v>11</v>
      </c>
      <c r="E4" s="16">
        <v>0.0</v>
      </c>
      <c r="F4" s="17"/>
    </row>
    <row r="5">
      <c r="A5" s="13"/>
      <c r="B5" s="14" t="s">
        <v>13</v>
      </c>
      <c r="C5" s="18"/>
      <c r="D5" s="15" t="s">
        <v>11</v>
      </c>
      <c r="E5" s="16">
        <v>0.0</v>
      </c>
      <c r="F5" s="17"/>
    </row>
    <row r="6">
      <c r="A6" s="13"/>
      <c r="B6" s="14" t="s">
        <v>14</v>
      </c>
      <c r="C6" s="18"/>
      <c r="D6" s="15" t="s">
        <v>11</v>
      </c>
      <c r="E6" s="16">
        <v>0.0</v>
      </c>
      <c r="F6" s="17"/>
    </row>
    <row r="7">
      <c r="A7" s="13"/>
      <c r="B7" s="14" t="s">
        <v>15</v>
      </c>
      <c r="C7" s="18"/>
      <c r="D7" s="15">
        <v>0.0</v>
      </c>
      <c r="E7" s="16">
        <v>0.0</v>
      </c>
      <c r="F7" s="17"/>
    </row>
    <row r="8">
      <c r="A8" s="13"/>
      <c r="B8" s="14" t="s">
        <v>16</v>
      </c>
      <c r="C8" s="18"/>
      <c r="D8" s="15">
        <v>0.0</v>
      </c>
      <c r="E8" s="16">
        <v>0.0</v>
      </c>
      <c r="F8" s="17"/>
    </row>
    <row r="9">
      <c r="A9" s="13"/>
      <c r="B9" s="14" t="s">
        <v>17</v>
      </c>
      <c r="C9" s="18"/>
      <c r="D9" s="15">
        <v>0.0</v>
      </c>
      <c r="E9" s="16">
        <v>0.0</v>
      </c>
      <c r="F9" s="17"/>
    </row>
    <row r="10">
      <c r="A10" s="13"/>
      <c r="B10" s="14" t="s">
        <v>18</v>
      </c>
      <c r="C10" s="14" t="s">
        <v>49</v>
      </c>
      <c r="D10" s="15">
        <v>1.0</v>
      </c>
      <c r="E10" s="16">
        <v>-18.0</v>
      </c>
      <c r="F10" s="17" t="s">
        <v>20</v>
      </c>
    </row>
    <row r="11">
      <c r="A11" s="19"/>
      <c r="B11" s="20" t="s">
        <v>21</v>
      </c>
      <c r="C11" s="21"/>
      <c r="D11" s="22"/>
      <c r="E11" s="23">
        <f>SUM(E3:E10)</f>
        <v>-1018</v>
      </c>
      <c r="F11" s="24"/>
    </row>
    <row r="12">
      <c r="A12" s="25"/>
      <c r="B12" s="25"/>
      <c r="C12" s="25"/>
      <c r="D12" s="26"/>
      <c r="E12" s="27"/>
      <c r="F12" s="27"/>
    </row>
    <row r="13">
      <c r="A13" s="8" t="s">
        <v>50</v>
      </c>
      <c r="B13" s="28" t="s">
        <v>23</v>
      </c>
      <c r="C13" s="9" t="s">
        <v>24</v>
      </c>
      <c r="D13" s="10" t="s">
        <v>11</v>
      </c>
      <c r="E13" s="11">
        <v>0.0</v>
      </c>
      <c r="F13" s="11"/>
    </row>
    <row r="14">
      <c r="A14" s="13"/>
      <c r="B14" s="14" t="s">
        <v>25</v>
      </c>
      <c r="C14" s="14" t="s">
        <v>51</v>
      </c>
      <c r="D14" s="15" t="s">
        <v>11</v>
      </c>
      <c r="E14" s="16">
        <v>-100.0</v>
      </c>
      <c r="F14" s="16" t="s">
        <v>9</v>
      </c>
    </row>
    <row r="15">
      <c r="A15" s="13"/>
      <c r="B15" s="14" t="s">
        <v>26</v>
      </c>
      <c r="C15" s="18"/>
      <c r="D15" s="15" t="s">
        <v>11</v>
      </c>
      <c r="E15" s="16">
        <v>-200.0</v>
      </c>
      <c r="F15" s="16" t="s">
        <v>27</v>
      </c>
    </row>
    <row r="16">
      <c r="A16" s="13"/>
      <c r="B16" s="14" t="s">
        <v>28</v>
      </c>
      <c r="C16" s="25"/>
      <c r="D16" s="30"/>
      <c r="E16" s="16">
        <v>-10.0</v>
      </c>
      <c r="F16" s="16" t="s">
        <v>9</v>
      </c>
    </row>
    <row r="17">
      <c r="A17" s="13"/>
      <c r="B17" s="14" t="s">
        <v>52</v>
      </c>
      <c r="C17" s="25"/>
      <c r="D17" s="15" t="s">
        <v>11</v>
      </c>
      <c r="E17" s="16">
        <v>-30.0</v>
      </c>
      <c r="F17" s="16" t="s">
        <v>9</v>
      </c>
    </row>
    <row r="18">
      <c r="A18" s="13"/>
      <c r="B18" s="31" t="s">
        <v>30</v>
      </c>
      <c r="C18" s="14"/>
      <c r="D18" s="15" t="s">
        <v>11</v>
      </c>
      <c r="E18" s="32">
        <v>-20.0</v>
      </c>
      <c r="F18" s="16" t="s">
        <v>31</v>
      </c>
    </row>
    <row r="19">
      <c r="A19" s="13"/>
      <c r="B19" s="31" t="s">
        <v>32</v>
      </c>
      <c r="C19" s="14"/>
      <c r="D19" s="15" t="s">
        <v>11</v>
      </c>
      <c r="E19" s="32">
        <v>-20.0</v>
      </c>
      <c r="F19" s="16" t="s">
        <v>31</v>
      </c>
    </row>
    <row r="20">
      <c r="A20" s="13"/>
      <c r="B20" s="14" t="s">
        <v>33</v>
      </c>
      <c r="C20" s="25"/>
      <c r="D20" s="15" t="s">
        <v>11</v>
      </c>
      <c r="E20" s="16">
        <v>0.0</v>
      </c>
      <c r="F20" s="16"/>
    </row>
    <row r="21">
      <c r="A21" s="13"/>
      <c r="B21" s="14" t="s">
        <v>34</v>
      </c>
      <c r="C21" s="18"/>
      <c r="D21" s="15" t="s">
        <v>11</v>
      </c>
      <c r="E21" s="16">
        <v>-200.0</v>
      </c>
      <c r="F21" s="16" t="s">
        <v>12</v>
      </c>
    </row>
    <row r="22">
      <c r="A22" s="13"/>
      <c r="B22" s="14" t="s">
        <v>35</v>
      </c>
      <c r="C22" s="25"/>
      <c r="D22" s="15" t="s">
        <v>11</v>
      </c>
      <c r="E22" s="16">
        <v>0.0</v>
      </c>
      <c r="F22" s="16"/>
    </row>
    <row r="23">
      <c r="A23" s="13"/>
      <c r="B23" s="33" t="s">
        <v>36</v>
      </c>
      <c r="C23" s="14" t="s">
        <v>37</v>
      </c>
      <c r="D23" s="15">
        <v>60.0</v>
      </c>
      <c r="E23" s="16">
        <f>D23*35*-1.5%</f>
        <v>-31.5</v>
      </c>
      <c r="F23" s="34" t="s">
        <v>38</v>
      </c>
    </row>
    <row r="24">
      <c r="A24" s="19"/>
      <c r="B24" s="20" t="s">
        <v>39</v>
      </c>
      <c r="C24" s="21"/>
      <c r="D24" s="22"/>
      <c r="E24" s="23">
        <f>SUM(E13:E23)</f>
        <v>-611.5</v>
      </c>
      <c r="F24" s="35"/>
    </row>
    <row r="25">
      <c r="A25" s="36"/>
      <c r="B25" s="25"/>
      <c r="C25" s="25"/>
      <c r="D25" s="26"/>
      <c r="E25" s="27"/>
      <c r="F25" s="27"/>
    </row>
    <row r="26" ht="15.75" customHeight="1">
      <c r="A26" s="36"/>
      <c r="B26" s="37" t="s">
        <v>40</v>
      </c>
      <c r="C26" s="21"/>
      <c r="D26" s="22"/>
      <c r="E26" s="38">
        <f>E11+E24</f>
        <v>-1629.5</v>
      </c>
      <c r="F26" s="39"/>
    </row>
    <row r="27" ht="15.75" customHeight="1">
      <c r="A27" s="25"/>
      <c r="B27" s="25"/>
      <c r="C27" s="25"/>
      <c r="D27" s="40"/>
      <c r="E27" s="41"/>
      <c r="F27" s="41"/>
    </row>
    <row r="28" ht="15.75" customHeight="1">
      <c r="A28" s="42" t="s">
        <v>53</v>
      </c>
      <c r="B28" s="43" t="s">
        <v>54</v>
      </c>
      <c r="C28" s="44">
        <v>35.0</v>
      </c>
      <c r="D28" s="45">
        <v>60.0</v>
      </c>
      <c r="E28" s="46">
        <f t="shared" ref="E28:E30" si="1">C28*D28</f>
        <v>2100</v>
      </c>
      <c r="F28" s="47">
        <f>E26+E28</f>
        <v>470.5</v>
      </c>
    </row>
    <row r="29" ht="15.75" customHeight="1">
      <c r="A29" s="13"/>
      <c r="B29" s="48" t="s">
        <v>55</v>
      </c>
      <c r="C29" s="49">
        <v>37.0</v>
      </c>
      <c r="D29" s="50">
        <v>60.0</v>
      </c>
      <c r="E29" s="51">
        <f t="shared" si="1"/>
        <v>2220</v>
      </c>
      <c r="F29" s="52">
        <f>E26+E29</f>
        <v>590.5</v>
      </c>
    </row>
    <row r="30" ht="15.75" customHeight="1">
      <c r="A30" s="19"/>
      <c r="B30" s="53" t="s">
        <v>56</v>
      </c>
      <c r="C30" s="54">
        <v>36.0</v>
      </c>
      <c r="D30" s="55">
        <v>60.0</v>
      </c>
      <c r="E30" s="56">
        <f t="shared" si="1"/>
        <v>2160</v>
      </c>
      <c r="F30" s="52">
        <f>E26+E30</f>
        <v>530.5</v>
      </c>
    </row>
    <row r="31" ht="15.75" customHeight="1">
      <c r="A31" s="57"/>
      <c r="B31" s="14"/>
      <c r="C31" s="58"/>
      <c r="D31" s="59"/>
      <c r="E31" s="27"/>
      <c r="F31" s="60"/>
    </row>
    <row r="32" ht="15.75" customHeight="1">
      <c r="A32" s="61" t="s">
        <v>45</v>
      </c>
      <c r="B32" s="62"/>
      <c r="C32" s="63"/>
      <c r="D32" s="64"/>
      <c r="E32" s="65"/>
      <c r="F32" s="27"/>
    </row>
    <row r="33" ht="15.75" customHeight="1">
      <c r="A33" s="13"/>
      <c r="B33" s="14"/>
      <c r="C33" s="63"/>
      <c r="D33" s="59"/>
      <c r="E33" s="66"/>
      <c r="F33" s="27"/>
    </row>
    <row r="34" ht="15.75" customHeight="1">
      <c r="A34" s="13"/>
      <c r="B34" s="14"/>
      <c r="C34" s="63"/>
      <c r="D34" s="59"/>
      <c r="E34" s="66"/>
      <c r="F34" s="27"/>
    </row>
    <row r="35" ht="15.75" customHeight="1">
      <c r="A35" s="13"/>
      <c r="B35" s="14"/>
      <c r="C35" s="63"/>
      <c r="D35" s="59"/>
      <c r="E35" s="66"/>
      <c r="F35" s="27"/>
    </row>
    <row r="36" ht="15.75" customHeight="1">
      <c r="A36" s="13"/>
      <c r="B36" s="14"/>
      <c r="C36" s="63"/>
      <c r="D36" s="59"/>
      <c r="E36" s="66"/>
      <c r="F36" s="27"/>
    </row>
    <row r="37" ht="15.75" customHeight="1">
      <c r="A37" s="13"/>
      <c r="B37" s="14"/>
      <c r="C37" s="63"/>
      <c r="D37" s="59"/>
      <c r="E37" s="66"/>
      <c r="F37" s="27"/>
    </row>
    <row r="38" ht="15.75" customHeight="1">
      <c r="A38" s="13"/>
      <c r="B38" s="14"/>
      <c r="C38" s="63"/>
      <c r="D38" s="59"/>
      <c r="E38" s="66"/>
      <c r="F38" s="27"/>
    </row>
    <row r="39" ht="15.75" customHeight="1">
      <c r="A39" s="13"/>
      <c r="B39" s="14"/>
      <c r="C39" s="67"/>
      <c r="D39" s="59"/>
      <c r="E39" s="66"/>
      <c r="F39" s="27"/>
    </row>
    <row r="40" ht="15.75" customHeight="1">
      <c r="A40" s="19"/>
      <c r="B40" s="68"/>
      <c r="C40" s="68"/>
      <c r="D40" s="69"/>
      <c r="E40" s="70"/>
      <c r="F40" s="27"/>
    </row>
    <row r="41" ht="15.75" customHeight="1">
      <c r="A41" s="25"/>
      <c r="B41" s="25"/>
      <c r="C41" s="25"/>
      <c r="D41" s="26"/>
      <c r="E41" s="71"/>
      <c r="F41" s="27"/>
    </row>
    <row r="42" ht="15.75" customHeight="1">
      <c r="A42" s="25"/>
      <c r="B42" s="25"/>
      <c r="C42" s="25"/>
      <c r="D42" s="26"/>
      <c r="E42" s="27"/>
    </row>
    <row r="43" ht="15.75" customHeight="1">
      <c r="A43" s="25"/>
      <c r="B43" s="72" t="s">
        <v>46</v>
      </c>
      <c r="C43" s="21"/>
      <c r="D43" s="22"/>
      <c r="E43" s="23">
        <f>E40+E26</f>
        <v>-1629.5</v>
      </c>
    </row>
    <row r="44" ht="15.75" customHeight="1">
      <c r="A44" s="25"/>
      <c r="B44" s="73"/>
      <c r="C44" s="74"/>
      <c r="D44" s="75"/>
      <c r="E44" s="39"/>
    </row>
  </sheetData>
  <mergeCells count="9">
    <mergeCell ref="A32:A40"/>
    <mergeCell ref="B43:D43"/>
    <mergeCell ref="A1:F1"/>
    <mergeCell ref="A3:A11"/>
    <mergeCell ref="B11:D11"/>
    <mergeCell ref="A13:A24"/>
    <mergeCell ref="B24:D24"/>
    <mergeCell ref="B26:D26"/>
    <mergeCell ref="A28:A30"/>
  </mergeCells>
  <conditionalFormatting sqref="A2:F44">
    <cfRule type="cellIs" dxfId="0" priority="1" operator="lessThan">
      <formula>0</formula>
    </cfRule>
  </conditionalFormatting>
  <dataValidations>
    <dataValidation type="list" allowBlank="1" showErrorMessage="1" sqref="F3:F10 F13:F23">
      <formula1>elenchi!$A$1:$A$100</formula1>
    </dataValidation>
  </dataValidations>
  <hyperlinks>
    <hyperlink r:id="rId4" location="gid=1270308959" ref="B18"/>
    <hyperlink r:id="rId5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4.86"/>
    <col customWidth="1" min="5" max="7" width="17.86"/>
  </cols>
  <sheetData>
    <row r="1" ht="43.5" customHeight="1">
      <c r="A1" s="76" t="s">
        <v>57</v>
      </c>
      <c r="B1" s="2"/>
      <c r="C1" s="2"/>
      <c r="D1" s="2"/>
      <c r="E1" s="2"/>
      <c r="F1" s="3"/>
      <c r="G1" s="77"/>
    </row>
    <row r="2">
      <c r="A2" s="4"/>
      <c r="B2" s="5" t="s">
        <v>1</v>
      </c>
      <c r="C2" s="5" t="s">
        <v>2</v>
      </c>
      <c r="D2" s="78" t="s">
        <v>3</v>
      </c>
      <c r="E2" s="7" t="s">
        <v>4</v>
      </c>
      <c r="F2" s="7" t="s">
        <v>5</v>
      </c>
      <c r="G2" s="79"/>
    </row>
    <row r="3">
      <c r="A3" s="8" t="s">
        <v>58</v>
      </c>
      <c r="B3" s="9" t="s">
        <v>7</v>
      </c>
      <c r="C3" s="9" t="s">
        <v>8</v>
      </c>
      <c r="D3" s="80">
        <v>1.0</v>
      </c>
      <c r="E3" s="11">
        <v>-500.0</v>
      </c>
      <c r="F3" s="12" t="s">
        <v>9</v>
      </c>
      <c r="G3" s="35"/>
    </row>
    <row r="4">
      <c r="A4" s="13"/>
      <c r="B4" s="14" t="s">
        <v>10</v>
      </c>
      <c r="C4" s="14" t="s">
        <v>59</v>
      </c>
      <c r="D4" s="81" t="s">
        <v>11</v>
      </c>
      <c r="E4" s="16">
        <v>0.0</v>
      </c>
      <c r="F4" s="17"/>
      <c r="G4" s="35"/>
    </row>
    <row r="5">
      <c r="A5" s="13"/>
      <c r="B5" s="14" t="s">
        <v>60</v>
      </c>
      <c r="C5" s="18"/>
      <c r="D5" s="81" t="s">
        <v>11</v>
      </c>
      <c r="E5" s="16">
        <v>0.0</v>
      </c>
      <c r="F5" s="17"/>
      <c r="G5" s="35"/>
    </row>
    <row r="6">
      <c r="A6" s="13"/>
      <c r="B6" s="14" t="s">
        <v>61</v>
      </c>
      <c r="C6" s="18"/>
      <c r="D6" s="81" t="s">
        <v>11</v>
      </c>
      <c r="E6" s="16">
        <v>0.0</v>
      </c>
      <c r="F6" s="17"/>
      <c r="G6" s="35"/>
    </row>
    <row r="7">
      <c r="A7" s="13"/>
      <c r="B7" s="14" t="s">
        <v>62</v>
      </c>
      <c r="C7" s="14" t="s">
        <v>63</v>
      </c>
      <c r="D7" s="81" t="s">
        <v>11</v>
      </c>
      <c r="E7" s="16">
        <v>-200.0</v>
      </c>
      <c r="F7" s="17" t="s">
        <v>9</v>
      </c>
      <c r="G7" s="35"/>
    </row>
    <row r="8">
      <c r="A8" s="13"/>
      <c r="B8" s="14" t="s">
        <v>16</v>
      </c>
      <c r="C8" s="18"/>
      <c r="D8" s="81" t="s">
        <v>11</v>
      </c>
      <c r="E8" s="16">
        <v>0.0</v>
      </c>
      <c r="F8" s="17"/>
      <c r="G8" s="35"/>
    </row>
    <row r="9">
      <c r="A9" s="13"/>
      <c r="B9" s="14" t="s">
        <v>17</v>
      </c>
      <c r="C9" s="18"/>
      <c r="D9" s="81" t="s">
        <v>11</v>
      </c>
      <c r="E9" s="16">
        <v>0.0</v>
      </c>
      <c r="F9" s="17"/>
      <c r="G9" s="35"/>
    </row>
    <row r="10">
      <c r="A10" s="13"/>
      <c r="B10" s="14" t="s">
        <v>18</v>
      </c>
      <c r="C10" s="14" t="s">
        <v>64</v>
      </c>
      <c r="D10" s="81">
        <v>1.0</v>
      </c>
      <c r="E10" s="16">
        <v>-18.0</v>
      </c>
      <c r="F10" s="17" t="s">
        <v>20</v>
      </c>
      <c r="G10" s="35"/>
    </row>
    <row r="11">
      <c r="A11" s="19"/>
      <c r="B11" s="20" t="s">
        <v>21</v>
      </c>
      <c r="C11" s="21"/>
      <c r="D11" s="22"/>
      <c r="E11" s="23">
        <f>SUM(E3:E10)</f>
        <v>-718</v>
      </c>
      <c r="F11" s="24"/>
      <c r="G11" s="35"/>
    </row>
    <row r="12">
      <c r="A12" s="25"/>
      <c r="B12" s="25"/>
      <c r="C12" s="25"/>
      <c r="D12" s="82"/>
      <c r="E12" s="27"/>
      <c r="F12" s="27"/>
      <c r="G12" s="27"/>
    </row>
    <row r="13">
      <c r="A13" s="8" t="s">
        <v>65</v>
      </c>
      <c r="B13" s="28" t="s">
        <v>23</v>
      </c>
      <c r="C13" s="9" t="s">
        <v>24</v>
      </c>
      <c r="D13" s="80" t="s">
        <v>11</v>
      </c>
      <c r="E13" s="11">
        <v>0.0</v>
      </c>
      <c r="F13" s="11"/>
      <c r="G13" s="35"/>
    </row>
    <row r="14">
      <c r="A14" s="13"/>
      <c r="B14" s="14" t="s">
        <v>25</v>
      </c>
      <c r="C14" s="29" t="s">
        <v>51</v>
      </c>
      <c r="D14" s="81" t="s">
        <v>11</v>
      </c>
      <c r="E14" s="16">
        <v>-100.0</v>
      </c>
      <c r="F14" s="16" t="s">
        <v>9</v>
      </c>
      <c r="G14" s="35"/>
    </row>
    <row r="15">
      <c r="A15" s="13"/>
      <c r="B15" s="14" t="s">
        <v>26</v>
      </c>
      <c r="C15" s="18"/>
      <c r="D15" s="81" t="s">
        <v>11</v>
      </c>
      <c r="E15" s="16">
        <v>-200.0</v>
      </c>
      <c r="F15" s="16" t="s">
        <v>27</v>
      </c>
      <c r="G15" s="35"/>
    </row>
    <row r="16">
      <c r="A16" s="13"/>
      <c r="B16" s="14" t="s">
        <v>28</v>
      </c>
      <c r="C16" s="25"/>
      <c r="D16" s="83"/>
      <c r="E16" s="16">
        <v>-10.0</v>
      </c>
      <c r="F16" s="16" t="s">
        <v>9</v>
      </c>
      <c r="G16" s="35"/>
    </row>
    <row r="17">
      <c r="A17" s="13"/>
      <c r="B17" s="14" t="s">
        <v>52</v>
      </c>
      <c r="C17" s="25"/>
      <c r="D17" s="81" t="s">
        <v>11</v>
      </c>
      <c r="E17" s="16">
        <v>-30.0</v>
      </c>
      <c r="F17" s="16" t="s">
        <v>9</v>
      </c>
      <c r="G17" s="35"/>
    </row>
    <row r="18">
      <c r="A18" s="13"/>
      <c r="B18" s="31" t="s">
        <v>30</v>
      </c>
      <c r="C18" s="14"/>
      <c r="D18" s="81" t="s">
        <v>11</v>
      </c>
      <c r="E18" s="32">
        <v>-20.0</v>
      </c>
      <c r="F18" s="16" t="s">
        <v>31</v>
      </c>
      <c r="G18" s="35"/>
    </row>
    <row r="19">
      <c r="A19" s="13"/>
      <c r="B19" s="31" t="s">
        <v>32</v>
      </c>
      <c r="C19" s="14"/>
      <c r="D19" s="81" t="s">
        <v>11</v>
      </c>
      <c r="E19" s="32">
        <v>-20.0</v>
      </c>
      <c r="F19" s="16" t="s">
        <v>31</v>
      </c>
      <c r="G19" s="35"/>
    </row>
    <row r="20">
      <c r="A20" s="13"/>
      <c r="B20" s="14" t="s">
        <v>33</v>
      </c>
      <c r="C20" s="25"/>
      <c r="D20" s="81" t="s">
        <v>11</v>
      </c>
      <c r="E20" s="16">
        <v>0.0</v>
      </c>
      <c r="F20" s="16"/>
      <c r="G20" s="35"/>
    </row>
    <row r="21">
      <c r="A21" s="13"/>
      <c r="B21" s="14" t="s">
        <v>34</v>
      </c>
      <c r="C21" s="18"/>
      <c r="D21" s="81" t="s">
        <v>11</v>
      </c>
      <c r="E21" s="16">
        <v>-200.0</v>
      </c>
      <c r="F21" s="16" t="s">
        <v>12</v>
      </c>
      <c r="G21" s="35"/>
    </row>
    <row r="22">
      <c r="A22" s="13"/>
      <c r="B22" s="14" t="s">
        <v>35</v>
      </c>
      <c r="C22" s="25"/>
      <c r="D22" s="81" t="s">
        <v>11</v>
      </c>
      <c r="E22" s="16">
        <v>0.0</v>
      </c>
      <c r="F22" s="16"/>
      <c r="G22" s="35"/>
    </row>
    <row r="23">
      <c r="A23" s="13"/>
      <c r="B23" s="33" t="s">
        <v>36</v>
      </c>
      <c r="C23" s="14" t="s">
        <v>37</v>
      </c>
      <c r="D23" s="81">
        <v>50.0</v>
      </c>
      <c r="E23" s="32">
        <f>D23*36*-1.5%</f>
        <v>-27</v>
      </c>
      <c r="F23" s="34" t="s">
        <v>38</v>
      </c>
      <c r="G23" s="35"/>
    </row>
    <row r="24">
      <c r="A24" s="19"/>
      <c r="B24" s="20" t="s">
        <v>39</v>
      </c>
      <c r="C24" s="21"/>
      <c r="D24" s="22"/>
      <c r="E24" s="23">
        <f>SUM(E13:E23)</f>
        <v>-607</v>
      </c>
      <c r="F24" s="35"/>
      <c r="G24" s="35"/>
    </row>
    <row r="25">
      <c r="A25" s="36"/>
      <c r="B25" s="25"/>
      <c r="C25" s="25"/>
      <c r="D25" s="82"/>
      <c r="E25" s="27"/>
      <c r="F25" s="27"/>
      <c r="G25" s="27"/>
    </row>
    <row r="26" ht="15.75" customHeight="1">
      <c r="A26" s="36"/>
      <c r="B26" s="37" t="s">
        <v>40</v>
      </c>
      <c r="C26" s="21"/>
      <c r="D26" s="22"/>
      <c r="E26" s="38">
        <f>E11+E24</f>
        <v>-1325</v>
      </c>
      <c r="F26" s="39"/>
      <c r="G26" s="39"/>
    </row>
    <row r="27" ht="15.75" customHeight="1">
      <c r="A27" s="25"/>
      <c r="B27" s="25"/>
      <c r="C27" s="25"/>
      <c r="D27" s="84"/>
      <c r="E27" s="41"/>
      <c r="F27" s="41"/>
      <c r="G27" s="41"/>
    </row>
    <row r="28" ht="15.75" customHeight="1">
      <c r="A28" s="42" t="s">
        <v>66</v>
      </c>
      <c r="B28" s="43" t="s">
        <v>67</v>
      </c>
      <c r="C28" s="44">
        <v>35.0</v>
      </c>
      <c r="D28" s="85">
        <v>50.0</v>
      </c>
      <c r="E28" s="46">
        <f t="shared" ref="E28:E30" si="1">C28*D28</f>
        <v>1750</v>
      </c>
      <c r="F28" s="47">
        <f>E26+E28</f>
        <v>425</v>
      </c>
      <c r="G28" s="39"/>
    </row>
    <row r="29" ht="15.75" customHeight="1">
      <c r="A29" s="13"/>
      <c r="B29" s="48" t="s">
        <v>68</v>
      </c>
      <c r="C29" s="49">
        <v>42.0</v>
      </c>
      <c r="D29" s="86">
        <v>50.0</v>
      </c>
      <c r="E29" s="51">
        <f t="shared" si="1"/>
        <v>2100</v>
      </c>
      <c r="F29" s="52">
        <f>E26+E29</f>
        <v>775</v>
      </c>
      <c r="G29" s="39"/>
    </row>
    <row r="30" ht="15.75" customHeight="1">
      <c r="A30" s="19"/>
      <c r="B30" s="53" t="s">
        <v>69</v>
      </c>
      <c r="C30" s="54">
        <v>37.0</v>
      </c>
      <c r="D30" s="87">
        <v>50.0</v>
      </c>
      <c r="E30" s="56">
        <f t="shared" si="1"/>
        <v>1850</v>
      </c>
      <c r="F30" s="88">
        <f>E26+E30</f>
        <v>525</v>
      </c>
      <c r="G30" s="39"/>
    </row>
    <row r="31" ht="15.75" customHeight="1">
      <c r="A31" s="57"/>
      <c r="B31" s="14"/>
      <c r="C31" s="58"/>
      <c r="D31" s="89"/>
      <c r="E31" s="27"/>
      <c r="F31" s="60"/>
      <c r="G31" s="27"/>
    </row>
    <row r="32" ht="15.75" customHeight="1">
      <c r="A32" s="61" t="s">
        <v>45</v>
      </c>
      <c r="B32" s="90"/>
      <c r="C32" s="91"/>
      <c r="D32" s="92"/>
      <c r="E32" s="93"/>
      <c r="F32" s="93"/>
      <c r="G32" s="94"/>
    </row>
    <row r="33" ht="15.75" customHeight="1">
      <c r="A33" s="13"/>
      <c r="C33" s="63"/>
      <c r="D33" s="89"/>
      <c r="E33" s="27"/>
      <c r="F33" s="27"/>
      <c r="G33" s="66"/>
    </row>
    <row r="34" ht="15.75" customHeight="1">
      <c r="A34" s="13"/>
      <c r="C34" s="95"/>
      <c r="D34" s="96"/>
      <c r="E34" s="97"/>
      <c r="F34" s="97"/>
      <c r="G34" s="98"/>
    </row>
    <row r="35" ht="15.75" customHeight="1">
      <c r="A35" s="13"/>
      <c r="C35" s="63"/>
      <c r="D35" s="89"/>
      <c r="E35" s="27"/>
      <c r="F35" s="27"/>
      <c r="G35" s="66"/>
    </row>
    <row r="36" ht="15.75" customHeight="1">
      <c r="A36" s="13"/>
      <c r="B36" s="99"/>
      <c r="C36" s="100"/>
      <c r="D36" s="101"/>
      <c r="E36" s="102"/>
      <c r="F36" s="97"/>
      <c r="G36" s="98"/>
    </row>
    <row r="37" ht="27.0" customHeight="1">
      <c r="A37" s="13"/>
      <c r="B37" s="103"/>
      <c r="C37" s="104"/>
      <c r="D37" s="105"/>
      <c r="E37" s="106"/>
      <c r="F37" s="107"/>
      <c r="G37" s="71"/>
    </row>
    <row r="38" ht="15.75" customHeight="1">
      <c r="A38" s="13"/>
      <c r="D38" s="13"/>
      <c r="F38" s="108"/>
      <c r="G38" s="27"/>
    </row>
    <row r="39" ht="15.75" customHeight="1">
      <c r="A39" s="13"/>
      <c r="D39" s="13"/>
      <c r="F39" s="108"/>
      <c r="G39" s="27"/>
    </row>
    <row r="40" ht="15.75" customHeight="1">
      <c r="A40" s="13"/>
      <c r="B40" s="103"/>
      <c r="C40" s="109"/>
      <c r="D40" s="13"/>
      <c r="F40" s="108"/>
      <c r="G40" s="27"/>
    </row>
    <row r="41" ht="15.75" customHeight="1">
      <c r="A41" s="13"/>
      <c r="D41" s="13"/>
      <c r="F41" s="108"/>
      <c r="G41" s="27"/>
    </row>
    <row r="42" ht="15.75" customHeight="1">
      <c r="A42" s="19"/>
      <c r="B42" s="99"/>
      <c r="C42" s="99"/>
      <c r="D42" s="19"/>
      <c r="E42" s="99"/>
      <c r="F42" s="108"/>
      <c r="G42" s="27"/>
    </row>
    <row r="43" ht="15.75" customHeight="1">
      <c r="A43" s="25"/>
      <c r="B43" s="25"/>
      <c r="C43" s="25"/>
      <c r="D43" s="82"/>
      <c r="E43" s="27"/>
    </row>
    <row r="44" ht="15.75" customHeight="1">
      <c r="A44" s="25"/>
      <c r="B44" s="72" t="s">
        <v>46</v>
      </c>
      <c r="C44" s="21"/>
      <c r="D44" s="22"/>
      <c r="E44" s="23">
        <f>E37+E26</f>
        <v>-1325</v>
      </c>
    </row>
    <row r="45" ht="15.75" customHeight="1">
      <c r="A45" s="25"/>
      <c r="B45" s="73"/>
      <c r="C45" s="74"/>
      <c r="D45" s="110"/>
      <c r="E45" s="39"/>
    </row>
  </sheetData>
  <mergeCells count="16">
    <mergeCell ref="A1:F1"/>
    <mergeCell ref="A3:A11"/>
    <mergeCell ref="B11:D11"/>
    <mergeCell ref="A13:A24"/>
    <mergeCell ref="B24:D24"/>
    <mergeCell ref="B26:D26"/>
    <mergeCell ref="A28:A30"/>
    <mergeCell ref="C40:C42"/>
    <mergeCell ref="B44:D44"/>
    <mergeCell ref="A32:A42"/>
    <mergeCell ref="B32:B36"/>
    <mergeCell ref="B37:B39"/>
    <mergeCell ref="C37:C39"/>
    <mergeCell ref="D37:D42"/>
    <mergeCell ref="E37:E42"/>
    <mergeCell ref="B40:B42"/>
  </mergeCells>
  <conditionalFormatting sqref="A2:G45">
    <cfRule type="cellIs" dxfId="0" priority="1" operator="lessThan">
      <formula>0</formula>
    </cfRule>
  </conditionalFormatting>
  <dataValidations>
    <dataValidation type="list" allowBlank="1" showErrorMessage="1" sqref="F3:F10 F13:F23">
      <formula1>elenchi!$A$1:$A$100</formula1>
    </dataValidation>
  </dataValidations>
  <hyperlinks>
    <hyperlink r:id="rId2" location="gid=1270308959" ref="B18"/>
    <hyperlink r:id="rId3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5.43"/>
    <col customWidth="1" min="5" max="6" width="17.86"/>
  </cols>
  <sheetData>
    <row r="1" ht="43.5" customHeight="1">
      <c r="A1" s="111" t="s">
        <v>70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112" t="s">
        <v>5</v>
      </c>
    </row>
    <row r="3">
      <c r="A3" s="8" t="s">
        <v>71</v>
      </c>
      <c r="B3" s="9" t="s">
        <v>72</v>
      </c>
      <c r="C3" s="9" t="s">
        <v>73</v>
      </c>
      <c r="D3" s="80" t="s">
        <v>11</v>
      </c>
      <c r="E3" s="11">
        <f>E36*-30%</f>
        <v>0</v>
      </c>
      <c r="F3" s="12" t="s">
        <v>9</v>
      </c>
    </row>
    <row r="4">
      <c r="A4" s="13"/>
      <c r="B4" s="14" t="s">
        <v>10</v>
      </c>
      <c r="C4" s="14"/>
      <c r="D4" s="81" t="s">
        <v>11</v>
      </c>
      <c r="E4" s="16">
        <v>0.0</v>
      </c>
      <c r="F4" s="17"/>
    </row>
    <row r="5">
      <c r="A5" s="13"/>
      <c r="B5" s="14" t="s">
        <v>13</v>
      </c>
      <c r="C5" s="18"/>
      <c r="D5" s="81" t="s">
        <v>11</v>
      </c>
      <c r="E5" s="16">
        <v>0.0</v>
      </c>
      <c r="F5" s="17"/>
    </row>
    <row r="6">
      <c r="A6" s="13"/>
      <c r="B6" s="14" t="s">
        <v>14</v>
      </c>
      <c r="C6" s="18"/>
      <c r="D6" s="81" t="s">
        <v>11</v>
      </c>
      <c r="E6" s="16">
        <v>0.0</v>
      </c>
      <c r="F6" s="17"/>
    </row>
    <row r="7">
      <c r="A7" s="13"/>
      <c r="B7" s="14" t="s">
        <v>15</v>
      </c>
      <c r="C7" s="18"/>
      <c r="D7" s="81" t="s">
        <v>11</v>
      </c>
      <c r="E7" s="16">
        <v>0.0</v>
      </c>
      <c r="F7" s="17"/>
    </row>
    <row r="8">
      <c r="A8" s="13"/>
      <c r="B8" s="14" t="s">
        <v>16</v>
      </c>
      <c r="C8" s="18"/>
      <c r="D8" s="81" t="s">
        <v>11</v>
      </c>
      <c r="E8" s="16">
        <v>0.0</v>
      </c>
      <c r="F8" s="17"/>
    </row>
    <row r="9">
      <c r="A9" s="13"/>
      <c r="B9" s="14" t="s">
        <v>17</v>
      </c>
      <c r="C9" s="18"/>
      <c r="D9" s="81" t="s">
        <v>11</v>
      </c>
      <c r="E9" s="16">
        <v>0.0</v>
      </c>
      <c r="F9" s="17"/>
    </row>
    <row r="10">
      <c r="A10" s="13"/>
      <c r="B10" s="14" t="s">
        <v>18</v>
      </c>
      <c r="C10" s="14" t="s">
        <v>74</v>
      </c>
      <c r="D10" s="81" t="s">
        <v>11</v>
      </c>
      <c r="E10" s="16">
        <v>-36.0</v>
      </c>
      <c r="F10" s="17" t="s">
        <v>20</v>
      </c>
    </row>
    <row r="11">
      <c r="A11" s="19"/>
      <c r="B11" s="20" t="s">
        <v>21</v>
      </c>
      <c r="C11" s="21"/>
      <c r="D11" s="22"/>
      <c r="E11" s="23">
        <f>SUM(E3:E10)</f>
        <v>-36</v>
      </c>
      <c r="F11" s="24"/>
    </row>
    <row r="12">
      <c r="A12" s="25"/>
      <c r="B12" s="25"/>
      <c r="C12" s="25"/>
      <c r="D12" s="26"/>
      <c r="E12" s="27"/>
      <c r="F12" s="27"/>
    </row>
    <row r="13">
      <c r="A13" s="8" t="s">
        <v>75</v>
      </c>
      <c r="B13" s="28" t="s">
        <v>23</v>
      </c>
      <c r="C13" s="9" t="s">
        <v>24</v>
      </c>
      <c r="D13" s="80" t="s">
        <v>11</v>
      </c>
      <c r="E13" s="11">
        <v>0.0</v>
      </c>
      <c r="F13" s="11"/>
    </row>
    <row r="14">
      <c r="A14" s="13"/>
      <c r="B14" s="14" t="s">
        <v>25</v>
      </c>
      <c r="C14" s="29" t="s">
        <v>76</v>
      </c>
      <c r="D14" s="81" t="s">
        <v>11</v>
      </c>
      <c r="E14" s="16">
        <v>-75.0</v>
      </c>
      <c r="F14" s="16" t="s">
        <v>9</v>
      </c>
    </row>
    <row r="15">
      <c r="A15" s="13"/>
      <c r="B15" s="14" t="s">
        <v>26</v>
      </c>
      <c r="C15" s="18"/>
      <c r="D15" s="81" t="s">
        <v>11</v>
      </c>
      <c r="E15" s="16">
        <v>0.0</v>
      </c>
      <c r="F15" s="16"/>
    </row>
    <row r="16">
      <c r="A16" s="13"/>
      <c r="B16" s="14" t="s">
        <v>28</v>
      </c>
      <c r="C16" s="25"/>
      <c r="D16" s="83"/>
      <c r="E16" s="16">
        <v>0.0</v>
      </c>
      <c r="F16" s="16" t="s">
        <v>9</v>
      </c>
    </row>
    <row r="17">
      <c r="A17" s="13"/>
      <c r="B17" s="14" t="s">
        <v>52</v>
      </c>
      <c r="C17" s="25"/>
      <c r="D17" s="81" t="s">
        <v>11</v>
      </c>
      <c r="E17" s="16">
        <v>0.0</v>
      </c>
      <c r="F17" s="16"/>
    </row>
    <row r="18">
      <c r="A18" s="13"/>
      <c r="B18" s="31" t="s">
        <v>30</v>
      </c>
      <c r="C18" s="14"/>
      <c r="D18" s="81" t="s">
        <v>11</v>
      </c>
      <c r="E18" s="113">
        <v>-10.0</v>
      </c>
      <c r="F18" s="16" t="s">
        <v>31</v>
      </c>
    </row>
    <row r="19">
      <c r="A19" s="13"/>
      <c r="B19" s="31" t="s">
        <v>32</v>
      </c>
      <c r="C19" s="14"/>
      <c r="D19" s="81" t="s">
        <v>11</v>
      </c>
      <c r="E19" s="113">
        <v>-25.0</v>
      </c>
      <c r="F19" s="16" t="s">
        <v>31</v>
      </c>
    </row>
    <row r="20">
      <c r="A20" s="13"/>
      <c r="B20" s="14" t="s">
        <v>34</v>
      </c>
      <c r="C20" s="18"/>
      <c r="D20" s="81" t="s">
        <v>11</v>
      </c>
      <c r="E20" s="16">
        <v>0.0</v>
      </c>
      <c r="F20" s="16" t="s">
        <v>12</v>
      </c>
    </row>
    <row r="21">
      <c r="A21" s="13"/>
      <c r="B21" s="14" t="s">
        <v>35</v>
      </c>
      <c r="C21" s="25"/>
      <c r="D21" s="81" t="s">
        <v>11</v>
      </c>
      <c r="E21" s="16">
        <v>0.0</v>
      </c>
      <c r="F21" s="16"/>
    </row>
    <row r="22">
      <c r="A22" s="13"/>
      <c r="B22" s="33" t="s">
        <v>36</v>
      </c>
      <c r="C22" s="14" t="s">
        <v>77</v>
      </c>
      <c r="D22" s="81">
        <v>40.0</v>
      </c>
      <c r="E22" s="16">
        <f>D22*23.5*-1.5%</f>
        <v>-14.1</v>
      </c>
      <c r="F22" s="34" t="s">
        <v>38</v>
      </c>
    </row>
    <row r="23">
      <c r="A23" s="19"/>
      <c r="B23" s="20" t="s">
        <v>39</v>
      </c>
      <c r="C23" s="21"/>
      <c r="D23" s="22"/>
      <c r="E23" s="23">
        <f>SUM(E13:E22)</f>
        <v>-124.1</v>
      </c>
      <c r="F23" s="35"/>
    </row>
    <row r="24">
      <c r="A24" s="36"/>
      <c r="B24" s="25"/>
      <c r="C24" s="25"/>
      <c r="D24" s="26"/>
      <c r="E24" s="27"/>
      <c r="F24" s="27"/>
    </row>
    <row r="25" ht="15.75" customHeight="1">
      <c r="A25" s="36"/>
      <c r="B25" s="37" t="s">
        <v>40</v>
      </c>
      <c r="C25" s="21"/>
      <c r="D25" s="22"/>
      <c r="E25" s="38">
        <f>E11+E23</f>
        <v>-160.1</v>
      </c>
      <c r="F25" s="39"/>
    </row>
    <row r="26" ht="15.75" customHeight="1">
      <c r="A26" s="25"/>
      <c r="B26" s="25"/>
      <c r="C26" s="25"/>
      <c r="D26" s="40"/>
      <c r="E26" s="41"/>
      <c r="F26" s="41"/>
    </row>
    <row r="27" ht="15.75" customHeight="1">
      <c r="A27" s="42" t="s">
        <v>78</v>
      </c>
      <c r="B27" s="43" t="s">
        <v>79</v>
      </c>
      <c r="C27" s="44">
        <v>20.0</v>
      </c>
      <c r="D27" s="85">
        <v>40.0</v>
      </c>
      <c r="E27" s="46">
        <f t="shared" ref="E27:E29" si="1">C27*D27</f>
        <v>800</v>
      </c>
      <c r="F27" s="47">
        <f>E25+E27</f>
        <v>639.9</v>
      </c>
    </row>
    <row r="28" ht="15.75" customHeight="1">
      <c r="A28" s="13"/>
      <c r="B28" s="48" t="s">
        <v>80</v>
      </c>
      <c r="C28" s="49">
        <v>27.0</v>
      </c>
      <c r="D28" s="86">
        <v>40.0</v>
      </c>
      <c r="E28" s="51">
        <f t="shared" si="1"/>
        <v>1080</v>
      </c>
      <c r="F28" s="52">
        <f>E25+E28</f>
        <v>919.9</v>
      </c>
    </row>
    <row r="29" ht="15.75" customHeight="1">
      <c r="A29" s="19"/>
      <c r="B29" s="53" t="s">
        <v>81</v>
      </c>
      <c r="C29" s="54">
        <v>23.5</v>
      </c>
      <c r="D29" s="87">
        <v>40.0</v>
      </c>
      <c r="E29" s="114">
        <f t="shared" si="1"/>
        <v>940</v>
      </c>
      <c r="F29" s="52">
        <f>E25+E29</f>
        <v>779.9</v>
      </c>
    </row>
    <row r="30" ht="15.75" customHeight="1">
      <c r="A30" s="57"/>
      <c r="B30" s="14"/>
      <c r="C30" s="58"/>
      <c r="D30" s="59"/>
      <c r="E30" s="115"/>
      <c r="F30" s="27"/>
    </row>
    <row r="31" ht="15.75" customHeight="1">
      <c r="A31" s="61" t="s">
        <v>45</v>
      </c>
      <c r="B31" s="90"/>
      <c r="C31" s="116"/>
      <c r="D31" s="117"/>
      <c r="E31" s="118"/>
      <c r="F31" s="119"/>
    </row>
    <row r="32" ht="15.75" customHeight="1">
      <c r="A32" s="13"/>
      <c r="C32" s="120"/>
      <c r="D32" s="121"/>
      <c r="E32" s="122"/>
      <c r="F32" s="119"/>
    </row>
    <row r="33" ht="15.75" customHeight="1">
      <c r="A33" s="13"/>
      <c r="C33" s="123"/>
      <c r="D33" s="124"/>
      <c r="E33" s="125"/>
      <c r="F33" s="119"/>
    </row>
    <row r="34" ht="15.75" customHeight="1">
      <c r="A34" s="13"/>
      <c r="C34" s="120"/>
      <c r="D34" s="121"/>
      <c r="E34" s="122"/>
      <c r="F34" s="119"/>
    </row>
    <row r="35" ht="15.75" customHeight="1">
      <c r="A35" s="13"/>
      <c r="B35" s="126"/>
      <c r="C35" s="127"/>
      <c r="D35" s="128"/>
      <c r="E35" s="129"/>
      <c r="F35" s="119"/>
    </row>
    <row r="36" ht="15.75" customHeight="1">
      <c r="A36" s="13"/>
      <c r="B36" s="103"/>
      <c r="C36" s="104"/>
      <c r="D36" s="130"/>
      <c r="E36" s="131"/>
      <c r="F36" s="27"/>
    </row>
    <row r="37" ht="15.75" customHeight="1">
      <c r="A37" s="13"/>
      <c r="D37" s="13"/>
      <c r="E37" s="132"/>
      <c r="F37" s="27"/>
    </row>
    <row r="38" ht="15.75" customHeight="1">
      <c r="A38" s="13"/>
      <c r="D38" s="13"/>
      <c r="E38" s="132"/>
      <c r="F38" s="27"/>
    </row>
    <row r="39" ht="15.75" customHeight="1">
      <c r="A39" s="13"/>
      <c r="B39" s="103"/>
      <c r="C39" s="109"/>
      <c r="D39" s="13"/>
      <c r="E39" s="132"/>
      <c r="F39" s="27"/>
    </row>
    <row r="40" ht="15.75" customHeight="1">
      <c r="A40" s="13"/>
      <c r="D40" s="13"/>
      <c r="E40" s="132"/>
      <c r="F40" s="27"/>
    </row>
    <row r="41" ht="15.75" customHeight="1">
      <c r="A41" s="19"/>
      <c r="B41" s="99"/>
      <c r="C41" s="99"/>
      <c r="D41" s="19"/>
      <c r="E41" s="133"/>
      <c r="F41" s="27"/>
    </row>
    <row r="42" ht="15.75" customHeight="1">
      <c r="A42" s="25"/>
      <c r="B42" s="25"/>
      <c r="C42" s="25"/>
      <c r="D42" s="26"/>
      <c r="E42" s="27"/>
    </row>
    <row r="43" ht="15.75" customHeight="1">
      <c r="A43" s="25"/>
      <c r="B43" s="72" t="s">
        <v>46</v>
      </c>
      <c r="C43" s="21"/>
      <c r="D43" s="22"/>
      <c r="E43" s="23">
        <f>E36+E25</f>
        <v>-160.1</v>
      </c>
    </row>
    <row r="44" ht="15.75" customHeight="1">
      <c r="A44" s="25"/>
      <c r="B44" s="73"/>
      <c r="C44" s="74"/>
      <c r="D44" s="75"/>
      <c r="E44" s="39"/>
    </row>
  </sheetData>
  <mergeCells count="16">
    <mergeCell ref="A1:F1"/>
    <mergeCell ref="A3:A11"/>
    <mergeCell ref="B11:D11"/>
    <mergeCell ref="A13:A23"/>
    <mergeCell ref="B23:D23"/>
    <mergeCell ref="B25:D25"/>
    <mergeCell ref="A27:A29"/>
    <mergeCell ref="C39:C41"/>
    <mergeCell ref="B43:D43"/>
    <mergeCell ref="A31:A41"/>
    <mergeCell ref="B31:B35"/>
    <mergeCell ref="B36:B38"/>
    <mergeCell ref="C36:C38"/>
    <mergeCell ref="D36:D41"/>
    <mergeCell ref="E36:E41"/>
    <mergeCell ref="B39:B41"/>
  </mergeCells>
  <conditionalFormatting sqref="A2:F44">
    <cfRule type="cellIs" dxfId="0" priority="1" operator="lessThan">
      <formula>0</formula>
    </cfRule>
  </conditionalFormatting>
  <dataValidations>
    <dataValidation type="list" allowBlank="1" showErrorMessage="1" sqref="F3:F10 F13:F22">
      <formula1>elenchi!$A$1:$A$100</formula1>
    </dataValidation>
  </dataValidations>
  <hyperlinks>
    <hyperlink r:id="rId2" location="gid=1270308959" ref="B18"/>
    <hyperlink r:id="rId3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4.86"/>
    <col customWidth="1" min="5" max="7" width="17.86"/>
  </cols>
  <sheetData>
    <row r="1" ht="43.5" customHeight="1">
      <c r="A1" s="134" t="s">
        <v>82</v>
      </c>
      <c r="B1" s="2"/>
      <c r="C1" s="2"/>
      <c r="D1" s="2"/>
      <c r="E1" s="2"/>
      <c r="F1" s="3"/>
      <c r="G1" s="77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</row>
    <row r="3">
      <c r="A3" s="8" t="s">
        <v>83</v>
      </c>
      <c r="B3" s="9" t="s">
        <v>7</v>
      </c>
      <c r="C3" s="9" t="s">
        <v>8</v>
      </c>
      <c r="D3" s="10">
        <v>1.0</v>
      </c>
      <c r="E3" s="11">
        <v>-650.0</v>
      </c>
      <c r="F3" s="12" t="s">
        <v>9</v>
      </c>
      <c r="G3" s="35"/>
    </row>
    <row r="4">
      <c r="A4" s="13"/>
      <c r="B4" s="14" t="s">
        <v>10</v>
      </c>
      <c r="C4" s="14" t="s">
        <v>84</v>
      </c>
      <c r="D4" s="15">
        <v>2.0</v>
      </c>
      <c r="E4" s="16">
        <v>-76.42</v>
      </c>
      <c r="F4" s="17" t="s">
        <v>12</v>
      </c>
      <c r="G4" s="35"/>
    </row>
    <row r="5">
      <c r="A5" s="13"/>
      <c r="B5" s="14" t="s">
        <v>13</v>
      </c>
      <c r="C5" s="18"/>
      <c r="D5" s="15" t="s">
        <v>11</v>
      </c>
      <c r="E5" s="16">
        <v>0.0</v>
      </c>
      <c r="F5" s="17"/>
      <c r="G5" s="35"/>
    </row>
    <row r="6">
      <c r="A6" s="13"/>
      <c r="B6" s="14" t="s">
        <v>14</v>
      </c>
      <c r="C6" s="18"/>
      <c r="D6" s="15" t="s">
        <v>11</v>
      </c>
      <c r="E6" s="16">
        <v>0.0</v>
      </c>
      <c r="F6" s="17"/>
      <c r="G6" s="35"/>
    </row>
    <row r="7">
      <c r="A7" s="13"/>
      <c r="B7" s="14" t="s">
        <v>15</v>
      </c>
      <c r="C7" s="18"/>
      <c r="D7" s="15">
        <v>0.0</v>
      </c>
      <c r="E7" s="16">
        <v>0.0</v>
      </c>
      <c r="F7" s="17"/>
      <c r="G7" s="35"/>
    </row>
    <row r="8">
      <c r="A8" s="13"/>
      <c r="B8" s="14" t="s">
        <v>16</v>
      </c>
      <c r="C8" s="18"/>
      <c r="D8" s="15">
        <v>0.0</v>
      </c>
      <c r="E8" s="16">
        <v>0.0</v>
      </c>
      <c r="F8" s="17"/>
      <c r="G8" s="35"/>
    </row>
    <row r="9">
      <c r="A9" s="13"/>
      <c r="B9" s="14" t="s">
        <v>17</v>
      </c>
      <c r="C9" s="18"/>
      <c r="D9" s="15">
        <v>0.0</v>
      </c>
      <c r="E9" s="16">
        <v>0.0</v>
      </c>
      <c r="F9" s="17"/>
      <c r="G9" s="35"/>
    </row>
    <row r="10">
      <c r="A10" s="13"/>
      <c r="B10" s="14" t="s">
        <v>18</v>
      </c>
      <c r="C10" s="14" t="s">
        <v>85</v>
      </c>
      <c r="D10" s="15">
        <v>1.0</v>
      </c>
      <c r="E10" s="16">
        <v>-18.0</v>
      </c>
      <c r="F10" s="17" t="s">
        <v>20</v>
      </c>
      <c r="G10" s="35"/>
    </row>
    <row r="11">
      <c r="A11" s="19"/>
      <c r="B11" s="20" t="s">
        <v>21</v>
      </c>
      <c r="C11" s="21"/>
      <c r="D11" s="22"/>
      <c r="E11" s="23">
        <f>SUM(E3:E10)</f>
        <v>-744.42</v>
      </c>
      <c r="F11" s="24"/>
      <c r="G11" s="35"/>
    </row>
    <row r="12">
      <c r="A12" s="25"/>
      <c r="B12" s="25"/>
      <c r="C12" s="25"/>
      <c r="D12" s="26"/>
      <c r="E12" s="27"/>
      <c r="F12" s="27"/>
      <c r="G12" s="27"/>
    </row>
    <row r="13">
      <c r="A13" s="8" t="s">
        <v>86</v>
      </c>
      <c r="B13" s="28" t="s">
        <v>23</v>
      </c>
      <c r="C13" s="9" t="s">
        <v>24</v>
      </c>
      <c r="D13" s="10" t="s">
        <v>11</v>
      </c>
      <c r="E13" s="11">
        <v>0.0</v>
      </c>
      <c r="F13" s="11"/>
      <c r="G13" s="35"/>
    </row>
    <row r="14">
      <c r="A14" s="13"/>
      <c r="B14" s="14" t="s">
        <v>25</v>
      </c>
      <c r="C14" s="29" t="s">
        <v>87</v>
      </c>
      <c r="D14" s="15" t="s">
        <v>11</v>
      </c>
      <c r="E14" s="16">
        <v>-40.0</v>
      </c>
      <c r="F14" s="16" t="s">
        <v>9</v>
      </c>
      <c r="G14" s="35"/>
    </row>
    <row r="15">
      <c r="A15" s="13"/>
      <c r="B15" s="14" t="s">
        <v>88</v>
      </c>
      <c r="C15" s="18"/>
      <c r="D15" s="15" t="s">
        <v>11</v>
      </c>
      <c r="E15" s="135">
        <v>0.0</v>
      </c>
      <c r="F15" s="16" t="s">
        <v>27</v>
      </c>
      <c r="G15" s="35"/>
    </row>
    <row r="16">
      <c r="A16" s="13"/>
      <c r="B16" s="14" t="s">
        <v>28</v>
      </c>
      <c r="C16" s="25"/>
      <c r="D16" s="30"/>
      <c r="E16" s="16">
        <v>-10.0</v>
      </c>
      <c r="F16" s="16" t="s">
        <v>9</v>
      </c>
      <c r="G16" s="35"/>
    </row>
    <row r="17">
      <c r="A17" s="13"/>
      <c r="B17" s="14" t="s">
        <v>52</v>
      </c>
      <c r="C17" s="25"/>
      <c r="D17" s="15" t="s">
        <v>11</v>
      </c>
      <c r="E17" s="16">
        <v>-30.0</v>
      </c>
      <c r="F17" s="16" t="s">
        <v>9</v>
      </c>
      <c r="G17" s="35"/>
    </row>
    <row r="18">
      <c r="A18" s="13"/>
      <c r="B18" s="31" t="s">
        <v>30</v>
      </c>
      <c r="C18" s="14"/>
      <c r="D18" s="15" t="s">
        <v>11</v>
      </c>
      <c r="E18" s="16">
        <v>0.0</v>
      </c>
      <c r="F18" s="16" t="s">
        <v>31</v>
      </c>
      <c r="G18" s="35"/>
    </row>
    <row r="19">
      <c r="A19" s="13"/>
      <c r="B19" s="31" t="s">
        <v>32</v>
      </c>
      <c r="C19" s="14"/>
      <c r="D19" s="15" t="s">
        <v>11</v>
      </c>
      <c r="E19" s="16">
        <v>-3.0</v>
      </c>
      <c r="F19" s="16" t="s">
        <v>31</v>
      </c>
      <c r="G19" s="35"/>
    </row>
    <row r="20">
      <c r="A20" s="13"/>
      <c r="B20" s="14" t="s">
        <v>33</v>
      </c>
      <c r="C20" s="25"/>
      <c r="D20" s="15" t="s">
        <v>11</v>
      </c>
      <c r="E20" s="16">
        <v>0.0</v>
      </c>
      <c r="F20" s="16"/>
      <c r="G20" s="35"/>
    </row>
    <row r="21">
      <c r="A21" s="13"/>
      <c r="B21" s="14" t="s">
        <v>34</v>
      </c>
      <c r="C21" s="18"/>
      <c r="D21" s="15" t="s">
        <v>11</v>
      </c>
      <c r="E21" s="16">
        <v>-244.0</v>
      </c>
      <c r="F21" s="16" t="s">
        <v>12</v>
      </c>
      <c r="G21" s="35"/>
    </row>
    <row r="22">
      <c r="A22" s="13"/>
      <c r="B22" s="14" t="s">
        <v>35</v>
      </c>
      <c r="C22" s="25"/>
      <c r="D22" s="15" t="s">
        <v>11</v>
      </c>
      <c r="E22" s="16">
        <v>0.0</v>
      </c>
      <c r="F22" s="16"/>
      <c r="G22" s="35"/>
    </row>
    <row r="23">
      <c r="A23" s="13"/>
      <c r="B23" s="33" t="s">
        <v>36</v>
      </c>
      <c r="C23" s="14" t="s">
        <v>37</v>
      </c>
      <c r="D23" s="15">
        <v>6.0</v>
      </c>
      <c r="E23" s="16">
        <f>D23*36*-1.5%</f>
        <v>-3.24</v>
      </c>
      <c r="F23" s="34" t="s">
        <v>38</v>
      </c>
      <c r="G23" s="35"/>
    </row>
    <row r="24">
      <c r="A24" s="19"/>
      <c r="B24" s="20" t="s">
        <v>39</v>
      </c>
      <c r="C24" s="21"/>
      <c r="D24" s="22"/>
      <c r="E24" s="23">
        <f>SUM(E13:E23)</f>
        <v>-330.24</v>
      </c>
      <c r="F24" s="35"/>
      <c r="G24" s="35"/>
    </row>
    <row r="25">
      <c r="A25" s="36"/>
      <c r="B25" s="25"/>
      <c r="C25" s="25"/>
      <c r="D25" s="26"/>
      <c r="E25" s="27"/>
      <c r="F25" s="27"/>
      <c r="G25" s="27"/>
    </row>
    <row r="26" ht="15.75" customHeight="1">
      <c r="A26" s="36"/>
      <c r="B26" s="37" t="s">
        <v>40</v>
      </c>
      <c r="C26" s="21"/>
      <c r="D26" s="22"/>
      <c r="E26" s="38">
        <f>E11+E24</f>
        <v>-1074.66</v>
      </c>
      <c r="F26" s="39"/>
      <c r="G26" s="39"/>
    </row>
    <row r="27" ht="15.75" customHeight="1">
      <c r="A27" s="25"/>
      <c r="B27" s="25"/>
      <c r="C27" s="25"/>
      <c r="D27" s="40"/>
      <c r="E27" s="41"/>
      <c r="F27" s="41"/>
      <c r="G27" s="41"/>
    </row>
    <row r="28" ht="15.75" customHeight="1">
      <c r="A28" s="42" t="s">
        <v>89</v>
      </c>
      <c r="B28" s="43" t="s">
        <v>90</v>
      </c>
      <c r="C28" s="44">
        <v>30.0</v>
      </c>
      <c r="D28" s="45">
        <v>50.0</v>
      </c>
      <c r="E28" s="46">
        <f t="shared" ref="E28:E30" si="1">C28*D28</f>
        <v>1500</v>
      </c>
      <c r="F28" s="47">
        <f>E26+E28</f>
        <v>425.34</v>
      </c>
      <c r="G28" s="39"/>
    </row>
    <row r="29" ht="15.75" customHeight="1">
      <c r="A29" s="13"/>
      <c r="B29" s="48" t="s">
        <v>91</v>
      </c>
      <c r="C29" s="49">
        <v>42.0</v>
      </c>
      <c r="D29" s="50">
        <v>50.0</v>
      </c>
      <c r="E29" s="51">
        <f t="shared" si="1"/>
        <v>2100</v>
      </c>
      <c r="F29" s="52">
        <f>E26+E29</f>
        <v>1025.34</v>
      </c>
      <c r="G29" s="39"/>
    </row>
    <row r="30" ht="15.75" customHeight="1">
      <c r="A30" s="19"/>
      <c r="B30" s="53" t="s">
        <v>92</v>
      </c>
      <c r="C30" s="54">
        <v>36.0</v>
      </c>
      <c r="D30" s="55">
        <v>50.0</v>
      </c>
      <c r="E30" s="56">
        <f t="shared" si="1"/>
        <v>1800</v>
      </c>
      <c r="F30" s="88">
        <f>E26+E30</f>
        <v>725.34</v>
      </c>
      <c r="G30" s="39"/>
    </row>
    <row r="31" ht="15.75" customHeight="1">
      <c r="A31" s="57"/>
      <c r="B31" s="14"/>
      <c r="C31" s="58"/>
      <c r="D31" s="59"/>
      <c r="E31" s="27"/>
      <c r="F31" s="60"/>
      <c r="G31" s="27"/>
    </row>
    <row r="32" ht="15.75" customHeight="1">
      <c r="A32" s="61" t="s">
        <v>45</v>
      </c>
      <c r="B32" s="90" t="str">
        <f>IFERROR(__xludf.DUMMYFUNCTION("IMPORTRANGE(""https://docs.google.com/spreadsheets/d/1w_v-LytfJUSGD2382sduIgEApmqF1mMjksjNng1JfDs/edit?gid=134075723#gid=134075723"",""WS_JASMINE_ANDRIANO!D177:I181"")"),"TOTALI WS 1 e 2 ")</f>
        <v>TOTALI WS 1 e 2 </v>
      </c>
      <c r="C32" s="91" t="str">
        <f>IFERROR(__xludf.DUMMYFUNCTION("""COMPUTED_VALUE""")," TOTALE PREZZI")</f>
        <v>TOTALE PREZZI</v>
      </c>
      <c r="D32" s="136">
        <f>IFERROR(__xludf.DUMMYFUNCTION("""COMPUTED_VALUE"""),30.0)</f>
        <v>30</v>
      </c>
      <c r="E32" s="93">
        <f>IFERROR(__xludf.DUMMYFUNCTION("""COMPUTED_VALUE"""),32.0)</f>
        <v>32</v>
      </c>
      <c r="F32" s="93">
        <f>IFERROR(__xludf.DUMMYFUNCTION("""COMPUTED_VALUE"""),37.0)</f>
        <v>37</v>
      </c>
      <c r="G32" s="94"/>
    </row>
    <row r="33" ht="15.75" customHeight="1">
      <c r="A33" s="13"/>
      <c r="C33" s="63" t="str">
        <f>IFERROR(__xludf.DUMMYFUNCTION("""COMPUTED_VALUE""")," TOTALE 
PERSONE SEDE")</f>
        <v>TOTALE 
PERSONE SEDE</v>
      </c>
      <c r="D33" s="59" t="str">
        <f>IFERROR(__xludf.DUMMYFUNCTION("""COMPUTED_VALUE""")," 2 da €30")</f>
        <v>2 da €30</v>
      </c>
      <c r="E33" s="27" t="str">
        <f>IFERROR(__xludf.DUMMYFUNCTION("""COMPUTED_VALUE""")," 0 da €32")</f>
        <v>0 da €32</v>
      </c>
      <c r="F33" s="27" t="str">
        <f>IFERROR(__xludf.DUMMYFUNCTION("""COMPUTED_VALUE""")," 0 da €37")</f>
        <v>0 da €37</v>
      </c>
      <c r="G33" s="66" t="str">
        <f>IFERROR(__xludf.DUMMYFUNCTION("""COMPUTED_VALUE""")," ")</f>
        <v/>
      </c>
    </row>
    <row r="34" ht="15.75" customHeight="1">
      <c r="A34" s="13"/>
      <c r="C34" s="95" t="str">
        <f>IFERROR(__xludf.DUMMYFUNCTION("""COMPUTED_VALUE""")," subTOTALE SEDE")</f>
        <v>subTOTALE SEDE</v>
      </c>
      <c r="D34" s="137">
        <f>IFERROR(__xludf.DUMMYFUNCTION("""COMPUTED_VALUE"""),60.0)</f>
        <v>60</v>
      </c>
      <c r="E34" s="97">
        <f>IFERROR(__xludf.DUMMYFUNCTION("""COMPUTED_VALUE"""),0.0)</f>
        <v>0</v>
      </c>
      <c r="F34" s="97">
        <f>IFERROR(__xludf.DUMMYFUNCTION("""COMPUTED_VALUE"""),0.0)</f>
        <v>0</v>
      </c>
      <c r="G34" s="98" t="str">
        <f>IFERROR(__xludf.DUMMYFUNCTION("""COMPUTED_VALUE""")," ")</f>
        <v/>
      </c>
    </row>
    <row r="35" ht="15.75" customHeight="1">
      <c r="A35" s="13"/>
      <c r="C35" s="63" t="str">
        <f>IFERROR(__xludf.DUMMYFUNCTION("""COMPUTED_VALUE""")," TOTALE 
PERSONE ONLINE")</f>
        <v>TOTALE 
PERSONE ONLINE</v>
      </c>
      <c r="D35" s="59" t="str">
        <f>IFERROR(__xludf.DUMMYFUNCTION("""COMPUTED_VALUE""")," 1 da €30")</f>
        <v>1 da €30</v>
      </c>
      <c r="E35" s="27" t="str">
        <f>IFERROR(__xludf.DUMMYFUNCTION("""COMPUTED_VALUE""")," 2 da €32")</f>
        <v>2 da €32</v>
      </c>
      <c r="F35" s="27" t="str">
        <f>IFERROR(__xludf.DUMMYFUNCTION("""COMPUTED_VALUE""")," 3 da €37")</f>
        <v>3 da €37</v>
      </c>
      <c r="G35" s="66" t="str">
        <f>IFERROR(__xludf.DUMMYFUNCTION("""COMPUTED_VALUE""")," ")</f>
        <v/>
      </c>
    </row>
    <row r="36" ht="15.75" customHeight="1">
      <c r="A36" s="13"/>
      <c r="B36" s="99"/>
      <c r="C36" s="100" t="str">
        <f>IFERROR(__xludf.DUMMYFUNCTION("""COMPUTED_VALUE""")," subTOTALE ONLINE")</f>
        <v>subTOTALE ONLINE</v>
      </c>
      <c r="D36" s="138">
        <f>IFERROR(__xludf.DUMMYFUNCTION("""COMPUTED_VALUE"""),30.0)</f>
        <v>30</v>
      </c>
      <c r="E36" s="102">
        <f>IFERROR(__xludf.DUMMYFUNCTION("""COMPUTED_VALUE"""),64.0)</f>
        <v>64</v>
      </c>
      <c r="F36" s="97">
        <f>IFERROR(__xludf.DUMMYFUNCTION("""COMPUTED_VALUE"""),111.0)</f>
        <v>111</v>
      </c>
      <c r="G36" s="98" t="str">
        <f>IFERROR(__xludf.DUMMYFUNCTION("""COMPUTED_VALUE""")," ")</f>
        <v/>
      </c>
    </row>
    <row r="37" ht="27.0" customHeight="1">
      <c r="A37" s="13"/>
      <c r="B37" s="139" t="str">
        <f>IFERROR(__xludf.DUMMYFUNCTION("IMPORTRANGE(""https://docs.google.com/spreadsheets/d/1w_v-LytfJUSGD2382sduIgEApmqF1mMjksjNng1JfDs/edit?gid=134075723#gid=134075723"",""WS_JASMINE_ANDRIANO!P177:T181"")")," TOTALE SEDE")</f>
        <v>TOTALE SEDE</v>
      </c>
      <c r="C37" s="104">
        <f>IFERROR(__xludf.DUMMYFUNCTION("""COMPUTED_VALUE"""),60.0)</f>
        <v>60</v>
      </c>
      <c r="D37" s="140" t="str">
        <f>IFERROR(__xludf.DUMMYFUNCTION("""COMPUTED_VALUE""")," TOTALE GENERALE ENTRATE")</f>
        <v>TOTALE GENERALE ENTRATE</v>
      </c>
      <c r="E37" s="106">
        <f>IFERROR(__xludf.DUMMYFUNCTION("""COMPUTED_VALUE"""),265.0)</f>
        <v>265</v>
      </c>
      <c r="F37" s="107"/>
      <c r="G37" s="71"/>
    </row>
    <row r="38" ht="15.75" customHeight="1">
      <c r="A38" s="13"/>
      <c r="D38" s="13"/>
      <c r="F38" s="108"/>
      <c r="G38" s="27"/>
    </row>
    <row r="39" ht="15.75" customHeight="1">
      <c r="A39" s="13"/>
      <c r="D39" s="13"/>
      <c r="F39" s="108"/>
      <c r="G39" s="27"/>
    </row>
    <row r="40" ht="15.75" customHeight="1">
      <c r="A40" s="13"/>
      <c r="B40" s="139" t="str">
        <f>IFERROR(__xludf.DUMMYFUNCTION("""COMPUTED_VALUE""")," TOTALE ONLINE")</f>
        <v>TOTALE ONLINE</v>
      </c>
      <c r="C40" s="109">
        <f>IFERROR(__xludf.DUMMYFUNCTION("""COMPUTED_VALUE"""),205.0)</f>
        <v>205</v>
      </c>
      <c r="D40" s="13"/>
      <c r="F40" s="108"/>
      <c r="G40" s="27"/>
    </row>
    <row r="41" ht="15.75" customHeight="1">
      <c r="A41" s="13"/>
      <c r="D41" s="13"/>
      <c r="F41" s="108"/>
      <c r="G41" s="27"/>
    </row>
    <row r="42" ht="15.75" customHeight="1">
      <c r="A42" s="19"/>
      <c r="B42" s="99"/>
      <c r="C42" s="99"/>
      <c r="D42" s="19"/>
      <c r="E42" s="99"/>
      <c r="F42" s="108"/>
      <c r="G42" s="27"/>
    </row>
    <row r="43" ht="15.75" customHeight="1">
      <c r="A43" s="25"/>
      <c r="B43" s="25"/>
      <c r="C43" s="25"/>
      <c r="D43" s="26"/>
      <c r="E43" s="27"/>
    </row>
    <row r="44" ht="15.75" customHeight="1">
      <c r="A44" s="25"/>
      <c r="B44" s="72" t="s">
        <v>46</v>
      </c>
      <c r="C44" s="21"/>
      <c r="D44" s="22"/>
      <c r="E44" s="23">
        <f>E37+E26</f>
        <v>-809.66</v>
      </c>
    </row>
    <row r="45" ht="15.75" customHeight="1">
      <c r="A45" s="25"/>
      <c r="B45" s="73"/>
      <c r="C45" s="74"/>
      <c r="D45" s="75"/>
      <c r="E45" s="39"/>
    </row>
  </sheetData>
  <mergeCells count="16">
    <mergeCell ref="A1:F1"/>
    <mergeCell ref="A3:A11"/>
    <mergeCell ref="B11:D11"/>
    <mergeCell ref="A13:A24"/>
    <mergeCell ref="B24:D24"/>
    <mergeCell ref="B26:D26"/>
    <mergeCell ref="A28:A30"/>
    <mergeCell ref="C40:C42"/>
    <mergeCell ref="B44:D44"/>
    <mergeCell ref="A32:A42"/>
    <mergeCell ref="B32:B36"/>
    <mergeCell ref="B37:B39"/>
    <mergeCell ref="C37:C39"/>
    <mergeCell ref="D37:D42"/>
    <mergeCell ref="E37:E42"/>
    <mergeCell ref="B40:B42"/>
  </mergeCells>
  <conditionalFormatting sqref="A2:G45">
    <cfRule type="cellIs" dxfId="0" priority="1" operator="lessThan">
      <formula>0</formula>
    </cfRule>
  </conditionalFormatting>
  <dataValidations>
    <dataValidation type="list" allowBlank="1" showErrorMessage="1" sqref="F3:F10 F13:F23">
      <formula1>elenchi!$A$1:$A$100</formula1>
    </dataValidation>
  </dataValidations>
  <hyperlinks>
    <hyperlink r:id="rId2" location="gid=877651539" ref="A1"/>
    <hyperlink r:id="rId3" location="gid=1270308959" ref="B18"/>
    <hyperlink r:id="rId4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4.14"/>
    <col customWidth="1" min="5" max="7" width="17.86"/>
  </cols>
  <sheetData>
    <row r="1" ht="43.5" customHeight="1">
      <c r="A1" s="134" t="s">
        <v>93</v>
      </c>
      <c r="B1" s="2"/>
      <c r="C1" s="2"/>
      <c r="D1" s="2"/>
      <c r="E1" s="2"/>
      <c r="F1" s="3"/>
      <c r="G1" s="77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</row>
    <row r="3">
      <c r="A3" s="8" t="s">
        <v>94</v>
      </c>
      <c r="B3" s="9" t="s">
        <v>72</v>
      </c>
      <c r="C3" s="9" t="s">
        <v>95</v>
      </c>
      <c r="D3" s="10" t="s">
        <v>11</v>
      </c>
      <c r="E3" s="11">
        <f>E36*-30%</f>
        <v>-157.8</v>
      </c>
      <c r="F3" s="12" t="s">
        <v>9</v>
      </c>
      <c r="G3" s="35"/>
    </row>
    <row r="4">
      <c r="A4" s="13"/>
      <c r="B4" s="14" t="s">
        <v>10</v>
      </c>
      <c r="C4" s="14"/>
      <c r="D4" s="15" t="s">
        <v>11</v>
      </c>
      <c r="E4" s="16">
        <v>0.0</v>
      </c>
      <c r="F4" s="17" t="s">
        <v>12</v>
      </c>
      <c r="G4" s="35"/>
    </row>
    <row r="5">
      <c r="A5" s="13"/>
      <c r="B5" s="14" t="s">
        <v>13</v>
      </c>
      <c r="C5" s="18"/>
      <c r="D5" s="15" t="s">
        <v>11</v>
      </c>
      <c r="E5" s="16">
        <v>0.0</v>
      </c>
      <c r="F5" s="17"/>
      <c r="G5" s="35"/>
    </row>
    <row r="6">
      <c r="A6" s="13"/>
      <c r="B6" s="14" t="s">
        <v>14</v>
      </c>
      <c r="C6" s="18"/>
      <c r="D6" s="15" t="s">
        <v>11</v>
      </c>
      <c r="E6" s="16">
        <v>0.0</v>
      </c>
      <c r="F6" s="17"/>
      <c r="G6" s="35"/>
    </row>
    <row r="7">
      <c r="A7" s="13"/>
      <c r="B7" s="14" t="s">
        <v>15</v>
      </c>
      <c r="C7" s="18"/>
      <c r="D7" s="15">
        <v>0.0</v>
      </c>
      <c r="E7" s="16">
        <v>0.0</v>
      </c>
      <c r="F7" s="17"/>
      <c r="G7" s="35"/>
    </row>
    <row r="8">
      <c r="A8" s="13"/>
      <c r="B8" s="14" t="s">
        <v>16</v>
      </c>
      <c r="C8" s="18"/>
      <c r="D8" s="15">
        <v>0.0</v>
      </c>
      <c r="E8" s="16">
        <v>0.0</v>
      </c>
      <c r="F8" s="17"/>
      <c r="G8" s="35"/>
    </row>
    <row r="9">
      <c r="A9" s="13"/>
      <c r="B9" s="14" t="s">
        <v>17</v>
      </c>
      <c r="C9" s="18"/>
      <c r="D9" s="15">
        <v>0.0</v>
      </c>
      <c r="E9" s="16">
        <v>0.0</v>
      </c>
      <c r="F9" s="17"/>
      <c r="G9" s="35"/>
    </row>
    <row r="10">
      <c r="A10" s="13"/>
      <c r="B10" s="14" t="s">
        <v>18</v>
      </c>
      <c r="C10" s="14" t="s">
        <v>74</v>
      </c>
      <c r="D10" s="15">
        <v>2.0</v>
      </c>
      <c r="E10" s="16">
        <v>-36.0</v>
      </c>
      <c r="F10" s="17" t="s">
        <v>20</v>
      </c>
      <c r="G10" s="35"/>
    </row>
    <row r="11">
      <c r="A11" s="19"/>
      <c r="B11" s="20" t="s">
        <v>21</v>
      </c>
      <c r="C11" s="21"/>
      <c r="D11" s="22"/>
      <c r="E11" s="23">
        <f>SUM(E3:E10)</f>
        <v>-193.8</v>
      </c>
      <c r="F11" s="24"/>
      <c r="G11" s="35"/>
    </row>
    <row r="12">
      <c r="A12" s="25"/>
      <c r="B12" s="25"/>
      <c r="C12" s="25"/>
      <c r="D12" s="26"/>
      <c r="E12" s="27"/>
      <c r="F12" s="27"/>
      <c r="G12" s="27"/>
    </row>
    <row r="13">
      <c r="A13" s="8" t="s">
        <v>96</v>
      </c>
      <c r="B13" s="28" t="s">
        <v>23</v>
      </c>
      <c r="C13" s="9" t="s">
        <v>24</v>
      </c>
      <c r="D13" s="10" t="s">
        <v>11</v>
      </c>
      <c r="E13" s="11">
        <v>0.0</v>
      </c>
      <c r="F13" s="11"/>
      <c r="G13" s="35"/>
    </row>
    <row r="14">
      <c r="A14" s="13"/>
      <c r="B14" s="14" t="s">
        <v>25</v>
      </c>
      <c r="C14" s="29" t="s">
        <v>97</v>
      </c>
      <c r="D14" s="15" t="s">
        <v>11</v>
      </c>
      <c r="E14" s="16">
        <v>-33.0</v>
      </c>
      <c r="F14" s="16" t="s">
        <v>9</v>
      </c>
      <c r="G14" s="35"/>
    </row>
    <row r="15">
      <c r="A15" s="13"/>
      <c r="B15" s="14" t="s">
        <v>26</v>
      </c>
      <c r="C15" s="18"/>
      <c r="D15" s="15" t="s">
        <v>11</v>
      </c>
      <c r="E15" s="16">
        <v>0.0</v>
      </c>
      <c r="F15" s="16" t="s">
        <v>27</v>
      </c>
      <c r="G15" s="35"/>
    </row>
    <row r="16">
      <c r="A16" s="13"/>
      <c r="B16" s="14" t="s">
        <v>28</v>
      </c>
      <c r="C16" s="25"/>
      <c r="D16" s="30"/>
      <c r="E16" s="16">
        <v>-10.0</v>
      </c>
      <c r="F16" s="16" t="s">
        <v>9</v>
      </c>
      <c r="G16" s="35"/>
    </row>
    <row r="17">
      <c r="A17" s="13"/>
      <c r="B17" s="14" t="s">
        <v>52</v>
      </c>
      <c r="C17" s="25"/>
      <c r="D17" s="15" t="s">
        <v>11</v>
      </c>
      <c r="E17" s="16">
        <v>0.0</v>
      </c>
      <c r="F17" s="16"/>
      <c r="G17" s="35"/>
    </row>
    <row r="18">
      <c r="A18" s="13"/>
      <c r="B18" s="31" t="s">
        <v>30</v>
      </c>
      <c r="C18" s="14"/>
      <c r="D18" s="15" t="s">
        <v>11</v>
      </c>
      <c r="E18" s="16">
        <v>0.0</v>
      </c>
      <c r="F18" s="16" t="s">
        <v>31</v>
      </c>
      <c r="G18" s="35"/>
    </row>
    <row r="19">
      <c r="A19" s="13"/>
      <c r="B19" s="31" t="s">
        <v>32</v>
      </c>
      <c r="C19" s="14"/>
      <c r="D19" s="15" t="s">
        <v>11</v>
      </c>
      <c r="E19" s="16">
        <v>-9.0</v>
      </c>
      <c r="F19" s="16" t="s">
        <v>31</v>
      </c>
      <c r="G19" s="35"/>
    </row>
    <row r="20">
      <c r="A20" s="13"/>
      <c r="B20" s="14" t="s">
        <v>34</v>
      </c>
      <c r="C20" s="18"/>
      <c r="D20" s="15" t="s">
        <v>11</v>
      </c>
      <c r="E20" s="16">
        <v>-100.0</v>
      </c>
      <c r="F20" s="16" t="s">
        <v>12</v>
      </c>
      <c r="G20" s="35"/>
    </row>
    <row r="21">
      <c r="A21" s="13"/>
      <c r="B21" s="14" t="s">
        <v>35</v>
      </c>
      <c r="C21" s="25"/>
      <c r="D21" s="15" t="s">
        <v>11</v>
      </c>
      <c r="E21" s="16">
        <v>0.0</v>
      </c>
      <c r="F21" s="16"/>
      <c r="G21" s="35"/>
    </row>
    <row r="22">
      <c r="A22" s="13"/>
      <c r="B22" s="33" t="s">
        <v>36</v>
      </c>
      <c r="C22" s="14" t="s">
        <v>98</v>
      </c>
      <c r="D22" s="15">
        <v>11.0</v>
      </c>
      <c r="E22" s="16">
        <f>D22*31*-1.5%</f>
        <v>-5.115</v>
      </c>
      <c r="F22" s="34" t="s">
        <v>38</v>
      </c>
      <c r="G22" s="35"/>
    </row>
    <row r="23">
      <c r="A23" s="19"/>
      <c r="B23" s="20" t="s">
        <v>39</v>
      </c>
      <c r="C23" s="21"/>
      <c r="D23" s="22"/>
      <c r="E23" s="23">
        <f>SUM(E13:E22)</f>
        <v>-157.115</v>
      </c>
      <c r="F23" s="35"/>
      <c r="G23" s="35"/>
    </row>
    <row r="24">
      <c r="A24" s="36"/>
      <c r="B24" s="25"/>
      <c r="C24" s="25"/>
      <c r="D24" s="26"/>
      <c r="E24" s="27"/>
      <c r="F24" s="27"/>
      <c r="G24" s="27"/>
    </row>
    <row r="25" ht="15.75" customHeight="1">
      <c r="A25" s="36"/>
      <c r="B25" s="37" t="s">
        <v>40</v>
      </c>
      <c r="C25" s="21"/>
      <c r="D25" s="22"/>
      <c r="E25" s="38">
        <f>E11+E23</f>
        <v>-350.915</v>
      </c>
      <c r="F25" s="39"/>
      <c r="G25" s="39"/>
    </row>
    <row r="26" ht="15.75" customHeight="1">
      <c r="A26" s="25"/>
      <c r="B26" s="25"/>
      <c r="C26" s="25"/>
      <c r="D26" s="40"/>
      <c r="E26" s="41"/>
      <c r="F26" s="41"/>
      <c r="G26" s="41"/>
    </row>
    <row r="27" ht="15.75" customHeight="1">
      <c r="A27" s="42" t="s">
        <v>99</v>
      </c>
      <c r="B27" s="43" t="s">
        <v>100</v>
      </c>
      <c r="C27" s="44">
        <v>20.0</v>
      </c>
      <c r="D27" s="45">
        <v>25.0</v>
      </c>
      <c r="E27" s="46">
        <f t="shared" ref="E27:E29" si="1">C27*D27</f>
        <v>500</v>
      </c>
      <c r="F27" s="47">
        <f>E25+E27</f>
        <v>149.085</v>
      </c>
      <c r="G27" s="39"/>
    </row>
    <row r="28" ht="15.75" customHeight="1">
      <c r="A28" s="13"/>
      <c r="B28" s="48" t="s">
        <v>101</v>
      </c>
      <c r="C28" s="49">
        <v>37.0</v>
      </c>
      <c r="D28" s="50">
        <v>25.0</v>
      </c>
      <c r="E28" s="51">
        <f t="shared" si="1"/>
        <v>925</v>
      </c>
      <c r="F28" s="52">
        <f>E25+E28</f>
        <v>574.085</v>
      </c>
      <c r="G28" s="39"/>
    </row>
    <row r="29" ht="15.75" customHeight="1">
      <c r="A29" s="19"/>
      <c r="B29" s="53" t="s">
        <v>102</v>
      </c>
      <c r="C29" s="54">
        <v>33.5</v>
      </c>
      <c r="D29" s="55">
        <v>25.0</v>
      </c>
      <c r="E29" s="56">
        <f t="shared" si="1"/>
        <v>837.5</v>
      </c>
      <c r="F29" s="141">
        <f>E25+E29</f>
        <v>486.585</v>
      </c>
      <c r="G29" s="39"/>
    </row>
    <row r="30" ht="15.75" customHeight="1">
      <c r="A30" s="57"/>
      <c r="B30" s="14"/>
      <c r="C30" s="58"/>
      <c r="D30" s="59"/>
      <c r="E30" s="27"/>
      <c r="F30" s="71"/>
      <c r="G30" s="27"/>
    </row>
    <row r="31" ht="15.75" customHeight="1">
      <c r="A31" s="61" t="s">
        <v>45</v>
      </c>
      <c r="B31" s="90" t="str">
        <f>IFERROR(__xludf.DUMMYFUNCTION("IMPORTRANGE(""https://docs.google.com/spreadsheets/d/1w_v-LytfJUSGD2382sduIgEApmqF1mMjksjNng1JfDs/edit?gid=134075723#gid=134075723"",""OC_AMBERALDRIN!D177:I181"")"),"TOTALI WS 1 e 2 ")</f>
        <v>TOTALI WS 1 e 2 </v>
      </c>
      <c r="C31" s="116" t="str">
        <f>IFERROR(__xludf.DUMMYFUNCTION("""COMPUTED_VALUE""")," TOTALE PREZZI")</f>
        <v>TOTALE PREZZI</v>
      </c>
      <c r="D31" s="136">
        <f>IFERROR(__xludf.DUMMYFUNCTION("""COMPUTED_VALUE"""),30.0)</f>
        <v>30</v>
      </c>
      <c r="E31" s="93">
        <f>IFERROR(__xludf.DUMMYFUNCTION("""COMPUTED_VALUE"""),32.0)</f>
        <v>32</v>
      </c>
      <c r="F31" s="93"/>
      <c r="G31" s="94"/>
    </row>
    <row r="32" ht="15.75" customHeight="1">
      <c r="A32" s="13"/>
      <c r="C32" s="120" t="str">
        <f>IFERROR(__xludf.DUMMYFUNCTION("""COMPUTED_VALUE""")," TOTALE 
PERSONE SEDE")</f>
        <v>TOTALE 
PERSONE SEDE</v>
      </c>
      <c r="D32" s="59" t="str">
        <f>IFERROR(__xludf.DUMMYFUNCTION("""COMPUTED_VALUE""")," 5 da €30")</f>
        <v>5 da €30</v>
      </c>
      <c r="E32" s="27" t="str">
        <f>IFERROR(__xludf.DUMMYFUNCTION("""COMPUTED_VALUE""")," 1 da €32")</f>
        <v>1 da €32</v>
      </c>
      <c r="F32" s="27" t="str">
        <f>IFERROR(__xludf.DUMMYFUNCTION("""COMPUTED_VALUE""")," ")</f>
        <v/>
      </c>
      <c r="G32" s="66" t="str">
        <f>IFERROR(__xludf.DUMMYFUNCTION("""COMPUTED_VALUE""")," ")</f>
        <v/>
      </c>
    </row>
    <row r="33" ht="15.75" customHeight="1">
      <c r="A33" s="13"/>
      <c r="C33" s="142" t="str">
        <f>IFERROR(__xludf.DUMMYFUNCTION("""COMPUTED_VALUE""")," subTOTALE SEDE")</f>
        <v>subTOTALE SEDE</v>
      </c>
      <c r="D33" s="137">
        <f>IFERROR(__xludf.DUMMYFUNCTION("""COMPUTED_VALUE"""),150.0)</f>
        <v>150</v>
      </c>
      <c r="E33" s="97">
        <f>IFERROR(__xludf.DUMMYFUNCTION("""COMPUTED_VALUE"""),32.0)</f>
        <v>32</v>
      </c>
      <c r="F33" s="97" t="str">
        <f>IFERROR(__xludf.DUMMYFUNCTION("""COMPUTED_VALUE""")," ")</f>
        <v/>
      </c>
      <c r="G33" s="98" t="str">
        <f>IFERROR(__xludf.DUMMYFUNCTION("""COMPUTED_VALUE""")," ")</f>
        <v/>
      </c>
    </row>
    <row r="34" ht="15.75" customHeight="1">
      <c r="A34" s="13"/>
      <c r="C34" s="120" t="str">
        <f>IFERROR(__xludf.DUMMYFUNCTION("""COMPUTED_VALUE""")," TOTALE 
PERSONE ONLINE")</f>
        <v>TOTALE 
PERSONE ONLINE</v>
      </c>
      <c r="D34" s="59" t="str">
        <f>IFERROR(__xludf.DUMMYFUNCTION("""COMPUTED_VALUE""")," 4 da €30")</f>
        <v>4 da €30</v>
      </c>
      <c r="E34" s="27" t="str">
        <f>IFERROR(__xludf.DUMMYFUNCTION("""COMPUTED_VALUE""")," 7 da €32")</f>
        <v>7 da €32</v>
      </c>
      <c r="F34" s="27" t="str">
        <f>IFERROR(__xludf.DUMMYFUNCTION("""COMPUTED_VALUE""")," ")</f>
        <v/>
      </c>
      <c r="G34" s="66" t="str">
        <f>IFERROR(__xludf.DUMMYFUNCTION("""COMPUTED_VALUE""")," ")</f>
        <v/>
      </c>
    </row>
    <row r="35" ht="15.75" customHeight="1">
      <c r="A35" s="13"/>
      <c r="B35" s="99"/>
      <c r="C35" s="143" t="str">
        <f>IFERROR(__xludf.DUMMYFUNCTION("""COMPUTED_VALUE""")," subTOTALE ONLINE")</f>
        <v>subTOTALE ONLINE</v>
      </c>
      <c r="D35" s="138">
        <f>IFERROR(__xludf.DUMMYFUNCTION("""COMPUTED_VALUE"""),120.0)</f>
        <v>120</v>
      </c>
      <c r="E35" s="102">
        <f>IFERROR(__xludf.DUMMYFUNCTION("""COMPUTED_VALUE"""),224.0)</f>
        <v>224</v>
      </c>
      <c r="F35" s="102" t="str">
        <f>IFERROR(__xludf.DUMMYFUNCTION("""COMPUTED_VALUE""")," ")</f>
        <v/>
      </c>
      <c r="G35" s="144" t="str">
        <f>IFERROR(__xludf.DUMMYFUNCTION("""COMPUTED_VALUE""")," ")</f>
        <v/>
      </c>
    </row>
    <row r="36" ht="18.75" customHeight="1">
      <c r="A36" s="13"/>
      <c r="B36" s="139" t="str">
        <f>IFERROR(__xludf.DUMMYFUNCTION("IMPORTRANGE(""https://docs.google.com/spreadsheets/d/1w_v-LytfJUSGD2382sduIgEApmqF1mMjksjNng1JfDs/edit?gid=134075723#gid=134075723"",""OC_AMBERALDRIN!P177:T181"")")," TOTALE SEDE")</f>
        <v>TOTALE SEDE</v>
      </c>
      <c r="C36" s="104">
        <f>IFERROR(__xludf.DUMMYFUNCTION("""COMPUTED_VALUE"""),182.0)</f>
        <v>182</v>
      </c>
      <c r="D36" s="145" t="str">
        <f>IFERROR(__xludf.DUMMYFUNCTION("""COMPUTED_VALUE""")," TOTALE GENERALE ENTRATE")</f>
        <v>TOTALE GENERALE ENTRATE</v>
      </c>
      <c r="E36" s="131">
        <f>IFERROR(__xludf.DUMMYFUNCTION("""COMPUTED_VALUE"""),526.0)</f>
        <v>526</v>
      </c>
      <c r="F36" s="27"/>
      <c r="G36" s="27"/>
    </row>
    <row r="37" ht="15.75" customHeight="1">
      <c r="A37" s="13"/>
      <c r="D37" s="13"/>
      <c r="E37" s="132"/>
      <c r="F37" s="27"/>
      <c r="G37" s="27"/>
    </row>
    <row r="38" ht="15.75" customHeight="1">
      <c r="A38" s="13"/>
      <c r="D38" s="13"/>
      <c r="E38" s="132"/>
      <c r="F38" s="27"/>
      <c r="G38" s="27"/>
    </row>
    <row r="39" ht="15.75" customHeight="1">
      <c r="A39" s="13"/>
      <c r="B39" s="139" t="str">
        <f>IFERROR(__xludf.DUMMYFUNCTION("""COMPUTED_VALUE""")," TOTALE ONLINE")</f>
        <v>TOTALE ONLINE</v>
      </c>
      <c r="C39" s="109">
        <f>IFERROR(__xludf.DUMMYFUNCTION("""COMPUTED_VALUE"""),344.0)</f>
        <v>344</v>
      </c>
      <c r="D39" s="13"/>
      <c r="E39" s="132"/>
      <c r="F39" s="27"/>
      <c r="G39" s="27"/>
    </row>
    <row r="40" ht="15.75" customHeight="1">
      <c r="A40" s="13"/>
      <c r="D40" s="13"/>
      <c r="E40" s="132"/>
      <c r="F40" s="27"/>
      <c r="G40" s="27"/>
    </row>
    <row r="41" ht="15.75" customHeight="1">
      <c r="A41" s="19"/>
      <c r="B41" s="99"/>
      <c r="C41" s="99"/>
      <c r="D41" s="19"/>
      <c r="E41" s="133"/>
      <c r="F41" s="27"/>
      <c r="G41" s="27"/>
    </row>
    <row r="42" ht="15.75" customHeight="1">
      <c r="A42" s="25"/>
      <c r="B42" s="25"/>
      <c r="C42" s="25"/>
      <c r="D42" s="26"/>
      <c r="E42" s="71"/>
      <c r="F42" s="27"/>
      <c r="G42" s="27"/>
    </row>
    <row r="43" ht="15.75" customHeight="1">
      <c r="A43" s="25"/>
      <c r="B43" s="72" t="s">
        <v>46</v>
      </c>
      <c r="C43" s="21"/>
      <c r="D43" s="22"/>
      <c r="E43" s="23">
        <f>E36+E25</f>
        <v>175.085</v>
      </c>
    </row>
    <row r="44" ht="15.75" customHeight="1">
      <c r="A44" s="25"/>
      <c r="B44" s="73"/>
      <c r="C44" s="74"/>
      <c r="D44" s="75"/>
      <c r="E44" s="39"/>
    </row>
  </sheetData>
  <mergeCells count="16">
    <mergeCell ref="A1:F1"/>
    <mergeCell ref="A3:A11"/>
    <mergeCell ref="B11:D11"/>
    <mergeCell ref="A13:A23"/>
    <mergeCell ref="B23:D23"/>
    <mergeCell ref="B25:D25"/>
    <mergeCell ref="A27:A29"/>
    <mergeCell ref="C39:C41"/>
    <mergeCell ref="B43:D43"/>
    <mergeCell ref="A31:A41"/>
    <mergeCell ref="B31:B35"/>
    <mergeCell ref="B36:B38"/>
    <mergeCell ref="C36:C38"/>
    <mergeCell ref="D36:D41"/>
    <mergeCell ref="E36:E41"/>
    <mergeCell ref="B39:B41"/>
  </mergeCells>
  <conditionalFormatting sqref="A2:G44">
    <cfRule type="cellIs" dxfId="0" priority="1" operator="lessThan">
      <formula>0</formula>
    </cfRule>
  </conditionalFormatting>
  <dataValidations>
    <dataValidation type="list" allowBlank="1" showErrorMessage="1" sqref="F3:F10 F13:F22">
      <formula1>elenchi!$A$1:$A$100</formula1>
    </dataValidation>
  </dataValidations>
  <hyperlinks>
    <hyperlink r:id="rId4" location="gid=2099203427" ref="A1"/>
    <hyperlink r:id="rId5" location="gid=1270308959" ref="B18"/>
    <hyperlink r:id="rId6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6.71"/>
    <col customWidth="1" min="5" max="7" width="17.86"/>
  </cols>
  <sheetData>
    <row r="1" ht="43.5" customHeight="1">
      <c r="A1" s="134" t="s">
        <v>103</v>
      </c>
      <c r="B1" s="2"/>
      <c r="C1" s="2"/>
      <c r="D1" s="2"/>
      <c r="E1" s="2"/>
      <c r="F1" s="3"/>
      <c r="G1" s="146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</row>
    <row r="3">
      <c r="A3" s="8" t="s">
        <v>104</v>
      </c>
      <c r="B3" s="9" t="s">
        <v>7</v>
      </c>
      <c r="C3" s="9" t="s">
        <v>105</v>
      </c>
      <c r="D3" s="147" t="s">
        <v>106</v>
      </c>
      <c r="E3" s="11">
        <f>E36*-30%</f>
        <v>-510</v>
      </c>
      <c r="F3" s="12" t="s">
        <v>9</v>
      </c>
      <c r="G3" s="35"/>
    </row>
    <row r="4">
      <c r="A4" s="13"/>
      <c r="B4" s="14" t="s">
        <v>10</v>
      </c>
      <c r="C4" s="14"/>
      <c r="D4" s="81" t="s">
        <v>11</v>
      </c>
      <c r="E4" s="16">
        <v>0.0</v>
      </c>
      <c r="F4" s="17" t="s">
        <v>12</v>
      </c>
      <c r="G4" s="35"/>
    </row>
    <row r="5">
      <c r="A5" s="13"/>
      <c r="B5" s="14" t="s">
        <v>13</v>
      </c>
      <c r="C5" s="18"/>
      <c r="D5" s="81" t="s">
        <v>11</v>
      </c>
      <c r="E5" s="16">
        <v>0.0</v>
      </c>
      <c r="F5" s="17"/>
      <c r="G5" s="35"/>
    </row>
    <row r="6">
      <c r="A6" s="13"/>
      <c r="B6" s="14" t="s">
        <v>14</v>
      </c>
      <c r="C6" s="18"/>
      <c r="D6" s="81" t="s">
        <v>11</v>
      </c>
      <c r="E6" s="16">
        <v>0.0</v>
      </c>
      <c r="F6" s="17"/>
      <c r="G6" s="35"/>
    </row>
    <row r="7">
      <c r="A7" s="13"/>
      <c r="B7" s="14" t="s">
        <v>15</v>
      </c>
      <c r="C7" s="18"/>
      <c r="D7" s="81" t="s">
        <v>11</v>
      </c>
      <c r="E7" s="16">
        <v>0.0</v>
      </c>
      <c r="F7" s="17"/>
      <c r="G7" s="35"/>
    </row>
    <row r="8">
      <c r="A8" s="13"/>
      <c r="B8" s="14" t="s">
        <v>16</v>
      </c>
      <c r="C8" s="18"/>
      <c r="D8" s="81" t="s">
        <v>11</v>
      </c>
      <c r="E8" s="16">
        <v>0.0</v>
      </c>
      <c r="F8" s="17"/>
      <c r="G8" s="35"/>
    </row>
    <row r="9">
      <c r="A9" s="13"/>
      <c r="B9" s="14" t="s">
        <v>17</v>
      </c>
      <c r="C9" s="18"/>
      <c r="D9" s="81" t="s">
        <v>11</v>
      </c>
      <c r="E9" s="16">
        <v>0.0</v>
      </c>
      <c r="F9" s="17"/>
      <c r="G9" s="35"/>
    </row>
    <row r="10">
      <c r="A10" s="13"/>
      <c r="B10" s="14" t="s">
        <v>18</v>
      </c>
      <c r="C10" s="14" t="s">
        <v>74</v>
      </c>
      <c r="D10" s="81">
        <v>2.0</v>
      </c>
      <c r="E10" s="16">
        <v>-36.0</v>
      </c>
      <c r="F10" s="17" t="s">
        <v>20</v>
      </c>
      <c r="G10" s="35"/>
    </row>
    <row r="11">
      <c r="A11" s="19"/>
      <c r="B11" s="20" t="s">
        <v>21</v>
      </c>
      <c r="C11" s="21"/>
      <c r="D11" s="22"/>
      <c r="E11" s="23">
        <f>SUM(E3:E10)</f>
        <v>-546</v>
      </c>
      <c r="F11" s="24"/>
      <c r="G11" s="35"/>
    </row>
    <row r="12">
      <c r="A12" s="25"/>
      <c r="B12" s="25"/>
      <c r="C12" s="25"/>
      <c r="D12" s="26"/>
      <c r="E12" s="27"/>
      <c r="F12" s="27"/>
      <c r="G12" s="27"/>
    </row>
    <row r="13">
      <c r="A13" s="8" t="s">
        <v>107</v>
      </c>
      <c r="B13" s="28" t="s">
        <v>23</v>
      </c>
      <c r="C13" s="9" t="s">
        <v>24</v>
      </c>
      <c r="D13" s="80" t="s">
        <v>11</v>
      </c>
      <c r="E13" s="11">
        <v>0.0</v>
      </c>
      <c r="F13" s="11"/>
      <c r="G13" s="35"/>
    </row>
    <row r="14">
      <c r="A14" s="13"/>
      <c r="B14" s="14" t="s">
        <v>25</v>
      </c>
      <c r="C14" s="29" t="s">
        <v>108</v>
      </c>
      <c r="D14" s="81" t="s">
        <v>11</v>
      </c>
      <c r="E14" s="16">
        <v>-33.0</v>
      </c>
      <c r="F14" s="16" t="s">
        <v>9</v>
      </c>
      <c r="G14" s="35"/>
    </row>
    <row r="15">
      <c r="A15" s="13"/>
      <c r="B15" s="14" t="s">
        <v>26</v>
      </c>
      <c r="C15" s="14" t="s">
        <v>109</v>
      </c>
      <c r="D15" s="81" t="s">
        <v>11</v>
      </c>
      <c r="E15" s="16">
        <v>-219.6</v>
      </c>
      <c r="F15" s="16" t="s">
        <v>9</v>
      </c>
      <c r="G15" s="35"/>
    </row>
    <row r="16">
      <c r="A16" s="13"/>
      <c r="B16" s="14" t="s">
        <v>28</v>
      </c>
      <c r="C16" s="25"/>
      <c r="D16" s="83"/>
      <c r="E16" s="16">
        <v>-10.0</v>
      </c>
      <c r="F16" s="16" t="s">
        <v>9</v>
      </c>
      <c r="G16" s="35"/>
    </row>
    <row r="17">
      <c r="A17" s="13"/>
      <c r="B17" s="14" t="s">
        <v>52</v>
      </c>
      <c r="C17" s="25"/>
      <c r="D17" s="81" t="s">
        <v>11</v>
      </c>
      <c r="E17" s="16">
        <v>0.0</v>
      </c>
      <c r="F17" s="16"/>
      <c r="G17" s="35"/>
    </row>
    <row r="18">
      <c r="A18" s="13"/>
      <c r="B18" s="31" t="s">
        <v>30</v>
      </c>
      <c r="C18" s="14"/>
      <c r="D18" s="81" t="s">
        <v>11</v>
      </c>
      <c r="E18" s="16">
        <v>-3.0</v>
      </c>
      <c r="F18" s="16" t="s">
        <v>31</v>
      </c>
      <c r="G18" s="35"/>
    </row>
    <row r="19">
      <c r="A19" s="13"/>
      <c r="B19" s="31" t="s">
        <v>32</v>
      </c>
      <c r="C19" s="14"/>
      <c r="D19" s="81" t="s">
        <v>11</v>
      </c>
      <c r="E19" s="16">
        <v>-26.0</v>
      </c>
      <c r="F19" s="16" t="s">
        <v>31</v>
      </c>
      <c r="G19" s="35"/>
    </row>
    <row r="20">
      <c r="A20" s="13"/>
      <c r="B20" s="14" t="s">
        <v>34</v>
      </c>
      <c r="C20" s="18"/>
      <c r="D20" s="81" t="s">
        <v>11</v>
      </c>
      <c r="E20" s="16">
        <v>0.0</v>
      </c>
      <c r="F20" s="16" t="s">
        <v>12</v>
      </c>
      <c r="G20" s="35"/>
    </row>
    <row r="21">
      <c r="A21" s="13"/>
      <c r="B21" s="14" t="s">
        <v>35</v>
      </c>
      <c r="C21" s="25"/>
      <c r="D21" s="81" t="s">
        <v>11</v>
      </c>
      <c r="E21" s="16">
        <v>0.0</v>
      </c>
      <c r="F21" s="16"/>
      <c r="G21" s="35"/>
    </row>
    <row r="22">
      <c r="A22" s="13"/>
      <c r="B22" s="33" t="s">
        <v>36</v>
      </c>
      <c r="C22" s="14" t="s">
        <v>110</v>
      </c>
      <c r="D22" s="81">
        <v>40.0</v>
      </c>
      <c r="E22" s="16">
        <f>D22*34.5*-1.5%</f>
        <v>-20.7</v>
      </c>
      <c r="F22" s="34" t="s">
        <v>38</v>
      </c>
      <c r="G22" s="35"/>
    </row>
    <row r="23">
      <c r="A23" s="19"/>
      <c r="B23" s="20" t="s">
        <v>39</v>
      </c>
      <c r="C23" s="21"/>
      <c r="D23" s="22"/>
      <c r="E23" s="23">
        <f>SUM(E13:E22)</f>
        <v>-312.3</v>
      </c>
      <c r="F23" s="35"/>
      <c r="G23" s="35"/>
    </row>
    <row r="24">
      <c r="A24" s="36"/>
      <c r="B24" s="25"/>
      <c r="C24" s="25"/>
      <c r="D24" s="26"/>
      <c r="E24" s="27"/>
      <c r="F24" s="27"/>
      <c r="G24" s="27"/>
    </row>
    <row r="25" ht="15.75" customHeight="1">
      <c r="A25" s="36"/>
      <c r="B25" s="37" t="s">
        <v>40</v>
      </c>
      <c r="C25" s="21"/>
      <c r="D25" s="22"/>
      <c r="E25" s="38">
        <f>E11+E23</f>
        <v>-858.3</v>
      </c>
      <c r="F25" s="39"/>
      <c r="G25" s="39"/>
    </row>
    <row r="26" ht="15.75" customHeight="1">
      <c r="A26" s="25"/>
      <c r="B26" s="25"/>
      <c r="C26" s="25"/>
      <c r="D26" s="40"/>
      <c r="E26" s="41"/>
      <c r="F26" s="41"/>
      <c r="G26" s="41"/>
    </row>
    <row r="27" ht="15.75" customHeight="1">
      <c r="A27" s="42" t="s">
        <v>111</v>
      </c>
      <c r="B27" s="43" t="s">
        <v>112</v>
      </c>
      <c r="C27" s="44">
        <v>30.0</v>
      </c>
      <c r="D27" s="85">
        <v>80.0</v>
      </c>
      <c r="E27" s="46">
        <f t="shared" ref="E27:E29" si="1">C27*D27</f>
        <v>2400</v>
      </c>
      <c r="F27" s="47">
        <f>E25+E27</f>
        <v>1541.7</v>
      </c>
      <c r="G27" s="39"/>
    </row>
    <row r="28" ht="15.75" customHeight="1">
      <c r="A28" s="13"/>
      <c r="B28" s="48" t="s">
        <v>113</v>
      </c>
      <c r="C28" s="49">
        <v>37.0</v>
      </c>
      <c r="D28" s="86">
        <v>80.0</v>
      </c>
      <c r="E28" s="51">
        <f t="shared" si="1"/>
        <v>2960</v>
      </c>
      <c r="F28" s="52">
        <f>E25+E28</f>
        <v>2101.7</v>
      </c>
      <c r="G28" s="39"/>
    </row>
    <row r="29" ht="15.75" customHeight="1">
      <c r="A29" s="19"/>
      <c r="B29" s="53" t="s">
        <v>114</v>
      </c>
      <c r="C29" s="54">
        <v>33.5</v>
      </c>
      <c r="D29" s="87">
        <v>80.0</v>
      </c>
      <c r="E29" s="56">
        <f t="shared" si="1"/>
        <v>2680</v>
      </c>
      <c r="F29" s="141">
        <f>E25+E29</f>
        <v>1821.7</v>
      </c>
      <c r="G29" s="39"/>
    </row>
    <row r="30" ht="15.75" customHeight="1">
      <c r="A30" s="57"/>
      <c r="B30" s="14"/>
      <c r="C30" s="58"/>
      <c r="D30" s="59"/>
      <c r="E30" s="27"/>
      <c r="F30" s="71"/>
      <c r="G30" s="27"/>
    </row>
    <row r="31" ht="15.75" customHeight="1">
      <c r="A31" s="61" t="s">
        <v>45</v>
      </c>
      <c r="B31" s="90" t="str">
        <f>IFERROR(__xludf.DUMMYFUNCTION("IMPORTRANGE(""https://docs.google.com/spreadsheets/d/1w_v-LytfJUSGD2382sduIgEApmqF1mMjksjNng1JfDs/edit?gid=134075723#gid=134075723"",""WS_DIA_EN_CUBA!D267:I271"")"),"TOTALI WS 1, 2, 3 ")</f>
        <v>TOTALI WS 1, 2, 3 </v>
      </c>
      <c r="C31" s="116" t="str">
        <f>IFERROR(__xludf.DUMMYFUNCTION("""COMPUTED_VALUE""")," TOTALE PREZZI")</f>
        <v>TOTALE PREZZI</v>
      </c>
      <c r="D31" s="136">
        <f>IFERROR(__xludf.DUMMYFUNCTION("""COMPUTED_VALUE"""),0.0)</f>
        <v>0</v>
      </c>
      <c r="E31" s="93">
        <f>IFERROR(__xludf.DUMMYFUNCTION("""COMPUTED_VALUE"""),30.0)</f>
        <v>30</v>
      </c>
      <c r="F31" s="93">
        <f>IFERROR(__xludf.DUMMYFUNCTION("""COMPUTED_VALUE"""),32.0)</f>
        <v>32</v>
      </c>
      <c r="G31" s="94">
        <f>IFERROR(__xludf.DUMMYFUNCTION("""COMPUTED_VALUE"""),33.0)</f>
        <v>33</v>
      </c>
    </row>
    <row r="32" ht="15.75" customHeight="1">
      <c r="A32" s="13"/>
      <c r="C32" s="120" t="str">
        <f>IFERROR(__xludf.DUMMYFUNCTION("""COMPUTED_VALUE""")," TOTALE 
PERSONE SEDE")</f>
        <v>TOTALE 
PERSONE SEDE</v>
      </c>
      <c r="D32" s="59" t="str">
        <f>IFERROR(__xludf.DUMMYFUNCTION("""COMPUTED_VALUE""")," 1 da €0")</f>
        <v>1 da €0</v>
      </c>
      <c r="E32" s="27" t="str">
        <f>IFERROR(__xludf.DUMMYFUNCTION("""COMPUTED_VALUE""")," 4 da €30")</f>
        <v>4 da €30</v>
      </c>
      <c r="F32" s="27" t="str">
        <f>IFERROR(__xludf.DUMMYFUNCTION("""COMPUTED_VALUE""")," 0 da €32")</f>
        <v>0 da €32</v>
      </c>
      <c r="G32" s="66" t="str">
        <f>IFERROR(__xludf.DUMMYFUNCTION("""COMPUTED_VALUE""")," 0 da €33")</f>
        <v>0 da €33</v>
      </c>
    </row>
    <row r="33" ht="15.75" customHeight="1">
      <c r="A33" s="13"/>
      <c r="C33" s="123" t="str">
        <f>IFERROR(__xludf.DUMMYFUNCTION("""COMPUTED_VALUE""")," subTOTALE SEDE")</f>
        <v>subTOTALE SEDE</v>
      </c>
      <c r="D33" s="148">
        <f>IFERROR(__xludf.DUMMYFUNCTION("""COMPUTED_VALUE"""),0.0)</f>
        <v>0</v>
      </c>
      <c r="E33" s="149">
        <f>IFERROR(__xludf.DUMMYFUNCTION("""COMPUTED_VALUE"""),120.0)</f>
        <v>120</v>
      </c>
      <c r="F33" s="149">
        <f>IFERROR(__xludf.DUMMYFUNCTION("""COMPUTED_VALUE"""),0.0)</f>
        <v>0</v>
      </c>
      <c r="G33" s="150">
        <f>IFERROR(__xludf.DUMMYFUNCTION("""COMPUTED_VALUE"""),0.0)</f>
        <v>0</v>
      </c>
    </row>
    <row r="34" ht="15.75" customHeight="1">
      <c r="A34" s="13"/>
      <c r="C34" s="120" t="str">
        <f>IFERROR(__xludf.DUMMYFUNCTION("""COMPUTED_VALUE""")," TOTALE 
PERSONE ONLINE")</f>
        <v>TOTALE 
PERSONE ONLINE</v>
      </c>
      <c r="D34" s="59" t="str">
        <f>IFERROR(__xludf.DUMMYFUNCTION("""COMPUTED_VALUE""")," 39 da €0")</f>
        <v>39 da €0</v>
      </c>
      <c r="E34" s="27" t="str">
        <f>IFERROR(__xludf.DUMMYFUNCTION("""COMPUTED_VALUE""")," 5 da €30")</f>
        <v>5 da €30</v>
      </c>
      <c r="F34" s="27" t="str">
        <f>IFERROR(__xludf.DUMMYFUNCTION("""COMPUTED_VALUE""")," 11 da €32")</f>
        <v>11 da €32</v>
      </c>
      <c r="G34" s="66" t="str">
        <f>IFERROR(__xludf.DUMMYFUNCTION("""COMPUTED_VALUE""")," 1 da €33")</f>
        <v>1 da €33</v>
      </c>
    </row>
    <row r="35" ht="15.75" customHeight="1">
      <c r="A35" s="13"/>
      <c r="C35" s="142" t="str">
        <f>IFERROR(__xludf.DUMMYFUNCTION("""COMPUTED_VALUE""")," subTOTALE ONLINE")</f>
        <v>subTOTALE ONLINE</v>
      </c>
      <c r="D35" s="137">
        <f>IFERROR(__xludf.DUMMYFUNCTION("""COMPUTED_VALUE"""),0.0)</f>
        <v>0</v>
      </c>
      <c r="E35" s="97">
        <f>IFERROR(__xludf.DUMMYFUNCTION("""COMPUTED_VALUE"""),150.0)</f>
        <v>150</v>
      </c>
      <c r="F35" s="97">
        <f>IFERROR(__xludf.DUMMYFUNCTION("""COMPUTED_VALUE"""),352.0)</f>
        <v>352</v>
      </c>
      <c r="G35" s="98">
        <f>IFERROR(__xludf.DUMMYFUNCTION("""COMPUTED_VALUE"""),33.0)</f>
        <v>33</v>
      </c>
    </row>
    <row r="36" ht="15.75" customHeight="1">
      <c r="A36" s="13"/>
      <c r="B36" s="151" t="str">
        <f>IFERROR(__xludf.DUMMYFUNCTION("IMPORTRANGE(""https://docs.google.com/spreadsheets/d/1w_v-LytfJUSGD2382sduIgEApmqF1mMjksjNng1JfDs/edit?gid=134075723#gid=134075723"",""WS_DIA_EN_CUBA!P267:T271"")")," TOTALE SEDE")</f>
        <v>TOTALE SEDE</v>
      </c>
      <c r="C36" s="152">
        <f>IFERROR(__xludf.DUMMYFUNCTION("""COMPUTED_VALUE"""),332.0)</f>
        <v>332</v>
      </c>
      <c r="D36" s="145" t="str">
        <f>IFERROR(__xludf.DUMMYFUNCTION("""COMPUTED_VALUE""")," TOTALE GENERALE ENTRATE")</f>
        <v>TOTALE GENERALE ENTRATE</v>
      </c>
      <c r="E36" s="153">
        <f>IFERROR(__xludf.DUMMYFUNCTION("""COMPUTED_VALUE"""),1700.0)</f>
        <v>1700</v>
      </c>
      <c r="F36" s="107"/>
      <c r="G36" s="71"/>
    </row>
    <row r="37" ht="15.75" customHeight="1">
      <c r="A37" s="13"/>
      <c r="D37" s="13"/>
      <c r="F37" s="108"/>
      <c r="G37" s="27"/>
    </row>
    <row r="38" ht="15.75" customHeight="1">
      <c r="A38" s="13"/>
      <c r="D38" s="13"/>
      <c r="F38" s="108"/>
      <c r="G38" s="27"/>
    </row>
    <row r="39" ht="15.75" customHeight="1">
      <c r="A39" s="13"/>
      <c r="B39" s="139" t="str">
        <f>IFERROR(__xludf.DUMMYFUNCTION("""COMPUTED_VALUE""")," TOTALE ONLINE")</f>
        <v>TOTALE ONLINE</v>
      </c>
      <c r="C39" s="104">
        <f>IFERROR(__xludf.DUMMYFUNCTION("""COMPUTED_VALUE"""),1368.0)</f>
        <v>1368</v>
      </c>
      <c r="D39" s="13"/>
      <c r="F39" s="108"/>
      <c r="G39" s="27"/>
    </row>
    <row r="40" ht="15.75" customHeight="1">
      <c r="A40" s="13"/>
      <c r="D40" s="13"/>
      <c r="F40" s="108"/>
      <c r="G40" s="27"/>
    </row>
    <row r="41" ht="15.75" customHeight="1">
      <c r="A41" s="19"/>
      <c r="B41" s="99"/>
      <c r="C41" s="99"/>
      <c r="D41" s="19"/>
      <c r="E41" s="99"/>
      <c r="F41" s="108"/>
      <c r="G41" s="27"/>
    </row>
    <row r="42" ht="15.75" customHeight="1">
      <c r="A42" s="25"/>
      <c r="B42" s="25"/>
      <c r="C42" s="25"/>
      <c r="D42" s="26"/>
      <c r="E42" s="27"/>
      <c r="F42" s="27"/>
      <c r="G42" s="27"/>
    </row>
    <row r="43" ht="15.75" customHeight="1">
      <c r="A43" s="25"/>
      <c r="B43" s="72" t="s">
        <v>46</v>
      </c>
      <c r="C43" s="21"/>
      <c r="D43" s="22"/>
      <c r="E43" s="23">
        <f>E36+E25</f>
        <v>841.7</v>
      </c>
    </row>
    <row r="44" ht="15.75" customHeight="1">
      <c r="A44" s="25"/>
      <c r="B44" s="73"/>
      <c r="C44" s="74"/>
      <c r="D44" s="75"/>
      <c r="E44" s="39"/>
    </row>
  </sheetData>
  <mergeCells count="16">
    <mergeCell ref="A1:F1"/>
    <mergeCell ref="A3:A11"/>
    <mergeCell ref="B11:D11"/>
    <mergeCell ref="A13:A23"/>
    <mergeCell ref="B23:D23"/>
    <mergeCell ref="B25:D25"/>
    <mergeCell ref="A27:A29"/>
    <mergeCell ref="C39:C41"/>
    <mergeCell ref="B43:D43"/>
    <mergeCell ref="A31:A41"/>
    <mergeCell ref="B31:B35"/>
    <mergeCell ref="B36:B38"/>
    <mergeCell ref="C36:C38"/>
    <mergeCell ref="D36:D41"/>
    <mergeCell ref="E36:E41"/>
    <mergeCell ref="B39:B41"/>
  </mergeCells>
  <conditionalFormatting sqref="A2:G44">
    <cfRule type="cellIs" dxfId="0" priority="1" operator="lessThan">
      <formula>0</formula>
    </cfRule>
  </conditionalFormatting>
  <dataValidations>
    <dataValidation type="list" allowBlank="1" showErrorMessage="1" sqref="F3:F10 F13:F22">
      <formula1>elenchi!$A$1:$A$100</formula1>
    </dataValidation>
  </dataValidations>
  <hyperlinks>
    <hyperlink r:id="rId4" location="gid=600344138" ref="A1"/>
    <hyperlink r:id="rId5" location="gid=1270308959" ref="B18"/>
    <hyperlink r:id="rId6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5.43"/>
    <col customWidth="1" min="5" max="6" width="17.86"/>
  </cols>
  <sheetData>
    <row r="1" ht="43.5" customHeight="1">
      <c r="A1" s="134" t="s">
        <v>115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112" t="s">
        <v>5</v>
      </c>
    </row>
    <row r="3">
      <c r="A3" s="8" t="s">
        <v>116</v>
      </c>
      <c r="B3" s="9" t="s">
        <v>72</v>
      </c>
      <c r="C3" s="9" t="s">
        <v>73</v>
      </c>
      <c r="D3" s="80" t="s">
        <v>11</v>
      </c>
      <c r="E3" s="11">
        <v>-158.0</v>
      </c>
      <c r="F3" s="12" t="s">
        <v>9</v>
      </c>
    </row>
    <row r="4">
      <c r="A4" s="13"/>
      <c r="B4" s="14" t="s">
        <v>10</v>
      </c>
      <c r="C4" s="14"/>
      <c r="D4" s="81" t="s">
        <v>11</v>
      </c>
      <c r="E4" s="16">
        <v>0.0</v>
      </c>
      <c r="F4" s="17"/>
    </row>
    <row r="5">
      <c r="A5" s="13"/>
      <c r="B5" s="14" t="s">
        <v>13</v>
      </c>
      <c r="C5" s="18"/>
      <c r="D5" s="81" t="s">
        <v>11</v>
      </c>
      <c r="E5" s="16">
        <v>0.0</v>
      </c>
      <c r="F5" s="17"/>
    </row>
    <row r="6">
      <c r="A6" s="13"/>
      <c r="B6" s="14" t="s">
        <v>14</v>
      </c>
      <c r="C6" s="18"/>
      <c r="D6" s="81" t="s">
        <v>11</v>
      </c>
      <c r="E6" s="16">
        <v>0.0</v>
      </c>
      <c r="F6" s="17"/>
    </row>
    <row r="7">
      <c r="A7" s="13"/>
      <c r="B7" s="14" t="s">
        <v>15</v>
      </c>
      <c r="C7" s="18"/>
      <c r="D7" s="81" t="s">
        <v>11</v>
      </c>
      <c r="E7" s="16">
        <v>0.0</v>
      </c>
      <c r="F7" s="17"/>
    </row>
    <row r="8">
      <c r="A8" s="13"/>
      <c r="B8" s="14" t="s">
        <v>16</v>
      </c>
      <c r="C8" s="18"/>
      <c r="D8" s="81" t="s">
        <v>11</v>
      </c>
      <c r="E8" s="16">
        <v>0.0</v>
      </c>
      <c r="F8" s="17"/>
    </row>
    <row r="9">
      <c r="A9" s="13"/>
      <c r="B9" s="14" t="s">
        <v>17</v>
      </c>
      <c r="C9" s="18"/>
      <c r="D9" s="81" t="s">
        <v>11</v>
      </c>
      <c r="E9" s="16">
        <v>0.0</v>
      </c>
      <c r="F9" s="17"/>
    </row>
    <row r="10">
      <c r="A10" s="13"/>
      <c r="B10" s="14" t="s">
        <v>18</v>
      </c>
      <c r="C10" s="14" t="s">
        <v>85</v>
      </c>
      <c r="D10" s="81" t="s">
        <v>11</v>
      </c>
      <c r="E10" s="16">
        <v>-18.0</v>
      </c>
      <c r="F10" s="17" t="s">
        <v>20</v>
      </c>
    </row>
    <row r="11">
      <c r="A11" s="19"/>
      <c r="B11" s="20" t="s">
        <v>21</v>
      </c>
      <c r="C11" s="21"/>
      <c r="D11" s="22"/>
      <c r="E11" s="23">
        <f>SUM(E3:E10)</f>
        <v>-176</v>
      </c>
      <c r="F11" s="24"/>
    </row>
    <row r="12">
      <c r="A12" s="25"/>
      <c r="B12" s="25"/>
      <c r="C12" s="25"/>
      <c r="D12" s="26"/>
      <c r="E12" s="27"/>
      <c r="F12" s="27"/>
    </row>
    <row r="13">
      <c r="A13" s="8" t="s">
        <v>117</v>
      </c>
      <c r="B13" s="28" t="s">
        <v>23</v>
      </c>
      <c r="C13" s="9" t="s">
        <v>24</v>
      </c>
      <c r="D13" s="80" t="s">
        <v>11</v>
      </c>
      <c r="E13" s="11">
        <v>0.0</v>
      </c>
      <c r="F13" s="11"/>
    </row>
    <row r="14">
      <c r="A14" s="13"/>
      <c r="B14" s="14" t="s">
        <v>25</v>
      </c>
      <c r="C14" s="29" t="s">
        <v>76</v>
      </c>
      <c r="D14" s="81" t="s">
        <v>11</v>
      </c>
      <c r="E14" s="16">
        <v>-75.0</v>
      </c>
      <c r="F14" s="16" t="s">
        <v>9</v>
      </c>
    </row>
    <row r="15">
      <c r="A15" s="13"/>
      <c r="B15" s="14" t="s">
        <v>26</v>
      </c>
      <c r="C15" s="18"/>
      <c r="D15" s="81" t="s">
        <v>11</v>
      </c>
      <c r="E15" s="16">
        <v>0.0</v>
      </c>
      <c r="F15" s="16"/>
    </row>
    <row r="16">
      <c r="A16" s="13"/>
      <c r="B16" s="14" t="s">
        <v>28</v>
      </c>
      <c r="C16" s="25"/>
      <c r="D16" s="83"/>
      <c r="E16" s="16">
        <v>0.0</v>
      </c>
      <c r="F16" s="16" t="s">
        <v>9</v>
      </c>
    </row>
    <row r="17">
      <c r="A17" s="13"/>
      <c r="B17" s="14" t="s">
        <v>52</v>
      </c>
      <c r="C17" s="25"/>
      <c r="D17" s="81" t="s">
        <v>11</v>
      </c>
      <c r="E17" s="16">
        <v>0.0</v>
      </c>
      <c r="F17" s="16"/>
    </row>
    <row r="18">
      <c r="A18" s="13"/>
      <c r="B18" s="31" t="s">
        <v>30</v>
      </c>
      <c r="C18" s="14"/>
      <c r="D18" s="81" t="s">
        <v>11</v>
      </c>
      <c r="E18" s="16">
        <v>-1.5</v>
      </c>
      <c r="F18" s="16" t="s">
        <v>31</v>
      </c>
    </row>
    <row r="19">
      <c r="A19" s="13"/>
      <c r="B19" s="31" t="s">
        <v>32</v>
      </c>
      <c r="C19" s="14"/>
      <c r="D19" s="81" t="s">
        <v>11</v>
      </c>
      <c r="E19" s="16">
        <v>-24.0</v>
      </c>
      <c r="F19" s="16" t="s">
        <v>31</v>
      </c>
    </row>
    <row r="20">
      <c r="A20" s="13"/>
      <c r="B20" s="14" t="s">
        <v>34</v>
      </c>
      <c r="C20" s="18"/>
      <c r="D20" s="81" t="s">
        <v>11</v>
      </c>
      <c r="E20" s="16">
        <v>0.0</v>
      </c>
      <c r="F20" s="16" t="s">
        <v>12</v>
      </c>
    </row>
    <row r="21">
      <c r="A21" s="13"/>
      <c r="B21" s="14" t="s">
        <v>35</v>
      </c>
      <c r="C21" s="25"/>
      <c r="D21" s="81" t="s">
        <v>11</v>
      </c>
      <c r="E21" s="16">
        <v>0.0</v>
      </c>
      <c r="F21" s="16"/>
    </row>
    <row r="22">
      <c r="A22" s="13"/>
      <c r="B22" s="33" t="s">
        <v>36</v>
      </c>
      <c r="C22" s="14" t="s">
        <v>77</v>
      </c>
      <c r="D22" s="81">
        <v>38.0</v>
      </c>
      <c r="E22" s="16">
        <f>D22*23.5*-1.5%</f>
        <v>-13.395</v>
      </c>
      <c r="F22" s="34" t="s">
        <v>38</v>
      </c>
    </row>
    <row r="23">
      <c r="A23" s="19"/>
      <c r="B23" s="20" t="s">
        <v>39</v>
      </c>
      <c r="C23" s="21"/>
      <c r="D23" s="22"/>
      <c r="E23" s="23">
        <f>SUM(E13:E22)</f>
        <v>-113.895</v>
      </c>
      <c r="F23" s="35"/>
    </row>
    <row r="24">
      <c r="A24" s="36"/>
      <c r="B24" s="25"/>
      <c r="C24" s="25"/>
      <c r="D24" s="26"/>
      <c r="E24" s="27"/>
      <c r="F24" s="27"/>
    </row>
    <row r="25" ht="15.75" customHeight="1">
      <c r="A25" s="36"/>
      <c r="B25" s="37" t="s">
        <v>40</v>
      </c>
      <c r="C25" s="21"/>
      <c r="D25" s="22"/>
      <c r="E25" s="38">
        <f>E11+E23</f>
        <v>-289.895</v>
      </c>
      <c r="F25" s="39"/>
    </row>
    <row r="26" ht="15.75" customHeight="1">
      <c r="A26" s="25"/>
      <c r="B26" s="25"/>
      <c r="C26" s="25"/>
      <c r="D26" s="40"/>
      <c r="E26" s="41"/>
      <c r="F26" s="41"/>
    </row>
    <row r="27" ht="15.75" customHeight="1">
      <c r="A27" s="42" t="s">
        <v>118</v>
      </c>
      <c r="B27" s="43" t="s">
        <v>119</v>
      </c>
      <c r="C27" s="44">
        <v>20.0</v>
      </c>
      <c r="D27" s="85">
        <v>15.0</v>
      </c>
      <c r="E27" s="46">
        <f t="shared" ref="E27:E29" si="1">C27*D27</f>
        <v>300</v>
      </c>
      <c r="F27" s="47">
        <f>E25+E27</f>
        <v>10.105</v>
      </c>
    </row>
    <row r="28" ht="15.75" customHeight="1">
      <c r="A28" s="13"/>
      <c r="B28" s="48" t="s">
        <v>120</v>
      </c>
      <c r="C28" s="49">
        <v>27.0</v>
      </c>
      <c r="D28" s="86">
        <v>15.0</v>
      </c>
      <c r="E28" s="51">
        <f t="shared" si="1"/>
        <v>405</v>
      </c>
      <c r="F28" s="52">
        <f>E25+E28</f>
        <v>115.105</v>
      </c>
    </row>
    <row r="29" ht="15.75" customHeight="1">
      <c r="A29" s="19"/>
      <c r="B29" s="53" t="s">
        <v>121</v>
      </c>
      <c r="C29" s="54">
        <v>23.5</v>
      </c>
      <c r="D29" s="87">
        <v>15.0</v>
      </c>
      <c r="E29" s="114">
        <f t="shared" si="1"/>
        <v>352.5</v>
      </c>
      <c r="F29" s="52">
        <f>E25+E29</f>
        <v>62.605</v>
      </c>
    </row>
    <row r="30" ht="15.75" customHeight="1">
      <c r="A30" s="57"/>
      <c r="B30" s="14"/>
      <c r="C30" s="58"/>
      <c r="D30" s="59"/>
      <c r="E30" s="115"/>
      <c r="F30" s="27"/>
    </row>
    <row r="31" ht="15.75" customHeight="1">
      <c r="A31" s="61" t="s">
        <v>45</v>
      </c>
      <c r="B31" s="90" t="str">
        <f>IFERROR(__xludf.DUMMYFUNCTION("IMPORTRANGE(""https://docs.google.com/spreadsheets/d/1w_v-LytfJUSGD2382sduIgEApmqF1mMjksjNng1JfDs/edit?gid=134075723#gid=134075723"",""OC_ANAHITA!D177:G181"")"),"TOTALI WS 1 e 2 ")</f>
        <v>TOTALI WS 1 e 2 </v>
      </c>
      <c r="C31" s="116" t="str">
        <f>IFERROR(__xludf.DUMMYFUNCTION("""COMPUTED_VALUE""")," TOTALE PREZZI")</f>
        <v>TOTALE PREZZI</v>
      </c>
      <c r="D31" s="117">
        <f>IFERROR(__xludf.DUMMYFUNCTION("""COMPUTED_VALUE"""),20.0)</f>
        <v>20</v>
      </c>
      <c r="E31" s="118">
        <f>IFERROR(__xludf.DUMMYFUNCTION("""COMPUTED_VALUE"""),22.0)</f>
        <v>22</v>
      </c>
      <c r="F31" s="119"/>
    </row>
    <row r="32" ht="15.75" customHeight="1">
      <c r="A32" s="13"/>
      <c r="C32" s="120" t="str">
        <f>IFERROR(__xludf.DUMMYFUNCTION("""COMPUTED_VALUE""")," TOTALE 
PERSONE SEDE")</f>
        <v>TOTALE 
PERSONE SEDE</v>
      </c>
      <c r="D32" s="121" t="str">
        <f>IFERROR(__xludf.DUMMYFUNCTION("""COMPUTED_VALUE""")," 2 da €20")</f>
        <v>2 da €20</v>
      </c>
      <c r="E32" s="122" t="str">
        <f>IFERROR(__xludf.DUMMYFUNCTION("""COMPUTED_VALUE""")," 0 da €22")</f>
        <v>0 da €22</v>
      </c>
      <c r="F32" s="119"/>
    </row>
    <row r="33" ht="15.75" customHeight="1">
      <c r="A33" s="13"/>
      <c r="C33" s="123" t="str">
        <f>IFERROR(__xludf.DUMMYFUNCTION("""COMPUTED_VALUE""")," subTOTALE SEDE")</f>
        <v>subTOTALE SEDE</v>
      </c>
      <c r="D33" s="124">
        <f>IFERROR(__xludf.DUMMYFUNCTION("""COMPUTED_VALUE"""),40.0)</f>
        <v>40</v>
      </c>
      <c r="E33" s="125">
        <f>IFERROR(__xludf.DUMMYFUNCTION("""COMPUTED_VALUE"""),0.0)</f>
        <v>0</v>
      </c>
      <c r="F33" s="119"/>
    </row>
    <row r="34" ht="15.75" customHeight="1">
      <c r="A34" s="13"/>
      <c r="C34" s="120" t="str">
        <f>IFERROR(__xludf.DUMMYFUNCTION("""COMPUTED_VALUE""")," TOTALE 
PERSONE ONLINE")</f>
        <v>TOTALE 
PERSONE ONLINE</v>
      </c>
      <c r="D34" s="121" t="str">
        <f>IFERROR(__xludf.DUMMYFUNCTION("""COMPUTED_VALUE""")," 19 da €20")</f>
        <v>19 da €20</v>
      </c>
      <c r="E34" s="122" t="str">
        <f>IFERROR(__xludf.DUMMYFUNCTION("""COMPUTED_VALUE""")," 12 da €22")</f>
        <v>12 da €22</v>
      </c>
      <c r="F34" s="119"/>
    </row>
    <row r="35" ht="15.75" customHeight="1">
      <c r="A35" s="13"/>
      <c r="B35" s="126"/>
      <c r="C35" s="127" t="str">
        <f>IFERROR(__xludf.DUMMYFUNCTION("""COMPUTED_VALUE""")," subTOTALE ONLINE")</f>
        <v>subTOTALE ONLINE</v>
      </c>
      <c r="D35" s="128">
        <f>IFERROR(__xludf.DUMMYFUNCTION("""COMPUTED_VALUE"""),380.0)</f>
        <v>380</v>
      </c>
      <c r="E35" s="129">
        <f>IFERROR(__xludf.DUMMYFUNCTION("""COMPUTED_VALUE"""),264.0)</f>
        <v>264</v>
      </c>
      <c r="F35" s="119"/>
    </row>
    <row r="36" ht="15.75" customHeight="1">
      <c r="A36" s="13"/>
      <c r="B36" s="139" t="str">
        <f>IFERROR(__xludf.DUMMYFUNCTION("IMPORTRANGE(""https://docs.google.com/spreadsheets/d/1w_v-LytfJUSGD2382sduIgEApmqF1mMjksjNng1JfDs/edit?gid=134075723#gid=134075723"",""OC_ANAHITA!P177:T181"")")," TOTALE SEDE")</f>
        <v>TOTALE SEDE</v>
      </c>
      <c r="C36" s="104">
        <f>IFERROR(__xludf.DUMMYFUNCTION("""COMPUTED_VALUE"""),67.0)</f>
        <v>67</v>
      </c>
      <c r="D36" s="130" t="str">
        <f>IFERROR(__xludf.DUMMYFUNCTION("""COMPUTED_VALUE""")," TOTALE GENERALE ENTRATE")</f>
        <v>TOTALE GENERALE ENTRATE</v>
      </c>
      <c r="E36" s="131">
        <f>IFERROR(__xludf.DUMMYFUNCTION("""COMPUTED_VALUE"""),896.0)</f>
        <v>896</v>
      </c>
      <c r="F36" s="27"/>
    </row>
    <row r="37" ht="15.75" customHeight="1">
      <c r="A37" s="13"/>
      <c r="D37" s="13"/>
      <c r="E37" s="132"/>
      <c r="F37" s="27"/>
    </row>
    <row r="38" ht="15.75" customHeight="1">
      <c r="A38" s="13"/>
      <c r="D38" s="13"/>
      <c r="E38" s="132"/>
      <c r="F38" s="27"/>
    </row>
    <row r="39" ht="15.75" customHeight="1">
      <c r="A39" s="13"/>
      <c r="B39" s="139" t="str">
        <f>IFERROR(__xludf.DUMMYFUNCTION("""COMPUTED_VALUE""")," TOTALE ONLINE")</f>
        <v>TOTALE ONLINE</v>
      </c>
      <c r="C39" s="109">
        <f>IFERROR(__xludf.DUMMYFUNCTION("""COMPUTED_VALUE"""),829.0)</f>
        <v>829</v>
      </c>
      <c r="D39" s="13"/>
      <c r="E39" s="132"/>
      <c r="F39" s="27"/>
    </row>
    <row r="40" ht="15.75" customHeight="1">
      <c r="A40" s="13"/>
      <c r="D40" s="13"/>
      <c r="E40" s="132"/>
      <c r="F40" s="27"/>
    </row>
    <row r="41" ht="15.75" customHeight="1">
      <c r="A41" s="19"/>
      <c r="B41" s="99"/>
      <c r="C41" s="99"/>
      <c r="D41" s="19"/>
      <c r="E41" s="133"/>
      <c r="F41" s="27"/>
    </row>
    <row r="42" ht="15.75" customHeight="1">
      <c r="A42" s="25"/>
      <c r="B42" s="25"/>
      <c r="C42" s="25"/>
      <c r="D42" s="26"/>
      <c r="E42" s="27"/>
    </row>
    <row r="43" ht="15.75" customHeight="1">
      <c r="A43" s="25"/>
      <c r="B43" s="72" t="s">
        <v>46</v>
      </c>
      <c r="C43" s="21"/>
      <c r="D43" s="22"/>
      <c r="E43" s="23">
        <f>E36+E25</f>
        <v>606.105</v>
      </c>
    </row>
    <row r="44" ht="15.75" customHeight="1">
      <c r="A44" s="25"/>
      <c r="B44" s="73"/>
      <c r="C44" s="74"/>
      <c r="D44" s="75"/>
      <c r="E44" s="39"/>
    </row>
  </sheetData>
  <mergeCells count="16">
    <mergeCell ref="A1:F1"/>
    <mergeCell ref="A3:A11"/>
    <mergeCell ref="B11:D11"/>
    <mergeCell ref="A13:A23"/>
    <mergeCell ref="B23:D23"/>
    <mergeCell ref="B25:D25"/>
    <mergeCell ref="A27:A29"/>
    <mergeCell ref="C39:C41"/>
    <mergeCell ref="B43:D43"/>
    <mergeCell ref="A31:A41"/>
    <mergeCell ref="B31:B35"/>
    <mergeCell ref="B36:B38"/>
    <mergeCell ref="C36:C38"/>
    <mergeCell ref="D36:D41"/>
    <mergeCell ref="E36:E41"/>
    <mergeCell ref="B39:B41"/>
  </mergeCells>
  <conditionalFormatting sqref="A2:F44">
    <cfRule type="cellIs" dxfId="0" priority="1" operator="lessThan">
      <formula>0</formula>
    </cfRule>
  </conditionalFormatting>
  <dataValidations>
    <dataValidation type="list" allowBlank="1" showErrorMessage="1" sqref="F3:F10 F13:F22">
      <formula1>elenchi!$A$1:$A$100</formula1>
    </dataValidation>
  </dataValidations>
  <hyperlinks>
    <hyperlink r:id="rId2" location="gid=1366849665" ref="A1"/>
    <hyperlink r:id="rId3" location="gid=1270308959" ref="B18"/>
    <hyperlink r:id="rId4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5"/>
  <legacy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2.71"/>
    <col customWidth="1" min="5" max="8" width="17.86"/>
  </cols>
  <sheetData>
    <row r="1" ht="43.5" customHeight="1">
      <c r="A1" s="134" t="s">
        <v>122</v>
      </c>
      <c r="B1" s="2"/>
      <c r="C1" s="2"/>
      <c r="D1" s="2"/>
      <c r="E1" s="2"/>
      <c r="F1" s="3"/>
      <c r="G1" s="146"/>
      <c r="H1" s="146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112" t="s">
        <v>5</v>
      </c>
      <c r="G2" s="79"/>
      <c r="H2" s="79"/>
    </row>
    <row r="3">
      <c r="A3" s="8" t="s">
        <v>123</v>
      </c>
      <c r="B3" s="9" t="s">
        <v>7</v>
      </c>
      <c r="C3" s="9" t="s">
        <v>124</v>
      </c>
      <c r="D3" s="80">
        <v>2.0</v>
      </c>
      <c r="E3" s="11">
        <v>-2300.0</v>
      </c>
      <c r="F3" s="12" t="s">
        <v>9</v>
      </c>
      <c r="G3" s="35"/>
      <c r="H3" s="35"/>
    </row>
    <row r="4">
      <c r="A4" s="13"/>
      <c r="B4" s="14" t="s">
        <v>10</v>
      </c>
      <c r="C4" s="14" t="s">
        <v>125</v>
      </c>
      <c r="D4" s="81">
        <v>2.0</v>
      </c>
      <c r="E4" s="16">
        <v>-413.0</v>
      </c>
      <c r="F4" s="17" t="s">
        <v>12</v>
      </c>
      <c r="G4" s="35"/>
      <c r="H4" s="35"/>
    </row>
    <row r="5">
      <c r="A5" s="13"/>
      <c r="B5" s="14" t="s">
        <v>13</v>
      </c>
      <c r="C5" s="18"/>
      <c r="D5" s="81" t="s">
        <v>11</v>
      </c>
      <c r="E5" s="16">
        <v>0.0</v>
      </c>
      <c r="F5" s="17"/>
      <c r="G5" s="35"/>
      <c r="H5" s="35"/>
    </row>
    <row r="6">
      <c r="A6" s="13"/>
      <c r="B6" s="14" t="s">
        <v>14</v>
      </c>
      <c r="C6" s="18"/>
      <c r="D6" s="81" t="s">
        <v>11</v>
      </c>
      <c r="E6" s="16">
        <v>0.0</v>
      </c>
      <c r="F6" s="17"/>
      <c r="G6" s="35"/>
      <c r="H6" s="35"/>
    </row>
    <row r="7">
      <c r="A7" s="13"/>
      <c r="B7" s="14" t="s">
        <v>15</v>
      </c>
      <c r="C7" s="18"/>
      <c r="D7" s="81" t="s">
        <v>11</v>
      </c>
      <c r="E7" s="16">
        <v>0.0</v>
      </c>
      <c r="F7" s="17"/>
      <c r="G7" s="35"/>
      <c r="H7" s="35"/>
    </row>
    <row r="8">
      <c r="A8" s="13"/>
      <c r="B8" s="14" t="s">
        <v>16</v>
      </c>
      <c r="C8" s="18"/>
      <c r="D8" s="81" t="s">
        <v>11</v>
      </c>
      <c r="E8" s="16">
        <v>0.0</v>
      </c>
      <c r="F8" s="17"/>
      <c r="G8" s="35"/>
      <c r="H8" s="35"/>
    </row>
    <row r="9">
      <c r="A9" s="13"/>
      <c r="B9" s="14" t="s">
        <v>17</v>
      </c>
      <c r="C9" s="18"/>
      <c r="D9" s="81" t="s">
        <v>11</v>
      </c>
      <c r="E9" s="16">
        <v>0.0</v>
      </c>
      <c r="F9" s="17"/>
      <c r="G9" s="35"/>
      <c r="H9" s="35"/>
    </row>
    <row r="10">
      <c r="A10" s="13"/>
      <c r="B10" s="14" t="s">
        <v>18</v>
      </c>
      <c r="C10" s="14" t="s">
        <v>49</v>
      </c>
      <c r="D10" s="81">
        <v>1.0</v>
      </c>
      <c r="E10" s="16">
        <v>-18.0</v>
      </c>
      <c r="F10" s="17" t="s">
        <v>20</v>
      </c>
      <c r="G10" s="35"/>
      <c r="H10" s="35"/>
    </row>
    <row r="11">
      <c r="A11" s="19"/>
      <c r="B11" s="20" t="s">
        <v>21</v>
      </c>
      <c r="C11" s="21"/>
      <c r="D11" s="22"/>
      <c r="E11" s="23">
        <f>SUM(E3:E10)</f>
        <v>-2731</v>
      </c>
      <c r="F11" s="24"/>
      <c r="G11" s="35"/>
      <c r="H11" s="35"/>
    </row>
    <row r="12">
      <c r="A12" s="25"/>
      <c r="B12" s="25"/>
      <c r="C12" s="25"/>
      <c r="D12" s="26"/>
      <c r="E12" s="27"/>
      <c r="F12" s="27"/>
      <c r="G12" s="27"/>
      <c r="H12" s="27"/>
    </row>
    <row r="13">
      <c r="A13" s="8" t="s">
        <v>126</v>
      </c>
      <c r="B13" s="28" t="s">
        <v>23</v>
      </c>
      <c r="C13" s="9" t="s">
        <v>24</v>
      </c>
      <c r="D13" s="80" t="s">
        <v>11</v>
      </c>
      <c r="E13" s="11">
        <v>0.0</v>
      </c>
      <c r="F13" s="11"/>
      <c r="G13" s="35"/>
      <c r="H13" s="35"/>
    </row>
    <row r="14">
      <c r="A14" s="13"/>
      <c r="B14" s="14" t="s">
        <v>25</v>
      </c>
      <c r="C14" s="29" t="s">
        <v>127</v>
      </c>
      <c r="D14" s="81" t="s">
        <v>11</v>
      </c>
      <c r="E14" s="16">
        <v>-50.0</v>
      </c>
      <c r="F14" s="16" t="s">
        <v>9</v>
      </c>
      <c r="G14" s="35"/>
      <c r="H14" s="35"/>
    </row>
    <row r="15">
      <c r="A15" s="13"/>
      <c r="B15" s="14" t="s">
        <v>26</v>
      </c>
      <c r="C15" s="18"/>
      <c r="D15" s="81" t="s">
        <v>11</v>
      </c>
      <c r="E15" s="16">
        <v>-200.0</v>
      </c>
      <c r="F15" s="16" t="s">
        <v>27</v>
      </c>
      <c r="G15" s="35"/>
      <c r="H15" s="35"/>
    </row>
    <row r="16">
      <c r="A16" s="13"/>
      <c r="B16" s="14" t="s">
        <v>28</v>
      </c>
      <c r="C16" s="25"/>
      <c r="D16" s="83"/>
      <c r="E16" s="16">
        <v>-10.0</v>
      </c>
      <c r="F16" s="16" t="s">
        <v>9</v>
      </c>
      <c r="G16" s="35"/>
      <c r="H16" s="35"/>
    </row>
    <row r="17">
      <c r="A17" s="13"/>
      <c r="B17" s="14" t="s">
        <v>52</v>
      </c>
      <c r="C17" s="25"/>
      <c r="D17" s="81" t="s">
        <v>11</v>
      </c>
      <c r="E17" s="16">
        <v>-33.0</v>
      </c>
      <c r="F17" s="16" t="s">
        <v>9</v>
      </c>
      <c r="G17" s="35"/>
      <c r="H17" s="35"/>
    </row>
    <row r="18">
      <c r="A18" s="13"/>
      <c r="B18" s="31" t="s">
        <v>30</v>
      </c>
      <c r="C18" s="14"/>
      <c r="D18" s="81" t="s">
        <v>11</v>
      </c>
      <c r="E18" s="16">
        <v>0.0</v>
      </c>
      <c r="F18" s="16" t="s">
        <v>31</v>
      </c>
      <c r="G18" s="35"/>
      <c r="H18" s="35"/>
    </row>
    <row r="19">
      <c r="A19" s="13"/>
      <c r="B19" s="31" t="s">
        <v>32</v>
      </c>
      <c r="C19" s="14"/>
      <c r="D19" s="81" t="s">
        <v>11</v>
      </c>
      <c r="E19" s="16">
        <v>-43.0</v>
      </c>
      <c r="F19" s="16" t="s">
        <v>31</v>
      </c>
      <c r="G19" s="35"/>
      <c r="H19" s="35"/>
    </row>
    <row r="20">
      <c r="A20" s="13"/>
      <c r="B20" s="14" t="s">
        <v>34</v>
      </c>
      <c r="C20" s="18"/>
      <c r="D20" s="81" t="s">
        <v>11</v>
      </c>
      <c r="E20" s="16">
        <v>-200.0</v>
      </c>
      <c r="F20" s="16" t="s">
        <v>12</v>
      </c>
      <c r="G20" s="35"/>
      <c r="H20" s="35"/>
    </row>
    <row r="21">
      <c r="A21" s="13"/>
      <c r="B21" s="14" t="s">
        <v>35</v>
      </c>
      <c r="C21" s="25"/>
      <c r="D21" s="81" t="s">
        <v>11</v>
      </c>
      <c r="E21" s="16">
        <v>0.0</v>
      </c>
      <c r="F21" s="16"/>
      <c r="G21" s="35"/>
      <c r="H21" s="35"/>
    </row>
    <row r="22">
      <c r="A22" s="13"/>
      <c r="B22" s="33" t="s">
        <v>36</v>
      </c>
      <c r="C22" s="14" t="s">
        <v>128</v>
      </c>
      <c r="D22" s="81">
        <v>85.0</v>
      </c>
      <c r="E22" s="16">
        <f>D22*44*-1.5%</f>
        <v>-56.1</v>
      </c>
      <c r="F22" s="34" t="s">
        <v>38</v>
      </c>
      <c r="G22" s="35"/>
      <c r="H22" s="35"/>
    </row>
    <row r="23">
      <c r="A23" s="19"/>
      <c r="B23" s="20" t="s">
        <v>39</v>
      </c>
      <c r="C23" s="21"/>
      <c r="D23" s="22"/>
      <c r="E23" s="23">
        <f>SUM(E13:E22)</f>
        <v>-592.1</v>
      </c>
      <c r="F23" s="35"/>
      <c r="G23" s="35"/>
      <c r="H23" s="35"/>
    </row>
    <row r="24">
      <c r="A24" s="36"/>
      <c r="B24" s="25"/>
      <c r="C24" s="25"/>
      <c r="D24" s="26"/>
      <c r="E24" s="27"/>
      <c r="F24" s="27"/>
      <c r="G24" s="27"/>
      <c r="H24" s="27"/>
    </row>
    <row r="25" ht="15.75" customHeight="1">
      <c r="A25" s="36"/>
      <c r="B25" s="37" t="s">
        <v>40</v>
      </c>
      <c r="C25" s="21"/>
      <c r="D25" s="22"/>
      <c r="E25" s="38">
        <f>E11+E23</f>
        <v>-3323.1</v>
      </c>
      <c r="F25" s="39"/>
      <c r="G25" s="39"/>
      <c r="H25" s="39"/>
    </row>
    <row r="26" ht="15.75" customHeight="1">
      <c r="A26" s="25"/>
      <c r="B26" s="25"/>
      <c r="C26" s="25"/>
      <c r="D26" s="40"/>
      <c r="E26" s="41"/>
      <c r="F26" s="41"/>
      <c r="G26" s="41"/>
      <c r="H26" s="41"/>
    </row>
    <row r="27" ht="15.75" customHeight="1">
      <c r="A27" s="42" t="s">
        <v>129</v>
      </c>
      <c r="B27" s="43" t="s">
        <v>130</v>
      </c>
      <c r="C27" s="44">
        <v>43.0</v>
      </c>
      <c r="D27" s="85">
        <v>60.0</v>
      </c>
      <c r="E27" s="46">
        <f t="shared" ref="E27:E29" si="1">C27*D27</f>
        <v>2580</v>
      </c>
      <c r="F27" s="47">
        <f>E25+E27</f>
        <v>-743.1</v>
      </c>
      <c r="G27" s="39"/>
      <c r="H27" s="39"/>
    </row>
    <row r="28" ht="15.75" customHeight="1">
      <c r="A28" s="13"/>
      <c r="B28" s="48" t="s">
        <v>131</v>
      </c>
      <c r="C28" s="49">
        <v>45.0</v>
      </c>
      <c r="D28" s="86">
        <v>60.0</v>
      </c>
      <c r="E28" s="51">
        <f t="shared" si="1"/>
        <v>2700</v>
      </c>
      <c r="F28" s="52">
        <f>E25+E28</f>
        <v>-623.1</v>
      </c>
      <c r="G28" s="39"/>
      <c r="H28" s="39"/>
    </row>
    <row r="29" ht="15.75" customHeight="1">
      <c r="A29" s="19"/>
      <c r="B29" s="53" t="s">
        <v>132</v>
      </c>
      <c r="C29" s="54">
        <v>44.0</v>
      </c>
      <c r="D29" s="87">
        <v>60.0</v>
      </c>
      <c r="E29" s="114">
        <f t="shared" si="1"/>
        <v>2640</v>
      </c>
      <c r="F29" s="52">
        <f>E25+E29</f>
        <v>-683.1</v>
      </c>
      <c r="G29" s="39"/>
      <c r="H29" s="39"/>
    </row>
    <row r="30" ht="15.75" customHeight="1">
      <c r="A30" s="57"/>
      <c r="B30" s="14"/>
      <c r="C30" s="58"/>
      <c r="D30" s="59"/>
      <c r="E30" s="115"/>
      <c r="F30" s="27"/>
      <c r="G30" s="27"/>
      <c r="H30" s="27"/>
    </row>
    <row r="31" ht="15.75" customHeight="1">
      <c r="A31" s="61" t="s">
        <v>45</v>
      </c>
      <c r="B31" s="90" t="str">
        <f>IFERROR(__xludf.DUMMYFUNCTION("IMPORTRANGE(""https://docs.google.com/spreadsheets/d/1w_v-LytfJUSGD2382sduIgEApmqF1mMjksjNng1JfDs/edit?gid=134075723#gid=134075723"",""WS_EMANUELLO!D177:G181"")"),"TOTALI WS 1 e 2 ")</f>
        <v>TOTALI WS 1 e 2 </v>
      </c>
      <c r="C31" s="116" t="str">
        <f>IFERROR(__xludf.DUMMYFUNCTION("""COMPUTED_VALUE""")," TOTALE PREZZI")</f>
        <v>TOTALE PREZZI</v>
      </c>
      <c r="D31" s="136">
        <f>IFERROR(__xludf.DUMMYFUNCTION("""COMPUTED_VALUE"""),43.0)</f>
        <v>43</v>
      </c>
      <c r="E31" s="93">
        <f>IFERROR(__xludf.DUMMYFUNCTION("""COMPUTED_VALUE"""),45.0)</f>
        <v>45</v>
      </c>
      <c r="F31" s="93"/>
      <c r="G31" s="93"/>
      <c r="H31" s="94"/>
    </row>
    <row r="32" ht="15.75" customHeight="1">
      <c r="A32" s="13"/>
      <c r="C32" s="120" t="str">
        <f>IFERROR(__xludf.DUMMYFUNCTION("""COMPUTED_VALUE""")," TOTALE 
PERSONE SEDE")</f>
        <v>TOTALE 
PERSONE SEDE</v>
      </c>
      <c r="D32" s="59" t="str">
        <f>IFERROR(__xludf.DUMMYFUNCTION("""COMPUTED_VALUE""")," 6 da €43")</f>
        <v>6 da €43</v>
      </c>
      <c r="E32" s="27" t="str">
        <f>IFERROR(__xludf.DUMMYFUNCTION("""COMPUTED_VALUE""")," 0 da €45")</f>
        <v>0 da €45</v>
      </c>
      <c r="F32" s="27"/>
      <c r="G32" s="27"/>
      <c r="H32" s="66"/>
    </row>
    <row r="33" ht="15.75" customHeight="1">
      <c r="A33" s="13"/>
      <c r="C33" s="123" t="str">
        <f>IFERROR(__xludf.DUMMYFUNCTION("""COMPUTED_VALUE""")," subTOTALE SEDE")</f>
        <v>subTOTALE SEDE</v>
      </c>
      <c r="D33" s="148">
        <f>IFERROR(__xludf.DUMMYFUNCTION("""COMPUTED_VALUE"""),258.0)</f>
        <v>258</v>
      </c>
      <c r="E33" s="149">
        <f>IFERROR(__xludf.DUMMYFUNCTION("""COMPUTED_VALUE"""),0.0)</f>
        <v>0</v>
      </c>
      <c r="F33" s="149"/>
      <c r="G33" s="149"/>
      <c r="H33" s="150"/>
    </row>
    <row r="34" ht="15.75" customHeight="1">
      <c r="A34" s="13"/>
      <c r="C34" s="120" t="str">
        <f>IFERROR(__xludf.DUMMYFUNCTION("""COMPUTED_VALUE""")," TOTALE 
PERSONE ONLINE")</f>
        <v>TOTALE 
PERSONE ONLINE</v>
      </c>
      <c r="D34" s="59" t="str">
        <f>IFERROR(__xludf.DUMMYFUNCTION("""COMPUTED_VALUE""")," 37 da €43")</f>
        <v>37 da €43</v>
      </c>
      <c r="E34" s="27" t="str">
        <f>IFERROR(__xludf.DUMMYFUNCTION("""COMPUTED_VALUE""")," 43 da €45")</f>
        <v>43 da €45</v>
      </c>
      <c r="F34" s="27"/>
      <c r="G34" s="27"/>
      <c r="H34" s="66"/>
    </row>
    <row r="35" ht="15.75" customHeight="1">
      <c r="A35" s="13"/>
      <c r="B35" s="126"/>
      <c r="C35" s="127" t="str">
        <f>IFERROR(__xludf.DUMMYFUNCTION("""COMPUTED_VALUE""")," subTOTALE ONLINE")</f>
        <v>subTOTALE ONLINE</v>
      </c>
      <c r="D35" s="137">
        <f>IFERROR(__xludf.DUMMYFUNCTION("""COMPUTED_VALUE"""),1591.0)</f>
        <v>1591</v>
      </c>
      <c r="E35" s="97">
        <f>IFERROR(__xludf.DUMMYFUNCTION("""COMPUTED_VALUE"""),1935.0)</f>
        <v>1935</v>
      </c>
      <c r="F35" s="154"/>
      <c r="G35" s="154"/>
      <c r="H35" s="155"/>
    </row>
    <row r="36" ht="15.75" customHeight="1">
      <c r="A36" s="13"/>
      <c r="B36" s="139" t="str">
        <f>IFERROR(__xludf.DUMMYFUNCTION("IMPORTRANGE(""https://docs.google.com/spreadsheets/d/1w_v-LytfJUSGD2382sduIgEApmqF1mMjksjNng1JfDs/edit?gid=134075723#gid=134075723"",""WS_EMANUELLO!P177:T181"")")," TOTALE SEDE")</f>
        <v>TOTALE SEDE</v>
      </c>
      <c r="C36" s="104">
        <f>IFERROR(__xludf.DUMMYFUNCTION("""COMPUTED_VALUE"""),258.0)</f>
        <v>258</v>
      </c>
      <c r="D36" s="145" t="str">
        <f>IFERROR(__xludf.DUMMYFUNCTION("""COMPUTED_VALUE""")," TOTALE GENERALE ENTRATE")</f>
        <v>TOTALE GENERALE ENTRATE</v>
      </c>
      <c r="E36" s="156">
        <f>IFERROR(__xludf.DUMMYFUNCTION("""COMPUTED_VALUE"""),3784.0)</f>
        <v>3784</v>
      </c>
      <c r="F36" s="27"/>
      <c r="G36" s="27"/>
      <c r="H36" s="66"/>
    </row>
    <row r="37" ht="15.75" customHeight="1">
      <c r="A37" s="13"/>
      <c r="D37" s="13"/>
      <c r="E37" s="132"/>
      <c r="F37" s="27"/>
      <c r="G37" s="27"/>
      <c r="H37" s="66"/>
    </row>
    <row r="38" ht="15.75" customHeight="1">
      <c r="A38" s="13"/>
      <c r="D38" s="13"/>
      <c r="E38" s="132"/>
      <c r="F38" s="27"/>
      <c r="G38" s="27"/>
      <c r="H38" s="66"/>
    </row>
    <row r="39" ht="15.75" customHeight="1">
      <c r="A39" s="13"/>
      <c r="B39" s="139" t="str">
        <f>IFERROR(__xludf.DUMMYFUNCTION("""COMPUTED_VALUE""")," TOTALE ONLINE")</f>
        <v>TOTALE ONLINE</v>
      </c>
      <c r="C39" s="104">
        <f>IFERROR(__xludf.DUMMYFUNCTION("""COMPUTED_VALUE"""),3526.0)</f>
        <v>3526</v>
      </c>
      <c r="D39" s="13"/>
      <c r="E39" s="132"/>
      <c r="F39" s="27"/>
      <c r="G39" s="27"/>
      <c r="H39" s="66"/>
    </row>
    <row r="40" ht="15.75" customHeight="1">
      <c r="A40" s="19"/>
      <c r="B40" s="99"/>
      <c r="C40" s="99"/>
      <c r="D40" s="19"/>
      <c r="E40" s="133"/>
      <c r="F40" s="157"/>
      <c r="G40" s="157"/>
      <c r="H40" s="158"/>
    </row>
    <row r="41" ht="15.75" customHeight="1">
      <c r="A41" s="25"/>
      <c r="B41" s="25"/>
      <c r="C41" s="25"/>
      <c r="D41" s="26"/>
      <c r="E41" s="27"/>
    </row>
    <row r="42" ht="15.75" customHeight="1">
      <c r="A42" s="25"/>
      <c r="B42" s="72" t="s">
        <v>46</v>
      </c>
      <c r="C42" s="21"/>
      <c r="D42" s="22"/>
      <c r="E42" s="23">
        <f>E36+E25</f>
        <v>460.9</v>
      </c>
    </row>
    <row r="43" ht="15.75" customHeight="1">
      <c r="A43" s="25"/>
      <c r="B43" s="73"/>
      <c r="C43" s="74"/>
      <c r="D43" s="75"/>
      <c r="E43" s="39"/>
    </row>
  </sheetData>
  <mergeCells count="16">
    <mergeCell ref="A1:F1"/>
    <mergeCell ref="A3:A11"/>
    <mergeCell ref="B11:D11"/>
    <mergeCell ref="A13:A23"/>
    <mergeCell ref="B23:D23"/>
    <mergeCell ref="B25:D25"/>
    <mergeCell ref="A27:A29"/>
    <mergeCell ref="C39:C40"/>
    <mergeCell ref="B42:D42"/>
    <mergeCell ref="A31:A40"/>
    <mergeCell ref="B31:B35"/>
    <mergeCell ref="B36:B38"/>
    <mergeCell ref="C36:C38"/>
    <mergeCell ref="D36:D40"/>
    <mergeCell ref="E36:E40"/>
    <mergeCell ref="B39:B40"/>
  </mergeCells>
  <conditionalFormatting sqref="A2:H43">
    <cfRule type="cellIs" dxfId="0" priority="1" operator="lessThan">
      <formula>0</formula>
    </cfRule>
  </conditionalFormatting>
  <dataValidations>
    <dataValidation type="list" allowBlank="1" showErrorMessage="1" sqref="F3:F10 F13:F22">
      <formula1>elenchi!$A$1:$A$100</formula1>
    </dataValidation>
  </dataValidations>
  <hyperlinks>
    <hyperlink r:id="rId2" location="gid=931267824" ref="A1"/>
    <hyperlink r:id="rId3" location="gid=1270308959" ref="B18"/>
    <hyperlink r:id="rId4" location="gid=1270308959" ref="B19"/>
  </hyperlinks>
  <printOptions/>
  <pageMargins bottom="0.7480314960629921" footer="0.0" header="0.0" left="0.7086614173228347" right="0.7086614173228347" top="0.7480314960629921"/>
  <pageSetup paperSize="9" orientation="landscape"/>
  <drawing r:id="rId5"/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1.14"/>
    <col customWidth="1" min="5" max="8" width="17.86"/>
  </cols>
  <sheetData>
    <row r="1" ht="43.5" customHeight="1">
      <c r="A1" s="76" t="s">
        <v>133</v>
      </c>
      <c r="B1" s="2"/>
      <c r="C1" s="2"/>
      <c r="D1" s="2"/>
      <c r="E1" s="2"/>
      <c r="F1" s="3"/>
      <c r="G1" s="77"/>
      <c r="H1" s="77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134</v>
      </c>
      <c r="B3" s="9" t="s">
        <v>7</v>
      </c>
      <c r="C3" s="9" t="s">
        <v>8</v>
      </c>
      <c r="D3" s="80">
        <v>1.0</v>
      </c>
      <c r="E3" s="11">
        <v>-500.0</v>
      </c>
      <c r="F3" s="11" t="s">
        <v>9</v>
      </c>
      <c r="G3" s="35"/>
      <c r="H3" s="35"/>
    </row>
    <row r="4">
      <c r="A4" s="13"/>
      <c r="B4" s="14" t="s">
        <v>135</v>
      </c>
      <c r="C4" s="14" t="s">
        <v>136</v>
      </c>
      <c r="D4" s="81">
        <v>2.0</v>
      </c>
      <c r="E4" s="16">
        <v>-78.0</v>
      </c>
      <c r="F4" s="16" t="s">
        <v>31</v>
      </c>
      <c r="G4" s="35"/>
      <c r="H4" s="35"/>
    </row>
    <row r="5">
      <c r="A5" s="13"/>
      <c r="B5" s="14" t="s">
        <v>137</v>
      </c>
      <c r="C5" s="14" t="s">
        <v>11</v>
      </c>
      <c r="D5" s="81" t="s">
        <v>11</v>
      </c>
      <c r="E5" s="16">
        <v>0.0</v>
      </c>
      <c r="F5" s="16"/>
      <c r="G5" s="35"/>
      <c r="H5" s="35"/>
    </row>
    <row r="6">
      <c r="A6" s="13"/>
      <c r="B6" s="14" t="s">
        <v>15</v>
      </c>
      <c r="C6" s="14" t="s">
        <v>11</v>
      </c>
      <c r="D6" s="81" t="s">
        <v>11</v>
      </c>
      <c r="E6" s="16">
        <v>0.0</v>
      </c>
      <c r="F6" s="16"/>
      <c r="G6" s="35"/>
      <c r="H6" s="35"/>
    </row>
    <row r="7">
      <c r="A7" s="13"/>
      <c r="B7" s="14" t="s">
        <v>16</v>
      </c>
      <c r="C7" s="14" t="s">
        <v>11</v>
      </c>
      <c r="D7" s="81" t="s">
        <v>11</v>
      </c>
      <c r="E7" s="16">
        <v>0.0</v>
      </c>
      <c r="F7" s="16"/>
      <c r="G7" s="35"/>
      <c r="H7" s="35"/>
    </row>
    <row r="8">
      <c r="A8" s="13"/>
      <c r="B8" s="14" t="s">
        <v>17</v>
      </c>
      <c r="C8" s="14" t="s">
        <v>11</v>
      </c>
      <c r="D8" s="81" t="s">
        <v>11</v>
      </c>
      <c r="E8" s="16">
        <v>0.0</v>
      </c>
      <c r="F8" s="16"/>
      <c r="G8" s="35"/>
      <c r="H8" s="35"/>
    </row>
    <row r="9">
      <c r="A9" s="13"/>
      <c r="B9" s="14" t="s">
        <v>18</v>
      </c>
      <c r="C9" s="14" t="s">
        <v>138</v>
      </c>
      <c r="D9" s="81">
        <v>1.0</v>
      </c>
      <c r="E9" s="16">
        <v>-18.0</v>
      </c>
      <c r="F9" s="16" t="s">
        <v>20</v>
      </c>
      <c r="G9" s="35"/>
      <c r="H9" s="35"/>
    </row>
    <row r="10">
      <c r="A10" s="19"/>
      <c r="B10" s="159" t="s">
        <v>139</v>
      </c>
      <c r="C10" s="21"/>
      <c r="D10" s="22"/>
      <c r="E10" s="23">
        <f>SUM(E3:E9)</f>
        <v>-596</v>
      </c>
      <c r="F10" s="160"/>
      <c r="G10" s="35"/>
      <c r="H10" s="35"/>
    </row>
    <row r="11">
      <c r="A11" s="25"/>
      <c r="B11" s="25"/>
      <c r="C11" s="25"/>
      <c r="D11" s="161"/>
      <c r="E11" s="27"/>
      <c r="F11" s="27"/>
      <c r="G11" s="27"/>
      <c r="H11" s="27"/>
    </row>
    <row r="12">
      <c r="A12" s="8" t="s">
        <v>140</v>
      </c>
      <c r="B12" s="28" t="s">
        <v>23</v>
      </c>
      <c r="C12" s="9" t="s">
        <v>141</v>
      </c>
      <c r="D12" s="80" t="s">
        <v>11</v>
      </c>
      <c r="E12" s="65">
        <v>0.0</v>
      </c>
      <c r="F12" s="11"/>
      <c r="G12" s="35"/>
      <c r="H12" s="35"/>
    </row>
    <row r="13">
      <c r="A13" s="13"/>
      <c r="B13" s="14" t="s">
        <v>25</v>
      </c>
      <c r="C13" s="14" t="s">
        <v>142</v>
      </c>
      <c r="D13" s="81">
        <v>3.0</v>
      </c>
      <c r="E13" s="16">
        <v>-75.0</v>
      </c>
      <c r="F13" s="16" t="s">
        <v>9</v>
      </c>
      <c r="G13" s="35"/>
      <c r="H13" s="35"/>
    </row>
    <row r="14">
      <c r="A14" s="13"/>
      <c r="B14" s="14" t="s">
        <v>88</v>
      </c>
      <c r="C14" s="14"/>
      <c r="D14" s="81" t="s">
        <v>11</v>
      </c>
      <c r="E14" s="16">
        <v>-180.0</v>
      </c>
      <c r="F14" s="16" t="s">
        <v>9</v>
      </c>
      <c r="G14" s="35"/>
      <c r="H14" s="35"/>
    </row>
    <row r="15">
      <c r="A15" s="13"/>
      <c r="B15" s="14" t="s">
        <v>28</v>
      </c>
      <c r="C15" s="25"/>
      <c r="D15" s="81" t="s">
        <v>11</v>
      </c>
      <c r="E15" s="16">
        <v>-10.0</v>
      </c>
      <c r="F15" s="16" t="s">
        <v>9</v>
      </c>
      <c r="G15" s="35"/>
      <c r="H15" s="35"/>
    </row>
    <row r="16">
      <c r="A16" s="13"/>
      <c r="B16" s="14" t="s">
        <v>52</v>
      </c>
      <c r="C16" s="25"/>
      <c r="D16" s="81" t="s">
        <v>11</v>
      </c>
      <c r="E16" s="16">
        <v>-30.0</v>
      </c>
      <c r="F16" s="16"/>
      <c r="G16" s="35"/>
      <c r="H16" s="35"/>
    </row>
    <row r="17">
      <c r="A17" s="13"/>
      <c r="B17" s="31" t="s">
        <v>30</v>
      </c>
      <c r="C17" s="14"/>
      <c r="D17" s="81" t="s">
        <v>11</v>
      </c>
      <c r="E17" s="16">
        <v>0.0</v>
      </c>
      <c r="F17" s="16" t="s">
        <v>31</v>
      </c>
      <c r="G17" s="35"/>
      <c r="H17" s="35"/>
    </row>
    <row r="18">
      <c r="A18" s="13"/>
      <c r="B18" s="31" t="s">
        <v>32</v>
      </c>
      <c r="C18" s="14"/>
      <c r="D18" s="81" t="s">
        <v>11</v>
      </c>
      <c r="E18" s="16">
        <v>-6.0</v>
      </c>
      <c r="F18" s="16" t="s">
        <v>31</v>
      </c>
      <c r="G18" s="35"/>
      <c r="H18" s="35"/>
    </row>
    <row r="19">
      <c r="A19" s="13"/>
      <c r="B19" s="14" t="s">
        <v>33</v>
      </c>
      <c r="C19" s="25"/>
      <c r="D19" s="81" t="s">
        <v>11</v>
      </c>
      <c r="E19" s="16">
        <v>0.0</v>
      </c>
      <c r="F19" s="16"/>
      <c r="G19" s="35"/>
      <c r="H19" s="35"/>
    </row>
    <row r="20">
      <c r="A20" s="13"/>
      <c r="B20" s="14" t="s">
        <v>34</v>
      </c>
      <c r="C20" s="25"/>
      <c r="D20" s="81" t="s">
        <v>11</v>
      </c>
      <c r="E20" s="16">
        <v>-200.0</v>
      </c>
      <c r="F20" s="16" t="s">
        <v>12</v>
      </c>
      <c r="G20" s="35"/>
      <c r="H20" s="35"/>
    </row>
    <row r="21">
      <c r="A21" s="13"/>
      <c r="B21" s="33" t="s">
        <v>36</v>
      </c>
      <c r="C21" s="14" t="s">
        <v>37</v>
      </c>
      <c r="D21" s="81">
        <v>20.0</v>
      </c>
      <c r="E21" s="16">
        <f>D21*36*-1.5%</f>
        <v>-10.8</v>
      </c>
      <c r="F21" s="34" t="s">
        <v>38</v>
      </c>
      <c r="G21" s="35"/>
      <c r="H21" s="35"/>
    </row>
    <row r="22">
      <c r="A22" s="19"/>
      <c r="B22" s="20" t="s">
        <v>39</v>
      </c>
      <c r="C22" s="21"/>
      <c r="D22" s="22"/>
      <c r="E22" s="23">
        <f>SUM(E12:E21)</f>
        <v>-511.8</v>
      </c>
      <c r="F22" s="35"/>
      <c r="G22" s="35"/>
      <c r="H22" s="35"/>
    </row>
    <row r="23">
      <c r="A23" s="36"/>
      <c r="B23" s="25"/>
      <c r="C23" s="25"/>
      <c r="D23" s="161"/>
      <c r="E23" s="27"/>
      <c r="F23" s="27"/>
      <c r="G23" s="27"/>
      <c r="H23" s="27"/>
    </row>
    <row r="24" ht="15.75" customHeight="1">
      <c r="A24" s="36"/>
      <c r="B24" s="37" t="s">
        <v>40</v>
      </c>
      <c r="C24" s="21"/>
      <c r="D24" s="22"/>
      <c r="E24" s="38">
        <f>E10+E22</f>
        <v>-1107.8</v>
      </c>
      <c r="F24" s="39"/>
      <c r="G24" s="39"/>
      <c r="H24" s="39"/>
    </row>
    <row r="25" ht="15.75" customHeight="1">
      <c r="A25" s="25"/>
      <c r="B25" s="25"/>
      <c r="C25" s="25"/>
      <c r="D25" s="162"/>
      <c r="E25" s="41"/>
      <c r="F25" s="163"/>
      <c r="G25" s="41"/>
      <c r="H25" s="41"/>
    </row>
    <row r="26" ht="15.75" customHeight="1">
      <c r="A26" s="42" t="s">
        <v>143</v>
      </c>
      <c r="B26" s="43" t="s">
        <v>144</v>
      </c>
      <c r="C26" s="164">
        <v>36.0</v>
      </c>
      <c r="D26" s="165">
        <v>50.0</v>
      </c>
      <c r="E26" s="166">
        <f t="shared" ref="E26:E28" si="1">C26*D26</f>
        <v>1800</v>
      </c>
      <c r="F26" s="47">
        <f>E24+E26</f>
        <v>692.2</v>
      </c>
      <c r="G26" s="39"/>
      <c r="H26" s="39"/>
    </row>
    <row r="27" ht="15.75" customHeight="1">
      <c r="A27" s="13"/>
      <c r="B27" s="167" t="s">
        <v>145</v>
      </c>
      <c r="C27" s="168">
        <v>42.0</v>
      </c>
      <c r="D27" s="169">
        <v>50.0</v>
      </c>
      <c r="E27" s="170">
        <f t="shared" si="1"/>
        <v>2100</v>
      </c>
      <c r="F27" s="171">
        <f>E24+E27</f>
        <v>992.2</v>
      </c>
      <c r="G27" s="39"/>
      <c r="H27" s="39"/>
    </row>
    <row r="28" ht="15.75" customHeight="1">
      <c r="A28" s="19"/>
      <c r="B28" s="53" t="s">
        <v>146</v>
      </c>
      <c r="C28" s="172">
        <v>36.0</v>
      </c>
      <c r="D28" s="173">
        <v>50.0</v>
      </c>
      <c r="E28" s="174">
        <f t="shared" si="1"/>
        <v>1800</v>
      </c>
      <c r="F28" s="175">
        <f>E24+E28</f>
        <v>692.2</v>
      </c>
      <c r="G28" s="41"/>
      <c r="H28" s="41"/>
    </row>
    <row r="29" ht="15.75" customHeight="1">
      <c r="A29" s="176"/>
      <c r="B29" s="177"/>
      <c r="C29" s="178"/>
      <c r="D29" s="179"/>
      <c r="E29" s="71"/>
      <c r="F29" s="71"/>
      <c r="G29" s="27"/>
      <c r="H29" s="27"/>
    </row>
    <row r="30" ht="15.75" customHeight="1">
      <c r="A30" s="180" t="s">
        <v>45</v>
      </c>
      <c r="B30" s="181" t="str">
        <f>IFERROR(__xludf.DUMMYFUNCTION("IMPORTRANGE(""https://docs.google.com/spreadsheets/d/1w_v-LytfJUSGD2382sduIgEApmqF1mMjksjNng1JfDs/edit?gid=134075723#gid=134075723"",""WS_ALESSIOCAVALIERE!D177:H182"")"),"TOTALI WS 1 e 2 ")</f>
        <v>TOTALI WS 1 e 2 </v>
      </c>
      <c r="C30" s="182" t="str">
        <f>IFERROR(__xludf.DUMMYFUNCTION("""COMPUTED_VALUE"""),"TOTALE PREZZI")</f>
        <v>TOTALE PREZZI</v>
      </c>
      <c r="D30" s="183">
        <f>IFERROR(__xludf.DUMMYFUNCTION("""COMPUTED_VALUE"""),35.0)</f>
        <v>35</v>
      </c>
      <c r="E30" s="184">
        <f>IFERROR(__xludf.DUMMYFUNCTION("""COMPUTED_VALUE"""),37.0)</f>
        <v>37</v>
      </c>
      <c r="F30" s="184">
        <f>IFERROR(__xludf.DUMMYFUNCTION("""COMPUTED_VALUE"""),42.0)</f>
        <v>42</v>
      </c>
      <c r="G30" s="185"/>
      <c r="H30" s="186"/>
    </row>
    <row r="31" ht="15.75" customHeight="1">
      <c r="A31" s="13"/>
      <c r="C31" s="187" t="str">
        <f>IFERROR(__xludf.DUMMYFUNCTION("""COMPUTED_VALUE"""),"TOTALE 
PERSONE SEDE")</f>
        <v>TOTALE 
PERSONE SEDE</v>
      </c>
      <c r="D31" s="187" t="str">
        <f>IFERROR(__xludf.DUMMYFUNCTION("""COMPUTED_VALUE"""),"3 da €35")</f>
        <v>3 da €35</v>
      </c>
      <c r="E31" s="188" t="str">
        <f>IFERROR(__xludf.DUMMYFUNCTION("""COMPUTED_VALUE"""),"0 da €37")</f>
        <v>0 da €37</v>
      </c>
      <c r="F31" s="188" t="str">
        <f>IFERROR(__xludf.DUMMYFUNCTION("""COMPUTED_VALUE"""),"0 da €42")</f>
        <v>0 da €42</v>
      </c>
      <c r="G31" s="188"/>
      <c r="H31" s="189"/>
    </row>
    <row r="32" ht="15.75" customHeight="1">
      <c r="A32" s="13"/>
      <c r="C32" s="190" t="str">
        <f>IFERROR(__xludf.DUMMYFUNCTION("""COMPUTED_VALUE"""),"subTOTALE SEDE")</f>
        <v>subTOTALE SEDE</v>
      </c>
      <c r="D32" s="142">
        <f>IFERROR(__xludf.DUMMYFUNCTION("""COMPUTED_VALUE"""),105.0)</f>
        <v>105</v>
      </c>
      <c r="E32" s="191">
        <f>IFERROR(__xludf.DUMMYFUNCTION("""COMPUTED_VALUE"""),0.0)</f>
        <v>0</v>
      </c>
      <c r="F32" s="191">
        <f>IFERROR(__xludf.DUMMYFUNCTION("""COMPUTED_VALUE"""),0.0)</f>
        <v>0</v>
      </c>
      <c r="G32" s="192"/>
      <c r="H32" s="193"/>
    </row>
    <row r="33" ht="15.75" customHeight="1">
      <c r="A33" s="13"/>
      <c r="C33" s="194" t="str">
        <f>IFERROR(__xludf.DUMMYFUNCTION("""COMPUTED_VALUE"""),"TOTALE 
PERSONE ONLINE")</f>
        <v>TOTALE 
PERSONE ONLINE</v>
      </c>
      <c r="D33" s="194" t="str">
        <f>IFERROR(__xludf.DUMMYFUNCTION("""COMPUTED_VALUE"""),"3 da €35")</f>
        <v>3 da €35</v>
      </c>
      <c r="E33" s="195" t="str">
        <f>IFERROR(__xludf.DUMMYFUNCTION("""COMPUTED_VALUE"""),"15 da €37")</f>
        <v>15 da €37</v>
      </c>
      <c r="F33" s="195" t="str">
        <f>IFERROR(__xludf.DUMMYFUNCTION("""COMPUTED_VALUE"""),"2 da €42")</f>
        <v>2 da €42</v>
      </c>
      <c r="G33" s="195"/>
      <c r="H33" s="196"/>
    </row>
    <row r="34" ht="15.75" customHeight="1">
      <c r="A34" s="13"/>
      <c r="B34" s="126"/>
      <c r="C34" s="197" t="str">
        <f>IFERROR(__xludf.DUMMYFUNCTION("""COMPUTED_VALUE"""),"subTOTALE ONLINE")</f>
        <v>subTOTALE ONLINE</v>
      </c>
      <c r="D34" s="142">
        <f>IFERROR(__xludf.DUMMYFUNCTION("""COMPUTED_VALUE"""),105.0)</f>
        <v>105</v>
      </c>
      <c r="E34" s="191">
        <f>IFERROR(__xludf.DUMMYFUNCTION("""COMPUTED_VALUE"""),555.0)</f>
        <v>555</v>
      </c>
      <c r="F34" s="198">
        <f>IFERROR(__xludf.DUMMYFUNCTION("""COMPUTED_VALUE"""),84.0)</f>
        <v>84</v>
      </c>
      <c r="G34" s="199"/>
      <c r="H34" s="200"/>
    </row>
    <row r="35" ht="25.5" customHeight="1">
      <c r="A35" s="13"/>
      <c r="B35" s="139" t="str">
        <f>IFERROR(__xludf.DUMMYFUNCTION("IMPORTRANGE(""https://docs.google.com/spreadsheets/d/1w_v-LytfJUSGD2382sduIgEApmqF1mMjksjNng1JfDs/edit?gid=134075723#gid=134075723"",""WS_ALESSIOCAVALIERE!P177:T181"")")," TOTALE SEDE")</f>
        <v>TOTALE SEDE</v>
      </c>
      <c r="C35" s="104">
        <f>IFERROR(__xludf.DUMMYFUNCTION("""COMPUTED_VALUE"""),105.0)</f>
        <v>105</v>
      </c>
      <c r="D35" s="201" t="str">
        <f>IFERROR(__xludf.DUMMYFUNCTION("""COMPUTED_VALUE""")," TOTALE GENERALE ENTRATE")</f>
        <v>TOTALE GENERALE ENTRATE</v>
      </c>
      <c r="E35" s="131">
        <f>IFERROR(__xludf.DUMMYFUNCTION("""COMPUTED_VALUE"""),849.0)</f>
        <v>849</v>
      </c>
      <c r="F35" s="27"/>
      <c r="G35" s="27"/>
      <c r="H35" s="66"/>
    </row>
    <row r="36" ht="15.75" customHeight="1">
      <c r="A36" s="13"/>
      <c r="D36" s="13"/>
      <c r="E36" s="132"/>
      <c r="F36" s="27"/>
      <c r="G36" s="27"/>
      <c r="H36" s="66"/>
    </row>
    <row r="37" ht="15.75" customHeight="1">
      <c r="A37" s="13"/>
      <c r="D37" s="13"/>
      <c r="E37" s="132"/>
      <c r="F37" s="27"/>
      <c r="G37" s="27"/>
      <c r="H37" s="66"/>
    </row>
    <row r="38" ht="15.75" customHeight="1">
      <c r="A38" s="13"/>
      <c r="B38" s="202" t="str">
        <f>IFERROR(__xludf.DUMMYFUNCTION("""COMPUTED_VALUE""")," TOTALE ONLINE")</f>
        <v>TOTALE ONLINE</v>
      </c>
      <c r="C38" s="203">
        <f>IFERROR(__xludf.DUMMYFUNCTION("""COMPUTED_VALUE"""),744.0)</f>
        <v>744</v>
      </c>
      <c r="D38" s="13"/>
      <c r="E38" s="132"/>
      <c r="F38" s="27"/>
      <c r="G38" s="27"/>
      <c r="H38" s="66"/>
    </row>
    <row r="39" ht="15.75" customHeight="1">
      <c r="A39" s="13"/>
      <c r="D39" s="19"/>
      <c r="E39" s="133"/>
      <c r="F39" s="27"/>
      <c r="G39" s="27"/>
      <c r="H39" s="66"/>
    </row>
    <row r="40" ht="15.75" customHeight="1">
      <c r="A40" s="13"/>
      <c r="B40" s="25"/>
      <c r="C40" s="25"/>
      <c r="D40" s="161"/>
      <c r="E40" s="115"/>
      <c r="H40" s="204"/>
    </row>
    <row r="41" ht="15.75" customHeight="1">
      <c r="A41" s="19"/>
      <c r="B41" s="72" t="s">
        <v>46</v>
      </c>
      <c r="C41" s="21"/>
      <c r="D41" s="22"/>
      <c r="E41" s="205">
        <f>E35+E24</f>
        <v>-258.8</v>
      </c>
      <c r="F41" s="206"/>
      <c r="G41" s="206"/>
      <c r="H41" s="207"/>
    </row>
    <row r="42" ht="15.75" customHeight="1">
      <c r="A42" s="25"/>
      <c r="B42" s="73"/>
      <c r="C42" s="74"/>
      <c r="D42" s="208"/>
      <c r="E42" s="39"/>
    </row>
  </sheetData>
  <mergeCells count="16">
    <mergeCell ref="A1:F1"/>
    <mergeCell ref="A3:A10"/>
    <mergeCell ref="B10:D10"/>
    <mergeCell ref="A12:A22"/>
    <mergeCell ref="B22:D22"/>
    <mergeCell ref="B24:D24"/>
    <mergeCell ref="A26:A28"/>
    <mergeCell ref="C38:C39"/>
    <mergeCell ref="B41:D41"/>
    <mergeCell ref="A30:A41"/>
    <mergeCell ref="B30:B34"/>
    <mergeCell ref="B35:B37"/>
    <mergeCell ref="C35:C37"/>
    <mergeCell ref="D35:D39"/>
    <mergeCell ref="E35:E39"/>
    <mergeCell ref="B38:B39"/>
  </mergeCells>
  <conditionalFormatting sqref="A2:H42">
    <cfRule type="cellIs" dxfId="0" priority="1" operator="lessThan">
      <formula>0</formula>
    </cfRule>
  </conditionalFormatting>
  <dataValidations>
    <dataValidation type="list" allowBlank="1" showErrorMessage="1" sqref="F3:F9 F12:F21">
      <formula1>elenchi!$A$1:$A$100</formula1>
    </dataValidation>
  </dataValidations>
  <hyperlinks>
    <hyperlink r:id="rId2" location="gid=608116879" ref="B17"/>
    <hyperlink r:id="rId3" location="gid=608116879" ref="B18"/>
  </hyperlinks>
  <printOptions/>
  <pageMargins bottom="0.7480314960629921" footer="0.0" header="0.0" left="0.7086614173228347" right="0.7086614173228347" top="0.7480314960629921"/>
  <pageSetup paperSize="9" orientation="landscape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14"/>
    <col customWidth="1" min="2" max="2" width="37.43"/>
    <col customWidth="1" min="3" max="3" width="24.0"/>
    <col customWidth="1" min="4" max="4" width="11.14"/>
    <col customWidth="1" min="5" max="8" width="17.86"/>
  </cols>
  <sheetData>
    <row r="1" ht="43.5" customHeight="1">
      <c r="A1" s="134" t="s">
        <v>147</v>
      </c>
      <c r="B1" s="2"/>
      <c r="C1" s="2"/>
      <c r="D1" s="2"/>
      <c r="E1" s="2"/>
      <c r="F1" s="3"/>
      <c r="G1" s="209"/>
      <c r="H1" s="209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148</v>
      </c>
      <c r="B3" s="9" t="s">
        <v>7</v>
      </c>
      <c r="C3" s="9" t="s">
        <v>8</v>
      </c>
      <c r="D3" s="80">
        <v>1.0</v>
      </c>
      <c r="E3" s="11">
        <v>-200.0</v>
      </c>
      <c r="F3" s="11" t="s">
        <v>9</v>
      </c>
      <c r="G3" s="35"/>
      <c r="H3" s="35"/>
    </row>
    <row r="4">
      <c r="A4" s="13"/>
      <c r="B4" s="14" t="s">
        <v>135</v>
      </c>
      <c r="C4" s="14" t="s">
        <v>11</v>
      </c>
      <c r="D4" s="81" t="s">
        <v>11</v>
      </c>
      <c r="E4" s="16">
        <v>0.0</v>
      </c>
      <c r="F4" s="16"/>
      <c r="G4" s="35"/>
      <c r="H4" s="35"/>
    </row>
    <row r="5">
      <c r="A5" s="13"/>
      <c r="B5" s="14" t="s">
        <v>137</v>
      </c>
      <c r="C5" s="14" t="s">
        <v>11</v>
      </c>
      <c r="D5" s="81" t="s">
        <v>11</v>
      </c>
      <c r="E5" s="16">
        <v>0.0</v>
      </c>
      <c r="F5" s="16"/>
      <c r="G5" s="35"/>
      <c r="H5" s="35"/>
    </row>
    <row r="6">
      <c r="A6" s="13"/>
      <c r="B6" s="14" t="s">
        <v>149</v>
      </c>
      <c r="C6" s="14" t="s">
        <v>11</v>
      </c>
      <c r="D6" s="81" t="s">
        <v>11</v>
      </c>
      <c r="E6" s="16">
        <v>0.0</v>
      </c>
      <c r="F6" s="16"/>
      <c r="G6" s="35"/>
      <c r="H6" s="35"/>
    </row>
    <row r="7">
      <c r="A7" s="13"/>
      <c r="B7" s="14" t="s">
        <v>16</v>
      </c>
      <c r="C7" s="14" t="s">
        <v>11</v>
      </c>
      <c r="D7" s="81" t="s">
        <v>11</v>
      </c>
      <c r="E7" s="16">
        <v>0.0</v>
      </c>
      <c r="F7" s="16"/>
      <c r="G7" s="35"/>
      <c r="H7" s="35"/>
    </row>
    <row r="8">
      <c r="A8" s="13"/>
      <c r="B8" s="14" t="s">
        <v>17</v>
      </c>
      <c r="C8" s="14" t="s">
        <v>11</v>
      </c>
      <c r="D8" s="81" t="s">
        <v>11</v>
      </c>
      <c r="E8" s="16">
        <v>0.0</v>
      </c>
      <c r="F8" s="16"/>
      <c r="G8" s="35"/>
      <c r="H8" s="35"/>
    </row>
    <row r="9">
      <c r="A9" s="13"/>
      <c r="B9" s="14" t="s">
        <v>18</v>
      </c>
      <c r="C9" s="14" t="s">
        <v>150</v>
      </c>
      <c r="D9" s="81">
        <v>1.0</v>
      </c>
      <c r="E9" s="16">
        <v>-18.0</v>
      </c>
      <c r="F9" s="16" t="s">
        <v>20</v>
      </c>
      <c r="G9" s="35"/>
      <c r="H9" s="35"/>
    </row>
    <row r="10">
      <c r="A10" s="19"/>
      <c r="B10" s="159" t="s">
        <v>139</v>
      </c>
      <c r="C10" s="21"/>
      <c r="D10" s="22"/>
      <c r="E10" s="23">
        <f>SUM(E3:E9)</f>
        <v>-218</v>
      </c>
      <c r="F10" s="160"/>
      <c r="G10" s="35"/>
      <c r="H10" s="35"/>
    </row>
    <row r="11">
      <c r="A11" s="25"/>
      <c r="B11" s="25"/>
      <c r="C11" s="25"/>
      <c r="D11" s="161"/>
      <c r="E11" s="27"/>
      <c r="F11" s="27"/>
      <c r="G11" s="27"/>
      <c r="H11" s="27"/>
    </row>
    <row r="12">
      <c r="A12" s="8" t="s">
        <v>151</v>
      </c>
      <c r="B12" s="28" t="s">
        <v>23</v>
      </c>
      <c r="C12" s="9" t="s">
        <v>141</v>
      </c>
      <c r="D12" s="80" t="s">
        <v>11</v>
      </c>
      <c r="E12" s="65">
        <v>0.0</v>
      </c>
      <c r="F12" s="11"/>
      <c r="G12" s="35"/>
      <c r="H12" s="35"/>
    </row>
    <row r="13">
      <c r="A13" s="13"/>
      <c r="B13" s="14" t="s">
        <v>25</v>
      </c>
      <c r="C13" s="14" t="s">
        <v>152</v>
      </c>
      <c r="D13" s="81" t="s">
        <v>11</v>
      </c>
      <c r="E13" s="16">
        <v>-25.0</v>
      </c>
      <c r="F13" s="16" t="s">
        <v>31</v>
      </c>
      <c r="G13" s="35"/>
      <c r="H13" s="35"/>
    </row>
    <row r="14">
      <c r="A14" s="13"/>
      <c r="B14" s="14" t="s">
        <v>26</v>
      </c>
      <c r="C14" s="14"/>
      <c r="D14" s="81" t="s">
        <v>11</v>
      </c>
      <c r="E14" s="16">
        <v>0.0</v>
      </c>
      <c r="F14" s="16" t="s">
        <v>27</v>
      </c>
      <c r="G14" s="35"/>
      <c r="H14" s="35"/>
    </row>
    <row r="15">
      <c r="A15" s="13"/>
      <c r="B15" s="14" t="s">
        <v>28</v>
      </c>
      <c r="C15" s="25"/>
      <c r="D15" s="81" t="s">
        <v>11</v>
      </c>
      <c r="E15" s="16">
        <v>-10.0</v>
      </c>
      <c r="F15" s="16" t="s">
        <v>9</v>
      </c>
      <c r="G15" s="35"/>
      <c r="H15" s="35"/>
    </row>
    <row r="16">
      <c r="A16" s="13"/>
      <c r="B16" s="14" t="s">
        <v>52</v>
      </c>
      <c r="C16" s="25"/>
      <c r="D16" s="81" t="s">
        <v>11</v>
      </c>
      <c r="E16" s="16">
        <v>0.0</v>
      </c>
      <c r="F16" s="16"/>
      <c r="G16" s="35"/>
      <c r="H16" s="35"/>
    </row>
    <row r="17">
      <c r="A17" s="13"/>
      <c r="B17" s="31" t="s">
        <v>30</v>
      </c>
      <c r="C17" s="14"/>
      <c r="D17" s="81" t="s">
        <v>11</v>
      </c>
      <c r="E17" s="16">
        <v>0.0</v>
      </c>
      <c r="F17" s="16"/>
      <c r="G17" s="35"/>
      <c r="H17" s="35"/>
    </row>
    <row r="18">
      <c r="A18" s="13"/>
      <c r="B18" s="31" t="s">
        <v>32</v>
      </c>
      <c r="C18" s="14"/>
      <c r="D18" s="81" t="s">
        <v>11</v>
      </c>
      <c r="E18" s="16">
        <v>-8.0</v>
      </c>
      <c r="F18" s="16" t="s">
        <v>31</v>
      </c>
      <c r="G18" s="35"/>
      <c r="H18" s="35"/>
    </row>
    <row r="19">
      <c r="A19" s="13"/>
      <c r="B19" s="14" t="s">
        <v>33</v>
      </c>
      <c r="C19" s="25"/>
      <c r="D19" s="81" t="s">
        <v>11</v>
      </c>
      <c r="E19" s="16">
        <v>0.0</v>
      </c>
      <c r="F19" s="16"/>
      <c r="G19" s="35"/>
      <c r="H19" s="35"/>
    </row>
    <row r="20">
      <c r="A20" s="13"/>
      <c r="B20" s="14" t="s">
        <v>34</v>
      </c>
      <c r="C20" s="25"/>
      <c r="D20" s="81" t="s">
        <v>11</v>
      </c>
      <c r="E20" s="16">
        <v>-200.0</v>
      </c>
      <c r="F20" s="16" t="s">
        <v>12</v>
      </c>
      <c r="G20" s="35"/>
      <c r="H20" s="35"/>
    </row>
    <row r="21">
      <c r="A21" s="13"/>
      <c r="B21" s="33" t="s">
        <v>36</v>
      </c>
      <c r="C21" s="14" t="s">
        <v>98</v>
      </c>
      <c r="D21" s="81">
        <v>10.0</v>
      </c>
      <c r="E21" s="16">
        <f>D21*31*-1.5%</f>
        <v>-4.65</v>
      </c>
      <c r="F21" s="34" t="s">
        <v>38</v>
      </c>
      <c r="G21" s="35"/>
      <c r="H21" s="35"/>
    </row>
    <row r="22">
      <c r="A22" s="19"/>
      <c r="B22" s="20" t="s">
        <v>39</v>
      </c>
      <c r="C22" s="21"/>
      <c r="D22" s="22"/>
      <c r="E22" s="23">
        <f>SUM(E12:E21)</f>
        <v>-247.65</v>
      </c>
      <c r="F22" s="35"/>
      <c r="G22" s="35"/>
      <c r="H22" s="35"/>
    </row>
    <row r="23">
      <c r="A23" s="36"/>
      <c r="B23" s="25"/>
      <c r="C23" s="25"/>
      <c r="D23" s="161"/>
      <c r="E23" s="27"/>
      <c r="F23" s="27"/>
      <c r="G23" s="27"/>
      <c r="H23" s="27"/>
    </row>
    <row r="24" ht="15.75" customHeight="1">
      <c r="A24" s="36"/>
      <c r="B24" s="37" t="s">
        <v>40</v>
      </c>
      <c r="C24" s="21"/>
      <c r="D24" s="22"/>
      <c r="E24" s="38">
        <f>E10+E22</f>
        <v>-465.65</v>
      </c>
      <c r="F24" s="39"/>
      <c r="G24" s="39"/>
      <c r="H24" s="39"/>
    </row>
    <row r="25" ht="15.75" customHeight="1">
      <c r="A25" s="25"/>
      <c r="B25" s="25"/>
      <c r="C25" s="25"/>
      <c r="D25" s="162"/>
      <c r="E25" s="41"/>
      <c r="F25" s="163"/>
      <c r="G25" s="41"/>
      <c r="H25" s="41"/>
    </row>
    <row r="26" ht="15.75" customHeight="1">
      <c r="A26" s="42" t="s">
        <v>153</v>
      </c>
      <c r="B26" s="43" t="s">
        <v>154</v>
      </c>
      <c r="C26" s="44">
        <v>25.0</v>
      </c>
      <c r="D26" s="165">
        <v>40.0</v>
      </c>
      <c r="E26" s="166">
        <f t="shared" ref="E26:E28" si="1">C26*D26</f>
        <v>1000</v>
      </c>
      <c r="F26" s="47">
        <f>E24+E26</f>
        <v>534.35</v>
      </c>
      <c r="G26" s="39"/>
      <c r="H26" s="39"/>
    </row>
    <row r="27" ht="15.75" customHeight="1">
      <c r="A27" s="13"/>
      <c r="B27" s="48" t="s">
        <v>155</v>
      </c>
      <c r="C27" s="49">
        <v>37.0</v>
      </c>
      <c r="D27" s="169">
        <v>40.0</v>
      </c>
      <c r="E27" s="170">
        <f t="shared" si="1"/>
        <v>1480</v>
      </c>
      <c r="F27" s="171">
        <f>E24+E27</f>
        <v>1014.35</v>
      </c>
      <c r="G27" s="39"/>
      <c r="H27" s="39"/>
    </row>
    <row r="28" ht="15.75" customHeight="1">
      <c r="A28" s="19"/>
      <c r="B28" s="53" t="s">
        <v>156</v>
      </c>
      <c r="C28" s="210">
        <v>31.0</v>
      </c>
      <c r="D28" s="173">
        <v>40.0</v>
      </c>
      <c r="E28" s="174">
        <f t="shared" si="1"/>
        <v>1240</v>
      </c>
      <c r="F28" s="211">
        <f>E24+E28</f>
        <v>774.35</v>
      </c>
      <c r="G28" s="39"/>
      <c r="H28" s="39"/>
    </row>
    <row r="29" ht="15.75" customHeight="1">
      <c r="A29" s="176"/>
      <c r="B29" s="177"/>
      <c r="C29" s="178"/>
      <c r="D29" s="179"/>
      <c r="E29" s="71"/>
      <c r="F29" s="71"/>
      <c r="G29" s="27"/>
      <c r="H29" s="27"/>
    </row>
    <row r="30" ht="15.75" customHeight="1">
      <c r="A30" s="180" t="s">
        <v>45</v>
      </c>
      <c r="B30" s="212" t="str">
        <f>IFERROR(__xludf.DUMMYFUNCTION("IMPORTRANGE(""https://docs.google.com/spreadsheets/d/1w_v-LytfJUSGD2382sduIgEApmqF1mMjksjNng1JfDs/edit?gid=134075723#gid=134075723"",""WS_NEREA!I153:O156"")"),"TOTALE 
PERSONE SEDE")</f>
        <v>TOTALE 
PERSONE SEDE</v>
      </c>
      <c r="C30" s="116" t="str">
        <f>IFERROR(__xludf.DUMMYFUNCTION("""COMPUTED_VALUE""")," 0 da €27")</f>
        <v>0 da €27</v>
      </c>
      <c r="D30" s="213" t="str">
        <f>IFERROR(__xludf.DUMMYFUNCTION("""COMPUTED_VALUE""")," 2 da €25")</f>
        <v>2 da €25</v>
      </c>
      <c r="E30" s="93" t="str">
        <f>IFERROR(__xludf.DUMMYFUNCTION("""COMPUTED_VALUE""")," 0 da €32")</f>
        <v>0 da €32</v>
      </c>
      <c r="F30" s="214" t="str">
        <f>IFERROR(__xludf.DUMMYFUNCTION("""COMPUTED_VALUE""")," 2 da €30")</f>
        <v>2 da €30</v>
      </c>
      <c r="G30" s="93" t="str">
        <f>IFERROR(__xludf.DUMMYFUNCTION("""COMPUTED_VALUE""")," 0 da €37")</f>
        <v>0 da €37</v>
      </c>
      <c r="H30" s="215" t="str">
        <f>IFERROR(__xludf.DUMMYFUNCTION("""COMPUTED_VALUE""")," 0 da €35")</f>
        <v>0 da €35</v>
      </c>
    </row>
    <row r="31" ht="15.75" customHeight="1">
      <c r="A31" s="13"/>
      <c r="B31" s="216" t="str">
        <f>IFERROR(__xludf.DUMMYFUNCTION("""COMPUTED_VALUE"""),"subTOTALE SEDE")</f>
        <v>subTOTALE SEDE</v>
      </c>
      <c r="C31" s="217">
        <f>IFERROR(__xludf.DUMMYFUNCTION("""COMPUTED_VALUE"""),0.0)</f>
        <v>0</v>
      </c>
      <c r="D31" s="218">
        <f>IFERROR(__xludf.DUMMYFUNCTION("""COMPUTED_VALUE"""),50.0)</f>
        <v>50</v>
      </c>
      <c r="E31" s="219">
        <f>IFERROR(__xludf.DUMMYFUNCTION("""COMPUTED_VALUE"""),0.0)</f>
        <v>0</v>
      </c>
      <c r="F31" s="220">
        <f>IFERROR(__xludf.DUMMYFUNCTION("""COMPUTED_VALUE"""),60.0)</f>
        <v>60</v>
      </c>
      <c r="G31" s="219">
        <f>IFERROR(__xludf.DUMMYFUNCTION("""COMPUTED_VALUE"""),0.0)</f>
        <v>0</v>
      </c>
      <c r="H31" s="221">
        <f>IFERROR(__xludf.DUMMYFUNCTION("""COMPUTED_VALUE"""),0.0)</f>
        <v>0</v>
      </c>
    </row>
    <row r="32" ht="15.75" customHeight="1">
      <c r="A32" s="13"/>
      <c r="B32" s="212" t="str">
        <f>IFERROR(__xludf.DUMMYFUNCTION("""COMPUTED_VALUE"""),"TOTALE 
PERSONE ONLINE")</f>
        <v>TOTALE 
PERSONE ONLINE</v>
      </c>
      <c r="C32" s="116" t="str">
        <f>IFERROR(__xludf.DUMMYFUNCTION("""COMPUTED_VALUE""")," 2 da €27")</f>
        <v>2 da €27</v>
      </c>
      <c r="D32" s="222" t="str">
        <f>IFERROR(__xludf.DUMMYFUNCTION("""COMPUTED_VALUE""")," 1 da €25")</f>
        <v>1 da €25</v>
      </c>
      <c r="E32" s="223" t="str">
        <f>IFERROR(__xludf.DUMMYFUNCTION("""COMPUTED_VALUE""")," 3 da €32")</f>
        <v>3 da €32</v>
      </c>
      <c r="F32" s="224" t="str">
        <f>IFERROR(__xludf.DUMMYFUNCTION("""COMPUTED_VALUE""")," 3 da €30")</f>
        <v>3 da €30</v>
      </c>
      <c r="G32" s="223" t="str">
        <f>IFERROR(__xludf.DUMMYFUNCTION("""COMPUTED_VALUE""")," 0 da €37")</f>
        <v>0 da €37</v>
      </c>
      <c r="H32" s="225" t="str">
        <f>IFERROR(__xludf.DUMMYFUNCTION("""COMPUTED_VALUE""")," 0 da €35")</f>
        <v>0 da €35</v>
      </c>
    </row>
    <row r="33" ht="15.75" customHeight="1">
      <c r="A33" s="13"/>
      <c r="B33" s="216" t="str">
        <f>IFERROR(__xludf.DUMMYFUNCTION("""COMPUTED_VALUE"""),"subTOTALE ONLINE")</f>
        <v>subTOTALE ONLINE</v>
      </c>
      <c r="C33" s="217">
        <f>IFERROR(__xludf.DUMMYFUNCTION("""COMPUTED_VALUE"""),54.0)</f>
        <v>54</v>
      </c>
      <c r="D33" s="218">
        <f>IFERROR(__xludf.DUMMYFUNCTION("""COMPUTED_VALUE"""),25.0)</f>
        <v>25</v>
      </c>
      <c r="E33" s="219">
        <f>IFERROR(__xludf.DUMMYFUNCTION("""COMPUTED_VALUE"""),96.0)</f>
        <v>96</v>
      </c>
      <c r="F33" s="220">
        <f>IFERROR(__xludf.DUMMYFUNCTION("""COMPUTED_VALUE"""),90.0)</f>
        <v>90</v>
      </c>
      <c r="G33" s="219">
        <f>IFERROR(__xludf.DUMMYFUNCTION("""COMPUTED_VALUE"""),0.0)</f>
        <v>0</v>
      </c>
      <c r="H33" s="221">
        <f>IFERROR(__xludf.DUMMYFUNCTION("""COMPUTED_VALUE"""),0.0)</f>
        <v>0</v>
      </c>
    </row>
    <row r="34" ht="25.5" customHeight="1">
      <c r="A34" s="13"/>
      <c r="B34" s="139" t="str">
        <f>IFERROR(__xludf.DUMMYFUNCTION("IMPORTRANGE(""https://docs.google.com/spreadsheets/d/1w_v-LytfJUSGD2382sduIgEApmqF1mMjksjNng1JfDs/edit?gid=134075723#gid=134075723"",""WS_NEREA!P153:T156"")")," TOTALE SEDE")</f>
        <v>TOTALE SEDE</v>
      </c>
      <c r="C34" s="104">
        <f>IFERROR(__xludf.DUMMYFUNCTION("""COMPUTED_VALUE"""),110.0)</f>
        <v>110</v>
      </c>
      <c r="D34" s="226" t="str">
        <f>IFERROR(__xludf.DUMMYFUNCTION("""COMPUTED_VALUE""")," TOTALE GENERALE ENTRATE")</f>
        <v>TOTALE GENERALE ENTRATE</v>
      </c>
      <c r="E34" s="227">
        <f>IFERROR(__xludf.DUMMYFUNCTION("""COMPUTED_VALUE"""),427.0)</f>
        <v>427</v>
      </c>
      <c r="F34" s="27"/>
      <c r="G34" s="27"/>
      <c r="H34" s="66"/>
    </row>
    <row r="35" ht="15.75" customHeight="1">
      <c r="A35" s="13"/>
      <c r="D35" s="13"/>
      <c r="E35" s="132"/>
      <c r="F35" s="27"/>
      <c r="G35" s="27"/>
      <c r="H35" s="66"/>
    </row>
    <row r="36" ht="15.75" customHeight="1">
      <c r="A36" s="13"/>
      <c r="B36" s="202" t="str">
        <f>IFERROR(__xludf.DUMMYFUNCTION("""COMPUTED_VALUE""")," TOTALE ONLINE")</f>
        <v>TOTALE ONLINE</v>
      </c>
      <c r="C36" s="203">
        <f>IFERROR(__xludf.DUMMYFUNCTION("""COMPUTED_VALUE"""),265.0)</f>
        <v>265</v>
      </c>
      <c r="D36" s="13"/>
      <c r="E36" s="132"/>
      <c r="F36" s="27"/>
      <c r="G36" s="27"/>
      <c r="H36" s="66"/>
    </row>
    <row r="37" ht="15.75" customHeight="1">
      <c r="A37" s="13"/>
      <c r="D37" s="19"/>
      <c r="E37" s="133"/>
      <c r="F37" s="27"/>
      <c r="G37" s="27"/>
      <c r="H37" s="66"/>
    </row>
    <row r="38" ht="15.75" customHeight="1">
      <c r="A38" s="13"/>
      <c r="B38" s="25"/>
      <c r="C38" s="25"/>
      <c r="D38" s="161"/>
      <c r="E38" s="115"/>
      <c r="H38" s="204"/>
    </row>
    <row r="39" ht="15.75" customHeight="1">
      <c r="A39" s="19"/>
      <c r="B39" s="72" t="s">
        <v>46</v>
      </c>
      <c r="C39" s="21"/>
      <c r="D39" s="22"/>
      <c r="E39" s="205">
        <f>E34+E24</f>
        <v>-38.65</v>
      </c>
      <c r="F39" s="206"/>
      <c r="G39" s="206"/>
      <c r="H39" s="207"/>
    </row>
    <row r="40" ht="15.75" customHeight="1">
      <c r="A40" s="25"/>
      <c r="B40" s="73"/>
      <c r="C40" s="74"/>
      <c r="D40" s="208"/>
      <c r="E40" s="39"/>
    </row>
  </sheetData>
  <mergeCells count="15">
    <mergeCell ref="A30:A39"/>
    <mergeCell ref="B34:B35"/>
    <mergeCell ref="C34:C35"/>
    <mergeCell ref="D34:D37"/>
    <mergeCell ref="E34:E37"/>
    <mergeCell ref="B36:B37"/>
    <mergeCell ref="C36:C37"/>
    <mergeCell ref="B39:D39"/>
    <mergeCell ref="A1:F1"/>
    <mergeCell ref="A3:A10"/>
    <mergeCell ref="B10:D10"/>
    <mergeCell ref="A12:A22"/>
    <mergeCell ref="B22:D22"/>
    <mergeCell ref="B24:D24"/>
    <mergeCell ref="A26:A28"/>
  </mergeCells>
  <conditionalFormatting sqref="A2:H40">
    <cfRule type="cellIs" dxfId="0" priority="1" operator="lessThan">
      <formula>0</formula>
    </cfRule>
  </conditionalFormatting>
  <dataValidations>
    <dataValidation type="list" allowBlank="1" showErrorMessage="1" sqref="F3:F9 F12:F21">
      <formula1>elenchi!$A$1:$A$100</formula1>
    </dataValidation>
  </dataValidations>
  <hyperlinks>
    <hyperlink r:id="rId4" location="gid=19013453" ref="A1"/>
    <hyperlink r:id="rId5" location="gid=1270308959" ref="B17"/>
    <hyperlink r:id="rId6" location="gid=1270308959" ref="B18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1.14"/>
    <col customWidth="1" min="5" max="8" width="17.86"/>
  </cols>
  <sheetData>
    <row r="1" ht="43.5" customHeight="1">
      <c r="A1" s="134" t="s">
        <v>157</v>
      </c>
      <c r="B1" s="2"/>
      <c r="C1" s="2"/>
      <c r="D1" s="2"/>
      <c r="E1" s="2"/>
      <c r="F1" s="3"/>
      <c r="G1" s="77"/>
      <c r="H1" s="77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158</v>
      </c>
      <c r="B3" s="9" t="s">
        <v>7</v>
      </c>
      <c r="C3" s="9" t="s">
        <v>8</v>
      </c>
      <c r="D3" s="80">
        <v>1.0</v>
      </c>
      <c r="E3" s="11">
        <v>-350.0</v>
      </c>
      <c r="F3" s="11" t="s">
        <v>31</v>
      </c>
      <c r="G3" s="35"/>
      <c r="H3" s="35"/>
    </row>
    <row r="4">
      <c r="A4" s="13"/>
      <c r="B4" s="14" t="s">
        <v>135</v>
      </c>
      <c r="C4" s="14" t="s">
        <v>159</v>
      </c>
      <c r="D4" s="81">
        <v>2.0</v>
      </c>
      <c r="E4" s="16">
        <v>-120.0</v>
      </c>
      <c r="F4" s="16" t="s">
        <v>9</v>
      </c>
      <c r="G4" s="35"/>
      <c r="H4" s="35"/>
    </row>
    <row r="5">
      <c r="A5" s="13"/>
      <c r="B5" s="14" t="s">
        <v>137</v>
      </c>
      <c r="C5" s="14" t="s">
        <v>11</v>
      </c>
      <c r="D5" s="81">
        <v>0.0</v>
      </c>
      <c r="E5" s="16">
        <v>0.0</v>
      </c>
      <c r="F5" s="16"/>
      <c r="G5" s="35"/>
      <c r="H5" s="35"/>
    </row>
    <row r="6">
      <c r="A6" s="13"/>
      <c r="B6" s="14" t="s">
        <v>15</v>
      </c>
      <c r="C6" s="14" t="s">
        <v>11</v>
      </c>
      <c r="D6" s="81">
        <v>0.0</v>
      </c>
      <c r="E6" s="16">
        <v>0.0</v>
      </c>
      <c r="F6" s="16"/>
      <c r="G6" s="35"/>
      <c r="H6" s="35"/>
    </row>
    <row r="7">
      <c r="A7" s="13"/>
      <c r="B7" s="14" t="s">
        <v>16</v>
      </c>
      <c r="C7" s="14" t="s">
        <v>11</v>
      </c>
      <c r="D7" s="81">
        <v>0.0</v>
      </c>
      <c r="E7" s="16">
        <v>0.0</v>
      </c>
      <c r="F7" s="16"/>
      <c r="G7" s="35"/>
      <c r="H7" s="35"/>
    </row>
    <row r="8">
      <c r="A8" s="13"/>
      <c r="B8" s="14" t="s">
        <v>17</v>
      </c>
      <c r="C8" s="14" t="s">
        <v>11</v>
      </c>
      <c r="D8" s="81">
        <v>0.0</v>
      </c>
      <c r="E8" s="16">
        <v>0.0</v>
      </c>
      <c r="F8" s="16"/>
      <c r="G8" s="35"/>
      <c r="H8" s="35"/>
    </row>
    <row r="9">
      <c r="A9" s="13"/>
      <c r="B9" s="14" t="s">
        <v>18</v>
      </c>
      <c r="C9" s="14" t="s">
        <v>160</v>
      </c>
      <c r="D9" s="81">
        <v>1.0</v>
      </c>
      <c r="E9" s="16">
        <v>-18.0</v>
      </c>
      <c r="F9" s="16" t="s">
        <v>20</v>
      </c>
      <c r="G9" s="35"/>
      <c r="H9" s="35"/>
    </row>
    <row r="10">
      <c r="A10" s="19"/>
      <c r="B10" s="159" t="s">
        <v>139</v>
      </c>
      <c r="C10" s="21"/>
      <c r="D10" s="22"/>
      <c r="E10" s="23">
        <f>SUM(E3:E9)</f>
        <v>-488</v>
      </c>
      <c r="F10" s="160"/>
      <c r="G10" s="35"/>
      <c r="H10" s="35"/>
    </row>
    <row r="11">
      <c r="A11" s="25"/>
      <c r="B11" s="25"/>
      <c r="C11" s="25"/>
      <c r="D11" s="161"/>
      <c r="E11" s="27"/>
      <c r="F11" s="27"/>
      <c r="G11" s="27"/>
      <c r="H11" s="27"/>
    </row>
    <row r="12">
      <c r="A12" s="8" t="s">
        <v>161</v>
      </c>
      <c r="B12" s="28" t="s">
        <v>23</v>
      </c>
      <c r="C12" s="9" t="s">
        <v>141</v>
      </c>
      <c r="D12" s="80" t="s">
        <v>11</v>
      </c>
      <c r="E12" s="65">
        <v>0.0</v>
      </c>
      <c r="F12" s="11"/>
      <c r="G12" s="35"/>
      <c r="H12" s="35"/>
    </row>
    <row r="13">
      <c r="A13" s="13"/>
      <c r="B13" s="14" t="s">
        <v>25</v>
      </c>
      <c r="C13" s="14" t="s">
        <v>162</v>
      </c>
      <c r="D13" s="81">
        <v>3.0</v>
      </c>
      <c r="E13" s="16">
        <v>-50.0</v>
      </c>
      <c r="F13" s="16" t="s">
        <v>9</v>
      </c>
      <c r="G13" s="35"/>
      <c r="H13" s="35"/>
    </row>
    <row r="14">
      <c r="A14" s="13"/>
      <c r="B14" s="14" t="s">
        <v>26</v>
      </c>
      <c r="C14" s="14" t="s">
        <v>163</v>
      </c>
      <c r="D14" s="81" t="s">
        <v>11</v>
      </c>
      <c r="E14" s="16">
        <v>-175.0</v>
      </c>
      <c r="F14" s="16" t="s">
        <v>27</v>
      </c>
      <c r="G14" s="35"/>
      <c r="H14" s="35"/>
    </row>
    <row r="15">
      <c r="A15" s="13"/>
      <c r="B15" s="14" t="s">
        <v>28</v>
      </c>
      <c r="C15" s="25"/>
      <c r="D15" s="81" t="s">
        <v>11</v>
      </c>
      <c r="E15" s="16">
        <v>-10.0</v>
      </c>
      <c r="F15" s="16" t="s">
        <v>9</v>
      </c>
      <c r="G15" s="35"/>
      <c r="H15" s="35"/>
    </row>
    <row r="16">
      <c r="A16" s="13"/>
      <c r="B16" s="14" t="s">
        <v>29</v>
      </c>
      <c r="C16" s="25"/>
      <c r="D16" s="81" t="s">
        <v>11</v>
      </c>
      <c r="E16" s="16">
        <v>0.0</v>
      </c>
      <c r="F16" s="16"/>
      <c r="G16" s="35"/>
      <c r="H16" s="35"/>
    </row>
    <row r="17">
      <c r="A17" s="13"/>
      <c r="B17" s="31" t="s">
        <v>30</v>
      </c>
      <c r="C17" s="14"/>
      <c r="D17" s="81" t="s">
        <v>11</v>
      </c>
      <c r="E17" s="16">
        <v>-7.5</v>
      </c>
      <c r="F17" s="16" t="s">
        <v>31</v>
      </c>
      <c r="G17" s="35"/>
      <c r="H17" s="35"/>
    </row>
    <row r="18">
      <c r="A18" s="13"/>
      <c r="B18" s="31" t="s">
        <v>32</v>
      </c>
      <c r="C18" s="14"/>
      <c r="D18" s="81" t="s">
        <v>11</v>
      </c>
      <c r="E18" s="16">
        <v>-22.0</v>
      </c>
      <c r="F18" s="16" t="s">
        <v>31</v>
      </c>
      <c r="G18" s="35"/>
      <c r="H18" s="35"/>
    </row>
    <row r="19">
      <c r="A19" s="13"/>
      <c r="B19" s="14" t="s">
        <v>34</v>
      </c>
      <c r="C19" s="25"/>
      <c r="D19" s="81" t="s">
        <v>11</v>
      </c>
      <c r="E19" s="16">
        <v>-350.56</v>
      </c>
      <c r="F19" s="16" t="s">
        <v>12</v>
      </c>
      <c r="G19" s="35"/>
      <c r="H19" s="35"/>
    </row>
    <row r="20">
      <c r="A20" s="13"/>
      <c r="B20" s="33" t="s">
        <v>36</v>
      </c>
      <c r="C20" s="14" t="s">
        <v>37</v>
      </c>
      <c r="D20" s="81">
        <v>47.0</v>
      </c>
      <c r="E20" s="16">
        <f>D20*36*-1.5%</f>
        <v>-25.38</v>
      </c>
      <c r="F20" s="34" t="s">
        <v>38</v>
      </c>
      <c r="G20" s="35"/>
      <c r="H20" s="35"/>
    </row>
    <row r="21">
      <c r="A21" s="19"/>
      <c r="B21" s="20" t="s">
        <v>39</v>
      </c>
      <c r="C21" s="21"/>
      <c r="D21" s="22"/>
      <c r="E21" s="23">
        <f>SUM(E12:E20)</f>
        <v>-640.44</v>
      </c>
      <c r="F21" s="35"/>
      <c r="G21" s="35"/>
      <c r="H21" s="35"/>
    </row>
    <row r="22">
      <c r="A22" s="36"/>
      <c r="B22" s="25"/>
      <c r="C22" s="25"/>
      <c r="D22" s="161"/>
      <c r="E22" s="27"/>
      <c r="F22" s="27"/>
      <c r="G22" s="27"/>
      <c r="H22" s="27"/>
    </row>
    <row r="23" ht="15.75" customHeight="1">
      <c r="A23" s="36"/>
      <c r="B23" s="37" t="s">
        <v>40</v>
      </c>
      <c r="C23" s="21"/>
      <c r="D23" s="22"/>
      <c r="E23" s="38">
        <f>E10+E21</f>
        <v>-1128.44</v>
      </c>
      <c r="F23" s="39"/>
      <c r="G23" s="39"/>
      <c r="H23" s="39"/>
    </row>
    <row r="24" ht="15.75" customHeight="1">
      <c r="A24" s="25"/>
      <c r="B24" s="25"/>
      <c r="C24" s="25"/>
      <c r="D24" s="162"/>
      <c r="E24" s="41"/>
      <c r="F24" s="163"/>
      <c r="G24" s="41"/>
      <c r="H24" s="41"/>
    </row>
    <row r="25">
      <c r="A25" s="42" t="s">
        <v>164</v>
      </c>
      <c r="B25" s="43" t="s">
        <v>165</v>
      </c>
      <c r="C25" s="164">
        <v>30.0</v>
      </c>
      <c r="D25" s="165">
        <v>50.0</v>
      </c>
      <c r="E25" s="166">
        <f t="shared" ref="E25:E27" si="1">C25*D25</f>
        <v>1500</v>
      </c>
      <c r="F25" s="47">
        <f>E23+E25</f>
        <v>371.56</v>
      </c>
      <c r="G25" s="39"/>
      <c r="H25" s="39"/>
    </row>
    <row r="26" ht="15.75" customHeight="1">
      <c r="A26" s="13"/>
      <c r="B26" s="167" t="s">
        <v>166</v>
      </c>
      <c r="C26" s="168">
        <v>42.0</v>
      </c>
      <c r="D26" s="169">
        <v>50.0</v>
      </c>
      <c r="E26" s="170">
        <f t="shared" si="1"/>
        <v>2100</v>
      </c>
      <c r="F26" s="171">
        <f>E23+E26</f>
        <v>971.56</v>
      </c>
      <c r="G26" s="39"/>
      <c r="H26" s="39"/>
    </row>
    <row r="27" ht="15.75" customHeight="1">
      <c r="A27" s="19"/>
      <c r="B27" s="53" t="s">
        <v>167</v>
      </c>
      <c r="C27" s="172">
        <v>36.0</v>
      </c>
      <c r="D27" s="173">
        <v>50.0</v>
      </c>
      <c r="E27" s="228">
        <f t="shared" si="1"/>
        <v>1800</v>
      </c>
      <c r="F27" s="229">
        <f>E23+E27</f>
        <v>671.56</v>
      </c>
      <c r="G27" s="41"/>
      <c r="H27" s="41"/>
    </row>
    <row r="28" ht="15.75" customHeight="1">
      <c r="A28" s="176"/>
      <c r="B28" s="177"/>
      <c r="C28" s="178"/>
      <c r="D28" s="179"/>
      <c r="E28" s="71"/>
      <c r="F28" s="71"/>
      <c r="G28" s="27"/>
      <c r="H28" s="27"/>
    </row>
    <row r="29" ht="15.75" customHeight="1">
      <c r="A29" s="180" t="s">
        <v>45</v>
      </c>
      <c r="B29" s="212" t="str">
        <f>IFERROR(__xludf.DUMMYFUNCTION("IMPORTRANGE(""https://docs.google.com/spreadsheets/d/1w_v-LytfJUSGD2382sduIgEApmqF1mMjksjNng1JfDs/edit?gid=134075723#gid=134075723"",""WS_DEBORAHESPOSITO!I153:O156"")"),"TOTALE 
PERSONE SEDE")</f>
        <v>TOTALE 
PERSONE SEDE</v>
      </c>
      <c r="C29" s="116" t="str">
        <f>IFERROR(__xludf.DUMMYFUNCTION("""COMPUTED_VALUE""")," 0 da €32")</f>
        <v>0 da €32</v>
      </c>
      <c r="D29" s="213" t="str">
        <f>IFERROR(__xludf.DUMMYFUNCTION("""COMPUTED_VALUE""")," 1 da €30")</f>
        <v>1 da €30</v>
      </c>
      <c r="E29" s="93" t="str">
        <f>IFERROR(__xludf.DUMMYFUNCTION("""COMPUTED_VALUE""")," 2 da €37")</f>
        <v>2 da €37</v>
      </c>
      <c r="F29" s="214" t="str">
        <f>IFERROR(__xludf.DUMMYFUNCTION("""COMPUTED_VALUE""")," 3 da €35")</f>
        <v>3 da €35</v>
      </c>
      <c r="G29" s="93" t="str">
        <f>IFERROR(__xludf.DUMMYFUNCTION("""COMPUTED_VALUE""")," 2 da €42")</f>
        <v>2 da €42</v>
      </c>
      <c r="H29" s="215" t="str">
        <f>IFERROR(__xludf.DUMMYFUNCTION("""COMPUTED_VALUE""")," 2 da €40")</f>
        <v>2 da €40</v>
      </c>
    </row>
    <row r="30" ht="15.75" customHeight="1">
      <c r="A30" s="13"/>
      <c r="B30" s="212" t="str">
        <f>IFERROR(__xludf.DUMMYFUNCTION("""COMPUTED_VALUE"""),"subTOTALE SEDE")</f>
        <v>subTOTALE SEDE</v>
      </c>
      <c r="C30" s="116">
        <f>IFERROR(__xludf.DUMMYFUNCTION("""COMPUTED_VALUE"""),0.0)</f>
        <v>0</v>
      </c>
      <c r="D30" s="222">
        <f>IFERROR(__xludf.DUMMYFUNCTION("""COMPUTED_VALUE"""),30.0)</f>
        <v>30</v>
      </c>
      <c r="E30" s="223">
        <f>IFERROR(__xludf.DUMMYFUNCTION("""COMPUTED_VALUE"""),74.0)</f>
        <v>74</v>
      </c>
      <c r="F30" s="224">
        <f>IFERROR(__xludf.DUMMYFUNCTION("""COMPUTED_VALUE"""),105.0)</f>
        <v>105</v>
      </c>
      <c r="G30" s="223">
        <f>IFERROR(__xludf.DUMMYFUNCTION("""COMPUTED_VALUE"""),84.0)</f>
        <v>84</v>
      </c>
      <c r="H30" s="225">
        <f>IFERROR(__xludf.DUMMYFUNCTION("""COMPUTED_VALUE"""),80.0)</f>
        <v>80</v>
      </c>
    </row>
    <row r="31" ht="15.75" customHeight="1">
      <c r="A31" s="13"/>
      <c r="B31" s="212" t="str">
        <f>IFERROR(__xludf.DUMMYFUNCTION("""COMPUTED_VALUE"""),"TOTALE 
PERSONE ONLINE")</f>
        <v>TOTALE 
PERSONE ONLINE</v>
      </c>
      <c r="C31" s="116" t="str">
        <f>IFERROR(__xludf.DUMMYFUNCTION("""COMPUTED_VALUE""")," 4 da €32")</f>
        <v>4 da €32</v>
      </c>
      <c r="D31" s="222" t="str">
        <f>IFERROR(__xludf.DUMMYFUNCTION("""COMPUTED_VALUE""")," 2 da €30")</f>
        <v>2 da €30</v>
      </c>
      <c r="E31" s="223" t="str">
        <f>IFERROR(__xludf.DUMMYFUNCTION("""COMPUTED_VALUE""")," 32 da €37")</f>
        <v>32 da €37</v>
      </c>
      <c r="F31" s="224" t="str">
        <f>IFERROR(__xludf.DUMMYFUNCTION("""COMPUTED_VALUE""")," 9 da €35")</f>
        <v>9 da €35</v>
      </c>
      <c r="G31" s="223" t="str">
        <f>IFERROR(__xludf.DUMMYFUNCTION("""COMPUTED_VALUE""")," 0 da €42")</f>
        <v>0 da €42</v>
      </c>
      <c r="H31" s="225" t="str">
        <f>IFERROR(__xludf.DUMMYFUNCTION("""COMPUTED_VALUE""")," 0 da €40")</f>
        <v>0 da €40</v>
      </c>
    </row>
    <row r="32" ht="15.75" customHeight="1">
      <c r="A32" s="13"/>
      <c r="B32" s="212" t="str">
        <f>IFERROR(__xludf.DUMMYFUNCTION("""COMPUTED_VALUE"""),"subTOTALE ONLINE")</f>
        <v>subTOTALE ONLINE</v>
      </c>
      <c r="C32" s="116">
        <f>IFERROR(__xludf.DUMMYFUNCTION("""COMPUTED_VALUE"""),128.0)</f>
        <v>128</v>
      </c>
      <c r="D32" s="222">
        <f>IFERROR(__xludf.DUMMYFUNCTION("""COMPUTED_VALUE"""),60.0)</f>
        <v>60</v>
      </c>
      <c r="E32" s="230">
        <f>IFERROR(__xludf.DUMMYFUNCTION("""COMPUTED_VALUE"""),1184.0)</f>
        <v>1184</v>
      </c>
      <c r="F32" s="220">
        <f>IFERROR(__xludf.DUMMYFUNCTION("""COMPUTED_VALUE"""),315.0)</f>
        <v>315</v>
      </c>
      <c r="G32" s="219">
        <f>IFERROR(__xludf.DUMMYFUNCTION("""COMPUTED_VALUE"""),0.0)</f>
        <v>0</v>
      </c>
      <c r="H32" s="221">
        <f>IFERROR(__xludf.DUMMYFUNCTION("""COMPUTED_VALUE"""),0.0)</f>
        <v>0</v>
      </c>
    </row>
    <row r="33" ht="25.5" customHeight="1">
      <c r="A33" s="13"/>
      <c r="B33" s="139" t="str">
        <f>IFERROR(__xludf.DUMMYFUNCTION("IMPORTRANGE(""https://docs.google.com/spreadsheets/d/1w_v-LytfJUSGD2382sduIgEApmqF1mMjksjNng1JfDs/edit?gid=134075723#gid=134075723"",""WS_DEBORAHESPOSITO!P153:T156"")")," TOTALE SEDE")</f>
        <v>TOTALE SEDE</v>
      </c>
      <c r="C33" s="104">
        <f>IFERROR(__xludf.DUMMYFUNCTION("""COMPUTED_VALUE"""),373.0)</f>
        <v>373</v>
      </c>
      <c r="D33" s="201" t="str">
        <f>IFERROR(__xludf.DUMMYFUNCTION("""COMPUTED_VALUE""")," TOTALE GENERALE ENTRATE")</f>
        <v>TOTALE GENERALE ENTRATE</v>
      </c>
      <c r="E33" s="227">
        <f>IFERROR(__xludf.DUMMYFUNCTION("""COMPUTED_VALUE"""),2089.6)</f>
        <v>2089.6</v>
      </c>
      <c r="F33" s="27"/>
      <c r="G33" s="27"/>
      <c r="H33" s="66"/>
    </row>
    <row r="34" ht="15.75" customHeight="1">
      <c r="A34" s="13"/>
      <c r="D34" s="13"/>
      <c r="E34" s="132"/>
      <c r="F34" s="27"/>
      <c r="G34" s="27"/>
      <c r="H34" s="66"/>
    </row>
    <row r="35" ht="15.75" customHeight="1">
      <c r="A35" s="13"/>
      <c r="B35" s="202" t="str">
        <f>IFERROR(__xludf.DUMMYFUNCTION("""COMPUTED_VALUE""")," TOTALE ONLINE")</f>
        <v>TOTALE ONLINE</v>
      </c>
      <c r="C35" s="203">
        <f>IFERROR(__xludf.DUMMYFUNCTION("""COMPUTED_VALUE"""),1687.0)</f>
        <v>1687</v>
      </c>
      <c r="D35" s="13"/>
      <c r="E35" s="132"/>
      <c r="F35" s="27"/>
      <c r="G35" s="27"/>
      <c r="H35" s="66"/>
    </row>
    <row r="36" ht="15.75" customHeight="1">
      <c r="A36" s="13"/>
      <c r="D36" s="19"/>
      <c r="E36" s="133"/>
      <c r="F36" s="27"/>
      <c r="G36" s="27"/>
      <c r="H36" s="66"/>
    </row>
    <row r="37" ht="15.75" customHeight="1">
      <c r="A37" s="13"/>
      <c r="B37" s="25"/>
      <c r="C37" s="25"/>
      <c r="D37" s="161"/>
      <c r="E37" s="27"/>
      <c r="H37" s="204"/>
    </row>
    <row r="38" ht="15.75" customHeight="1">
      <c r="A38" s="19"/>
      <c r="B38" s="72" t="s">
        <v>46</v>
      </c>
      <c r="C38" s="21"/>
      <c r="D38" s="22"/>
      <c r="E38" s="23">
        <f>E33+E23</f>
        <v>961.16</v>
      </c>
      <c r="F38" s="206"/>
      <c r="G38" s="206"/>
      <c r="H38" s="207"/>
    </row>
    <row r="39" ht="15.75" customHeight="1">
      <c r="A39" s="25"/>
      <c r="B39" s="73"/>
      <c r="C39" s="74"/>
      <c r="D39" s="208"/>
      <c r="E39" s="39"/>
    </row>
  </sheetData>
  <mergeCells count="15">
    <mergeCell ref="A29:A38"/>
    <mergeCell ref="B33:B34"/>
    <mergeCell ref="C33:C34"/>
    <mergeCell ref="D33:D36"/>
    <mergeCell ref="E33:E36"/>
    <mergeCell ref="B35:B36"/>
    <mergeCell ref="C35:C36"/>
    <mergeCell ref="B38:D38"/>
    <mergeCell ref="A1:F1"/>
    <mergeCell ref="A3:A10"/>
    <mergeCell ref="B10:D10"/>
    <mergeCell ref="A12:A21"/>
    <mergeCell ref="B21:D21"/>
    <mergeCell ref="B23:D23"/>
    <mergeCell ref="A25:A27"/>
  </mergeCells>
  <conditionalFormatting sqref="A2:H39">
    <cfRule type="cellIs" dxfId="0" priority="1" operator="lessThan">
      <formula>0</formula>
    </cfRule>
  </conditionalFormatting>
  <dataValidations>
    <dataValidation type="list" allowBlank="1" showErrorMessage="1" sqref="F3:F9 F12:F20">
      <formula1>elenchi!$A$1:$A$100</formula1>
    </dataValidation>
  </dataValidations>
  <hyperlinks>
    <hyperlink r:id="rId4" location="gid=950170506" ref="A1"/>
    <hyperlink r:id="rId5" location="gid=1270308959" ref="B17"/>
    <hyperlink r:id="rId6" location="gid=1270308959" ref="B18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14"/>
    <col customWidth="1" min="2" max="2" width="37.43"/>
    <col customWidth="1" min="3" max="3" width="24.0"/>
    <col customWidth="1" min="4" max="4" width="11.14"/>
    <col customWidth="1" min="5" max="8" width="17.86"/>
  </cols>
  <sheetData>
    <row r="1" ht="43.5" customHeight="1">
      <c r="A1" s="134" t="s">
        <v>168</v>
      </c>
      <c r="B1" s="2"/>
      <c r="C1" s="2"/>
      <c r="D1" s="2"/>
      <c r="E1" s="2"/>
      <c r="F1" s="3"/>
      <c r="G1" s="209"/>
      <c r="H1" s="209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169</v>
      </c>
      <c r="B3" s="9" t="s">
        <v>7</v>
      </c>
      <c r="C3" s="9" t="s">
        <v>8</v>
      </c>
      <c r="D3" s="80">
        <v>1.0</v>
      </c>
      <c r="E3" s="11">
        <v>-300.0</v>
      </c>
      <c r="F3" s="11" t="s">
        <v>31</v>
      </c>
      <c r="G3" s="35"/>
      <c r="H3" s="35"/>
    </row>
    <row r="4">
      <c r="A4" s="13"/>
      <c r="B4" s="14" t="s">
        <v>135</v>
      </c>
      <c r="C4" s="14" t="s">
        <v>11</v>
      </c>
      <c r="D4" s="81" t="s">
        <v>11</v>
      </c>
      <c r="E4" s="16">
        <v>0.0</v>
      </c>
      <c r="F4" s="16"/>
      <c r="G4" s="35"/>
      <c r="H4" s="35"/>
    </row>
    <row r="5">
      <c r="A5" s="13"/>
      <c r="B5" s="14" t="s">
        <v>137</v>
      </c>
      <c r="C5" s="14" t="s">
        <v>11</v>
      </c>
      <c r="D5" s="81">
        <v>0.0</v>
      </c>
      <c r="E5" s="16">
        <v>0.0</v>
      </c>
      <c r="F5" s="16"/>
      <c r="G5" s="35"/>
      <c r="H5" s="35"/>
    </row>
    <row r="6">
      <c r="A6" s="13"/>
      <c r="B6" s="14" t="s">
        <v>149</v>
      </c>
      <c r="C6" s="14" t="s">
        <v>11</v>
      </c>
      <c r="D6" s="81">
        <v>0.0</v>
      </c>
      <c r="E6" s="16">
        <v>0.0</v>
      </c>
      <c r="F6" s="16"/>
      <c r="G6" s="35"/>
      <c r="H6" s="35"/>
    </row>
    <row r="7">
      <c r="A7" s="13"/>
      <c r="B7" s="14" t="s">
        <v>16</v>
      </c>
      <c r="C7" s="14" t="s">
        <v>11</v>
      </c>
      <c r="D7" s="81">
        <v>0.0</v>
      </c>
      <c r="E7" s="16">
        <v>0.0</v>
      </c>
      <c r="F7" s="16"/>
      <c r="G7" s="35"/>
      <c r="H7" s="35"/>
    </row>
    <row r="8">
      <c r="A8" s="13"/>
      <c r="B8" s="14" t="s">
        <v>17</v>
      </c>
      <c r="C8" s="14" t="s">
        <v>11</v>
      </c>
      <c r="D8" s="81">
        <v>0.0</v>
      </c>
      <c r="E8" s="16">
        <v>0.0</v>
      </c>
      <c r="F8" s="16"/>
      <c r="G8" s="35"/>
      <c r="H8" s="35"/>
    </row>
    <row r="9">
      <c r="A9" s="13"/>
      <c r="B9" s="14" t="s">
        <v>18</v>
      </c>
      <c r="C9" s="14" t="s">
        <v>170</v>
      </c>
      <c r="D9" s="81">
        <v>1.0</v>
      </c>
      <c r="E9" s="16">
        <v>-18.0</v>
      </c>
      <c r="F9" s="16" t="s">
        <v>20</v>
      </c>
      <c r="G9" s="35"/>
      <c r="H9" s="35"/>
    </row>
    <row r="10">
      <c r="A10" s="19"/>
      <c r="B10" s="159" t="s">
        <v>139</v>
      </c>
      <c r="C10" s="21"/>
      <c r="D10" s="22"/>
      <c r="E10" s="23">
        <f>SUM(E3:E9)</f>
        <v>-318</v>
      </c>
      <c r="F10" s="160"/>
      <c r="G10" s="35"/>
      <c r="H10" s="35"/>
    </row>
    <row r="11">
      <c r="A11" s="25"/>
      <c r="B11" s="25"/>
      <c r="C11" s="25"/>
      <c r="D11" s="161"/>
      <c r="E11" s="27"/>
      <c r="F11" s="27"/>
      <c r="G11" s="27"/>
      <c r="H11" s="27"/>
    </row>
    <row r="12">
      <c r="A12" s="8" t="s">
        <v>171</v>
      </c>
      <c r="B12" s="28" t="s">
        <v>23</v>
      </c>
      <c r="C12" s="9" t="s">
        <v>141</v>
      </c>
      <c r="D12" s="80" t="s">
        <v>11</v>
      </c>
      <c r="E12" s="65">
        <v>0.0</v>
      </c>
      <c r="F12" s="11"/>
      <c r="G12" s="35"/>
      <c r="H12" s="35"/>
    </row>
    <row r="13">
      <c r="A13" s="13"/>
      <c r="B13" s="14" t="s">
        <v>25</v>
      </c>
      <c r="C13" s="14" t="s">
        <v>172</v>
      </c>
      <c r="D13" s="81">
        <v>3.0</v>
      </c>
      <c r="E13" s="16">
        <v>-50.0</v>
      </c>
      <c r="F13" s="16" t="s">
        <v>9</v>
      </c>
      <c r="G13" s="35"/>
      <c r="H13" s="35"/>
    </row>
    <row r="14">
      <c r="A14" s="13"/>
      <c r="B14" s="14" t="s">
        <v>26</v>
      </c>
      <c r="C14" s="14" t="s">
        <v>173</v>
      </c>
      <c r="D14" s="81" t="s">
        <v>11</v>
      </c>
      <c r="E14" s="16">
        <v>-175.0</v>
      </c>
      <c r="F14" s="16" t="s">
        <v>27</v>
      </c>
      <c r="G14" s="35"/>
      <c r="H14" s="35"/>
    </row>
    <row r="15">
      <c r="A15" s="13"/>
      <c r="B15" s="14" t="s">
        <v>28</v>
      </c>
      <c r="C15" s="25"/>
      <c r="D15" s="81" t="s">
        <v>11</v>
      </c>
      <c r="E15" s="16">
        <v>-10.0</v>
      </c>
      <c r="F15" s="16" t="s">
        <v>9</v>
      </c>
      <c r="G15" s="35"/>
      <c r="H15" s="35"/>
    </row>
    <row r="16">
      <c r="A16" s="13"/>
      <c r="B16" s="14" t="s">
        <v>29</v>
      </c>
      <c r="C16" s="25"/>
      <c r="D16" s="81" t="s">
        <v>11</v>
      </c>
      <c r="E16" s="16">
        <v>0.0</v>
      </c>
      <c r="F16" s="16"/>
      <c r="G16" s="35"/>
      <c r="H16" s="35"/>
    </row>
    <row r="17">
      <c r="A17" s="13"/>
      <c r="B17" s="31" t="s">
        <v>30</v>
      </c>
      <c r="C17" s="14"/>
      <c r="D17" s="81" t="s">
        <v>11</v>
      </c>
      <c r="E17" s="16">
        <v>-6.0</v>
      </c>
      <c r="F17" s="16" t="s">
        <v>31</v>
      </c>
      <c r="G17" s="35"/>
      <c r="H17" s="35"/>
    </row>
    <row r="18">
      <c r="A18" s="13"/>
      <c r="B18" s="31" t="s">
        <v>32</v>
      </c>
      <c r="C18" s="14"/>
      <c r="D18" s="81" t="s">
        <v>11</v>
      </c>
      <c r="E18" s="16">
        <v>-10.0</v>
      </c>
      <c r="F18" s="16" t="s">
        <v>31</v>
      </c>
      <c r="G18" s="35"/>
      <c r="H18" s="35"/>
    </row>
    <row r="19">
      <c r="A19" s="13"/>
      <c r="B19" s="14" t="s">
        <v>34</v>
      </c>
      <c r="C19" s="25"/>
      <c r="D19" s="81" t="s">
        <v>11</v>
      </c>
      <c r="E19" s="16">
        <v>-138.01</v>
      </c>
      <c r="F19" s="16" t="s">
        <v>12</v>
      </c>
      <c r="G19" s="35"/>
      <c r="H19" s="35"/>
    </row>
    <row r="20">
      <c r="A20" s="13"/>
      <c r="B20" s="33" t="s">
        <v>36</v>
      </c>
      <c r="C20" s="14" t="s">
        <v>174</v>
      </c>
      <c r="D20" s="81">
        <v>31.0</v>
      </c>
      <c r="E20" s="16">
        <f>D20*30*-1.5%</f>
        <v>-13.95</v>
      </c>
      <c r="F20" s="34" t="s">
        <v>38</v>
      </c>
      <c r="G20" s="35"/>
      <c r="H20" s="35"/>
    </row>
    <row r="21">
      <c r="A21" s="19"/>
      <c r="B21" s="20" t="s">
        <v>39</v>
      </c>
      <c r="C21" s="21"/>
      <c r="D21" s="22"/>
      <c r="E21" s="23">
        <f>SUM(E12:E20)</f>
        <v>-402.96</v>
      </c>
      <c r="F21" s="35"/>
      <c r="G21" s="35"/>
      <c r="H21" s="35"/>
    </row>
    <row r="22">
      <c r="A22" s="36"/>
      <c r="B22" s="25"/>
      <c r="C22" s="25"/>
      <c r="D22" s="161"/>
      <c r="E22" s="27"/>
      <c r="F22" s="27"/>
      <c r="G22" s="27"/>
      <c r="H22" s="27"/>
    </row>
    <row r="23" ht="15.75" customHeight="1">
      <c r="A23" s="36"/>
      <c r="B23" s="37" t="s">
        <v>40</v>
      </c>
      <c r="C23" s="21"/>
      <c r="D23" s="22"/>
      <c r="E23" s="38">
        <f>E10+E21</f>
        <v>-720.96</v>
      </c>
      <c r="F23" s="39"/>
      <c r="G23" s="39"/>
      <c r="H23" s="39"/>
    </row>
    <row r="24" ht="15.75" customHeight="1">
      <c r="A24" s="25"/>
      <c r="B24" s="25"/>
      <c r="C24" s="25"/>
      <c r="D24" s="162"/>
      <c r="E24" s="41"/>
      <c r="F24" s="163"/>
      <c r="G24" s="41"/>
      <c r="H24" s="41"/>
    </row>
    <row r="25" ht="15.75" customHeight="1">
      <c r="A25" s="42" t="s">
        <v>175</v>
      </c>
      <c r="B25" s="43" t="s">
        <v>176</v>
      </c>
      <c r="C25" s="44">
        <v>25.0</v>
      </c>
      <c r="D25" s="165">
        <v>40.0</v>
      </c>
      <c r="E25" s="166">
        <f t="shared" ref="E25:E27" si="1">C25*D25</f>
        <v>1000</v>
      </c>
      <c r="F25" s="47">
        <f>E23+E25</f>
        <v>279.04</v>
      </c>
      <c r="G25" s="39"/>
      <c r="H25" s="39"/>
    </row>
    <row r="26" ht="15.75" customHeight="1">
      <c r="A26" s="13"/>
      <c r="B26" s="48" t="s">
        <v>177</v>
      </c>
      <c r="C26" s="49">
        <v>37.0</v>
      </c>
      <c r="D26" s="169">
        <v>40.0</v>
      </c>
      <c r="E26" s="170">
        <f t="shared" si="1"/>
        <v>1480</v>
      </c>
      <c r="F26" s="171">
        <f>E23+E26</f>
        <v>759.04</v>
      </c>
      <c r="G26" s="39"/>
      <c r="H26" s="39"/>
    </row>
    <row r="27" ht="15.75" customHeight="1">
      <c r="A27" s="19"/>
      <c r="B27" s="53" t="s">
        <v>178</v>
      </c>
      <c r="C27" s="210">
        <v>31.0</v>
      </c>
      <c r="D27" s="173">
        <v>40.0</v>
      </c>
      <c r="E27" s="174">
        <f t="shared" si="1"/>
        <v>1240</v>
      </c>
      <c r="F27" s="211">
        <f>E23+E27</f>
        <v>519.04</v>
      </c>
      <c r="G27" s="39"/>
      <c r="H27" s="39"/>
    </row>
    <row r="28" ht="15.75" customHeight="1">
      <c r="A28" s="176"/>
      <c r="B28" s="177"/>
      <c r="C28" s="178"/>
      <c r="D28" s="179"/>
      <c r="E28" s="71"/>
      <c r="F28" s="71"/>
      <c r="G28" s="27"/>
      <c r="H28" s="27"/>
    </row>
    <row r="29" ht="15.75" customHeight="1">
      <c r="A29" s="180" t="s">
        <v>45</v>
      </c>
      <c r="B29" s="212" t="str">
        <f>IFERROR(__xludf.DUMMYFUNCTION("IMPORTRANGE(""https://docs.google.com/spreadsheets/d/1w_v-LytfJUSGD2382sduIgEApmqF1mMjksjNng1JfDs/edit?gid=134075723#gid=134075723"",""WS_DEANGELIS!I153:O156"")"),"subTOTALE ONLINE")</f>
        <v>subTOTALE ONLINE</v>
      </c>
      <c r="C29" s="116">
        <f>IFERROR(__xludf.DUMMYFUNCTION("""COMPUTED_VALUE"""),0.0)</f>
        <v>0</v>
      </c>
      <c r="D29" s="213">
        <f>IFERROR(__xludf.DUMMYFUNCTION("""COMPUTED_VALUE"""),0.0)</f>
        <v>0</v>
      </c>
      <c r="E29" s="93">
        <f>IFERROR(__xludf.DUMMYFUNCTION("""COMPUTED_VALUE"""),0.0)</f>
        <v>0</v>
      </c>
      <c r="F29" s="214">
        <f>IFERROR(__xludf.DUMMYFUNCTION("""COMPUTED_VALUE"""),0.0)</f>
        <v>0</v>
      </c>
      <c r="G29" s="93">
        <f>IFERROR(__xludf.DUMMYFUNCTION("""COMPUTED_VALUE"""),0.0)</f>
        <v>0</v>
      </c>
      <c r="H29" s="215">
        <f>IFERROR(__xludf.DUMMYFUNCTION("""COMPUTED_VALUE"""),0.0)</f>
        <v>0</v>
      </c>
    </row>
    <row r="30" ht="15.75" customHeight="1">
      <c r="A30" s="13"/>
      <c r="B30" s="216" t="str">
        <f>IFERROR(__xludf.DUMMYFUNCTION("""COMPUTED_VALUE"""),"TOTALE 
PERSONE SEDE")</f>
        <v>TOTALE 
PERSONE SEDE</v>
      </c>
      <c r="C30" s="217" t="str">
        <f>IFERROR(__xludf.DUMMYFUNCTION("""COMPUTED_VALUE""")," 2 da €27")</f>
        <v>2 da €27</v>
      </c>
      <c r="D30" s="218" t="str">
        <f>IFERROR(__xludf.DUMMYFUNCTION("""COMPUTED_VALUE""")," 2 da €25")</f>
        <v>2 da €25</v>
      </c>
      <c r="E30" s="219" t="str">
        <f>IFERROR(__xludf.DUMMYFUNCTION("""COMPUTED_VALUE""")," 1 da €32")</f>
        <v>1 da €32</v>
      </c>
      <c r="F30" s="220" t="str">
        <f>IFERROR(__xludf.DUMMYFUNCTION("""COMPUTED_VALUE""")," 0 da €30")</f>
        <v>0 da €30</v>
      </c>
      <c r="G30" s="219" t="str">
        <f>IFERROR(__xludf.DUMMYFUNCTION("""COMPUTED_VALUE""")," 1 da €37")</f>
        <v>1 da €37</v>
      </c>
      <c r="H30" s="221" t="str">
        <f>IFERROR(__xludf.DUMMYFUNCTION("""COMPUTED_VALUE""")," 0 da €35")</f>
        <v>0 da €35</v>
      </c>
    </row>
    <row r="31" ht="15.75" customHeight="1">
      <c r="A31" s="13"/>
      <c r="B31" s="212" t="str">
        <f>IFERROR(__xludf.DUMMYFUNCTION("""COMPUTED_VALUE"""),"subTOTALE SEDE")</f>
        <v>subTOTALE SEDE</v>
      </c>
      <c r="C31" s="116">
        <f>IFERROR(__xludf.DUMMYFUNCTION("""COMPUTED_VALUE"""),54.0)</f>
        <v>54</v>
      </c>
      <c r="D31" s="222">
        <f>IFERROR(__xludf.DUMMYFUNCTION("""COMPUTED_VALUE"""),50.0)</f>
        <v>50</v>
      </c>
      <c r="E31" s="223">
        <f>IFERROR(__xludf.DUMMYFUNCTION("""COMPUTED_VALUE"""),32.0)</f>
        <v>32</v>
      </c>
      <c r="F31" s="224">
        <f>IFERROR(__xludf.DUMMYFUNCTION("""COMPUTED_VALUE"""),0.0)</f>
        <v>0</v>
      </c>
      <c r="G31" s="223">
        <f>IFERROR(__xludf.DUMMYFUNCTION("""COMPUTED_VALUE"""),37.0)</f>
        <v>37</v>
      </c>
      <c r="H31" s="225">
        <f>IFERROR(__xludf.DUMMYFUNCTION("""COMPUTED_VALUE"""),0.0)</f>
        <v>0</v>
      </c>
    </row>
    <row r="32" ht="15.75" customHeight="1">
      <c r="A32" s="13"/>
      <c r="B32" s="216" t="str">
        <f>IFERROR(__xludf.DUMMYFUNCTION("""COMPUTED_VALUE"""),"TOTALE 
PERSONE ONLINE")</f>
        <v>TOTALE 
PERSONE ONLINE</v>
      </c>
      <c r="C32" s="217" t="str">
        <f>IFERROR(__xludf.DUMMYFUNCTION("""COMPUTED_VALUE""")," 9 da €27")</f>
        <v>9 da €27</v>
      </c>
      <c r="D32" s="222" t="str">
        <f>IFERROR(__xludf.DUMMYFUNCTION("""COMPUTED_VALUE""")," 0 da €25")</f>
        <v>0 da €25</v>
      </c>
      <c r="E32" s="223" t="str">
        <f>IFERROR(__xludf.DUMMYFUNCTION("""COMPUTED_VALUE""")," 18 da €32")</f>
        <v>18 da €32</v>
      </c>
      <c r="F32" s="220" t="str">
        <f>IFERROR(__xludf.DUMMYFUNCTION("""COMPUTED_VALUE""")," 4 da €30")</f>
        <v>4 da €30</v>
      </c>
      <c r="G32" s="219" t="str">
        <f>IFERROR(__xludf.DUMMYFUNCTION("""COMPUTED_VALUE""")," 0 da €37")</f>
        <v>0 da €37</v>
      </c>
      <c r="H32" s="221" t="str">
        <f>IFERROR(__xludf.DUMMYFUNCTION("""COMPUTED_VALUE""")," 0 da €35")</f>
        <v>0 da €35</v>
      </c>
    </row>
    <row r="33" ht="25.5" customHeight="1">
      <c r="A33" s="13"/>
      <c r="B33" s="139" t="str">
        <f>IFERROR(__xludf.DUMMYFUNCTION("IMPORTRANGE(""https://docs.google.com/spreadsheets/d/1w_v-LytfJUSGD2382sduIgEApmqF1mMjksjNng1JfDs/edit?gid=134075723#gid=134075723"",""WS_DEANGELIS!P154:T157"")")," TOTALE SEDE")</f>
        <v>TOTALE SEDE</v>
      </c>
      <c r="C33" s="104">
        <f>IFERROR(__xludf.DUMMYFUNCTION("""COMPUTED_VALUE"""),173.0)</f>
        <v>173</v>
      </c>
      <c r="D33" s="201" t="str">
        <f>IFERROR(__xludf.DUMMYFUNCTION("""COMPUTED_VALUE""")," TOTALE GENERALE ENTRATE")</f>
        <v>TOTALE GENERALE ENTRATE</v>
      </c>
      <c r="E33" s="131">
        <f>IFERROR(__xludf.DUMMYFUNCTION("""COMPUTED_VALUE"""),1112.0)</f>
        <v>1112</v>
      </c>
      <c r="F33" s="27"/>
      <c r="G33" s="27"/>
      <c r="H33" s="66"/>
    </row>
    <row r="34" ht="15.75" customHeight="1">
      <c r="A34" s="13"/>
      <c r="D34" s="13"/>
      <c r="E34" s="132"/>
      <c r="F34" s="27"/>
      <c r="G34" s="27"/>
      <c r="H34" s="66"/>
    </row>
    <row r="35" ht="15.75" customHeight="1">
      <c r="A35" s="13"/>
      <c r="B35" s="202" t="str">
        <f>IFERROR(__xludf.DUMMYFUNCTION("""COMPUTED_VALUE""")," TOTALE ONLINE")</f>
        <v>TOTALE ONLINE</v>
      </c>
      <c r="C35" s="203">
        <f>IFERROR(__xludf.DUMMYFUNCTION("""COMPUTED_VALUE"""),939.0)</f>
        <v>939</v>
      </c>
      <c r="D35" s="13"/>
      <c r="E35" s="132"/>
      <c r="F35" s="27"/>
      <c r="G35" s="27"/>
      <c r="H35" s="66"/>
    </row>
    <row r="36" ht="15.75" customHeight="1">
      <c r="A36" s="13"/>
      <c r="D36" s="19"/>
      <c r="E36" s="133"/>
      <c r="F36" s="27"/>
      <c r="G36" s="27"/>
      <c r="H36" s="66"/>
    </row>
    <row r="37" ht="15.75" customHeight="1">
      <c r="A37" s="13"/>
      <c r="B37" s="25"/>
      <c r="C37" s="25"/>
      <c r="D37" s="161"/>
      <c r="E37" s="66"/>
      <c r="H37" s="204"/>
    </row>
    <row r="38" ht="15.75" customHeight="1">
      <c r="A38" s="19"/>
      <c r="B38" s="72" t="s">
        <v>46</v>
      </c>
      <c r="C38" s="21"/>
      <c r="D38" s="22"/>
      <c r="E38" s="23">
        <f>E33+E23</f>
        <v>391.04</v>
      </c>
      <c r="F38" s="206"/>
      <c r="G38" s="206"/>
      <c r="H38" s="207"/>
    </row>
    <row r="39" ht="15.75" customHeight="1">
      <c r="A39" s="25"/>
      <c r="B39" s="73"/>
      <c r="C39" s="74"/>
      <c r="D39" s="208"/>
      <c r="E39" s="39"/>
    </row>
  </sheetData>
  <mergeCells count="15">
    <mergeCell ref="A29:A38"/>
    <mergeCell ref="B33:B34"/>
    <mergeCell ref="C33:C34"/>
    <mergeCell ref="D33:D36"/>
    <mergeCell ref="E33:E36"/>
    <mergeCell ref="B35:B36"/>
    <mergeCell ref="C35:C36"/>
    <mergeCell ref="B38:D38"/>
    <mergeCell ref="A1:F1"/>
    <mergeCell ref="A3:A10"/>
    <mergeCell ref="B10:D10"/>
    <mergeCell ref="A12:A21"/>
    <mergeCell ref="B21:D21"/>
    <mergeCell ref="B23:D23"/>
    <mergeCell ref="A25:A27"/>
  </mergeCells>
  <conditionalFormatting sqref="A2:H39">
    <cfRule type="cellIs" dxfId="0" priority="1" operator="lessThan">
      <formula>0</formula>
    </cfRule>
  </conditionalFormatting>
  <dataValidations>
    <dataValidation type="list" allowBlank="1" showErrorMessage="1" sqref="F3:F9 F12:F20">
      <formula1>elenchi!$A$1:$A$100</formula1>
    </dataValidation>
  </dataValidations>
  <hyperlinks>
    <hyperlink r:id="rId4" location="gid=2093722118" ref="A1"/>
    <hyperlink r:id="rId5" location="gid=1270308959" ref="B17"/>
    <hyperlink r:id="rId6" location="gid=1270308959" ref="B18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1.14"/>
    <col customWidth="1" min="5" max="8" width="17.86"/>
  </cols>
  <sheetData>
    <row r="1" ht="43.5" customHeight="1">
      <c r="A1" s="134" t="s">
        <v>179</v>
      </c>
      <c r="B1" s="2"/>
      <c r="C1" s="2"/>
      <c r="D1" s="2"/>
      <c r="E1" s="2"/>
      <c r="F1" s="3"/>
      <c r="G1" s="77"/>
      <c r="H1" s="77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180</v>
      </c>
      <c r="B3" s="9" t="s">
        <v>7</v>
      </c>
      <c r="C3" s="9" t="s">
        <v>181</v>
      </c>
      <c r="D3" s="80">
        <v>1.0</v>
      </c>
      <c r="E3" s="11">
        <v>-600.0</v>
      </c>
      <c r="F3" s="11" t="s">
        <v>9</v>
      </c>
      <c r="G3" s="35"/>
      <c r="H3" s="35"/>
    </row>
    <row r="4">
      <c r="A4" s="13"/>
      <c r="B4" s="14" t="s">
        <v>135</v>
      </c>
      <c r="C4" s="14" t="s">
        <v>11</v>
      </c>
      <c r="D4" s="81" t="s">
        <v>11</v>
      </c>
      <c r="E4" s="16">
        <v>0.0</v>
      </c>
      <c r="F4" s="16"/>
      <c r="G4" s="35"/>
      <c r="H4" s="35"/>
    </row>
    <row r="5">
      <c r="A5" s="13"/>
      <c r="B5" s="14" t="s">
        <v>137</v>
      </c>
      <c r="C5" s="14" t="s">
        <v>11</v>
      </c>
      <c r="D5" s="81" t="s">
        <v>11</v>
      </c>
      <c r="E5" s="16">
        <v>0.0</v>
      </c>
      <c r="F5" s="16"/>
      <c r="G5" s="35"/>
      <c r="H5" s="35"/>
    </row>
    <row r="6">
      <c r="A6" s="13"/>
      <c r="B6" s="14" t="s">
        <v>15</v>
      </c>
      <c r="C6" s="14" t="s">
        <v>11</v>
      </c>
      <c r="D6" s="81" t="s">
        <v>11</v>
      </c>
      <c r="E6" s="16">
        <v>0.0</v>
      </c>
      <c r="F6" s="16"/>
      <c r="G6" s="35"/>
      <c r="H6" s="35"/>
    </row>
    <row r="7">
      <c r="A7" s="13"/>
      <c r="B7" s="14" t="s">
        <v>16</v>
      </c>
      <c r="C7" s="14" t="s">
        <v>11</v>
      </c>
      <c r="D7" s="81" t="s">
        <v>11</v>
      </c>
      <c r="E7" s="16">
        <v>0.0</v>
      </c>
      <c r="F7" s="16"/>
      <c r="G7" s="35"/>
      <c r="H7" s="35"/>
    </row>
    <row r="8">
      <c r="A8" s="13"/>
      <c r="B8" s="14" t="s">
        <v>17</v>
      </c>
      <c r="C8" s="14" t="s">
        <v>11</v>
      </c>
      <c r="D8" s="81" t="s">
        <v>11</v>
      </c>
      <c r="E8" s="16">
        <v>0.0</v>
      </c>
      <c r="F8" s="16"/>
      <c r="G8" s="35"/>
      <c r="H8" s="35"/>
    </row>
    <row r="9">
      <c r="A9" s="13"/>
      <c r="B9" s="14" t="s">
        <v>18</v>
      </c>
      <c r="C9" s="14" t="s">
        <v>138</v>
      </c>
      <c r="D9" s="81">
        <v>1.0</v>
      </c>
      <c r="E9" s="16">
        <v>-18.0</v>
      </c>
      <c r="F9" s="16" t="s">
        <v>20</v>
      </c>
      <c r="G9" s="35"/>
      <c r="H9" s="35"/>
    </row>
    <row r="10">
      <c r="A10" s="19"/>
      <c r="B10" s="159" t="s">
        <v>139</v>
      </c>
      <c r="C10" s="21"/>
      <c r="D10" s="22"/>
      <c r="E10" s="23">
        <f>SUM(E3:E9)</f>
        <v>-618</v>
      </c>
      <c r="F10" s="160"/>
      <c r="G10" s="35"/>
      <c r="H10" s="35"/>
    </row>
    <row r="11">
      <c r="A11" s="25"/>
      <c r="B11" s="25"/>
      <c r="C11" s="25"/>
      <c r="D11" s="161"/>
      <c r="E11" s="27"/>
      <c r="F11" s="27"/>
      <c r="G11" s="27"/>
      <c r="H11" s="27"/>
    </row>
    <row r="12">
      <c r="A12" s="8" t="s">
        <v>182</v>
      </c>
      <c r="B12" s="28" t="s">
        <v>23</v>
      </c>
      <c r="C12" s="9" t="s">
        <v>141</v>
      </c>
      <c r="D12" s="80" t="s">
        <v>11</v>
      </c>
      <c r="E12" s="65">
        <v>0.0</v>
      </c>
      <c r="F12" s="11"/>
      <c r="G12" s="35"/>
      <c r="H12" s="35"/>
    </row>
    <row r="13">
      <c r="A13" s="13"/>
      <c r="B13" s="14" t="s">
        <v>25</v>
      </c>
      <c r="C13" s="14" t="s">
        <v>183</v>
      </c>
      <c r="D13" s="81">
        <v>3.0</v>
      </c>
      <c r="E13" s="16">
        <v>-50.0</v>
      </c>
      <c r="F13" s="16" t="s">
        <v>9</v>
      </c>
      <c r="G13" s="35"/>
      <c r="H13" s="35"/>
    </row>
    <row r="14">
      <c r="A14" s="13"/>
      <c r="B14" s="14" t="s">
        <v>26</v>
      </c>
      <c r="C14" s="14"/>
      <c r="D14" s="81" t="s">
        <v>11</v>
      </c>
      <c r="E14" s="16">
        <v>-200.0</v>
      </c>
      <c r="F14" s="16" t="s">
        <v>27</v>
      </c>
      <c r="G14" s="35"/>
      <c r="H14" s="35"/>
    </row>
    <row r="15">
      <c r="A15" s="13"/>
      <c r="B15" s="14" t="s">
        <v>28</v>
      </c>
      <c r="C15" s="25"/>
      <c r="D15" s="81" t="s">
        <v>11</v>
      </c>
      <c r="E15" s="16">
        <v>-10.0</v>
      </c>
      <c r="F15" s="16" t="s">
        <v>9</v>
      </c>
      <c r="G15" s="35"/>
      <c r="H15" s="35"/>
    </row>
    <row r="16">
      <c r="A16" s="13"/>
      <c r="B16" s="14" t="s">
        <v>29</v>
      </c>
      <c r="C16" s="25"/>
      <c r="D16" s="81" t="s">
        <v>11</v>
      </c>
      <c r="E16" s="16">
        <v>0.0</v>
      </c>
      <c r="F16" s="16"/>
      <c r="G16" s="35"/>
      <c r="H16" s="35"/>
    </row>
    <row r="17">
      <c r="A17" s="13"/>
      <c r="B17" s="31" t="s">
        <v>30</v>
      </c>
      <c r="C17" s="14"/>
      <c r="D17" s="81" t="s">
        <v>11</v>
      </c>
      <c r="E17" s="16">
        <v>-3.0</v>
      </c>
      <c r="F17" s="16" t="s">
        <v>31</v>
      </c>
      <c r="G17" s="35"/>
      <c r="H17" s="35"/>
    </row>
    <row r="18">
      <c r="A18" s="13"/>
      <c r="B18" s="31" t="s">
        <v>32</v>
      </c>
      <c r="C18" s="14"/>
      <c r="D18" s="81" t="s">
        <v>11</v>
      </c>
      <c r="E18" s="16">
        <v>-11.0</v>
      </c>
      <c r="F18" s="16" t="s">
        <v>31</v>
      </c>
      <c r="G18" s="35"/>
      <c r="H18" s="35"/>
    </row>
    <row r="19">
      <c r="A19" s="13"/>
      <c r="B19" s="14" t="s">
        <v>34</v>
      </c>
      <c r="C19" s="25"/>
      <c r="D19" s="81" t="s">
        <v>11</v>
      </c>
      <c r="E19" s="16">
        <v>-687.33</v>
      </c>
      <c r="F19" s="16" t="s">
        <v>12</v>
      </c>
      <c r="G19" s="35"/>
      <c r="H19" s="35"/>
    </row>
    <row r="20">
      <c r="A20" s="13"/>
      <c r="B20" s="33" t="s">
        <v>36</v>
      </c>
      <c r="C20" s="14" t="s">
        <v>184</v>
      </c>
      <c r="D20" s="81">
        <v>61.0</v>
      </c>
      <c r="E20" s="16">
        <f>D20*35*-1.5%</f>
        <v>-32.025</v>
      </c>
      <c r="F20" s="34" t="s">
        <v>38</v>
      </c>
      <c r="G20" s="35"/>
      <c r="H20" s="35"/>
    </row>
    <row r="21">
      <c r="A21" s="19"/>
      <c r="B21" s="20" t="s">
        <v>39</v>
      </c>
      <c r="C21" s="21"/>
      <c r="D21" s="22"/>
      <c r="E21" s="23">
        <f>SUM(E12:E20)</f>
        <v>-993.355</v>
      </c>
      <c r="F21" s="35"/>
      <c r="G21" s="35"/>
      <c r="H21" s="35"/>
    </row>
    <row r="22">
      <c r="A22" s="36"/>
      <c r="B22" s="25"/>
      <c r="C22" s="25"/>
      <c r="D22" s="161"/>
      <c r="E22" s="27"/>
      <c r="F22" s="27"/>
      <c r="G22" s="27"/>
      <c r="H22" s="27"/>
    </row>
    <row r="23" ht="15.75" customHeight="1">
      <c r="A23" s="36"/>
      <c r="B23" s="37" t="s">
        <v>40</v>
      </c>
      <c r="C23" s="21"/>
      <c r="D23" s="22"/>
      <c r="E23" s="38">
        <f>E10+E21</f>
        <v>-1611.355</v>
      </c>
      <c r="F23" s="39"/>
      <c r="G23" s="39"/>
      <c r="H23" s="39"/>
    </row>
    <row r="24" ht="15.75" customHeight="1">
      <c r="A24" s="25"/>
      <c r="B24" s="25"/>
      <c r="C24" s="25"/>
      <c r="D24" s="162"/>
      <c r="E24" s="41"/>
      <c r="F24" s="163"/>
      <c r="G24" s="41"/>
      <c r="H24" s="41"/>
    </row>
    <row r="25" ht="15.75" customHeight="1">
      <c r="A25" s="42" t="s">
        <v>185</v>
      </c>
      <c r="B25" s="43" t="s">
        <v>186</v>
      </c>
      <c r="C25" s="164">
        <v>30.0</v>
      </c>
      <c r="D25" s="165">
        <v>60.0</v>
      </c>
      <c r="E25" s="166">
        <f t="shared" ref="E25:E27" si="1">C25*D25</f>
        <v>1800</v>
      </c>
      <c r="F25" s="47">
        <f>E23+E25</f>
        <v>188.645</v>
      </c>
      <c r="G25" s="39"/>
      <c r="H25" s="39"/>
    </row>
    <row r="26" ht="15.75" customHeight="1">
      <c r="A26" s="13"/>
      <c r="B26" s="167" t="s">
        <v>187</v>
      </c>
      <c r="C26" s="168">
        <v>42.0</v>
      </c>
      <c r="D26" s="169">
        <v>60.0</v>
      </c>
      <c r="E26" s="170">
        <f t="shared" si="1"/>
        <v>2520</v>
      </c>
      <c r="F26" s="171">
        <f>E23+E26</f>
        <v>908.645</v>
      </c>
      <c r="G26" s="39"/>
      <c r="H26" s="39"/>
    </row>
    <row r="27" ht="15.75" customHeight="1">
      <c r="A27" s="19"/>
      <c r="B27" s="53" t="s">
        <v>188</v>
      </c>
      <c r="C27" s="172">
        <v>36.0</v>
      </c>
      <c r="D27" s="173">
        <v>60.0</v>
      </c>
      <c r="E27" s="174">
        <f t="shared" si="1"/>
        <v>2160</v>
      </c>
      <c r="F27" s="175">
        <f>E23+E27</f>
        <v>548.645</v>
      </c>
      <c r="G27" s="41"/>
      <c r="H27" s="41"/>
    </row>
    <row r="28" ht="15.75" customHeight="1">
      <c r="A28" s="176"/>
      <c r="B28" s="177"/>
      <c r="C28" s="178"/>
      <c r="D28" s="179"/>
      <c r="E28" s="71"/>
      <c r="F28" s="71"/>
      <c r="G28" s="27"/>
      <c r="H28" s="27"/>
    </row>
    <row r="29" ht="15.75" customHeight="1">
      <c r="A29" s="180" t="s">
        <v>45</v>
      </c>
      <c r="B29" s="212" t="str">
        <f>IFERROR(__xludf.DUMMYFUNCTION("IMPORTRANGE(""https://docs.google.com/spreadsheets/d/1w_v-LytfJUSGD2382sduIgEApmqF1mMjksjNng1JfDs/edit?gid=134075723#gid=134075723"",""WS_KUMO!I153:O156"")"),"TOTALE 
PERSONE SEDE")</f>
        <v>TOTALE 
PERSONE SEDE</v>
      </c>
      <c r="C29" s="116" t="str">
        <f>IFERROR(__xludf.DUMMYFUNCTION("""COMPUTED_VALUE""")," 1 da €32")</f>
        <v>1 da €32</v>
      </c>
      <c r="D29" s="213" t="str">
        <f>IFERROR(__xludf.DUMMYFUNCTION("""COMPUTED_VALUE""")," 0 da €30")</f>
        <v>0 da €30</v>
      </c>
      <c r="E29" s="93" t="str">
        <f>IFERROR(__xludf.DUMMYFUNCTION("""COMPUTED_VALUE""")," 1 da €37")</f>
        <v>1 da €37</v>
      </c>
      <c r="F29" s="214" t="str">
        <f>IFERROR(__xludf.DUMMYFUNCTION("""COMPUTED_VALUE""")," 0 da €35")</f>
        <v>0 da €35</v>
      </c>
      <c r="G29" s="93" t="str">
        <f>IFERROR(__xludf.DUMMYFUNCTION("""COMPUTED_VALUE""")," 0 da €42")</f>
        <v>0 da €42</v>
      </c>
      <c r="H29" s="215" t="str">
        <f>IFERROR(__xludf.DUMMYFUNCTION("""COMPUTED_VALUE""")," 0 da €40")</f>
        <v>0 da €40</v>
      </c>
    </row>
    <row r="30" ht="15.75" customHeight="1">
      <c r="A30" s="13"/>
      <c r="B30" s="216" t="str">
        <f>IFERROR(__xludf.DUMMYFUNCTION("""COMPUTED_VALUE"""),"subTOTALE SEDE")</f>
        <v>subTOTALE SEDE</v>
      </c>
      <c r="C30" s="217">
        <f>IFERROR(__xludf.DUMMYFUNCTION("""COMPUTED_VALUE"""),32.0)</f>
        <v>32</v>
      </c>
      <c r="D30" s="218">
        <f>IFERROR(__xludf.DUMMYFUNCTION("""COMPUTED_VALUE"""),0.0)</f>
        <v>0</v>
      </c>
      <c r="E30" s="219">
        <f>IFERROR(__xludf.DUMMYFUNCTION("""COMPUTED_VALUE"""),37.0)</f>
        <v>37</v>
      </c>
      <c r="F30" s="220">
        <f>IFERROR(__xludf.DUMMYFUNCTION("""COMPUTED_VALUE"""),0.0)</f>
        <v>0</v>
      </c>
      <c r="G30" s="219">
        <f>IFERROR(__xludf.DUMMYFUNCTION("""COMPUTED_VALUE"""),0.0)</f>
        <v>0</v>
      </c>
      <c r="H30" s="221">
        <f>IFERROR(__xludf.DUMMYFUNCTION("""COMPUTED_VALUE"""),0.0)</f>
        <v>0</v>
      </c>
    </row>
    <row r="31" ht="15.75" customHeight="1">
      <c r="A31" s="13"/>
      <c r="B31" s="212" t="str">
        <f>IFERROR(__xludf.DUMMYFUNCTION("""COMPUTED_VALUE"""),"TOTALE 
PERSONE ONLINE")</f>
        <v>TOTALE 
PERSONE ONLINE</v>
      </c>
      <c r="C31" s="116" t="str">
        <f>IFERROR(__xludf.DUMMYFUNCTION("""COMPUTED_VALUE""")," 12 da €32")</f>
        <v>12 da €32</v>
      </c>
      <c r="D31" s="222" t="str">
        <f>IFERROR(__xludf.DUMMYFUNCTION("""COMPUTED_VALUE""")," 5 da €30")</f>
        <v>5 da €30</v>
      </c>
      <c r="E31" s="223" t="str">
        <f>IFERROR(__xludf.DUMMYFUNCTION("""COMPUTED_VALUE""")," 40 da €37")</f>
        <v>40 da €37</v>
      </c>
      <c r="F31" s="224" t="str">
        <f>IFERROR(__xludf.DUMMYFUNCTION("""COMPUTED_VALUE""")," 4 da €35")</f>
        <v>4 da €35</v>
      </c>
      <c r="G31" s="223" t="str">
        <f>IFERROR(__xludf.DUMMYFUNCTION("""COMPUTED_VALUE""")," 0 da €42")</f>
        <v>0 da €42</v>
      </c>
      <c r="H31" s="225" t="str">
        <f>IFERROR(__xludf.DUMMYFUNCTION("""COMPUTED_VALUE""")," 0 da €40")</f>
        <v>0 da €40</v>
      </c>
    </row>
    <row r="32" ht="15.75" customHeight="1">
      <c r="A32" s="13"/>
      <c r="B32" s="216" t="str">
        <f>IFERROR(__xludf.DUMMYFUNCTION("""COMPUTED_VALUE"""),"subTOTALE ONLINE")</f>
        <v>subTOTALE ONLINE</v>
      </c>
      <c r="C32" s="217">
        <f>IFERROR(__xludf.DUMMYFUNCTION("""COMPUTED_VALUE"""),384.0)</f>
        <v>384</v>
      </c>
      <c r="D32" s="218">
        <f>IFERROR(__xludf.DUMMYFUNCTION("""COMPUTED_VALUE"""),150.0)</f>
        <v>150</v>
      </c>
      <c r="E32" s="219">
        <f>IFERROR(__xludf.DUMMYFUNCTION("""COMPUTED_VALUE"""),1480.0)</f>
        <v>1480</v>
      </c>
      <c r="F32" s="220">
        <f>IFERROR(__xludf.DUMMYFUNCTION("""COMPUTED_VALUE"""),140.0)</f>
        <v>140</v>
      </c>
      <c r="G32" s="219">
        <f>IFERROR(__xludf.DUMMYFUNCTION("""COMPUTED_VALUE"""),0.0)</f>
        <v>0</v>
      </c>
      <c r="H32" s="221">
        <f>IFERROR(__xludf.DUMMYFUNCTION("""COMPUTED_VALUE"""),0.0)</f>
        <v>0</v>
      </c>
    </row>
    <row r="33" ht="25.5" customHeight="1">
      <c r="A33" s="13"/>
      <c r="B33" s="139" t="str">
        <f>IFERROR(__xludf.DUMMYFUNCTION("IMPORTRANGE(""https://docs.google.com/spreadsheets/d/1w_v-LytfJUSGD2382sduIgEApmqF1mMjksjNng1JfDs/edit?gid=134075723#gid=134075723"",""WS_KUMO!P153:T156"")")," TOTALE SEDE")</f>
        <v>TOTALE SEDE</v>
      </c>
      <c r="C33" s="104">
        <f>IFERROR(__xludf.DUMMYFUNCTION("""COMPUTED_VALUE"""),69.0)</f>
        <v>69</v>
      </c>
      <c r="D33" s="226" t="str">
        <f>IFERROR(__xludf.DUMMYFUNCTION("""COMPUTED_VALUE""")," TOTALE GENERALE ENTRATE")</f>
        <v>TOTALE GENERALE ENTRATE</v>
      </c>
      <c r="E33" s="227">
        <f>IFERROR(__xludf.DUMMYFUNCTION("""COMPUTED_VALUE"""),2223.0)</f>
        <v>2223</v>
      </c>
      <c r="F33" s="27"/>
      <c r="G33" s="27"/>
      <c r="H33" s="66"/>
    </row>
    <row r="34" ht="15.75" customHeight="1">
      <c r="A34" s="13"/>
      <c r="D34" s="13"/>
      <c r="E34" s="132"/>
      <c r="F34" s="27"/>
      <c r="G34" s="27"/>
      <c r="H34" s="66"/>
    </row>
    <row r="35" ht="15.75" customHeight="1">
      <c r="A35" s="13"/>
      <c r="B35" s="202" t="str">
        <f>IFERROR(__xludf.DUMMYFUNCTION("""COMPUTED_VALUE""")," TOTALE ONLINE")</f>
        <v>TOTALE ONLINE</v>
      </c>
      <c r="C35" s="203">
        <f>IFERROR(__xludf.DUMMYFUNCTION("""COMPUTED_VALUE"""),2154.0)</f>
        <v>2154</v>
      </c>
      <c r="D35" s="13"/>
      <c r="E35" s="132"/>
      <c r="F35" s="27"/>
      <c r="G35" s="27"/>
      <c r="H35" s="66"/>
    </row>
    <row r="36" ht="15.75" customHeight="1">
      <c r="A36" s="13"/>
      <c r="D36" s="19"/>
      <c r="E36" s="133"/>
      <c r="F36" s="27"/>
      <c r="G36" s="27"/>
      <c r="H36" s="66"/>
    </row>
    <row r="37" ht="15.75" customHeight="1">
      <c r="A37" s="13"/>
      <c r="B37" s="25"/>
      <c r="C37" s="25"/>
      <c r="D37" s="161"/>
      <c r="E37" s="66"/>
      <c r="H37" s="204"/>
    </row>
    <row r="38" ht="15.75" customHeight="1">
      <c r="A38" s="19"/>
      <c r="B38" s="72" t="s">
        <v>46</v>
      </c>
      <c r="C38" s="21"/>
      <c r="D38" s="22"/>
      <c r="E38" s="23">
        <f>E33+E23</f>
        <v>611.645</v>
      </c>
      <c r="F38" s="206"/>
      <c r="G38" s="206"/>
      <c r="H38" s="207"/>
    </row>
    <row r="39" ht="15.75" customHeight="1">
      <c r="A39" s="25"/>
      <c r="B39" s="73"/>
      <c r="C39" s="74"/>
      <c r="D39" s="208"/>
      <c r="E39" s="39"/>
    </row>
  </sheetData>
  <mergeCells count="15">
    <mergeCell ref="A29:A38"/>
    <mergeCell ref="B33:B34"/>
    <mergeCell ref="C33:C34"/>
    <mergeCell ref="D33:D36"/>
    <mergeCell ref="E33:E36"/>
    <mergeCell ref="B35:B36"/>
    <mergeCell ref="C35:C36"/>
    <mergeCell ref="B38:D38"/>
    <mergeCell ref="A1:F1"/>
    <mergeCell ref="A3:A10"/>
    <mergeCell ref="B10:D10"/>
    <mergeCell ref="A12:A21"/>
    <mergeCell ref="B21:D21"/>
    <mergeCell ref="B23:D23"/>
    <mergeCell ref="A25:A27"/>
  </mergeCells>
  <conditionalFormatting sqref="A2:H39">
    <cfRule type="cellIs" dxfId="0" priority="1" operator="lessThan">
      <formula>0</formula>
    </cfRule>
  </conditionalFormatting>
  <dataValidations>
    <dataValidation type="list" allowBlank="1" showErrorMessage="1" sqref="F3:F9 F12:F20">
      <formula1>elenchi!$A$1:$A$100</formula1>
    </dataValidation>
  </dataValidations>
  <hyperlinks>
    <hyperlink r:id="rId4" location="gid=1834005674" ref="A1"/>
    <hyperlink r:id="rId5" location="gid=608116879" ref="B17"/>
    <hyperlink r:id="rId6" location="gid=608116879" ref="B18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1.14"/>
    <col customWidth="1" min="5" max="8" width="17.86"/>
  </cols>
  <sheetData>
    <row r="1" ht="43.5" customHeight="1">
      <c r="A1" s="134" t="s">
        <v>189</v>
      </c>
      <c r="B1" s="2"/>
      <c r="C1" s="2"/>
      <c r="D1" s="2"/>
      <c r="E1" s="2"/>
      <c r="F1" s="3"/>
      <c r="G1" s="209"/>
      <c r="H1" s="209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190</v>
      </c>
      <c r="B3" s="9" t="s">
        <v>7</v>
      </c>
      <c r="C3" s="9" t="s">
        <v>8</v>
      </c>
      <c r="D3" s="80">
        <v>1.0</v>
      </c>
      <c r="E3" s="11">
        <v>-100.0</v>
      </c>
      <c r="F3" s="11" t="s">
        <v>31</v>
      </c>
      <c r="G3" s="35"/>
      <c r="H3" s="35"/>
    </row>
    <row r="4">
      <c r="A4" s="13"/>
      <c r="B4" s="14" t="s">
        <v>135</v>
      </c>
      <c r="C4" s="14" t="s">
        <v>11</v>
      </c>
      <c r="D4" s="81" t="s">
        <v>11</v>
      </c>
      <c r="E4" s="16">
        <v>0.0</v>
      </c>
      <c r="F4" s="16"/>
      <c r="G4" s="35"/>
      <c r="H4" s="35"/>
    </row>
    <row r="5">
      <c r="A5" s="13"/>
      <c r="B5" s="14" t="s">
        <v>137</v>
      </c>
      <c r="C5" s="14" t="s">
        <v>11</v>
      </c>
      <c r="D5" s="81">
        <v>0.0</v>
      </c>
      <c r="E5" s="16">
        <v>0.0</v>
      </c>
      <c r="F5" s="16"/>
      <c r="G5" s="35"/>
      <c r="H5" s="35"/>
    </row>
    <row r="6">
      <c r="A6" s="13"/>
      <c r="B6" s="14" t="s">
        <v>149</v>
      </c>
      <c r="C6" s="14" t="s">
        <v>11</v>
      </c>
      <c r="D6" s="81">
        <v>0.0</v>
      </c>
      <c r="E6" s="16">
        <v>0.0</v>
      </c>
      <c r="F6" s="16"/>
      <c r="G6" s="35"/>
      <c r="H6" s="35"/>
    </row>
    <row r="7">
      <c r="A7" s="13"/>
      <c r="B7" s="14" t="s">
        <v>16</v>
      </c>
      <c r="C7" s="14" t="s">
        <v>11</v>
      </c>
      <c r="D7" s="81">
        <v>0.0</v>
      </c>
      <c r="E7" s="16">
        <v>0.0</v>
      </c>
      <c r="F7" s="16"/>
      <c r="G7" s="35"/>
      <c r="H7" s="35"/>
    </row>
    <row r="8">
      <c r="A8" s="13"/>
      <c r="B8" s="14" t="s">
        <v>17</v>
      </c>
      <c r="C8" s="14" t="s">
        <v>11</v>
      </c>
      <c r="D8" s="81">
        <v>0.0</v>
      </c>
      <c r="E8" s="16">
        <v>0.0</v>
      </c>
      <c r="F8" s="16"/>
      <c r="G8" s="35"/>
      <c r="H8" s="35"/>
    </row>
    <row r="9">
      <c r="A9" s="13"/>
      <c r="B9" s="14" t="s">
        <v>18</v>
      </c>
      <c r="C9" s="14" t="s">
        <v>191</v>
      </c>
      <c r="D9" s="81">
        <v>1.0</v>
      </c>
      <c r="E9" s="16">
        <v>-25.01</v>
      </c>
      <c r="F9" s="16" t="s">
        <v>20</v>
      </c>
      <c r="G9" s="35"/>
      <c r="H9" s="35"/>
    </row>
    <row r="10">
      <c r="A10" s="19"/>
      <c r="B10" s="159" t="s">
        <v>139</v>
      </c>
      <c r="C10" s="21"/>
      <c r="D10" s="22"/>
      <c r="E10" s="23">
        <f>SUM(E3:E9)</f>
        <v>-125.01</v>
      </c>
      <c r="F10" s="160"/>
      <c r="G10" s="35"/>
      <c r="H10" s="35"/>
    </row>
    <row r="11">
      <c r="A11" s="25"/>
      <c r="B11" s="25"/>
      <c r="C11" s="25"/>
      <c r="D11" s="161"/>
      <c r="E11" s="27"/>
      <c r="F11" s="27"/>
      <c r="G11" s="27"/>
      <c r="H11" s="27"/>
    </row>
    <row r="12">
      <c r="A12" s="8" t="s">
        <v>192</v>
      </c>
      <c r="B12" s="28" t="s">
        <v>23</v>
      </c>
      <c r="C12" s="9" t="s">
        <v>141</v>
      </c>
      <c r="D12" s="80" t="s">
        <v>11</v>
      </c>
      <c r="E12" s="65">
        <v>0.0</v>
      </c>
      <c r="F12" s="11"/>
      <c r="G12" s="35"/>
      <c r="H12" s="35"/>
    </row>
    <row r="13">
      <c r="A13" s="13"/>
      <c r="B13" s="14" t="s">
        <v>25</v>
      </c>
      <c r="C13" s="14" t="s">
        <v>193</v>
      </c>
      <c r="D13" s="81">
        <v>3.0</v>
      </c>
      <c r="E13" s="16">
        <v>-50.0</v>
      </c>
      <c r="F13" s="16" t="s">
        <v>9</v>
      </c>
      <c r="G13" s="35"/>
      <c r="H13" s="35"/>
    </row>
    <row r="14">
      <c r="A14" s="13"/>
      <c r="B14" s="14" t="s">
        <v>26</v>
      </c>
      <c r="C14" s="14"/>
      <c r="D14" s="81" t="s">
        <v>11</v>
      </c>
      <c r="E14" s="16">
        <v>0.0</v>
      </c>
      <c r="F14" s="16" t="s">
        <v>27</v>
      </c>
      <c r="G14" s="35"/>
      <c r="H14" s="35"/>
    </row>
    <row r="15">
      <c r="A15" s="13"/>
      <c r="B15" s="14" t="s">
        <v>28</v>
      </c>
      <c r="C15" s="25"/>
      <c r="D15" s="81" t="s">
        <v>11</v>
      </c>
      <c r="E15" s="16">
        <v>-10.0</v>
      </c>
      <c r="F15" s="16" t="s">
        <v>9</v>
      </c>
      <c r="G15" s="35"/>
      <c r="H15" s="35"/>
    </row>
    <row r="16">
      <c r="A16" s="13"/>
      <c r="B16" s="14" t="s">
        <v>29</v>
      </c>
      <c r="C16" s="25"/>
      <c r="D16" s="81" t="s">
        <v>11</v>
      </c>
      <c r="E16" s="16">
        <v>0.0</v>
      </c>
      <c r="F16" s="16"/>
      <c r="G16" s="35"/>
      <c r="H16" s="35"/>
    </row>
    <row r="17">
      <c r="A17" s="13"/>
      <c r="B17" s="31" t="s">
        <v>30</v>
      </c>
      <c r="C17" s="14"/>
      <c r="D17" s="81" t="s">
        <v>11</v>
      </c>
      <c r="E17" s="16">
        <v>-1.5</v>
      </c>
      <c r="F17" s="16" t="s">
        <v>31</v>
      </c>
      <c r="G17" s="35"/>
      <c r="H17" s="35"/>
    </row>
    <row r="18">
      <c r="A18" s="13"/>
      <c r="B18" s="31" t="s">
        <v>32</v>
      </c>
      <c r="C18" s="14"/>
      <c r="D18" s="81" t="s">
        <v>11</v>
      </c>
      <c r="E18" s="16">
        <v>-5.0</v>
      </c>
      <c r="F18" s="16" t="s">
        <v>31</v>
      </c>
      <c r="G18" s="35"/>
      <c r="H18" s="35"/>
    </row>
    <row r="19">
      <c r="A19" s="13"/>
      <c r="B19" s="14" t="s">
        <v>34</v>
      </c>
      <c r="C19" s="25"/>
      <c r="D19" s="81" t="s">
        <v>11</v>
      </c>
      <c r="E19" s="16">
        <v>-43.73</v>
      </c>
      <c r="F19" s="16" t="s">
        <v>12</v>
      </c>
      <c r="G19" s="35"/>
      <c r="H19" s="35"/>
    </row>
    <row r="20">
      <c r="A20" s="13"/>
      <c r="B20" s="33" t="s">
        <v>36</v>
      </c>
      <c r="C20" s="14" t="s">
        <v>194</v>
      </c>
      <c r="D20" s="81">
        <v>7.0</v>
      </c>
      <c r="E20" s="16">
        <f>D20*27*-1.5%</f>
        <v>-2.835</v>
      </c>
      <c r="F20" s="34" t="s">
        <v>38</v>
      </c>
      <c r="G20" s="35"/>
      <c r="H20" s="35"/>
    </row>
    <row r="21">
      <c r="A21" s="19"/>
      <c r="B21" s="20" t="s">
        <v>39</v>
      </c>
      <c r="C21" s="21"/>
      <c r="D21" s="22"/>
      <c r="E21" s="23">
        <f>SUM(E12:E20)</f>
        <v>-113.065</v>
      </c>
      <c r="F21" s="35"/>
      <c r="G21" s="35"/>
      <c r="H21" s="35"/>
    </row>
    <row r="22">
      <c r="A22" s="36"/>
      <c r="B22" s="25"/>
      <c r="C22" s="25"/>
      <c r="D22" s="161"/>
      <c r="E22" s="27"/>
      <c r="F22" s="27"/>
      <c r="G22" s="27"/>
      <c r="H22" s="27"/>
    </row>
    <row r="23" ht="15.75" customHeight="1">
      <c r="A23" s="36"/>
      <c r="B23" s="37" t="s">
        <v>40</v>
      </c>
      <c r="C23" s="21"/>
      <c r="D23" s="22"/>
      <c r="E23" s="38">
        <f>E10+E21</f>
        <v>-238.075</v>
      </c>
      <c r="F23" s="39"/>
      <c r="G23" s="39"/>
      <c r="H23" s="39"/>
    </row>
    <row r="24" ht="15.75" customHeight="1">
      <c r="A24" s="25"/>
      <c r="B24" s="25"/>
      <c r="C24" s="25"/>
      <c r="D24" s="162"/>
      <c r="E24" s="41"/>
      <c r="F24" s="163"/>
      <c r="G24" s="41"/>
      <c r="H24" s="41"/>
    </row>
    <row r="25" ht="15.75" customHeight="1">
      <c r="A25" s="42" t="s">
        <v>195</v>
      </c>
      <c r="B25" s="43" t="s">
        <v>196</v>
      </c>
      <c r="C25" s="44">
        <v>25.0</v>
      </c>
      <c r="D25" s="165">
        <v>20.0</v>
      </c>
      <c r="E25" s="166">
        <f t="shared" ref="E25:E27" si="1">C25*D25</f>
        <v>500</v>
      </c>
      <c r="F25" s="47">
        <f>E23+E25</f>
        <v>261.925</v>
      </c>
      <c r="G25" s="39"/>
      <c r="H25" s="39"/>
    </row>
    <row r="26" ht="15.75" customHeight="1">
      <c r="A26" s="13"/>
      <c r="B26" s="48" t="s">
        <v>197</v>
      </c>
      <c r="C26" s="49">
        <v>37.0</v>
      </c>
      <c r="D26" s="169">
        <v>20.0</v>
      </c>
      <c r="E26" s="170">
        <f t="shared" si="1"/>
        <v>740</v>
      </c>
      <c r="F26" s="171">
        <f t="shared" ref="F26:F27" si="2">E23+E26</f>
        <v>501.925</v>
      </c>
      <c r="G26" s="39"/>
      <c r="H26" s="39"/>
    </row>
    <row r="27" ht="15.75" customHeight="1">
      <c r="A27" s="19"/>
      <c r="B27" s="53" t="s">
        <v>198</v>
      </c>
      <c r="C27" s="210">
        <v>31.0</v>
      </c>
      <c r="D27" s="173">
        <v>20.0</v>
      </c>
      <c r="E27" s="174">
        <f t="shared" si="1"/>
        <v>620</v>
      </c>
      <c r="F27" s="211">
        <f t="shared" si="2"/>
        <v>620</v>
      </c>
      <c r="G27" s="39"/>
      <c r="H27" s="39"/>
    </row>
    <row r="28" ht="15.75" customHeight="1">
      <c r="A28" s="176"/>
      <c r="B28" s="177"/>
      <c r="C28" s="178"/>
      <c r="D28" s="179"/>
      <c r="E28" s="71"/>
      <c r="F28" s="71"/>
      <c r="G28" s="27"/>
      <c r="H28" s="27"/>
    </row>
    <row r="29" ht="15.75" customHeight="1">
      <c r="A29" s="180" t="s">
        <v>45</v>
      </c>
      <c r="B29" s="212" t="str">
        <f>IFERROR(__xludf.DUMMYFUNCTION("IMPORTRANGE(""https://docs.google.com/spreadsheets/d/1w_v-LytfJUSGD2382sduIgEApmqF1mMjksjNng1JfDs/edit?gid=134075723#gid=134075723"",""WS_LELI!I153:O156"")"),"TOTALE 
PERSONE SEDE")</f>
        <v>TOTALE 
PERSONE SEDE</v>
      </c>
      <c r="C29" s="116" t="str">
        <f>IFERROR(__xludf.DUMMYFUNCTION("""COMPUTED_VALUE""")," 1 da €27")</f>
        <v>1 da €27</v>
      </c>
      <c r="D29" s="213" t="str">
        <f>IFERROR(__xludf.DUMMYFUNCTION("""COMPUTED_VALUE""")," 1 da €25")</f>
        <v>1 da €25</v>
      </c>
      <c r="E29" s="93" t="str">
        <f>IFERROR(__xludf.DUMMYFUNCTION("""COMPUTED_VALUE""")," 0 da €32")</f>
        <v>0 da €32</v>
      </c>
      <c r="F29" s="214" t="str">
        <f>IFERROR(__xludf.DUMMYFUNCTION("""COMPUTED_VALUE""")," 1 da €30")</f>
        <v>1 da €30</v>
      </c>
      <c r="G29" s="93" t="str">
        <f>IFERROR(__xludf.DUMMYFUNCTION("""COMPUTED_VALUE""")," 0 da €37")</f>
        <v>0 da €37</v>
      </c>
      <c r="H29" s="215" t="str">
        <f>IFERROR(__xludf.DUMMYFUNCTION("""COMPUTED_VALUE""")," 0 da €35")</f>
        <v>0 da €35</v>
      </c>
    </row>
    <row r="30" ht="15.75" customHeight="1">
      <c r="A30" s="13"/>
      <c r="B30" s="216" t="str">
        <f>IFERROR(__xludf.DUMMYFUNCTION("""COMPUTED_VALUE"""),"subTOTALE SEDE")</f>
        <v>subTOTALE SEDE</v>
      </c>
      <c r="C30" s="217">
        <f>IFERROR(__xludf.DUMMYFUNCTION("""COMPUTED_VALUE"""),27.0)</f>
        <v>27</v>
      </c>
      <c r="D30" s="218">
        <f>IFERROR(__xludf.DUMMYFUNCTION("""COMPUTED_VALUE"""),25.0)</f>
        <v>25</v>
      </c>
      <c r="E30" s="219">
        <f>IFERROR(__xludf.DUMMYFUNCTION("""COMPUTED_VALUE"""),0.0)</f>
        <v>0</v>
      </c>
      <c r="F30" s="220">
        <f>IFERROR(__xludf.DUMMYFUNCTION("""COMPUTED_VALUE"""),30.0)</f>
        <v>30</v>
      </c>
      <c r="G30" s="219">
        <f>IFERROR(__xludf.DUMMYFUNCTION("""COMPUTED_VALUE"""),0.0)</f>
        <v>0</v>
      </c>
      <c r="H30" s="221">
        <f>IFERROR(__xludf.DUMMYFUNCTION("""COMPUTED_VALUE"""),0.0)</f>
        <v>0</v>
      </c>
    </row>
    <row r="31" ht="15.75" customHeight="1">
      <c r="A31" s="13"/>
      <c r="B31" s="212" t="str">
        <f>IFERROR(__xludf.DUMMYFUNCTION("""COMPUTED_VALUE"""),"TOTALE 
PERSONE ONLINE")</f>
        <v>TOTALE 
PERSONE ONLINE</v>
      </c>
      <c r="C31" s="116" t="str">
        <f>IFERROR(__xludf.DUMMYFUNCTION("""COMPUTED_VALUE""")," 4 da €27")</f>
        <v>4 da €27</v>
      </c>
      <c r="D31" s="222" t="str">
        <f>IFERROR(__xludf.DUMMYFUNCTION("""COMPUTED_VALUE""")," 2 da €25")</f>
        <v>2 da €25</v>
      </c>
      <c r="E31" s="223" t="str">
        <f>IFERROR(__xludf.DUMMYFUNCTION("""COMPUTED_VALUE""")," 1 da €32")</f>
        <v>1 da €32</v>
      </c>
      <c r="F31" s="224" t="str">
        <f>IFERROR(__xludf.DUMMYFUNCTION("""COMPUTED_VALUE""")," 0 da €30")</f>
        <v>0 da €30</v>
      </c>
      <c r="G31" s="223" t="str">
        <f>IFERROR(__xludf.DUMMYFUNCTION("""COMPUTED_VALUE""")," 0 da €37")</f>
        <v>0 da €37</v>
      </c>
      <c r="H31" s="225" t="str">
        <f>IFERROR(__xludf.DUMMYFUNCTION("""COMPUTED_VALUE""")," 0 da €35")</f>
        <v>0 da €35</v>
      </c>
    </row>
    <row r="32" ht="15.75" customHeight="1">
      <c r="A32" s="13"/>
      <c r="B32" s="216" t="str">
        <f>IFERROR(__xludf.DUMMYFUNCTION("""COMPUTED_VALUE"""),"subTOTALE ONLINE")</f>
        <v>subTOTALE ONLINE</v>
      </c>
      <c r="C32" s="217">
        <f>IFERROR(__xludf.DUMMYFUNCTION("""COMPUTED_VALUE"""),108.0)</f>
        <v>108</v>
      </c>
      <c r="D32" s="222">
        <f>IFERROR(__xludf.DUMMYFUNCTION("""COMPUTED_VALUE"""),50.0)</f>
        <v>50</v>
      </c>
      <c r="E32" s="223">
        <f>IFERROR(__xludf.DUMMYFUNCTION("""COMPUTED_VALUE"""),32.0)</f>
        <v>32</v>
      </c>
      <c r="F32" s="220">
        <f>IFERROR(__xludf.DUMMYFUNCTION("""COMPUTED_VALUE"""),0.0)</f>
        <v>0</v>
      </c>
      <c r="G32" s="219">
        <f>IFERROR(__xludf.DUMMYFUNCTION("""COMPUTED_VALUE"""),0.0)</f>
        <v>0</v>
      </c>
      <c r="H32" s="221">
        <f>IFERROR(__xludf.DUMMYFUNCTION("""COMPUTED_VALUE"""),0.0)</f>
        <v>0</v>
      </c>
    </row>
    <row r="33" ht="25.5" customHeight="1">
      <c r="A33" s="13"/>
      <c r="B33" s="139" t="str">
        <f>IFERROR(__xludf.DUMMYFUNCTION("IMPORTRANGE(""https://docs.google.com/spreadsheets/d/1w_v-LytfJUSGD2382sduIgEApmqF1mMjksjNng1JfDs/edit?gid=134075723#gid=134075723"",""WS_LELI!P153:T156"")")," TOTALE SEDE")</f>
        <v>TOTALE SEDE</v>
      </c>
      <c r="C33" s="104">
        <f>IFERROR(__xludf.DUMMYFUNCTION("""COMPUTED_VALUE"""),82.0)</f>
        <v>82</v>
      </c>
      <c r="D33" s="201" t="str">
        <f>IFERROR(__xludf.DUMMYFUNCTION("""COMPUTED_VALUE""")," TOTALE GENERALE ENTRATE")</f>
        <v>TOTALE GENERALE ENTRATE</v>
      </c>
      <c r="E33" s="131">
        <f>IFERROR(__xludf.DUMMYFUNCTION("""COMPUTED_VALUE"""),272.0)</f>
        <v>272</v>
      </c>
      <c r="F33" s="27"/>
      <c r="G33" s="27"/>
      <c r="H33" s="66"/>
    </row>
    <row r="34" ht="15.75" customHeight="1">
      <c r="A34" s="13"/>
      <c r="D34" s="13"/>
      <c r="E34" s="132"/>
      <c r="F34" s="27"/>
      <c r="G34" s="27"/>
      <c r="H34" s="66"/>
    </row>
    <row r="35" ht="15.75" customHeight="1">
      <c r="A35" s="13"/>
      <c r="B35" s="202" t="str">
        <f>IFERROR(__xludf.DUMMYFUNCTION("""COMPUTED_VALUE""")," TOTALE ONLINE")</f>
        <v>TOTALE ONLINE</v>
      </c>
      <c r="C35" s="203">
        <f>IFERROR(__xludf.DUMMYFUNCTION("""COMPUTED_VALUE"""),190.0)</f>
        <v>190</v>
      </c>
      <c r="D35" s="13"/>
      <c r="E35" s="132"/>
      <c r="F35" s="27"/>
      <c r="G35" s="27"/>
      <c r="H35" s="66"/>
    </row>
    <row r="36" ht="15.75" customHeight="1">
      <c r="A36" s="13"/>
      <c r="D36" s="19"/>
      <c r="E36" s="133"/>
      <c r="F36" s="27"/>
      <c r="G36" s="27"/>
      <c r="H36" s="66"/>
    </row>
    <row r="37" ht="15.75" customHeight="1">
      <c r="A37" s="13"/>
      <c r="B37" s="25"/>
      <c r="C37" s="25"/>
      <c r="D37" s="161"/>
      <c r="E37" s="27"/>
      <c r="H37" s="204"/>
    </row>
    <row r="38" ht="15.75" customHeight="1">
      <c r="A38" s="19"/>
      <c r="B38" s="72" t="s">
        <v>46</v>
      </c>
      <c r="C38" s="21"/>
      <c r="D38" s="22"/>
      <c r="E38" s="23">
        <f>E33+E23</f>
        <v>33.925</v>
      </c>
      <c r="F38" s="206"/>
      <c r="G38" s="206"/>
      <c r="H38" s="207"/>
    </row>
    <row r="39" ht="15.75" customHeight="1">
      <c r="A39" s="25"/>
      <c r="B39" s="73"/>
      <c r="C39" s="74"/>
      <c r="D39" s="208"/>
      <c r="E39" s="39"/>
    </row>
  </sheetData>
  <mergeCells count="15">
    <mergeCell ref="A29:A38"/>
    <mergeCell ref="B33:B34"/>
    <mergeCell ref="C33:C34"/>
    <mergeCell ref="D33:D36"/>
    <mergeCell ref="E33:E36"/>
    <mergeCell ref="B35:B36"/>
    <mergeCell ref="C35:C36"/>
    <mergeCell ref="B38:D38"/>
    <mergeCell ref="A1:F1"/>
    <mergeCell ref="A3:A10"/>
    <mergeCell ref="B10:D10"/>
    <mergeCell ref="A12:A21"/>
    <mergeCell ref="B21:D21"/>
    <mergeCell ref="B23:D23"/>
    <mergeCell ref="A25:A27"/>
  </mergeCells>
  <conditionalFormatting sqref="A2:H39">
    <cfRule type="cellIs" dxfId="0" priority="1" operator="lessThan">
      <formula>0</formula>
    </cfRule>
  </conditionalFormatting>
  <dataValidations>
    <dataValidation type="list" allowBlank="1" showErrorMessage="1" sqref="F3:F9 F12:F20">
      <formula1>elenchi!$A$1:$A$100</formula1>
    </dataValidation>
  </dataValidations>
  <hyperlinks>
    <hyperlink r:id="rId4" location="gid=1453842258" ref="A1"/>
    <hyperlink r:id="rId5" location="gid=1270308959" ref="B17"/>
    <hyperlink r:id="rId6" location="gid=1270308959" ref="B18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4.0"/>
    <col customWidth="1" min="4" max="4" width="11.14"/>
    <col customWidth="1" min="5" max="8" width="17.86"/>
  </cols>
  <sheetData>
    <row r="1" ht="43.5" customHeight="1">
      <c r="A1" s="134" t="s">
        <v>199</v>
      </c>
      <c r="B1" s="2"/>
      <c r="C1" s="2"/>
      <c r="D1" s="2"/>
      <c r="E1" s="2"/>
      <c r="F1" s="3"/>
      <c r="G1" s="209"/>
      <c r="H1" s="209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200</v>
      </c>
      <c r="B3" s="9" t="s">
        <v>7</v>
      </c>
      <c r="C3" s="9" t="s">
        <v>8</v>
      </c>
      <c r="D3" s="80">
        <v>1.0</v>
      </c>
      <c r="E3" s="11">
        <v>-450.0</v>
      </c>
      <c r="F3" s="11" t="s">
        <v>31</v>
      </c>
      <c r="G3" s="35"/>
      <c r="H3" s="35"/>
    </row>
    <row r="4">
      <c r="A4" s="13"/>
      <c r="B4" s="14" t="s">
        <v>7</v>
      </c>
      <c r="C4" s="14" t="s">
        <v>201</v>
      </c>
      <c r="D4" s="81">
        <v>2.0</v>
      </c>
      <c r="E4" s="16">
        <v>-250.0</v>
      </c>
      <c r="F4" s="16" t="s">
        <v>31</v>
      </c>
      <c r="G4" s="35"/>
      <c r="H4" s="35"/>
    </row>
    <row r="5">
      <c r="A5" s="13"/>
      <c r="B5" s="14" t="s">
        <v>137</v>
      </c>
      <c r="C5" s="14" t="s">
        <v>11</v>
      </c>
      <c r="D5" s="81">
        <v>0.0</v>
      </c>
      <c r="E5" s="16">
        <v>0.0</v>
      </c>
      <c r="F5" s="16"/>
      <c r="G5" s="35"/>
      <c r="H5" s="35"/>
    </row>
    <row r="6">
      <c r="A6" s="13"/>
      <c r="B6" s="14" t="s">
        <v>15</v>
      </c>
      <c r="C6" s="14" t="s">
        <v>11</v>
      </c>
      <c r="D6" s="81">
        <v>0.0</v>
      </c>
      <c r="E6" s="16">
        <v>0.0</v>
      </c>
      <c r="F6" s="16"/>
      <c r="G6" s="35"/>
      <c r="H6" s="35"/>
    </row>
    <row r="7">
      <c r="A7" s="13"/>
      <c r="B7" s="14" t="s">
        <v>16</v>
      </c>
      <c r="C7" s="14" t="s">
        <v>11</v>
      </c>
      <c r="D7" s="81">
        <v>0.0</v>
      </c>
      <c r="E7" s="16">
        <v>0.0</v>
      </c>
      <c r="F7" s="16"/>
      <c r="G7" s="35"/>
      <c r="H7" s="35"/>
    </row>
    <row r="8">
      <c r="A8" s="13"/>
      <c r="B8" s="14" t="s">
        <v>17</v>
      </c>
      <c r="C8" s="14" t="s">
        <v>11</v>
      </c>
      <c r="D8" s="81">
        <v>0.0</v>
      </c>
      <c r="E8" s="16">
        <v>0.0</v>
      </c>
      <c r="F8" s="16"/>
      <c r="G8" s="35"/>
      <c r="H8" s="35"/>
    </row>
    <row r="9">
      <c r="A9" s="13"/>
      <c r="B9" s="14" t="s">
        <v>18</v>
      </c>
      <c r="C9" s="14" t="s">
        <v>202</v>
      </c>
      <c r="D9" s="81">
        <v>1.0</v>
      </c>
      <c r="E9" s="16">
        <v>-25.01</v>
      </c>
      <c r="F9" s="16" t="s">
        <v>20</v>
      </c>
      <c r="G9" s="35"/>
      <c r="H9" s="35"/>
    </row>
    <row r="10">
      <c r="A10" s="19"/>
      <c r="B10" s="159" t="s">
        <v>139</v>
      </c>
      <c r="C10" s="21"/>
      <c r="D10" s="22"/>
      <c r="E10" s="23">
        <f>SUM(E3:E9)</f>
        <v>-725.01</v>
      </c>
      <c r="F10" s="160"/>
      <c r="G10" s="35"/>
      <c r="H10" s="35"/>
    </row>
    <row r="11">
      <c r="A11" s="25"/>
      <c r="B11" s="25"/>
      <c r="C11" s="25"/>
      <c r="D11" s="161"/>
      <c r="E11" s="27"/>
      <c r="F11" s="27"/>
      <c r="G11" s="27"/>
      <c r="H11" s="27"/>
    </row>
    <row r="12">
      <c r="A12" s="8" t="s">
        <v>203</v>
      </c>
      <c r="B12" s="28" t="s">
        <v>23</v>
      </c>
      <c r="C12" s="9" t="s">
        <v>141</v>
      </c>
      <c r="D12" s="80" t="s">
        <v>11</v>
      </c>
      <c r="E12" s="65">
        <v>0.0</v>
      </c>
      <c r="F12" s="11"/>
      <c r="G12" s="35"/>
      <c r="H12" s="35"/>
    </row>
    <row r="13">
      <c r="A13" s="13"/>
      <c r="B13" s="14" t="s">
        <v>25</v>
      </c>
      <c r="C13" s="14" t="s">
        <v>204</v>
      </c>
      <c r="D13" s="81">
        <v>3.0</v>
      </c>
      <c r="E13" s="16">
        <v>-50.0</v>
      </c>
      <c r="F13" s="16" t="s">
        <v>9</v>
      </c>
      <c r="G13" s="35"/>
      <c r="H13" s="35"/>
    </row>
    <row r="14">
      <c r="A14" s="13"/>
      <c r="B14" s="14" t="s">
        <v>26</v>
      </c>
      <c r="C14" s="14" t="s">
        <v>205</v>
      </c>
      <c r="D14" s="81" t="s">
        <v>11</v>
      </c>
      <c r="E14" s="16">
        <v>-150.0</v>
      </c>
      <c r="F14" s="16" t="s">
        <v>27</v>
      </c>
      <c r="G14" s="35"/>
      <c r="H14" s="35"/>
    </row>
    <row r="15">
      <c r="A15" s="13"/>
      <c r="B15" s="14" t="s">
        <v>28</v>
      </c>
      <c r="C15" s="25"/>
      <c r="D15" s="81" t="s">
        <v>11</v>
      </c>
      <c r="E15" s="16">
        <v>-10.0</v>
      </c>
      <c r="F15" s="16" t="s">
        <v>9</v>
      </c>
      <c r="G15" s="35"/>
      <c r="H15" s="35"/>
    </row>
    <row r="16">
      <c r="A16" s="13"/>
      <c r="B16" s="14" t="s">
        <v>29</v>
      </c>
      <c r="C16" s="25"/>
      <c r="D16" s="81" t="s">
        <v>11</v>
      </c>
      <c r="E16" s="16">
        <v>0.0</v>
      </c>
      <c r="F16" s="16"/>
      <c r="G16" s="35"/>
      <c r="H16" s="35"/>
    </row>
    <row r="17">
      <c r="A17" s="13"/>
      <c r="B17" s="31" t="s">
        <v>30</v>
      </c>
      <c r="C17" s="14"/>
      <c r="D17" s="81" t="s">
        <v>11</v>
      </c>
      <c r="E17" s="16">
        <v>0.0</v>
      </c>
      <c r="F17" s="16" t="s">
        <v>31</v>
      </c>
      <c r="G17" s="35"/>
      <c r="H17" s="35"/>
    </row>
    <row r="18">
      <c r="A18" s="13"/>
      <c r="B18" s="31" t="s">
        <v>32</v>
      </c>
      <c r="C18" s="14"/>
      <c r="D18" s="81" t="s">
        <v>11</v>
      </c>
      <c r="E18" s="16">
        <v>-12.0</v>
      </c>
      <c r="F18" s="16" t="s">
        <v>31</v>
      </c>
      <c r="G18" s="35"/>
      <c r="H18" s="35"/>
    </row>
    <row r="19">
      <c r="A19" s="13"/>
      <c r="B19" s="14" t="s">
        <v>34</v>
      </c>
      <c r="C19" s="25"/>
      <c r="D19" s="81" t="s">
        <v>11</v>
      </c>
      <c r="E19" s="16">
        <v>-183.0</v>
      </c>
      <c r="F19" s="16" t="s">
        <v>12</v>
      </c>
      <c r="G19" s="35"/>
      <c r="H19" s="35"/>
    </row>
    <row r="20">
      <c r="A20" s="13"/>
      <c r="B20" s="33" t="s">
        <v>36</v>
      </c>
      <c r="C20" s="14" t="s">
        <v>206</v>
      </c>
      <c r="D20" s="81">
        <v>42.0</v>
      </c>
      <c r="E20" s="16">
        <f>D20*34*-1.5%</f>
        <v>-21.42</v>
      </c>
      <c r="F20" s="34" t="s">
        <v>38</v>
      </c>
      <c r="G20" s="35"/>
      <c r="H20" s="35"/>
    </row>
    <row r="21">
      <c r="A21" s="19"/>
      <c r="B21" s="20" t="s">
        <v>39</v>
      </c>
      <c r="C21" s="21"/>
      <c r="D21" s="22"/>
      <c r="E21" s="23">
        <f>SUM(E12:E20)</f>
        <v>-426.42</v>
      </c>
      <c r="F21" s="35"/>
      <c r="G21" s="35"/>
      <c r="H21" s="35"/>
    </row>
    <row r="22">
      <c r="A22" s="36"/>
      <c r="B22" s="25"/>
      <c r="C22" s="25"/>
      <c r="D22" s="161"/>
      <c r="E22" s="27"/>
      <c r="F22" s="27"/>
      <c r="G22" s="27"/>
      <c r="H22" s="27"/>
    </row>
    <row r="23" ht="15.75" customHeight="1">
      <c r="A23" s="36"/>
      <c r="B23" s="37" t="s">
        <v>40</v>
      </c>
      <c r="C23" s="21"/>
      <c r="D23" s="22"/>
      <c r="E23" s="38">
        <f>E10+E21</f>
        <v>-1151.43</v>
      </c>
      <c r="F23" s="39"/>
      <c r="G23" s="39"/>
      <c r="H23" s="39"/>
    </row>
    <row r="24" ht="15.75" customHeight="1">
      <c r="A24" s="25"/>
      <c r="B24" s="25"/>
      <c r="C24" s="25"/>
      <c r="D24" s="162"/>
      <c r="E24" s="41"/>
      <c r="F24" s="163"/>
      <c r="G24" s="41"/>
      <c r="H24" s="41"/>
    </row>
    <row r="25">
      <c r="A25" s="42" t="s">
        <v>207</v>
      </c>
      <c r="B25" s="43" t="s">
        <v>208</v>
      </c>
      <c r="C25" s="164">
        <v>30.0</v>
      </c>
      <c r="D25" s="165">
        <v>40.0</v>
      </c>
      <c r="E25" s="166">
        <f t="shared" ref="E25:E27" si="1">C25*D25</f>
        <v>1200</v>
      </c>
      <c r="F25" s="47">
        <f>E23+E25</f>
        <v>48.57</v>
      </c>
      <c r="G25" s="39"/>
      <c r="H25" s="39"/>
    </row>
    <row r="26" ht="15.75" customHeight="1">
      <c r="A26" s="13"/>
      <c r="B26" s="167" t="s">
        <v>209</v>
      </c>
      <c r="C26" s="168">
        <v>42.0</v>
      </c>
      <c r="D26" s="169">
        <v>40.0</v>
      </c>
      <c r="E26" s="170">
        <f t="shared" si="1"/>
        <v>1680</v>
      </c>
      <c r="F26" s="171">
        <f>E23+E26</f>
        <v>528.57</v>
      </c>
      <c r="G26" s="39"/>
      <c r="H26" s="39"/>
    </row>
    <row r="27" ht="15.75" customHeight="1">
      <c r="A27" s="19"/>
      <c r="B27" s="53" t="s">
        <v>210</v>
      </c>
      <c r="C27" s="172">
        <v>36.0</v>
      </c>
      <c r="D27" s="173">
        <v>40.0</v>
      </c>
      <c r="E27" s="228">
        <f t="shared" si="1"/>
        <v>1440</v>
      </c>
      <c r="F27" s="175">
        <f>E23+E27</f>
        <v>288.57</v>
      </c>
      <c r="G27" s="41"/>
      <c r="H27" s="41"/>
    </row>
    <row r="28" ht="15.75" customHeight="1">
      <c r="A28" s="176"/>
      <c r="B28" s="177"/>
      <c r="C28" s="178"/>
      <c r="D28" s="179"/>
      <c r="E28" s="71"/>
      <c r="F28" s="71"/>
      <c r="G28" s="27"/>
      <c r="H28" s="27"/>
    </row>
    <row r="29" ht="15.75" customHeight="1">
      <c r="A29" s="180" t="s">
        <v>45</v>
      </c>
      <c r="B29" s="212" t="str">
        <f>IFERROR(__xludf.DUMMYFUNCTION("IMPORTRANGE(""https://docs.google.com/spreadsheets/d/1w_v-LytfJUSGD2382sduIgEApmqF1mMjksjNng1JfDs/edit?gid=134075723#gid=134075723"",""WS_LULU!I153:O156"")"),"TOTALE 
PERSONE SEDE")</f>
        <v>TOTALE 
PERSONE SEDE</v>
      </c>
      <c r="C29" s="116" t="str">
        <f>IFERROR(__xludf.DUMMYFUNCTION("""COMPUTED_VALUE""")," 0 da €32")</f>
        <v>0 da €32</v>
      </c>
      <c r="D29" s="213" t="str">
        <f>IFERROR(__xludf.DUMMYFUNCTION("""COMPUTED_VALUE""")," 2 da €30")</f>
        <v>2 da €30</v>
      </c>
      <c r="E29" s="93" t="str">
        <f>IFERROR(__xludf.DUMMYFUNCTION("""COMPUTED_VALUE""")," 0 da €37")</f>
        <v>0 da €37</v>
      </c>
      <c r="F29" s="214" t="str">
        <f>IFERROR(__xludf.DUMMYFUNCTION("""COMPUTED_VALUE""")," 5 da €35")</f>
        <v>5 da €35</v>
      </c>
      <c r="G29" s="93" t="str">
        <f>IFERROR(__xludf.DUMMYFUNCTION("""COMPUTED_VALUE""")," 0 da €42")</f>
        <v>0 da €42</v>
      </c>
      <c r="H29" s="215" t="str">
        <f>IFERROR(__xludf.DUMMYFUNCTION("""COMPUTED_VALUE""")," 0 da €40")</f>
        <v>0 da €40</v>
      </c>
    </row>
    <row r="30" ht="15.75" customHeight="1">
      <c r="A30" s="13"/>
      <c r="B30" s="216" t="str">
        <f>IFERROR(__xludf.DUMMYFUNCTION("""COMPUTED_VALUE"""),"subTOTALE SEDE")</f>
        <v>subTOTALE SEDE</v>
      </c>
      <c r="C30" s="217">
        <f>IFERROR(__xludf.DUMMYFUNCTION("""COMPUTED_VALUE"""),0.0)</f>
        <v>0</v>
      </c>
      <c r="D30" s="218">
        <f>IFERROR(__xludf.DUMMYFUNCTION("""COMPUTED_VALUE"""),60.0)</f>
        <v>60</v>
      </c>
      <c r="E30" s="219">
        <f>IFERROR(__xludf.DUMMYFUNCTION("""COMPUTED_VALUE"""),0.0)</f>
        <v>0</v>
      </c>
      <c r="F30" s="220">
        <f>IFERROR(__xludf.DUMMYFUNCTION("""COMPUTED_VALUE"""),175.0)</f>
        <v>175</v>
      </c>
      <c r="G30" s="219">
        <f>IFERROR(__xludf.DUMMYFUNCTION("""COMPUTED_VALUE"""),0.0)</f>
        <v>0</v>
      </c>
      <c r="H30" s="221">
        <f>IFERROR(__xludf.DUMMYFUNCTION("""COMPUTED_VALUE"""),0.0)</f>
        <v>0</v>
      </c>
    </row>
    <row r="31" ht="15.75" customHeight="1">
      <c r="A31" s="13"/>
      <c r="B31" s="212" t="str">
        <f>IFERROR(__xludf.DUMMYFUNCTION("""COMPUTED_VALUE"""),"TOTALE 
PERSONE ONLINE")</f>
        <v>TOTALE 
PERSONE ONLINE</v>
      </c>
      <c r="C31" s="116" t="str">
        <f>IFERROR(__xludf.DUMMYFUNCTION("""COMPUTED_VALUE""")," 22 da €32")</f>
        <v>22 da €32</v>
      </c>
      <c r="D31" s="222" t="str">
        <f>IFERROR(__xludf.DUMMYFUNCTION("""COMPUTED_VALUE""")," 2 da €30")</f>
        <v>2 da €30</v>
      </c>
      <c r="E31" s="223" t="str">
        <f>IFERROR(__xludf.DUMMYFUNCTION("""COMPUTED_VALUE""")," 15 da €37")</f>
        <v>15 da €37</v>
      </c>
      <c r="F31" s="224" t="str">
        <f>IFERROR(__xludf.DUMMYFUNCTION("""COMPUTED_VALUE""")," 3 da €35")</f>
        <v>3 da €35</v>
      </c>
      <c r="G31" s="223" t="str">
        <f>IFERROR(__xludf.DUMMYFUNCTION("""COMPUTED_VALUE""")," 0 da €42")</f>
        <v>0 da €42</v>
      </c>
      <c r="H31" s="225" t="str">
        <f>IFERROR(__xludf.DUMMYFUNCTION("""COMPUTED_VALUE""")," 0 da €40")</f>
        <v>0 da €40</v>
      </c>
    </row>
    <row r="32" ht="15.75" customHeight="1">
      <c r="A32" s="13"/>
      <c r="B32" s="216" t="str">
        <f>IFERROR(__xludf.DUMMYFUNCTION("""COMPUTED_VALUE"""),"subTOTALE ONLINE")</f>
        <v>subTOTALE ONLINE</v>
      </c>
      <c r="C32" s="217">
        <f>IFERROR(__xludf.DUMMYFUNCTION("""COMPUTED_VALUE"""),704.0)</f>
        <v>704</v>
      </c>
      <c r="D32" s="218">
        <f>IFERROR(__xludf.DUMMYFUNCTION("""COMPUTED_VALUE"""),60.0)</f>
        <v>60</v>
      </c>
      <c r="E32" s="219">
        <f>IFERROR(__xludf.DUMMYFUNCTION("""COMPUTED_VALUE"""),555.0)</f>
        <v>555</v>
      </c>
      <c r="F32" s="220">
        <f>IFERROR(__xludf.DUMMYFUNCTION("""COMPUTED_VALUE"""),105.0)</f>
        <v>105</v>
      </c>
      <c r="G32" s="219">
        <f>IFERROR(__xludf.DUMMYFUNCTION("""COMPUTED_VALUE"""),0.0)</f>
        <v>0</v>
      </c>
      <c r="H32" s="221">
        <f>IFERROR(__xludf.DUMMYFUNCTION("""COMPUTED_VALUE"""),0.0)</f>
        <v>0</v>
      </c>
    </row>
    <row r="33" ht="25.5" customHeight="1">
      <c r="A33" s="13"/>
      <c r="B33" s="139" t="str">
        <f>IFERROR(__xludf.DUMMYFUNCTION("IMPORTRANGE(""https://docs.google.com/spreadsheets/d/1w_v-LytfJUSGD2382sduIgEApmqF1mMjksjNng1JfDs/edit?gid=134075723#gid=134075723"",""WS_LULU!P153:T156"")")," TOTALE SEDE")</f>
        <v>TOTALE SEDE</v>
      </c>
      <c r="C33" s="104">
        <f>IFERROR(__xludf.DUMMYFUNCTION("""COMPUTED_VALUE"""),235.0)</f>
        <v>235</v>
      </c>
      <c r="D33" s="226" t="str">
        <f>IFERROR(__xludf.DUMMYFUNCTION("""COMPUTED_VALUE""")," TOTALE GENERALE ENTRATE")</f>
        <v>TOTALE GENERALE ENTRATE</v>
      </c>
      <c r="E33" s="227">
        <f>IFERROR(__xludf.DUMMYFUNCTION("""COMPUTED_VALUE"""),1659.0)</f>
        <v>1659</v>
      </c>
      <c r="F33" s="35"/>
    </row>
    <row r="34" ht="15.75" customHeight="1">
      <c r="A34" s="13"/>
      <c r="D34" s="13"/>
      <c r="E34" s="132"/>
      <c r="F34" s="27"/>
      <c r="G34" s="231" t="s">
        <v>211</v>
      </c>
      <c r="H34" s="232">
        <v>360.0</v>
      </c>
    </row>
    <row r="35" ht="15.75" customHeight="1">
      <c r="A35" s="13"/>
      <c r="B35" s="202" t="str">
        <f>IFERROR(__xludf.DUMMYFUNCTION("""COMPUTED_VALUE""")," TOTALE ONLINE")</f>
        <v>TOTALE ONLINE</v>
      </c>
      <c r="C35" s="203">
        <f>IFERROR(__xludf.DUMMYFUNCTION("""COMPUTED_VALUE"""),1424.0)</f>
        <v>1424</v>
      </c>
      <c r="D35" s="13"/>
      <c r="E35" s="132"/>
      <c r="F35" s="27"/>
      <c r="G35" s="27"/>
      <c r="H35" s="66"/>
    </row>
    <row r="36" ht="15.75" customHeight="1">
      <c r="A36" s="13"/>
      <c r="D36" s="19"/>
      <c r="E36" s="133"/>
      <c r="F36" s="35"/>
      <c r="G36" s="27"/>
      <c r="H36" s="66"/>
    </row>
    <row r="37" ht="15.75" customHeight="1">
      <c r="A37" s="13"/>
      <c r="B37" s="25"/>
      <c r="C37" s="25"/>
      <c r="D37" s="161"/>
      <c r="E37" s="115"/>
      <c r="H37" s="204"/>
    </row>
    <row r="38" ht="15.75" customHeight="1">
      <c r="A38" s="19"/>
      <c r="B38" s="72" t="s">
        <v>46</v>
      </c>
      <c r="C38" s="21"/>
      <c r="D38" s="22"/>
      <c r="E38" s="205">
        <f>E33+E23+H34</f>
        <v>867.57</v>
      </c>
      <c r="F38" s="206"/>
      <c r="G38" s="206"/>
      <c r="H38" s="207"/>
    </row>
    <row r="39" ht="15.75" customHeight="1">
      <c r="A39" s="25"/>
      <c r="B39" s="73"/>
      <c r="C39" s="74"/>
      <c r="D39" s="208"/>
      <c r="E39" s="39"/>
    </row>
  </sheetData>
  <mergeCells count="15">
    <mergeCell ref="A29:A38"/>
    <mergeCell ref="B33:B34"/>
    <mergeCell ref="C33:C34"/>
    <mergeCell ref="D33:D36"/>
    <mergeCell ref="E33:E36"/>
    <mergeCell ref="B35:B36"/>
    <mergeCell ref="C35:C36"/>
    <mergeCell ref="B38:D38"/>
    <mergeCell ref="A1:F1"/>
    <mergeCell ref="A3:A10"/>
    <mergeCell ref="B10:D10"/>
    <mergeCell ref="A12:A21"/>
    <mergeCell ref="B21:D21"/>
    <mergeCell ref="B23:D23"/>
    <mergeCell ref="A25:A27"/>
  </mergeCells>
  <conditionalFormatting sqref="A2:H39">
    <cfRule type="cellIs" dxfId="0" priority="1" operator="lessThan">
      <formula>0</formula>
    </cfRule>
  </conditionalFormatting>
  <dataValidations>
    <dataValidation type="list" allowBlank="1" showErrorMessage="1" sqref="F3:F9 F12:F20">
      <formula1>elenchi!$A$1:$A$100</formula1>
    </dataValidation>
  </dataValidations>
  <hyperlinks>
    <hyperlink r:id="rId4" location="gid=134075723" ref="A1"/>
    <hyperlink r:id="rId5" location="gid=608116879" ref="B17"/>
    <hyperlink r:id="rId6" location="gid=608116879" ref="B18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27.29"/>
    <col customWidth="1" min="4" max="4" width="11.29"/>
    <col customWidth="1" min="5" max="8" width="17.86"/>
  </cols>
  <sheetData>
    <row r="1" ht="43.5" customHeight="1">
      <c r="A1" s="134" t="s">
        <v>212</v>
      </c>
      <c r="B1" s="2"/>
      <c r="C1" s="2"/>
      <c r="D1" s="2"/>
      <c r="E1" s="2"/>
      <c r="F1" s="3"/>
      <c r="G1" s="77"/>
      <c r="H1" s="77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213</v>
      </c>
      <c r="B3" s="9" t="s">
        <v>7</v>
      </c>
      <c r="C3" s="9" t="s">
        <v>63</v>
      </c>
      <c r="D3" s="10">
        <v>1.0</v>
      </c>
      <c r="E3" s="11">
        <v>-1220.0</v>
      </c>
      <c r="F3" s="12" t="s">
        <v>9</v>
      </c>
      <c r="G3" s="35"/>
      <c r="H3" s="35"/>
    </row>
    <row r="4">
      <c r="A4" s="13"/>
      <c r="B4" s="14" t="s">
        <v>10</v>
      </c>
      <c r="C4" s="14" t="s">
        <v>214</v>
      </c>
      <c r="D4" s="15" t="s">
        <v>11</v>
      </c>
      <c r="E4" s="16">
        <v>-287.34</v>
      </c>
      <c r="F4" s="17" t="s">
        <v>9</v>
      </c>
      <c r="G4" s="35"/>
      <c r="H4" s="35"/>
    </row>
    <row r="5">
      <c r="A5" s="13"/>
      <c r="B5" s="14" t="s">
        <v>215</v>
      </c>
      <c r="C5" s="18"/>
      <c r="D5" s="15">
        <v>1.0</v>
      </c>
      <c r="E5" s="16">
        <v>-46.1</v>
      </c>
      <c r="F5" s="17" t="s">
        <v>9</v>
      </c>
      <c r="G5" s="35"/>
      <c r="H5" s="35"/>
    </row>
    <row r="6">
      <c r="A6" s="13"/>
      <c r="B6" s="14" t="s">
        <v>216</v>
      </c>
      <c r="C6" s="18"/>
      <c r="D6" s="15">
        <v>1.0</v>
      </c>
      <c r="E6" s="16">
        <v>-31.2</v>
      </c>
      <c r="F6" s="17" t="s">
        <v>9</v>
      </c>
      <c r="G6" s="35"/>
      <c r="H6" s="35"/>
    </row>
    <row r="7">
      <c r="A7" s="13"/>
      <c r="B7" s="14" t="s">
        <v>15</v>
      </c>
      <c r="C7" s="233" t="s">
        <v>217</v>
      </c>
      <c r="D7" s="15">
        <v>3.0</v>
      </c>
      <c r="E7" s="16">
        <v>-304.0</v>
      </c>
      <c r="F7" s="17" t="s">
        <v>9</v>
      </c>
      <c r="G7" s="35"/>
      <c r="H7" s="35"/>
    </row>
    <row r="8">
      <c r="A8" s="13"/>
      <c r="B8" s="14" t="s">
        <v>16</v>
      </c>
      <c r="C8" s="14" t="s">
        <v>218</v>
      </c>
      <c r="D8" s="15">
        <v>1.0</v>
      </c>
      <c r="E8" s="16">
        <v>-15.0</v>
      </c>
      <c r="F8" s="17" t="s">
        <v>9</v>
      </c>
      <c r="G8" s="35"/>
      <c r="H8" s="35"/>
    </row>
    <row r="9">
      <c r="A9" s="13"/>
      <c r="B9" s="14" t="s">
        <v>17</v>
      </c>
      <c r="C9" s="14" t="s">
        <v>219</v>
      </c>
      <c r="D9" s="15">
        <v>1.0</v>
      </c>
      <c r="E9" s="16">
        <v>-30.0</v>
      </c>
      <c r="F9" s="17" t="s">
        <v>9</v>
      </c>
      <c r="G9" s="35"/>
      <c r="H9" s="35"/>
    </row>
    <row r="10">
      <c r="A10" s="13"/>
      <c r="B10" s="14" t="s">
        <v>18</v>
      </c>
      <c r="C10" s="14" t="s">
        <v>49</v>
      </c>
      <c r="D10" s="15">
        <v>1.0</v>
      </c>
      <c r="E10" s="16">
        <v>-18.0</v>
      </c>
      <c r="F10" s="17" t="s">
        <v>20</v>
      </c>
      <c r="G10" s="35"/>
      <c r="H10" s="35"/>
    </row>
    <row r="11">
      <c r="A11" s="19"/>
      <c r="B11" s="20" t="s">
        <v>21</v>
      </c>
      <c r="C11" s="21"/>
      <c r="D11" s="22"/>
      <c r="E11" s="23">
        <f>SUM(E3:E10)</f>
        <v>-1951.64</v>
      </c>
      <c r="F11" s="24"/>
      <c r="G11" s="35"/>
      <c r="H11" s="35"/>
    </row>
    <row r="12">
      <c r="A12" s="25"/>
      <c r="B12" s="25"/>
      <c r="C12" s="25"/>
      <c r="D12" s="26"/>
      <c r="E12" s="27"/>
      <c r="F12" s="27"/>
      <c r="G12" s="27"/>
      <c r="H12" s="27"/>
    </row>
    <row r="13">
      <c r="A13" s="8" t="s">
        <v>220</v>
      </c>
      <c r="B13" s="28" t="s">
        <v>23</v>
      </c>
      <c r="C13" s="9" t="s">
        <v>24</v>
      </c>
      <c r="D13" s="10" t="s">
        <v>11</v>
      </c>
      <c r="E13" s="11">
        <v>0.0</v>
      </c>
      <c r="F13" s="11"/>
      <c r="G13" s="35"/>
      <c r="H13" s="35"/>
    </row>
    <row r="14">
      <c r="A14" s="13"/>
      <c r="B14" s="14" t="s">
        <v>25</v>
      </c>
      <c r="C14" s="14" t="s">
        <v>221</v>
      </c>
      <c r="D14" s="15">
        <v>3.0</v>
      </c>
      <c r="E14" s="16">
        <v>-50.0</v>
      </c>
      <c r="F14" s="16"/>
      <c r="G14" s="35"/>
      <c r="H14" s="35"/>
    </row>
    <row r="15">
      <c r="A15" s="13"/>
      <c r="B15" s="14" t="s">
        <v>26</v>
      </c>
      <c r="C15" s="14" t="s">
        <v>222</v>
      </c>
      <c r="D15" s="15" t="s">
        <v>11</v>
      </c>
      <c r="E15" s="16">
        <v>-150.0</v>
      </c>
      <c r="F15" s="16" t="s">
        <v>27</v>
      </c>
      <c r="G15" s="35"/>
      <c r="H15" s="35"/>
    </row>
    <row r="16">
      <c r="A16" s="13"/>
      <c r="B16" s="14" t="s">
        <v>28</v>
      </c>
      <c r="C16" s="25"/>
      <c r="D16" s="30"/>
      <c r="E16" s="16">
        <v>-10.0</v>
      </c>
      <c r="F16" s="16" t="s">
        <v>9</v>
      </c>
      <c r="G16" s="35"/>
      <c r="H16" s="35"/>
    </row>
    <row r="17">
      <c r="A17" s="13"/>
      <c r="B17" s="14" t="s">
        <v>29</v>
      </c>
      <c r="C17" s="25"/>
      <c r="D17" s="15" t="s">
        <v>11</v>
      </c>
      <c r="E17" s="16">
        <v>0.0</v>
      </c>
      <c r="F17" s="16"/>
      <c r="G17" s="35"/>
      <c r="H17" s="35"/>
    </row>
    <row r="18">
      <c r="A18" s="13"/>
      <c r="B18" s="31" t="s">
        <v>30</v>
      </c>
      <c r="C18" s="14"/>
      <c r="D18" s="15" t="s">
        <v>11</v>
      </c>
      <c r="E18" s="16">
        <v>-6.0</v>
      </c>
      <c r="F18" s="16" t="s">
        <v>31</v>
      </c>
      <c r="G18" s="35"/>
      <c r="H18" s="35"/>
    </row>
    <row r="19">
      <c r="A19" s="13"/>
      <c r="B19" s="31" t="s">
        <v>32</v>
      </c>
      <c r="C19" s="14"/>
      <c r="D19" s="15" t="s">
        <v>11</v>
      </c>
      <c r="E19" s="16">
        <v>-18.0</v>
      </c>
      <c r="F19" s="16" t="s">
        <v>31</v>
      </c>
      <c r="G19" s="35"/>
      <c r="H19" s="35"/>
    </row>
    <row r="20">
      <c r="A20" s="13"/>
      <c r="B20" s="14" t="s">
        <v>34</v>
      </c>
      <c r="C20" s="18"/>
      <c r="D20" s="15" t="s">
        <v>11</v>
      </c>
      <c r="E20" s="16">
        <v>-426.75</v>
      </c>
      <c r="F20" s="16" t="s">
        <v>12</v>
      </c>
      <c r="G20" s="35"/>
      <c r="H20" s="35"/>
    </row>
    <row r="21">
      <c r="A21" s="13"/>
      <c r="B21" s="14" t="s">
        <v>35</v>
      </c>
      <c r="C21" s="25"/>
      <c r="D21" s="15" t="s">
        <v>11</v>
      </c>
      <c r="E21" s="16">
        <v>0.0</v>
      </c>
      <c r="F21" s="16"/>
      <c r="G21" s="35"/>
      <c r="H21" s="35"/>
    </row>
    <row r="22">
      <c r="A22" s="13"/>
      <c r="B22" s="33" t="s">
        <v>36</v>
      </c>
      <c r="C22" s="14" t="s">
        <v>128</v>
      </c>
      <c r="D22" s="15">
        <v>58.0</v>
      </c>
      <c r="E22" s="16">
        <f>D22*44*-1.5%</f>
        <v>-38.28</v>
      </c>
      <c r="F22" s="34" t="s">
        <v>38</v>
      </c>
      <c r="G22" s="35"/>
      <c r="H22" s="35"/>
    </row>
    <row r="23">
      <c r="A23" s="19"/>
      <c r="B23" s="20" t="s">
        <v>39</v>
      </c>
      <c r="C23" s="21"/>
      <c r="D23" s="22"/>
      <c r="E23" s="23">
        <f>SUM(E13:E22)</f>
        <v>-699.03</v>
      </c>
      <c r="F23" s="35"/>
      <c r="G23" s="35"/>
      <c r="H23" s="35"/>
    </row>
    <row r="24">
      <c r="A24" s="36"/>
      <c r="B24" s="25"/>
      <c r="C24" s="25"/>
      <c r="D24" s="26"/>
      <c r="E24" s="27"/>
      <c r="F24" s="27"/>
      <c r="G24" s="27"/>
      <c r="H24" s="27"/>
    </row>
    <row r="25" ht="15.75" customHeight="1">
      <c r="A25" s="36"/>
      <c r="B25" s="37" t="s">
        <v>40</v>
      </c>
      <c r="C25" s="21"/>
      <c r="D25" s="22"/>
      <c r="E25" s="38">
        <f>E11+E23</f>
        <v>-2650.67</v>
      </c>
      <c r="F25" s="39"/>
      <c r="G25" s="39"/>
      <c r="H25" s="39"/>
    </row>
    <row r="26" ht="15.75" customHeight="1">
      <c r="A26" s="25"/>
      <c r="B26" s="25"/>
      <c r="C26" s="25"/>
      <c r="D26" s="40"/>
      <c r="E26" s="41"/>
      <c r="F26" s="41"/>
      <c r="G26" s="41"/>
      <c r="H26" s="41"/>
    </row>
    <row r="27" ht="15.75" customHeight="1">
      <c r="A27" s="42" t="s">
        <v>223</v>
      </c>
      <c r="B27" s="43" t="s">
        <v>224</v>
      </c>
      <c r="C27" s="44">
        <v>43.0</v>
      </c>
      <c r="D27" s="45">
        <v>60.0</v>
      </c>
      <c r="E27" s="46">
        <f t="shared" ref="E27:E29" si="1">C27*D27</f>
        <v>2580</v>
      </c>
      <c r="F27" s="47">
        <f>E25+E27</f>
        <v>-70.67</v>
      </c>
      <c r="G27" s="39"/>
      <c r="H27" s="39"/>
    </row>
    <row r="28" ht="15.75" customHeight="1">
      <c r="A28" s="13"/>
      <c r="B28" s="48" t="s">
        <v>225</v>
      </c>
      <c r="C28" s="49">
        <v>45.0</v>
      </c>
      <c r="D28" s="50">
        <v>60.0</v>
      </c>
      <c r="E28" s="51">
        <f t="shared" si="1"/>
        <v>2700</v>
      </c>
      <c r="F28" s="52">
        <f>E25+E28</f>
        <v>49.33</v>
      </c>
      <c r="G28" s="39"/>
      <c r="H28" s="39"/>
    </row>
    <row r="29" ht="15.75" customHeight="1">
      <c r="A29" s="19"/>
      <c r="B29" s="53" t="s">
        <v>226</v>
      </c>
      <c r="C29" s="54">
        <v>44.0</v>
      </c>
      <c r="D29" s="55">
        <v>60.0</v>
      </c>
      <c r="E29" s="56">
        <f t="shared" si="1"/>
        <v>2640</v>
      </c>
      <c r="F29" s="141">
        <f>E25+E29</f>
        <v>-10.67</v>
      </c>
      <c r="G29" s="39"/>
      <c r="H29" s="39"/>
    </row>
    <row r="30" ht="15.75" customHeight="1">
      <c r="A30" s="57"/>
      <c r="B30" s="14"/>
      <c r="C30" s="58"/>
      <c r="D30" s="59"/>
      <c r="E30" s="27"/>
      <c r="F30" s="115"/>
      <c r="G30" s="27"/>
      <c r="H30" s="27"/>
    </row>
    <row r="31" ht="15.75" customHeight="1">
      <c r="A31" s="61" t="s">
        <v>45</v>
      </c>
      <c r="B31" s="234" t="str">
        <f>IFERROR(__xludf.DUMMYFUNCTION("IMPORTRANGE(""https://docs.google.com/spreadsheets/d/1w_v-LytfJUSGD2382sduIgEApmqF1mMjksjNng1JfDs/edit?gid=1675710362#gid=1675710362"",""WS_TIMOR!I175:O178"")"),"TOTALE 
PERSONE SEDE")</f>
        <v>TOTALE 
PERSONE SEDE</v>
      </c>
      <c r="C31" s="116" t="str">
        <f>IFERROR(__xludf.DUMMYFUNCTION("""COMPUTED_VALUE""")," 3 da €45")</f>
        <v>3 da €45</v>
      </c>
      <c r="D31" s="213" t="str">
        <f>IFERROR(__xludf.DUMMYFUNCTION("""COMPUTED_VALUE""")," 4 da €43")</f>
        <v>4 da €43</v>
      </c>
      <c r="E31" s="235" t="str">
        <f>IFERROR(__xludf.DUMMYFUNCTION("""COMPUTED_VALUE""")," 0 da €30")</f>
        <v>0 da €30</v>
      </c>
      <c r="F31" s="236" t="str">
        <f>IFERROR(__xludf.DUMMYFUNCTION("""COMPUTED_VALUE""")," 0 da €0")</f>
        <v>0 da €0</v>
      </c>
      <c r="G31" s="235" t="str">
        <f>IFERROR(__xludf.DUMMYFUNCTION("""COMPUTED_VALUE""")," 0 da €0")</f>
        <v>0 da €0</v>
      </c>
      <c r="H31" s="237" t="str">
        <f>IFERROR(__xludf.DUMMYFUNCTION("""COMPUTED_VALUE""")," 0 da €0")</f>
        <v>0 da €0</v>
      </c>
    </row>
    <row r="32" ht="15.75" customHeight="1">
      <c r="A32" s="13"/>
      <c r="B32" s="212" t="str">
        <f>IFERROR(__xludf.DUMMYFUNCTION("""COMPUTED_VALUE"""),"subTOTALE SEDE")</f>
        <v>subTOTALE SEDE</v>
      </c>
      <c r="C32" s="116">
        <f>IFERROR(__xludf.DUMMYFUNCTION("""COMPUTED_VALUE"""),135.0)</f>
        <v>135</v>
      </c>
      <c r="D32" s="222">
        <f>IFERROR(__xludf.DUMMYFUNCTION("""COMPUTED_VALUE"""),172.0)</f>
        <v>172</v>
      </c>
      <c r="E32" s="238">
        <f>IFERROR(__xludf.DUMMYFUNCTION("""COMPUTED_VALUE"""),0.0)</f>
        <v>0</v>
      </c>
      <c r="F32" s="236">
        <f>IFERROR(__xludf.DUMMYFUNCTION("""COMPUTED_VALUE"""),0.0)</f>
        <v>0</v>
      </c>
      <c r="G32" s="238">
        <f>IFERROR(__xludf.DUMMYFUNCTION("""COMPUTED_VALUE"""),0.0)</f>
        <v>0</v>
      </c>
      <c r="H32" s="239">
        <f>IFERROR(__xludf.DUMMYFUNCTION("""COMPUTED_VALUE"""),0.0)</f>
        <v>0</v>
      </c>
    </row>
    <row r="33" ht="15.75" customHeight="1">
      <c r="A33" s="13"/>
      <c r="B33" s="212" t="str">
        <f>IFERROR(__xludf.DUMMYFUNCTION("""COMPUTED_VALUE"""),"TOTALE 
PERSONE ONLINE")</f>
        <v>TOTALE 
PERSONE ONLINE</v>
      </c>
      <c r="C33" s="116" t="str">
        <f>IFERROR(__xludf.DUMMYFUNCTION("""COMPUTED_VALUE""")," 47 da €45")</f>
        <v>47 da €45</v>
      </c>
      <c r="D33" s="222" t="str">
        <f>IFERROR(__xludf.DUMMYFUNCTION("""COMPUTED_VALUE""")," 11 da €43")</f>
        <v>11 da €43</v>
      </c>
      <c r="E33" s="238" t="str">
        <f>IFERROR(__xludf.DUMMYFUNCTION("""COMPUTED_VALUE""")," 0 da €30")</f>
        <v>0 da €30</v>
      </c>
      <c r="F33" s="236" t="str">
        <f>IFERROR(__xludf.DUMMYFUNCTION("""COMPUTED_VALUE""")," 0 da €0")</f>
        <v>0 da €0</v>
      </c>
      <c r="G33" s="238" t="str">
        <f>IFERROR(__xludf.DUMMYFUNCTION("""COMPUTED_VALUE""")," 0 da €0")</f>
        <v>0 da €0</v>
      </c>
      <c r="H33" s="239" t="str">
        <f>IFERROR(__xludf.DUMMYFUNCTION("""COMPUTED_VALUE""")," 0 da €0")</f>
        <v>0 da €0</v>
      </c>
    </row>
    <row r="34" ht="15.75" customHeight="1">
      <c r="A34" s="13"/>
      <c r="B34" s="216" t="str">
        <f>IFERROR(__xludf.DUMMYFUNCTION("""COMPUTED_VALUE"""),"subTOTALE ONLINE")</f>
        <v>subTOTALE ONLINE</v>
      </c>
      <c r="C34" s="217">
        <f>IFERROR(__xludf.DUMMYFUNCTION("""COMPUTED_VALUE"""),2115.0)</f>
        <v>2115</v>
      </c>
      <c r="D34" s="222">
        <f>IFERROR(__xludf.DUMMYFUNCTION("""COMPUTED_VALUE"""),473.0)</f>
        <v>473</v>
      </c>
      <c r="E34" s="238">
        <f>IFERROR(__xludf.DUMMYFUNCTION("""COMPUTED_VALUE"""),0.0)</f>
        <v>0</v>
      </c>
      <c r="F34" s="240">
        <f>IFERROR(__xludf.DUMMYFUNCTION("""COMPUTED_VALUE"""),0.0)</f>
        <v>0</v>
      </c>
      <c r="G34" s="241">
        <f>IFERROR(__xludf.DUMMYFUNCTION("""COMPUTED_VALUE"""),0.0)</f>
        <v>0</v>
      </c>
      <c r="H34" s="242">
        <f>IFERROR(__xludf.DUMMYFUNCTION("""COMPUTED_VALUE"""),0.0)</f>
        <v>0</v>
      </c>
    </row>
    <row r="35" ht="15.75" customHeight="1">
      <c r="A35" s="13"/>
      <c r="B35" s="139" t="str">
        <f>IFERROR(__xludf.DUMMYFUNCTION("IMPORTRANGE(""https://docs.google.com/spreadsheets/d/1w_v-LytfJUSGD2382sduIgEApmqF1mMjksjNng1JfDs/edit?gid=1675710362#gid=1675710362"",""WS_TIMOR!P175:T178"")")," TOTALE SEDE")</f>
        <v>TOTALE SEDE</v>
      </c>
      <c r="C35" s="243">
        <f>IFERROR(__xludf.DUMMYFUNCTION("""COMPUTED_VALUE"""),307.0)</f>
        <v>307</v>
      </c>
      <c r="D35" s="244" t="str">
        <f>IFERROR(__xludf.DUMMYFUNCTION("""COMPUTED_VALUE""")," TOTALE GENERALE ENTRATE")</f>
        <v>TOTALE GENERALE ENTRATE</v>
      </c>
      <c r="E35" s="131">
        <f>IFERROR(__xludf.DUMMYFUNCTION("""COMPUTED_VALUE"""),2925.0)</f>
        <v>2925</v>
      </c>
      <c r="F35" s="27"/>
      <c r="G35" s="27"/>
      <c r="H35" s="66"/>
    </row>
    <row r="36" ht="15.75" customHeight="1">
      <c r="A36" s="13"/>
      <c r="D36" s="13"/>
      <c r="E36" s="132"/>
      <c r="F36" s="27"/>
      <c r="G36" s="27"/>
      <c r="H36" s="66"/>
    </row>
    <row r="37" ht="15.75" customHeight="1">
      <c r="A37" s="13"/>
      <c r="B37" s="139" t="str">
        <f>IFERROR(__xludf.DUMMYFUNCTION("""COMPUTED_VALUE""")," TOTALE ONLINE")</f>
        <v>TOTALE ONLINE</v>
      </c>
      <c r="C37" s="243">
        <f>IFERROR(__xludf.DUMMYFUNCTION("""COMPUTED_VALUE"""),2588.0)</f>
        <v>2588</v>
      </c>
      <c r="D37" s="13"/>
      <c r="E37" s="132"/>
      <c r="F37" s="27"/>
      <c r="G37" s="27"/>
      <c r="H37" s="66"/>
    </row>
    <row r="38" ht="15.75" customHeight="1">
      <c r="A38" s="13"/>
      <c r="D38" s="19"/>
      <c r="E38" s="133"/>
      <c r="F38" s="27"/>
      <c r="G38" s="27"/>
      <c r="H38" s="66"/>
    </row>
    <row r="39" ht="15.75" customHeight="1">
      <c r="A39" s="19"/>
      <c r="B39" s="68"/>
      <c r="C39" s="68"/>
      <c r="D39" s="69"/>
      <c r="E39" s="245"/>
      <c r="F39" s="157"/>
      <c r="G39" s="157"/>
      <c r="H39" s="158"/>
    </row>
    <row r="40" ht="15.75" customHeight="1">
      <c r="A40" s="25"/>
      <c r="B40" s="25"/>
      <c r="C40" s="25"/>
      <c r="D40" s="26"/>
      <c r="E40" s="27"/>
      <c r="F40" s="27"/>
      <c r="G40" s="27"/>
      <c r="H40" s="27"/>
    </row>
    <row r="41" ht="15.75" customHeight="1">
      <c r="A41" s="25"/>
      <c r="B41" s="25"/>
      <c r="C41" s="25"/>
      <c r="D41" s="26"/>
      <c r="E41" s="27"/>
    </row>
    <row r="42" ht="15.75" customHeight="1">
      <c r="A42" s="25"/>
      <c r="B42" s="72" t="s">
        <v>46</v>
      </c>
      <c r="C42" s="21"/>
      <c r="D42" s="22"/>
      <c r="E42" s="23">
        <f>E25+E35</f>
        <v>274.33</v>
      </c>
    </row>
    <row r="43" ht="15.75" customHeight="1">
      <c r="A43" s="25"/>
      <c r="B43" s="73"/>
      <c r="C43" s="74"/>
      <c r="D43" s="75"/>
      <c r="E43" s="39"/>
    </row>
  </sheetData>
  <mergeCells count="15">
    <mergeCell ref="A31:A39"/>
    <mergeCell ref="B35:B36"/>
    <mergeCell ref="C35:C36"/>
    <mergeCell ref="D35:D38"/>
    <mergeCell ref="E35:E38"/>
    <mergeCell ref="B37:B38"/>
    <mergeCell ref="C37:C38"/>
    <mergeCell ref="B42:D42"/>
    <mergeCell ref="A1:F1"/>
    <mergeCell ref="A3:A11"/>
    <mergeCell ref="B11:D11"/>
    <mergeCell ref="A13:A23"/>
    <mergeCell ref="B23:D23"/>
    <mergeCell ref="B25:D25"/>
    <mergeCell ref="A27:A29"/>
  </mergeCells>
  <conditionalFormatting sqref="A2:H43">
    <cfRule type="cellIs" dxfId="0" priority="1" operator="lessThan">
      <formula>0</formula>
    </cfRule>
  </conditionalFormatting>
  <dataValidations>
    <dataValidation type="list" allowBlank="1" showErrorMessage="1" sqref="F3:F10 F13:F22">
      <formula1>elenchi!$A$1:$A$100</formula1>
    </dataValidation>
  </dataValidations>
  <hyperlinks>
    <hyperlink r:id="rId4" location="gid=1299208853" ref="A1"/>
    <hyperlink r:id="rId5" location="gid=608116879" ref="B18"/>
    <hyperlink r:id="rId6" location="gid=608116879" ref="B19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43"/>
    <col customWidth="1" min="2" max="2" width="37.43"/>
    <col customWidth="1" min="3" max="3" width="31.0"/>
    <col customWidth="1" min="4" max="4" width="11.14"/>
    <col customWidth="1" min="5" max="8" width="17.86"/>
  </cols>
  <sheetData>
    <row r="1" ht="43.5" customHeight="1">
      <c r="A1" s="134" t="s">
        <v>227</v>
      </c>
      <c r="B1" s="2"/>
      <c r="C1" s="2"/>
      <c r="D1" s="2"/>
      <c r="E1" s="2"/>
      <c r="F1" s="3"/>
      <c r="G1" s="77"/>
      <c r="H1" s="77"/>
    </row>
    <row r="2">
      <c r="A2" s="4"/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79"/>
      <c r="H2" s="79"/>
    </row>
    <row r="3">
      <c r="A3" s="8" t="s">
        <v>228</v>
      </c>
      <c r="B3" s="9" t="s">
        <v>229</v>
      </c>
      <c r="C3" s="9" t="s">
        <v>230</v>
      </c>
      <c r="D3" s="80">
        <v>1.0</v>
      </c>
      <c r="E3" s="11">
        <v>-1098.0</v>
      </c>
      <c r="F3" s="11" t="s">
        <v>9</v>
      </c>
      <c r="G3" s="35"/>
      <c r="H3" s="35"/>
    </row>
    <row r="4">
      <c r="A4" s="13"/>
      <c r="B4" s="14" t="s">
        <v>135</v>
      </c>
      <c r="C4" s="14" t="s">
        <v>11</v>
      </c>
      <c r="D4" s="81" t="s">
        <v>11</v>
      </c>
      <c r="E4" s="16">
        <v>0.0</v>
      </c>
      <c r="F4" s="16"/>
      <c r="G4" s="35"/>
      <c r="H4" s="35"/>
    </row>
    <row r="5">
      <c r="A5" s="13"/>
      <c r="B5" s="14" t="s">
        <v>137</v>
      </c>
      <c r="C5" s="14" t="s">
        <v>11</v>
      </c>
      <c r="D5" s="81" t="s">
        <v>11</v>
      </c>
      <c r="E5" s="16">
        <v>0.0</v>
      </c>
      <c r="F5" s="16"/>
      <c r="G5" s="35"/>
      <c r="H5" s="35"/>
    </row>
    <row r="6">
      <c r="A6" s="13"/>
      <c r="B6" s="14" t="s">
        <v>149</v>
      </c>
      <c r="C6" s="14" t="s">
        <v>11</v>
      </c>
      <c r="D6" s="81" t="s">
        <v>11</v>
      </c>
      <c r="E6" s="16">
        <v>0.0</v>
      </c>
      <c r="F6" s="16"/>
      <c r="G6" s="35"/>
      <c r="H6" s="35"/>
    </row>
    <row r="7">
      <c r="A7" s="13"/>
      <c r="B7" s="14" t="s">
        <v>16</v>
      </c>
      <c r="C7" s="14" t="s">
        <v>11</v>
      </c>
      <c r="D7" s="81" t="s">
        <v>11</v>
      </c>
      <c r="E7" s="16">
        <v>0.0</v>
      </c>
      <c r="F7" s="16"/>
      <c r="G7" s="35"/>
      <c r="H7" s="35"/>
    </row>
    <row r="8">
      <c r="A8" s="13"/>
      <c r="B8" s="14" t="s">
        <v>17</v>
      </c>
      <c r="C8" s="14" t="s">
        <v>11</v>
      </c>
      <c r="D8" s="81" t="s">
        <v>11</v>
      </c>
      <c r="E8" s="16">
        <v>0.0</v>
      </c>
      <c r="F8" s="16"/>
      <c r="G8" s="35"/>
      <c r="H8" s="35"/>
    </row>
    <row r="9">
      <c r="A9" s="13"/>
      <c r="B9" s="14" t="s">
        <v>231</v>
      </c>
      <c r="C9" s="14" t="s">
        <v>232</v>
      </c>
      <c r="D9" s="81">
        <v>1.0</v>
      </c>
      <c r="E9" s="16">
        <v>-10.68</v>
      </c>
      <c r="F9" s="16" t="s">
        <v>20</v>
      </c>
      <c r="G9" s="35"/>
      <c r="H9" s="35"/>
    </row>
    <row r="10">
      <c r="A10" s="19"/>
      <c r="B10" s="159" t="s">
        <v>139</v>
      </c>
      <c r="C10" s="21"/>
      <c r="D10" s="22"/>
      <c r="E10" s="23">
        <f>SUM(E3:E9)</f>
        <v>-1108.68</v>
      </c>
      <c r="F10" s="160"/>
      <c r="G10" s="35"/>
      <c r="H10" s="35"/>
    </row>
    <row r="11">
      <c r="A11" s="25"/>
      <c r="B11" s="25"/>
      <c r="C11" s="25"/>
      <c r="D11" s="161"/>
      <c r="E11" s="27"/>
      <c r="F11" s="27"/>
      <c r="G11" s="27"/>
      <c r="H11" s="27"/>
    </row>
    <row r="12">
      <c r="A12" s="8" t="s">
        <v>233</v>
      </c>
      <c r="B12" s="28" t="s">
        <v>23</v>
      </c>
      <c r="C12" s="9" t="s">
        <v>141</v>
      </c>
      <c r="D12" s="80" t="s">
        <v>11</v>
      </c>
      <c r="E12" s="65">
        <v>0.0</v>
      </c>
      <c r="F12" s="11"/>
      <c r="G12" s="35"/>
      <c r="H12" s="35"/>
    </row>
    <row r="13">
      <c r="A13" s="13"/>
      <c r="B13" s="14" t="s">
        <v>25</v>
      </c>
      <c r="C13" s="14" t="s">
        <v>234</v>
      </c>
      <c r="D13" s="81">
        <v>3.0</v>
      </c>
      <c r="E13" s="16">
        <v>-105.0</v>
      </c>
      <c r="F13" s="16" t="s">
        <v>9</v>
      </c>
      <c r="G13" s="35"/>
      <c r="H13" s="35"/>
    </row>
    <row r="14">
      <c r="A14" s="13"/>
      <c r="B14" s="14" t="s">
        <v>26</v>
      </c>
      <c r="C14" s="14"/>
      <c r="D14" s="81" t="s">
        <v>11</v>
      </c>
      <c r="E14" s="16">
        <v>-200.0</v>
      </c>
      <c r="F14" s="16" t="s">
        <v>27</v>
      </c>
      <c r="G14" s="35"/>
      <c r="H14" s="35"/>
    </row>
    <row r="15">
      <c r="A15" s="13"/>
      <c r="B15" s="14" t="s">
        <v>28</v>
      </c>
      <c r="C15" s="25"/>
      <c r="D15" s="81" t="s">
        <v>11</v>
      </c>
      <c r="E15" s="16">
        <v>-10.0</v>
      </c>
      <c r="F15" s="16" t="s">
        <v>9</v>
      </c>
      <c r="G15" s="35"/>
      <c r="H15" s="35"/>
    </row>
    <row r="16">
      <c r="A16" s="13"/>
      <c r="B16" s="14" t="s">
        <v>29</v>
      </c>
      <c r="C16" s="25"/>
      <c r="D16" s="81" t="s">
        <v>11</v>
      </c>
      <c r="E16" s="16">
        <v>0.0</v>
      </c>
      <c r="F16" s="16"/>
      <c r="G16" s="35"/>
      <c r="H16" s="35"/>
    </row>
    <row r="17">
      <c r="A17" s="13"/>
      <c r="B17" s="31" t="s">
        <v>30</v>
      </c>
      <c r="C17" s="14"/>
      <c r="D17" s="81" t="s">
        <v>11</v>
      </c>
      <c r="E17" s="16">
        <v>-3.0</v>
      </c>
      <c r="F17" s="16" t="s">
        <v>31</v>
      </c>
      <c r="G17" s="35"/>
      <c r="H17" s="35"/>
    </row>
    <row r="18">
      <c r="A18" s="13"/>
      <c r="B18" s="31" t="s">
        <v>32</v>
      </c>
      <c r="C18" s="14"/>
      <c r="D18" s="81" t="s">
        <v>11</v>
      </c>
      <c r="E18" s="246">
        <v>-19.0</v>
      </c>
      <c r="F18" s="16" t="s">
        <v>31</v>
      </c>
      <c r="G18" s="35"/>
      <c r="H18" s="35"/>
    </row>
    <row r="19">
      <c r="A19" s="13"/>
      <c r="B19" s="14" t="s">
        <v>34</v>
      </c>
      <c r="C19" s="25"/>
      <c r="D19" s="81" t="s">
        <v>11</v>
      </c>
      <c r="E19" s="16">
        <v>-114.57</v>
      </c>
      <c r="F19" s="16" t="s">
        <v>12</v>
      </c>
      <c r="G19" s="35"/>
      <c r="H19" s="35"/>
    </row>
    <row r="20">
      <c r="A20" s="13"/>
      <c r="B20" s="33" t="s">
        <v>36</v>
      </c>
      <c r="C20" s="14" t="s">
        <v>235</v>
      </c>
      <c r="D20" s="81">
        <v>70.0</v>
      </c>
      <c r="E20" s="16">
        <f>D20*33.5*-1.5%</f>
        <v>-35.175</v>
      </c>
      <c r="F20" s="34" t="s">
        <v>38</v>
      </c>
      <c r="G20" s="35"/>
      <c r="H20" s="35"/>
    </row>
    <row r="21">
      <c r="A21" s="19"/>
      <c r="B21" s="20" t="s">
        <v>39</v>
      </c>
      <c r="C21" s="21"/>
      <c r="D21" s="22"/>
      <c r="E21" s="23">
        <f>SUM(E12:E20)</f>
        <v>-486.745</v>
      </c>
      <c r="F21" s="35"/>
      <c r="G21" s="35"/>
      <c r="H21" s="35"/>
    </row>
    <row r="22">
      <c r="A22" s="36"/>
      <c r="B22" s="25"/>
      <c r="C22" s="25"/>
      <c r="D22" s="161"/>
      <c r="E22" s="27"/>
      <c r="F22" s="27"/>
      <c r="G22" s="27"/>
      <c r="H22" s="27"/>
    </row>
    <row r="23" ht="15.75" customHeight="1">
      <c r="A23" s="36"/>
      <c r="B23" s="37" t="s">
        <v>40</v>
      </c>
      <c r="C23" s="21"/>
      <c r="D23" s="22"/>
      <c r="E23" s="38">
        <f>E10+E21</f>
        <v>-1595.425</v>
      </c>
      <c r="F23" s="39"/>
      <c r="G23" s="39"/>
      <c r="H23" s="39"/>
    </row>
    <row r="24" ht="15.75" customHeight="1">
      <c r="A24" s="25"/>
      <c r="B24" s="25"/>
      <c r="C24" s="25"/>
      <c r="D24" s="162"/>
      <c r="E24" s="41"/>
      <c r="F24" s="163"/>
      <c r="G24" s="41"/>
      <c r="H24" s="41"/>
    </row>
    <row r="25">
      <c r="A25" s="42" t="s">
        <v>236</v>
      </c>
      <c r="B25" s="43" t="s">
        <v>237</v>
      </c>
      <c r="C25" s="164">
        <v>30.0</v>
      </c>
      <c r="D25" s="165">
        <v>60.0</v>
      </c>
      <c r="E25" s="166">
        <f t="shared" ref="E25:E27" si="1">C25*D25</f>
        <v>1800</v>
      </c>
      <c r="F25" s="47">
        <f>E23+E25</f>
        <v>204.575</v>
      </c>
      <c r="G25" s="39"/>
      <c r="H25" s="39"/>
    </row>
    <row r="26">
      <c r="A26" s="13"/>
      <c r="B26" s="167" t="s">
        <v>238</v>
      </c>
      <c r="C26" s="168">
        <v>42.0</v>
      </c>
      <c r="D26" s="169">
        <v>60.0</v>
      </c>
      <c r="E26" s="170">
        <f t="shared" si="1"/>
        <v>2520</v>
      </c>
      <c r="F26" s="171">
        <f>E23+E26</f>
        <v>924.575</v>
      </c>
      <c r="G26" s="39"/>
      <c r="H26" s="39"/>
    </row>
    <row r="27">
      <c r="A27" s="19"/>
      <c r="B27" s="53" t="s">
        <v>239</v>
      </c>
      <c r="C27" s="172">
        <v>36.0</v>
      </c>
      <c r="D27" s="173">
        <v>60.0</v>
      </c>
      <c r="E27" s="174">
        <f t="shared" si="1"/>
        <v>2160</v>
      </c>
      <c r="F27" s="229">
        <f>E23+E27</f>
        <v>564.575</v>
      </c>
      <c r="G27" s="41"/>
      <c r="H27" s="41"/>
    </row>
    <row r="28" ht="15.75" customHeight="1">
      <c r="A28" s="176"/>
      <c r="B28" s="177"/>
      <c r="C28" s="178"/>
      <c r="D28" s="179"/>
      <c r="E28" s="71"/>
      <c r="F28" s="71"/>
      <c r="G28" s="27"/>
      <c r="H28" s="27"/>
    </row>
    <row r="29" ht="15.75" customHeight="1">
      <c r="A29" s="180" t="s">
        <v>45</v>
      </c>
      <c r="B29" s="212" t="str">
        <f>IFERROR(__xludf.DUMMYFUNCTION("IMPORTRANGE(""https://docs.google.com/spreadsheets/d/1w_v-LytfJUSGD2382sduIgEApmqF1mMjksjNng1JfDs/edit?gid=1675710362#gid=1675710362"",""WS_BANANA!I175:O178"")"),"TOTALE 
PERSONE SEDE")</f>
        <v>TOTALE 
PERSONE SEDE</v>
      </c>
      <c r="C29" s="116" t="str">
        <f>IFERROR(__xludf.DUMMYFUNCTION("""COMPUTED_VALUE""")," 1 da €32")</f>
        <v>1 da €32</v>
      </c>
      <c r="D29" s="213" t="str">
        <f>IFERROR(__xludf.DUMMYFUNCTION("""COMPUTED_VALUE""")," 3 da €30")</f>
        <v>3 da €30</v>
      </c>
      <c r="E29" s="93" t="str">
        <f>IFERROR(__xludf.DUMMYFUNCTION("""COMPUTED_VALUE""")," 0 da €37")</f>
        <v>0 da €37</v>
      </c>
      <c r="F29" s="214" t="str">
        <f>IFERROR(__xludf.DUMMYFUNCTION("""COMPUTED_VALUE""")," 3 da €35")</f>
        <v>3 da €35</v>
      </c>
      <c r="G29" s="93" t="str">
        <f>IFERROR(__xludf.DUMMYFUNCTION("""COMPUTED_VALUE""")," 1 da €42")</f>
        <v>1 da €42</v>
      </c>
      <c r="H29" s="215" t="str">
        <f>IFERROR(__xludf.DUMMYFUNCTION("""COMPUTED_VALUE""")," 0 da €40")</f>
        <v>0 da €40</v>
      </c>
    </row>
    <row r="30" ht="15.75" customHeight="1">
      <c r="A30" s="13"/>
      <c r="B30" s="212" t="str">
        <f>IFERROR(__xludf.DUMMYFUNCTION("""COMPUTED_VALUE"""),"subTOTALE SEDE")</f>
        <v>subTOTALE SEDE</v>
      </c>
      <c r="C30" s="116">
        <f>IFERROR(__xludf.DUMMYFUNCTION("""COMPUTED_VALUE"""),32.0)</f>
        <v>32</v>
      </c>
      <c r="D30" s="222">
        <f>IFERROR(__xludf.DUMMYFUNCTION("""COMPUTED_VALUE"""),90.0)</f>
        <v>90</v>
      </c>
      <c r="E30" s="223">
        <f>IFERROR(__xludf.DUMMYFUNCTION("""COMPUTED_VALUE"""),0.0)</f>
        <v>0</v>
      </c>
      <c r="F30" s="224">
        <f>IFERROR(__xludf.DUMMYFUNCTION("""COMPUTED_VALUE"""),105.0)</f>
        <v>105</v>
      </c>
      <c r="G30" s="223">
        <f>IFERROR(__xludf.DUMMYFUNCTION("""COMPUTED_VALUE"""),42.0)</f>
        <v>42</v>
      </c>
      <c r="H30" s="225">
        <f>IFERROR(__xludf.DUMMYFUNCTION("""COMPUTED_VALUE"""),0.0)</f>
        <v>0</v>
      </c>
    </row>
    <row r="31" ht="15.75" customHeight="1">
      <c r="A31" s="13"/>
      <c r="B31" s="247" t="str">
        <f>IFERROR(__xludf.DUMMYFUNCTION("""COMPUTED_VALUE"""),"TOTALE 
PERSONE ONLINE")</f>
        <v>TOTALE 
PERSONE ONLINE</v>
      </c>
      <c r="C31" s="248" t="str">
        <f>IFERROR(__xludf.DUMMYFUNCTION("""COMPUTED_VALUE""")," 40 da €32")</f>
        <v>40 da €32</v>
      </c>
      <c r="D31" s="249" t="str">
        <f>IFERROR(__xludf.DUMMYFUNCTION("""COMPUTED_VALUE""")," 6 da €30")</f>
        <v>6 da €30</v>
      </c>
      <c r="E31" s="250" t="str">
        <f>IFERROR(__xludf.DUMMYFUNCTION("""COMPUTED_VALUE""")," 19 da €37")</f>
        <v>19 da €37</v>
      </c>
      <c r="F31" s="251" t="str">
        <f>IFERROR(__xludf.DUMMYFUNCTION("""COMPUTED_VALUE""")," 5 da €35")</f>
        <v>5 da €35</v>
      </c>
      <c r="G31" s="250" t="str">
        <f>IFERROR(__xludf.DUMMYFUNCTION("""COMPUTED_VALUE""")," 0 da €42")</f>
        <v>0 da €42</v>
      </c>
      <c r="H31" s="252" t="str">
        <f>IFERROR(__xludf.DUMMYFUNCTION("""COMPUTED_VALUE""")," 0 da €40")</f>
        <v>0 da €40</v>
      </c>
    </row>
    <row r="32" ht="15.75" customHeight="1">
      <c r="A32" s="13"/>
      <c r="B32" s="216" t="str">
        <f>IFERROR(__xludf.DUMMYFUNCTION("""COMPUTED_VALUE"""),"subTOTALE ONLINE")</f>
        <v>subTOTALE ONLINE</v>
      </c>
      <c r="C32" s="217">
        <f>IFERROR(__xludf.DUMMYFUNCTION("""COMPUTED_VALUE"""),1280.0)</f>
        <v>1280</v>
      </c>
      <c r="D32" s="218">
        <f>IFERROR(__xludf.DUMMYFUNCTION("""COMPUTED_VALUE"""),180.0)</f>
        <v>180</v>
      </c>
      <c r="E32" s="219">
        <f>IFERROR(__xludf.DUMMYFUNCTION("""COMPUTED_VALUE"""),703.0)</f>
        <v>703</v>
      </c>
      <c r="F32" s="220">
        <f>IFERROR(__xludf.DUMMYFUNCTION("""COMPUTED_VALUE"""),175.0)</f>
        <v>175</v>
      </c>
      <c r="G32" s="219">
        <f>IFERROR(__xludf.DUMMYFUNCTION("""COMPUTED_VALUE"""),0.0)</f>
        <v>0</v>
      </c>
      <c r="H32" s="221">
        <f>IFERROR(__xludf.DUMMYFUNCTION("""COMPUTED_VALUE"""),0.0)</f>
        <v>0</v>
      </c>
    </row>
    <row r="33" ht="25.5" customHeight="1">
      <c r="A33" s="13"/>
      <c r="B33" s="139" t="str">
        <f>IFERROR(__xludf.DUMMYFUNCTION("IMPORTRANGE(""https://docs.google.com/spreadsheets/d/1w_v-LytfJUSGD2382sduIgEApmqF1mMjksjNng1JfDs/edit?gid=1675710362#gid=1675710362"",""WS_BANANA!P175:T178"")")," TOTALE SEDE")</f>
        <v>TOTALE SEDE</v>
      </c>
      <c r="C33" s="104">
        <f>IFERROR(__xludf.DUMMYFUNCTION("""COMPUTED_VALUE"""),269.0)</f>
        <v>269</v>
      </c>
      <c r="D33" s="226" t="str">
        <f>IFERROR(__xludf.DUMMYFUNCTION("""COMPUTED_VALUE""")," TOTALE GENERALE ENTRATE")</f>
        <v>TOTALE GENERALE ENTRATE</v>
      </c>
      <c r="E33" s="227">
        <f>IFERROR(__xludf.DUMMYFUNCTION("""COMPUTED_VALUE"""),2607.0)</f>
        <v>2607</v>
      </c>
      <c r="F33" s="27"/>
      <c r="G33" s="27"/>
      <c r="H33" s="66"/>
    </row>
    <row r="34" ht="15.75" customHeight="1">
      <c r="A34" s="13"/>
      <c r="D34" s="13"/>
      <c r="E34" s="132"/>
      <c r="F34" s="27"/>
      <c r="G34" s="27"/>
      <c r="H34" s="66"/>
    </row>
    <row r="35" ht="15.75" customHeight="1">
      <c r="A35" s="13"/>
      <c r="B35" s="202" t="str">
        <f>IFERROR(__xludf.DUMMYFUNCTION("""COMPUTED_VALUE""")," TOTALE ONLINE")</f>
        <v>TOTALE ONLINE</v>
      </c>
      <c r="C35" s="203">
        <f>IFERROR(__xludf.DUMMYFUNCTION("""COMPUTED_VALUE"""),2338.0)</f>
        <v>2338</v>
      </c>
      <c r="D35" s="13"/>
      <c r="E35" s="132"/>
      <c r="F35" s="27"/>
      <c r="G35" s="27"/>
      <c r="H35" s="66"/>
    </row>
    <row r="36" ht="15.75" customHeight="1">
      <c r="A36" s="13"/>
      <c r="D36" s="19"/>
      <c r="E36" s="133"/>
      <c r="F36" s="27"/>
      <c r="G36" s="27"/>
      <c r="H36" s="66"/>
    </row>
    <row r="37" ht="15.75" customHeight="1">
      <c r="A37" s="13"/>
      <c r="B37" s="25"/>
      <c r="C37" s="25"/>
      <c r="D37" s="161"/>
      <c r="E37" s="27"/>
      <c r="H37" s="204"/>
    </row>
    <row r="38" ht="15.75" customHeight="1">
      <c r="A38" s="19"/>
      <c r="B38" s="72" t="s">
        <v>46</v>
      </c>
      <c r="C38" s="21"/>
      <c r="D38" s="22"/>
      <c r="E38" s="23">
        <f>E33+E23</f>
        <v>1011.575</v>
      </c>
      <c r="F38" s="206"/>
      <c r="G38" s="206"/>
      <c r="H38" s="207"/>
    </row>
    <row r="39" ht="15.75" customHeight="1">
      <c r="A39" s="25"/>
      <c r="B39" s="73"/>
      <c r="C39" s="74"/>
      <c r="D39" s="208"/>
      <c r="E39" s="39"/>
    </row>
  </sheetData>
  <mergeCells count="15">
    <mergeCell ref="A29:A38"/>
    <mergeCell ref="B33:B34"/>
    <mergeCell ref="C33:C34"/>
    <mergeCell ref="D33:D36"/>
    <mergeCell ref="E33:E36"/>
    <mergeCell ref="B35:B36"/>
    <mergeCell ref="C35:C36"/>
    <mergeCell ref="B38:D38"/>
    <mergeCell ref="A1:F1"/>
    <mergeCell ref="A3:A10"/>
    <mergeCell ref="B10:D10"/>
    <mergeCell ref="A12:A21"/>
    <mergeCell ref="B21:D21"/>
    <mergeCell ref="B23:D23"/>
    <mergeCell ref="A25:A27"/>
  </mergeCells>
  <conditionalFormatting sqref="A2:H39">
    <cfRule type="cellIs" dxfId="0" priority="1" operator="lessThan">
      <formula>0</formula>
    </cfRule>
  </conditionalFormatting>
  <dataValidations>
    <dataValidation type="list" allowBlank="1" showErrorMessage="1" sqref="F3:F9 F12:F20">
      <formula1>elenchi!$A$1:$A$100</formula1>
    </dataValidation>
  </dataValidations>
  <hyperlinks>
    <hyperlink r:id="rId4" location="gid=1675710362" ref="A1"/>
    <hyperlink r:id="rId5" location="gid=608116879" ref="B17"/>
    <hyperlink r:id="rId6" location="gid=608116879" ref="B18"/>
  </hyperlinks>
  <printOptions/>
  <pageMargins bottom="0.7480314960629921" footer="0.0" header="0.0" left="0.7086614173228347" right="0.7086614173228347" top="0.7480314960629921"/>
  <pageSetup paperSize="9" orientation="landscape"/>
  <drawing r:id="rId7"/>
  <legacyDrawing r:id="rId8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0.0"/>
    <col customWidth="1" min="3" max="3" width="26.43"/>
    <col customWidth="1" min="4" max="4" width="21.14"/>
    <col customWidth="1" min="5" max="5" width="23.14"/>
    <col customWidth="1" min="6" max="6" width="27.86"/>
    <col customWidth="1" min="7" max="9" width="41.14"/>
  </cols>
  <sheetData>
    <row r="1" ht="30.0" customHeight="1">
      <c r="A1" s="253" t="s">
        <v>240</v>
      </c>
      <c r="B1" s="254"/>
      <c r="C1" s="254"/>
      <c r="D1" s="254"/>
      <c r="E1" s="254"/>
      <c r="F1" s="254"/>
      <c r="G1" s="254"/>
      <c r="H1" s="254"/>
      <c r="I1" s="255"/>
    </row>
    <row r="2" ht="26.25" customHeight="1">
      <c r="A2" s="256" t="s">
        <v>241</v>
      </c>
      <c r="B2" s="257" t="s">
        <v>242</v>
      </c>
      <c r="C2" s="258" t="s">
        <v>243</v>
      </c>
      <c r="D2" s="259" t="s">
        <v>244</v>
      </c>
      <c r="E2" s="260" t="s">
        <v>45</v>
      </c>
      <c r="F2" s="261" t="s">
        <v>245</v>
      </c>
      <c r="G2" s="262" t="s">
        <v>246</v>
      </c>
      <c r="H2" s="263" t="s">
        <v>247</v>
      </c>
      <c r="I2" s="263" t="s">
        <v>248</v>
      </c>
    </row>
    <row r="3" ht="26.25" customHeight="1">
      <c r="A3" s="264" t="s">
        <v>227</v>
      </c>
      <c r="B3" s="265">
        <v>45949.0</v>
      </c>
      <c r="C3" s="266" t="s">
        <v>249</v>
      </c>
      <c r="D3" s="267">
        <f>BANANA_19OTT25!E23</f>
        <v>-1595.425</v>
      </c>
      <c r="E3" s="268">
        <f>BANANA_19OTT25!E33</f>
        <v>2607</v>
      </c>
      <c r="F3" s="269">
        <f>BANANA_19OTT25!E38</f>
        <v>1011.575</v>
      </c>
      <c r="G3" s="270"/>
      <c r="H3" s="271"/>
      <c r="I3" s="271"/>
    </row>
    <row r="4" ht="26.25" customHeight="1">
      <c r="A4" s="272" t="s">
        <v>212</v>
      </c>
      <c r="B4" s="265">
        <v>45956.0</v>
      </c>
      <c r="C4" s="266" t="s">
        <v>250</v>
      </c>
      <c r="D4" s="273">
        <f>TIMOR_STEFFENS_26OTT25!E25</f>
        <v>-2650.67</v>
      </c>
      <c r="E4" s="268">
        <f>TIMOR_STEFFENS_26OTT25!E35</f>
        <v>2925</v>
      </c>
      <c r="F4" s="274">
        <f>TIMOR_STEFFENS_26OTT25!E42</f>
        <v>274.33</v>
      </c>
      <c r="G4" s="275"/>
      <c r="H4" s="271"/>
      <c r="I4" s="271"/>
    </row>
    <row r="5" ht="26.25" customHeight="1">
      <c r="A5" s="276" t="s">
        <v>199</v>
      </c>
      <c r="B5" s="265">
        <v>45956.0</v>
      </c>
      <c r="C5" s="266" t="s">
        <v>251</v>
      </c>
      <c r="D5" s="273">
        <f>LULU_26OTT25!E23</f>
        <v>-1151.43</v>
      </c>
      <c r="E5" s="277">
        <f>LULU_26OTT25!E33</f>
        <v>1659</v>
      </c>
      <c r="F5" s="274">
        <f>LULU_26OTT25!E38</f>
        <v>867.57</v>
      </c>
      <c r="G5" s="275"/>
      <c r="H5" s="271"/>
      <c r="I5" s="278"/>
    </row>
    <row r="6" ht="26.25" customHeight="1">
      <c r="A6" s="276" t="s">
        <v>179</v>
      </c>
      <c r="B6" s="265">
        <v>45970.0</v>
      </c>
      <c r="C6" s="266" t="s">
        <v>252</v>
      </c>
      <c r="D6" s="273">
        <f>KUMO_09NOV25!E23</f>
        <v>-1611.355</v>
      </c>
      <c r="E6" s="277">
        <f>KUMO_09NOV25!E33</f>
        <v>2223</v>
      </c>
      <c r="F6" s="274">
        <f>KUMO_09NOV25!E38</f>
        <v>611.645</v>
      </c>
      <c r="G6" s="275"/>
      <c r="H6" s="271"/>
      <c r="I6" s="271"/>
    </row>
    <row r="7" ht="26.25" customHeight="1">
      <c r="A7" s="276" t="s">
        <v>189</v>
      </c>
      <c r="B7" s="265">
        <v>45970.0</v>
      </c>
      <c r="C7" s="266" t="s">
        <v>253</v>
      </c>
      <c r="D7" s="273">
        <f>LELI_09NOV25!E23</f>
        <v>-238.075</v>
      </c>
      <c r="E7" s="277">
        <f>LELI_09NOV25!E33</f>
        <v>272</v>
      </c>
      <c r="F7" s="274">
        <f>LELI_09NOV25!E38</f>
        <v>33.925</v>
      </c>
      <c r="G7" s="275"/>
      <c r="H7" s="271"/>
      <c r="I7" s="271"/>
    </row>
    <row r="8" ht="26.25" customHeight="1">
      <c r="A8" s="279" t="s">
        <v>168</v>
      </c>
      <c r="B8" s="280">
        <v>45977.0</v>
      </c>
      <c r="C8" s="281" t="s">
        <v>254</v>
      </c>
      <c r="D8" s="282">
        <f>NICOLO_DE_ANGELIS_16NOV25!E23</f>
        <v>-720.96</v>
      </c>
      <c r="E8" s="283">
        <f>NICOLO_DE_ANGELIS_16NOV25!E33</f>
        <v>1112</v>
      </c>
      <c r="F8" s="284">
        <f>NICOLO_DE_ANGELIS_16NOV25!E38</f>
        <v>391.04</v>
      </c>
      <c r="G8" s="285"/>
      <c r="H8" s="286"/>
      <c r="I8" s="286"/>
    </row>
    <row r="9" ht="26.25" customHeight="1">
      <c r="A9" s="276" t="s">
        <v>157</v>
      </c>
      <c r="B9" s="265">
        <v>45984.0</v>
      </c>
      <c r="C9" s="266" t="s">
        <v>255</v>
      </c>
      <c r="D9" s="287">
        <f>DEBORAH_ESPOSITO_16NOV25!E23</f>
        <v>-1128.44</v>
      </c>
      <c r="E9" s="277">
        <f>DEBORAH_ESPOSITO_16NOV25!E33</f>
        <v>2089.6</v>
      </c>
      <c r="F9" s="274">
        <f>DEBORAH_ESPOSITO_16NOV25!E38</f>
        <v>961.16</v>
      </c>
      <c r="G9" s="275"/>
      <c r="H9" s="271"/>
      <c r="I9" s="271"/>
    </row>
    <row r="10" ht="26.25" customHeight="1">
      <c r="A10" s="279" t="s">
        <v>147</v>
      </c>
      <c r="B10" s="280">
        <v>46005.0</v>
      </c>
      <c r="C10" s="281" t="s">
        <v>256</v>
      </c>
      <c r="D10" s="282">
        <f>NEREA_14DIC25!E24</f>
        <v>-465.65</v>
      </c>
      <c r="E10" s="283">
        <f>NEREA_14DIC25!E34</f>
        <v>427</v>
      </c>
      <c r="F10" s="284">
        <f>NEREA_14DIC25!E39</f>
        <v>-38.65</v>
      </c>
      <c r="G10" s="285"/>
      <c r="H10" s="286"/>
      <c r="I10" s="286"/>
    </row>
    <row r="11" ht="26.25" customHeight="1">
      <c r="A11" s="276" t="s">
        <v>133</v>
      </c>
      <c r="B11" s="288" t="s">
        <v>257</v>
      </c>
      <c r="C11" s="266" t="s">
        <v>252</v>
      </c>
      <c r="D11" s="273">
        <f>ALESSIO_CAVALIERE_01FEB26!E24</f>
        <v>-1107.8</v>
      </c>
      <c r="E11" s="277">
        <f>ALESSIO_CAVALIERE_01FEB26!E35</f>
        <v>849</v>
      </c>
      <c r="F11" s="274">
        <f>ALESSIO_CAVALIERE_01FEB26!E41</f>
        <v>-258.8</v>
      </c>
      <c r="G11" s="275"/>
      <c r="H11" s="271"/>
      <c r="I11" s="271"/>
    </row>
    <row r="12" ht="26.25" customHeight="1">
      <c r="A12" s="276" t="s">
        <v>122</v>
      </c>
      <c r="B12" s="288" t="s">
        <v>258</v>
      </c>
      <c r="C12" s="266" t="s">
        <v>259</v>
      </c>
      <c r="D12" s="273">
        <f>EMANUEL_LO_22FEB26!E25</f>
        <v>-3323.1</v>
      </c>
      <c r="E12" s="277">
        <f>EMANUEL_LO_22FEB26!E36</f>
        <v>3784</v>
      </c>
      <c r="F12" s="274">
        <f>EMANUEL_LO_22FEB26!E42</f>
        <v>460.9</v>
      </c>
      <c r="G12" s="275"/>
      <c r="H12" s="271"/>
      <c r="I12" s="271"/>
    </row>
    <row r="13" ht="26.25" customHeight="1">
      <c r="A13" s="276" t="s">
        <v>115</v>
      </c>
      <c r="B13" s="265">
        <v>46082.0</v>
      </c>
      <c r="C13" s="266" t="s">
        <v>255</v>
      </c>
      <c r="D13" s="287">
        <f>ANAHITA_01MAR26!E25</f>
        <v>-289.895</v>
      </c>
      <c r="E13" s="277">
        <f>ANAHITA_01MAR26!E36</f>
        <v>896</v>
      </c>
      <c r="F13" s="274">
        <f>ANAHITA_01MAR26!E43</f>
        <v>606.105</v>
      </c>
      <c r="G13" s="275"/>
      <c r="H13" s="271"/>
      <c r="I13" s="271"/>
    </row>
    <row r="14" ht="26.25" customHeight="1">
      <c r="A14" s="289" t="s">
        <v>103</v>
      </c>
      <c r="B14" s="280">
        <v>46096.0</v>
      </c>
      <c r="C14" s="281" t="s">
        <v>260</v>
      </c>
      <c r="D14" s="290">
        <f>DIA_EN_CUBA_15MAR26!E25</f>
        <v>-858.3</v>
      </c>
      <c r="E14" s="283">
        <f>DIA_EN_CUBA_15MAR26!E36</f>
        <v>1700</v>
      </c>
      <c r="F14" s="284">
        <f>DIA_EN_CUBA_15MAR26!E43</f>
        <v>841.7</v>
      </c>
      <c r="G14" s="285"/>
      <c r="H14" s="286"/>
      <c r="I14" s="286"/>
    </row>
    <row r="15" ht="26.25" customHeight="1">
      <c r="A15" s="291" t="s">
        <v>261</v>
      </c>
      <c r="B15" s="265">
        <v>46096.0</v>
      </c>
      <c r="C15" s="266" t="s">
        <v>262</v>
      </c>
      <c r="D15" s="273">
        <f>AMBERALDRIN_15MAR26!E25</f>
        <v>-350.915</v>
      </c>
      <c r="E15" s="277">
        <f>AMBERALDRIN_15MAR26!E36</f>
        <v>526</v>
      </c>
      <c r="F15" s="274">
        <f>AMBERALDRIN_15MAR26!E43</f>
        <v>175.085</v>
      </c>
      <c r="G15" s="275"/>
      <c r="H15" s="271"/>
      <c r="I15" s="271"/>
    </row>
    <row r="16" ht="26.25" customHeight="1">
      <c r="A16" s="291" t="s">
        <v>82</v>
      </c>
      <c r="B16" s="265">
        <v>46100.0</v>
      </c>
      <c r="C16" s="266" t="s">
        <v>250</v>
      </c>
      <c r="D16" s="292"/>
      <c r="E16" s="293"/>
      <c r="F16" s="294"/>
      <c r="G16" s="295"/>
      <c r="H16" s="271"/>
      <c r="I16" s="271"/>
    </row>
    <row r="17" ht="26.25" customHeight="1">
      <c r="A17" s="296"/>
      <c r="B17" s="297"/>
      <c r="C17" s="298"/>
      <c r="D17" s="299"/>
      <c r="E17" s="300"/>
      <c r="F17" s="301"/>
      <c r="G17" s="302"/>
      <c r="H17" s="303"/>
      <c r="I17" s="303"/>
    </row>
    <row r="18" ht="26.25" customHeight="1">
      <c r="A18" s="296"/>
      <c r="B18" s="297"/>
      <c r="C18" s="298"/>
      <c r="D18" s="299"/>
      <c r="E18" s="300"/>
      <c r="F18" s="301"/>
      <c r="G18" s="302"/>
      <c r="H18" s="303"/>
      <c r="I18" s="303"/>
    </row>
    <row r="19" ht="26.25" customHeight="1">
      <c r="A19" s="304"/>
      <c r="B19" s="305"/>
      <c r="C19" s="306"/>
      <c r="D19" s="299"/>
      <c r="E19" s="300"/>
      <c r="F19" s="301"/>
      <c r="G19" s="302"/>
      <c r="H19" s="303"/>
      <c r="I19" s="303"/>
    </row>
    <row r="20" ht="26.25" customHeight="1">
      <c r="A20" s="307"/>
      <c r="B20" s="308"/>
      <c r="C20" s="309" t="s">
        <v>263</v>
      </c>
      <c r="D20" s="310">
        <f t="shared" ref="D20:F20" si="1">SUM(D3:D19)</f>
        <v>-15492.015</v>
      </c>
      <c r="E20" s="311">
        <f t="shared" si="1"/>
        <v>21069.6</v>
      </c>
      <c r="F20" s="312">
        <f t="shared" si="1"/>
        <v>5937.585</v>
      </c>
      <c r="G20" s="313">
        <f t="shared" ref="G20:I20" si="2">SUM(G2:G19)</f>
        <v>0</v>
      </c>
      <c r="H20" s="313">
        <f t="shared" si="2"/>
        <v>0</v>
      </c>
      <c r="I20" s="313">
        <f t="shared" si="2"/>
        <v>0</v>
      </c>
    </row>
    <row r="21" ht="26.25" customHeight="1">
      <c r="A21" s="314"/>
      <c r="B21" s="314"/>
      <c r="C21" s="315" t="s">
        <v>264</v>
      </c>
      <c r="D21" s="316" t="s">
        <v>265</v>
      </c>
      <c r="E21" s="317" t="s">
        <v>266</v>
      </c>
      <c r="F21" s="318"/>
      <c r="G21" s="319"/>
      <c r="H21" s="319"/>
      <c r="I21" s="319"/>
    </row>
  </sheetData>
  <mergeCells count="2">
    <mergeCell ref="A1:I1"/>
    <mergeCell ref="A20:B20"/>
  </mergeCells>
  <conditionalFormatting sqref="A3:I21">
    <cfRule type="cellIs" dxfId="0" priority="1" operator="lessThan">
      <formula>0</formula>
    </cfRule>
  </conditionalFormatting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</cols>
  <sheetData>
    <row r="1">
      <c r="A1" s="320" t="s">
        <v>31</v>
      </c>
    </row>
    <row r="2">
      <c r="A2" s="320" t="s">
        <v>267</v>
      </c>
    </row>
    <row r="3">
      <c r="A3" s="320" t="s">
        <v>9</v>
      </c>
    </row>
    <row r="4">
      <c r="A4" s="320" t="s">
        <v>12</v>
      </c>
    </row>
    <row r="5">
      <c r="A5" s="320" t="s">
        <v>27</v>
      </c>
    </row>
    <row r="6">
      <c r="A6" s="320" t="s">
        <v>38</v>
      </c>
    </row>
    <row r="7">
      <c r="A7" s="320" t="s">
        <v>20</v>
      </c>
    </row>
  </sheetData>
  <drawing r:id="rId1"/>
</worksheet>
</file>