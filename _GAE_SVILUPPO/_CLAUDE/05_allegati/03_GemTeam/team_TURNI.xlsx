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3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3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37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33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38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34.xml"/>
  <Override ContentType="application/vnd.openxmlformats-officedocument.spreadsheetml.worksheet+xml" PartName="/xl/worksheets/sheet21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1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worksheet+xml" PartName="/xl/worksheets/sheet35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30.xml"/>
  <Override ContentType="application/vnd.openxmlformats-officedocument.drawing+xml" PartName="/xl/drawings/drawing34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31.xml"/>
  <Override ContentType="application/vnd.openxmlformats-officedocument.drawing+xml" PartName="/xl/drawings/drawing22.xml"/>
  <Override ContentType="application/vnd.openxmlformats-officedocument.drawing+xml" PartName="/xl/drawings/drawing35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36.xml"/>
  <Override ContentType="application/vnd.openxmlformats-officedocument.drawing+xml" PartName="/xl/drawings/drawing32.xml"/>
  <Override ContentType="application/vnd.openxmlformats-officedocument.drawing+xml" PartName="/xl/drawings/drawing23.xml"/>
  <Override ContentType="application/vnd.openxmlformats-officedocument.drawing+xml" PartName="/xl/drawings/drawing33.xml"/>
  <Override ContentType="application/vnd.openxmlformats-officedocument.drawing+xml" PartName="/xl/drawings/drawing38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9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drawing+xml" PartName="/xl/drawings/drawing37.xml"/>
  <Override ContentType="application/vnd.ms-excel.documenttasks+xml" PartName="/xl/documenttasks/documenttask2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ms-excel.threadedcomments+xml" PartName="/xl/threadedComments/threadedComment2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UNEDÌ A" sheetId="1" r:id="rId4"/>
    <sheet state="visible" name="MARTEDÌ A" sheetId="2" r:id="rId5"/>
    <sheet state="visible" name="MERCOLEDÌ A" sheetId="3" r:id="rId6"/>
    <sheet state="visible" name="GIOVEDÌ A" sheetId="4" r:id="rId7"/>
    <sheet state="visible" name="VENERDÌ A" sheetId="5" r:id="rId8"/>
    <sheet state="visible" name="SABATO A" sheetId="6" r:id="rId9"/>
    <sheet state="visible" name="DOMENICA A" sheetId="7" r:id="rId10"/>
    <sheet state="visible" name="LUNEDÌ B" sheetId="8" r:id="rId11"/>
    <sheet state="visible" name="MARTEDÌ B" sheetId="9" r:id="rId12"/>
    <sheet state="visible" name="MERCOLEDÌ B" sheetId="10" r:id="rId13"/>
    <sheet state="visible" name="GIOVEDÌ B" sheetId="11" r:id="rId14"/>
    <sheet state="visible" name="VENERDÌ B" sheetId="12" r:id="rId15"/>
    <sheet state="visible" name="SABATO B" sheetId="13" r:id="rId16"/>
    <sheet state="visible" name="DOMENICA B" sheetId="14" r:id="rId17"/>
    <sheet state="visible" name="LUNEDÌ C" sheetId="15" r:id="rId18"/>
    <sheet state="visible" name="MARTEDÌ C" sheetId="16" r:id="rId19"/>
    <sheet state="visible" name="MERCOLEDÌ C" sheetId="17" r:id="rId20"/>
    <sheet state="visible" name="GIOVEDÌ C" sheetId="18" r:id="rId21"/>
    <sheet state="visible" name="VENERDÌ C" sheetId="19" r:id="rId22"/>
    <sheet state="visible" name="SABATO C" sheetId="20" r:id="rId23"/>
    <sheet state="visible" name="DOMENICA C" sheetId="21" r:id="rId24"/>
    <sheet state="visible" name="LUNEDÌ D" sheetId="22" r:id="rId25"/>
    <sheet state="visible" name="MARTEDÌ D" sheetId="23" r:id="rId26"/>
    <sheet state="visible" name="MERCOLEDÌ D" sheetId="24" r:id="rId27"/>
    <sheet state="visible" name="GIOVEDÌ D" sheetId="25" r:id="rId28"/>
    <sheet state="visible" name="VENERDÌ D" sheetId="26" r:id="rId29"/>
    <sheet state="visible" name="SABATO D" sheetId="27" r:id="rId30"/>
    <sheet state="visible" name="DOMENICA D" sheetId="28" r:id="rId31"/>
    <sheet state="visible" name="LUNEDÌ E" sheetId="29" r:id="rId32"/>
    <sheet state="visible" name="MARTEDÌ E" sheetId="30" r:id="rId33"/>
    <sheet state="visible" name="MERCOLEDÌ E" sheetId="31" r:id="rId34"/>
    <sheet state="visible" name="GIOVEDÌ E" sheetId="32" r:id="rId35"/>
    <sheet state="visible" name="VENERDÌ E" sheetId="33" r:id="rId36"/>
    <sheet state="visible" name="SABATO E" sheetId="34" r:id="rId37"/>
    <sheet state="visible" name="DOMENICA E" sheetId="35" r:id="rId38"/>
    <sheet state="visible" name="Sab-Dom" sheetId="36" r:id="rId39"/>
    <sheet state="visible" name="2025-2026" sheetId="37" r:id="rId40"/>
    <sheet state="visible" name="elenchi" sheetId="38" r:id="rId41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tc={1f022e89-de07-4c80-91cc-de4a841c85b5}</author>
    <author>tc={3fc41555-d493-4301-8f62-a92ecca4adac}</author>
    <author>tc={5568db51-58df-49e8-b77e-0f7da6929a5c}</author>
    <author>tc={db66009b-28f2-4869-a141-70f596b26142}</author>
  </authors>
  <commentList>
    <comment authorId="0" xr:uid="{1f022e89-de07-4c80-91cc-de4a841c85b5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creare leggenda per indicare le settimane (es. A, B, C, D , le settimane A e C devono essere uguali). Le date della settimana le mettiamo nella riga 1 e il giorno nella riga 2
</t>
      </text>
    </comment>
    <comment authorId="1" xr:uid="{3fc41555-d493-4301-8f62-a92ecca4adac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non posso modificare le colonne
</t>
      </text>
    </comment>
    <comment authorId="2" xr:uid="{5568db51-58df-49e8-b77e-0f7da6929a5c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alcuni fogli non li posso modificare
Reply:
	fatto
</t>
      </text>
    </comment>
    <comment authorId="3" xr:uid="{db66009b-28f2-4869-a141-70f596b26142}" ref="B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@gaechacha@gmail.com @santo@studio-gem.it sto provando dal file turni
Attività assegnata a gaechacha@gmail.com
Reply:
	Ok visto da cell
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  <author>tc={13dacaa0-b90b-4f40-a7e5-ed3d63e9177c}</author>
  </authors>
  <commentList>
    <comment authorId="0" ref="A1">
      <text>
        <t xml:space="preserve">la formula conta</t>
      </text>
    </comment>
    <comment authorId="0" ref="A2">
      <text>
        <t xml:space="preserve">la formula conta</t>
      </text>
    </comment>
    <comment authorId="0" ref="A4">
      <text>
        <t xml:space="preserve">la formula conta</t>
      </text>
    </comment>
    <comment authorId="0" ref="A7">
      <text>
        <t xml:space="preserve">la formula conta</t>
      </text>
    </comment>
    <comment authorId="0" ref="A8">
      <text>
        <t xml:space="preserve">la formula conta</t>
      </text>
    </comment>
    <comment authorId="0" ref="A9">
      <text>
        <t xml:space="preserve">la formula conta</t>
      </text>
    </comment>
    <comment authorId="0" ref="A10">
      <text>
        <t xml:space="preserve">la formula conta</t>
      </text>
    </comment>
    <comment authorId="0" ref="A12">
      <text>
        <t xml:space="preserve">la formula conta</t>
      </text>
    </comment>
    <comment authorId="0" ref="B13">
      <text>
        <t xml:space="preserve">ultima cella collegata ai vari fogli</t>
      </text>
    </comment>
    <comment authorId="0" ref="A15">
      <text>
        <t xml:space="preserve">la formula conta</t>
      </text>
    </comment>
    <comment authorId="0" ref="A16">
      <text>
        <t xml:space="preserve">la formula conta</t>
      </text>
    </comment>
    <comment authorId="0" ref="A19">
      <text>
        <t xml:space="preserve">la formula conta</t>
      </text>
    </comment>
    <comment authorId="0" ref="A20">
      <text>
        <t xml:space="preserve">la formula conta</t>
      </text>
    </comment>
    <comment authorId="0" ref="A21">
      <text>
        <t xml:space="preserve">la formula conta</t>
      </text>
    </comment>
    <comment authorId="0" ref="A22">
      <text>
        <t xml:space="preserve">la formula conta</t>
      </text>
    </comment>
    <comment authorId="0" ref="A23">
      <text>
        <t xml:space="preserve">la formula conta</t>
      </text>
    </comment>
    <comment authorId="0" ref="A24">
      <text>
        <t xml:space="preserve">la formula conta</t>
      </text>
    </comment>
    <comment authorId="0" ref="A25">
      <text>
        <t xml:space="preserve">la formula conta</t>
      </text>
    </comment>
    <comment authorId="1" xr:uid="{13dacaa0-b90b-4f40-a7e5-ed3d63e9177c}" ref="C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@elisalsa66@gmail.com non cambiare mai la scritta all'interno delle celle altrimenti le formule non contano il contenuto. Grazie
Reply:
	ho fatto qualcosa di sbagliato sui nomi
Reply:
	risolto
</t>
      </text>
    </comment>
  </commentList>
</comments>
</file>

<file path=xl/sharedStrings.xml><?xml version="1.0" encoding="utf-8"?>
<sst xmlns="http://schemas.openxmlformats.org/spreadsheetml/2006/main" count="5439" uniqueCount="71">
  <si>
    <t>LUNEDÌ</t>
  </si>
  <si>
    <t> DA:</t>
  </si>
  <si>
    <t>ORA</t>
  </si>
  <si>
    <t>07:00</t>
  </si>
  <si>
    <t>07:30</t>
  </si>
  <si>
    <t>08:00</t>
  </si>
  <si>
    <t>RECEPTION</t>
  </si>
  <si>
    <t>PRIMO</t>
  </si>
  <si>
    <t>UFFICIO</t>
  </si>
  <si>
    <t>AMM.ZIONE</t>
  </si>
  <si>
    <t>PAUSA</t>
  </si>
  <si>
    <t>SECONDO</t>
  </si>
  <si>
    <t>24:00</t>
  </si>
  <si>
    <t>TOT</t>
  </si>
  <si>
    <t>MARTEDÌ</t>
  </si>
  <si>
    <t>MERCOLEDÌ</t>
  </si>
  <si>
    <t>GIOVEDÌ</t>
  </si>
  <si>
    <t>VENERDÌ</t>
  </si>
  <si>
    <t>SABATO</t>
  </si>
  <si>
    <t>DOMENICA</t>
  </si>
  <si>
    <t>  DA:</t>
  </si>
  <si>
    <t>RIPOSO</t>
  </si>
  <si>
    <t xml:space="preserve">  DA:</t>
  </si>
  <si>
    <t>PERMESSO</t>
  </si>
  <si>
    <t xml:space="preserve"> DA: </t>
  </si>
  <si>
    <t>WORKSHOP</t>
  </si>
  <si>
    <t>DATE</t>
  </si>
  <si>
    <t>TOTALE</t>
  </si>
  <si>
    <t>ESTEFANY</t>
  </si>
  <si>
    <t>NURA</t>
  </si>
  <si>
    <t>ALESSIA</t>
  </si>
  <si>
    <t>JOEL</t>
  </si>
  <si>
    <t>KEVIN</t>
  </si>
  <si>
    <t>ZOILA</t>
  </si>
  <si>
    <t>FLAVIANA</t>
  </si>
  <si>
    <t>ALEXANDRA</t>
  </si>
  <si>
    <t>JASIR</t>
  </si>
  <si>
    <t>SARA</t>
  </si>
  <si>
    <t xml:space="preserve">  SETTIMANA - A</t>
  </si>
  <si>
    <t>LUNEDI 20 A DOMENICA 26 APRILE 2026</t>
  </si>
  <si>
    <t>CAMPUS</t>
  </si>
  <si>
    <t>GIUDITTA</t>
  </si>
  <si>
    <t xml:space="preserve">  SETTIMANA - B</t>
  </si>
  <si>
    <t>LUNEDI 23 A DOMENICA 29 MARZO 2026</t>
  </si>
  <si>
    <t>CORSI</t>
  </si>
  <si>
    <t xml:space="preserve">  SETTIMANA - C</t>
  </si>
  <si>
    <t>LUNEDI 30 MARZO A DOMENICA 05 APRILE 2026</t>
  </si>
  <si>
    <t>EVENTO EST.</t>
  </si>
  <si>
    <t xml:space="preserve">  SETTIMANA - D</t>
  </si>
  <si>
    <t>LUNEDI 06 A DOMENICA 12 APRILE 2026</t>
  </si>
  <si>
    <t>FERIE</t>
  </si>
  <si>
    <t xml:space="preserve">  SETTIMANA - E</t>
  </si>
  <si>
    <t>LUNEDI 13 A DOMENICA 19 APRILE 2026</t>
  </si>
  <si>
    <t>FESTA</t>
  </si>
  <si>
    <t>FORMAZ-1p</t>
  </si>
  <si>
    <t>FORMAZ-2p</t>
  </si>
  <si>
    <t>FORMAZ-rec</t>
  </si>
  <si>
    <t>DIEGO</t>
  </si>
  <si>
    <t>MAGAZZINI</t>
  </si>
  <si>
    <t>MALATTIA</t>
  </si>
  <si>
    <t>SANTO</t>
  </si>
  <si>
    <t>MANUTENZ.</t>
  </si>
  <si>
    <t>MASSI</t>
  </si>
  <si>
    <t>ML</t>
  </si>
  <si>
    <t>Pe</t>
  </si>
  <si>
    <t>RIUNIONE</t>
  </si>
  <si>
    <t>ELISA non cambiare mai la scritta all'interno delle celle della colonna A e B altrimenti le formule non contano il contenuto. Grazie</t>
  </si>
  <si>
    <t>SAGGI</t>
  </si>
  <si>
    <t>SMART W</t>
  </si>
  <si>
    <t>STUDIO 1 e 2</t>
  </si>
  <si>
    <t>TEATRO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</si>
</sst>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hh:mm"/>
    <numFmt numFmtId="165" formatCode="ddd&quot; &quot;d&quot; &quot;mmm&quot; &quot;yyyy"/>
    <numFmt numFmtId="166" formatCode="d&quot; &quot;ddd&quot;  &quot;"/>
  </numFmts>
  <fonts count="41">
    <font>
      <sz val="10.0"/>
      <color rgb="FF000000"/>
      <name val="Helvetica Neue"/>
    </font>
    <font>
      <b/>
      <sz val="18.0"/>
      <color rgb="FF000000"/>
      <name val="Arial"/>
    </font>
    <font/>
    <font>
      <b/>
      <sz val="18.0"/>
      <color rgb="FFFFFFFF"/>
      <name val="Arial"/>
    </font>
    <font>
      <b/>
      <sz val="12.0"/>
      <color rgb="FF000000"/>
      <name val="Arial"/>
    </font>
    <font>
      <sz val="12.0"/>
      <color rgb="FF000000"/>
      <name val="Arial"/>
    </font>
    <font>
      <sz val="12.0"/>
      <name val="Arial"/>
    </font>
    <font>
      <sz val="12.0"/>
      <name val="Helvetica Neue"/>
    </font>
    <font>
      <sz val="18.0"/>
      <name val="Arial"/>
    </font>
    <font>
      <name val="Helvetica Neue"/>
    </font>
    <font>
      <sz val="13.0"/>
      <name val="Arial"/>
    </font>
    <font>
      <b/>
      <sz val="12.0"/>
      <color rgb="FF000000"/>
      <name val="Helvetica Neue"/>
    </font>
    <font>
      <sz val="12.0"/>
    </font>
    <font>
      <sz val="12.0"/>
      <color rgb="FF000000"/>
      <name val="Helvetica Neue"/>
    </font>
    <font>
      <b/>
      <sz val="12.0"/>
    </font>
    <font>
      <b/>
      <sz val="12.0"/>
      <name val="Arial"/>
    </font>
    <font>
      <b/>
      <sz val="10.0"/>
      <color rgb="FFFFFFFF"/>
      <name val="Arial"/>
    </font>
    <font>
      <b/>
      <sz val="12.0"/>
      <color rgb="FFFFFFFF"/>
      <name val="Arial"/>
    </font>
    <font>
      <b/>
      <sz val="10.0"/>
      <name val="Arial"/>
    </font>
    <font>
      <color rgb="FF000000"/>
      <name val="Arial"/>
    </font>
    <font>
      <b/>
      <name val="Arial"/>
    </font>
    <font>
      <u/>
      <color rgb="FF000000"/>
      <name val="Arial"/>
    </font>
    <font>
      <u/>
      <color rgb="FF000000"/>
      <name val="Arial"/>
    </font>
    <font>
      <color rgb="FFFFFFFF"/>
      <name val="Arial"/>
    </font>
    <font>
      <b/>
      <u/>
      <color rgb="FF1155CC"/>
      <name val="Arial"/>
    </font>
    <font>
      <u/>
      <color rgb="FF000000"/>
      <name val="Arial"/>
    </font>
    <font>
      <u/>
      <color rgb="FF000000"/>
      <name val="Arial"/>
    </font>
    <font>
      <u/>
      <color rgb="FF000000"/>
      <name val="Arial"/>
    </font>
    <font>
      <b/>
      <color rgb="FF000000"/>
      <name val="Arial"/>
    </font>
    <font>
      <b/>
      <u/>
      <color rgb="FFFF0000"/>
      <name val="Arial"/>
    </font>
    <font>
      <name val="Arial"/>
    </font>
    <font>
      <u/>
      <color rgb="FF000000"/>
      <name val="Arial"/>
    </font>
    <font>
      <u/>
      <color rgb="FF000000"/>
      <name val="Arial"/>
    </font>
    <font>
      <sz val="8.0"/>
      <color rgb="FF000000"/>
      <name val="Arial"/>
    </font>
    <font>
      <u/>
      <color rgb="FF1155CC"/>
      <name val="Arial"/>
    </font>
    <font>
      <u/>
      <color rgb="FF000000"/>
      <name val="Arial"/>
    </font>
    <font>
      <u/>
      <color rgb="FF000000"/>
      <name val="Arial"/>
    </font>
    <font>
      <color rgb="FFFF0000"/>
      <name val="Arial"/>
    </font>
    <font>
      <sz val="10.0"/>
      <color rgb="FF000000"/>
      <name val="Arial"/>
    </font>
    <font>
      <u/>
      <sz val="10.0"/>
      <color rgb="FF1155CC"/>
      <name val="Arial"/>
    </font>
    <font>
      <sz val="10.0"/>
      <name val="Arial"/>
    </font>
  </fonts>
  <fills count="17">
    <fill>
      <patternFill patternType="none"/>
    </fill>
    <fill>
      <patternFill patternType="lightGray"/>
    </fill>
    <fill>
      <patternFill patternType="solid">
        <fgColor rgb="FFBF9000"/>
        <bgColor rgb="FFBF9000"/>
      </patternFill>
    </fill>
    <fill>
      <patternFill patternType="solid">
        <fgColor rgb="FFFFFF00"/>
        <bgColor rgb="FFFFFF00"/>
      </patternFill>
    </fill>
    <fill>
      <patternFill patternType="solid">
        <fgColor rgb="FFFEFFFF"/>
        <bgColor rgb="FFFEFFFF"/>
      </patternFill>
    </fill>
    <fill>
      <patternFill patternType="solid">
        <fgColor rgb="FFFFFFFF"/>
        <bgColor rgb="FFFFFFFF"/>
      </patternFill>
    </fill>
    <fill>
      <patternFill patternType="solid">
        <fgColor rgb="FFDBDBDB"/>
        <bgColor rgb="FFDBDBDB"/>
      </patternFill>
    </fill>
    <fill>
      <patternFill patternType="solid">
        <fgColor rgb="FFD5D5D5"/>
        <bgColor rgb="FFD5D5D5"/>
      </patternFill>
    </fill>
    <fill>
      <patternFill patternType="solid">
        <fgColor rgb="FFCCCCCC"/>
        <bgColor rgb="FFCCCCCC"/>
      </patternFill>
    </fill>
    <fill>
      <patternFill patternType="solid">
        <fgColor rgb="FFB4A7D6"/>
        <bgColor rgb="FFB4A7D6"/>
      </patternFill>
    </fill>
    <fill>
      <patternFill patternType="solid">
        <fgColor rgb="FFB7E1CD"/>
        <bgColor rgb="FFB7E1CD"/>
      </patternFill>
    </fill>
    <fill>
      <patternFill patternType="solid">
        <fgColor rgb="FF9900FF"/>
        <bgColor rgb="FF9900FF"/>
      </patternFill>
    </fill>
    <fill>
      <patternFill patternType="solid">
        <fgColor rgb="FFFF00FF"/>
        <bgColor rgb="FFFF00FF"/>
      </patternFill>
    </fill>
    <fill>
      <patternFill patternType="solid">
        <fgColor rgb="FF6AA84F"/>
        <bgColor rgb="FF6AA84F"/>
      </patternFill>
    </fill>
    <fill>
      <patternFill patternType="solid">
        <fgColor rgb="FF3C78D8"/>
        <bgColor rgb="FF3C78D8"/>
      </patternFill>
    </fill>
    <fill>
      <patternFill patternType="solid">
        <fgColor rgb="FFD9D9D9"/>
        <bgColor rgb="FFD9D9D9"/>
      </patternFill>
    </fill>
    <fill>
      <patternFill patternType="solid">
        <fgColor rgb="FFD4D4D4"/>
        <bgColor rgb="FFD4D4D4"/>
      </patternFill>
    </fill>
  </fills>
  <borders count="26">
    <border/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  <border>
      <left style="thin">
        <color rgb="FFD9D9D9"/>
      </left>
      <top style="thin">
        <color rgb="FFD9D9D9"/>
      </top>
    </border>
    <border>
      <right style="thin">
        <color rgb="FFD9D9D9"/>
      </right>
      <top style="thin">
        <color rgb="FFD9D9D9"/>
      </top>
    </border>
    <border>
      <top style="thin">
        <color rgb="FFD9D9D9"/>
      </top>
    </border>
    <border>
      <left style="thin">
        <color rgb="FFD9D9D9"/>
      </left>
      <bottom style="thin">
        <color rgb="FFD9D9D9"/>
      </bottom>
    </border>
    <border>
      <right style="thin">
        <color rgb="FFD9D9D9"/>
      </right>
      <bottom style="thin">
        <color rgb="FFD9D9D9"/>
      </bottom>
    </border>
    <border>
      <bottom style="thin">
        <color rgb="FFD9D9D9"/>
      </bottom>
    </border>
    <border>
      <right style="thin">
        <color rgb="FFD9D9D9"/>
      </right>
      <top style="thin">
        <color rgb="FFD9D9D9"/>
      </top>
      <bottom style="thin">
        <color rgb="FFD9D9D9"/>
      </bottom>
    </border>
    <border>
      <left style="thin">
        <color rgb="FFD9D9D9"/>
      </left>
      <right style="thin">
        <color rgb="FFD9D9D9"/>
      </right>
      <bottom style="thin">
        <color rgb="FFD9D9D9"/>
      </bottom>
    </border>
    <border>
      <left style="thin">
        <color rgb="FFD9D9D9"/>
      </left>
      <right style="thin">
        <color rgb="FFD9D9D9"/>
      </right>
      <top style="thin">
        <color rgb="FFD9D9D9"/>
      </top>
    </border>
    <border>
      <left style="thin">
        <color rgb="FFD9D9D9"/>
      </left>
      <right style="thin">
        <color rgb="FFD9D9D9"/>
      </right>
    </border>
    <border>
      <right style="thin">
        <color rgb="FFD9D9D9"/>
      </right>
    </border>
    <border>
      <left style="thin">
        <color rgb="FFD9D9D9"/>
      </left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</border>
    <border>
      <top style="thin">
        <color rgb="FF000000"/>
      </top>
    </border>
    <border>
      <right style="thick">
        <color rgb="FF000000"/>
      </right>
      <top style="thin">
        <color rgb="FF000000"/>
      </top>
    </border>
    <border>
      <top style="thick">
        <color rgb="FF000000"/>
      </top>
    </border>
    <border>
      <right style="thick">
        <color rgb="FF000000"/>
      </right>
      <top style="thick">
        <color rgb="FF000000"/>
      </top>
    </border>
    <border>
      <right style="thick">
        <color rgb="FF000000"/>
      </right>
    </border>
    <border>
      <bottom style="thick">
        <color rgb="FF000000"/>
      </bottom>
    </border>
    <border>
      <right style="thick">
        <color rgb="FF000000"/>
      </right>
      <bottom style="thick">
        <color rgb="FF000000"/>
      </bottom>
    </border>
    <border>
      <left style="thick">
        <color rgb="FF000000"/>
      </left>
      <top style="thick">
        <color rgb="FF000000"/>
      </top>
    </border>
    <border>
      <left style="thick">
        <color rgb="FF000000"/>
      </left>
    </border>
    <border>
      <left style="thick">
        <color rgb="FF000000"/>
      </left>
      <bottom style="thick">
        <color rgb="FF000000"/>
      </bottom>
    </border>
    <border>
      <bottom style="thick">
        <color rgb="FFFF0000"/>
      </bottom>
    </border>
  </borders>
  <cellStyleXfs count="1">
    <xf borderId="0" fillId="0" fontId="0" numFmtId="0" applyAlignment="1" applyFont="1"/>
  </cellStyleXfs>
  <cellXfs count="435">
    <xf borderId="0" fillId="0" fontId="0" numFmtId="0" xfId="0" applyAlignment="1" applyFont="1">
      <alignment readingOrder="0" shrinkToFit="0" vertical="top" wrapText="1"/>
    </xf>
    <xf borderId="1" fillId="2" fontId="1" numFmtId="0" xfId="0" applyAlignment="1" applyBorder="1" applyFill="1" applyFont="1">
      <alignment horizontal="center" readingOrder="0" shrinkToFit="0" vertical="center" wrapText="1"/>
    </xf>
    <xf borderId="2" fillId="3" fontId="1" numFmtId="49" xfId="0" applyAlignment="1" applyBorder="1" applyFill="1" applyFont="1" applyNumberFormat="1">
      <alignment horizontal="center" readingOrder="0" shrinkToFit="0" vertical="center" wrapText="1"/>
    </xf>
    <xf borderId="3" fillId="0" fontId="2" numFmtId="0" xfId="0" applyAlignment="1" applyBorder="1" applyFont="1">
      <alignment shrinkToFit="0" vertical="top" wrapText="1"/>
    </xf>
    <xf borderId="2" fillId="2" fontId="1" numFmtId="49" xfId="0" applyAlignment="1" applyBorder="1" applyFont="1" applyNumberFormat="1">
      <alignment horizontal="center" readingOrder="0" shrinkToFit="0" vertical="center" wrapText="1"/>
    </xf>
    <xf borderId="4" fillId="0" fontId="2" numFmtId="0" xfId="0" applyAlignment="1" applyBorder="1" applyFont="1">
      <alignment shrinkToFit="0" vertical="top" wrapText="1"/>
    </xf>
    <xf borderId="4" fillId="2" fontId="3" numFmtId="49" xfId="0" applyAlignment="1" applyBorder="1" applyFont="1" applyNumberFormat="1">
      <alignment horizontal="right" readingOrder="0" shrinkToFit="0" vertical="center" wrapText="1"/>
    </xf>
    <xf borderId="4" fillId="2" fontId="3" numFmtId="49" xfId="0" applyAlignment="1" applyBorder="1" applyFont="1" applyNumberFormat="1">
      <alignment horizontal="left" readingOrder="0" shrinkToFit="0" vertical="center" wrapText="1"/>
    </xf>
    <xf borderId="5" fillId="0" fontId="2" numFmtId="0" xfId="0" applyAlignment="1" applyBorder="1" applyFont="1">
      <alignment shrinkToFit="0" vertical="top" wrapText="1"/>
    </xf>
    <xf borderId="6" fillId="0" fontId="2" numFmtId="0" xfId="0" applyAlignment="1" applyBorder="1" applyFont="1">
      <alignment shrinkToFit="0" vertical="top" wrapText="1"/>
    </xf>
    <xf borderId="7" fillId="0" fontId="2" numFmtId="0" xfId="0" applyAlignment="1" applyBorder="1" applyFont="1">
      <alignment shrinkToFit="0" vertical="top" wrapText="1"/>
    </xf>
    <xf borderId="1" fillId="4" fontId="4" numFmtId="49" xfId="0" applyAlignment="1" applyBorder="1" applyFill="1" applyFont="1" applyNumberFormat="1">
      <alignment horizontal="center" shrinkToFit="0" vertical="center" wrapText="1"/>
    </xf>
    <xf borderId="1" fillId="4" fontId="4" numFmtId="49" xfId="0" applyAlignment="1" applyBorder="1" applyFont="1" applyNumberFormat="1">
      <alignment horizontal="center" readingOrder="0" shrinkToFit="0" vertical="center" wrapText="1"/>
    </xf>
    <xf borderId="1" fillId="4" fontId="4" numFmtId="49" xfId="0" applyAlignment="1" applyBorder="1" applyFont="1" applyNumberFormat="1">
      <alignment horizontal="center" shrinkToFit="0" vertical="center" wrapText="1"/>
    </xf>
    <xf borderId="8" fillId="4" fontId="4" numFmtId="49" xfId="0" applyAlignment="1" applyBorder="1" applyFont="1" applyNumberFormat="1">
      <alignment horizontal="center" shrinkToFit="0" vertical="center" wrapText="1"/>
    </xf>
    <xf borderId="1" fillId="5" fontId="4" numFmtId="49" xfId="0" applyAlignment="1" applyBorder="1" applyFill="1" applyFont="1" applyNumberFormat="1">
      <alignment horizontal="center" readingOrder="0" shrinkToFit="0" vertical="center" wrapText="1"/>
    </xf>
    <xf borderId="1" fillId="6" fontId="5" numFmtId="0" xfId="0" applyAlignment="1" applyBorder="1" applyFill="1" applyFont="1">
      <alignment horizontal="center" readingOrder="0" shrinkToFit="0" vertical="center" wrapText="1"/>
    </xf>
    <xf borderId="1" fillId="5" fontId="6" numFmtId="49" xfId="0" applyAlignment="1" applyBorder="1" applyFont="1" applyNumberFormat="1">
      <alignment horizontal="center" shrinkToFit="0" vertical="center" wrapText="1"/>
    </xf>
    <xf borderId="8" fillId="5" fontId="6" numFmtId="0" xfId="0" applyAlignment="1" applyBorder="1" applyFont="1">
      <alignment horizontal="center" shrinkToFit="0" vertical="center" wrapText="1"/>
    </xf>
    <xf borderId="8" fillId="5" fontId="6" numFmtId="49" xfId="0" applyAlignment="1" applyBorder="1" applyFont="1" applyNumberFormat="1">
      <alignment horizontal="center" shrinkToFit="0" vertical="center" wrapText="1"/>
    </xf>
    <xf borderId="8" fillId="5" fontId="6" numFmtId="49" xfId="0" applyAlignment="1" applyBorder="1" applyFont="1" applyNumberFormat="1">
      <alignment horizontal="center" shrinkToFit="0" vertical="center" wrapText="1"/>
    </xf>
    <xf borderId="8" fillId="5" fontId="6" numFmtId="0" xfId="0" applyAlignment="1" applyBorder="1" applyFont="1">
      <alignment horizontal="center" readingOrder="0" shrinkToFit="0" vertical="center" wrapText="1"/>
    </xf>
    <xf borderId="8" fillId="5" fontId="5" numFmtId="49" xfId="0" applyAlignment="1" applyBorder="1" applyFont="1" applyNumberFormat="1">
      <alignment horizontal="center" shrinkToFit="0" vertical="center" wrapText="1"/>
    </xf>
    <xf borderId="0" fillId="5" fontId="6" numFmtId="0" xfId="0" applyAlignment="1" applyFont="1">
      <alignment horizontal="center" shrinkToFit="0" vertical="center" wrapText="1"/>
    </xf>
    <xf borderId="1" fillId="5" fontId="6" numFmtId="0" xfId="0" applyAlignment="1" applyBorder="1" applyFont="1">
      <alignment horizontal="center" shrinkToFit="0" vertical="center" wrapText="1"/>
    </xf>
    <xf borderId="1" fillId="5" fontId="6" numFmtId="0" xfId="0" applyAlignment="1" applyBorder="1" applyFont="1">
      <alignment horizontal="center" shrinkToFit="0" vertical="center" wrapText="1"/>
    </xf>
    <xf borderId="0" fillId="5" fontId="6" numFmtId="49" xfId="0" applyAlignment="1" applyFont="1" applyNumberFormat="1">
      <alignment horizontal="center" shrinkToFit="0" vertical="center" wrapText="1"/>
    </xf>
    <xf borderId="1" fillId="5" fontId="5" numFmtId="0" xfId="0" applyAlignment="1" applyBorder="1" applyFont="1">
      <alignment horizontal="center" shrinkToFit="0" vertical="center" wrapText="1"/>
    </xf>
    <xf borderId="1" fillId="0" fontId="5" numFmtId="0" xfId="0" applyAlignment="1" applyBorder="1" applyFont="1">
      <alignment horizontal="center" readingOrder="0" shrinkToFit="0" vertical="center" wrapText="1"/>
    </xf>
    <xf borderId="9" fillId="5" fontId="6" numFmtId="49" xfId="0" applyAlignment="1" applyBorder="1" applyFont="1" applyNumberFormat="1">
      <alignment horizontal="center" shrinkToFit="0" vertical="center" wrapText="1"/>
    </xf>
    <xf borderId="6" fillId="5" fontId="6" numFmtId="0" xfId="0" applyAlignment="1" applyBorder="1" applyFont="1">
      <alignment horizontal="center" shrinkToFit="0" vertical="center" wrapText="1"/>
    </xf>
    <xf borderId="6" fillId="5" fontId="6" numFmtId="49" xfId="0" applyAlignment="1" applyBorder="1" applyFont="1" applyNumberFormat="1">
      <alignment horizontal="center" shrinkToFit="0" vertical="center" wrapText="1"/>
    </xf>
    <xf borderId="6" fillId="5" fontId="6" numFmtId="49" xfId="0" applyAlignment="1" applyBorder="1" applyFont="1" applyNumberFormat="1">
      <alignment horizontal="center" shrinkToFit="0" vertical="center" wrapText="1"/>
    </xf>
    <xf borderId="6" fillId="5" fontId="6" numFmtId="0" xfId="0" applyAlignment="1" applyBorder="1" applyFont="1">
      <alignment horizontal="center" readingOrder="0" shrinkToFit="0" vertical="center" wrapText="1"/>
    </xf>
    <xf borderId="6" fillId="5" fontId="5" numFmtId="49" xfId="0" applyAlignment="1" applyBorder="1" applyFont="1" applyNumberFormat="1">
      <alignment horizontal="center" shrinkToFit="0" vertical="center" wrapText="1"/>
    </xf>
    <xf borderId="0" fillId="5" fontId="6" numFmtId="0" xfId="0" applyAlignment="1" applyFont="1">
      <alignment horizontal="center" shrinkToFit="0" vertical="center" wrapText="1"/>
    </xf>
    <xf borderId="9" fillId="5" fontId="6" numFmtId="0" xfId="0" applyAlignment="1" applyBorder="1" applyFont="1">
      <alignment horizontal="center" shrinkToFit="0" vertical="center" wrapText="1"/>
    </xf>
    <xf borderId="9" fillId="5" fontId="6" numFmtId="0" xfId="0" applyAlignment="1" applyBorder="1" applyFont="1">
      <alignment horizontal="center" shrinkToFit="0" vertical="center" wrapText="1"/>
    </xf>
    <xf borderId="1" fillId="5" fontId="6" numFmtId="49" xfId="0" applyAlignment="1" applyBorder="1" applyFont="1" applyNumberFormat="1">
      <alignment horizontal="center" shrinkToFit="0" vertical="center" wrapText="1"/>
    </xf>
    <xf borderId="1" fillId="6" fontId="5" numFmtId="164" xfId="0" applyAlignment="1" applyBorder="1" applyFont="1" applyNumberFormat="1">
      <alignment horizontal="center" shrinkToFit="0" vertical="center" wrapText="1"/>
    </xf>
    <xf borderId="9" fillId="5" fontId="6" numFmtId="0" xfId="0" applyAlignment="1" applyBorder="1" applyFont="1">
      <alignment horizontal="center" shrinkToFit="0" vertical="top" wrapText="1"/>
    </xf>
    <xf borderId="6" fillId="5" fontId="6" numFmtId="0" xfId="0" applyAlignment="1" applyBorder="1" applyFont="1">
      <alignment horizontal="center" shrinkToFit="0" vertical="center" wrapText="1"/>
    </xf>
    <xf borderId="1" fillId="5" fontId="6" numFmtId="0" xfId="0" applyAlignment="1" applyBorder="1" applyFont="1">
      <alignment horizontal="center" shrinkToFit="0" vertical="top" wrapText="1"/>
    </xf>
    <xf borderId="1" fillId="5" fontId="6" numFmtId="0" xfId="0" applyAlignment="1" applyBorder="1" applyFont="1">
      <alignment horizontal="center" shrinkToFit="0" vertical="top" wrapText="1"/>
    </xf>
    <xf borderId="10" fillId="5" fontId="6" numFmtId="0" xfId="0" applyAlignment="1" applyBorder="1" applyFont="1">
      <alignment horizontal="center" shrinkToFit="0" vertical="top" wrapText="1"/>
    </xf>
    <xf borderId="10" fillId="5" fontId="6" numFmtId="49" xfId="0" applyAlignment="1" applyBorder="1" applyFont="1" applyNumberFormat="1">
      <alignment horizontal="center" shrinkToFit="0" vertical="top" wrapText="1"/>
    </xf>
    <xf borderId="9" fillId="5" fontId="6" numFmtId="0" xfId="0" applyAlignment="1" applyBorder="1" applyFont="1">
      <alignment horizontal="center" readingOrder="0" shrinkToFit="0" vertical="center" wrapText="1"/>
    </xf>
    <xf borderId="1" fillId="5" fontId="5" numFmtId="0" xfId="0" applyAlignment="1" applyBorder="1" applyFont="1">
      <alignment horizontal="center" readingOrder="0" shrinkToFit="0" vertical="center" wrapText="1"/>
    </xf>
    <xf borderId="1" fillId="5" fontId="6" numFmtId="0" xfId="0" applyAlignment="1" applyBorder="1" applyFont="1">
      <alignment horizontal="center" readingOrder="0" shrinkToFit="0" vertical="center" wrapText="1"/>
    </xf>
    <xf borderId="1" fillId="7" fontId="5" numFmtId="164" xfId="0" applyAlignment="1" applyBorder="1" applyFill="1" applyFont="1" applyNumberFormat="1">
      <alignment horizontal="center" shrinkToFit="0" vertical="center" wrapText="1"/>
    </xf>
    <xf borderId="9" fillId="5" fontId="6" numFmtId="49" xfId="0" applyAlignment="1" applyBorder="1" applyFont="1" applyNumberFormat="1">
      <alignment horizontal="center" shrinkToFit="0" vertical="top" wrapText="1"/>
    </xf>
    <xf borderId="9" fillId="5" fontId="6" numFmtId="49" xfId="0" applyAlignment="1" applyBorder="1" applyFont="1" applyNumberFormat="1">
      <alignment horizontal="center" shrinkToFit="0" vertical="top" wrapText="1"/>
    </xf>
    <xf borderId="11" fillId="5" fontId="6" numFmtId="49" xfId="0" applyAlignment="1" applyBorder="1" applyFont="1" applyNumberFormat="1">
      <alignment horizontal="center" shrinkToFit="0" vertical="top" wrapText="1"/>
    </xf>
    <xf borderId="11" fillId="5" fontId="6" numFmtId="49" xfId="0" applyAlignment="1" applyBorder="1" applyFont="1" applyNumberFormat="1">
      <alignment horizontal="center" shrinkToFit="0" vertical="top" wrapText="1"/>
    </xf>
    <xf borderId="1" fillId="5" fontId="6" numFmtId="0" xfId="0" applyAlignment="1" applyBorder="1" applyFont="1">
      <alignment horizontal="center" readingOrder="0" shrinkToFit="0" vertical="center" wrapText="1"/>
    </xf>
    <xf borderId="1" fillId="4" fontId="5" numFmtId="164" xfId="0" applyAlignment="1" applyBorder="1" applyFont="1" applyNumberFormat="1">
      <alignment horizontal="center" shrinkToFit="0" vertical="center" wrapText="1"/>
    </xf>
    <xf borderId="1" fillId="5" fontId="6" numFmtId="49" xfId="0" applyAlignment="1" applyBorder="1" applyFont="1" applyNumberFormat="1">
      <alignment horizontal="center" shrinkToFit="0" vertical="top" wrapText="1"/>
    </xf>
    <xf borderId="11" fillId="5" fontId="6" numFmtId="0" xfId="0" applyAlignment="1" applyBorder="1" applyFont="1">
      <alignment horizontal="center" shrinkToFit="0" vertical="top" wrapText="1"/>
    </xf>
    <xf borderId="9" fillId="5" fontId="6" numFmtId="0" xfId="0" applyAlignment="1" applyBorder="1" applyFont="1">
      <alignment horizontal="center" shrinkToFit="0" vertical="top" wrapText="1"/>
    </xf>
    <xf borderId="11" fillId="5" fontId="6" numFmtId="49" xfId="0" applyAlignment="1" applyBorder="1" applyFont="1" applyNumberFormat="1">
      <alignment horizontal="center" readingOrder="0" shrinkToFit="0" vertical="top" wrapText="1"/>
    </xf>
    <xf borderId="1" fillId="5" fontId="6" numFmtId="0" xfId="0" applyAlignment="1" applyBorder="1" applyFont="1">
      <alignment horizontal="center" shrinkToFit="0" vertical="top" wrapText="1"/>
    </xf>
    <xf borderId="11" fillId="5" fontId="6" numFmtId="0" xfId="0" applyAlignment="1" applyBorder="1" applyFont="1">
      <alignment horizontal="center" readingOrder="0" shrinkToFit="0" vertical="top" wrapText="1"/>
    </xf>
    <xf borderId="11" fillId="5" fontId="6" numFmtId="0" xfId="0" applyAlignment="1" applyBorder="1" applyFont="1">
      <alignment horizontal="center" shrinkToFit="0" vertical="top" wrapText="1"/>
    </xf>
    <xf borderId="1" fillId="0" fontId="6" numFmtId="0" xfId="0" applyAlignment="1" applyBorder="1" applyFont="1">
      <alignment horizontal="center" readingOrder="0" shrinkToFit="0" vertical="top" wrapText="1"/>
    </xf>
    <xf borderId="6" fillId="5" fontId="6" numFmtId="0" xfId="0" applyAlignment="1" applyBorder="1" applyFont="1">
      <alignment horizontal="center" shrinkToFit="0" vertical="top" wrapText="1"/>
    </xf>
    <xf borderId="9" fillId="5" fontId="6" numFmtId="0" xfId="0" applyAlignment="1" applyBorder="1" applyFont="1">
      <alignment horizontal="center" shrinkToFit="0" vertical="top" wrapText="1"/>
    </xf>
    <xf borderId="11" fillId="5" fontId="6" numFmtId="0" xfId="0" applyAlignment="1" applyBorder="1" applyFont="1">
      <alignment horizontal="center" readingOrder="0" shrinkToFit="0" vertical="top" wrapText="1"/>
    </xf>
    <xf borderId="9" fillId="0" fontId="6" numFmtId="0" xfId="0" applyAlignment="1" applyBorder="1" applyFont="1">
      <alignment horizontal="center" readingOrder="0" shrinkToFit="0" vertical="top" wrapText="1"/>
    </xf>
    <xf borderId="11" fillId="5" fontId="6" numFmtId="49" xfId="0" applyAlignment="1" applyBorder="1" applyFont="1" applyNumberFormat="1">
      <alignment horizontal="center" readingOrder="0" shrinkToFit="0" vertical="top" wrapText="1"/>
    </xf>
    <xf borderId="9" fillId="5" fontId="6" numFmtId="0" xfId="0" applyAlignment="1" applyBorder="1" applyFont="1">
      <alignment horizontal="center" readingOrder="0" shrinkToFit="0" vertical="top" wrapText="1"/>
    </xf>
    <xf borderId="1" fillId="5" fontId="6" numFmtId="0" xfId="0" applyAlignment="1" applyBorder="1" applyFont="1">
      <alignment horizontal="center" readingOrder="0" shrinkToFit="0" vertical="top" wrapText="1"/>
    </xf>
    <xf borderId="6" fillId="5" fontId="6" numFmtId="49" xfId="0" applyAlignment="1" applyBorder="1" applyFont="1" applyNumberFormat="1">
      <alignment horizontal="center" shrinkToFit="0" vertical="top" wrapText="1"/>
    </xf>
    <xf borderId="6" fillId="5" fontId="6" numFmtId="0" xfId="0" applyAlignment="1" applyBorder="1" applyFont="1">
      <alignment horizontal="center" readingOrder="0" shrinkToFit="0" vertical="top" wrapText="1"/>
    </xf>
    <xf borderId="6" fillId="5" fontId="6" numFmtId="49" xfId="0" applyAlignment="1" applyBorder="1" applyFont="1" applyNumberFormat="1">
      <alignment horizontal="center" readingOrder="0" shrinkToFit="0" vertical="top" wrapText="1"/>
    </xf>
    <xf borderId="6" fillId="5" fontId="6" numFmtId="0" xfId="0" applyAlignment="1" applyBorder="1" applyFont="1">
      <alignment horizontal="center" shrinkToFit="0" vertical="top" wrapText="1"/>
    </xf>
    <xf borderId="0" fillId="5" fontId="6" numFmtId="49" xfId="0" applyAlignment="1" applyFont="1" applyNumberFormat="1">
      <alignment horizontal="center" readingOrder="0" shrinkToFit="0" vertical="center" wrapText="1"/>
    </xf>
    <xf borderId="0" fillId="5" fontId="6" numFmtId="0" xfId="0" applyAlignment="1" applyFont="1">
      <alignment horizontal="center" readingOrder="0" shrinkToFit="0" vertical="center" wrapText="1"/>
    </xf>
    <xf borderId="9" fillId="5" fontId="6" numFmtId="49" xfId="0" applyAlignment="1" applyBorder="1" applyFont="1" applyNumberFormat="1">
      <alignment horizontal="center" shrinkToFit="0" vertical="center" wrapText="1"/>
    </xf>
    <xf borderId="6" fillId="5" fontId="6" numFmtId="49" xfId="0" applyAlignment="1" applyBorder="1" applyFont="1" applyNumberFormat="1">
      <alignment horizontal="center" shrinkToFit="0" vertical="top" wrapText="1"/>
    </xf>
    <xf borderId="1" fillId="5" fontId="5" numFmtId="49" xfId="0" applyAlignment="1" applyBorder="1" applyFont="1" applyNumberFormat="1">
      <alignment horizontal="center" shrinkToFit="0" vertical="center" wrapText="1"/>
    </xf>
    <xf borderId="9" fillId="5" fontId="5" numFmtId="0" xfId="0" applyAlignment="1" applyBorder="1" applyFont="1">
      <alignment horizontal="center" shrinkToFit="0" vertical="center" wrapText="1"/>
    </xf>
    <xf borderId="6" fillId="5" fontId="6" numFmtId="0" xfId="0" applyAlignment="1" applyBorder="1" applyFont="1">
      <alignment horizontal="center" shrinkToFit="0" vertical="center" wrapText="1"/>
    </xf>
    <xf borderId="0" fillId="5" fontId="6" numFmtId="0" xfId="0" applyAlignment="1" applyFont="1">
      <alignment horizontal="center" shrinkToFit="0" vertical="center" wrapText="1"/>
    </xf>
    <xf borderId="1" fillId="5" fontId="6" numFmtId="0" xfId="0" applyAlignment="1" applyBorder="1" applyFont="1">
      <alignment horizontal="center" shrinkToFit="0" vertical="center" wrapText="1"/>
    </xf>
    <xf borderId="6" fillId="5" fontId="6" numFmtId="0" xfId="0" applyAlignment="1" applyBorder="1" applyFont="1">
      <alignment horizontal="center" shrinkToFit="0" vertical="center" wrapText="1"/>
    </xf>
    <xf borderId="1" fillId="4" fontId="5" numFmtId="0" xfId="0" applyAlignment="1" applyBorder="1" applyFont="1">
      <alignment horizontal="center" readingOrder="0" shrinkToFit="0" vertical="center" wrapText="1"/>
    </xf>
    <xf borderId="9" fillId="5" fontId="5" numFmtId="0" xfId="0" applyAlignment="1" applyBorder="1" applyFont="1">
      <alignment horizontal="center" shrinkToFit="0" vertical="center" wrapText="1"/>
    </xf>
    <xf borderId="6" fillId="5" fontId="6" numFmtId="0" xfId="0" applyAlignment="1" applyBorder="1" applyFont="1">
      <alignment horizontal="center" shrinkToFit="0" vertical="center" wrapText="1"/>
    </xf>
    <xf borderId="6" fillId="5" fontId="6" numFmtId="0" xfId="0" applyAlignment="1" applyBorder="1" applyFont="1">
      <alignment horizontal="center" shrinkToFit="0" vertical="center" wrapText="1"/>
    </xf>
    <xf borderId="1" fillId="8" fontId="5" numFmtId="49" xfId="0" applyAlignment="1" applyBorder="1" applyFill="1" applyFont="1" applyNumberFormat="1">
      <alignment horizontal="center" shrinkToFit="0" vertical="center" wrapText="1"/>
    </xf>
    <xf borderId="1" fillId="5" fontId="7" numFmtId="49" xfId="0" applyAlignment="1" applyBorder="1" applyFont="1" applyNumberFormat="1">
      <alignment horizontal="center" shrinkToFit="0" vertical="top" wrapText="1"/>
    </xf>
    <xf borderId="8" fillId="5" fontId="7" numFmtId="49" xfId="0" applyAlignment="1" applyBorder="1" applyFont="1" applyNumberFormat="1">
      <alignment horizontal="center" shrinkToFit="0" vertical="top" wrapText="1"/>
    </xf>
    <xf borderId="8" fillId="5" fontId="7" numFmtId="0" xfId="0" applyAlignment="1" applyBorder="1" applyFont="1">
      <alignment horizontal="center" shrinkToFit="0" vertical="top" wrapText="1"/>
    </xf>
    <xf borderId="8" fillId="5" fontId="7" numFmtId="0" xfId="0" applyAlignment="1" applyBorder="1" applyFont="1">
      <alignment horizontal="center" readingOrder="0" shrinkToFit="0" vertical="top" wrapText="1"/>
    </xf>
    <xf borderId="0" fillId="5" fontId="7" numFmtId="0" xfId="0" applyAlignment="1" applyFont="1">
      <alignment horizontal="center" shrinkToFit="0" vertical="top" wrapText="1"/>
    </xf>
    <xf borderId="1" fillId="5" fontId="7" numFmtId="0" xfId="0" applyAlignment="1" applyBorder="1" applyFont="1">
      <alignment horizontal="center" shrinkToFit="0" vertical="top" wrapText="1"/>
    </xf>
    <xf borderId="1" fillId="5" fontId="7" numFmtId="0" xfId="0" applyAlignment="1" applyBorder="1" applyFont="1">
      <alignment horizontal="center" shrinkToFit="0" vertical="top" wrapText="1"/>
    </xf>
    <xf borderId="0" fillId="5" fontId="7" numFmtId="49" xfId="0" applyAlignment="1" applyFont="1" applyNumberFormat="1">
      <alignment horizontal="center" shrinkToFit="0" vertical="top" wrapText="1"/>
    </xf>
    <xf borderId="9" fillId="5" fontId="7" numFmtId="49" xfId="0" applyAlignment="1" applyBorder="1" applyFont="1" applyNumberFormat="1">
      <alignment horizontal="center" shrinkToFit="0" vertical="top" wrapText="1"/>
    </xf>
    <xf borderId="6" fillId="5" fontId="7" numFmtId="49" xfId="0" applyAlignment="1" applyBorder="1" applyFont="1" applyNumberFormat="1">
      <alignment horizontal="center" shrinkToFit="0" vertical="top" wrapText="1"/>
    </xf>
    <xf borderId="6" fillId="5" fontId="7" numFmtId="0" xfId="0" applyAlignment="1" applyBorder="1" applyFont="1">
      <alignment horizontal="center" shrinkToFit="0" vertical="top" wrapText="1"/>
    </xf>
    <xf borderId="6" fillId="5" fontId="7" numFmtId="0" xfId="0" applyAlignment="1" applyBorder="1" applyFont="1">
      <alignment horizontal="center" readingOrder="0" shrinkToFit="0" vertical="top" wrapText="1"/>
    </xf>
    <xf borderId="0" fillId="5" fontId="7" numFmtId="49" xfId="0" applyAlignment="1" applyFont="1" applyNumberFormat="1">
      <alignment horizontal="center" readingOrder="0" shrinkToFit="0" vertical="top" wrapText="1"/>
    </xf>
    <xf borderId="0" fillId="5" fontId="7" numFmtId="0" xfId="0" applyAlignment="1" applyFont="1">
      <alignment horizontal="center" shrinkToFit="0" vertical="top" wrapText="1"/>
    </xf>
    <xf borderId="9" fillId="5" fontId="7" numFmtId="0" xfId="0" applyAlignment="1" applyBorder="1" applyFont="1">
      <alignment horizontal="center" shrinkToFit="0" vertical="top" wrapText="1"/>
    </xf>
    <xf borderId="9" fillId="5" fontId="7" numFmtId="0" xfId="0" applyAlignment="1" applyBorder="1" applyFont="1">
      <alignment horizontal="center" shrinkToFit="0" vertical="top" wrapText="1"/>
    </xf>
    <xf borderId="10" fillId="5" fontId="7" numFmtId="0" xfId="0" applyAlignment="1" applyBorder="1" applyFont="1">
      <alignment horizontal="center" shrinkToFit="0" vertical="top" wrapText="1"/>
    </xf>
    <xf borderId="10" fillId="5" fontId="6" numFmtId="0" xfId="0" applyAlignment="1" applyBorder="1" applyFont="1">
      <alignment horizontal="center" shrinkToFit="0" vertical="top" wrapText="1"/>
    </xf>
    <xf borderId="9" fillId="5" fontId="7" numFmtId="0" xfId="0" applyAlignment="1" applyBorder="1" applyFont="1">
      <alignment horizontal="center" shrinkToFit="0" vertical="top" wrapText="1"/>
    </xf>
    <xf borderId="6" fillId="5" fontId="7" numFmtId="49" xfId="0" applyAlignment="1" applyBorder="1" applyFont="1" applyNumberFormat="1">
      <alignment horizontal="center" readingOrder="0" shrinkToFit="0" vertical="top" wrapText="1"/>
    </xf>
    <xf borderId="1" fillId="5" fontId="7" numFmtId="0" xfId="0" applyAlignment="1" applyBorder="1" applyFont="1">
      <alignment horizontal="center" shrinkToFit="0" vertical="top" wrapText="1"/>
    </xf>
    <xf borderId="1" fillId="5" fontId="5" numFmtId="0" xfId="0" applyAlignment="1" applyBorder="1" applyFont="1">
      <alignment horizontal="center" readingOrder="0" shrinkToFit="0" vertical="top" wrapText="1"/>
    </xf>
    <xf borderId="1" fillId="5" fontId="7" numFmtId="0" xfId="0" applyAlignment="1" applyBorder="1" applyFont="1">
      <alignment horizontal="center" readingOrder="0" shrinkToFit="0" vertical="top" wrapText="1"/>
    </xf>
    <xf borderId="11" fillId="5" fontId="7" numFmtId="49" xfId="0" applyAlignment="1" applyBorder="1" applyFont="1" applyNumberFormat="1">
      <alignment horizontal="center" shrinkToFit="0" vertical="top" wrapText="1"/>
    </xf>
    <xf borderId="11" fillId="5" fontId="6" numFmtId="0" xfId="0" applyAlignment="1" applyBorder="1" applyFont="1">
      <alignment horizontal="center" shrinkToFit="0" vertical="top" wrapText="1"/>
    </xf>
    <xf borderId="9" fillId="5" fontId="7" numFmtId="49" xfId="0" applyAlignment="1" applyBorder="1" applyFont="1" applyNumberFormat="1">
      <alignment horizontal="center" shrinkToFit="0" vertical="top" wrapText="1"/>
    </xf>
    <xf borderId="9" fillId="5" fontId="7" numFmtId="49" xfId="0" applyAlignment="1" applyBorder="1" applyFont="1" applyNumberFormat="1">
      <alignment horizontal="center" readingOrder="0" shrinkToFit="0" vertical="top" wrapText="1"/>
    </xf>
    <xf borderId="9" fillId="5" fontId="7" numFmtId="0" xfId="0" applyAlignment="1" applyBorder="1" applyFont="1">
      <alignment horizontal="center" readingOrder="0" shrinkToFit="0" vertical="top" wrapText="1"/>
    </xf>
    <xf borderId="11" fillId="5" fontId="7" numFmtId="0" xfId="0" applyAlignment="1" applyBorder="1" applyFont="1">
      <alignment horizontal="center" shrinkToFit="0" vertical="top" wrapText="1"/>
    </xf>
    <xf borderId="1" fillId="5" fontId="6" numFmtId="49" xfId="0" applyAlignment="1" applyBorder="1" applyFont="1" applyNumberFormat="1">
      <alignment horizontal="center" shrinkToFit="0" vertical="top" wrapText="1"/>
    </xf>
    <xf borderId="6" fillId="5" fontId="7" numFmtId="49" xfId="0" applyAlignment="1" applyBorder="1" applyFont="1" applyNumberFormat="1">
      <alignment horizontal="center" shrinkToFit="0" vertical="top" wrapText="1"/>
    </xf>
    <xf borderId="1" fillId="5" fontId="6" numFmtId="0" xfId="0" applyAlignment="1" applyBorder="1" applyFont="1">
      <alignment horizontal="center" readingOrder="0" shrinkToFit="0" vertical="top" wrapText="1"/>
    </xf>
    <xf borderId="9" fillId="5" fontId="6" numFmtId="0" xfId="0" applyAlignment="1" applyBorder="1" applyFont="1">
      <alignment horizontal="center" readingOrder="0" shrinkToFit="0" vertical="top" wrapText="1"/>
    </xf>
    <xf borderId="10" fillId="5" fontId="7" numFmtId="49" xfId="0" applyAlignment="1" applyBorder="1" applyFont="1" applyNumberFormat="1">
      <alignment horizontal="center" shrinkToFit="0" vertical="top" wrapText="1"/>
    </xf>
    <xf borderId="9" fillId="5" fontId="6" numFmtId="49" xfId="0" applyAlignment="1" applyBorder="1" applyFont="1" applyNumberFormat="1">
      <alignment horizontal="center" readingOrder="0" shrinkToFit="0" vertical="top" wrapText="1"/>
    </xf>
    <xf borderId="6" fillId="5" fontId="6" numFmtId="0" xfId="0" applyAlignment="1" applyBorder="1" applyFont="1">
      <alignment horizontal="center" readingOrder="0" shrinkToFit="0" vertical="top" wrapText="1"/>
    </xf>
    <xf borderId="10" fillId="5" fontId="7" numFmtId="0" xfId="0" applyAlignment="1" applyBorder="1" applyFont="1">
      <alignment horizontal="center" readingOrder="0" shrinkToFit="0" vertical="top" wrapText="1"/>
    </xf>
    <xf borderId="11" fillId="5" fontId="7" numFmtId="0" xfId="0" applyAlignment="1" applyBorder="1" applyFont="1">
      <alignment horizontal="center" readingOrder="0" shrinkToFit="0" vertical="top" wrapText="1"/>
    </xf>
    <xf borderId="9" fillId="5" fontId="7" numFmtId="0" xfId="0" applyAlignment="1" applyBorder="1" applyFont="1">
      <alignment horizontal="center" readingOrder="0" shrinkToFit="0" vertical="top" wrapText="1"/>
    </xf>
    <xf borderId="6" fillId="5" fontId="6" numFmtId="49" xfId="0" applyAlignment="1" applyBorder="1" applyFont="1" applyNumberFormat="1">
      <alignment horizontal="center" readingOrder="0" shrinkToFit="0" vertical="top" wrapText="1"/>
    </xf>
    <xf borderId="9" fillId="5" fontId="7" numFmtId="49" xfId="0" applyAlignment="1" applyBorder="1" applyFont="1" applyNumberFormat="1">
      <alignment horizontal="center" readingOrder="0" shrinkToFit="0" vertical="top" wrapText="1"/>
    </xf>
    <xf borderId="6" fillId="5" fontId="7" numFmtId="49" xfId="0" applyAlignment="1" applyBorder="1" applyFont="1" applyNumberFormat="1">
      <alignment horizontal="center" readingOrder="0" shrinkToFit="0" vertical="top" wrapText="1"/>
    </xf>
    <xf borderId="6" fillId="5" fontId="7" numFmtId="0" xfId="0" applyAlignment="1" applyBorder="1" applyFont="1">
      <alignment horizontal="center" shrinkToFit="0" vertical="top" wrapText="1"/>
    </xf>
    <xf borderId="0" fillId="5" fontId="7" numFmtId="0" xfId="0" applyAlignment="1" applyFont="1">
      <alignment horizontal="center" shrinkToFit="0" vertical="top" wrapText="1"/>
    </xf>
    <xf borderId="6" fillId="5" fontId="7" numFmtId="0" xfId="0" applyAlignment="1" applyBorder="1" applyFont="1">
      <alignment horizontal="center" shrinkToFit="0" vertical="top" wrapText="1"/>
    </xf>
    <xf borderId="1" fillId="5" fontId="7" numFmtId="0" xfId="0" applyAlignment="1" applyBorder="1" applyFont="1">
      <alignment horizontal="center" shrinkToFit="0" vertical="top" wrapText="1"/>
    </xf>
    <xf borderId="11" fillId="5" fontId="6" numFmtId="0" xfId="0" applyAlignment="1" applyBorder="1" applyFont="1">
      <alignment horizontal="center" shrinkToFit="0" vertical="top" wrapText="1"/>
    </xf>
    <xf borderId="6" fillId="5" fontId="6" numFmtId="49" xfId="0" applyAlignment="1" applyBorder="1" applyFont="1" applyNumberFormat="1">
      <alignment horizontal="center" readingOrder="0" shrinkToFit="0" vertical="center" wrapText="1"/>
    </xf>
    <xf borderId="9" fillId="5" fontId="6" numFmtId="0" xfId="0" applyAlignment="1" applyBorder="1" applyFont="1">
      <alignment horizontal="center" readingOrder="0" shrinkToFit="0" vertical="center" wrapText="1"/>
    </xf>
    <xf borderId="9" fillId="5" fontId="6" numFmtId="49" xfId="0" applyAlignment="1" applyBorder="1" applyFont="1" applyNumberFormat="1">
      <alignment horizontal="center" readingOrder="0" shrinkToFit="0" vertical="center" wrapText="1"/>
    </xf>
    <xf borderId="9" fillId="5" fontId="6" numFmtId="0" xfId="0" applyAlignment="1" applyBorder="1" applyFont="1">
      <alignment horizontal="center" shrinkToFit="0" vertical="center" wrapText="1"/>
    </xf>
    <xf borderId="6" fillId="5" fontId="6" numFmtId="0" xfId="0" applyAlignment="1" applyBorder="1" applyFont="1">
      <alignment horizontal="center" readingOrder="0" shrinkToFit="0" vertical="center" wrapText="1"/>
    </xf>
    <xf borderId="9" fillId="5" fontId="6" numFmtId="0" xfId="0" applyAlignment="1" applyBorder="1" applyFont="1">
      <alignment horizontal="center" shrinkToFit="0" vertical="center" wrapText="1"/>
    </xf>
    <xf borderId="6" fillId="5" fontId="5" numFmtId="0" xfId="0" applyAlignment="1" applyBorder="1" applyFont="1">
      <alignment horizontal="center" shrinkToFit="0" vertical="center" wrapText="1"/>
    </xf>
    <xf borderId="1" fillId="2" fontId="8" numFmtId="0" xfId="0" applyAlignment="1" applyBorder="1" applyFont="1">
      <alignment shrinkToFit="0" vertical="center" wrapText="1"/>
    </xf>
    <xf borderId="0" fillId="5" fontId="9" numFmtId="0" xfId="0" applyAlignment="1" applyFont="1">
      <alignment shrinkToFit="0" vertical="top" wrapText="1"/>
    </xf>
    <xf borderId="1" fillId="5" fontId="9" numFmtId="0" xfId="0" applyAlignment="1" applyBorder="1" applyFont="1">
      <alignment shrinkToFit="0" vertical="top" wrapText="1"/>
    </xf>
    <xf borderId="1" fillId="5" fontId="9" numFmtId="0" xfId="0" applyAlignment="1" applyBorder="1" applyFont="1">
      <alignment shrinkToFit="0" vertical="top" wrapText="1"/>
    </xf>
    <xf borderId="0" fillId="5" fontId="9" numFmtId="49" xfId="0" applyAlignment="1" applyFont="1" applyNumberFormat="1">
      <alignment shrinkToFit="0" vertical="top" wrapText="1"/>
    </xf>
    <xf borderId="1" fillId="5" fontId="9" numFmtId="49" xfId="0" applyAlignment="1" applyBorder="1" applyFont="1" applyNumberFormat="1">
      <alignment shrinkToFit="0" vertical="top" wrapText="1"/>
    </xf>
    <xf borderId="0" fillId="5" fontId="9" numFmtId="0" xfId="0" applyAlignment="1" applyFont="1">
      <alignment shrinkToFit="0" vertical="top" wrapText="1"/>
    </xf>
    <xf borderId="9" fillId="5" fontId="9" numFmtId="0" xfId="0" applyAlignment="1" applyBorder="1" applyFont="1">
      <alignment shrinkToFit="0" vertical="top" wrapText="1"/>
    </xf>
    <xf borderId="9" fillId="5" fontId="9" numFmtId="0" xfId="0" applyAlignment="1" applyBorder="1" applyFont="1">
      <alignment shrinkToFit="0" vertical="top" wrapText="1"/>
    </xf>
    <xf borderId="10" fillId="5" fontId="7" numFmtId="0" xfId="0" applyAlignment="1" applyBorder="1" applyFont="1">
      <alignment horizontal="center" shrinkToFit="0" vertical="top" wrapText="1"/>
    </xf>
    <xf borderId="10" fillId="5" fontId="6" numFmtId="0" xfId="0" applyAlignment="1" applyBorder="1" applyFont="1">
      <alignment horizontal="center" shrinkToFit="0" vertical="top" wrapText="1"/>
    </xf>
    <xf borderId="6" fillId="5" fontId="7" numFmtId="0" xfId="0" applyAlignment="1" applyBorder="1" applyFont="1">
      <alignment horizontal="center" shrinkToFit="0" vertical="top" wrapText="1"/>
    </xf>
    <xf borderId="9" fillId="7" fontId="6" numFmtId="0" xfId="0" applyAlignment="1" applyBorder="1" applyFont="1">
      <alignment horizontal="center" readingOrder="0" shrinkToFit="0" vertical="top" wrapText="1"/>
    </xf>
    <xf borderId="1" fillId="9" fontId="5" numFmtId="0" xfId="0" applyAlignment="1" applyBorder="1" applyFill="1" applyFont="1">
      <alignment horizontal="center" readingOrder="0" shrinkToFit="0" vertical="top" wrapText="1"/>
    </xf>
    <xf borderId="1" fillId="5" fontId="9" numFmtId="0" xfId="0" applyAlignment="1" applyBorder="1" applyFont="1">
      <alignment readingOrder="0" shrinkToFit="0" vertical="top" wrapText="1"/>
    </xf>
    <xf borderId="11" fillId="5" fontId="7" numFmtId="0" xfId="0" applyAlignment="1" applyBorder="1" applyFont="1">
      <alignment horizontal="center" shrinkToFit="0" vertical="top" wrapText="1"/>
    </xf>
    <xf borderId="1" fillId="9" fontId="6" numFmtId="0" xfId="0" applyAlignment="1" applyBorder="1" applyFont="1">
      <alignment horizontal="center" readingOrder="0" shrinkToFit="0" vertical="top" wrapText="1"/>
    </xf>
    <xf borderId="6" fillId="5" fontId="7" numFmtId="0" xfId="0" applyAlignment="1" applyBorder="1" applyFont="1">
      <alignment horizontal="center" shrinkToFit="0" vertical="top" wrapText="1"/>
    </xf>
    <xf borderId="1" fillId="7" fontId="6" numFmtId="0" xfId="0" applyAlignment="1" applyBorder="1" applyFont="1">
      <alignment horizontal="center" readingOrder="0" shrinkToFit="0" vertical="top" wrapText="1"/>
    </xf>
    <xf borderId="1" fillId="9" fontId="6" numFmtId="0" xfId="0" applyAlignment="1" applyBorder="1" applyFont="1">
      <alignment horizontal="center" readingOrder="0" shrinkToFit="0" vertical="top" wrapText="1"/>
    </xf>
    <xf borderId="6" fillId="5" fontId="6" numFmtId="0" xfId="0" applyAlignment="1" applyBorder="1" applyFont="1">
      <alignment horizontal="center" shrinkToFit="0" vertical="top" wrapText="1"/>
    </xf>
    <xf borderId="9" fillId="9" fontId="6" numFmtId="0" xfId="0" applyAlignment="1" applyBorder="1" applyFont="1">
      <alignment horizontal="center" readingOrder="0" shrinkToFit="0" vertical="top" wrapText="1"/>
    </xf>
    <xf borderId="9" fillId="10" fontId="6" numFmtId="0" xfId="0" applyAlignment="1" applyBorder="1" applyFill="1" applyFont="1">
      <alignment horizontal="center" readingOrder="0" shrinkToFit="0" vertical="top" wrapText="1"/>
    </xf>
    <xf borderId="9" fillId="10" fontId="6" numFmtId="0" xfId="0" applyAlignment="1" applyBorder="1" applyFont="1">
      <alignment horizontal="center" readingOrder="0" shrinkToFit="0" vertical="top" wrapText="1"/>
    </xf>
    <xf borderId="1" fillId="10" fontId="6" numFmtId="0" xfId="0" applyAlignment="1" applyBorder="1" applyFont="1">
      <alignment horizontal="center" readingOrder="0" shrinkToFit="0" vertical="top" wrapText="1"/>
    </xf>
    <xf borderId="9" fillId="9" fontId="6" numFmtId="0" xfId="0" applyAlignment="1" applyBorder="1" applyFont="1">
      <alignment horizontal="center" readingOrder="0" shrinkToFit="0" vertical="top" wrapText="1"/>
    </xf>
    <xf borderId="9" fillId="5" fontId="9" numFmtId="0" xfId="0" applyAlignment="1" applyBorder="1" applyFont="1">
      <alignment readingOrder="0" shrinkToFit="0" vertical="top" wrapText="1"/>
    </xf>
    <xf borderId="9" fillId="0" fontId="9" numFmtId="0" xfId="0" applyAlignment="1" applyBorder="1" applyFont="1">
      <alignment readingOrder="0" shrinkToFit="0" vertical="top" wrapText="1"/>
    </xf>
    <xf borderId="9" fillId="5" fontId="6" numFmtId="49" xfId="0" applyAlignment="1" applyBorder="1" applyFont="1" applyNumberFormat="1">
      <alignment horizontal="center" readingOrder="0" shrinkToFit="0" vertical="top" wrapText="1"/>
    </xf>
    <xf borderId="0" fillId="5" fontId="9" numFmtId="0" xfId="0" applyAlignment="1" applyFont="1">
      <alignment shrinkToFit="0" vertical="top" wrapText="1"/>
    </xf>
    <xf borderId="1" fillId="5" fontId="9" numFmtId="0" xfId="0" applyAlignment="1" applyBorder="1" applyFont="1">
      <alignment shrinkToFit="0" vertical="top" wrapText="1"/>
    </xf>
    <xf borderId="10" fillId="5" fontId="6" numFmtId="49" xfId="0" applyAlignment="1" applyBorder="1" applyFont="1" applyNumberFormat="1">
      <alignment horizontal="center" shrinkToFit="0" vertical="top" wrapText="1"/>
    </xf>
    <xf borderId="9" fillId="10" fontId="6" numFmtId="49" xfId="0" applyAlignment="1" applyBorder="1" applyFont="1" applyNumberFormat="1">
      <alignment horizontal="center" shrinkToFit="0" vertical="top" wrapText="1"/>
    </xf>
    <xf borderId="6" fillId="10" fontId="6" numFmtId="49" xfId="0" applyAlignment="1" applyBorder="1" applyFont="1" applyNumberFormat="1">
      <alignment horizontal="center" shrinkToFit="0" vertical="top" wrapText="1"/>
    </xf>
    <xf borderId="9" fillId="5" fontId="5" numFmtId="0" xfId="0" applyAlignment="1" applyBorder="1" applyFont="1">
      <alignment horizontal="center" shrinkToFit="0" vertical="center" wrapText="1"/>
    </xf>
    <xf borderId="9" fillId="5" fontId="6" numFmtId="0" xfId="0" applyAlignment="1" applyBorder="1" applyFont="1">
      <alignment horizontal="center" shrinkToFit="0" vertical="center" wrapText="1"/>
    </xf>
    <xf borderId="1" fillId="5" fontId="5" numFmtId="49" xfId="0" applyAlignment="1" applyBorder="1" applyFont="1" applyNumberFormat="1">
      <alignment horizontal="center" readingOrder="0" shrinkToFit="0" vertical="center" wrapText="1"/>
    </xf>
    <xf borderId="0" fillId="5" fontId="6" numFmtId="0" xfId="0" applyAlignment="1" applyFont="1">
      <alignment horizontal="center" shrinkToFit="0" vertical="center" wrapText="1"/>
    </xf>
    <xf borderId="1" fillId="0" fontId="6" numFmtId="0" xfId="0" applyAlignment="1" applyBorder="1" applyFont="1">
      <alignment horizontal="center" shrinkToFit="0" vertical="top" wrapText="1"/>
    </xf>
    <xf borderId="9" fillId="0" fontId="6" numFmtId="49" xfId="0" applyAlignment="1" applyBorder="1" applyFont="1" applyNumberFormat="1">
      <alignment horizontal="center" shrinkToFit="0" vertical="top" wrapText="1"/>
    </xf>
    <xf borderId="1" fillId="5" fontId="6" numFmtId="0" xfId="0" applyAlignment="1" applyBorder="1" applyFont="1">
      <alignment horizontal="center" shrinkToFit="0" vertical="center" wrapText="1"/>
    </xf>
    <xf borderId="9" fillId="0" fontId="6" numFmtId="0" xfId="0" applyAlignment="1" applyBorder="1" applyFont="1">
      <alignment horizontal="center" shrinkToFit="0" vertical="top" wrapText="1"/>
    </xf>
    <xf borderId="1" fillId="0" fontId="6" numFmtId="0" xfId="0" applyAlignment="1" applyBorder="1" applyFont="1">
      <alignment horizontal="center" shrinkToFit="0" vertical="center" wrapText="1"/>
    </xf>
    <xf borderId="4" fillId="0" fontId="6" numFmtId="0" xfId="0" applyAlignment="1" applyBorder="1" applyFont="1">
      <alignment horizontal="center" shrinkToFit="0" vertical="center" wrapText="1"/>
    </xf>
    <xf borderId="0" fillId="5" fontId="6" numFmtId="0" xfId="0" applyAlignment="1" applyFont="1">
      <alignment horizontal="center" shrinkToFit="0" vertical="center" wrapText="1"/>
    </xf>
    <xf borderId="9" fillId="0" fontId="6" numFmtId="0" xfId="0" applyAlignment="1" applyBorder="1" applyFont="1">
      <alignment horizontal="center" shrinkToFit="0" vertical="center" wrapText="1"/>
    </xf>
    <xf borderId="0" fillId="0" fontId="6" numFmtId="0" xfId="0" applyAlignment="1" applyFont="1">
      <alignment horizontal="center" shrinkToFit="0" vertical="center" wrapText="1"/>
    </xf>
    <xf borderId="0" fillId="5" fontId="6" numFmtId="0" xfId="0" applyAlignment="1" applyFont="1">
      <alignment horizontal="center" readingOrder="0" shrinkToFit="0" vertical="center" wrapText="1"/>
    </xf>
    <xf borderId="12" fillId="0" fontId="6" numFmtId="0" xfId="0" applyAlignment="1" applyBorder="1" applyFont="1">
      <alignment horizontal="center" shrinkToFit="0" vertical="center" wrapText="1"/>
    </xf>
    <xf borderId="12" fillId="0" fontId="6" numFmtId="0" xfId="0" applyAlignment="1" applyBorder="1" applyFont="1">
      <alignment horizontal="center" readingOrder="0" shrinkToFit="0" vertical="center" wrapText="1"/>
    </xf>
    <xf borderId="0" fillId="5" fontId="6" numFmtId="49" xfId="0" applyAlignment="1" applyFont="1" applyNumberFormat="1">
      <alignment horizontal="center" shrinkToFit="0" vertical="center" wrapText="1"/>
    </xf>
    <xf borderId="9" fillId="0" fontId="6" numFmtId="49" xfId="0" applyAlignment="1" applyBorder="1" applyFont="1" applyNumberFormat="1">
      <alignment horizontal="center" readingOrder="0" shrinkToFit="0" vertical="top" wrapText="1"/>
    </xf>
    <xf borderId="9" fillId="0" fontId="6" numFmtId="49" xfId="0" applyAlignment="1" applyBorder="1" applyFont="1" applyNumberFormat="1">
      <alignment horizontal="center" shrinkToFit="0" vertical="center" wrapText="1"/>
    </xf>
    <xf borderId="1" fillId="5" fontId="6" numFmtId="49" xfId="0" applyAlignment="1" applyBorder="1" applyFont="1" applyNumberFormat="1">
      <alignment horizontal="center" readingOrder="0" shrinkToFit="0" vertical="center" wrapText="1"/>
    </xf>
    <xf borderId="0" fillId="5" fontId="6" numFmtId="0" xfId="0" applyAlignment="1" applyFont="1">
      <alignment shrinkToFit="0" vertical="center" wrapText="1"/>
    </xf>
    <xf borderId="0" fillId="5" fontId="6" numFmtId="49" xfId="0" applyAlignment="1" applyFont="1" applyNumberFormat="1">
      <alignment shrinkToFit="0" vertical="center" wrapText="1"/>
    </xf>
    <xf borderId="1" fillId="5" fontId="6" numFmtId="49" xfId="0" applyAlignment="1" applyBorder="1" applyFont="1" applyNumberFormat="1">
      <alignment horizontal="center" readingOrder="0" shrinkToFit="0" vertical="center" wrapText="1"/>
    </xf>
    <xf borderId="1" fillId="5" fontId="5" numFmtId="0" xfId="0" applyAlignment="1" applyBorder="1" applyFont="1">
      <alignment horizontal="center" shrinkToFit="0" vertical="center" wrapText="1"/>
    </xf>
    <xf borderId="0" fillId="5" fontId="5" numFmtId="0" xfId="0" applyAlignment="1" applyFont="1">
      <alignment horizontal="center" shrinkToFit="0" vertical="center" wrapText="1"/>
    </xf>
    <xf borderId="1" fillId="5" fontId="5" numFmtId="0" xfId="0" applyAlignment="1" applyBorder="1" applyFont="1">
      <alignment horizontal="center" shrinkToFit="0" vertical="center" wrapText="1"/>
    </xf>
    <xf borderId="1" fillId="0" fontId="6" numFmtId="0" xfId="0" applyAlignment="1" applyBorder="1" applyFont="1">
      <alignment horizontal="center" readingOrder="0" shrinkToFit="0" vertical="center" wrapText="1"/>
    </xf>
    <xf borderId="1" fillId="0" fontId="6" numFmtId="49" xfId="0" applyAlignment="1" applyBorder="1" applyFont="1" applyNumberFormat="1">
      <alignment horizontal="center" shrinkToFit="0" vertical="center" wrapText="1"/>
    </xf>
    <xf borderId="4" fillId="0" fontId="6" numFmtId="0" xfId="0" applyAlignment="1" applyBorder="1" applyFont="1">
      <alignment horizontal="center" readingOrder="0" shrinkToFit="0" vertical="center" wrapText="1"/>
    </xf>
    <xf borderId="0" fillId="0" fontId="6" numFmtId="0" xfId="0" applyAlignment="1" applyFont="1">
      <alignment horizontal="center" readingOrder="0" shrinkToFit="0" vertical="center" wrapText="1"/>
    </xf>
    <xf borderId="0" fillId="0" fontId="6" numFmtId="49" xfId="0" applyAlignment="1" applyFont="1" applyNumberFormat="1">
      <alignment horizontal="center" readingOrder="0" shrinkToFit="0" vertical="center" wrapText="1"/>
    </xf>
    <xf borderId="12" fillId="0" fontId="6" numFmtId="49" xfId="0" applyAlignment="1" applyBorder="1" applyFont="1" applyNumberFormat="1">
      <alignment horizontal="center" readingOrder="0" shrinkToFit="0" vertical="center" wrapText="1"/>
    </xf>
    <xf borderId="0" fillId="5" fontId="5" numFmtId="0" xfId="0" applyAlignment="1" applyFont="1">
      <alignment horizontal="center" readingOrder="0" shrinkToFit="0" vertical="center" wrapText="1"/>
    </xf>
    <xf borderId="1" fillId="11" fontId="8" numFmtId="0" xfId="0" applyAlignment="1" applyBorder="1" applyFill="1" applyFont="1">
      <alignment shrinkToFit="0" vertical="center" wrapText="1"/>
    </xf>
    <xf borderId="13" fillId="3" fontId="1" numFmtId="49" xfId="0" applyAlignment="1" applyBorder="1" applyFont="1" applyNumberFormat="1">
      <alignment horizontal="center" shrinkToFit="0" vertical="center" wrapText="1"/>
    </xf>
    <xf borderId="12" fillId="0" fontId="2" numFmtId="0" xfId="0" applyAlignment="1" applyBorder="1" applyFont="1">
      <alignment shrinkToFit="0" vertical="top" wrapText="1"/>
    </xf>
    <xf borderId="0" fillId="11" fontId="1" numFmtId="49" xfId="0" applyAlignment="1" applyFont="1" applyNumberFormat="1">
      <alignment horizontal="left" readingOrder="0" shrinkToFit="0" vertical="center" wrapText="1"/>
    </xf>
    <xf borderId="0" fillId="11" fontId="3" numFmtId="49" xfId="0" applyAlignment="1" applyFont="1" applyNumberFormat="1">
      <alignment horizontal="right" readingOrder="0" shrinkToFit="0" vertical="center" wrapText="1"/>
    </xf>
    <xf borderId="0" fillId="11" fontId="3" numFmtId="49" xfId="0" applyAlignment="1" applyFont="1" applyNumberFormat="1">
      <alignment horizontal="left" readingOrder="0" shrinkToFit="0" vertical="center" wrapText="1"/>
    </xf>
    <xf borderId="0" fillId="5" fontId="6" numFmtId="49" xfId="0" applyAlignment="1" applyFont="1" applyNumberFormat="1">
      <alignment horizontal="center" shrinkToFit="0" vertical="top" wrapText="1"/>
    </xf>
    <xf borderId="0" fillId="5" fontId="6" numFmtId="0" xfId="0" applyAlignment="1" applyFont="1">
      <alignment horizontal="center" shrinkToFit="0" vertical="top" wrapText="1"/>
    </xf>
    <xf borderId="0" fillId="10" fontId="6" numFmtId="49" xfId="0" applyAlignment="1" applyFont="1" applyNumberFormat="1">
      <alignment horizontal="center" shrinkToFit="0" vertical="top" wrapText="1"/>
    </xf>
    <xf borderId="1" fillId="5" fontId="5" numFmtId="49" xfId="0" applyAlignment="1" applyBorder="1" applyFont="1" applyNumberFormat="1">
      <alignment horizontal="center" shrinkToFit="0" vertical="top" wrapText="1"/>
    </xf>
    <xf borderId="1" fillId="5" fontId="5" numFmtId="0" xfId="0" applyAlignment="1" applyBorder="1" applyFont="1">
      <alignment horizontal="center" shrinkToFit="0" vertical="top" wrapText="1"/>
    </xf>
    <xf borderId="13" fillId="3" fontId="1" numFmtId="49" xfId="0" applyAlignment="1" applyBorder="1" applyFont="1" applyNumberFormat="1">
      <alignment horizontal="center" readingOrder="0" shrinkToFit="0" vertical="center" wrapText="1"/>
    </xf>
    <xf borderId="1" fillId="0" fontId="5" numFmtId="0" xfId="0" applyAlignment="1" applyBorder="1" applyFont="1">
      <alignment horizontal="center" shrinkToFit="0" vertical="center" wrapText="1"/>
    </xf>
    <xf borderId="0" fillId="0" fontId="6" numFmtId="49" xfId="0" applyAlignment="1" applyFont="1" applyNumberFormat="1">
      <alignment horizontal="center" shrinkToFit="0" vertical="center" wrapText="1"/>
    </xf>
    <xf borderId="1" fillId="0" fontId="6" numFmtId="0" xfId="0" applyAlignment="1" applyBorder="1" applyFont="1">
      <alignment horizontal="center" shrinkToFit="0" vertical="center" wrapText="1"/>
    </xf>
    <xf borderId="1" fillId="0" fontId="6" numFmtId="49" xfId="0" applyAlignment="1" applyBorder="1" applyFont="1" applyNumberFormat="1">
      <alignment horizontal="center" shrinkToFit="0" vertical="center" wrapText="1"/>
    </xf>
    <xf borderId="1" fillId="0" fontId="6" numFmtId="49" xfId="0" applyAlignment="1" applyBorder="1" applyFont="1" applyNumberFormat="1">
      <alignment horizontal="center" readingOrder="0" shrinkToFit="0" vertical="center" wrapText="1"/>
    </xf>
    <xf borderId="1" fillId="0" fontId="6" numFmtId="0" xfId="0" applyAlignment="1" applyBorder="1" applyFont="1">
      <alignment horizontal="center" readingOrder="0" shrinkToFit="0" vertical="center" wrapText="1"/>
    </xf>
    <xf borderId="0" fillId="10" fontId="6" numFmtId="0" xfId="0" applyAlignment="1" applyFont="1">
      <alignment horizontal="center" shrinkToFit="0" vertical="top" wrapText="1"/>
    </xf>
    <xf borderId="0" fillId="0" fontId="5" numFmtId="0" xfId="0" applyAlignment="1" applyFont="1">
      <alignment horizontal="center" readingOrder="0" shrinkToFit="0" vertical="center" wrapText="1"/>
    </xf>
    <xf borderId="0" fillId="0" fontId="6" numFmtId="0" xfId="0" applyAlignment="1" applyFont="1">
      <alignment horizontal="center" readingOrder="0" shrinkToFit="0" vertical="center" wrapText="1"/>
    </xf>
    <xf borderId="1" fillId="0" fontId="5" numFmtId="49" xfId="0" applyAlignment="1" applyBorder="1" applyFont="1" applyNumberFormat="1">
      <alignment horizontal="center" shrinkToFit="0" vertical="center" wrapText="1"/>
    </xf>
    <xf borderId="1" fillId="0" fontId="6" numFmtId="0" xfId="0" applyAlignment="1" applyBorder="1" applyFont="1">
      <alignment horizontal="center" shrinkToFit="0" vertical="center" wrapText="1"/>
    </xf>
    <xf borderId="1" fillId="11" fontId="1" numFmtId="0" xfId="0" applyAlignment="1" applyBorder="1" applyFont="1">
      <alignment horizontal="center" readingOrder="0" shrinkToFit="0" vertical="center" wrapText="1"/>
    </xf>
    <xf borderId="0" fillId="11" fontId="1" numFmtId="49" xfId="0" applyAlignment="1" applyFont="1" applyNumberFormat="1">
      <alignment shrinkToFit="0" vertical="center" wrapText="1"/>
    </xf>
    <xf borderId="0" fillId="5" fontId="7" numFmtId="49" xfId="0" applyAlignment="1" applyFont="1" applyNumberFormat="1">
      <alignment horizontal="center" shrinkToFit="0" vertical="top" wrapText="1"/>
    </xf>
    <xf borderId="0" fillId="5" fontId="7" numFmtId="0" xfId="0" applyAlignment="1" applyFont="1">
      <alignment horizontal="center" shrinkToFit="0" vertical="top" wrapText="1"/>
    </xf>
    <xf borderId="0" fillId="10" fontId="7" numFmtId="49" xfId="0" applyAlignment="1" applyFont="1" applyNumberFormat="1">
      <alignment horizontal="center" shrinkToFit="0" vertical="top" wrapText="1"/>
    </xf>
    <xf borderId="1" fillId="5" fontId="7" numFmtId="49" xfId="0" applyAlignment="1" applyBorder="1" applyFont="1" applyNumberFormat="1">
      <alignment horizontal="center" shrinkToFit="0" vertical="top" wrapText="1"/>
    </xf>
    <xf borderId="9" fillId="10" fontId="6" numFmtId="0" xfId="0" applyAlignment="1" applyBorder="1" applyFont="1">
      <alignment horizontal="center" shrinkToFit="0" vertical="top" wrapText="1"/>
    </xf>
    <xf borderId="1" fillId="0" fontId="6" numFmtId="49" xfId="0" applyAlignment="1" applyBorder="1" applyFont="1" applyNumberFormat="1">
      <alignment horizontal="center" shrinkToFit="0" vertical="top" wrapText="1"/>
    </xf>
    <xf borderId="9" fillId="0" fontId="6" numFmtId="49" xfId="0" applyAlignment="1" applyBorder="1" applyFont="1" applyNumberFormat="1">
      <alignment horizontal="center" shrinkToFit="0" vertical="top" wrapText="1"/>
    </xf>
    <xf borderId="9" fillId="0" fontId="6" numFmtId="0" xfId="0" applyAlignment="1" applyBorder="1" applyFont="1">
      <alignment horizontal="center" shrinkToFit="0" vertical="top" wrapText="1"/>
    </xf>
    <xf borderId="1" fillId="0" fontId="5" numFmtId="49" xfId="0" applyAlignment="1" applyBorder="1" applyFont="1" applyNumberFormat="1">
      <alignment horizontal="center" readingOrder="0" shrinkToFit="0" vertical="center" wrapText="1"/>
    </xf>
    <xf borderId="0" fillId="0" fontId="6" numFmtId="0" xfId="0" applyAlignment="1" applyFont="1">
      <alignment horizontal="center" shrinkToFit="0" vertical="center" wrapText="1"/>
    </xf>
    <xf borderId="0" fillId="0" fontId="6" numFmtId="49" xfId="0" applyAlignment="1" applyFont="1" applyNumberFormat="1">
      <alignment horizontal="center" shrinkToFit="0" vertical="center" wrapText="1"/>
    </xf>
    <xf borderId="0" fillId="0" fontId="6" numFmtId="49" xfId="0" applyAlignment="1" applyFont="1" applyNumberFormat="1">
      <alignment horizontal="center" readingOrder="0" shrinkToFit="0" vertical="center" wrapText="1"/>
    </xf>
    <xf borderId="9" fillId="0" fontId="6" numFmtId="49" xfId="0" applyAlignment="1" applyBorder="1" applyFont="1" applyNumberFormat="1">
      <alignment horizontal="center" readingOrder="0" shrinkToFit="0" vertical="center" wrapText="1"/>
    </xf>
    <xf borderId="1" fillId="0" fontId="6" numFmtId="49" xfId="0" applyAlignment="1" applyBorder="1" applyFont="1" applyNumberFormat="1">
      <alignment horizontal="center" readingOrder="0" shrinkToFit="0" vertical="center" wrapText="1"/>
    </xf>
    <xf borderId="9" fillId="0" fontId="6" numFmtId="0" xfId="0" applyAlignment="1" applyBorder="1" applyFont="1">
      <alignment horizontal="center" readingOrder="0" shrinkToFit="0" vertical="center" wrapText="1"/>
    </xf>
    <xf borderId="0" fillId="0" fontId="6" numFmtId="0" xfId="0" applyAlignment="1" applyFont="1">
      <alignment horizontal="center" shrinkToFit="0" vertical="center" wrapText="1"/>
    </xf>
    <xf borderId="0" fillId="0" fontId="5" numFmtId="0" xfId="0" applyAlignment="1" applyFont="1">
      <alignment horizontal="center" shrinkToFit="0" vertical="center" wrapText="1"/>
    </xf>
    <xf borderId="1" fillId="0" fontId="5" numFmtId="0" xfId="0" applyAlignment="1" applyBorder="1" applyFont="1">
      <alignment horizontal="center" shrinkToFit="0" vertical="center" wrapText="1"/>
    </xf>
    <xf borderId="1" fillId="12" fontId="8" numFmtId="0" xfId="0" applyAlignment="1" applyBorder="1" applyFill="1" applyFont="1">
      <alignment shrinkToFit="0" vertical="center" wrapText="1"/>
    </xf>
    <xf borderId="4" fillId="12" fontId="1" numFmtId="0" xfId="0" applyAlignment="1" applyBorder="1" applyFont="1">
      <alignment horizontal="left" readingOrder="0" shrinkToFit="0" vertical="center" wrapText="1"/>
    </xf>
    <xf borderId="4" fillId="12" fontId="3" numFmtId="0" xfId="0" applyAlignment="1" applyBorder="1" applyFont="1">
      <alignment horizontal="right" readingOrder="0" shrinkToFit="0" vertical="center" wrapText="1"/>
    </xf>
    <xf borderId="4" fillId="12" fontId="3" numFmtId="0" xfId="0" applyAlignment="1" applyBorder="1" applyFont="1">
      <alignment horizontal="left" readingOrder="0" shrinkToFit="0" vertical="center" wrapText="1"/>
    </xf>
    <xf borderId="9" fillId="0" fontId="6" numFmtId="0" xfId="0" applyAlignment="1" applyBorder="1" applyFont="1">
      <alignment horizontal="center" shrinkToFit="0" vertical="center" wrapText="1"/>
    </xf>
    <xf borderId="12" fillId="5" fontId="6" numFmtId="49" xfId="0" applyAlignment="1" applyBorder="1" applyFont="1" applyNumberFormat="1">
      <alignment horizontal="center" shrinkToFit="0" vertical="center" wrapText="1"/>
    </xf>
    <xf borderId="12" fillId="5" fontId="6" numFmtId="0" xfId="0" applyAlignment="1" applyBorder="1" applyFont="1">
      <alignment horizontal="center" shrinkToFit="0" vertical="center" wrapText="1"/>
    </xf>
    <xf borderId="6" fillId="10" fontId="6" numFmtId="49" xfId="0" applyAlignment="1" applyBorder="1" applyFont="1" applyNumberFormat="1">
      <alignment horizontal="center" shrinkToFit="0" vertical="top" wrapText="1"/>
    </xf>
    <xf borderId="6" fillId="0" fontId="6" numFmtId="49" xfId="0" applyAlignment="1" applyBorder="1" applyFont="1" applyNumberFormat="1">
      <alignment horizontal="center" shrinkToFit="0" vertical="top" wrapText="1"/>
    </xf>
    <xf borderId="6" fillId="0" fontId="6" numFmtId="0" xfId="0" applyAlignment="1" applyBorder="1" applyFont="1">
      <alignment horizontal="center" shrinkToFit="0" vertical="center" wrapText="1"/>
    </xf>
    <xf borderId="6" fillId="0" fontId="6" numFmtId="49" xfId="0" applyAlignment="1" applyBorder="1" applyFont="1" applyNumberFormat="1">
      <alignment horizontal="center" shrinkToFit="0" vertical="center" wrapText="1"/>
    </xf>
    <xf borderId="6" fillId="0" fontId="6" numFmtId="49" xfId="0" applyAlignment="1" applyBorder="1" applyFont="1" applyNumberFormat="1">
      <alignment horizontal="center" readingOrder="0" shrinkToFit="0" vertical="center" wrapText="1"/>
    </xf>
    <xf borderId="1" fillId="0" fontId="5" numFmtId="0" xfId="0" applyAlignment="1" applyBorder="1" applyFont="1">
      <alignment horizontal="center" shrinkToFit="0" vertical="center" wrapText="1"/>
    </xf>
    <xf borderId="1" fillId="0" fontId="6" numFmtId="0" xfId="0" applyAlignment="1" applyBorder="1" applyFont="1">
      <alignment horizontal="center" shrinkToFit="0" vertical="center" wrapText="1"/>
    </xf>
    <xf borderId="0" fillId="5" fontId="6" numFmtId="0" xfId="0" applyAlignment="1" applyFont="1">
      <alignment shrinkToFit="0" vertical="center" wrapText="1"/>
    </xf>
    <xf borderId="0" fillId="5" fontId="6" numFmtId="49" xfId="0" applyAlignment="1" applyFont="1" applyNumberFormat="1">
      <alignment readingOrder="0" shrinkToFit="0" vertical="center" wrapText="1"/>
    </xf>
    <xf borderId="1" fillId="0" fontId="6" numFmtId="0" xfId="0" applyAlignment="1" applyBorder="1" applyFont="1">
      <alignment horizontal="center" shrinkToFit="0" vertical="top" wrapText="1"/>
    </xf>
    <xf borderId="1" fillId="5" fontId="6" numFmtId="49" xfId="0" applyAlignment="1" applyBorder="1" applyFont="1" applyNumberFormat="1">
      <alignment horizontal="center" readingOrder="0" shrinkToFit="0" vertical="top" wrapText="1"/>
    </xf>
    <xf borderId="12" fillId="5" fontId="6" numFmtId="49" xfId="0" applyAlignment="1" applyBorder="1" applyFont="1" applyNumberFormat="1">
      <alignment horizontal="center" readingOrder="0" shrinkToFit="0" vertical="center" wrapText="1"/>
    </xf>
    <xf borderId="1" fillId="10" fontId="6" numFmtId="49" xfId="0" applyAlignment="1" applyBorder="1" applyFont="1" applyNumberFormat="1">
      <alignment horizontal="center" shrinkToFit="0" vertical="top" wrapText="1"/>
    </xf>
    <xf borderId="9" fillId="0" fontId="10" numFmtId="0" xfId="0" applyAlignment="1" applyBorder="1" applyFont="1">
      <alignment horizontal="center" readingOrder="0" shrinkToFit="0" vertical="center" wrapText="1"/>
    </xf>
    <xf borderId="9" fillId="0" fontId="10" numFmtId="0" xfId="0" applyAlignment="1" applyBorder="1" applyFont="1">
      <alignment horizontal="center" shrinkToFit="0" vertical="center" wrapText="1"/>
    </xf>
    <xf borderId="1" fillId="0" fontId="10" numFmtId="0" xfId="0" applyAlignment="1" applyBorder="1" applyFont="1">
      <alignment horizontal="center" shrinkToFit="0" vertical="center" wrapText="1"/>
    </xf>
    <xf borderId="9" fillId="0" fontId="5" numFmtId="49" xfId="0" applyAlignment="1" applyBorder="1" applyFont="1" applyNumberFormat="1">
      <alignment horizontal="center" shrinkToFit="0" vertical="center" wrapText="1"/>
    </xf>
    <xf borderId="0" fillId="5" fontId="6" numFmtId="0" xfId="0" applyAlignment="1" applyFont="1">
      <alignment shrinkToFit="0" vertical="center" wrapText="1"/>
    </xf>
    <xf borderId="10" fillId="5" fontId="6" numFmtId="0" xfId="0" applyAlignment="1" applyBorder="1" applyFont="1">
      <alignment horizontal="center" shrinkToFit="0" vertical="center" wrapText="1"/>
    </xf>
    <xf borderId="11" fillId="5" fontId="6" numFmtId="0" xfId="0" applyAlignment="1" applyBorder="1" applyFont="1">
      <alignment horizontal="center" shrinkToFit="0" vertical="center" wrapText="1"/>
    </xf>
    <xf borderId="6" fillId="0" fontId="6" numFmtId="0" xfId="0" applyAlignment="1" applyBorder="1" applyFont="1">
      <alignment horizontal="center" readingOrder="0" shrinkToFit="0" vertical="center" wrapText="1"/>
    </xf>
    <xf borderId="6" fillId="0" fontId="6" numFmtId="49" xfId="0" applyAlignment="1" applyBorder="1" applyFont="1" applyNumberFormat="1">
      <alignment horizontal="center" readingOrder="0" shrinkToFit="0" vertical="center" wrapText="1"/>
    </xf>
    <xf borderId="0" fillId="0" fontId="5" numFmtId="0" xfId="0" applyAlignment="1" applyFont="1">
      <alignment horizontal="center" shrinkToFit="0" vertical="center" wrapText="1"/>
    </xf>
    <xf borderId="0" fillId="0" fontId="6" numFmtId="0" xfId="0" applyAlignment="1" applyFont="1">
      <alignment horizontal="center" shrinkToFit="0" vertical="center" wrapText="1"/>
    </xf>
    <xf borderId="1" fillId="12" fontId="1" numFmtId="0" xfId="0" applyAlignment="1" applyBorder="1" applyFont="1">
      <alignment horizontal="center" readingOrder="0" shrinkToFit="0" vertical="center" wrapText="1"/>
    </xf>
    <xf borderId="8" fillId="0" fontId="6" numFmtId="49" xfId="0" applyAlignment="1" applyBorder="1" applyFont="1" applyNumberFormat="1">
      <alignment horizontal="center" shrinkToFit="0" vertical="center" wrapText="1"/>
    </xf>
    <xf borderId="8" fillId="0" fontId="5" numFmtId="49" xfId="0" applyAlignment="1" applyBorder="1" applyFont="1" applyNumberFormat="1">
      <alignment horizontal="center" shrinkToFit="0" vertical="center" wrapText="1"/>
    </xf>
    <xf borderId="9" fillId="0" fontId="6" numFmtId="0" xfId="0" applyAlignment="1" applyBorder="1" applyFont="1">
      <alignment horizontal="center" shrinkToFit="0" vertical="center" wrapText="1"/>
    </xf>
    <xf borderId="6" fillId="0" fontId="6" numFmtId="49" xfId="0" applyAlignment="1" applyBorder="1" applyFont="1" applyNumberFormat="1">
      <alignment horizontal="center" shrinkToFit="0" vertical="center" wrapText="1"/>
    </xf>
    <xf borderId="6" fillId="0" fontId="5" numFmtId="49" xfId="0" applyAlignment="1" applyBorder="1" applyFont="1" applyNumberFormat="1">
      <alignment horizontal="center" shrinkToFit="0" vertical="center" wrapText="1"/>
    </xf>
    <xf borderId="10" fillId="5" fontId="6" numFmtId="0" xfId="0" applyAlignment="1" applyBorder="1" applyFont="1">
      <alignment horizontal="center" shrinkToFit="0" vertical="top" wrapText="1"/>
    </xf>
    <xf borderId="1" fillId="0" fontId="6" numFmtId="0" xfId="0" applyAlignment="1" applyBorder="1" applyFont="1">
      <alignment horizontal="center" shrinkToFit="0" vertical="top" wrapText="1"/>
    </xf>
    <xf borderId="1" fillId="0" fontId="6" numFmtId="49" xfId="0" applyAlignment="1" applyBorder="1" applyFont="1" applyNumberFormat="1">
      <alignment horizontal="center" shrinkToFit="0" vertical="top" wrapText="1"/>
    </xf>
    <xf borderId="6" fillId="10" fontId="6" numFmtId="0" xfId="0" applyAlignment="1" applyBorder="1" applyFont="1">
      <alignment horizontal="center" shrinkToFit="0" vertical="top" wrapText="1"/>
    </xf>
    <xf borderId="6" fillId="0" fontId="6" numFmtId="49" xfId="0" applyAlignment="1" applyBorder="1" applyFont="1" applyNumberFormat="1">
      <alignment horizontal="center" shrinkToFit="0" vertical="top" wrapText="1"/>
    </xf>
    <xf borderId="9" fillId="0" fontId="5" numFmtId="0" xfId="0" applyAlignment="1" applyBorder="1" applyFont="1">
      <alignment horizontal="center" shrinkToFit="0" vertical="center" wrapText="1"/>
    </xf>
    <xf borderId="6" fillId="0" fontId="6" numFmtId="0" xfId="0" applyAlignment="1" applyBorder="1" applyFont="1">
      <alignment horizontal="center" shrinkToFit="0" vertical="center" wrapText="1"/>
    </xf>
    <xf borderId="6" fillId="0" fontId="6" numFmtId="0" xfId="0" applyAlignment="1" applyBorder="1" applyFont="1">
      <alignment horizontal="center" shrinkToFit="0" vertical="center" wrapText="1"/>
    </xf>
    <xf borderId="6" fillId="0" fontId="5" numFmtId="0" xfId="0" applyAlignment="1" applyBorder="1" applyFont="1">
      <alignment horizontal="center" shrinkToFit="0" vertical="center" wrapText="1"/>
    </xf>
    <xf borderId="0" fillId="5" fontId="6" numFmtId="49" xfId="0" applyAlignment="1" applyFont="1" applyNumberFormat="1">
      <alignment horizontal="center" readingOrder="0" shrinkToFit="0" vertical="center" wrapText="1"/>
    </xf>
    <xf borderId="1" fillId="13" fontId="8" numFmtId="0" xfId="0" applyAlignment="1" applyBorder="1" applyFill="1" applyFont="1">
      <alignment shrinkToFit="0" vertical="center" wrapText="1"/>
    </xf>
    <xf borderId="0" fillId="13" fontId="1" numFmtId="49" xfId="0" applyAlignment="1" applyFont="1" applyNumberFormat="1">
      <alignment horizontal="left" readingOrder="0" shrinkToFit="0" vertical="center" wrapText="1"/>
    </xf>
    <xf borderId="0" fillId="13" fontId="3" numFmtId="49" xfId="0" applyAlignment="1" applyFont="1" applyNumberFormat="1">
      <alignment horizontal="right" readingOrder="0" shrinkToFit="0" vertical="center" wrapText="1"/>
    </xf>
    <xf borderId="0" fillId="13" fontId="3" numFmtId="49" xfId="0" applyAlignment="1" applyFont="1" applyNumberFormat="1">
      <alignment horizontal="left" readingOrder="0" shrinkToFit="0" vertical="center" wrapText="1"/>
    </xf>
    <xf borderId="9" fillId="0" fontId="6" numFmtId="49" xfId="0" applyAlignment="1" applyBorder="1" applyFont="1" applyNumberFormat="1">
      <alignment horizontal="center" shrinkToFit="0" vertical="center" wrapText="1"/>
    </xf>
    <xf borderId="1" fillId="0" fontId="6" numFmtId="0" xfId="0" applyAlignment="1" applyBorder="1" applyFont="1">
      <alignment horizontal="center" shrinkToFit="0" vertical="top" wrapText="1"/>
    </xf>
    <xf borderId="6" fillId="0" fontId="6" numFmtId="0" xfId="0" applyAlignment="1" applyBorder="1" applyFont="1">
      <alignment horizontal="center" shrinkToFit="0" vertical="center" wrapText="1"/>
    </xf>
    <xf borderId="9" fillId="0" fontId="5" numFmtId="0" xfId="0" applyAlignment="1" applyBorder="1" applyFont="1">
      <alignment horizontal="center" shrinkToFit="0" vertical="center" wrapText="1"/>
    </xf>
    <xf borderId="9" fillId="0" fontId="5" numFmtId="0" xfId="0" applyAlignment="1" applyBorder="1" applyFont="1">
      <alignment horizontal="center" shrinkToFit="0" vertical="center" wrapText="1"/>
    </xf>
    <xf borderId="9" fillId="0" fontId="6" numFmtId="0" xfId="0" applyAlignment="1" applyBorder="1" applyFont="1">
      <alignment horizontal="center" shrinkToFit="0" vertical="top" wrapText="1"/>
    </xf>
    <xf borderId="9" fillId="10" fontId="6" numFmtId="0" xfId="0" applyAlignment="1" applyBorder="1" applyFont="1">
      <alignment horizontal="center" shrinkToFit="0" vertical="top" wrapText="1"/>
    </xf>
    <xf borderId="9" fillId="0" fontId="6" numFmtId="0" xfId="0" applyAlignment="1" applyBorder="1" applyFont="1">
      <alignment horizontal="center" readingOrder="0" shrinkToFit="0" vertical="center" wrapText="1"/>
    </xf>
    <xf borderId="6" fillId="0" fontId="6" numFmtId="0" xfId="0" applyAlignment="1" applyBorder="1" applyFont="1">
      <alignment horizontal="center" readingOrder="0" shrinkToFit="0" vertical="center" wrapText="1"/>
    </xf>
    <xf borderId="6" fillId="5" fontId="6" numFmtId="0" xfId="0" applyAlignment="1" applyBorder="1" applyFont="1">
      <alignment horizontal="center" shrinkToFit="0" vertical="top" wrapText="1"/>
    </xf>
    <xf borderId="9" fillId="0" fontId="6" numFmtId="49" xfId="0" applyAlignment="1" applyBorder="1" applyFont="1" applyNumberFormat="1">
      <alignment horizontal="center" readingOrder="0" shrinkToFit="0" vertical="center" wrapText="1"/>
    </xf>
    <xf borderId="9" fillId="10" fontId="6" numFmtId="49" xfId="0" applyAlignment="1" applyBorder="1" applyFont="1" applyNumberFormat="1">
      <alignment horizontal="center" shrinkToFit="0" vertical="top" wrapText="1"/>
    </xf>
    <xf borderId="9" fillId="0" fontId="6" numFmtId="0" xfId="0" applyAlignment="1" applyBorder="1" applyFont="1">
      <alignment horizontal="center" shrinkToFit="0" vertical="center" wrapText="1"/>
    </xf>
    <xf borderId="1" fillId="13" fontId="8" numFmtId="0" xfId="0" applyAlignment="1" applyBorder="1" applyFont="1">
      <alignment shrinkToFit="0" vertical="center" wrapText="1"/>
    </xf>
    <xf borderId="13" fillId="3" fontId="1" numFmtId="49" xfId="0" applyAlignment="1" applyBorder="1" applyFont="1" applyNumberFormat="1">
      <alignment horizontal="center" readingOrder="0" shrinkToFit="0" vertical="center" wrapText="1"/>
    </xf>
    <xf borderId="8" fillId="4" fontId="4" numFmtId="49" xfId="0" applyAlignment="1" applyBorder="1" applyFont="1" applyNumberFormat="1">
      <alignment horizontal="center" shrinkToFit="0" vertical="center" wrapText="1"/>
    </xf>
    <xf borderId="1" fillId="10" fontId="6" numFmtId="49" xfId="0" applyAlignment="1" applyBorder="1" applyFont="1" applyNumberFormat="1">
      <alignment horizontal="center" shrinkToFit="0" vertical="top" wrapText="1"/>
    </xf>
    <xf borderId="1" fillId="8" fontId="5" numFmtId="49" xfId="0" applyAlignment="1" applyBorder="1" applyFont="1" applyNumberFormat="1">
      <alignment horizontal="center" shrinkToFit="0" vertical="center" wrapText="1"/>
    </xf>
    <xf borderId="12" fillId="5" fontId="6" numFmtId="0" xfId="0" applyAlignment="1" applyBorder="1" applyFont="1">
      <alignment horizontal="center" shrinkToFit="0" vertical="center" wrapText="1"/>
    </xf>
    <xf borderId="1" fillId="14" fontId="1" numFmtId="0" xfId="0" applyAlignment="1" applyBorder="1" applyFill="1" applyFont="1">
      <alignment horizontal="center" readingOrder="0" shrinkToFit="0" vertical="center" wrapText="1"/>
    </xf>
    <xf borderId="2" fillId="14" fontId="1" numFmtId="49" xfId="0" applyAlignment="1" applyBorder="1" applyFont="1" applyNumberFormat="1">
      <alignment horizontal="left" readingOrder="0" shrinkToFit="0" vertical="center" wrapText="1"/>
    </xf>
    <xf borderId="4" fillId="14" fontId="3" numFmtId="49" xfId="0" applyAlignment="1" applyBorder="1" applyFont="1" applyNumberFormat="1">
      <alignment horizontal="right" readingOrder="0" shrinkToFit="0" vertical="center" wrapText="1"/>
    </xf>
    <xf borderId="4" fillId="14" fontId="3" numFmtId="49" xfId="0" applyAlignment="1" applyBorder="1" applyFont="1" applyNumberFormat="1">
      <alignment horizontal="left" readingOrder="0" shrinkToFit="0" vertical="center" wrapText="1"/>
    </xf>
    <xf borderId="1" fillId="0" fontId="6" numFmtId="0" xfId="0" applyAlignment="1" applyBorder="1" applyFont="1">
      <alignment horizontal="center" shrinkToFit="0" vertical="center" wrapText="1"/>
    </xf>
    <xf borderId="10" fillId="5" fontId="6" numFmtId="0" xfId="0" applyAlignment="1" applyBorder="1" applyFont="1">
      <alignment horizontal="center" readingOrder="0" shrinkToFit="0" vertical="center" wrapText="1"/>
    </xf>
    <xf borderId="11" fillId="5" fontId="6" numFmtId="0" xfId="0" applyAlignment="1" applyBorder="1" applyFont="1">
      <alignment horizontal="center" readingOrder="0" shrinkToFit="0" vertical="center" wrapText="1"/>
    </xf>
    <xf borderId="1" fillId="5" fontId="6" numFmtId="0" xfId="0" applyAlignment="1" applyBorder="1" applyFont="1">
      <alignment horizontal="center" shrinkToFit="0" vertical="center" wrapText="1"/>
    </xf>
    <xf borderId="12" fillId="5" fontId="6" numFmtId="49" xfId="0" applyAlignment="1" applyBorder="1" applyFont="1" applyNumberFormat="1">
      <alignment horizontal="center" shrinkToFit="0" vertical="top" wrapText="1"/>
    </xf>
    <xf borderId="9" fillId="0" fontId="6" numFmtId="0" xfId="0" applyAlignment="1" applyBorder="1" applyFont="1">
      <alignment horizontal="center" readingOrder="0" shrinkToFit="0" vertical="top" wrapText="1"/>
    </xf>
    <xf borderId="1" fillId="0" fontId="6" numFmtId="0" xfId="0" applyAlignment="1" applyBorder="1" applyFont="1">
      <alignment horizontal="center" readingOrder="0" shrinkToFit="0" vertical="top" wrapText="1"/>
    </xf>
    <xf borderId="12" fillId="5" fontId="6" numFmtId="0" xfId="0" applyAlignment="1" applyBorder="1" applyFont="1">
      <alignment horizontal="center" readingOrder="0" shrinkToFit="0" vertical="center" wrapText="1"/>
    </xf>
    <xf borderId="14" fillId="15" fontId="11" numFmtId="165" xfId="0" applyAlignment="1" applyBorder="1" applyFill="1" applyFont="1" applyNumberFormat="1">
      <alignment readingOrder="0" shrinkToFit="0" vertical="top" wrapText="1"/>
    </xf>
    <xf borderId="14" fillId="15" fontId="4" numFmtId="49" xfId="0" applyAlignment="1" applyBorder="1" applyFont="1" applyNumberFormat="1">
      <alignment horizontal="center" shrinkToFit="0" vertical="center" wrapText="1"/>
    </xf>
    <xf borderId="14" fillId="15" fontId="4" numFmtId="49" xfId="0" applyAlignment="1" applyBorder="1" applyFont="1" applyNumberFormat="1">
      <alignment horizontal="center" readingOrder="0" shrinkToFit="0" vertical="center" wrapText="1"/>
    </xf>
    <xf borderId="14" fillId="16" fontId="11" numFmtId="165" xfId="0" applyAlignment="1" applyBorder="1" applyFill="1" applyFont="1" applyNumberFormat="1">
      <alignment readingOrder="0" shrinkToFit="0" vertical="top" wrapText="1"/>
    </xf>
    <xf borderId="14" fillId="0" fontId="12" numFmtId="0" xfId="0" applyAlignment="1" applyBorder="1" applyFont="1">
      <alignment shrinkToFit="0" vertical="top" wrapText="1"/>
    </xf>
    <xf borderId="14" fillId="0" fontId="12" numFmtId="0" xfId="0" applyAlignment="1" applyBorder="1" applyFont="1">
      <alignment shrinkToFit="0" vertical="top" wrapText="1"/>
    </xf>
    <xf borderId="14" fillId="0" fontId="13" numFmtId="0" xfId="0" applyAlignment="1" applyBorder="1" applyFont="1">
      <alignment readingOrder="0" shrinkToFit="0" vertical="top" wrapText="1"/>
    </xf>
    <xf borderId="14" fillId="16" fontId="12" numFmtId="165" xfId="0" applyAlignment="1" applyBorder="1" applyFont="1" applyNumberFormat="1">
      <alignment shrinkToFit="0" vertical="top" wrapText="1"/>
    </xf>
    <xf borderId="14" fillId="15" fontId="11" numFmtId="165" xfId="0" applyAlignment="1" applyBorder="1" applyFont="1" applyNumberFormat="1">
      <alignment horizontal="center" readingOrder="0" shrinkToFit="0" vertical="center" wrapText="1"/>
    </xf>
    <xf borderId="14" fillId="15" fontId="14" numFmtId="0" xfId="0" applyAlignment="1" applyBorder="1" applyFont="1">
      <alignment horizontal="center" readingOrder="0" shrinkToFit="0" vertical="center" wrapText="1"/>
    </xf>
    <xf borderId="14" fillId="15" fontId="14" numFmtId="0" xfId="0" applyAlignment="1" applyBorder="1" applyFont="1">
      <alignment horizontal="center" shrinkToFit="0" vertical="center" wrapText="1"/>
    </xf>
    <xf borderId="14" fillId="0" fontId="12" numFmtId="0" xfId="0" applyAlignment="1" applyBorder="1" applyFont="1">
      <alignment readingOrder="0" shrinkToFit="0" vertical="top" wrapText="1"/>
    </xf>
    <xf borderId="14" fillId="0" fontId="12" numFmtId="0" xfId="0" applyAlignment="1" applyBorder="1" applyFont="1">
      <alignment readingOrder="0" shrinkToFit="0" vertical="top" wrapText="1"/>
    </xf>
    <xf borderId="14" fillId="15" fontId="11" numFmtId="165" xfId="0" applyAlignment="1" applyBorder="1" applyFont="1" applyNumberFormat="1">
      <alignment horizontal="center" readingOrder="0" shrinkToFit="0" vertical="top" wrapText="1"/>
    </xf>
    <xf borderId="14" fillId="16" fontId="12" numFmtId="165" xfId="0" applyAlignment="1" applyBorder="1" applyFont="1" applyNumberFormat="1">
      <alignment readingOrder="0" shrinkToFit="0" vertical="top" wrapText="1"/>
    </xf>
    <xf borderId="14" fillId="0" fontId="12" numFmtId="165" xfId="0" applyAlignment="1" applyBorder="1" applyFont="1" applyNumberFormat="1">
      <alignment shrinkToFit="0" vertical="top" wrapText="1"/>
    </xf>
    <xf borderId="15" fillId="0" fontId="15" numFmtId="0" xfId="0" applyAlignment="1" applyBorder="1" applyFont="1">
      <alignment horizontal="center" readingOrder="0" shrinkToFit="0" vertical="center" wrapText="1"/>
    </xf>
    <xf borderId="16" fillId="0" fontId="15" numFmtId="0" xfId="0" applyAlignment="1" applyBorder="1" applyFont="1">
      <alignment horizontal="center" readingOrder="0" shrinkToFit="0" vertical="center" wrapText="1"/>
    </xf>
    <xf borderId="16" fillId="0" fontId="2" numFmtId="0" xfId="0" applyAlignment="1" applyBorder="1" applyFont="1">
      <alignment shrinkToFit="0" vertical="top" wrapText="1"/>
    </xf>
    <xf borderId="15" fillId="0" fontId="16" numFmtId="0" xfId="0" applyAlignment="1" applyBorder="1" applyFont="1">
      <alignment horizontal="center" readingOrder="0" shrinkToFit="0" vertical="center" wrapText="1"/>
    </xf>
    <xf borderId="16" fillId="0" fontId="17" numFmtId="0" xfId="0" applyAlignment="1" applyBorder="1" applyFont="1">
      <alignment horizontal="center" readingOrder="0" shrinkToFit="0" vertical="center" wrapText="1"/>
    </xf>
    <xf borderId="15" fillId="0" fontId="17" numFmtId="0" xfId="0" applyAlignment="1" applyBorder="1" applyFont="1">
      <alignment horizontal="center" readingOrder="0" shrinkToFit="0" vertical="center" wrapText="1"/>
    </xf>
    <xf borderId="17" fillId="0" fontId="18" numFmtId="166" xfId="0" applyAlignment="1" applyBorder="1" applyFont="1" applyNumberFormat="1">
      <alignment horizontal="center" readingOrder="0" shrinkToFit="0" vertical="center" wrapText="1"/>
    </xf>
    <xf borderId="18" fillId="0" fontId="19" numFmtId="0" xfId="0" applyAlignment="1" applyBorder="1" applyFont="1">
      <alignment horizontal="center" readingOrder="0" shrinkToFit="0" vertical="center" wrapText="1"/>
    </xf>
    <xf borderId="17" fillId="0" fontId="20" numFmtId="166" xfId="0" applyAlignment="1" applyBorder="1" applyFont="1" applyNumberFormat="1">
      <alignment horizontal="center" readingOrder="0" shrinkToFit="0" vertical="center" wrapText="1"/>
    </xf>
    <xf borderId="18" fillId="0" fontId="19" numFmtId="0" xfId="0" applyAlignment="1" applyBorder="1" applyFont="1">
      <alignment horizontal="center" shrinkToFit="0" vertical="center" wrapText="1"/>
    </xf>
    <xf borderId="17" fillId="0" fontId="18" numFmtId="166" xfId="0" applyAlignment="1" applyBorder="1" applyFont="1" applyNumberFormat="1">
      <alignment horizontal="center" readingOrder="0" shrinkToFit="0" vertical="center" wrapText="1"/>
    </xf>
    <xf borderId="17" fillId="0" fontId="20" numFmtId="166" xfId="0" applyAlignment="1" applyBorder="1" applyFont="1" applyNumberFormat="1">
      <alignment horizontal="center" readingOrder="0" shrinkToFit="0" vertical="center" wrapText="1"/>
    </xf>
    <xf borderId="18" fillId="0" fontId="19" numFmtId="0" xfId="0" applyAlignment="1" applyBorder="1" applyFont="1">
      <alignment horizontal="center" readingOrder="0" shrinkToFit="0" vertical="center" wrapText="1"/>
    </xf>
    <xf borderId="18" fillId="0" fontId="19" numFmtId="0" xfId="0" applyAlignment="1" applyBorder="1" applyFont="1">
      <alignment horizontal="center" shrinkToFit="0" vertical="center" wrapText="1"/>
    </xf>
    <xf borderId="18" fillId="0" fontId="19" numFmtId="0" xfId="0" applyAlignment="1" applyBorder="1" applyFont="1">
      <alignment horizontal="center" readingOrder="0" shrinkToFit="0" vertical="center" wrapText="1"/>
    </xf>
    <xf borderId="19" fillId="0" fontId="19" numFmtId="0" xfId="0" applyAlignment="1" applyBorder="1" applyFont="1">
      <alignment horizontal="center" shrinkToFit="0" vertical="center" wrapText="1"/>
    </xf>
    <xf borderId="19" fillId="0" fontId="21" numFmtId="0" xfId="0" applyAlignment="1" applyBorder="1" applyFont="1">
      <alignment horizontal="center" shrinkToFit="0" vertical="center" wrapText="1"/>
    </xf>
    <xf borderId="19" fillId="0" fontId="22" numFmtId="0" xfId="0" applyAlignment="1" applyBorder="1" applyFont="1">
      <alignment horizontal="center" shrinkToFit="0" vertical="center" wrapText="1"/>
    </xf>
    <xf borderId="19" fillId="0" fontId="19" numFmtId="0" xfId="0" applyAlignment="1" applyBorder="1" applyFont="1">
      <alignment horizontal="center" shrinkToFit="0" vertical="center" wrapText="1"/>
    </xf>
    <xf borderId="19" fillId="0" fontId="19" numFmtId="0" xfId="0" applyAlignment="1" applyBorder="1" applyFont="1">
      <alignment horizontal="center" readingOrder="0" shrinkToFit="0" vertical="center" wrapText="1"/>
    </xf>
    <xf borderId="19" fillId="0" fontId="19" numFmtId="0" xfId="0" applyAlignment="1" applyBorder="1" applyFont="1">
      <alignment horizontal="center" readingOrder="0" shrinkToFit="0" vertical="center" wrapText="1"/>
    </xf>
    <xf borderId="19" fillId="0" fontId="19" numFmtId="0" xfId="0" applyAlignment="1" applyBorder="1" applyFont="1">
      <alignment horizontal="center" readingOrder="0" shrinkToFit="0" vertical="center" wrapText="1"/>
    </xf>
    <xf borderId="20" fillId="0" fontId="2" numFmtId="0" xfId="0" applyAlignment="1" applyBorder="1" applyFont="1">
      <alignment shrinkToFit="0" vertical="top" wrapText="1"/>
    </xf>
    <xf borderId="21" fillId="0" fontId="19" numFmtId="0" xfId="0" applyAlignment="1" applyBorder="1" applyFont="1">
      <alignment horizontal="center" shrinkToFit="0" vertical="center" wrapText="1"/>
    </xf>
    <xf borderId="21" fillId="0" fontId="19" numFmtId="0" xfId="0" applyAlignment="1" applyBorder="1" applyFont="1">
      <alignment horizontal="center" shrinkToFit="0" vertical="center" wrapText="1"/>
    </xf>
    <xf borderId="21" fillId="0" fontId="19" numFmtId="0" xfId="0" applyAlignment="1" applyBorder="1" applyFont="1">
      <alignment shrinkToFit="0" vertical="top" wrapText="1"/>
    </xf>
    <xf borderId="0" fillId="0" fontId="18" numFmtId="166" xfId="0" applyAlignment="1" applyFont="1" applyNumberFormat="1">
      <alignment horizontal="center" readingOrder="0" shrinkToFit="0" vertical="center" wrapText="1"/>
    </xf>
    <xf borderId="0" fillId="0" fontId="20" numFmtId="166" xfId="0" applyAlignment="1" applyFont="1" applyNumberFormat="1">
      <alignment horizontal="center" readingOrder="0" shrinkToFit="0" vertical="center" wrapText="1"/>
    </xf>
    <xf borderId="19" fillId="0" fontId="23" numFmtId="0" xfId="0" applyAlignment="1" applyBorder="1" applyFont="1">
      <alignment horizontal="center" readingOrder="0" shrinkToFit="0" vertical="center" wrapText="1"/>
    </xf>
    <xf borderId="0" fillId="0" fontId="18" numFmtId="166" xfId="0" applyAlignment="1" applyFont="1" applyNumberFormat="1">
      <alignment horizontal="center" readingOrder="0" shrinkToFit="0" vertical="center" wrapText="1"/>
    </xf>
    <xf borderId="0" fillId="0" fontId="20" numFmtId="166" xfId="0" applyAlignment="1" applyFont="1" applyNumberFormat="1">
      <alignment horizontal="center" readingOrder="0" shrinkToFit="0" vertical="center" wrapText="1"/>
    </xf>
    <xf borderId="21" fillId="0" fontId="19" numFmtId="0" xfId="0" applyAlignment="1" applyBorder="1" applyFont="1">
      <alignment shrinkToFit="0" vertical="top" wrapText="1"/>
    </xf>
    <xf borderId="21" fillId="0" fontId="19" numFmtId="0" xfId="0" applyAlignment="1" applyBorder="1" applyFont="1">
      <alignment horizontal="center" readingOrder="0" shrinkToFit="0" vertical="center" wrapText="1"/>
    </xf>
    <xf borderId="19" fillId="0" fontId="24" numFmtId="0" xfId="0" applyAlignment="1" applyBorder="1" applyFont="1">
      <alignment horizontal="center" readingOrder="0" shrinkToFit="0" vertical="center" wrapText="1"/>
    </xf>
    <xf borderId="19" fillId="0" fontId="25" numFmtId="0" xfId="0" applyAlignment="1" applyBorder="1" applyFont="1">
      <alignment horizontal="center" readingOrder="0" shrinkToFit="0" vertical="center" wrapText="1"/>
    </xf>
    <xf borderId="21" fillId="0" fontId="19" numFmtId="0" xfId="0" applyAlignment="1" applyBorder="1" applyFont="1">
      <alignment horizontal="center" readingOrder="0" shrinkToFit="0" vertical="center" wrapText="1"/>
    </xf>
    <xf borderId="19" fillId="0" fontId="26" numFmtId="0" xfId="0" applyAlignment="1" applyBorder="1" applyFont="1">
      <alignment horizontal="center" readingOrder="0" shrinkToFit="0" vertical="center" wrapText="1"/>
    </xf>
    <xf borderId="21" fillId="0" fontId="19" numFmtId="0" xfId="0" applyAlignment="1" applyBorder="1" applyFont="1">
      <alignment horizontal="center" readingOrder="0" shrinkToFit="0" vertical="center" wrapText="1"/>
    </xf>
    <xf borderId="19" fillId="0" fontId="27" numFmtId="0" xfId="0" applyAlignment="1" applyBorder="1" applyFont="1">
      <alignment horizontal="center" readingOrder="0" shrinkToFit="0" vertical="center" wrapText="1"/>
    </xf>
    <xf borderId="21" fillId="0" fontId="19" numFmtId="0" xfId="0" applyAlignment="1" applyBorder="1" applyFont="1">
      <alignment horizontal="center" readingOrder="0" shrinkToFit="0" vertical="center" wrapText="1"/>
    </xf>
    <xf borderId="19" fillId="0" fontId="28" numFmtId="0" xfId="0" applyAlignment="1" applyBorder="1" applyFont="1">
      <alignment horizontal="center" readingOrder="0" shrinkToFit="0" vertical="center" wrapText="1"/>
    </xf>
    <xf borderId="19" fillId="0" fontId="29" numFmtId="0" xfId="0" applyAlignment="1" applyBorder="1" applyFont="1">
      <alignment horizontal="center" readingOrder="0" shrinkToFit="0" vertical="center" wrapText="1"/>
    </xf>
    <xf borderId="19" fillId="0" fontId="30" numFmtId="0" xfId="0" applyAlignment="1" applyBorder="1" applyFont="1">
      <alignment horizontal="center" readingOrder="0" shrinkToFit="0" vertical="center" wrapText="1"/>
    </xf>
    <xf borderId="19" fillId="0" fontId="19" numFmtId="0" xfId="0" applyAlignment="1" applyBorder="1" applyFont="1">
      <alignment horizontal="center" readingOrder="0" shrinkToFit="0" vertical="center" wrapText="1"/>
    </xf>
    <xf borderId="19" fillId="0" fontId="31" numFmtId="0" xfId="0" applyAlignment="1" applyBorder="1" applyFont="1">
      <alignment horizontal="center" readingOrder="0" shrinkToFit="0" vertical="center" wrapText="1"/>
    </xf>
    <xf borderId="21" fillId="0" fontId="32" numFmtId="0" xfId="0" applyAlignment="1" applyBorder="1" applyFont="1">
      <alignment horizontal="center" readingOrder="0" shrinkToFit="0" vertical="center" wrapText="1"/>
    </xf>
    <xf borderId="19" fillId="0" fontId="33" numFmtId="0" xfId="0" applyAlignment="1" applyBorder="1" applyFont="1">
      <alignment horizontal="center" readingOrder="0" shrinkToFit="0" vertical="center" wrapText="1"/>
    </xf>
    <xf borderId="21" fillId="0" fontId="33" numFmtId="0" xfId="0" applyAlignment="1" applyBorder="1" applyFont="1">
      <alignment horizontal="center" readingOrder="0" shrinkToFit="0" vertical="center" wrapText="1"/>
    </xf>
    <xf borderId="19" fillId="0" fontId="34" numFmtId="0" xfId="0" applyAlignment="1" applyBorder="1" applyFont="1">
      <alignment horizontal="center" readingOrder="0" shrinkToFit="0" vertical="center" wrapText="1"/>
    </xf>
    <xf borderId="21" fillId="0" fontId="35" numFmtId="0" xfId="0" applyAlignment="1" applyBorder="1" applyFont="1">
      <alignment horizontal="center" shrinkToFit="0" vertical="center" wrapText="1"/>
    </xf>
    <xf borderId="21" fillId="0" fontId="36" numFmtId="0" xfId="0" applyAlignment="1" applyBorder="1" applyFont="1">
      <alignment horizontal="center" shrinkToFit="0" vertical="center" wrapText="1"/>
    </xf>
    <xf borderId="19" fillId="0" fontId="37" numFmtId="0" xfId="0" applyAlignment="1" applyBorder="1" applyFont="1">
      <alignment horizontal="center" readingOrder="0" shrinkToFit="0" vertical="center" wrapText="1"/>
    </xf>
    <xf borderId="22" fillId="0" fontId="20" numFmtId="166" xfId="0" applyAlignment="1" applyBorder="1" applyFont="1" applyNumberFormat="1">
      <alignment horizontal="center" readingOrder="0" shrinkToFit="0" vertical="center" wrapText="1"/>
    </xf>
    <xf borderId="18" fillId="0" fontId="2" numFmtId="0" xfId="0" applyAlignment="1" applyBorder="1" applyFont="1">
      <alignment shrinkToFit="0" vertical="top" wrapText="1"/>
    </xf>
    <xf borderId="23" fillId="0" fontId="2" numFmtId="0" xfId="0" applyAlignment="1" applyBorder="1" applyFont="1">
      <alignment shrinkToFit="0" vertical="top" wrapText="1"/>
    </xf>
    <xf borderId="19" fillId="0" fontId="2" numFmtId="0" xfId="0" applyAlignment="1" applyBorder="1" applyFont="1">
      <alignment shrinkToFit="0" vertical="top" wrapText="1"/>
    </xf>
    <xf borderId="22" fillId="0" fontId="18" numFmtId="166" xfId="0" applyAlignment="1" applyBorder="1" applyFont="1" applyNumberFormat="1">
      <alignment horizontal="center" readingOrder="0" shrinkToFit="0" vertical="center" wrapText="1"/>
    </xf>
    <xf borderId="24" fillId="0" fontId="2" numFmtId="0" xfId="0" applyAlignment="1" applyBorder="1" applyFont="1">
      <alignment shrinkToFit="0" vertical="top" wrapText="1"/>
    </xf>
    <xf borderId="21" fillId="0" fontId="2" numFmtId="0" xfId="0" applyAlignment="1" applyBorder="1" applyFont="1">
      <alignment shrinkToFit="0" vertical="top" wrapText="1"/>
    </xf>
    <xf borderId="0" fillId="0" fontId="18" numFmtId="0" xfId="0" applyAlignment="1" applyFont="1">
      <alignment horizontal="center" readingOrder="0" shrinkToFit="0" vertical="center" wrapText="1"/>
    </xf>
    <xf borderId="0" fillId="0" fontId="38" numFmtId="0" xfId="0" applyAlignment="1" applyFont="1">
      <alignment horizontal="center" shrinkToFit="0" vertical="center" wrapText="1"/>
    </xf>
    <xf borderId="0" fillId="0" fontId="18" numFmtId="0" xfId="0" applyAlignment="1" applyFont="1">
      <alignment horizontal="center" shrinkToFit="0" vertical="center" wrapText="1"/>
    </xf>
    <xf borderId="0" fillId="0" fontId="18" numFmtId="0" xfId="0" applyAlignment="1" applyFont="1">
      <alignment horizontal="right" readingOrder="0" shrinkToFit="0" vertical="center" wrapText="1"/>
    </xf>
    <xf borderId="0" fillId="0" fontId="30" numFmtId="0" xfId="0" applyAlignment="1" applyFont="1">
      <alignment horizontal="center" readingOrder="0" shrinkToFit="0" vertical="center" wrapText="1"/>
    </xf>
    <xf borderId="0" fillId="0" fontId="23" numFmtId="0" xfId="0" applyAlignment="1" applyFont="1">
      <alignment horizontal="center" readingOrder="0" shrinkToFit="0" vertical="center" wrapText="1"/>
    </xf>
    <xf borderId="0" fillId="0" fontId="19" numFmtId="0" xfId="0" applyAlignment="1" applyFont="1">
      <alignment horizontal="center" readingOrder="0" shrinkToFit="0" vertical="center" wrapText="1"/>
    </xf>
    <xf borderId="0" fillId="0" fontId="39" numFmtId="0" xfId="0" applyAlignment="1" applyFont="1">
      <alignment horizontal="center" readingOrder="0" shrinkToFit="0" vertical="center" wrapText="1"/>
    </xf>
    <xf borderId="0" fillId="0" fontId="30" numFmtId="166" xfId="0" applyAlignment="1" applyFont="1" applyNumberFormat="1">
      <alignment horizontal="center" shrinkToFit="0" vertical="center" wrapText="1"/>
    </xf>
    <xf borderId="0" fillId="0" fontId="30" numFmtId="0" xfId="0" applyAlignment="1" applyFont="1">
      <alignment horizontal="center" readingOrder="0" shrinkToFit="0" vertical="center" wrapText="1"/>
    </xf>
    <xf borderId="0" fillId="0" fontId="40" numFmtId="0" xfId="0" applyAlignment="1" applyFont="1">
      <alignment horizontal="right" readingOrder="0" shrinkToFit="0" vertical="center" wrapText="1"/>
    </xf>
    <xf borderId="0" fillId="0" fontId="40" numFmtId="0" xfId="0" applyAlignment="1" applyFont="1">
      <alignment horizontal="center" shrinkToFit="0" vertical="center" wrapText="1"/>
    </xf>
    <xf borderId="0" fillId="0" fontId="30" numFmtId="166" xfId="0" applyAlignment="1" applyFont="1" applyNumberFormat="1">
      <alignment horizontal="center" readingOrder="0" shrinkToFit="0" vertical="center" wrapText="1"/>
    </xf>
    <xf borderId="0" fillId="0" fontId="30" numFmtId="0" xfId="0" applyAlignment="1" applyFont="1">
      <alignment horizontal="center" shrinkToFit="0" vertical="center" wrapText="1"/>
    </xf>
    <xf borderId="0" fillId="0" fontId="6" numFmtId="0" xfId="0" applyAlignment="1" applyFont="1">
      <alignment horizontal="center" readingOrder="0" shrinkToFit="0" vertical="top" wrapText="1"/>
    </xf>
    <xf borderId="0" fillId="0" fontId="6" numFmtId="0" xfId="0" applyAlignment="1" applyFont="1">
      <alignment shrinkToFit="0" vertical="center" wrapText="1"/>
    </xf>
    <xf borderId="0" fillId="0" fontId="6" numFmtId="0" xfId="0" applyAlignment="1" applyFont="1">
      <alignment readingOrder="0" shrinkToFit="0" vertical="center" wrapText="1"/>
    </xf>
    <xf borderId="0" fillId="0" fontId="6" numFmtId="0" xfId="0" applyAlignment="1" applyFont="1">
      <alignment horizontal="center" shrinkToFit="0" vertical="top" wrapText="1"/>
    </xf>
    <xf borderId="0" fillId="0" fontId="6" numFmtId="49" xfId="0" applyAlignment="1" applyFont="1" applyNumberFormat="1">
      <alignment shrinkToFit="0" vertical="center" wrapText="1"/>
    </xf>
    <xf borderId="0" fillId="0" fontId="6" numFmtId="49" xfId="0" applyAlignment="1" applyFont="1" applyNumberFormat="1">
      <alignment readingOrder="0" shrinkToFit="0" vertical="center" wrapText="1"/>
    </xf>
    <xf borderId="0" fillId="0" fontId="6" numFmtId="0" xfId="0" applyAlignment="1" applyFont="1">
      <alignment horizontal="center" readingOrder="0" shrinkToFit="0" vertical="top" wrapText="1"/>
    </xf>
    <xf borderId="25" fillId="0" fontId="6" numFmtId="0" xfId="0" applyAlignment="1" applyBorder="1" applyFont="1">
      <alignment horizontal="center" readingOrder="0" shrinkToFit="0" vertical="top" wrapText="1"/>
    </xf>
    <xf borderId="0" fillId="3" fontId="6" numFmtId="0" xfId="0" applyAlignment="1" applyFont="1">
      <alignment horizontal="left" readingOrder="0" shrinkToFit="0" vertical="top" wrapText="1"/>
    </xf>
    <xf borderId="0" fillId="0" fontId="6" numFmtId="0" xfId="0" applyAlignment="1" applyFont="1">
      <alignment horizontal="left" readingOrder="0" shrinkToFit="0" vertical="top" wrapText="1"/>
    </xf>
  </cellXfs>
  <cellStyles count="1">
    <cellStyle xfId="0" name="Normal" builtinId="0"/>
  </cellStyles>
  <dxfs count="20">
    <dxf>
      <font/>
      <fill>
        <patternFill patternType="solid">
          <fgColor rgb="FFFFE599"/>
          <bgColor rgb="FFFFE599"/>
        </patternFill>
      </fill>
      <border/>
    </dxf>
    <dxf>
      <font/>
      <fill>
        <patternFill patternType="solid">
          <fgColor rgb="FFFF9900"/>
          <bgColor rgb="FFFF9900"/>
        </patternFill>
      </fill>
      <border/>
    </dxf>
    <dxf>
      <font/>
      <fill>
        <patternFill patternType="solid">
          <fgColor rgb="FFEAD1DC"/>
          <bgColor rgb="FFEAD1DC"/>
        </patternFill>
      </fill>
      <border/>
    </dxf>
    <dxf>
      <font/>
      <fill>
        <patternFill patternType="solid">
          <fgColor rgb="FFB4A7D6"/>
          <bgColor rgb="FFB4A7D6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FEE498"/>
          <bgColor rgb="FFFEE498"/>
        </patternFill>
      </fill>
      <border/>
    </dxf>
    <dxf>
      <font/>
      <fill>
        <patternFill patternType="solid">
          <fgColor rgb="FFD5D5D5"/>
          <bgColor rgb="FFD5D5D5"/>
        </patternFill>
      </fill>
      <border/>
    </dxf>
    <dxf>
      <font/>
      <fill>
        <patternFill patternType="solid">
          <fgColor rgb="FFA1C7EA"/>
          <bgColor rgb="FFA1C7EA"/>
        </patternFill>
      </fill>
      <border/>
    </dxf>
    <dxf>
      <font>
        <color rgb="FFFFFFFF"/>
      </font>
      <fill>
        <patternFill patternType="solid">
          <fgColor rgb="FFCC0000"/>
          <bgColor rgb="FFCC0000"/>
        </patternFill>
      </fill>
      <border/>
    </dxf>
    <dxf>
      <font/>
      <fill>
        <patternFill patternType="solid">
          <fgColor rgb="FFEA9999"/>
          <bgColor rgb="FFEA9999"/>
        </patternFill>
      </fill>
      <border/>
    </dxf>
    <dxf>
      <font/>
      <fill>
        <patternFill patternType="solid">
          <fgColor rgb="FF00FFFF"/>
          <bgColor rgb="FF00FFFF"/>
        </patternFill>
      </fill>
      <border/>
    </dxf>
    <dxf>
      <font/>
      <fill>
        <patternFill patternType="solid">
          <fgColor rgb="FF00FF00"/>
          <bgColor rgb="FF00FF00"/>
        </patternFill>
      </fill>
      <border/>
    </dxf>
    <dxf>
      <font/>
      <fill>
        <patternFill patternType="solid">
          <fgColor rgb="FFA2C4C9"/>
          <bgColor rgb="FFA2C4C9"/>
        </patternFill>
      </fill>
      <border/>
    </dxf>
    <dxf>
      <font/>
      <fill>
        <patternFill patternType="solid">
          <fgColor rgb="FFFFFF00"/>
          <bgColor rgb="FFFFFF00"/>
        </patternFill>
      </fill>
      <border/>
    </dxf>
    <dxf>
      <font/>
      <fill>
        <patternFill patternType="solid">
          <fgColor rgb="FFD4EDBB"/>
          <bgColor rgb="FFD4EDBB"/>
        </patternFill>
      </fill>
      <border/>
    </dxf>
    <dxf>
      <font/>
      <fill>
        <patternFill patternType="solid">
          <fgColor rgb="FF93C47D"/>
          <bgColor rgb="FF93C47D"/>
        </patternFill>
      </fill>
      <border/>
    </dxf>
    <dxf>
      <font/>
      <fill>
        <patternFill patternType="solid">
          <fgColor rgb="FFAFD5F5"/>
          <bgColor rgb="FFAFD5F5"/>
        </patternFill>
      </fill>
      <border/>
    </dxf>
    <dxf>
      <font/>
      <fill>
        <patternFill patternType="solid">
          <fgColor rgb="FFFFD966"/>
          <bgColor rgb="FFFFD966"/>
        </patternFill>
      </fill>
      <border/>
    </dxf>
    <dxf>
      <font/>
      <fill>
        <patternFill patternType="solid">
          <fgColor rgb="FFFF00FF"/>
          <bgColor rgb="FFFF00FF"/>
        </patternFill>
      </fill>
      <border/>
    </dxf>
    <dxf>
      <font/>
      <fill>
        <patternFill patternType="solid">
          <fgColor rgb="FF6D9EEB"/>
          <bgColor rgb="FF6D9EEB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40" Type="http://schemas.openxmlformats.org/officeDocument/2006/relationships/worksheet" Target="worksheets/sheet37.xml"/><Relationship Id="rId41" Type="http://schemas.openxmlformats.org/officeDocument/2006/relationships/worksheet" Target="worksheets/sheet38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31" Type="http://schemas.openxmlformats.org/officeDocument/2006/relationships/worksheet" Target="worksheets/sheet28.xml"/><Relationship Id="rId30" Type="http://schemas.openxmlformats.org/officeDocument/2006/relationships/worksheet" Target="worksheets/sheet27.xml"/><Relationship Id="rId33" Type="http://schemas.openxmlformats.org/officeDocument/2006/relationships/worksheet" Target="worksheets/sheet30.xml"/><Relationship Id="rId32" Type="http://schemas.openxmlformats.org/officeDocument/2006/relationships/worksheet" Target="worksheets/sheet29.xml"/><Relationship Id="rId35" Type="http://schemas.openxmlformats.org/officeDocument/2006/relationships/worksheet" Target="worksheets/sheet32.xml"/><Relationship Id="rId34" Type="http://schemas.openxmlformats.org/officeDocument/2006/relationships/worksheet" Target="worksheets/sheet31.xml"/><Relationship Id="rId37" Type="http://schemas.openxmlformats.org/officeDocument/2006/relationships/worksheet" Target="worksheets/sheet34.xml"/><Relationship Id="rId36" Type="http://schemas.openxmlformats.org/officeDocument/2006/relationships/worksheet" Target="worksheets/sheet33.xml"/><Relationship Id="rId39" Type="http://schemas.openxmlformats.org/officeDocument/2006/relationships/worksheet" Target="worksheets/sheet36.xml"/><Relationship Id="rId38" Type="http://schemas.openxmlformats.org/officeDocument/2006/relationships/worksheet" Target="worksheets/sheet35.xml"/><Relationship Id="rId20" Type="http://schemas.openxmlformats.org/officeDocument/2006/relationships/worksheet" Target="worksheets/sheet17.xml"/><Relationship Id="rId22" Type="http://schemas.openxmlformats.org/officeDocument/2006/relationships/worksheet" Target="worksheets/sheet19.xml"/><Relationship Id="rId21" Type="http://schemas.openxmlformats.org/officeDocument/2006/relationships/worksheet" Target="worksheets/sheet18.xml"/><Relationship Id="rId24" Type="http://schemas.openxmlformats.org/officeDocument/2006/relationships/worksheet" Target="worksheets/sheet21.xml"/><Relationship Id="rId23" Type="http://schemas.openxmlformats.org/officeDocument/2006/relationships/worksheet" Target="worksheets/sheet20.xml"/><Relationship Id="rId26" Type="http://schemas.openxmlformats.org/officeDocument/2006/relationships/worksheet" Target="worksheets/sheet23.xml"/><Relationship Id="rId25" Type="http://schemas.openxmlformats.org/officeDocument/2006/relationships/worksheet" Target="worksheets/sheet22.xml"/><Relationship Id="rId28" Type="http://schemas.openxmlformats.org/officeDocument/2006/relationships/worksheet" Target="worksheets/sheet25.xml"/><Relationship Id="rId27" Type="http://schemas.openxmlformats.org/officeDocument/2006/relationships/worksheet" Target="worksheets/sheet24.xml"/><Relationship Id="rId29" Type="http://schemas.openxmlformats.org/officeDocument/2006/relationships/worksheet" Target="worksheets/sheet26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19" Type="http://schemas.openxmlformats.org/officeDocument/2006/relationships/worksheet" Target="worksheets/sheet16.xml"/><Relationship Id="rId18" Type="http://schemas.openxmlformats.org/officeDocument/2006/relationships/worksheet" Target="worksheets/sheet15.xml"/></Relationships>
</file>

<file path=xl/documenttasks/documenttask1.xml><?xml version="1.0" encoding="utf-8"?>
<Tasks xmlns="http://schemas.microsoft.com/office/tasks/2019/documenttasks">
  <Task id="{3ffba8c5-18df-4cd4-9755-06274f1371a0}">
    <Anchor>
      <Comment id="{db66009b-28f2-4869-a141-70f596b26142}"/>
    </Anchor>
    <History>
      <Event time="2024-09-05T10:33:03.00" id="{98f58240-6427-4be9-999e-6b3030ea4a19}">
        <Attribution userId="placeholder@email.com" userName="Elisa Arrivabene" userProvider="google-sheets"/>
        <Anchor>
          <Comment id="{db66009b-28f2-4869-a141-70f596b26142}"/>
        </Anchor>
        <Create/>
      </Event>
      <Event time="2024-09-05T10:33:03.00" id="{44e8199b-5061-469f-9a5b-b54cae2270fa}">
        <Attribution userId="placeholder@email.com" userName="Elisa Arrivabene" userProvider="google-sheets"/>
        <Anchor>
          <Comment id="{db66009b-28f2-4869-a141-70f596b26142}"/>
        </Anchor>
        <Assign userId="gaechacha@gmail.com" userName="gaechacha@gmail.com" userProvider="google-sheets"/>
      </Event>
    </History>
  </Task>
</Tasks>
</file>

<file path=xl/documenttasks/documenttask2.xml><?xml version="1.0" encoding="utf-8"?>
<Tasks xmlns="http://schemas.microsoft.com/office/tasks/2019/documenttasks"/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Elisa Arrivabene" id="{c002e5eb-fb80-4b0a-9782-72f360eb47c9}" providerId="google-sheets"/>
  <x18tc:person displayName="gaechacha@gmail.com" id="{01c020ac-3b8d-4c75-8633-d6ee2652f1ba}" userId="gaechacha@gmail.com" providerId="google-sheets"/>
  <x18tc:person displayName="elisalsa66@gmail.com" id="{129cdfa5-9cd5-40e0-845f-ab5e8b47b2e8}" userId="elisalsa66@gmail.com" providerId="google-sheets"/>
  <x18tc:person displayName="Gaetano Ambrosio" id="{f3a9ca67-f207-4962-9515-97d0435befe5}" providerId="google-sheets"/>
  <x18tc:person displayName="santo@studio-gem.it" id="{f9c1edc5-7506-4d16-bbdc-67dfe0a1360c}" userId="santo@studio-gem.it" providerId="google-sheets"/>
</x18tc:personList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A1" dT="2020-11-18T10:36:07.00" personId="{c002e5eb-fb80-4b0a-9782-72f360eb47c9}" id="{3fc41555-d493-4301-8f62-a92ecca4adac}" done="1">
    <x18tc:text xml:space="preserve">non posso modificare le colonne</x18tc:text>
  </x18tc:threadedComment>
  <x18tc:threadedComment ref="B4" dT="2024-09-05T10:33:03.00" personId="{c002e5eb-fb80-4b0a-9782-72f360eb47c9}" id="{db66009b-28f2-4869-a141-70f596b26142}" done="1">
    <x18tc:text xml:space="preserve">@gaechacha@gmail.com @santo@studio-gem.it sto provando dal file turni
Attività assegnata a gaechacha@gmail.com</x18tc:text>
    <x18tc:mentions>
      <x18tc:mention mentionpersonId="{01c020ac-3b8d-4c75-8633-d6ee2652f1ba}" mentionId="{750eecff-e6bc-483e-9b37-a588896267d4}" startIndex="0" length="20"/>
      <x18tc:mention mentionpersonId="{f9c1edc5-7506-4d16-bbdc-67dfe0a1360c}" mentionId="{6c2ad634-6994-42dd-94a3-47cddf655a10}" startIndex="21" length="20"/>
    </x18tc:mentions>
  </x18tc:threadedComment>
  <x18tc:threadedComment ref="B4" dT="2024-09-05T10:34:35.00" personId="{f3a9ca67-f207-4962-9515-97d0435befe5}" id="{deac1b34-5026-4d2d-b4cd-79be34de77b4}" parentId="{db66009b-28f2-4869-a141-70f596b26142}">
    <x18tc:text xml:space="preserve">Ok visto da cell</x18tc:text>
  </x18tc:threadedComment>
  <x18tc:threadedComment ref="A1" dT="2020-11-18T10:31:07.00" personId="{c002e5eb-fb80-4b0a-9782-72f360eb47c9}" id="{5568db51-58df-49e8-b77e-0f7da6929a5c}" done="1">
    <x18tc:text xml:space="preserve">alcuni fogli non li posso modificare</x18tc:text>
  </x18tc:threadedComment>
  <x18tc:threadedComment ref="A1" dT="2020-11-20T09:40:17.00" personId="{f3a9ca67-f207-4962-9515-97d0435befe5}" id="{6783acf3-c54c-4d5d-a029-1719736be826}" parentId="{5568db51-58df-49e8-b77e-0f7da6929a5c}">
    <x18tc:text xml:space="preserve">fatto</x18tc:text>
  </x18tc:threadedComment>
  <x18tc:threadedComment ref="A1" dT="2020-11-20T09:51:22.00" personId="{f3a9ca67-f207-4962-9515-97d0435befe5}" id="{1f022e89-de07-4c80-91cc-de4a841c85b5}" done="1">
    <x18tc:text xml:space="preserve">creare leggenda per indicare le settimane (es. A, B, C, D , le settimane A e C devono essere uguali). Le date della settimana le mettiamo nella riga 1 e il giorno nella riga 2</x18tc:text>
  </x18tc:threadedComment>
</x18tc:ThreadedComments>
</file>

<file path=xl/threadedComments/threadedComment2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C8" dT="2022-04-30T14:11:28.00" personId="{f3a9ca67-f207-4962-9515-97d0435befe5}" id="{13dacaa0-b90b-4f40-a7e5-ed3d63e9177c}" done="1">
    <x18tc:text xml:space="preserve">@elisalsa66@gmail.com non cambiare mai la scritta all'interno delle celle altrimenti le formule non contano il contenuto. Grazie</x18tc:text>
    <x18tc:mentions>
      <x18tc:mention mentionpersonId="{129cdfa5-9cd5-40e0-845f-ab5e8b47b2e8}" mentionId="{8b055cce-cb75-4594-b5ef-7778f2cd9196}" startIndex="0" length="21"/>
    </x18tc:mentions>
  </x18tc:threadedComment>
  <x18tc:threadedComment ref="C8" dT="2023-12-31T14:38:38.00" personId="{c002e5eb-fb80-4b0a-9782-72f360eb47c9}" id="{d7a87d9d-3a77-4623-b87f-164bc3c7d736}" parentId="{13dacaa0-b90b-4f40-a7e5-ed3d63e9177c}">
    <x18tc:text xml:space="preserve">ho fatto qualcosa di sbagliato sui nomi</x18tc:text>
  </x18tc:threadedComment>
  <x18tc:threadedComment ref="C8" dT="2024-03-04T15:28:27.00" personId="{f3a9ca67-f207-4962-9515-97d0435befe5}" id="{66daf649-535b-4ce5-bf8a-1aa48d05a588}" parentId="{13dacaa0-b90b-4f40-a7e5-ed3d63e9177c}">
    <x18tc:text xml:space="preserve">risolto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drawing" Target="../drawings/drawing1.xml"/><Relationship Id="rId5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3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4.xml"/></Relationships>
</file>

<file path=xl/worksheets/_rels/sheet3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5.xml"/></Relationships>
</file>

<file path=xl/worksheets/_rels/sheet3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6.xml"/></Relationships>
</file>

<file path=xl/worksheets/_rels/sheet37.xml.rels><?xml version="1.0" encoding="UTF-8" standalone="yes"?><Relationships xmlns="http://schemas.openxmlformats.org/package/2006/relationships"><Relationship Id="rId40" Type="http://schemas.openxmlformats.org/officeDocument/2006/relationships/hyperlink" Target="https://trello.com/b/HcJMAmEy/comunicazione-online-offline-17-1" TargetMode="External"/><Relationship Id="rId42" Type="http://schemas.openxmlformats.org/officeDocument/2006/relationships/hyperlink" Target="https://trello.com/c/oA0hGPwt" TargetMode="External"/><Relationship Id="rId41" Type="http://schemas.openxmlformats.org/officeDocument/2006/relationships/hyperlink" Target="https://trello.com/c/LxjspTER/539-emanuel-lo-hiphop-20-ottobre-2024" TargetMode="External"/><Relationship Id="rId44" Type="http://schemas.openxmlformats.org/officeDocument/2006/relationships/hyperlink" Target="https://trello.com/c/tP2uoLen" TargetMode="External"/><Relationship Id="rId43" Type="http://schemas.openxmlformats.org/officeDocument/2006/relationships/hyperlink" Target="https://trello.com/c/tP2uoLen" TargetMode="External"/><Relationship Id="rId46" Type="http://schemas.openxmlformats.org/officeDocument/2006/relationships/hyperlink" Target="https://trello.com/c/Y1i5ZcRO/177-affitto-sala-beatrice-carbone?search_id=82219b84-c4b9-4b96-af99-df0ef6116675" TargetMode="External"/><Relationship Id="rId45" Type="http://schemas.openxmlformats.org/officeDocument/2006/relationships/hyperlink" Target="https://trello.com/c/Y1i5ZcRO/177-affitto-sala-beatrice-carbone?search_id=82219b84-c4b9-4b96-af99-df0ef6116675" TargetMode="External"/><Relationship Id="rId1" Type="http://schemas.openxmlformats.org/officeDocument/2006/relationships/hyperlink" Target="https://trello.com/c/rIFD7GvW/650-ws-alessio-cavaliere-urban-domenica-01-02-26" TargetMode="External"/><Relationship Id="rId2" Type="http://schemas.openxmlformats.org/officeDocument/2006/relationships/hyperlink" Target="https://trello.com/c/pHkwoDbX/657-brianza-danza-festival-acsi-01-03-2026" TargetMode="External"/><Relationship Id="rId3" Type="http://schemas.openxmlformats.org/officeDocument/2006/relationships/hyperlink" Target="https://trello.com/c/Q5gzazPR/656-openclass-anahita-heels-domenica-01-03-2026" TargetMode="External"/><Relationship Id="rId4" Type="http://schemas.openxmlformats.org/officeDocument/2006/relationships/hyperlink" Target="https://trello.com/c/Bp5MiO9q/623-openclass-ondance-2025-comunicazione" TargetMode="External"/><Relationship Id="rId9" Type="http://schemas.openxmlformats.org/officeDocument/2006/relationships/hyperlink" Target="https://trello.com/c/Bp5MiO9q/623-openclass-ondance-2025-comunicazione" TargetMode="External"/><Relationship Id="rId48" Type="http://schemas.openxmlformats.org/officeDocument/2006/relationships/hyperlink" Target="https://trello.com/c/xGijU2oG/633-ws-lulu-kulova-heels-fusion-domenica-26-10-25" TargetMode="External"/><Relationship Id="rId47" Type="http://schemas.openxmlformats.org/officeDocument/2006/relationships/hyperlink" Target="https://trello.com/c/rJ3y5dZD/667-all-you-can-dance-26-04-2026-csain" TargetMode="External"/><Relationship Id="rId49" Type="http://schemas.openxmlformats.org/officeDocument/2006/relationships/hyperlink" Target="https://trello.com/c/x2nUozFp/637-ws-timor-steffens-commercial-domenica-26-10-25" TargetMode="External"/><Relationship Id="rId5" Type="http://schemas.openxmlformats.org/officeDocument/2006/relationships/hyperlink" Target="https://trello.com/c/Bp5MiO9q/623-openclass-ondance-2025-comunicazione" TargetMode="External"/><Relationship Id="rId6" Type="http://schemas.openxmlformats.org/officeDocument/2006/relationships/hyperlink" Target="https://trello.com/c/djFTe7te/662-danzando-sotto-le-stelle-07-03-2026-asi" TargetMode="External"/><Relationship Id="rId7" Type="http://schemas.openxmlformats.org/officeDocument/2006/relationships/hyperlink" Target="https://trello.com/c/Kg8t2fC8/665-le-stelle-della-danza-rossolab-06-04-26" TargetMode="External"/><Relationship Id="rId8" Type="http://schemas.openxmlformats.org/officeDocument/2006/relationships/hyperlink" Target="https://trello.com/c/fv2lWpPD/621-balloinbianco-07-09-2025-comunicazionee" TargetMode="External"/><Relationship Id="rId31" Type="http://schemas.openxmlformats.org/officeDocument/2006/relationships/hyperlink" Target="https://trello.com/c/vmwAth9z/636-ws-deborah-esposito-heels-domenica-16-11-25?search_id=570b1b12-51a2-4a53-a968-915a39ece0e1" TargetMode="External"/><Relationship Id="rId30" Type="http://schemas.openxmlformats.org/officeDocument/2006/relationships/hyperlink" Target="https://trello.com/c/GxL1cMFz/575-evento-union-latina-europea-a-milano-marittima-234-maggio-2025" TargetMode="External"/><Relationship Id="rId33" Type="http://schemas.openxmlformats.org/officeDocument/2006/relationships/hyperlink" Target="https://trello.com/c/GxL1cMFz/575-evento-union-latina-europea-a-milano-marittima-234-maggio-2025" TargetMode="External"/><Relationship Id="rId32" Type="http://schemas.openxmlformats.org/officeDocument/2006/relationships/hyperlink" Target="https://trello.com/c/1WOUg5WC/629-ws-nicol%C3%B2-de-angelis-salsa-musicality-domenica-16-11-25" TargetMode="External"/><Relationship Id="rId35" Type="http://schemas.openxmlformats.org/officeDocument/2006/relationships/hyperlink" Target="https://trello.com/c/tP2uoLen" TargetMode="External"/><Relationship Id="rId34" Type="http://schemas.openxmlformats.org/officeDocument/2006/relationships/hyperlink" Target="https://trello.com/c/tP2uoLen" TargetMode="External"/><Relationship Id="rId37" Type="http://schemas.openxmlformats.org/officeDocument/2006/relationships/hyperlink" Target="https://trello.com/c/tP2uoLen" TargetMode="External"/><Relationship Id="rId36" Type="http://schemas.openxmlformats.org/officeDocument/2006/relationships/hyperlink" Target="https://trello.com/c/tP2uoLen" TargetMode="External"/><Relationship Id="rId39" Type="http://schemas.openxmlformats.org/officeDocument/2006/relationships/hyperlink" Target="https://trello.com/c/tP2uoLen" TargetMode="External"/><Relationship Id="rId38" Type="http://schemas.openxmlformats.org/officeDocument/2006/relationships/hyperlink" Target="https://trello.com/c/7poF6OTP/666-the-heels-gala-19-04-26" TargetMode="External"/><Relationship Id="rId20" Type="http://schemas.openxmlformats.org/officeDocument/2006/relationships/hyperlink" Target="https://docs.google.com/spreadsheets/d/18iHbFEZ6msv3IU3InH0K5SEgnjM_8H0uHajc7c4fMiQ/edit?gid=1856535678" TargetMode="External"/><Relationship Id="rId22" Type="http://schemas.openxmlformats.org/officeDocument/2006/relationships/hyperlink" Target="https://trello.com/c/v6inwDs4" TargetMode="External"/><Relationship Id="rId21" Type="http://schemas.openxmlformats.org/officeDocument/2006/relationships/hyperlink" Target="https://trello.com/c/t1510E6Q/635-ws-nerea-pasitos-e-salsa-flamenco-14-12-25" TargetMode="External"/><Relationship Id="rId24" Type="http://schemas.openxmlformats.org/officeDocument/2006/relationships/hyperlink" Target="https://trello.com/c/Y1i5ZcRO/177-affitto-sala-beatrice-carbone?search_id=82219b84-c4b9-4b96-af99-df0ef6116675" TargetMode="External"/><Relationship Id="rId23" Type="http://schemas.openxmlformats.org/officeDocument/2006/relationships/hyperlink" Target="https://trello.com/c/GxL1cMFz/575-evento-union-latina-europea-a-milano-marittima-234-maggio-2025" TargetMode="External"/><Relationship Id="rId26" Type="http://schemas.openxmlformats.org/officeDocument/2006/relationships/hyperlink" Target="https://trello.com/c/tP2uoLen" TargetMode="External"/><Relationship Id="rId25" Type="http://schemas.openxmlformats.org/officeDocument/2006/relationships/hyperlink" Target="https://docs.google.com/spreadsheets/u/0/d/1yPkZU75lDVa389ztKemHH64jKdVAncvAuZDxLhCtM3M/edit" TargetMode="External"/><Relationship Id="rId28" Type="http://schemas.openxmlformats.org/officeDocument/2006/relationships/hyperlink" Target="https://trello.com/c/tP2uoLen" TargetMode="External"/><Relationship Id="rId27" Type="http://schemas.openxmlformats.org/officeDocument/2006/relationships/hyperlink" Target="https://trello.com/c/tP2uoLen" TargetMode="External"/><Relationship Id="rId29" Type="http://schemas.openxmlformats.org/officeDocument/2006/relationships/hyperlink" Target="https://trello.com/c/tP2uoLen" TargetMode="External"/><Relationship Id="rId51" Type="http://schemas.openxmlformats.org/officeDocument/2006/relationships/hyperlink" Target="https://trello.com/c/V9e6TCEg/394-workshop-andrea-truzzi-domenica-26-10-25-pilates-per-ballerini" TargetMode="External"/><Relationship Id="rId50" Type="http://schemas.openxmlformats.org/officeDocument/2006/relationships/hyperlink" Target="https://trello.com/c/Y1i5ZcRO/177-affitto-sala-beatrice-carbone?search_id=82219b84-c4b9-4b96-af99-df0ef6116675" TargetMode="External"/><Relationship Id="rId53" Type="http://schemas.openxmlformats.org/officeDocument/2006/relationships/hyperlink" Target="https://trello.com/c/m1kuAHdm/638-mind-fest-parco-ravizza-domenica-28-10-25" TargetMode="External"/><Relationship Id="rId52" Type="http://schemas.openxmlformats.org/officeDocument/2006/relationships/hyperlink" Target="https://trello.com/c/m1kuAHdm/638-mind-fest-parco-ravizza-domenica-28-10-25" TargetMode="External"/><Relationship Id="rId11" Type="http://schemas.openxmlformats.org/officeDocument/2006/relationships/hyperlink" Target="https://docs.google.com/spreadsheets/u/0/d/1yPkZU75lDVa389ztKemHH64jKdVAncvAuZDxLhCtM3M/edit" TargetMode="External"/><Relationship Id="rId55" Type="http://schemas.openxmlformats.org/officeDocument/2006/relationships/hyperlink" Target="https://docs.google.com/spreadsheets/d/1iQMsg8Xt5XUHzbvXme-d72JMqfVyHkTRcIeOHV9oR_4/edit?usp=drive_link" TargetMode="External"/><Relationship Id="rId10" Type="http://schemas.openxmlformats.org/officeDocument/2006/relationships/hyperlink" Target="https://trello.com/c/mN1r91Wa/622-ballorosso-07-09-2025-comunicazione" TargetMode="External"/><Relationship Id="rId54" Type="http://schemas.openxmlformats.org/officeDocument/2006/relationships/hyperlink" Target="https://trello.com/c/f7gSAceO/642-premio-vienna-danza-30-11-25-acsi" TargetMode="External"/><Relationship Id="rId13" Type="http://schemas.openxmlformats.org/officeDocument/2006/relationships/hyperlink" Target="https://docs.google.com/spreadsheets/u/0/d/1yPkZU75lDVa389ztKemHH64jKdVAncvAuZDxLhCtM3M/edit" TargetMode="External"/><Relationship Id="rId12" Type="http://schemas.openxmlformats.org/officeDocument/2006/relationships/hyperlink" Target="https://trello.com/c/YzPpKH2D/630-ws-kumo-urban-domenica-09-11-25" TargetMode="External"/><Relationship Id="rId56" Type="http://schemas.openxmlformats.org/officeDocument/2006/relationships/drawing" Target="../drawings/drawing37.xml"/><Relationship Id="rId15" Type="http://schemas.openxmlformats.org/officeDocument/2006/relationships/hyperlink" Target="https://trello.com/c/tP2uoLen" TargetMode="External"/><Relationship Id="rId14" Type="http://schemas.openxmlformats.org/officeDocument/2006/relationships/hyperlink" Target="https://trello.com/c/bLyLVkVs/631-ws-leli-indian-fusion-domenica-09-11-25" TargetMode="External"/><Relationship Id="rId17" Type="http://schemas.openxmlformats.org/officeDocument/2006/relationships/hyperlink" Target="https://docs.google.com/spreadsheets/u/0/d/1yPkZU75lDVa389ztKemHH64jKdVAncvAuZDxLhCtM3M/edit" TargetMode="External"/><Relationship Id="rId16" Type="http://schemas.openxmlformats.org/officeDocument/2006/relationships/hyperlink" Target="https://trello.com/c/tP2uoLen" TargetMode="External"/><Relationship Id="rId19" Type="http://schemas.openxmlformats.org/officeDocument/2006/relationships/hyperlink" Target="https://docs.google.com/spreadsheets/u/0/d/1yPkZU75lDVa389ztKemHH64jKdVAncvAuZDxLhCtM3M/edit" TargetMode="External"/><Relationship Id="rId18" Type="http://schemas.openxmlformats.org/officeDocument/2006/relationships/hyperlink" Target="https://docs.google.com/spreadsheets/u/0/d/1yPkZU75lDVa389ztKemHH64jKdVAncvAuZDxLhCtM3M/edit" TargetMode="External"/></Relationships>
</file>

<file path=xl/worksheets/_rels/sheet38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microsoft.com/office/2017/10/relationships/threadedComment" Target="../threadedComments/threadedComment2.xml"/><Relationship Id="rId3" Type="http://schemas.microsoft.com/office/2019/04/relationships/documenttask" Target="../documenttasks/documenttask2.xml"/><Relationship Id="rId4" Type="http://schemas.openxmlformats.org/officeDocument/2006/relationships/drawing" Target="../drawings/drawing38.xml"/><Relationship Id="rId5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F9000"/>
    <outlinePr summaryBelow="0" summaryRight="0"/>
  </sheetPr>
  <sheetViews>
    <sheetView workbookViewId="0">
      <pane xSplit="1.0" ySplit="3.0" topLeftCell="B4" activePane="bottomRight" state="frozen"/>
      <selection activeCell="B1" sqref="B1" pane="topRight"/>
      <selection activeCell="A4" sqref="A4" pane="bottomLeft"/>
      <selection activeCell="B4" sqref="B4" pane="bottomRight"/>
    </sheetView>
  </sheetViews>
  <sheetFormatPr customHeight="1" defaultColWidth="14.43" defaultRowHeight="15.0"/>
  <cols>
    <col customWidth="1" min="1" max="1" width="10.14"/>
    <col customWidth="1" min="2" max="14" width="18.71"/>
  </cols>
  <sheetData>
    <row r="1">
      <c r="A1" s="1"/>
      <c r="B1" s="2" t="s">
        <v>0</v>
      </c>
      <c r="C1" s="3"/>
      <c r="D1" s="4" t="str">
        <f>elenchi!C1</f>
        <v>  SETTIMANA - A</v>
      </c>
      <c r="E1" s="5"/>
      <c r="F1" s="6" t="s">
        <v>1</v>
      </c>
      <c r="G1" s="7" t="str">
        <f>elenchi!D1</f>
        <v>LUNEDI 20 A DOMENICA 26 APRILE 2026</v>
      </c>
      <c r="H1" s="5"/>
      <c r="I1" s="5"/>
      <c r="J1" s="5"/>
      <c r="K1" s="5"/>
      <c r="L1" s="5"/>
      <c r="M1" s="5"/>
      <c r="N1" s="3"/>
    </row>
    <row r="2">
      <c r="A2" s="1"/>
      <c r="B2" s="8"/>
      <c r="C2" s="9"/>
      <c r="D2" s="8"/>
      <c r="E2" s="10"/>
      <c r="F2" s="10"/>
      <c r="G2" s="10"/>
      <c r="H2" s="10"/>
      <c r="I2" s="10"/>
      <c r="J2" s="10"/>
      <c r="K2" s="10"/>
      <c r="L2" s="10"/>
      <c r="M2" s="10"/>
      <c r="N2" s="9"/>
    </row>
    <row r="3">
      <c r="A3" s="11" t="s">
        <v>2</v>
      </c>
      <c r="B3" s="11" t="str">
        <f>elenchi!B1</f>
        <v>ALEXANDRA</v>
      </c>
      <c r="C3" s="11" t="str">
        <f>elenchi!B2</f>
        <v>GIUDITTA</v>
      </c>
      <c r="D3" s="11" t="str">
        <f>elenchi!B3</f>
        <v>ESTEFANY</v>
      </c>
      <c r="E3" s="12" t="str">
        <f>elenchi!B4</f>
        <v>NURA</v>
      </c>
      <c r="F3" s="12" t="str">
        <f>elenchi!B5</f>
        <v/>
      </c>
      <c r="G3" s="12" t="str">
        <f>elenchi!B6</f>
        <v>JOEL</v>
      </c>
      <c r="H3" s="13" t="str">
        <f>elenchi!B7</f>
        <v>KEVIN</v>
      </c>
      <c r="I3" s="14" t="str">
        <f>elenchi!B8</f>
        <v>JASIR</v>
      </c>
      <c r="J3" s="12" t="str">
        <f>elenchi!B9</f>
        <v>DIEGO</v>
      </c>
      <c r="K3" s="15" t="str">
        <f>elenchi!B10</f>
        <v>SARA</v>
      </c>
      <c r="L3" s="15" t="str">
        <f>elenchi!B11</f>
        <v>SANTO</v>
      </c>
      <c r="M3" s="12" t="str">
        <f>elenchi!B12</f>
        <v>MASSI</v>
      </c>
      <c r="N3" s="12" t="str">
        <f>elenchi!B13</f>
        <v/>
      </c>
    </row>
    <row r="4">
      <c r="A4" s="16" t="s">
        <v>3</v>
      </c>
      <c r="B4" s="17"/>
      <c r="C4" s="18"/>
      <c r="D4" s="19"/>
      <c r="E4" s="20"/>
      <c r="F4" s="21"/>
      <c r="G4" s="22"/>
      <c r="H4" s="23"/>
      <c r="I4" s="24"/>
      <c r="J4" s="25"/>
      <c r="K4" s="26"/>
      <c r="L4" s="27"/>
      <c r="M4" s="17"/>
      <c r="N4" s="26"/>
    </row>
    <row r="5">
      <c r="A5" s="28" t="s">
        <v>4</v>
      </c>
      <c r="B5" s="29"/>
      <c r="C5" s="30"/>
      <c r="D5" s="31"/>
      <c r="E5" s="32"/>
      <c r="F5" s="33"/>
      <c r="G5" s="34"/>
      <c r="H5" s="23"/>
      <c r="I5" s="24"/>
      <c r="J5" s="25"/>
      <c r="K5" s="26"/>
      <c r="L5" s="27"/>
      <c r="M5" s="17"/>
      <c r="N5" s="26"/>
    </row>
    <row r="6">
      <c r="A6" s="28" t="s">
        <v>5</v>
      </c>
      <c r="B6" s="29"/>
      <c r="C6" s="30"/>
      <c r="D6" s="31"/>
      <c r="E6" s="32"/>
      <c r="F6" s="33"/>
      <c r="G6" s="34"/>
      <c r="H6" s="35"/>
      <c r="I6" s="36"/>
      <c r="J6" s="37"/>
      <c r="K6" s="38"/>
      <c r="L6" s="27"/>
      <c r="M6" s="17"/>
      <c r="N6" s="26"/>
    </row>
    <row r="7">
      <c r="A7" s="39">
        <v>40475.354166666664</v>
      </c>
      <c r="B7" s="40" t="s">
        <v>6</v>
      </c>
      <c r="C7" s="41"/>
      <c r="D7" s="42"/>
      <c r="E7" s="43"/>
      <c r="F7" s="44"/>
      <c r="G7" s="45"/>
      <c r="H7" s="43" t="s">
        <v>7</v>
      </c>
      <c r="I7" s="43"/>
      <c r="J7" s="40"/>
      <c r="K7" s="46" t="s">
        <v>8</v>
      </c>
      <c r="L7" s="47" t="s">
        <v>9</v>
      </c>
      <c r="M7" s="48"/>
      <c r="N7" s="35"/>
    </row>
    <row r="8">
      <c r="A8" s="49">
        <v>40475.375</v>
      </c>
      <c r="B8" s="50" t="s">
        <v>6</v>
      </c>
      <c r="C8" s="41"/>
      <c r="D8" s="51"/>
      <c r="E8" s="50"/>
      <c r="F8" s="52"/>
      <c r="G8" s="53"/>
      <c r="H8" s="40" t="s">
        <v>7</v>
      </c>
      <c r="I8" s="40"/>
      <c r="J8" s="40"/>
      <c r="K8" s="46" t="s">
        <v>8</v>
      </c>
      <c r="L8" s="54" t="s">
        <v>9</v>
      </c>
      <c r="M8" s="48"/>
      <c r="N8" s="26"/>
    </row>
    <row r="9">
      <c r="A9" s="55">
        <v>40475.395833333336</v>
      </c>
      <c r="B9" s="40" t="s">
        <v>6</v>
      </c>
      <c r="C9" s="41"/>
      <c r="D9" s="56"/>
      <c r="E9" s="40"/>
      <c r="F9" s="57"/>
      <c r="G9" s="53"/>
      <c r="H9" s="40" t="s">
        <v>7</v>
      </c>
      <c r="I9" s="40"/>
      <c r="J9" s="40"/>
      <c r="K9" s="46" t="s">
        <v>8</v>
      </c>
      <c r="L9" s="54" t="s">
        <v>9</v>
      </c>
      <c r="M9" s="48"/>
      <c r="N9" s="35"/>
    </row>
    <row r="10">
      <c r="A10" s="55">
        <v>40475.416666666664</v>
      </c>
      <c r="B10" s="50" t="s">
        <v>6</v>
      </c>
      <c r="C10" s="41"/>
      <c r="D10" s="58"/>
      <c r="E10" s="50"/>
      <c r="F10" s="59"/>
      <c r="G10" s="53"/>
      <c r="H10" s="40" t="s">
        <v>7</v>
      </c>
      <c r="I10" s="40"/>
      <c r="J10" s="40"/>
      <c r="K10" s="46" t="s">
        <v>8</v>
      </c>
      <c r="L10" s="54" t="s">
        <v>9</v>
      </c>
      <c r="M10" s="48" t="s">
        <v>8</v>
      </c>
      <c r="N10" s="26"/>
    </row>
    <row r="11">
      <c r="A11" s="49">
        <v>40475.4375</v>
      </c>
      <c r="B11" s="50" t="s">
        <v>6</v>
      </c>
      <c r="C11" s="41"/>
      <c r="D11" s="60"/>
      <c r="E11" s="50" t="s">
        <v>7</v>
      </c>
      <c r="F11" s="61"/>
      <c r="G11" s="62"/>
      <c r="H11" s="40" t="s">
        <v>7</v>
      </c>
      <c r="I11" s="40"/>
      <c r="J11" s="40"/>
      <c r="K11" s="46" t="s">
        <v>8</v>
      </c>
      <c r="L11" s="63" t="s">
        <v>9</v>
      </c>
      <c r="M11" s="48" t="s">
        <v>8</v>
      </c>
      <c r="N11" s="35"/>
    </row>
    <row r="12">
      <c r="A12" s="49">
        <v>40475.458333333336</v>
      </c>
      <c r="B12" s="64" t="s">
        <v>6</v>
      </c>
      <c r="C12" s="65"/>
      <c r="D12" s="58"/>
      <c r="E12" s="53" t="s">
        <v>7</v>
      </c>
      <c r="F12" s="66"/>
      <c r="G12" s="53"/>
      <c r="H12" s="40" t="s">
        <v>7</v>
      </c>
      <c r="I12" s="40"/>
      <c r="J12" s="40"/>
      <c r="K12" s="46" t="s">
        <v>8</v>
      </c>
      <c r="L12" s="67" t="s">
        <v>9</v>
      </c>
      <c r="M12" s="48" t="s">
        <v>8</v>
      </c>
      <c r="N12" s="35"/>
    </row>
    <row r="13">
      <c r="A13" s="55">
        <v>40475.479166666664</v>
      </c>
      <c r="B13" s="50" t="s">
        <v>6</v>
      </c>
      <c r="C13" s="40"/>
      <c r="D13" s="56"/>
      <c r="E13" s="53" t="s">
        <v>7</v>
      </c>
      <c r="F13" s="68"/>
      <c r="G13" s="53"/>
      <c r="H13" s="40" t="s">
        <v>7</v>
      </c>
      <c r="I13" s="40"/>
      <c r="J13" s="40"/>
      <c r="K13" s="46" t="s">
        <v>8</v>
      </c>
      <c r="L13" s="67" t="s">
        <v>9</v>
      </c>
      <c r="M13" s="48" t="s">
        <v>8</v>
      </c>
      <c r="N13" s="26"/>
    </row>
    <row r="14">
      <c r="A14" s="55">
        <v>40475.5</v>
      </c>
      <c r="B14" s="50" t="s">
        <v>6</v>
      </c>
      <c r="C14" s="40"/>
      <c r="D14" s="69"/>
      <c r="E14" s="53" t="s">
        <v>7</v>
      </c>
      <c r="F14" s="68"/>
      <c r="G14" s="50"/>
      <c r="H14" s="40" t="s">
        <v>7</v>
      </c>
      <c r="I14" s="40"/>
      <c r="J14" s="40"/>
      <c r="K14" s="46" t="s">
        <v>10</v>
      </c>
      <c r="L14" s="67" t="s">
        <v>9</v>
      </c>
      <c r="M14" s="48" t="s">
        <v>8</v>
      </c>
      <c r="N14" s="35"/>
    </row>
    <row r="15">
      <c r="A15" s="49">
        <v>40475.520833333336</v>
      </c>
      <c r="B15" s="50" t="s">
        <v>10</v>
      </c>
      <c r="C15" s="40"/>
      <c r="D15" s="70"/>
      <c r="E15" s="53" t="s">
        <v>7</v>
      </c>
      <c r="F15" s="68"/>
      <c r="G15" s="40"/>
      <c r="H15" s="40" t="s">
        <v>7</v>
      </c>
      <c r="I15" s="40"/>
      <c r="J15" s="58"/>
      <c r="K15" s="46" t="s">
        <v>8</v>
      </c>
      <c r="L15" s="67" t="s">
        <v>9</v>
      </c>
      <c r="M15" s="48" t="s">
        <v>8</v>
      </c>
      <c r="N15" s="35"/>
    </row>
    <row r="16">
      <c r="A16" s="49">
        <v>40475.541666666664</v>
      </c>
      <c r="B16" s="50" t="s">
        <v>7</v>
      </c>
      <c r="C16" s="40"/>
      <c r="D16" s="58"/>
      <c r="E16" s="53" t="s">
        <v>6</v>
      </c>
      <c r="F16" s="66"/>
      <c r="G16" s="50"/>
      <c r="H16" s="40" t="s">
        <v>7</v>
      </c>
      <c r="I16" s="40"/>
      <c r="J16" s="58"/>
      <c r="K16" s="46" t="s">
        <v>8</v>
      </c>
      <c r="L16" s="67" t="s">
        <v>10</v>
      </c>
      <c r="M16" s="48" t="s">
        <v>10</v>
      </c>
      <c r="N16" s="35"/>
    </row>
    <row r="17">
      <c r="A17" s="55">
        <v>40475.5625</v>
      </c>
      <c r="B17" s="50" t="s">
        <v>7</v>
      </c>
      <c r="C17" s="40"/>
      <c r="D17" s="56"/>
      <c r="E17" s="53" t="s">
        <v>6</v>
      </c>
      <c r="F17" s="66"/>
      <c r="G17" s="40"/>
      <c r="H17" s="40" t="s">
        <v>10</v>
      </c>
      <c r="I17" s="40"/>
      <c r="J17" s="58"/>
      <c r="K17" s="46" t="s">
        <v>8</v>
      </c>
      <c r="L17" s="67" t="s">
        <v>9</v>
      </c>
      <c r="M17" s="48" t="s">
        <v>8</v>
      </c>
      <c r="N17" s="26"/>
    </row>
    <row r="18">
      <c r="A18" s="55">
        <v>40475.583333333336</v>
      </c>
      <c r="B18" s="50" t="s">
        <v>7</v>
      </c>
      <c r="C18" s="40"/>
      <c r="D18" s="58"/>
      <c r="E18" s="71" t="s">
        <v>6</v>
      </c>
      <c r="F18" s="72"/>
      <c r="G18" s="50"/>
      <c r="H18" s="40" t="s">
        <v>7</v>
      </c>
      <c r="I18" s="40"/>
      <c r="J18" s="58"/>
      <c r="K18" s="46" t="s">
        <v>8</v>
      </c>
      <c r="L18" s="67" t="s">
        <v>9</v>
      </c>
      <c r="M18" s="48" t="s">
        <v>8</v>
      </c>
      <c r="N18" s="26"/>
    </row>
    <row r="19">
      <c r="A19" s="49">
        <v>40475.604166666664</v>
      </c>
      <c r="B19" s="50" t="s">
        <v>7</v>
      </c>
      <c r="C19" s="71" t="s">
        <v>7</v>
      </c>
      <c r="D19" s="60" t="s">
        <v>11</v>
      </c>
      <c r="E19" s="73" t="s">
        <v>10</v>
      </c>
      <c r="F19" s="62" t="s">
        <v>11</v>
      </c>
      <c r="G19" s="50" t="s">
        <v>6</v>
      </c>
      <c r="H19" s="40" t="s">
        <v>7</v>
      </c>
      <c r="I19" s="40" t="s">
        <v>11</v>
      </c>
      <c r="J19" s="58"/>
      <c r="K19" s="46" t="s">
        <v>8</v>
      </c>
      <c r="L19" s="46" t="s">
        <v>9</v>
      </c>
      <c r="M19" s="48" t="s">
        <v>8</v>
      </c>
      <c r="N19" s="26" t="s">
        <v>7</v>
      </c>
    </row>
    <row r="20">
      <c r="A20" s="49">
        <v>40475.625</v>
      </c>
      <c r="B20" s="50" t="s">
        <v>7</v>
      </c>
      <c r="C20" s="74" t="s">
        <v>7</v>
      </c>
      <c r="D20" s="58" t="s">
        <v>11</v>
      </c>
      <c r="E20" s="73" t="s">
        <v>11</v>
      </c>
      <c r="F20" s="62" t="s">
        <v>11</v>
      </c>
      <c r="G20" s="40" t="s">
        <v>6</v>
      </c>
      <c r="H20" s="40" t="s">
        <v>7</v>
      </c>
      <c r="I20" s="40" t="s">
        <v>11</v>
      </c>
      <c r="J20" s="58"/>
      <c r="K20" s="46" t="s">
        <v>8</v>
      </c>
      <c r="L20" s="46" t="s">
        <v>9</v>
      </c>
      <c r="M20" s="48" t="s">
        <v>8</v>
      </c>
      <c r="N20" s="35" t="s">
        <v>7</v>
      </c>
    </row>
    <row r="21">
      <c r="A21" s="55">
        <v>40475.645833333336</v>
      </c>
      <c r="B21" s="40" t="s">
        <v>7</v>
      </c>
      <c r="C21" s="71" t="s">
        <v>7</v>
      </c>
      <c r="D21" s="60" t="s">
        <v>11</v>
      </c>
      <c r="E21" s="71" t="s">
        <v>11</v>
      </c>
      <c r="F21" s="62" t="s">
        <v>11</v>
      </c>
      <c r="G21" s="50" t="s">
        <v>6</v>
      </c>
      <c r="H21" s="40" t="s">
        <v>7</v>
      </c>
      <c r="I21" s="40" t="s">
        <v>11</v>
      </c>
      <c r="J21" s="58"/>
      <c r="K21" s="46" t="s">
        <v>8</v>
      </c>
      <c r="L21" s="46" t="s">
        <v>9</v>
      </c>
      <c r="M21" s="48" t="s">
        <v>8</v>
      </c>
      <c r="N21" s="26" t="s">
        <v>7</v>
      </c>
    </row>
    <row r="22">
      <c r="A22" s="55">
        <v>40475.666666666664</v>
      </c>
      <c r="B22" s="50" t="s">
        <v>7</v>
      </c>
      <c r="C22" s="71" t="s">
        <v>7</v>
      </c>
      <c r="D22" s="58" t="s">
        <v>11</v>
      </c>
      <c r="E22" s="71" t="s">
        <v>11</v>
      </c>
      <c r="F22" s="62" t="s">
        <v>11</v>
      </c>
      <c r="G22" s="50" t="s">
        <v>6</v>
      </c>
      <c r="H22" s="40" t="s">
        <v>7</v>
      </c>
      <c r="I22" s="40" t="s">
        <v>11</v>
      </c>
      <c r="J22" s="58"/>
      <c r="K22" s="46" t="s">
        <v>8</v>
      </c>
      <c r="L22" s="46" t="s">
        <v>9</v>
      </c>
      <c r="M22" s="48" t="s">
        <v>8</v>
      </c>
      <c r="N22" s="35" t="s">
        <v>7</v>
      </c>
    </row>
    <row r="23">
      <c r="A23" s="49">
        <v>40475.6875</v>
      </c>
      <c r="B23" s="40" t="s">
        <v>7</v>
      </c>
      <c r="C23" s="71" t="s">
        <v>7</v>
      </c>
      <c r="D23" s="60" t="s">
        <v>11</v>
      </c>
      <c r="E23" s="71" t="s">
        <v>11</v>
      </c>
      <c r="F23" s="62" t="s">
        <v>11</v>
      </c>
      <c r="G23" s="50" t="s">
        <v>6</v>
      </c>
      <c r="H23" s="40" t="s">
        <v>7</v>
      </c>
      <c r="I23" s="37" t="s">
        <v>11</v>
      </c>
      <c r="J23" s="69"/>
      <c r="K23" s="46" t="s">
        <v>8</v>
      </c>
      <c r="L23" s="46" t="s">
        <v>9</v>
      </c>
      <c r="M23" s="48" t="s">
        <v>8</v>
      </c>
      <c r="N23" s="26" t="s">
        <v>7</v>
      </c>
    </row>
    <row r="24">
      <c r="A24" s="49">
        <v>40475.708333333336</v>
      </c>
      <c r="B24" s="50"/>
      <c r="C24" s="71" t="s">
        <v>7</v>
      </c>
      <c r="D24" s="58" t="s">
        <v>11</v>
      </c>
      <c r="E24" s="71" t="s">
        <v>11</v>
      </c>
      <c r="F24" s="62" t="s">
        <v>11</v>
      </c>
      <c r="G24" s="50" t="s">
        <v>6</v>
      </c>
      <c r="H24" s="37"/>
      <c r="I24" s="37" t="s">
        <v>11</v>
      </c>
      <c r="J24" s="58"/>
      <c r="K24" s="46"/>
      <c r="L24" s="67"/>
      <c r="M24" s="48" t="s">
        <v>8</v>
      </c>
      <c r="N24" s="35" t="s">
        <v>7</v>
      </c>
    </row>
    <row r="25">
      <c r="A25" s="55">
        <v>40475.729166666664</v>
      </c>
      <c r="B25" s="50"/>
      <c r="C25" s="71" t="s">
        <v>7</v>
      </c>
      <c r="D25" s="60" t="s">
        <v>11</v>
      </c>
      <c r="E25" s="74" t="s">
        <v>11</v>
      </c>
      <c r="F25" s="62" t="s">
        <v>11</v>
      </c>
      <c r="G25" s="50" t="s">
        <v>6</v>
      </c>
      <c r="H25" s="37"/>
      <c r="I25" s="37" t="s">
        <v>11</v>
      </c>
      <c r="J25" s="58"/>
      <c r="K25" s="46"/>
      <c r="L25" s="67"/>
      <c r="M25" s="48" t="s">
        <v>8</v>
      </c>
      <c r="N25" s="26" t="s">
        <v>7</v>
      </c>
    </row>
    <row r="26">
      <c r="A26" s="55">
        <v>40475.75</v>
      </c>
      <c r="B26" s="50"/>
      <c r="C26" s="71" t="s">
        <v>7</v>
      </c>
      <c r="D26" s="58" t="s">
        <v>10</v>
      </c>
      <c r="E26" s="74" t="s">
        <v>11</v>
      </c>
      <c r="F26" s="62" t="s">
        <v>10</v>
      </c>
      <c r="G26" s="50" t="s">
        <v>6</v>
      </c>
      <c r="H26" s="37"/>
      <c r="I26" s="37" t="s">
        <v>11</v>
      </c>
      <c r="J26" s="58"/>
      <c r="K26" s="46"/>
      <c r="L26" s="67"/>
      <c r="M26" s="48" t="s">
        <v>8</v>
      </c>
      <c r="N26" s="75" t="s">
        <v>10</v>
      </c>
    </row>
    <row r="27">
      <c r="A27" s="49">
        <v>40475.770833333336</v>
      </c>
      <c r="B27" s="50"/>
      <c r="C27" s="74" t="s">
        <v>7</v>
      </c>
      <c r="D27" s="60" t="s">
        <v>6</v>
      </c>
      <c r="E27" s="74" t="s">
        <v>11</v>
      </c>
      <c r="F27" s="64" t="s">
        <v>6</v>
      </c>
      <c r="G27" s="40" t="s">
        <v>10</v>
      </c>
      <c r="H27" s="37"/>
      <c r="I27" s="37" t="s">
        <v>10</v>
      </c>
      <c r="J27" s="37"/>
      <c r="K27" s="46"/>
      <c r="L27" s="67"/>
      <c r="M27" s="48"/>
      <c r="N27" s="76" t="s">
        <v>7</v>
      </c>
    </row>
    <row r="28">
      <c r="A28" s="49">
        <v>40475.791666666664</v>
      </c>
      <c r="B28" s="50"/>
      <c r="C28" s="74" t="s">
        <v>10</v>
      </c>
      <c r="D28" s="58" t="s">
        <v>6</v>
      </c>
      <c r="E28" s="72"/>
      <c r="F28" s="64" t="s">
        <v>6</v>
      </c>
      <c r="G28" s="40" t="s">
        <v>7</v>
      </c>
      <c r="H28" s="37"/>
      <c r="I28" s="77" t="s">
        <v>7</v>
      </c>
      <c r="J28" s="46"/>
      <c r="K28" s="48"/>
      <c r="L28" s="46"/>
      <c r="M28" s="48"/>
      <c r="N28" s="26" t="s">
        <v>7</v>
      </c>
    </row>
    <row r="29">
      <c r="A29" s="55">
        <v>40475.8125</v>
      </c>
      <c r="B29" s="40"/>
      <c r="C29" s="74" t="s">
        <v>11</v>
      </c>
      <c r="D29" s="77" t="s">
        <v>6</v>
      </c>
      <c r="E29" s="73"/>
      <c r="F29" s="78" t="s">
        <v>6</v>
      </c>
      <c r="G29" s="40" t="s">
        <v>7</v>
      </c>
      <c r="H29" s="37"/>
      <c r="I29" s="37" t="s">
        <v>7</v>
      </c>
      <c r="J29" s="46"/>
      <c r="K29" s="48"/>
      <c r="L29" s="46"/>
      <c r="M29" s="48"/>
      <c r="N29" s="35" t="s">
        <v>7</v>
      </c>
    </row>
    <row r="30">
      <c r="A30" s="55">
        <v>40475.833333333336</v>
      </c>
      <c r="B30" s="40"/>
      <c r="C30" s="74" t="s">
        <v>11</v>
      </c>
      <c r="D30" s="77" t="s">
        <v>6</v>
      </c>
      <c r="E30" s="73"/>
      <c r="F30" s="78" t="s">
        <v>6</v>
      </c>
      <c r="G30" s="40" t="s">
        <v>7</v>
      </c>
      <c r="H30" s="37"/>
      <c r="I30" s="77" t="s">
        <v>7</v>
      </c>
      <c r="J30" s="37"/>
      <c r="K30" s="48"/>
      <c r="L30" s="46"/>
      <c r="M30" s="48"/>
      <c r="N30" s="79" t="s">
        <v>7</v>
      </c>
    </row>
    <row r="31">
      <c r="A31" s="49">
        <v>40475.854166666664</v>
      </c>
      <c r="B31" s="40"/>
      <c r="C31" s="74" t="s">
        <v>11</v>
      </c>
      <c r="D31" s="77" t="s">
        <v>6</v>
      </c>
      <c r="E31" s="73"/>
      <c r="F31" s="78" t="s">
        <v>6</v>
      </c>
      <c r="G31" s="40" t="s">
        <v>7</v>
      </c>
      <c r="H31" s="37"/>
      <c r="I31" s="37" t="s">
        <v>7</v>
      </c>
      <c r="J31" s="37"/>
      <c r="K31" s="48"/>
      <c r="L31" s="46"/>
      <c r="M31" s="48"/>
      <c r="N31" s="27" t="s">
        <v>7</v>
      </c>
    </row>
    <row r="32">
      <c r="A32" s="49">
        <v>40475.875</v>
      </c>
      <c r="B32" s="58"/>
      <c r="C32" s="74" t="s">
        <v>11</v>
      </c>
      <c r="D32" s="77" t="s">
        <v>6</v>
      </c>
      <c r="E32" s="73"/>
      <c r="F32" s="78" t="s">
        <v>6</v>
      </c>
      <c r="G32" s="40" t="s">
        <v>7</v>
      </c>
      <c r="H32" s="37"/>
      <c r="I32" s="77" t="s">
        <v>7</v>
      </c>
      <c r="J32" s="37"/>
      <c r="K32" s="48"/>
      <c r="L32" s="46"/>
      <c r="M32" s="48"/>
      <c r="N32" s="26" t="s">
        <v>7</v>
      </c>
    </row>
    <row r="33">
      <c r="A33" s="55">
        <v>40475.895833333336</v>
      </c>
      <c r="B33" s="60"/>
      <c r="C33" s="74" t="s">
        <v>11</v>
      </c>
      <c r="D33" s="77" t="s">
        <v>6</v>
      </c>
      <c r="E33" s="73"/>
      <c r="F33" s="78" t="s">
        <v>6</v>
      </c>
      <c r="G33" s="40" t="s">
        <v>7</v>
      </c>
      <c r="H33" s="37"/>
      <c r="I33" s="37" t="s">
        <v>7</v>
      </c>
      <c r="J33" s="37"/>
      <c r="K33" s="48"/>
      <c r="L33" s="46"/>
      <c r="M33" s="48"/>
      <c r="N33" s="35" t="s">
        <v>7</v>
      </c>
    </row>
    <row r="34">
      <c r="A34" s="55">
        <v>40475.916666666664</v>
      </c>
      <c r="B34" s="58"/>
      <c r="C34" s="74" t="s">
        <v>11</v>
      </c>
      <c r="D34" s="32" t="s">
        <v>6</v>
      </c>
      <c r="E34" s="73"/>
      <c r="F34" s="78" t="s">
        <v>6</v>
      </c>
      <c r="G34" s="40" t="s">
        <v>7</v>
      </c>
      <c r="H34" s="24"/>
      <c r="I34" s="17" t="s">
        <v>7</v>
      </c>
      <c r="J34" s="37"/>
      <c r="K34" s="24"/>
      <c r="L34" s="24"/>
      <c r="M34" s="24"/>
      <c r="N34" s="26" t="s">
        <v>7</v>
      </c>
    </row>
    <row r="35">
      <c r="A35" s="49">
        <v>40475.9375</v>
      </c>
      <c r="B35" s="58"/>
      <c r="C35" s="74" t="s">
        <v>11</v>
      </c>
      <c r="D35" s="32" t="s">
        <v>6</v>
      </c>
      <c r="E35" s="73"/>
      <c r="F35" s="78" t="s">
        <v>6</v>
      </c>
      <c r="G35" s="40" t="s">
        <v>7</v>
      </c>
      <c r="H35" s="24"/>
      <c r="I35" s="17" t="s">
        <v>7</v>
      </c>
      <c r="J35" s="37"/>
      <c r="K35" s="24"/>
      <c r="L35" s="24"/>
      <c r="M35" s="24"/>
      <c r="N35" s="26" t="s">
        <v>7</v>
      </c>
    </row>
    <row r="36">
      <c r="A36" s="49">
        <v>40475.958333333336</v>
      </c>
      <c r="B36" s="80"/>
      <c r="C36" s="30"/>
      <c r="D36" s="81"/>
      <c r="E36" s="32"/>
      <c r="F36" s="33"/>
      <c r="G36" s="31"/>
      <c r="H36" s="82"/>
      <c r="I36" s="37"/>
      <c r="J36" s="83"/>
      <c r="K36" s="37"/>
      <c r="L36" s="24"/>
      <c r="M36" s="24"/>
      <c r="N36" s="26"/>
    </row>
    <row r="37">
      <c r="A37" s="55">
        <v>40475.979166666664</v>
      </c>
      <c r="B37" s="29"/>
      <c r="C37" s="30"/>
      <c r="D37" s="31"/>
      <c r="E37" s="32"/>
      <c r="F37" s="33"/>
      <c r="G37" s="84"/>
      <c r="H37" s="23"/>
      <c r="I37" s="25"/>
      <c r="J37" s="25"/>
      <c r="K37" s="25"/>
      <c r="L37" s="48"/>
      <c r="M37" s="25"/>
      <c r="N37" s="26"/>
    </row>
    <row r="38">
      <c r="A38" s="85" t="s">
        <v>12</v>
      </c>
      <c r="B38" s="86"/>
      <c r="C38" s="30"/>
      <c r="D38" s="87"/>
      <c r="E38" s="88"/>
      <c r="F38" s="33"/>
      <c r="G38" s="34"/>
      <c r="H38" s="23"/>
      <c r="I38" s="25"/>
      <c r="J38" s="25"/>
      <c r="K38" s="83"/>
      <c r="L38" s="24"/>
      <c r="M38" s="83"/>
      <c r="N38" s="23"/>
    </row>
    <row r="39">
      <c r="A39" s="89" t="s">
        <v>13</v>
      </c>
      <c r="B39" s="89">
        <f t="shared" ref="B39:N39" si="1">CONCATENATE(COUNTIF(B4:B38,"MAGAZZINI")+COUNTIF(B4:B38,"PRIMO")+COUNTIF(B4:B38,"RECEPTION")+COUNTIF(B4:B38,"SAGGI")+COUNTIF(B4:B38,"SECONDO")+COUNTIF(B4:B38,"SMART W")+COUNTIF(B4:B38,"STUDIO 1 e 2")+COUNTIF(B4:B38,"MANUTENZ.")+COUNTIF(B4:B38,"UFFICIO")+COUNTIF(B4:B38,"CAMPUS")+COUNTIF(B4:B38,"TEATRO")+COUNTIF(B4:B38,"AMM.ZIONE")+COUNTIF(B4:B38,"FORMAZ-1p")+COUNTIF(B4:B38,"FORMAZ-2p")+COUNTIF(B4:B38,"FORMAZ-rec")+COUNTIF(B4:B38,"WORKSHOP")+COUNTIF(B4:B38,"EVENTO EST."))/2</f>
        <v>8</v>
      </c>
      <c r="C39" s="89">
        <f t="shared" si="1"/>
        <v>8</v>
      </c>
      <c r="D39" s="89">
        <f t="shared" si="1"/>
        <v>8</v>
      </c>
      <c r="E39" s="89">
        <f t="shared" si="1"/>
        <v>8</v>
      </c>
      <c r="F39" s="89">
        <f t="shared" si="1"/>
        <v>8</v>
      </c>
      <c r="G39" s="89">
        <f t="shared" si="1"/>
        <v>8</v>
      </c>
      <c r="H39" s="89">
        <f t="shared" si="1"/>
        <v>8</v>
      </c>
      <c r="I39" s="89">
        <f t="shared" si="1"/>
        <v>8</v>
      </c>
      <c r="J39" s="89">
        <f t="shared" si="1"/>
        <v>0</v>
      </c>
      <c r="K39" s="89">
        <f t="shared" si="1"/>
        <v>8</v>
      </c>
      <c r="L39" s="89">
        <f t="shared" si="1"/>
        <v>8</v>
      </c>
      <c r="M39" s="89">
        <f t="shared" si="1"/>
        <v>8</v>
      </c>
      <c r="N39" s="89">
        <f t="shared" si="1"/>
        <v>8</v>
      </c>
    </row>
  </sheetData>
  <mergeCells count="4">
    <mergeCell ref="B1:C2"/>
    <mergeCell ref="D1:E2"/>
    <mergeCell ref="F1:F2"/>
    <mergeCell ref="G1:N2"/>
  </mergeCells>
  <conditionalFormatting sqref="B4:N38">
    <cfRule type="containsText" dxfId="0" priority="1" operator="containsText" text="PERMESSO">
      <formula>NOT(ISERROR(SEARCH(("PERMESSO"),(B4))))</formula>
    </cfRule>
  </conditionalFormatting>
  <conditionalFormatting sqref="B4:N38">
    <cfRule type="containsText" dxfId="1" priority="2" operator="containsText" text="MALATTIA">
      <formula>NOT(ISERROR(SEARCH(("MALATTIA"),(B4))))</formula>
    </cfRule>
  </conditionalFormatting>
  <conditionalFormatting sqref="B4:N38">
    <cfRule type="containsText" dxfId="2" priority="3" operator="containsText" text="FORMAZ">
      <formula>NOT(ISERROR(SEARCH(("FORMAZ"),(B4))))</formula>
    </cfRule>
  </conditionalFormatting>
  <conditionalFormatting sqref="B4:N38">
    <cfRule type="containsText" dxfId="3" priority="4" operator="containsText" text="AMM.ZIONE">
      <formula>NOT(ISERROR(SEARCH(("AMM.ZIONE"),(B4))))</formula>
    </cfRule>
  </conditionalFormatting>
  <conditionalFormatting sqref="B4:N38">
    <cfRule type="containsText" dxfId="4" priority="5" operator="containsText" text="PAUSA">
      <formula>NOT(ISERROR(SEARCH(("PAUSA"),(B4))))</formula>
    </cfRule>
  </conditionalFormatting>
  <conditionalFormatting sqref="B4:N38">
    <cfRule type="containsText" dxfId="5" priority="6" operator="containsText" text="PERMESSO">
      <formula>NOT(ISERROR(SEARCH(("PERMESSO"),(B4))))</formula>
    </cfRule>
  </conditionalFormatting>
  <conditionalFormatting sqref="B4:N38">
    <cfRule type="containsText" dxfId="6" priority="7" operator="containsText" text="UFFICIO">
      <formula>NOT(ISERROR(SEARCH(("UFFICIO"),(B4))))</formula>
    </cfRule>
  </conditionalFormatting>
  <conditionalFormatting sqref="B4:N38">
    <cfRule type="containsText" dxfId="7" priority="8" operator="containsText" text="RIPOSO">
      <formula>NOT(ISERROR(SEARCH(("RIPOSO"),(B4))))</formula>
    </cfRule>
  </conditionalFormatting>
  <dataValidations>
    <dataValidation type="list" allowBlank="1" showInputMessage="1" showErrorMessage="1" prompt="Fai clic e immetti un valore da intervallo elenchi!A1:A30" sqref="B4:N38">
      <formula1>elenchi!$A$1:$A$30</formula1>
    </dataValidation>
  </dataValidations>
  <drawing r:id="rId4"/>
  <legacyDrawing r:id="rId5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F9000"/>
    <outlinePr summaryBelow="0" summaryRight="0"/>
  </sheetPr>
  <sheetViews>
    <sheetView workbookViewId="0">
      <pane xSplit="1.0" ySplit="3.0" topLeftCell="B4" activePane="bottomRight" state="frozen"/>
      <selection activeCell="B1" sqref="B1" pane="topRight"/>
      <selection activeCell="A4" sqref="A4" pane="bottomLeft"/>
      <selection activeCell="B4" sqref="B4" pane="bottomRight"/>
    </sheetView>
  </sheetViews>
  <sheetFormatPr customHeight="1" defaultColWidth="14.43" defaultRowHeight="15.0"/>
  <cols>
    <col customWidth="1" min="1" max="1" width="10.14"/>
    <col customWidth="1" min="2" max="14" width="18.71"/>
  </cols>
  <sheetData>
    <row r="1">
      <c r="A1" s="1"/>
      <c r="B1" s="2" t="s">
        <v>14</v>
      </c>
      <c r="C1" s="3"/>
      <c r="D1" s="4" t="str">
        <f>elenchi!C1</f>
        <v>  SETTIMANA - A</v>
      </c>
      <c r="E1" s="5"/>
      <c r="F1" s="6" t="s">
        <v>1</v>
      </c>
      <c r="G1" s="7" t="str">
        <f>elenchi!D1</f>
        <v>LUNEDI 20 A DOMENICA 26 APRILE 2026</v>
      </c>
      <c r="H1" s="5"/>
      <c r="I1" s="5"/>
      <c r="J1" s="5"/>
      <c r="K1" s="5"/>
      <c r="L1" s="5"/>
      <c r="M1" s="5"/>
      <c r="N1" s="3"/>
    </row>
    <row r="2">
      <c r="A2" s="1"/>
      <c r="B2" s="8"/>
      <c r="C2" s="9"/>
      <c r="D2" s="8"/>
      <c r="E2" s="10"/>
      <c r="F2" s="10"/>
      <c r="G2" s="10"/>
      <c r="H2" s="10"/>
      <c r="I2" s="10"/>
      <c r="J2" s="10"/>
      <c r="K2" s="10"/>
      <c r="L2" s="10"/>
      <c r="M2" s="10"/>
      <c r="N2" s="9"/>
    </row>
    <row r="3">
      <c r="A3" s="11" t="s">
        <v>2</v>
      </c>
      <c r="B3" s="11" t="str">
        <f>elenchi!B1</f>
        <v>ALEXANDRA</v>
      </c>
      <c r="C3" s="11" t="str">
        <f>elenchi!B2</f>
        <v>GIUDITTA</v>
      </c>
      <c r="D3" s="11" t="str">
        <f>elenchi!B3</f>
        <v>ESTEFANY</v>
      </c>
      <c r="E3" s="12" t="str">
        <f>elenchi!B4</f>
        <v>NURA</v>
      </c>
      <c r="F3" s="12" t="str">
        <f>elenchi!B5</f>
        <v/>
      </c>
      <c r="G3" s="12" t="str">
        <f>elenchi!B6</f>
        <v>JOEL</v>
      </c>
      <c r="H3" s="13" t="str">
        <f>elenchi!B7</f>
        <v>KEVIN</v>
      </c>
      <c r="I3" s="14" t="str">
        <f>elenchi!B8</f>
        <v>JASIR</v>
      </c>
      <c r="J3" s="15" t="str">
        <f>elenchi!B9</f>
        <v>DIEGO</v>
      </c>
      <c r="K3" s="15" t="str">
        <f>elenchi!B10</f>
        <v>SARA</v>
      </c>
      <c r="L3" s="12" t="str">
        <f>elenchi!B11</f>
        <v>SANTO</v>
      </c>
      <c r="M3" s="12" t="str">
        <f>elenchi!B12</f>
        <v>MASSI</v>
      </c>
      <c r="N3" s="12" t="str">
        <f>elenchi!B13</f>
        <v/>
      </c>
    </row>
    <row r="4">
      <c r="A4" s="16" t="s">
        <v>3</v>
      </c>
      <c r="B4" s="90"/>
      <c r="C4" s="91"/>
      <c r="D4" s="91"/>
      <c r="E4" s="92"/>
      <c r="F4" s="93"/>
      <c r="G4" s="91"/>
      <c r="H4" s="94"/>
      <c r="I4" s="95"/>
      <c r="J4" s="96"/>
      <c r="K4" s="97"/>
      <c r="L4" s="95"/>
      <c r="M4" s="90"/>
      <c r="N4" s="97"/>
    </row>
    <row r="5">
      <c r="A5" s="28" t="s">
        <v>4</v>
      </c>
      <c r="B5" s="98"/>
      <c r="C5" s="99"/>
      <c r="D5" s="99"/>
      <c r="E5" s="100"/>
      <c r="F5" s="101"/>
      <c r="G5" s="99"/>
      <c r="H5" s="94"/>
      <c r="I5" s="95"/>
      <c r="J5" s="96"/>
      <c r="K5" s="102"/>
      <c r="L5" s="95"/>
      <c r="M5" s="90"/>
      <c r="N5" s="97"/>
    </row>
    <row r="6">
      <c r="A6" s="28" t="s">
        <v>5</v>
      </c>
      <c r="B6" s="98"/>
      <c r="C6" s="99"/>
      <c r="D6" s="99"/>
      <c r="E6" s="100"/>
      <c r="F6" s="101"/>
      <c r="G6" s="99"/>
      <c r="H6" s="103"/>
      <c r="I6" s="104"/>
      <c r="J6" s="105"/>
      <c r="K6" s="90"/>
      <c r="L6" s="95"/>
      <c r="M6" s="90"/>
      <c r="N6" s="97"/>
    </row>
    <row r="7">
      <c r="A7" s="39">
        <v>40475.354166666664</v>
      </c>
      <c r="B7" s="106"/>
      <c r="C7" s="100"/>
      <c r="D7" s="43" t="s">
        <v>6</v>
      </c>
      <c r="E7" s="107"/>
      <c r="F7" s="108"/>
      <c r="G7" s="109"/>
      <c r="H7" s="43" t="s">
        <v>11</v>
      </c>
      <c r="I7" s="110"/>
      <c r="J7" s="108"/>
      <c r="K7" s="69" t="s">
        <v>8</v>
      </c>
      <c r="L7" s="111" t="s">
        <v>9</v>
      </c>
      <c r="M7" s="112"/>
      <c r="N7" s="103"/>
    </row>
    <row r="8">
      <c r="A8" s="49">
        <v>40475.375</v>
      </c>
      <c r="B8" s="113"/>
      <c r="C8" s="99"/>
      <c r="D8" s="50" t="s">
        <v>6</v>
      </c>
      <c r="E8" s="114"/>
      <c r="F8" s="115"/>
      <c r="G8" s="109"/>
      <c r="H8" s="40" t="s">
        <v>11</v>
      </c>
      <c r="I8" s="108"/>
      <c r="J8" s="108"/>
      <c r="K8" s="69" t="s">
        <v>8</v>
      </c>
      <c r="L8" s="70" t="s">
        <v>9</v>
      </c>
      <c r="M8" s="70"/>
      <c r="N8" s="97"/>
    </row>
    <row r="9">
      <c r="A9" s="55">
        <v>40475.395833333336</v>
      </c>
      <c r="B9" s="113"/>
      <c r="C9" s="100"/>
      <c r="D9" s="40" t="s">
        <v>6</v>
      </c>
      <c r="E9" s="114"/>
      <c r="F9" s="108"/>
      <c r="G9" s="109"/>
      <c r="H9" s="40" t="s">
        <v>11</v>
      </c>
      <c r="I9" s="108"/>
      <c r="J9" s="108"/>
      <c r="K9" s="69" t="s">
        <v>8</v>
      </c>
      <c r="L9" s="70" t="s">
        <v>9</v>
      </c>
      <c r="M9" s="70"/>
      <c r="N9" s="103"/>
    </row>
    <row r="10">
      <c r="A10" s="55">
        <v>40475.416666666664</v>
      </c>
      <c r="B10" s="113"/>
      <c r="C10" s="99"/>
      <c r="D10" s="50" t="s">
        <v>6</v>
      </c>
      <c r="E10" s="114"/>
      <c r="F10" s="116"/>
      <c r="G10" s="109"/>
      <c r="H10" s="40" t="s">
        <v>11</v>
      </c>
      <c r="I10" s="117"/>
      <c r="J10" s="40"/>
      <c r="K10" s="69" t="s">
        <v>8</v>
      </c>
      <c r="L10" s="70" t="s">
        <v>9</v>
      </c>
      <c r="M10" s="70" t="s">
        <v>8</v>
      </c>
      <c r="N10" s="97"/>
    </row>
    <row r="11">
      <c r="A11" s="49">
        <v>40475.4375</v>
      </c>
      <c r="B11" s="118"/>
      <c r="C11" s="100"/>
      <c r="D11" s="119" t="s">
        <v>6</v>
      </c>
      <c r="E11" s="114"/>
      <c r="F11" s="115"/>
      <c r="G11" s="120" t="s">
        <v>7</v>
      </c>
      <c r="H11" s="40" t="s">
        <v>11</v>
      </c>
      <c r="I11" s="117"/>
      <c r="J11" s="40"/>
      <c r="K11" s="69" t="s">
        <v>8</v>
      </c>
      <c r="L11" s="121" t="s">
        <v>9</v>
      </c>
      <c r="M11" s="70" t="s">
        <v>8</v>
      </c>
      <c r="N11" s="103"/>
    </row>
    <row r="12">
      <c r="A12" s="49">
        <v>40475.458333333336</v>
      </c>
      <c r="B12" s="64"/>
      <c r="C12" s="65"/>
      <c r="D12" s="40" t="s">
        <v>6</v>
      </c>
      <c r="E12" s="114"/>
      <c r="F12" s="115"/>
      <c r="G12" s="45" t="s">
        <v>7</v>
      </c>
      <c r="H12" s="40" t="s">
        <v>11</v>
      </c>
      <c r="I12" s="122"/>
      <c r="J12" s="40"/>
      <c r="K12" s="69" t="s">
        <v>8</v>
      </c>
      <c r="L12" s="122" t="s">
        <v>9</v>
      </c>
      <c r="M12" s="70" t="s">
        <v>8</v>
      </c>
      <c r="N12" s="103"/>
    </row>
    <row r="13">
      <c r="A13" s="55">
        <v>40475.479166666664</v>
      </c>
      <c r="B13" s="78"/>
      <c r="C13" s="50"/>
      <c r="D13" s="50" t="s">
        <v>6</v>
      </c>
      <c r="E13" s="62"/>
      <c r="F13" s="115"/>
      <c r="G13" s="53" t="s">
        <v>7</v>
      </c>
      <c r="H13" s="40" t="s">
        <v>11</v>
      </c>
      <c r="I13" s="122"/>
      <c r="J13" s="40"/>
      <c r="K13" s="69" t="s">
        <v>8</v>
      </c>
      <c r="L13" s="122" t="s">
        <v>9</v>
      </c>
      <c r="M13" s="70" t="s">
        <v>8</v>
      </c>
      <c r="N13" s="97"/>
    </row>
    <row r="14">
      <c r="A14" s="55">
        <v>40475.5</v>
      </c>
      <c r="B14" s="78"/>
      <c r="C14" s="50"/>
      <c r="D14" s="50" t="s">
        <v>6</v>
      </c>
      <c r="E14" s="40"/>
      <c r="F14" s="115"/>
      <c r="G14" s="53" t="s">
        <v>7</v>
      </c>
      <c r="H14" s="43" t="s">
        <v>11</v>
      </c>
      <c r="I14" s="122"/>
      <c r="J14" s="40"/>
      <c r="K14" s="69" t="s">
        <v>10</v>
      </c>
      <c r="L14" s="122" t="s">
        <v>9</v>
      </c>
      <c r="M14" s="70" t="s">
        <v>8</v>
      </c>
      <c r="N14" s="103"/>
    </row>
    <row r="15">
      <c r="A15" s="49">
        <v>40475.520833333336</v>
      </c>
      <c r="B15" s="123"/>
      <c r="C15" s="50"/>
      <c r="D15" s="50" t="s">
        <v>10</v>
      </c>
      <c r="E15" s="40"/>
      <c r="F15" s="115"/>
      <c r="G15" s="109" t="s">
        <v>6</v>
      </c>
      <c r="H15" s="122" t="s">
        <v>11</v>
      </c>
      <c r="I15" s="40"/>
      <c r="J15" s="40"/>
      <c r="K15" s="69" t="s">
        <v>8</v>
      </c>
      <c r="L15" s="122" t="s">
        <v>9</v>
      </c>
      <c r="M15" s="70" t="s">
        <v>8</v>
      </c>
      <c r="N15" s="103" t="s">
        <v>7</v>
      </c>
    </row>
    <row r="16">
      <c r="A16" s="49">
        <v>40475.541666666664</v>
      </c>
      <c r="B16" s="118"/>
      <c r="C16" s="50"/>
      <c r="D16" s="124" t="s">
        <v>6</v>
      </c>
      <c r="E16" s="40"/>
      <c r="F16" s="116"/>
      <c r="G16" s="45" t="s">
        <v>6</v>
      </c>
      <c r="H16" s="122"/>
      <c r="I16" s="40"/>
      <c r="J16" s="40"/>
      <c r="K16" s="69" t="s">
        <v>8</v>
      </c>
      <c r="L16" s="122" t="s">
        <v>10</v>
      </c>
      <c r="M16" s="70" t="s">
        <v>10</v>
      </c>
      <c r="N16" s="103" t="s">
        <v>7</v>
      </c>
    </row>
    <row r="17">
      <c r="A17" s="55">
        <v>40475.5625</v>
      </c>
      <c r="B17" s="118"/>
      <c r="C17" s="50"/>
      <c r="D17" s="124" t="s">
        <v>6</v>
      </c>
      <c r="E17" s="64"/>
      <c r="F17" s="116"/>
      <c r="G17" s="53" t="s">
        <v>6</v>
      </c>
      <c r="H17" s="121"/>
      <c r="I17" s="40"/>
      <c r="J17" s="40"/>
      <c r="K17" s="69" t="s">
        <v>8</v>
      </c>
      <c r="L17" s="122" t="s">
        <v>9</v>
      </c>
      <c r="M17" s="70" t="s">
        <v>8</v>
      </c>
      <c r="N17" s="97" t="s">
        <v>7</v>
      </c>
    </row>
    <row r="18">
      <c r="A18" s="55">
        <v>40475.583333333336</v>
      </c>
      <c r="B18" s="113"/>
      <c r="C18" s="50"/>
      <c r="D18" s="124" t="s">
        <v>6</v>
      </c>
      <c r="E18" s="64"/>
      <c r="F18" s="115"/>
      <c r="G18" s="53" t="s">
        <v>6</v>
      </c>
      <c r="H18" s="122"/>
      <c r="I18" s="40"/>
      <c r="J18" s="40"/>
      <c r="K18" s="69" t="s">
        <v>8</v>
      </c>
      <c r="L18" s="122" t="s">
        <v>9</v>
      </c>
      <c r="M18" s="70" t="s">
        <v>8</v>
      </c>
      <c r="N18" s="97" t="s">
        <v>7</v>
      </c>
    </row>
    <row r="19">
      <c r="A19" s="49">
        <v>40475.604166666664</v>
      </c>
      <c r="B19" s="118" t="s">
        <v>7</v>
      </c>
      <c r="C19" s="78" t="s">
        <v>7</v>
      </c>
      <c r="D19" s="124" t="s">
        <v>6</v>
      </c>
      <c r="E19" s="64" t="s">
        <v>11</v>
      </c>
      <c r="F19" s="116" t="s">
        <v>6</v>
      </c>
      <c r="G19" s="68" t="s">
        <v>10</v>
      </c>
      <c r="H19" s="122"/>
      <c r="I19" s="40" t="s">
        <v>7</v>
      </c>
      <c r="J19" s="40"/>
      <c r="K19" s="69" t="s">
        <v>8</v>
      </c>
      <c r="L19" s="69" t="s">
        <v>9</v>
      </c>
      <c r="M19" s="70" t="s">
        <v>8</v>
      </c>
      <c r="N19" s="103" t="s">
        <v>7</v>
      </c>
    </row>
    <row r="20">
      <c r="A20" s="49">
        <v>40475.625</v>
      </c>
      <c r="B20" s="64" t="s">
        <v>7</v>
      </c>
      <c r="C20" s="64" t="s">
        <v>7</v>
      </c>
      <c r="D20" s="124" t="s">
        <v>6</v>
      </c>
      <c r="E20" s="64" t="s">
        <v>11</v>
      </c>
      <c r="F20" s="116" t="s">
        <v>6</v>
      </c>
      <c r="G20" s="53" t="s">
        <v>7</v>
      </c>
      <c r="H20" s="122"/>
      <c r="I20" s="40" t="s">
        <v>7</v>
      </c>
      <c r="J20" s="40"/>
      <c r="K20" s="69" t="s">
        <v>8</v>
      </c>
      <c r="L20" s="69" t="s">
        <v>9</v>
      </c>
      <c r="M20" s="70" t="s">
        <v>8</v>
      </c>
      <c r="N20" s="103" t="s">
        <v>7</v>
      </c>
    </row>
    <row r="21">
      <c r="A21" s="55">
        <v>40475.645833333336</v>
      </c>
      <c r="B21" s="64" t="s">
        <v>7</v>
      </c>
      <c r="C21" s="78" t="s">
        <v>7</v>
      </c>
      <c r="D21" s="122" t="s">
        <v>6</v>
      </c>
      <c r="E21" s="64" t="s">
        <v>11</v>
      </c>
      <c r="F21" s="117" t="s">
        <v>6</v>
      </c>
      <c r="G21" s="62" t="s">
        <v>7</v>
      </c>
      <c r="H21" s="122"/>
      <c r="I21" s="40" t="s">
        <v>7</v>
      </c>
      <c r="J21" s="40"/>
      <c r="K21" s="69" t="s">
        <v>8</v>
      </c>
      <c r="L21" s="69" t="s">
        <v>9</v>
      </c>
      <c r="M21" s="70" t="s">
        <v>8</v>
      </c>
      <c r="N21" s="103" t="s">
        <v>7</v>
      </c>
    </row>
    <row r="22">
      <c r="A22" s="55">
        <v>40475.666666666664</v>
      </c>
      <c r="B22" s="125" t="s">
        <v>7</v>
      </c>
      <c r="C22" s="64" t="s">
        <v>7</v>
      </c>
      <c r="D22" s="124" t="s">
        <v>6</v>
      </c>
      <c r="E22" s="64" t="s">
        <v>11</v>
      </c>
      <c r="F22" s="116" t="s">
        <v>6</v>
      </c>
      <c r="G22" s="53" t="s">
        <v>7</v>
      </c>
      <c r="H22" s="122"/>
      <c r="I22" s="40" t="s">
        <v>7</v>
      </c>
      <c r="J22" s="40"/>
      <c r="K22" s="69" t="s">
        <v>8</v>
      </c>
      <c r="L22" s="69" t="s">
        <v>9</v>
      </c>
      <c r="M22" s="70" t="s">
        <v>8</v>
      </c>
      <c r="N22" s="103" t="s">
        <v>7</v>
      </c>
    </row>
    <row r="23">
      <c r="A23" s="49">
        <v>40475.6875</v>
      </c>
      <c r="B23" s="126" t="s">
        <v>7</v>
      </c>
      <c r="C23" s="78" t="s">
        <v>7</v>
      </c>
      <c r="D23" s="122" t="s">
        <v>6</v>
      </c>
      <c r="E23" s="64" t="s">
        <v>11</v>
      </c>
      <c r="F23" s="117" t="s">
        <v>6</v>
      </c>
      <c r="G23" s="40" t="s">
        <v>7</v>
      </c>
      <c r="H23" s="122"/>
      <c r="I23" s="40" t="s">
        <v>7</v>
      </c>
      <c r="J23" s="40"/>
      <c r="K23" s="69" t="s">
        <v>8</v>
      </c>
      <c r="L23" s="69" t="s">
        <v>9</v>
      </c>
      <c r="M23" s="70" t="s">
        <v>8</v>
      </c>
      <c r="N23" s="103" t="s">
        <v>10</v>
      </c>
    </row>
    <row r="24">
      <c r="A24" s="49">
        <v>40475.708333333336</v>
      </c>
      <c r="B24" s="127" t="s">
        <v>7</v>
      </c>
      <c r="C24" s="125" t="s">
        <v>7</v>
      </c>
      <c r="D24" s="50"/>
      <c r="E24" s="100" t="s">
        <v>11</v>
      </c>
      <c r="F24" s="128" t="s">
        <v>6</v>
      </c>
      <c r="G24" s="50" t="s">
        <v>7</v>
      </c>
      <c r="H24" s="105"/>
      <c r="I24" s="58" t="s">
        <v>7</v>
      </c>
      <c r="J24" s="40"/>
      <c r="K24" s="128"/>
      <c r="L24" s="117"/>
      <c r="M24" s="70" t="s">
        <v>8</v>
      </c>
      <c r="N24" s="103" t="s">
        <v>7</v>
      </c>
    </row>
    <row r="25">
      <c r="A25" s="55">
        <v>40475.729166666664</v>
      </c>
      <c r="B25" s="122" t="s">
        <v>7</v>
      </c>
      <c r="C25" s="129" t="s">
        <v>10</v>
      </c>
      <c r="D25" s="40"/>
      <c r="E25" s="101" t="s">
        <v>11</v>
      </c>
      <c r="F25" s="130" t="s">
        <v>6</v>
      </c>
      <c r="G25" s="122" t="s">
        <v>7</v>
      </c>
      <c r="H25" s="105"/>
      <c r="I25" s="58" t="s">
        <v>7</v>
      </c>
      <c r="J25" s="40"/>
      <c r="K25" s="128"/>
      <c r="L25" s="117"/>
      <c r="M25" s="70" t="s">
        <v>8</v>
      </c>
      <c r="N25" s="103" t="s">
        <v>7</v>
      </c>
    </row>
    <row r="26">
      <c r="A26" s="55">
        <v>40475.75</v>
      </c>
      <c r="B26" s="122" t="s">
        <v>10</v>
      </c>
      <c r="C26" s="129" t="s">
        <v>6</v>
      </c>
      <c r="D26" s="40"/>
      <c r="E26" s="101" t="s">
        <v>11</v>
      </c>
      <c r="F26" s="130" t="s">
        <v>6</v>
      </c>
      <c r="G26" s="50" t="s">
        <v>7</v>
      </c>
      <c r="H26" s="128"/>
      <c r="I26" s="58" t="s">
        <v>7</v>
      </c>
      <c r="J26" s="40"/>
      <c r="K26" s="128"/>
      <c r="L26" s="117"/>
      <c r="M26" s="70" t="s">
        <v>8</v>
      </c>
      <c r="N26" s="103" t="s">
        <v>7</v>
      </c>
    </row>
    <row r="27">
      <c r="A27" s="49">
        <v>40475.770833333336</v>
      </c>
      <c r="B27" s="122" t="s">
        <v>11</v>
      </c>
      <c r="C27" s="125" t="s">
        <v>6</v>
      </c>
      <c r="D27" s="40"/>
      <c r="E27" s="101" t="s">
        <v>10</v>
      </c>
      <c r="F27" s="128" t="s">
        <v>6</v>
      </c>
      <c r="G27" s="122" t="s">
        <v>7</v>
      </c>
      <c r="H27" s="128"/>
      <c r="I27" s="58" t="s">
        <v>10</v>
      </c>
      <c r="J27" s="128"/>
      <c r="K27" s="128"/>
      <c r="L27" s="117"/>
      <c r="M27" s="112"/>
      <c r="N27" s="103" t="s">
        <v>7</v>
      </c>
    </row>
    <row r="28">
      <c r="A28" s="49">
        <v>40475.791666666664</v>
      </c>
      <c r="B28" s="40" t="s">
        <v>11</v>
      </c>
      <c r="C28" s="125" t="s">
        <v>6</v>
      </c>
      <c r="D28" s="105"/>
      <c r="E28" s="101" t="s">
        <v>7</v>
      </c>
      <c r="F28" s="128" t="s">
        <v>10</v>
      </c>
      <c r="G28" s="40"/>
      <c r="H28" s="105"/>
      <c r="I28" s="58" t="s">
        <v>7</v>
      </c>
      <c r="J28" s="130"/>
      <c r="K28" s="112"/>
      <c r="L28" s="128"/>
      <c r="M28" s="112"/>
      <c r="N28" s="103" t="s">
        <v>7</v>
      </c>
    </row>
    <row r="29">
      <c r="A29" s="55">
        <v>40475.8125</v>
      </c>
      <c r="B29" s="95" t="s">
        <v>11</v>
      </c>
      <c r="C29" s="131" t="s">
        <v>6</v>
      </c>
      <c r="D29" s="105"/>
      <c r="E29" s="128" t="s">
        <v>7</v>
      </c>
      <c r="F29" s="130" t="s">
        <v>6</v>
      </c>
      <c r="G29" s="40"/>
      <c r="H29" s="105"/>
      <c r="I29" s="105" t="s">
        <v>7</v>
      </c>
      <c r="J29" s="128"/>
      <c r="K29" s="112"/>
      <c r="L29" s="128"/>
      <c r="M29" s="112"/>
      <c r="N29" s="103" t="s">
        <v>7</v>
      </c>
    </row>
    <row r="30">
      <c r="A30" s="55">
        <v>40475.833333333336</v>
      </c>
      <c r="B30" s="105" t="s">
        <v>11</v>
      </c>
      <c r="C30" s="131" t="s">
        <v>6</v>
      </c>
      <c r="D30" s="105"/>
      <c r="E30" s="105" t="s">
        <v>7</v>
      </c>
      <c r="F30" s="130" t="s">
        <v>6</v>
      </c>
      <c r="G30" s="40"/>
      <c r="H30" s="105"/>
      <c r="I30" s="105" t="s">
        <v>7</v>
      </c>
      <c r="J30" s="98"/>
      <c r="K30" s="112"/>
      <c r="L30" s="128"/>
      <c r="M30" s="112"/>
      <c r="N30" s="95" t="s">
        <v>7</v>
      </c>
    </row>
    <row r="31">
      <c r="A31" s="49">
        <v>40475.854166666664</v>
      </c>
      <c r="B31" s="105" t="s">
        <v>11</v>
      </c>
      <c r="C31" s="131" t="s">
        <v>6</v>
      </c>
      <c r="D31" s="105"/>
      <c r="E31" s="105" t="s">
        <v>7</v>
      </c>
      <c r="F31" s="130" t="s">
        <v>6</v>
      </c>
      <c r="G31" s="40"/>
      <c r="H31" s="105"/>
      <c r="I31" s="105" t="s">
        <v>7</v>
      </c>
      <c r="J31" s="105"/>
      <c r="K31" s="112"/>
      <c r="L31" s="128"/>
      <c r="M31" s="112"/>
      <c r="N31" s="95" t="s">
        <v>7</v>
      </c>
    </row>
    <row r="32">
      <c r="A32" s="49">
        <v>40475.875</v>
      </c>
      <c r="B32" s="105" t="s">
        <v>11</v>
      </c>
      <c r="C32" s="131" t="s">
        <v>6</v>
      </c>
      <c r="D32" s="105"/>
      <c r="E32" s="105" t="s">
        <v>7</v>
      </c>
      <c r="F32" s="130" t="s">
        <v>6</v>
      </c>
      <c r="G32" s="40"/>
      <c r="H32" s="105"/>
      <c r="I32" s="105" t="s">
        <v>7</v>
      </c>
      <c r="J32" s="98"/>
      <c r="K32" s="112"/>
      <c r="L32" s="128"/>
      <c r="M32" s="112"/>
      <c r="N32" s="103"/>
    </row>
    <row r="33">
      <c r="A33" s="55">
        <v>40475.895833333336</v>
      </c>
      <c r="B33" s="128" t="s">
        <v>11</v>
      </c>
      <c r="C33" s="131" t="s">
        <v>6</v>
      </c>
      <c r="D33" s="105"/>
      <c r="E33" s="105" t="s">
        <v>7</v>
      </c>
      <c r="F33" s="130" t="s">
        <v>6</v>
      </c>
      <c r="G33" s="108"/>
      <c r="H33" s="105"/>
      <c r="I33" s="105" t="s">
        <v>7</v>
      </c>
      <c r="J33" s="128"/>
      <c r="K33" s="112"/>
      <c r="L33" s="128"/>
      <c r="M33" s="112"/>
      <c r="N33" s="103"/>
    </row>
    <row r="34">
      <c r="A34" s="55">
        <v>40475.916666666664</v>
      </c>
      <c r="B34" s="128" t="s">
        <v>11</v>
      </c>
      <c r="C34" s="131" t="s">
        <v>6</v>
      </c>
      <c r="D34" s="100"/>
      <c r="E34" s="100" t="s">
        <v>7</v>
      </c>
      <c r="F34" s="131" t="s">
        <v>6</v>
      </c>
      <c r="G34" s="108"/>
      <c r="H34" s="95"/>
      <c r="I34" s="95" t="s">
        <v>7</v>
      </c>
      <c r="J34" s="98"/>
      <c r="K34" s="95"/>
      <c r="L34" s="95"/>
      <c r="M34" s="95"/>
      <c r="N34" s="103"/>
    </row>
    <row r="35">
      <c r="A35" s="49">
        <v>40475.9375</v>
      </c>
      <c r="B35" s="128" t="s">
        <v>11</v>
      </c>
      <c r="C35" s="131" t="s">
        <v>6</v>
      </c>
      <c r="D35" s="100"/>
      <c r="E35" s="100" t="s">
        <v>7</v>
      </c>
      <c r="F35" s="131" t="s">
        <v>6</v>
      </c>
      <c r="G35" s="108"/>
      <c r="H35" s="95"/>
      <c r="I35" s="95" t="s">
        <v>7</v>
      </c>
      <c r="J35" s="98"/>
      <c r="K35" s="95"/>
      <c r="L35" s="95"/>
      <c r="M35" s="95"/>
      <c r="N35" s="103"/>
    </row>
    <row r="36">
      <c r="A36" s="49">
        <v>40475.958333333336</v>
      </c>
      <c r="B36" s="98"/>
      <c r="C36" s="99"/>
      <c r="D36" s="99"/>
      <c r="E36" s="100"/>
      <c r="F36" s="101"/>
      <c r="G36" s="132"/>
      <c r="H36" s="133"/>
      <c r="I36" s="105"/>
      <c r="J36" s="95"/>
      <c r="K36" s="105"/>
      <c r="L36" s="95"/>
      <c r="M36" s="95"/>
      <c r="N36" s="97"/>
    </row>
    <row r="37">
      <c r="A37" s="55">
        <v>40475.979166666664</v>
      </c>
      <c r="B37" s="98"/>
      <c r="C37" s="99"/>
      <c r="D37" s="99"/>
      <c r="E37" s="100"/>
      <c r="F37" s="101"/>
      <c r="G37" s="99"/>
      <c r="H37" s="94"/>
      <c r="I37" s="96"/>
      <c r="J37" s="96"/>
      <c r="K37" s="96"/>
      <c r="L37" s="112"/>
      <c r="M37" s="96"/>
      <c r="N37" s="97"/>
    </row>
    <row r="38">
      <c r="A38" s="85" t="s">
        <v>12</v>
      </c>
      <c r="B38" s="98"/>
      <c r="C38" s="134"/>
      <c r="D38" s="99"/>
      <c r="E38" s="100"/>
      <c r="F38" s="101"/>
      <c r="G38" s="134"/>
      <c r="H38" s="94"/>
      <c r="I38" s="96"/>
      <c r="J38" s="96"/>
      <c r="K38" s="135"/>
      <c r="L38" s="95"/>
      <c r="M38" s="135"/>
      <c r="N38" s="94"/>
    </row>
    <row r="39">
      <c r="A39" s="89" t="s">
        <v>13</v>
      </c>
      <c r="B39" s="89">
        <f t="shared" ref="B39:N39" si="1">CONCATENATE(COUNTIF(B4:B38,"MAGAZZINI")+COUNTIF(B4:B38,"PRIMO")+COUNTIF(B4:B38,"RECEPTION")+COUNTIF(B4:B38,"SAGGI")+COUNTIF(B4:B38,"SECONDO")+COUNTIF(B4:B38,"SMART W")+COUNTIF(B4:B38,"STUDIO 1 e 2")+COUNTIF(B4:B38,"MANUTENZ.")+COUNTIF(B4:B38,"UFFICIO")+COUNTIF(B4:B38,"CAMPUS")+COUNTIF(B4:B38,"TEATRO")+COUNTIF(B4:B38,"AMM.ZIONE")+COUNTIF(B4:B38,"FORMAZ-1p")+COUNTIF(B4:B38,"FORMAZ-2p")+COUNTIF(B4:B38,"FORMAZ-rec")+COUNTIF(B4:B38,"WORKSHOP")+COUNTIF(B4:B38,"EVENTO EST."))/2</f>
        <v>8</v>
      </c>
      <c r="C39" s="89">
        <f t="shared" si="1"/>
        <v>8</v>
      </c>
      <c r="D39" s="89">
        <f t="shared" si="1"/>
        <v>8</v>
      </c>
      <c r="E39" s="89">
        <f t="shared" si="1"/>
        <v>8</v>
      </c>
      <c r="F39" s="89">
        <f t="shared" si="1"/>
        <v>8</v>
      </c>
      <c r="G39" s="89">
        <f t="shared" si="1"/>
        <v>8</v>
      </c>
      <c r="H39" s="89">
        <f t="shared" si="1"/>
        <v>4.5</v>
      </c>
      <c r="I39" s="89">
        <f t="shared" si="1"/>
        <v>8</v>
      </c>
      <c r="J39" s="89">
        <f t="shared" si="1"/>
        <v>0</v>
      </c>
      <c r="K39" s="89">
        <f t="shared" si="1"/>
        <v>8</v>
      </c>
      <c r="L39" s="89">
        <f t="shared" si="1"/>
        <v>8</v>
      </c>
      <c r="M39" s="89">
        <f t="shared" si="1"/>
        <v>8</v>
      </c>
      <c r="N39" s="89">
        <f t="shared" si="1"/>
        <v>8</v>
      </c>
    </row>
  </sheetData>
  <mergeCells count="4">
    <mergeCell ref="B1:C2"/>
    <mergeCell ref="D1:E2"/>
    <mergeCell ref="F1:F2"/>
    <mergeCell ref="G1:N2"/>
  </mergeCells>
  <conditionalFormatting sqref="B4:C38 E4:E38 G27:G33 D28:D35">
    <cfRule type="containsText" dxfId="5" priority="1" operator="containsText" text="PERMESSO">
      <formula>NOT(ISERROR(SEARCH(("PERMESSO"),(B4))))</formula>
    </cfRule>
  </conditionalFormatting>
  <conditionalFormatting sqref="B4:N38">
    <cfRule type="containsText" dxfId="1" priority="2" operator="containsText" text="MALATTIA">
      <formula>NOT(ISERROR(SEARCH(("MALATTIA"),(B4))))</formula>
    </cfRule>
  </conditionalFormatting>
  <conditionalFormatting sqref="B4:N38">
    <cfRule type="containsText" dxfId="2" priority="3" operator="containsText" text="FORMAZ">
      <formula>NOT(ISERROR(SEARCH(("FORMAZ"),(B4))))</formula>
    </cfRule>
  </conditionalFormatting>
  <conditionalFormatting sqref="B4:N38">
    <cfRule type="containsText" dxfId="3" priority="4" operator="containsText" text="AMM.ZIONE">
      <formula>NOT(ISERROR(SEARCH(("AMM.ZIONE"),(B4))))</formula>
    </cfRule>
  </conditionalFormatting>
  <conditionalFormatting sqref="B4:N38">
    <cfRule type="containsText" dxfId="4" priority="5" operator="containsText" text="PAUSA">
      <formula>NOT(ISERROR(SEARCH(("PAUSA"),(B4))))</formula>
    </cfRule>
  </conditionalFormatting>
  <conditionalFormatting sqref="B4:N38">
    <cfRule type="containsText" dxfId="0" priority="6" operator="containsText" text="PERMESSO">
      <formula>NOT(ISERROR(SEARCH(("PERMESSO"),(B4))))</formula>
    </cfRule>
  </conditionalFormatting>
  <conditionalFormatting sqref="B4:N38">
    <cfRule type="containsText" dxfId="6" priority="7" operator="containsText" text="UFFICIO">
      <formula>NOT(ISERROR(SEARCH(("UFFICIO"),(B4))))</formula>
    </cfRule>
  </conditionalFormatting>
  <conditionalFormatting sqref="B4:N38">
    <cfRule type="containsText" dxfId="7" priority="8" operator="containsText" text="RIPOSO">
      <formula>NOT(ISERROR(SEARCH(("RIPOSO"),(B4))))</formula>
    </cfRule>
  </conditionalFormatting>
  <dataValidations>
    <dataValidation type="list" allowBlank="1" showInputMessage="1" showErrorMessage="1" prompt="Fai clic e immetti un valore da intervallo elenchi!A1:A30" sqref="B4:N38">
      <formula1>elenchi!$A$1:$A$30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F9000"/>
    <outlinePr summaryBelow="0" summaryRight="0"/>
  </sheetPr>
  <sheetViews>
    <sheetView workbookViewId="0">
      <pane xSplit="1.0" ySplit="3.0" topLeftCell="B4" activePane="bottomRight" state="frozen"/>
      <selection activeCell="B1" sqref="B1" pane="topRight"/>
      <selection activeCell="A4" sqref="A4" pane="bottomLeft"/>
      <selection activeCell="B4" sqref="B4" pane="bottomRight"/>
    </sheetView>
  </sheetViews>
  <sheetFormatPr customHeight="1" defaultColWidth="14.43" defaultRowHeight="15.0"/>
  <cols>
    <col customWidth="1" min="1" max="1" width="10.14"/>
    <col customWidth="1" min="2" max="14" width="18.71"/>
  </cols>
  <sheetData>
    <row r="1">
      <c r="A1" s="1"/>
      <c r="B1" s="2" t="s">
        <v>15</v>
      </c>
      <c r="C1" s="3"/>
      <c r="D1" s="4" t="str">
        <f>elenchi!C1</f>
        <v>  SETTIMANA - A</v>
      </c>
      <c r="E1" s="5"/>
      <c r="F1" s="6" t="s">
        <v>1</v>
      </c>
      <c r="G1" s="7" t="str">
        <f>elenchi!D1</f>
        <v>LUNEDI 20 A DOMENICA 26 APRILE 2026</v>
      </c>
      <c r="H1" s="5"/>
      <c r="I1" s="5"/>
      <c r="J1" s="5"/>
      <c r="K1" s="5"/>
      <c r="L1" s="5"/>
      <c r="M1" s="5"/>
      <c r="N1" s="3"/>
    </row>
    <row r="2">
      <c r="A2" s="1"/>
      <c r="B2" s="8"/>
      <c r="C2" s="9"/>
      <c r="D2" s="8"/>
      <c r="E2" s="10"/>
      <c r="F2" s="10"/>
      <c r="G2" s="10"/>
      <c r="H2" s="10"/>
      <c r="I2" s="10"/>
      <c r="J2" s="10"/>
      <c r="K2" s="10"/>
      <c r="L2" s="10"/>
      <c r="M2" s="10"/>
      <c r="N2" s="9"/>
    </row>
    <row r="3">
      <c r="A3" s="11" t="s">
        <v>2</v>
      </c>
      <c r="B3" s="11" t="str">
        <f>elenchi!B1</f>
        <v>ALEXANDRA</v>
      </c>
      <c r="C3" s="11" t="str">
        <f>elenchi!B2</f>
        <v>GIUDITTA</v>
      </c>
      <c r="D3" s="11" t="str">
        <f>elenchi!B3</f>
        <v>ESTEFANY</v>
      </c>
      <c r="E3" s="12" t="str">
        <f>elenchi!B4</f>
        <v>NURA</v>
      </c>
      <c r="F3" s="12" t="str">
        <f>elenchi!B5</f>
        <v/>
      </c>
      <c r="G3" s="12" t="str">
        <f>elenchi!B6</f>
        <v>JOEL</v>
      </c>
      <c r="H3" s="13" t="str">
        <f>elenchi!B7</f>
        <v>KEVIN</v>
      </c>
      <c r="I3" s="14" t="str">
        <f>elenchi!B8</f>
        <v>JASIR</v>
      </c>
      <c r="J3" s="15" t="str">
        <f>elenchi!B9</f>
        <v>DIEGO</v>
      </c>
      <c r="K3" s="15" t="str">
        <f>elenchi!B10</f>
        <v>SARA</v>
      </c>
      <c r="L3" s="12" t="str">
        <f>elenchi!B11</f>
        <v>SANTO</v>
      </c>
      <c r="M3" s="12" t="str">
        <f>elenchi!B12</f>
        <v>MASSI</v>
      </c>
      <c r="N3" s="12" t="str">
        <f>elenchi!B13</f>
        <v/>
      </c>
    </row>
    <row r="4">
      <c r="A4" s="16" t="s">
        <v>3</v>
      </c>
      <c r="B4" s="17"/>
      <c r="C4" s="18"/>
      <c r="D4" s="19"/>
      <c r="E4" s="20"/>
      <c r="F4" s="20"/>
      <c r="G4" s="22"/>
      <c r="H4" s="23"/>
      <c r="I4" s="25"/>
      <c r="J4" s="25"/>
      <c r="K4" s="26"/>
      <c r="L4" s="27"/>
      <c r="M4" s="17"/>
      <c r="N4" s="26"/>
    </row>
    <row r="5">
      <c r="A5" s="28" t="s">
        <v>4</v>
      </c>
      <c r="B5" s="29"/>
      <c r="C5" s="30"/>
      <c r="D5" s="31"/>
      <c r="E5" s="32"/>
      <c r="F5" s="32"/>
      <c r="G5" s="34"/>
      <c r="H5" s="23"/>
      <c r="I5" s="25"/>
      <c r="J5" s="25"/>
      <c r="K5" s="26"/>
      <c r="L5" s="27"/>
      <c r="M5" s="17"/>
      <c r="N5" s="26"/>
    </row>
    <row r="6">
      <c r="A6" s="28" t="s">
        <v>5</v>
      </c>
      <c r="B6" s="29"/>
      <c r="C6" s="30"/>
      <c r="D6" s="31"/>
      <c r="E6" s="32"/>
      <c r="F6" s="32"/>
      <c r="G6" s="34"/>
      <c r="H6" s="35"/>
      <c r="I6" s="37"/>
      <c r="J6" s="37"/>
      <c r="K6" s="38"/>
      <c r="L6" s="27"/>
      <c r="M6" s="17"/>
      <c r="N6" s="26"/>
    </row>
    <row r="7">
      <c r="A7" s="39">
        <v>40475.354166666664</v>
      </c>
      <c r="B7" s="44"/>
      <c r="C7" s="41"/>
      <c r="D7" s="56"/>
      <c r="E7" s="43"/>
      <c r="F7" s="40"/>
      <c r="G7" s="40" t="s">
        <v>6</v>
      </c>
      <c r="H7" s="43" t="s">
        <v>7</v>
      </c>
      <c r="I7" s="43"/>
      <c r="J7" s="40"/>
      <c r="K7" s="46" t="s">
        <v>8</v>
      </c>
      <c r="L7" s="47" t="s">
        <v>9</v>
      </c>
      <c r="M7" s="48"/>
      <c r="N7" s="35"/>
    </row>
    <row r="8">
      <c r="A8" s="49">
        <v>40475.375</v>
      </c>
      <c r="B8" s="52"/>
      <c r="C8" s="41"/>
      <c r="D8" s="51"/>
      <c r="E8" s="50"/>
      <c r="F8" s="40"/>
      <c r="G8" s="40" t="s">
        <v>6</v>
      </c>
      <c r="H8" s="40" t="s">
        <v>7</v>
      </c>
      <c r="I8" s="40"/>
      <c r="J8" s="40"/>
      <c r="K8" s="46" t="s">
        <v>8</v>
      </c>
      <c r="L8" s="54" t="s">
        <v>9</v>
      </c>
      <c r="M8" s="48" t="s">
        <v>8</v>
      </c>
      <c r="N8" s="26"/>
    </row>
    <row r="9">
      <c r="A9" s="55">
        <v>40475.395833333336</v>
      </c>
      <c r="B9" s="57"/>
      <c r="C9" s="41"/>
      <c r="D9" s="51"/>
      <c r="E9" s="40"/>
      <c r="F9" s="40"/>
      <c r="G9" s="40" t="s">
        <v>6</v>
      </c>
      <c r="H9" s="40" t="s">
        <v>7</v>
      </c>
      <c r="I9" s="40"/>
      <c r="J9" s="40"/>
      <c r="K9" s="46" t="s">
        <v>8</v>
      </c>
      <c r="L9" s="54" t="s">
        <v>9</v>
      </c>
      <c r="M9" s="48" t="s">
        <v>8</v>
      </c>
      <c r="N9" s="35"/>
    </row>
    <row r="10">
      <c r="A10" s="55">
        <v>40475.416666666664</v>
      </c>
      <c r="B10" s="59"/>
      <c r="C10" s="41"/>
      <c r="D10" s="51"/>
      <c r="E10" s="50"/>
      <c r="F10" s="124"/>
      <c r="G10" s="40" t="s">
        <v>6</v>
      </c>
      <c r="H10" s="40" t="s">
        <v>7</v>
      </c>
      <c r="I10" s="122"/>
      <c r="J10" s="40"/>
      <c r="K10" s="46" t="s">
        <v>8</v>
      </c>
      <c r="L10" s="54" t="s">
        <v>9</v>
      </c>
      <c r="M10" s="48" t="s">
        <v>8</v>
      </c>
      <c r="N10" s="26"/>
    </row>
    <row r="11">
      <c r="A11" s="49">
        <v>40475.4375</v>
      </c>
      <c r="B11" s="52" t="s">
        <v>7</v>
      </c>
      <c r="C11" s="41"/>
      <c r="D11" s="43"/>
      <c r="E11" s="40"/>
      <c r="F11" s="122"/>
      <c r="G11" s="74" t="s">
        <v>6</v>
      </c>
      <c r="H11" s="40" t="s">
        <v>7</v>
      </c>
      <c r="I11" s="122"/>
      <c r="J11" s="40"/>
      <c r="K11" s="46" t="s">
        <v>8</v>
      </c>
      <c r="L11" s="63" t="s">
        <v>9</v>
      </c>
      <c r="M11" s="48" t="s">
        <v>8</v>
      </c>
      <c r="N11" s="35"/>
    </row>
    <row r="12">
      <c r="A12" s="49">
        <v>40475.458333333336</v>
      </c>
      <c r="B12" s="52" t="s">
        <v>7</v>
      </c>
      <c r="C12" s="136"/>
      <c r="D12" s="50"/>
      <c r="E12" s="65"/>
      <c r="F12" s="122"/>
      <c r="G12" s="40" t="s">
        <v>6</v>
      </c>
      <c r="H12" s="40" t="s">
        <v>7</v>
      </c>
      <c r="I12" s="122"/>
      <c r="J12" s="40"/>
      <c r="K12" s="46" t="s">
        <v>8</v>
      </c>
      <c r="L12" s="67" t="s">
        <v>9</v>
      </c>
      <c r="M12" s="48" t="s">
        <v>8</v>
      </c>
      <c r="N12" s="35"/>
    </row>
    <row r="13">
      <c r="A13" s="55">
        <v>40475.479166666664</v>
      </c>
      <c r="B13" s="52" t="s">
        <v>7</v>
      </c>
      <c r="C13" s="57"/>
      <c r="D13" s="50"/>
      <c r="E13" s="50"/>
      <c r="F13" s="124"/>
      <c r="G13" s="74" t="s">
        <v>6</v>
      </c>
      <c r="H13" s="40" t="s">
        <v>7</v>
      </c>
      <c r="I13" s="122"/>
      <c r="J13" s="40"/>
      <c r="K13" s="46" t="s">
        <v>8</v>
      </c>
      <c r="L13" s="67" t="s">
        <v>9</v>
      </c>
      <c r="M13" s="48" t="s">
        <v>8</v>
      </c>
      <c r="N13" s="26"/>
    </row>
    <row r="14">
      <c r="A14" s="55">
        <v>40475.5</v>
      </c>
      <c r="B14" s="51" t="s">
        <v>7</v>
      </c>
      <c r="C14" s="57"/>
      <c r="D14" s="122"/>
      <c r="E14" s="50"/>
      <c r="F14" s="124"/>
      <c r="G14" s="40" t="s">
        <v>6</v>
      </c>
      <c r="H14" s="40" t="s">
        <v>7</v>
      </c>
      <c r="I14" s="122"/>
      <c r="J14" s="40"/>
      <c r="K14" s="46" t="s">
        <v>10</v>
      </c>
      <c r="L14" s="67" t="s">
        <v>9</v>
      </c>
      <c r="M14" s="48" t="s">
        <v>8</v>
      </c>
      <c r="N14" s="35"/>
    </row>
    <row r="15">
      <c r="A15" s="49">
        <v>40475.520833333336</v>
      </c>
      <c r="B15" s="124" t="s">
        <v>6</v>
      </c>
      <c r="C15" s="57"/>
      <c r="D15" s="50"/>
      <c r="E15" s="50"/>
      <c r="F15" s="124"/>
      <c r="G15" s="122" t="s">
        <v>10</v>
      </c>
      <c r="H15" s="40" t="s">
        <v>7</v>
      </c>
      <c r="I15" s="122"/>
      <c r="J15" s="58"/>
      <c r="K15" s="46" t="s">
        <v>8</v>
      </c>
      <c r="L15" s="67" t="s">
        <v>9</v>
      </c>
      <c r="M15" s="48" t="s">
        <v>8</v>
      </c>
      <c r="N15" s="35"/>
    </row>
    <row r="16">
      <c r="A16" s="49">
        <v>40475.541666666664</v>
      </c>
      <c r="B16" s="50" t="s">
        <v>6</v>
      </c>
      <c r="C16" s="57"/>
      <c r="D16" s="40"/>
      <c r="E16" s="50"/>
      <c r="F16" s="122"/>
      <c r="G16" s="50" t="s">
        <v>7</v>
      </c>
      <c r="H16" s="40" t="s">
        <v>7</v>
      </c>
      <c r="I16" s="122"/>
      <c r="J16" s="58"/>
      <c r="K16" s="46" t="s">
        <v>8</v>
      </c>
      <c r="L16" s="67" t="s">
        <v>10</v>
      </c>
      <c r="M16" s="48" t="s">
        <v>10</v>
      </c>
      <c r="N16" s="35"/>
    </row>
    <row r="17">
      <c r="A17" s="55">
        <v>40475.5625</v>
      </c>
      <c r="B17" s="50" t="s">
        <v>6</v>
      </c>
      <c r="C17" s="57"/>
      <c r="D17" s="50"/>
      <c r="E17" s="50"/>
      <c r="F17" s="122"/>
      <c r="G17" s="40" t="s">
        <v>7</v>
      </c>
      <c r="H17" s="40" t="s">
        <v>10</v>
      </c>
      <c r="I17" s="122"/>
      <c r="J17" s="58"/>
      <c r="K17" s="46" t="s">
        <v>8</v>
      </c>
      <c r="L17" s="67" t="s">
        <v>9</v>
      </c>
      <c r="M17" s="48" t="s">
        <v>8</v>
      </c>
      <c r="N17" s="26"/>
    </row>
    <row r="18">
      <c r="A18" s="55">
        <v>40475.583333333336</v>
      </c>
      <c r="B18" s="50" t="s">
        <v>6</v>
      </c>
      <c r="C18" s="30"/>
      <c r="D18" s="40"/>
      <c r="E18" s="50"/>
      <c r="F18" s="122"/>
      <c r="G18" s="50" t="s">
        <v>7</v>
      </c>
      <c r="H18" s="40" t="s">
        <v>7</v>
      </c>
      <c r="I18" s="46"/>
      <c r="J18" s="58"/>
      <c r="K18" s="46" t="s">
        <v>8</v>
      </c>
      <c r="L18" s="67" t="s">
        <v>9</v>
      </c>
      <c r="M18" s="48" t="s">
        <v>8</v>
      </c>
      <c r="N18" s="26"/>
    </row>
    <row r="19">
      <c r="A19" s="49">
        <v>40475.604166666664</v>
      </c>
      <c r="B19" s="124" t="s">
        <v>10</v>
      </c>
      <c r="C19" s="33" t="s">
        <v>7</v>
      </c>
      <c r="D19" s="50" t="s">
        <v>6</v>
      </c>
      <c r="E19" s="137" t="s">
        <v>11</v>
      </c>
      <c r="F19" s="50" t="s">
        <v>6</v>
      </c>
      <c r="G19" s="40" t="s">
        <v>7</v>
      </c>
      <c r="H19" s="40" t="s">
        <v>7</v>
      </c>
      <c r="I19" s="37" t="s">
        <v>7</v>
      </c>
      <c r="J19" s="58"/>
      <c r="K19" s="46" t="s">
        <v>8</v>
      </c>
      <c r="L19" s="46" t="s">
        <v>9</v>
      </c>
      <c r="M19" s="48" t="s">
        <v>8</v>
      </c>
      <c r="N19" s="35" t="s">
        <v>7</v>
      </c>
    </row>
    <row r="20">
      <c r="A20" s="49">
        <v>40475.625</v>
      </c>
      <c r="B20" s="122" t="s">
        <v>7</v>
      </c>
      <c r="C20" s="33" t="s">
        <v>7</v>
      </c>
      <c r="D20" s="50" t="s">
        <v>6</v>
      </c>
      <c r="E20" s="33" t="s">
        <v>11</v>
      </c>
      <c r="F20" s="50" t="s">
        <v>6</v>
      </c>
      <c r="G20" s="50" t="s">
        <v>7</v>
      </c>
      <c r="H20" s="40" t="s">
        <v>7</v>
      </c>
      <c r="I20" s="37" t="s">
        <v>7</v>
      </c>
      <c r="J20" s="40"/>
      <c r="K20" s="46" t="s">
        <v>8</v>
      </c>
      <c r="L20" s="46" t="s">
        <v>9</v>
      </c>
      <c r="M20" s="48" t="s">
        <v>8</v>
      </c>
      <c r="N20" s="35" t="s">
        <v>7</v>
      </c>
    </row>
    <row r="21">
      <c r="A21" s="55">
        <v>40475.645833333336</v>
      </c>
      <c r="B21" s="122" t="s">
        <v>7</v>
      </c>
      <c r="C21" s="33" t="s">
        <v>7</v>
      </c>
      <c r="D21" s="122" t="s">
        <v>6</v>
      </c>
      <c r="E21" s="137" t="s">
        <v>11</v>
      </c>
      <c r="F21" s="122" t="s">
        <v>6</v>
      </c>
      <c r="G21" s="122" t="s">
        <v>7</v>
      </c>
      <c r="H21" s="40" t="s">
        <v>7</v>
      </c>
      <c r="I21" s="37" t="s">
        <v>7</v>
      </c>
      <c r="J21" s="40"/>
      <c r="K21" s="46" t="s">
        <v>8</v>
      </c>
      <c r="L21" s="46" t="s">
        <v>9</v>
      </c>
      <c r="M21" s="48" t="s">
        <v>8</v>
      </c>
      <c r="N21" s="35" t="s">
        <v>7</v>
      </c>
    </row>
    <row r="22">
      <c r="A22" s="55">
        <v>40475.666666666664</v>
      </c>
      <c r="B22" s="124" t="s">
        <v>7</v>
      </c>
      <c r="C22" s="137" t="s">
        <v>7</v>
      </c>
      <c r="D22" s="40" t="s">
        <v>6</v>
      </c>
      <c r="E22" s="33" t="s">
        <v>11</v>
      </c>
      <c r="F22" s="40" t="s">
        <v>6</v>
      </c>
      <c r="G22" s="50" t="s">
        <v>7</v>
      </c>
      <c r="H22" s="40" t="s">
        <v>7</v>
      </c>
      <c r="I22" s="37" t="s">
        <v>7</v>
      </c>
      <c r="J22" s="40"/>
      <c r="K22" s="46" t="s">
        <v>8</v>
      </c>
      <c r="L22" s="46" t="s">
        <v>9</v>
      </c>
      <c r="M22" s="48" t="s">
        <v>8</v>
      </c>
      <c r="N22" s="35" t="s">
        <v>7</v>
      </c>
    </row>
    <row r="23">
      <c r="A23" s="49">
        <v>40475.6875</v>
      </c>
      <c r="B23" s="40" t="s">
        <v>7</v>
      </c>
      <c r="C23" s="30" t="s">
        <v>7</v>
      </c>
      <c r="D23" s="122" t="s">
        <v>6</v>
      </c>
      <c r="E23" s="33" t="s">
        <v>11</v>
      </c>
      <c r="F23" s="122" t="s">
        <v>6</v>
      </c>
      <c r="G23" s="122" t="s">
        <v>7</v>
      </c>
      <c r="H23" s="37" t="s">
        <v>7</v>
      </c>
      <c r="I23" s="37" t="s">
        <v>7</v>
      </c>
      <c r="J23" s="40"/>
      <c r="K23" s="46" t="s">
        <v>8</v>
      </c>
      <c r="L23" s="46" t="s">
        <v>9</v>
      </c>
      <c r="M23" s="48" t="s">
        <v>8</v>
      </c>
      <c r="N23" s="35" t="s">
        <v>7</v>
      </c>
    </row>
    <row r="24">
      <c r="A24" s="49">
        <v>40475.708333333336</v>
      </c>
      <c r="B24" s="50" t="s">
        <v>7</v>
      </c>
      <c r="C24" s="32" t="s">
        <v>7</v>
      </c>
      <c r="D24" s="40" t="s">
        <v>6</v>
      </c>
      <c r="E24" s="33" t="s">
        <v>11</v>
      </c>
      <c r="F24" s="40" t="s">
        <v>6</v>
      </c>
      <c r="G24" s="74"/>
      <c r="H24" s="46"/>
      <c r="I24" s="37" t="s">
        <v>7</v>
      </c>
      <c r="J24" s="40"/>
      <c r="K24" s="46"/>
      <c r="L24" s="67"/>
      <c r="M24" s="48" t="s">
        <v>8</v>
      </c>
      <c r="N24" s="35" t="s">
        <v>7</v>
      </c>
    </row>
    <row r="25">
      <c r="A25" s="55">
        <v>40475.729166666664</v>
      </c>
      <c r="B25" s="40" t="s">
        <v>7</v>
      </c>
      <c r="C25" s="33" t="s">
        <v>10</v>
      </c>
      <c r="D25" s="40" t="s">
        <v>6</v>
      </c>
      <c r="E25" s="33" t="s">
        <v>11</v>
      </c>
      <c r="F25" s="40" t="s">
        <v>6</v>
      </c>
      <c r="G25" s="58"/>
      <c r="H25" s="46"/>
      <c r="I25" s="37" t="s">
        <v>7</v>
      </c>
      <c r="J25" s="40"/>
      <c r="K25" s="46"/>
      <c r="L25" s="67"/>
      <c r="M25" s="48" t="s">
        <v>8</v>
      </c>
      <c r="N25" s="35" t="s">
        <v>7</v>
      </c>
    </row>
    <row r="26">
      <c r="A26" s="55">
        <v>40475.75</v>
      </c>
      <c r="B26" s="40" t="s">
        <v>7</v>
      </c>
      <c r="C26" s="137" t="s">
        <v>11</v>
      </c>
      <c r="D26" s="122" t="s">
        <v>10</v>
      </c>
      <c r="E26" s="33" t="s">
        <v>11</v>
      </c>
      <c r="F26" s="40" t="s">
        <v>6</v>
      </c>
      <c r="G26" s="58"/>
      <c r="H26" s="46"/>
      <c r="I26" s="37" t="s">
        <v>7</v>
      </c>
      <c r="J26" s="40"/>
      <c r="K26" s="46"/>
      <c r="L26" s="67"/>
      <c r="M26" s="48" t="s">
        <v>8</v>
      </c>
      <c r="N26" s="35" t="s">
        <v>7</v>
      </c>
    </row>
    <row r="27">
      <c r="A27" s="49">
        <v>40475.770833333336</v>
      </c>
      <c r="B27" s="122" t="s">
        <v>7</v>
      </c>
      <c r="C27" s="33" t="s">
        <v>11</v>
      </c>
      <c r="D27" s="122" t="s">
        <v>7</v>
      </c>
      <c r="E27" s="33" t="s">
        <v>10</v>
      </c>
      <c r="F27" s="40" t="s">
        <v>6</v>
      </c>
      <c r="G27" s="58"/>
      <c r="H27" s="46"/>
      <c r="I27" s="46" t="s">
        <v>10</v>
      </c>
      <c r="J27" s="122"/>
      <c r="K27" s="46"/>
      <c r="L27" s="67"/>
      <c r="M27" s="48"/>
      <c r="N27" s="76" t="s">
        <v>10</v>
      </c>
    </row>
    <row r="28">
      <c r="A28" s="49">
        <v>40475.791666666664</v>
      </c>
      <c r="B28" s="46"/>
      <c r="C28" s="137" t="s">
        <v>11</v>
      </c>
      <c r="D28" s="122" t="s">
        <v>7</v>
      </c>
      <c r="E28" s="32" t="s">
        <v>6</v>
      </c>
      <c r="F28" s="122" t="s">
        <v>10</v>
      </c>
      <c r="G28" s="30"/>
      <c r="H28" s="46"/>
      <c r="I28" s="37" t="s">
        <v>7</v>
      </c>
      <c r="J28" s="124"/>
      <c r="K28" s="48"/>
      <c r="L28" s="46"/>
      <c r="M28" s="48"/>
      <c r="N28" s="35" t="s">
        <v>7</v>
      </c>
    </row>
    <row r="29">
      <c r="A29" s="55">
        <v>40475.8125</v>
      </c>
      <c r="B29" s="122"/>
      <c r="C29" s="33" t="s">
        <v>11</v>
      </c>
      <c r="D29" s="46" t="s">
        <v>7</v>
      </c>
      <c r="E29" s="77" t="s">
        <v>6</v>
      </c>
      <c r="F29" s="122" t="s">
        <v>7</v>
      </c>
      <c r="G29" s="138"/>
      <c r="H29" s="46"/>
      <c r="I29" s="46" t="s">
        <v>7</v>
      </c>
      <c r="J29" s="122"/>
      <c r="K29" s="48"/>
      <c r="L29" s="46"/>
      <c r="M29" s="48"/>
      <c r="N29" s="76" t="s">
        <v>7</v>
      </c>
    </row>
    <row r="30">
      <c r="A30" s="55">
        <v>40475.833333333336</v>
      </c>
      <c r="B30" s="46"/>
      <c r="C30" s="33" t="s">
        <v>11</v>
      </c>
      <c r="D30" s="139" t="s">
        <v>7</v>
      </c>
      <c r="E30" s="46" t="s">
        <v>6</v>
      </c>
      <c r="F30" s="124" t="s">
        <v>7</v>
      </c>
      <c r="G30" s="138"/>
      <c r="H30" s="46"/>
      <c r="I30" s="37" t="s">
        <v>7</v>
      </c>
      <c r="J30" s="50"/>
      <c r="K30" s="48"/>
      <c r="L30" s="46"/>
      <c r="M30" s="48"/>
      <c r="N30" s="27" t="s">
        <v>7</v>
      </c>
    </row>
    <row r="31">
      <c r="A31" s="49">
        <v>40475.854166666664</v>
      </c>
      <c r="B31" s="122"/>
      <c r="C31" s="33" t="s">
        <v>11</v>
      </c>
      <c r="D31" s="37" t="s">
        <v>7</v>
      </c>
      <c r="E31" s="37" t="s">
        <v>6</v>
      </c>
      <c r="F31" s="40" t="s">
        <v>7</v>
      </c>
      <c r="G31" s="138"/>
      <c r="H31" s="46"/>
      <c r="I31" s="37" t="s">
        <v>7</v>
      </c>
      <c r="J31" s="37"/>
      <c r="K31" s="48"/>
      <c r="L31" s="46"/>
      <c r="M31" s="48"/>
      <c r="N31" s="27" t="s">
        <v>7</v>
      </c>
    </row>
    <row r="32">
      <c r="A32" s="49">
        <v>40475.875</v>
      </c>
      <c r="B32" s="37"/>
      <c r="C32" s="33" t="s">
        <v>11</v>
      </c>
      <c r="D32" s="77" t="s">
        <v>7</v>
      </c>
      <c r="E32" s="46" t="s">
        <v>6</v>
      </c>
      <c r="F32" s="50" t="s">
        <v>7</v>
      </c>
      <c r="G32" s="138"/>
      <c r="H32" s="46"/>
      <c r="I32" s="37" t="s">
        <v>7</v>
      </c>
      <c r="J32" s="77"/>
      <c r="K32" s="48"/>
      <c r="L32" s="46"/>
      <c r="M32" s="48"/>
      <c r="N32" s="35" t="s">
        <v>7</v>
      </c>
    </row>
    <row r="33">
      <c r="A33" s="55">
        <v>40475.895833333336</v>
      </c>
      <c r="B33" s="37"/>
      <c r="C33" s="33" t="s">
        <v>11</v>
      </c>
      <c r="D33" s="37" t="s">
        <v>7</v>
      </c>
      <c r="E33" s="37" t="s">
        <v>6</v>
      </c>
      <c r="F33" s="40" t="s">
        <v>7</v>
      </c>
      <c r="G33" s="140"/>
      <c r="H33" s="46"/>
      <c r="I33" s="37" t="s">
        <v>7</v>
      </c>
      <c r="J33" s="46"/>
      <c r="K33" s="48"/>
      <c r="L33" s="46"/>
      <c r="M33" s="48"/>
      <c r="N33" s="35" t="s">
        <v>7</v>
      </c>
    </row>
    <row r="34">
      <c r="A34" s="55">
        <v>40475.916666666664</v>
      </c>
      <c r="B34" s="30"/>
      <c r="C34" s="33" t="s">
        <v>11</v>
      </c>
      <c r="D34" s="30" t="s">
        <v>7</v>
      </c>
      <c r="E34" s="30" t="s">
        <v>6</v>
      </c>
      <c r="F34" s="40" t="s">
        <v>7</v>
      </c>
      <c r="G34" s="141"/>
      <c r="H34" s="48"/>
      <c r="I34" s="24" t="s">
        <v>7</v>
      </c>
      <c r="J34" s="77"/>
      <c r="K34" s="24"/>
      <c r="L34" s="24"/>
      <c r="M34" s="24"/>
      <c r="N34" s="35" t="s">
        <v>7</v>
      </c>
    </row>
    <row r="35">
      <c r="A35" s="49">
        <v>40475.9375</v>
      </c>
      <c r="B35" s="30"/>
      <c r="C35" s="33" t="s">
        <v>11</v>
      </c>
      <c r="D35" s="33" t="s">
        <v>7</v>
      </c>
      <c r="E35" s="33" t="s">
        <v>6</v>
      </c>
      <c r="F35" s="122" t="s">
        <v>7</v>
      </c>
      <c r="G35" s="141"/>
      <c r="H35" s="48"/>
      <c r="I35" s="24" t="s">
        <v>7</v>
      </c>
      <c r="J35" s="77"/>
      <c r="K35" s="24"/>
      <c r="L35" s="24"/>
      <c r="M35" s="24"/>
      <c r="N35" s="35" t="s">
        <v>7</v>
      </c>
    </row>
    <row r="36">
      <c r="A36" s="49">
        <v>40475.958333333336</v>
      </c>
      <c r="B36" s="80"/>
      <c r="C36" s="30"/>
      <c r="D36" s="84"/>
      <c r="E36" s="32"/>
      <c r="F36" s="51"/>
      <c r="G36" s="81"/>
      <c r="H36" s="82"/>
      <c r="I36" s="142"/>
      <c r="J36" s="142"/>
      <c r="K36" s="37"/>
      <c r="L36" s="24"/>
      <c r="M36" s="24"/>
      <c r="N36" s="26"/>
    </row>
    <row r="37">
      <c r="A37" s="55">
        <v>40475.979166666664</v>
      </c>
      <c r="B37" s="29"/>
      <c r="C37" s="30"/>
      <c r="D37" s="81"/>
      <c r="E37" s="32"/>
      <c r="F37" s="32"/>
      <c r="G37" s="31"/>
      <c r="H37" s="23"/>
      <c r="I37" s="25"/>
      <c r="J37" s="25"/>
      <c r="K37" s="25"/>
      <c r="L37" s="48"/>
      <c r="M37" s="25"/>
      <c r="N37" s="26"/>
    </row>
    <row r="38">
      <c r="A38" s="85" t="s">
        <v>12</v>
      </c>
      <c r="B38" s="86"/>
      <c r="C38" s="30"/>
      <c r="D38" s="87"/>
      <c r="E38" s="88"/>
      <c r="F38" s="88"/>
      <c r="G38" s="143"/>
      <c r="H38" s="23"/>
      <c r="I38" s="25"/>
      <c r="J38" s="25"/>
      <c r="K38" s="83"/>
      <c r="L38" s="24"/>
      <c r="M38" s="83"/>
      <c r="N38" s="23"/>
    </row>
    <row r="39">
      <c r="A39" s="89" t="s">
        <v>13</v>
      </c>
      <c r="B39" s="89">
        <f t="shared" ref="B39:N39" si="1">CONCATENATE(COUNTIF(B4:B38,"MAGAZZINI")+COUNTIF(B4:B38,"PRIMO")+COUNTIF(B4:B38,"RECEPTION")+COUNTIF(B4:B38,"SAGGI")+COUNTIF(B4:B38,"SECONDO")+COUNTIF(B4:B38,"SMART W")+COUNTIF(B4:B38,"STUDIO 1 e 2")+COUNTIF(B4:B38,"MANUTENZ.")+COUNTIF(B4:B38,"UFFICIO")+COUNTIF(B4:B38,"CAMPUS")+COUNTIF(B4:B38,"TEATRO")+COUNTIF(B4:B38,"AMM.ZIONE")+COUNTIF(B4:B38,"FORMAZ-1p")+COUNTIF(B4:B38,"FORMAZ-2p")+COUNTIF(B4:B38,"FORMAZ-rec")+COUNTIF(B4:B38,"WORKSHOP")+COUNTIF(B4:B38,"EVENTO EST."))/2</f>
        <v>8</v>
      </c>
      <c r="C39" s="89">
        <f t="shared" si="1"/>
        <v>8</v>
      </c>
      <c r="D39" s="89">
        <f t="shared" si="1"/>
        <v>8</v>
      </c>
      <c r="E39" s="89">
        <f t="shared" si="1"/>
        <v>8</v>
      </c>
      <c r="F39" s="89">
        <f t="shared" si="1"/>
        <v>8</v>
      </c>
      <c r="G39" s="89">
        <f t="shared" si="1"/>
        <v>8</v>
      </c>
      <c r="H39" s="89">
        <f t="shared" si="1"/>
        <v>8</v>
      </c>
      <c r="I39" s="89">
        <f t="shared" si="1"/>
        <v>8</v>
      </c>
      <c r="J39" s="89">
        <f t="shared" si="1"/>
        <v>0</v>
      </c>
      <c r="K39" s="89">
        <f t="shared" si="1"/>
        <v>8</v>
      </c>
      <c r="L39" s="89">
        <f t="shared" si="1"/>
        <v>8</v>
      </c>
      <c r="M39" s="89">
        <f t="shared" si="1"/>
        <v>9</v>
      </c>
      <c r="N39" s="89">
        <f t="shared" si="1"/>
        <v>8</v>
      </c>
    </row>
  </sheetData>
  <mergeCells count="4">
    <mergeCell ref="B1:C2"/>
    <mergeCell ref="D1:E2"/>
    <mergeCell ref="F1:F2"/>
    <mergeCell ref="G1:N2"/>
  </mergeCells>
  <conditionalFormatting sqref="B4:N38">
    <cfRule type="containsText" dxfId="5" priority="1" operator="containsText" text="PERMESSO">
      <formula>NOT(ISERROR(SEARCH(("PERMESSO"),(B4))))</formula>
    </cfRule>
  </conditionalFormatting>
  <conditionalFormatting sqref="B4:N38">
    <cfRule type="containsText" dxfId="1" priority="2" operator="containsText" text="MALATTIA">
      <formula>NOT(ISERROR(SEARCH(("MALATTIA"),(B4))))</formula>
    </cfRule>
  </conditionalFormatting>
  <conditionalFormatting sqref="B4:N38">
    <cfRule type="containsText" dxfId="2" priority="3" operator="containsText" text="FORMAZ">
      <formula>NOT(ISERROR(SEARCH(("FORMAZ"),(B4))))</formula>
    </cfRule>
  </conditionalFormatting>
  <conditionalFormatting sqref="B4:N38">
    <cfRule type="containsText" dxfId="3" priority="4" operator="containsText" text="AMM.ZIONE">
      <formula>NOT(ISERROR(SEARCH(("AMM.ZIONE"),(B4))))</formula>
    </cfRule>
  </conditionalFormatting>
  <conditionalFormatting sqref="B4:N38">
    <cfRule type="containsText" dxfId="4" priority="5" operator="containsText" text="PAUSA">
      <formula>NOT(ISERROR(SEARCH(("PAUSA"),(B4))))</formula>
    </cfRule>
  </conditionalFormatting>
  <conditionalFormatting sqref="B4:N38">
    <cfRule type="containsText" dxfId="0" priority="6" operator="containsText" text="PERMESSO">
      <formula>NOT(ISERROR(SEARCH(("PERMESSO"),(B4))))</formula>
    </cfRule>
  </conditionalFormatting>
  <conditionalFormatting sqref="B4:N38">
    <cfRule type="containsText" dxfId="6" priority="7" operator="containsText" text="UFFICIO">
      <formula>NOT(ISERROR(SEARCH(("UFFICIO"),(B4))))</formula>
    </cfRule>
  </conditionalFormatting>
  <conditionalFormatting sqref="B4:N38">
    <cfRule type="containsText" dxfId="7" priority="8" operator="containsText" text="RIPOSO">
      <formula>NOT(ISERROR(SEARCH(("RIPOSO"),(B4))))</formula>
    </cfRule>
  </conditionalFormatting>
  <dataValidations>
    <dataValidation type="list" allowBlank="1" showInputMessage="1" showErrorMessage="1" prompt="Fai clic e immetti un valore da intervallo elenchi!A1:A30" sqref="B4:N38">
      <formula1>elenchi!$A$1:$A$30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F9000"/>
    <outlinePr summaryBelow="0" summaryRight="0"/>
  </sheetPr>
  <sheetViews>
    <sheetView workbookViewId="0">
      <pane xSplit="1.0" ySplit="3.0" topLeftCell="B4" activePane="bottomRight" state="frozen"/>
      <selection activeCell="B1" sqref="B1" pane="topRight"/>
      <selection activeCell="A4" sqref="A4" pane="bottomLeft"/>
      <selection activeCell="B4" sqref="B4" pane="bottomRight"/>
    </sheetView>
  </sheetViews>
  <sheetFormatPr customHeight="1" defaultColWidth="14.43" defaultRowHeight="15.0"/>
  <cols>
    <col customWidth="1" min="1" max="1" width="10.14"/>
    <col customWidth="1" min="2" max="14" width="18.71"/>
  </cols>
  <sheetData>
    <row r="1">
      <c r="A1" s="144"/>
      <c r="B1" s="2" t="s">
        <v>16</v>
      </c>
      <c r="C1" s="3"/>
      <c r="D1" s="4" t="str">
        <f>elenchi!C1</f>
        <v>  SETTIMANA - A</v>
      </c>
      <c r="E1" s="5"/>
      <c r="F1" s="6" t="s">
        <v>1</v>
      </c>
      <c r="G1" s="7" t="str">
        <f>elenchi!D1</f>
        <v>LUNEDI 20 A DOMENICA 26 APRILE 2026</v>
      </c>
      <c r="H1" s="5"/>
      <c r="I1" s="5"/>
      <c r="J1" s="5"/>
      <c r="K1" s="5"/>
      <c r="L1" s="5"/>
      <c r="M1" s="5"/>
      <c r="N1" s="3"/>
    </row>
    <row r="2">
      <c r="A2" s="144"/>
      <c r="B2" s="8"/>
      <c r="C2" s="9"/>
      <c r="D2" s="8"/>
      <c r="E2" s="10"/>
      <c r="F2" s="10"/>
      <c r="G2" s="10"/>
      <c r="H2" s="10"/>
      <c r="I2" s="10"/>
      <c r="J2" s="10"/>
      <c r="K2" s="10"/>
      <c r="L2" s="10"/>
      <c r="M2" s="10"/>
      <c r="N2" s="9"/>
    </row>
    <row r="3">
      <c r="A3" s="11" t="s">
        <v>2</v>
      </c>
      <c r="B3" s="11" t="str">
        <f>elenchi!B1</f>
        <v>ALEXANDRA</v>
      </c>
      <c r="C3" s="11" t="str">
        <f>elenchi!B2</f>
        <v>GIUDITTA</v>
      </c>
      <c r="D3" s="11" t="str">
        <f>elenchi!B3</f>
        <v>ESTEFANY</v>
      </c>
      <c r="E3" s="12" t="str">
        <f>elenchi!B4</f>
        <v>NURA</v>
      </c>
      <c r="F3" s="12" t="str">
        <f>elenchi!B5</f>
        <v/>
      </c>
      <c r="G3" s="12" t="str">
        <f>elenchi!B6</f>
        <v>JOEL</v>
      </c>
      <c r="H3" s="13" t="str">
        <f>elenchi!B7</f>
        <v>KEVIN</v>
      </c>
      <c r="I3" s="14" t="str">
        <f>elenchi!B8</f>
        <v>JASIR</v>
      </c>
      <c r="J3" s="15" t="str">
        <f>elenchi!B9</f>
        <v>DIEGO</v>
      </c>
      <c r="K3" s="15" t="str">
        <f>elenchi!B10</f>
        <v>SARA</v>
      </c>
      <c r="L3" s="12" t="str">
        <f>elenchi!B11</f>
        <v>SANTO</v>
      </c>
      <c r="M3" s="12" t="str">
        <f>elenchi!B12</f>
        <v>MASSI</v>
      </c>
      <c r="N3" s="12" t="str">
        <f>elenchi!B13</f>
        <v/>
      </c>
    </row>
    <row r="4">
      <c r="A4" s="16" t="s">
        <v>3</v>
      </c>
      <c r="B4" s="95"/>
      <c r="C4" s="91"/>
      <c r="D4" s="91"/>
      <c r="E4" s="91"/>
      <c r="F4" s="91"/>
      <c r="G4" s="91"/>
      <c r="H4" s="145"/>
      <c r="I4" s="146"/>
      <c r="J4" s="147"/>
      <c r="K4" s="148"/>
      <c r="L4" s="146"/>
      <c r="M4" s="149"/>
      <c r="N4" s="148"/>
    </row>
    <row r="5">
      <c r="A5" s="28" t="s">
        <v>4</v>
      </c>
      <c r="B5" s="105"/>
      <c r="C5" s="99"/>
      <c r="D5" s="99"/>
      <c r="E5" s="99"/>
      <c r="F5" s="99"/>
      <c r="G5" s="99"/>
      <c r="H5" s="145"/>
      <c r="I5" s="146"/>
      <c r="J5" s="147"/>
      <c r="K5" s="148"/>
      <c r="L5" s="146"/>
      <c r="M5" s="149"/>
      <c r="N5" s="148"/>
    </row>
    <row r="6">
      <c r="A6" s="28" t="s">
        <v>5</v>
      </c>
      <c r="B6" s="105"/>
      <c r="C6" s="99"/>
      <c r="D6" s="99"/>
      <c r="E6" s="99"/>
      <c r="F6" s="99"/>
      <c r="G6" s="99"/>
      <c r="H6" s="150"/>
      <c r="I6" s="151"/>
      <c r="J6" s="152"/>
      <c r="K6" s="149"/>
      <c r="L6" s="146"/>
      <c r="M6" s="149"/>
      <c r="N6" s="148"/>
    </row>
    <row r="7">
      <c r="A7" s="39">
        <v>40475.354166666664</v>
      </c>
      <c r="B7" s="153"/>
      <c r="C7" s="99"/>
      <c r="D7" s="43"/>
      <c r="E7" s="154" t="s">
        <v>6</v>
      </c>
      <c r="F7" s="108"/>
      <c r="G7" s="155"/>
      <c r="H7" s="43"/>
      <c r="I7" s="43" t="s">
        <v>7</v>
      </c>
      <c r="J7" s="108"/>
      <c r="K7" s="156" t="s">
        <v>8</v>
      </c>
      <c r="L7" s="157" t="s">
        <v>9</v>
      </c>
      <c r="M7" s="158"/>
      <c r="N7" s="150"/>
    </row>
    <row r="8">
      <c r="A8" s="49">
        <v>40475.375</v>
      </c>
      <c r="B8" s="159"/>
      <c r="C8" s="99"/>
      <c r="D8" s="50"/>
      <c r="E8" s="53" t="s">
        <v>6</v>
      </c>
      <c r="F8" s="108"/>
      <c r="G8" s="120"/>
      <c r="H8" s="40"/>
      <c r="I8" s="40" t="s">
        <v>7</v>
      </c>
      <c r="J8" s="108"/>
      <c r="K8" s="156" t="s">
        <v>8</v>
      </c>
      <c r="L8" s="160" t="s">
        <v>9</v>
      </c>
      <c r="M8" s="70"/>
      <c r="N8" s="148"/>
    </row>
    <row r="9">
      <c r="A9" s="55">
        <v>40475.395833333336</v>
      </c>
      <c r="B9" s="159"/>
      <c r="C9" s="99"/>
      <c r="D9" s="40"/>
      <c r="E9" s="62" t="s">
        <v>6</v>
      </c>
      <c r="F9" s="108"/>
      <c r="G9" s="120"/>
      <c r="H9" s="40"/>
      <c r="I9" s="40" t="s">
        <v>7</v>
      </c>
      <c r="J9" s="108"/>
      <c r="K9" s="156" t="s">
        <v>8</v>
      </c>
      <c r="L9" s="160" t="s">
        <v>9</v>
      </c>
      <c r="M9" s="70"/>
      <c r="N9" s="150"/>
    </row>
    <row r="10">
      <c r="A10" s="55">
        <v>40475.416666666664</v>
      </c>
      <c r="B10" s="159"/>
      <c r="C10" s="99"/>
      <c r="D10" s="50"/>
      <c r="E10" s="53" t="s">
        <v>6</v>
      </c>
      <c r="F10" s="116"/>
      <c r="G10" s="161"/>
      <c r="H10" s="40"/>
      <c r="I10" s="40" t="s">
        <v>7</v>
      </c>
      <c r="J10" s="40"/>
      <c r="K10" s="156" t="s">
        <v>8</v>
      </c>
      <c r="L10" s="160" t="s">
        <v>9</v>
      </c>
      <c r="M10" s="162" t="s">
        <v>8</v>
      </c>
      <c r="N10" s="148"/>
    </row>
    <row r="11">
      <c r="A11" s="49">
        <v>40475.4375</v>
      </c>
      <c r="B11" s="159"/>
      <c r="C11" s="100"/>
      <c r="D11" s="119" t="s">
        <v>7</v>
      </c>
      <c r="E11" s="53" t="s">
        <v>6</v>
      </c>
      <c r="F11" s="115"/>
      <c r="G11" s="161"/>
      <c r="H11" s="40"/>
      <c r="I11" s="40" t="s">
        <v>7</v>
      </c>
      <c r="J11" s="40"/>
      <c r="K11" s="156" t="s">
        <v>8</v>
      </c>
      <c r="L11" s="163" t="s">
        <v>9</v>
      </c>
      <c r="M11" s="162" t="s">
        <v>8</v>
      </c>
      <c r="N11" s="150"/>
    </row>
    <row r="12">
      <c r="A12" s="49">
        <v>40475.458333333336</v>
      </c>
      <c r="B12" s="164"/>
      <c r="C12" s="50"/>
      <c r="D12" s="50" t="s">
        <v>7</v>
      </c>
      <c r="E12" s="62" t="s">
        <v>6</v>
      </c>
      <c r="F12" s="108"/>
      <c r="G12" s="154"/>
      <c r="H12" s="40"/>
      <c r="I12" s="40" t="s">
        <v>7</v>
      </c>
      <c r="J12" s="40"/>
      <c r="K12" s="156" t="s">
        <v>8</v>
      </c>
      <c r="L12" s="165" t="s">
        <v>9</v>
      </c>
      <c r="M12" s="162" t="s">
        <v>8</v>
      </c>
      <c r="N12" s="150"/>
    </row>
    <row r="13">
      <c r="A13" s="55">
        <v>40475.479166666664</v>
      </c>
      <c r="B13" s="64"/>
      <c r="C13" s="50"/>
      <c r="D13" s="50" t="s">
        <v>7</v>
      </c>
      <c r="E13" s="53" t="s">
        <v>6</v>
      </c>
      <c r="F13" s="115"/>
      <c r="G13" s="68"/>
      <c r="H13" s="40"/>
      <c r="I13" s="40" t="s">
        <v>7</v>
      </c>
      <c r="J13" s="40"/>
      <c r="K13" s="156" t="s">
        <v>8</v>
      </c>
      <c r="L13" s="165" t="s">
        <v>9</v>
      </c>
      <c r="M13" s="162" t="s">
        <v>8</v>
      </c>
      <c r="N13" s="148"/>
    </row>
    <row r="14">
      <c r="A14" s="55">
        <v>40475.5</v>
      </c>
      <c r="B14" s="64"/>
      <c r="C14" s="122"/>
      <c r="D14" s="50" t="s">
        <v>7</v>
      </c>
      <c r="E14" s="50" t="s">
        <v>6</v>
      </c>
      <c r="F14" s="115"/>
      <c r="G14" s="62"/>
      <c r="H14" s="40"/>
      <c r="I14" s="40" t="s">
        <v>7</v>
      </c>
      <c r="J14" s="40"/>
      <c r="K14" s="166" t="s">
        <v>10</v>
      </c>
      <c r="L14" s="165" t="s">
        <v>9</v>
      </c>
      <c r="M14" s="162" t="s">
        <v>8</v>
      </c>
      <c r="N14" s="150"/>
    </row>
    <row r="15">
      <c r="A15" s="49">
        <v>40475.520833333336</v>
      </c>
      <c r="B15" s="64"/>
      <c r="C15" s="50"/>
      <c r="D15" s="124" t="s">
        <v>6</v>
      </c>
      <c r="E15" s="50" t="s">
        <v>10</v>
      </c>
      <c r="F15" s="115"/>
      <c r="G15" s="161"/>
      <c r="H15" s="40"/>
      <c r="I15" s="40" t="s">
        <v>7</v>
      </c>
      <c r="J15" s="40"/>
      <c r="K15" s="156" t="s">
        <v>8</v>
      </c>
      <c r="L15" s="165" t="s">
        <v>9</v>
      </c>
      <c r="M15" s="162" t="s">
        <v>8</v>
      </c>
      <c r="N15" s="150"/>
    </row>
    <row r="16">
      <c r="A16" s="49">
        <v>40475.541666666664</v>
      </c>
      <c r="B16" s="64"/>
      <c r="C16" s="40"/>
      <c r="D16" s="50" t="s">
        <v>6</v>
      </c>
      <c r="E16" s="78" t="s">
        <v>7</v>
      </c>
      <c r="F16" s="108"/>
      <c r="G16" s="154"/>
      <c r="H16" s="40"/>
      <c r="I16" s="40" t="s">
        <v>7</v>
      </c>
      <c r="J16" s="40"/>
      <c r="K16" s="156" t="s">
        <v>8</v>
      </c>
      <c r="L16" s="167" t="s">
        <v>10</v>
      </c>
      <c r="M16" s="168" t="s">
        <v>10</v>
      </c>
      <c r="N16" s="150"/>
    </row>
    <row r="17">
      <c r="A17" s="55">
        <v>40475.5625</v>
      </c>
      <c r="B17" s="64"/>
      <c r="C17" s="50"/>
      <c r="D17" s="50" t="s">
        <v>6</v>
      </c>
      <c r="E17" s="78" t="s">
        <v>7</v>
      </c>
      <c r="F17" s="115"/>
      <c r="G17" s="53"/>
      <c r="H17" s="40"/>
      <c r="I17" s="40" t="s">
        <v>7</v>
      </c>
      <c r="J17" s="40"/>
      <c r="K17" s="156" t="s">
        <v>8</v>
      </c>
      <c r="L17" s="165" t="s">
        <v>9</v>
      </c>
      <c r="M17" s="162" t="s">
        <v>8</v>
      </c>
      <c r="N17" s="148"/>
    </row>
    <row r="18">
      <c r="A18" s="55">
        <v>40475.583333333336</v>
      </c>
      <c r="B18" s="64"/>
      <c r="C18" s="40"/>
      <c r="D18" s="50" t="s">
        <v>6</v>
      </c>
      <c r="E18" s="78" t="s">
        <v>7</v>
      </c>
      <c r="F18" s="115"/>
      <c r="G18" s="62"/>
      <c r="H18" s="40"/>
      <c r="I18" s="40" t="s">
        <v>7</v>
      </c>
      <c r="J18" s="40"/>
      <c r="K18" s="156" t="s">
        <v>8</v>
      </c>
      <c r="L18" s="165" t="s">
        <v>9</v>
      </c>
      <c r="M18" s="162" t="s">
        <v>8</v>
      </c>
      <c r="N18" s="148"/>
    </row>
    <row r="19">
      <c r="A19" s="49">
        <v>40475.604166666664</v>
      </c>
      <c r="B19" s="40" t="s">
        <v>7</v>
      </c>
      <c r="C19" s="125" t="s">
        <v>6</v>
      </c>
      <c r="D19" s="50" t="s">
        <v>10</v>
      </c>
      <c r="E19" s="78" t="s">
        <v>7</v>
      </c>
      <c r="F19" s="117" t="s">
        <v>6</v>
      </c>
      <c r="G19" s="53" t="s">
        <v>11</v>
      </c>
      <c r="H19" s="50" t="s">
        <v>7</v>
      </c>
      <c r="I19" s="40" t="s">
        <v>10</v>
      </c>
      <c r="J19" s="40"/>
      <c r="K19" s="156" t="s">
        <v>8</v>
      </c>
      <c r="L19" s="169" t="s">
        <v>9</v>
      </c>
      <c r="M19" s="162" t="s">
        <v>8</v>
      </c>
      <c r="N19" s="97" t="s">
        <v>7</v>
      </c>
    </row>
    <row r="20">
      <c r="A20" s="49">
        <v>40475.625</v>
      </c>
      <c r="B20" s="40" t="s">
        <v>7</v>
      </c>
      <c r="C20" s="125" t="s">
        <v>6</v>
      </c>
      <c r="D20" s="122" t="s">
        <v>7</v>
      </c>
      <c r="E20" s="78" t="s">
        <v>7</v>
      </c>
      <c r="F20" s="117" t="s">
        <v>6</v>
      </c>
      <c r="G20" s="53" t="s">
        <v>11</v>
      </c>
      <c r="H20" s="40" t="s">
        <v>7</v>
      </c>
      <c r="I20" s="40" t="s">
        <v>7</v>
      </c>
      <c r="J20" s="40"/>
      <c r="K20" s="156" t="s">
        <v>8</v>
      </c>
      <c r="L20" s="169" t="s">
        <v>9</v>
      </c>
      <c r="M20" s="162" t="s">
        <v>8</v>
      </c>
      <c r="N20" s="103" t="s">
        <v>7</v>
      </c>
    </row>
    <row r="21">
      <c r="A21" s="55">
        <v>40475.645833333336</v>
      </c>
      <c r="B21" s="40" t="s">
        <v>7</v>
      </c>
      <c r="C21" s="129" t="s">
        <v>6</v>
      </c>
      <c r="D21" s="40" t="s">
        <v>7</v>
      </c>
      <c r="E21" s="64" t="s">
        <v>7</v>
      </c>
      <c r="F21" s="116" t="s">
        <v>6</v>
      </c>
      <c r="G21" s="53" t="s">
        <v>11</v>
      </c>
      <c r="H21" s="50" t="s">
        <v>7</v>
      </c>
      <c r="I21" s="40" t="s">
        <v>7</v>
      </c>
      <c r="J21" s="40"/>
      <c r="K21" s="156" t="s">
        <v>8</v>
      </c>
      <c r="L21" s="169" t="s">
        <v>9</v>
      </c>
      <c r="M21" s="162" t="s">
        <v>8</v>
      </c>
      <c r="N21" s="97" t="s">
        <v>7</v>
      </c>
    </row>
    <row r="22">
      <c r="A22" s="55">
        <v>40475.666666666664</v>
      </c>
      <c r="B22" s="122" t="s">
        <v>7</v>
      </c>
      <c r="C22" s="129" t="s">
        <v>6</v>
      </c>
      <c r="D22" s="40" t="s">
        <v>7</v>
      </c>
      <c r="E22" s="78" t="s">
        <v>7</v>
      </c>
      <c r="F22" s="116" t="s">
        <v>6</v>
      </c>
      <c r="G22" s="53" t="s">
        <v>11</v>
      </c>
      <c r="H22" s="40" t="s">
        <v>7</v>
      </c>
      <c r="I22" s="40" t="s">
        <v>7</v>
      </c>
      <c r="J22" s="40"/>
      <c r="K22" s="156" t="s">
        <v>8</v>
      </c>
      <c r="L22" s="169" t="s">
        <v>9</v>
      </c>
      <c r="M22" s="162" t="s">
        <v>8</v>
      </c>
      <c r="N22" s="103" t="s">
        <v>7</v>
      </c>
    </row>
    <row r="23">
      <c r="A23" s="49">
        <v>40475.6875</v>
      </c>
      <c r="B23" s="122" t="s">
        <v>7</v>
      </c>
      <c r="C23" s="129" t="s">
        <v>6</v>
      </c>
      <c r="D23" s="40" t="s">
        <v>7</v>
      </c>
      <c r="E23" s="64" t="s">
        <v>7</v>
      </c>
      <c r="F23" s="116" t="s">
        <v>6</v>
      </c>
      <c r="G23" s="50" t="s">
        <v>11</v>
      </c>
      <c r="H23" s="50" t="s">
        <v>7</v>
      </c>
      <c r="I23" s="58" t="s">
        <v>7</v>
      </c>
      <c r="J23" s="40"/>
      <c r="K23" s="156" t="s">
        <v>8</v>
      </c>
      <c r="L23" s="169" t="s">
        <v>9</v>
      </c>
      <c r="M23" s="162" t="s">
        <v>8</v>
      </c>
      <c r="N23" s="97" t="s">
        <v>7</v>
      </c>
    </row>
    <row r="24">
      <c r="A24" s="49">
        <v>40475.708333333336</v>
      </c>
      <c r="B24" s="122" t="s">
        <v>7</v>
      </c>
      <c r="C24" s="129" t="s">
        <v>6</v>
      </c>
      <c r="D24" s="117" t="s">
        <v>7</v>
      </c>
      <c r="E24" s="99"/>
      <c r="F24" s="130" t="s">
        <v>6</v>
      </c>
      <c r="G24" s="40" t="s">
        <v>11</v>
      </c>
      <c r="H24" s="98" t="s">
        <v>7</v>
      </c>
      <c r="I24" s="58"/>
      <c r="J24" s="40"/>
      <c r="K24" s="170"/>
      <c r="L24" s="171"/>
      <c r="M24" s="162" t="s">
        <v>8</v>
      </c>
      <c r="N24" s="97" t="s">
        <v>7</v>
      </c>
    </row>
    <row r="25">
      <c r="A25" s="55">
        <v>40475.729166666664</v>
      </c>
      <c r="B25" s="122" t="s">
        <v>7</v>
      </c>
      <c r="C25" s="129" t="s">
        <v>10</v>
      </c>
      <c r="D25" s="117" t="s">
        <v>7</v>
      </c>
      <c r="E25" s="100"/>
      <c r="F25" s="130" t="s">
        <v>6</v>
      </c>
      <c r="G25" s="40" t="s">
        <v>11</v>
      </c>
      <c r="H25" s="98" t="s">
        <v>7</v>
      </c>
      <c r="I25" s="58"/>
      <c r="J25" s="40"/>
      <c r="K25" s="170"/>
      <c r="L25" s="171"/>
      <c r="M25" s="162" t="s">
        <v>8</v>
      </c>
      <c r="N25" s="97" t="s">
        <v>7</v>
      </c>
    </row>
    <row r="26">
      <c r="A26" s="55">
        <v>40475.75</v>
      </c>
      <c r="B26" s="122" t="s">
        <v>10</v>
      </c>
      <c r="C26" s="125" t="s">
        <v>7</v>
      </c>
      <c r="D26" s="117" t="s">
        <v>7</v>
      </c>
      <c r="E26" s="100"/>
      <c r="F26" s="128" t="s">
        <v>6</v>
      </c>
      <c r="G26" s="40" t="s">
        <v>11</v>
      </c>
      <c r="H26" s="98" t="s">
        <v>7</v>
      </c>
      <c r="I26" s="51"/>
      <c r="J26" s="40"/>
      <c r="K26" s="170"/>
      <c r="L26" s="171"/>
      <c r="M26" s="162" t="s">
        <v>8</v>
      </c>
      <c r="N26" s="97" t="s">
        <v>7</v>
      </c>
    </row>
    <row r="27">
      <c r="A27" s="49">
        <v>40475.770833333336</v>
      </c>
      <c r="B27" s="40" t="s">
        <v>11</v>
      </c>
      <c r="C27" s="125" t="s">
        <v>7</v>
      </c>
      <c r="D27" s="117" t="s">
        <v>7</v>
      </c>
      <c r="E27" s="100"/>
      <c r="F27" s="128" t="s">
        <v>6</v>
      </c>
      <c r="G27" s="122" t="s">
        <v>10</v>
      </c>
      <c r="H27" s="105" t="s">
        <v>7</v>
      </c>
      <c r="I27" s="58"/>
      <c r="J27" s="69"/>
      <c r="K27" s="170"/>
      <c r="L27" s="171"/>
      <c r="M27" s="158"/>
      <c r="N27" s="103" t="s">
        <v>7</v>
      </c>
    </row>
    <row r="28">
      <c r="A28" s="49">
        <v>40475.791666666664</v>
      </c>
      <c r="B28" s="100" t="s">
        <v>11</v>
      </c>
      <c r="C28" s="125" t="s">
        <v>7</v>
      </c>
      <c r="D28" s="105"/>
      <c r="E28" s="101"/>
      <c r="F28" s="128" t="s">
        <v>10</v>
      </c>
      <c r="G28" s="122" t="s">
        <v>6</v>
      </c>
      <c r="H28" s="105" t="s">
        <v>10</v>
      </c>
      <c r="I28" s="51"/>
      <c r="J28" s="172"/>
      <c r="K28" s="158"/>
      <c r="L28" s="170"/>
      <c r="M28" s="158"/>
      <c r="N28" s="103" t="s">
        <v>10</v>
      </c>
    </row>
    <row r="29">
      <c r="A29" s="55">
        <v>40475.8125</v>
      </c>
      <c r="B29" s="100" t="s">
        <v>11</v>
      </c>
      <c r="C29" s="100" t="s">
        <v>7</v>
      </c>
      <c r="D29" s="130"/>
      <c r="E29" s="105"/>
      <c r="F29" s="105" t="s">
        <v>7</v>
      </c>
      <c r="G29" s="124" t="s">
        <v>6</v>
      </c>
      <c r="H29" s="105" t="s">
        <v>11</v>
      </c>
      <c r="I29" s="105"/>
      <c r="J29" s="69"/>
      <c r="K29" s="158"/>
      <c r="L29" s="170"/>
      <c r="M29" s="158"/>
      <c r="N29" s="103" t="s">
        <v>11</v>
      </c>
    </row>
    <row r="30">
      <c r="A30" s="55">
        <v>40475.833333333336</v>
      </c>
      <c r="B30" s="100" t="s">
        <v>11</v>
      </c>
      <c r="C30" s="100" t="s">
        <v>7</v>
      </c>
      <c r="D30" s="128"/>
      <c r="E30" s="105"/>
      <c r="F30" s="105" t="s">
        <v>7</v>
      </c>
      <c r="G30" s="124" t="s">
        <v>6</v>
      </c>
      <c r="H30" s="105" t="s">
        <v>11</v>
      </c>
      <c r="I30" s="98"/>
      <c r="J30" s="51"/>
      <c r="K30" s="158"/>
      <c r="L30" s="170"/>
      <c r="M30" s="158"/>
      <c r="N30" s="95" t="s">
        <v>11</v>
      </c>
    </row>
    <row r="31">
      <c r="A31" s="49">
        <v>40475.854166666664</v>
      </c>
      <c r="B31" s="100" t="s">
        <v>11</v>
      </c>
      <c r="C31" s="100" t="s">
        <v>7</v>
      </c>
      <c r="D31" s="130"/>
      <c r="E31" s="128"/>
      <c r="F31" s="105" t="s">
        <v>7</v>
      </c>
      <c r="G31" s="124" t="s">
        <v>6</v>
      </c>
      <c r="H31" s="105" t="s">
        <v>11</v>
      </c>
      <c r="I31" s="105"/>
      <c r="J31" s="58"/>
      <c r="K31" s="158"/>
      <c r="L31" s="170"/>
      <c r="M31" s="158"/>
      <c r="N31" s="95" t="s">
        <v>11</v>
      </c>
    </row>
    <row r="32">
      <c r="A32" s="49">
        <v>40475.875</v>
      </c>
      <c r="B32" s="100" t="s">
        <v>11</v>
      </c>
      <c r="C32" s="100" t="s">
        <v>7</v>
      </c>
      <c r="D32" s="128"/>
      <c r="E32" s="105"/>
      <c r="F32" s="105" t="s">
        <v>7</v>
      </c>
      <c r="G32" s="124" t="s">
        <v>6</v>
      </c>
      <c r="H32" s="105" t="s">
        <v>11</v>
      </c>
      <c r="I32" s="98"/>
      <c r="J32" s="51"/>
      <c r="K32" s="158"/>
      <c r="L32" s="170"/>
      <c r="M32" s="158"/>
      <c r="N32" s="103" t="s">
        <v>11</v>
      </c>
    </row>
    <row r="33">
      <c r="A33" s="55">
        <v>40475.895833333336</v>
      </c>
      <c r="B33" s="101" t="s">
        <v>11</v>
      </c>
      <c r="C33" s="100" t="s">
        <v>7</v>
      </c>
      <c r="D33" s="128"/>
      <c r="E33" s="105"/>
      <c r="F33" s="105" t="s">
        <v>7</v>
      </c>
      <c r="G33" s="124" t="s">
        <v>6</v>
      </c>
      <c r="H33" s="105" t="s">
        <v>11</v>
      </c>
      <c r="I33" s="98"/>
      <c r="J33" s="69"/>
      <c r="K33" s="158"/>
      <c r="L33" s="170"/>
      <c r="M33" s="158"/>
      <c r="N33" s="103" t="s">
        <v>11</v>
      </c>
    </row>
    <row r="34">
      <c r="A34" s="55">
        <v>40475.916666666664</v>
      </c>
      <c r="B34" s="100" t="s">
        <v>11</v>
      </c>
      <c r="C34" s="100" t="s">
        <v>7</v>
      </c>
      <c r="D34" s="101"/>
      <c r="E34" s="101"/>
      <c r="F34" s="100" t="s">
        <v>7</v>
      </c>
      <c r="G34" s="124" t="s">
        <v>6</v>
      </c>
      <c r="H34" s="95" t="s">
        <v>11</v>
      </c>
      <c r="I34" s="90"/>
      <c r="J34" s="51"/>
      <c r="K34" s="146"/>
      <c r="L34" s="146"/>
      <c r="M34" s="146"/>
      <c r="N34" s="103" t="s">
        <v>11</v>
      </c>
    </row>
    <row r="35">
      <c r="A35" s="49">
        <v>40475.9375</v>
      </c>
      <c r="B35" s="101" t="s">
        <v>11</v>
      </c>
      <c r="C35" s="101" t="s">
        <v>7</v>
      </c>
      <c r="D35" s="101"/>
      <c r="E35" s="101"/>
      <c r="F35" s="101" t="s">
        <v>7</v>
      </c>
      <c r="G35" s="124" t="s">
        <v>6</v>
      </c>
      <c r="H35" s="95" t="s">
        <v>11</v>
      </c>
      <c r="I35" s="90"/>
      <c r="J35" s="51"/>
      <c r="K35" s="146"/>
      <c r="L35" s="146"/>
      <c r="M35" s="146"/>
      <c r="N35" s="103" t="s">
        <v>11</v>
      </c>
    </row>
    <row r="36">
      <c r="A36" s="49">
        <v>40475.958333333336</v>
      </c>
      <c r="B36" s="105"/>
      <c r="C36" s="100"/>
      <c r="D36" s="99"/>
      <c r="E36" s="132"/>
      <c r="F36" s="132"/>
      <c r="G36" s="132"/>
      <c r="H36" s="173"/>
      <c r="I36" s="152"/>
      <c r="J36" s="174"/>
      <c r="K36" s="152"/>
      <c r="L36" s="146"/>
      <c r="M36" s="146"/>
      <c r="N36" s="148"/>
    </row>
    <row r="37">
      <c r="A37" s="55">
        <v>40475.979166666664</v>
      </c>
      <c r="B37" s="105"/>
      <c r="C37" s="132"/>
      <c r="D37" s="99"/>
      <c r="E37" s="99"/>
      <c r="F37" s="99"/>
      <c r="G37" s="99"/>
      <c r="H37" s="145"/>
      <c r="I37" s="147"/>
      <c r="J37" s="147"/>
      <c r="K37" s="147"/>
      <c r="L37" s="158"/>
      <c r="M37" s="147"/>
      <c r="N37" s="148"/>
    </row>
    <row r="38">
      <c r="A38" s="85" t="s">
        <v>12</v>
      </c>
      <c r="B38" s="105"/>
      <c r="C38" s="134"/>
      <c r="D38" s="134"/>
      <c r="E38" s="134"/>
      <c r="F38" s="134"/>
      <c r="G38" s="134"/>
      <c r="H38" s="145"/>
      <c r="I38" s="147"/>
      <c r="J38" s="147"/>
      <c r="K38" s="174"/>
      <c r="L38" s="146"/>
      <c r="M38" s="174"/>
      <c r="N38" s="145"/>
    </row>
    <row r="39">
      <c r="A39" s="89" t="s">
        <v>13</v>
      </c>
      <c r="B39" s="89">
        <f t="shared" ref="B39:N39" si="1">CONCATENATE(COUNTIF(B4:B38,"MAGAZZINI")+COUNTIF(B4:B38,"PRIMO")+COUNTIF(B4:B38,"RECEPTION")+COUNTIF(B4:B38,"SAGGI")+COUNTIF(B4:B38,"SECONDO")+COUNTIF(B4:B38,"SMART W")+COUNTIF(B4:B38,"STUDIO 1 e 2")+COUNTIF(B4:B38,"MANUTENZ.")+COUNTIF(B4:B38,"UFFICIO")+COUNTIF(B4:B38,"CAMPUS")+COUNTIF(B4:B38,"TEATRO")+COUNTIF(B4:B38,"AMM.ZIONE")+COUNTIF(B4:B38,"FORMAZ-1p")+COUNTIF(B4:B38,"FORMAZ-2p")+COUNTIF(B4:B38,"FORMAZ-rec")+COUNTIF(B4:B38,"WORKSHOP")+COUNTIF(B4:B38,"EVENTO EST."))/2</f>
        <v>8</v>
      </c>
      <c r="C39" s="89">
        <f t="shared" si="1"/>
        <v>8</v>
      </c>
      <c r="D39" s="89">
        <f t="shared" si="1"/>
        <v>8</v>
      </c>
      <c r="E39" s="89">
        <f t="shared" si="1"/>
        <v>8</v>
      </c>
      <c r="F39" s="89">
        <f t="shared" si="1"/>
        <v>8</v>
      </c>
      <c r="G39" s="89">
        <f t="shared" si="1"/>
        <v>8</v>
      </c>
      <c r="H39" s="89">
        <f t="shared" si="1"/>
        <v>8</v>
      </c>
      <c r="I39" s="89">
        <f t="shared" si="1"/>
        <v>8</v>
      </c>
      <c r="J39" s="89">
        <f t="shared" si="1"/>
        <v>0</v>
      </c>
      <c r="K39" s="89">
        <f t="shared" si="1"/>
        <v>8</v>
      </c>
      <c r="L39" s="89">
        <f t="shared" si="1"/>
        <v>8</v>
      </c>
      <c r="M39" s="89">
        <f t="shared" si="1"/>
        <v>8</v>
      </c>
      <c r="N39" s="89">
        <f t="shared" si="1"/>
        <v>8</v>
      </c>
    </row>
  </sheetData>
  <mergeCells count="4">
    <mergeCell ref="B1:C2"/>
    <mergeCell ref="D1:E2"/>
    <mergeCell ref="F1:F2"/>
    <mergeCell ref="G1:N2"/>
  </mergeCells>
  <conditionalFormatting sqref="B4:N38">
    <cfRule type="containsText" dxfId="5" priority="1" operator="containsText" text="PERMESSO">
      <formula>NOT(ISERROR(SEARCH(("PERMESSO"),(B4))))</formula>
    </cfRule>
  </conditionalFormatting>
  <conditionalFormatting sqref="B4:N38">
    <cfRule type="containsText" dxfId="1" priority="2" operator="containsText" text="MALATTIA">
      <formula>NOT(ISERROR(SEARCH(("MALATTIA"),(B4))))</formula>
    </cfRule>
  </conditionalFormatting>
  <conditionalFormatting sqref="B4:N38">
    <cfRule type="containsText" dxfId="2" priority="3" operator="containsText" text="FORMAZ">
      <formula>NOT(ISERROR(SEARCH(("FORMAZ"),(B4))))</formula>
    </cfRule>
  </conditionalFormatting>
  <conditionalFormatting sqref="B4:N38">
    <cfRule type="containsText" dxfId="3" priority="4" operator="containsText" text="AMM.ZIONE">
      <formula>NOT(ISERROR(SEARCH(("AMM.ZIONE"),(B4))))</formula>
    </cfRule>
  </conditionalFormatting>
  <conditionalFormatting sqref="B4:N38">
    <cfRule type="containsText" dxfId="4" priority="5" operator="containsText" text="PAUSA">
      <formula>NOT(ISERROR(SEARCH(("PAUSA"),(B4))))</formula>
    </cfRule>
  </conditionalFormatting>
  <conditionalFormatting sqref="B4:N38">
    <cfRule type="containsText" dxfId="0" priority="6" operator="containsText" text="PERMESSO">
      <formula>NOT(ISERROR(SEARCH(("PERMESSO"),(B4))))</formula>
    </cfRule>
  </conditionalFormatting>
  <conditionalFormatting sqref="B4:N38">
    <cfRule type="containsText" dxfId="6" priority="7" operator="containsText" text="UFFICIO">
      <formula>NOT(ISERROR(SEARCH(("UFFICIO"),(B4))))</formula>
    </cfRule>
  </conditionalFormatting>
  <conditionalFormatting sqref="B4:N38">
    <cfRule type="containsText" dxfId="7" priority="8" operator="containsText" text="RIPOSO">
      <formula>NOT(ISERROR(SEARCH(("RIPOSO"),(B4))))</formula>
    </cfRule>
  </conditionalFormatting>
  <dataValidations>
    <dataValidation type="list" allowBlank="1" showInputMessage="1" showErrorMessage="1" prompt="Fai clic e immetti un valore da intervallo elenchi!A1:A30" sqref="B4:N38">
      <formula1>elenchi!$A$1:$A$30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F9000"/>
    <outlinePr summaryBelow="0" summaryRight="0"/>
  </sheetPr>
  <sheetViews>
    <sheetView workbookViewId="0">
      <pane xSplit="1.0" ySplit="3.0" topLeftCell="B4" activePane="bottomRight" state="frozen"/>
      <selection activeCell="B1" sqref="B1" pane="topRight"/>
      <selection activeCell="A4" sqref="A4" pane="bottomLeft"/>
      <selection activeCell="B4" sqref="B4" pane="bottomRight"/>
    </sheetView>
  </sheetViews>
  <sheetFormatPr customHeight="1" defaultColWidth="14.43" defaultRowHeight="15.0"/>
  <cols>
    <col customWidth="1" min="1" max="1" width="10.14"/>
    <col customWidth="1" min="2" max="14" width="18.71"/>
  </cols>
  <sheetData>
    <row r="1">
      <c r="A1" s="144"/>
      <c r="B1" s="2" t="s">
        <v>17</v>
      </c>
      <c r="C1" s="3"/>
      <c r="D1" s="4" t="str">
        <f>elenchi!C1</f>
        <v>  SETTIMANA - A</v>
      </c>
      <c r="E1" s="5"/>
      <c r="F1" s="6" t="s">
        <v>1</v>
      </c>
      <c r="G1" s="7" t="str">
        <f>elenchi!D1</f>
        <v>LUNEDI 20 A DOMENICA 26 APRILE 2026</v>
      </c>
      <c r="H1" s="5"/>
      <c r="I1" s="5"/>
      <c r="J1" s="5"/>
      <c r="K1" s="5"/>
      <c r="L1" s="5"/>
      <c r="M1" s="5"/>
      <c r="N1" s="3"/>
    </row>
    <row r="2">
      <c r="A2" s="144"/>
      <c r="B2" s="8"/>
      <c r="C2" s="9"/>
      <c r="D2" s="8"/>
      <c r="E2" s="10"/>
      <c r="F2" s="10"/>
      <c r="G2" s="10"/>
      <c r="H2" s="10"/>
      <c r="I2" s="10"/>
      <c r="J2" s="10"/>
      <c r="K2" s="10"/>
      <c r="L2" s="10"/>
      <c r="M2" s="10"/>
      <c r="N2" s="9"/>
    </row>
    <row r="3">
      <c r="A3" s="11" t="s">
        <v>2</v>
      </c>
      <c r="B3" s="11" t="str">
        <f>elenchi!B1</f>
        <v>ALEXANDRA</v>
      </c>
      <c r="C3" s="11" t="str">
        <f>elenchi!B2</f>
        <v>GIUDITTA</v>
      </c>
      <c r="D3" s="11" t="str">
        <f>elenchi!B3</f>
        <v>ESTEFANY</v>
      </c>
      <c r="E3" s="12" t="str">
        <f>elenchi!B4</f>
        <v>NURA</v>
      </c>
      <c r="F3" s="12" t="str">
        <f>elenchi!B5</f>
        <v/>
      </c>
      <c r="G3" s="12" t="str">
        <f>elenchi!B6</f>
        <v>JOEL</v>
      </c>
      <c r="H3" s="13" t="str">
        <f>elenchi!B7</f>
        <v>KEVIN</v>
      </c>
      <c r="I3" s="14" t="str">
        <f>elenchi!B8</f>
        <v>JASIR</v>
      </c>
      <c r="J3" s="15" t="str">
        <f>elenchi!B9</f>
        <v>DIEGO</v>
      </c>
      <c r="K3" s="15" t="str">
        <f>elenchi!B10</f>
        <v>SARA</v>
      </c>
      <c r="L3" s="12" t="str">
        <f>elenchi!B11</f>
        <v>SANTO</v>
      </c>
      <c r="M3" s="12" t="str">
        <f>elenchi!B12</f>
        <v>MASSI</v>
      </c>
      <c r="N3" s="12" t="str">
        <f>elenchi!B13</f>
        <v/>
      </c>
    </row>
    <row r="4">
      <c r="A4" s="16" t="s">
        <v>3</v>
      </c>
      <c r="B4" s="17"/>
      <c r="C4" s="20"/>
      <c r="D4" s="19"/>
      <c r="E4" s="18"/>
      <c r="F4" s="18"/>
      <c r="G4" s="22"/>
      <c r="H4" s="23"/>
      <c r="I4" s="24"/>
      <c r="J4" s="25"/>
      <c r="K4" s="26"/>
      <c r="L4" s="27"/>
      <c r="M4" s="17"/>
      <c r="N4" s="26"/>
    </row>
    <row r="5">
      <c r="A5" s="28" t="s">
        <v>4</v>
      </c>
      <c r="B5" s="29"/>
      <c r="C5" s="32"/>
      <c r="D5" s="31"/>
      <c r="E5" s="30"/>
      <c r="F5" s="30"/>
      <c r="G5" s="34"/>
      <c r="H5" s="23"/>
      <c r="I5" s="24"/>
      <c r="J5" s="25"/>
      <c r="K5" s="26"/>
      <c r="L5" s="27"/>
      <c r="M5" s="17"/>
      <c r="N5" s="26"/>
    </row>
    <row r="6">
      <c r="A6" s="28" t="s">
        <v>5</v>
      </c>
      <c r="B6" s="29"/>
      <c r="C6" s="32"/>
      <c r="D6" s="31"/>
      <c r="E6" s="30"/>
      <c r="F6" s="30"/>
      <c r="G6" s="34"/>
      <c r="H6" s="35"/>
      <c r="I6" s="36"/>
      <c r="J6" s="37"/>
      <c r="K6" s="38"/>
      <c r="L6" s="27"/>
      <c r="M6" s="17"/>
      <c r="N6" s="26"/>
    </row>
    <row r="7">
      <c r="A7" s="39">
        <v>40475.354166666664</v>
      </c>
      <c r="B7" s="175"/>
      <c r="C7" s="30"/>
      <c r="D7" s="119" t="s">
        <v>6</v>
      </c>
      <c r="E7" s="119"/>
      <c r="F7" s="40"/>
      <c r="G7" s="50"/>
      <c r="H7" s="43"/>
      <c r="I7" s="43" t="s">
        <v>7</v>
      </c>
      <c r="J7" s="40"/>
      <c r="K7" s="46" t="s">
        <v>8</v>
      </c>
      <c r="L7" s="47" t="s">
        <v>9</v>
      </c>
      <c r="M7" s="48"/>
      <c r="N7" s="35"/>
    </row>
    <row r="8">
      <c r="A8" s="49">
        <v>40475.375</v>
      </c>
      <c r="B8" s="52"/>
      <c r="C8" s="32"/>
      <c r="D8" s="50" t="s">
        <v>6</v>
      </c>
      <c r="E8" s="50"/>
      <c r="F8" s="50"/>
      <c r="G8" s="50"/>
      <c r="H8" s="40"/>
      <c r="I8" s="40" t="s">
        <v>7</v>
      </c>
      <c r="J8" s="40"/>
      <c r="K8" s="46" t="s">
        <v>8</v>
      </c>
      <c r="L8" s="54" t="s">
        <v>9</v>
      </c>
      <c r="M8" s="48" t="s">
        <v>8</v>
      </c>
      <c r="N8" s="26"/>
    </row>
    <row r="9">
      <c r="A9" s="55">
        <v>40475.395833333336</v>
      </c>
      <c r="B9" s="52"/>
      <c r="C9" s="30"/>
      <c r="D9" s="50" t="s">
        <v>6</v>
      </c>
      <c r="E9" s="50"/>
      <c r="F9" s="40"/>
      <c r="G9" s="50"/>
      <c r="H9" s="40"/>
      <c r="I9" s="40" t="s">
        <v>7</v>
      </c>
      <c r="J9" s="40"/>
      <c r="K9" s="46" t="s">
        <v>8</v>
      </c>
      <c r="L9" s="54" t="s">
        <v>9</v>
      </c>
      <c r="M9" s="48" t="s">
        <v>8</v>
      </c>
      <c r="N9" s="35"/>
    </row>
    <row r="10">
      <c r="A10" s="55">
        <v>40475.416666666664</v>
      </c>
      <c r="B10" s="52"/>
      <c r="C10" s="32"/>
      <c r="D10" s="50" t="s">
        <v>6</v>
      </c>
      <c r="E10" s="50"/>
      <c r="F10" s="50"/>
      <c r="G10" s="50"/>
      <c r="H10" s="40"/>
      <c r="I10" s="40" t="s">
        <v>7</v>
      </c>
      <c r="J10" s="122"/>
      <c r="K10" s="46" t="s">
        <v>8</v>
      </c>
      <c r="L10" s="54" t="s">
        <v>9</v>
      </c>
      <c r="M10" s="48" t="s">
        <v>8</v>
      </c>
      <c r="N10" s="26"/>
    </row>
    <row r="11">
      <c r="A11" s="49">
        <v>40475.4375</v>
      </c>
      <c r="B11" s="52"/>
      <c r="C11" s="30"/>
      <c r="D11" s="119" t="s">
        <v>6</v>
      </c>
      <c r="E11" s="53" t="s">
        <v>7</v>
      </c>
      <c r="F11" s="53"/>
      <c r="G11" s="50"/>
      <c r="H11" s="40"/>
      <c r="I11" s="40" t="s">
        <v>7</v>
      </c>
      <c r="J11" s="53"/>
      <c r="K11" s="46" t="s">
        <v>8</v>
      </c>
      <c r="L11" s="63" t="s">
        <v>9</v>
      </c>
      <c r="M11" s="48" t="s">
        <v>8</v>
      </c>
      <c r="N11" s="35"/>
    </row>
    <row r="12">
      <c r="A12" s="49">
        <v>40475.458333333336</v>
      </c>
      <c r="B12" s="52"/>
      <c r="C12" s="136"/>
      <c r="D12" s="50" t="s">
        <v>6</v>
      </c>
      <c r="E12" s="78" t="s">
        <v>7</v>
      </c>
      <c r="F12" s="78"/>
      <c r="G12" s="50"/>
      <c r="H12" s="40"/>
      <c r="I12" s="40" t="s">
        <v>7</v>
      </c>
      <c r="J12" s="71"/>
      <c r="K12" s="46" t="s">
        <v>8</v>
      </c>
      <c r="L12" s="67" t="s">
        <v>9</v>
      </c>
      <c r="M12" s="48" t="s">
        <v>8</v>
      </c>
      <c r="N12" s="35"/>
    </row>
    <row r="13">
      <c r="A13" s="55">
        <v>40475.479166666664</v>
      </c>
      <c r="B13" s="52"/>
      <c r="C13" s="52"/>
      <c r="D13" s="119" t="s">
        <v>6</v>
      </c>
      <c r="E13" s="78" t="s">
        <v>7</v>
      </c>
      <c r="F13" s="78"/>
      <c r="G13" s="50"/>
      <c r="H13" s="40"/>
      <c r="I13" s="40" t="s">
        <v>7</v>
      </c>
      <c r="J13" s="71"/>
      <c r="K13" s="46" t="s">
        <v>8</v>
      </c>
      <c r="L13" s="67" t="s">
        <v>9</v>
      </c>
      <c r="M13" s="48" t="s">
        <v>8</v>
      </c>
      <c r="N13" s="26"/>
    </row>
    <row r="14">
      <c r="A14" s="55">
        <v>40475.5</v>
      </c>
      <c r="B14" s="51"/>
      <c r="C14" s="52"/>
      <c r="D14" s="50" t="s">
        <v>6</v>
      </c>
      <c r="E14" s="78" t="s">
        <v>7</v>
      </c>
      <c r="F14" s="78"/>
      <c r="G14" s="50"/>
      <c r="H14" s="40"/>
      <c r="I14" s="40" t="s">
        <v>7</v>
      </c>
      <c r="J14" s="71"/>
      <c r="K14" s="46" t="s">
        <v>10</v>
      </c>
      <c r="L14" s="67" t="s">
        <v>9</v>
      </c>
      <c r="M14" s="48" t="s">
        <v>8</v>
      </c>
      <c r="N14" s="35"/>
    </row>
    <row r="15">
      <c r="A15" s="49">
        <v>40475.520833333336</v>
      </c>
      <c r="B15" s="51"/>
      <c r="C15" s="52"/>
      <c r="D15" s="50" t="s">
        <v>6</v>
      </c>
      <c r="E15" s="78" t="s">
        <v>7</v>
      </c>
      <c r="F15" s="78"/>
      <c r="G15" s="50"/>
      <c r="H15" s="40"/>
      <c r="I15" s="40" t="s">
        <v>7</v>
      </c>
      <c r="J15" s="71"/>
      <c r="K15" s="46" t="s">
        <v>8</v>
      </c>
      <c r="L15" s="67" t="s">
        <v>9</v>
      </c>
      <c r="M15" s="48" t="s">
        <v>8</v>
      </c>
      <c r="N15" s="35"/>
    </row>
    <row r="16">
      <c r="A16" s="49">
        <v>40475.541666666664</v>
      </c>
      <c r="B16" s="50"/>
      <c r="C16" s="52"/>
      <c r="D16" s="50" t="s">
        <v>6</v>
      </c>
      <c r="E16" s="78" t="s">
        <v>7</v>
      </c>
      <c r="F16" s="78"/>
      <c r="G16" s="50"/>
      <c r="H16" s="40"/>
      <c r="I16" s="40" t="s">
        <v>7</v>
      </c>
      <c r="J16" s="71"/>
      <c r="K16" s="46" t="s">
        <v>8</v>
      </c>
      <c r="L16" s="67" t="s">
        <v>10</v>
      </c>
      <c r="M16" s="48" t="s">
        <v>10</v>
      </c>
      <c r="N16" s="35"/>
    </row>
    <row r="17">
      <c r="A17" s="55">
        <v>40475.5625</v>
      </c>
      <c r="B17" s="50" t="s">
        <v>7</v>
      </c>
      <c r="C17" s="61" t="s">
        <v>6</v>
      </c>
      <c r="D17" s="176" t="s">
        <v>10</v>
      </c>
      <c r="E17" s="177" t="s">
        <v>10</v>
      </c>
      <c r="F17" s="78"/>
      <c r="G17" s="50" t="s">
        <v>11</v>
      </c>
      <c r="H17" s="50" t="s">
        <v>7</v>
      </c>
      <c r="I17" s="40" t="s">
        <v>10</v>
      </c>
      <c r="J17" s="71"/>
      <c r="K17" s="46" t="s">
        <v>8</v>
      </c>
      <c r="L17" s="67" t="s">
        <v>9</v>
      </c>
      <c r="M17" s="48" t="s">
        <v>8</v>
      </c>
      <c r="N17" s="26" t="s">
        <v>7</v>
      </c>
    </row>
    <row r="18">
      <c r="A18" s="55">
        <v>40475.583333333336</v>
      </c>
      <c r="B18" s="50" t="s">
        <v>7</v>
      </c>
      <c r="C18" s="33" t="s">
        <v>6</v>
      </c>
      <c r="D18" s="50" t="s">
        <v>7</v>
      </c>
      <c r="E18" s="78" t="s">
        <v>7</v>
      </c>
      <c r="F18" s="78"/>
      <c r="G18" s="50" t="s">
        <v>11</v>
      </c>
      <c r="H18" s="40" t="s">
        <v>7</v>
      </c>
      <c r="I18" s="40" t="s">
        <v>7</v>
      </c>
      <c r="J18" s="71"/>
      <c r="K18" s="46" t="s">
        <v>8</v>
      </c>
      <c r="L18" s="67" t="s">
        <v>9</v>
      </c>
      <c r="M18" s="48" t="s">
        <v>8</v>
      </c>
      <c r="N18" s="35" t="s">
        <v>7</v>
      </c>
    </row>
    <row r="19">
      <c r="A19" s="49">
        <v>40475.604166666664</v>
      </c>
      <c r="B19" s="50" t="s">
        <v>7</v>
      </c>
      <c r="C19" s="33" t="s">
        <v>6</v>
      </c>
      <c r="D19" s="50" t="s">
        <v>7</v>
      </c>
      <c r="E19" s="78" t="s">
        <v>7</v>
      </c>
      <c r="F19" s="78"/>
      <c r="G19" s="50" t="s">
        <v>11</v>
      </c>
      <c r="H19" s="50" t="s">
        <v>7</v>
      </c>
      <c r="I19" s="40" t="s">
        <v>7</v>
      </c>
      <c r="J19" s="71"/>
      <c r="K19" s="46" t="s">
        <v>8</v>
      </c>
      <c r="L19" s="46" t="s">
        <v>9</v>
      </c>
      <c r="M19" s="48" t="s">
        <v>8</v>
      </c>
      <c r="N19" s="26" t="s">
        <v>7</v>
      </c>
    </row>
    <row r="20">
      <c r="A20" s="49">
        <v>40475.625</v>
      </c>
      <c r="B20" s="50" t="s">
        <v>7</v>
      </c>
      <c r="C20" s="33" t="s">
        <v>6</v>
      </c>
      <c r="D20" s="50" t="s">
        <v>7</v>
      </c>
      <c r="E20" s="78" t="s">
        <v>7</v>
      </c>
      <c r="F20" s="78"/>
      <c r="G20" s="50" t="s">
        <v>11</v>
      </c>
      <c r="H20" s="40" t="s">
        <v>7</v>
      </c>
      <c r="I20" s="40" t="s">
        <v>7</v>
      </c>
      <c r="J20" s="71"/>
      <c r="K20" s="46" t="s">
        <v>8</v>
      </c>
      <c r="L20" s="46" t="s">
        <v>9</v>
      </c>
      <c r="M20" s="48" t="s">
        <v>8</v>
      </c>
      <c r="N20" s="35" t="s">
        <v>7</v>
      </c>
    </row>
    <row r="21">
      <c r="A21" s="55">
        <v>40475.645833333336</v>
      </c>
      <c r="B21" s="50" t="s">
        <v>7</v>
      </c>
      <c r="C21" s="33" t="s">
        <v>6</v>
      </c>
      <c r="D21" s="50" t="s">
        <v>7</v>
      </c>
      <c r="E21" s="78" t="s">
        <v>7</v>
      </c>
      <c r="F21" s="78"/>
      <c r="G21" s="50" t="s">
        <v>11</v>
      </c>
      <c r="H21" s="50" t="s">
        <v>7</v>
      </c>
      <c r="I21" s="40" t="s">
        <v>7</v>
      </c>
      <c r="J21" s="71"/>
      <c r="K21" s="46" t="s">
        <v>8</v>
      </c>
      <c r="L21" s="46" t="s">
        <v>9</v>
      </c>
      <c r="M21" s="48" t="s">
        <v>8</v>
      </c>
      <c r="N21" s="26" t="s">
        <v>7</v>
      </c>
    </row>
    <row r="22">
      <c r="A22" s="55">
        <v>40475.666666666664</v>
      </c>
      <c r="B22" s="50" t="s">
        <v>7</v>
      </c>
      <c r="C22" s="122" t="s">
        <v>6</v>
      </c>
      <c r="D22" s="50" t="s">
        <v>7</v>
      </c>
      <c r="E22" s="78" t="s">
        <v>7</v>
      </c>
      <c r="F22" s="78"/>
      <c r="G22" s="50" t="s">
        <v>11</v>
      </c>
      <c r="H22" s="50" t="s">
        <v>7</v>
      </c>
      <c r="I22" s="40" t="s">
        <v>7</v>
      </c>
      <c r="J22" s="71"/>
      <c r="K22" s="46" t="s">
        <v>8</v>
      </c>
      <c r="L22" s="46" t="s">
        <v>9</v>
      </c>
      <c r="M22" s="48" t="s">
        <v>8</v>
      </c>
      <c r="N22" s="26" t="s">
        <v>7</v>
      </c>
    </row>
    <row r="23">
      <c r="A23" s="49">
        <v>40475.6875</v>
      </c>
      <c r="B23" s="50" t="s">
        <v>7</v>
      </c>
      <c r="C23" s="122" t="s">
        <v>6</v>
      </c>
      <c r="D23" s="50" t="s">
        <v>7</v>
      </c>
      <c r="E23" s="78" t="s">
        <v>7</v>
      </c>
      <c r="F23" s="78"/>
      <c r="G23" s="50" t="s">
        <v>11</v>
      </c>
      <c r="H23" s="50" t="s">
        <v>7</v>
      </c>
      <c r="I23" s="37" t="s">
        <v>7</v>
      </c>
      <c r="J23" s="71"/>
      <c r="K23" s="46" t="s">
        <v>8</v>
      </c>
      <c r="L23" s="46" t="s">
        <v>9</v>
      </c>
      <c r="M23" s="48" t="s">
        <v>8</v>
      </c>
      <c r="N23" s="26" t="s">
        <v>7</v>
      </c>
    </row>
    <row r="24">
      <c r="A24" s="49">
        <v>40475.708333333336</v>
      </c>
      <c r="B24" s="50" t="s">
        <v>7</v>
      </c>
      <c r="C24" s="124" t="s">
        <v>6</v>
      </c>
      <c r="D24" s="78"/>
      <c r="E24" s="78" t="s">
        <v>7</v>
      </c>
      <c r="F24" s="78"/>
      <c r="G24" s="50" t="s">
        <v>11</v>
      </c>
      <c r="H24" s="77" t="s">
        <v>7</v>
      </c>
      <c r="I24" s="37"/>
      <c r="J24" s="71"/>
      <c r="K24" s="46"/>
      <c r="L24" s="67"/>
      <c r="M24" s="48" t="s">
        <v>8</v>
      </c>
      <c r="N24" s="26" t="s">
        <v>7</v>
      </c>
    </row>
    <row r="25">
      <c r="A25" s="55">
        <v>40475.729166666664</v>
      </c>
      <c r="B25" s="40" t="s">
        <v>10</v>
      </c>
      <c r="C25" s="124" t="s">
        <v>10</v>
      </c>
      <c r="D25" s="64"/>
      <c r="E25" s="64" t="s">
        <v>7</v>
      </c>
      <c r="F25" s="64"/>
      <c r="G25" s="40" t="s">
        <v>11</v>
      </c>
      <c r="H25" s="46" t="s">
        <v>7</v>
      </c>
      <c r="I25" s="37"/>
      <c r="J25" s="74"/>
      <c r="K25" s="46"/>
      <c r="L25" s="67"/>
      <c r="M25" s="48" t="s">
        <v>8</v>
      </c>
      <c r="N25" s="76" t="s">
        <v>7</v>
      </c>
    </row>
    <row r="26">
      <c r="A26" s="55">
        <v>40475.75</v>
      </c>
      <c r="B26" s="50" t="s">
        <v>11</v>
      </c>
      <c r="C26" s="32" t="s">
        <v>7</v>
      </c>
      <c r="D26" s="78"/>
      <c r="E26" s="78" t="s">
        <v>7</v>
      </c>
      <c r="F26" s="78"/>
      <c r="G26" s="40" t="s">
        <v>10</v>
      </c>
      <c r="H26" s="46" t="s">
        <v>10</v>
      </c>
      <c r="I26" s="77"/>
      <c r="J26" s="71"/>
      <c r="K26" s="46"/>
      <c r="L26" s="67"/>
      <c r="M26" s="48" t="s">
        <v>8</v>
      </c>
      <c r="N26" s="76" t="s">
        <v>10</v>
      </c>
    </row>
    <row r="27">
      <c r="A27" s="49">
        <v>40475.770833333336</v>
      </c>
      <c r="B27" s="50" t="s">
        <v>11</v>
      </c>
      <c r="C27" s="32" t="s">
        <v>7</v>
      </c>
      <c r="D27" s="78"/>
      <c r="E27" s="78" t="s">
        <v>7</v>
      </c>
      <c r="F27" s="78"/>
      <c r="G27" s="40" t="s">
        <v>6</v>
      </c>
      <c r="H27" s="46" t="s">
        <v>11</v>
      </c>
      <c r="I27" s="37"/>
      <c r="J27" s="71"/>
      <c r="K27" s="46"/>
      <c r="L27" s="67"/>
      <c r="M27" s="48"/>
      <c r="N27" s="76" t="s">
        <v>11</v>
      </c>
    </row>
    <row r="28">
      <c r="A28" s="49">
        <v>40475.791666666664</v>
      </c>
      <c r="B28" s="32" t="s">
        <v>11</v>
      </c>
      <c r="C28" s="32" t="s">
        <v>7</v>
      </c>
      <c r="D28" s="122"/>
      <c r="E28" s="32"/>
      <c r="F28" s="124"/>
      <c r="G28" s="50" t="s">
        <v>6</v>
      </c>
      <c r="H28" s="46" t="s">
        <v>11</v>
      </c>
      <c r="I28" s="77"/>
      <c r="J28" s="139"/>
      <c r="K28" s="48"/>
      <c r="L28" s="46"/>
      <c r="M28" s="48"/>
      <c r="N28" s="76" t="s">
        <v>11</v>
      </c>
    </row>
    <row r="29">
      <c r="A29" s="55">
        <v>40475.8125</v>
      </c>
      <c r="B29" s="32" t="s">
        <v>11</v>
      </c>
      <c r="C29" s="32" t="s">
        <v>7</v>
      </c>
      <c r="D29" s="122"/>
      <c r="E29" s="77"/>
      <c r="F29" s="40"/>
      <c r="G29" s="40" t="s">
        <v>6</v>
      </c>
      <c r="H29" s="46" t="s">
        <v>11</v>
      </c>
      <c r="I29" s="37"/>
      <c r="J29" s="37"/>
      <c r="K29" s="48"/>
      <c r="L29" s="46"/>
      <c r="M29" s="48"/>
      <c r="N29" s="76" t="s">
        <v>11</v>
      </c>
    </row>
    <row r="30">
      <c r="A30" s="55">
        <v>40475.833333333336</v>
      </c>
      <c r="B30" s="32" t="s">
        <v>11</v>
      </c>
      <c r="C30" s="32" t="s">
        <v>7</v>
      </c>
      <c r="D30" s="69"/>
      <c r="E30" s="77"/>
      <c r="F30" s="50"/>
      <c r="G30" s="50" t="s">
        <v>6</v>
      </c>
      <c r="H30" s="46" t="s">
        <v>11</v>
      </c>
      <c r="I30" s="77"/>
      <c r="J30" s="37"/>
      <c r="K30" s="48"/>
      <c r="L30" s="46"/>
      <c r="M30" s="48"/>
      <c r="N30" s="47" t="s">
        <v>11</v>
      </c>
    </row>
    <row r="31">
      <c r="A31" s="49">
        <v>40475.854166666664</v>
      </c>
      <c r="B31" s="30" t="s">
        <v>11</v>
      </c>
      <c r="C31" s="32" t="s">
        <v>7</v>
      </c>
      <c r="D31" s="69"/>
      <c r="E31" s="37"/>
      <c r="F31" s="58"/>
      <c r="G31" s="40" t="s">
        <v>6</v>
      </c>
      <c r="H31" s="46" t="s">
        <v>11</v>
      </c>
      <c r="I31" s="37"/>
      <c r="J31" s="37"/>
      <c r="K31" s="48"/>
      <c r="L31" s="46"/>
      <c r="M31" s="48"/>
      <c r="N31" s="47" t="s">
        <v>11</v>
      </c>
    </row>
    <row r="32">
      <c r="A32" s="49">
        <v>40475.875</v>
      </c>
      <c r="B32" s="30" t="s">
        <v>11</v>
      </c>
      <c r="C32" s="32" t="s">
        <v>7</v>
      </c>
      <c r="D32" s="69"/>
      <c r="E32" s="37"/>
      <c r="F32" s="58"/>
      <c r="G32" s="40" t="s">
        <v>6</v>
      </c>
      <c r="H32" s="46" t="s">
        <v>11</v>
      </c>
      <c r="I32" s="77"/>
      <c r="J32" s="46"/>
      <c r="K32" s="48"/>
      <c r="L32" s="46"/>
      <c r="M32" s="48"/>
      <c r="N32" s="76" t="s">
        <v>11</v>
      </c>
    </row>
    <row r="33">
      <c r="A33" s="55">
        <v>40475.895833333336</v>
      </c>
      <c r="B33" s="30" t="s">
        <v>11</v>
      </c>
      <c r="C33" s="30" t="s">
        <v>7</v>
      </c>
      <c r="D33" s="69"/>
      <c r="E33" s="37"/>
      <c r="F33" s="69"/>
      <c r="G33" s="40" t="s">
        <v>6</v>
      </c>
      <c r="H33" s="46" t="s">
        <v>11</v>
      </c>
      <c r="I33" s="77"/>
      <c r="J33" s="139"/>
      <c r="K33" s="48"/>
      <c r="L33" s="46"/>
      <c r="M33" s="48"/>
      <c r="N33" s="76" t="s">
        <v>11</v>
      </c>
    </row>
    <row r="34">
      <c r="A34" s="55">
        <v>40475.916666666664</v>
      </c>
      <c r="B34" s="37"/>
      <c r="C34" s="33"/>
      <c r="D34" s="33"/>
      <c r="E34" s="30"/>
      <c r="F34" s="51"/>
      <c r="G34" s="71"/>
      <c r="H34" s="24"/>
      <c r="I34" s="24"/>
      <c r="J34" s="77"/>
      <c r="K34" s="24"/>
      <c r="L34" s="24"/>
      <c r="M34" s="24"/>
      <c r="N34" s="35"/>
    </row>
    <row r="35">
      <c r="A35" s="49">
        <v>40475.9375</v>
      </c>
      <c r="B35" s="37"/>
      <c r="C35" s="33"/>
      <c r="D35" s="33"/>
      <c r="E35" s="30"/>
      <c r="F35" s="32"/>
      <c r="G35" s="71"/>
      <c r="H35" s="24"/>
      <c r="I35" s="24"/>
      <c r="J35" s="77"/>
      <c r="K35" s="24"/>
      <c r="L35" s="24"/>
      <c r="M35" s="24"/>
      <c r="N35" s="35"/>
    </row>
    <row r="36">
      <c r="A36" s="49">
        <v>40475.958333333336</v>
      </c>
      <c r="B36" s="178"/>
      <c r="C36" s="32"/>
      <c r="D36" s="81"/>
      <c r="E36" s="30"/>
      <c r="F36" s="32"/>
      <c r="G36" s="31"/>
      <c r="H36" s="82"/>
      <c r="I36" s="37"/>
      <c r="J36" s="83"/>
      <c r="K36" s="37"/>
      <c r="L36" s="24"/>
      <c r="M36" s="24"/>
      <c r="N36" s="26"/>
    </row>
    <row r="37">
      <c r="A37" s="55">
        <v>40475.979166666664</v>
      </c>
      <c r="B37" s="179"/>
      <c r="C37" s="32"/>
      <c r="D37" s="31"/>
      <c r="E37" s="30"/>
      <c r="F37" s="30"/>
      <c r="G37" s="84"/>
      <c r="H37" s="23"/>
      <c r="I37" s="25"/>
      <c r="J37" s="25"/>
      <c r="K37" s="25"/>
      <c r="L37" s="48"/>
      <c r="M37" s="25"/>
      <c r="N37" s="26"/>
    </row>
    <row r="38">
      <c r="A38" s="85" t="s">
        <v>12</v>
      </c>
      <c r="B38" s="86"/>
      <c r="C38" s="88"/>
      <c r="D38" s="87"/>
      <c r="E38" s="30"/>
      <c r="F38" s="32"/>
      <c r="G38" s="34"/>
      <c r="H38" s="23"/>
      <c r="I38" s="25"/>
      <c r="J38" s="25"/>
      <c r="K38" s="83"/>
      <c r="L38" s="24"/>
      <c r="M38" s="83"/>
      <c r="N38" s="23"/>
    </row>
    <row r="39">
      <c r="A39" s="89" t="s">
        <v>13</v>
      </c>
      <c r="B39" s="89">
        <f t="shared" ref="B39:N39" si="1">CONCATENATE(COUNTIF(B4:B38,"MAGAZZINI")+COUNTIF(B4:B38,"PRIMO")+COUNTIF(B4:B38,"RECEPTION")+COUNTIF(B4:B38,"SAGGI")+COUNTIF(B4:B38,"SECONDO")+COUNTIF(B4:B38,"SMART W")+COUNTIF(B4:B38,"STUDIO 1 e 2")+COUNTIF(B4:B38,"MANUTENZ.")+COUNTIF(B4:B38,"UFFICIO")+COUNTIF(B4:B38,"CAMPUS")+COUNTIF(B4:B38,"TEATRO")+COUNTIF(B4:B38,"AMM.ZIONE")+COUNTIF(B4:B38,"FORMAZ-1p")+COUNTIF(B4:B38,"FORMAZ-2p")+COUNTIF(B4:B38,"FORMAZ-rec")+COUNTIF(B4:B38,"WORKSHOP")+COUNTIF(B4:B38,"EVENTO EST."))/2</f>
        <v>8</v>
      </c>
      <c r="C39" s="89">
        <f t="shared" si="1"/>
        <v>8</v>
      </c>
      <c r="D39" s="89">
        <f t="shared" si="1"/>
        <v>8</v>
      </c>
      <c r="E39" s="89">
        <f t="shared" si="1"/>
        <v>8</v>
      </c>
      <c r="F39" s="89">
        <f t="shared" si="1"/>
        <v>0</v>
      </c>
      <c r="G39" s="89">
        <f t="shared" si="1"/>
        <v>8</v>
      </c>
      <c r="H39" s="89">
        <f t="shared" si="1"/>
        <v>8</v>
      </c>
      <c r="I39" s="89">
        <f t="shared" si="1"/>
        <v>8</v>
      </c>
      <c r="J39" s="89">
        <f t="shared" si="1"/>
        <v>0</v>
      </c>
      <c r="K39" s="89">
        <f t="shared" si="1"/>
        <v>8</v>
      </c>
      <c r="L39" s="89">
        <f t="shared" si="1"/>
        <v>8</v>
      </c>
      <c r="M39" s="89">
        <f t="shared" si="1"/>
        <v>9</v>
      </c>
      <c r="N39" s="89">
        <f t="shared" si="1"/>
        <v>8</v>
      </c>
    </row>
  </sheetData>
  <mergeCells count="4">
    <mergeCell ref="B1:C2"/>
    <mergeCell ref="D1:E2"/>
    <mergeCell ref="F1:F2"/>
    <mergeCell ref="G1:N2"/>
  </mergeCells>
  <conditionalFormatting sqref="B4:N38">
    <cfRule type="containsText" dxfId="5" priority="1" operator="containsText" text="PERMESSO">
      <formula>NOT(ISERROR(SEARCH(("PERMESSO"),(B4))))</formula>
    </cfRule>
  </conditionalFormatting>
  <conditionalFormatting sqref="B4:N38">
    <cfRule type="containsText" dxfId="1" priority="2" operator="containsText" text="MALATTIA">
      <formula>NOT(ISERROR(SEARCH(("MALATTIA"),(B4))))</formula>
    </cfRule>
  </conditionalFormatting>
  <conditionalFormatting sqref="B4:N38">
    <cfRule type="containsText" dxfId="2" priority="3" operator="containsText" text="FORMAZ">
      <formula>NOT(ISERROR(SEARCH(("FORMAZ"),(B4))))</formula>
    </cfRule>
  </conditionalFormatting>
  <conditionalFormatting sqref="B4:N38">
    <cfRule type="containsText" dxfId="3" priority="4" operator="containsText" text="AMM.ZIONE">
      <formula>NOT(ISERROR(SEARCH(("AMM.ZIONE"),(B4))))</formula>
    </cfRule>
  </conditionalFormatting>
  <conditionalFormatting sqref="B4:N38">
    <cfRule type="containsText" dxfId="4" priority="5" operator="containsText" text="PAUSA">
      <formula>NOT(ISERROR(SEARCH(("PAUSA"),(B4))))</formula>
    </cfRule>
  </conditionalFormatting>
  <conditionalFormatting sqref="B4:N38">
    <cfRule type="containsText" dxfId="0" priority="6" operator="containsText" text="PERMESSO">
      <formula>NOT(ISERROR(SEARCH(("PERMESSO"),(B4))))</formula>
    </cfRule>
  </conditionalFormatting>
  <conditionalFormatting sqref="B4:N38">
    <cfRule type="containsText" dxfId="6" priority="7" operator="containsText" text="UFFICIO">
      <formula>NOT(ISERROR(SEARCH(("UFFICIO"),(B4))))</formula>
    </cfRule>
  </conditionalFormatting>
  <conditionalFormatting sqref="B4:N38">
    <cfRule type="containsText" dxfId="7" priority="8" operator="containsText" text="RIPOSO">
      <formula>NOT(ISERROR(SEARCH(("RIPOSO"),(B4))))</formula>
    </cfRule>
  </conditionalFormatting>
  <dataValidations>
    <dataValidation type="list" allowBlank="1" showInputMessage="1" showErrorMessage="1" prompt="Fai clic e immetti un valore da intervallo elenchi!A1:A30" sqref="B4:N38">
      <formula1>elenchi!$A$1:$A$30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F9000"/>
    <outlinePr summaryBelow="0" summaryRight="0"/>
  </sheetPr>
  <sheetViews>
    <sheetView workbookViewId="0">
      <pane xSplit="1.0" ySplit="3.0" topLeftCell="B4" activePane="bottomRight" state="frozen"/>
      <selection activeCell="B1" sqref="B1" pane="topRight"/>
      <selection activeCell="A4" sqref="A4" pane="bottomLeft"/>
      <selection activeCell="B4" sqref="B4" pane="bottomRight"/>
    </sheetView>
  </sheetViews>
  <sheetFormatPr customHeight="1" defaultColWidth="14.43" defaultRowHeight="15.0"/>
  <cols>
    <col customWidth="1" min="1" max="1" width="10.14"/>
    <col customWidth="1" min="2" max="14" width="18.71"/>
  </cols>
  <sheetData>
    <row r="1">
      <c r="A1" s="144"/>
      <c r="B1" s="2" t="s">
        <v>18</v>
      </c>
      <c r="C1" s="3"/>
      <c r="D1" s="4" t="str">
        <f>elenchi!C1</f>
        <v>  SETTIMANA - A</v>
      </c>
      <c r="E1" s="5"/>
      <c r="F1" s="6" t="s">
        <v>1</v>
      </c>
      <c r="G1" s="7" t="str">
        <f>elenchi!D1</f>
        <v>LUNEDI 20 A DOMENICA 26 APRILE 2026</v>
      </c>
      <c r="H1" s="5"/>
      <c r="I1" s="5"/>
      <c r="J1" s="5"/>
      <c r="K1" s="5"/>
      <c r="L1" s="5"/>
      <c r="M1" s="5"/>
      <c r="N1" s="3"/>
    </row>
    <row r="2">
      <c r="A2" s="144"/>
      <c r="B2" s="8"/>
      <c r="C2" s="9"/>
      <c r="D2" s="8"/>
      <c r="E2" s="10"/>
      <c r="F2" s="10"/>
      <c r="G2" s="10"/>
      <c r="H2" s="10"/>
      <c r="I2" s="10"/>
      <c r="J2" s="10"/>
      <c r="K2" s="10"/>
      <c r="L2" s="10"/>
      <c r="M2" s="10"/>
      <c r="N2" s="9"/>
    </row>
    <row r="3">
      <c r="A3" s="11" t="s">
        <v>2</v>
      </c>
      <c r="B3" s="11" t="str">
        <f>elenchi!B1</f>
        <v>ALEXANDRA</v>
      </c>
      <c r="C3" s="11" t="str">
        <f>elenchi!B2</f>
        <v>GIUDITTA</v>
      </c>
      <c r="D3" s="11" t="str">
        <f>elenchi!B3</f>
        <v>ESTEFANY</v>
      </c>
      <c r="E3" s="12" t="str">
        <f>elenchi!B4</f>
        <v>NURA</v>
      </c>
      <c r="F3" s="12" t="str">
        <f>elenchi!B5</f>
        <v/>
      </c>
      <c r="G3" s="12" t="str">
        <f>elenchi!B6</f>
        <v>JOEL</v>
      </c>
      <c r="H3" s="13" t="str">
        <f>elenchi!B7</f>
        <v>KEVIN</v>
      </c>
      <c r="I3" s="14" t="str">
        <f>elenchi!B8</f>
        <v>JASIR</v>
      </c>
      <c r="J3" s="15" t="str">
        <f>elenchi!B9</f>
        <v>DIEGO</v>
      </c>
      <c r="K3" s="15" t="str">
        <f>elenchi!B10</f>
        <v>SARA</v>
      </c>
      <c r="L3" s="12" t="str">
        <f>elenchi!B11</f>
        <v>SANTO</v>
      </c>
      <c r="M3" s="12" t="str">
        <f>elenchi!B12</f>
        <v>MASSI</v>
      </c>
      <c r="N3" s="12" t="str">
        <f>elenchi!B13</f>
        <v/>
      </c>
    </row>
    <row r="4">
      <c r="A4" s="16" t="s">
        <v>3</v>
      </c>
      <c r="B4" s="24"/>
      <c r="C4" s="180"/>
      <c r="D4" s="27"/>
      <c r="E4" s="27"/>
      <c r="F4" s="48"/>
      <c r="G4" s="27"/>
      <c r="H4" s="24"/>
      <c r="I4" s="25"/>
      <c r="J4" s="24"/>
      <c r="K4" s="181"/>
      <c r="L4" s="181"/>
      <c r="M4" s="181"/>
      <c r="N4" s="181"/>
    </row>
    <row r="5">
      <c r="A5" s="28" t="s">
        <v>4</v>
      </c>
      <c r="B5" s="24"/>
      <c r="C5" s="180"/>
      <c r="D5" s="27"/>
      <c r="E5" s="27"/>
      <c r="F5" s="48"/>
      <c r="G5" s="27"/>
      <c r="H5" s="24"/>
      <c r="I5" s="25"/>
      <c r="J5" s="24"/>
      <c r="K5" s="181"/>
      <c r="L5" s="181"/>
      <c r="M5" s="181"/>
      <c r="N5" s="181"/>
    </row>
    <row r="6">
      <c r="A6" s="28" t="s">
        <v>5</v>
      </c>
      <c r="B6" s="24"/>
      <c r="C6" s="180"/>
      <c r="D6" s="27"/>
      <c r="E6" s="27"/>
      <c r="F6" s="48"/>
      <c r="G6" s="27"/>
      <c r="H6" s="24"/>
      <c r="I6" s="25"/>
      <c r="J6" s="24"/>
      <c r="K6" s="48"/>
      <c r="L6" s="38"/>
      <c r="M6" s="181"/>
      <c r="N6" s="181"/>
    </row>
    <row r="7">
      <c r="A7" s="39">
        <v>40475.354166666664</v>
      </c>
      <c r="B7" s="24"/>
      <c r="C7" s="180"/>
      <c r="D7" s="27"/>
      <c r="E7" s="27"/>
      <c r="F7" s="24"/>
      <c r="G7" s="27"/>
      <c r="H7" s="24"/>
      <c r="I7" s="25"/>
      <c r="J7" s="24"/>
      <c r="K7" s="48"/>
      <c r="L7" s="77"/>
      <c r="M7" s="181"/>
      <c r="N7" s="181"/>
    </row>
    <row r="8">
      <c r="A8" s="49">
        <v>40475.375</v>
      </c>
      <c r="B8" s="182"/>
      <c r="C8" s="183"/>
      <c r="D8" s="184"/>
      <c r="E8" s="184"/>
      <c r="F8" s="185"/>
      <c r="G8" s="43"/>
      <c r="H8" s="186"/>
      <c r="I8" s="186"/>
      <c r="J8" s="187"/>
      <c r="K8" s="76"/>
      <c r="L8" s="77"/>
      <c r="M8" s="181"/>
      <c r="N8" s="188"/>
    </row>
    <row r="9">
      <c r="A9" s="55">
        <v>40475.395833333336</v>
      </c>
      <c r="B9" s="185"/>
      <c r="C9" s="183"/>
      <c r="D9" s="37"/>
      <c r="E9" s="37"/>
      <c r="F9" s="185"/>
      <c r="G9" s="40"/>
      <c r="H9" s="189"/>
      <c r="I9" s="189"/>
      <c r="J9" s="190"/>
      <c r="K9" s="76"/>
      <c r="L9" s="77"/>
      <c r="M9" s="191"/>
      <c r="N9" s="188"/>
    </row>
    <row r="10">
      <c r="A10" s="55">
        <v>40475.416666666664</v>
      </c>
      <c r="B10" s="185"/>
      <c r="C10" s="183"/>
      <c r="D10" s="37"/>
      <c r="E10" s="37"/>
      <c r="F10" s="185"/>
      <c r="G10" s="40"/>
      <c r="H10" s="184"/>
      <c r="I10" s="189"/>
      <c r="J10" s="190"/>
      <c r="K10" s="76"/>
      <c r="L10" s="77"/>
      <c r="M10" s="191"/>
      <c r="N10" s="188"/>
    </row>
    <row r="11">
      <c r="A11" s="49">
        <v>40475.4375</v>
      </c>
      <c r="B11" s="185"/>
      <c r="C11" s="183"/>
      <c r="D11" s="37"/>
      <c r="E11" s="37"/>
      <c r="F11" s="185"/>
      <c r="G11" s="40"/>
      <c r="H11" s="37"/>
      <c r="I11" s="189"/>
      <c r="J11" s="190"/>
      <c r="K11" s="76"/>
      <c r="L11" s="77"/>
      <c r="M11" s="191"/>
      <c r="N11" s="188"/>
    </row>
    <row r="12">
      <c r="A12" s="49">
        <v>40475.458333333336</v>
      </c>
      <c r="B12" s="185"/>
      <c r="C12" s="183"/>
      <c r="D12" s="37"/>
      <c r="E12" s="37"/>
      <c r="F12" s="185"/>
      <c r="G12" s="40"/>
      <c r="H12" s="37"/>
      <c r="I12" s="189"/>
      <c r="J12" s="190"/>
      <c r="K12" s="76"/>
      <c r="L12" s="77"/>
      <c r="M12" s="191"/>
      <c r="N12" s="188"/>
    </row>
    <row r="13">
      <c r="A13" s="55">
        <v>40475.479166666664</v>
      </c>
      <c r="B13" s="183"/>
      <c r="C13" s="183"/>
      <c r="D13" s="37"/>
      <c r="E13" s="37"/>
      <c r="F13" s="183"/>
      <c r="G13" s="50"/>
      <c r="H13" s="37"/>
      <c r="I13" s="189"/>
      <c r="J13" s="190"/>
      <c r="K13" s="48"/>
      <c r="L13" s="77"/>
      <c r="M13" s="191"/>
      <c r="N13" s="188"/>
    </row>
    <row r="14">
      <c r="A14" s="55">
        <v>40475.5</v>
      </c>
      <c r="B14" s="185"/>
      <c r="C14" s="183"/>
      <c r="D14" s="37"/>
      <c r="E14" s="37"/>
      <c r="F14" s="185"/>
      <c r="G14" s="50"/>
      <c r="H14" s="37"/>
      <c r="I14" s="189"/>
      <c r="J14" s="192"/>
      <c r="K14" s="48"/>
      <c r="L14" s="77"/>
      <c r="M14" s="191"/>
      <c r="N14" s="188"/>
    </row>
    <row r="15">
      <c r="A15" s="49">
        <v>40475.520833333336</v>
      </c>
      <c r="B15" s="183"/>
      <c r="C15" s="183"/>
      <c r="D15" s="77"/>
      <c r="E15" s="77"/>
      <c r="F15" s="183"/>
      <c r="G15" s="50"/>
      <c r="H15" s="40"/>
      <c r="I15" s="77"/>
      <c r="J15" s="193"/>
      <c r="K15" s="76"/>
      <c r="L15" s="187"/>
      <c r="M15" s="191"/>
      <c r="N15" s="194"/>
    </row>
    <row r="16">
      <c r="A16" s="49">
        <v>40475.541666666664</v>
      </c>
      <c r="B16" s="50"/>
      <c r="C16" s="195"/>
      <c r="D16" s="37"/>
      <c r="E16" s="37"/>
      <c r="F16" s="50"/>
      <c r="G16" s="40"/>
      <c r="H16" s="40"/>
      <c r="I16" s="37"/>
      <c r="J16" s="35"/>
      <c r="K16" s="76"/>
      <c r="L16" s="190"/>
      <c r="M16" s="191"/>
      <c r="N16" s="188"/>
    </row>
    <row r="17">
      <c r="A17" s="55">
        <v>40475.5625</v>
      </c>
      <c r="B17" s="40"/>
      <c r="C17" s="183"/>
      <c r="D17" s="37"/>
      <c r="E17" s="184"/>
      <c r="F17" s="50"/>
      <c r="G17" s="40"/>
      <c r="H17" s="40"/>
      <c r="I17" s="37"/>
      <c r="J17" s="35"/>
      <c r="K17" s="76"/>
      <c r="L17" s="190"/>
      <c r="M17" s="191"/>
      <c r="N17" s="188"/>
    </row>
    <row r="18">
      <c r="A18" s="55">
        <v>40475.583333333336</v>
      </c>
      <c r="B18" s="40"/>
      <c r="C18" s="195"/>
      <c r="D18" s="37"/>
      <c r="E18" s="189"/>
      <c r="F18" s="43"/>
      <c r="G18" s="67"/>
      <c r="H18" s="185"/>
      <c r="I18" s="37"/>
      <c r="J18" s="35"/>
      <c r="K18" s="76"/>
      <c r="L18" s="190"/>
      <c r="M18" s="191"/>
      <c r="N18" s="188"/>
    </row>
    <row r="19">
      <c r="A19" s="49">
        <v>40475.604166666664</v>
      </c>
      <c r="B19" s="40"/>
      <c r="C19" s="195"/>
      <c r="D19" s="37"/>
      <c r="E19" s="189"/>
      <c r="F19" s="40"/>
      <c r="G19" s="67"/>
      <c r="H19" s="185"/>
      <c r="I19" s="37"/>
      <c r="J19" s="35"/>
      <c r="K19" s="76"/>
      <c r="L19" s="190"/>
      <c r="M19" s="181"/>
      <c r="N19" s="188"/>
    </row>
    <row r="20">
      <c r="A20" s="49">
        <v>40475.625</v>
      </c>
      <c r="B20" s="40"/>
      <c r="C20" s="195"/>
      <c r="D20" s="37"/>
      <c r="E20" s="189"/>
      <c r="F20" s="40"/>
      <c r="G20" s="67"/>
      <c r="H20" s="185"/>
      <c r="I20" s="37"/>
      <c r="J20" s="35"/>
      <c r="K20" s="48"/>
      <c r="L20" s="190"/>
      <c r="M20" s="181"/>
      <c r="N20" s="188"/>
    </row>
    <row r="21">
      <c r="A21" s="55">
        <v>40475.645833333336</v>
      </c>
      <c r="B21" s="40"/>
      <c r="C21" s="195"/>
      <c r="D21" s="37"/>
      <c r="E21" s="189"/>
      <c r="F21" s="40"/>
      <c r="G21" s="67"/>
      <c r="H21" s="185"/>
      <c r="I21" s="37"/>
      <c r="J21" s="35"/>
      <c r="K21" s="48"/>
      <c r="L21" s="192"/>
      <c r="M21" s="181"/>
      <c r="N21" s="188"/>
    </row>
    <row r="22">
      <c r="A22" s="55">
        <v>40475.666666666664</v>
      </c>
      <c r="B22" s="40"/>
      <c r="C22" s="195"/>
      <c r="D22" s="77"/>
      <c r="E22" s="189"/>
      <c r="F22" s="40"/>
      <c r="G22" s="67"/>
      <c r="H22" s="185"/>
      <c r="I22" s="37"/>
      <c r="J22" s="35"/>
      <c r="K22" s="76"/>
      <c r="L22" s="192"/>
      <c r="M22" s="181"/>
      <c r="N22" s="188"/>
    </row>
    <row r="23">
      <c r="A23" s="49">
        <v>40475.6875</v>
      </c>
      <c r="B23" s="50"/>
      <c r="C23" s="195"/>
      <c r="D23" s="77"/>
      <c r="E23" s="189"/>
      <c r="F23" s="50"/>
      <c r="G23" s="67"/>
      <c r="H23" s="185"/>
      <c r="I23" s="37"/>
      <c r="J23" s="75"/>
      <c r="K23" s="76"/>
      <c r="L23" s="192"/>
      <c r="M23" s="181"/>
      <c r="N23" s="188"/>
    </row>
    <row r="24">
      <c r="A24" s="49">
        <v>40475.708333333336</v>
      </c>
      <c r="B24" s="50"/>
      <c r="C24" s="195"/>
      <c r="D24" s="77"/>
      <c r="E24" s="196"/>
      <c r="F24" s="50"/>
      <c r="G24" s="67"/>
      <c r="H24" s="183"/>
      <c r="I24" s="37"/>
      <c r="J24" s="75"/>
      <c r="K24" s="76"/>
      <c r="L24" s="192"/>
      <c r="M24" s="181"/>
      <c r="N24" s="188"/>
    </row>
    <row r="25">
      <c r="A25" s="55">
        <v>40475.729166666664</v>
      </c>
      <c r="B25" s="37"/>
      <c r="C25" s="197"/>
      <c r="D25" s="184"/>
      <c r="E25" s="46"/>
      <c r="F25" s="189"/>
      <c r="G25" s="54"/>
      <c r="H25" s="17"/>
      <c r="I25" s="37"/>
      <c r="J25" s="26"/>
      <c r="K25" s="76"/>
      <c r="L25" s="76"/>
      <c r="M25" s="181"/>
      <c r="N25" s="181"/>
    </row>
    <row r="26">
      <c r="A26" s="55">
        <v>40475.75</v>
      </c>
      <c r="B26" s="35"/>
      <c r="C26" s="23"/>
      <c r="D26" s="24"/>
      <c r="E26" s="184"/>
      <c r="F26" s="27"/>
      <c r="G26" s="76"/>
      <c r="H26" s="27"/>
      <c r="I26" s="24"/>
      <c r="J26" s="24"/>
      <c r="K26" s="76"/>
      <c r="L26" s="77"/>
      <c r="M26" s="181"/>
      <c r="N26" s="181"/>
    </row>
    <row r="27">
      <c r="A27" s="49">
        <v>40475.770833333336</v>
      </c>
      <c r="B27" s="27"/>
      <c r="C27" s="180"/>
      <c r="D27" s="24"/>
      <c r="E27" s="198"/>
      <c r="F27" s="27"/>
      <c r="G27" s="27"/>
      <c r="H27" s="24"/>
      <c r="I27" s="25"/>
      <c r="J27" s="24"/>
      <c r="K27" s="48"/>
      <c r="L27" s="77"/>
      <c r="M27" s="181"/>
      <c r="N27" s="181"/>
    </row>
    <row r="28">
      <c r="A28" s="49">
        <v>40475.791666666664</v>
      </c>
      <c r="B28" s="79"/>
      <c r="C28" s="180"/>
      <c r="D28" s="17"/>
      <c r="E28" s="199"/>
      <c r="F28" s="200"/>
      <c r="G28" s="79"/>
      <c r="H28" s="17"/>
      <c r="I28" s="24"/>
      <c r="J28" s="17"/>
      <c r="K28" s="48"/>
      <c r="L28" s="38"/>
      <c r="M28" s="181"/>
      <c r="N28" s="181"/>
    </row>
    <row r="29">
      <c r="A29" s="55">
        <v>40475.8125</v>
      </c>
      <c r="B29" s="27"/>
      <c r="C29" s="180"/>
      <c r="D29" s="27"/>
      <c r="E29" s="198"/>
      <c r="F29" s="48"/>
      <c r="G29" s="27"/>
      <c r="H29" s="24"/>
      <c r="I29" s="25"/>
      <c r="J29" s="24"/>
      <c r="K29" s="76"/>
      <c r="L29" s="77"/>
      <c r="M29" s="181"/>
      <c r="N29" s="180"/>
    </row>
    <row r="30">
      <c r="A30" s="55">
        <v>40475.833333333336</v>
      </c>
      <c r="B30" s="27"/>
      <c r="C30" s="180"/>
      <c r="D30" s="27"/>
      <c r="E30" s="27"/>
      <c r="F30" s="48"/>
      <c r="G30" s="27"/>
      <c r="H30" s="24"/>
      <c r="I30" s="25"/>
      <c r="J30" s="27"/>
      <c r="K30" s="76"/>
      <c r="L30" s="77"/>
      <c r="M30" s="181"/>
      <c r="N30" s="180"/>
    </row>
    <row r="31">
      <c r="A31" s="49">
        <v>40475.854166666664</v>
      </c>
      <c r="B31" s="27"/>
      <c r="C31" s="180"/>
      <c r="D31" s="27"/>
      <c r="E31" s="27"/>
      <c r="F31" s="48"/>
      <c r="G31" s="27"/>
      <c r="H31" s="24"/>
      <c r="I31" s="25"/>
      <c r="J31" s="27"/>
      <c r="K31" s="76"/>
      <c r="L31" s="77"/>
      <c r="M31" s="181"/>
      <c r="N31" s="201"/>
    </row>
    <row r="32">
      <c r="A32" s="49">
        <v>40475.875</v>
      </c>
      <c r="B32" s="27"/>
      <c r="C32" s="180"/>
      <c r="D32" s="27"/>
      <c r="E32" s="27"/>
      <c r="F32" s="48"/>
      <c r="G32" s="27"/>
      <c r="H32" s="24"/>
      <c r="I32" s="25"/>
      <c r="J32" s="27"/>
      <c r="K32" s="76"/>
      <c r="L32" s="77"/>
      <c r="M32" s="181"/>
      <c r="N32" s="181"/>
    </row>
    <row r="33">
      <c r="A33" s="55">
        <v>40475.895833333336</v>
      </c>
      <c r="B33" s="27"/>
      <c r="C33" s="180"/>
      <c r="D33" s="27"/>
      <c r="E33" s="27"/>
      <c r="F33" s="48"/>
      <c r="G33" s="27"/>
      <c r="H33" s="24"/>
      <c r="I33" s="25"/>
      <c r="J33" s="27"/>
      <c r="K33" s="76"/>
      <c r="L33" s="77"/>
      <c r="M33" s="202"/>
      <c r="N33" s="202"/>
    </row>
    <row r="34">
      <c r="A34" s="55">
        <v>40475.916666666664</v>
      </c>
      <c r="B34" s="27"/>
      <c r="C34" s="180"/>
      <c r="D34" s="27"/>
      <c r="E34" s="27"/>
      <c r="F34" s="48"/>
      <c r="G34" s="27"/>
      <c r="H34" s="24"/>
      <c r="I34" s="25"/>
      <c r="J34" s="27"/>
      <c r="K34" s="76"/>
      <c r="L34" s="77"/>
      <c r="M34" s="202"/>
      <c r="N34" s="202"/>
    </row>
    <row r="35">
      <c r="A35" s="49">
        <v>40475.9375</v>
      </c>
      <c r="B35" s="27"/>
      <c r="C35" s="180"/>
      <c r="D35" s="27"/>
      <c r="E35" s="27"/>
      <c r="F35" s="48"/>
      <c r="G35" s="27"/>
      <c r="H35" s="24"/>
      <c r="I35" s="25"/>
      <c r="J35" s="27"/>
      <c r="K35" s="76"/>
      <c r="L35" s="77"/>
      <c r="M35" s="202"/>
      <c r="N35" s="202"/>
    </row>
    <row r="36">
      <c r="A36" s="49">
        <v>40475.958333333336</v>
      </c>
      <c r="B36" s="79"/>
      <c r="C36" s="180"/>
      <c r="D36" s="79"/>
      <c r="E36" s="79"/>
      <c r="F36" s="200"/>
      <c r="G36" s="79"/>
      <c r="H36" s="79"/>
      <c r="I36" s="203"/>
      <c r="J36" s="79"/>
      <c r="K36" s="76"/>
      <c r="L36" s="77"/>
      <c r="M36" s="202"/>
      <c r="N36" s="202"/>
    </row>
    <row r="37">
      <c r="A37" s="55">
        <v>40475.979166666664</v>
      </c>
      <c r="B37" s="27"/>
      <c r="C37" s="180"/>
      <c r="D37" s="27"/>
      <c r="E37" s="27"/>
      <c r="F37" s="48"/>
      <c r="G37" s="27"/>
      <c r="H37" s="24"/>
      <c r="I37" s="25"/>
      <c r="J37" s="24"/>
      <c r="K37" s="76"/>
      <c r="L37" s="77"/>
      <c r="M37" s="181"/>
      <c r="N37" s="181"/>
    </row>
    <row r="38">
      <c r="A38" s="85" t="s">
        <v>12</v>
      </c>
      <c r="B38" s="79"/>
      <c r="C38" s="180"/>
      <c r="D38" s="79"/>
      <c r="E38" s="79"/>
      <c r="F38" s="17"/>
      <c r="G38" s="79"/>
      <c r="H38" s="17"/>
      <c r="I38" s="25"/>
      <c r="J38" s="17"/>
      <c r="K38" s="25"/>
      <c r="L38" s="77"/>
      <c r="M38" s="181"/>
      <c r="N38" s="181"/>
    </row>
    <row r="39">
      <c r="A39" s="89" t="s">
        <v>13</v>
      </c>
      <c r="B39" s="89">
        <f t="shared" ref="B39:N39" si="1">CONCATENATE(COUNTIF(B4:B38,"MAGAZZINI")+COUNTIF(B4:B38,"PRIMO")+COUNTIF(B4:B38,"RECEPTION")+COUNTIF(B4:B38,"SAGGI")+COUNTIF(B4:B38,"SECONDO")+COUNTIF(B4:B38,"SMART W")+COUNTIF(B4:B38,"STUDIO 1 e 2")+COUNTIF(B4:B38,"MANUTENZ.")+COUNTIF(B4:B38,"UFFICIO")+COUNTIF(B4:B38,"CAMPUS")+COUNTIF(B4:B38,"TEATRO")+COUNTIF(B4:B38,"AMM.ZIONE")+COUNTIF(B4:B38,"FORMAZ-1p")+COUNTIF(B4:B38,"FORMAZ-2p")+COUNTIF(B4:B38,"FORMAZ-rec")+COUNTIF(B4:B38,"WORKSHOP")+COUNTIF(B4:B38,"EVENTO EST."))/2</f>
        <v>0</v>
      </c>
      <c r="C39" s="89">
        <f t="shared" si="1"/>
        <v>0</v>
      </c>
      <c r="D39" s="89">
        <f t="shared" si="1"/>
        <v>0</v>
      </c>
      <c r="E39" s="89">
        <f t="shared" si="1"/>
        <v>0</v>
      </c>
      <c r="F39" s="89">
        <f t="shared" si="1"/>
        <v>0</v>
      </c>
      <c r="G39" s="89">
        <f t="shared" si="1"/>
        <v>0</v>
      </c>
      <c r="H39" s="89">
        <f t="shared" si="1"/>
        <v>0</v>
      </c>
      <c r="I39" s="89">
        <f t="shared" si="1"/>
        <v>0</v>
      </c>
      <c r="J39" s="89">
        <f t="shared" si="1"/>
        <v>0</v>
      </c>
      <c r="K39" s="89">
        <f t="shared" si="1"/>
        <v>0</v>
      </c>
      <c r="L39" s="89">
        <f t="shared" si="1"/>
        <v>0</v>
      </c>
      <c r="M39" s="89">
        <f t="shared" si="1"/>
        <v>0</v>
      </c>
      <c r="N39" s="89">
        <f t="shared" si="1"/>
        <v>0</v>
      </c>
    </row>
  </sheetData>
  <mergeCells count="4">
    <mergeCell ref="B1:C2"/>
    <mergeCell ref="D1:E2"/>
    <mergeCell ref="F1:F2"/>
    <mergeCell ref="G1:N2"/>
  </mergeCells>
  <conditionalFormatting sqref="B4:N38">
    <cfRule type="containsText" dxfId="1" priority="1" operator="containsText" text="MALATTIA">
      <formula>NOT(ISERROR(SEARCH(("MALATTIA"),(B4))))</formula>
    </cfRule>
  </conditionalFormatting>
  <conditionalFormatting sqref="B4:N38">
    <cfRule type="containsText" dxfId="2" priority="2" operator="containsText" text="FORMAZ">
      <formula>NOT(ISERROR(SEARCH(("FORMAZ"),(B4))))</formula>
    </cfRule>
  </conditionalFormatting>
  <conditionalFormatting sqref="B4:N38">
    <cfRule type="containsText" dxfId="3" priority="3" operator="containsText" text="AMM.ZIONE">
      <formula>NOT(ISERROR(SEARCH(("AMM.ZIONE"),(B4))))</formula>
    </cfRule>
  </conditionalFormatting>
  <conditionalFormatting sqref="B4:N38">
    <cfRule type="containsText" dxfId="4" priority="4" operator="containsText" text="PAUSA">
      <formula>NOT(ISERROR(SEARCH(("PAUSA"),(B4))))</formula>
    </cfRule>
  </conditionalFormatting>
  <conditionalFormatting sqref="B4:N38">
    <cfRule type="containsText" dxfId="0" priority="5" operator="containsText" text="PERMESSO">
      <formula>NOT(ISERROR(SEARCH(("PERMESSO"),(B4))))</formula>
    </cfRule>
  </conditionalFormatting>
  <conditionalFormatting sqref="B4:N38">
    <cfRule type="containsText" dxfId="6" priority="6" operator="containsText" text="UFFICIO">
      <formula>NOT(ISERROR(SEARCH(("UFFICIO"),(B4))))</formula>
    </cfRule>
  </conditionalFormatting>
  <conditionalFormatting sqref="B4:N38">
    <cfRule type="containsText" dxfId="7" priority="7" operator="containsText" text="RIPOSO">
      <formula>NOT(ISERROR(SEARCH(("RIPOSO"),(B4))))</formula>
    </cfRule>
  </conditionalFormatting>
  <dataValidations>
    <dataValidation type="list" allowBlank="1" showInputMessage="1" showErrorMessage="1" prompt="Fai clic e immetti un valore da intervallo elenchi!A1:A30" sqref="B4:N38">
      <formula1>elenchi!$A$1:$A$30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F9000"/>
    <outlinePr summaryBelow="0" summaryRight="0"/>
  </sheetPr>
  <sheetViews>
    <sheetView workbookViewId="0">
      <pane xSplit="1.0" ySplit="3.0" topLeftCell="B4" activePane="bottomRight" state="frozen"/>
      <selection activeCell="B1" sqref="B1" pane="topRight"/>
      <selection activeCell="A4" sqref="A4" pane="bottomLeft"/>
      <selection activeCell="B4" sqref="B4" pane="bottomRight"/>
    </sheetView>
  </sheetViews>
  <sheetFormatPr customHeight="1" defaultColWidth="14.43" defaultRowHeight="15.0"/>
  <cols>
    <col customWidth="1" min="1" max="1" width="10.14"/>
    <col customWidth="1" min="2" max="14" width="18.71"/>
  </cols>
  <sheetData>
    <row r="1">
      <c r="A1" s="144"/>
      <c r="B1" s="2" t="s">
        <v>19</v>
      </c>
      <c r="C1" s="3"/>
      <c r="D1" s="4" t="str">
        <f>elenchi!C1</f>
        <v>  SETTIMANA - A</v>
      </c>
      <c r="E1" s="5"/>
      <c r="F1" s="6" t="s">
        <v>1</v>
      </c>
      <c r="G1" s="7" t="str">
        <f>elenchi!D1</f>
        <v>LUNEDI 20 A DOMENICA 26 APRILE 2026</v>
      </c>
      <c r="H1" s="5"/>
      <c r="I1" s="5"/>
      <c r="J1" s="5"/>
      <c r="K1" s="5"/>
      <c r="L1" s="5"/>
      <c r="M1" s="5"/>
      <c r="N1" s="3"/>
    </row>
    <row r="2">
      <c r="A2" s="144"/>
      <c r="B2" s="8"/>
      <c r="C2" s="9"/>
      <c r="D2" s="8"/>
      <c r="E2" s="10"/>
      <c r="F2" s="10"/>
      <c r="G2" s="10"/>
      <c r="H2" s="10"/>
      <c r="I2" s="10"/>
      <c r="J2" s="10"/>
      <c r="K2" s="10"/>
      <c r="L2" s="10"/>
      <c r="M2" s="10"/>
      <c r="N2" s="9"/>
    </row>
    <row r="3">
      <c r="A3" s="11" t="s">
        <v>2</v>
      </c>
      <c r="B3" s="11" t="str">
        <f>elenchi!B1</f>
        <v>ALEXANDRA</v>
      </c>
      <c r="C3" s="11" t="str">
        <f>elenchi!B2</f>
        <v>GIUDITTA</v>
      </c>
      <c r="D3" s="11" t="str">
        <f>elenchi!B3</f>
        <v>ESTEFANY</v>
      </c>
      <c r="E3" s="12" t="str">
        <f>elenchi!B4</f>
        <v>NURA</v>
      </c>
      <c r="F3" s="12" t="str">
        <f>elenchi!B5</f>
        <v/>
      </c>
      <c r="G3" s="12" t="str">
        <f>elenchi!B6</f>
        <v>JOEL</v>
      </c>
      <c r="H3" s="13" t="str">
        <f>elenchi!B7</f>
        <v>KEVIN</v>
      </c>
      <c r="I3" s="14" t="str">
        <f>elenchi!B8</f>
        <v>JASIR</v>
      </c>
      <c r="J3" s="15" t="str">
        <f>elenchi!B9</f>
        <v>DIEGO</v>
      </c>
      <c r="K3" s="15" t="str">
        <f>elenchi!B10</f>
        <v>SARA</v>
      </c>
      <c r="L3" s="12" t="str">
        <f>elenchi!B11</f>
        <v>SANTO</v>
      </c>
      <c r="M3" s="12" t="str">
        <f>elenchi!B12</f>
        <v>MASSI</v>
      </c>
      <c r="N3" s="12" t="str">
        <f>elenchi!B13</f>
        <v/>
      </c>
    </row>
    <row r="4">
      <c r="A4" s="16" t="s">
        <v>3</v>
      </c>
      <c r="B4" s="24"/>
      <c r="C4" s="180"/>
      <c r="D4" s="47"/>
      <c r="E4" s="27"/>
      <c r="F4" s="48"/>
      <c r="G4" s="47"/>
      <c r="H4" s="48"/>
      <c r="I4" s="25"/>
      <c r="J4" s="25"/>
      <c r="K4" s="181"/>
      <c r="L4" s="181"/>
      <c r="M4" s="181"/>
      <c r="N4" s="181"/>
    </row>
    <row r="5">
      <c r="A5" s="28" t="s">
        <v>4</v>
      </c>
      <c r="B5" s="24"/>
      <c r="C5" s="180"/>
      <c r="D5" s="47"/>
      <c r="E5" s="27"/>
      <c r="F5" s="48"/>
      <c r="G5" s="47"/>
      <c r="H5" s="48"/>
      <c r="I5" s="25"/>
      <c r="J5" s="25"/>
      <c r="K5" s="181"/>
      <c r="L5" s="181"/>
      <c r="M5" s="181"/>
      <c r="N5" s="181"/>
    </row>
    <row r="6">
      <c r="A6" s="28" t="s">
        <v>5</v>
      </c>
      <c r="B6" s="24"/>
      <c r="C6" s="180"/>
      <c r="D6" s="47"/>
      <c r="E6" s="27"/>
      <c r="F6" s="48"/>
      <c r="G6" s="47"/>
      <c r="H6" s="48"/>
      <c r="I6" s="25"/>
      <c r="J6" s="25"/>
      <c r="K6" s="48"/>
      <c r="L6" s="38"/>
      <c r="M6" s="181"/>
      <c r="N6" s="181"/>
    </row>
    <row r="7">
      <c r="A7" s="39">
        <v>40475.354166666664</v>
      </c>
      <c r="B7" s="24"/>
      <c r="C7" s="180"/>
      <c r="D7" s="27"/>
      <c r="E7" s="27"/>
      <c r="F7" s="24"/>
      <c r="G7" s="27"/>
      <c r="H7" s="24"/>
      <c r="I7" s="25"/>
      <c r="J7" s="25"/>
      <c r="K7" s="48"/>
      <c r="L7" s="77"/>
      <c r="M7" s="181"/>
      <c r="N7" s="181"/>
    </row>
    <row r="8">
      <c r="A8" s="49">
        <v>40475.375</v>
      </c>
      <c r="B8" s="182"/>
      <c r="C8" s="183"/>
      <c r="D8" s="184"/>
      <c r="E8" s="184"/>
      <c r="F8" s="185"/>
      <c r="G8" s="43"/>
      <c r="H8" s="204"/>
      <c r="I8" s="205"/>
      <c r="J8" s="206"/>
      <c r="K8" s="76"/>
      <c r="L8" s="77"/>
      <c r="M8" s="181"/>
      <c r="N8" s="181"/>
    </row>
    <row r="9">
      <c r="A9" s="55">
        <v>40475.395833333336</v>
      </c>
      <c r="B9" s="185"/>
      <c r="C9" s="183"/>
      <c r="D9" s="37"/>
      <c r="E9" s="37"/>
      <c r="F9" s="185"/>
      <c r="G9" s="122"/>
      <c r="H9" s="189"/>
      <c r="I9" s="196"/>
      <c r="J9" s="207"/>
      <c r="K9" s="76"/>
      <c r="L9" s="77"/>
      <c r="M9" s="181"/>
      <c r="N9" s="181"/>
    </row>
    <row r="10">
      <c r="A10" s="55">
        <v>40475.416666666664</v>
      </c>
      <c r="B10" s="185"/>
      <c r="C10" s="183"/>
      <c r="D10" s="37"/>
      <c r="E10" s="37"/>
      <c r="F10" s="185"/>
      <c r="G10" s="122"/>
      <c r="H10" s="184"/>
      <c r="I10" s="196"/>
      <c r="J10" s="207"/>
      <c r="K10" s="76"/>
      <c r="L10" s="77"/>
      <c r="M10" s="191"/>
      <c r="N10" s="191"/>
    </row>
    <row r="11">
      <c r="A11" s="49">
        <v>40475.4375</v>
      </c>
      <c r="B11" s="185"/>
      <c r="C11" s="183"/>
      <c r="D11" s="37"/>
      <c r="E11" s="37"/>
      <c r="F11" s="185"/>
      <c r="G11" s="122"/>
      <c r="H11" s="37"/>
      <c r="I11" s="196"/>
      <c r="J11" s="207"/>
      <c r="K11" s="76"/>
      <c r="L11" s="77"/>
      <c r="M11" s="191"/>
      <c r="N11" s="191"/>
    </row>
    <row r="12">
      <c r="A12" s="49">
        <v>40475.458333333336</v>
      </c>
      <c r="B12" s="185"/>
      <c r="C12" s="183"/>
      <c r="D12" s="37"/>
      <c r="E12" s="37"/>
      <c r="F12" s="185"/>
      <c r="G12" s="122"/>
      <c r="H12" s="37"/>
      <c r="I12" s="196"/>
      <c r="J12" s="207"/>
      <c r="K12" s="76"/>
      <c r="L12" s="77"/>
      <c r="M12" s="191"/>
      <c r="N12" s="191"/>
    </row>
    <row r="13">
      <c r="A13" s="55">
        <v>40475.479166666664</v>
      </c>
      <c r="B13" s="183"/>
      <c r="C13" s="183"/>
      <c r="D13" s="77"/>
      <c r="E13" s="77"/>
      <c r="F13" s="185"/>
      <c r="G13" s="122"/>
      <c r="H13" s="37"/>
      <c r="I13" s="196"/>
      <c r="J13" s="208"/>
      <c r="K13" s="48"/>
      <c r="L13" s="77"/>
      <c r="M13" s="191"/>
      <c r="N13" s="191"/>
    </row>
    <row r="14">
      <c r="A14" s="55">
        <v>40475.5</v>
      </c>
      <c r="B14" s="183"/>
      <c r="C14" s="183"/>
      <c r="D14" s="77"/>
      <c r="E14" s="77"/>
      <c r="F14" s="185"/>
      <c r="G14" s="122"/>
      <c r="H14" s="37"/>
      <c r="I14" s="196"/>
      <c r="J14" s="209"/>
      <c r="K14" s="48"/>
      <c r="L14" s="77"/>
      <c r="M14" s="191"/>
      <c r="N14" s="191"/>
    </row>
    <row r="15">
      <c r="A15" s="49">
        <v>40475.520833333336</v>
      </c>
      <c r="B15" s="183"/>
      <c r="C15" s="183"/>
      <c r="D15" s="77"/>
      <c r="E15" s="77"/>
      <c r="F15" s="67"/>
      <c r="G15" s="122"/>
      <c r="H15" s="40"/>
      <c r="I15" s="77"/>
      <c r="J15" s="209"/>
      <c r="K15" s="76"/>
      <c r="L15" s="187"/>
      <c r="M15" s="191"/>
      <c r="N15" s="191"/>
    </row>
    <row r="16">
      <c r="A16" s="49">
        <v>40475.541666666664</v>
      </c>
      <c r="B16" s="40"/>
      <c r="C16" s="195"/>
      <c r="D16" s="46"/>
      <c r="E16" s="37"/>
      <c r="F16" s="122"/>
      <c r="G16" s="122"/>
      <c r="H16" s="50"/>
      <c r="I16" s="46"/>
      <c r="J16" s="76"/>
      <c r="K16" s="76"/>
      <c r="L16" s="190"/>
      <c r="M16" s="191"/>
      <c r="N16" s="191"/>
    </row>
    <row r="17">
      <c r="A17" s="55">
        <v>40475.5625</v>
      </c>
      <c r="B17" s="40"/>
      <c r="C17" s="183"/>
      <c r="D17" s="37"/>
      <c r="E17" s="184"/>
      <c r="F17" s="40"/>
      <c r="G17" s="40"/>
      <c r="H17" s="40"/>
      <c r="I17" s="46"/>
      <c r="J17" s="76"/>
      <c r="K17" s="76"/>
      <c r="L17" s="207"/>
      <c r="M17" s="191"/>
      <c r="N17" s="191"/>
    </row>
    <row r="18">
      <c r="A18" s="55">
        <v>40475.583333333336</v>
      </c>
      <c r="B18" s="40"/>
      <c r="C18" s="195"/>
      <c r="D18" s="37"/>
      <c r="E18" s="189"/>
      <c r="F18" s="43"/>
      <c r="G18" s="67"/>
      <c r="H18" s="185"/>
      <c r="I18" s="46"/>
      <c r="J18" s="76"/>
      <c r="K18" s="76"/>
      <c r="L18" s="207"/>
      <c r="M18" s="191"/>
      <c r="N18" s="191"/>
    </row>
    <row r="19">
      <c r="A19" s="49">
        <v>40475.604166666664</v>
      </c>
      <c r="B19" s="40"/>
      <c r="C19" s="195"/>
      <c r="D19" s="37"/>
      <c r="E19" s="189"/>
      <c r="F19" s="40"/>
      <c r="G19" s="67"/>
      <c r="H19" s="185"/>
      <c r="I19" s="46"/>
      <c r="J19" s="76"/>
      <c r="K19" s="35"/>
      <c r="L19" s="207"/>
      <c r="M19" s="191"/>
      <c r="N19" s="191"/>
    </row>
    <row r="20">
      <c r="A20" s="49">
        <v>40475.625</v>
      </c>
      <c r="B20" s="40"/>
      <c r="C20" s="195"/>
      <c r="D20" s="37"/>
      <c r="E20" s="189"/>
      <c r="F20" s="40"/>
      <c r="G20" s="67"/>
      <c r="H20" s="185"/>
      <c r="I20" s="46"/>
      <c r="J20" s="76"/>
      <c r="K20" s="24"/>
      <c r="L20" s="207"/>
      <c r="M20" s="191"/>
      <c r="N20" s="191"/>
    </row>
    <row r="21">
      <c r="A21" s="55">
        <v>40475.645833333336</v>
      </c>
      <c r="B21" s="40"/>
      <c r="C21" s="195"/>
      <c r="D21" s="77"/>
      <c r="E21" s="189"/>
      <c r="F21" s="40"/>
      <c r="G21" s="67"/>
      <c r="H21" s="185"/>
      <c r="I21" s="46"/>
      <c r="J21" s="76"/>
      <c r="K21" s="24"/>
      <c r="L21" s="193"/>
      <c r="M21" s="191"/>
      <c r="N21" s="191"/>
    </row>
    <row r="22">
      <c r="A22" s="55">
        <v>40475.666666666664</v>
      </c>
      <c r="B22" s="40"/>
      <c r="C22" s="195"/>
      <c r="D22" s="77"/>
      <c r="E22" s="189"/>
      <c r="F22" s="50"/>
      <c r="G22" s="67"/>
      <c r="H22" s="185"/>
      <c r="I22" s="46"/>
      <c r="J22" s="76"/>
      <c r="K22" s="35"/>
      <c r="L22" s="193"/>
      <c r="M22" s="191"/>
      <c r="N22" s="191"/>
    </row>
    <row r="23">
      <c r="A23" s="49">
        <v>40475.6875</v>
      </c>
      <c r="B23" s="40"/>
      <c r="C23" s="195"/>
      <c r="D23" s="77"/>
      <c r="E23" s="189"/>
      <c r="F23" s="50"/>
      <c r="G23" s="67"/>
      <c r="H23" s="185"/>
      <c r="I23" s="46"/>
      <c r="J23" s="76"/>
      <c r="K23" s="35"/>
      <c r="L23" s="193"/>
      <c r="M23" s="191"/>
      <c r="N23" s="191"/>
    </row>
    <row r="24">
      <c r="A24" s="49">
        <v>40475.708333333336</v>
      </c>
      <c r="B24" s="40"/>
      <c r="C24" s="195"/>
      <c r="D24" s="46"/>
      <c r="E24" s="189"/>
      <c r="F24" s="50"/>
      <c r="G24" s="67"/>
      <c r="H24" s="185"/>
      <c r="I24" s="46"/>
      <c r="J24" s="76"/>
      <c r="K24" s="35"/>
      <c r="L24" s="193"/>
      <c r="M24" s="191"/>
      <c r="N24" s="191"/>
    </row>
    <row r="25">
      <c r="A25" s="55">
        <v>40475.729166666664</v>
      </c>
      <c r="B25" s="40"/>
      <c r="C25" s="197"/>
      <c r="D25" s="54"/>
      <c r="E25" s="37"/>
      <c r="F25" s="189"/>
      <c r="G25" s="54"/>
      <c r="H25" s="24"/>
      <c r="I25" s="46"/>
      <c r="J25" s="76"/>
      <c r="K25" s="35"/>
      <c r="L25" s="76"/>
      <c r="M25" s="191"/>
      <c r="N25" s="191"/>
    </row>
    <row r="26">
      <c r="A26" s="55">
        <v>40475.75</v>
      </c>
      <c r="B26" s="122"/>
      <c r="C26" s="23"/>
      <c r="D26" s="48"/>
      <c r="E26" s="54"/>
      <c r="F26" s="27"/>
      <c r="G26" s="76"/>
      <c r="H26" s="67"/>
      <c r="I26" s="48"/>
      <c r="J26" s="48"/>
      <c r="K26" s="35"/>
      <c r="L26" s="46"/>
      <c r="M26" s="191"/>
      <c r="N26" s="191"/>
    </row>
    <row r="27">
      <c r="A27" s="49">
        <v>40475.770833333336</v>
      </c>
      <c r="B27" s="122"/>
      <c r="C27" s="180"/>
      <c r="D27" s="48"/>
      <c r="E27" s="76"/>
      <c r="F27" s="27"/>
      <c r="G27" s="47"/>
      <c r="H27" s="48"/>
      <c r="I27" s="48"/>
      <c r="J27" s="48"/>
      <c r="K27" s="48"/>
      <c r="L27" s="46"/>
      <c r="M27" s="191"/>
      <c r="N27" s="191"/>
    </row>
    <row r="28">
      <c r="A28" s="49">
        <v>40475.791666666664</v>
      </c>
      <c r="B28" s="122"/>
      <c r="C28" s="180"/>
      <c r="D28" s="48"/>
      <c r="E28" s="76"/>
      <c r="F28" s="200"/>
      <c r="G28" s="47"/>
      <c r="H28" s="67"/>
      <c r="I28" s="48"/>
      <c r="J28" s="48"/>
      <c r="K28" s="48"/>
      <c r="L28" s="54"/>
      <c r="M28" s="191"/>
      <c r="N28" s="191"/>
    </row>
    <row r="29">
      <c r="A29" s="55">
        <v>40475.8125</v>
      </c>
      <c r="B29" s="122"/>
      <c r="C29" s="180"/>
      <c r="D29" s="47"/>
      <c r="E29" s="76"/>
      <c r="F29" s="48"/>
      <c r="G29" s="47"/>
      <c r="H29" s="48"/>
      <c r="I29" s="48"/>
      <c r="J29" s="48"/>
      <c r="K29" s="76"/>
      <c r="L29" s="46"/>
      <c r="M29" s="191"/>
      <c r="N29" s="47"/>
    </row>
    <row r="30">
      <c r="A30" s="55">
        <v>40475.833333333336</v>
      </c>
      <c r="B30" s="122"/>
      <c r="C30" s="180"/>
      <c r="D30" s="47"/>
      <c r="E30" s="47"/>
      <c r="F30" s="48"/>
      <c r="G30" s="47"/>
      <c r="H30" s="67"/>
      <c r="I30" s="48"/>
      <c r="J30" s="47"/>
      <c r="K30" s="76"/>
      <c r="L30" s="46"/>
      <c r="M30" s="191"/>
      <c r="N30" s="47"/>
    </row>
    <row r="31">
      <c r="A31" s="49">
        <v>40475.854166666664</v>
      </c>
      <c r="B31" s="122"/>
      <c r="C31" s="180"/>
      <c r="D31" s="47"/>
      <c r="E31" s="47"/>
      <c r="F31" s="48"/>
      <c r="G31" s="47"/>
      <c r="H31" s="48"/>
      <c r="I31" s="48"/>
      <c r="J31" s="76"/>
      <c r="K31" s="76"/>
      <c r="L31" s="46"/>
      <c r="M31" s="191"/>
      <c r="N31" s="47"/>
    </row>
    <row r="32">
      <c r="A32" s="49">
        <v>40475.875</v>
      </c>
      <c r="B32" s="122"/>
      <c r="C32" s="180"/>
      <c r="D32" s="47"/>
      <c r="E32" s="47"/>
      <c r="F32" s="48"/>
      <c r="G32" s="47"/>
      <c r="H32" s="67"/>
      <c r="I32" s="48"/>
      <c r="J32" s="27"/>
      <c r="K32" s="76"/>
      <c r="L32" s="46"/>
      <c r="M32" s="191"/>
      <c r="N32" s="191"/>
    </row>
    <row r="33">
      <c r="A33" s="55">
        <v>40475.895833333336</v>
      </c>
      <c r="B33" s="122"/>
      <c r="C33" s="180"/>
      <c r="D33" s="47"/>
      <c r="E33" s="47"/>
      <c r="F33" s="48"/>
      <c r="G33" s="47"/>
      <c r="H33" s="48"/>
      <c r="I33" s="48"/>
      <c r="J33" s="47"/>
      <c r="K33" s="76"/>
      <c r="L33" s="46"/>
      <c r="M33" s="210"/>
      <c r="N33" s="210"/>
    </row>
    <row r="34">
      <c r="A34" s="55">
        <v>40475.916666666664</v>
      </c>
      <c r="B34" s="122"/>
      <c r="C34" s="180"/>
      <c r="D34" s="47"/>
      <c r="E34" s="47"/>
      <c r="F34" s="48"/>
      <c r="G34" s="47"/>
      <c r="H34" s="67"/>
      <c r="I34" s="48"/>
      <c r="J34" s="47"/>
      <c r="K34" s="76"/>
      <c r="L34" s="46"/>
      <c r="M34" s="191"/>
      <c r="N34" s="210"/>
    </row>
    <row r="35">
      <c r="A35" s="49">
        <v>40475.9375</v>
      </c>
      <c r="B35" s="122"/>
      <c r="C35" s="180"/>
      <c r="D35" s="47"/>
      <c r="E35" s="27"/>
      <c r="F35" s="48"/>
      <c r="G35" s="47"/>
      <c r="H35" s="48"/>
      <c r="I35" s="48"/>
      <c r="J35" s="47"/>
      <c r="K35" s="76"/>
      <c r="L35" s="46"/>
      <c r="M35" s="210"/>
      <c r="N35" s="210"/>
    </row>
    <row r="36">
      <c r="A36" s="49">
        <v>40475.958333333336</v>
      </c>
      <c r="B36" s="79"/>
      <c r="C36" s="180"/>
      <c r="D36" s="180"/>
      <c r="E36" s="79"/>
      <c r="F36" s="200"/>
      <c r="G36" s="47"/>
      <c r="H36" s="67"/>
      <c r="I36" s="47"/>
      <c r="J36" s="47"/>
      <c r="K36" s="76"/>
      <c r="L36" s="46"/>
      <c r="M36" s="191"/>
      <c r="N36" s="210"/>
    </row>
    <row r="37">
      <c r="A37" s="55">
        <v>40475.979166666664</v>
      </c>
      <c r="B37" s="27"/>
      <c r="C37" s="180"/>
      <c r="D37" s="47"/>
      <c r="E37" s="27"/>
      <c r="F37" s="48"/>
      <c r="G37" s="47"/>
      <c r="H37" s="48"/>
      <c r="I37" s="48"/>
      <c r="J37" s="48"/>
      <c r="K37" s="76"/>
      <c r="L37" s="46"/>
      <c r="M37" s="210"/>
      <c r="N37" s="191"/>
    </row>
    <row r="38">
      <c r="A38" s="85" t="s">
        <v>12</v>
      </c>
      <c r="B38" s="79"/>
      <c r="C38" s="180"/>
      <c r="D38" s="79"/>
      <c r="E38" s="79"/>
      <c r="F38" s="17"/>
      <c r="G38" s="79"/>
      <c r="H38" s="17"/>
      <c r="I38" s="25"/>
      <c r="J38" s="25"/>
      <c r="K38" s="25"/>
      <c r="L38" s="77"/>
      <c r="M38" s="181"/>
      <c r="N38" s="181"/>
    </row>
    <row r="39">
      <c r="A39" s="89" t="s">
        <v>13</v>
      </c>
      <c r="B39" s="89">
        <f t="shared" ref="B39:N39" si="1">CONCATENATE(COUNTIF(B4:B38,"MAGAZZINI")+COUNTIF(B4:B38,"PRIMO")+COUNTIF(B4:B38,"RECEPTION")+COUNTIF(B4:B38,"SAGGI")+COUNTIF(B4:B38,"SECONDO")+COUNTIF(B4:B38,"SMART W")+COUNTIF(B4:B38,"STUDIO 1 e 2")+COUNTIF(B4:B38,"MANUTENZ.")+COUNTIF(B4:B38,"UFFICIO")+COUNTIF(B4:B38,"CAMPUS")+COUNTIF(B4:B38,"TEATRO")+COUNTIF(B4:B38,"AMM.ZIONE")+COUNTIF(B4:B38,"FORMAZ-1p")+COUNTIF(B4:B38,"FORMAZ-2p")+COUNTIF(B4:B38,"FORMAZ-rec")+COUNTIF(B4:B38,"WORKSHOP")+COUNTIF(B4:B38,"EVENTO EST."))/2</f>
        <v>0</v>
      </c>
      <c r="C39" s="89">
        <f t="shared" si="1"/>
        <v>0</v>
      </c>
      <c r="D39" s="89">
        <f t="shared" si="1"/>
        <v>0</v>
      </c>
      <c r="E39" s="89">
        <f t="shared" si="1"/>
        <v>0</v>
      </c>
      <c r="F39" s="89">
        <f t="shared" si="1"/>
        <v>0</v>
      </c>
      <c r="G39" s="89">
        <f t="shared" si="1"/>
        <v>0</v>
      </c>
      <c r="H39" s="89">
        <f t="shared" si="1"/>
        <v>0</v>
      </c>
      <c r="I39" s="89">
        <f t="shared" si="1"/>
        <v>0</v>
      </c>
      <c r="J39" s="89">
        <f t="shared" si="1"/>
        <v>0</v>
      </c>
      <c r="K39" s="89">
        <f t="shared" si="1"/>
        <v>0</v>
      </c>
      <c r="L39" s="89">
        <f t="shared" si="1"/>
        <v>0</v>
      </c>
      <c r="M39" s="89">
        <f t="shared" si="1"/>
        <v>0</v>
      </c>
      <c r="N39" s="89">
        <f t="shared" si="1"/>
        <v>0</v>
      </c>
    </row>
  </sheetData>
  <mergeCells count="4">
    <mergeCell ref="B1:C2"/>
    <mergeCell ref="D1:E2"/>
    <mergeCell ref="F1:F2"/>
    <mergeCell ref="G1:N2"/>
  </mergeCells>
  <conditionalFormatting sqref="B4:N38">
    <cfRule type="containsText" dxfId="1" priority="1" operator="containsText" text="MALATTIA">
      <formula>NOT(ISERROR(SEARCH(("MALATTIA"),(B4))))</formula>
    </cfRule>
  </conditionalFormatting>
  <conditionalFormatting sqref="B4:N38">
    <cfRule type="containsText" dxfId="2" priority="2" operator="containsText" text="FORMAZ">
      <formula>NOT(ISERROR(SEARCH(("FORMAZ"),(B4))))</formula>
    </cfRule>
  </conditionalFormatting>
  <conditionalFormatting sqref="B4:N38">
    <cfRule type="containsText" dxfId="3" priority="3" operator="containsText" text="AMM.ZIONE">
      <formula>NOT(ISERROR(SEARCH(("AMM.ZIONE"),(B4))))</formula>
    </cfRule>
  </conditionalFormatting>
  <conditionalFormatting sqref="B4:N38">
    <cfRule type="containsText" dxfId="4" priority="4" operator="containsText" text="PAUSA">
      <formula>NOT(ISERROR(SEARCH(("PAUSA"),(B4))))</formula>
    </cfRule>
  </conditionalFormatting>
  <conditionalFormatting sqref="B4:N38">
    <cfRule type="containsText" dxfId="0" priority="5" operator="containsText" text="PERMESSO">
      <formula>NOT(ISERROR(SEARCH(("PERMESSO"),(B4))))</formula>
    </cfRule>
  </conditionalFormatting>
  <conditionalFormatting sqref="B4:N38">
    <cfRule type="containsText" dxfId="6" priority="6" operator="containsText" text="UFFICIO">
      <formula>NOT(ISERROR(SEARCH(("UFFICIO"),(B4))))</formula>
    </cfRule>
  </conditionalFormatting>
  <conditionalFormatting sqref="B4:N38">
    <cfRule type="containsText" dxfId="7" priority="7" operator="containsText" text="RIPOSO">
      <formula>NOT(ISERROR(SEARCH(("RIPOSO"),(B4))))</formula>
    </cfRule>
  </conditionalFormatting>
  <dataValidations>
    <dataValidation type="list" allowBlank="1" showInputMessage="1" showErrorMessage="1" prompt="Fai clic e immetti un valore da intervallo elenchi!A1:A30" sqref="B4:N38">
      <formula1>elenchi!$A$1:$A$30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900FF"/>
    <outlinePr summaryBelow="0" summaryRight="0"/>
  </sheetPr>
  <sheetViews>
    <sheetView workbookViewId="0">
      <pane xSplit="1.0" ySplit="3.0" topLeftCell="B4" activePane="bottomRight" state="frozen"/>
      <selection activeCell="B1" sqref="B1" pane="topRight"/>
      <selection activeCell="A4" sqref="A4" pane="bottomLeft"/>
      <selection activeCell="B4" sqref="B4" pane="bottomRight"/>
    </sheetView>
  </sheetViews>
  <sheetFormatPr customHeight="1" defaultColWidth="14.43" defaultRowHeight="15.0"/>
  <cols>
    <col customWidth="1" min="1" max="1" width="10.14"/>
    <col customWidth="1" min="2" max="14" width="18.71"/>
  </cols>
  <sheetData>
    <row r="1">
      <c r="A1" s="211"/>
      <c r="B1" s="212" t="s">
        <v>0</v>
      </c>
      <c r="C1" s="213"/>
      <c r="D1" s="214" t="str">
        <f>elenchi!C2</f>
        <v>  SETTIMANA - B</v>
      </c>
      <c r="F1" s="215" t="s">
        <v>20</v>
      </c>
      <c r="G1" s="216" t="str">
        <f>elenchi!D2</f>
        <v>LUNEDI 23 A DOMENICA 29 MARZO 2026</v>
      </c>
      <c r="N1" s="213"/>
    </row>
    <row r="2">
      <c r="A2" s="211"/>
      <c r="B2" s="8"/>
      <c r="C2" s="9"/>
      <c r="D2" s="10"/>
      <c r="E2" s="10"/>
      <c r="F2" s="10"/>
      <c r="G2" s="10"/>
      <c r="H2" s="10"/>
      <c r="I2" s="10"/>
      <c r="J2" s="10"/>
      <c r="K2" s="10"/>
      <c r="L2" s="10"/>
      <c r="M2" s="10"/>
      <c r="N2" s="9"/>
    </row>
    <row r="3">
      <c r="A3" s="11" t="s">
        <v>2</v>
      </c>
      <c r="B3" s="11" t="str">
        <f>elenchi!B1</f>
        <v>ALEXANDRA</v>
      </c>
      <c r="C3" s="11" t="str">
        <f>elenchi!B2</f>
        <v>GIUDITTA</v>
      </c>
      <c r="D3" s="11" t="str">
        <f>elenchi!B3</f>
        <v>ESTEFANY</v>
      </c>
      <c r="E3" s="12" t="str">
        <f>elenchi!B4</f>
        <v>NURA</v>
      </c>
      <c r="F3" s="12" t="str">
        <f>elenchi!B5</f>
        <v/>
      </c>
      <c r="G3" s="12" t="str">
        <f>elenchi!B6</f>
        <v>JOEL</v>
      </c>
      <c r="H3" s="13" t="str">
        <f>elenchi!B7</f>
        <v>KEVIN</v>
      </c>
      <c r="I3" s="14" t="str">
        <f>elenchi!B8</f>
        <v>JASIR</v>
      </c>
      <c r="J3" s="15" t="str">
        <f>elenchi!B9</f>
        <v>DIEGO</v>
      </c>
      <c r="K3" s="15" t="str">
        <f>elenchi!B10</f>
        <v>SARA</v>
      </c>
      <c r="L3" s="12" t="str">
        <f>elenchi!B11</f>
        <v>SANTO</v>
      </c>
      <c r="M3" s="12" t="str">
        <f>elenchi!B12</f>
        <v>MASSI</v>
      </c>
      <c r="N3" s="12" t="str">
        <f>elenchi!B13</f>
        <v/>
      </c>
    </row>
    <row r="4">
      <c r="A4" s="16" t="s">
        <v>3</v>
      </c>
      <c r="B4" s="17"/>
      <c r="C4" s="18"/>
      <c r="D4" s="19"/>
      <c r="E4" s="20"/>
      <c r="F4" s="21"/>
      <c r="G4" s="22"/>
      <c r="H4" s="23"/>
      <c r="I4" s="24"/>
      <c r="J4" s="25"/>
      <c r="K4" s="26"/>
      <c r="L4" s="27"/>
      <c r="M4" s="17"/>
      <c r="N4" s="26"/>
    </row>
    <row r="5">
      <c r="A5" s="28" t="s">
        <v>4</v>
      </c>
      <c r="B5" s="29"/>
      <c r="C5" s="30"/>
      <c r="D5" s="31"/>
      <c r="E5" s="32"/>
      <c r="F5" s="33"/>
      <c r="G5" s="34"/>
      <c r="H5" s="23"/>
      <c r="I5" s="24"/>
      <c r="J5" s="25"/>
      <c r="K5" s="26"/>
      <c r="L5" s="27"/>
      <c r="M5" s="17"/>
      <c r="N5" s="26"/>
    </row>
    <row r="6">
      <c r="A6" s="28" t="s">
        <v>5</v>
      </c>
      <c r="B6" s="29"/>
      <c r="C6" s="30"/>
      <c r="D6" s="31"/>
      <c r="E6" s="32"/>
      <c r="F6" s="33"/>
      <c r="G6" s="34"/>
      <c r="H6" s="35"/>
      <c r="I6" s="36"/>
      <c r="J6" s="37"/>
      <c r="K6" s="38"/>
      <c r="L6" s="27"/>
      <c r="M6" s="17"/>
      <c r="N6" s="26"/>
    </row>
    <row r="7">
      <c r="A7" s="39">
        <v>40475.354166666664</v>
      </c>
      <c r="B7" s="40" t="s">
        <v>6</v>
      </c>
      <c r="C7" s="41"/>
      <c r="D7" s="42"/>
      <c r="E7" s="43"/>
      <c r="F7" s="44"/>
      <c r="G7" s="45"/>
      <c r="H7" s="43" t="s">
        <v>7</v>
      </c>
      <c r="I7" s="43"/>
      <c r="J7" s="40"/>
      <c r="K7" s="46" t="s">
        <v>8</v>
      </c>
      <c r="L7" s="47" t="s">
        <v>9</v>
      </c>
      <c r="M7" s="48"/>
      <c r="N7" s="35"/>
    </row>
    <row r="8">
      <c r="A8" s="49">
        <v>40475.375</v>
      </c>
      <c r="B8" s="50" t="s">
        <v>6</v>
      </c>
      <c r="C8" s="41"/>
      <c r="D8" s="51"/>
      <c r="E8" s="50"/>
      <c r="F8" s="52"/>
      <c r="G8" s="53"/>
      <c r="H8" s="40" t="s">
        <v>7</v>
      </c>
      <c r="I8" s="40"/>
      <c r="J8" s="40"/>
      <c r="K8" s="46" t="s">
        <v>8</v>
      </c>
      <c r="L8" s="54" t="s">
        <v>9</v>
      </c>
      <c r="M8" s="48"/>
      <c r="N8" s="26"/>
    </row>
    <row r="9">
      <c r="A9" s="55">
        <v>40475.395833333336</v>
      </c>
      <c r="B9" s="40" t="s">
        <v>6</v>
      </c>
      <c r="C9" s="41"/>
      <c r="D9" s="56"/>
      <c r="E9" s="40"/>
      <c r="F9" s="57"/>
      <c r="G9" s="53"/>
      <c r="H9" s="40" t="s">
        <v>7</v>
      </c>
      <c r="I9" s="40"/>
      <c r="J9" s="40"/>
      <c r="K9" s="46" t="s">
        <v>8</v>
      </c>
      <c r="L9" s="54" t="s">
        <v>9</v>
      </c>
      <c r="M9" s="48"/>
      <c r="N9" s="35"/>
    </row>
    <row r="10">
      <c r="A10" s="55">
        <v>40475.416666666664</v>
      </c>
      <c r="B10" s="50" t="s">
        <v>6</v>
      </c>
      <c r="C10" s="41"/>
      <c r="D10" s="58"/>
      <c r="E10" s="50"/>
      <c r="F10" s="59"/>
      <c r="G10" s="53"/>
      <c r="H10" s="40" t="s">
        <v>7</v>
      </c>
      <c r="I10" s="40"/>
      <c r="J10" s="40"/>
      <c r="K10" s="46" t="s">
        <v>8</v>
      </c>
      <c r="L10" s="54" t="s">
        <v>9</v>
      </c>
      <c r="M10" s="48" t="s">
        <v>8</v>
      </c>
      <c r="N10" s="26"/>
    </row>
    <row r="11">
      <c r="A11" s="49">
        <v>40475.4375</v>
      </c>
      <c r="B11" s="50" t="s">
        <v>6</v>
      </c>
      <c r="C11" s="41"/>
      <c r="D11" s="60"/>
      <c r="E11" s="50" t="s">
        <v>7</v>
      </c>
      <c r="F11" s="61"/>
      <c r="G11" s="62"/>
      <c r="H11" s="40" t="s">
        <v>7</v>
      </c>
      <c r="I11" s="40"/>
      <c r="J11" s="40"/>
      <c r="K11" s="46" t="s">
        <v>8</v>
      </c>
      <c r="L11" s="63" t="s">
        <v>9</v>
      </c>
      <c r="M11" s="48" t="s">
        <v>8</v>
      </c>
      <c r="N11" s="35"/>
    </row>
    <row r="12">
      <c r="A12" s="49">
        <v>40475.458333333336</v>
      </c>
      <c r="B12" s="64" t="s">
        <v>6</v>
      </c>
      <c r="C12" s="65"/>
      <c r="D12" s="58"/>
      <c r="E12" s="53" t="s">
        <v>7</v>
      </c>
      <c r="F12" s="66"/>
      <c r="G12" s="53"/>
      <c r="H12" s="40" t="s">
        <v>7</v>
      </c>
      <c r="I12" s="40"/>
      <c r="J12" s="40"/>
      <c r="K12" s="46" t="s">
        <v>8</v>
      </c>
      <c r="L12" s="67" t="s">
        <v>9</v>
      </c>
      <c r="M12" s="48" t="s">
        <v>8</v>
      </c>
      <c r="N12" s="35"/>
    </row>
    <row r="13">
      <c r="A13" s="55">
        <v>40475.479166666664</v>
      </c>
      <c r="B13" s="50" t="s">
        <v>6</v>
      </c>
      <c r="C13" s="40"/>
      <c r="D13" s="56"/>
      <c r="E13" s="53" t="s">
        <v>7</v>
      </c>
      <c r="F13" s="68"/>
      <c r="G13" s="53"/>
      <c r="H13" s="40" t="s">
        <v>7</v>
      </c>
      <c r="I13" s="40"/>
      <c r="J13" s="40"/>
      <c r="K13" s="46" t="s">
        <v>8</v>
      </c>
      <c r="L13" s="67" t="s">
        <v>9</v>
      </c>
      <c r="M13" s="48" t="s">
        <v>8</v>
      </c>
      <c r="N13" s="26"/>
    </row>
    <row r="14">
      <c r="A14" s="55">
        <v>40475.5</v>
      </c>
      <c r="B14" s="50" t="s">
        <v>6</v>
      </c>
      <c r="C14" s="40"/>
      <c r="D14" s="69"/>
      <c r="E14" s="53" t="s">
        <v>7</v>
      </c>
      <c r="F14" s="68"/>
      <c r="G14" s="50"/>
      <c r="H14" s="40" t="s">
        <v>7</v>
      </c>
      <c r="I14" s="40"/>
      <c r="J14" s="40"/>
      <c r="K14" s="46" t="s">
        <v>10</v>
      </c>
      <c r="L14" s="67" t="s">
        <v>9</v>
      </c>
      <c r="M14" s="48" t="s">
        <v>8</v>
      </c>
      <c r="N14" s="35"/>
    </row>
    <row r="15">
      <c r="A15" s="49">
        <v>40475.520833333336</v>
      </c>
      <c r="B15" s="50" t="s">
        <v>10</v>
      </c>
      <c r="C15" s="40"/>
      <c r="D15" s="70"/>
      <c r="E15" s="53" t="s">
        <v>7</v>
      </c>
      <c r="F15" s="68"/>
      <c r="G15" s="40"/>
      <c r="H15" s="40" t="s">
        <v>7</v>
      </c>
      <c r="I15" s="40"/>
      <c r="J15" s="58"/>
      <c r="K15" s="46" t="s">
        <v>8</v>
      </c>
      <c r="L15" s="67" t="s">
        <v>9</v>
      </c>
      <c r="M15" s="48" t="s">
        <v>8</v>
      </c>
      <c r="N15" s="35"/>
    </row>
    <row r="16">
      <c r="A16" s="49">
        <v>40475.541666666664</v>
      </c>
      <c r="B16" s="50" t="s">
        <v>7</v>
      </c>
      <c r="C16" s="40"/>
      <c r="D16" s="58"/>
      <c r="E16" s="53" t="s">
        <v>6</v>
      </c>
      <c r="F16" s="66"/>
      <c r="G16" s="50"/>
      <c r="H16" s="40" t="s">
        <v>7</v>
      </c>
      <c r="I16" s="40"/>
      <c r="J16" s="58"/>
      <c r="K16" s="46" t="s">
        <v>8</v>
      </c>
      <c r="L16" s="67" t="s">
        <v>10</v>
      </c>
      <c r="M16" s="48" t="s">
        <v>10</v>
      </c>
      <c r="N16" s="35"/>
    </row>
    <row r="17">
      <c r="A17" s="55">
        <v>40475.5625</v>
      </c>
      <c r="B17" s="50" t="s">
        <v>7</v>
      </c>
      <c r="C17" s="40"/>
      <c r="D17" s="56"/>
      <c r="E17" s="53" t="s">
        <v>6</v>
      </c>
      <c r="F17" s="66"/>
      <c r="G17" s="40"/>
      <c r="H17" s="40" t="s">
        <v>10</v>
      </c>
      <c r="I17" s="40"/>
      <c r="J17" s="58"/>
      <c r="K17" s="46" t="s">
        <v>8</v>
      </c>
      <c r="L17" s="67" t="s">
        <v>9</v>
      </c>
      <c r="M17" s="48" t="s">
        <v>8</v>
      </c>
      <c r="N17" s="26"/>
    </row>
    <row r="18">
      <c r="A18" s="55">
        <v>40475.583333333336</v>
      </c>
      <c r="B18" s="50" t="s">
        <v>7</v>
      </c>
      <c r="C18" s="40"/>
      <c r="D18" s="58"/>
      <c r="E18" s="71" t="s">
        <v>6</v>
      </c>
      <c r="F18" s="72"/>
      <c r="G18" s="50"/>
      <c r="H18" s="40" t="s">
        <v>7</v>
      </c>
      <c r="I18" s="40"/>
      <c r="J18" s="58"/>
      <c r="K18" s="46" t="s">
        <v>8</v>
      </c>
      <c r="L18" s="67" t="s">
        <v>9</v>
      </c>
      <c r="M18" s="48" t="s">
        <v>8</v>
      </c>
      <c r="N18" s="26"/>
    </row>
    <row r="19">
      <c r="A19" s="49">
        <v>40475.604166666664</v>
      </c>
      <c r="B19" s="50" t="s">
        <v>7</v>
      </c>
      <c r="C19" s="71" t="s">
        <v>7</v>
      </c>
      <c r="D19" s="60" t="s">
        <v>11</v>
      </c>
      <c r="E19" s="73" t="s">
        <v>10</v>
      </c>
      <c r="F19" s="62"/>
      <c r="G19" s="50" t="s">
        <v>6</v>
      </c>
      <c r="H19" s="40" t="s">
        <v>7</v>
      </c>
      <c r="I19" s="40" t="s">
        <v>11</v>
      </c>
      <c r="J19" s="217" t="s">
        <v>7</v>
      </c>
      <c r="K19" s="46" t="s">
        <v>8</v>
      </c>
      <c r="L19" s="46" t="s">
        <v>9</v>
      </c>
      <c r="M19" s="48" t="s">
        <v>8</v>
      </c>
      <c r="N19" s="26"/>
    </row>
    <row r="20">
      <c r="A20" s="49">
        <v>40475.625</v>
      </c>
      <c r="B20" s="50" t="s">
        <v>7</v>
      </c>
      <c r="C20" s="74" t="s">
        <v>7</v>
      </c>
      <c r="D20" s="58" t="s">
        <v>11</v>
      </c>
      <c r="E20" s="73" t="s">
        <v>11</v>
      </c>
      <c r="F20" s="62"/>
      <c r="G20" s="40" t="s">
        <v>6</v>
      </c>
      <c r="H20" s="40" t="s">
        <v>7</v>
      </c>
      <c r="I20" s="40" t="s">
        <v>11</v>
      </c>
      <c r="J20" s="218" t="s">
        <v>7</v>
      </c>
      <c r="K20" s="46" t="s">
        <v>8</v>
      </c>
      <c r="L20" s="46" t="s">
        <v>9</v>
      </c>
      <c r="M20" s="48" t="s">
        <v>8</v>
      </c>
      <c r="N20" s="35"/>
    </row>
    <row r="21">
      <c r="A21" s="55">
        <v>40475.645833333336</v>
      </c>
      <c r="B21" s="40" t="s">
        <v>7</v>
      </c>
      <c r="C21" s="71" t="s">
        <v>7</v>
      </c>
      <c r="D21" s="60" t="s">
        <v>11</v>
      </c>
      <c r="E21" s="71" t="s">
        <v>11</v>
      </c>
      <c r="F21" s="62"/>
      <c r="G21" s="50" t="s">
        <v>6</v>
      </c>
      <c r="H21" s="40" t="s">
        <v>7</v>
      </c>
      <c r="I21" s="40" t="s">
        <v>11</v>
      </c>
      <c r="J21" s="217" t="s">
        <v>7</v>
      </c>
      <c r="K21" s="46" t="s">
        <v>8</v>
      </c>
      <c r="L21" s="46" t="s">
        <v>9</v>
      </c>
      <c r="M21" s="48" t="s">
        <v>8</v>
      </c>
      <c r="N21" s="26"/>
    </row>
    <row r="22">
      <c r="A22" s="55">
        <v>40475.666666666664</v>
      </c>
      <c r="B22" s="50" t="s">
        <v>7</v>
      </c>
      <c r="C22" s="71" t="s">
        <v>7</v>
      </c>
      <c r="D22" s="58" t="s">
        <v>11</v>
      </c>
      <c r="E22" s="71" t="s">
        <v>11</v>
      </c>
      <c r="F22" s="62"/>
      <c r="G22" s="50" t="s">
        <v>6</v>
      </c>
      <c r="H22" s="40" t="s">
        <v>7</v>
      </c>
      <c r="I22" s="40" t="s">
        <v>11</v>
      </c>
      <c r="J22" s="218" t="s">
        <v>7</v>
      </c>
      <c r="K22" s="46" t="s">
        <v>8</v>
      </c>
      <c r="L22" s="46" t="s">
        <v>9</v>
      </c>
      <c r="M22" s="48" t="s">
        <v>8</v>
      </c>
      <c r="N22" s="35"/>
    </row>
    <row r="23">
      <c r="A23" s="49">
        <v>40475.6875</v>
      </c>
      <c r="B23" s="40" t="s">
        <v>7</v>
      </c>
      <c r="C23" s="71" t="s">
        <v>7</v>
      </c>
      <c r="D23" s="60" t="s">
        <v>11</v>
      </c>
      <c r="E23" s="71" t="s">
        <v>11</v>
      </c>
      <c r="F23" s="62"/>
      <c r="G23" s="50" t="s">
        <v>6</v>
      </c>
      <c r="H23" s="40" t="s">
        <v>7</v>
      </c>
      <c r="I23" s="37" t="s">
        <v>11</v>
      </c>
      <c r="J23" s="217" t="s">
        <v>7</v>
      </c>
      <c r="K23" s="46" t="s">
        <v>8</v>
      </c>
      <c r="L23" s="46" t="s">
        <v>9</v>
      </c>
      <c r="M23" s="48" t="s">
        <v>8</v>
      </c>
      <c r="N23" s="26"/>
    </row>
    <row r="24">
      <c r="A24" s="49">
        <v>40475.708333333336</v>
      </c>
      <c r="B24" s="50"/>
      <c r="C24" s="71" t="s">
        <v>7</v>
      </c>
      <c r="D24" s="58" t="s">
        <v>11</v>
      </c>
      <c r="E24" s="71" t="s">
        <v>11</v>
      </c>
      <c r="F24" s="62"/>
      <c r="G24" s="50" t="s">
        <v>6</v>
      </c>
      <c r="H24" s="37"/>
      <c r="I24" s="37" t="s">
        <v>11</v>
      </c>
      <c r="J24" s="218" t="s">
        <v>7</v>
      </c>
      <c r="K24" s="46"/>
      <c r="L24" s="67"/>
      <c r="M24" s="48" t="s">
        <v>8</v>
      </c>
      <c r="N24" s="35"/>
    </row>
    <row r="25">
      <c r="A25" s="55">
        <v>40475.729166666664</v>
      </c>
      <c r="B25" s="50"/>
      <c r="C25" s="71" t="s">
        <v>7</v>
      </c>
      <c r="D25" s="60" t="s">
        <v>11</v>
      </c>
      <c r="E25" s="74" t="s">
        <v>11</v>
      </c>
      <c r="F25" s="62"/>
      <c r="G25" s="50" t="s">
        <v>6</v>
      </c>
      <c r="H25" s="37"/>
      <c r="I25" s="37" t="s">
        <v>11</v>
      </c>
      <c r="J25" s="217" t="s">
        <v>7</v>
      </c>
      <c r="K25" s="46"/>
      <c r="L25" s="67"/>
      <c r="M25" s="48" t="s">
        <v>8</v>
      </c>
      <c r="N25" s="26"/>
    </row>
    <row r="26">
      <c r="A26" s="55">
        <v>40475.75</v>
      </c>
      <c r="B26" s="50"/>
      <c r="C26" s="71" t="s">
        <v>7</v>
      </c>
      <c r="D26" s="58" t="s">
        <v>10</v>
      </c>
      <c r="E26" s="74" t="s">
        <v>11</v>
      </c>
      <c r="F26" s="62"/>
      <c r="G26" s="50" t="s">
        <v>6</v>
      </c>
      <c r="H26" s="37"/>
      <c r="I26" s="37" t="s">
        <v>11</v>
      </c>
      <c r="J26" s="219" t="s">
        <v>10</v>
      </c>
      <c r="K26" s="46"/>
      <c r="L26" s="67"/>
      <c r="M26" s="48" t="s">
        <v>8</v>
      </c>
      <c r="N26" s="75"/>
    </row>
    <row r="27">
      <c r="A27" s="49">
        <v>40475.770833333336</v>
      </c>
      <c r="B27" s="50"/>
      <c r="C27" s="74" t="s">
        <v>7</v>
      </c>
      <c r="D27" s="60" t="s">
        <v>6</v>
      </c>
      <c r="E27" s="74" t="s">
        <v>11</v>
      </c>
      <c r="F27" s="64"/>
      <c r="G27" s="40" t="s">
        <v>10</v>
      </c>
      <c r="H27" s="37"/>
      <c r="I27" s="37" t="s">
        <v>10</v>
      </c>
      <c r="J27" s="218" t="s">
        <v>7</v>
      </c>
      <c r="K27" s="46"/>
      <c r="L27" s="67"/>
      <c r="M27" s="48"/>
      <c r="N27" s="76"/>
    </row>
    <row r="28">
      <c r="A28" s="49">
        <v>40475.791666666664</v>
      </c>
      <c r="B28" s="50"/>
      <c r="C28" s="74" t="s">
        <v>10</v>
      </c>
      <c r="D28" s="58" t="s">
        <v>6</v>
      </c>
      <c r="E28" s="72"/>
      <c r="F28" s="64"/>
      <c r="G28" s="40" t="s">
        <v>7</v>
      </c>
      <c r="H28" s="37"/>
      <c r="I28" s="77" t="s">
        <v>7</v>
      </c>
      <c r="J28" s="217" t="s">
        <v>7</v>
      </c>
      <c r="K28" s="48"/>
      <c r="L28" s="46"/>
      <c r="M28" s="48"/>
      <c r="N28" s="26"/>
    </row>
    <row r="29">
      <c r="A29" s="55">
        <v>40475.8125</v>
      </c>
      <c r="B29" s="40"/>
      <c r="C29" s="74" t="s">
        <v>11</v>
      </c>
      <c r="D29" s="77" t="s">
        <v>6</v>
      </c>
      <c r="E29" s="73"/>
      <c r="F29" s="78"/>
      <c r="G29" s="40" t="s">
        <v>7</v>
      </c>
      <c r="H29" s="37"/>
      <c r="I29" s="37" t="s">
        <v>7</v>
      </c>
      <c r="J29" s="218" t="s">
        <v>7</v>
      </c>
      <c r="K29" s="48"/>
      <c r="L29" s="46"/>
      <c r="M29" s="48"/>
      <c r="N29" s="35"/>
    </row>
    <row r="30">
      <c r="A30" s="55">
        <v>40475.833333333336</v>
      </c>
      <c r="B30" s="40"/>
      <c r="C30" s="74" t="s">
        <v>11</v>
      </c>
      <c r="D30" s="77" t="s">
        <v>6</v>
      </c>
      <c r="E30" s="73"/>
      <c r="F30" s="78"/>
      <c r="G30" s="40" t="s">
        <v>7</v>
      </c>
      <c r="H30" s="37"/>
      <c r="I30" s="77" t="s">
        <v>7</v>
      </c>
      <c r="J30" s="220" t="s">
        <v>7</v>
      </c>
      <c r="K30" s="48"/>
      <c r="L30" s="46"/>
      <c r="M30" s="48"/>
      <c r="N30" s="79"/>
    </row>
    <row r="31">
      <c r="A31" s="49">
        <v>40475.854166666664</v>
      </c>
      <c r="B31" s="40"/>
      <c r="C31" s="74" t="s">
        <v>11</v>
      </c>
      <c r="D31" s="77" t="s">
        <v>6</v>
      </c>
      <c r="E31" s="73"/>
      <c r="F31" s="78"/>
      <c r="G31" s="40" t="s">
        <v>7</v>
      </c>
      <c r="H31" s="37"/>
      <c r="I31" s="37" t="s">
        <v>7</v>
      </c>
      <c r="J31" s="221" t="s">
        <v>7</v>
      </c>
      <c r="K31" s="48"/>
      <c r="L31" s="46"/>
      <c r="M31" s="48"/>
      <c r="N31" s="27"/>
    </row>
    <row r="32">
      <c r="A32" s="49">
        <v>40475.875</v>
      </c>
      <c r="B32" s="58"/>
      <c r="C32" s="74" t="s">
        <v>11</v>
      </c>
      <c r="D32" s="77" t="s">
        <v>6</v>
      </c>
      <c r="E32" s="73"/>
      <c r="F32" s="78"/>
      <c r="G32" s="40" t="s">
        <v>7</v>
      </c>
      <c r="H32" s="37"/>
      <c r="I32" s="77" t="s">
        <v>7</v>
      </c>
      <c r="J32" s="217" t="s">
        <v>7</v>
      </c>
      <c r="K32" s="48"/>
      <c r="L32" s="46"/>
      <c r="M32" s="48"/>
      <c r="N32" s="26"/>
    </row>
    <row r="33">
      <c r="A33" s="55">
        <v>40475.895833333336</v>
      </c>
      <c r="B33" s="60"/>
      <c r="C33" s="74" t="s">
        <v>11</v>
      </c>
      <c r="D33" s="77" t="s">
        <v>6</v>
      </c>
      <c r="E33" s="73"/>
      <c r="F33" s="78"/>
      <c r="G33" s="40" t="s">
        <v>7</v>
      </c>
      <c r="H33" s="37"/>
      <c r="I33" s="37" t="s">
        <v>7</v>
      </c>
      <c r="J33" s="218" t="s">
        <v>7</v>
      </c>
      <c r="K33" s="48"/>
      <c r="L33" s="46"/>
      <c r="M33" s="48"/>
      <c r="N33" s="35"/>
    </row>
    <row r="34">
      <c r="A34" s="55">
        <v>40475.916666666664</v>
      </c>
      <c r="B34" s="58"/>
      <c r="C34" s="74" t="s">
        <v>11</v>
      </c>
      <c r="D34" s="32" t="s">
        <v>6</v>
      </c>
      <c r="E34" s="73"/>
      <c r="F34" s="78"/>
      <c r="G34" s="40" t="s">
        <v>7</v>
      </c>
      <c r="H34" s="24"/>
      <c r="I34" s="17" t="s">
        <v>7</v>
      </c>
      <c r="J34" s="217" t="s">
        <v>7</v>
      </c>
      <c r="K34" s="24"/>
      <c r="L34" s="24"/>
      <c r="M34" s="24"/>
      <c r="N34" s="26"/>
    </row>
    <row r="35">
      <c r="A35" s="49">
        <v>40475.9375</v>
      </c>
      <c r="B35" s="58"/>
      <c r="C35" s="74" t="s">
        <v>11</v>
      </c>
      <c r="D35" s="32" t="s">
        <v>6</v>
      </c>
      <c r="E35" s="73"/>
      <c r="F35" s="78"/>
      <c r="G35" s="40" t="s">
        <v>7</v>
      </c>
      <c r="H35" s="24"/>
      <c r="I35" s="17" t="s">
        <v>7</v>
      </c>
      <c r="J35" s="217" t="s">
        <v>7</v>
      </c>
      <c r="K35" s="24"/>
      <c r="L35" s="24"/>
      <c r="M35" s="24"/>
      <c r="N35" s="26"/>
    </row>
    <row r="36">
      <c r="A36" s="49">
        <v>40475.958333333336</v>
      </c>
      <c r="B36" s="80"/>
      <c r="C36" s="30"/>
      <c r="D36" s="81"/>
      <c r="E36" s="32"/>
      <c r="F36" s="33"/>
      <c r="G36" s="31"/>
      <c r="H36" s="82"/>
      <c r="I36" s="37"/>
      <c r="J36" s="83"/>
      <c r="K36" s="37"/>
      <c r="L36" s="24"/>
      <c r="M36" s="24"/>
      <c r="N36" s="26"/>
    </row>
    <row r="37">
      <c r="A37" s="55">
        <v>40475.979166666664</v>
      </c>
      <c r="B37" s="29"/>
      <c r="C37" s="30"/>
      <c r="D37" s="31"/>
      <c r="E37" s="32"/>
      <c r="F37" s="33"/>
      <c r="G37" s="84"/>
      <c r="H37" s="23"/>
      <c r="I37" s="25"/>
      <c r="J37" s="25"/>
      <c r="K37" s="25"/>
      <c r="L37" s="48"/>
      <c r="M37" s="25"/>
      <c r="N37" s="26"/>
    </row>
    <row r="38">
      <c r="A38" s="85" t="s">
        <v>12</v>
      </c>
      <c r="B38" s="86"/>
      <c r="C38" s="30"/>
      <c r="D38" s="87"/>
      <c r="E38" s="88"/>
      <c r="F38" s="33"/>
      <c r="G38" s="34"/>
      <c r="H38" s="23"/>
      <c r="I38" s="25"/>
      <c r="J38" s="25"/>
      <c r="K38" s="83"/>
      <c r="L38" s="24"/>
      <c r="M38" s="83"/>
      <c r="N38" s="23"/>
    </row>
    <row r="39">
      <c r="A39" s="89" t="s">
        <v>13</v>
      </c>
      <c r="B39" s="89">
        <f t="shared" ref="B39:N39" si="1">CONCATENATE(COUNTIF(B4:B38,"MAGAZZINI")+COUNTIF(B4:B38,"PRIMO")+COUNTIF(B4:B38,"RECEPTION")+COUNTIF(B4:B38,"SAGGI")+COUNTIF(B4:B38,"SECONDO")+COUNTIF(B4:B38,"SMART W")+COUNTIF(B4:B38,"STUDIO 1 e 2")+COUNTIF(B4:B38,"MANUTENZ.")+COUNTIF(B4:B38,"UFFICIO")+COUNTIF(B4:B38,"CAMPUS")+COUNTIF(B4:B38,"TEATRO")+COUNTIF(B4:B38,"AMM.ZIONE")+COUNTIF(B4:B38,"FORMAZ-1p")+COUNTIF(B4:B38,"FORMAZ-2p")+COUNTIF(B4:B38,"FORMAZ-rec")+COUNTIF(B4:B38,"WORKSHOP")+COUNTIF(B4:B38,"EVENTO EST."))/2</f>
        <v>8</v>
      </c>
      <c r="C39" s="89">
        <f t="shared" si="1"/>
        <v>8</v>
      </c>
      <c r="D39" s="89">
        <f t="shared" si="1"/>
        <v>8</v>
      </c>
      <c r="E39" s="89">
        <f t="shared" si="1"/>
        <v>8</v>
      </c>
      <c r="F39" s="89">
        <f t="shared" si="1"/>
        <v>0</v>
      </c>
      <c r="G39" s="89">
        <f t="shared" si="1"/>
        <v>8</v>
      </c>
      <c r="H39" s="89">
        <f t="shared" si="1"/>
        <v>8</v>
      </c>
      <c r="I39" s="89">
        <f t="shared" si="1"/>
        <v>8</v>
      </c>
      <c r="J39" s="89">
        <f t="shared" si="1"/>
        <v>8</v>
      </c>
      <c r="K39" s="89">
        <f t="shared" si="1"/>
        <v>8</v>
      </c>
      <c r="L39" s="89">
        <f t="shared" si="1"/>
        <v>8</v>
      </c>
      <c r="M39" s="89">
        <f t="shared" si="1"/>
        <v>8</v>
      </c>
      <c r="N39" s="89">
        <f t="shared" si="1"/>
        <v>0</v>
      </c>
    </row>
  </sheetData>
  <mergeCells count="4">
    <mergeCell ref="B1:C2"/>
    <mergeCell ref="D1:E2"/>
    <mergeCell ref="F1:F2"/>
    <mergeCell ref="G1:N2"/>
  </mergeCells>
  <conditionalFormatting sqref="B4:N38">
    <cfRule type="containsText" dxfId="5" priority="1" operator="containsText" text="PERMESSO">
      <formula>NOT(ISERROR(SEARCH(("PERMESSO"),(B4))))</formula>
    </cfRule>
  </conditionalFormatting>
  <conditionalFormatting sqref="B4:N38">
    <cfRule type="containsText" dxfId="1" priority="2" operator="containsText" text="MALATTIA">
      <formula>NOT(ISERROR(SEARCH(("MALATTIA"),(B4))))</formula>
    </cfRule>
  </conditionalFormatting>
  <conditionalFormatting sqref="B4:N38">
    <cfRule type="containsText" dxfId="2" priority="3" operator="containsText" text="FORMAZ">
      <formula>NOT(ISERROR(SEARCH(("FORMAZ"),(B4))))</formula>
    </cfRule>
  </conditionalFormatting>
  <conditionalFormatting sqref="B4:N38">
    <cfRule type="containsText" dxfId="3" priority="4" operator="containsText" text="AMM.ZIONE">
      <formula>NOT(ISERROR(SEARCH(("AMM.ZIONE"),(B4))))</formula>
    </cfRule>
  </conditionalFormatting>
  <conditionalFormatting sqref="B4:N38">
    <cfRule type="containsText" dxfId="4" priority="5" operator="containsText" text="PAUSA">
      <formula>NOT(ISERROR(SEARCH(("PAUSA"),(B4))))</formula>
    </cfRule>
  </conditionalFormatting>
  <conditionalFormatting sqref="B4:N38">
    <cfRule type="containsText" dxfId="0" priority="6" operator="containsText" text="PERMESSO">
      <formula>NOT(ISERROR(SEARCH(("PERMESSO"),(B4))))</formula>
    </cfRule>
  </conditionalFormatting>
  <conditionalFormatting sqref="B4:N38">
    <cfRule type="containsText" dxfId="6" priority="7" operator="containsText" text="UFFICIO">
      <formula>NOT(ISERROR(SEARCH(("UFFICIO"),(B4))))</formula>
    </cfRule>
  </conditionalFormatting>
  <conditionalFormatting sqref="B4:N38">
    <cfRule type="containsText" dxfId="7" priority="8" operator="containsText" text="RIPOSO">
      <formula>NOT(ISERROR(SEARCH(("RIPOSO"),(B4))))</formula>
    </cfRule>
  </conditionalFormatting>
  <dataValidations>
    <dataValidation type="list" allowBlank="1" showInputMessage="1" showErrorMessage="1" prompt="Fai clic e immetti un valore da intervallo elenchi!A1:A30" sqref="B4:N38">
      <formula1>elenchi!$A$1:$A$30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900FF"/>
    <outlinePr summaryBelow="0" summaryRight="0"/>
  </sheetPr>
  <sheetViews>
    <sheetView workbookViewId="0">
      <pane xSplit="1.0" ySplit="3.0" topLeftCell="B4" activePane="bottomRight" state="frozen"/>
      <selection activeCell="B1" sqref="B1" pane="topRight"/>
      <selection activeCell="A4" sqref="A4" pane="bottomLeft"/>
      <selection activeCell="B4" sqref="B4" pane="bottomRight"/>
    </sheetView>
  </sheetViews>
  <sheetFormatPr customHeight="1" defaultColWidth="14.43" defaultRowHeight="15.0"/>
  <cols>
    <col customWidth="1" min="1" max="1" width="10.14"/>
    <col customWidth="1" min="2" max="14" width="18.71"/>
  </cols>
  <sheetData>
    <row r="1">
      <c r="A1" s="211"/>
      <c r="B1" s="222" t="s">
        <v>14</v>
      </c>
      <c r="C1" s="213"/>
      <c r="D1" s="214" t="str">
        <f>elenchi!C2</f>
        <v>  SETTIMANA - B</v>
      </c>
      <c r="F1" s="215" t="s">
        <v>20</v>
      </c>
      <c r="G1" s="216" t="str">
        <f>elenchi!D2</f>
        <v>LUNEDI 23 A DOMENICA 29 MARZO 2026</v>
      </c>
      <c r="N1" s="213"/>
    </row>
    <row r="2">
      <c r="A2" s="211"/>
      <c r="B2" s="8"/>
      <c r="C2" s="9"/>
      <c r="D2" s="10"/>
      <c r="E2" s="10"/>
      <c r="F2" s="10"/>
      <c r="G2" s="10"/>
      <c r="H2" s="10"/>
      <c r="I2" s="10"/>
      <c r="J2" s="10"/>
      <c r="K2" s="10"/>
      <c r="L2" s="10"/>
      <c r="M2" s="10"/>
      <c r="N2" s="9"/>
    </row>
    <row r="3">
      <c r="A3" s="11" t="s">
        <v>2</v>
      </c>
      <c r="B3" s="11" t="str">
        <f>elenchi!B1</f>
        <v>ALEXANDRA</v>
      </c>
      <c r="C3" s="11" t="str">
        <f>elenchi!B2</f>
        <v>GIUDITTA</v>
      </c>
      <c r="D3" s="11" t="str">
        <f>elenchi!B3</f>
        <v>ESTEFANY</v>
      </c>
      <c r="E3" s="12" t="str">
        <f>elenchi!B4</f>
        <v>NURA</v>
      </c>
      <c r="F3" s="12" t="str">
        <f>elenchi!B5</f>
        <v/>
      </c>
      <c r="G3" s="12" t="str">
        <f>elenchi!B6</f>
        <v>JOEL</v>
      </c>
      <c r="H3" s="13" t="str">
        <f>elenchi!B7</f>
        <v>KEVIN</v>
      </c>
      <c r="I3" s="14" t="str">
        <f>elenchi!B8</f>
        <v>JASIR</v>
      </c>
      <c r="J3" s="15" t="str">
        <f>elenchi!B9</f>
        <v>DIEGO</v>
      </c>
      <c r="K3" s="15" t="str">
        <f>elenchi!B10</f>
        <v>SARA</v>
      </c>
      <c r="L3" s="12" t="str">
        <f>elenchi!B11</f>
        <v>SANTO</v>
      </c>
      <c r="M3" s="12" t="str">
        <f>elenchi!B12</f>
        <v>MASSI</v>
      </c>
      <c r="N3" s="12" t="str">
        <f>elenchi!B13</f>
        <v/>
      </c>
    </row>
    <row r="4">
      <c r="A4" s="16" t="s">
        <v>3</v>
      </c>
      <c r="B4" s="90"/>
      <c r="C4" s="91"/>
      <c r="D4" s="91"/>
      <c r="E4" s="92"/>
      <c r="F4" s="93"/>
      <c r="G4" s="91"/>
      <c r="H4" s="94"/>
      <c r="I4" s="95"/>
      <c r="J4" s="96"/>
      <c r="K4" s="97"/>
      <c r="L4" s="95"/>
      <c r="M4" s="90"/>
      <c r="N4" s="97"/>
    </row>
    <row r="5">
      <c r="A5" s="28" t="s">
        <v>4</v>
      </c>
      <c r="B5" s="98"/>
      <c r="C5" s="99"/>
      <c r="D5" s="99"/>
      <c r="E5" s="100"/>
      <c r="F5" s="101"/>
      <c r="G5" s="99"/>
      <c r="H5" s="94"/>
      <c r="I5" s="95"/>
      <c r="J5" s="96"/>
      <c r="K5" s="102"/>
      <c r="L5" s="95"/>
      <c r="M5" s="90"/>
      <c r="N5" s="97"/>
    </row>
    <row r="6">
      <c r="A6" s="28" t="s">
        <v>5</v>
      </c>
      <c r="B6" s="98"/>
      <c r="C6" s="99"/>
      <c r="D6" s="99"/>
      <c r="E6" s="100"/>
      <c r="F6" s="101"/>
      <c r="G6" s="99"/>
      <c r="H6" s="103"/>
      <c r="I6" s="104"/>
      <c r="J6" s="105"/>
      <c r="K6" s="90"/>
      <c r="L6" s="95"/>
      <c r="M6" s="90"/>
      <c r="N6" s="97"/>
    </row>
    <row r="7">
      <c r="A7" s="39">
        <v>40475.354166666664</v>
      </c>
      <c r="B7" s="106"/>
      <c r="C7" s="100"/>
      <c r="D7" s="43" t="s">
        <v>6</v>
      </c>
      <c r="E7" s="107"/>
      <c r="F7" s="108"/>
      <c r="G7" s="109"/>
      <c r="H7" s="43" t="s">
        <v>11</v>
      </c>
      <c r="I7" s="110"/>
      <c r="J7" s="108"/>
      <c r="K7" s="69" t="s">
        <v>8</v>
      </c>
      <c r="L7" s="111" t="s">
        <v>9</v>
      </c>
      <c r="M7" s="112"/>
      <c r="N7" s="103"/>
    </row>
    <row r="8">
      <c r="A8" s="49">
        <v>40475.375</v>
      </c>
      <c r="B8" s="113"/>
      <c r="C8" s="99"/>
      <c r="D8" s="50" t="s">
        <v>6</v>
      </c>
      <c r="E8" s="114"/>
      <c r="F8" s="115"/>
      <c r="G8" s="109"/>
      <c r="H8" s="40" t="s">
        <v>11</v>
      </c>
      <c r="I8" s="108"/>
      <c r="J8" s="108"/>
      <c r="K8" s="69" t="s">
        <v>8</v>
      </c>
      <c r="L8" s="70" t="s">
        <v>9</v>
      </c>
      <c r="M8" s="70"/>
      <c r="N8" s="97"/>
    </row>
    <row r="9">
      <c r="A9" s="55">
        <v>40475.395833333336</v>
      </c>
      <c r="B9" s="113"/>
      <c r="C9" s="100"/>
      <c r="D9" s="40" t="s">
        <v>6</v>
      </c>
      <c r="E9" s="114"/>
      <c r="F9" s="108"/>
      <c r="G9" s="109"/>
      <c r="H9" s="40" t="s">
        <v>11</v>
      </c>
      <c r="I9" s="108"/>
      <c r="J9" s="108"/>
      <c r="K9" s="69" t="s">
        <v>8</v>
      </c>
      <c r="L9" s="70" t="s">
        <v>9</v>
      </c>
      <c r="M9" s="70"/>
      <c r="N9" s="103"/>
    </row>
    <row r="10">
      <c r="A10" s="55">
        <v>40475.416666666664</v>
      </c>
      <c r="B10" s="113"/>
      <c r="C10" s="99"/>
      <c r="D10" s="50" t="s">
        <v>6</v>
      </c>
      <c r="E10" s="114"/>
      <c r="F10" s="116"/>
      <c r="G10" s="109"/>
      <c r="H10" s="40" t="s">
        <v>11</v>
      </c>
      <c r="I10" s="117"/>
      <c r="J10" s="40"/>
      <c r="K10" s="69" t="s">
        <v>8</v>
      </c>
      <c r="L10" s="70" t="s">
        <v>9</v>
      </c>
      <c r="M10" s="70" t="s">
        <v>8</v>
      </c>
      <c r="N10" s="97"/>
    </row>
    <row r="11">
      <c r="A11" s="49">
        <v>40475.4375</v>
      </c>
      <c r="B11" s="118"/>
      <c r="C11" s="100"/>
      <c r="D11" s="119" t="s">
        <v>6</v>
      </c>
      <c r="E11" s="114"/>
      <c r="F11" s="115"/>
      <c r="G11" s="120" t="s">
        <v>7</v>
      </c>
      <c r="H11" s="40" t="s">
        <v>11</v>
      </c>
      <c r="I11" s="117"/>
      <c r="J11" s="40"/>
      <c r="K11" s="69" t="s">
        <v>8</v>
      </c>
      <c r="L11" s="121" t="s">
        <v>9</v>
      </c>
      <c r="M11" s="70" t="s">
        <v>8</v>
      </c>
      <c r="N11" s="103"/>
    </row>
    <row r="12">
      <c r="A12" s="49">
        <v>40475.458333333336</v>
      </c>
      <c r="B12" s="64"/>
      <c r="C12" s="65"/>
      <c r="D12" s="40" t="s">
        <v>6</v>
      </c>
      <c r="E12" s="114"/>
      <c r="F12" s="115"/>
      <c r="G12" s="45" t="s">
        <v>7</v>
      </c>
      <c r="H12" s="40" t="s">
        <v>11</v>
      </c>
      <c r="I12" s="122"/>
      <c r="J12" s="40"/>
      <c r="K12" s="69" t="s">
        <v>8</v>
      </c>
      <c r="L12" s="122" t="s">
        <v>9</v>
      </c>
      <c r="M12" s="70" t="s">
        <v>8</v>
      </c>
      <c r="N12" s="103"/>
    </row>
    <row r="13">
      <c r="A13" s="55">
        <v>40475.479166666664</v>
      </c>
      <c r="B13" s="78"/>
      <c r="C13" s="50"/>
      <c r="D13" s="50" t="s">
        <v>6</v>
      </c>
      <c r="E13" s="62"/>
      <c r="F13" s="115"/>
      <c r="G13" s="53" t="s">
        <v>7</v>
      </c>
      <c r="H13" s="40" t="s">
        <v>11</v>
      </c>
      <c r="I13" s="122"/>
      <c r="J13" s="40"/>
      <c r="K13" s="69" t="s">
        <v>8</v>
      </c>
      <c r="L13" s="122" t="s">
        <v>9</v>
      </c>
      <c r="M13" s="70" t="s">
        <v>8</v>
      </c>
      <c r="N13" s="97"/>
    </row>
    <row r="14">
      <c r="A14" s="55">
        <v>40475.5</v>
      </c>
      <c r="B14" s="78"/>
      <c r="C14" s="50"/>
      <c r="D14" s="50" t="s">
        <v>6</v>
      </c>
      <c r="E14" s="40"/>
      <c r="F14" s="115"/>
      <c r="G14" s="53" t="s">
        <v>7</v>
      </c>
      <c r="H14" s="43" t="s">
        <v>11</v>
      </c>
      <c r="I14" s="122"/>
      <c r="J14" s="40"/>
      <c r="K14" s="69" t="s">
        <v>10</v>
      </c>
      <c r="L14" s="122" t="s">
        <v>9</v>
      </c>
      <c r="M14" s="70" t="s">
        <v>8</v>
      </c>
      <c r="N14" s="103"/>
    </row>
    <row r="15">
      <c r="A15" s="49">
        <v>40475.520833333336</v>
      </c>
      <c r="B15" s="123"/>
      <c r="C15" s="50"/>
      <c r="D15" s="50" t="s">
        <v>10</v>
      </c>
      <c r="E15" s="40"/>
      <c r="F15" s="115"/>
      <c r="G15" s="109" t="s">
        <v>6</v>
      </c>
      <c r="H15" s="122" t="s">
        <v>11</v>
      </c>
      <c r="I15" s="40"/>
      <c r="J15" s="40" t="s">
        <v>7</v>
      </c>
      <c r="K15" s="69" t="s">
        <v>8</v>
      </c>
      <c r="L15" s="122" t="s">
        <v>9</v>
      </c>
      <c r="M15" s="70" t="s">
        <v>8</v>
      </c>
      <c r="N15" s="103"/>
    </row>
    <row r="16">
      <c r="A16" s="49">
        <v>40475.541666666664</v>
      </c>
      <c r="B16" s="118"/>
      <c r="C16" s="50"/>
      <c r="D16" s="124" t="s">
        <v>6</v>
      </c>
      <c r="E16" s="40"/>
      <c r="F16" s="116"/>
      <c r="G16" s="45" t="s">
        <v>6</v>
      </c>
      <c r="H16" s="122"/>
      <c r="I16" s="40"/>
      <c r="J16" s="40" t="s">
        <v>7</v>
      </c>
      <c r="K16" s="69" t="s">
        <v>8</v>
      </c>
      <c r="L16" s="122" t="s">
        <v>10</v>
      </c>
      <c r="M16" s="70" t="s">
        <v>10</v>
      </c>
      <c r="N16" s="103"/>
    </row>
    <row r="17">
      <c r="A17" s="55">
        <v>40475.5625</v>
      </c>
      <c r="B17" s="118"/>
      <c r="C17" s="50"/>
      <c r="D17" s="124" t="s">
        <v>6</v>
      </c>
      <c r="E17" s="64"/>
      <c r="F17" s="116"/>
      <c r="G17" s="53" t="s">
        <v>6</v>
      </c>
      <c r="H17" s="121"/>
      <c r="I17" s="40"/>
      <c r="J17" s="50" t="s">
        <v>7</v>
      </c>
      <c r="K17" s="69" t="s">
        <v>8</v>
      </c>
      <c r="L17" s="122" t="s">
        <v>9</v>
      </c>
      <c r="M17" s="70" t="s">
        <v>8</v>
      </c>
      <c r="N17" s="97"/>
    </row>
    <row r="18">
      <c r="A18" s="55">
        <v>40475.583333333336</v>
      </c>
      <c r="B18" s="113"/>
      <c r="C18" s="50"/>
      <c r="D18" s="124" t="s">
        <v>6</v>
      </c>
      <c r="E18" s="64"/>
      <c r="F18" s="115"/>
      <c r="G18" s="53" t="s">
        <v>6</v>
      </c>
      <c r="H18" s="122"/>
      <c r="I18" s="40"/>
      <c r="J18" s="50" t="s">
        <v>7</v>
      </c>
      <c r="K18" s="69" t="s">
        <v>8</v>
      </c>
      <c r="L18" s="122" t="s">
        <v>9</v>
      </c>
      <c r="M18" s="70" t="s">
        <v>8</v>
      </c>
      <c r="N18" s="97"/>
    </row>
    <row r="19">
      <c r="A19" s="49">
        <v>40475.604166666664</v>
      </c>
      <c r="B19" s="118" t="s">
        <v>7</v>
      </c>
      <c r="C19" s="78" t="s">
        <v>7</v>
      </c>
      <c r="D19" s="124" t="s">
        <v>6</v>
      </c>
      <c r="E19" s="64" t="s">
        <v>11</v>
      </c>
      <c r="F19" s="116"/>
      <c r="G19" s="68" t="s">
        <v>10</v>
      </c>
      <c r="H19" s="122"/>
      <c r="I19" s="40" t="s">
        <v>7</v>
      </c>
      <c r="J19" s="40" t="s">
        <v>7</v>
      </c>
      <c r="K19" s="69" t="s">
        <v>8</v>
      </c>
      <c r="L19" s="69" t="s">
        <v>9</v>
      </c>
      <c r="M19" s="70" t="s">
        <v>8</v>
      </c>
      <c r="N19" s="103"/>
    </row>
    <row r="20">
      <c r="A20" s="49">
        <v>40475.625</v>
      </c>
      <c r="B20" s="64" t="s">
        <v>7</v>
      </c>
      <c r="C20" s="64" t="s">
        <v>7</v>
      </c>
      <c r="D20" s="124" t="s">
        <v>6</v>
      </c>
      <c r="E20" s="64" t="s">
        <v>11</v>
      </c>
      <c r="F20" s="116"/>
      <c r="G20" s="53" t="s">
        <v>7</v>
      </c>
      <c r="H20" s="122"/>
      <c r="I20" s="40" t="s">
        <v>7</v>
      </c>
      <c r="J20" s="40" t="s">
        <v>7</v>
      </c>
      <c r="K20" s="69" t="s">
        <v>8</v>
      </c>
      <c r="L20" s="69" t="s">
        <v>9</v>
      </c>
      <c r="M20" s="70" t="s">
        <v>8</v>
      </c>
      <c r="N20" s="103"/>
    </row>
    <row r="21">
      <c r="A21" s="55">
        <v>40475.645833333336</v>
      </c>
      <c r="B21" s="64" t="s">
        <v>7</v>
      </c>
      <c r="C21" s="78" t="s">
        <v>7</v>
      </c>
      <c r="D21" s="122" t="s">
        <v>6</v>
      </c>
      <c r="E21" s="64" t="s">
        <v>11</v>
      </c>
      <c r="F21" s="117"/>
      <c r="G21" s="62" t="s">
        <v>7</v>
      </c>
      <c r="H21" s="122"/>
      <c r="I21" s="40" t="s">
        <v>7</v>
      </c>
      <c r="J21" s="40" t="s">
        <v>7</v>
      </c>
      <c r="K21" s="69" t="s">
        <v>8</v>
      </c>
      <c r="L21" s="69" t="s">
        <v>9</v>
      </c>
      <c r="M21" s="70" t="s">
        <v>8</v>
      </c>
      <c r="N21" s="103"/>
    </row>
    <row r="22">
      <c r="A22" s="55">
        <v>40475.666666666664</v>
      </c>
      <c r="B22" s="125" t="s">
        <v>7</v>
      </c>
      <c r="C22" s="64" t="s">
        <v>7</v>
      </c>
      <c r="D22" s="124" t="s">
        <v>6</v>
      </c>
      <c r="E22" s="64" t="s">
        <v>11</v>
      </c>
      <c r="F22" s="116"/>
      <c r="G22" s="53" t="s">
        <v>7</v>
      </c>
      <c r="H22" s="122"/>
      <c r="I22" s="40" t="s">
        <v>7</v>
      </c>
      <c r="J22" s="40" t="s">
        <v>7</v>
      </c>
      <c r="K22" s="69" t="s">
        <v>8</v>
      </c>
      <c r="L22" s="69" t="s">
        <v>9</v>
      </c>
      <c r="M22" s="70" t="s">
        <v>8</v>
      </c>
      <c r="N22" s="103"/>
    </row>
    <row r="23">
      <c r="A23" s="49">
        <v>40475.6875</v>
      </c>
      <c r="B23" s="126" t="s">
        <v>7</v>
      </c>
      <c r="C23" s="78" t="s">
        <v>7</v>
      </c>
      <c r="D23" s="122" t="s">
        <v>6</v>
      </c>
      <c r="E23" s="64" t="s">
        <v>11</v>
      </c>
      <c r="F23" s="117"/>
      <c r="G23" s="40" t="s">
        <v>7</v>
      </c>
      <c r="H23" s="122"/>
      <c r="I23" s="40" t="s">
        <v>7</v>
      </c>
      <c r="J23" s="40" t="s">
        <v>10</v>
      </c>
      <c r="K23" s="69" t="s">
        <v>8</v>
      </c>
      <c r="L23" s="69" t="s">
        <v>9</v>
      </c>
      <c r="M23" s="70" t="s">
        <v>8</v>
      </c>
      <c r="N23" s="103"/>
    </row>
    <row r="24">
      <c r="A24" s="49">
        <v>40475.708333333336</v>
      </c>
      <c r="B24" s="127" t="s">
        <v>7</v>
      </c>
      <c r="C24" s="125" t="s">
        <v>7</v>
      </c>
      <c r="D24" s="50"/>
      <c r="E24" s="100" t="s">
        <v>11</v>
      </c>
      <c r="F24" s="128"/>
      <c r="G24" s="50" t="s">
        <v>7</v>
      </c>
      <c r="H24" s="105"/>
      <c r="I24" s="58" t="s">
        <v>7</v>
      </c>
      <c r="J24" s="40" t="s">
        <v>7</v>
      </c>
      <c r="K24" s="128"/>
      <c r="L24" s="117"/>
      <c r="M24" s="70" t="s">
        <v>8</v>
      </c>
      <c r="N24" s="103"/>
    </row>
    <row r="25">
      <c r="A25" s="55">
        <v>40475.729166666664</v>
      </c>
      <c r="B25" s="122" t="s">
        <v>7</v>
      </c>
      <c r="C25" s="129" t="s">
        <v>10</v>
      </c>
      <c r="D25" s="40"/>
      <c r="E25" s="101" t="s">
        <v>11</v>
      </c>
      <c r="F25" s="130"/>
      <c r="G25" s="122" t="s">
        <v>7</v>
      </c>
      <c r="H25" s="105"/>
      <c r="I25" s="58" t="s">
        <v>7</v>
      </c>
      <c r="J25" s="40" t="s">
        <v>7</v>
      </c>
      <c r="K25" s="128"/>
      <c r="L25" s="117"/>
      <c r="M25" s="70" t="s">
        <v>8</v>
      </c>
      <c r="N25" s="103"/>
    </row>
    <row r="26">
      <c r="A26" s="55">
        <v>40475.75</v>
      </c>
      <c r="B26" s="122" t="s">
        <v>10</v>
      </c>
      <c r="C26" s="129" t="s">
        <v>6</v>
      </c>
      <c r="D26" s="40"/>
      <c r="E26" s="101" t="s">
        <v>11</v>
      </c>
      <c r="F26" s="130"/>
      <c r="G26" s="50" t="s">
        <v>7</v>
      </c>
      <c r="H26" s="128"/>
      <c r="I26" s="58" t="s">
        <v>7</v>
      </c>
      <c r="J26" s="40" t="s">
        <v>7</v>
      </c>
      <c r="K26" s="128"/>
      <c r="L26" s="117"/>
      <c r="M26" s="70" t="s">
        <v>8</v>
      </c>
      <c r="N26" s="103"/>
    </row>
    <row r="27">
      <c r="A27" s="49">
        <v>40475.770833333336</v>
      </c>
      <c r="B27" s="122" t="s">
        <v>11</v>
      </c>
      <c r="C27" s="125" t="s">
        <v>6</v>
      </c>
      <c r="D27" s="40"/>
      <c r="E27" s="101" t="s">
        <v>10</v>
      </c>
      <c r="F27" s="128"/>
      <c r="G27" s="122" t="s">
        <v>7</v>
      </c>
      <c r="H27" s="128"/>
      <c r="I27" s="58" t="s">
        <v>10</v>
      </c>
      <c r="J27" s="105" t="s">
        <v>7</v>
      </c>
      <c r="K27" s="128"/>
      <c r="L27" s="117"/>
      <c r="M27" s="112"/>
      <c r="N27" s="103"/>
    </row>
    <row r="28">
      <c r="A28" s="49">
        <v>40475.791666666664</v>
      </c>
      <c r="B28" s="40" t="s">
        <v>11</v>
      </c>
      <c r="C28" s="125" t="s">
        <v>6</v>
      </c>
      <c r="D28" s="105"/>
      <c r="E28" s="101" t="s">
        <v>7</v>
      </c>
      <c r="F28" s="128"/>
      <c r="G28" s="40"/>
      <c r="H28" s="105"/>
      <c r="I28" s="58" t="s">
        <v>7</v>
      </c>
      <c r="J28" s="98" t="s">
        <v>7</v>
      </c>
      <c r="K28" s="112"/>
      <c r="L28" s="128"/>
      <c r="M28" s="112"/>
      <c r="N28" s="103"/>
    </row>
    <row r="29">
      <c r="A29" s="55">
        <v>40475.8125</v>
      </c>
      <c r="B29" s="95" t="s">
        <v>11</v>
      </c>
      <c r="C29" s="131" t="s">
        <v>6</v>
      </c>
      <c r="D29" s="105"/>
      <c r="E29" s="128" t="s">
        <v>7</v>
      </c>
      <c r="F29" s="130"/>
      <c r="G29" s="40"/>
      <c r="H29" s="105"/>
      <c r="I29" s="105" t="s">
        <v>7</v>
      </c>
      <c r="J29" s="105" t="s">
        <v>7</v>
      </c>
      <c r="K29" s="112"/>
      <c r="L29" s="128"/>
      <c r="M29" s="112"/>
      <c r="N29" s="103"/>
    </row>
    <row r="30">
      <c r="A30" s="55">
        <v>40475.833333333336</v>
      </c>
      <c r="B30" s="105" t="s">
        <v>11</v>
      </c>
      <c r="C30" s="131" t="s">
        <v>6</v>
      </c>
      <c r="D30" s="105"/>
      <c r="E30" s="105" t="s">
        <v>7</v>
      </c>
      <c r="F30" s="130"/>
      <c r="G30" s="40"/>
      <c r="H30" s="105"/>
      <c r="I30" s="105" t="s">
        <v>7</v>
      </c>
      <c r="J30" s="98" t="s">
        <v>7</v>
      </c>
      <c r="K30" s="112"/>
      <c r="L30" s="128"/>
      <c r="M30" s="112"/>
      <c r="N30" s="95"/>
    </row>
    <row r="31">
      <c r="A31" s="49">
        <v>40475.854166666664</v>
      </c>
      <c r="B31" s="105" t="s">
        <v>11</v>
      </c>
      <c r="C31" s="131" t="s">
        <v>6</v>
      </c>
      <c r="D31" s="105"/>
      <c r="E31" s="105" t="s">
        <v>7</v>
      </c>
      <c r="F31" s="130"/>
      <c r="G31" s="40"/>
      <c r="H31" s="105"/>
      <c r="I31" s="105" t="s">
        <v>7</v>
      </c>
      <c r="J31" s="105" t="s">
        <v>7</v>
      </c>
      <c r="K31" s="112"/>
      <c r="L31" s="128"/>
      <c r="M31" s="112"/>
      <c r="N31" s="95"/>
    </row>
    <row r="32">
      <c r="A32" s="49">
        <v>40475.875</v>
      </c>
      <c r="B32" s="105" t="s">
        <v>11</v>
      </c>
      <c r="C32" s="131" t="s">
        <v>6</v>
      </c>
      <c r="D32" s="105"/>
      <c r="E32" s="105" t="s">
        <v>7</v>
      </c>
      <c r="F32" s="130"/>
      <c r="G32" s="40"/>
      <c r="H32" s="105"/>
      <c r="I32" s="105" t="s">
        <v>7</v>
      </c>
      <c r="J32" s="98"/>
      <c r="K32" s="112"/>
      <c r="L32" s="128"/>
      <c r="M32" s="112"/>
      <c r="N32" s="103"/>
    </row>
    <row r="33">
      <c r="A33" s="55">
        <v>40475.895833333336</v>
      </c>
      <c r="B33" s="128" t="s">
        <v>11</v>
      </c>
      <c r="C33" s="131" t="s">
        <v>6</v>
      </c>
      <c r="D33" s="105"/>
      <c r="E33" s="105" t="s">
        <v>7</v>
      </c>
      <c r="F33" s="130"/>
      <c r="G33" s="108"/>
      <c r="H33" s="105"/>
      <c r="I33" s="105" t="s">
        <v>7</v>
      </c>
      <c r="J33" s="128"/>
      <c r="K33" s="112"/>
      <c r="L33" s="128"/>
      <c r="M33" s="112"/>
      <c r="N33" s="103"/>
    </row>
    <row r="34">
      <c r="A34" s="55">
        <v>40475.916666666664</v>
      </c>
      <c r="B34" s="128" t="s">
        <v>11</v>
      </c>
      <c r="C34" s="131" t="s">
        <v>6</v>
      </c>
      <c r="D34" s="100"/>
      <c r="E34" s="100" t="s">
        <v>7</v>
      </c>
      <c r="F34" s="131"/>
      <c r="G34" s="108"/>
      <c r="H34" s="95"/>
      <c r="I34" s="95" t="s">
        <v>7</v>
      </c>
      <c r="J34" s="98"/>
      <c r="K34" s="95"/>
      <c r="L34" s="95"/>
      <c r="M34" s="95"/>
      <c r="N34" s="103"/>
    </row>
    <row r="35">
      <c r="A35" s="49">
        <v>40475.9375</v>
      </c>
      <c r="B35" s="128" t="s">
        <v>11</v>
      </c>
      <c r="C35" s="131" t="s">
        <v>6</v>
      </c>
      <c r="D35" s="100"/>
      <c r="E35" s="100" t="s">
        <v>7</v>
      </c>
      <c r="F35" s="131"/>
      <c r="G35" s="108"/>
      <c r="H35" s="95"/>
      <c r="I35" s="95" t="s">
        <v>7</v>
      </c>
      <c r="J35" s="98"/>
      <c r="K35" s="95"/>
      <c r="L35" s="95"/>
      <c r="M35" s="95"/>
      <c r="N35" s="103"/>
    </row>
    <row r="36">
      <c r="A36" s="49">
        <v>40475.958333333336</v>
      </c>
      <c r="B36" s="98"/>
      <c r="C36" s="99"/>
      <c r="D36" s="99"/>
      <c r="E36" s="100"/>
      <c r="F36" s="101"/>
      <c r="G36" s="132"/>
      <c r="H36" s="133"/>
      <c r="I36" s="105"/>
      <c r="J36" s="95"/>
      <c r="K36" s="105"/>
      <c r="L36" s="95"/>
      <c r="M36" s="95"/>
      <c r="N36" s="97"/>
    </row>
    <row r="37">
      <c r="A37" s="55">
        <v>40475.979166666664</v>
      </c>
      <c r="B37" s="98"/>
      <c r="C37" s="99"/>
      <c r="D37" s="99"/>
      <c r="E37" s="100"/>
      <c r="F37" s="101"/>
      <c r="G37" s="99"/>
      <c r="H37" s="94"/>
      <c r="I37" s="96"/>
      <c r="J37" s="96"/>
      <c r="K37" s="96"/>
      <c r="L37" s="112"/>
      <c r="M37" s="96"/>
      <c r="N37" s="97"/>
    </row>
    <row r="38">
      <c r="A38" s="85" t="s">
        <v>12</v>
      </c>
      <c r="B38" s="98"/>
      <c r="C38" s="134"/>
      <c r="D38" s="99"/>
      <c r="E38" s="100"/>
      <c r="F38" s="101"/>
      <c r="G38" s="134"/>
      <c r="H38" s="94"/>
      <c r="I38" s="96"/>
      <c r="J38" s="96"/>
      <c r="K38" s="135"/>
      <c r="L38" s="95"/>
      <c r="M38" s="135"/>
      <c r="N38" s="94"/>
    </row>
    <row r="39">
      <c r="A39" s="89" t="s">
        <v>13</v>
      </c>
      <c r="B39" s="89">
        <f t="shared" ref="B39:N39" si="1">CONCATENATE(COUNTIF(B4:B38,"MAGAZZINI")+COUNTIF(B4:B38,"PRIMO")+COUNTIF(B4:B38,"RECEPTION")+COUNTIF(B4:B38,"SAGGI")+COUNTIF(B4:B38,"SECONDO")+COUNTIF(B4:B38,"SMART W")+COUNTIF(B4:B38,"STUDIO 1 e 2")+COUNTIF(B4:B38,"MANUTENZ.")+COUNTIF(B4:B38,"UFFICIO")+COUNTIF(B4:B38,"CAMPUS")+COUNTIF(B4:B38,"TEATRO")+COUNTIF(B4:B38,"AMM.ZIONE")+COUNTIF(B4:B38,"FORMAZ-1p")+COUNTIF(B4:B38,"FORMAZ-2p")+COUNTIF(B4:B38,"FORMAZ-rec")+COUNTIF(B4:B38,"WORKSHOP")+COUNTIF(B4:B38,"EVENTO EST."))/2</f>
        <v>8</v>
      </c>
      <c r="C39" s="89">
        <f t="shared" si="1"/>
        <v>8</v>
      </c>
      <c r="D39" s="89">
        <f t="shared" si="1"/>
        <v>8</v>
      </c>
      <c r="E39" s="89">
        <f t="shared" si="1"/>
        <v>8</v>
      </c>
      <c r="F39" s="89">
        <f t="shared" si="1"/>
        <v>0</v>
      </c>
      <c r="G39" s="89">
        <f t="shared" si="1"/>
        <v>8</v>
      </c>
      <c r="H39" s="89">
        <f t="shared" si="1"/>
        <v>4.5</v>
      </c>
      <c r="I39" s="89">
        <f t="shared" si="1"/>
        <v>8</v>
      </c>
      <c r="J39" s="89">
        <f t="shared" si="1"/>
        <v>8</v>
      </c>
      <c r="K39" s="89">
        <f t="shared" si="1"/>
        <v>8</v>
      </c>
      <c r="L39" s="89">
        <f t="shared" si="1"/>
        <v>8</v>
      </c>
      <c r="M39" s="89">
        <f t="shared" si="1"/>
        <v>8</v>
      </c>
      <c r="N39" s="89">
        <f t="shared" si="1"/>
        <v>0</v>
      </c>
    </row>
  </sheetData>
  <mergeCells count="4">
    <mergeCell ref="B1:C2"/>
    <mergeCell ref="D1:E2"/>
    <mergeCell ref="F1:F2"/>
    <mergeCell ref="G1:N2"/>
  </mergeCells>
  <conditionalFormatting sqref="B4:C38 E4:E38 G27:G33 D28:D35">
    <cfRule type="containsText" dxfId="5" priority="1" operator="containsText" text="PERMESSO">
      <formula>NOT(ISERROR(SEARCH(("PERMESSO"),(B4))))</formula>
    </cfRule>
  </conditionalFormatting>
  <conditionalFormatting sqref="B4:N38">
    <cfRule type="containsText" dxfId="1" priority="2" operator="containsText" text="MALATTIA">
      <formula>NOT(ISERROR(SEARCH(("MALATTIA"),(B4))))</formula>
    </cfRule>
  </conditionalFormatting>
  <conditionalFormatting sqref="B4:N38">
    <cfRule type="containsText" dxfId="2" priority="3" operator="containsText" text="FORMAZ">
      <formula>NOT(ISERROR(SEARCH(("FORMAZ"),(B4))))</formula>
    </cfRule>
  </conditionalFormatting>
  <conditionalFormatting sqref="B4:N38">
    <cfRule type="containsText" dxfId="3" priority="4" operator="containsText" text="AMM.ZIONE">
      <formula>NOT(ISERROR(SEARCH(("AMM.ZIONE"),(B4))))</formula>
    </cfRule>
  </conditionalFormatting>
  <conditionalFormatting sqref="B4:N38">
    <cfRule type="containsText" dxfId="4" priority="5" operator="containsText" text="PAUSA">
      <formula>NOT(ISERROR(SEARCH(("PAUSA"),(B4))))</formula>
    </cfRule>
  </conditionalFormatting>
  <conditionalFormatting sqref="B4:N38">
    <cfRule type="containsText" dxfId="0" priority="6" operator="containsText" text="PERMESSO">
      <formula>NOT(ISERROR(SEARCH(("PERMESSO"),(B4))))</formula>
    </cfRule>
  </conditionalFormatting>
  <conditionalFormatting sqref="B4:N38">
    <cfRule type="containsText" dxfId="6" priority="7" operator="containsText" text="UFFICIO">
      <formula>NOT(ISERROR(SEARCH(("UFFICIO"),(B4))))</formula>
    </cfRule>
  </conditionalFormatting>
  <conditionalFormatting sqref="B4:N38">
    <cfRule type="containsText" dxfId="7" priority="8" operator="containsText" text="RIPOSO">
      <formula>NOT(ISERROR(SEARCH(("RIPOSO"),(B4))))</formula>
    </cfRule>
  </conditionalFormatting>
  <dataValidations>
    <dataValidation type="list" allowBlank="1" showInputMessage="1" showErrorMessage="1" prompt="Fai clic e immetti un valore da intervallo elenchi!A1:A30" sqref="B4:N38">
      <formula1>elenchi!$A$1:$A$30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900FF"/>
    <outlinePr summaryBelow="0" summaryRight="0"/>
  </sheetPr>
  <sheetViews>
    <sheetView workbookViewId="0">
      <pane xSplit="1.0" ySplit="3.0" topLeftCell="B4" activePane="bottomRight" state="frozen"/>
      <selection activeCell="B1" sqref="B1" pane="topRight"/>
      <selection activeCell="A4" sqref="A4" pane="bottomLeft"/>
      <selection activeCell="B4" sqref="B4" pane="bottomRight"/>
    </sheetView>
  </sheetViews>
  <sheetFormatPr customHeight="1" defaultColWidth="14.43" defaultRowHeight="15.0"/>
  <cols>
    <col customWidth="1" min="1" max="1" width="10.14"/>
    <col customWidth="1" min="2" max="14" width="18.71"/>
  </cols>
  <sheetData>
    <row r="1">
      <c r="A1" s="211"/>
      <c r="B1" s="222" t="s">
        <v>15</v>
      </c>
      <c r="C1" s="213"/>
      <c r="D1" s="214" t="str">
        <f>elenchi!C2</f>
        <v>  SETTIMANA - B</v>
      </c>
      <c r="F1" s="215" t="s">
        <v>20</v>
      </c>
      <c r="G1" s="216" t="str">
        <f>elenchi!D2</f>
        <v>LUNEDI 23 A DOMENICA 29 MARZO 2026</v>
      </c>
      <c r="N1" s="213"/>
    </row>
    <row r="2">
      <c r="A2" s="211"/>
      <c r="B2" s="8"/>
      <c r="C2" s="9"/>
      <c r="D2" s="10"/>
      <c r="E2" s="10"/>
      <c r="F2" s="10"/>
      <c r="G2" s="10"/>
      <c r="H2" s="10"/>
      <c r="I2" s="10"/>
      <c r="J2" s="10"/>
      <c r="K2" s="10"/>
      <c r="L2" s="10"/>
      <c r="M2" s="10"/>
      <c r="N2" s="9"/>
    </row>
    <row r="3">
      <c r="A3" s="11" t="s">
        <v>2</v>
      </c>
      <c r="B3" s="11" t="str">
        <f>elenchi!B1</f>
        <v>ALEXANDRA</v>
      </c>
      <c r="C3" s="11" t="str">
        <f>elenchi!B2</f>
        <v>GIUDITTA</v>
      </c>
      <c r="D3" s="11" t="str">
        <f>elenchi!B3</f>
        <v>ESTEFANY</v>
      </c>
      <c r="E3" s="12" t="str">
        <f>elenchi!B4</f>
        <v>NURA</v>
      </c>
      <c r="F3" s="12" t="str">
        <f>elenchi!B5</f>
        <v/>
      </c>
      <c r="G3" s="12" t="str">
        <f>elenchi!B6</f>
        <v>JOEL</v>
      </c>
      <c r="H3" s="13" t="str">
        <f>elenchi!B7</f>
        <v>KEVIN</v>
      </c>
      <c r="I3" s="14" t="str">
        <f>elenchi!B8</f>
        <v>JASIR</v>
      </c>
      <c r="J3" s="15" t="str">
        <f>elenchi!B9</f>
        <v>DIEGO</v>
      </c>
      <c r="K3" s="15" t="str">
        <f>elenchi!B10</f>
        <v>SARA</v>
      </c>
      <c r="L3" s="12" t="str">
        <f>elenchi!B11</f>
        <v>SANTO</v>
      </c>
      <c r="M3" s="12" t="str">
        <f>elenchi!B12</f>
        <v>MASSI</v>
      </c>
      <c r="N3" s="12" t="str">
        <f>elenchi!B13</f>
        <v/>
      </c>
    </row>
    <row r="4">
      <c r="A4" s="16" t="s">
        <v>3</v>
      </c>
      <c r="B4" s="20"/>
      <c r="C4" s="20"/>
      <c r="D4" s="22"/>
      <c r="E4" s="23"/>
      <c r="F4" s="25"/>
      <c r="G4" s="25"/>
      <c r="H4" s="26"/>
      <c r="I4" s="27"/>
      <c r="J4" s="17"/>
      <c r="K4" s="26"/>
      <c r="L4" s="223"/>
      <c r="M4" s="17"/>
      <c r="N4" s="224"/>
    </row>
    <row r="5">
      <c r="A5" s="28" t="s">
        <v>4</v>
      </c>
      <c r="B5" s="32"/>
      <c r="C5" s="32"/>
      <c r="D5" s="34"/>
      <c r="E5" s="23"/>
      <c r="F5" s="25"/>
      <c r="G5" s="25"/>
      <c r="H5" s="26"/>
      <c r="I5" s="27"/>
      <c r="J5" s="17"/>
      <c r="K5" s="26"/>
      <c r="L5" s="223"/>
      <c r="M5" s="17"/>
      <c r="N5" s="224"/>
    </row>
    <row r="6">
      <c r="A6" s="28" t="s">
        <v>5</v>
      </c>
      <c r="B6" s="32"/>
      <c r="C6" s="32"/>
      <c r="D6" s="34"/>
      <c r="E6" s="35"/>
      <c r="F6" s="37"/>
      <c r="G6" s="37"/>
      <c r="H6" s="38"/>
      <c r="I6" s="27"/>
      <c r="J6" s="17"/>
      <c r="K6" s="26"/>
      <c r="L6" s="223"/>
      <c r="M6" s="17"/>
      <c r="N6" s="224"/>
    </row>
    <row r="7">
      <c r="A7" s="39">
        <v>40475.354166666664</v>
      </c>
      <c r="B7" s="43"/>
      <c r="C7" s="40"/>
      <c r="D7" s="40" t="s">
        <v>6</v>
      </c>
      <c r="E7" s="43" t="s">
        <v>7</v>
      </c>
      <c r="F7" s="43"/>
      <c r="G7" s="40"/>
      <c r="H7" s="46" t="s">
        <v>8</v>
      </c>
      <c r="I7" s="47" t="s">
        <v>9</v>
      </c>
      <c r="J7" s="48"/>
      <c r="K7" s="35"/>
      <c r="L7" s="46"/>
      <c r="M7" s="48"/>
      <c r="N7" s="225"/>
    </row>
    <row r="8">
      <c r="A8" s="49">
        <v>40475.375</v>
      </c>
      <c r="B8" s="50"/>
      <c r="C8" s="40"/>
      <c r="D8" s="40" t="s">
        <v>6</v>
      </c>
      <c r="E8" s="40" t="s">
        <v>7</v>
      </c>
      <c r="F8" s="40"/>
      <c r="G8" s="40"/>
      <c r="H8" s="46" t="s">
        <v>8</v>
      </c>
      <c r="I8" s="54" t="s">
        <v>9</v>
      </c>
      <c r="J8" s="48" t="s">
        <v>8</v>
      </c>
      <c r="K8" s="26"/>
      <c r="L8" s="46"/>
      <c r="M8" s="48"/>
      <c r="N8" s="226"/>
    </row>
    <row r="9">
      <c r="A9" s="55">
        <v>40475.395833333336</v>
      </c>
      <c r="B9" s="40"/>
      <c r="C9" s="40"/>
      <c r="D9" s="40" t="s">
        <v>6</v>
      </c>
      <c r="E9" s="40" t="s">
        <v>7</v>
      </c>
      <c r="F9" s="40"/>
      <c r="G9" s="40"/>
      <c r="H9" s="46" t="s">
        <v>8</v>
      </c>
      <c r="I9" s="54" t="s">
        <v>9</v>
      </c>
      <c r="J9" s="48" t="s">
        <v>8</v>
      </c>
      <c r="K9" s="35"/>
      <c r="L9" s="46"/>
      <c r="M9" s="48"/>
      <c r="N9" s="225"/>
    </row>
    <row r="10">
      <c r="A10" s="55">
        <v>40475.416666666664</v>
      </c>
      <c r="B10" s="50"/>
      <c r="C10" s="124"/>
      <c r="D10" s="40" t="s">
        <v>6</v>
      </c>
      <c r="E10" s="40" t="s">
        <v>7</v>
      </c>
      <c r="F10" s="122"/>
      <c r="G10" s="40"/>
      <c r="H10" s="46" t="s">
        <v>8</v>
      </c>
      <c r="I10" s="54" t="s">
        <v>9</v>
      </c>
      <c r="J10" s="48" t="s">
        <v>8</v>
      </c>
      <c r="K10" s="26"/>
      <c r="L10" s="46"/>
      <c r="M10" s="48"/>
      <c r="N10" s="226"/>
    </row>
    <row r="11">
      <c r="A11" s="49">
        <v>40475.4375</v>
      </c>
      <c r="B11" s="40"/>
      <c r="C11" s="122"/>
      <c r="D11" s="74" t="s">
        <v>6</v>
      </c>
      <c r="E11" s="40" t="s">
        <v>7</v>
      </c>
      <c r="F11" s="122"/>
      <c r="G11" s="40"/>
      <c r="H11" s="46" t="s">
        <v>8</v>
      </c>
      <c r="I11" s="63" t="s">
        <v>9</v>
      </c>
      <c r="J11" s="48" t="s">
        <v>8</v>
      </c>
      <c r="K11" s="35"/>
      <c r="L11" s="46"/>
      <c r="M11" s="48"/>
      <c r="N11" s="225"/>
    </row>
    <row r="12">
      <c r="A12" s="49">
        <v>40475.458333333336</v>
      </c>
      <c r="B12" s="65"/>
      <c r="C12" s="122"/>
      <c r="D12" s="40" t="s">
        <v>6</v>
      </c>
      <c r="E12" s="40" t="s">
        <v>7</v>
      </c>
      <c r="F12" s="122"/>
      <c r="G12" s="40"/>
      <c r="H12" s="46" t="s">
        <v>8</v>
      </c>
      <c r="I12" s="67" t="s">
        <v>9</v>
      </c>
      <c r="J12" s="48" t="s">
        <v>8</v>
      </c>
      <c r="K12" s="35"/>
      <c r="L12" s="46"/>
      <c r="M12" s="48"/>
      <c r="N12" s="225"/>
    </row>
    <row r="13">
      <c r="A13" s="55">
        <v>40475.479166666664</v>
      </c>
      <c r="B13" s="50"/>
      <c r="C13" s="124"/>
      <c r="D13" s="74" t="s">
        <v>6</v>
      </c>
      <c r="E13" s="40" t="s">
        <v>7</v>
      </c>
      <c r="F13" s="122"/>
      <c r="G13" s="40"/>
      <c r="H13" s="46" t="s">
        <v>8</v>
      </c>
      <c r="I13" s="67" t="s">
        <v>9</v>
      </c>
      <c r="J13" s="48" t="s">
        <v>8</v>
      </c>
      <c r="K13" s="26"/>
      <c r="L13" s="46"/>
      <c r="M13" s="48"/>
      <c r="N13" s="226"/>
    </row>
    <row r="14">
      <c r="A14" s="55">
        <v>40475.5</v>
      </c>
      <c r="B14" s="50"/>
      <c r="C14" s="124"/>
      <c r="D14" s="40" t="s">
        <v>6</v>
      </c>
      <c r="E14" s="40" t="s">
        <v>7</v>
      </c>
      <c r="F14" s="122"/>
      <c r="G14" s="40"/>
      <c r="H14" s="46" t="s">
        <v>10</v>
      </c>
      <c r="I14" s="67" t="s">
        <v>9</v>
      </c>
      <c r="J14" s="48" t="s">
        <v>8</v>
      </c>
      <c r="K14" s="35"/>
      <c r="L14" s="46"/>
      <c r="M14" s="48"/>
      <c r="N14" s="225"/>
    </row>
    <row r="15">
      <c r="A15" s="49">
        <v>40475.520833333336</v>
      </c>
      <c r="B15" s="50"/>
      <c r="C15" s="124"/>
      <c r="D15" s="122" t="s">
        <v>10</v>
      </c>
      <c r="E15" s="40" t="s">
        <v>7</v>
      </c>
      <c r="F15" s="122"/>
      <c r="G15" s="58"/>
      <c r="H15" s="46" t="s">
        <v>8</v>
      </c>
      <c r="I15" s="67" t="s">
        <v>9</v>
      </c>
      <c r="J15" s="48" t="s">
        <v>8</v>
      </c>
      <c r="K15" s="35"/>
      <c r="L15" s="46"/>
      <c r="M15" s="48"/>
      <c r="N15" s="225"/>
    </row>
    <row r="16">
      <c r="A16" s="49">
        <v>40475.541666666664</v>
      </c>
      <c r="B16" s="50"/>
      <c r="C16" s="122"/>
      <c r="D16" s="50" t="s">
        <v>7</v>
      </c>
      <c r="E16" s="40" t="s">
        <v>7</v>
      </c>
      <c r="F16" s="122"/>
      <c r="G16" s="58"/>
      <c r="H16" s="46" t="s">
        <v>8</v>
      </c>
      <c r="I16" s="67" t="s">
        <v>10</v>
      </c>
      <c r="J16" s="48" t="s">
        <v>10</v>
      </c>
      <c r="K16" s="35"/>
      <c r="L16" s="46"/>
      <c r="M16" s="48"/>
      <c r="N16" s="225"/>
    </row>
    <row r="17">
      <c r="A17" s="55">
        <v>40475.5625</v>
      </c>
      <c r="B17" s="50"/>
      <c r="C17" s="122"/>
      <c r="D17" s="40" t="s">
        <v>7</v>
      </c>
      <c r="E17" s="40" t="s">
        <v>10</v>
      </c>
      <c r="F17" s="122"/>
      <c r="G17" s="58"/>
      <c r="H17" s="46" t="s">
        <v>8</v>
      </c>
      <c r="I17" s="67" t="s">
        <v>9</v>
      </c>
      <c r="J17" s="48" t="s">
        <v>8</v>
      </c>
      <c r="K17" s="26"/>
      <c r="L17" s="46"/>
      <c r="M17" s="48"/>
      <c r="N17" s="226"/>
    </row>
    <row r="18">
      <c r="A18" s="55">
        <v>40475.583333333336</v>
      </c>
      <c r="B18" s="50"/>
      <c r="C18" s="122"/>
      <c r="D18" s="50" t="s">
        <v>7</v>
      </c>
      <c r="E18" s="40" t="s">
        <v>7</v>
      </c>
      <c r="F18" s="46"/>
      <c r="G18" s="58"/>
      <c r="H18" s="46" t="s">
        <v>8</v>
      </c>
      <c r="I18" s="67" t="s">
        <v>9</v>
      </c>
      <c r="J18" s="48" t="s">
        <v>8</v>
      </c>
      <c r="K18" s="26"/>
      <c r="L18" s="46"/>
      <c r="M18" s="48"/>
      <c r="N18" s="226"/>
    </row>
    <row r="19">
      <c r="A19" s="49">
        <v>40475.604166666664</v>
      </c>
      <c r="B19" s="137" t="s">
        <v>11</v>
      </c>
      <c r="C19" s="50" t="s">
        <v>6</v>
      </c>
      <c r="D19" s="40" t="s">
        <v>7</v>
      </c>
      <c r="E19" s="40" t="s">
        <v>7</v>
      </c>
      <c r="F19" s="37"/>
      <c r="G19" s="218" t="s">
        <v>7</v>
      </c>
      <c r="H19" s="46" t="s">
        <v>8</v>
      </c>
      <c r="I19" s="46" t="s">
        <v>9</v>
      </c>
      <c r="J19" s="48" t="s">
        <v>8</v>
      </c>
      <c r="K19" s="35"/>
      <c r="L19" s="46"/>
      <c r="M19" s="48"/>
      <c r="N19" s="227"/>
    </row>
    <row r="20">
      <c r="A20" s="49">
        <v>40475.625</v>
      </c>
      <c r="B20" s="33" t="s">
        <v>11</v>
      </c>
      <c r="C20" s="50" t="s">
        <v>6</v>
      </c>
      <c r="D20" s="50" t="s">
        <v>7</v>
      </c>
      <c r="E20" s="40" t="s">
        <v>7</v>
      </c>
      <c r="F20" s="37"/>
      <c r="G20" s="218" t="s">
        <v>7</v>
      </c>
      <c r="H20" s="46" t="s">
        <v>8</v>
      </c>
      <c r="I20" s="46" t="s">
        <v>9</v>
      </c>
      <c r="J20" s="48" t="s">
        <v>8</v>
      </c>
      <c r="K20" s="35"/>
      <c r="L20" s="46"/>
      <c r="M20" s="48"/>
      <c r="N20" s="228"/>
    </row>
    <row r="21">
      <c r="A21" s="55">
        <v>40475.645833333336</v>
      </c>
      <c r="B21" s="137" t="s">
        <v>11</v>
      </c>
      <c r="C21" s="122" t="s">
        <v>6</v>
      </c>
      <c r="D21" s="122" t="s">
        <v>7</v>
      </c>
      <c r="E21" s="40" t="s">
        <v>7</v>
      </c>
      <c r="F21" s="37"/>
      <c r="G21" s="218" t="s">
        <v>7</v>
      </c>
      <c r="H21" s="46" t="s">
        <v>8</v>
      </c>
      <c r="I21" s="46" t="s">
        <v>9</v>
      </c>
      <c r="J21" s="48" t="s">
        <v>8</v>
      </c>
      <c r="K21" s="35"/>
      <c r="L21" s="46"/>
      <c r="M21" s="48"/>
      <c r="N21" s="228"/>
    </row>
    <row r="22">
      <c r="A22" s="55">
        <v>40475.666666666664</v>
      </c>
      <c r="B22" s="33" t="s">
        <v>11</v>
      </c>
      <c r="C22" s="40" t="s">
        <v>6</v>
      </c>
      <c r="D22" s="50" t="s">
        <v>7</v>
      </c>
      <c r="E22" s="40" t="s">
        <v>7</v>
      </c>
      <c r="F22" s="37"/>
      <c r="G22" s="218" t="s">
        <v>7</v>
      </c>
      <c r="H22" s="46" t="s">
        <v>8</v>
      </c>
      <c r="I22" s="46" t="s">
        <v>9</v>
      </c>
      <c r="J22" s="48" t="s">
        <v>8</v>
      </c>
      <c r="K22" s="35"/>
      <c r="L22" s="46"/>
      <c r="M22" s="48"/>
      <c r="N22" s="228"/>
    </row>
    <row r="23">
      <c r="A23" s="49">
        <v>40475.6875</v>
      </c>
      <c r="B23" s="33" t="s">
        <v>11</v>
      </c>
      <c r="C23" s="122" t="s">
        <v>6</v>
      </c>
      <c r="D23" s="122" t="s">
        <v>7</v>
      </c>
      <c r="E23" s="37" t="s">
        <v>7</v>
      </c>
      <c r="F23" s="37"/>
      <c r="G23" s="218" t="s">
        <v>7</v>
      </c>
      <c r="H23" s="46" t="s">
        <v>8</v>
      </c>
      <c r="I23" s="46" t="s">
        <v>9</v>
      </c>
      <c r="J23" s="48" t="s">
        <v>8</v>
      </c>
      <c r="K23" s="35"/>
      <c r="L23" s="46"/>
      <c r="M23" s="48"/>
      <c r="N23" s="228"/>
    </row>
    <row r="24">
      <c r="A24" s="49">
        <v>40475.708333333336</v>
      </c>
      <c r="B24" s="33" t="s">
        <v>11</v>
      </c>
      <c r="C24" s="40" t="s">
        <v>6</v>
      </c>
      <c r="D24" s="74"/>
      <c r="E24" s="46"/>
      <c r="F24" s="37"/>
      <c r="G24" s="218" t="s">
        <v>7</v>
      </c>
      <c r="H24" s="46"/>
      <c r="I24" s="67"/>
      <c r="J24" s="48" t="s">
        <v>8</v>
      </c>
      <c r="K24" s="35"/>
      <c r="L24" s="46"/>
      <c r="M24" s="48"/>
      <c r="N24" s="228"/>
    </row>
    <row r="25">
      <c r="A25" s="55">
        <v>40475.729166666664</v>
      </c>
      <c r="B25" s="33" t="s">
        <v>11</v>
      </c>
      <c r="C25" s="40" t="s">
        <v>6</v>
      </c>
      <c r="D25" s="58"/>
      <c r="E25" s="46"/>
      <c r="F25" s="37"/>
      <c r="G25" s="218" t="s">
        <v>7</v>
      </c>
      <c r="H25" s="46"/>
      <c r="I25" s="67"/>
      <c r="J25" s="48" t="s">
        <v>8</v>
      </c>
      <c r="K25" s="35"/>
      <c r="L25" s="46"/>
      <c r="M25" s="48"/>
      <c r="N25" s="228"/>
    </row>
    <row r="26">
      <c r="A26" s="55">
        <v>40475.75</v>
      </c>
      <c r="B26" s="33" t="s">
        <v>11</v>
      </c>
      <c r="C26" s="40" t="s">
        <v>6</v>
      </c>
      <c r="D26" s="58"/>
      <c r="E26" s="46"/>
      <c r="F26" s="37"/>
      <c r="G26" s="229" t="s">
        <v>10</v>
      </c>
      <c r="H26" s="46"/>
      <c r="I26" s="67"/>
      <c r="J26" s="48" t="s">
        <v>8</v>
      </c>
      <c r="K26" s="35"/>
      <c r="L26" s="228"/>
      <c r="M26" s="48"/>
      <c r="N26" s="228"/>
    </row>
    <row r="27">
      <c r="A27" s="49">
        <v>40475.770833333336</v>
      </c>
      <c r="B27" s="33" t="s">
        <v>10</v>
      </c>
      <c r="C27" s="40" t="s">
        <v>6</v>
      </c>
      <c r="D27" s="58"/>
      <c r="E27" s="46"/>
      <c r="F27" s="46"/>
      <c r="G27" s="218" t="s">
        <v>7</v>
      </c>
      <c r="H27" s="46"/>
      <c r="I27" s="67"/>
      <c r="J27" s="48"/>
      <c r="K27" s="76"/>
      <c r="L27" s="228"/>
      <c r="M27" s="48"/>
      <c r="N27" s="228"/>
    </row>
    <row r="28">
      <c r="A28" s="49">
        <v>40475.791666666664</v>
      </c>
      <c r="B28" s="32" t="s">
        <v>6</v>
      </c>
      <c r="C28" s="122" t="s">
        <v>10</v>
      </c>
      <c r="D28" s="30"/>
      <c r="E28" s="46"/>
      <c r="F28" s="37"/>
      <c r="G28" s="217" t="s">
        <v>7</v>
      </c>
      <c r="H28" s="48"/>
      <c r="I28" s="46"/>
      <c r="J28" s="48"/>
      <c r="K28" s="35"/>
      <c r="L28" s="228"/>
      <c r="M28" s="48"/>
      <c r="N28" s="228"/>
    </row>
    <row r="29">
      <c r="A29" s="55">
        <v>40475.8125</v>
      </c>
      <c r="B29" s="77" t="s">
        <v>6</v>
      </c>
      <c r="C29" s="122" t="s">
        <v>7</v>
      </c>
      <c r="D29" s="138"/>
      <c r="E29" s="46"/>
      <c r="F29" s="46"/>
      <c r="G29" s="221" t="s">
        <v>7</v>
      </c>
      <c r="H29" s="48"/>
      <c r="I29" s="46"/>
      <c r="J29" s="48"/>
      <c r="K29" s="76"/>
      <c r="L29" s="228"/>
      <c r="M29" s="48"/>
      <c r="N29" s="228"/>
    </row>
    <row r="30">
      <c r="A30" s="55">
        <v>40475.833333333336</v>
      </c>
      <c r="B30" s="46" t="s">
        <v>6</v>
      </c>
      <c r="C30" s="124" t="s">
        <v>7</v>
      </c>
      <c r="D30" s="138"/>
      <c r="E30" s="46"/>
      <c r="F30" s="37"/>
      <c r="G30" s="220" t="s">
        <v>7</v>
      </c>
      <c r="H30" s="48"/>
      <c r="I30" s="46"/>
      <c r="J30" s="48"/>
      <c r="K30" s="27"/>
      <c r="L30" s="228"/>
      <c r="M30" s="48"/>
      <c r="N30" s="28"/>
    </row>
    <row r="31">
      <c r="A31" s="49">
        <v>40475.854166666664</v>
      </c>
      <c r="B31" s="37" t="s">
        <v>6</v>
      </c>
      <c r="C31" s="40" t="s">
        <v>7</v>
      </c>
      <c r="D31" s="138"/>
      <c r="E31" s="46"/>
      <c r="F31" s="37"/>
      <c r="G31" s="218" t="s">
        <v>7</v>
      </c>
      <c r="H31" s="48"/>
      <c r="I31" s="46"/>
      <c r="J31" s="48"/>
      <c r="K31" s="27"/>
      <c r="L31" s="228"/>
      <c r="M31" s="48"/>
      <c r="N31" s="28"/>
    </row>
    <row r="32">
      <c r="A32" s="49">
        <v>40475.875</v>
      </c>
      <c r="B32" s="46" t="s">
        <v>6</v>
      </c>
      <c r="C32" s="50" t="s">
        <v>7</v>
      </c>
      <c r="D32" s="138"/>
      <c r="E32" s="46"/>
      <c r="F32" s="37"/>
      <c r="G32" s="217" t="s">
        <v>7</v>
      </c>
      <c r="H32" s="48"/>
      <c r="I32" s="46"/>
      <c r="J32" s="48"/>
      <c r="K32" s="35"/>
      <c r="L32" s="228"/>
      <c r="M32" s="48"/>
      <c r="N32" s="28"/>
    </row>
    <row r="33">
      <c r="A33" s="55">
        <v>40475.895833333336</v>
      </c>
      <c r="B33" s="37" t="s">
        <v>6</v>
      </c>
      <c r="C33" s="40" t="s">
        <v>7</v>
      </c>
      <c r="D33" s="140"/>
      <c r="E33" s="46"/>
      <c r="F33" s="37"/>
      <c r="G33" s="218" t="s">
        <v>7</v>
      </c>
      <c r="H33" s="48"/>
      <c r="I33" s="46"/>
      <c r="J33" s="48"/>
      <c r="K33" s="35"/>
      <c r="L33" s="228"/>
      <c r="M33" s="48"/>
      <c r="N33" s="28"/>
    </row>
    <row r="34">
      <c r="A34" s="55">
        <v>40475.916666666664</v>
      </c>
      <c r="B34" s="30" t="s">
        <v>6</v>
      </c>
      <c r="C34" s="40" t="s">
        <v>7</v>
      </c>
      <c r="D34" s="141"/>
      <c r="E34" s="48"/>
      <c r="F34" s="24"/>
      <c r="G34" s="217" t="s">
        <v>7</v>
      </c>
      <c r="H34" s="24"/>
      <c r="I34" s="24"/>
      <c r="J34" s="24"/>
      <c r="K34" s="35"/>
      <c r="L34" s="225"/>
      <c r="M34" s="24"/>
      <c r="N34" s="230"/>
    </row>
    <row r="35">
      <c r="A35" s="49">
        <v>40475.9375</v>
      </c>
      <c r="B35" s="33" t="s">
        <v>6</v>
      </c>
      <c r="C35" s="122" t="s">
        <v>7</v>
      </c>
      <c r="D35" s="141"/>
      <c r="E35" s="48"/>
      <c r="F35" s="24"/>
      <c r="G35" s="217" t="s">
        <v>7</v>
      </c>
      <c r="H35" s="24"/>
      <c r="I35" s="24"/>
      <c r="J35" s="24"/>
      <c r="K35" s="35"/>
      <c r="L35" s="225"/>
      <c r="M35" s="24"/>
      <c r="N35" s="231"/>
    </row>
    <row r="36">
      <c r="A36" s="49">
        <v>40475.958333333336</v>
      </c>
      <c r="B36" s="32"/>
      <c r="C36" s="51"/>
      <c r="D36" s="81"/>
      <c r="E36" s="82"/>
      <c r="F36" s="142"/>
      <c r="G36" s="142"/>
      <c r="H36" s="37"/>
      <c r="I36" s="24"/>
      <c r="J36" s="24"/>
      <c r="K36" s="26"/>
      <c r="L36" s="225"/>
      <c r="M36" s="24"/>
      <c r="N36" s="232"/>
    </row>
    <row r="37">
      <c r="A37" s="55">
        <v>40475.979166666664</v>
      </c>
      <c r="B37" s="32"/>
      <c r="C37" s="32"/>
      <c r="D37" s="31"/>
      <c r="E37" s="23"/>
      <c r="F37" s="25"/>
      <c r="G37" s="25"/>
      <c r="H37" s="25"/>
      <c r="I37" s="48"/>
      <c r="J37" s="25"/>
      <c r="K37" s="26"/>
      <c r="L37" s="228"/>
      <c r="M37" s="25"/>
      <c r="N37" s="226"/>
    </row>
    <row r="38">
      <c r="A38" s="85" t="s">
        <v>12</v>
      </c>
      <c r="B38" s="88"/>
      <c r="C38" s="88"/>
      <c r="D38" s="143"/>
      <c r="E38" s="23"/>
      <c r="F38" s="25"/>
      <c r="G38" s="25"/>
      <c r="H38" s="83"/>
      <c r="I38" s="24"/>
      <c r="J38" s="83"/>
      <c r="K38" s="23"/>
      <c r="L38" s="225"/>
      <c r="M38" s="83"/>
      <c r="N38" s="233"/>
    </row>
    <row r="39">
      <c r="A39" s="89" t="s">
        <v>13</v>
      </c>
      <c r="B39" s="89">
        <f t="shared" ref="B39:N39" si="1">CONCATENATE(COUNTIF(B4:B38,"MAGAZZINI")+COUNTIF(B4:B38,"PRIMO")+COUNTIF(B4:B38,"RECEPTION")+COUNTIF(B4:B38,"SAGGI")+COUNTIF(B4:B38,"SECONDO")+COUNTIF(B4:B38,"SMART W")+COUNTIF(B4:B38,"STUDIO 1 e 2")+COUNTIF(B4:B38,"MANUTENZ.")+COUNTIF(B4:B38,"UFFICIO")+COUNTIF(B4:B38,"CAMPUS")+COUNTIF(B4:B38,"TEATRO")+COUNTIF(B4:B38,"AMM.ZIONE")+COUNTIF(B4:B38,"FORMAZ-1p")+COUNTIF(B4:B38,"FORMAZ-2p")+COUNTIF(B4:B38,"FORMAZ-rec")+COUNTIF(B4:B38,"WORKSHOP")+COUNTIF(B4:B38,"EVENTO EST."))/2</f>
        <v>8</v>
      </c>
      <c r="C39" s="89">
        <f t="shared" si="1"/>
        <v>8</v>
      </c>
      <c r="D39" s="89">
        <f t="shared" si="1"/>
        <v>8</v>
      </c>
      <c r="E39" s="89">
        <f t="shared" si="1"/>
        <v>8</v>
      </c>
      <c r="F39" s="89">
        <f t="shared" si="1"/>
        <v>0</v>
      </c>
      <c r="G39" s="89">
        <f t="shared" si="1"/>
        <v>8</v>
      </c>
      <c r="H39" s="89">
        <f t="shared" si="1"/>
        <v>8</v>
      </c>
      <c r="I39" s="89">
        <f t="shared" si="1"/>
        <v>8</v>
      </c>
      <c r="J39" s="89">
        <f t="shared" si="1"/>
        <v>9</v>
      </c>
      <c r="K39" s="89">
        <f t="shared" si="1"/>
        <v>0</v>
      </c>
      <c r="L39" s="89">
        <f t="shared" si="1"/>
        <v>0</v>
      </c>
      <c r="M39" s="89">
        <f t="shared" si="1"/>
        <v>0</v>
      </c>
      <c r="N39" s="89">
        <f t="shared" si="1"/>
        <v>0</v>
      </c>
    </row>
  </sheetData>
  <mergeCells count="4">
    <mergeCell ref="B1:C2"/>
    <mergeCell ref="D1:E2"/>
    <mergeCell ref="F1:F2"/>
    <mergeCell ref="G1:N2"/>
  </mergeCells>
  <conditionalFormatting sqref="B4:K38">
    <cfRule type="containsText" dxfId="5" priority="1" operator="containsText" text="PERMESSO">
      <formula>NOT(ISERROR(SEARCH(("PERMESSO"),(B4))))</formula>
    </cfRule>
  </conditionalFormatting>
  <conditionalFormatting sqref="B4:N38">
    <cfRule type="containsText" dxfId="1" priority="2" operator="containsText" text="MALATTIA">
      <formula>NOT(ISERROR(SEARCH(("MALATTIA"),(B4))))</formula>
    </cfRule>
  </conditionalFormatting>
  <conditionalFormatting sqref="B4:N38">
    <cfRule type="containsText" dxfId="2" priority="3" operator="containsText" text="FORMAZ">
      <formula>NOT(ISERROR(SEARCH(("FORMAZ"),(B4))))</formula>
    </cfRule>
  </conditionalFormatting>
  <conditionalFormatting sqref="B4:N38">
    <cfRule type="containsText" dxfId="3" priority="4" operator="containsText" text="AMM.ZIONE">
      <formula>NOT(ISERROR(SEARCH(("AMM.ZIONE"),(B4))))</formula>
    </cfRule>
  </conditionalFormatting>
  <conditionalFormatting sqref="B4:N38">
    <cfRule type="containsText" dxfId="4" priority="5" operator="containsText" text="PAUSA">
      <formula>NOT(ISERROR(SEARCH(("PAUSA"),(B4))))</formula>
    </cfRule>
  </conditionalFormatting>
  <conditionalFormatting sqref="B4:N38">
    <cfRule type="containsText" dxfId="0" priority="6" operator="containsText" text="PERMESSO">
      <formula>NOT(ISERROR(SEARCH(("PERMESSO"),(B4))))</formula>
    </cfRule>
  </conditionalFormatting>
  <conditionalFormatting sqref="B4:N38">
    <cfRule type="containsText" dxfId="6" priority="7" operator="containsText" text="UFFICIO">
      <formula>NOT(ISERROR(SEARCH(("UFFICIO"),(B4))))</formula>
    </cfRule>
  </conditionalFormatting>
  <conditionalFormatting sqref="B4:N38">
    <cfRule type="containsText" dxfId="7" priority="8" operator="containsText" text="RIPOSO">
      <formula>NOT(ISERROR(SEARCH(("RIPOSO"),(B4))))</formula>
    </cfRule>
  </conditionalFormatting>
  <dataValidations>
    <dataValidation type="list" allowBlank="1" showInputMessage="1" showErrorMessage="1" prompt="Fai clic e immetti un valore da intervallo elenchi!A1:A30" sqref="B4:N38">
      <formula1>elenchi!$A$1:$A$30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900FF"/>
    <outlinePr summaryBelow="0" summaryRight="0"/>
  </sheetPr>
  <sheetViews>
    <sheetView workbookViewId="0">
      <pane xSplit="1.0" ySplit="3.0" topLeftCell="B4" activePane="bottomRight" state="frozen"/>
      <selection activeCell="B1" sqref="B1" pane="topRight"/>
      <selection activeCell="A4" sqref="A4" pane="bottomLeft"/>
      <selection activeCell="B4" sqref="B4" pane="bottomRight"/>
    </sheetView>
  </sheetViews>
  <sheetFormatPr customHeight="1" defaultColWidth="14.43" defaultRowHeight="15.0"/>
  <cols>
    <col customWidth="1" min="1" max="1" width="10.14"/>
    <col customWidth="1" min="2" max="14" width="18.71"/>
  </cols>
  <sheetData>
    <row r="1">
      <c r="A1" s="234"/>
      <c r="B1" s="222" t="s">
        <v>16</v>
      </c>
      <c r="C1" s="213"/>
      <c r="D1" s="235" t="str">
        <f>elenchi!C2</f>
        <v>  SETTIMANA - B</v>
      </c>
      <c r="F1" s="215" t="s">
        <v>20</v>
      </c>
      <c r="G1" s="216" t="str">
        <f>elenchi!D2</f>
        <v>LUNEDI 23 A DOMENICA 29 MARZO 2026</v>
      </c>
      <c r="N1" s="213"/>
    </row>
    <row r="2">
      <c r="A2" s="234"/>
      <c r="B2" s="8"/>
      <c r="C2" s="9"/>
      <c r="D2" s="10"/>
      <c r="E2" s="10"/>
      <c r="F2" s="10"/>
      <c r="G2" s="10"/>
      <c r="H2" s="10"/>
      <c r="I2" s="10"/>
      <c r="J2" s="10"/>
      <c r="K2" s="10"/>
      <c r="L2" s="10"/>
      <c r="M2" s="10"/>
      <c r="N2" s="9"/>
    </row>
    <row r="3">
      <c r="A3" s="11" t="s">
        <v>2</v>
      </c>
      <c r="B3" s="11" t="str">
        <f>elenchi!B1</f>
        <v>ALEXANDRA</v>
      </c>
      <c r="C3" s="11" t="str">
        <f>elenchi!B2</f>
        <v>GIUDITTA</v>
      </c>
      <c r="D3" s="11" t="str">
        <f>elenchi!B3</f>
        <v>ESTEFANY</v>
      </c>
      <c r="E3" s="12" t="str">
        <f>elenchi!B4</f>
        <v>NURA</v>
      </c>
      <c r="F3" s="12" t="str">
        <f>elenchi!B5</f>
        <v/>
      </c>
      <c r="G3" s="12" t="str">
        <f>elenchi!B6</f>
        <v>JOEL</v>
      </c>
      <c r="H3" s="13" t="str">
        <f>elenchi!B7</f>
        <v>KEVIN</v>
      </c>
      <c r="I3" s="14" t="str">
        <f>elenchi!B8</f>
        <v>JASIR</v>
      </c>
      <c r="J3" s="15" t="str">
        <f>elenchi!B9</f>
        <v>DIEGO</v>
      </c>
      <c r="K3" s="15" t="str">
        <f>elenchi!B10</f>
        <v>SARA</v>
      </c>
      <c r="L3" s="12" t="str">
        <f>elenchi!B11</f>
        <v>SANTO</v>
      </c>
      <c r="M3" s="12" t="str">
        <f>elenchi!B12</f>
        <v>MASSI</v>
      </c>
      <c r="N3" s="12" t="str">
        <f>elenchi!B13</f>
        <v/>
      </c>
    </row>
    <row r="4">
      <c r="A4" s="16" t="s">
        <v>3</v>
      </c>
      <c r="B4" s="95"/>
      <c r="C4" s="91"/>
      <c r="D4" s="91"/>
      <c r="E4" s="91"/>
      <c r="F4" s="91"/>
      <c r="G4" s="91"/>
      <c r="H4" s="145"/>
      <c r="I4" s="146"/>
      <c r="J4" s="147"/>
      <c r="K4" s="148"/>
      <c r="L4" s="146"/>
      <c r="M4" s="149"/>
      <c r="N4" s="148"/>
    </row>
    <row r="5">
      <c r="A5" s="28" t="s">
        <v>4</v>
      </c>
      <c r="B5" s="105"/>
      <c r="C5" s="99"/>
      <c r="D5" s="99"/>
      <c r="E5" s="99"/>
      <c r="F5" s="99"/>
      <c r="G5" s="99"/>
      <c r="H5" s="145"/>
      <c r="I5" s="146"/>
      <c r="J5" s="147"/>
      <c r="K5" s="148"/>
      <c r="L5" s="146"/>
      <c r="M5" s="149"/>
      <c r="N5" s="148"/>
    </row>
    <row r="6">
      <c r="A6" s="28" t="s">
        <v>5</v>
      </c>
      <c r="B6" s="105"/>
      <c r="C6" s="99"/>
      <c r="D6" s="99"/>
      <c r="E6" s="99"/>
      <c r="F6" s="99"/>
      <c r="G6" s="99"/>
      <c r="H6" s="150"/>
      <c r="I6" s="151"/>
      <c r="J6" s="152"/>
      <c r="K6" s="149"/>
      <c r="L6" s="146"/>
      <c r="M6" s="149"/>
      <c r="N6" s="148"/>
    </row>
    <row r="7">
      <c r="A7" s="39">
        <v>40475.354166666664</v>
      </c>
      <c r="B7" s="153"/>
      <c r="C7" s="99"/>
      <c r="D7" s="43"/>
      <c r="E7" s="154" t="s">
        <v>6</v>
      </c>
      <c r="F7" s="108"/>
      <c r="G7" s="155"/>
      <c r="H7" s="43"/>
      <c r="I7" s="43" t="s">
        <v>7</v>
      </c>
      <c r="J7" s="108"/>
      <c r="K7" s="156" t="s">
        <v>8</v>
      </c>
      <c r="L7" s="157" t="s">
        <v>9</v>
      </c>
      <c r="M7" s="158"/>
      <c r="N7" s="150"/>
    </row>
    <row r="8">
      <c r="A8" s="49">
        <v>40475.375</v>
      </c>
      <c r="B8" s="159"/>
      <c r="C8" s="99"/>
      <c r="D8" s="50"/>
      <c r="E8" s="53" t="s">
        <v>6</v>
      </c>
      <c r="F8" s="108"/>
      <c r="G8" s="120"/>
      <c r="H8" s="40"/>
      <c r="I8" s="40" t="s">
        <v>7</v>
      </c>
      <c r="J8" s="108"/>
      <c r="K8" s="156" t="s">
        <v>8</v>
      </c>
      <c r="L8" s="160" t="s">
        <v>9</v>
      </c>
      <c r="M8" s="70"/>
      <c r="N8" s="148"/>
    </row>
    <row r="9">
      <c r="A9" s="55">
        <v>40475.395833333336</v>
      </c>
      <c r="B9" s="159"/>
      <c r="C9" s="99"/>
      <c r="D9" s="40"/>
      <c r="E9" s="62" t="s">
        <v>6</v>
      </c>
      <c r="F9" s="108"/>
      <c r="G9" s="120"/>
      <c r="H9" s="40"/>
      <c r="I9" s="40" t="s">
        <v>7</v>
      </c>
      <c r="J9" s="108"/>
      <c r="K9" s="156" t="s">
        <v>8</v>
      </c>
      <c r="L9" s="160" t="s">
        <v>9</v>
      </c>
      <c r="M9" s="70"/>
      <c r="N9" s="150"/>
    </row>
    <row r="10">
      <c r="A10" s="55">
        <v>40475.416666666664</v>
      </c>
      <c r="B10" s="159"/>
      <c r="C10" s="99"/>
      <c r="D10" s="50"/>
      <c r="E10" s="53" t="s">
        <v>6</v>
      </c>
      <c r="F10" s="116"/>
      <c r="G10" s="161"/>
      <c r="H10" s="40"/>
      <c r="I10" s="40" t="s">
        <v>7</v>
      </c>
      <c r="J10" s="40"/>
      <c r="K10" s="156" t="s">
        <v>8</v>
      </c>
      <c r="L10" s="160" t="s">
        <v>9</v>
      </c>
      <c r="M10" s="162" t="s">
        <v>8</v>
      </c>
      <c r="N10" s="148"/>
    </row>
    <row r="11">
      <c r="A11" s="49">
        <v>40475.4375</v>
      </c>
      <c r="B11" s="159"/>
      <c r="C11" s="100"/>
      <c r="D11" s="119" t="s">
        <v>7</v>
      </c>
      <c r="E11" s="53" t="s">
        <v>6</v>
      </c>
      <c r="F11" s="115"/>
      <c r="G11" s="161"/>
      <c r="H11" s="40"/>
      <c r="I11" s="40" t="s">
        <v>7</v>
      </c>
      <c r="J11" s="40"/>
      <c r="K11" s="156" t="s">
        <v>8</v>
      </c>
      <c r="L11" s="163" t="s">
        <v>9</v>
      </c>
      <c r="M11" s="162" t="s">
        <v>8</v>
      </c>
      <c r="N11" s="150"/>
    </row>
    <row r="12">
      <c r="A12" s="49">
        <v>40475.458333333336</v>
      </c>
      <c r="B12" s="164"/>
      <c r="C12" s="50"/>
      <c r="D12" s="50" t="s">
        <v>7</v>
      </c>
      <c r="E12" s="62" t="s">
        <v>6</v>
      </c>
      <c r="F12" s="108"/>
      <c r="G12" s="154"/>
      <c r="H12" s="40"/>
      <c r="I12" s="40" t="s">
        <v>7</v>
      </c>
      <c r="J12" s="40"/>
      <c r="K12" s="156" t="s">
        <v>8</v>
      </c>
      <c r="L12" s="165" t="s">
        <v>9</v>
      </c>
      <c r="M12" s="162" t="s">
        <v>8</v>
      </c>
      <c r="N12" s="150"/>
    </row>
    <row r="13">
      <c r="A13" s="55">
        <v>40475.479166666664</v>
      </c>
      <c r="B13" s="64"/>
      <c r="C13" s="50"/>
      <c r="D13" s="50" t="s">
        <v>7</v>
      </c>
      <c r="E13" s="53" t="s">
        <v>6</v>
      </c>
      <c r="F13" s="115"/>
      <c r="G13" s="68"/>
      <c r="H13" s="40"/>
      <c r="I13" s="40" t="s">
        <v>7</v>
      </c>
      <c r="J13" s="40"/>
      <c r="K13" s="156" t="s">
        <v>8</v>
      </c>
      <c r="L13" s="165" t="s">
        <v>9</v>
      </c>
      <c r="M13" s="162" t="s">
        <v>8</v>
      </c>
      <c r="N13" s="148"/>
    </row>
    <row r="14">
      <c r="A14" s="55">
        <v>40475.5</v>
      </c>
      <c r="B14" s="64"/>
      <c r="C14" s="122"/>
      <c r="D14" s="50" t="s">
        <v>7</v>
      </c>
      <c r="E14" s="50" t="s">
        <v>6</v>
      </c>
      <c r="F14" s="115"/>
      <c r="G14" s="62"/>
      <c r="H14" s="40"/>
      <c r="I14" s="40" t="s">
        <v>7</v>
      </c>
      <c r="J14" s="40"/>
      <c r="K14" s="166" t="s">
        <v>10</v>
      </c>
      <c r="L14" s="165" t="s">
        <v>9</v>
      </c>
      <c r="M14" s="162" t="s">
        <v>8</v>
      </c>
      <c r="N14" s="150"/>
    </row>
    <row r="15">
      <c r="A15" s="49">
        <v>40475.520833333336</v>
      </c>
      <c r="B15" s="64"/>
      <c r="C15" s="50"/>
      <c r="D15" s="124" t="s">
        <v>6</v>
      </c>
      <c r="E15" s="50" t="s">
        <v>10</v>
      </c>
      <c r="F15" s="115"/>
      <c r="G15" s="161"/>
      <c r="H15" s="40"/>
      <c r="I15" s="40" t="s">
        <v>7</v>
      </c>
      <c r="J15" s="40"/>
      <c r="K15" s="156" t="s">
        <v>8</v>
      </c>
      <c r="L15" s="165" t="s">
        <v>9</v>
      </c>
      <c r="M15" s="162" t="s">
        <v>8</v>
      </c>
      <c r="N15" s="150"/>
    </row>
    <row r="16">
      <c r="A16" s="49">
        <v>40475.541666666664</v>
      </c>
      <c r="B16" s="64"/>
      <c r="C16" s="40"/>
      <c r="D16" s="50" t="s">
        <v>6</v>
      </c>
      <c r="E16" s="78" t="s">
        <v>7</v>
      </c>
      <c r="F16" s="108"/>
      <c r="G16" s="154"/>
      <c r="H16" s="40"/>
      <c r="I16" s="40" t="s">
        <v>7</v>
      </c>
      <c r="J16" s="40"/>
      <c r="K16" s="156" t="s">
        <v>8</v>
      </c>
      <c r="L16" s="167" t="s">
        <v>10</v>
      </c>
      <c r="M16" s="168" t="s">
        <v>10</v>
      </c>
      <c r="N16" s="150"/>
    </row>
    <row r="17">
      <c r="A17" s="55">
        <v>40475.5625</v>
      </c>
      <c r="B17" s="64"/>
      <c r="C17" s="50"/>
      <c r="D17" s="50" t="s">
        <v>6</v>
      </c>
      <c r="E17" s="78" t="s">
        <v>7</v>
      </c>
      <c r="F17" s="115"/>
      <c r="G17" s="53"/>
      <c r="H17" s="40"/>
      <c r="I17" s="40" t="s">
        <v>7</v>
      </c>
      <c r="J17" s="40"/>
      <c r="K17" s="156" t="s">
        <v>8</v>
      </c>
      <c r="L17" s="165" t="s">
        <v>9</v>
      </c>
      <c r="M17" s="162" t="s">
        <v>8</v>
      </c>
      <c r="N17" s="148"/>
    </row>
    <row r="18">
      <c r="A18" s="55">
        <v>40475.583333333336</v>
      </c>
      <c r="B18" s="64"/>
      <c r="C18" s="40"/>
      <c r="D18" s="50" t="s">
        <v>6</v>
      </c>
      <c r="E18" s="78" t="s">
        <v>7</v>
      </c>
      <c r="F18" s="115"/>
      <c r="G18" s="62"/>
      <c r="H18" s="40"/>
      <c r="I18" s="40" t="s">
        <v>7</v>
      </c>
      <c r="J18" s="40"/>
      <c r="K18" s="156" t="s">
        <v>8</v>
      </c>
      <c r="L18" s="165" t="s">
        <v>9</v>
      </c>
      <c r="M18" s="162" t="s">
        <v>8</v>
      </c>
      <c r="N18" s="148"/>
    </row>
    <row r="19">
      <c r="A19" s="49">
        <v>40475.604166666664</v>
      </c>
      <c r="B19" s="125" t="s">
        <v>6</v>
      </c>
      <c r="C19" s="125" t="s">
        <v>6</v>
      </c>
      <c r="D19" s="50" t="s">
        <v>10</v>
      </c>
      <c r="E19" s="78" t="s">
        <v>7</v>
      </c>
      <c r="F19" s="117"/>
      <c r="G19" s="53" t="s">
        <v>11</v>
      </c>
      <c r="H19" s="50" t="s">
        <v>7</v>
      </c>
      <c r="I19" s="40" t="s">
        <v>10</v>
      </c>
      <c r="J19" s="236" t="s">
        <v>7</v>
      </c>
      <c r="K19" s="156" t="s">
        <v>8</v>
      </c>
      <c r="L19" s="169" t="s">
        <v>9</v>
      </c>
      <c r="M19" s="162" t="s">
        <v>8</v>
      </c>
      <c r="N19" s="97"/>
    </row>
    <row r="20">
      <c r="A20" s="49">
        <v>40475.625</v>
      </c>
      <c r="B20" s="125" t="s">
        <v>6</v>
      </c>
      <c r="C20" s="125" t="s">
        <v>6</v>
      </c>
      <c r="D20" s="122" t="s">
        <v>7</v>
      </c>
      <c r="E20" s="78" t="s">
        <v>7</v>
      </c>
      <c r="F20" s="117"/>
      <c r="G20" s="53" t="s">
        <v>11</v>
      </c>
      <c r="H20" s="40" t="s">
        <v>7</v>
      </c>
      <c r="I20" s="40" t="s">
        <v>7</v>
      </c>
      <c r="J20" s="237" t="s">
        <v>7</v>
      </c>
      <c r="K20" s="156" t="s">
        <v>8</v>
      </c>
      <c r="L20" s="169" t="s">
        <v>9</v>
      </c>
      <c r="M20" s="162" t="s">
        <v>8</v>
      </c>
      <c r="N20" s="103"/>
    </row>
    <row r="21">
      <c r="A21" s="55">
        <v>40475.645833333336</v>
      </c>
      <c r="B21" s="129" t="s">
        <v>6</v>
      </c>
      <c r="C21" s="129" t="s">
        <v>6</v>
      </c>
      <c r="D21" s="40" t="s">
        <v>7</v>
      </c>
      <c r="E21" s="64" t="s">
        <v>7</v>
      </c>
      <c r="F21" s="116"/>
      <c r="G21" s="53" t="s">
        <v>11</v>
      </c>
      <c r="H21" s="50" t="s">
        <v>7</v>
      </c>
      <c r="I21" s="40" t="s">
        <v>7</v>
      </c>
      <c r="J21" s="236" t="s">
        <v>7</v>
      </c>
      <c r="K21" s="156" t="s">
        <v>8</v>
      </c>
      <c r="L21" s="169" t="s">
        <v>9</v>
      </c>
      <c r="M21" s="162" t="s">
        <v>8</v>
      </c>
      <c r="N21" s="97"/>
    </row>
    <row r="22">
      <c r="A22" s="55">
        <v>40475.666666666664</v>
      </c>
      <c r="B22" s="129" t="s">
        <v>6</v>
      </c>
      <c r="C22" s="129" t="s">
        <v>6</v>
      </c>
      <c r="D22" s="40" t="s">
        <v>7</v>
      </c>
      <c r="E22" s="78" t="s">
        <v>7</v>
      </c>
      <c r="F22" s="116"/>
      <c r="G22" s="53" t="s">
        <v>11</v>
      </c>
      <c r="H22" s="40" t="s">
        <v>7</v>
      </c>
      <c r="I22" s="40" t="s">
        <v>7</v>
      </c>
      <c r="J22" s="237" t="s">
        <v>7</v>
      </c>
      <c r="K22" s="156" t="s">
        <v>8</v>
      </c>
      <c r="L22" s="169" t="s">
        <v>9</v>
      </c>
      <c r="M22" s="162" t="s">
        <v>8</v>
      </c>
      <c r="N22" s="103"/>
    </row>
    <row r="23">
      <c r="A23" s="49">
        <v>40475.6875</v>
      </c>
      <c r="B23" s="129" t="s">
        <v>6</v>
      </c>
      <c r="C23" s="129" t="s">
        <v>6</v>
      </c>
      <c r="D23" s="40" t="s">
        <v>7</v>
      </c>
      <c r="E23" s="64" t="s">
        <v>7</v>
      </c>
      <c r="F23" s="116"/>
      <c r="G23" s="50" t="s">
        <v>11</v>
      </c>
      <c r="H23" s="50" t="s">
        <v>7</v>
      </c>
      <c r="I23" s="58" t="s">
        <v>7</v>
      </c>
      <c r="J23" s="236" t="s">
        <v>7</v>
      </c>
      <c r="K23" s="156" t="s">
        <v>8</v>
      </c>
      <c r="L23" s="169" t="s">
        <v>9</v>
      </c>
      <c r="M23" s="162" t="s">
        <v>8</v>
      </c>
      <c r="N23" s="97"/>
    </row>
    <row r="24">
      <c r="A24" s="49">
        <v>40475.708333333336</v>
      </c>
      <c r="B24" s="129" t="s">
        <v>6</v>
      </c>
      <c r="C24" s="129" t="s">
        <v>6</v>
      </c>
      <c r="D24" s="117" t="s">
        <v>7</v>
      </c>
      <c r="E24" s="99"/>
      <c r="F24" s="130"/>
      <c r="G24" s="40" t="s">
        <v>11</v>
      </c>
      <c r="H24" s="98" t="s">
        <v>7</v>
      </c>
      <c r="I24" s="58"/>
      <c r="J24" s="236" t="s">
        <v>7</v>
      </c>
      <c r="K24" s="170"/>
      <c r="L24" s="171"/>
      <c r="M24" s="162" t="s">
        <v>8</v>
      </c>
      <c r="N24" s="97"/>
    </row>
    <row r="25">
      <c r="A25" s="55">
        <v>40475.729166666664</v>
      </c>
      <c r="B25" s="129" t="s">
        <v>6</v>
      </c>
      <c r="C25" s="129" t="s">
        <v>10</v>
      </c>
      <c r="D25" s="117" t="s">
        <v>7</v>
      </c>
      <c r="E25" s="100"/>
      <c r="F25" s="130"/>
      <c r="G25" s="40" t="s">
        <v>11</v>
      </c>
      <c r="H25" s="98" t="s">
        <v>7</v>
      </c>
      <c r="I25" s="58"/>
      <c r="J25" s="236" t="s">
        <v>7</v>
      </c>
      <c r="K25" s="170"/>
      <c r="L25" s="171"/>
      <c r="M25" s="162" t="s">
        <v>8</v>
      </c>
      <c r="N25" s="97"/>
    </row>
    <row r="26">
      <c r="A26" s="55">
        <v>40475.75</v>
      </c>
      <c r="B26" s="122" t="s">
        <v>10</v>
      </c>
      <c r="C26" s="125" t="s">
        <v>7</v>
      </c>
      <c r="D26" s="117" t="s">
        <v>6</v>
      </c>
      <c r="E26" s="100"/>
      <c r="F26" s="128"/>
      <c r="G26" s="40" t="s">
        <v>11</v>
      </c>
      <c r="H26" s="98" t="s">
        <v>7</v>
      </c>
      <c r="I26" s="51"/>
      <c r="J26" s="236" t="s">
        <v>7</v>
      </c>
      <c r="K26" s="170"/>
      <c r="L26" s="171"/>
      <c r="M26" s="162" t="s">
        <v>8</v>
      </c>
      <c r="N26" s="97"/>
    </row>
    <row r="27">
      <c r="A27" s="49">
        <v>40475.770833333336</v>
      </c>
      <c r="B27" s="40" t="s">
        <v>11</v>
      </c>
      <c r="C27" s="125" t="s">
        <v>7</v>
      </c>
      <c r="D27" s="117" t="s">
        <v>6</v>
      </c>
      <c r="E27" s="100"/>
      <c r="F27" s="128"/>
      <c r="G27" s="122" t="s">
        <v>10</v>
      </c>
      <c r="H27" s="105" t="s">
        <v>7</v>
      </c>
      <c r="I27" s="58"/>
      <c r="J27" s="237" t="s">
        <v>7</v>
      </c>
      <c r="K27" s="170"/>
      <c r="L27" s="171"/>
      <c r="M27" s="158"/>
      <c r="N27" s="103"/>
    </row>
    <row r="28">
      <c r="A28" s="49">
        <v>40475.791666666664</v>
      </c>
      <c r="B28" s="100" t="s">
        <v>11</v>
      </c>
      <c r="C28" s="125" t="s">
        <v>7</v>
      </c>
      <c r="D28" s="105"/>
      <c r="E28" s="101"/>
      <c r="F28" s="128"/>
      <c r="G28" s="122" t="s">
        <v>6</v>
      </c>
      <c r="H28" s="105" t="s">
        <v>10</v>
      </c>
      <c r="I28" s="51"/>
      <c r="J28" s="238" t="s">
        <v>10</v>
      </c>
      <c r="K28" s="158"/>
      <c r="L28" s="170"/>
      <c r="M28" s="158"/>
      <c r="N28" s="103"/>
    </row>
    <row r="29">
      <c r="A29" s="55">
        <v>40475.8125</v>
      </c>
      <c r="B29" s="100" t="s">
        <v>11</v>
      </c>
      <c r="C29" s="100" t="s">
        <v>7</v>
      </c>
      <c r="D29" s="130"/>
      <c r="E29" s="105"/>
      <c r="F29" s="105"/>
      <c r="G29" s="124" t="s">
        <v>6</v>
      </c>
      <c r="H29" s="105" t="s">
        <v>11</v>
      </c>
      <c r="I29" s="105"/>
      <c r="J29" s="237" t="s">
        <v>11</v>
      </c>
      <c r="K29" s="158"/>
      <c r="L29" s="170"/>
      <c r="M29" s="158"/>
      <c r="N29" s="103"/>
    </row>
    <row r="30">
      <c r="A30" s="55">
        <v>40475.833333333336</v>
      </c>
      <c r="B30" s="100" t="s">
        <v>11</v>
      </c>
      <c r="C30" s="100" t="s">
        <v>7</v>
      </c>
      <c r="D30" s="128"/>
      <c r="E30" s="105"/>
      <c r="F30" s="105"/>
      <c r="G30" s="124" t="s">
        <v>6</v>
      </c>
      <c r="H30" s="105" t="s">
        <v>11</v>
      </c>
      <c r="I30" s="98"/>
      <c r="J30" s="239" t="s">
        <v>11</v>
      </c>
      <c r="K30" s="158"/>
      <c r="L30" s="170"/>
      <c r="M30" s="158"/>
      <c r="N30" s="95"/>
    </row>
    <row r="31">
      <c r="A31" s="49">
        <v>40475.854166666664</v>
      </c>
      <c r="B31" s="100" t="s">
        <v>11</v>
      </c>
      <c r="C31" s="100" t="s">
        <v>7</v>
      </c>
      <c r="D31" s="130"/>
      <c r="E31" s="128"/>
      <c r="F31" s="105"/>
      <c r="G31" s="124" t="s">
        <v>6</v>
      </c>
      <c r="H31" s="105" t="s">
        <v>11</v>
      </c>
      <c r="I31" s="105"/>
      <c r="J31" s="110" t="s">
        <v>11</v>
      </c>
      <c r="K31" s="158"/>
      <c r="L31" s="170"/>
      <c r="M31" s="158"/>
      <c r="N31" s="95"/>
    </row>
    <row r="32">
      <c r="A32" s="49">
        <v>40475.875</v>
      </c>
      <c r="B32" s="100" t="s">
        <v>11</v>
      </c>
      <c r="C32" s="100" t="s">
        <v>7</v>
      </c>
      <c r="D32" s="128"/>
      <c r="E32" s="105"/>
      <c r="F32" s="105"/>
      <c r="G32" s="124" t="s">
        <v>6</v>
      </c>
      <c r="H32" s="105" t="s">
        <v>11</v>
      </c>
      <c r="I32" s="98"/>
      <c r="J32" s="236" t="s">
        <v>11</v>
      </c>
      <c r="K32" s="158"/>
      <c r="L32" s="170"/>
      <c r="M32" s="158"/>
      <c r="N32" s="103"/>
    </row>
    <row r="33">
      <c r="A33" s="55">
        <v>40475.895833333336</v>
      </c>
      <c r="B33" s="101" t="s">
        <v>11</v>
      </c>
      <c r="C33" s="100" t="s">
        <v>7</v>
      </c>
      <c r="D33" s="128"/>
      <c r="E33" s="105"/>
      <c r="F33" s="105"/>
      <c r="G33" s="124" t="s">
        <v>6</v>
      </c>
      <c r="H33" s="105" t="s">
        <v>11</v>
      </c>
      <c r="I33" s="98"/>
      <c r="J33" s="237" t="s">
        <v>11</v>
      </c>
      <c r="K33" s="158"/>
      <c r="L33" s="170"/>
      <c r="M33" s="158"/>
      <c r="N33" s="103"/>
    </row>
    <row r="34">
      <c r="A34" s="55">
        <v>40475.916666666664</v>
      </c>
      <c r="B34" s="100" t="s">
        <v>11</v>
      </c>
      <c r="C34" s="100" t="s">
        <v>7</v>
      </c>
      <c r="D34" s="101"/>
      <c r="E34" s="101"/>
      <c r="F34" s="100"/>
      <c r="G34" s="124" t="s">
        <v>6</v>
      </c>
      <c r="H34" s="95" t="s">
        <v>11</v>
      </c>
      <c r="I34" s="90"/>
      <c r="J34" s="236" t="s">
        <v>11</v>
      </c>
      <c r="K34" s="146"/>
      <c r="L34" s="146"/>
      <c r="M34" s="146"/>
      <c r="N34" s="103"/>
    </row>
    <row r="35">
      <c r="A35" s="49">
        <v>40475.9375</v>
      </c>
      <c r="B35" s="101" t="s">
        <v>11</v>
      </c>
      <c r="C35" s="101" t="s">
        <v>7</v>
      </c>
      <c r="D35" s="101"/>
      <c r="E35" s="101"/>
      <c r="F35" s="101"/>
      <c r="G35" s="124" t="s">
        <v>6</v>
      </c>
      <c r="H35" s="95" t="s">
        <v>11</v>
      </c>
      <c r="I35" s="90"/>
      <c r="J35" s="236" t="s">
        <v>11</v>
      </c>
      <c r="K35" s="146"/>
      <c r="L35" s="146"/>
      <c r="M35" s="146"/>
      <c r="N35" s="103"/>
    </row>
    <row r="36">
      <c r="A36" s="49">
        <v>40475.958333333336</v>
      </c>
      <c r="B36" s="105"/>
      <c r="C36" s="100"/>
      <c r="D36" s="99"/>
      <c r="E36" s="132"/>
      <c r="F36" s="132"/>
      <c r="G36" s="132"/>
      <c r="H36" s="173"/>
      <c r="I36" s="152"/>
      <c r="J36" s="174"/>
      <c r="K36" s="152"/>
      <c r="L36" s="146"/>
      <c r="M36" s="146"/>
      <c r="N36" s="148"/>
    </row>
    <row r="37">
      <c r="A37" s="55">
        <v>40475.979166666664</v>
      </c>
      <c r="B37" s="105"/>
      <c r="C37" s="132"/>
      <c r="D37" s="99"/>
      <c r="E37" s="99"/>
      <c r="F37" s="99"/>
      <c r="G37" s="99"/>
      <c r="H37" s="145"/>
      <c r="I37" s="147"/>
      <c r="J37" s="147"/>
      <c r="K37" s="147"/>
      <c r="L37" s="158"/>
      <c r="M37" s="147"/>
      <c r="N37" s="148"/>
    </row>
    <row r="38">
      <c r="A38" s="85" t="s">
        <v>12</v>
      </c>
      <c r="B38" s="105"/>
      <c r="C38" s="134"/>
      <c r="D38" s="134"/>
      <c r="E38" s="134"/>
      <c r="F38" s="134"/>
      <c r="G38" s="134"/>
      <c r="H38" s="145"/>
      <c r="I38" s="147"/>
      <c r="J38" s="147"/>
      <c r="K38" s="174"/>
      <c r="L38" s="146"/>
      <c r="M38" s="174"/>
      <c r="N38" s="145"/>
    </row>
    <row r="39">
      <c r="A39" s="89" t="s">
        <v>13</v>
      </c>
      <c r="B39" s="89">
        <f t="shared" ref="B39:N39" si="1">CONCATENATE(COUNTIF(B4:B38,"MAGAZZINI")+COUNTIF(B4:B38,"PRIMO")+COUNTIF(B4:B38,"RECEPTION")+COUNTIF(B4:B38,"SAGGI")+COUNTIF(B4:B38,"SECONDO")+COUNTIF(B4:B38,"SMART W")+COUNTIF(B4:B38,"STUDIO 1 e 2")+COUNTIF(B4:B38,"MANUTENZ.")+COUNTIF(B4:B38,"UFFICIO")+COUNTIF(B4:B38,"CAMPUS")+COUNTIF(B4:B38,"TEATRO")+COUNTIF(B4:B38,"AMM.ZIONE")+COUNTIF(B4:B38,"FORMAZ-1p")+COUNTIF(B4:B38,"FORMAZ-2p")+COUNTIF(B4:B38,"FORMAZ-rec")+COUNTIF(B4:B38,"WORKSHOP")+COUNTIF(B4:B38,"EVENTO EST."))/2</f>
        <v>8</v>
      </c>
      <c r="C39" s="89">
        <f t="shared" si="1"/>
        <v>8</v>
      </c>
      <c r="D39" s="89">
        <f t="shared" si="1"/>
        <v>8</v>
      </c>
      <c r="E39" s="89">
        <f t="shared" si="1"/>
        <v>8</v>
      </c>
      <c r="F39" s="89">
        <f t="shared" si="1"/>
        <v>0</v>
      </c>
      <c r="G39" s="89">
        <f t="shared" si="1"/>
        <v>8</v>
      </c>
      <c r="H39" s="89">
        <f t="shared" si="1"/>
        <v>8</v>
      </c>
      <c r="I39" s="89">
        <f t="shared" si="1"/>
        <v>8</v>
      </c>
      <c r="J39" s="89">
        <f t="shared" si="1"/>
        <v>8</v>
      </c>
      <c r="K39" s="89">
        <f t="shared" si="1"/>
        <v>8</v>
      </c>
      <c r="L39" s="89">
        <f t="shared" si="1"/>
        <v>8</v>
      </c>
      <c r="M39" s="89">
        <f t="shared" si="1"/>
        <v>8</v>
      </c>
      <c r="N39" s="89">
        <f t="shared" si="1"/>
        <v>0</v>
      </c>
    </row>
  </sheetData>
  <mergeCells count="4">
    <mergeCell ref="B1:C2"/>
    <mergeCell ref="D1:E2"/>
    <mergeCell ref="F1:F2"/>
    <mergeCell ref="G1:N2"/>
  </mergeCells>
  <conditionalFormatting sqref="B4:N38">
    <cfRule type="containsText" dxfId="5" priority="1" operator="containsText" text="PERMESSO">
      <formula>NOT(ISERROR(SEARCH(("PERMESSO"),(B4))))</formula>
    </cfRule>
  </conditionalFormatting>
  <conditionalFormatting sqref="B4:N38">
    <cfRule type="containsText" dxfId="1" priority="2" operator="containsText" text="MALATTIA">
      <formula>NOT(ISERROR(SEARCH(("MALATTIA"),(B4))))</formula>
    </cfRule>
  </conditionalFormatting>
  <conditionalFormatting sqref="B4:N38">
    <cfRule type="containsText" dxfId="2" priority="3" operator="containsText" text="FORMAZ">
      <formula>NOT(ISERROR(SEARCH(("FORMAZ"),(B4))))</formula>
    </cfRule>
  </conditionalFormatting>
  <conditionalFormatting sqref="B4:N38">
    <cfRule type="containsText" dxfId="3" priority="4" operator="containsText" text="AMM.ZIONE">
      <formula>NOT(ISERROR(SEARCH(("AMM.ZIONE"),(B4))))</formula>
    </cfRule>
  </conditionalFormatting>
  <conditionalFormatting sqref="B4:N38">
    <cfRule type="containsText" dxfId="4" priority="5" operator="containsText" text="PAUSA">
      <formula>NOT(ISERROR(SEARCH(("PAUSA"),(B4))))</formula>
    </cfRule>
  </conditionalFormatting>
  <conditionalFormatting sqref="B4:N38">
    <cfRule type="containsText" dxfId="0" priority="6" operator="containsText" text="PERMESSO">
      <formula>NOT(ISERROR(SEARCH(("PERMESSO"),(B4))))</formula>
    </cfRule>
  </conditionalFormatting>
  <conditionalFormatting sqref="B4:N38">
    <cfRule type="containsText" dxfId="6" priority="7" operator="containsText" text="UFFICIO">
      <formula>NOT(ISERROR(SEARCH(("UFFICIO"),(B4))))</formula>
    </cfRule>
  </conditionalFormatting>
  <conditionalFormatting sqref="B4:N38">
    <cfRule type="containsText" dxfId="7" priority="8" operator="containsText" text="RIPOSO">
      <formula>NOT(ISERROR(SEARCH(("RIPOSO"),(B4))))</formula>
    </cfRule>
  </conditionalFormatting>
  <dataValidations>
    <dataValidation type="list" allowBlank="1" showInputMessage="1" showErrorMessage="1" prompt="Fai clic e immetti un valore da intervallo elenchi!A1:A30" sqref="B4:N38">
      <formula1>elenchi!$A$1:$A$30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900FF"/>
    <outlinePr summaryBelow="0" summaryRight="0"/>
  </sheetPr>
  <sheetViews>
    <sheetView workbookViewId="0">
      <pane xSplit="1.0" ySplit="3.0" topLeftCell="B4" activePane="bottomRight" state="frozen"/>
      <selection activeCell="B1" sqref="B1" pane="topRight"/>
      <selection activeCell="A4" sqref="A4" pane="bottomLeft"/>
      <selection activeCell="B4" sqref="B4" pane="bottomRight"/>
    </sheetView>
  </sheetViews>
  <sheetFormatPr customHeight="1" defaultColWidth="14.43" defaultRowHeight="15.0"/>
  <cols>
    <col customWidth="1" min="1" max="1" width="10.14"/>
    <col customWidth="1" min="2" max="14" width="18.71"/>
  </cols>
  <sheetData>
    <row r="1">
      <c r="A1" s="211"/>
      <c r="B1" s="222" t="s">
        <v>17</v>
      </c>
      <c r="C1" s="213"/>
      <c r="D1" s="235" t="str">
        <f>elenchi!C2</f>
        <v>  SETTIMANA - B</v>
      </c>
      <c r="F1" s="215" t="s">
        <v>20</v>
      </c>
      <c r="G1" s="216" t="str">
        <f>elenchi!D2</f>
        <v>LUNEDI 23 A DOMENICA 29 MARZO 2026</v>
      </c>
      <c r="N1" s="213"/>
    </row>
    <row r="2">
      <c r="A2" s="211"/>
      <c r="B2" s="8"/>
      <c r="C2" s="9"/>
      <c r="D2" s="10"/>
      <c r="E2" s="10"/>
      <c r="F2" s="10"/>
      <c r="G2" s="10"/>
      <c r="H2" s="10"/>
      <c r="I2" s="10"/>
      <c r="J2" s="10"/>
      <c r="K2" s="10"/>
      <c r="L2" s="10"/>
      <c r="M2" s="10"/>
      <c r="N2" s="9"/>
    </row>
    <row r="3">
      <c r="A3" s="11" t="s">
        <v>2</v>
      </c>
      <c r="B3" s="11" t="str">
        <f>elenchi!B1</f>
        <v>ALEXANDRA</v>
      </c>
      <c r="C3" s="11" t="str">
        <f>elenchi!B2</f>
        <v>GIUDITTA</v>
      </c>
      <c r="D3" s="11" t="str">
        <f>elenchi!B3</f>
        <v>ESTEFANY</v>
      </c>
      <c r="E3" s="12" t="str">
        <f>elenchi!B4</f>
        <v>NURA</v>
      </c>
      <c r="F3" s="12" t="str">
        <f>elenchi!B5</f>
        <v/>
      </c>
      <c r="G3" s="12" t="str">
        <f>elenchi!B6</f>
        <v>JOEL</v>
      </c>
      <c r="H3" s="13" t="str">
        <f>elenchi!B7</f>
        <v>KEVIN</v>
      </c>
      <c r="I3" s="14" t="str">
        <f>elenchi!B8</f>
        <v>JASIR</v>
      </c>
      <c r="J3" s="15" t="str">
        <f>elenchi!B9</f>
        <v>DIEGO</v>
      </c>
      <c r="K3" s="15" t="str">
        <f>elenchi!B10</f>
        <v>SARA</v>
      </c>
      <c r="L3" s="12" t="str">
        <f>elenchi!B11</f>
        <v>SANTO</v>
      </c>
      <c r="M3" s="12" t="str">
        <f>elenchi!B12</f>
        <v>MASSI</v>
      </c>
      <c r="N3" s="12" t="str">
        <f>elenchi!B13</f>
        <v/>
      </c>
    </row>
    <row r="4">
      <c r="A4" s="16" t="s">
        <v>3</v>
      </c>
      <c r="B4" s="17"/>
      <c r="C4" s="20"/>
      <c r="D4" s="19"/>
      <c r="E4" s="18"/>
      <c r="F4" s="18"/>
      <c r="G4" s="22"/>
      <c r="H4" s="23"/>
      <c r="I4" s="24"/>
      <c r="J4" s="25"/>
      <c r="K4" s="26"/>
      <c r="L4" s="27"/>
      <c r="M4" s="17"/>
      <c r="N4" s="26"/>
    </row>
    <row r="5">
      <c r="A5" s="28" t="s">
        <v>4</v>
      </c>
      <c r="B5" s="29"/>
      <c r="C5" s="32"/>
      <c r="D5" s="31"/>
      <c r="E5" s="30"/>
      <c r="F5" s="30"/>
      <c r="G5" s="34"/>
      <c r="H5" s="23"/>
      <c r="I5" s="24"/>
      <c r="J5" s="25"/>
      <c r="K5" s="26"/>
      <c r="L5" s="27"/>
      <c r="M5" s="17"/>
      <c r="N5" s="26"/>
    </row>
    <row r="6">
      <c r="A6" s="28" t="s">
        <v>5</v>
      </c>
      <c r="B6" s="29"/>
      <c r="C6" s="32"/>
      <c r="D6" s="31"/>
      <c r="E6" s="30"/>
      <c r="F6" s="30"/>
      <c r="G6" s="34"/>
      <c r="H6" s="35"/>
      <c r="I6" s="36"/>
      <c r="J6" s="37"/>
      <c r="K6" s="38"/>
      <c r="L6" s="27"/>
      <c r="M6" s="17"/>
      <c r="N6" s="26"/>
    </row>
    <row r="7">
      <c r="A7" s="39">
        <v>40475.354166666664</v>
      </c>
      <c r="B7" s="119" t="s">
        <v>6</v>
      </c>
      <c r="C7" s="30"/>
      <c r="D7" s="56"/>
      <c r="E7" s="119"/>
      <c r="F7" s="40"/>
      <c r="G7" s="50"/>
      <c r="H7" s="43"/>
      <c r="I7" s="43" t="s">
        <v>7</v>
      </c>
      <c r="J7" s="119"/>
      <c r="K7" s="46" t="s">
        <v>8</v>
      </c>
      <c r="L7" s="47" t="s">
        <v>9</v>
      </c>
      <c r="M7" s="48"/>
      <c r="N7" s="35"/>
    </row>
    <row r="8">
      <c r="A8" s="49">
        <v>40475.375</v>
      </c>
      <c r="B8" s="50" t="s">
        <v>6</v>
      </c>
      <c r="C8" s="32"/>
      <c r="D8" s="51"/>
      <c r="E8" s="50"/>
      <c r="F8" s="50"/>
      <c r="G8" s="50"/>
      <c r="H8" s="40"/>
      <c r="I8" s="40" t="s">
        <v>7</v>
      </c>
      <c r="J8" s="50"/>
      <c r="K8" s="46" t="s">
        <v>8</v>
      </c>
      <c r="L8" s="54" t="s">
        <v>9</v>
      </c>
      <c r="M8" s="48" t="s">
        <v>8</v>
      </c>
      <c r="N8" s="26"/>
    </row>
    <row r="9">
      <c r="A9" s="55">
        <v>40475.395833333336</v>
      </c>
      <c r="B9" s="50" t="s">
        <v>6</v>
      </c>
      <c r="C9" s="30"/>
      <c r="D9" s="51"/>
      <c r="E9" s="50"/>
      <c r="F9" s="40"/>
      <c r="G9" s="50"/>
      <c r="H9" s="40"/>
      <c r="I9" s="40" t="s">
        <v>7</v>
      </c>
      <c r="J9" s="50"/>
      <c r="K9" s="46" t="s">
        <v>8</v>
      </c>
      <c r="L9" s="54" t="s">
        <v>9</v>
      </c>
      <c r="M9" s="48" t="s">
        <v>8</v>
      </c>
      <c r="N9" s="35"/>
    </row>
    <row r="10">
      <c r="A10" s="55">
        <v>40475.416666666664</v>
      </c>
      <c r="B10" s="50" t="s">
        <v>6</v>
      </c>
      <c r="C10" s="32"/>
      <c r="D10" s="51"/>
      <c r="E10" s="50"/>
      <c r="F10" s="50"/>
      <c r="G10" s="50"/>
      <c r="H10" s="40"/>
      <c r="I10" s="40" t="s">
        <v>7</v>
      </c>
      <c r="J10" s="50"/>
      <c r="K10" s="46" t="s">
        <v>8</v>
      </c>
      <c r="L10" s="54" t="s">
        <v>9</v>
      </c>
      <c r="M10" s="48" t="s">
        <v>8</v>
      </c>
      <c r="N10" s="26"/>
    </row>
    <row r="11">
      <c r="A11" s="49">
        <v>40475.4375</v>
      </c>
      <c r="B11" s="119" t="s">
        <v>6</v>
      </c>
      <c r="C11" s="30"/>
      <c r="D11" s="53"/>
      <c r="E11" s="119"/>
      <c r="F11" s="65"/>
      <c r="G11" s="53" t="s">
        <v>7</v>
      </c>
      <c r="H11" s="40"/>
      <c r="I11" s="40" t="s">
        <v>7</v>
      </c>
      <c r="J11" s="119"/>
      <c r="K11" s="46" t="s">
        <v>8</v>
      </c>
      <c r="L11" s="63" t="s">
        <v>9</v>
      </c>
      <c r="M11" s="48" t="s">
        <v>8</v>
      </c>
      <c r="N11" s="35"/>
    </row>
    <row r="12">
      <c r="A12" s="49">
        <v>40475.458333333336</v>
      </c>
      <c r="B12" s="50" t="s">
        <v>6</v>
      </c>
      <c r="C12" s="136"/>
      <c r="D12" s="78"/>
      <c r="E12" s="50"/>
      <c r="F12" s="65"/>
      <c r="G12" s="78" t="s">
        <v>7</v>
      </c>
      <c r="H12" s="40"/>
      <c r="I12" s="40" t="s">
        <v>7</v>
      </c>
      <c r="J12" s="50"/>
      <c r="K12" s="46" t="s">
        <v>8</v>
      </c>
      <c r="L12" s="67" t="s">
        <v>9</v>
      </c>
      <c r="M12" s="48" t="s">
        <v>8</v>
      </c>
      <c r="N12" s="35"/>
    </row>
    <row r="13">
      <c r="A13" s="55">
        <v>40475.479166666664</v>
      </c>
      <c r="B13" s="119" t="s">
        <v>6</v>
      </c>
      <c r="C13" s="52"/>
      <c r="D13" s="78"/>
      <c r="E13" s="119"/>
      <c r="F13" s="50"/>
      <c r="G13" s="78" t="s">
        <v>7</v>
      </c>
      <c r="H13" s="40"/>
      <c r="I13" s="40" t="s">
        <v>7</v>
      </c>
      <c r="J13" s="119"/>
      <c r="K13" s="46" t="s">
        <v>8</v>
      </c>
      <c r="L13" s="67" t="s">
        <v>9</v>
      </c>
      <c r="M13" s="48" t="s">
        <v>8</v>
      </c>
      <c r="N13" s="26"/>
    </row>
    <row r="14">
      <c r="A14" s="55">
        <v>40475.5</v>
      </c>
      <c r="B14" s="50" t="s">
        <v>6</v>
      </c>
      <c r="C14" s="52"/>
      <c r="D14" s="78"/>
      <c r="E14" s="50"/>
      <c r="F14" s="50"/>
      <c r="G14" s="78" t="s">
        <v>7</v>
      </c>
      <c r="H14" s="40"/>
      <c r="I14" s="40" t="s">
        <v>7</v>
      </c>
      <c r="J14" s="50"/>
      <c r="K14" s="46" t="s">
        <v>10</v>
      </c>
      <c r="L14" s="67" t="s">
        <v>9</v>
      </c>
      <c r="M14" s="48" t="s">
        <v>8</v>
      </c>
      <c r="N14" s="35"/>
    </row>
    <row r="15">
      <c r="A15" s="49">
        <v>40475.520833333336</v>
      </c>
      <c r="B15" s="50" t="s">
        <v>6</v>
      </c>
      <c r="C15" s="52"/>
      <c r="D15" s="78"/>
      <c r="E15" s="50"/>
      <c r="F15" s="50"/>
      <c r="G15" s="78" t="s">
        <v>7</v>
      </c>
      <c r="H15" s="40"/>
      <c r="I15" s="40" t="s">
        <v>7</v>
      </c>
      <c r="J15" s="50"/>
      <c r="K15" s="46" t="s">
        <v>8</v>
      </c>
      <c r="L15" s="67" t="s">
        <v>9</v>
      </c>
      <c r="M15" s="48" t="s">
        <v>8</v>
      </c>
      <c r="N15" s="35"/>
    </row>
    <row r="16">
      <c r="A16" s="49">
        <v>40475.541666666664</v>
      </c>
      <c r="B16" s="50" t="s">
        <v>6</v>
      </c>
      <c r="C16" s="52"/>
      <c r="D16" s="78"/>
      <c r="E16" s="50"/>
      <c r="F16" s="50"/>
      <c r="G16" s="78" t="s">
        <v>7</v>
      </c>
      <c r="H16" s="40"/>
      <c r="I16" s="40" t="s">
        <v>7</v>
      </c>
      <c r="J16" s="50"/>
      <c r="K16" s="46" t="s">
        <v>8</v>
      </c>
      <c r="L16" s="67" t="s">
        <v>10</v>
      </c>
      <c r="M16" s="48" t="s">
        <v>10</v>
      </c>
      <c r="N16" s="35"/>
    </row>
    <row r="17">
      <c r="A17" s="55">
        <v>40475.5625</v>
      </c>
      <c r="B17" s="176" t="s">
        <v>10</v>
      </c>
      <c r="C17" s="61" t="s">
        <v>6</v>
      </c>
      <c r="D17" s="50" t="s">
        <v>11</v>
      </c>
      <c r="E17" s="50" t="s">
        <v>7</v>
      </c>
      <c r="F17" s="122"/>
      <c r="G17" s="177" t="s">
        <v>10</v>
      </c>
      <c r="H17" s="50" t="s">
        <v>7</v>
      </c>
      <c r="I17" s="40" t="s">
        <v>10</v>
      </c>
      <c r="J17" s="50"/>
      <c r="K17" s="46" t="s">
        <v>8</v>
      </c>
      <c r="L17" s="67" t="s">
        <v>9</v>
      </c>
      <c r="M17" s="48" t="s">
        <v>8</v>
      </c>
      <c r="N17" s="26" t="s">
        <v>7</v>
      </c>
    </row>
    <row r="18">
      <c r="A18" s="55">
        <v>40475.583333333336</v>
      </c>
      <c r="B18" s="50" t="s">
        <v>7</v>
      </c>
      <c r="C18" s="33" t="s">
        <v>6</v>
      </c>
      <c r="D18" s="50" t="s">
        <v>11</v>
      </c>
      <c r="E18" s="50" t="s">
        <v>7</v>
      </c>
      <c r="F18" s="122"/>
      <c r="G18" s="78" t="s">
        <v>7</v>
      </c>
      <c r="H18" s="40" t="s">
        <v>7</v>
      </c>
      <c r="I18" s="40" t="s">
        <v>7</v>
      </c>
      <c r="J18" s="50"/>
      <c r="K18" s="46" t="s">
        <v>8</v>
      </c>
      <c r="L18" s="67" t="s">
        <v>9</v>
      </c>
      <c r="M18" s="48" t="s">
        <v>8</v>
      </c>
      <c r="N18" s="35" t="s">
        <v>7</v>
      </c>
    </row>
    <row r="19">
      <c r="A19" s="49">
        <v>40475.604166666664</v>
      </c>
      <c r="B19" s="50" t="s">
        <v>7</v>
      </c>
      <c r="C19" s="33" t="s">
        <v>6</v>
      </c>
      <c r="D19" s="50" t="s">
        <v>11</v>
      </c>
      <c r="E19" s="50" t="s">
        <v>7</v>
      </c>
      <c r="F19" s="122"/>
      <c r="G19" s="78" t="s">
        <v>7</v>
      </c>
      <c r="H19" s="50" t="s">
        <v>7</v>
      </c>
      <c r="I19" s="40" t="s">
        <v>7</v>
      </c>
      <c r="J19" s="50"/>
      <c r="K19" s="46" t="s">
        <v>8</v>
      </c>
      <c r="L19" s="46" t="s">
        <v>9</v>
      </c>
      <c r="M19" s="48" t="s">
        <v>8</v>
      </c>
      <c r="N19" s="26" t="s">
        <v>7</v>
      </c>
    </row>
    <row r="20">
      <c r="A20" s="49">
        <v>40475.625</v>
      </c>
      <c r="B20" s="50" t="s">
        <v>7</v>
      </c>
      <c r="C20" s="33" t="s">
        <v>6</v>
      </c>
      <c r="D20" s="50" t="s">
        <v>11</v>
      </c>
      <c r="E20" s="50" t="s">
        <v>7</v>
      </c>
      <c r="F20" s="122"/>
      <c r="G20" s="78" t="s">
        <v>7</v>
      </c>
      <c r="H20" s="40" t="s">
        <v>7</v>
      </c>
      <c r="I20" s="40" t="s">
        <v>7</v>
      </c>
      <c r="J20" s="50"/>
      <c r="K20" s="46" t="s">
        <v>8</v>
      </c>
      <c r="L20" s="46" t="s">
        <v>9</v>
      </c>
      <c r="M20" s="48" t="s">
        <v>8</v>
      </c>
      <c r="N20" s="35" t="s">
        <v>7</v>
      </c>
    </row>
    <row r="21">
      <c r="A21" s="55">
        <v>40475.645833333336</v>
      </c>
      <c r="B21" s="50" t="s">
        <v>7</v>
      </c>
      <c r="C21" s="33" t="s">
        <v>6</v>
      </c>
      <c r="D21" s="50" t="s">
        <v>11</v>
      </c>
      <c r="E21" s="50" t="s">
        <v>7</v>
      </c>
      <c r="F21" s="122"/>
      <c r="G21" s="78" t="s">
        <v>7</v>
      </c>
      <c r="H21" s="50" t="s">
        <v>7</v>
      </c>
      <c r="I21" s="40" t="s">
        <v>7</v>
      </c>
      <c r="J21" s="50"/>
      <c r="K21" s="46" t="s">
        <v>8</v>
      </c>
      <c r="L21" s="46" t="s">
        <v>9</v>
      </c>
      <c r="M21" s="48" t="s">
        <v>8</v>
      </c>
      <c r="N21" s="26" t="s">
        <v>7</v>
      </c>
    </row>
    <row r="22">
      <c r="A22" s="55">
        <v>40475.666666666664</v>
      </c>
      <c r="B22" s="50" t="s">
        <v>7</v>
      </c>
      <c r="C22" s="122" t="s">
        <v>6</v>
      </c>
      <c r="D22" s="50" t="s">
        <v>11</v>
      </c>
      <c r="E22" s="50" t="s">
        <v>7</v>
      </c>
      <c r="F22" s="122"/>
      <c r="G22" s="78" t="s">
        <v>7</v>
      </c>
      <c r="H22" s="50" t="s">
        <v>7</v>
      </c>
      <c r="I22" s="40" t="s">
        <v>7</v>
      </c>
      <c r="J22" s="50"/>
      <c r="K22" s="46" t="s">
        <v>8</v>
      </c>
      <c r="L22" s="46" t="s">
        <v>9</v>
      </c>
      <c r="M22" s="48" t="s">
        <v>8</v>
      </c>
      <c r="N22" s="26" t="s">
        <v>7</v>
      </c>
    </row>
    <row r="23">
      <c r="A23" s="49">
        <v>40475.6875</v>
      </c>
      <c r="B23" s="50" t="s">
        <v>7</v>
      </c>
      <c r="C23" s="122" t="s">
        <v>6</v>
      </c>
      <c r="D23" s="50" t="s">
        <v>11</v>
      </c>
      <c r="E23" s="50" t="s">
        <v>7</v>
      </c>
      <c r="F23" s="122"/>
      <c r="G23" s="78" t="s">
        <v>7</v>
      </c>
      <c r="H23" s="50" t="s">
        <v>7</v>
      </c>
      <c r="I23" s="37" t="s">
        <v>7</v>
      </c>
      <c r="J23" s="50"/>
      <c r="K23" s="46" t="s">
        <v>8</v>
      </c>
      <c r="L23" s="46" t="s">
        <v>9</v>
      </c>
      <c r="M23" s="48" t="s">
        <v>8</v>
      </c>
      <c r="N23" s="26" t="s">
        <v>7</v>
      </c>
    </row>
    <row r="24">
      <c r="A24" s="49">
        <v>40475.708333333336</v>
      </c>
      <c r="B24" s="50"/>
      <c r="C24" s="124" t="s">
        <v>6</v>
      </c>
      <c r="D24" s="50" t="s">
        <v>11</v>
      </c>
      <c r="E24" s="50" t="s">
        <v>7</v>
      </c>
      <c r="F24" s="124"/>
      <c r="G24" s="78" t="s">
        <v>7</v>
      </c>
      <c r="H24" s="77" t="s">
        <v>7</v>
      </c>
      <c r="I24" s="37"/>
      <c r="J24" s="50"/>
      <c r="K24" s="46"/>
      <c r="L24" s="67"/>
      <c r="M24" s="48" t="s">
        <v>8</v>
      </c>
      <c r="N24" s="26" t="s">
        <v>7</v>
      </c>
    </row>
    <row r="25">
      <c r="A25" s="55">
        <v>40475.729166666664</v>
      </c>
      <c r="B25" s="40"/>
      <c r="C25" s="124" t="s">
        <v>10</v>
      </c>
      <c r="D25" s="40" t="s">
        <v>11</v>
      </c>
      <c r="E25" s="240" t="s">
        <v>10</v>
      </c>
      <c r="F25" s="122"/>
      <c r="G25" s="125" t="s">
        <v>6</v>
      </c>
      <c r="H25" s="46" t="s">
        <v>7</v>
      </c>
      <c r="I25" s="37"/>
      <c r="J25" s="40"/>
      <c r="K25" s="46"/>
      <c r="L25" s="67"/>
      <c r="M25" s="48" t="s">
        <v>8</v>
      </c>
      <c r="N25" s="76" t="s">
        <v>7</v>
      </c>
    </row>
    <row r="26">
      <c r="A26" s="55">
        <v>40475.75</v>
      </c>
      <c r="B26" s="50"/>
      <c r="C26" s="32" t="s">
        <v>7</v>
      </c>
      <c r="D26" s="176" t="s">
        <v>10</v>
      </c>
      <c r="E26" s="50" t="s">
        <v>11</v>
      </c>
      <c r="F26" s="124"/>
      <c r="G26" s="129" t="s">
        <v>6</v>
      </c>
      <c r="H26" s="46" t="s">
        <v>10</v>
      </c>
      <c r="I26" s="77"/>
      <c r="J26" s="50"/>
      <c r="K26" s="46"/>
      <c r="L26" s="67"/>
      <c r="M26" s="48" t="s">
        <v>8</v>
      </c>
      <c r="N26" s="76" t="s">
        <v>10</v>
      </c>
    </row>
    <row r="27">
      <c r="A27" s="49">
        <v>40475.770833333336</v>
      </c>
      <c r="B27" s="50"/>
      <c r="C27" s="32" t="s">
        <v>7</v>
      </c>
      <c r="D27" s="50" t="s">
        <v>6</v>
      </c>
      <c r="E27" s="50" t="s">
        <v>11</v>
      </c>
      <c r="F27" s="122"/>
      <c r="G27" s="129" t="s">
        <v>6</v>
      </c>
      <c r="H27" s="46" t="s">
        <v>11</v>
      </c>
      <c r="I27" s="37"/>
      <c r="J27" s="50"/>
      <c r="K27" s="46"/>
      <c r="L27" s="67"/>
      <c r="M27" s="48"/>
      <c r="N27" s="76" t="s">
        <v>11</v>
      </c>
    </row>
    <row r="28">
      <c r="A28" s="49">
        <v>40475.791666666664</v>
      </c>
      <c r="B28" s="32"/>
      <c r="C28" s="32" t="s">
        <v>7</v>
      </c>
      <c r="D28" s="50" t="s">
        <v>6</v>
      </c>
      <c r="E28" s="71" t="s">
        <v>11</v>
      </c>
      <c r="F28" s="124"/>
      <c r="G28" s="50"/>
      <c r="H28" s="46" t="s">
        <v>11</v>
      </c>
      <c r="I28" s="77"/>
      <c r="J28" s="50"/>
      <c r="K28" s="48"/>
      <c r="L28" s="46"/>
      <c r="M28" s="48"/>
      <c r="N28" s="76" t="s">
        <v>11</v>
      </c>
    </row>
    <row r="29">
      <c r="A29" s="55">
        <v>40475.8125</v>
      </c>
      <c r="B29" s="32"/>
      <c r="C29" s="32" t="s">
        <v>7</v>
      </c>
      <c r="D29" s="40" t="s">
        <v>6</v>
      </c>
      <c r="E29" s="71" t="s">
        <v>11</v>
      </c>
      <c r="F29" s="40"/>
      <c r="G29" s="40"/>
      <c r="H29" s="46" t="s">
        <v>11</v>
      </c>
      <c r="I29" s="37"/>
      <c r="J29" s="40"/>
      <c r="K29" s="48"/>
      <c r="L29" s="46"/>
      <c r="M29" s="48"/>
      <c r="N29" s="76" t="s">
        <v>11</v>
      </c>
    </row>
    <row r="30">
      <c r="A30" s="55">
        <v>40475.833333333336</v>
      </c>
      <c r="B30" s="32"/>
      <c r="C30" s="32" t="s">
        <v>7</v>
      </c>
      <c r="D30" s="50" t="s">
        <v>6</v>
      </c>
      <c r="E30" s="71" t="s">
        <v>11</v>
      </c>
      <c r="F30" s="50"/>
      <c r="G30" s="50"/>
      <c r="H30" s="46" t="s">
        <v>11</v>
      </c>
      <c r="I30" s="77"/>
      <c r="J30" s="50"/>
      <c r="K30" s="48"/>
      <c r="L30" s="46"/>
      <c r="M30" s="48"/>
      <c r="N30" s="47" t="s">
        <v>11</v>
      </c>
    </row>
    <row r="31">
      <c r="A31" s="49">
        <v>40475.854166666664</v>
      </c>
      <c r="B31" s="30"/>
      <c r="C31" s="32" t="s">
        <v>7</v>
      </c>
      <c r="D31" s="40" t="s">
        <v>6</v>
      </c>
      <c r="E31" s="74" t="s">
        <v>11</v>
      </c>
      <c r="F31" s="58"/>
      <c r="G31" s="40"/>
      <c r="H31" s="46" t="s">
        <v>11</v>
      </c>
      <c r="I31" s="37"/>
      <c r="J31" s="40"/>
      <c r="K31" s="48"/>
      <c r="L31" s="46"/>
      <c r="M31" s="48"/>
      <c r="N31" s="47" t="s">
        <v>11</v>
      </c>
    </row>
    <row r="32">
      <c r="A32" s="49">
        <v>40475.875</v>
      </c>
      <c r="B32" s="30"/>
      <c r="C32" s="32" t="s">
        <v>7</v>
      </c>
      <c r="D32" s="40" t="s">
        <v>6</v>
      </c>
      <c r="E32" s="74" t="s">
        <v>11</v>
      </c>
      <c r="F32" s="58"/>
      <c r="G32" s="40"/>
      <c r="H32" s="46" t="s">
        <v>11</v>
      </c>
      <c r="I32" s="77"/>
      <c r="J32" s="40"/>
      <c r="K32" s="48"/>
      <c r="L32" s="46"/>
      <c r="M32" s="48"/>
      <c r="N32" s="76" t="s">
        <v>11</v>
      </c>
    </row>
    <row r="33">
      <c r="A33" s="55">
        <v>40475.895833333336</v>
      </c>
      <c r="B33" s="30"/>
      <c r="C33" s="30" t="s">
        <v>7</v>
      </c>
      <c r="D33" s="50" t="s">
        <v>6</v>
      </c>
      <c r="E33" s="74" t="s">
        <v>11</v>
      </c>
      <c r="F33" s="69"/>
      <c r="G33" s="40"/>
      <c r="H33" s="46" t="s">
        <v>11</v>
      </c>
      <c r="I33" s="77"/>
      <c r="J33" s="50"/>
      <c r="K33" s="48"/>
      <c r="L33" s="46"/>
      <c r="M33" s="48"/>
      <c r="N33" s="76" t="s">
        <v>11</v>
      </c>
    </row>
    <row r="34">
      <c r="A34" s="55">
        <v>40475.916666666664</v>
      </c>
      <c r="B34" s="37"/>
      <c r="C34" s="33"/>
      <c r="D34" s="33"/>
      <c r="E34" s="30"/>
      <c r="F34" s="51"/>
      <c r="G34" s="71"/>
      <c r="H34" s="24"/>
      <c r="I34" s="24"/>
      <c r="J34" s="77"/>
      <c r="K34" s="24"/>
      <c r="L34" s="24"/>
      <c r="M34" s="24"/>
      <c r="N34" s="35"/>
    </row>
    <row r="35">
      <c r="A35" s="49">
        <v>40475.9375</v>
      </c>
      <c r="B35" s="37"/>
      <c r="C35" s="33"/>
      <c r="D35" s="33"/>
      <c r="E35" s="30"/>
      <c r="F35" s="32"/>
      <c r="G35" s="71"/>
      <c r="H35" s="24"/>
      <c r="I35" s="24"/>
      <c r="J35" s="77"/>
      <c r="K35" s="24"/>
      <c r="L35" s="24"/>
      <c r="M35" s="24"/>
      <c r="N35" s="35"/>
    </row>
    <row r="36">
      <c r="A36" s="49">
        <v>40475.958333333336</v>
      </c>
      <c r="B36" s="178"/>
      <c r="C36" s="32"/>
      <c r="D36" s="81"/>
      <c r="E36" s="30"/>
      <c r="F36" s="32"/>
      <c r="G36" s="31"/>
      <c r="H36" s="82"/>
      <c r="I36" s="37"/>
      <c r="J36" s="83"/>
      <c r="K36" s="37"/>
      <c r="L36" s="24"/>
      <c r="M36" s="24"/>
      <c r="N36" s="26"/>
    </row>
    <row r="37">
      <c r="A37" s="55">
        <v>40475.979166666664</v>
      </c>
      <c r="B37" s="179"/>
      <c r="C37" s="32"/>
      <c r="D37" s="31"/>
      <c r="E37" s="30"/>
      <c r="F37" s="30"/>
      <c r="G37" s="84"/>
      <c r="H37" s="23"/>
      <c r="I37" s="25"/>
      <c r="J37" s="25"/>
      <c r="K37" s="25"/>
      <c r="L37" s="48"/>
      <c r="M37" s="25"/>
      <c r="N37" s="26"/>
    </row>
    <row r="38">
      <c r="A38" s="85" t="s">
        <v>12</v>
      </c>
      <c r="B38" s="86"/>
      <c r="C38" s="88"/>
      <c r="D38" s="87"/>
      <c r="E38" s="30"/>
      <c r="F38" s="32"/>
      <c r="G38" s="34"/>
      <c r="H38" s="23"/>
      <c r="I38" s="25"/>
      <c r="J38" s="25"/>
      <c r="K38" s="83"/>
      <c r="L38" s="24"/>
      <c r="M38" s="83"/>
      <c r="N38" s="23"/>
    </row>
    <row r="39">
      <c r="A39" s="89" t="s">
        <v>13</v>
      </c>
      <c r="B39" s="89">
        <f t="shared" ref="B39:N39" si="1">CONCATENATE(COUNTIF(B4:B38,"MAGAZZINI")+COUNTIF(B4:B38,"PRIMO")+COUNTIF(B4:B38,"RECEPTION")+COUNTIF(B4:B38,"SAGGI")+COUNTIF(B4:B38,"SECONDO")+COUNTIF(B4:B38,"SMART W")+COUNTIF(B4:B38,"STUDIO 1 e 2")+COUNTIF(B4:B38,"MANUTENZ.")+COUNTIF(B4:B38,"UFFICIO")+COUNTIF(B4:B38,"CAMPUS")+COUNTIF(B4:B38,"TEATRO")+COUNTIF(B4:B38,"AMM.ZIONE")+COUNTIF(B4:B38,"FORMAZ-1p")+COUNTIF(B4:B38,"FORMAZ-2p")+COUNTIF(B4:B38,"FORMAZ-rec")+COUNTIF(B4:B38,"WORKSHOP")+COUNTIF(B4:B38,"EVENTO EST."))/2</f>
        <v>8</v>
      </c>
      <c r="C39" s="89">
        <f t="shared" si="1"/>
        <v>8</v>
      </c>
      <c r="D39" s="89">
        <f t="shared" si="1"/>
        <v>8</v>
      </c>
      <c r="E39" s="89">
        <f t="shared" si="1"/>
        <v>8</v>
      </c>
      <c r="F39" s="89">
        <f t="shared" si="1"/>
        <v>0</v>
      </c>
      <c r="G39" s="89">
        <f t="shared" si="1"/>
        <v>8</v>
      </c>
      <c r="H39" s="89">
        <f t="shared" si="1"/>
        <v>8</v>
      </c>
      <c r="I39" s="89">
        <f t="shared" si="1"/>
        <v>8</v>
      </c>
      <c r="J39" s="89">
        <f t="shared" si="1"/>
        <v>0</v>
      </c>
      <c r="K39" s="89">
        <f t="shared" si="1"/>
        <v>8</v>
      </c>
      <c r="L39" s="89">
        <f t="shared" si="1"/>
        <v>8</v>
      </c>
      <c r="M39" s="89">
        <f t="shared" si="1"/>
        <v>9</v>
      </c>
      <c r="N39" s="89">
        <f t="shared" si="1"/>
        <v>8</v>
      </c>
    </row>
  </sheetData>
  <mergeCells count="4">
    <mergeCell ref="B1:C2"/>
    <mergeCell ref="D1:E2"/>
    <mergeCell ref="F1:F2"/>
    <mergeCell ref="G1:N2"/>
  </mergeCells>
  <conditionalFormatting sqref="B4:N38">
    <cfRule type="containsText" dxfId="5" priority="1" operator="containsText" text="PERMESSO">
      <formula>NOT(ISERROR(SEARCH(("PERMESSO"),(B4))))</formula>
    </cfRule>
  </conditionalFormatting>
  <conditionalFormatting sqref="B4:N38">
    <cfRule type="containsText" dxfId="1" priority="2" operator="containsText" text="MALATTIA">
      <formula>NOT(ISERROR(SEARCH(("MALATTIA"),(B4))))</formula>
    </cfRule>
  </conditionalFormatting>
  <conditionalFormatting sqref="B4:N38">
    <cfRule type="containsText" dxfId="2" priority="3" operator="containsText" text="FORMAZ">
      <formula>NOT(ISERROR(SEARCH(("FORMAZ"),(B4))))</formula>
    </cfRule>
  </conditionalFormatting>
  <conditionalFormatting sqref="B4:N38">
    <cfRule type="containsText" dxfId="3" priority="4" operator="containsText" text="AMM.ZIONE">
      <formula>NOT(ISERROR(SEARCH(("AMM.ZIONE"),(B4))))</formula>
    </cfRule>
  </conditionalFormatting>
  <conditionalFormatting sqref="B4:N38">
    <cfRule type="containsText" dxfId="4" priority="5" operator="containsText" text="PAUSA">
      <formula>NOT(ISERROR(SEARCH(("PAUSA"),(B4))))</formula>
    </cfRule>
  </conditionalFormatting>
  <conditionalFormatting sqref="B4:N38">
    <cfRule type="containsText" dxfId="0" priority="6" operator="containsText" text="PERMESSO">
      <formula>NOT(ISERROR(SEARCH(("PERMESSO"),(B4))))</formula>
    </cfRule>
  </conditionalFormatting>
  <conditionalFormatting sqref="B4:N38">
    <cfRule type="containsText" dxfId="6" priority="7" operator="containsText" text="UFFICIO">
      <formula>NOT(ISERROR(SEARCH(("UFFICIO"),(B4))))</formula>
    </cfRule>
  </conditionalFormatting>
  <conditionalFormatting sqref="B4:N38">
    <cfRule type="containsText" dxfId="7" priority="8" operator="containsText" text="RIPOSO">
      <formula>NOT(ISERROR(SEARCH(("RIPOSO"),(B4))))</formula>
    </cfRule>
  </conditionalFormatting>
  <dataValidations>
    <dataValidation type="list" allowBlank="1" showInputMessage="1" showErrorMessage="1" prompt="Fai clic e immetti un valore da intervallo elenchi!A1:A30" sqref="B4:N38">
      <formula1>elenchi!$A$1:$A$30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900FF"/>
    <outlinePr summaryBelow="0" summaryRight="0"/>
  </sheetPr>
  <sheetViews>
    <sheetView workbookViewId="0">
      <pane xSplit="1.0" ySplit="3.0" topLeftCell="B4" activePane="bottomRight" state="frozen"/>
      <selection activeCell="B1" sqref="B1" pane="topRight"/>
      <selection activeCell="A4" sqref="A4" pane="bottomLeft"/>
      <selection activeCell="B4" sqref="B4" pane="bottomRight"/>
    </sheetView>
  </sheetViews>
  <sheetFormatPr customHeight="1" defaultColWidth="14.43" defaultRowHeight="15.0"/>
  <cols>
    <col customWidth="1" min="1" max="1" width="10.14"/>
    <col customWidth="1" min="2" max="14" width="18.71"/>
  </cols>
  <sheetData>
    <row r="1">
      <c r="A1" s="234"/>
      <c r="B1" s="222" t="s">
        <v>18</v>
      </c>
      <c r="C1" s="213"/>
      <c r="D1" s="235" t="str">
        <f>elenchi!C2</f>
        <v>  SETTIMANA - B</v>
      </c>
      <c r="F1" s="215" t="s">
        <v>20</v>
      </c>
      <c r="G1" s="216" t="str">
        <f>elenchi!D2</f>
        <v>LUNEDI 23 A DOMENICA 29 MARZO 2026</v>
      </c>
      <c r="N1" s="213"/>
    </row>
    <row r="2">
      <c r="A2" s="234"/>
      <c r="B2" s="8"/>
      <c r="C2" s="9"/>
      <c r="D2" s="10"/>
      <c r="E2" s="10"/>
      <c r="F2" s="10"/>
      <c r="G2" s="10"/>
      <c r="H2" s="10"/>
      <c r="I2" s="10"/>
      <c r="J2" s="10"/>
      <c r="K2" s="10"/>
      <c r="L2" s="10"/>
      <c r="M2" s="10"/>
      <c r="N2" s="9"/>
    </row>
    <row r="3">
      <c r="A3" s="11" t="s">
        <v>2</v>
      </c>
      <c r="B3" s="11" t="str">
        <f>elenchi!B1</f>
        <v>ALEXANDRA</v>
      </c>
      <c r="C3" s="11" t="str">
        <f>elenchi!B2</f>
        <v>GIUDITTA</v>
      </c>
      <c r="D3" s="11" t="str">
        <f>elenchi!B3</f>
        <v>ESTEFANY</v>
      </c>
      <c r="E3" s="12" t="str">
        <f>elenchi!B4</f>
        <v>NURA</v>
      </c>
      <c r="F3" s="12" t="str">
        <f>elenchi!B5</f>
        <v/>
      </c>
      <c r="G3" s="12" t="str">
        <f>elenchi!B6</f>
        <v>JOEL</v>
      </c>
      <c r="H3" s="13" t="str">
        <f>elenchi!B7</f>
        <v>KEVIN</v>
      </c>
      <c r="I3" s="14" t="str">
        <f>elenchi!B8</f>
        <v>JASIR</v>
      </c>
      <c r="J3" s="15" t="str">
        <f>elenchi!B9</f>
        <v>DIEGO</v>
      </c>
      <c r="K3" s="15" t="str">
        <f>elenchi!B10</f>
        <v>SARA</v>
      </c>
      <c r="L3" s="12" t="str">
        <f>elenchi!B11</f>
        <v>SANTO</v>
      </c>
      <c r="M3" s="12" t="str">
        <f>elenchi!B12</f>
        <v>MASSI</v>
      </c>
      <c r="N3" s="12" t="str">
        <f>elenchi!B13</f>
        <v/>
      </c>
    </row>
    <row r="4">
      <c r="A4" s="16" t="s">
        <v>3</v>
      </c>
      <c r="B4" s="146"/>
      <c r="C4" s="180"/>
      <c r="D4" s="27"/>
      <c r="E4" s="27"/>
      <c r="F4" s="48"/>
      <c r="G4" s="146"/>
      <c r="H4" s="24"/>
      <c r="I4" s="25"/>
      <c r="J4" s="24"/>
      <c r="K4" s="181"/>
      <c r="L4" s="181"/>
      <c r="M4" s="181"/>
      <c r="N4" s="181"/>
    </row>
    <row r="5">
      <c r="A5" s="28" t="s">
        <v>4</v>
      </c>
      <c r="B5" s="146"/>
      <c r="C5" s="180"/>
      <c r="D5" s="27"/>
      <c r="E5" s="27"/>
      <c r="F5" s="48"/>
      <c r="G5" s="146"/>
      <c r="H5" s="24"/>
      <c r="I5" s="25"/>
      <c r="J5" s="24"/>
      <c r="K5" s="181"/>
      <c r="L5" s="181"/>
      <c r="M5" s="181"/>
      <c r="N5" s="181"/>
    </row>
    <row r="6">
      <c r="A6" s="28" t="s">
        <v>5</v>
      </c>
      <c r="B6" s="146"/>
      <c r="C6" s="180"/>
      <c r="D6" s="27"/>
      <c r="E6" s="27"/>
      <c r="F6" s="48"/>
      <c r="G6" s="146"/>
      <c r="H6" s="24"/>
      <c r="I6" s="25"/>
      <c r="J6" s="24"/>
      <c r="K6" s="48"/>
      <c r="L6" s="38"/>
      <c r="M6" s="181"/>
      <c r="N6" s="181"/>
    </row>
    <row r="7">
      <c r="A7" s="39">
        <v>40475.354166666664</v>
      </c>
      <c r="B7" s="146"/>
      <c r="C7" s="180"/>
      <c r="D7" s="27"/>
      <c r="E7" s="27"/>
      <c r="F7" s="24"/>
      <c r="G7" s="146"/>
      <c r="H7" s="24"/>
      <c r="I7" s="25"/>
      <c r="J7" s="24"/>
      <c r="K7" s="48"/>
      <c r="L7" s="77"/>
      <c r="M7" s="181"/>
      <c r="N7" s="181"/>
    </row>
    <row r="8">
      <c r="A8" s="49">
        <v>40475.375</v>
      </c>
      <c r="B8" s="184" t="s">
        <v>21</v>
      </c>
      <c r="C8" s="183"/>
      <c r="D8" s="184" t="s">
        <v>7</v>
      </c>
      <c r="E8" s="182" t="s">
        <v>11</v>
      </c>
      <c r="F8" s="185"/>
      <c r="G8" s="43" t="s">
        <v>6</v>
      </c>
      <c r="H8" s="184" t="s">
        <v>21</v>
      </c>
      <c r="I8" s="67" t="s">
        <v>11</v>
      </c>
      <c r="J8" s="241" t="s">
        <v>7</v>
      </c>
      <c r="K8" s="76"/>
      <c r="L8" s="77"/>
      <c r="M8" s="181"/>
      <c r="N8" s="186"/>
    </row>
    <row r="9">
      <c r="A9" s="55">
        <v>40475.395833333336</v>
      </c>
      <c r="B9" s="37" t="s">
        <v>21</v>
      </c>
      <c r="C9" s="183"/>
      <c r="D9" s="37" t="s">
        <v>7</v>
      </c>
      <c r="E9" s="185" t="s">
        <v>11</v>
      </c>
      <c r="F9" s="185"/>
      <c r="G9" s="40" t="s">
        <v>6</v>
      </c>
      <c r="H9" s="37" t="s">
        <v>21</v>
      </c>
      <c r="I9" s="67" t="s">
        <v>11</v>
      </c>
      <c r="J9" s="242" t="s">
        <v>7</v>
      </c>
      <c r="K9" s="76"/>
      <c r="L9" s="77"/>
      <c r="M9" s="191"/>
      <c r="N9" s="189"/>
    </row>
    <row r="10">
      <c r="A10" s="55">
        <v>40475.416666666664</v>
      </c>
      <c r="B10" s="37" t="s">
        <v>21</v>
      </c>
      <c r="C10" s="183"/>
      <c r="D10" s="37" t="s">
        <v>7</v>
      </c>
      <c r="E10" s="185" t="s">
        <v>11</v>
      </c>
      <c r="F10" s="185"/>
      <c r="G10" s="40" t="s">
        <v>6</v>
      </c>
      <c r="H10" s="37" t="s">
        <v>21</v>
      </c>
      <c r="I10" s="67" t="s">
        <v>11</v>
      </c>
      <c r="J10" s="242" t="s">
        <v>7</v>
      </c>
      <c r="K10" s="76"/>
      <c r="L10" s="77"/>
      <c r="M10" s="191"/>
      <c r="N10" s="189"/>
    </row>
    <row r="11">
      <c r="A11" s="49">
        <v>40475.4375</v>
      </c>
      <c r="B11" s="37" t="s">
        <v>21</v>
      </c>
      <c r="C11" s="183"/>
      <c r="D11" s="37" t="s">
        <v>7</v>
      </c>
      <c r="E11" s="185" t="s">
        <v>11</v>
      </c>
      <c r="F11" s="185"/>
      <c r="G11" s="40" t="s">
        <v>6</v>
      </c>
      <c r="H11" s="37" t="s">
        <v>21</v>
      </c>
      <c r="I11" s="67" t="s">
        <v>11</v>
      </c>
      <c r="J11" s="242" t="s">
        <v>7</v>
      </c>
      <c r="K11" s="76"/>
      <c r="L11" s="77"/>
      <c r="M11" s="191"/>
      <c r="N11" s="189"/>
    </row>
    <row r="12">
      <c r="A12" s="49">
        <v>40475.458333333336</v>
      </c>
      <c r="B12" s="37" t="s">
        <v>21</v>
      </c>
      <c r="C12" s="183"/>
      <c r="D12" s="37" t="s">
        <v>7</v>
      </c>
      <c r="E12" s="185" t="s">
        <v>11</v>
      </c>
      <c r="F12" s="185"/>
      <c r="G12" s="40" t="s">
        <v>6</v>
      </c>
      <c r="H12" s="37" t="s">
        <v>21</v>
      </c>
      <c r="I12" s="67" t="s">
        <v>11</v>
      </c>
      <c r="J12" s="242" t="s">
        <v>7</v>
      </c>
      <c r="K12" s="76"/>
      <c r="L12" s="77"/>
      <c r="M12" s="191"/>
      <c r="N12" s="189"/>
    </row>
    <row r="13">
      <c r="A13" s="55">
        <v>40475.479166666664</v>
      </c>
      <c r="B13" s="37" t="s">
        <v>21</v>
      </c>
      <c r="C13" s="183"/>
      <c r="D13" s="37" t="s">
        <v>7</v>
      </c>
      <c r="E13" s="183" t="s">
        <v>11</v>
      </c>
      <c r="F13" s="183"/>
      <c r="G13" s="50" t="s">
        <v>6</v>
      </c>
      <c r="H13" s="37" t="s">
        <v>21</v>
      </c>
      <c r="I13" s="67" t="s">
        <v>11</v>
      </c>
      <c r="J13" s="242" t="s">
        <v>7</v>
      </c>
      <c r="K13" s="48"/>
      <c r="L13" s="77"/>
      <c r="M13" s="191"/>
      <c r="N13" s="189"/>
    </row>
    <row r="14">
      <c r="A14" s="55">
        <v>40475.5</v>
      </c>
      <c r="B14" s="37" t="s">
        <v>21</v>
      </c>
      <c r="C14" s="183"/>
      <c r="D14" s="37" t="s">
        <v>7</v>
      </c>
      <c r="E14" s="185" t="s">
        <v>11</v>
      </c>
      <c r="F14" s="185"/>
      <c r="G14" s="50" t="s">
        <v>6</v>
      </c>
      <c r="H14" s="37" t="s">
        <v>21</v>
      </c>
      <c r="I14" s="67" t="s">
        <v>11</v>
      </c>
      <c r="J14" s="242" t="s">
        <v>7</v>
      </c>
      <c r="K14" s="48"/>
      <c r="L14" s="77"/>
      <c r="M14" s="191"/>
      <c r="N14" s="189"/>
    </row>
    <row r="15">
      <c r="A15" s="49">
        <v>40475.520833333336</v>
      </c>
      <c r="B15" s="77" t="s">
        <v>21</v>
      </c>
      <c r="C15" s="183"/>
      <c r="D15" s="77" t="s">
        <v>7</v>
      </c>
      <c r="E15" s="183" t="s">
        <v>10</v>
      </c>
      <c r="F15" s="183"/>
      <c r="G15" s="50" t="s">
        <v>6</v>
      </c>
      <c r="H15" s="77" t="s">
        <v>21</v>
      </c>
      <c r="I15" s="67" t="s">
        <v>11</v>
      </c>
      <c r="J15" s="51" t="s">
        <v>7</v>
      </c>
      <c r="K15" s="76"/>
      <c r="L15" s="187"/>
      <c r="M15" s="191"/>
      <c r="N15" s="77"/>
    </row>
    <row r="16">
      <c r="A16" s="49">
        <v>40475.541666666664</v>
      </c>
      <c r="B16" s="37" t="s">
        <v>21</v>
      </c>
      <c r="C16" s="183"/>
      <c r="D16" s="37" t="s">
        <v>10</v>
      </c>
      <c r="E16" s="50" t="s">
        <v>7</v>
      </c>
      <c r="F16" s="50"/>
      <c r="G16" s="40" t="s">
        <v>6</v>
      </c>
      <c r="H16" s="37" t="s">
        <v>21</v>
      </c>
      <c r="I16" s="37" t="s">
        <v>10</v>
      </c>
      <c r="J16" s="51" t="s">
        <v>7</v>
      </c>
      <c r="K16" s="76"/>
      <c r="L16" s="190"/>
      <c r="M16" s="191"/>
      <c r="N16" s="37"/>
    </row>
    <row r="17">
      <c r="A17" s="55">
        <v>40475.5625</v>
      </c>
      <c r="B17" s="184" t="s">
        <v>21</v>
      </c>
      <c r="C17" s="183"/>
      <c r="D17" s="37" t="s">
        <v>6</v>
      </c>
      <c r="E17" s="40" t="s">
        <v>7</v>
      </c>
      <c r="F17" s="50"/>
      <c r="G17" s="40" t="s">
        <v>10</v>
      </c>
      <c r="H17" s="184" t="s">
        <v>21</v>
      </c>
      <c r="I17" s="37" t="s">
        <v>7</v>
      </c>
      <c r="J17" s="67" t="s">
        <v>10</v>
      </c>
      <c r="K17" s="76"/>
      <c r="L17" s="190"/>
      <c r="M17" s="191"/>
      <c r="N17" s="37"/>
    </row>
    <row r="18">
      <c r="A18" s="55">
        <v>40475.583333333336</v>
      </c>
      <c r="B18" s="189" t="s">
        <v>21</v>
      </c>
      <c r="C18" s="183"/>
      <c r="D18" s="37" t="s">
        <v>6</v>
      </c>
      <c r="E18" s="40" t="s">
        <v>7</v>
      </c>
      <c r="F18" s="40"/>
      <c r="G18" s="67" t="s">
        <v>11</v>
      </c>
      <c r="H18" s="189" t="s">
        <v>21</v>
      </c>
      <c r="I18" s="37" t="s">
        <v>7</v>
      </c>
      <c r="J18" s="67" t="s">
        <v>11</v>
      </c>
      <c r="K18" s="76"/>
      <c r="L18" s="190"/>
      <c r="M18" s="191"/>
      <c r="N18" s="37"/>
    </row>
    <row r="19">
      <c r="A19" s="49">
        <v>40475.604166666664</v>
      </c>
      <c r="B19" s="189" t="s">
        <v>21</v>
      </c>
      <c r="C19" s="183"/>
      <c r="D19" s="37" t="s">
        <v>6</v>
      </c>
      <c r="E19" s="40" t="s">
        <v>7</v>
      </c>
      <c r="F19" s="40"/>
      <c r="G19" s="67" t="s">
        <v>11</v>
      </c>
      <c r="H19" s="189" t="s">
        <v>21</v>
      </c>
      <c r="I19" s="37" t="s">
        <v>7</v>
      </c>
      <c r="J19" s="67" t="s">
        <v>11</v>
      </c>
      <c r="K19" s="76"/>
      <c r="L19" s="190"/>
      <c r="M19" s="181"/>
      <c r="N19" s="37"/>
    </row>
    <row r="20">
      <c r="A20" s="49">
        <v>40475.625</v>
      </c>
      <c r="B20" s="189" t="s">
        <v>21</v>
      </c>
      <c r="C20" s="183"/>
      <c r="D20" s="37" t="s">
        <v>6</v>
      </c>
      <c r="E20" s="40" t="s">
        <v>7</v>
      </c>
      <c r="F20" s="40"/>
      <c r="G20" s="67" t="s">
        <v>11</v>
      </c>
      <c r="H20" s="189" t="s">
        <v>21</v>
      </c>
      <c r="I20" s="37" t="s">
        <v>7</v>
      </c>
      <c r="J20" s="67" t="s">
        <v>11</v>
      </c>
      <c r="K20" s="48"/>
      <c r="L20" s="190"/>
      <c r="M20" s="181"/>
      <c r="N20" s="37"/>
    </row>
    <row r="21">
      <c r="A21" s="55">
        <v>40475.645833333336</v>
      </c>
      <c r="B21" s="189" t="s">
        <v>21</v>
      </c>
      <c r="C21" s="183"/>
      <c r="D21" s="37" t="s">
        <v>6</v>
      </c>
      <c r="E21" s="40" t="s">
        <v>7</v>
      </c>
      <c r="F21" s="50"/>
      <c r="G21" s="67" t="s">
        <v>11</v>
      </c>
      <c r="H21" s="189" t="s">
        <v>21</v>
      </c>
      <c r="I21" s="37" t="s">
        <v>7</v>
      </c>
      <c r="J21" s="67" t="s">
        <v>11</v>
      </c>
      <c r="K21" s="48"/>
      <c r="L21" s="192"/>
      <c r="M21" s="181"/>
      <c r="N21" s="37"/>
    </row>
    <row r="22">
      <c r="A22" s="55">
        <v>40475.666666666664</v>
      </c>
      <c r="B22" s="189" t="s">
        <v>21</v>
      </c>
      <c r="C22" s="183"/>
      <c r="D22" s="77" t="s">
        <v>6</v>
      </c>
      <c r="E22" s="40" t="s">
        <v>7</v>
      </c>
      <c r="F22" s="50"/>
      <c r="G22" s="67" t="s">
        <v>11</v>
      </c>
      <c r="H22" s="189" t="s">
        <v>21</v>
      </c>
      <c r="I22" s="37" t="s">
        <v>7</v>
      </c>
      <c r="J22" s="67" t="s">
        <v>11</v>
      </c>
      <c r="K22" s="76"/>
      <c r="L22" s="192"/>
      <c r="M22" s="181"/>
      <c r="N22" s="37"/>
    </row>
    <row r="23">
      <c r="A23" s="49">
        <v>40475.6875</v>
      </c>
      <c r="B23" s="189" t="s">
        <v>21</v>
      </c>
      <c r="C23" s="183"/>
      <c r="D23" s="77" t="s">
        <v>6</v>
      </c>
      <c r="E23" s="50" t="s">
        <v>7</v>
      </c>
      <c r="F23" s="50"/>
      <c r="G23" s="67" t="s">
        <v>11</v>
      </c>
      <c r="H23" s="189" t="s">
        <v>21</v>
      </c>
      <c r="I23" s="37" t="s">
        <v>7</v>
      </c>
      <c r="J23" s="67" t="s">
        <v>11</v>
      </c>
      <c r="K23" s="76"/>
      <c r="L23" s="192"/>
      <c r="M23" s="181"/>
      <c r="N23" s="37"/>
    </row>
    <row r="24">
      <c r="A24" s="49">
        <v>40475.708333333336</v>
      </c>
      <c r="B24" s="196" t="s">
        <v>21</v>
      </c>
      <c r="C24" s="183"/>
      <c r="D24" s="77" t="s">
        <v>6</v>
      </c>
      <c r="E24" s="50" t="s">
        <v>7</v>
      </c>
      <c r="F24" s="50"/>
      <c r="G24" s="67" t="s">
        <v>11</v>
      </c>
      <c r="H24" s="196" t="s">
        <v>21</v>
      </c>
      <c r="I24" s="37" t="s">
        <v>7</v>
      </c>
      <c r="J24" s="67" t="s">
        <v>11</v>
      </c>
      <c r="K24" s="76"/>
      <c r="L24" s="192"/>
      <c r="M24" s="181"/>
      <c r="N24" s="37"/>
    </row>
    <row r="25">
      <c r="A25" s="55">
        <v>40475.729166666664</v>
      </c>
      <c r="B25" s="243"/>
      <c r="C25" s="197"/>
      <c r="D25" s="184"/>
      <c r="E25" s="46"/>
      <c r="F25" s="189"/>
      <c r="G25" s="170"/>
      <c r="H25" s="17"/>
      <c r="I25" s="37"/>
      <c r="J25" s="26"/>
      <c r="K25" s="76"/>
      <c r="L25" s="76"/>
      <c r="M25" s="181"/>
      <c r="N25" s="181"/>
    </row>
    <row r="26">
      <c r="A26" s="55">
        <v>40475.75</v>
      </c>
      <c r="B26" s="146"/>
      <c r="C26" s="23"/>
      <c r="D26" s="24"/>
      <c r="E26" s="184"/>
      <c r="F26" s="27"/>
      <c r="G26" s="158"/>
      <c r="H26" s="27"/>
      <c r="I26" s="24"/>
      <c r="J26" s="24"/>
      <c r="K26" s="76"/>
      <c r="L26" s="77"/>
      <c r="M26" s="181"/>
      <c r="N26" s="181"/>
    </row>
    <row r="27">
      <c r="A27" s="49">
        <v>40475.770833333336</v>
      </c>
      <c r="B27" s="146"/>
      <c r="C27" s="180"/>
      <c r="D27" s="24"/>
      <c r="E27" s="198"/>
      <c r="F27" s="27"/>
      <c r="G27" s="150"/>
      <c r="H27" s="24"/>
      <c r="I27" s="25"/>
      <c r="J27" s="24"/>
      <c r="K27" s="48"/>
      <c r="L27" s="77"/>
      <c r="M27" s="181"/>
      <c r="N27" s="181"/>
    </row>
    <row r="28">
      <c r="A28" s="49">
        <v>40475.791666666664</v>
      </c>
      <c r="B28" s="149"/>
      <c r="C28" s="180"/>
      <c r="D28" s="17"/>
      <c r="E28" s="199"/>
      <c r="F28" s="200"/>
      <c r="G28" s="148"/>
      <c r="H28" s="17"/>
      <c r="I28" s="24"/>
      <c r="J28" s="17"/>
      <c r="K28" s="48"/>
      <c r="L28" s="38"/>
      <c r="M28" s="181"/>
      <c r="N28" s="181"/>
    </row>
    <row r="29">
      <c r="A29" s="55">
        <v>40475.8125</v>
      </c>
      <c r="B29" s="146"/>
      <c r="C29" s="180"/>
      <c r="D29" s="27"/>
      <c r="E29" s="198"/>
      <c r="F29" s="48"/>
      <c r="G29" s="150"/>
      <c r="H29" s="24"/>
      <c r="I29" s="25"/>
      <c r="J29" s="24"/>
      <c r="K29" s="76"/>
      <c r="L29" s="77"/>
      <c r="M29" s="181"/>
      <c r="N29" s="180"/>
    </row>
    <row r="30">
      <c r="A30" s="55">
        <v>40475.833333333336</v>
      </c>
      <c r="B30" s="146"/>
      <c r="C30" s="180"/>
      <c r="D30" s="27"/>
      <c r="E30" s="27"/>
      <c r="F30" s="48"/>
      <c r="G30" s="146"/>
      <c r="H30" s="24"/>
      <c r="I30" s="25"/>
      <c r="J30" s="27"/>
      <c r="K30" s="76"/>
      <c r="L30" s="77"/>
      <c r="M30" s="181"/>
      <c r="N30" s="180"/>
    </row>
    <row r="31">
      <c r="A31" s="49">
        <v>40475.854166666664</v>
      </c>
      <c r="B31" s="146"/>
      <c r="C31" s="180"/>
      <c r="D31" s="27"/>
      <c r="E31" s="27"/>
      <c r="F31" s="48"/>
      <c r="G31" s="146"/>
      <c r="H31" s="24"/>
      <c r="I31" s="25"/>
      <c r="J31" s="27"/>
      <c r="K31" s="76"/>
      <c r="L31" s="77"/>
      <c r="M31" s="181"/>
      <c r="N31" s="201"/>
    </row>
    <row r="32">
      <c r="A32" s="49">
        <v>40475.875</v>
      </c>
      <c r="B32" s="146"/>
      <c r="C32" s="180"/>
      <c r="D32" s="27"/>
      <c r="E32" s="27"/>
      <c r="F32" s="48"/>
      <c r="G32" s="146"/>
      <c r="H32" s="24"/>
      <c r="I32" s="25"/>
      <c r="J32" s="27"/>
      <c r="K32" s="76"/>
      <c r="L32" s="77"/>
      <c r="M32" s="181"/>
      <c r="N32" s="181"/>
    </row>
    <row r="33">
      <c r="A33" s="55">
        <v>40475.895833333336</v>
      </c>
      <c r="B33" s="146"/>
      <c r="C33" s="180"/>
      <c r="D33" s="27"/>
      <c r="E33" s="27"/>
      <c r="F33" s="48"/>
      <c r="G33" s="146"/>
      <c r="H33" s="24"/>
      <c r="I33" s="25"/>
      <c r="J33" s="27"/>
      <c r="K33" s="76"/>
      <c r="L33" s="77"/>
      <c r="M33" s="202"/>
      <c r="N33" s="202"/>
    </row>
    <row r="34">
      <c r="A34" s="55">
        <v>40475.916666666664</v>
      </c>
      <c r="B34" s="146"/>
      <c r="C34" s="180"/>
      <c r="D34" s="27"/>
      <c r="E34" s="27"/>
      <c r="F34" s="48"/>
      <c r="G34" s="146"/>
      <c r="H34" s="24"/>
      <c r="I34" s="25"/>
      <c r="J34" s="27"/>
      <c r="K34" s="76"/>
      <c r="L34" s="77"/>
      <c r="M34" s="202"/>
      <c r="N34" s="202"/>
    </row>
    <row r="35">
      <c r="A35" s="49">
        <v>40475.9375</v>
      </c>
      <c r="B35" s="146"/>
      <c r="C35" s="180"/>
      <c r="D35" s="27"/>
      <c r="E35" s="27"/>
      <c r="F35" s="48"/>
      <c r="G35" s="146"/>
      <c r="H35" s="24"/>
      <c r="I35" s="25"/>
      <c r="J35" s="27"/>
      <c r="K35" s="76"/>
      <c r="L35" s="77"/>
      <c r="M35" s="202"/>
      <c r="N35" s="202"/>
    </row>
    <row r="36">
      <c r="A36" s="49">
        <v>40475.958333333336</v>
      </c>
      <c r="B36" s="149"/>
      <c r="C36" s="180"/>
      <c r="D36" s="79"/>
      <c r="E36" s="79"/>
      <c r="F36" s="200"/>
      <c r="G36" s="149"/>
      <c r="H36" s="79"/>
      <c r="I36" s="203"/>
      <c r="J36" s="79"/>
      <c r="K36" s="76"/>
      <c r="L36" s="77"/>
      <c r="M36" s="202"/>
      <c r="N36" s="202"/>
    </row>
    <row r="37">
      <c r="A37" s="55">
        <v>40475.979166666664</v>
      </c>
      <c r="B37" s="146"/>
      <c r="C37" s="180"/>
      <c r="D37" s="27"/>
      <c r="E37" s="27"/>
      <c r="F37" s="48"/>
      <c r="G37" s="146"/>
      <c r="H37" s="24"/>
      <c r="I37" s="25"/>
      <c r="J37" s="24"/>
      <c r="K37" s="76"/>
      <c r="L37" s="77"/>
      <c r="M37" s="181"/>
      <c r="N37" s="181"/>
    </row>
    <row r="38">
      <c r="A38" s="85" t="s">
        <v>12</v>
      </c>
      <c r="B38" s="149"/>
      <c r="C38" s="180"/>
      <c r="D38" s="79"/>
      <c r="E38" s="79"/>
      <c r="F38" s="17"/>
      <c r="G38" s="149"/>
      <c r="H38" s="17"/>
      <c r="I38" s="25"/>
      <c r="J38" s="17"/>
      <c r="K38" s="25"/>
      <c r="L38" s="77"/>
      <c r="M38" s="181"/>
      <c r="N38" s="181"/>
    </row>
    <row r="39">
      <c r="A39" s="89" t="s">
        <v>13</v>
      </c>
      <c r="B39" s="89">
        <f t="shared" ref="B39:N39" si="1">CONCATENATE(COUNTIF(B4:B38,"MAGAZZINI")+COUNTIF(B4:B38,"PRIMO")+COUNTIF(B4:B38,"RECEPTION")+COUNTIF(B4:B38,"SAGGI")+COUNTIF(B4:B38,"SECONDO")+COUNTIF(B4:B38,"SMART W")+COUNTIF(B4:B38,"STUDIO 1 e 2")+COUNTIF(B4:B38,"MANUTENZ.")+COUNTIF(B4:B38,"UFFICIO")+COUNTIF(B4:B38,"CAMPUS")+COUNTIF(B4:B38,"TEATRO")+COUNTIF(B4:B38,"AMM.ZIONE")+COUNTIF(B4:B38,"FORMAZ-1p")+COUNTIF(B4:B38,"FORMAZ-2p")+COUNTIF(B4:B38,"FORMAZ-rec")+COUNTIF(B4:B38,"WORKSHOP")+COUNTIF(B4:B38,"EVENTO EST."))/2</f>
        <v>0</v>
      </c>
      <c r="C39" s="89">
        <f t="shared" si="1"/>
        <v>0</v>
      </c>
      <c r="D39" s="89">
        <f t="shared" si="1"/>
        <v>8</v>
      </c>
      <c r="E39" s="89">
        <f t="shared" si="1"/>
        <v>8</v>
      </c>
      <c r="F39" s="89">
        <f t="shared" si="1"/>
        <v>0</v>
      </c>
      <c r="G39" s="89">
        <f t="shared" si="1"/>
        <v>8</v>
      </c>
      <c r="H39" s="89">
        <f t="shared" si="1"/>
        <v>0</v>
      </c>
      <c r="I39" s="89">
        <f t="shared" si="1"/>
        <v>8</v>
      </c>
      <c r="J39" s="89">
        <f t="shared" si="1"/>
        <v>8</v>
      </c>
      <c r="K39" s="89">
        <f t="shared" si="1"/>
        <v>0</v>
      </c>
      <c r="L39" s="89">
        <f t="shared" si="1"/>
        <v>0</v>
      </c>
      <c r="M39" s="89">
        <f t="shared" si="1"/>
        <v>0</v>
      </c>
      <c r="N39" s="89">
        <f t="shared" si="1"/>
        <v>0</v>
      </c>
    </row>
  </sheetData>
  <mergeCells count="4">
    <mergeCell ref="B1:C2"/>
    <mergeCell ref="D1:E2"/>
    <mergeCell ref="F1:F2"/>
    <mergeCell ref="G1:N2"/>
  </mergeCells>
  <conditionalFormatting sqref="B4:N38">
    <cfRule type="containsText" dxfId="1" priority="1" operator="containsText" text="MALATTIA">
      <formula>NOT(ISERROR(SEARCH(("MALATTIA"),(B4))))</formula>
    </cfRule>
  </conditionalFormatting>
  <conditionalFormatting sqref="B4:N38">
    <cfRule type="containsText" dxfId="2" priority="2" operator="containsText" text="FORMAZ">
      <formula>NOT(ISERROR(SEARCH(("FORMAZ"),(B4))))</formula>
    </cfRule>
  </conditionalFormatting>
  <conditionalFormatting sqref="B4:N38">
    <cfRule type="containsText" dxfId="3" priority="3" operator="containsText" text="AMM.ZIONE">
      <formula>NOT(ISERROR(SEARCH(("AMM.ZIONE"),(B4))))</formula>
    </cfRule>
  </conditionalFormatting>
  <conditionalFormatting sqref="B4:N38">
    <cfRule type="containsText" dxfId="4" priority="4" operator="containsText" text="PAUSA">
      <formula>NOT(ISERROR(SEARCH(("PAUSA"),(B4))))</formula>
    </cfRule>
  </conditionalFormatting>
  <conditionalFormatting sqref="B4:N38">
    <cfRule type="containsText" dxfId="0" priority="5" operator="containsText" text="PERMESSO">
      <formula>NOT(ISERROR(SEARCH(("PERMESSO"),(B4))))</formula>
    </cfRule>
  </conditionalFormatting>
  <conditionalFormatting sqref="B4:N38">
    <cfRule type="containsText" dxfId="6" priority="6" operator="containsText" text="UFFICIO">
      <formula>NOT(ISERROR(SEARCH(("UFFICIO"),(B4))))</formula>
    </cfRule>
  </conditionalFormatting>
  <conditionalFormatting sqref="B4:N38">
    <cfRule type="containsText" dxfId="7" priority="7" operator="containsText" text="RIPOSO">
      <formula>NOT(ISERROR(SEARCH(("RIPOSO"),(B4))))</formula>
    </cfRule>
  </conditionalFormatting>
  <dataValidations>
    <dataValidation type="list" allowBlank="1" showInputMessage="1" showErrorMessage="1" prompt="Fai clic e immetti un valore da intervallo elenchi!A1:A30" sqref="B4:N38">
      <formula1>elenchi!$A$1:$A$30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900FF"/>
    <outlinePr summaryBelow="0" summaryRight="0"/>
  </sheetPr>
  <sheetViews>
    <sheetView workbookViewId="0">
      <pane xSplit="1.0" ySplit="3.0" topLeftCell="B4" activePane="bottomRight" state="frozen"/>
      <selection activeCell="B1" sqref="B1" pane="topRight"/>
      <selection activeCell="A4" sqref="A4" pane="bottomLeft"/>
      <selection activeCell="B4" sqref="B4" pane="bottomRight"/>
    </sheetView>
  </sheetViews>
  <sheetFormatPr customHeight="1" defaultColWidth="14.43" defaultRowHeight="15.0"/>
  <cols>
    <col customWidth="1" min="1" max="1" width="10.14"/>
    <col customWidth="1" min="2" max="14" width="18.71"/>
  </cols>
  <sheetData>
    <row r="1">
      <c r="A1" s="234"/>
      <c r="B1" s="222" t="s">
        <v>19</v>
      </c>
      <c r="C1" s="213"/>
      <c r="D1" s="235" t="str">
        <f>elenchi!C2</f>
        <v>  SETTIMANA - B</v>
      </c>
      <c r="F1" s="215" t="s">
        <v>20</v>
      </c>
      <c r="G1" s="216" t="str">
        <f>elenchi!D2</f>
        <v>LUNEDI 23 A DOMENICA 29 MARZO 2026</v>
      </c>
      <c r="N1" s="213"/>
    </row>
    <row r="2">
      <c r="A2" s="234"/>
      <c r="B2" s="8"/>
      <c r="C2" s="9"/>
      <c r="D2" s="10"/>
      <c r="E2" s="10"/>
      <c r="F2" s="10"/>
      <c r="G2" s="10"/>
      <c r="H2" s="10"/>
      <c r="I2" s="10"/>
      <c r="J2" s="10"/>
      <c r="K2" s="10"/>
      <c r="L2" s="10"/>
      <c r="M2" s="10"/>
      <c r="N2" s="9"/>
    </row>
    <row r="3">
      <c r="A3" s="11" t="s">
        <v>2</v>
      </c>
      <c r="B3" s="11" t="str">
        <f>elenchi!B1</f>
        <v>ALEXANDRA</v>
      </c>
      <c r="C3" s="11" t="str">
        <f>elenchi!B2</f>
        <v>GIUDITTA</v>
      </c>
      <c r="D3" s="11" t="str">
        <f>elenchi!B3</f>
        <v>ESTEFANY</v>
      </c>
      <c r="E3" s="12" t="str">
        <f>elenchi!B4</f>
        <v>NURA</v>
      </c>
      <c r="F3" s="12" t="str">
        <f>elenchi!B5</f>
        <v/>
      </c>
      <c r="G3" s="12" t="str">
        <f>elenchi!B6</f>
        <v>JOEL</v>
      </c>
      <c r="H3" s="13" t="str">
        <f>elenchi!B7</f>
        <v>KEVIN</v>
      </c>
      <c r="I3" s="14" t="str">
        <f>elenchi!B8</f>
        <v>JASIR</v>
      </c>
      <c r="J3" s="15" t="str">
        <f>elenchi!B9</f>
        <v>DIEGO</v>
      </c>
      <c r="K3" s="15" t="str">
        <f>elenchi!B10</f>
        <v>SARA</v>
      </c>
      <c r="L3" s="12" t="str">
        <f>elenchi!B11</f>
        <v>SANTO</v>
      </c>
      <c r="M3" s="12" t="str">
        <f>elenchi!B12</f>
        <v>MASSI</v>
      </c>
      <c r="N3" s="12" t="str">
        <f>elenchi!B13</f>
        <v/>
      </c>
    </row>
    <row r="4">
      <c r="A4" s="16" t="s">
        <v>3</v>
      </c>
      <c r="B4" s="47"/>
      <c r="C4" s="244"/>
      <c r="D4" s="244"/>
      <c r="E4" s="48"/>
      <c r="F4" s="233"/>
      <c r="G4" s="47"/>
      <c r="H4" s="228"/>
      <c r="I4" s="233"/>
      <c r="J4" s="25"/>
      <c r="K4" s="181"/>
      <c r="L4" s="181"/>
      <c r="M4" s="245"/>
      <c r="N4" s="245"/>
    </row>
    <row r="5">
      <c r="A5" s="28" t="s">
        <v>4</v>
      </c>
      <c r="B5" s="47"/>
      <c r="C5" s="244"/>
      <c r="D5" s="244"/>
      <c r="E5" s="48"/>
      <c r="F5" s="233"/>
      <c r="G5" s="47"/>
      <c r="H5" s="228"/>
      <c r="I5" s="233"/>
      <c r="J5" s="25"/>
      <c r="K5" s="181"/>
      <c r="L5" s="181"/>
      <c r="M5" s="245"/>
      <c r="N5" s="245"/>
    </row>
    <row r="6">
      <c r="A6" s="28" t="s">
        <v>5</v>
      </c>
      <c r="B6" s="47"/>
      <c r="C6" s="244"/>
      <c r="D6" s="244"/>
      <c r="E6" s="48"/>
      <c r="F6" s="137"/>
      <c r="G6" s="47"/>
      <c r="H6" s="228"/>
      <c r="I6" s="233"/>
      <c r="J6" s="25"/>
      <c r="K6" s="48"/>
      <c r="L6" s="38"/>
      <c r="M6" s="245"/>
      <c r="N6" s="245"/>
    </row>
    <row r="7">
      <c r="A7" s="39">
        <v>40475.354166666664</v>
      </c>
      <c r="B7" s="27"/>
      <c r="C7" s="244"/>
      <c r="D7" s="244"/>
      <c r="E7" s="24"/>
      <c r="F7" s="233"/>
      <c r="G7" s="27"/>
      <c r="H7" s="228"/>
      <c r="I7" s="228"/>
      <c r="J7" s="25"/>
      <c r="K7" s="48"/>
      <c r="L7" s="77"/>
      <c r="M7" s="231"/>
      <c r="N7" s="245"/>
    </row>
    <row r="8">
      <c r="A8" s="49">
        <v>40475.375</v>
      </c>
      <c r="B8" s="121"/>
      <c r="C8" s="205"/>
      <c r="D8" s="205"/>
      <c r="E8" s="185"/>
      <c r="F8" s="197"/>
      <c r="G8" s="43"/>
      <c r="H8" s="228"/>
      <c r="I8" s="46"/>
      <c r="J8" s="187"/>
      <c r="K8" s="76"/>
      <c r="L8" s="77"/>
      <c r="M8" s="231"/>
      <c r="N8" s="245"/>
    </row>
    <row r="9">
      <c r="A9" s="55">
        <v>40475.395833333336</v>
      </c>
      <c r="B9" s="40"/>
      <c r="C9" s="196"/>
      <c r="D9" s="196"/>
      <c r="E9" s="67"/>
      <c r="F9" s="139"/>
      <c r="G9" s="40"/>
      <c r="H9" s="225"/>
      <c r="I9" s="184"/>
      <c r="J9" s="190"/>
      <c r="K9" s="76"/>
      <c r="L9" s="77"/>
      <c r="M9" s="231"/>
      <c r="N9" s="245"/>
    </row>
    <row r="10">
      <c r="A10" s="55">
        <v>40475.416666666664</v>
      </c>
      <c r="B10" s="40"/>
      <c r="C10" s="196"/>
      <c r="D10" s="196"/>
      <c r="E10" s="67"/>
      <c r="F10" s="139"/>
      <c r="G10" s="40"/>
      <c r="H10" s="225"/>
      <c r="I10" s="189"/>
      <c r="J10" s="190"/>
      <c r="K10" s="76"/>
      <c r="L10" s="77"/>
      <c r="M10" s="231"/>
      <c r="N10" s="245"/>
    </row>
    <row r="11">
      <c r="A11" s="49">
        <v>40475.4375</v>
      </c>
      <c r="B11" s="40"/>
      <c r="C11" s="196"/>
      <c r="D11" s="196"/>
      <c r="E11" s="67"/>
      <c r="F11" s="139"/>
      <c r="G11" s="40"/>
      <c r="H11" s="225"/>
      <c r="I11" s="189"/>
      <c r="J11" s="190"/>
      <c r="K11" s="76"/>
      <c r="L11" s="77"/>
      <c r="M11" s="231"/>
      <c r="N11" s="245"/>
    </row>
    <row r="12">
      <c r="A12" s="49">
        <v>40475.458333333336</v>
      </c>
      <c r="B12" s="40"/>
      <c r="C12" s="196"/>
      <c r="D12" s="189"/>
      <c r="E12" s="67"/>
      <c r="F12" s="139"/>
      <c r="G12" s="40"/>
      <c r="H12" s="225"/>
      <c r="I12" s="189"/>
      <c r="J12" s="190"/>
      <c r="K12" s="76"/>
      <c r="L12" s="77"/>
      <c r="M12" s="231"/>
      <c r="N12" s="245"/>
    </row>
    <row r="13">
      <c r="A13" s="55">
        <v>40475.479166666664</v>
      </c>
      <c r="B13" s="50"/>
      <c r="C13" s="196"/>
      <c r="D13" s="189"/>
      <c r="E13" s="67"/>
      <c r="F13" s="139"/>
      <c r="G13" s="40"/>
      <c r="H13" s="226"/>
      <c r="I13" s="196"/>
      <c r="J13" s="246"/>
      <c r="K13" s="48"/>
      <c r="L13" s="77"/>
      <c r="M13" s="247"/>
      <c r="N13" s="245"/>
    </row>
    <row r="14">
      <c r="A14" s="55">
        <v>40475.5</v>
      </c>
      <c r="B14" s="40"/>
      <c r="C14" s="196"/>
      <c r="D14" s="189"/>
      <c r="E14" s="67"/>
      <c r="F14" s="139"/>
      <c r="G14" s="40"/>
      <c r="H14" s="225"/>
      <c r="I14" s="189"/>
      <c r="J14" s="192"/>
      <c r="K14" s="48"/>
      <c r="L14" s="77"/>
      <c r="M14" s="231"/>
      <c r="N14" s="245"/>
    </row>
    <row r="15">
      <c r="A15" s="49">
        <v>40475.520833333336</v>
      </c>
      <c r="B15" s="40"/>
      <c r="C15" s="196"/>
      <c r="D15" s="189"/>
      <c r="E15" s="67"/>
      <c r="F15" s="139"/>
      <c r="G15" s="122"/>
      <c r="H15" s="37"/>
      <c r="I15" s="37"/>
      <c r="J15" s="192"/>
      <c r="K15" s="76"/>
      <c r="L15" s="187"/>
      <c r="M15" s="231"/>
      <c r="N15" s="231"/>
    </row>
    <row r="16">
      <c r="A16" s="49">
        <v>40475.541666666664</v>
      </c>
      <c r="B16" s="40"/>
      <c r="C16" s="196"/>
      <c r="D16" s="189"/>
      <c r="E16" s="122"/>
      <c r="F16" s="139"/>
      <c r="G16" s="122"/>
      <c r="H16" s="37"/>
      <c r="I16" s="37"/>
      <c r="J16" s="35"/>
      <c r="K16" s="76"/>
      <c r="L16" s="190"/>
      <c r="M16" s="231"/>
      <c r="N16" s="231"/>
    </row>
    <row r="17">
      <c r="A17" s="55">
        <v>40475.5625</v>
      </c>
      <c r="B17" s="40"/>
      <c r="C17" s="77"/>
      <c r="D17" s="189"/>
      <c r="E17" s="122"/>
      <c r="F17" s="248"/>
      <c r="G17" s="40"/>
      <c r="H17" s="37"/>
      <c r="I17" s="37"/>
      <c r="J17" s="35"/>
      <c r="K17" s="76"/>
      <c r="L17" s="190"/>
      <c r="M17" s="231"/>
      <c r="N17" s="231"/>
    </row>
    <row r="18">
      <c r="A18" s="55">
        <v>40475.583333333336</v>
      </c>
      <c r="B18" s="185"/>
      <c r="C18" s="77"/>
      <c r="D18" s="189"/>
      <c r="E18" s="121"/>
      <c r="F18" s="248"/>
      <c r="G18" s="67"/>
      <c r="H18" s="37"/>
      <c r="I18" s="37"/>
      <c r="J18" s="35"/>
      <c r="K18" s="35"/>
      <c r="L18" s="190"/>
      <c r="M18" s="231"/>
      <c r="N18" s="231"/>
    </row>
    <row r="19">
      <c r="A19" s="49">
        <v>40475.604166666664</v>
      </c>
      <c r="B19" s="183"/>
      <c r="C19" s="77"/>
      <c r="D19" s="196"/>
      <c r="E19" s="122"/>
      <c r="F19" s="248"/>
      <c r="G19" s="67"/>
      <c r="H19" s="77"/>
      <c r="I19" s="77"/>
      <c r="J19" s="26"/>
      <c r="K19" s="35"/>
      <c r="L19" s="190"/>
      <c r="M19" s="247"/>
      <c r="N19" s="231"/>
    </row>
    <row r="20">
      <c r="A20" s="49">
        <v>40475.625</v>
      </c>
      <c r="B20" s="185"/>
      <c r="C20" s="77"/>
      <c r="D20" s="196"/>
      <c r="E20" s="122"/>
      <c r="F20" s="248"/>
      <c r="G20" s="67"/>
      <c r="H20" s="37"/>
      <c r="I20" s="189"/>
      <c r="J20" s="35"/>
      <c r="K20" s="24"/>
      <c r="L20" s="190"/>
      <c r="M20" s="231"/>
      <c r="N20" s="231"/>
    </row>
    <row r="21">
      <c r="A21" s="55">
        <v>40475.645833333336</v>
      </c>
      <c r="B21" s="185"/>
      <c r="C21" s="77"/>
      <c r="D21" s="196"/>
      <c r="E21" s="122"/>
      <c r="F21" s="248"/>
      <c r="G21" s="67"/>
      <c r="H21" s="37"/>
      <c r="I21" s="189"/>
      <c r="J21" s="35"/>
      <c r="K21" s="24"/>
      <c r="L21" s="192"/>
      <c r="M21" s="231"/>
      <c r="N21" s="231"/>
    </row>
    <row r="22">
      <c r="A22" s="55">
        <v>40475.666666666664</v>
      </c>
      <c r="B22" s="185"/>
      <c r="C22" s="77"/>
      <c r="D22" s="196"/>
      <c r="E22" s="122"/>
      <c r="F22" s="248"/>
      <c r="G22" s="67"/>
      <c r="H22" s="37"/>
      <c r="I22" s="189"/>
      <c r="J22" s="35"/>
      <c r="K22" s="35"/>
      <c r="L22" s="192"/>
      <c r="M22" s="231"/>
      <c r="N22" s="247"/>
    </row>
    <row r="23">
      <c r="A23" s="49">
        <v>40475.6875</v>
      </c>
      <c r="B23" s="185"/>
      <c r="C23" s="77"/>
      <c r="D23" s="196"/>
      <c r="E23" s="122"/>
      <c r="F23" s="248"/>
      <c r="G23" s="67"/>
      <c r="H23" s="37"/>
      <c r="I23" s="189"/>
      <c r="J23" s="35"/>
      <c r="K23" s="35"/>
      <c r="L23" s="192"/>
      <c r="M23" s="231"/>
      <c r="N23" s="247"/>
    </row>
    <row r="24">
      <c r="A24" s="49">
        <v>40475.708333333336</v>
      </c>
      <c r="B24" s="185"/>
      <c r="C24" s="77"/>
      <c r="D24" s="196"/>
      <c r="E24" s="122"/>
      <c r="F24" s="248"/>
      <c r="G24" s="195"/>
      <c r="H24" s="37"/>
      <c r="I24" s="189"/>
      <c r="J24" s="35"/>
      <c r="K24" s="35"/>
      <c r="L24" s="192"/>
      <c r="M24" s="231"/>
      <c r="N24" s="231"/>
    </row>
    <row r="25">
      <c r="A25" s="55">
        <v>40475.729166666664</v>
      </c>
      <c r="B25" s="38"/>
      <c r="C25" s="249"/>
      <c r="D25" s="205"/>
      <c r="E25" s="250"/>
      <c r="F25" s="196"/>
      <c r="G25" s="54"/>
      <c r="H25" s="226"/>
      <c r="I25" s="196"/>
      <c r="J25" s="26"/>
      <c r="K25" s="35"/>
      <c r="L25" s="76"/>
      <c r="M25" s="231"/>
      <c r="N25" s="245"/>
    </row>
    <row r="26">
      <c r="A26" s="55">
        <v>40475.75</v>
      </c>
      <c r="B26" s="35"/>
      <c r="C26" s="251"/>
      <c r="D26" s="228"/>
      <c r="E26" s="47"/>
      <c r="F26" s="232"/>
      <c r="G26" s="35"/>
      <c r="H26" s="28"/>
      <c r="I26" s="228"/>
      <c r="J26" s="25"/>
      <c r="K26" s="76"/>
      <c r="L26" s="77"/>
      <c r="M26" s="231"/>
      <c r="N26" s="245"/>
    </row>
    <row r="27">
      <c r="A27" s="49">
        <v>40475.770833333336</v>
      </c>
      <c r="B27" s="27"/>
      <c r="C27" s="244"/>
      <c r="D27" s="228"/>
      <c r="E27" s="47"/>
      <c r="F27" s="232"/>
      <c r="G27" s="27"/>
      <c r="H27" s="228"/>
      <c r="I27" s="233"/>
      <c r="J27" s="25"/>
      <c r="K27" s="48"/>
      <c r="L27" s="77"/>
      <c r="M27" s="245"/>
      <c r="N27" s="245"/>
    </row>
    <row r="28">
      <c r="A28" s="49">
        <v>40475.791666666664</v>
      </c>
      <c r="B28" s="180"/>
      <c r="C28" s="244"/>
      <c r="D28" s="228"/>
      <c r="E28" s="48"/>
      <c r="F28" s="233"/>
      <c r="G28" s="180"/>
      <c r="H28" s="227"/>
      <c r="I28" s="225"/>
      <c r="J28" s="25"/>
      <c r="K28" s="48"/>
      <c r="L28" s="38"/>
      <c r="M28" s="245"/>
      <c r="N28" s="245"/>
    </row>
    <row r="29">
      <c r="A29" s="55">
        <v>40475.8125</v>
      </c>
      <c r="B29" s="47"/>
      <c r="C29" s="244"/>
      <c r="D29" s="244"/>
      <c r="E29" s="48"/>
      <c r="F29" s="233"/>
      <c r="G29" s="47"/>
      <c r="H29" s="228"/>
      <c r="I29" s="233"/>
      <c r="J29" s="25"/>
      <c r="K29" s="76"/>
      <c r="L29" s="77"/>
      <c r="M29" s="245"/>
      <c r="N29" s="244"/>
    </row>
    <row r="30">
      <c r="A30" s="55">
        <v>40475.833333333336</v>
      </c>
      <c r="B30" s="47"/>
      <c r="C30" s="244"/>
      <c r="D30" s="244"/>
      <c r="E30" s="48"/>
      <c r="F30" s="233"/>
      <c r="G30" s="47"/>
      <c r="H30" s="228"/>
      <c r="I30" s="233"/>
      <c r="J30" s="203"/>
      <c r="K30" s="76"/>
      <c r="L30" s="77"/>
      <c r="M30" s="245"/>
      <c r="N30" s="244"/>
    </row>
    <row r="31">
      <c r="A31" s="49">
        <v>40475.854166666664</v>
      </c>
      <c r="B31" s="47"/>
      <c r="C31" s="244"/>
      <c r="D31" s="244"/>
      <c r="E31" s="48"/>
      <c r="F31" s="233"/>
      <c r="G31" s="47"/>
      <c r="H31" s="228"/>
      <c r="I31" s="233"/>
      <c r="J31" s="203"/>
      <c r="K31" s="76"/>
      <c r="L31" s="77"/>
      <c r="M31" s="245"/>
      <c r="N31" s="245"/>
    </row>
    <row r="32">
      <c r="A32" s="49">
        <v>40475.875</v>
      </c>
      <c r="B32" s="47"/>
      <c r="C32" s="244"/>
      <c r="D32" s="244"/>
      <c r="E32" s="48"/>
      <c r="F32" s="233"/>
      <c r="G32" s="47"/>
      <c r="H32" s="228"/>
      <c r="I32" s="233"/>
      <c r="J32" s="203"/>
      <c r="K32" s="76"/>
      <c r="L32" s="77"/>
      <c r="M32" s="245"/>
      <c r="N32" s="245"/>
    </row>
    <row r="33">
      <c r="A33" s="55">
        <v>40475.895833333336</v>
      </c>
      <c r="B33" s="47"/>
      <c r="C33" s="244"/>
      <c r="D33" s="244"/>
      <c r="E33" s="48"/>
      <c r="F33" s="233"/>
      <c r="G33" s="47"/>
      <c r="H33" s="228"/>
      <c r="I33" s="233"/>
      <c r="J33" s="203"/>
      <c r="K33" s="76"/>
      <c r="L33" s="77"/>
      <c r="M33" s="252"/>
      <c r="N33" s="252"/>
    </row>
    <row r="34">
      <c r="A34" s="55">
        <v>40475.916666666664</v>
      </c>
      <c r="B34" s="47"/>
      <c r="C34" s="244"/>
      <c r="D34" s="244"/>
      <c r="E34" s="48"/>
      <c r="F34" s="233"/>
      <c r="G34" s="47"/>
      <c r="H34" s="228"/>
      <c r="I34" s="233"/>
      <c r="J34" s="203"/>
      <c r="K34" s="76"/>
      <c r="L34" s="77"/>
      <c r="M34" s="252"/>
      <c r="N34" s="252"/>
    </row>
    <row r="35">
      <c r="A35" s="49">
        <v>40475.9375</v>
      </c>
      <c r="B35" s="47"/>
      <c r="C35" s="244"/>
      <c r="D35" s="244"/>
      <c r="E35" s="48"/>
      <c r="F35" s="233"/>
      <c r="G35" s="47"/>
      <c r="H35" s="228"/>
      <c r="I35" s="233"/>
      <c r="J35" s="203"/>
      <c r="K35" s="76"/>
      <c r="L35" s="77"/>
      <c r="M35" s="252"/>
      <c r="N35" s="252"/>
    </row>
    <row r="36">
      <c r="A36" s="49">
        <v>40475.958333333336</v>
      </c>
      <c r="B36" s="180"/>
      <c r="C36" s="244"/>
      <c r="D36" s="244"/>
      <c r="E36" s="200"/>
      <c r="F36" s="233"/>
      <c r="G36" s="180"/>
      <c r="H36" s="244"/>
      <c r="I36" s="253"/>
      <c r="J36" s="203"/>
      <c r="K36" s="76"/>
      <c r="L36" s="77"/>
      <c r="M36" s="252"/>
      <c r="N36" s="252"/>
    </row>
    <row r="37">
      <c r="A37" s="55">
        <v>40475.979166666664</v>
      </c>
      <c r="B37" s="47"/>
      <c r="C37" s="244"/>
      <c r="D37" s="244"/>
      <c r="E37" s="48"/>
      <c r="F37" s="233"/>
      <c r="G37" s="47"/>
      <c r="H37" s="228"/>
      <c r="I37" s="233"/>
      <c r="J37" s="25"/>
      <c r="K37" s="76"/>
      <c r="L37" s="77"/>
      <c r="M37" s="245"/>
      <c r="N37" s="245"/>
    </row>
    <row r="38">
      <c r="A38" s="85" t="s">
        <v>12</v>
      </c>
      <c r="B38" s="79"/>
      <c r="C38" s="244"/>
      <c r="D38" s="244"/>
      <c r="E38" s="17"/>
      <c r="F38" s="233"/>
      <c r="G38" s="79"/>
      <c r="H38" s="226"/>
      <c r="I38" s="233"/>
      <c r="J38" s="25"/>
      <c r="K38" s="25"/>
      <c r="L38" s="77"/>
      <c r="M38" s="245"/>
      <c r="N38" s="245"/>
    </row>
    <row r="39">
      <c r="A39" s="89" t="s">
        <v>13</v>
      </c>
      <c r="B39" s="89">
        <f t="shared" ref="B39:N39" si="1">CONCATENATE(COUNTIF(B4:B38,"MAGAZZINI")+COUNTIF(B4:B38,"PRIMO")+COUNTIF(B4:B38,"RECEPTION")+COUNTIF(B4:B38,"SAGGI")+COUNTIF(B4:B38,"SECONDO")+COUNTIF(B4:B38,"SMART W")+COUNTIF(B4:B38,"STUDIO 1 e 2")+COUNTIF(B4:B38,"MANUTENZ.")+COUNTIF(B4:B38,"UFFICIO")+COUNTIF(B4:B38,"CAMPUS")+COUNTIF(B4:B38,"TEATRO")+COUNTIF(B4:B38,"AMM.ZIONE")+COUNTIF(B4:B38,"FORMAZ-1p")+COUNTIF(B4:B38,"FORMAZ-2p")+COUNTIF(B4:B38,"FORMAZ-rec")+COUNTIF(B4:B38,"WORKSHOP")+COUNTIF(B4:B38,"EVENTO EST."))/2</f>
        <v>0</v>
      </c>
      <c r="C39" s="89">
        <f t="shared" si="1"/>
        <v>0</v>
      </c>
      <c r="D39" s="89">
        <f t="shared" si="1"/>
        <v>0</v>
      </c>
      <c r="E39" s="89">
        <f t="shared" si="1"/>
        <v>0</v>
      </c>
      <c r="F39" s="89">
        <f t="shared" si="1"/>
        <v>0</v>
      </c>
      <c r="G39" s="89">
        <f t="shared" si="1"/>
        <v>0</v>
      </c>
      <c r="H39" s="89">
        <f t="shared" si="1"/>
        <v>0</v>
      </c>
      <c r="I39" s="89">
        <f t="shared" si="1"/>
        <v>0</v>
      </c>
      <c r="J39" s="89">
        <f t="shared" si="1"/>
        <v>0</v>
      </c>
      <c r="K39" s="89">
        <f t="shared" si="1"/>
        <v>0</v>
      </c>
      <c r="L39" s="89">
        <f t="shared" si="1"/>
        <v>0</v>
      </c>
      <c r="M39" s="89">
        <f t="shared" si="1"/>
        <v>0</v>
      </c>
      <c r="N39" s="89">
        <f t="shared" si="1"/>
        <v>0</v>
      </c>
    </row>
  </sheetData>
  <mergeCells count="4">
    <mergeCell ref="B1:C2"/>
    <mergeCell ref="D1:E2"/>
    <mergeCell ref="F1:F2"/>
    <mergeCell ref="G1:N2"/>
  </mergeCells>
  <conditionalFormatting sqref="B4:N38">
    <cfRule type="containsText" dxfId="1" priority="1" operator="containsText" text="MALATTIA">
      <formula>NOT(ISERROR(SEARCH(("MALATTIA"),(B4))))</formula>
    </cfRule>
  </conditionalFormatting>
  <conditionalFormatting sqref="B4:N38">
    <cfRule type="containsText" dxfId="2" priority="2" operator="containsText" text="FORMAZ">
      <formula>NOT(ISERROR(SEARCH(("FORMAZ"),(B4))))</formula>
    </cfRule>
  </conditionalFormatting>
  <conditionalFormatting sqref="B4:N38">
    <cfRule type="containsText" dxfId="3" priority="3" operator="containsText" text="AMM.ZIONE">
      <formula>NOT(ISERROR(SEARCH(("AMM.ZIONE"),(B4))))</formula>
    </cfRule>
  </conditionalFormatting>
  <conditionalFormatting sqref="B4:N38">
    <cfRule type="containsText" dxfId="4" priority="4" operator="containsText" text="PAUSA">
      <formula>NOT(ISERROR(SEARCH(("PAUSA"),(B4))))</formula>
    </cfRule>
  </conditionalFormatting>
  <conditionalFormatting sqref="B4:N38">
    <cfRule type="containsText" dxfId="0" priority="5" operator="containsText" text="PERMESSO">
      <formula>NOT(ISERROR(SEARCH(("PERMESSO"),(B4))))</formula>
    </cfRule>
  </conditionalFormatting>
  <conditionalFormatting sqref="B4:N38">
    <cfRule type="containsText" dxfId="6" priority="6" operator="containsText" text="UFFICIO">
      <formula>NOT(ISERROR(SEARCH(("UFFICIO"),(B4))))</formula>
    </cfRule>
  </conditionalFormatting>
  <conditionalFormatting sqref="B4:N38">
    <cfRule type="containsText" dxfId="7" priority="7" operator="containsText" text="RIPOSO">
      <formula>NOT(ISERROR(SEARCH(("RIPOSO"),(B4))))</formula>
    </cfRule>
  </conditionalFormatting>
  <dataValidations>
    <dataValidation type="list" allowBlank="1" showInputMessage="1" showErrorMessage="1" prompt="Fai clic e immetti un valore da intervallo elenchi!A1:A30" sqref="B4:N38">
      <formula1>elenchi!$A$1:$A$30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FF"/>
    <outlinePr summaryBelow="0" summaryRight="0"/>
  </sheetPr>
  <sheetViews>
    <sheetView workbookViewId="0">
      <pane xSplit="1.0" ySplit="3.0" topLeftCell="B4" activePane="bottomRight" state="frozen"/>
      <selection activeCell="B1" sqref="B1" pane="topRight"/>
      <selection activeCell="A4" sqref="A4" pane="bottomLeft"/>
      <selection activeCell="B4" sqref="B4" pane="bottomRight"/>
    </sheetView>
  </sheetViews>
  <sheetFormatPr customHeight="1" defaultColWidth="14.43" defaultRowHeight="15.0"/>
  <cols>
    <col customWidth="1" min="1" max="1" width="10.14"/>
    <col customWidth="1" min="2" max="14" width="18.71"/>
  </cols>
  <sheetData>
    <row r="1">
      <c r="A1" s="254"/>
      <c r="B1" s="212" t="s">
        <v>0</v>
      </c>
      <c r="C1" s="213"/>
      <c r="D1" s="255" t="str">
        <f>elenchi!C3</f>
        <v>  SETTIMANA - C</v>
      </c>
      <c r="E1" s="5"/>
      <c r="F1" s="256" t="s">
        <v>22</v>
      </c>
      <c r="G1" s="257" t="str">
        <f>elenchi!D3</f>
        <v>LUNEDI 30 MARZO A DOMENICA 05 APRILE 2026</v>
      </c>
      <c r="H1" s="5"/>
      <c r="I1" s="5"/>
      <c r="J1" s="5"/>
      <c r="K1" s="5"/>
      <c r="L1" s="5"/>
      <c r="M1" s="5"/>
      <c r="N1" s="3"/>
    </row>
    <row r="2">
      <c r="A2" s="254"/>
      <c r="B2" s="8"/>
      <c r="C2" s="9"/>
      <c r="D2" s="10"/>
      <c r="E2" s="10"/>
      <c r="F2" s="10"/>
      <c r="G2" s="10"/>
      <c r="H2" s="10"/>
      <c r="I2" s="10"/>
      <c r="J2" s="10"/>
      <c r="K2" s="10"/>
      <c r="L2" s="10"/>
      <c r="M2" s="10"/>
      <c r="N2" s="9"/>
    </row>
    <row r="3">
      <c r="A3" s="11" t="s">
        <v>2</v>
      </c>
      <c r="B3" s="11" t="str">
        <f>elenchi!B1</f>
        <v>ALEXANDRA</v>
      </c>
      <c r="C3" s="11" t="str">
        <f>elenchi!B2</f>
        <v>GIUDITTA</v>
      </c>
      <c r="D3" s="11" t="str">
        <f>elenchi!B3</f>
        <v>ESTEFANY</v>
      </c>
      <c r="E3" s="12" t="str">
        <f>elenchi!B4</f>
        <v>NURA</v>
      </c>
      <c r="F3" s="12" t="str">
        <f>elenchi!B5</f>
        <v/>
      </c>
      <c r="G3" s="12" t="str">
        <f>elenchi!B6</f>
        <v>JOEL</v>
      </c>
      <c r="H3" s="13" t="str">
        <f>elenchi!B7</f>
        <v>KEVIN</v>
      </c>
      <c r="I3" s="14" t="str">
        <f>elenchi!B8</f>
        <v>JASIR</v>
      </c>
      <c r="J3" s="15" t="str">
        <f>elenchi!B9</f>
        <v>DIEGO</v>
      </c>
      <c r="K3" s="15" t="str">
        <f>elenchi!B10</f>
        <v>SARA</v>
      </c>
      <c r="L3" s="12" t="str">
        <f>elenchi!B11</f>
        <v>SANTO</v>
      </c>
      <c r="M3" s="12" t="str">
        <f>elenchi!B12</f>
        <v>MASSI</v>
      </c>
      <c r="N3" s="12" t="str">
        <f>elenchi!B13</f>
        <v/>
      </c>
    </row>
    <row r="4">
      <c r="A4" s="16" t="s">
        <v>3</v>
      </c>
      <c r="B4" s="226"/>
      <c r="C4" s="18"/>
      <c r="D4" s="226"/>
      <c r="E4" s="20"/>
      <c r="F4" s="28"/>
      <c r="G4" s="226"/>
      <c r="H4" s="233"/>
      <c r="I4" s="225"/>
      <c r="J4" s="36"/>
      <c r="K4" s="26"/>
      <c r="L4" s="35"/>
      <c r="M4" s="17"/>
      <c r="N4" s="26"/>
    </row>
    <row r="5">
      <c r="A5" s="28" t="s">
        <v>4</v>
      </c>
      <c r="B5" s="226"/>
      <c r="C5" s="30"/>
      <c r="D5" s="226"/>
      <c r="E5" s="32"/>
      <c r="F5" s="28"/>
      <c r="G5" s="226"/>
      <c r="H5" s="233"/>
      <c r="I5" s="225"/>
      <c r="J5" s="36"/>
      <c r="K5" s="26"/>
      <c r="L5" s="35"/>
      <c r="M5" s="17"/>
      <c r="N5" s="26"/>
    </row>
    <row r="6">
      <c r="A6" s="28" t="s">
        <v>5</v>
      </c>
      <c r="B6" s="226"/>
      <c r="C6" s="30"/>
      <c r="D6" s="226"/>
      <c r="E6" s="32"/>
      <c r="F6" s="28"/>
      <c r="G6" s="226"/>
      <c r="H6" s="225"/>
      <c r="I6" s="258"/>
      <c r="J6" s="37"/>
      <c r="K6" s="38"/>
      <c r="L6" s="35"/>
      <c r="M6" s="17"/>
      <c r="N6" s="26"/>
    </row>
    <row r="7">
      <c r="A7" s="39">
        <v>40475.354166666664</v>
      </c>
      <c r="B7" s="30"/>
      <c r="C7" s="41"/>
      <c r="D7" s="164" t="s">
        <v>6</v>
      </c>
      <c r="E7" s="30"/>
      <c r="F7" s="74"/>
      <c r="G7" s="259"/>
      <c r="H7" s="260" t="s">
        <v>7</v>
      </c>
      <c r="I7" s="225"/>
      <c r="J7" s="37"/>
      <c r="K7" s="46" t="s">
        <v>8</v>
      </c>
      <c r="L7" s="76" t="s">
        <v>9</v>
      </c>
      <c r="M7" s="48"/>
      <c r="N7" s="35"/>
    </row>
    <row r="8">
      <c r="A8" s="49">
        <v>40475.375</v>
      </c>
      <c r="B8" s="32"/>
      <c r="C8" s="41"/>
      <c r="D8" s="78" t="s">
        <v>6</v>
      </c>
      <c r="E8" s="32"/>
      <c r="F8" s="71"/>
      <c r="G8" s="259"/>
      <c r="H8" s="260" t="s">
        <v>7</v>
      </c>
      <c r="I8" s="225"/>
      <c r="J8" s="37"/>
      <c r="K8" s="46" t="s">
        <v>8</v>
      </c>
      <c r="L8" s="76" t="s">
        <v>9</v>
      </c>
      <c r="M8" s="48"/>
      <c r="N8" s="26"/>
    </row>
    <row r="9">
      <c r="A9" s="55">
        <v>40475.395833333336</v>
      </c>
      <c r="B9" s="30"/>
      <c r="C9" s="41"/>
      <c r="D9" s="78" t="s">
        <v>6</v>
      </c>
      <c r="E9" s="30"/>
      <c r="F9" s="74"/>
      <c r="G9" s="259"/>
      <c r="H9" s="260" t="s">
        <v>7</v>
      </c>
      <c r="I9" s="225"/>
      <c r="J9" s="37"/>
      <c r="K9" s="46" t="s">
        <v>8</v>
      </c>
      <c r="L9" s="76" t="s">
        <v>9</v>
      </c>
      <c r="M9" s="48"/>
      <c r="N9" s="35"/>
    </row>
    <row r="10">
      <c r="A10" s="55">
        <v>40475.416666666664</v>
      </c>
      <c r="B10" s="32"/>
      <c r="C10" s="41"/>
      <c r="D10" s="78" t="s">
        <v>6</v>
      </c>
      <c r="E10" s="32"/>
      <c r="F10" s="71"/>
      <c r="G10" s="259"/>
      <c r="H10" s="260" t="s">
        <v>7</v>
      </c>
      <c r="I10" s="225"/>
      <c r="J10" s="37"/>
      <c r="K10" s="46" t="s">
        <v>8</v>
      </c>
      <c r="L10" s="76" t="s">
        <v>9</v>
      </c>
      <c r="M10" s="48" t="s">
        <v>8</v>
      </c>
      <c r="N10" s="26"/>
    </row>
    <row r="11">
      <c r="A11" s="49">
        <v>40475.4375</v>
      </c>
      <c r="B11" s="32"/>
      <c r="C11" s="41"/>
      <c r="D11" s="78" t="s">
        <v>6</v>
      </c>
      <c r="E11" s="32" t="s">
        <v>7</v>
      </c>
      <c r="F11" s="71"/>
      <c r="G11" s="260"/>
      <c r="H11" s="260" t="s">
        <v>7</v>
      </c>
      <c r="I11" s="225"/>
      <c r="J11" s="37"/>
      <c r="K11" s="46" t="s">
        <v>8</v>
      </c>
      <c r="L11" s="76" t="s">
        <v>9</v>
      </c>
      <c r="M11" s="48" t="s">
        <v>8</v>
      </c>
      <c r="N11" s="35"/>
    </row>
    <row r="12">
      <c r="A12" s="49">
        <v>40475.458333333336</v>
      </c>
      <c r="B12" s="30"/>
      <c r="C12" s="41"/>
      <c r="D12" s="64" t="s">
        <v>6</v>
      </c>
      <c r="E12" s="32" t="s">
        <v>7</v>
      </c>
      <c r="F12" s="74"/>
      <c r="G12" s="259"/>
      <c r="H12" s="260" t="s">
        <v>7</v>
      </c>
      <c r="I12" s="225"/>
      <c r="J12" s="37"/>
      <c r="K12" s="46" t="s">
        <v>8</v>
      </c>
      <c r="L12" s="76" t="s">
        <v>9</v>
      </c>
      <c r="M12" s="48" t="s">
        <v>8</v>
      </c>
      <c r="N12" s="35"/>
    </row>
    <row r="13">
      <c r="A13" s="55">
        <v>40475.479166666664</v>
      </c>
      <c r="B13" s="32"/>
      <c r="C13" s="30"/>
      <c r="D13" s="78" t="s">
        <v>6</v>
      </c>
      <c r="E13" s="32" t="s">
        <v>7</v>
      </c>
      <c r="F13" s="71"/>
      <c r="G13" s="259"/>
      <c r="H13" s="260" t="s">
        <v>7</v>
      </c>
      <c r="I13" s="225"/>
      <c r="J13" s="37"/>
      <c r="K13" s="46" t="s">
        <v>8</v>
      </c>
      <c r="L13" s="76" t="s">
        <v>9</v>
      </c>
      <c r="M13" s="48" t="s">
        <v>8</v>
      </c>
      <c r="N13" s="26"/>
    </row>
    <row r="14">
      <c r="A14" s="55">
        <v>40475.5</v>
      </c>
      <c r="B14" s="32"/>
      <c r="C14" s="30"/>
      <c r="D14" s="78" t="s">
        <v>6</v>
      </c>
      <c r="E14" s="32" t="s">
        <v>7</v>
      </c>
      <c r="F14" s="71"/>
      <c r="G14" s="32"/>
      <c r="H14" s="30" t="s">
        <v>7</v>
      </c>
      <c r="I14" s="225"/>
      <c r="J14" s="37"/>
      <c r="K14" s="46" t="s">
        <v>10</v>
      </c>
      <c r="L14" s="76" t="s">
        <v>9</v>
      </c>
      <c r="M14" s="48" t="s">
        <v>8</v>
      </c>
      <c r="N14" s="35"/>
    </row>
    <row r="15">
      <c r="A15" s="49">
        <v>40475.520833333336</v>
      </c>
      <c r="B15" s="32"/>
      <c r="C15" s="30"/>
      <c r="D15" s="177" t="s">
        <v>10</v>
      </c>
      <c r="E15" s="137" t="s">
        <v>6</v>
      </c>
      <c r="F15" s="71"/>
      <c r="G15" s="30"/>
      <c r="H15" s="30" t="s">
        <v>7</v>
      </c>
      <c r="I15" s="30"/>
      <c r="J15" s="37"/>
      <c r="K15" s="46" t="s">
        <v>8</v>
      </c>
      <c r="L15" s="76" t="s">
        <v>9</v>
      </c>
      <c r="M15" s="48" t="s">
        <v>8</v>
      </c>
      <c r="N15" s="35"/>
    </row>
    <row r="16">
      <c r="A16" s="49">
        <v>40475.541666666664</v>
      </c>
      <c r="B16" s="32"/>
      <c r="C16" s="30"/>
      <c r="D16" s="78" t="s">
        <v>7</v>
      </c>
      <c r="E16" s="32" t="s">
        <v>6</v>
      </c>
      <c r="F16" s="71"/>
      <c r="G16" s="32"/>
      <c r="H16" s="30" t="s">
        <v>7</v>
      </c>
      <c r="I16" s="30"/>
      <c r="J16" s="37"/>
      <c r="K16" s="46" t="s">
        <v>8</v>
      </c>
      <c r="L16" s="76" t="s">
        <v>10</v>
      </c>
      <c r="M16" s="48" t="s">
        <v>10</v>
      </c>
      <c r="N16" s="35"/>
    </row>
    <row r="17">
      <c r="A17" s="55">
        <v>40475.5625</v>
      </c>
      <c r="B17" s="32"/>
      <c r="C17" s="30"/>
      <c r="D17" s="78" t="s">
        <v>7</v>
      </c>
      <c r="E17" s="38" t="s">
        <v>6</v>
      </c>
      <c r="F17" s="71"/>
      <c r="G17" s="30"/>
      <c r="H17" s="33" t="s">
        <v>7</v>
      </c>
      <c r="I17" s="37"/>
      <c r="J17" s="37"/>
      <c r="K17" s="46" t="s">
        <v>8</v>
      </c>
      <c r="L17" s="76" t="s">
        <v>9</v>
      </c>
      <c r="M17" s="48" t="s">
        <v>8</v>
      </c>
      <c r="N17" s="26"/>
    </row>
    <row r="18">
      <c r="A18" s="55">
        <v>40475.583333333336</v>
      </c>
      <c r="B18" s="32"/>
      <c r="C18" s="30"/>
      <c r="D18" s="78" t="s">
        <v>7</v>
      </c>
      <c r="E18" s="77" t="s">
        <v>6</v>
      </c>
      <c r="F18" s="71"/>
      <c r="G18" s="38"/>
      <c r="H18" s="30" t="s">
        <v>7</v>
      </c>
      <c r="I18" s="37"/>
      <c r="J18" s="37"/>
      <c r="K18" s="46" t="s">
        <v>8</v>
      </c>
      <c r="L18" s="76" t="s">
        <v>9</v>
      </c>
      <c r="M18" s="48" t="s">
        <v>8</v>
      </c>
      <c r="N18" s="26"/>
    </row>
    <row r="19">
      <c r="A19" s="49">
        <v>40475.604166666664</v>
      </c>
      <c r="B19" s="71" t="s">
        <v>11</v>
      </c>
      <c r="C19" s="32" t="s">
        <v>7</v>
      </c>
      <c r="D19" s="78" t="s">
        <v>7</v>
      </c>
      <c r="E19" s="197" t="s">
        <v>10</v>
      </c>
      <c r="F19" s="71"/>
      <c r="G19" s="32" t="s">
        <v>6</v>
      </c>
      <c r="H19" s="33" t="s">
        <v>10</v>
      </c>
      <c r="I19" s="37" t="s">
        <v>11</v>
      </c>
      <c r="J19" s="77" t="s">
        <v>7</v>
      </c>
      <c r="K19" s="46" t="s">
        <v>8</v>
      </c>
      <c r="L19" s="46" t="s">
        <v>9</v>
      </c>
      <c r="M19" s="48" t="s">
        <v>8</v>
      </c>
      <c r="N19" s="26"/>
    </row>
    <row r="20">
      <c r="A20" s="49">
        <v>40475.625</v>
      </c>
      <c r="B20" s="71" t="s">
        <v>11</v>
      </c>
      <c r="C20" s="30" t="s">
        <v>7</v>
      </c>
      <c r="D20" s="78" t="s">
        <v>7</v>
      </c>
      <c r="E20" s="139" t="s">
        <v>11</v>
      </c>
      <c r="F20" s="71"/>
      <c r="G20" s="30" t="s">
        <v>6</v>
      </c>
      <c r="H20" s="30" t="s">
        <v>7</v>
      </c>
      <c r="I20" s="37" t="s">
        <v>11</v>
      </c>
      <c r="J20" s="37" t="s">
        <v>7</v>
      </c>
      <c r="K20" s="46" t="s">
        <v>8</v>
      </c>
      <c r="L20" s="46" t="s">
        <v>9</v>
      </c>
      <c r="M20" s="48" t="s">
        <v>8</v>
      </c>
      <c r="N20" s="35"/>
    </row>
    <row r="21">
      <c r="A21" s="55">
        <v>40475.645833333336</v>
      </c>
      <c r="B21" s="74" t="s">
        <v>11</v>
      </c>
      <c r="C21" s="32" t="s">
        <v>7</v>
      </c>
      <c r="D21" s="64" t="s">
        <v>7</v>
      </c>
      <c r="E21" s="77" t="s">
        <v>11</v>
      </c>
      <c r="F21" s="74"/>
      <c r="G21" s="32" t="s">
        <v>6</v>
      </c>
      <c r="H21" s="30" t="s">
        <v>7</v>
      </c>
      <c r="I21" s="37" t="s">
        <v>11</v>
      </c>
      <c r="J21" s="77" t="s">
        <v>7</v>
      </c>
      <c r="K21" s="46" t="s">
        <v>8</v>
      </c>
      <c r="L21" s="46" t="s">
        <v>9</v>
      </c>
      <c r="M21" s="48" t="s">
        <v>8</v>
      </c>
      <c r="N21" s="26"/>
    </row>
    <row r="22">
      <c r="A22" s="55">
        <v>40475.666666666664</v>
      </c>
      <c r="B22" s="71" t="s">
        <v>11</v>
      </c>
      <c r="C22" s="32" t="s">
        <v>7</v>
      </c>
      <c r="D22" s="78" t="s">
        <v>7</v>
      </c>
      <c r="E22" s="77" t="s">
        <v>11</v>
      </c>
      <c r="F22" s="71"/>
      <c r="G22" s="32" t="s">
        <v>6</v>
      </c>
      <c r="H22" s="30" t="s">
        <v>7</v>
      </c>
      <c r="I22" s="37" t="s">
        <v>11</v>
      </c>
      <c r="J22" s="37" t="s">
        <v>7</v>
      </c>
      <c r="K22" s="46" t="s">
        <v>8</v>
      </c>
      <c r="L22" s="46" t="s">
        <v>9</v>
      </c>
      <c r="M22" s="48" t="s">
        <v>8</v>
      </c>
      <c r="N22" s="35"/>
    </row>
    <row r="23">
      <c r="A23" s="49">
        <v>40475.6875</v>
      </c>
      <c r="B23" s="74" t="s">
        <v>11</v>
      </c>
      <c r="C23" s="32" t="s">
        <v>7</v>
      </c>
      <c r="D23" s="64" t="s">
        <v>7</v>
      </c>
      <c r="E23" s="77" t="s">
        <v>11</v>
      </c>
      <c r="F23" s="74"/>
      <c r="G23" s="32" t="s">
        <v>6</v>
      </c>
      <c r="H23" s="30" t="s">
        <v>7</v>
      </c>
      <c r="I23" s="30" t="s">
        <v>11</v>
      </c>
      <c r="J23" s="77" t="s">
        <v>7</v>
      </c>
      <c r="K23" s="46" t="s">
        <v>8</v>
      </c>
      <c r="L23" s="46" t="s">
        <v>9</v>
      </c>
      <c r="M23" s="48" t="s">
        <v>8</v>
      </c>
      <c r="N23" s="26"/>
    </row>
    <row r="24">
      <c r="A24" s="49">
        <v>40475.708333333336</v>
      </c>
      <c r="B24" s="71" t="s">
        <v>11</v>
      </c>
      <c r="C24" s="32" t="s">
        <v>7</v>
      </c>
      <c r="D24" s="30"/>
      <c r="E24" s="77" t="s">
        <v>11</v>
      </c>
      <c r="F24" s="30"/>
      <c r="G24" s="32" t="s">
        <v>6</v>
      </c>
      <c r="H24" s="30"/>
      <c r="I24" s="30" t="s">
        <v>11</v>
      </c>
      <c r="J24" s="37" t="s">
        <v>7</v>
      </c>
      <c r="K24" s="46"/>
      <c r="L24" s="46"/>
      <c r="M24" s="48" t="s">
        <v>8</v>
      </c>
      <c r="N24" s="35"/>
    </row>
    <row r="25">
      <c r="A25" s="55">
        <v>40475.729166666664</v>
      </c>
      <c r="B25" s="71" t="s">
        <v>11</v>
      </c>
      <c r="C25" s="32" t="s">
        <v>7</v>
      </c>
      <c r="D25" s="30"/>
      <c r="E25" s="37" t="s">
        <v>11</v>
      </c>
      <c r="F25" s="30"/>
      <c r="G25" s="32" t="s">
        <v>6</v>
      </c>
      <c r="H25" s="30"/>
      <c r="I25" s="30" t="s">
        <v>11</v>
      </c>
      <c r="J25" s="77" t="s">
        <v>7</v>
      </c>
      <c r="K25" s="46"/>
      <c r="L25" s="46"/>
      <c r="M25" s="48" t="s">
        <v>8</v>
      </c>
      <c r="N25" s="26"/>
    </row>
    <row r="26">
      <c r="A26" s="55">
        <v>40475.75</v>
      </c>
      <c r="B26" s="261" t="s">
        <v>10</v>
      </c>
      <c r="C26" s="77" t="s">
        <v>7</v>
      </c>
      <c r="D26" s="30"/>
      <c r="E26" s="37" t="s">
        <v>11</v>
      </c>
      <c r="F26" s="225"/>
      <c r="G26" s="77" t="s">
        <v>6</v>
      </c>
      <c r="H26" s="30"/>
      <c r="I26" s="30" t="s">
        <v>11</v>
      </c>
      <c r="J26" s="77" t="s">
        <v>10</v>
      </c>
      <c r="K26" s="46"/>
      <c r="L26" s="46"/>
      <c r="M26" s="48" t="s">
        <v>8</v>
      </c>
      <c r="N26" s="75"/>
    </row>
    <row r="27">
      <c r="A27" s="49">
        <v>40475.770833333336</v>
      </c>
      <c r="B27" s="71" t="s">
        <v>6</v>
      </c>
      <c r="C27" s="37" t="s">
        <v>7</v>
      </c>
      <c r="D27" s="30"/>
      <c r="E27" s="30" t="s">
        <v>11</v>
      </c>
      <c r="F27" s="225"/>
      <c r="G27" s="37" t="s">
        <v>10</v>
      </c>
      <c r="H27" s="189"/>
      <c r="I27" s="37" t="s">
        <v>10</v>
      </c>
      <c r="J27" s="37" t="s">
        <v>7</v>
      </c>
      <c r="K27" s="46"/>
      <c r="L27" s="48"/>
      <c r="M27" s="48"/>
      <c r="N27" s="76"/>
    </row>
    <row r="28">
      <c r="A28" s="49">
        <v>40475.791666666664</v>
      </c>
      <c r="B28" s="262" t="s">
        <v>6</v>
      </c>
      <c r="C28" s="37" t="s">
        <v>10</v>
      </c>
      <c r="D28" s="263"/>
      <c r="E28" s="33"/>
      <c r="F28" s="225"/>
      <c r="G28" s="37" t="s">
        <v>7</v>
      </c>
      <c r="H28" s="30"/>
      <c r="I28" s="77" t="s">
        <v>7</v>
      </c>
      <c r="J28" s="77" t="s">
        <v>7</v>
      </c>
      <c r="K28" s="46"/>
      <c r="L28" s="46"/>
      <c r="M28" s="48"/>
      <c r="N28" s="26"/>
    </row>
    <row r="29">
      <c r="A29" s="55">
        <v>40475.8125</v>
      </c>
      <c r="B29" s="262" t="s">
        <v>6</v>
      </c>
      <c r="C29" s="37" t="s">
        <v>11</v>
      </c>
      <c r="D29" s="264"/>
      <c r="E29" s="137"/>
      <c r="F29" s="226"/>
      <c r="G29" s="184" t="s">
        <v>7</v>
      </c>
      <c r="H29" s="37"/>
      <c r="I29" s="37" t="s">
        <v>7</v>
      </c>
      <c r="J29" s="37" t="s">
        <v>7</v>
      </c>
      <c r="K29" s="46"/>
      <c r="L29" s="46"/>
      <c r="M29" s="48"/>
      <c r="N29" s="35"/>
    </row>
    <row r="30">
      <c r="A30" s="55">
        <v>40475.833333333336</v>
      </c>
      <c r="B30" s="262" t="s">
        <v>6</v>
      </c>
      <c r="C30" s="37" t="s">
        <v>11</v>
      </c>
      <c r="D30" s="264"/>
      <c r="E30" s="137"/>
      <c r="F30" s="226"/>
      <c r="G30" s="37" t="s">
        <v>7</v>
      </c>
      <c r="H30" s="37"/>
      <c r="I30" s="77" t="s">
        <v>7</v>
      </c>
      <c r="J30" s="77" t="s">
        <v>7</v>
      </c>
      <c r="K30" s="46"/>
      <c r="L30" s="46"/>
      <c r="M30" s="48"/>
      <c r="N30" s="79"/>
    </row>
    <row r="31">
      <c r="A31" s="49">
        <v>40475.854166666664</v>
      </c>
      <c r="B31" s="262" t="s">
        <v>6</v>
      </c>
      <c r="C31" s="37" t="s">
        <v>11</v>
      </c>
      <c r="D31" s="264"/>
      <c r="E31" s="137"/>
      <c r="F31" s="226"/>
      <c r="G31" s="37" t="s">
        <v>7</v>
      </c>
      <c r="H31" s="37"/>
      <c r="I31" s="37" t="s">
        <v>7</v>
      </c>
      <c r="J31" s="37" t="s">
        <v>7</v>
      </c>
      <c r="K31" s="46"/>
      <c r="L31" s="46"/>
      <c r="M31" s="48"/>
      <c r="N31" s="27"/>
    </row>
    <row r="32">
      <c r="A32" s="49">
        <v>40475.875</v>
      </c>
      <c r="B32" s="262" t="s">
        <v>6</v>
      </c>
      <c r="C32" s="37" t="s">
        <v>11</v>
      </c>
      <c r="D32" s="264"/>
      <c r="E32" s="137"/>
      <c r="F32" s="226"/>
      <c r="G32" s="37" t="s">
        <v>7</v>
      </c>
      <c r="H32" s="37"/>
      <c r="I32" s="77" t="s">
        <v>7</v>
      </c>
      <c r="J32" s="77" t="s">
        <v>7</v>
      </c>
      <c r="K32" s="46"/>
      <c r="L32" s="46"/>
      <c r="M32" s="48"/>
      <c r="N32" s="26"/>
    </row>
    <row r="33">
      <c r="A33" s="55">
        <v>40475.895833333336</v>
      </c>
      <c r="B33" s="262" t="s">
        <v>6</v>
      </c>
      <c r="C33" s="37" t="s">
        <v>11</v>
      </c>
      <c r="D33" s="264"/>
      <c r="E33" s="137"/>
      <c r="F33" s="226"/>
      <c r="G33" s="37" t="s">
        <v>7</v>
      </c>
      <c r="H33" s="37"/>
      <c r="I33" s="37" t="s">
        <v>7</v>
      </c>
      <c r="J33" s="37" t="s">
        <v>7</v>
      </c>
      <c r="K33" s="46"/>
      <c r="L33" s="46"/>
      <c r="M33" s="48"/>
      <c r="N33" s="35"/>
    </row>
    <row r="34">
      <c r="A34" s="55">
        <v>40475.916666666664</v>
      </c>
      <c r="B34" s="262" t="s">
        <v>6</v>
      </c>
      <c r="C34" s="30" t="s">
        <v>11</v>
      </c>
      <c r="D34" s="264"/>
      <c r="E34" s="137"/>
      <c r="F34" s="226"/>
      <c r="G34" s="37" t="s">
        <v>7</v>
      </c>
      <c r="H34" s="37"/>
      <c r="I34" s="77" t="s">
        <v>7</v>
      </c>
      <c r="J34" s="77" t="s">
        <v>7</v>
      </c>
      <c r="K34" s="37"/>
      <c r="L34" s="24"/>
      <c r="M34" s="24"/>
      <c r="N34" s="26"/>
    </row>
    <row r="35">
      <c r="A35" s="49">
        <v>40475.9375</v>
      </c>
      <c r="B35" s="262" t="s">
        <v>6</v>
      </c>
      <c r="C35" s="30" t="s">
        <v>11</v>
      </c>
      <c r="D35" s="264"/>
      <c r="E35" s="265"/>
      <c r="F35" s="226"/>
      <c r="G35" s="37" t="s">
        <v>7</v>
      </c>
      <c r="H35" s="37"/>
      <c r="I35" s="77" t="s">
        <v>7</v>
      </c>
      <c r="J35" s="77" t="s">
        <v>7</v>
      </c>
      <c r="K35" s="37"/>
      <c r="L35" s="24"/>
      <c r="M35" s="24"/>
      <c r="N35" s="26"/>
    </row>
    <row r="36">
      <c r="A36" s="49">
        <v>40475.958333333336</v>
      </c>
      <c r="B36" s="266"/>
      <c r="C36" s="30"/>
      <c r="D36" s="233"/>
      <c r="E36" s="77"/>
      <c r="F36" s="228"/>
      <c r="G36" s="226"/>
      <c r="H36" s="267"/>
      <c r="I36" s="225"/>
      <c r="J36" s="83"/>
      <c r="K36" s="37"/>
      <c r="L36" s="27"/>
      <c r="M36" s="24"/>
      <c r="N36" s="26"/>
    </row>
    <row r="37">
      <c r="A37" s="55">
        <v>40475.979166666664</v>
      </c>
      <c r="B37" s="226"/>
      <c r="C37" s="30"/>
      <c r="D37" s="226"/>
      <c r="E37" s="32"/>
      <c r="F37" s="228"/>
      <c r="G37" s="225"/>
      <c r="H37" s="233"/>
      <c r="I37" s="233"/>
      <c r="J37" s="25"/>
      <c r="K37" s="25"/>
      <c r="L37" s="48"/>
      <c r="M37" s="25"/>
      <c r="N37" s="26"/>
    </row>
    <row r="38">
      <c r="A38" s="85" t="s">
        <v>12</v>
      </c>
      <c r="B38" s="253"/>
      <c r="C38" s="30"/>
      <c r="D38" s="267"/>
      <c r="E38" s="88"/>
      <c r="F38" s="28"/>
      <c r="G38" s="226"/>
      <c r="H38" s="233"/>
      <c r="I38" s="233"/>
      <c r="J38" s="25"/>
      <c r="K38" s="83"/>
      <c r="L38" s="24"/>
      <c r="M38" s="83"/>
      <c r="N38" s="23"/>
    </row>
    <row r="39">
      <c r="A39" s="89" t="s">
        <v>13</v>
      </c>
      <c r="B39" s="89">
        <f t="shared" ref="B39:N39" si="1">CONCATENATE(COUNTIF(B4:B38,"MAGAZZINI")+COUNTIF(B4:B38,"PRIMO")+COUNTIF(B4:B38,"RECEPTION")+COUNTIF(B4:B38,"SAGGI")+COUNTIF(B4:B38,"SECONDO")+COUNTIF(B4:B38,"SMART W")+COUNTIF(B4:B38,"STUDIO 1 e 2")+COUNTIF(B4:B38,"MANUTENZ.")+COUNTIF(B4:B38,"UFFICIO")+COUNTIF(B4:B38,"CAMPUS")+COUNTIF(B4:B38,"TEATRO")+COUNTIF(B4:B38,"AMM.ZIONE")+COUNTIF(B4:B38,"FORMAZ-1p")+COUNTIF(B4:B38,"FORMAZ-2p")+COUNTIF(B4:B38,"FORMAZ-rec")+COUNTIF(B4:B38,"WORKSHOP")+COUNTIF(B4:B38,"EVENTO EST."))/2</f>
        <v>8</v>
      </c>
      <c r="C39" s="89">
        <f t="shared" si="1"/>
        <v>8</v>
      </c>
      <c r="D39" s="89">
        <f t="shared" si="1"/>
        <v>8</v>
      </c>
      <c r="E39" s="89">
        <f t="shared" si="1"/>
        <v>8</v>
      </c>
      <c r="F39" s="89">
        <f t="shared" si="1"/>
        <v>0</v>
      </c>
      <c r="G39" s="89">
        <f t="shared" si="1"/>
        <v>8</v>
      </c>
      <c r="H39" s="89">
        <f t="shared" si="1"/>
        <v>8</v>
      </c>
      <c r="I39" s="89">
        <f t="shared" si="1"/>
        <v>8</v>
      </c>
      <c r="J39" s="89">
        <f t="shared" si="1"/>
        <v>8</v>
      </c>
      <c r="K39" s="89">
        <f t="shared" si="1"/>
        <v>8</v>
      </c>
      <c r="L39" s="89">
        <f t="shared" si="1"/>
        <v>8</v>
      </c>
      <c r="M39" s="89">
        <f t="shared" si="1"/>
        <v>8</v>
      </c>
      <c r="N39" s="89">
        <f t="shared" si="1"/>
        <v>0</v>
      </c>
    </row>
  </sheetData>
  <mergeCells count="4">
    <mergeCell ref="B1:C2"/>
    <mergeCell ref="D1:E2"/>
    <mergeCell ref="F1:F2"/>
    <mergeCell ref="G1:N2"/>
  </mergeCells>
  <conditionalFormatting sqref="B4:N38">
    <cfRule type="containsText" dxfId="0" priority="1" operator="containsText" text="PERMESSO">
      <formula>NOT(ISERROR(SEARCH(("PERMESSO"),(B4))))</formula>
    </cfRule>
  </conditionalFormatting>
  <conditionalFormatting sqref="B4:N38">
    <cfRule type="containsText" dxfId="1" priority="2" operator="containsText" text="MALATTIA">
      <formula>NOT(ISERROR(SEARCH(("MALATTIA"),(B4))))</formula>
    </cfRule>
  </conditionalFormatting>
  <conditionalFormatting sqref="B4:N38">
    <cfRule type="containsText" dxfId="2" priority="3" operator="containsText" text="FORMAZ">
      <formula>NOT(ISERROR(SEARCH(("FORMAZ"),(B4))))</formula>
    </cfRule>
  </conditionalFormatting>
  <conditionalFormatting sqref="B4:N38">
    <cfRule type="containsText" dxfId="3" priority="4" operator="containsText" text="AMM.ZIONE">
      <formula>NOT(ISERROR(SEARCH(("AMM.ZIONE"),(B4))))</formula>
    </cfRule>
  </conditionalFormatting>
  <conditionalFormatting sqref="B4:N38">
    <cfRule type="containsText" dxfId="4" priority="5" operator="containsText" text="PAUSA">
      <formula>NOT(ISERROR(SEARCH(("PAUSA"),(B4))))</formula>
    </cfRule>
  </conditionalFormatting>
  <conditionalFormatting sqref="B4:N38">
    <cfRule type="containsText" dxfId="5" priority="6" operator="containsText" text="PERMESSO">
      <formula>NOT(ISERROR(SEARCH(("PERMESSO"),(B4))))</formula>
    </cfRule>
  </conditionalFormatting>
  <conditionalFormatting sqref="B4:N38">
    <cfRule type="containsText" dxfId="6" priority="7" operator="containsText" text="UFFICIO">
      <formula>NOT(ISERROR(SEARCH(("UFFICIO"),(B4))))</formula>
    </cfRule>
  </conditionalFormatting>
  <conditionalFormatting sqref="B4:N38">
    <cfRule type="containsText" dxfId="7" priority="8" operator="containsText" text="RIPOSO">
      <formula>NOT(ISERROR(SEARCH(("RIPOSO"),(B4))))</formula>
    </cfRule>
  </conditionalFormatting>
  <dataValidations>
    <dataValidation type="list" allowBlank="1" showInputMessage="1" showErrorMessage="1" prompt="Fai clic e immetti un valore da intervallo elenchi!A1:A30" sqref="B4:N38">
      <formula1>elenchi!$A$1:$A$30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FF"/>
    <outlinePr summaryBelow="0" summaryRight="0"/>
  </sheetPr>
  <sheetViews>
    <sheetView workbookViewId="0">
      <pane xSplit="1.0" ySplit="3.0" topLeftCell="B4" activePane="bottomRight" state="frozen"/>
      <selection activeCell="B1" sqref="B1" pane="topRight"/>
      <selection activeCell="A4" sqref="A4" pane="bottomLeft"/>
      <selection activeCell="B4" sqref="B4" pane="bottomRight"/>
    </sheetView>
  </sheetViews>
  <sheetFormatPr customHeight="1" defaultColWidth="14.43" defaultRowHeight="15.0"/>
  <cols>
    <col customWidth="1" min="1" max="1" width="10.14"/>
    <col customWidth="1" min="2" max="14" width="18.71"/>
  </cols>
  <sheetData>
    <row r="1">
      <c r="A1" s="254"/>
      <c r="B1" s="222" t="s">
        <v>14</v>
      </c>
      <c r="C1" s="213"/>
      <c r="D1" s="255" t="str">
        <f>elenchi!C3</f>
        <v>  SETTIMANA - C</v>
      </c>
      <c r="E1" s="5"/>
      <c r="F1" s="256" t="s">
        <v>22</v>
      </c>
      <c r="G1" s="257" t="str">
        <f>elenchi!D3</f>
        <v>LUNEDI 30 MARZO A DOMENICA 05 APRILE 2026</v>
      </c>
      <c r="H1" s="5"/>
      <c r="I1" s="5"/>
      <c r="J1" s="5"/>
      <c r="K1" s="5"/>
      <c r="L1" s="5"/>
      <c r="M1" s="5"/>
      <c r="N1" s="3"/>
    </row>
    <row r="2">
      <c r="A2" s="254"/>
      <c r="B2" s="8"/>
      <c r="C2" s="9"/>
      <c r="D2" s="10"/>
      <c r="E2" s="10"/>
      <c r="F2" s="10"/>
      <c r="G2" s="10"/>
      <c r="H2" s="10"/>
      <c r="I2" s="10"/>
      <c r="J2" s="10"/>
      <c r="K2" s="10"/>
      <c r="L2" s="10"/>
      <c r="M2" s="10"/>
      <c r="N2" s="9"/>
    </row>
    <row r="3">
      <c r="A3" s="11" t="s">
        <v>2</v>
      </c>
      <c r="B3" s="11" t="str">
        <f>elenchi!B1</f>
        <v>ALEXANDRA</v>
      </c>
      <c r="C3" s="11" t="str">
        <f>elenchi!B2</f>
        <v>GIUDITTA</v>
      </c>
      <c r="D3" s="11" t="str">
        <f>elenchi!B3</f>
        <v>ESTEFANY</v>
      </c>
      <c r="E3" s="12" t="str">
        <f>elenchi!B4</f>
        <v>NURA</v>
      </c>
      <c r="F3" s="12" t="str">
        <f>elenchi!B5</f>
        <v/>
      </c>
      <c r="G3" s="12" t="str">
        <f>elenchi!B6</f>
        <v>JOEL</v>
      </c>
      <c r="H3" s="13" t="str">
        <f>elenchi!B7</f>
        <v>KEVIN</v>
      </c>
      <c r="I3" s="14" t="str">
        <f>elenchi!B8</f>
        <v>JASIR</v>
      </c>
      <c r="J3" s="15" t="str">
        <f>elenchi!B9</f>
        <v>DIEGO</v>
      </c>
      <c r="K3" s="15" t="str">
        <f>elenchi!B10</f>
        <v>SARA</v>
      </c>
      <c r="L3" s="12" t="str">
        <f>elenchi!B11</f>
        <v>SANTO</v>
      </c>
      <c r="M3" s="12" t="str">
        <f>elenchi!B12</f>
        <v>MASSI</v>
      </c>
      <c r="N3" s="12" t="str">
        <f>elenchi!B13</f>
        <v/>
      </c>
    </row>
    <row r="4">
      <c r="A4" s="16" t="s">
        <v>3</v>
      </c>
      <c r="B4" s="226"/>
      <c r="C4" s="20"/>
      <c r="D4" s="226"/>
      <c r="E4" s="223"/>
      <c r="F4" s="21"/>
      <c r="G4" s="232"/>
      <c r="H4" s="268"/>
      <c r="I4" s="225"/>
      <c r="J4" s="25"/>
      <c r="K4" s="199"/>
      <c r="L4" s="198"/>
      <c r="M4" s="17"/>
      <c r="N4" s="199"/>
    </row>
    <row r="5">
      <c r="A5" s="28" t="s">
        <v>4</v>
      </c>
      <c r="B5" s="226"/>
      <c r="C5" s="32"/>
      <c r="D5" s="226"/>
      <c r="E5" s="223"/>
      <c r="F5" s="33"/>
      <c r="G5" s="232"/>
      <c r="H5" s="268"/>
      <c r="I5" s="225"/>
      <c r="J5" s="25"/>
      <c r="K5" s="269"/>
      <c r="L5" s="198"/>
      <c r="M5" s="17"/>
      <c r="N5" s="199"/>
    </row>
    <row r="6">
      <c r="A6" s="28" t="s">
        <v>5</v>
      </c>
      <c r="B6" s="226"/>
      <c r="C6" s="32"/>
      <c r="D6" s="226"/>
      <c r="E6" s="223"/>
      <c r="F6" s="33"/>
      <c r="G6" s="232"/>
      <c r="H6" s="198"/>
      <c r="I6" s="258"/>
      <c r="J6" s="37"/>
      <c r="K6" s="38"/>
      <c r="L6" s="198"/>
      <c r="M6" s="17"/>
      <c r="N6" s="199"/>
    </row>
    <row r="7">
      <c r="A7" s="39">
        <v>40475.354166666664</v>
      </c>
      <c r="B7" s="270" t="s">
        <v>6</v>
      </c>
      <c r="C7" s="30"/>
      <c r="D7" s="186"/>
      <c r="E7" s="266"/>
      <c r="F7" s="260"/>
      <c r="G7" s="271"/>
      <c r="H7" s="184" t="s">
        <v>11</v>
      </c>
      <c r="I7" s="225"/>
      <c r="J7" s="37"/>
      <c r="K7" s="46" t="s">
        <v>8</v>
      </c>
      <c r="L7" s="46" t="s">
        <v>9</v>
      </c>
      <c r="M7" s="48"/>
      <c r="N7" s="35"/>
    </row>
    <row r="8">
      <c r="A8" s="49">
        <v>40475.375</v>
      </c>
      <c r="B8" s="241" t="s">
        <v>6</v>
      </c>
      <c r="C8" s="32"/>
      <c r="D8" s="205"/>
      <c r="E8" s="266"/>
      <c r="F8" s="259"/>
      <c r="G8" s="172"/>
      <c r="H8" s="37" t="s">
        <v>11</v>
      </c>
      <c r="I8" s="225"/>
      <c r="J8" s="37"/>
      <c r="K8" s="46" t="s">
        <v>8</v>
      </c>
      <c r="L8" s="46" t="s">
        <v>9</v>
      </c>
      <c r="M8" s="48"/>
      <c r="N8" s="26"/>
    </row>
    <row r="9">
      <c r="A9" s="55">
        <v>40475.395833333336</v>
      </c>
      <c r="B9" s="241" t="s">
        <v>6</v>
      </c>
      <c r="C9" s="30"/>
      <c r="D9" s="186"/>
      <c r="E9" s="266"/>
      <c r="F9" s="260"/>
      <c r="G9" s="172"/>
      <c r="H9" s="37" t="s">
        <v>11</v>
      </c>
      <c r="I9" s="225"/>
      <c r="J9" s="37"/>
      <c r="K9" s="46" t="s">
        <v>8</v>
      </c>
      <c r="L9" s="46" t="s">
        <v>9</v>
      </c>
      <c r="M9" s="48"/>
      <c r="N9" s="35"/>
    </row>
    <row r="10">
      <c r="A10" s="55">
        <v>40475.416666666664</v>
      </c>
      <c r="B10" s="241" t="s">
        <v>6</v>
      </c>
      <c r="C10" s="32"/>
      <c r="D10" s="205"/>
      <c r="E10" s="266"/>
      <c r="F10" s="272"/>
      <c r="G10" s="172"/>
      <c r="H10" s="37" t="s">
        <v>11</v>
      </c>
      <c r="I10" s="228"/>
      <c r="J10" s="37"/>
      <c r="K10" s="46" t="s">
        <v>8</v>
      </c>
      <c r="L10" s="46" t="s">
        <v>9</v>
      </c>
      <c r="M10" s="48" t="s">
        <v>8</v>
      </c>
      <c r="N10" s="26"/>
    </row>
    <row r="11">
      <c r="A11" s="49">
        <v>40475.4375</v>
      </c>
      <c r="B11" s="241" t="s">
        <v>6</v>
      </c>
      <c r="C11" s="30"/>
      <c r="D11" s="205"/>
      <c r="E11" s="266"/>
      <c r="F11" s="259"/>
      <c r="G11" s="51" t="s">
        <v>7</v>
      </c>
      <c r="H11" s="37" t="s">
        <v>11</v>
      </c>
      <c r="I11" s="228"/>
      <c r="J11" s="37"/>
      <c r="K11" s="46" t="s">
        <v>8</v>
      </c>
      <c r="L11" s="46" t="s">
        <v>9</v>
      </c>
      <c r="M11" s="48" t="s">
        <v>8</v>
      </c>
      <c r="N11" s="35"/>
    </row>
    <row r="12">
      <c r="A12" s="49">
        <v>40475.458333333336</v>
      </c>
      <c r="B12" s="243" t="s">
        <v>6</v>
      </c>
      <c r="C12" s="41"/>
      <c r="D12" s="189"/>
      <c r="E12" s="266"/>
      <c r="F12" s="259"/>
      <c r="G12" s="51" t="s">
        <v>7</v>
      </c>
      <c r="H12" s="37" t="s">
        <v>11</v>
      </c>
      <c r="I12" s="228"/>
      <c r="J12" s="37"/>
      <c r="K12" s="46" t="s">
        <v>8</v>
      </c>
      <c r="L12" s="46" t="s">
        <v>9</v>
      </c>
      <c r="M12" s="48" t="s">
        <v>8</v>
      </c>
      <c r="N12" s="35"/>
    </row>
    <row r="13">
      <c r="A13" s="55">
        <v>40475.479166666664</v>
      </c>
      <c r="B13" s="242" t="s">
        <v>6</v>
      </c>
      <c r="C13" s="32"/>
      <c r="D13" s="196"/>
      <c r="E13" s="223"/>
      <c r="F13" s="259"/>
      <c r="G13" s="51" t="s">
        <v>7</v>
      </c>
      <c r="H13" s="37" t="s">
        <v>11</v>
      </c>
      <c r="I13" s="228"/>
      <c r="J13" s="37"/>
      <c r="K13" s="46" t="s">
        <v>8</v>
      </c>
      <c r="L13" s="46" t="s">
        <v>9</v>
      </c>
      <c r="M13" s="48" t="s">
        <v>8</v>
      </c>
      <c r="N13" s="26"/>
    </row>
    <row r="14">
      <c r="A14" s="55">
        <v>40475.5</v>
      </c>
      <c r="B14" s="242" t="s">
        <v>6</v>
      </c>
      <c r="C14" s="32"/>
      <c r="D14" s="196"/>
      <c r="E14" s="223"/>
      <c r="F14" s="32"/>
      <c r="G14" s="51" t="s">
        <v>7</v>
      </c>
      <c r="H14" s="37" t="s">
        <v>11</v>
      </c>
      <c r="I14" s="228"/>
      <c r="J14" s="37"/>
      <c r="K14" s="46" t="s">
        <v>10</v>
      </c>
      <c r="L14" s="46" t="s">
        <v>9</v>
      </c>
      <c r="M14" s="48" t="s">
        <v>8</v>
      </c>
      <c r="N14" s="35"/>
    </row>
    <row r="15">
      <c r="A15" s="49">
        <v>40475.520833333336</v>
      </c>
      <c r="B15" s="273" t="s">
        <v>10</v>
      </c>
      <c r="C15" s="51"/>
      <c r="D15" s="205"/>
      <c r="E15" s="223"/>
      <c r="F15" s="38"/>
      <c r="G15" s="172" t="s">
        <v>6</v>
      </c>
      <c r="H15" s="46" t="s">
        <v>11</v>
      </c>
      <c r="I15" s="30"/>
      <c r="J15" s="37" t="s">
        <v>7</v>
      </c>
      <c r="K15" s="46" t="s">
        <v>8</v>
      </c>
      <c r="L15" s="46" t="s">
        <v>9</v>
      </c>
      <c r="M15" s="48" t="s">
        <v>8</v>
      </c>
      <c r="N15" s="35"/>
    </row>
    <row r="16">
      <c r="A16" s="49">
        <v>40475.541666666664</v>
      </c>
      <c r="B16" s="50" t="s">
        <v>6</v>
      </c>
      <c r="C16" s="51"/>
      <c r="D16" s="172"/>
      <c r="E16" s="223"/>
      <c r="F16" s="139"/>
      <c r="G16" s="205" t="s">
        <v>6</v>
      </c>
      <c r="H16" s="46"/>
      <c r="I16" s="37"/>
      <c r="J16" s="37" t="s">
        <v>7</v>
      </c>
      <c r="K16" s="46" t="s">
        <v>8</v>
      </c>
      <c r="L16" s="46" t="s">
        <v>10</v>
      </c>
      <c r="M16" s="48" t="s">
        <v>10</v>
      </c>
      <c r="N16" s="35"/>
    </row>
    <row r="17">
      <c r="A17" s="55">
        <v>40475.5625</v>
      </c>
      <c r="B17" s="50" t="s">
        <v>6</v>
      </c>
      <c r="C17" s="51"/>
      <c r="D17" s="172"/>
      <c r="E17" s="223"/>
      <c r="F17" s="139"/>
      <c r="G17" s="205" t="s">
        <v>6</v>
      </c>
      <c r="H17" s="46"/>
      <c r="I17" s="37"/>
      <c r="J17" s="77" t="s">
        <v>7</v>
      </c>
      <c r="K17" s="46" t="s">
        <v>8</v>
      </c>
      <c r="L17" s="46" t="s">
        <v>9</v>
      </c>
      <c r="M17" s="48" t="s">
        <v>8</v>
      </c>
      <c r="N17" s="26"/>
    </row>
    <row r="18">
      <c r="A18" s="55">
        <v>40475.583333333336</v>
      </c>
      <c r="B18" s="50" t="s">
        <v>6</v>
      </c>
      <c r="C18" s="51"/>
      <c r="D18" s="172"/>
      <c r="E18" s="223"/>
      <c r="F18" s="77"/>
      <c r="G18" s="205" t="s">
        <v>6</v>
      </c>
      <c r="H18" s="46"/>
      <c r="I18" s="37"/>
      <c r="J18" s="77" t="s">
        <v>7</v>
      </c>
      <c r="K18" s="46" t="s">
        <v>8</v>
      </c>
      <c r="L18" s="46" t="s">
        <v>9</v>
      </c>
      <c r="M18" s="48" t="s">
        <v>8</v>
      </c>
      <c r="N18" s="26"/>
    </row>
    <row r="19">
      <c r="A19" s="49">
        <v>40475.604166666664</v>
      </c>
      <c r="B19" s="50" t="s">
        <v>6</v>
      </c>
      <c r="C19" s="172" t="s">
        <v>23</v>
      </c>
      <c r="D19" s="50" t="s">
        <v>7</v>
      </c>
      <c r="E19" s="223" t="s">
        <v>11</v>
      </c>
      <c r="F19" s="50"/>
      <c r="G19" s="249" t="s">
        <v>10</v>
      </c>
      <c r="H19" s="54"/>
      <c r="I19" s="184" t="s">
        <v>7</v>
      </c>
      <c r="J19" s="37" t="s">
        <v>7</v>
      </c>
      <c r="K19" s="46" t="s">
        <v>8</v>
      </c>
      <c r="L19" s="46" t="s">
        <v>9</v>
      </c>
      <c r="M19" s="48" t="s">
        <v>8</v>
      </c>
      <c r="N19" s="35"/>
    </row>
    <row r="20">
      <c r="A20" s="49">
        <v>40475.625</v>
      </c>
      <c r="B20" s="50" t="s">
        <v>6</v>
      </c>
      <c r="C20" s="69" t="s">
        <v>23</v>
      </c>
      <c r="D20" s="50" t="s">
        <v>7</v>
      </c>
      <c r="E20" s="223" t="s">
        <v>11</v>
      </c>
      <c r="F20" s="50"/>
      <c r="G20" s="205" t="s">
        <v>7</v>
      </c>
      <c r="H20" s="54"/>
      <c r="I20" s="184" t="s">
        <v>7</v>
      </c>
      <c r="J20" s="37" t="s">
        <v>7</v>
      </c>
      <c r="K20" s="46" t="s">
        <v>8</v>
      </c>
      <c r="L20" s="46" t="s">
        <v>9</v>
      </c>
      <c r="M20" s="48" t="s">
        <v>8</v>
      </c>
      <c r="N20" s="35"/>
    </row>
    <row r="21">
      <c r="A21" s="55">
        <v>40475.645833333336</v>
      </c>
      <c r="B21" s="40" t="s">
        <v>6</v>
      </c>
      <c r="C21" s="172" t="s">
        <v>23</v>
      </c>
      <c r="D21" s="40" t="s">
        <v>7</v>
      </c>
      <c r="E21" s="223" t="s">
        <v>11</v>
      </c>
      <c r="F21" s="40"/>
      <c r="G21" s="186" t="s">
        <v>7</v>
      </c>
      <c r="H21" s="54"/>
      <c r="I21" s="184" t="s">
        <v>7</v>
      </c>
      <c r="J21" s="37" t="s">
        <v>7</v>
      </c>
      <c r="K21" s="46" t="s">
        <v>8</v>
      </c>
      <c r="L21" s="46" t="s">
        <v>9</v>
      </c>
      <c r="M21" s="48" t="s">
        <v>8</v>
      </c>
      <c r="N21" s="35"/>
    </row>
    <row r="22">
      <c r="A22" s="55">
        <v>40475.666666666664</v>
      </c>
      <c r="B22" s="50" t="s">
        <v>6</v>
      </c>
      <c r="C22" s="69" t="s">
        <v>23</v>
      </c>
      <c r="D22" s="50" t="s">
        <v>7</v>
      </c>
      <c r="E22" s="223" t="s">
        <v>11</v>
      </c>
      <c r="F22" s="50"/>
      <c r="G22" s="205" t="s">
        <v>7</v>
      </c>
      <c r="H22" s="54"/>
      <c r="I22" s="184" t="s">
        <v>7</v>
      </c>
      <c r="J22" s="37" t="s">
        <v>7</v>
      </c>
      <c r="K22" s="46" t="s">
        <v>8</v>
      </c>
      <c r="L22" s="46" t="s">
        <v>9</v>
      </c>
      <c r="M22" s="48" t="s">
        <v>8</v>
      </c>
      <c r="N22" s="35"/>
    </row>
    <row r="23">
      <c r="A23" s="49">
        <v>40475.6875</v>
      </c>
      <c r="B23" s="40" t="s">
        <v>6</v>
      </c>
      <c r="C23" s="172" t="s">
        <v>23</v>
      </c>
      <c r="D23" s="40" t="s">
        <v>7</v>
      </c>
      <c r="E23" s="223" t="s">
        <v>11</v>
      </c>
      <c r="F23" s="40"/>
      <c r="G23" s="186" t="s">
        <v>7</v>
      </c>
      <c r="H23" s="54"/>
      <c r="I23" s="184" t="s">
        <v>7</v>
      </c>
      <c r="J23" s="37" t="s">
        <v>10</v>
      </c>
      <c r="K23" s="46" t="s">
        <v>8</v>
      </c>
      <c r="L23" s="46" t="s">
        <v>9</v>
      </c>
      <c r="M23" s="48" t="s">
        <v>8</v>
      </c>
      <c r="N23" s="35"/>
    </row>
    <row r="24">
      <c r="A24" s="49">
        <v>40475.708333333336</v>
      </c>
      <c r="B24" s="69"/>
      <c r="C24" s="69" t="s">
        <v>23</v>
      </c>
      <c r="D24" s="50" t="s">
        <v>7</v>
      </c>
      <c r="E24" s="223" t="s">
        <v>11</v>
      </c>
      <c r="F24" s="40"/>
      <c r="G24" s="249" t="s">
        <v>6</v>
      </c>
      <c r="H24" s="37"/>
      <c r="I24" s="37" t="s">
        <v>7</v>
      </c>
      <c r="J24" s="37" t="s">
        <v>7</v>
      </c>
      <c r="K24" s="46"/>
      <c r="L24" s="46"/>
      <c r="M24" s="48" t="s">
        <v>8</v>
      </c>
      <c r="N24" s="35"/>
    </row>
    <row r="25">
      <c r="A25" s="55">
        <v>40475.729166666664</v>
      </c>
      <c r="B25" s="69"/>
      <c r="C25" s="137" t="s">
        <v>23</v>
      </c>
      <c r="D25" s="50" t="s">
        <v>7</v>
      </c>
      <c r="E25" s="28" t="s">
        <v>11</v>
      </c>
      <c r="F25" s="50"/>
      <c r="G25" s="122" t="s">
        <v>6</v>
      </c>
      <c r="H25" s="37"/>
      <c r="I25" s="37" t="s">
        <v>7</v>
      </c>
      <c r="J25" s="37" t="s">
        <v>7</v>
      </c>
      <c r="K25" s="46"/>
      <c r="L25" s="48"/>
      <c r="M25" s="48" t="s">
        <v>8</v>
      </c>
      <c r="N25" s="35"/>
    </row>
    <row r="26">
      <c r="A26" s="55">
        <v>40475.75</v>
      </c>
      <c r="B26" s="69"/>
      <c r="C26" s="137" t="s">
        <v>23</v>
      </c>
      <c r="D26" s="176" t="s">
        <v>10</v>
      </c>
      <c r="E26" s="28" t="s">
        <v>11</v>
      </c>
      <c r="F26" s="50"/>
      <c r="G26" s="139" t="s">
        <v>6</v>
      </c>
      <c r="H26" s="46"/>
      <c r="I26" s="37" t="s">
        <v>7</v>
      </c>
      <c r="J26" s="37" t="s">
        <v>7</v>
      </c>
      <c r="K26" s="46"/>
      <c r="L26" s="48"/>
      <c r="M26" s="48" t="s">
        <v>8</v>
      </c>
      <c r="N26" s="35"/>
    </row>
    <row r="27">
      <c r="A27" s="49">
        <v>40475.770833333336</v>
      </c>
      <c r="B27" s="69"/>
      <c r="C27" s="172" t="s">
        <v>23</v>
      </c>
      <c r="D27" s="50" t="s">
        <v>6</v>
      </c>
      <c r="E27" s="28" t="s">
        <v>10</v>
      </c>
      <c r="F27" s="40"/>
      <c r="G27" s="46" t="s">
        <v>6</v>
      </c>
      <c r="H27" s="46"/>
      <c r="I27" s="30" t="s">
        <v>10</v>
      </c>
      <c r="J27" s="37" t="s">
        <v>7</v>
      </c>
      <c r="K27" s="46"/>
      <c r="L27" s="48"/>
      <c r="M27" s="48"/>
      <c r="N27" s="35"/>
    </row>
    <row r="28">
      <c r="A28" s="49">
        <v>40475.791666666664</v>
      </c>
      <c r="B28" s="58"/>
      <c r="C28" s="69" t="s">
        <v>23</v>
      </c>
      <c r="D28" s="50" t="s">
        <v>6</v>
      </c>
      <c r="E28" s="274" t="s">
        <v>7</v>
      </c>
      <c r="F28" s="40"/>
      <c r="G28" s="37"/>
      <c r="H28" s="37"/>
      <c r="I28" s="37" t="s">
        <v>7</v>
      </c>
      <c r="J28" s="77" t="s">
        <v>7</v>
      </c>
      <c r="K28" s="46"/>
      <c r="L28" s="48"/>
      <c r="M28" s="48"/>
      <c r="N28" s="35"/>
    </row>
    <row r="29">
      <c r="A29" s="55">
        <v>40475.8125</v>
      </c>
      <c r="B29" s="58"/>
      <c r="C29" s="172" t="s">
        <v>23</v>
      </c>
      <c r="D29" s="50" t="s">
        <v>6</v>
      </c>
      <c r="E29" s="274" t="s">
        <v>7</v>
      </c>
      <c r="F29" s="50"/>
      <c r="G29" s="37"/>
      <c r="H29" s="37"/>
      <c r="I29" s="37" t="s">
        <v>7</v>
      </c>
      <c r="J29" s="37" t="s">
        <v>7</v>
      </c>
      <c r="K29" s="46"/>
      <c r="L29" s="48"/>
      <c r="M29" s="48"/>
      <c r="N29" s="35"/>
    </row>
    <row r="30">
      <c r="A30" s="55">
        <v>40475.833333333336</v>
      </c>
      <c r="B30" s="58"/>
      <c r="C30" s="69" t="s">
        <v>23</v>
      </c>
      <c r="D30" s="50" t="s">
        <v>6</v>
      </c>
      <c r="E30" s="275" t="s">
        <v>7</v>
      </c>
      <c r="F30" s="50"/>
      <c r="G30" s="37"/>
      <c r="H30" s="37"/>
      <c r="I30" s="30" t="s">
        <v>7</v>
      </c>
      <c r="J30" s="17" t="s">
        <v>7</v>
      </c>
      <c r="K30" s="46"/>
      <c r="L30" s="48"/>
      <c r="M30" s="48"/>
      <c r="N30" s="27"/>
    </row>
    <row r="31">
      <c r="A31" s="49">
        <v>40475.854166666664</v>
      </c>
      <c r="B31" s="58"/>
      <c r="C31" s="172" t="s">
        <v>23</v>
      </c>
      <c r="D31" s="50" t="s">
        <v>6</v>
      </c>
      <c r="E31" s="275" t="s">
        <v>7</v>
      </c>
      <c r="F31" s="50"/>
      <c r="G31" s="37"/>
      <c r="H31" s="37"/>
      <c r="I31" s="37" t="s">
        <v>7</v>
      </c>
      <c r="J31" s="24" t="s">
        <v>7</v>
      </c>
      <c r="K31" s="46"/>
      <c r="L31" s="48"/>
      <c r="M31" s="48"/>
      <c r="N31" s="27"/>
    </row>
    <row r="32">
      <c r="A32" s="49">
        <v>40475.875</v>
      </c>
      <c r="B32" s="58"/>
      <c r="C32" s="69" t="s">
        <v>23</v>
      </c>
      <c r="D32" s="40" t="s">
        <v>6</v>
      </c>
      <c r="E32" s="275" t="s">
        <v>7</v>
      </c>
      <c r="F32" s="50"/>
      <c r="G32" s="37"/>
      <c r="H32" s="37"/>
      <c r="I32" s="37" t="s">
        <v>7</v>
      </c>
      <c r="J32" s="17"/>
      <c r="K32" s="46"/>
      <c r="L32" s="48"/>
      <c r="M32" s="48"/>
      <c r="N32" s="35"/>
    </row>
    <row r="33">
      <c r="A33" s="55">
        <v>40475.895833333336</v>
      </c>
      <c r="B33" s="69"/>
      <c r="C33" s="137" t="s">
        <v>23</v>
      </c>
      <c r="D33" s="50" t="s">
        <v>6</v>
      </c>
      <c r="E33" s="275" t="s">
        <v>7</v>
      </c>
      <c r="F33" s="50"/>
      <c r="G33" s="37"/>
      <c r="H33" s="37"/>
      <c r="I33" s="30" t="s">
        <v>7</v>
      </c>
      <c r="J33" s="48"/>
      <c r="K33" s="46"/>
      <c r="L33" s="48"/>
      <c r="M33" s="48"/>
      <c r="N33" s="35"/>
    </row>
    <row r="34">
      <c r="A34" s="55">
        <v>40475.916666666664</v>
      </c>
      <c r="B34" s="69"/>
      <c r="C34" s="137" t="s">
        <v>23</v>
      </c>
      <c r="D34" s="40" t="s">
        <v>6</v>
      </c>
      <c r="E34" s="276" t="s">
        <v>7</v>
      </c>
      <c r="F34" s="50"/>
      <c r="G34" s="37"/>
      <c r="H34" s="30"/>
      <c r="I34" s="37" t="s">
        <v>7</v>
      </c>
      <c r="J34" s="77"/>
      <c r="K34" s="37"/>
      <c r="L34" s="37"/>
      <c r="M34" s="24"/>
      <c r="N34" s="35"/>
    </row>
    <row r="35">
      <c r="A35" s="49">
        <v>40475.9375</v>
      </c>
      <c r="B35" s="69"/>
      <c r="C35" s="137" t="s">
        <v>23</v>
      </c>
      <c r="D35" s="40" t="s">
        <v>6</v>
      </c>
      <c r="E35" s="276" t="s">
        <v>7</v>
      </c>
      <c r="F35" s="50"/>
      <c r="G35" s="37"/>
      <c r="H35" s="30"/>
      <c r="I35" s="37" t="s">
        <v>7</v>
      </c>
      <c r="J35" s="77"/>
      <c r="K35" s="37"/>
      <c r="L35" s="37"/>
      <c r="M35" s="24"/>
      <c r="N35" s="35"/>
    </row>
    <row r="36">
      <c r="A36" s="49">
        <v>40475.958333333336</v>
      </c>
      <c r="B36" s="277"/>
      <c r="C36" s="32"/>
      <c r="D36" s="226"/>
      <c r="E36" s="225"/>
      <c r="F36" s="33"/>
      <c r="G36" s="233"/>
      <c r="H36" s="278"/>
      <c r="I36" s="30"/>
      <c r="J36" s="24"/>
      <c r="K36" s="37"/>
      <c r="L36" s="27"/>
      <c r="M36" s="24"/>
      <c r="N36" s="199"/>
    </row>
    <row r="37">
      <c r="A37" s="55">
        <v>40475.979166666664</v>
      </c>
      <c r="B37" s="226"/>
      <c r="C37" s="32"/>
      <c r="D37" s="226"/>
      <c r="E37" s="225"/>
      <c r="F37" s="33"/>
      <c r="G37" s="226"/>
      <c r="H37" s="268"/>
      <c r="I37" s="233"/>
      <c r="J37" s="25"/>
      <c r="K37" s="25"/>
      <c r="L37" s="48"/>
      <c r="M37" s="25"/>
      <c r="N37" s="199"/>
    </row>
    <row r="38">
      <c r="A38" s="85" t="s">
        <v>12</v>
      </c>
      <c r="B38" s="232"/>
      <c r="C38" s="88"/>
      <c r="D38" s="226"/>
      <c r="E38" s="223"/>
      <c r="F38" s="33"/>
      <c r="G38" s="253"/>
      <c r="H38" s="268"/>
      <c r="I38" s="233"/>
      <c r="J38" s="25"/>
      <c r="K38" s="83"/>
      <c r="L38" s="24"/>
      <c r="M38" s="83"/>
      <c r="N38" s="268"/>
    </row>
    <row r="39">
      <c r="A39" s="89" t="s">
        <v>13</v>
      </c>
      <c r="B39" s="89">
        <f t="shared" ref="B39:N39" si="1">CONCATENATE(COUNTIF(B4:B38,"MAGAZZINI")+COUNTIF(B4:B38,"PRIMO")+COUNTIF(B4:B38,"RECEPTION")+COUNTIF(B4:B38,"SAGGI")+COUNTIF(B4:B38,"SECONDO")+COUNTIF(B4:B38,"SMART W")+COUNTIF(B4:B38,"STUDIO 1 e 2")+COUNTIF(B4:B38,"MANUTENZ.")+COUNTIF(B4:B38,"UFFICIO")+COUNTIF(B4:B38,"CAMPUS")+COUNTIF(B4:B38,"TEATRO")+COUNTIF(B4:B38,"AMM.ZIONE")+COUNTIF(B4:B38,"FORMAZ-1p")+COUNTIF(B4:B38,"FORMAZ-2p")+COUNTIF(B4:B38,"FORMAZ-rec")+COUNTIF(B4:B38,"WORKSHOP")+COUNTIF(B4:B38,"EVENTO EST."))/2</f>
        <v>8</v>
      </c>
      <c r="C39" s="89">
        <f t="shared" si="1"/>
        <v>0</v>
      </c>
      <c r="D39" s="89">
        <f t="shared" si="1"/>
        <v>8</v>
      </c>
      <c r="E39" s="89">
        <f t="shared" si="1"/>
        <v>8</v>
      </c>
      <c r="F39" s="89">
        <f t="shared" si="1"/>
        <v>0</v>
      </c>
      <c r="G39" s="89">
        <f t="shared" si="1"/>
        <v>8</v>
      </c>
      <c r="H39" s="89">
        <f t="shared" si="1"/>
        <v>4.5</v>
      </c>
      <c r="I39" s="89">
        <f t="shared" si="1"/>
        <v>8</v>
      </c>
      <c r="J39" s="89">
        <f t="shared" si="1"/>
        <v>8</v>
      </c>
      <c r="K39" s="89">
        <f t="shared" si="1"/>
        <v>8</v>
      </c>
      <c r="L39" s="89">
        <f t="shared" si="1"/>
        <v>8</v>
      </c>
      <c r="M39" s="89">
        <f t="shared" si="1"/>
        <v>8</v>
      </c>
      <c r="N39" s="89">
        <f t="shared" si="1"/>
        <v>0</v>
      </c>
    </row>
  </sheetData>
  <mergeCells count="4">
    <mergeCell ref="B1:C2"/>
    <mergeCell ref="D1:E2"/>
    <mergeCell ref="F1:F2"/>
    <mergeCell ref="G1:N2"/>
  </mergeCells>
  <conditionalFormatting sqref="B4:C38 E4:E38 D7:D23 D27:D35 G28:G33">
    <cfRule type="containsText" dxfId="5" priority="1" operator="containsText" text="PERMESSO">
      <formula>NOT(ISERROR(SEARCH(("PERMESSO"),(B4))))</formula>
    </cfRule>
  </conditionalFormatting>
  <conditionalFormatting sqref="B4:N38">
    <cfRule type="containsText" dxfId="1" priority="2" operator="containsText" text="MALATTIA">
      <formula>NOT(ISERROR(SEARCH(("MALATTIA"),(B4))))</formula>
    </cfRule>
  </conditionalFormatting>
  <conditionalFormatting sqref="B4:N38">
    <cfRule type="containsText" dxfId="2" priority="3" operator="containsText" text="FORMAZ">
      <formula>NOT(ISERROR(SEARCH(("FORMAZ"),(B4))))</formula>
    </cfRule>
  </conditionalFormatting>
  <conditionalFormatting sqref="B4:N38">
    <cfRule type="containsText" dxfId="3" priority="4" operator="containsText" text="AMM.ZIONE">
      <formula>NOT(ISERROR(SEARCH(("AMM.ZIONE"),(B4))))</formula>
    </cfRule>
  </conditionalFormatting>
  <conditionalFormatting sqref="B4:N38">
    <cfRule type="containsText" dxfId="4" priority="5" operator="containsText" text="PAUSA">
      <formula>NOT(ISERROR(SEARCH(("PAUSA"),(B4))))</formula>
    </cfRule>
  </conditionalFormatting>
  <conditionalFormatting sqref="B4:N38">
    <cfRule type="containsText" dxfId="0" priority="6" operator="containsText" text="PERMESSO">
      <formula>NOT(ISERROR(SEARCH(("PERMESSO"),(B4))))</formula>
    </cfRule>
  </conditionalFormatting>
  <conditionalFormatting sqref="B4:N38">
    <cfRule type="containsText" dxfId="6" priority="7" operator="containsText" text="UFFICIO">
      <formula>NOT(ISERROR(SEARCH(("UFFICIO"),(B4))))</formula>
    </cfRule>
  </conditionalFormatting>
  <conditionalFormatting sqref="B4:N38">
    <cfRule type="containsText" dxfId="7" priority="8" operator="containsText" text="RIPOSO">
      <formula>NOT(ISERROR(SEARCH(("RIPOSO"),(B4))))</formula>
    </cfRule>
  </conditionalFormatting>
  <dataValidations>
    <dataValidation type="list" allowBlank="1" showInputMessage="1" showErrorMessage="1" prompt="Fai clic e immetti un valore da intervallo elenchi!A1:A30" sqref="B4:N38">
      <formula1>elenchi!$A$1:$A$30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FF"/>
    <outlinePr summaryBelow="0" summaryRight="0"/>
  </sheetPr>
  <sheetViews>
    <sheetView workbookViewId="0">
      <pane xSplit="1.0" ySplit="3.0" topLeftCell="B4" activePane="bottomRight" state="frozen"/>
      <selection activeCell="B1" sqref="B1" pane="topRight"/>
      <selection activeCell="A4" sqref="A4" pane="bottomLeft"/>
      <selection activeCell="B4" sqref="B4" pane="bottomRight"/>
    </sheetView>
  </sheetViews>
  <sheetFormatPr customHeight="1" defaultColWidth="14.43" defaultRowHeight="15.0"/>
  <cols>
    <col customWidth="1" min="1" max="1" width="10.14"/>
    <col customWidth="1" min="2" max="14" width="18.71"/>
  </cols>
  <sheetData>
    <row r="1">
      <c r="A1" s="254"/>
      <c r="B1" s="222" t="s">
        <v>15</v>
      </c>
      <c r="C1" s="213"/>
      <c r="D1" s="255" t="str">
        <f>elenchi!C3</f>
        <v>  SETTIMANA - C</v>
      </c>
      <c r="E1" s="5"/>
      <c r="F1" s="256" t="s">
        <v>22</v>
      </c>
      <c r="G1" s="257" t="str">
        <f>elenchi!D3</f>
        <v>LUNEDI 30 MARZO A DOMENICA 05 APRILE 2026</v>
      </c>
      <c r="H1" s="5"/>
      <c r="I1" s="5"/>
      <c r="J1" s="5"/>
      <c r="K1" s="5"/>
      <c r="L1" s="5"/>
      <c r="M1" s="5"/>
      <c r="N1" s="3"/>
    </row>
    <row r="2">
      <c r="A2" s="254"/>
      <c r="B2" s="8"/>
      <c r="C2" s="9"/>
      <c r="D2" s="10"/>
      <c r="E2" s="10"/>
      <c r="F2" s="10"/>
      <c r="G2" s="10"/>
      <c r="H2" s="10"/>
      <c r="I2" s="10"/>
      <c r="J2" s="10"/>
      <c r="K2" s="10"/>
      <c r="L2" s="10"/>
      <c r="M2" s="10"/>
      <c r="N2" s="9"/>
    </row>
    <row r="3">
      <c r="A3" s="11" t="s">
        <v>2</v>
      </c>
      <c r="B3" s="11" t="str">
        <f>elenchi!B1</f>
        <v>ALEXANDRA</v>
      </c>
      <c r="C3" s="11" t="str">
        <f>elenchi!B2</f>
        <v>GIUDITTA</v>
      </c>
      <c r="D3" s="11" t="str">
        <f>elenchi!B3</f>
        <v>ESTEFANY</v>
      </c>
      <c r="E3" s="12" t="str">
        <f>elenchi!B4</f>
        <v>NURA</v>
      </c>
      <c r="F3" s="12" t="str">
        <f>elenchi!B5</f>
        <v/>
      </c>
      <c r="G3" s="12" t="str">
        <f>elenchi!B6</f>
        <v>JOEL</v>
      </c>
      <c r="H3" s="13" t="str">
        <f>elenchi!B7</f>
        <v>KEVIN</v>
      </c>
      <c r="I3" s="14" t="str">
        <f>elenchi!B8</f>
        <v>JASIR</v>
      </c>
      <c r="J3" s="15" t="str">
        <f>elenchi!B9</f>
        <v>DIEGO</v>
      </c>
      <c r="K3" s="15" t="str">
        <f>elenchi!B10</f>
        <v>SARA</v>
      </c>
      <c r="L3" s="12" t="str">
        <f>elenchi!B11</f>
        <v>SANTO</v>
      </c>
      <c r="M3" s="12" t="str">
        <f>elenchi!B12</f>
        <v>MASSI</v>
      </c>
      <c r="N3" s="12" t="str">
        <f>elenchi!B13</f>
        <v/>
      </c>
    </row>
    <row r="4">
      <c r="A4" s="16" t="s">
        <v>3</v>
      </c>
      <c r="B4" s="226"/>
      <c r="C4" s="18"/>
      <c r="D4" s="226"/>
      <c r="E4" s="20"/>
      <c r="F4" s="232"/>
      <c r="G4" s="232"/>
      <c r="H4" s="233"/>
      <c r="I4" s="233"/>
      <c r="J4" s="25"/>
      <c r="K4" s="199"/>
      <c r="L4" s="223"/>
      <c r="M4" s="17"/>
      <c r="N4" s="224"/>
    </row>
    <row r="5">
      <c r="A5" s="28" t="s">
        <v>4</v>
      </c>
      <c r="B5" s="226"/>
      <c r="C5" s="30"/>
      <c r="D5" s="226"/>
      <c r="E5" s="32"/>
      <c r="F5" s="232"/>
      <c r="G5" s="232"/>
      <c r="H5" s="233"/>
      <c r="I5" s="233"/>
      <c r="J5" s="25"/>
      <c r="K5" s="199"/>
      <c r="L5" s="223"/>
      <c r="M5" s="17"/>
      <c r="N5" s="224"/>
    </row>
    <row r="6">
      <c r="A6" s="28" t="s">
        <v>5</v>
      </c>
      <c r="B6" s="226"/>
      <c r="C6" s="30"/>
      <c r="D6" s="226"/>
      <c r="E6" s="32"/>
      <c r="F6" s="232"/>
      <c r="G6" s="232"/>
      <c r="H6" s="189"/>
      <c r="I6" s="189"/>
      <c r="J6" s="37"/>
      <c r="K6" s="38"/>
      <c r="L6" s="223"/>
      <c r="M6" s="17"/>
      <c r="N6" s="224"/>
    </row>
    <row r="7">
      <c r="A7" s="39">
        <v>40475.354166666664</v>
      </c>
      <c r="B7" s="30"/>
      <c r="C7" s="41"/>
      <c r="D7" s="246"/>
      <c r="E7" s="30" t="s">
        <v>6</v>
      </c>
      <c r="F7" s="225"/>
      <c r="G7" s="184"/>
      <c r="H7" s="279" t="s">
        <v>7</v>
      </c>
      <c r="I7" s="189"/>
      <c r="J7" s="186"/>
      <c r="K7" s="46" t="s">
        <v>8</v>
      </c>
      <c r="L7" s="46" t="s">
        <v>9</v>
      </c>
      <c r="M7" s="48"/>
      <c r="N7" s="225"/>
    </row>
    <row r="8">
      <c r="A8" s="49">
        <v>40475.375</v>
      </c>
      <c r="B8" s="32"/>
      <c r="C8" s="41"/>
      <c r="D8" s="246"/>
      <c r="E8" s="32" t="s">
        <v>6</v>
      </c>
      <c r="F8" s="225"/>
      <c r="G8" s="184"/>
      <c r="H8" s="280" t="s">
        <v>7</v>
      </c>
      <c r="I8" s="189"/>
      <c r="J8" s="189"/>
      <c r="K8" s="46" t="s">
        <v>8</v>
      </c>
      <c r="L8" s="46" t="s">
        <v>9</v>
      </c>
      <c r="M8" s="48" t="s">
        <v>8</v>
      </c>
      <c r="N8" s="226"/>
    </row>
    <row r="9">
      <c r="A9" s="55">
        <v>40475.395833333336</v>
      </c>
      <c r="B9" s="30"/>
      <c r="C9" s="41"/>
      <c r="D9" s="246"/>
      <c r="E9" s="30" t="s">
        <v>6</v>
      </c>
      <c r="F9" s="225"/>
      <c r="G9" s="184"/>
      <c r="H9" s="280" t="s">
        <v>7</v>
      </c>
      <c r="I9" s="189"/>
      <c r="J9" s="189"/>
      <c r="K9" s="46" t="s">
        <v>8</v>
      </c>
      <c r="L9" s="46" t="s">
        <v>9</v>
      </c>
      <c r="M9" s="48" t="s">
        <v>8</v>
      </c>
      <c r="N9" s="225"/>
    </row>
    <row r="10">
      <c r="A10" s="55">
        <v>40475.416666666664</v>
      </c>
      <c r="B10" s="137"/>
      <c r="C10" s="41"/>
      <c r="D10" s="246"/>
      <c r="E10" s="32" t="s">
        <v>6</v>
      </c>
      <c r="F10" s="227"/>
      <c r="G10" s="184"/>
      <c r="H10" s="280" t="s">
        <v>7</v>
      </c>
      <c r="I10" s="250"/>
      <c r="J10" s="189"/>
      <c r="K10" s="46" t="s">
        <v>8</v>
      </c>
      <c r="L10" s="46" t="s">
        <v>9</v>
      </c>
      <c r="M10" s="48" t="s">
        <v>8</v>
      </c>
      <c r="N10" s="226"/>
    </row>
    <row r="11">
      <c r="A11" s="49">
        <v>40475.4375</v>
      </c>
      <c r="B11" s="32" t="s">
        <v>7</v>
      </c>
      <c r="C11" s="41"/>
      <c r="D11" s="190"/>
      <c r="E11" s="30" t="s">
        <v>6</v>
      </c>
      <c r="F11" s="228"/>
      <c r="G11" s="184"/>
      <c r="H11" s="280" t="s">
        <v>7</v>
      </c>
      <c r="I11" s="250"/>
      <c r="J11" s="189"/>
      <c r="K11" s="46" t="s">
        <v>8</v>
      </c>
      <c r="L11" s="46" t="s">
        <v>9</v>
      </c>
      <c r="M11" s="48" t="s">
        <v>8</v>
      </c>
      <c r="N11" s="225"/>
    </row>
    <row r="12">
      <c r="A12" s="49">
        <v>40475.458333333336</v>
      </c>
      <c r="B12" s="32" t="s">
        <v>7</v>
      </c>
      <c r="C12" s="41"/>
      <c r="D12" s="246"/>
      <c r="E12" s="41" t="s">
        <v>6</v>
      </c>
      <c r="F12" s="228"/>
      <c r="G12" s="37"/>
      <c r="H12" s="280" t="s">
        <v>7</v>
      </c>
      <c r="I12" s="250"/>
      <c r="J12" s="189"/>
      <c r="K12" s="46" t="s">
        <v>8</v>
      </c>
      <c r="L12" s="46" t="s">
        <v>9</v>
      </c>
      <c r="M12" s="48" t="s">
        <v>8</v>
      </c>
      <c r="N12" s="225"/>
    </row>
    <row r="13">
      <c r="A13" s="55">
        <v>40475.479166666664</v>
      </c>
      <c r="B13" s="32" t="s">
        <v>7</v>
      </c>
      <c r="C13" s="30"/>
      <c r="D13" s="246"/>
      <c r="E13" s="32" t="s">
        <v>6</v>
      </c>
      <c r="F13" s="227"/>
      <c r="G13" s="37"/>
      <c r="H13" s="280" t="s">
        <v>7</v>
      </c>
      <c r="I13" s="250"/>
      <c r="J13" s="189"/>
      <c r="K13" s="46" t="s">
        <v>8</v>
      </c>
      <c r="L13" s="46" t="s">
        <v>9</v>
      </c>
      <c r="M13" s="48" t="s">
        <v>8</v>
      </c>
      <c r="N13" s="226"/>
    </row>
    <row r="14">
      <c r="A14" s="55">
        <v>40475.5</v>
      </c>
      <c r="B14" s="32" t="s">
        <v>7</v>
      </c>
      <c r="C14" s="30"/>
      <c r="D14" s="207"/>
      <c r="E14" s="32" t="s">
        <v>6</v>
      </c>
      <c r="F14" s="227"/>
      <c r="G14" s="37"/>
      <c r="H14" s="186" t="s">
        <v>7</v>
      </c>
      <c r="I14" s="250"/>
      <c r="J14" s="37"/>
      <c r="K14" s="46" t="s">
        <v>10</v>
      </c>
      <c r="L14" s="46" t="s">
        <v>9</v>
      </c>
      <c r="M14" s="48" t="s">
        <v>8</v>
      </c>
      <c r="N14" s="225"/>
    </row>
    <row r="15">
      <c r="A15" s="49">
        <v>40475.520833333336</v>
      </c>
      <c r="B15" s="137" t="s">
        <v>6</v>
      </c>
      <c r="C15" s="30"/>
      <c r="D15" s="226"/>
      <c r="E15" s="32" t="s">
        <v>10</v>
      </c>
      <c r="F15" s="227"/>
      <c r="G15" s="46"/>
      <c r="H15" s="189" t="s">
        <v>7</v>
      </c>
      <c r="I15" s="204"/>
      <c r="J15" s="37"/>
      <c r="K15" s="46" t="s">
        <v>8</v>
      </c>
      <c r="L15" s="46" t="s">
        <v>9</v>
      </c>
      <c r="M15" s="48" t="s">
        <v>8</v>
      </c>
      <c r="N15" s="225"/>
    </row>
    <row r="16">
      <c r="A16" s="49">
        <v>40475.541666666664</v>
      </c>
      <c r="B16" s="32" t="s">
        <v>6</v>
      </c>
      <c r="C16" s="30"/>
      <c r="D16" s="186"/>
      <c r="E16" s="32" t="s">
        <v>7</v>
      </c>
      <c r="F16" s="228"/>
      <c r="G16" s="77"/>
      <c r="H16" s="189" t="s">
        <v>7</v>
      </c>
      <c r="I16" s="250"/>
      <c r="J16" s="37"/>
      <c r="K16" s="46" t="s">
        <v>8</v>
      </c>
      <c r="L16" s="46" t="s">
        <v>10</v>
      </c>
      <c r="M16" s="48" t="s">
        <v>10</v>
      </c>
      <c r="N16" s="225"/>
    </row>
    <row r="17">
      <c r="A17" s="55">
        <v>40475.5625</v>
      </c>
      <c r="B17" s="38" t="s">
        <v>6</v>
      </c>
      <c r="C17" s="74"/>
      <c r="D17" s="196"/>
      <c r="E17" s="71" t="s">
        <v>7</v>
      </c>
      <c r="F17" s="228"/>
      <c r="G17" s="37"/>
      <c r="H17" s="250" t="s">
        <v>7</v>
      </c>
      <c r="I17" s="204"/>
      <c r="J17" s="37"/>
      <c r="K17" s="46" t="s">
        <v>8</v>
      </c>
      <c r="L17" s="46" t="s">
        <v>9</v>
      </c>
      <c r="M17" s="48" t="s">
        <v>8</v>
      </c>
      <c r="N17" s="226"/>
    </row>
    <row r="18">
      <c r="A18" s="55">
        <v>40475.583333333336</v>
      </c>
      <c r="B18" s="38" t="s">
        <v>6</v>
      </c>
      <c r="C18" s="74"/>
      <c r="D18" s="189"/>
      <c r="E18" s="71" t="s">
        <v>7</v>
      </c>
      <c r="F18" s="228"/>
      <c r="G18" s="196"/>
      <c r="H18" s="189" t="s">
        <v>7</v>
      </c>
      <c r="I18" s="250"/>
      <c r="J18" s="37"/>
      <c r="K18" s="46" t="s">
        <v>8</v>
      </c>
      <c r="L18" s="46" t="s">
        <v>9</v>
      </c>
      <c r="M18" s="48" t="s">
        <v>8</v>
      </c>
      <c r="N18" s="226"/>
    </row>
    <row r="19">
      <c r="A19" s="49">
        <v>40475.604166666664</v>
      </c>
      <c r="B19" s="197" t="s">
        <v>10</v>
      </c>
      <c r="C19" s="72" t="s">
        <v>7</v>
      </c>
      <c r="D19" s="38" t="s">
        <v>6</v>
      </c>
      <c r="E19" s="71" t="s">
        <v>7</v>
      </c>
      <c r="F19" s="38"/>
      <c r="G19" s="196" t="s">
        <v>11</v>
      </c>
      <c r="H19" s="250" t="s">
        <v>10</v>
      </c>
      <c r="I19" s="189" t="s">
        <v>7</v>
      </c>
      <c r="J19" s="37" t="s">
        <v>7</v>
      </c>
      <c r="K19" s="46" t="s">
        <v>8</v>
      </c>
      <c r="L19" s="46" t="s">
        <v>9</v>
      </c>
      <c r="M19" s="48" t="s">
        <v>8</v>
      </c>
      <c r="N19" s="225"/>
    </row>
    <row r="20">
      <c r="A20" s="49">
        <v>40475.625</v>
      </c>
      <c r="B20" s="250" t="s">
        <v>7</v>
      </c>
      <c r="C20" s="72" t="s">
        <v>7</v>
      </c>
      <c r="D20" s="38" t="s">
        <v>6</v>
      </c>
      <c r="E20" s="71" t="s">
        <v>7</v>
      </c>
      <c r="F20" s="38"/>
      <c r="G20" s="196" t="s">
        <v>11</v>
      </c>
      <c r="H20" s="189" t="s">
        <v>7</v>
      </c>
      <c r="I20" s="189" t="s">
        <v>7</v>
      </c>
      <c r="J20" s="37" t="s">
        <v>7</v>
      </c>
      <c r="K20" s="46" t="s">
        <v>8</v>
      </c>
      <c r="L20" s="46" t="s">
        <v>9</v>
      </c>
      <c r="M20" s="48" t="s">
        <v>8</v>
      </c>
      <c r="N20" s="225"/>
    </row>
    <row r="21">
      <c r="A21" s="55">
        <v>40475.645833333336</v>
      </c>
      <c r="B21" s="54" t="s">
        <v>7</v>
      </c>
      <c r="C21" s="72" t="s">
        <v>7</v>
      </c>
      <c r="D21" s="54" t="s">
        <v>6</v>
      </c>
      <c r="E21" s="71" t="s">
        <v>7</v>
      </c>
      <c r="F21" s="38"/>
      <c r="G21" s="196" t="s">
        <v>11</v>
      </c>
      <c r="H21" s="37" t="s">
        <v>7</v>
      </c>
      <c r="I21" s="189" t="s">
        <v>7</v>
      </c>
      <c r="J21" s="37" t="s">
        <v>7</v>
      </c>
      <c r="K21" s="46" t="s">
        <v>8</v>
      </c>
      <c r="L21" s="46" t="s">
        <v>9</v>
      </c>
      <c r="M21" s="48" t="s">
        <v>8</v>
      </c>
      <c r="N21" s="225"/>
    </row>
    <row r="22">
      <c r="A22" s="55">
        <v>40475.666666666664</v>
      </c>
      <c r="B22" s="197" t="s">
        <v>7</v>
      </c>
      <c r="C22" s="73" t="s">
        <v>7</v>
      </c>
      <c r="D22" s="184" t="s">
        <v>6</v>
      </c>
      <c r="E22" s="71" t="s">
        <v>7</v>
      </c>
      <c r="F22" s="184"/>
      <c r="G22" s="196" t="s">
        <v>11</v>
      </c>
      <c r="H22" s="37" t="s">
        <v>7</v>
      </c>
      <c r="I22" s="189" t="s">
        <v>7</v>
      </c>
      <c r="J22" s="37" t="s">
        <v>7</v>
      </c>
      <c r="K22" s="46" t="s">
        <v>8</v>
      </c>
      <c r="L22" s="46" t="s">
        <v>9</v>
      </c>
      <c r="M22" s="48" t="s">
        <v>8</v>
      </c>
      <c r="N22" s="225"/>
    </row>
    <row r="23">
      <c r="A23" s="49">
        <v>40475.6875</v>
      </c>
      <c r="B23" s="184" t="s">
        <v>7</v>
      </c>
      <c r="C23" s="74" t="s">
        <v>7</v>
      </c>
      <c r="D23" s="54" t="s">
        <v>6</v>
      </c>
      <c r="E23" s="74" t="s">
        <v>7</v>
      </c>
      <c r="F23" s="184"/>
      <c r="G23" s="189" t="s">
        <v>11</v>
      </c>
      <c r="H23" s="37" t="s">
        <v>7</v>
      </c>
      <c r="I23" s="189" t="s">
        <v>7</v>
      </c>
      <c r="J23" s="37" t="s">
        <v>7</v>
      </c>
      <c r="K23" s="46" t="s">
        <v>8</v>
      </c>
      <c r="L23" s="46" t="s">
        <v>9</v>
      </c>
      <c r="M23" s="48" t="s">
        <v>8</v>
      </c>
      <c r="N23" s="225"/>
    </row>
    <row r="24">
      <c r="A24" s="49">
        <v>40475.708333333336</v>
      </c>
      <c r="B24" s="38" t="s">
        <v>7</v>
      </c>
      <c r="C24" s="51" t="s">
        <v>7</v>
      </c>
      <c r="D24" s="184" t="s">
        <v>6</v>
      </c>
      <c r="E24" s="69"/>
      <c r="F24" s="184"/>
      <c r="G24" s="280" t="s">
        <v>11</v>
      </c>
      <c r="H24" s="46"/>
      <c r="I24" s="37" t="s">
        <v>7</v>
      </c>
      <c r="J24" s="37" t="s">
        <v>7</v>
      </c>
      <c r="K24" s="46"/>
      <c r="L24" s="46"/>
      <c r="M24" s="48" t="s">
        <v>8</v>
      </c>
      <c r="N24" s="225"/>
    </row>
    <row r="25">
      <c r="A25" s="55">
        <v>40475.729166666664</v>
      </c>
      <c r="B25" s="184" t="s">
        <v>7</v>
      </c>
      <c r="C25" s="72" t="s">
        <v>10</v>
      </c>
      <c r="D25" s="184" t="s">
        <v>6</v>
      </c>
      <c r="E25" s="69"/>
      <c r="F25" s="37"/>
      <c r="G25" s="280" t="s">
        <v>11</v>
      </c>
      <c r="H25" s="46"/>
      <c r="I25" s="37" t="s">
        <v>7</v>
      </c>
      <c r="J25" s="37" t="s">
        <v>7</v>
      </c>
      <c r="K25" s="46"/>
      <c r="L25" s="46"/>
      <c r="M25" s="48" t="s">
        <v>8</v>
      </c>
      <c r="N25" s="225"/>
    </row>
    <row r="26">
      <c r="A26" s="55">
        <v>40475.75</v>
      </c>
      <c r="B26" s="37" t="s">
        <v>7</v>
      </c>
      <c r="C26" s="73" t="s">
        <v>11</v>
      </c>
      <c r="D26" s="46" t="s">
        <v>10</v>
      </c>
      <c r="E26" s="72"/>
      <c r="F26" s="37"/>
      <c r="G26" s="280" t="s">
        <v>11</v>
      </c>
      <c r="H26" s="46"/>
      <c r="I26" s="37" t="s">
        <v>7</v>
      </c>
      <c r="J26" s="37" t="s">
        <v>7</v>
      </c>
      <c r="K26" s="46"/>
      <c r="L26" s="228"/>
      <c r="M26" s="48" t="s">
        <v>8</v>
      </c>
      <c r="N26" s="225"/>
    </row>
    <row r="27">
      <c r="A27" s="49">
        <v>40475.770833333336</v>
      </c>
      <c r="B27" s="46" t="s">
        <v>7</v>
      </c>
      <c r="C27" s="72" t="s">
        <v>11</v>
      </c>
      <c r="D27" s="250" t="s">
        <v>7</v>
      </c>
      <c r="E27" s="72"/>
      <c r="F27" s="37"/>
      <c r="G27" s="189" t="s">
        <v>10</v>
      </c>
      <c r="H27" s="46"/>
      <c r="I27" s="46" t="s">
        <v>10</v>
      </c>
      <c r="J27" s="37" t="s">
        <v>10</v>
      </c>
      <c r="K27" s="46"/>
      <c r="L27" s="228"/>
      <c r="M27" s="48"/>
      <c r="N27" s="228"/>
    </row>
    <row r="28">
      <c r="A28" s="49">
        <v>40475.791666666664</v>
      </c>
      <c r="B28" s="46"/>
      <c r="C28" s="73" t="s">
        <v>11</v>
      </c>
      <c r="D28" s="281" t="s">
        <v>7</v>
      </c>
      <c r="E28" s="71"/>
      <c r="F28" s="77"/>
      <c r="G28" s="205" t="s">
        <v>6</v>
      </c>
      <c r="H28" s="46"/>
      <c r="I28" s="37" t="s">
        <v>7</v>
      </c>
      <c r="J28" s="77" t="s">
        <v>7</v>
      </c>
      <c r="K28" s="46"/>
      <c r="L28" s="228"/>
      <c r="M28" s="48"/>
      <c r="N28" s="225"/>
    </row>
    <row r="29">
      <c r="A29" s="55">
        <v>40475.8125</v>
      </c>
      <c r="B29" s="33"/>
      <c r="C29" s="72" t="s">
        <v>11</v>
      </c>
      <c r="D29" s="281" t="s">
        <v>7</v>
      </c>
      <c r="E29" s="71"/>
      <c r="F29" s="77"/>
      <c r="G29" s="196" t="s">
        <v>6</v>
      </c>
      <c r="H29" s="46"/>
      <c r="I29" s="46" t="s">
        <v>7</v>
      </c>
      <c r="J29" s="37" t="s">
        <v>7</v>
      </c>
      <c r="K29" s="48"/>
      <c r="L29" s="228"/>
      <c r="M29" s="48"/>
      <c r="N29" s="228"/>
    </row>
    <row r="30">
      <c r="A30" s="55">
        <v>40475.833333333336</v>
      </c>
      <c r="B30" s="46"/>
      <c r="C30" s="72" t="s">
        <v>11</v>
      </c>
      <c r="D30" s="282" t="s">
        <v>7</v>
      </c>
      <c r="E30" s="72"/>
      <c r="F30" s="77"/>
      <c r="G30" s="196" t="s">
        <v>6</v>
      </c>
      <c r="H30" s="46"/>
      <c r="I30" s="37" t="s">
        <v>7</v>
      </c>
      <c r="J30" s="77" t="s">
        <v>7</v>
      </c>
      <c r="K30" s="48"/>
      <c r="L30" s="228"/>
      <c r="M30" s="48"/>
      <c r="N30" s="223"/>
    </row>
    <row r="31">
      <c r="A31" s="49">
        <v>40475.854166666664</v>
      </c>
      <c r="B31" s="46"/>
      <c r="C31" s="72" t="s">
        <v>11</v>
      </c>
      <c r="D31" s="263" t="s">
        <v>7</v>
      </c>
      <c r="E31" s="74"/>
      <c r="F31" s="37"/>
      <c r="G31" s="189" t="s">
        <v>6</v>
      </c>
      <c r="H31" s="33"/>
      <c r="I31" s="37" t="s">
        <v>7</v>
      </c>
      <c r="J31" s="37" t="s">
        <v>7</v>
      </c>
      <c r="K31" s="48"/>
      <c r="L31" s="228"/>
      <c r="M31" s="48"/>
      <c r="N31" s="223"/>
    </row>
    <row r="32">
      <c r="A32" s="49">
        <v>40475.875</v>
      </c>
      <c r="B32" s="37"/>
      <c r="C32" s="72" t="s">
        <v>11</v>
      </c>
      <c r="D32" s="264" t="s">
        <v>7</v>
      </c>
      <c r="E32" s="72"/>
      <c r="F32" s="77"/>
      <c r="G32" s="196" t="s">
        <v>6</v>
      </c>
      <c r="H32" s="33"/>
      <c r="I32" s="37" t="s">
        <v>7</v>
      </c>
      <c r="J32" s="77" t="s">
        <v>7</v>
      </c>
      <c r="K32" s="48"/>
      <c r="L32" s="228"/>
      <c r="M32" s="48"/>
      <c r="N32" s="223"/>
    </row>
    <row r="33">
      <c r="A33" s="55">
        <v>40475.895833333336</v>
      </c>
      <c r="B33" s="37"/>
      <c r="C33" s="72" t="s">
        <v>11</v>
      </c>
      <c r="D33" s="263" t="s">
        <v>7</v>
      </c>
      <c r="E33" s="74"/>
      <c r="F33" s="37"/>
      <c r="G33" s="189" t="s">
        <v>6</v>
      </c>
      <c r="H33" s="33"/>
      <c r="I33" s="37" t="s">
        <v>7</v>
      </c>
      <c r="J33" s="37" t="s">
        <v>7</v>
      </c>
      <c r="K33" s="48"/>
      <c r="L33" s="228"/>
      <c r="M33" s="48"/>
      <c r="N33" s="223"/>
    </row>
    <row r="34">
      <c r="A34" s="55">
        <v>40475.916666666664</v>
      </c>
      <c r="B34" s="37"/>
      <c r="C34" s="72" t="s">
        <v>11</v>
      </c>
      <c r="D34" s="263" t="s">
        <v>7</v>
      </c>
      <c r="E34" s="74"/>
      <c r="F34" s="189"/>
      <c r="G34" s="189" t="s">
        <v>6</v>
      </c>
      <c r="H34" s="33"/>
      <c r="I34" s="186" t="s">
        <v>7</v>
      </c>
      <c r="J34" s="77" t="s">
        <v>7</v>
      </c>
      <c r="K34" s="24"/>
      <c r="L34" s="225"/>
      <c r="M34" s="24"/>
      <c r="N34" s="283"/>
    </row>
    <row r="35">
      <c r="A35" s="49">
        <v>40475.9375</v>
      </c>
      <c r="B35" s="37"/>
      <c r="C35" s="72" t="s">
        <v>11</v>
      </c>
      <c r="D35" s="281" t="s">
        <v>7</v>
      </c>
      <c r="E35" s="72"/>
      <c r="F35" s="189"/>
      <c r="G35" s="189" t="s">
        <v>6</v>
      </c>
      <c r="H35" s="33"/>
      <c r="I35" s="189" t="s">
        <v>7</v>
      </c>
      <c r="J35" s="77" t="s">
        <v>7</v>
      </c>
      <c r="K35" s="24"/>
      <c r="L35" s="225"/>
      <c r="M35" s="24"/>
      <c r="N35" s="284"/>
    </row>
    <row r="36">
      <c r="A36" s="49">
        <v>40475.958333333336</v>
      </c>
      <c r="B36" s="266"/>
      <c r="C36" s="30"/>
      <c r="D36" s="225"/>
      <c r="E36" s="77"/>
      <c r="F36" s="226"/>
      <c r="G36" s="233"/>
      <c r="H36" s="267"/>
      <c r="I36" s="267"/>
      <c r="J36" s="83"/>
      <c r="K36" s="37"/>
      <c r="L36" s="225"/>
      <c r="M36" s="24"/>
      <c r="N36" s="232"/>
    </row>
    <row r="37">
      <c r="A37" s="55">
        <v>40475.979166666664</v>
      </c>
      <c r="B37" s="226"/>
      <c r="C37" s="30"/>
      <c r="D37" s="233"/>
      <c r="E37" s="32"/>
      <c r="F37" s="226"/>
      <c r="G37" s="232"/>
      <c r="H37" s="233"/>
      <c r="I37" s="233"/>
      <c r="J37" s="25"/>
      <c r="K37" s="25"/>
      <c r="L37" s="228"/>
      <c r="M37" s="25"/>
      <c r="N37" s="226"/>
    </row>
    <row r="38">
      <c r="A38" s="85" t="s">
        <v>12</v>
      </c>
      <c r="B38" s="253"/>
      <c r="C38" s="30"/>
      <c r="D38" s="267"/>
      <c r="E38" s="88"/>
      <c r="F38" s="253"/>
      <c r="G38" s="253"/>
      <c r="H38" s="233"/>
      <c r="I38" s="233"/>
      <c r="J38" s="25"/>
      <c r="K38" s="83"/>
      <c r="L38" s="225"/>
      <c r="M38" s="83"/>
      <c r="N38" s="233"/>
    </row>
    <row r="39">
      <c r="A39" s="89" t="s">
        <v>13</v>
      </c>
      <c r="B39" s="89">
        <f t="shared" ref="B39:N39" si="1">CONCATENATE(COUNTIF(B4:B38,"MAGAZZINI")+COUNTIF(B4:B38,"PRIMO")+COUNTIF(B4:B38,"RECEPTION")+COUNTIF(B4:B38,"SAGGI")+COUNTIF(B4:B38,"SECONDO")+COUNTIF(B4:B38,"SMART W")+COUNTIF(B4:B38,"STUDIO 1 e 2")+COUNTIF(B4:B38,"MANUTENZ.")+COUNTIF(B4:B38,"UFFICIO")+COUNTIF(B4:B38,"CAMPUS")+COUNTIF(B4:B38,"TEATRO")+COUNTIF(B4:B38,"AMM.ZIONE")+COUNTIF(B4:B38,"FORMAZ-1p")+COUNTIF(B4:B38,"FORMAZ-2p")+COUNTIF(B4:B38,"FORMAZ-rec")+COUNTIF(B4:B38,"WORKSHOP")+COUNTIF(B4:B38,"EVENTO EST."))/2</f>
        <v>8</v>
      </c>
      <c r="C39" s="89">
        <f t="shared" si="1"/>
        <v>8</v>
      </c>
      <c r="D39" s="89">
        <f t="shared" si="1"/>
        <v>8</v>
      </c>
      <c r="E39" s="89">
        <f t="shared" si="1"/>
        <v>8</v>
      </c>
      <c r="F39" s="89">
        <f t="shared" si="1"/>
        <v>0</v>
      </c>
      <c r="G39" s="89">
        <f t="shared" si="1"/>
        <v>8</v>
      </c>
      <c r="H39" s="89">
        <f t="shared" si="1"/>
        <v>8</v>
      </c>
      <c r="I39" s="89">
        <f t="shared" si="1"/>
        <v>8</v>
      </c>
      <c r="J39" s="89">
        <f t="shared" si="1"/>
        <v>8</v>
      </c>
      <c r="K39" s="89">
        <f t="shared" si="1"/>
        <v>8</v>
      </c>
      <c r="L39" s="89">
        <f t="shared" si="1"/>
        <v>8</v>
      </c>
      <c r="M39" s="89">
        <f t="shared" si="1"/>
        <v>9</v>
      </c>
      <c r="N39" s="89">
        <f t="shared" si="1"/>
        <v>0</v>
      </c>
    </row>
  </sheetData>
  <mergeCells count="4">
    <mergeCell ref="B1:C2"/>
    <mergeCell ref="D1:E2"/>
    <mergeCell ref="F1:F2"/>
    <mergeCell ref="G1:N2"/>
  </mergeCells>
  <conditionalFormatting sqref="B4:E38 G7:G24 F19:F24">
    <cfRule type="containsText" dxfId="5" priority="1" operator="containsText" text="PERMESSO">
      <formula>NOT(ISERROR(SEARCH(("PERMESSO"),(B4))))</formula>
    </cfRule>
  </conditionalFormatting>
  <conditionalFormatting sqref="B4:N38">
    <cfRule type="containsText" dxfId="1" priority="2" operator="containsText" text="MALATTIA">
      <formula>NOT(ISERROR(SEARCH(("MALATTIA"),(B4))))</formula>
    </cfRule>
  </conditionalFormatting>
  <conditionalFormatting sqref="B4:N38">
    <cfRule type="containsText" dxfId="2" priority="3" operator="containsText" text="FORMAZ">
      <formula>NOT(ISERROR(SEARCH(("FORMAZ"),(B4))))</formula>
    </cfRule>
  </conditionalFormatting>
  <conditionalFormatting sqref="B4:N38">
    <cfRule type="containsText" dxfId="3" priority="4" operator="containsText" text="AMM.ZIONE">
      <formula>NOT(ISERROR(SEARCH(("AMM.ZIONE"),(B4))))</formula>
    </cfRule>
  </conditionalFormatting>
  <conditionalFormatting sqref="B4:N38">
    <cfRule type="containsText" dxfId="4" priority="5" operator="containsText" text="PAUSA">
      <formula>NOT(ISERROR(SEARCH(("PAUSA"),(B4))))</formula>
    </cfRule>
  </conditionalFormatting>
  <conditionalFormatting sqref="B4:N38">
    <cfRule type="containsText" dxfId="0" priority="6" operator="containsText" text="PERMESSO">
      <formula>NOT(ISERROR(SEARCH(("PERMESSO"),(B4))))</formula>
    </cfRule>
  </conditionalFormatting>
  <conditionalFormatting sqref="B4:N38">
    <cfRule type="containsText" dxfId="6" priority="7" operator="containsText" text="UFFICIO">
      <formula>NOT(ISERROR(SEARCH(("UFFICIO"),(B4))))</formula>
    </cfRule>
  </conditionalFormatting>
  <conditionalFormatting sqref="B4:N38">
    <cfRule type="containsText" dxfId="7" priority="8" operator="containsText" text="RIPOSO">
      <formula>NOT(ISERROR(SEARCH(("RIPOSO"),(B4))))</formula>
    </cfRule>
  </conditionalFormatting>
  <dataValidations>
    <dataValidation type="list" allowBlank="1" showInputMessage="1" showErrorMessage="1" prompt="Fai clic e immetti un valore da intervallo elenchi!A1:A30" sqref="B4:N38">
      <formula1>elenchi!$A$1:$A$30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FF"/>
    <outlinePr summaryBelow="0" summaryRight="0"/>
  </sheetPr>
  <sheetViews>
    <sheetView workbookViewId="0">
      <pane xSplit="1.0" ySplit="3.0" topLeftCell="B4" activePane="bottomRight" state="frozen"/>
      <selection activeCell="B1" sqref="B1" pane="topRight"/>
      <selection activeCell="A4" sqref="A4" pane="bottomLeft"/>
      <selection activeCell="B4" sqref="B4" pane="bottomRight"/>
    </sheetView>
  </sheetViews>
  <sheetFormatPr customHeight="1" defaultColWidth="14.43" defaultRowHeight="15.0"/>
  <cols>
    <col customWidth="1" min="1" max="1" width="10.14"/>
    <col customWidth="1" min="2" max="14" width="18.71"/>
  </cols>
  <sheetData>
    <row r="1">
      <c r="A1" s="285"/>
      <c r="B1" s="222" t="s">
        <v>16</v>
      </c>
      <c r="C1" s="213"/>
      <c r="D1" s="255" t="str">
        <f>elenchi!C3</f>
        <v>  SETTIMANA - C</v>
      </c>
      <c r="E1" s="5"/>
      <c r="F1" s="256" t="s">
        <v>22</v>
      </c>
      <c r="G1" s="257" t="str">
        <f>elenchi!D3</f>
        <v>LUNEDI 30 MARZO A DOMENICA 05 APRILE 2026</v>
      </c>
      <c r="H1" s="5"/>
      <c r="I1" s="5"/>
      <c r="J1" s="5"/>
      <c r="K1" s="5"/>
      <c r="L1" s="5"/>
      <c r="M1" s="5"/>
      <c r="N1" s="3"/>
    </row>
    <row r="2">
      <c r="A2" s="285"/>
      <c r="B2" s="8"/>
      <c r="C2" s="9"/>
      <c r="D2" s="10"/>
      <c r="E2" s="10"/>
      <c r="F2" s="10"/>
      <c r="G2" s="10"/>
      <c r="H2" s="10"/>
      <c r="I2" s="10"/>
      <c r="J2" s="10"/>
      <c r="K2" s="10"/>
      <c r="L2" s="10"/>
      <c r="M2" s="10"/>
      <c r="N2" s="9"/>
    </row>
    <row r="3">
      <c r="A3" s="11" t="s">
        <v>2</v>
      </c>
      <c r="B3" s="11" t="str">
        <f>elenchi!B1</f>
        <v>ALEXANDRA</v>
      </c>
      <c r="C3" s="11" t="str">
        <f>elenchi!B2</f>
        <v>GIUDITTA</v>
      </c>
      <c r="D3" s="11" t="str">
        <f>elenchi!B3</f>
        <v>ESTEFANY</v>
      </c>
      <c r="E3" s="12" t="str">
        <f>elenchi!B4</f>
        <v>NURA</v>
      </c>
      <c r="F3" s="12" t="str">
        <f>elenchi!B5</f>
        <v/>
      </c>
      <c r="G3" s="12" t="str">
        <f>elenchi!B6</f>
        <v>JOEL</v>
      </c>
      <c r="H3" s="13" t="str">
        <f>elenchi!B7</f>
        <v>KEVIN</v>
      </c>
      <c r="I3" s="14" t="str">
        <f>elenchi!B8</f>
        <v>JASIR</v>
      </c>
      <c r="J3" s="15" t="str">
        <f>elenchi!B9</f>
        <v>DIEGO</v>
      </c>
      <c r="K3" s="15" t="str">
        <f>elenchi!B10</f>
        <v>SARA</v>
      </c>
      <c r="L3" s="12" t="str">
        <f>elenchi!B11</f>
        <v>SANTO</v>
      </c>
      <c r="M3" s="12" t="str">
        <f>elenchi!B12</f>
        <v>MASSI</v>
      </c>
      <c r="N3" s="12" t="str">
        <f>elenchi!B13</f>
        <v/>
      </c>
    </row>
    <row r="4">
      <c r="A4" s="16" t="s">
        <v>3</v>
      </c>
      <c r="B4" s="225"/>
      <c r="C4" s="20"/>
      <c r="D4" s="286"/>
      <c r="E4" s="20"/>
      <c r="F4" s="20"/>
      <c r="G4" s="287"/>
      <c r="H4" s="268"/>
      <c r="I4" s="24"/>
      <c r="J4" s="25"/>
      <c r="K4" s="199"/>
      <c r="L4" s="27"/>
      <c r="M4" s="17"/>
      <c r="N4" s="199"/>
    </row>
    <row r="5">
      <c r="A5" s="28" t="s">
        <v>4</v>
      </c>
      <c r="B5" s="288"/>
      <c r="C5" s="32"/>
      <c r="D5" s="289"/>
      <c r="E5" s="32"/>
      <c r="F5" s="32"/>
      <c r="G5" s="290"/>
      <c r="H5" s="268"/>
      <c r="I5" s="24"/>
      <c r="J5" s="25"/>
      <c r="K5" s="199"/>
      <c r="L5" s="27"/>
      <c r="M5" s="17"/>
      <c r="N5" s="199"/>
    </row>
    <row r="6">
      <c r="A6" s="28" t="s">
        <v>5</v>
      </c>
      <c r="B6" s="288"/>
      <c r="C6" s="32"/>
      <c r="D6" s="289"/>
      <c r="E6" s="32"/>
      <c r="F6" s="264"/>
      <c r="G6" s="290"/>
      <c r="H6" s="198"/>
      <c r="I6" s="36"/>
      <c r="J6" s="37"/>
      <c r="K6" s="38"/>
      <c r="L6" s="27"/>
      <c r="M6" s="17"/>
      <c r="N6" s="199"/>
    </row>
    <row r="7">
      <c r="A7" s="39">
        <v>40475.354166666664</v>
      </c>
      <c r="B7" s="291"/>
      <c r="C7" s="32"/>
      <c r="D7" s="270"/>
      <c r="E7" s="182"/>
      <c r="F7" s="185"/>
      <c r="G7" s="292" t="s">
        <v>6</v>
      </c>
      <c r="H7" s="182"/>
      <c r="I7" s="185" t="s">
        <v>7</v>
      </c>
      <c r="J7" s="37"/>
      <c r="K7" s="46" t="s">
        <v>8</v>
      </c>
      <c r="L7" s="47" t="s">
        <v>9</v>
      </c>
      <c r="M7" s="48"/>
      <c r="N7" s="35"/>
    </row>
    <row r="8">
      <c r="A8" s="49">
        <v>40475.375</v>
      </c>
      <c r="B8" s="136"/>
      <c r="C8" s="32"/>
      <c r="D8" s="242"/>
      <c r="E8" s="183"/>
      <c r="F8" s="185"/>
      <c r="G8" s="183" t="s">
        <v>6</v>
      </c>
      <c r="H8" s="185"/>
      <c r="I8" s="185" t="s">
        <v>7</v>
      </c>
      <c r="J8" s="37"/>
      <c r="K8" s="46" t="s">
        <v>8</v>
      </c>
      <c r="L8" s="54" t="s">
        <v>9</v>
      </c>
      <c r="M8" s="48"/>
      <c r="N8" s="26"/>
    </row>
    <row r="9">
      <c r="A9" s="55">
        <v>40475.395833333336</v>
      </c>
      <c r="B9" s="136"/>
      <c r="C9" s="32"/>
      <c r="D9" s="243"/>
      <c r="E9" s="185"/>
      <c r="F9" s="185"/>
      <c r="G9" s="183" t="s">
        <v>6</v>
      </c>
      <c r="H9" s="185"/>
      <c r="I9" s="185" t="s">
        <v>7</v>
      </c>
      <c r="J9" s="37"/>
      <c r="K9" s="46" t="s">
        <v>8</v>
      </c>
      <c r="L9" s="54" t="s">
        <v>9</v>
      </c>
      <c r="M9" s="48"/>
      <c r="N9" s="35"/>
    </row>
    <row r="10">
      <c r="A10" s="55">
        <v>40475.416666666664</v>
      </c>
      <c r="B10" s="136"/>
      <c r="C10" s="32"/>
      <c r="D10" s="242"/>
      <c r="E10" s="183"/>
      <c r="F10" s="195"/>
      <c r="G10" s="183" t="s">
        <v>6</v>
      </c>
      <c r="H10" s="185"/>
      <c r="I10" s="185" t="s">
        <v>7</v>
      </c>
      <c r="J10" s="37"/>
      <c r="K10" s="46" t="s">
        <v>8</v>
      </c>
      <c r="L10" s="54" t="s">
        <v>9</v>
      </c>
      <c r="M10" s="48" t="s">
        <v>8</v>
      </c>
      <c r="N10" s="26"/>
    </row>
    <row r="11">
      <c r="A11" s="49">
        <v>40475.4375</v>
      </c>
      <c r="B11" s="136"/>
      <c r="C11" s="30"/>
      <c r="D11" s="293" t="s">
        <v>7</v>
      </c>
      <c r="E11" s="183"/>
      <c r="F11" s="183"/>
      <c r="G11" s="183" t="s">
        <v>6</v>
      </c>
      <c r="H11" s="185"/>
      <c r="I11" s="185" t="s">
        <v>7</v>
      </c>
      <c r="J11" s="37"/>
      <c r="K11" s="46" t="s">
        <v>8</v>
      </c>
      <c r="L11" s="46" t="s">
        <v>9</v>
      </c>
      <c r="M11" s="48" t="s">
        <v>8</v>
      </c>
      <c r="N11" s="35"/>
    </row>
    <row r="12">
      <c r="A12" s="49">
        <v>40475.458333333336</v>
      </c>
      <c r="B12" s="136"/>
      <c r="C12" s="32"/>
      <c r="D12" s="183" t="s">
        <v>7</v>
      </c>
      <c r="E12" s="185"/>
      <c r="F12" s="185"/>
      <c r="G12" s="185" t="s">
        <v>6</v>
      </c>
      <c r="H12" s="185"/>
      <c r="I12" s="185" t="s">
        <v>7</v>
      </c>
      <c r="J12" s="37"/>
      <c r="K12" s="46" t="s">
        <v>8</v>
      </c>
      <c r="L12" s="46" t="s">
        <v>9</v>
      </c>
      <c r="M12" s="48" t="s">
        <v>8</v>
      </c>
      <c r="N12" s="35"/>
    </row>
    <row r="13">
      <c r="A13" s="55">
        <v>40475.479166666664</v>
      </c>
      <c r="B13" s="57"/>
      <c r="C13" s="32"/>
      <c r="D13" s="183" t="s">
        <v>7</v>
      </c>
      <c r="E13" s="183"/>
      <c r="F13" s="183"/>
      <c r="G13" s="183" t="s">
        <v>6</v>
      </c>
      <c r="H13" s="185"/>
      <c r="I13" s="185" t="s">
        <v>7</v>
      </c>
      <c r="J13" s="37"/>
      <c r="K13" s="46" t="s">
        <v>8</v>
      </c>
      <c r="L13" s="46" t="s">
        <v>9</v>
      </c>
      <c r="M13" s="48" t="s">
        <v>8</v>
      </c>
      <c r="N13" s="26"/>
    </row>
    <row r="14">
      <c r="A14" s="55">
        <v>40475.5</v>
      </c>
      <c r="B14" s="58"/>
      <c r="C14" s="33"/>
      <c r="D14" s="183" t="s">
        <v>7</v>
      </c>
      <c r="E14" s="183"/>
      <c r="F14" s="183"/>
      <c r="G14" s="183" t="s">
        <v>6</v>
      </c>
      <c r="H14" s="185"/>
      <c r="I14" s="185" t="s">
        <v>7</v>
      </c>
      <c r="J14" s="185"/>
      <c r="K14" s="46" t="s">
        <v>10</v>
      </c>
      <c r="L14" s="46" t="s">
        <v>9</v>
      </c>
      <c r="M14" s="48" t="s">
        <v>8</v>
      </c>
      <c r="N14" s="35"/>
    </row>
    <row r="15">
      <c r="A15" s="49">
        <v>40475.520833333336</v>
      </c>
      <c r="B15" s="58"/>
      <c r="C15" s="32"/>
      <c r="D15" s="195" t="s">
        <v>6</v>
      </c>
      <c r="E15" s="183"/>
      <c r="F15" s="183"/>
      <c r="G15" s="176" t="s">
        <v>10</v>
      </c>
      <c r="H15" s="185"/>
      <c r="I15" s="185" t="s">
        <v>7</v>
      </c>
      <c r="J15" s="185"/>
      <c r="K15" s="46" t="s">
        <v>8</v>
      </c>
      <c r="L15" s="46" t="s">
        <v>9</v>
      </c>
      <c r="M15" s="48" t="s">
        <v>8</v>
      </c>
      <c r="N15" s="35"/>
    </row>
    <row r="16">
      <c r="A16" s="49">
        <v>40475.541666666664</v>
      </c>
      <c r="B16" s="185"/>
      <c r="C16" s="30"/>
      <c r="D16" s="183" t="s">
        <v>6</v>
      </c>
      <c r="E16" s="183"/>
      <c r="F16" s="185"/>
      <c r="G16" s="183" t="s">
        <v>7</v>
      </c>
      <c r="H16" s="185"/>
      <c r="I16" s="185" t="s">
        <v>7</v>
      </c>
      <c r="J16" s="185"/>
      <c r="K16" s="46" t="s">
        <v>8</v>
      </c>
      <c r="L16" s="46" t="s">
        <v>10</v>
      </c>
      <c r="M16" s="48" t="s">
        <v>10</v>
      </c>
      <c r="N16" s="35"/>
    </row>
    <row r="17">
      <c r="A17" s="55">
        <v>40475.5625</v>
      </c>
      <c r="B17" s="62"/>
      <c r="C17" s="183"/>
      <c r="D17" s="183" t="s">
        <v>6</v>
      </c>
      <c r="E17" s="183"/>
      <c r="F17" s="183"/>
      <c r="G17" s="183" t="s">
        <v>7</v>
      </c>
      <c r="H17" s="185"/>
      <c r="I17" s="185" t="s">
        <v>7</v>
      </c>
      <c r="J17" s="185"/>
      <c r="K17" s="46" t="s">
        <v>8</v>
      </c>
      <c r="L17" s="46" t="s">
        <v>9</v>
      </c>
      <c r="M17" s="48" t="s">
        <v>8</v>
      </c>
      <c r="N17" s="26"/>
    </row>
    <row r="18">
      <c r="A18" s="55">
        <v>40475.583333333336</v>
      </c>
      <c r="B18" s="62"/>
      <c r="C18" s="185"/>
      <c r="D18" s="183" t="s">
        <v>6</v>
      </c>
      <c r="E18" s="183"/>
      <c r="F18" s="183"/>
      <c r="G18" s="183" t="s">
        <v>7</v>
      </c>
      <c r="H18" s="185"/>
      <c r="I18" s="37" t="s">
        <v>7</v>
      </c>
      <c r="J18" s="185"/>
      <c r="K18" s="46" t="s">
        <v>8</v>
      </c>
      <c r="L18" s="46" t="s">
        <v>9</v>
      </c>
      <c r="M18" s="48" t="s">
        <v>8</v>
      </c>
      <c r="N18" s="26"/>
    </row>
    <row r="19">
      <c r="A19" s="49">
        <v>40475.604166666664</v>
      </c>
      <c r="B19" s="62" t="s">
        <v>7</v>
      </c>
      <c r="C19" s="67" t="s">
        <v>6</v>
      </c>
      <c r="D19" s="183" t="s">
        <v>10</v>
      </c>
      <c r="E19" s="183" t="s">
        <v>11</v>
      </c>
      <c r="F19" s="183"/>
      <c r="G19" s="183" t="s">
        <v>7</v>
      </c>
      <c r="H19" s="195" t="s">
        <v>23</v>
      </c>
      <c r="I19" s="37" t="s">
        <v>10</v>
      </c>
      <c r="J19" s="183" t="s">
        <v>7</v>
      </c>
      <c r="K19" s="46" t="s">
        <v>8</v>
      </c>
      <c r="L19" s="46" t="s">
        <v>9</v>
      </c>
      <c r="M19" s="48" t="s">
        <v>8</v>
      </c>
      <c r="N19" s="26"/>
    </row>
    <row r="20">
      <c r="A20" s="49">
        <v>40475.625</v>
      </c>
      <c r="B20" s="62" t="s">
        <v>7</v>
      </c>
      <c r="C20" s="67" t="s">
        <v>6</v>
      </c>
      <c r="D20" s="67" t="s">
        <v>7</v>
      </c>
      <c r="E20" s="183" t="s">
        <v>11</v>
      </c>
      <c r="F20" s="183"/>
      <c r="G20" s="183" t="s">
        <v>7</v>
      </c>
      <c r="H20" s="67" t="s">
        <v>23</v>
      </c>
      <c r="I20" s="37" t="s">
        <v>7</v>
      </c>
      <c r="J20" s="185" t="s">
        <v>7</v>
      </c>
      <c r="K20" s="46" t="s">
        <v>8</v>
      </c>
      <c r="L20" s="46" t="s">
        <v>9</v>
      </c>
      <c r="M20" s="48" t="s">
        <v>8</v>
      </c>
      <c r="N20" s="35"/>
    </row>
    <row r="21">
      <c r="A21" s="55">
        <v>40475.645833333336</v>
      </c>
      <c r="B21" s="62" t="s">
        <v>7</v>
      </c>
      <c r="C21" s="195" t="s">
        <v>6</v>
      </c>
      <c r="D21" s="185" t="s">
        <v>7</v>
      </c>
      <c r="E21" s="183" t="s">
        <v>11</v>
      </c>
      <c r="F21" s="183"/>
      <c r="G21" s="183" t="s">
        <v>7</v>
      </c>
      <c r="H21" s="195" t="s">
        <v>23</v>
      </c>
      <c r="I21" s="37" t="s">
        <v>7</v>
      </c>
      <c r="J21" s="183" t="s">
        <v>7</v>
      </c>
      <c r="K21" s="46" t="s">
        <v>8</v>
      </c>
      <c r="L21" s="46" t="s">
        <v>9</v>
      </c>
      <c r="M21" s="48" t="s">
        <v>8</v>
      </c>
      <c r="N21" s="26"/>
    </row>
    <row r="22">
      <c r="A22" s="55">
        <v>40475.666666666664</v>
      </c>
      <c r="B22" s="66" t="s">
        <v>7</v>
      </c>
      <c r="C22" s="195" t="s">
        <v>6</v>
      </c>
      <c r="D22" s="185" t="s">
        <v>7</v>
      </c>
      <c r="E22" s="183" t="s">
        <v>11</v>
      </c>
      <c r="F22" s="183"/>
      <c r="G22" s="183" t="s">
        <v>7</v>
      </c>
      <c r="H22" s="67" t="s">
        <v>23</v>
      </c>
      <c r="I22" s="37" t="s">
        <v>7</v>
      </c>
      <c r="J22" s="185" t="s">
        <v>7</v>
      </c>
      <c r="K22" s="46" t="s">
        <v>8</v>
      </c>
      <c r="L22" s="46" t="s">
        <v>9</v>
      </c>
      <c r="M22" s="48" t="s">
        <v>8</v>
      </c>
      <c r="N22" s="35"/>
    </row>
    <row r="23">
      <c r="A23" s="49">
        <v>40475.6875</v>
      </c>
      <c r="B23" s="66" t="s">
        <v>7</v>
      </c>
      <c r="C23" s="195" t="s">
        <v>6</v>
      </c>
      <c r="D23" s="185" t="s">
        <v>7</v>
      </c>
      <c r="E23" s="183" t="s">
        <v>11</v>
      </c>
      <c r="F23" s="183"/>
      <c r="G23" s="183" t="s">
        <v>7</v>
      </c>
      <c r="H23" s="195" t="s">
        <v>23</v>
      </c>
      <c r="I23" s="37" t="s">
        <v>7</v>
      </c>
      <c r="J23" s="183" t="s">
        <v>7</v>
      </c>
      <c r="K23" s="46" t="s">
        <v>8</v>
      </c>
      <c r="L23" s="46" t="s">
        <v>9</v>
      </c>
      <c r="M23" s="48" t="s">
        <v>8</v>
      </c>
      <c r="N23" s="26"/>
    </row>
    <row r="24">
      <c r="A24" s="49">
        <v>40475.708333333336</v>
      </c>
      <c r="B24" s="66" t="s">
        <v>7</v>
      </c>
      <c r="C24" s="195" t="s">
        <v>6</v>
      </c>
      <c r="D24" s="67" t="s">
        <v>7</v>
      </c>
      <c r="E24" s="183" t="s">
        <v>11</v>
      </c>
      <c r="F24" s="183"/>
      <c r="G24" s="185"/>
      <c r="H24" s="67" t="s">
        <v>23</v>
      </c>
      <c r="I24" s="182"/>
      <c r="J24" s="183" t="s">
        <v>7</v>
      </c>
      <c r="K24" s="46"/>
      <c r="L24" s="46"/>
      <c r="M24" s="48" t="s">
        <v>8</v>
      </c>
      <c r="N24" s="26"/>
    </row>
    <row r="25">
      <c r="A25" s="55">
        <v>40475.729166666664</v>
      </c>
      <c r="B25" s="72" t="s">
        <v>7</v>
      </c>
      <c r="C25" s="73" t="s">
        <v>10</v>
      </c>
      <c r="D25" s="67" t="s">
        <v>7</v>
      </c>
      <c r="E25" s="183" t="s">
        <v>11</v>
      </c>
      <c r="F25" s="183"/>
      <c r="G25" s="185"/>
      <c r="H25" s="195" t="s">
        <v>23</v>
      </c>
      <c r="I25" s="37"/>
      <c r="J25" s="77" t="s">
        <v>7</v>
      </c>
      <c r="K25" s="46"/>
      <c r="L25" s="46"/>
      <c r="M25" s="48" t="s">
        <v>8</v>
      </c>
      <c r="N25" s="26"/>
    </row>
    <row r="26">
      <c r="A26" s="55">
        <v>40475.75</v>
      </c>
      <c r="B26" s="72" t="s">
        <v>10</v>
      </c>
      <c r="C26" s="72" t="s">
        <v>7</v>
      </c>
      <c r="D26" s="67" t="s">
        <v>7</v>
      </c>
      <c r="E26" s="64" t="s">
        <v>11</v>
      </c>
      <c r="F26" s="74"/>
      <c r="G26" s="30"/>
      <c r="H26" s="67" t="s">
        <v>23</v>
      </c>
      <c r="I26" s="77"/>
      <c r="J26" s="77" t="s">
        <v>7</v>
      </c>
      <c r="K26" s="46"/>
      <c r="L26" s="46"/>
      <c r="M26" s="48" t="s">
        <v>8</v>
      </c>
      <c r="N26" s="26"/>
    </row>
    <row r="27">
      <c r="A27" s="49">
        <v>40475.770833333336</v>
      </c>
      <c r="B27" s="74" t="s">
        <v>11</v>
      </c>
      <c r="C27" s="72" t="s">
        <v>7</v>
      </c>
      <c r="D27" s="67" t="s">
        <v>7</v>
      </c>
      <c r="E27" s="294" t="s">
        <v>10</v>
      </c>
      <c r="F27" s="74"/>
      <c r="G27" s="33"/>
      <c r="H27" s="195" t="s">
        <v>23</v>
      </c>
      <c r="I27" s="37"/>
      <c r="J27" s="37" t="s">
        <v>7</v>
      </c>
      <c r="K27" s="46"/>
      <c r="L27" s="46"/>
      <c r="M27" s="48"/>
      <c r="N27" s="35"/>
    </row>
    <row r="28">
      <c r="A28" s="49">
        <v>40475.791666666664</v>
      </c>
      <c r="B28" s="74" t="s">
        <v>11</v>
      </c>
      <c r="C28" s="72" t="s">
        <v>7</v>
      </c>
      <c r="D28" s="37"/>
      <c r="E28" s="64" t="s">
        <v>6</v>
      </c>
      <c r="F28" s="74"/>
      <c r="G28" s="33"/>
      <c r="H28" s="67" t="s">
        <v>23</v>
      </c>
      <c r="I28" s="77"/>
      <c r="J28" s="77" t="s">
        <v>10</v>
      </c>
      <c r="K28" s="48"/>
      <c r="L28" s="46"/>
      <c r="M28" s="48"/>
      <c r="N28" s="35"/>
    </row>
    <row r="29">
      <c r="A29" s="55">
        <v>40475.8125</v>
      </c>
      <c r="B29" s="74" t="s">
        <v>11</v>
      </c>
      <c r="C29" s="74" t="s">
        <v>7</v>
      </c>
      <c r="D29" s="139"/>
      <c r="E29" s="78" t="s">
        <v>6</v>
      </c>
      <c r="F29" s="71"/>
      <c r="G29" s="137"/>
      <c r="H29" s="195" t="s">
        <v>23</v>
      </c>
      <c r="I29" s="37"/>
      <c r="J29" s="37" t="s">
        <v>11</v>
      </c>
      <c r="K29" s="48"/>
      <c r="L29" s="46"/>
      <c r="M29" s="48"/>
      <c r="N29" s="35"/>
    </row>
    <row r="30">
      <c r="A30" s="55">
        <v>40475.833333333336</v>
      </c>
      <c r="B30" s="185" t="s">
        <v>11</v>
      </c>
      <c r="C30" s="74" t="s">
        <v>7</v>
      </c>
      <c r="D30" s="46"/>
      <c r="E30" s="78" t="s">
        <v>6</v>
      </c>
      <c r="F30" s="71"/>
      <c r="G30" s="137"/>
      <c r="H30" s="67" t="s">
        <v>23</v>
      </c>
      <c r="I30" s="77"/>
      <c r="J30" s="77" t="s">
        <v>11</v>
      </c>
      <c r="K30" s="48"/>
      <c r="L30" s="46"/>
      <c r="M30" s="48"/>
      <c r="N30" s="27"/>
    </row>
    <row r="31">
      <c r="A31" s="49">
        <v>40475.854166666664</v>
      </c>
      <c r="B31" s="185" t="s">
        <v>11</v>
      </c>
      <c r="C31" s="74" t="s">
        <v>7</v>
      </c>
      <c r="D31" s="139"/>
      <c r="E31" s="78" t="s">
        <v>6</v>
      </c>
      <c r="F31" s="71"/>
      <c r="G31" s="137"/>
      <c r="H31" s="195" t="s">
        <v>23</v>
      </c>
      <c r="I31" s="37"/>
      <c r="J31" s="185" t="s">
        <v>11</v>
      </c>
      <c r="K31" s="48"/>
      <c r="L31" s="46"/>
      <c r="M31" s="48"/>
      <c r="N31" s="27"/>
    </row>
    <row r="32">
      <c r="A32" s="49">
        <v>40475.875</v>
      </c>
      <c r="B32" s="185" t="s">
        <v>11</v>
      </c>
      <c r="C32" s="185" t="s">
        <v>7</v>
      </c>
      <c r="D32" s="46"/>
      <c r="E32" s="78" t="s">
        <v>6</v>
      </c>
      <c r="F32" s="71"/>
      <c r="G32" s="137"/>
      <c r="H32" s="67" t="s">
        <v>23</v>
      </c>
      <c r="I32" s="77"/>
      <c r="J32" s="183" t="s">
        <v>11</v>
      </c>
      <c r="K32" s="48"/>
      <c r="L32" s="46"/>
      <c r="M32" s="48"/>
      <c r="N32" s="35"/>
    </row>
    <row r="33">
      <c r="A33" s="55">
        <v>40475.895833333336</v>
      </c>
      <c r="B33" s="69" t="s">
        <v>11</v>
      </c>
      <c r="C33" s="185" t="s">
        <v>7</v>
      </c>
      <c r="D33" s="46"/>
      <c r="E33" s="78" t="s">
        <v>6</v>
      </c>
      <c r="F33" s="71"/>
      <c r="G33" s="137"/>
      <c r="H33" s="195" t="s">
        <v>23</v>
      </c>
      <c r="I33" s="77"/>
      <c r="J33" s="37" t="s">
        <v>11</v>
      </c>
      <c r="K33" s="48"/>
      <c r="L33" s="46"/>
      <c r="M33" s="48"/>
      <c r="N33" s="35"/>
    </row>
    <row r="34">
      <c r="A34" s="55">
        <v>40475.916666666664</v>
      </c>
      <c r="B34" s="37" t="s">
        <v>11</v>
      </c>
      <c r="C34" s="30" t="s">
        <v>7</v>
      </c>
      <c r="D34" s="281"/>
      <c r="E34" s="295" t="s">
        <v>6</v>
      </c>
      <c r="F34" s="262"/>
      <c r="G34" s="265"/>
      <c r="H34" s="67" t="s">
        <v>23</v>
      </c>
      <c r="I34" s="17"/>
      <c r="J34" s="77" t="s">
        <v>11</v>
      </c>
      <c r="K34" s="24"/>
      <c r="L34" s="24"/>
      <c r="M34" s="24"/>
      <c r="N34" s="35"/>
    </row>
    <row r="35">
      <c r="A35" s="49">
        <v>40475.9375</v>
      </c>
      <c r="B35" s="46" t="s">
        <v>11</v>
      </c>
      <c r="C35" s="33" t="s">
        <v>7</v>
      </c>
      <c r="D35" s="281"/>
      <c r="E35" s="295" t="s">
        <v>6</v>
      </c>
      <c r="F35" s="262"/>
      <c r="G35" s="265"/>
      <c r="H35" s="48" t="s">
        <v>23</v>
      </c>
      <c r="I35" s="17"/>
      <c r="J35" s="77" t="s">
        <v>11</v>
      </c>
      <c r="K35" s="24"/>
      <c r="L35" s="24"/>
      <c r="M35" s="24"/>
      <c r="N35" s="35"/>
    </row>
    <row r="36">
      <c r="A36" s="49">
        <v>40475.958333333336</v>
      </c>
      <c r="B36" s="296"/>
      <c r="C36" s="30"/>
      <c r="D36" s="289"/>
      <c r="E36" s="41"/>
      <c r="F36" s="41"/>
      <c r="G36" s="297"/>
      <c r="H36" s="278"/>
      <c r="I36" s="37"/>
      <c r="J36" s="83"/>
      <c r="K36" s="37"/>
      <c r="L36" s="24"/>
      <c r="M36" s="24"/>
      <c r="N36" s="199"/>
    </row>
    <row r="37">
      <c r="A37" s="55">
        <v>40475.979166666664</v>
      </c>
      <c r="B37" s="288"/>
      <c r="C37" s="41"/>
      <c r="D37" s="289"/>
      <c r="E37" s="32"/>
      <c r="F37" s="32"/>
      <c r="G37" s="289"/>
      <c r="H37" s="268"/>
      <c r="I37" s="25"/>
      <c r="J37" s="25"/>
      <c r="K37" s="25"/>
      <c r="L37" s="48"/>
      <c r="M37" s="25"/>
      <c r="N37" s="199"/>
    </row>
    <row r="38">
      <c r="A38" s="85" t="s">
        <v>12</v>
      </c>
      <c r="B38" s="296"/>
      <c r="C38" s="88"/>
      <c r="D38" s="298"/>
      <c r="E38" s="88"/>
      <c r="F38" s="88"/>
      <c r="G38" s="299"/>
      <c r="H38" s="268"/>
      <c r="I38" s="25"/>
      <c r="J38" s="25"/>
      <c r="K38" s="83"/>
      <c r="L38" s="24"/>
      <c r="M38" s="83"/>
      <c r="N38" s="268"/>
    </row>
    <row r="39">
      <c r="A39" s="89" t="s">
        <v>13</v>
      </c>
      <c r="B39" s="89">
        <f t="shared" ref="B39:N39" si="1">CONCATENATE(COUNTIF(B4:B38,"MAGAZZINI")+COUNTIF(B4:B38,"PRIMO")+COUNTIF(B4:B38,"RECEPTION")+COUNTIF(B4:B38,"SAGGI")+COUNTIF(B4:B38,"SECONDO")+COUNTIF(B4:B38,"SMART W")+COUNTIF(B4:B38,"STUDIO 1 e 2")+COUNTIF(B4:B38,"MANUTENZ.")+COUNTIF(B4:B38,"UFFICIO")+COUNTIF(B4:B38,"CAMPUS")+COUNTIF(B4:B38,"TEATRO")+COUNTIF(B4:B38,"AMM.ZIONE")+COUNTIF(B4:B38,"FORMAZ-1p")+COUNTIF(B4:B38,"FORMAZ-2p")+COUNTIF(B4:B38,"FORMAZ-rec")+COUNTIF(B4:B38,"WORKSHOP")+COUNTIF(B4:B38,"EVENTO EST."))/2</f>
        <v>8</v>
      </c>
      <c r="C39" s="89">
        <f t="shared" si="1"/>
        <v>8</v>
      </c>
      <c r="D39" s="89">
        <f t="shared" si="1"/>
        <v>8</v>
      </c>
      <c r="E39" s="89">
        <f t="shared" si="1"/>
        <v>8</v>
      </c>
      <c r="F39" s="89">
        <f t="shared" si="1"/>
        <v>0</v>
      </c>
      <c r="G39" s="89">
        <f t="shared" si="1"/>
        <v>8</v>
      </c>
      <c r="H39" s="89">
        <f t="shared" si="1"/>
        <v>0</v>
      </c>
      <c r="I39" s="89">
        <f t="shared" si="1"/>
        <v>8</v>
      </c>
      <c r="J39" s="89">
        <f t="shared" si="1"/>
        <v>8</v>
      </c>
      <c r="K39" s="89">
        <f t="shared" si="1"/>
        <v>8</v>
      </c>
      <c r="L39" s="89">
        <f t="shared" si="1"/>
        <v>8</v>
      </c>
      <c r="M39" s="89">
        <f t="shared" si="1"/>
        <v>8</v>
      </c>
      <c r="N39" s="89">
        <f t="shared" si="1"/>
        <v>0</v>
      </c>
    </row>
  </sheetData>
  <mergeCells count="4">
    <mergeCell ref="B1:C2"/>
    <mergeCell ref="D1:E2"/>
    <mergeCell ref="F1:F2"/>
    <mergeCell ref="G1:N2"/>
  </mergeCells>
  <conditionalFormatting sqref="B4:N38">
    <cfRule type="containsText" dxfId="5" priority="1" operator="containsText" text="PERMESSO">
      <formula>NOT(ISERROR(SEARCH(("PERMESSO"),(B4))))</formula>
    </cfRule>
  </conditionalFormatting>
  <conditionalFormatting sqref="B4:N38">
    <cfRule type="containsText" dxfId="1" priority="2" operator="containsText" text="MALATTIA">
      <formula>NOT(ISERROR(SEARCH(("MALATTIA"),(B4))))</formula>
    </cfRule>
  </conditionalFormatting>
  <conditionalFormatting sqref="B4:N38">
    <cfRule type="containsText" dxfId="2" priority="3" operator="containsText" text="FORMAZ">
      <formula>NOT(ISERROR(SEARCH(("FORMAZ"),(B4))))</formula>
    </cfRule>
  </conditionalFormatting>
  <conditionalFormatting sqref="B4:N38">
    <cfRule type="containsText" dxfId="3" priority="4" operator="containsText" text="AMM.ZIONE">
      <formula>NOT(ISERROR(SEARCH(("AMM.ZIONE"),(B4))))</formula>
    </cfRule>
  </conditionalFormatting>
  <conditionalFormatting sqref="B4:N38">
    <cfRule type="containsText" dxfId="4" priority="5" operator="containsText" text="PAUSA">
      <formula>NOT(ISERROR(SEARCH(("PAUSA"),(B4))))</formula>
    </cfRule>
  </conditionalFormatting>
  <conditionalFormatting sqref="B4:N38">
    <cfRule type="containsText" dxfId="0" priority="6" operator="containsText" text="PERMESSO">
      <formula>NOT(ISERROR(SEARCH(("PERMESSO"),(B4))))</formula>
    </cfRule>
  </conditionalFormatting>
  <conditionalFormatting sqref="B4:N38">
    <cfRule type="containsText" dxfId="6" priority="7" operator="containsText" text="UFFICIO">
      <formula>NOT(ISERROR(SEARCH(("UFFICIO"),(B4))))</formula>
    </cfRule>
  </conditionalFormatting>
  <conditionalFormatting sqref="B4:N38">
    <cfRule type="containsText" dxfId="7" priority="8" operator="containsText" text="RIPOSO">
      <formula>NOT(ISERROR(SEARCH(("RIPOSO"),(B4))))</formula>
    </cfRule>
  </conditionalFormatting>
  <dataValidations>
    <dataValidation type="list" allowBlank="1" showInputMessage="1" showErrorMessage="1" prompt="Fai clic e immetti un valore da intervallo elenchi!A1:A30" sqref="B4:N38">
      <formula1>elenchi!$A$1:$A$30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FF"/>
    <outlinePr summaryBelow="0" summaryRight="0"/>
  </sheetPr>
  <sheetViews>
    <sheetView workbookViewId="0">
      <pane xSplit="1.0" ySplit="3.0" topLeftCell="B4" activePane="bottomRight" state="frozen"/>
      <selection activeCell="B1" sqref="B1" pane="topRight"/>
      <selection activeCell="A4" sqref="A4" pane="bottomLeft"/>
      <selection activeCell="B4" sqref="B4" pane="bottomRight"/>
    </sheetView>
  </sheetViews>
  <sheetFormatPr customHeight="1" defaultColWidth="14.43" defaultRowHeight="15.0"/>
  <cols>
    <col customWidth="1" min="1" max="1" width="10.14"/>
    <col customWidth="1" min="2" max="14" width="18.71"/>
  </cols>
  <sheetData>
    <row r="1">
      <c r="A1" s="254"/>
      <c r="B1" s="222" t="s">
        <v>17</v>
      </c>
      <c r="C1" s="213"/>
      <c r="D1" s="255" t="str">
        <f>elenchi!C3</f>
        <v>  SETTIMANA - C</v>
      </c>
      <c r="E1" s="5"/>
      <c r="F1" s="256" t="s">
        <v>22</v>
      </c>
      <c r="G1" s="257" t="str">
        <f>elenchi!D3</f>
        <v>LUNEDI 30 MARZO A DOMENICA 05 APRILE 2026</v>
      </c>
      <c r="H1" s="5"/>
      <c r="I1" s="5"/>
      <c r="J1" s="5"/>
      <c r="K1" s="5"/>
      <c r="L1" s="5"/>
      <c r="M1" s="5"/>
      <c r="N1" s="3"/>
    </row>
    <row r="2">
      <c r="A2" s="254"/>
      <c r="B2" s="8"/>
      <c r="C2" s="9"/>
      <c r="D2" s="10"/>
      <c r="E2" s="10"/>
      <c r="F2" s="10"/>
      <c r="G2" s="10"/>
      <c r="H2" s="10"/>
      <c r="I2" s="10"/>
      <c r="J2" s="10"/>
      <c r="K2" s="10"/>
      <c r="L2" s="10"/>
      <c r="M2" s="10"/>
      <c r="N2" s="9"/>
    </row>
    <row r="3">
      <c r="A3" s="11" t="s">
        <v>2</v>
      </c>
      <c r="B3" s="11" t="str">
        <f>elenchi!B1</f>
        <v>ALEXANDRA</v>
      </c>
      <c r="C3" s="11" t="str">
        <f>elenchi!B2</f>
        <v>GIUDITTA</v>
      </c>
      <c r="D3" s="11" t="str">
        <f>elenchi!B3</f>
        <v>ESTEFANY</v>
      </c>
      <c r="E3" s="12" t="str">
        <f>elenchi!B4</f>
        <v>NURA</v>
      </c>
      <c r="F3" s="12" t="str">
        <f>elenchi!B5</f>
        <v/>
      </c>
      <c r="G3" s="12" t="str">
        <f>elenchi!B6</f>
        <v>JOEL</v>
      </c>
      <c r="H3" s="13" t="str">
        <f>elenchi!B7</f>
        <v>KEVIN</v>
      </c>
      <c r="I3" s="14" t="str">
        <f>elenchi!B8</f>
        <v>JASIR</v>
      </c>
      <c r="J3" s="15" t="str">
        <f>elenchi!B9</f>
        <v>DIEGO</v>
      </c>
      <c r="K3" s="15" t="str">
        <f>elenchi!B10</f>
        <v>SARA</v>
      </c>
      <c r="L3" s="12" t="str">
        <f>elenchi!B11</f>
        <v>SANTO</v>
      </c>
      <c r="M3" s="12" t="str">
        <f>elenchi!B12</f>
        <v>MASSI</v>
      </c>
      <c r="N3" s="12" t="str">
        <f>elenchi!B13</f>
        <v/>
      </c>
    </row>
    <row r="4">
      <c r="A4" s="16" t="s">
        <v>3</v>
      </c>
      <c r="B4" s="17"/>
      <c r="C4" s="20"/>
      <c r="D4" s="19"/>
      <c r="E4" s="18"/>
      <c r="F4" s="18"/>
      <c r="G4" s="22"/>
      <c r="H4" s="23"/>
      <c r="I4" s="24"/>
      <c r="J4" s="25"/>
      <c r="K4" s="26"/>
      <c r="L4" s="27"/>
      <c r="M4" s="17"/>
      <c r="N4" s="26"/>
    </row>
    <row r="5">
      <c r="A5" s="28" t="s">
        <v>4</v>
      </c>
      <c r="B5" s="29"/>
      <c r="C5" s="32"/>
      <c r="D5" s="31"/>
      <c r="E5" s="30"/>
      <c r="F5" s="30"/>
      <c r="G5" s="34"/>
      <c r="H5" s="23"/>
      <c r="I5" s="24"/>
      <c r="J5" s="25"/>
      <c r="K5" s="26"/>
      <c r="L5" s="27"/>
      <c r="M5" s="17"/>
      <c r="N5" s="26"/>
    </row>
    <row r="6">
      <c r="A6" s="28" t="s">
        <v>5</v>
      </c>
      <c r="B6" s="29"/>
      <c r="C6" s="32"/>
      <c r="D6" s="31"/>
      <c r="E6" s="30"/>
      <c r="F6" s="30"/>
      <c r="G6" s="34"/>
      <c r="H6" s="35"/>
      <c r="I6" s="36"/>
      <c r="J6" s="37"/>
      <c r="K6" s="38"/>
      <c r="L6" s="27"/>
      <c r="M6" s="17"/>
      <c r="N6" s="26"/>
    </row>
    <row r="7">
      <c r="A7" s="39">
        <v>40475.354166666664</v>
      </c>
      <c r="B7" s="119"/>
      <c r="C7" s="30"/>
      <c r="D7" s="56"/>
      <c r="E7" s="119" t="s">
        <v>6</v>
      </c>
      <c r="F7" s="40"/>
      <c r="G7" s="50"/>
      <c r="H7" s="43"/>
      <c r="I7" s="43" t="s">
        <v>7</v>
      </c>
      <c r="J7" s="119"/>
      <c r="K7" s="46" t="s">
        <v>8</v>
      </c>
      <c r="L7" s="47" t="s">
        <v>9</v>
      </c>
      <c r="M7" s="48"/>
      <c r="N7" s="35"/>
    </row>
    <row r="8">
      <c r="A8" s="49">
        <v>40475.375</v>
      </c>
      <c r="B8" s="50"/>
      <c r="C8" s="32"/>
      <c r="D8" s="51"/>
      <c r="E8" s="50" t="s">
        <v>6</v>
      </c>
      <c r="F8" s="50"/>
      <c r="G8" s="50"/>
      <c r="H8" s="40"/>
      <c r="I8" s="40" t="s">
        <v>7</v>
      </c>
      <c r="J8" s="50"/>
      <c r="K8" s="46" t="s">
        <v>8</v>
      </c>
      <c r="L8" s="54" t="s">
        <v>9</v>
      </c>
      <c r="M8" s="48" t="s">
        <v>8</v>
      </c>
      <c r="N8" s="26"/>
    </row>
    <row r="9">
      <c r="A9" s="55">
        <v>40475.395833333336</v>
      </c>
      <c r="B9" s="50"/>
      <c r="C9" s="30"/>
      <c r="D9" s="51"/>
      <c r="E9" s="50" t="s">
        <v>6</v>
      </c>
      <c r="F9" s="40"/>
      <c r="G9" s="50"/>
      <c r="H9" s="40"/>
      <c r="I9" s="40" t="s">
        <v>7</v>
      </c>
      <c r="J9" s="50"/>
      <c r="K9" s="46" t="s">
        <v>8</v>
      </c>
      <c r="L9" s="54" t="s">
        <v>9</v>
      </c>
      <c r="M9" s="48" t="s">
        <v>8</v>
      </c>
      <c r="N9" s="35"/>
    </row>
    <row r="10">
      <c r="A10" s="55">
        <v>40475.416666666664</v>
      </c>
      <c r="B10" s="50"/>
      <c r="C10" s="32"/>
      <c r="D10" s="51"/>
      <c r="E10" s="50" t="s">
        <v>6</v>
      </c>
      <c r="F10" s="50"/>
      <c r="G10" s="50"/>
      <c r="H10" s="40"/>
      <c r="I10" s="40" t="s">
        <v>7</v>
      </c>
      <c r="J10" s="50"/>
      <c r="K10" s="46" t="s">
        <v>8</v>
      </c>
      <c r="L10" s="54" t="s">
        <v>9</v>
      </c>
      <c r="M10" s="48" t="s">
        <v>8</v>
      </c>
      <c r="N10" s="26"/>
    </row>
    <row r="11">
      <c r="A11" s="49">
        <v>40475.4375</v>
      </c>
      <c r="B11" s="119"/>
      <c r="C11" s="30"/>
      <c r="D11" s="53" t="s">
        <v>7</v>
      </c>
      <c r="E11" s="119" t="s">
        <v>6</v>
      </c>
      <c r="F11" s="65"/>
      <c r="G11" s="53"/>
      <c r="H11" s="40"/>
      <c r="I11" s="40" t="s">
        <v>7</v>
      </c>
      <c r="J11" s="119"/>
      <c r="K11" s="46" t="s">
        <v>8</v>
      </c>
      <c r="L11" s="63" t="s">
        <v>9</v>
      </c>
      <c r="M11" s="48" t="s">
        <v>8</v>
      </c>
      <c r="N11" s="35"/>
    </row>
    <row r="12">
      <c r="A12" s="49">
        <v>40475.458333333336</v>
      </c>
      <c r="B12" s="50"/>
      <c r="C12" s="136"/>
      <c r="D12" s="78" t="s">
        <v>7</v>
      </c>
      <c r="E12" s="50" t="s">
        <v>6</v>
      </c>
      <c r="F12" s="65"/>
      <c r="G12" s="78"/>
      <c r="H12" s="40"/>
      <c r="I12" s="40" t="s">
        <v>7</v>
      </c>
      <c r="J12" s="50"/>
      <c r="K12" s="46" t="s">
        <v>8</v>
      </c>
      <c r="L12" s="67" t="s">
        <v>9</v>
      </c>
      <c r="M12" s="48" t="s">
        <v>8</v>
      </c>
      <c r="N12" s="35"/>
    </row>
    <row r="13">
      <c r="A13" s="55">
        <v>40475.479166666664</v>
      </c>
      <c r="B13" s="119"/>
      <c r="C13" s="52"/>
      <c r="D13" s="78" t="s">
        <v>7</v>
      </c>
      <c r="E13" s="119" t="s">
        <v>6</v>
      </c>
      <c r="F13" s="50"/>
      <c r="G13" s="78"/>
      <c r="H13" s="40"/>
      <c r="I13" s="40" t="s">
        <v>7</v>
      </c>
      <c r="J13" s="119"/>
      <c r="K13" s="46" t="s">
        <v>8</v>
      </c>
      <c r="L13" s="67" t="s">
        <v>9</v>
      </c>
      <c r="M13" s="48" t="s">
        <v>8</v>
      </c>
      <c r="N13" s="26"/>
    </row>
    <row r="14">
      <c r="A14" s="55">
        <v>40475.5</v>
      </c>
      <c r="B14" s="50"/>
      <c r="C14" s="52"/>
      <c r="D14" s="78" t="s">
        <v>7</v>
      </c>
      <c r="E14" s="50" t="s">
        <v>6</v>
      </c>
      <c r="F14" s="50"/>
      <c r="G14" s="78"/>
      <c r="H14" s="40"/>
      <c r="I14" s="40" t="s">
        <v>7</v>
      </c>
      <c r="J14" s="50"/>
      <c r="K14" s="46" t="s">
        <v>10</v>
      </c>
      <c r="L14" s="67" t="s">
        <v>9</v>
      </c>
      <c r="M14" s="48" t="s">
        <v>8</v>
      </c>
      <c r="N14" s="35"/>
    </row>
    <row r="15">
      <c r="A15" s="49">
        <v>40475.520833333336</v>
      </c>
      <c r="B15" s="50"/>
      <c r="C15" s="52"/>
      <c r="D15" s="78" t="s">
        <v>7</v>
      </c>
      <c r="E15" s="50" t="s">
        <v>6</v>
      </c>
      <c r="F15" s="50"/>
      <c r="G15" s="78"/>
      <c r="H15" s="40"/>
      <c r="I15" s="40" t="s">
        <v>7</v>
      </c>
      <c r="J15" s="50"/>
      <c r="K15" s="46" t="s">
        <v>8</v>
      </c>
      <c r="L15" s="67" t="s">
        <v>9</v>
      </c>
      <c r="M15" s="48" t="s">
        <v>8</v>
      </c>
      <c r="N15" s="35"/>
    </row>
    <row r="16">
      <c r="A16" s="49">
        <v>40475.541666666664</v>
      </c>
      <c r="B16" s="50"/>
      <c r="C16" s="52"/>
      <c r="D16" s="78" t="s">
        <v>7</v>
      </c>
      <c r="E16" s="50" t="s">
        <v>6</v>
      </c>
      <c r="F16" s="50"/>
      <c r="G16" s="78"/>
      <c r="H16" s="40"/>
      <c r="I16" s="40" t="s">
        <v>7</v>
      </c>
      <c r="J16" s="50"/>
      <c r="K16" s="46" t="s">
        <v>8</v>
      </c>
      <c r="L16" s="67" t="s">
        <v>10</v>
      </c>
      <c r="M16" s="48" t="s">
        <v>10</v>
      </c>
      <c r="N16" s="35"/>
    </row>
    <row r="17">
      <c r="A17" s="55">
        <v>40475.5625</v>
      </c>
      <c r="B17" s="50" t="s">
        <v>7</v>
      </c>
      <c r="C17" s="61" t="s">
        <v>6</v>
      </c>
      <c r="D17" s="177" t="s">
        <v>10</v>
      </c>
      <c r="E17" s="176" t="s">
        <v>10</v>
      </c>
      <c r="F17" s="50"/>
      <c r="G17" s="78" t="s">
        <v>11</v>
      </c>
      <c r="H17" s="124" t="s">
        <v>23</v>
      </c>
      <c r="I17" s="40" t="s">
        <v>10</v>
      </c>
      <c r="J17" s="50" t="s">
        <v>7</v>
      </c>
      <c r="K17" s="46" t="s">
        <v>8</v>
      </c>
      <c r="L17" s="67" t="s">
        <v>9</v>
      </c>
      <c r="M17" s="48" t="s">
        <v>8</v>
      </c>
      <c r="N17" s="26"/>
    </row>
    <row r="18">
      <c r="A18" s="55">
        <v>40475.583333333336</v>
      </c>
      <c r="B18" s="50" t="s">
        <v>7</v>
      </c>
      <c r="C18" s="33" t="s">
        <v>6</v>
      </c>
      <c r="D18" s="78" t="s">
        <v>7</v>
      </c>
      <c r="E18" s="50" t="s">
        <v>7</v>
      </c>
      <c r="F18" s="50"/>
      <c r="G18" s="78" t="s">
        <v>11</v>
      </c>
      <c r="H18" s="122" t="s">
        <v>23</v>
      </c>
      <c r="I18" s="40" t="s">
        <v>7</v>
      </c>
      <c r="J18" s="50" t="s">
        <v>7</v>
      </c>
      <c r="K18" s="46" t="s">
        <v>8</v>
      </c>
      <c r="L18" s="67" t="s">
        <v>9</v>
      </c>
      <c r="M18" s="48" t="s">
        <v>8</v>
      </c>
      <c r="N18" s="35"/>
    </row>
    <row r="19">
      <c r="A19" s="49">
        <v>40475.604166666664</v>
      </c>
      <c r="B19" s="50" t="s">
        <v>7</v>
      </c>
      <c r="C19" s="33" t="s">
        <v>6</v>
      </c>
      <c r="D19" s="78" t="s">
        <v>7</v>
      </c>
      <c r="E19" s="50" t="s">
        <v>7</v>
      </c>
      <c r="F19" s="50"/>
      <c r="G19" s="78" t="s">
        <v>11</v>
      </c>
      <c r="H19" s="124" t="s">
        <v>23</v>
      </c>
      <c r="I19" s="40" t="s">
        <v>7</v>
      </c>
      <c r="J19" s="50" t="s">
        <v>7</v>
      </c>
      <c r="K19" s="46" t="s">
        <v>8</v>
      </c>
      <c r="L19" s="46" t="s">
        <v>9</v>
      </c>
      <c r="M19" s="48" t="s">
        <v>8</v>
      </c>
      <c r="N19" s="26"/>
    </row>
    <row r="20">
      <c r="A20" s="49">
        <v>40475.625</v>
      </c>
      <c r="B20" s="50" t="s">
        <v>7</v>
      </c>
      <c r="C20" s="33" t="s">
        <v>6</v>
      </c>
      <c r="D20" s="78" t="s">
        <v>7</v>
      </c>
      <c r="E20" s="50" t="s">
        <v>7</v>
      </c>
      <c r="F20" s="50"/>
      <c r="G20" s="78" t="s">
        <v>11</v>
      </c>
      <c r="H20" s="122" t="s">
        <v>23</v>
      </c>
      <c r="I20" s="40" t="s">
        <v>7</v>
      </c>
      <c r="J20" s="50" t="s">
        <v>7</v>
      </c>
      <c r="K20" s="46" t="s">
        <v>8</v>
      </c>
      <c r="L20" s="46" t="s">
        <v>9</v>
      </c>
      <c r="M20" s="48" t="s">
        <v>8</v>
      </c>
      <c r="N20" s="35"/>
    </row>
    <row r="21">
      <c r="A21" s="55">
        <v>40475.645833333336</v>
      </c>
      <c r="B21" s="50" t="s">
        <v>7</v>
      </c>
      <c r="C21" s="33" t="s">
        <v>6</v>
      </c>
      <c r="D21" s="78" t="s">
        <v>7</v>
      </c>
      <c r="E21" s="50" t="s">
        <v>7</v>
      </c>
      <c r="F21" s="50"/>
      <c r="G21" s="78" t="s">
        <v>11</v>
      </c>
      <c r="H21" s="124" t="s">
        <v>23</v>
      </c>
      <c r="I21" s="40" t="s">
        <v>7</v>
      </c>
      <c r="J21" s="50" t="s">
        <v>7</v>
      </c>
      <c r="K21" s="46" t="s">
        <v>8</v>
      </c>
      <c r="L21" s="46" t="s">
        <v>9</v>
      </c>
      <c r="M21" s="48" t="s">
        <v>8</v>
      </c>
      <c r="N21" s="26"/>
    </row>
    <row r="22">
      <c r="A22" s="55">
        <v>40475.666666666664</v>
      </c>
      <c r="B22" s="50" t="s">
        <v>7</v>
      </c>
      <c r="C22" s="122" t="s">
        <v>6</v>
      </c>
      <c r="D22" s="78" t="s">
        <v>7</v>
      </c>
      <c r="E22" s="50" t="s">
        <v>7</v>
      </c>
      <c r="F22" s="50"/>
      <c r="G22" s="78" t="s">
        <v>11</v>
      </c>
      <c r="H22" s="122" t="s">
        <v>23</v>
      </c>
      <c r="I22" s="40" t="s">
        <v>7</v>
      </c>
      <c r="J22" s="50" t="s">
        <v>7</v>
      </c>
      <c r="K22" s="46" t="s">
        <v>8</v>
      </c>
      <c r="L22" s="46" t="s">
        <v>9</v>
      </c>
      <c r="M22" s="48" t="s">
        <v>8</v>
      </c>
      <c r="N22" s="26"/>
    </row>
    <row r="23">
      <c r="A23" s="49">
        <v>40475.6875</v>
      </c>
      <c r="B23" s="50" t="s">
        <v>7</v>
      </c>
      <c r="C23" s="122" t="s">
        <v>6</v>
      </c>
      <c r="D23" s="78" t="s">
        <v>7</v>
      </c>
      <c r="E23" s="50" t="s">
        <v>7</v>
      </c>
      <c r="F23" s="50"/>
      <c r="G23" s="78" t="s">
        <v>11</v>
      </c>
      <c r="H23" s="124" t="s">
        <v>23</v>
      </c>
      <c r="I23" s="37" t="s">
        <v>7</v>
      </c>
      <c r="J23" s="50" t="s">
        <v>7</v>
      </c>
      <c r="K23" s="46" t="s">
        <v>8</v>
      </c>
      <c r="L23" s="46" t="s">
        <v>9</v>
      </c>
      <c r="M23" s="48" t="s">
        <v>8</v>
      </c>
      <c r="N23" s="26"/>
    </row>
    <row r="24">
      <c r="A24" s="49">
        <v>40475.708333333336</v>
      </c>
      <c r="B24" s="50" t="s">
        <v>7</v>
      </c>
      <c r="C24" s="124" t="s">
        <v>6</v>
      </c>
      <c r="D24" s="78" t="s">
        <v>7</v>
      </c>
      <c r="E24" s="50"/>
      <c r="F24" s="50"/>
      <c r="G24" s="78" t="s">
        <v>11</v>
      </c>
      <c r="H24" s="46" t="s">
        <v>23</v>
      </c>
      <c r="I24" s="37"/>
      <c r="J24" s="50" t="s">
        <v>7</v>
      </c>
      <c r="K24" s="46"/>
      <c r="L24" s="67"/>
      <c r="M24" s="48" t="s">
        <v>8</v>
      </c>
      <c r="N24" s="26"/>
    </row>
    <row r="25">
      <c r="A25" s="55">
        <v>40475.729166666664</v>
      </c>
      <c r="B25" s="240" t="s">
        <v>10</v>
      </c>
      <c r="C25" s="124" t="s">
        <v>10</v>
      </c>
      <c r="D25" s="64" t="s">
        <v>7</v>
      </c>
      <c r="E25" s="40"/>
      <c r="F25" s="40"/>
      <c r="G25" s="64" t="s">
        <v>11</v>
      </c>
      <c r="H25" s="139" t="s">
        <v>23</v>
      </c>
      <c r="I25" s="37"/>
      <c r="J25" s="40" t="s">
        <v>7</v>
      </c>
      <c r="K25" s="46"/>
      <c r="L25" s="67"/>
      <c r="M25" s="48" t="s">
        <v>8</v>
      </c>
      <c r="N25" s="76"/>
    </row>
    <row r="26">
      <c r="A26" s="55">
        <v>40475.75</v>
      </c>
      <c r="B26" s="50" t="s">
        <v>11</v>
      </c>
      <c r="C26" s="32" t="s">
        <v>7</v>
      </c>
      <c r="D26" s="78" t="s">
        <v>7</v>
      </c>
      <c r="E26" s="50"/>
      <c r="F26" s="50"/>
      <c r="G26" s="78" t="s">
        <v>10</v>
      </c>
      <c r="H26" s="46" t="s">
        <v>23</v>
      </c>
      <c r="I26" s="77"/>
      <c r="J26" s="50" t="s">
        <v>10</v>
      </c>
      <c r="K26" s="46"/>
      <c r="L26" s="67"/>
      <c r="M26" s="48" t="s">
        <v>8</v>
      </c>
      <c r="N26" s="76"/>
    </row>
    <row r="27">
      <c r="A27" s="49">
        <v>40475.770833333336</v>
      </c>
      <c r="B27" s="50" t="s">
        <v>11</v>
      </c>
      <c r="C27" s="32" t="s">
        <v>7</v>
      </c>
      <c r="D27" s="78" t="s">
        <v>7</v>
      </c>
      <c r="E27" s="50"/>
      <c r="F27" s="50"/>
      <c r="G27" s="78" t="s">
        <v>6</v>
      </c>
      <c r="H27" s="139" t="s">
        <v>23</v>
      </c>
      <c r="I27" s="37"/>
      <c r="J27" s="50" t="s">
        <v>11</v>
      </c>
      <c r="K27" s="46"/>
      <c r="L27" s="67"/>
      <c r="M27" s="48"/>
      <c r="N27" s="76"/>
    </row>
    <row r="28">
      <c r="A28" s="49">
        <v>40475.791666666664</v>
      </c>
      <c r="B28" s="78" t="s">
        <v>11</v>
      </c>
      <c r="C28" s="32" t="s">
        <v>7</v>
      </c>
      <c r="D28" s="78"/>
      <c r="E28" s="71"/>
      <c r="F28" s="50"/>
      <c r="G28" s="50" t="s">
        <v>6</v>
      </c>
      <c r="H28" s="46" t="s">
        <v>23</v>
      </c>
      <c r="I28" s="77"/>
      <c r="J28" s="50" t="s">
        <v>11</v>
      </c>
      <c r="K28" s="48"/>
      <c r="L28" s="46"/>
      <c r="M28" s="48"/>
      <c r="N28" s="76"/>
    </row>
    <row r="29">
      <c r="A29" s="55">
        <v>40475.8125</v>
      </c>
      <c r="B29" s="78" t="s">
        <v>11</v>
      </c>
      <c r="C29" s="32" t="s">
        <v>7</v>
      </c>
      <c r="D29" s="78"/>
      <c r="E29" s="71"/>
      <c r="F29" s="40"/>
      <c r="G29" s="40" t="s">
        <v>6</v>
      </c>
      <c r="H29" s="139" t="s">
        <v>23</v>
      </c>
      <c r="I29" s="37"/>
      <c r="J29" s="40" t="s">
        <v>11</v>
      </c>
      <c r="K29" s="48"/>
      <c r="L29" s="46"/>
      <c r="M29" s="48"/>
      <c r="N29" s="76"/>
    </row>
    <row r="30">
      <c r="A30" s="55">
        <v>40475.833333333336</v>
      </c>
      <c r="B30" s="78" t="s">
        <v>11</v>
      </c>
      <c r="C30" s="32" t="s">
        <v>7</v>
      </c>
      <c r="D30" s="78"/>
      <c r="E30" s="71"/>
      <c r="F30" s="50"/>
      <c r="G30" s="50" t="s">
        <v>6</v>
      </c>
      <c r="H30" s="46" t="s">
        <v>23</v>
      </c>
      <c r="I30" s="77"/>
      <c r="J30" s="50" t="s">
        <v>11</v>
      </c>
      <c r="K30" s="48"/>
      <c r="L30" s="46"/>
      <c r="M30" s="48"/>
      <c r="N30" s="47"/>
    </row>
    <row r="31">
      <c r="A31" s="49">
        <v>40475.854166666664</v>
      </c>
      <c r="B31" s="64" t="s">
        <v>11</v>
      </c>
      <c r="C31" s="32" t="s">
        <v>7</v>
      </c>
      <c r="D31" s="64"/>
      <c r="E31" s="74"/>
      <c r="F31" s="40"/>
      <c r="G31" s="40" t="s">
        <v>6</v>
      </c>
      <c r="H31" s="139" t="s">
        <v>23</v>
      </c>
      <c r="I31" s="37"/>
      <c r="J31" s="40" t="s">
        <v>11</v>
      </c>
      <c r="K31" s="48"/>
      <c r="L31" s="46"/>
      <c r="M31" s="48"/>
      <c r="N31" s="47"/>
    </row>
    <row r="32">
      <c r="A32" s="49">
        <v>40475.875</v>
      </c>
      <c r="B32" s="64" t="s">
        <v>11</v>
      </c>
      <c r="C32" s="32" t="s">
        <v>7</v>
      </c>
      <c r="D32" s="64"/>
      <c r="E32" s="74"/>
      <c r="F32" s="40"/>
      <c r="G32" s="40" t="s">
        <v>6</v>
      </c>
      <c r="H32" s="46" t="s">
        <v>23</v>
      </c>
      <c r="I32" s="77"/>
      <c r="J32" s="40" t="s">
        <v>11</v>
      </c>
      <c r="K32" s="48"/>
      <c r="L32" s="46"/>
      <c r="M32" s="48"/>
      <c r="N32" s="76"/>
    </row>
    <row r="33">
      <c r="A33" s="55">
        <v>40475.895833333336</v>
      </c>
      <c r="B33" s="78" t="s">
        <v>11</v>
      </c>
      <c r="C33" s="30" t="s">
        <v>7</v>
      </c>
      <c r="D33" s="78"/>
      <c r="E33" s="74"/>
      <c r="F33" s="50"/>
      <c r="G33" s="50" t="s">
        <v>6</v>
      </c>
      <c r="H33" s="46" t="s">
        <v>23</v>
      </c>
      <c r="I33" s="77"/>
      <c r="J33" s="50" t="s">
        <v>11</v>
      </c>
      <c r="K33" s="48"/>
      <c r="L33" s="46"/>
      <c r="M33" s="48"/>
      <c r="N33" s="76"/>
    </row>
    <row r="34">
      <c r="A34" s="55">
        <v>40475.916666666664</v>
      </c>
      <c r="B34" s="37"/>
      <c r="C34" s="33"/>
      <c r="D34" s="33"/>
      <c r="E34" s="30"/>
      <c r="F34" s="51"/>
      <c r="G34" s="71"/>
      <c r="H34" s="24"/>
      <c r="I34" s="24"/>
      <c r="J34" s="77"/>
      <c r="K34" s="24"/>
      <c r="L34" s="24"/>
      <c r="M34" s="24"/>
      <c r="N34" s="35"/>
    </row>
    <row r="35">
      <c r="A35" s="49">
        <v>40475.9375</v>
      </c>
      <c r="B35" s="37"/>
      <c r="C35" s="33"/>
      <c r="D35" s="33"/>
      <c r="E35" s="30"/>
      <c r="F35" s="32"/>
      <c r="G35" s="71"/>
      <c r="H35" s="24"/>
      <c r="I35" s="24"/>
      <c r="J35" s="77"/>
      <c r="K35" s="24"/>
      <c r="L35" s="24"/>
      <c r="M35" s="24"/>
      <c r="N35" s="35"/>
    </row>
    <row r="36">
      <c r="A36" s="49">
        <v>40475.958333333336</v>
      </c>
      <c r="B36" s="178"/>
      <c r="C36" s="32"/>
      <c r="D36" s="81"/>
      <c r="E36" s="30"/>
      <c r="F36" s="32"/>
      <c r="G36" s="31"/>
      <c r="H36" s="82"/>
      <c r="I36" s="37"/>
      <c r="J36" s="83"/>
      <c r="K36" s="37"/>
      <c r="L36" s="24"/>
      <c r="M36" s="24"/>
      <c r="N36" s="26"/>
    </row>
    <row r="37">
      <c r="A37" s="55">
        <v>40475.979166666664</v>
      </c>
      <c r="B37" s="179"/>
      <c r="C37" s="32"/>
      <c r="D37" s="31"/>
      <c r="E37" s="30"/>
      <c r="F37" s="30"/>
      <c r="G37" s="84"/>
      <c r="H37" s="23"/>
      <c r="I37" s="25"/>
      <c r="J37" s="25"/>
      <c r="K37" s="25"/>
      <c r="L37" s="48"/>
      <c r="M37" s="25"/>
      <c r="N37" s="26"/>
    </row>
    <row r="38">
      <c r="A38" s="85" t="s">
        <v>12</v>
      </c>
      <c r="B38" s="86"/>
      <c r="C38" s="88"/>
      <c r="D38" s="87"/>
      <c r="E38" s="30"/>
      <c r="F38" s="32"/>
      <c r="G38" s="34"/>
      <c r="H38" s="23"/>
      <c r="I38" s="25"/>
      <c r="J38" s="25"/>
      <c r="K38" s="83"/>
      <c r="L38" s="24"/>
      <c r="M38" s="83"/>
      <c r="N38" s="23"/>
    </row>
    <row r="39">
      <c r="A39" s="89" t="s">
        <v>13</v>
      </c>
      <c r="B39" s="89">
        <f t="shared" ref="B39:N39" si="1">CONCATENATE(COUNTIF(B4:B38,"MAGAZZINI")+COUNTIF(B4:B38,"PRIMO")+COUNTIF(B4:B38,"RECEPTION")+COUNTIF(B4:B38,"SAGGI")+COUNTIF(B4:B38,"SECONDO")+COUNTIF(B4:B38,"SMART W")+COUNTIF(B4:B38,"STUDIO 1 e 2")+COUNTIF(B4:B38,"MANUTENZ.")+COUNTIF(B4:B38,"UFFICIO")+COUNTIF(B4:B38,"CAMPUS")+COUNTIF(B4:B38,"TEATRO")+COUNTIF(B4:B38,"AMM.ZIONE")+COUNTIF(B4:B38,"FORMAZ-1p")+COUNTIF(B4:B38,"FORMAZ-2p")+COUNTIF(B4:B38,"FORMAZ-rec")+COUNTIF(B4:B38,"WORKSHOP")+COUNTIF(B4:B38,"EVENTO EST."))/2</f>
        <v>8</v>
      </c>
      <c r="C39" s="89">
        <f t="shared" si="1"/>
        <v>8</v>
      </c>
      <c r="D39" s="89">
        <f t="shared" si="1"/>
        <v>8</v>
      </c>
      <c r="E39" s="89">
        <f t="shared" si="1"/>
        <v>8</v>
      </c>
      <c r="F39" s="89">
        <f t="shared" si="1"/>
        <v>0</v>
      </c>
      <c r="G39" s="89">
        <f t="shared" si="1"/>
        <v>8</v>
      </c>
      <c r="H39" s="89">
        <f t="shared" si="1"/>
        <v>0</v>
      </c>
      <c r="I39" s="89">
        <f t="shared" si="1"/>
        <v>8</v>
      </c>
      <c r="J39" s="89">
        <f t="shared" si="1"/>
        <v>8</v>
      </c>
      <c r="K39" s="89">
        <f t="shared" si="1"/>
        <v>8</v>
      </c>
      <c r="L39" s="89">
        <f t="shared" si="1"/>
        <v>8</v>
      </c>
      <c r="M39" s="89">
        <f t="shared" si="1"/>
        <v>9</v>
      </c>
      <c r="N39" s="89">
        <f t="shared" si="1"/>
        <v>0</v>
      </c>
    </row>
  </sheetData>
  <mergeCells count="4">
    <mergeCell ref="B1:C2"/>
    <mergeCell ref="D1:E2"/>
    <mergeCell ref="F1:F2"/>
    <mergeCell ref="G1:N2"/>
  </mergeCells>
  <conditionalFormatting sqref="B4:N38">
    <cfRule type="containsText" dxfId="5" priority="1" operator="containsText" text="PERMESSO">
      <formula>NOT(ISERROR(SEARCH(("PERMESSO"),(B4))))</formula>
    </cfRule>
  </conditionalFormatting>
  <conditionalFormatting sqref="B4:N38">
    <cfRule type="containsText" dxfId="1" priority="2" operator="containsText" text="MALATTIA">
      <formula>NOT(ISERROR(SEARCH(("MALATTIA"),(B4))))</formula>
    </cfRule>
  </conditionalFormatting>
  <conditionalFormatting sqref="B4:N38">
    <cfRule type="containsText" dxfId="2" priority="3" operator="containsText" text="FORMAZ">
      <formula>NOT(ISERROR(SEARCH(("FORMAZ"),(B4))))</formula>
    </cfRule>
  </conditionalFormatting>
  <conditionalFormatting sqref="B4:N38">
    <cfRule type="containsText" dxfId="3" priority="4" operator="containsText" text="AMM.ZIONE">
      <formula>NOT(ISERROR(SEARCH(("AMM.ZIONE"),(B4))))</formula>
    </cfRule>
  </conditionalFormatting>
  <conditionalFormatting sqref="B4:N38">
    <cfRule type="containsText" dxfId="4" priority="5" operator="containsText" text="PAUSA">
      <formula>NOT(ISERROR(SEARCH(("PAUSA"),(B4))))</formula>
    </cfRule>
  </conditionalFormatting>
  <conditionalFormatting sqref="B4:N38">
    <cfRule type="containsText" dxfId="0" priority="6" operator="containsText" text="PERMESSO">
      <formula>NOT(ISERROR(SEARCH(("PERMESSO"),(B4))))</formula>
    </cfRule>
  </conditionalFormatting>
  <conditionalFormatting sqref="B4:N38">
    <cfRule type="containsText" dxfId="6" priority="7" operator="containsText" text="UFFICIO">
      <formula>NOT(ISERROR(SEARCH(("UFFICIO"),(B4))))</formula>
    </cfRule>
  </conditionalFormatting>
  <conditionalFormatting sqref="B4:N38">
    <cfRule type="containsText" dxfId="7" priority="8" operator="containsText" text="RIPOSO">
      <formula>NOT(ISERROR(SEARCH(("RIPOSO"),(B4))))</formula>
    </cfRule>
  </conditionalFormatting>
  <dataValidations>
    <dataValidation type="list" allowBlank="1" showInputMessage="1" showErrorMessage="1" prompt="Fai clic e immetti un valore da intervallo elenchi!A1:A30" sqref="B4:N38">
      <formula1>elenchi!$A$1:$A$30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FF"/>
    <outlinePr summaryBelow="0" summaryRight="0"/>
  </sheetPr>
  <sheetViews>
    <sheetView workbookViewId="0">
      <pane xSplit="1.0" ySplit="3.0" topLeftCell="B4" activePane="bottomRight" state="frozen"/>
      <selection activeCell="B1" sqref="B1" pane="topRight"/>
      <selection activeCell="A4" sqref="A4" pane="bottomLeft"/>
      <selection activeCell="B4" sqref="B4" pane="bottomRight"/>
    </sheetView>
  </sheetViews>
  <sheetFormatPr customHeight="1" defaultColWidth="14.43" defaultRowHeight="15.0"/>
  <cols>
    <col customWidth="1" min="1" max="1" width="10.14"/>
    <col customWidth="1" min="2" max="14" width="18.71"/>
  </cols>
  <sheetData>
    <row r="1">
      <c r="A1" s="254"/>
      <c r="B1" s="222" t="s">
        <v>18</v>
      </c>
      <c r="C1" s="213"/>
      <c r="D1" s="255" t="str">
        <f>elenchi!C3</f>
        <v>  SETTIMANA - C</v>
      </c>
      <c r="E1" s="5"/>
      <c r="F1" s="256" t="s">
        <v>22</v>
      </c>
      <c r="G1" s="257" t="str">
        <f>elenchi!D3</f>
        <v>LUNEDI 30 MARZO A DOMENICA 05 APRILE 2026</v>
      </c>
      <c r="H1" s="5"/>
      <c r="I1" s="5"/>
      <c r="J1" s="5"/>
      <c r="K1" s="5"/>
      <c r="L1" s="5"/>
      <c r="M1" s="5"/>
      <c r="N1" s="3"/>
    </row>
    <row r="2">
      <c r="A2" s="254"/>
      <c r="B2" s="8"/>
      <c r="C2" s="9"/>
      <c r="D2" s="10"/>
      <c r="E2" s="10"/>
      <c r="F2" s="10"/>
      <c r="G2" s="10"/>
      <c r="H2" s="10"/>
      <c r="I2" s="10"/>
      <c r="J2" s="10"/>
      <c r="K2" s="10"/>
      <c r="L2" s="10"/>
      <c r="M2" s="10"/>
      <c r="N2" s="9"/>
    </row>
    <row r="3">
      <c r="A3" s="11" t="s">
        <v>2</v>
      </c>
      <c r="B3" s="11" t="str">
        <f>elenchi!B1</f>
        <v>ALEXANDRA</v>
      </c>
      <c r="C3" s="11" t="str">
        <f>elenchi!B2</f>
        <v>GIUDITTA</v>
      </c>
      <c r="D3" s="11" t="str">
        <f>elenchi!B3</f>
        <v>ESTEFANY</v>
      </c>
      <c r="E3" s="12" t="str">
        <f>elenchi!B4</f>
        <v>NURA</v>
      </c>
      <c r="F3" s="12" t="str">
        <f>elenchi!B5</f>
        <v/>
      </c>
      <c r="G3" s="12" t="str">
        <f>elenchi!B6</f>
        <v>JOEL</v>
      </c>
      <c r="H3" s="13" t="str">
        <f>elenchi!B7</f>
        <v>KEVIN</v>
      </c>
      <c r="I3" s="14" t="str">
        <f>elenchi!B8</f>
        <v>JASIR</v>
      </c>
      <c r="J3" s="15" t="str">
        <f>elenchi!B9</f>
        <v>DIEGO</v>
      </c>
      <c r="K3" s="15" t="str">
        <f>elenchi!B10</f>
        <v>SARA</v>
      </c>
      <c r="L3" s="12" t="str">
        <f>elenchi!B11</f>
        <v>SANTO</v>
      </c>
      <c r="M3" s="12" t="str">
        <f>elenchi!B12</f>
        <v>MASSI</v>
      </c>
      <c r="N3" s="12" t="str">
        <f>elenchi!B13</f>
        <v/>
      </c>
    </row>
    <row r="4">
      <c r="A4" s="16" t="s">
        <v>3</v>
      </c>
      <c r="B4" s="24"/>
      <c r="C4" s="180"/>
      <c r="D4" s="27"/>
      <c r="E4" s="27"/>
      <c r="F4" s="48"/>
      <c r="G4" s="27"/>
      <c r="H4" s="24"/>
      <c r="I4" s="25"/>
      <c r="J4" s="24"/>
      <c r="K4" s="181"/>
      <c r="L4" s="181"/>
      <c r="M4" s="181"/>
      <c r="N4" s="181"/>
    </row>
    <row r="5">
      <c r="A5" s="28" t="s">
        <v>4</v>
      </c>
      <c r="B5" s="24"/>
      <c r="C5" s="180"/>
      <c r="D5" s="27"/>
      <c r="E5" s="27"/>
      <c r="F5" s="48"/>
      <c r="G5" s="27"/>
      <c r="H5" s="24"/>
      <c r="I5" s="25"/>
      <c r="J5" s="24"/>
      <c r="K5" s="181"/>
      <c r="L5" s="181"/>
      <c r="M5" s="181"/>
      <c r="N5" s="181"/>
    </row>
    <row r="6">
      <c r="A6" s="28" t="s">
        <v>5</v>
      </c>
      <c r="B6" s="24"/>
      <c r="C6" s="180"/>
      <c r="D6" s="27"/>
      <c r="E6" s="27"/>
      <c r="F6" s="48"/>
      <c r="G6" s="27"/>
      <c r="H6" s="24"/>
      <c r="I6" s="25"/>
      <c r="J6" s="24"/>
      <c r="K6" s="48"/>
      <c r="L6" s="38"/>
      <c r="M6" s="181"/>
      <c r="N6" s="181"/>
    </row>
    <row r="7">
      <c r="A7" s="39">
        <v>40475.354166666664</v>
      </c>
      <c r="B7" s="24"/>
      <c r="C7" s="180"/>
      <c r="D7" s="27"/>
      <c r="E7" s="27"/>
      <c r="F7" s="24"/>
      <c r="G7" s="27"/>
      <c r="H7" s="24"/>
      <c r="I7" s="25"/>
      <c r="J7" s="24"/>
      <c r="K7" s="48"/>
      <c r="L7" s="77"/>
      <c r="M7" s="181"/>
      <c r="N7" s="181"/>
    </row>
    <row r="8">
      <c r="A8" s="49">
        <v>40475.375</v>
      </c>
      <c r="B8" s="182"/>
      <c r="C8" s="183"/>
      <c r="D8" s="40"/>
      <c r="E8" s="38"/>
      <c r="F8" s="185"/>
      <c r="G8" s="119"/>
      <c r="H8" s="40"/>
      <c r="I8" s="50"/>
      <c r="J8" s="184"/>
      <c r="K8" s="35"/>
      <c r="L8" s="77"/>
      <c r="M8" s="181"/>
      <c r="N8" s="194"/>
    </row>
    <row r="9">
      <c r="A9" s="55">
        <v>40475.395833333336</v>
      </c>
      <c r="B9" s="185"/>
      <c r="C9" s="183"/>
      <c r="D9" s="40"/>
      <c r="E9" s="77"/>
      <c r="F9" s="67"/>
      <c r="G9" s="50"/>
      <c r="H9" s="40"/>
      <c r="I9" s="50"/>
      <c r="J9" s="37"/>
      <c r="K9" s="35"/>
      <c r="L9" s="77"/>
      <c r="M9" s="191"/>
      <c r="N9" s="194"/>
    </row>
    <row r="10">
      <c r="A10" s="55">
        <v>40475.416666666664</v>
      </c>
      <c r="B10" s="185"/>
      <c r="C10" s="183"/>
      <c r="D10" s="40"/>
      <c r="E10" s="77"/>
      <c r="F10" s="183"/>
      <c r="G10" s="50"/>
      <c r="H10" s="40"/>
      <c r="I10" s="50"/>
      <c r="J10" s="37"/>
      <c r="K10" s="35"/>
      <c r="L10" s="77"/>
      <c r="M10" s="191"/>
      <c r="N10" s="194"/>
    </row>
    <row r="11">
      <c r="A11" s="49">
        <v>40475.4375</v>
      </c>
      <c r="B11" s="185"/>
      <c r="C11" s="183"/>
      <c r="D11" s="40"/>
      <c r="E11" s="77"/>
      <c r="F11" s="183"/>
      <c r="G11" s="50"/>
      <c r="H11" s="40"/>
      <c r="I11" s="50"/>
      <c r="J11" s="37"/>
      <c r="K11" s="35"/>
      <c r="L11" s="77"/>
      <c r="M11" s="191"/>
      <c r="N11" s="194"/>
    </row>
    <row r="12">
      <c r="A12" s="49">
        <v>40475.458333333336</v>
      </c>
      <c r="B12" s="185"/>
      <c r="C12" s="183"/>
      <c r="D12" s="40"/>
      <c r="E12" s="77"/>
      <c r="F12" s="183"/>
      <c r="G12" s="50"/>
      <c r="H12" s="40"/>
      <c r="I12" s="50"/>
      <c r="J12" s="37"/>
      <c r="K12" s="35"/>
      <c r="L12" s="77"/>
      <c r="M12" s="191"/>
      <c r="N12" s="194"/>
    </row>
    <row r="13">
      <c r="A13" s="55">
        <v>40475.479166666664</v>
      </c>
      <c r="B13" s="185"/>
      <c r="C13" s="183"/>
      <c r="D13" s="40"/>
      <c r="E13" s="77"/>
      <c r="F13" s="183"/>
      <c r="G13" s="50"/>
      <c r="H13" s="40"/>
      <c r="I13" s="50"/>
      <c r="J13" s="37"/>
      <c r="K13" s="24"/>
      <c r="L13" s="77"/>
      <c r="M13" s="191"/>
      <c r="N13" s="194"/>
    </row>
    <row r="14">
      <c r="A14" s="55">
        <v>40475.5</v>
      </c>
      <c r="B14" s="185"/>
      <c r="C14" s="183"/>
      <c r="D14" s="40"/>
      <c r="E14" s="77"/>
      <c r="F14" s="183"/>
      <c r="G14" s="50"/>
      <c r="H14" s="40"/>
      <c r="I14" s="50"/>
      <c r="J14" s="37"/>
      <c r="K14" s="24"/>
      <c r="L14" s="77"/>
      <c r="M14" s="191"/>
      <c r="N14" s="194"/>
    </row>
    <row r="15">
      <c r="A15" s="49">
        <v>40475.520833333336</v>
      </c>
      <c r="B15" s="183"/>
      <c r="C15" s="183"/>
      <c r="D15" s="50"/>
      <c r="E15" s="77"/>
      <c r="F15" s="183"/>
      <c r="G15" s="50"/>
      <c r="H15" s="124"/>
      <c r="I15" s="77"/>
      <c r="J15" s="37"/>
      <c r="K15" s="35"/>
      <c r="L15" s="187"/>
      <c r="M15" s="191"/>
      <c r="N15" s="300"/>
    </row>
    <row r="16">
      <c r="A16" s="49">
        <v>40475.541666666664</v>
      </c>
      <c r="B16" s="40"/>
      <c r="C16" s="183"/>
      <c r="D16" s="37"/>
      <c r="E16" s="77"/>
      <c r="F16" s="50"/>
      <c r="G16" s="50"/>
      <c r="H16" s="50"/>
      <c r="I16" s="38"/>
      <c r="J16" s="35"/>
      <c r="K16" s="35"/>
      <c r="L16" s="190"/>
      <c r="M16" s="191"/>
      <c r="N16" s="300"/>
    </row>
    <row r="17">
      <c r="A17" s="55">
        <v>40475.5625</v>
      </c>
      <c r="B17" s="40"/>
      <c r="C17" s="183"/>
      <c r="D17" s="184"/>
      <c r="E17" s="38"/>
      <c r="F17" s="50"/>
      <c r="G17" s="50"/>
      <c r="H17" s="50"/>
      <c r="I17" s="77"/>
      <c r="J17" s="40"/>
      <c r="K17" s="35"/>
      <c r="L17" s="190"/>
      <c r="M17" s="191"/>
      <c r="N17" s="188"/>
    </row>
    <row r="18">
      <c r="A18" s="55">
        <v>40475.583333333336</v>
      </c>
      <c r="B18" s="40"/>
      <c r="C18" s="183"/>
      <c r="D18" s="37"/>
      <c r="E18" s="196"/>
      <c r="F18" s="43"/>
      <c r="G18" s="183"/>
      <c r="H18" s="50"/>
      <c r="I18" s="77"/>
      <c r="J18" s="40"/>
      <c r="K18" s="35"/>
      <c r="L18" s="190"/>
      <c r="M18" s="191"/>
      <c r="N18" s="188"/>
    </row>
    <row r="19">
      <c r="A19" s="49">
        <v>40475.604166666664</v>
      </c>
      <c r="B19" s="40"/>
      <c r="C19" s="183"/>
      <c r="D19" s="37"/>
      <c r="E19" s="196"/>
      <c r="F19" s="40"/>
      <c r="G19" s="183"/>
      <c r="H19" s="50"/>
      <c r="I19" s="77"/>
      <c r="J19" s="40"/>
      <c r="K19" s="35"/>
      <c r="L19" s="190"/>
      <c r="M19" s="181"/>
      <c r="N19" s="188"/>
    </row>
    <row r="20">
      <c r="A20" s="49">
        <v>40475.625</v>
      </c>
      <c r="B20" s="40"/>
      <c r="C20" s="183"/>
      <c r="D20" s="37"/>
      <c r="E20" s="196"/>
      <c r="F20" s="40"/>
      <c r="G20" s="183"/>
      <c r="H20" s="50"/>
      <c r="I20" s="77"/>
      <c r="J20" s="40"/>
      <c r="K20" s="24"/>
      <c r="L20" s="190"/>
      <c r="M20" s="181"/>
      <c r="N20" s="188"/>
    </row>
    <row r="21">
      <c r="A21" s="55">
        <v>40475.645833333336</v>
      </c>
      <c r="B21" s="40"/>
      <c r="C21" s="183"/>
      <c r="D21" s="37"/>
      <c r="E21" s="196"/>
      <c r="F21" s="50"/>
      <c r="G21" s="183"/>
      <c r="H21" s="50"/>
      <c r="I21" s="77"/>
      <c r="J21" s="40"/>
      <c r="K21" s="24"/>
      <c r="L21" s="192"/>
      <c r="M21" s="181"/>
      <c r="N21" s="188"/>
    </row>
    <row r="22">
      <c r="A22" s="55">
        <v>40475.666666666664</v>
      </c>
      <c r="B22" s="40"/>
      <c r="C22" s="183"/>
      <c r="D22" s="77"/>
      <c r="E22" s="196"/>
      <c r="F22" s="50"/>
      <c r="G22" s="183"/>
      <c r="H22" s="50"/>
      <c r="I22" s="77"/>
      <c r="J22" s="40"/>
      <c r="K22" s="35"/>
      <c r="L22" s="192"/>
      <c r="M22" s="181"/>
      <c r="N22" s="188"/>
    </row>
    <row r="23">
      <c r="A23" s="49">
        <v>40475.6875</v>
      </c>
      <c r="B23" s="40"/>
      <c r="C23" s="183"/>
      <c r="D23" s="77"/>
      <c r="E23" s="196"/>
      <c r="F23" s="50"/>
      <c r="G23" s="183"/>
      <c r="H23" s="50"/>
      <c r="I23" s="77"/>
      <c r="J23" s="40"/>
      <c r="K23" s="35"/>
      <c r="L23" s="192"/>
      <c r="M23" s="181"/>
      <c r="N23" s="188"/>
    </row>
    <row r="24">
      <c r="A24" s="49">
        <v>40475.708333333336</v>
      </c>
      <c r="B24" s="50"/>
      <c r="C24" s="183"/>
      <c r="D24" s="77"/>
      <c r="E24" s="196"/>
      <c r="F24" s="50"/>
      <c r="G24" s="183"/>
      <c r="H24" s="50"/>
      <c r="I24" s="77"/>
      <c r="J24" s="50"/>
      <c r="K24" s="35"/>
      <c r="L24" s="192"/>
      <c r="M24" s="181"/>
      <c r="N24" s="194"/>
    </row>
    <row r="25">
      <c r="A25" s="55">
        <v>40475.729166666664</v>
      </c>
      <c r="B25" s="37"/>
      <c r="C25" s="197"/>
      <c r="D25" s="37"/>
      <c r="E25" s="46"/>
      <c r="F25" s="189"/>
      <c r="G25" s="54"/>
      <c r="H25" s="17"/>
      <c r="I25" s="37"/>
      <c r="J25" s="26"/>
      <c r="K25" s="76"/>
      <c r="L25" s="76"/>
      <c r="M25" s="181"/>
      <c r="N25" s="181"/>
    </row>
    <row r="26">
      <c r="A26" s="55">
        <v>40475.75</v>
      </c>
      <c r="B26" s="35"/>
      <c r="C26" s="23"/>
      <c r="D26" s="24"/>
      <c r="E26" s="184"/>
      <c r="F26" s="27"/>
      <c r="G26" s="76"/>
      <c r="H26" s="27"/>
      <c r="I26" s="37"/>
      <c r="J26" s="24"/>
      <c r="K26" s="76"/>
      <c r="L26" s="77"/>
      <c r="M26" s="181"/>
      <c r="N26" s="181"/>
    </row>
    <row r="27">
      <c r="A27" s="49">
        <v>40475.770833333336</v>
      </c>
      <c r="B27" s="27"/>
      <c r="C27" s="180"/>
      <c r="D27" s="24"/>
      <c r="E27" s="198"/>
      <c r="F27" s="27"/>
      <c r="G27" s="27"/>
      <c r="H27" s="24"/>
      <c r="I27" s="25"/>
      <c r="J27" s="24"/>
      <c r="K27" s="48"/>
      <c r="L27" s="77"/>
      <c r="M27" s="181"/>
      <c r="N27" s="181"/>
    </row>
    <row r="28">
      <c r="A28" s="49">
        <v>40475.791666666664</v>
      </c>
      <c r="B28" s="79"/>
      <c r="C28" s="180"/>
      <c r="D28" s="17"/>
      <c r="E28" s="199"/>
      <c r="F28" s="200"/>
      <c r="G28" s="79"/>
      <c r="H28" s="17"/>
      <c r="I28" s="24"/>
      <c r="J28" s="17"/>
      <c r="K28" s="48"/>
      <c r="L28" s="38"/>
      <c r="M28" s="181"/>
      <c r="N28" s="181"/>
    </row>
    <row r="29">
      <c r="A29" s="55">
        <v>40475.8125</v>
      </c>
      <c r="B29" s="27"/>
      <c r="C29" s="180"/>
      <c r="D29" s="27"/>
      <c r="E29" s="198"/>
      <c r="F29" s="48"/>
      <c r="G29" s="27"/>
      <c r="H29" s="24"/>
      <c r="I29" s="25"/>
      <c r="J29" s="24"/>
      <c r="K29" s="76"/>
      <c r="L29" s="77"/>
      <c r="M29" s="181"/>
      <c r="N29" s="180"/>
    </row>
    <row r="30">
      <c r="A30" s="55">
        <v>40475.833333333336</v>
      </c>
      <c r="B30" s="27"/>
      <c r="C30" s="180"/>
      <c r="D30" s="27"/>
      <c r="E30" s="27"/>
      <c r="F30" s="48"/>
      <c r="G30" s="27"/>
      <c r="H30" s="24"/>
      <c r="I30" s="25"/>
      <c r="J30" s="27"/>
      <c r="K30" s="76"/>
      <c r="L30" s="77"/>
      <c r="M30" s="181"/>
      <c r="N30" s="180"/>
    </row>
    <row r="31">
      <c r="A31" s="49">
        <v>40475.854166666664</v>
      </c>
      <c r="B31" s="27"/>
      <c r="C31" s="180"/>
      <c r="D31" s="27"/>
      <c r="E31" s="27"/>
      <c r="F31" s="48"/>
      <c r="G31" s="27"/>
      <c r="H31" s="24"/>
      <c r="I31" s="25"/>
      <c r="J31" s="27"/>
      <c r="K31" s="76"/>
      <c r="L31" s="77"/>
      <c r="M31" s="181"/>
      <c r="N31" s="201"/>
    </row>
    <row r="32">
      <c r="A32" s="49">
        <v>40475.875</v>
      </c>
      <c r="B32" s="27"/>
      <c r="C32" s="180"/>
      <c r="D32" s="27"/>
      <c r="E32" s="27"/>
      <c r="F32" s="48"/>
      <c r="G32" s="27"/>
      <c r="H32" s="24"/>
      <c r="I32" s="25"/>
      <c r="J32" s="27"/>
      <c r="K32" s="76"/>
      <c r="L32" s="77"/>
      <c r="M32" s="181"/>
      <c r="N32" s="181"/>
    </row>
    <row r="33">
      <c r="A33" s="55">
        <v>40475.895833333336</v>
      </c>
      <c r="B33" s="27"/>
      <c r="C33" s="180"/>
      <c r="D33" s="27"/>
      <c r="E33" s="27"/>
      <c r="F33" s="48"/>
      <c r="G33" s="27"/>
      <c r="H33" s="24"/>
      <c r="I33" s="25"/>
      <c r="J33" s="27"/>
      <c r="K33" s="76"/>
      <c r="L33" s="77"/>
      <c r="M33" s="202"/>
      <c r="N33" s="202"/>
    </row>
    <row r="34">
      <c r="A34" s="55">
        <v>40475.916666666664</v>
      </c>
      <c r="B34" s="27"/>
      <c r="C34" s="180"/>
      <c r="D34" s="27"/>
      <c r="E34" s="27"/>
      <c r="F34" s="48"/>
      <c r="G34" s="27"/>
      <c r="H34" s="24"/>
      <c r="I34" s="25"/>
      <c r="J34" s="27"/>
      <c r="K34" s="76"/>
      <c r="L34" s="77"/>
      <c r="M34" s="202"/>
      <c r="N34" s="202"/>
    </row>
    <row r="35">
      <c r="A35" s="49">
        <v>40475.9375</v>
      </c>
      <c r="B35" s="27"/>
      <c r="C35" s="180"/>
      <c r="D35" s="27"/>
      <c r="E35" s="27"/>
      <c r="F35" s="48"/>
      <c r="G35" s="27"/>
      <c r="H35" s="24"/>
      <c r="I35" s="25"/>
      <c r="J35" s="27"/>
      <c r="K35" s="76"/>
      <c r="L35" s="77"/>
      <c r="M35" s="202"/>
      <c r="N35" s="202"/>
    </row>
    <row r="36">
      <c r="A36" s="49">
        <v>40475.958333333336</v>
      </c>
      <c r="B36" s="79"/>
      <c r="C36" s="180"/>
      <c r="D36" s="79"/>
      <c r="E36" s="79"/>
      <c r="F36" s="200"/>
      <c r="G36" s="79"/>
      <c r="H36" s="79"/>
      <c r="I36" s="203"/>
      <c r="J36" s="79"/>
      <c r="K36" s="76"/>
      <c r="L36" s="77"/>
      <c r="M36" s="202"/>
      <c r="N36" s="202"/>
    </row>
    <row r="37">
      <c r="A37" s="55">
        <v>40475.979166666664</v>
      </c>
      <c r="B37" s="27"/>
      <c r="C37" s="180"/>
      <c r="D37" s="27"/>
      <c r="E37" s="27"/>
      <c r="F37" s="48"/>
      <c r="G37" s="27"/>
      <c r="H37" s="24"/>
      <c r="I37" s="25"/>
      <c r="J37" s="24"/>
      <c r="K37" s="76"/>
      <c r="L37" s="77"/>
      <c r="M37" s="181"/>
      <c r="N37" s="181"/>
    </row>
    <row r="38">
      <c r="A38" s="85" t="s">
        <v>12</v>
      </c>
      <c r="B38" s="79"/>
      <c r="C38" s="180"/>
      <c r="D38" s="79"/>
      <c r="E38" s="79"/>
      <c r="F38" s="17"/>
      <c r="G38" s="79"/>
      <c r="H38" s="17"/>
      <c r="I38" s="25"/>
      <c r="J38" s="17"/>
      <c r="K38" s="25"/>
      <c r="L38" s="77"/>
      <c r="M38" s="181"/>
      <c r="N38" s="181"/>
    </row>
    <row r="39">
      <c r="A39" s="89" t="s">
        <v>13</v>
      </c>
      <c r="B39" s="89">
        <f t="shared" ref="B39:N39" si="1">CONCATENATE(COUNTIF(B4:B38,"MAGAZZINI")+COUNTIF(B4:B38,"PRIMO")+COUNTIF(B4:B38,"RECEPTION")+COUNTIF(B4:B38,"SAGGI")+COUNTIF(B4:B38,"SECONDO")+COUNTIF(B4:B38,"SMART W")+COUNTIF(B4:B38,"STUDIO 1 e 2")+COUNTIF(B4:B38,"MANUTENZ.")+COUNTIF(B4:B38,"UFFICIO")+COUNTIF(B4:B38,"CAMPUS")+COUNTIF(B4:B38,"TEATRO")+COUNTIF(B4:B38,"AMM.ZIONE")+COUNTIF(B4:B38,"FORMAZ-1p")+COUNTIF(B4:B38,"FORMAZ-2p")+COUNTIF(B4:B38,"FORMAZ-rec")+COUNTIF(B4:B38,"WORKSHOP")+COUNTIF(B4:B38,"EVENTO EST."))/2</f>
        <v>0</v>
      </c>
      <c r="C39" s="89">
        <f t="shared" si="1"/>
        <v>0</v>
      </c>
      <c r="D39" s="89">
        <f t="shared" si="1"/>
        <v>0</v>
      </c>
      <c r="E39" s="89">
        <f t="shared" si="1"/>
        <v>0</v>
      </c>
      <c r="F39" s="89">
        <f t="shared" si="1"/>
        <v>0</v>
      </c>
      <c r="G39" s="89">
        <f t="shared" si="1"/>
        <v>0</v>
      </c>
      <c r="H39" s="89">
        <f t="shared" si="1"/>
        <v>0</v>
      </c>
      <c r="I39" s="89">
        <f t="shared" si="1"/>
        <v>0</v>
      </c>
      <c r="J39" s="89">
        <f t="shared" si="1"/>
        <v>0</v>
      </c>
      <c r="K39" s="89">
        <f t="shared" si="1"/>
        <v>0</v>
      </c>
      <c r="L39" s="89">
        <f t="shared" si="1"/>
        <v>0</v>
      </c>
      <c r="M39" s="89">
        <f t="shared" si="1"/>
        <v>0</v>
      </c>
      <c r="N39" s="89">
        <f t="shared" si="1"/>
        <v>0</v>
      </c>
    </row>
  </sheetData>
  <mergeCells count="4">
    <mergeCell ref="B1:C2"/>
    <mergeCell ref="D1:E2"/>
    <mergeCell ref="F1:F2"/>
    <mergeCell ref="G1:N2"/>
  </mergeCells>
  <conditionalFormatting sqref="B4:N38">
    <cfRule type="containsText" dxfId="1" priority="1" operator="containsText" text="MALATTIA">
      <formula>NOT(ISERROR(SEARCH(("MALATTIA"),(B4))))</formula>
    </cfRule>
  </conditionalFormatting>
  <conditionalFormatting sqref="B4:N38">
    <cfRule type="containsText" dxfId="2" priority="2" operator="containsText" text="FORMAZ">
      <formula>NOT(ISERROR(SEARCH(("FORMAZ"),(B4))))</formula>
    </cfRule>
  </conditionalFormatting>
  <conditionalFormatting sqref="B4:N38">
    <cfRule type="containsText" dxfId="3" priority="3" operator="containsText" text="AMM.ZIONE">
      <formula>NOT(ISERROR(SEARCH(("AMM.ZIONE"),(B4))))</formula>
    </cfRule>
  </conditionalFormatting>
  <conditionalFormatting sqref="B4:N38">
    <cfRule type="containsText" dxfId="4" priority="4" operator="containsText" text="PAUSA">
      <formula>NOT(ISERROR(SEARCH(("PAUSA"),(B4))))</formula>
    </cfRule>
  </conditionalFormatting>
  <conditionalFormatting sqref="B4:N38">
    <cfRule type="containsText" dxfId="0" priority="5" operator="containsText" text="PERMESSO">
      <formula>NOT(ISERROR(SEARCH(("PERMESSO"),(B4))))</formula>
    </cfRule>
  </conditionalFormatting>
  <conditionalFormatting sqref="B4:N38">
    <cfRule type="containsText" dxfId="6" priority="6" operator="containsText" text="UFFICIO">
      <formula>NOT(ISERROR(SEARCH(("UFFICIO"),(B4))))</formula>
    </cfRule>
  </conditionalFormatting>
  <conditionalFormatting sqref="B4:N38">
    <cfRule type="containsText" dxfId="7" priority="7" operator="containsText" text="RIPOSO">
      <formula>NOT(ISERROR(SEARCH(("RIPOSO"),(B4))))</formula>
    </cfRule>
  </conditionalFormatting>
  <dataValidations>
    <dataValidation type="list" allowBlank="1" showInputMessage="1" showErrorMessage="1" prompt="Fai clic e immetti un valore da intervallo elenchi!A1:A30" sqref="B4:N38">
      <formula1>elenchi!$A$1:$A$30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FF"/>
    <outlinePr summaryBelow="0" summaryRight="0"/>
  </sheetPr>
  <sheetViews>
    <sheetView workbookViewId="0">
      <pane xSplit="1.0" ySplit="3.0" topLeftCell="B4" activePane="bottomRight" state="frozen"/>
      <selection activeCell="B1" sqref="B1" pane="topRight"/>
      <selection activeCell="A4" sqref="A4" pane="bottomLeft"/>
      <selection activeCell="B4" sqref="B4" pane="bottomRight"/>
    </sheetView>
  </sheetViews>
  <sheetFormatPr customHeight="1" defaultColWidth="14.43" defaultRowHeight="15.0"/>
  <cols>
    <col customWidth="1" min="1" max="1" width="10.14"/>
    <col customWidth="1" min="2" max="14" width="18.71"/>
  </cols>
  <sheetData>
    <row r="1">
      <c r="A1" s="254"/>
      <c r="B1" s="222" t="s">
        <v>19</v>
      </c>
      <c r="C1" s="213"/>
      <c r="D1" s="255" t="str">
        <f>elenchi!C3</f>
        <v>  SETTIMANA - C</v>
      </c>
      <c r="E1" s="5"/>
      <c r="F1" s="256" t="s">
        <v>22</v>
      </c>
      <c r="G1" s="257" t="str">
        <f>elenchi!D3</f>
        <v>LUNEDI 30 MARZO A DOMENICA 05 APRILE 2026</v>
      </c>
      <c r="H1" s="5"/>
      <c r="I1" s="5"/>
      <c r="J1" s="5"/>
      <c r="K1" s="5"/>
      <c r="L1" s="5"/>
      <c r="M1" s="5"/>
      <c r="N1" s="3"/>
    </row>
    <row r="2">
      <c r="A2" s="254"/>
      <c r="B2" s="8"/>
      <c r="C2" s="9"/>
      <c r="D2" s="10"/>
      <c r="E2" s="10"/>
      <c r="F2" s="10"/>
      <c r="G2" s="10"/>
      <c r="H2" s="10"/>
      <c r="I2" s="10"/>
      <c r="J2" s="10"/>
      <c r="K2" s="10"/>
      <c r="L2" s="10"/>
      <c r="M2" s="10"/>
      <c r="N2" s="9"/>
    </row>
    <row r="3">
      <c r="A3" s="11" t="s">
        <v>2</v>
      </c>
      <c r="B3" s="11" t="str">
        <f>elenchi!B1</f>
        <v>ALEXANDRA</v>
      </c>
      <c r="C3" s="11" t="str">
        <f>elenchi!B2</f>
        <v>GIUDITTA</v>
      </c>
      <c r="D3" s="11" t="str">
        <f>elenchi!B3</f>
        <v>ESTEFANY</v>
      </c>
      <c r="E3" s="12" t="str">
        <f>elenchi!B4</f>
        <v>NURA</v>
      </c>
      <c r="F3" s="12" t="str">
        <f>elenchi!B5</f>
        <v/>
      </c>
      <c r="G3" s="12" t="str">
        <f>elenchi!B6</f>
        <v>JOEL</v>
      </c>
      <c r="H3" s="13" t="str">
        <f>elenchi!B7</f>
        <v>KEVIN</v>
      </c>
      <c r="I3" s="14" t="str">
        <f>elenchi!B8</f>
        <v>JASIR</v>
      </c>
      <c r="J3" s="15" t="str">
        <f>elenchi!B9</f>
        <v>DIEGO</v>
      </c>
      <c r="K3" s="15" t="str">
        <f>elenchi!B10</f>
        <v>SARA</v>
      </c>
      <c r="L3" s="12" t="str">
        <f>elenchi!B11</f>
        <v>SANTO</v>
      </c>
      <c r="M3" s="12" t="str">
        <f>elenchi!B12</f>
        <v>MASSI</v>
      </c>
      <c r="N3" s="12" t="str">
        <f>elenchi!B13</f>
        <v/>
      </c>
    </row>
    <row r="4">
      <c r="A4" s="16" t="s">
        <v>3</v>
      </c>
      <c r="B4" s="25"/>
      <c r="C4" s="201"/>
      <c r="D4" s="201"/>
      <c r="E4" s="201"/>
      <c r="F4" s="48"/>
      <c r="G4" s="25"/>
      <c r="H4" s="25"/>
      <c r="I4" s="25"/>
      <c r="J4" s="25"/>
      <c r="K4" s="181"/>
      <c r="L4" s="181"/>
      <c r="M4" s="181"/>
      <c r="N4" s="181"/>
    </row>
    <row r="5">
      <c r="A5" s="28" t="s">
        <v>4</v>
      </c>
      <c r="B5" s="25"/>
      <c r="C5" s="201"/>
      <c r="D5" s="201"/>
      <c r="E5" s="201"/>
      <c r="F5" s="48"/>
      <c r="G5" s="25"/>
      <c r="H5" s="25"/>
      <c r="I5" s="25"/>
      <c r="J5" s="25"/>
      <c r="K5" s="181"/>
      <c r="L5" s="181"/>
      <c r="M5" s="181"/>
      <c r="N5" s="181"/>
    </row>
    <row r="6">
      <c r="A6" s="28" t="s">
        <v>5</v>
      </c>
      <c r="B6" s="24"/>
      <c r="C6" s="27"/>
      <c r="D6" s="27"/>
      <c r="E6" s="27"/>
      <c r="F6" s="48"/>
      <c r="G6" s="24"/>
      <c r="H6" s="24"/>
      <c r="I6" s="24"/>
      <c r="J6" s="24"/>
      <c r="K6" s="48"/>
      <c r="L6" s="184"/>
      <c r="M6" s="24"/>
      <c r="N6" s="181"/>
    </row>
    <row r="7">
      <c r="A7" s="39">
        <v>40475.354166666664</v>
      </c>
      <c r="B7" s="48"/>
      <c r="C7" s="47"/>
      <c r="D7" s="47"/>
      <c r="E7" s="47"/>
      <c r="F7" s="24"/>
      <c r="G7" s="48"/>
      <c r="H7" s="48"/>
      <c r="I7" s="48"/>
      <c r="J7" s="48"/>
      <c r="K7" s="48"/>
      <c r="L7" s="46"/>
      <c r="M7" s="48"/>
      <c r="N7" s="181"/>
    </row>
    <row r="8">
      <c r="A8" s="49">
        <v>40475.375</v>
      </c>
      <c r="B8" s="67"/>
      <c r="C8" s="121"/>
      <c r="D8" s="54"/>
      <c r="E8" s="54"/>
      <c r="F8" s="186"/>
      <c r="G8" s="204"/>
      <c r="H8" s="186"/>
      <c r="I8" s="184"/>
      <c r="J8" s="187"/>
      <c r="K8" s="76"/>
      <c r="L8" s="46"/>
      <c r="M8" s="76"/>
      <c r="N8" s="181"/>
    </row>
    <row r="9">
      <c r="A9" s="55">
        <v>40475.395833333336</v>
      </c>
      <c r="B9" s="67"/>
      <c r="C9" s="122"/>
      <c r="D9" s="46"/>
      <c r="E9" s="46"/>
      <c r="F9" s="189"/>
      <c r="G9" s="250"/>
      <c r="H9" s="189"/>
      <c r="I9" s="37"/>
      <c r="J9" s="190"/>
      <c r="K9" s="76"/>
      <c r="L9" s="46"/>
      <c r="M9" s="76"/>
      <c r="N9" s="181"/>
    </row>
    <row r="10">
      <c r="A10" s="55">
        <v>40475.416666666664</v>
      </c>
      <c r="B10" s="67"/>
      <c r="C10" s="122"/>
      <c r="D10" s="46"/>
      <c r="E10" s="46"/>
      <c r="F10" s="189"/>
      <c r="G10" s="250"/>
      <c r="H10" s="189"/>
      <c r="I10" s="37"/>
      <c r="J10" s="190"/>
      <c r="K10" s="76"/>
      <c r="L10" s="46"/>
      <c r="M10" s="76"/>
      <c r="N10" s="181"/>
    </row>
    <row r="11">
      <c r="A11" s="49">
        <v>40475.4375</v>
      </c>
      <c r="B11" s="67"/>
      <c r="C11" s="122"/>
      <c r="D11" s="46"/>
      <c r="E11" s="46"/>
      <c r="F11" s="189"/>
      <c r="G11" s="250"/>
      <c r="H11" s="189"/>
      <c r="I11" s="37"/>
      <c r="J11" s="190"/>
      <c r="K11" s="76"/>
      <c r="L11" s="46"/>
      <c r="M11" s="76"/>
      <c r="N11" s="181"/>
    </row>
    <row r="12">
      <c r="A12" s="49">
        <v>40475.458333333336</v>
      </c>
      <c r="B12" s="67"/>
      <c r="C12" s="122"/>
      <c r="D12" s="46"/>
      <c r="E12" s="46"/>
      <c r="F12" s="189"/>
      <c r="G12" s="250"/>
      <c r="H12" s="189"/>
      <c r="I12" s="37"/>
      <c r="J12" s="190"/>
      <c r="K12" s="76"/>
      <c r="L12" s="46"/>
      <c r="M12" s="76"/>
      <c r="N12" s="181"/>
    </row>
    <row r="13">
      <c r="A13" s="55">
        <v>40475.479166666664</v>
      </c>
      <c r="B13" s="67"/>
      <c r="C13" s="122"/>
      <c r="D13" s="46"/>
      <c r="E13" s="33"/>
      <c r="F13" s="189"/>
      <c r="G13" s="250"/>
      <c r="H13" s="189"/>
      <c r="I13" s="37"/>
      <c r="J13" s="190"/>
      <c r="K13" s="48"/>
      <c r="L13" s="46"/>
      <c r="M13" s="48"/>
      <c r="N13" s="181"/>
    </row>
    <row r="14">
      <c r="A14" s="55">
        <v>40475.5</v>
      </c>
      <c r="B14" s="67"/>
      <c r="C14" s="122"/>
      <c r="D14" s="46"/>
      <c r="E14" s="33"/>
      <c r="F14" s="189"/>
      <c r="G14" s="250"/>
      <c r="H14" s="189"/>
      <c r="I14" s="37"/>
      <c r="J14" s="192"/>
      <c r="K14" s="48"/>
      <c r="L14" s="46"/>
      <c r="M14" s="48"/>
      <c r="N14" s="181"/>
    </row>
    <row r="15">
      <c r="A15" s="49">
        <v>40475.520833333336</v>
      </c>
      <c r="B15" s="67"/>
      <c r="C15" s="122"/>
      <c r="D15" s="46"/>
      <c r="E15" s="46"/>
      <c r="F15" s="250"/>
      <c r="G15" s="46"/>
      <c r="H15" s="189"/>
      <c r="I15" s="37"/>
      <c r="J15" s="192"/>
      <c r="K15" s="76"/>
      <c r="L15" s="206"/>
      <c r="M15" s="76"/>
      <c r="N15" s="191"/>
    </row>
    <row r="16">
      <c r="A16" s="49">
        <v>40475.541666666664</v>
      </c>
      <c r="B16" s="67"/>
      <c r="C16" s="122"/>
      <c r="D16" s="37"/>
      <c r="E16" s="46"/>
      <c r="F16" s="250"/>
      <c r="G16" s="46"/>
      <c r="H16" s="189"/>
      <c r="I16" s="37"/>
      <c r="J16" s="35"/>
      <c r="K16" s="76"/>
      <c r="L16" s="207"/>
      <c r="M16" s="76"/>
      <c r="N16" s="191"/>
    </row>
    <row r="17">
      <c r="A17" s="55">
        <v>40475.5625</v>
      </c>
      <c r="B17" s="67"/>
      <c r="C17" s="122"/>
      <c r="D17" s="37"/>
      <c r="E17" s="250"/>
      <c r="F17" s="37"/>
      <c r="G17" s="250"/>
      <c r="H17" s="189"/>
      <c r="I17" s="37"/>
      <c r="J17" s="35"/>
      <c r="K17" s="76"/>
      <c r="L17" s="207"/>
      <c r="M17" s="76"/>
      <c r="N17" s="191"/>
    </row>
    <row r="18">
      <c r="A18" s="55">
        <v>40475.583333333336</v>
      </c>
      <c r="B18" s="67"/>
      <c r="C18" s="67"/>
      <c r="D18" s="37"/>
      <c r="E18" s="250"/>
      <c r="F18" s="184"/>
      <c r="G18" s="46"/>
      <c r="H18" s="189"/>
      <c r="I18" s="37"/>
      <c r="J18" s="35"/>
      <c r="K18" s="35"/>
      <c r="L18" s="207"/>
      <c r="M18" s="76"/>
      <c r="N18" s="191"/>
    </row>
    <row r="19">
      <c r="A19" s="49">
        <v>40475.604166666664</v>
      </c>
      <c r="B19" s="67"/>
      <c r="C19" s="67"/>
      <c r="D19" s="37"/>
      <c r="E19" s="250"/>
      <c r="F19" s="37"/>
      <c r="G19" s="250"/>
      <c r="H19" s="189"/>
      <c r="I19" s="189"/>
      <c r="J19" s="35"/>
      <c r="K19" s="35"/>
      <c r="L19" s="207"/>
      <c r="M19" s="76"/>
      <c r="N19" s="191"/>
    </row>
    <row r="20">
      <c r="A20" s="49">
        <v>40475.625</v>
      </c>
      <c r="B20" s="67"/>
      <c r="C20" s="67"/>
      <c r="D20" s="37"/>
      <c r="E20" s="250"/>
      <c r="F20" s="37"/>
      <c r="G20" s="250"/>
      <c r="H20" s="189"/>
      <c r="I20" s="189"/>
      <c r="J20" s="35"/>
      <c r="K20" s="24"/>
      <c r="L20" s="207"/>
      <c r="M20" s="48"/>
      <c r="N20" s="191"/>
    </row>
    <row r="21">
      <c r="A21" s="55">
        <v>40475.645833333336</v>
      </c>
      <c r="B21" s="67"/>
      <c r="C21" s="67"/>
      <c r="D21" s="46"/>
      <c r="E21" s="250"/>
      <c r="F21" s="37"/>
      <c r="G21" s="250"/>
      <c r="H21" s="189"/>
      <c r="I21" s="189"/>
      <c r="J21" s="35"/>
      <c r="K21" s="24"/>
      <c r="L21" s="193"/>
      <c r="M21" s="48"/>
      <c r="N21" s="191"/>
    </row>
    <row r="22">
      <c r="A22" s="55">
        <v>40475.666666666664</v>
      </c>
      <c r="B22" s="67"/>
      <c r="C22" s="67"/>
      <c r="D22" s="46"/>
      <c r="E22" s="250"/>
      <c r="F22" s="38"/>
      <c r="G22" s="250"/>
      <c r="H22" s="189"/>
      <c r="I22" s="37"/>
      <c r="J22" s="35"/>
      <c r="K22" s="35"/>
      <c r="L22" s="193"/>
      <c r="M22" s="76"/>
      <c r="N22" s="300"/>
    </row>
    <row r="23">
      <c r="A23" s="49">
        <v>40475.6875</v>
      </c>
      <c r="B23" s="67"/>
      <c r="C23" s="67"/>
      <c r="D23" s="46"/>
      <c r="E23" s="250"/>
      <c r="F23" s="77"/>
      <c r="G23" s="250"/>
      <c r="H23" s="189"/>
      <c r="I23" s="37"/>
      <c r="J23" s="35"/>
      <c r="K23" s="35"/>
      <c r="L23" s="193"/>
      <c r="M23" s="76"/>
      <c r="N23" s="300"/>
    </row>
    <row r="24">
      <c r="A24" s="49">
        <v>40475.708333333336</v>
      </c>
      <c r="B24" s="67"/>
      <c r="C24" s="67"/>
      <c r="D24" s="46"/>
      <c r="E24" s="46"/>
      <c r="F24" s="77"/>
      <c r="G24" s="250"/>
      <c r="H24" s="196"/>
      <c r="I24" s="196"/>
      <c r="J24" s="26"/>
      <c r="K24" s="35"/>
      <c r="L24" s="193"/>
      <c r="M24" s="76"/>
      <c r="N24" s="191"/>
    </row>
    <row r="25">
      <c r="A25" s="55">
        <v>40475.729166666664</v>
      </c>
      <c r="B25" s="250"/>
      <c r="C25" s="54"/>
      <c r="D25" s="54"/>
      <c r="E25" s="46"/>
      <c r="F25" s="37"/>
      <c r="G25" s="48"/>
      <c r="H25" s="48"/>
      <c r="I25" s="46"/>
      <c r="J25" s="76"/>
      <c r="K25" s="35"/>
      <c r="L25" s="76"/>
      <c r="M25" s="76"/>
      <c r="N25" s="181"/>
    </row>
    <row r="26">
      <c r="A26" s="55">
        <v>40475.75</v>
      </c>
      <c r="B26" s="47"/>
      <c r="C26" s="76"/>
      <c r="D26" s="48"/>
      <c r="E26" s="54"/>
      <c r="F26" s="27"/>
      <c r="G26" s="47"/>
      <c r="H26" s="47"/>
      <c r="I26" s="250"/>
      <c r="J26" s="48"/>
      <c r="K26" s="76"/>
      <c r="L26" s="46"/>
      <c r="M26" s="76"/>
      <c r="N26" s="181"/>
    </row>
    <row r="27">
      <c r="A27" s="49">
        <v>40475.770833333336</v>
      </c>
      <c r="B27" s="47"/>
      <c r="C27" s="47"/>
      <c r="D27" s="48"/>
      <c r="E27" s="76"/>
      <c r="F27" s="27"/>
      <c r="G27" s="48"/>
      <c r="H27" s="48"/>
      <c r="I27" s="48"/>
      <c r="J27" s="48"/>
      <c r="K27" s="48"/>
      <c r="L27" s="46"/>
      <c r="M27" s="48"/>
      <c r="N27" s="181"/>
    </row>
    <row r="28">
      <c r="A28" s="49">
        <v>40475.791666666664</v>
      </c>
      <c r="B28" s="48"/>
      <c r="C28" s="47"/>
      <c r="D28" s="48"/>
      <c r="E28" s="76"/>
      <c r="F28" s="200"/>
      <c r="G28" s="48"/>
      <c r="H28" s="48"/>
      <c r="I28" s="48"/>
      <c r="J28" s="48"/>
      <c r="K28" s="48"/>
      <c r="L28" s="54"/>
      <c r="M28" s="48"/>
      <c r="N28" s="181"/>
    </row>
    <row r="29">
      <c r="A29" s="55">
        <v>40475.8125</v>
      </c>
      <c r="B29" s="48"/>
      <c r="C29" s="47"/>
      <c r="D29" s="47"/>
      <c r="E29" s="76"/>
      <c r="F29" s="48"/>
      <c r="G29" s="48"/>
      <c r="H29" s="48"/>
      <c r="I29" s="48"/>
      <c r="J29" s="48"/>
      <c r="K29" s="76"/>
      <c r="L29" s="46"/>
      <c r="M29" s="76"/>
      <c r="N29" s="180"/>
    </row>
    <row r="30">
      <c r="A30" s="55">
        <v>40475.833333333336</v>
      </c>
      <c r="B30" s="48"/>
      <c r="C30" s="47"/>
      <c r="D30" s="47"/>
      <c r="E30" s="47"/>
      <c r="F30" s="48"/>
      <c r="G30" s="47"/>
      <c r="H30" s="48"/>
      <c r="I30" s="48"/>
      <c r="J30" s="47"/>
      <c r="K30" s="76"/>
      <c r="L30" s="46"/>
      <c r="M30" s="76"/>
      <c r="N30" s="180"/>
    </row>
    <row r="31">
      <c r="A31" s="49">
        <v>40475.854166666664</v>
      </c>
      <c r="B31" s="48"/>
      <c r="C31" s="47"/>
      <c r="D31" s="47"/>
      <c r="E31" s="47"/>
      <c r="F31" s="48"/>
      <c r="G31" s="47"/>
      <c r="H31" s="48"/>
      <c r="I31" s="48"/>
      <c r="J31" s="47"/>
      <c r="K31" s="76"/>
      <c r="L31" s="46"/>
      <c r="M31" s="76"/>
      <c r="N31" s="181"/>
    </row>
    <row r="32">
      <c r="A32" s="49">
        <v>40475.875</v>
      </c>
      <c r="B32" s="48"/>
      <c r="C32" s="47"/>
      <c r="D32" s="47"/>
      <c r="E32" s="47"/>
      <c r="F32" s="48"/>
      <c r="G32" s="47"/>
      <c r="H32" s="48"/>
      <c r="I32" s="48"/>
      <c r="J32" s="47"/>
      <c r="K32" s="76"/>
      <c r="L32" s="46"/>
      <c r="M32" s="76"/>
      <c r="N32" s="181"/>
    </row>
    <row r="33">
      <c r="A33" s="55">
        <v>40475.895833333336</v>
      </c>
      <c r="B33" s="48"/>
      <c r="C33" s="48"/>
      <c r="D33" s="48"/>
      <c r="E33" s="48"/>
      <c r="F33" s="48"/>
      <c r="G33" s="48"/>
      <c r="H33" s="48"/>
      <c r="I33" s="48"/>
      <c r="J33" s="48"/>
      <c r="K33" s="76"/>
      <c r="L33" s="48"/>
      <c r="M33" s="48"/>
      <c r="N33" s="202"/>
    </row>
    <row r="34">
      <c r="A34" s="55">
        <v>40475.916666666664</v>
      </c>
      <c r="B34" s="48"/>
      <c r="C34" s="48"/>
      <c r="D34" s="48"/>
      <c r="E34" s="48"/>
      <c r="F34" s="48"/>
      <c r="G34" s="48"/>
      <c r="H34" s="48"/>
      <c r="I34" s="48"/>
      <c r="J34" s="48"/>
      <c r="K34" s="76"/>
      <c r="L34" s="48"/>
      <c r="M34" s="48"/>
      <c r="N34" s="202"/>
    </row>
    <row r="35">
      <c r="A35" s="49">
        <v>40475.9375</v>
      </c>
      <c r="B35" s="24"/>
      <c r="C35" s="27"/>
      <c r="D35" s="27"/>
      <c r="E35" s="27"/>
      <c r="F35" s="48"/>
      <c r="G35" s="27"/>
      <c r="H35" s="24"/>
      <c r="I35" s="24"/>
      <c r="J35" s="27"/>
      <c r="K35" s="76"/>
      <c r="L35" s="37"/>
      <c r="M35" s="35"/>
      <c r="N35" s="202"/>
    </row>
    <row r="36">
      <c r="A36" s="49">
        <v>40475.958333333336</v>
      </c>
      <c r="B36" s="83"/>
      <c r="C36" s="203"/>
      <c r="D36" s="203"/>
      <c r="E36" s="203"/>
      <c r="F36" s="200"/>
      <c r="G36" s="203"/>
      <c r="H36" s="203"/>
      <c r="I36" s="203"/>
      <c r="J36" s="203"/>
      <c r="K36" s="76"/>
      <c r="L36" s="142"/>
      <c r="M36" s="82"/>
      <c r="N36" s="202"/>
    </row>
    <row r="37">
      <c r="A37" s="55">
        <v>40475.979166666664</v>
      </c>
      <c r="B37" s="25"/>
      <c r="C37" s="201"/>
      <c r="D37" s="201"/>
      <c r="E37" s="201"/>
      <c r="F37" s="48"/>
      <c r="G37" s="25"/>
      <c r="H37" s="25"/>
      <c r="I37" s="25"/>
      <c r="J37" s="25"/>
      <c r="K37" s="76"/>
      <c r="L37" s="36"/>
      <c r="M37" s="23"/>
      <c r="N37" s="181"/>
    </row>
    <row r="38">
      <c r="A38" s="85" t="s">
        <v>12</v>
      </c>
      <c r="B38" s="25"/>
      <c r="C38" s="201"/>
      <c r="D38" s="201"/>
      <c r="E38" s="201"/>
      <c r="F38" s="17"/>
      <c r="G38" s="25"/>
      <c r="H38" s="25"/>
      <c r="I38" s="25"/>
      <c r="J38" s="25"/>
      <c r="K38" s="25"/>
      <c r="L38" s="36"/>
      <c r="M38" s="181"/>
      <c r="N38" s="181"/>
    </row>
    <row r="39">
      <c r="A39" s="89" t="s">
        <v>13</v>
      </c>
      <c r="B39" s="89">
        <f t="shared" ref="B39:N39" si="1">CONCATENATE(COUNTIF(B4:B38,"MAGAZZINI")+COUNTIF(B4:B38,"PRIMO")+COUNTIF(B4:B38,"RECEPTION")+COUNTIF(B4:B38,"SAGGI")+COUNTIF(B4:B38,"SECONDO")+COUNTIF(B4:B38,"SMART W")+COUNTIF(B4:B38,"STUDIO 1 e 2")+COUNTIF(B4:B38,"MANUTENZ.")+COUNTIF(B4:B38,"UFFICIO")+COUNTIF(B4:B38,"CAMPUS")+COUNTIF(B4:B38,"TEATRO")+COUNTIF(B4:B38,"AMM.ZIONE")+COUNTIF(B4:B38,"FORMAZ-1p")+COUNTIF(B4:B38,"FORMAZ-2p")+COUNTIF(B4:B38,"FORMAZ-rec")+COUNTIF(B4:B38,"WORKSHOP")+COUNTIF(B4:B38,"EVENTO EST."))/2</f>
        <v>0</v>
      </c>
      <c r="C39" s="89">
        <f t="shared" si="1"/>
        <v>0</v>
      </c>
      <c r="D39" s="89">
        <f t="shared" si="1"/>
        <v>0</v>
      </c>
      <c r="E39" s="89">
        <f t="shared" si="1"/>
        <v>0</v>
      </c>
      <c r="F39" s="89">
        <f t="shared" si="1"/>
        <v>0</v>
      </c>
      <c r="G39" s="89">
        <f t="shared" si="1"/>
        <v>0</v>
      </c>
      <c r="H39" s="89">
        <f t="shared" si="1"/>
        <v>0</v>
      </c>
      <c r="I39" s="89">
        <f t="shared" si="1"/>
        <v>0</v>
      </c>
      <c r="J39" s="89">
        <f t="shared" si="1"/>
        <v>0</v>
      </c>
      <c r="K39" s="89">
        <f t="shared" si="1"/>
        <v>0</v>
      </c>
      <c r="L39" s="89">
        <f t="shared" si="1"/>
        <v>0</v>
      </c>
      <c r="M39" s="89">
        <f t="shared" si="1"/>
        <v>0</v>
      </c>
      <c r="N39" s="89">
        <f t="shared" si="1"/>
        <v>0</v>
      </c>
    </row>
  </sheetData>
  <mergeCells count="4">
    <mergeCell ref="B1:C2"/>
    <mergeCell ref="D1:E2"/>
    <mergeCell ref="F1:F2"/>
    <mergeCell ref="G1:N2"/>
  </mergeCells>
  <conditionalFormatting sqref="B4:N38">
    <cfRule type="containsText" dxfId="1" priority="1" operator="containsText" text="MALATTIA">
      <formula>NOT(ISERROR(SEARCH(("MALATTIA"),(B4))))</formula>
    </cfRule>
  </conditionalFormatting>
  <conditionalFormatting sqref="B4:N38">
    <cfRule type="containsText" dxfId="2" priority="2" operator="containsText" text="FORMAZ">
      <formula>NOT(ISERROR(SEARCH(("FORMAZ"),(B4))))</formula>
    </cfRule>
  </conditionalFormatting>
  <conditionalFormatting sqref="B4:N38">
    <cfRule type="containsText" dxfId="3" priority="3" operator="containsText" text="AMM.ZIONE">
      <formula>NOT(ISERROR(SEARCH(("AMM.ZIONE"),(B4))))</formula>
    </cfRule>
  </conditionalFormatting>
  <conditionalFormatting sqref="B4:N38">
    <cfRule type="containsText" dxfId="4" priority="4" operator="containsText" text="PAUSA">
      <formula>NOT(ISERROR(SEARCH(("PAUSA"),(B4))))</formula>
    </cfRule>
  </conditionalFormatting>
  <conditionalFormatting sqref="B4:N38">
    <cfRule type="containsText" dxfId="0" priority="5" operator="containsText" text="PERMESSO">
      <formula>NOT(ISERROR(SEARCH(("PERMESSO"),(B4))))</formula>
    </cfRule>
  </conditionalFormatting>
  <conditionalFormatting sqref="B4:N38">
    <cfRule type="containsText" dxfId="6" priority="6" operator="containsText" text="UFFICIO">
      <formula>NOT(ISERROR(SEARCH(("UFFICIO"),(B4))))</formula>
    </cfRule>
  </conditionalFormatting>
  <conditionalFormatting sqref="B4:N38">
    <cfRule type="containsText" dxfId="7" priority="7" operator="containsText" text="RIPOSO">
      <formula>NOT(ISERROR(SEARCH(("RIPOSO"),(B4))))</formula>
    </cfRule>
  </conditionalFormatting>
  <dataValidations>
    <dataValidation type="list" allowBlank="1" showInputMessage="1" showErrorMessage="1" prompt="Fai clic e immetti un valore da intervallo elenchi!A1:A30" sqref="B4:N38">
      <formula1>elenchi!$A$1:$A$30</formula1>
    </dataValidation>
  </dataValidation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AA84F"/>
    <outlinePr summaryBelow="0" summaryRight="0"/>
  </sheetPr>
  <sheetViews>
    <sheetView workbookViewId="0">
      <pane xSplit="1.0" ySplit="3.0" topLeftCell="B4" activePane="bottomRight" state="frozen"/>
      <selection activeCell="B1" sqref="B1" pane="topRight"/>
      <selection activeCell="A4" sqref="A4" pane="bottomLeft"/>
      <selection activeCell="B4" sqref="B4" pane="bottomRight"/>
    </sheetView>
  </sheetViews>
  <sheetFormatPr customHeight="1" defaultColWidth="14.43" defaultRowHeight="15.0"/>
  <cols>
    <col customWidth="1" min="1" max="1" width="10.14"/>
    <col customWidth="1" min="2" max="14" width="18.71"/>
  </cols>
  <sheetData>
    <row r="1">
      <c r="A1" s="301"/>
      <c r="B1" s="212" t="s">
        <v>0</v>
      </c>
      <c r="C1" s="213"/>
      <c r="D1" s="302" t="str">
        <f>elenchi!C4</f>
        <v>  SETTIMANA - D</v>
      </c>
      <c r="F1" s="303" t="s">
        <v>22</v>
      </c>
      <c r="G1" s="304" t="str">
        <f>elenchi!D4</f>
        <v>LUNEDI 06 A DOMENICA 12 APRILE 2026</v>
      </c>
      <c r="N1" s="213"/>
    </row>
    <row r="2">
      <c r="A2" s="301"/>
      <c r="B2" s="8"/>
      <c r="C2" s="9"/>
      <c r="D2" s="10"/>
      <c r="E2" s="10"/>
      <c r="F2" s="10"/>
      <c r="G2" s="10"/>
      <c r="H2" s="10"/>
      <c r="I2" s="10"/>
      <c r="J2" s="10"/>
      <c r="K2" s="10"/>
      <c r="L2" s="10"/>
      <c r="M2" s="10"/>
      <c r="N2" s="9"/>
    </row>
    <row r="3">
      <c r="A3" s="11" t="s">
        <v>2</v>
      </c>
      <c r="B3" s="11" t="str">
        <f>elenchi!B1</f>
        <v>ALEXANDRA</v>
      </c>
      <c r="C3" s="11" t="str">
        <f>elenchi!B2</f>
        <v>GIUDITTA</v>
      </c>
      <c r="D3" s="11" t="str">
        <f>elenchi!B3</f>
        <v>ESTEFANY</v>
      </c>
      <c r="E3" s="12" t="str">
        <f>elenchi!B4</f>
        <v>NURA</v>
      </c>
      <c r="F3" s="12" t="str">
        <f>elenchi!B5</f>
        <v/>
      </c>
      <c r="G3" s="12" t="str">
        <f>elenchi!B6</f>
        <v>JOEL</v>
      </c>
      <c r="H3" s="13" t="str">
        <f>elenchi!B7</f>
        <v>KEVIN</v>
      </c>
      <c r="I3" s="14" t="str">
        <f>elenchi!B8</f>
        <v>JASIR</v>
      </c>
      <c r="J3" s="15" t="str">
        <f>elenchi!B9</f>
        <v>DIEGO</v>
      </c>
      <c r="K3" s="15" t="str">
        <f>elenchi!B10</f>
        <v>SARA</v>
      </c>
      <c r="L3" s="12" t="str">
        <f>elenchi!B11</f>
        <v>SANTO</v>
      </c>
      <c r="M3" s="12" t="str">
        <f>elenchi!B12</f>
        <v>MASSI</v>
      </c>
      <c r="N3" s="12" t="str">
        <f>elenchi!B13</f>
        <v/>
      </c>
    </row>
    <row r="4">
      <c r="A4" s="16" t="s">
        <v>3</v>
      </c>
      <c r="B4" s="226"/>
      <c r="C4" s="18"/>
      <c r="D4" s="286"/>
      <c r="E4" s="20"/>
      <c r="F4" s="21"/>
      <c r="G4" s="287"/>
      <c r="H4" s="23"/>
      <c r="I4" s="24"/>
      <c r="J4" s="25"/>
      <c r="K4" s="26"/>
      <c r="L4" s="27"/>
      <c r="M4" s="17"/>
      <c r="N4" s="26"/>
    </row>
    <row r="5">
      <c r="A5" s="28" t="s">
        <v>4</v>
      </c>
      <c r="B5" s="305"/>
      <c r="C5" s="30"/>
      <c r="D5" s="289"/>
      <c r="E5" s="32"/>
      <c r="F5" s="33"/>
      <c r="G5" s="290"/>
      <c r="H5" s="23"/>
      <c r="I5" s="24"/>
      <c r="J5" s="25"/>
      <c r="K5" s="26"/>
      <c r="L5" s="27"/>
      <c r="M5" s="17"/>
      <c r="N5" s="26"/>
    </row>
    <row r="6">
      <c r="A6" s="28" t="s">
        <v>5</v>
      </c>
      <c r="B6" s="305"/>
      <c r="C6" s="30"/>
      <c r="D6" s="289"/>
      <c r="E6" s="32"/>
      <c r="F6" s="33"/>
      <c r="G6" s="290"/>
      <c r="H6" s="35"/>
      <c r="I6" s="36"/>
      <c r="J6" s="37"/>
      <c r="K6" s="38"/>
      <c r="L6" s="27"/>
      <c r="M6" s="17"/>
      <c r="N6" s="26"/>
    </row>
    <row r="7">
      <c r="A7" s="39">
        <v>40475.354166666664</v>
      </c>
      <c r="B7" s="44"/>
      <c r="C7" s="41"/>
      <c r="D7" s="306"/>
      <c r="E7" s="182"/>
      <c r="F7" s="40"/>
      <c r="G7" s="183"/>
      <c r="H7" s="182"/>
      <c r="I7" s="182"/>
      <c r="J7" s="185"/>
      <c r="K7" s="46"/>
      <c r="L7" s="47"/>
      <c r="M7" s="48"/>
      <c r="N7" s="35"/>
    </row>
    <row r="8">
      <c r="A8" s="49">
        <v>40475.375</v>
      </c>
      <c r="B8" s="52"/>
      <c r="C8" s="41"/>
      <c r="D8" s="242"/>
      <c r="E8" s="183"/>
      <c r="F8" s="50"/>
      <c r="G8" s="183"/>
      <c r="H8" s="185"/>
      <c r="I8" s="185"/>
      <c r="J8" s="185"/>
      <c r="K8" s="46"/>
      <c r="L8" s="54"/>
      <c r="M8" s="48"/>
      <c r="N8" s="26"/>
    </row>
    <row r="9">
      <c r="A9" s="55">
        <v>40475.395833333336</v>
      </c>
      <c r="B9" s="57"/>
      <c r="C9" s="41"/>
      <c r="D9" s="242"/>
      <c r="E9" s="185"/>
      <c r="F9" s="40"/>
      <c r="G9" s="183"/>
      <c r="H9" s="185"/>
      <c r="I9" s="185"/>
      <c r="J9" s="185"/>
      <c r="K9" s="46"/>
      <c r="L9" s="54"/>
      <c r="M9" s="48"/>
      <c r="N9" s="35"/>
    </row>
    <row r="10">
      <c r="A10" s="55">
        <v>40475.416666666664</v>
      </c>
      <c r="B10" s="52"/>
      <c r="C10" s="41"/>
      <c r="D10" s="243"/>
      <c r="E10" s="183"/>
      <c r="F10" s="124"/>
      <c r="G10" s="183"/>
      <c r="H10" s="185"/>
      <c r="I10" s="185"/>
      <c r="J10" s="185"/>
      <c r="K10" s="46"/>
      <c r="L10" s="54"/>
      <c r="M10" s="48"/>
      <c r="N10" s="26"/>
    </row>
    <row r="11">
      <c r="A11" s="49">
        <v>40475.4375</v>
      </c>
      <c r="B11" s="52"/>
      <c r="C11" s="41"/>
      <c r="D11" s="182"/>
      <c r="E11" s="183"/>
      <c r="F11" s="122"/>
      <c r="G11" s="185"/>
      <c r="H11" s="185"/>
      <c r="I11" s="185"/>
      <c r="J11" s="185"/>
      <c r="K11" s="46"/>
      <c r="L11" s="63"/>
      <c r="M11" s="48"/>
      <c r="N11" s="35"/>
    </row>
    <row r="12">
      <c r="A12" s="49">
        <v>40475.458333333336</v>
      </c>
      <c r="B12" s="57"/>
      <c r="C12" s="136"/>
      <c r="D12" s="185"/>
      <c r="E12" s="183"/>
      <c r="F12" s="122"/>
      <c r="G12" s="183"/>
      <c r="H12" s="185"/>
      <c r="I12" s="185"/>
      <c r="J12" s="185"/>
      <c r="K12" s="46"/>
      <c r="L12" s="67"/>
      <c r="M12" s="48"/>
      <c r="N12" s="35"/>
    </row>
    <row r="13">
      <c r="A13" s="55">
        <v>40475.479166666664</v>
      </c>
      <c r="B13" s="52"/>
      <c r="C13" s="57"/>
      <c r="D13" s="183"/>
      <c r="E13" s="183"/>
      <c r="F13" s="124"/>
      <c r="G13" s="183"/>
      <c r="H13" s="185"/>
      <c r="I13" s="185"/>
      <c r="J13" s="185"/>
      <c r="K13" s="46"/>
      <c r="L13" s="67"/>
      <c r="M13" s="48"/>
      <c r="N13" s="26"/>
    </row>
    <row r="14">
      <c r="A14" s="55">
        <v>40475.5</v>
      </c>
      <c r="B14" s="51"/>
      <c r="C14" s="57"/>
      <c r="D14" s="67"/>
      <c r="E14" s="183"/>
      <c r="F14" s="124"/>
      <c r="G14" s="183"/>
      <c r="H14" s="185"/>
      <c r="I14" s="185"/>
      <c r="J14" s="185"/>
      <c r="K14" s="46"/>
      <c r="L14" s="67"/>
      <c r="M14" s="48"/>
      <c r="N14" s="35"/>
    </row>
    <row r="15">
      <c r="A15" s="49">
        <v>40475.520833333336</v>
      </c>
      <c r="B15" s="51"/>
      <c r="C15" s="57"/>
      <c r="D15" s="67"/>
      <c r="E15" s="183"/>
      <c r="F15" s="124"/>
      <c r="G15" s="185"/>
      <c r="H15" s="185"/>
      <c r="I15" s="185"/>
      <c r="J15" s="185"/>
      <c r="K15" s="46"/>
      <c r="L15" s="67"/>
      <c r="M15" s="48"/>
      <c r="N15" s="35"/>
    </row>
    <row r="16">
      <c r="A16" s="49">
        <v>40475.541666666664</v>
      </c>
      <c r="B16" s="183"/>
      <c r="C16" s="57"/>
      <c r="D16" s="185"/>
      <c r="E16" s="183"/>
      <c r="F16" s="122"/>
      <c r="G16" s="71"/>
      <c r="H16" s="185"/>
      <c r="I16" s="185"/>
      <c r="J16" s="185"/>
      <c r="K16" s="46"/>
      <c r="L16" s="67"/>
      <c r="M16" s="48"/>
      <c r="N16" s="35"/>
    </row>
    <row r="17">
      <c r="A17" s="55">
        <v>40475.5625</v>
      </c>
      <c r="B17" s="183"/>
      <c r="C17" s="57"/>
      <c r="D17" s="183"/>
      <c r="E17" s="183"/>
      <c r="F17" s="122"/>
      <c r="G17" s="185"/>
      <c r="H17" s="185"/>
      <c r="I17" s="185"/>
      <c r="J17" s="58"/>
      <c r="K17" s="46"/>
      <c r="L17" s="67"/>
      <c r="M17" s="48"/>
      <c r="N17" s="26"/>
    </row>
    <row r="18">
      <c r="A18" s="55">
        <v>40475.583333333336</v>
      </c>
      <c r="B18" s="183"/>
      <c r="C18" s="30"/>
      <c r="D18" s="185"/>
      <c r="E18" s="183"/>
      <c r="F18" s="122"/>
      <c r="G18" s="183"/>
      <c r="H18" s="185"/>
      <c r="I18" s="185"/>
      <c r="J18" s="58"/>
      <c r="K18" s="46"/>
      <c r="L18" s="67"/>
      <c r="M18" s="48"/>
      <c r="N18" s="26"/>
    </row>
    <row r="19">
      <c r="A19" s="49">
        <v>40475.604166666664</v>
      </c>
      <c r="B19" s="183"/>
      <c r="C19" s="32"/>
      <c r="D19" s="185"/>
      <c r="E19" s="137"/>
      <c r="F19" s="40"/>
      <c r="G19" s="183"/>
      <c r="H19" s="185"/>
      <c r="I19" s="185"/>
      <c r="J19" s="58"/>
      <c r="K19" s="46"/>
      <c r="L19" s="46"/>
      <c r="M19" s="48"/>
      <c r="N19" s="26"/>
    </row>
    <row r="20">
      <c r="A20" s="49">
        <v>40475.625</v>
      </c>
      <c r="B20" s="183"/>
      <c r="C20" s="30"/>
      <c r="D20" s="185"/>
      <c r="E20" s="137"/>
      <c r="F20" s="40"/>
      <c r="G20" s="185"/>
      <c r="H20" s="185"/>
      <c r="I20" s="185"/>
      <c r="J20" s="58"/>
      <c r="K20" s="46"/>
      <c r="L20" s="46"/>
      <c r="M20" s="48"/>
      <c r="N20" s="35"/>
    </row>
    <row r="21">
      <c r="A21" s="55">
        <v>40475.645833333336</v>
      </c>
      <c r="B21" s="185"/>
      <c r="C21" s="32"/>
      <c r="D21" s="185"/>
      <c r="E21" s="32"/>
      <c r="F21" s="40"/>
      <c r="G21" s="183"/>
      <c r="H21" s="185"/>
      <c r="I21" s="185"/>
      <c r="J21" s="58"/>
      <c r="K21" s="46"/>
      <c r="L21" s="46"/>
      <c r="M21" s="48"/>
      <c r="N21" s="26"/>
    </row>
    <row r="22">
      <c r="A22" s="55">
        <v>40475.666666666664</v>
      </c>
      <c r="B22" s="183"/>
      <c r="C22" s="32"/>
      <c r="D22" s="185"/>
      <c r="E22" s="32"/>
      <c r="F22" s="40"/>
      <c r="G22" s="183"/>
      <c r="H22" s="185"/>
      <c r="I22" s="185"/>
      <c r="J22" s="58"/>
      <c r="K22" s="46"/>
      <c r="L22" s="46"/>
      <c r="M22" s="48"/>
      <c r="N22" s="35"/>
    </row>
    <row r="23">
      <c r="A23" s="49">
        <v>40475.6875</v>
      </c>
      <c r="B23" s="185"/>
      <c r="C23" s="32"/>
      <c r="D23" s="185"/>
      <c r="E23" s="32"/>
      <c r="F23" s="40"/>
      <c r="G23" s="183"/>
      <c r="H23" s="185"/>
      <c r="I23" s="37"/>
      <c r="J23" s="69"/>
      <c r="K23" s="46"/>
      <c r="L23" s="46"/>
      <c r="M23" s="48"/>
      <c r="N23" s="26"/>
    </row>
    <row r="24">
      <c r="A24" s="49">
        <v>40475.708333333336</v>
      </c>
      <c r="B24" s="183"/>
      <c r="C24" s="32"/>
      <c r="D24" s="185"/>
      <c r="E24" s="32"/>
      <c r="F24" s="37"/>
      <c r="G24" s="32"/>
      <c r="H24" s="37"/>
      <c r="I24" s="37"/>
      <c r="J24" s="58"/>
      <c r="K24" s="46"/>
      <c r="L24" s="67"/>
      <c r="M24" s="48"/>
      <c r="N24" s="35"/>
    </row>
    <row r="25">
      <c r="A25" s="55">
        <v>40475.729166666664</v>
      </c>
      <c r="B25" s="183"/>
      <c r="C25" s="32"/>
      <c r="D25" s="185"/>
      <c r="E25" s="30"/>
      <c r="F25" s="37"/>
      <c r="G25" s="32"/>
      <c r="H25" s="37"/>
      <c r="I25" s="37"/>
      <c r="J25" s="58"/>
      <c r="K25" s="46"/>
      <c r="L25" s="67"/>
      <c r="M25" s="48"/>
      <c r="N25" s="26"/>
    </row>
    <row r="26">
      <c r="A26" s="55">
        <v>40475.75</v>
      </c>
      <c r="B26" s="183"/>
      <c r="C26" s="32"/>
      <c r="D26" s="185"/>
      <c r="E26" s="30"/>
      <c r="F26" s="37"/>
      <c r="G26" s="32"/>
      <c r="H26" s="37"/>
      <c r="I26" s="37"/>
      <c r="J26" s="58"/>
      <c r="K26" s="46"/>
      <c r="L26" s="67"/>
      <c r="M26" s="48"/>
      <c r="N26" s="75"/>
    </row>
    <row r="27">
      <c r="A27" s="49">
        <v>40475.770833333336</v>
      </c>
      <c r="B27" s="183"/>
      <c r="C27" s="30"/>
      <c r="D27" s="185"/>
      <c r="E27" s="30"/>
      <c r="F27" s="37"/>
      <c r="G27" s="30"/>
      <c r="H27" s="37"/>
      <c r="I27" s="37"/>
      <c r="J27" s="37"/>
      <c r="K27" s="46"/>
      <c r="L27" s="67"/>
      <c r="M27" s="48"/>
      <c r="N27" s="76"/>
    </row>
    <row r="28">
      <c r="A28" s="49">
        <v>40475.791666666664</v>
      </c>
      <c r="B28" s="77"/>
      <c r="C28" s="30"/>
      <c r="D28" s="37"/>
      <c r="E28" s="33"/>
      <c r="F28" s="37"/>
      <c r="G28" s="30"/>
      <c r="H28" s="37"/>
      <c r="I28" s="77"/>
      <c r="J28" s="46"/>
      <c r="K28" s="48"/>
      <c r="L28" s="46"/>
      <c r="M28" s="48"/>
      <c r="N28" s="26"/>
    </row>
    <row r="29">
      <c r="A29" s="55">
        <v>40475.8125</v>
      </c>
      <c r="B29" s="184"/>
      <c r="C29" s="30"/>
      <c r="D29" s="77"/>
      <c r="E29" s="248"/>
      <c r="F29" s="77"/>
      <c r="G29" s="288"/>
      <c r="H29" s="37"/>
      <c r="I29" s="37"/>
      <c r="J29" s="46"/>
      <c r="K29" s="48"/>
      <c r="L29" s="46"/>
      <c r="M29" s="48"/>
      <c r="N29" s="35"/>
    </row>
    <row r="30">
      <c r="A30" s="55">
        <v>40475.833333333336</v>
      </c>
      <c r="B30" s="37"/>
      <c r="C30" s="30"/>
      <c r="D30" s="77"/>
      <c r="E30" s="248"/>
      <c r="F30" s="77"/>
      <c r="G30" s="288"/>
      <c r="H30" s="37"/>
      <c r="I30" s="77"/>
      <c r="J30" s="37"/>
      <c r="K30" s="48"/>
      <c r="L30" s="46"/>
      <c r="M30" s="48"/>
      <c r="N30" s="79"/>
    </row>
    <row r="31">
      <c r="A31" s="49">
        <v>40475.854166666664</v>
      </c>
      <c r="B31" s="37"/>
      <c r="C31" s="30"/>
      <c r="D31" s="77"/>
      <c r="E31" s="248"/>
      <c r="F31" s="77"/>
      <c r="G31" s="288"/>
      <c r="H31" s="37"/>
      <c r="I31" s="37"/>
      <c r="J31" s="37"/>
      <c r="K31" s="48"/>
      <c r="L31" s="46"/>
      <c r="M31" s="48"/>
      <c r="N31" s="27"/>
    </row>
    <row r="32">
      <c r="A32" s="49">
        <v>40475.875</v>
      </c>
      <c r="B32" s="37"/>
      <c r="C32" s="30"/>
      <c r="D32" s="77"/>
      <c r="E32" s="248"/>
      <c r="F32" s="77"/>
      <c r="G32" s="288"/>
      <c r="H32" s="37"/>
      <c r="I32" s="77"/>
      <c r="J32" s="37"/>
      <c r="K32" s="48"/>
      <c r="L32" s="46"/>
      <c r="M32" s="48"/>
      <c r="N32" s="26"/>
    </row>
    <row r="33">
      <c r="A33" s="55">
        <v>40475.895833333336</v>
      </c>
      <c r="B33" s="37"/>
      <c r="C33" s="30"/>
      <c r="D33" s="77"/>
      <c r="E33" s="248"/>
      <c r="F33" s="77"/>
      <c r="G33" s="288"/>
      <c r="H33" s="37"/>
      <c r="I33" s="37"/>
      <c r="J33" s="37"/>
      <c r="K33" s="48"/>
      <c r="L33" s="46"/>
      <c r="M33" s="48"/>
      <c r="N33" s="35"/>
    </row>
    <row r="34">
      <c r="A34" s="55">
        <v>40475.916666666664</v>
      </c>
      <c r="B34" s="37"/>
      <c r="C34" s="30"/>
      <c r="D34" s="264"/>
      <c r="E34" s="137"/>
      <c r="F34" s="32"/>
      <c r="G34" s="307"/>
      <c r="H34" s="37"/>
      <c r="I34" s="17"/>
      <c r="J34" s="37"/>
      <c r="K34" s="24"/>
      <c r="L34" s="24"/>
      <c r="M34" s="24"/>
      <c r="N34" s="26"/>
    </row>
    <row r="35">
      <c r="A35" s="49">
        <v>40475.9375</v>
      </c>
      <c r="B35" s="37"/>
      <c r="C35" s="30"/>
      <c r="D35" s="264"/>
      <c r="E35" s="137"/>
      <c r="F35" s="32"/>
      <c r="G35" s="307"/>
      <c r="H35" s="37"/>
      <c r="I35" s="17"/>
      <c r="J35" s="37"/>
      <c r="K35" s="24"/>
      <c r="L35" s="24"/>
      <c r="M35" s="24"/>
      <c r="N35" s="26"/>
    </row>
    <row r="36">
      <c r="A36" s="49">
        <v>40475.958333333336</v>
      </c>
      <c r="B36" s="308"/>
      <c r="C36" s="30"/>
      <c r="D36" s="297"/>
      <c r="E36" s="32"/>
      <c r="F36" s="33"/>
      <c r="G36" s="289"/>
      <c r="H36" s="82"/>
      <c r="I36" s="37"/>
      <c r="J36" s="83"/>
      <c r="K36" s="37"/>
      <c r="L36" s="24"/>
      <c r="M36" s="24"/>
      <c r="N36" s="26"/>
    </row>
    <row r="37">
      <c r="A37" s="55">
        <v>40475.979166666664</v>
      </c>
      <c r="B37" s="305"/>
      <c r="C37" s="30"/>
      <c r="D37" s="289"/>
      <c r="E37" s="32"/>
      <c r="F37" s="33"/>
      <c r="G37" s="307"/>
      <c r="H37" s="23"/>
      <c r="I37" s="25"/>
      <c r="J37" s="25"/>
      <c r="K37" s="25"/>
      <c r="L37" s="48"/>
      <c r="M37" s="25"/>
      <c r="N37" s="26"/>
    </row>
    <row r="38">
      <c r="A38" s="85" t="s">
        <v>12</v>
      </c>
      <c r="B38" s="309"/>
      <c r="C38" s="30"/>
      <c r="D38" s="298"/>
      <c r="E38" s="88"/>
      <c r="F38" s="33"/>
      <c r="G38" s="290"/>
      <c r="H38" s="23"/>
      <c r="I38" s="25"/>
      <c r="J38" s="25"/>
      <c r="K38" s="83"/>
      <c r="L38" s="24"/>
      <c r="M38" s="83"/>
      <c r="N38" s="23"/>
    </row>
    <row r="39">
      <c r="A39" s="89" t="s">
        <v>13</v>
      </c>
      <c r="B39" s="89">
        <f t="shared" ref="B39:N39" si="1">CONCATENATE(COUNTIF(B4:B38,"MAGAZZINI")+COUNTIF(B4:B38,"PRIMO")+COUNTIF(B4:B38,"RECEPTION")+COUNTIF(B4:B38,"SAGGI")+COUNTIF(B4:B38,"SECONDO")+COUNTIF(B4:B38,"SMART W")+COUNTIF(B4:B38,"STUDIO 1 e 2")+COUNTIF(B4:B38,"MANUTENZ.")+COUNTIF(B4:B38,"UFFICIO")+COUNTIF(B4:B38,"CAMPUS")+COUNTIF(B4:B38,"TEATRO")+COUNTIF(B4:B38,"AMM.ZIONE")+COUNTIF(B4:B38,"FORMAZ-1p")+COUNTIF(B4:B38,"FORMAZ-2p")+COUNTIF(B4:B38,"FORMAZ-rec")+COUNTIF(B4:B38,"WORKSHOP")+COUNTIF(B4:B38,"EVENTO EST."))/2</f>
        <v>0</v>
      </c>
      <c r="C39" s="89">
        <f t="shared" si="1"/>
        <v>0</v>
      </c>
      <c r="D39" s="89">
        <f t="shared" si="1"/>
        <v>0</v>
      </c>
      <c r="E39" s="89">
        <f t="shared" si="1"/>
        <v>0</v>
      </c>
      <c r="F39" s="89">
        <f t="shared" si="1"/>
        <v>0</v>
      </c>
      <c r="G39" s="89">
        <f t="shared" si="1"/>
        <v>0</v>
      </c>
      <c r="H39" s="89">
        <f t="shared" si="1"/>
        <v>0</v>
      </c>
      <c r="I39" s="89">
        <f t="shared" si="1"/>
        <v>0</v>
      </c>
      <c r="J39" s="89">
        <f t="shared" si="1"/>
        <v>0</v>
      </c>
      <c r="K39" s="89">
        <f t="shared" si="1"/>
        <v>0</v>
      </c>
      <c r="L39" s="89">
        <f t="shared" si="1"/>
        <v>0</v>
      </c>
      <c r="M39" s="89">
        <f t="shared" si="1"/>
        <v>0</v>
      </c>
      <c r="N39" s="89">
        <f t="shared" si="1"/>
        <v>0</v>
      </c>
    </row>
  </sheetData>
  <mergeCells count="4">
    <mergeCell ref="B1:C2"/>
    <mergeCell ref="D1:E2"/>
    <mergeCell ref="F1:F2"/>
    <mergeCell ref="G1:N2"/>
  </mergeCells>
  <conditionalFormatting sqref="B4:N38">
    <cfRule type="containsText" dxfId="0" priority="1" operator="containsText" text="PERMESSO">
      <formula>NOT(ISERROR(SEARCH(("PERMESSO"),(B4))))</formula>
    </cfRule>
  </conditionalFormatting>
  <conditionalFormatting sqref="B4:N38">
    <cfRule type="containsText" dxfId="1" priority="2" operator="containsText" text="MALATTIA">
      <formula>NOT(ISERROR(SEARCH(("MALATTIA"),(B4))))</formula>
    </cfRule>
  </conditionalFormatting>
  <conditionalFormatting sqref="B4:N38">
    <cfRule type="containsText" dxfId="2" priority="3" operator="containsText" text="FORMAZ">
      <formula>NOT(ISERROR(SEARCH(("FORMAZ"),(B4))))</formula>
    </cfRule>
  </conditionalFormatting>
  <conditionalFormatting sqref="B4:N38">
    <cfRule type="containsText" dxfId="3" priority="4" operator="containsText" text="AMM.ZIONE">
      <formula>NOT(ISERROR(SEARCH(("AMM.ZIONE"),(B4))))</formula>
    </cfRule>
  </conditionalFormatting>
  <conditionalFormatting sqref="B4:N38">
    <cfRule type="containsText" dxfId="4" priority="5" operator="containsText" text="PAUSA">
      <formula>NOT(ISERROR(SEARCH(("PAUSA"),(B4))))</formula>
    </cfRule>
  </conditionalFormatting>
  <conditionalFormatting sqref="B4:N38">
    <cfRule type="containsText" dxfId="5" priority="6" operator="containsText" text="PERMESSO">
      <formula>NOT(ISERROR(SEARCH(("PERMESSO"),(B4))))</formula>
    </cfRule>
  </conditionalFormatting>
  <conditionalFormatting sqref="B4:N38">
    <cfRule type="containsText" dxfId="6" priority="7" operator="containsText" text="UFFICIO">
      <formula>NOT(ISERROR(SEARCH(("UFFICIO"),(B4))))</formula>
    </cfRule>
  </conditionalFormatting>
  <conditionalFormatting sqref="B4:N38">
    <cfRule type="containsText" dxfId="7" priority="8" operator="containsText" text="RIPOSO">
      <formula>NOT(ISERROR(SEARCH(("RIPOSO"),(B4))))</formula>
    </cfRule>
  </conditionalFormatting>
  <dataValidations>
    <dataValidation type="list" allowBlank="1" showInputMessage="1" showErrorMessage="1" prompt="Fai clic e immetti un valore da intervallo elenchi!A1:A30" sqref="B4:N38">
      <formula1>elenchi!$A$1:$A$30</formula1>
    </dataValidation>
  </dataValidation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AA84F"/>
    <outlinePr summaryBelow="0" summaryRight="0"/>
  </sheetPr>
  <sheetViews>
    <sheetView workbookViewId="0">
      <pane xSplit="1.0" ySplit="3.0" topLeftCell="B4" activePane="bottomRight" state="frozen"/>
      <selection activeCell="B1" sqref="B1" pane="topRight"/>
      <selection activeCell="A4" sqref="A4" pane="bottomLeft"/>
      <selection activeCell="B4" sqref="B4" pane="bottomRight"/>
    </sheetView>
  </sheetViews>
  <sheetFormatPr customHeight="1" defaultColWidth="14.43" defaultRowHeight="15.0"/>
  <cols>
    <col customWidth="1" min="1" max="1" width="10.14"/>
    <col customWidth="1" min="2" max="14" width="18.71"/>
  </cols>
  <sheetData>
    <row r="1">
      <c r="A1" s="301"/>
      <c r="B1" s="222" t="s">
        <v>14</v>
      </c>
      <c r="C1" s="213"/>
      <c r="D1" s="302" t="str">
        <f>elenchi!C4</f>
        <v>  SETTIMANA - D</v>
      </c>
      <c r="F1" s="303" t="s">
        <v>22</v>
      </c>
      <c r="G1" s="304" t="str">
        <f>elenchi!D4</f>
        <v>LUNEDI 06 A DOMENICA 12 APRILE 2026</v>
      </c>
      <c r="N1" s="213"/>
    </row>
    <row r="2">
      <c r="A2" s="301"/>
      <c r="B2" s="8"/>
      <c r="C2" s="9"/>
      <c r="D2" s="10"/>
      <c r="E2" s="10"/>
      <c r="F2" s="10"/>
      <c r="G2" s="10"/>
      <c r="H2" s="10"/>
      <c r="I2" s="10"/>
      <c r="J2" s="10"/>
      <c r="K2" s="10"/>
      <c r="L2" s="10"/>
      <c r="M2" s="10"/>
      <c r="N2" s="9"/>
    </row>
    <row r="3">
      <c r="A3" s="11" t="s">
        <v>2</v>
      </c>
      <c r="B3" s="11" t="str">
        <f>elenchi!B1</f>
        <v>ALEXANDRA</v>
      </c>
      <c r="C3" s="11" t="str">
        <f>elenchi!B2</f>
        <v>GIUDITTA</v>
      </c>
      <c r="D3" s="11" t="str">
        <f>elenchi!B3</f>
        <v>ESTEFANY</v>
      </c>
      <c r="E3" s="12" t="str">
        <f>elenchi!B4</f>
        <v>NURA</v>
      </c>
      <c r="F3" s="12" t="str">
        <f>elenchi!B5</f>
        <v/>
      </c>
      <c r="G3" s="12" t="str">
        <f>elenchi!B6</f>
        <v>JOEL</v>
      </c>
      <c r="H3" s="13" t="str">
        <f>elenchi!B7</f>
        <v>KEVIN</v>
      </c>
      <c r="I3" s="14" t="str">
        <f>elenchi!B8</f>
        <v>JASIR</v>
      </c>
      <c r="J3" s="15" t="str">
        <f>elenchi!B9</f>
        <v>DIEGO</v>
      </c>
      <c r="K3" s="15" t="str">
        <f>elenchi!B10</f>
        <v>SARA</v>
      </c>
      <c r="L3" s="12" t="str">
        <f>elenchi!B11</f>
        <v>SANTO</v>
      </c>
      <c r="M3" s="12" t="str">
        <f>elenchi!B12</f>
        <v>MASSI</v>
      </c>
      <c r="N3" s="12" t="str">
        <f>elenchi!B13</f>
        <v/>
      </c>
    </row>
    <row r="4">
      <c r="A4" s="16" t="s">
        <v>3</v>
      </c>
      <c r="B4" s="226"/>
      <c r="C4" s="20"/>
      <c r="D4" s="286"/>
      <c r="E4" s="18"/>
      <c r="F4" s="21"/>
      <c r="G4" s="287"/>
      <c r="H4" s="23"/>
      <c r="I4" s="24"/>
      <c r="J4" s="25"/>
      <c r="K4" s="26"/>
      <c r="L4" s="27"/>
      <c r="M4" s="17"/>
      <c r="N4" s="26"/>
    </row>
    <row r="5">
      <c r="A5" s="28" t="s">
        <v>4</v>
      </c>
      <c r="B5" s="305"/>
      <c r="C5" s="32"/>
      <c r="D5" s="289"/>
      <c r="E5" s="30"/>
      <c r="F5" s="33"/>
      <c r="G5" s="290"/>
      <c r="H5" s="23"/>
      <c r="I5" s="24"/>
      <c r="J5" s="25"/>
      <c r="K5" s="75"/>
      <c r="L5" s="27"/>
      <c r="M5" s="17"/>
      <c r="N5" s="26"/>
    </row>
    <row r="6">
      <c r="A6" s="28" t="s">
        <v>5</v>
      </c>
      <c r="B6" s="305"/>
      <c r="C6" s="32"/>
      <c r="D6" s="289"/>
      <c r="E6" s="30"/>
      <c r="F6" s="33"/>
      <c r="G6" s="290"/>
      <c r="H6" s="35"/>
      <c r="I6" s="36"/>
      <c r="J6" s="37"/>
      <c r="K6" s="38"/>
      <c r="L6" s="27"/>
      <c r="M6" s="17"/>
      <c r="N6" s="26"/>
    </row>
    <row r="7">
      <c r="A7" s="39">
        <v>40475.354166666664</v>
      </c>
      <c r="B7" s="44"/>
      <c r="C7" s="30"/>
      <c r="D7" s="270" t="s">
        <v>6</v>
      </c>
      <c r="E7" s="107"/>
      <c r="F7" s="40"/>
      <c r="G7" s="73"/>
      <c r="H7" s="182" t="s">
        <v>11</v>
      </c>
      <c r="I7" s="182"/>
      <c r="J7" s="185"/>
      <c r="K7" s="46" t="s">
        <v>8</v>
      </c>
      <c r="L7" s="47" t="s">
        <v>9</v>
      </c>
      <c r="M7" s="48"/>
      <c r="N7" s="35"/>
    </row>
    <row r="8">
      <c r="A8" s="49">
        <v>40475.375</v>
      </c>
      <c r="B8" s="52"/>
      <c r="C8" s="32"/>
      <c r="D8" s="242" t="s">
        <v>6</v>
      </c>
      <c r="E8" s="114"/>
      <c r="F8" s="50"/>
      <c r="G8" s="73"/>
      <c r="H8" s="185" t="s">
        <v>11</v>
      </c>
      <c r="I8" s="185"/>
      <c r="J8" s="185"/>
      <c r="K8" s="46" t="s">
        <v>8</v>
      </c>
      <c r="L8" s="54" t="s">
        <v>9</v>
      </c>
      <c r="M8" s="48"/>
      <c r="N8" s="26"/>
    </row>
    <row r="9">
      <c r="A9" s="55">
        <v>40475.395833333336</v>
      </c>
      <c r="B9" s="52"/>
      <c r="C9" s="30"/>
      <c r="D9" s="243" t="s">
        <v>6</v>
      </c>
      <c r="E9" s="114"/>
      <c r="F9" s="40"/>
      <c r="G9" s="73"/>
      <c r="H9" s="185" t="s">
        <v>11</v>
      </c>
      <c r="I9" s="185"/>
      <c r="J9" s="185"/>
      <c r="K9" s="46" t="s">
        <v>8</v>
      </c>
      <c r="L9" s="54" t="s">
        <v>9</v>
      </c>
      <c r="M9" s="48"/>
      <c r="N9" s="35"/>
    </row>
    <row r="10">
      <c r="A10" s="55">
        <v>40475.416666666664</v>
      </c>
      <c r="B10" s="52"/>
      <c r="C10" s="32"/>
      <c r="D10" s="242" t="s">
        <v>6</v>
      </c>
      <c r="E10" s="114"/>
      <c r="F10" s="124"/>
      <c r="G10" s="73"/>
      <c r="H10" s="185" t="s">
        <v>11</v>
      </c>
      <c r="I10" s="67"/>
      <c r="J10" s="185"/>
      <c r="K10" s="46" t="s">
        <v>8</v>
      </c>
      <c r="L10" s="54" t="s">
        <v>9</v>
      </c>
      <c r="M10" s="48" t="s">
        <v>8</v>
      </c>
      <c r="N10" s="26"/>
    </row>
    <row r="11">
      <c r="A11" s="49">
        <v>40475.4375</v>
      </c>
      <c r="B11" s="57"/>
      <c r="C11" s="30"/>
      <c r="D11" s="293" t="s">
        <v>6</v>
      </c>
      <c r="E11" s="114"/>
      <c r="F11" s="50"/>
      <c r="G11" s="71" t="s">
        <v>7</v>
      </c>
      <c r="H11" s="185" t="s">
        <v>11</v>
      </c>
      <c r="I11" s="67"/>
      <c r="J11" s="185"/>
      <c r="K11" s="46" t="s">
        <v>8</v>
      </c>
      <c r="L11" s="63" t="s">
        <v>9</v>
      </c>
      <c r="M11" s="48" t="s">
        <v>8</v>
      </c>
      <c r="N11" s="35"/>
    </row>
    <row r="12">
      <c r="A12" s="49">
        <v>40475.458333333336</v>
      </c>
      <c r="B12" s="74"/>
      <c r="C12" s="310"/>
      <c r="D12" s="185" t="s">
        <v>6</v>
      </c>
      <c r="E12" s="114"/>
      <c r="F12" s="50"/>
      <c r="G12" s="45" t="s">
        <v>7</v>
      </c>
      <c r="H12" s="185" t="s">
        <v>11</v>
      </c>
      <c r="I12" s="67"/>
      <c r="J12" s="185"/>
      <c r="K12" s="46" t="s">
        <v>8</v>
      </c>
      <c r="L12" s="67" t="s">
        <v>9</v>
      </c>
      <c r="M12" s="48" t="s">
        <v>8</v>
      </c>
      <c r="N12" s="35"/>
    </row>
    <row r="13">
      <c r="A13" s="55">
        <v>40475.479166666664</v>
      </c>
      <c r="B13" s="71"/>
      <c r="C13" s="183"/>
      <c r="D13" s="183" t="s">
        <v>6</v>
      </c>
      <c r="E13" s="62"/>
      <c r="F13" s="50"/>
      <c r="G13" s="53" t="s">
        <v>7</v>
      </c>
      <c r="H13" s="185" t="s">
        <v>11</v>
      </c>
      <c r="I13" s="67"/>
      <c r="J13" s="185"/>
      <c r="K13" s="46" t="s">
        <v>8</v>
      </c>
      <c r="L13" s="67" t="s">
        <v>9</v>
      </c>
      <c r="M13" s="48" t="s">
        <v>8</v>
      </c>
      <c r="N13" s="26"/>
    </row>
    <row r="14">
      <c r="A14" s="55">
        <v>40475.5</v>
      </c>
      <c r="B14" s="71"/>
      <c r="C14" s="183"/>
      <c r="D14" s="183" t="s">
        <v>6</v>
      </c>
      <c r="E14" s="40"/>
      <c r="F14" s="50"/>
      <c r="G14" s="53" t="s">
        <v>7</v>
      </c>
      <c r="H14" s="185" t="s">
        <v>11</v>
      </c>
      <c r="I14" s="67"/>
      <c r="J14" s="185"/>
      <c r="K14" s="46" t="s">
        <v>10</v>
      </c>
      <c r="L14" s="67" t="s">
        <v>9</v>
      </c>
      <c r="M14" s="48" t="s">
        <v>8</v>
      </c>
      <c r="N14" s="35"/>
    </row>
    <row r="15">
      <c r="A15" s="49">
        <v>40475.520833333336</v>
      </c>
      <c r="B15" s="71"/>
      <c r="C15" s="183"/>
      <c r="D15" s="183" t="s">
        <v>10</v>
      </c>
      <c r="E15" s="40"/>
      <c r="F15" s="50"/>
      <c r="G15" s="68" t="s">
        <v>6</v>
      </c>
      <c r="H15" s="67" t="s">
        <v>11</v>
      </c>
      <c r="I15" s="185"/>
      <c r="J15" s="58" t="s">
        <v>7</v>
      </c>
      <c r="K15" s="46" t="s">
        <v>8</v>
      </c>
      <c r="L15" s="67" t="s">
        <v>9</v>
      </c>
      <c r="M15" s="48" t="s">
        <v>8</v>
      </c>
      <c r="N15" s="35"/>
    </row>
    <row r="16">
      <c r="A16" s="49">
        <v>40475.541666666664</v>
      </c>
      <c r="B16" s="74"/>
      <c r="C16" s="183"/>
      <c r="D16" s="195" t="s">
        <v>6</v>
      </c>
      <c r="E16" s="40"/>
      <c r="F16" s="124"/>
      <c r="G16" s="53" t="s">
        <v>6</v>
      </c>
      <c r="H16" s="67"/>
      <c r="I16" s="185"/>
      <c r="J16" s="58" t="s">
        <v>7</v>
      </c>
      <c r="K16" s="46" t="s">
        <v>8</v>
      </c>
      <c r="L16" s="67" t="s">
        <v>10</v>
      </c>
      <c r="M16" s="48" t="s">
        <v>10</v>
      </c>
      <c r="N16" s="35"/>
    </row>
    <row r="17">
      <c r="A17" s="55">
        <v>40475.5625</v>
      </c>
      <c r="B17" s="74"/>
      <c r="C17" s="183"/>
      <c r="D17" s="195" t="s">
        <v>6</v>
      </c>
      <c r="E17" s="74"/>
      <c r="F17" s="124"/>
      <c r="G17" s="53" t="s">
        <v>6</v>
      </c>
      <c r="H17" s="67"/>
      <c r="I17" s="185"/>
      <c r="J17" s="51" t="s">
        <v>7</v>
      </c>
      <c r="K17" s="46" t="s">
        <v>8</v>
      </c>
      <c r="L17" s="67" t="s">
        <v>9</v>
      </c>
      <c r="M17" s="48" t="s">
        <v>8</v>
      </c>
      <c r="N17" s="26"/>
    </row>
    <row r="18">
      <c r="A18" s="55">
        <v>40475.583333333336</v>
      </c>
      <c r="B18" s="71"/>
      <c r="C18" s="183"/>
      <c r="D18" s="195" t="s">
        <v>6</v>
      </c>
      <c r="E18" s="74"/>
      <c r="F18" s="50"/>
      <c r="G18" s="53" t="s">
        <v>6</v>
      </c>
      <c r="H18" s="67"/>
      <c r="I18" s="185"/>
      <c r="J18" s="51" t="s">
        <v>7</v>
      </c>
      <c r="K18" s="46" t="s">
        <v>8</v>
      </c>
      <c r="L18" s="67" t="s">
        <v>9</v>
      </c>
      <c r="M18" s="48" t="s">
        <v>8</v>
      </c>
      <c r="N18" s="26"/>
    </row>
    <row r="19">
      <c r="A19" s="49">
        <v>40475.604166666664</v>
      </c>
      <c r="B19" s="40" t="s">
        <v>7</v>
      </c>
      <c r="C19" s="71" t="s">
        <v>7</v>
      </c>
      <c r="D19" s="195" t="s">
        <v>6</v>
      </c>
      <c r="E19" s="74" t="s">
        <v>11</v>
      </c>
      <c r="F19" s="124" t="s">
        <v>6</v>
      </c>
      <c r="G19" s="195" t="s">
        <v>10</v>
      </c>
      <c r="H19" s="67"/>
      <c r="I19" s="185" t="s">
        <v>7</v>
      </c>
      <c r="J19" s="185" t="s">
        <v>7</v>
      </c>
      <c r="K19" s="46" t="s">
        <v>8</v>
      </c>
      <c r="L19" s="46" t="s">
        <v>9</v>
      </c>
      <c r="M19" s="48" t="s">
        <v>8</v>
      </c>
      <c r="N19" s="35"/>
    </row>
    <row r="20">
      <c r="A20" s="49">
        <v>40475.625</v>
      </c>
      <c r="B20" s="40" t="s">
        <v>7</v>
      </c>
      <c r="C20" s="74" t="s">
        <v>7</v>
      </c>
      <c r="D20" s="195" t="s">
        <v>6</v>
      </c>
      <c r="E20" s="74" t="s">
        <v>11</v>
      </c>
      <c r="F20" s="124" t="s">
        <v>6</v>
      </c>
      <c r="G20" s="183" t="s">
        <v>7</v>
      </c>
      <c r="H20" s="67"/>
      <c r="I20" s="185" t="s">
        <v>7</v>
      </c>
      <c r="J20" s="185" t="s">
        <v>7</v>
      </c>
      <c r="K20" s="46" t="s">
        <v>8</v>
      </c>
      <c r="L20" s="46" t="s">
        <v>9</v>
      </c>
      <c r="M20" s="48" t="s">
        <v>8</v>
      </c>
      <c r="N20" s="35"/>
    </row>
    <row r="21">
      <c r="A21" s="55">
        <v>40475.645833333336</v>
      </c>
      <c r="B21" s="185" t="s">
        <v>7</v>
      </c>
      <c r="C21" s="71" t="s">
        <v>7</v>
      </c>
      <c r="D21" s="67" t="s">
        <v>6</v>
      </c>
      <c r="E21" s="74" t="s">
        <v>11</v>
      </c>
      <c r="F21" s="122" t="s">
        <v>6</v>
      </c>
      <c r="G21" s="185" t="s">
        <v>7</v>
      </c>
      <c r="H21" s="67"/>
      <c r="I21" s="185" t="s">
        <v>7</v>
      </c>
      <c r="J21" s="185" t="s">
        <v>7</v>
      </c>
      <c r="K21" s="46" t="s">
        <v>8</v>
      </c>
      <c r="L21" s="46" t="s">
        <v>9</v>
      </c>
      <c r="M21" s="48" t="s">
        <v>8</v>
      </c>
      <c r="N21" s="35"/>
    </row>
    <row r="22">
      <c r="A22" s="55">
        <v>40475.666666666664</v>
      </c>
      <c r="B22" s="67" t="s">
        <v>7</v>
      </c>
      <c r="C22" s="74" t="s">
        <v>7</v>
      </c>
      <c r="D22" s="195" t="s">
        <v>6</v>
      </c>
      <c r="E22" s="74" t="s">
        <v>11</v>
      </c>
      <c r="F22" s="124" t="s">
        <v>6</v>
      </c>
      <c r="G22" s="183" t="s">
        <v>7</v>
      </c>
      <c r="H22" s="67"/>
      <c r="I22" s="185" t="s">
        <v>7</v>
      </c>
      <c r="J22" s="185" t="s">
        <v>7</v>
      </c>
      <c r="K22" s="46" t="s">
        <v>8</v>
      </c>
      <c r="L22" s="46" t="s">
        <v>9</v>
      </c>
      <c r="M22" s="48" t="s">
        <v>8</v>
      </c>
      <c r="N22" s="35"/>
    </row>
    <row r="23">
      <c r="A23" s="49">
        <v>40475.6875</v>
      </c>
      <c r="B23" s="67" t="s">
        <v>7</v>
      </c>
      <c r="C23" s="71" t="s">
        <v>7</v>
      </c>
      <c r="D23" s="67" t="s">
        <v>6</v>
      </c>
      <c r="E23" s="74" t="s">
        <v>11</v>
      </c>
      <c r="F23" s="122" t="s">
        <v>6</v>
      </c>
      <c r="G23" s="185" t="s">
        <v>7</v>
      </c>
      <c r="H23" s="67"/>
      <c r="I23" s="37" t="s">
        <v>7</v>
      </c>
      <c r="J23" s="185" t="s">
        <v>7</v>
      </c>
      <c r="K23" s="46" t="s">
        <v>8</v>
      </c>
      <c r="L23" s="46" t="s">
        <v>9</v>
      </c>
      <c r="M23" s="48" t="s">
        <v>8</v>
      </c>
      <c r="N23" s="35"/>
    </row>
    <row r="24">
      <c r="A24" s="49">
        <v>40475.708333333336</v>
      </c>
      <c r="B24" s="67" t="s">
        <v>7</v>
      </c>
      <c r="C24" s="72" t="s">
        <v>7</v>
      </c>
      <c r="D24" s="183"/>
      <c r="E24" s="30" t="s">
        <v>11</v>
      </c>
      <c r="F24" s="46" t="s">
        <v>6</v>
      </c>
      <c r="G24" s="183" t="s">
        <v>7</v>
      </c>
      <c r="H24" s="37"/>
      <c r="I24" s="37" t="s">
        <v>7</v>
      </c>
      <c r="J24" s="37" t="s">
        <v>7</v>
      </c>
      <c r="K24" s="46"/>
      <c r="L24" s="67"/>
      <c r="M24" s="48" t="s">
        <v>8</v>
      </c>
      <c r="N24" s="35"/>
    </row>
    <row r="25">
      <c r="A25" s="55">
        <v>40475.729166666664</v>
      </c>
      <c r="B25" s="67" t="s">
        <v>7</v>
      </c>
      <c r="C25" s="73" t="s">
        <v>10</v>
      </c>
      <c r="D25" s="185"/>
      <c r="E25" s="33" t="s">
        <v>11</v>
      </c>
      <c r="F25" s="139" t="s">
        <v>6</v>
      </c>
      <c r="G25" s="67" t="s">
        <v>7</v>
      </c>
      <c r="H25" s="37"/>
      <c r="I25" s="37" t="s">
        <v>7</v>
      </c>
      <c r="J25" s="37" t="s">
        <v>10</v>
      </c>
      <c r="K25" s="46"/>
      <c r="L25" s="67"/>
      <c r="M25" s="48" t="s">
        <v>8</v>
      </c>
      <c r="N25" s="35"/>
    </row>
    <row r="26">
      <c r="A26" s="55">
        <v>40475.75</v>
      </c>
      <c r="B26" s="67" t="s">
        <v>10</v>
      </c>
      <c r="C26" s="73" t="s">
        <v>6</v>
      </c>
      <c r="D26" s="185"/>
      <c r="E26" s="33" t="s">
        <v>11</v>
      </c>
      <c r="F26" s="139" t="s">
        <v>6</v>
      </c>
      <c r="G26" s="183" t="s">
        <v>7</v>
      </c>
      <c r="H26" s="46"/>
      <c r="I26" s="37" t="s">
        <v>7</v>
      </c>
      <c r="J26" s="37" t="s">
        <v>7</v>
      </c>
      <c r="K26" s="46"/>
      <c r="L26" s="67"/>
      <c r="M26" s="48" t="s">
        <v>8</v>
      </c>
      <c r="N26" s="35"/>
    </row>
    <row r="27">
      <c r="A27" s="49">
        <v>40475.770833333336</v>
      </c>
      <c r="B27" s="67" t="s">
        <v>11</v>
      </c>
      <c r="C27" s="72" t="s">
        <v>6</v>
      </c>
      <c r="D27" s="185"/>
      <c r="E27" s="33" t="s">
        <v>10</v>
      </c>
      <c r="F27" s="46" t="s">
        <v>6</v>
      </c>
      <c r="G27" s="67" t="s">
        <v>7</v>
      </c>
      <c r="H27" s="46"/>
      <c r="I27" s="37" t="s">
        <v>7</v>
      </c>
      <c r="J27" s="37" t="s">
        <v>7</v>
      </c>
      <c r="K27" s="46"/>
      <c r="L27" s="67"/>
      <c r="M27" s="48"/>
      <c r="N27" s="35"/>
    </row>
    <row r="28">
      <c r="A28" s="49">
        <v>40475.791666666664</v>
      </c>
      <c r="B28" s="185" t="s">
        <v>11</v>
      </c>
      <c r="C28" s="72" t="s">
        <v>6</v>
      </c>
      <c r="D28" s="37"/>
      <c r="E28" s="33" t="s">
        <v>7</v>
      </c>
      <c r="F28" s="46" t="s">
        <v>10</v>
      </c>
      <c r="G28" s="185"/>
      <c r="H28" s="37"/>
      <c r="I28" s="37" t="s">
        <v>7</v>
      </c>
      <c r="J28" s="77" t="s">
        <v>7</v>
      </c>
      <c r="K28" s="48"/>
      <c r="L28" s="46"/>
      <c r="M28" s="48"/>
      <c r="N28" s="35"/>
    </row>
    <row r="29">
      <c r="A29" s="55">
        <v>40475.8125</v>
      </c>
      <c r="B29" s="184" t="s">
        <v>11</v>
      </c>
      <c r="C29" s="137" t="s">
        <v>6</v>
      </c>
      <c r="D29" s="37"/>
      <c r="E29" s="250" t="s">
        <v>7</v>
      </c>
      <c r="F29" s="139" t="s">
        <v>6</v>
      </c>
      <c r="G29" s="288"/>
      <c r="H29" s="37"/>
      <c r="I29" s="37" t="s">
        <v>10</v>
      </c>
      <c r="J29" s="37" t="s">
        <v>7</v>
      </c>
      <c r="K29" s="48"/>
      <c r="L29" s="46"/>
      <c r="M29" s="48"/>
      <c r="N29" s="35"/>
    </row>
    <row r="30">
      <c r="A30" s="55">
        <v>40475.833333333336</v>
      </c>
      <c r="B30" s="37" t="s">
        <v>11</v>
      </c>
      <c r="C30" s="137" t="s">
        <v>6</v>
      </c>
      <c r="D30" s="37"/>
      <c r="E30" s="74" t="s">
        <v>7</v>
      </c>
      <c r="F30" s="139" t="s">
        <v>6</v>
      </c>
      <c r="G30" s="288"/>
      <c r="H30" s="37"/>
      <c r="I30" s="37" t="s">
        <v>7</v>
      </c>
      <c r="J30" s="77" t="s">
        <v>7</v>
      </c>
      <c r="K30" s="48"/>
      <c r="L30" s="46"/>
      <c r="M30" s="48"/>
      <c r="N30" s="27"/>
    </row>
    <row r="31">
      <c r="A31" s="49">
        <v>40475.854166666664</v>
      </c>
      <c r="B31" s="37" t="s">
        <v>11</v>
      </c>
      <c r="C31" s="137" t="s">
        <v>6</v>
      </c>
      <c r="D31" s="37"/>
      <c r="E31" s="30" t="s">
        <v>7</v>
      </c>
      <c r="F31" s="139" t="s">
        <v>6</v>
      </c>
      <c r="G31" s="288"/>
      <c r="H31" s="37"/>
      <c r="I31" s="37" t="s">
        <v>7</v>
      </c>
      <c r="J31" s="37" t="s">
        <v>7</v>
      </c>
      <c r="K31" s="48"/>
      <c r="L31" s="46"/>
      <c r="M31" s="48"/>
      <c r="N31" s="27"/>
    </row>
    <row r="32">
      <c r="A32" s="49">
        <v>40475.875</v>
      </c>
      <c r="B32" s="37" t="s">
        <v>11</v>
      </c>
      <c r="C32" s="137" t="s">
        <v>6</v>
      </c>
      <c r="D32" s="37"/>
      <c r="E32" s="30" t="s">
        <v>7</v>
      </c>
      <c r="F32" s="139" t="s">
        <v>6</v>
      </c>
      <c r="G32" s="288"/>
      <c r="H32" s="37"/>
      <c r="I32" s="37" t="s">
        <v>7</v>
      </c>
      <c r="J32" s="77"/>
      <c r="K32" s="48"/>
      <c r="L32" s="46"/>
      <c r="M32" s="48"/>
      <c r="N32" s="35"/>
    </row>
    <row r="33">
      <c r="A33" s="55">
        <v>40475.895833333336</v>
      </c>
      <c r="B33" s="46" t="s">
        <v>11</v>
      </c>
      <c r="C33" s="137" t="s">
        <v>6</v>
      </c>
      <c r="D33" s="37"/>
      <c r="E33" s="30" t="s">
        <v>7</v>
      </c>
      <c r="F33" s="139" t="s">
        <v>6</v>
      </c>
      <c r="G33" s="288"/>
      <c r="H33" s="37"/>
      <c r="I33" s="37" t="s">
        <v>7</v>
      </c>
      <c r="J33" s="46"/>
      <c r="K33" s="48"/>
      <c r="L33" s="46"/>
      <c r="M33" s="48"/>
      <c r="N33" s="35"/>
    </row>
    <row r="34">
      <c r="A34" s="55">
        <v>40475.916666666664</v>
      </c>
      <c r="B34" s="46" t="s">
        <v>11</v>
      </c>
      <c r="C34" s="137" t="s">
        <v>6</v>
      </c>
      <c r="D34" s="263"/>
      <c r="E34" s="30" t="s">
        <v>7</v>
      </c>
      <c r="F34" s="137" t="s">
        <v>6</v>
      </c>
      <c r="G34" s="307"/>
      <c r="H34" s="24"/>
      <c r="I34" s="37" t="s">
        <v>7</v>
      </c>
      <c r="J34" s="77"/>
      <c r="K34" s="24"/>
      <c r="L34" s="24"/>
      <c r="M34" s="24"/>
      <c r="N34" s="35"/>
    </row>
    <row r="35">
      <c r="A35" s="49">
        <v>40475.9375</v>
      </c>
      <c r="B35" s="46" t="s">
        <v>11</v>
      </c>
      <c r="C35" s="137" t="s">
        <v>6</v>
      </c>
      <c r="D35" s="263"/>
      <c r="E35" s="30" t="s">
        <v>7</v>
      </c>
      <c r="F35" s="137" t="s">
        <v>6</v>
      </c>
      <c r="G35" s="307"/>
      <c r="H35" s="24"/>
      <c r="I35" s="37" t="s">
        <v>7</v>
      </c>
      <c r="J35" s="77"/>
      <c r="K35" s="24"/>
      <c r="L35" s="24"/>
      <c r="M35" s="24"/>
      <c r="N35" s="35"/>
    </row>
    <row r="36">
      <c r="A36" s="49">
        <v>40475.958333333336</v>
      </c>
      <c r="B36" s="277"/>
      <c r="C36" s="32"/>
      <c r="D36" s="289"/>
      <c r="E36" s="30"/>
      <c r="F36" s="33"/>
      <c r="G36" s="297"/>
      <c r="H36" s="82"/>
      <c r="I36" s="37"/>
      <c r="J36" s="24"/>
      <c r="K36" s="37"/>
      <c r="L36" s="24"/>
      <c r="M36" s="24"/>
      <c r="N36" s="26"/>
    </row>
    <row r="37">
      <c r="A37" s="55">
        <v>40475.979166666664</v>
      </c>
      <c r="B37" s="305"/>
      <c r="C37" s="32"/>
      <c r="D37" s="289"/>
      <c r="E37" s="30"/>
      <c r="F37" s="33"/>
      <c r="G37" s="289"/>
      <c r="H37" s="23"/>
      <c r="I37" s="25"/>
      <c r="J37" s="25"/>
      <c r="K37" s="25"/>
      <c r="L37" s="48"/>
      <c r="M37" s="25"/>
      <c r="N37" s="26"/>
    </row>
    <row r="38">
      <c r="A38" s="85" t="s">
        <v>12</v>
      </c>
      <c r="B38" s="277"/>
      <c r="C38" s="88"/>
      <c r="D38" s="289"/>
      <c r="E38" s="30"/>
      <c r="F38" s="33"/>
      <c r="G38" s="299"/>
      <c r="H38" s="23"/>
      <c r="I38" s="25"/>
      <c r="J38" s="25"/>
      <c r="K38" s="83"/>
      <c r="L38" s="24"/>
      <c r="M38" s="83"/>
      <c r="N38" s="23"/>
    </row>
    <row r="39">
      <c r="A39" s="89" t="s">
        <v>13</v>
      </c>
      <c r="B39" s="89">
        <f t="shared" ref="B39:N39" si="1">CONCATENATE(COUNTIF(B4:B38,"MAGAZZINI")+COUNTIF(B4:B38,"PRIMO")+COUNTIF(B4:B38,"RECEPTION")+COUNTIF(B4:B38,"SAGGI")+COUNTIF(B4:B38,"SECONDO")+COUNTIF(B4:B38,"SMART W")+COUNTIF(B4:B38,"STUDIO 1 e 2")+COUNTIF(B4:B38,"MANUTENZ.")+COUNTIF(B4:B38,"UFFICIO")+COUNTIF(B4:B38,"CAMPUS")+COUNTIF(B4:B38,"TEATRO")+COUNTIF(B4:B38,"AMM.ZIONE")+COUNTIF(B4:B38,"FORMAZ-1p")+COUNTIF(B4:B38,"FORMAZ-2p")+COUNTIF(B4:B38,"FORMAZ-rec")+COUNTIF(B4:B38,"WORKSHOP")+COUNTIF(B4:B38,"EVENTO EST."))/2</f>
        <v>8</v>
      </c>
      <c r="C39" s="89">
        <f t="shared" si="1"/>
        <v>8</v>
      </c>
      <c r="D39" s="89">
        <f t="shared" si="1"/>
        <v>8</v>
      </c>
      <c r="E39" s="89">
        <f t="shared" si="1"/>
        <v>8</v>
      </c>
      <c r="F39" s="89">
        <f t="shared" si="1"/>
        <v>8</v>
      </c>
      <c r="G39" s="89">
        <f t="shared" si="1"/>
        <v>8</v>
      </c>
      <c r="H39" s="89">
        <f t="shared" si="1"/>
        <v>4.5</v>
      </c>
      <c r="I39" s="89">
        <f t="shared" si="1"/>
        <v>8</v>
      </c>
      <c r="J39" s="89">
        <f t="shared" si="1"/>
        <v>8</v>
      </c>
      <c r="K39" s="89">
        <f t="shared" si="1"/>
        <v>8</v>
      </c>
      <c r="L39" s="89">
        <f t="shared" si="1"/>
        <v>8</v>
      </c>
      <c r="M39" s="89">
        <f t="shared" si="1"/>
        <v>8</v>
      </c>
      <c r="N39" s="89">
        <f t="shared" si="1"/>
        <v>0</v>
      </c>
    </row>
  </sheetData>
  <mergeCells count="4">
    <mergeCell ref="B1:C2"/>
    <mergeCell ref="D1:E2"/>
    <mergeCell ref="F1:F2"/>
    <mergeCell ref="G1:N2"/>
  </mergeCells>
  <conditionalFormatting sqref="B4:N38">
    <cfRule type="containsText" dxfId="5" priority="1" operator="containsText" text="PERMESSO">
      <formula>NOT(ISERROR(SEARCH(("PERMESSO"),(B4))))</formula>
    </cfRule>
  </conditionalFormatting>
  <conditionalFormatting sqref="B4:N38">
    <cfRule type="containsText" dxfId="1" priority="2" operator="containsText" text="MALATTIA">
      <formula>NOT(ISERROR(SEARCH(("MALATTIA"),(B4))))</formula>
    </cfRule>
  </conditionalFormatting>
  <conditionalFormatting sqref="B4:N38">
    <cfRule type="containsText" dxfId="2" priority="3" operator="containsText" text="FORMAZ">
      <formula>NOT(ISERROR(SEARCH(("FORMAZ"),(B4))))</formula>
    </cfRule>
  </conditionalFormatting>
  <conditionalFormatting sqref="B4:N38">
    <cfRule type="containsText" dxfId="3" priority="4" operator="containsText" text="AMM.ZIONE">
      <formula>NOT(ISERROR(SEARCH(("AMM.ZIONE"),(B4))))</formula>
    </cfRule>
  </conditionalFormatting>
  <conditionalFormatting sqref="B4:N38">
    <cfRule type="containsText" dxfId="4" priority="5" operator="containsText" text="PAUSA">
      <formula>NOT(ISERROR(SEARCH(("PAUSA"),(B4))))</formula>
    </cfRule>
  </conditionalFormatting>
  <conditionalFormatting sqref="B4:N38">
    <cfRule type="containsText" dxfId="0" priority="6" operator="containsText" text="PERMESSO">
      <formula>NOT(ISERROR(SEARCH(("PERMESSO"),(B4))))</formula>
    </cfRule>
  </conditionalFormatting>
  <conditionalFormatting sqref="B4:N38">
    <cfRule type="containsText" dxfId="6" priority="7" operator="containsText" text="UFFICIO">
      <formula>NOT(ISERROR(SEARCH(("UFFICIO"),(B4))))</formula>
    </cfRule>
  </conditionalFormatting>
  <conditionalFormatting sqref="B4:N38">
    <cfRule type="containsText" dxfId="7" priority="8" operator="containsText" text="RIPOSO">
      <formula>NOT(ISERROR(SEARCH(("RIPOSO"),(B4))))</formula>
    </cfRule>
  </conditionalFormatting>
  <dataValidations>
    <dataValidation type="list" allowBlank="1" showInputMessage="1" showErrorMessage="1" prompt="Fai clic e immetti un valore da intervallo elenchi!A1:A30" sqref="B4:N38">
      <formula1>elenchi!$A$1:$A$30</formula1>
    </dataValidation>
  </dataValidations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AA84F"/>
    <outlinePr summaryBelow="0" summaryRight="0"/>
  </sheetPr>
  <sheetViews>
    <sheetView workbookViewId="0">
      <pane xSplit="1.0" ySplit="3.0" topLeftCell="B4" activePane="bottomRight" state="frozen"/>
      <selection activeCell="B1" sqref="B1" pane="topRight"/>
      <selection activeCell="A4" sqref="A4" pane="bottomLeft"/>
      <selection activeCell="B4" sqref="B4" pane="bottomRight"/>
    </sheetView>
  </sheetViews>
  <sheetFormatPr customHeight="1" defaultColWidth="14.43" defaultRowHeight="15.0"/>
  <cols>
    <col customWidth="1" min="1" max="1" width="10.14"/>
    <col customWidth="1" min="2" max="14" width="18.71"/>
  </cols>
  <sheetData>
    <row r="1">
      <c r="A1" s="301"/>
      <c r="B1" s="222" t="s">
        <v>15</v>
      </c>
      <c r="C1" s="213"/>
      <c r="D1" s="302" t="str">
        <f>elenchi!C4</f>
        <v>  SETTIMANA - D</v>
      </c>
      <c r="F1" s="303" t="s">
        <v>22</v>
      </c>
      <c r="G1" s="304" t="str">
        <f>elenchi!D4</f>
        <v>LUNEDI 06 A DOMENICA 12 APRILE 2026</v>
      </c>
      <c r="N1" s="213"/>
    </row>
    <row r="2">
      <c r="A2" s="301"/>
      <c r="B2" s="8"/>
      <c r="C2" s="9"/>
      <c r="D2" s="10"/>
      <c r="E2" s="10"/>
      <c r="F2" s="10"/>
      <c r="G2" s="10"/>
      <c r="H2" s="10"/>
      <c r="I2" s="10"/>
      <c r="J2" s="10"/>
      <c r="K2" s="10"/>
      <c r="L2" s="10"/>
      <c r="M2" s="10"/>
      <c r="N2" s="9"/>
    </row>
    <row r="3">
      <c r="A3" s="11" t="s">
        <v>2</v>
      </c>
      <c r="B3" s="11" t="str">
        <f>elenchi!B1</f>
        <v>ALEXANDRA</v>
      </c>
      <c r="C3" s="11" t="str">
        <f>elenchi!B2</f>
        <v>GIUDITTA</v>
      </c>
      <c r="D3" s="11" t="str">
        <f>elenchi!B3</f>
        <v>ESTEFANY</v>
      </c>
      <c r="E3" s="12" t="str">
        <f>elenchi!B4</f>
        <v>NURA</v>
      </c>
      <c r="F3" s="12" t="str">
        <f>elenchi!B5</f>
        <v/>
      </c>
      <c r="G3" s="12" t="str">
        <f>elenchi!B6</f>
        <v>JOEL</v>
      </c>
      <c r="H3" s="13" t="str">
        <f>elenchi!B7</f>
        <v>KEVIN</v>
      </c>
      <c r="I3" s="14" t="str">
        <f>elenchi!B8</f>
        <v>JASIR</v>
      </c>
      <c r="J3" s="15" t="str">
        <f>elenchi!B9</f>
        <v>DIEGO</v>
      </c>
      <c r="K3" s="15" t="str">
        <f>elenchi!B10</f>
        <v>SARA</v>
      </c>
      <c r="L3" s="12" t="str">
        <f>elenchi!B11</f>
        <v>SANTO</v>
      </c>
      <c r="M3" s="12" t="str">
        <f>elenchi!B12</f>
        <v>MASSI</v>
      </c>
      <c r="N3" s="12" t="str">
        <f>elenchi!B13</f>
        <v/>
      </c>
    </row>
    <row r="4">
      <c r="A4" s="16" t="s">
        <v>3</v>
      </c>
      <c r="B4" s="226"/>
      <c r="C4" s="18"/>
      <c r="D4" s="286"/>
      <c r="E4" s="20"/>
      <c r="F4" s="20"/>
      <c r="G4" s="287"/>
      <c r="H4" s="23"/>
      <c r="I4" s="25"/>
      <c r="J4" s="25"/>
      <c r="K4" s="26"/>
      <c r="L4" s="27"/>
      <c r="M4" s="17"/>
      <c r="N4" s="26"/>
    </row>
    <row r="5">
      <c r="A5" s="28" t="s">
        <v>4</v>
      </c>
      <c r="B5" s="305"/>
      <c r="C5" s="30"/>
      <c r="D5" s="289"/>
      <c r="E5" s="32"/>
      <c r="F5" s="32"/>
      <c r="G5" s="290"/>
      <c r="H5" s="23"/>
      <c r="I5" s="25"/>
      <c r="J5" s="25"/>
      <c r="K5" s="26"/>
      <c r="L5" s="27"/>
      <c r="M5" s="17"/>
      <c r="N5" s="26"/>
    </row>
    <row r="6">
      <c r="A6" s="28" t="s">
        <v>5</v>
      </c>
      <c r="B6" s="305"/>
      <c r="C6" s="30"/>
      <c r="D6" s="289"/>
      <c r="E6" s="32"/>
      <c r="F6" s="32"/>
      <c r="G6" s="290"/>
      <c r="H6" s="35"/>
      <c r="I6" s="37"/>
      <c r="J6" s="37"/>
      <c r="K6" s="38"/>
      <c r="L6" s="27"/>
      <c r="M6" s="17"/>
      <c r="N6" s="26"/>
    </row>
    <row r="7">
      <c r="A7" s="39">
        <v>40475.354166666664</v>
      </c>
      <c r="B7" s="44"/>
      <c r="C7" s="41"/>
      <c r="D7" s="241"/>
      <c r="E7" s="182"/>
      <c r="F7" s="40"/>
      <c r="G7" s="185" t="s">
        <v>6</v>
      </c>
      <c r="H7" s="185" t="s">
        <v>7</v>
      </c>
      <c r="I7" s="182"/>
      <c r="J7" s="185"/>
      <c r="K7" s="46" t="s">
        <v>8</v>
      </c>
      <c r="L7" s="47" t="s">
        <v>9</v>
      </c>
      <c r="M7" s="48"/>
      <c r="N7" s="35"/>
    </row>
    <row r="8">
      <c r="A8" s="49">
        <v>40475.375</v>
      </c>
      <c r="B8" s="52"/>
      <c r="C8" s="41"/>
      <c r="D8" s="242"/>
      <c r="E8" s="183"/>
      <c r="F8" s="40"/>
      <c r="G8" s="185" t="s">
        <v>6</v>
      </c>
      <c r="H8" s="185" t="s">
        <v>7</v>
      </c>
      <c r="I8" s="185"/>
      <c r="J8" s="185"/>
      <c r="K8" s="46" t="s">
        <v>8</v>
      </c>
      <c r="L8" s="54" t="s">
        <v>9</v>
      </c>
      <c r="M8" s="48" t="s">
        <v>8</v>
      </c>
      <c r="N8" s="26"/>
    </row>
    <row r="9">
      <c r="A9" s="55">
        <v>40475.395833333336</v>
      </c>
      <c r="B9" s="57"/>
      <c r="C9" s="41"/>
      <c r="D9" s="242"/>
      <c r="E9" s="185"/>
      <c r="F9" s="40"/>
      <c r="G9" s="185" t="s">
        <v>6</v>
      </c>
      <c r="H9" s="185" t="s">
        <v>7</v>
      </c>
      <c r="I9" s="185"/>
      <c r="J9" s="185"/>
      <c r="K9" s="46" t="s">
        <v>8</v>
      </c>
      <c r="L9" s="54" t="s">
        <v>9</v>
      </c>
      <c r="M9" s="48" t="s">
        <v>8</v>
      </c>
      <c r="N9" s="35"/>
    </row>
    <row r="10">
      <c r="A10" s="55">
        <v>40475.416666666664</v>
      </c>
      <c r="B10" s="59"/>
      <c r="C10" s="41"/>
      <c r="D10" s="242"/>
      <c r="E10" s="183"/>
      <c r="F10" s="124"/>
      <c r="G10" s="185" t="s">
        <v>6</v>
      </c>
      <c r="H10" s="185" t="s">
        <v>7</v>
      </c>
      <c r="I10" s="67"/>
      <c r="J10" s="185"/>
      <c r="K10" s="46" t="s">
        <v>8</v>
      </c>
      <c r="L10" s="54" t="s">
        <v>9</v>
      </c>
      <c r="M10" s="48" t="s">
        <v>8</v>
      </c>
      <c r="N10" s="26"/>
    </row>
    <row r="11">
      <c r="A11" s="49">
        <v>40475.4375</v>
      </c>
      <c r="B11" s="52" t="s">
        <v>7</v>
      </c>
      <c r="C11" s="41"/>
      <c r="D11" s="182"/>
      <c r="E11" s="185"/>
      <c r="F11" s="122"/>
      <c r="G11" s="185" t="s">
        <v>6</v>
      </c>
      <c r="H11" s="185" t="s">
        <v>7</v>
      </c>
      <c r="I11" s="67"/>
      <c r="J11" s="185"/>
      <c r="K11" s="46" t="s">
        <v>8</v>
      </c>
      <c r="L11" s="63" t="s">
        <v>9</v>
      </c>
      <c r="M11" s="48" t="s">
        <v>8</v>
      </c>
      <c r="N11" s="35"/>
    </row>
    <row r="12">
      <c r="A12" s="49">
        <v>40475.458333333336</v>
      </c>
      <c r="B12" s="52" t="s">
        <v>7</v>
      </c>
      <c r="C12" s="136"/>
      <c r="D12" s="183"/>
      <c r="E12" s="310"/>
      <c r="F12" s="122"/>
      <c r="G12" s="185" t="s">
        <v>6</v>
      </c>
      <c r="H12" s="185" t="s">
        <v>7</v>
      </c>
      <c r="I12" s="67"/>
      <c r="J12" s="185"/>
      <c r="K12" s="46" t="s">
        <v>8</v>
      </c>
      <c r="L12" s="67" t="s">
        <v>9</v>
      </c>
      <c r="M12" s="48" t="s">
        <v>8</v>
      </c>
      <c r="N12" s="35"/>
    </row>
    <row r="13">
      <c r="A13" s="55">
        <v>40475.479166666664</v>
      </c>
      <c r="B13" s="52" t="s">
        <v>7</v>
      </c>
      <c r="C13" s="57"/>
      <c r="D13" s="183"/>
      <c r="E13" s="183"/>
      <c r="F13" s="124"/>
      <c r="G13" s="185" t="s">
        <v>6</v>
      </c>
      <c r="H13" s="185" t="s">
        <v>7</v>
      </c>
      <c r="I13" s="67"/>
      <c r="J13" s="185"/>
      <c r="K13" s="46" t="s">
        <v>8</v>
      </c>
      <c r="L13" s="67" t="s">
        <v>9</v>
      </c>
      <c r="M13" s="48" t="s">
        <v>8</v>
      </c>
      <c r="N13" s="26"/>
    </row>
    <row r="14">
      <c r="A14" s="55">
        <v>40475.5</v>
      </c>
      <c r="B14" s="51" t="s">
        <v>7</v>
      </c>
      <c r="C14" s="57"/>
      <c r="D14" s="67"/>
      <c r="E14" s="183"/>
      <c r="F14" s="124"/>
      <c r="G14" s="185" t="s">
        <v>6</v>
      </c>
      <c r="H14" s="185" t="s">
        <v>7</v>
      </c>
      <c r="I14" s="67"/>
      <c r="J14" s="185"/>
      <c r="K14" s="46" t="s">
        <v>10</v>
      </c>
      <c r="L14" s="67" t="s">
        <v>9</v>
      </c>
      <c r="M14" s="48" t="s">
        <v>8</v>
      </c>
      <c r="N14" s="35"/>
    </row>
    <row r="15">
      <c r="A15" s="49">
        <v>40475.520833333336</v>
      </c>
      <c r="B15" s="172" t="s">
        <v>6</v>
      </c>
      <c r="C15" s="57"/>
      <c r="D15" s="183"/>
      <c r="E15" s="183"/>
      <c r="F15" s="124"/>
      <c r="G15" s="67" t="s">
        <v>10</v>
      </c>
      <c r="H15" s="185" t="s">
        <v>7</v>
      </c>
      <c r="I15" s="67"/>
      <c r="J15" s="58"/>
      <c r="K15" s="46" t="s">
        <v>8</v>
      </c>
      <c r="L15" s="67" t="s">
        <v>9</v>
      </c>
      <c r="M15" s="48" t="s">
        <v>8</v>
      </c>
      <c r="N15" s="35"/>
    </row>
    <row r="16">
      <c r="A16" s="49">
        <v>40475.541666666664</v>
      </c>
      <c r="B16" s="183" t="s">
        <v>6</v>
      </c>
      <c r="C16" s="57"/>
      <c r="D16" s="185"/>
      <c r="E16" s="183"/>
      <c r="F16" s="122"/>
      <c r="G16" s="71" t="s">
        <v>7</v>
      </c>
      <c r="H16" s="58" t="s">
        <v>7</v>
      </c>
      <c r="I16" s="67"/>
      <c r="J16" s="58"/>
      <c r="K16" s="46" t="s">
        <v>8</v>
      </c>
      <c r="L16" s="67" t="s">
        <v>10</v>
      </c>
      <c r="M16" s="48" t="s">
        <v>10</v>
      </c>
      <c r="N16" s="35"/>
    </row>
    <row r="17">
      <c r="A17" s="55">
        <v>40475.5625</v>
      </c>
      <c r="B17" s="183" t="s">
        <v>6</v>
      </c>
      <c r="C17" s="57"/>
      <c r="D17" s="183"/>
      <c r="E17" s="183"/>
      <c r="F17" s="122"/>
      <c r="G17" s="185" t="s">
        <v>7</v>
      </c>
      <c r="H17" s="311" t="s">
        <v>10</v>
      </c>
      <c r="I17" s="67"/>
      <c r="J17" s="58"/>
      <c r="K17" s="46" t="s">
        <v>8</v>
      </c>
      <c r="L17" s="67" t="s">
        <v>9</v>
      </c>
      <c r="M17" s="48" t="s">
        <v>8</v>
      </c>
      <c r="N17" s="26"/>
    </row>
    <row r="18">
      <c r="A18" s="55">
        <v>40475.583333333336</v>
      </c>
      <c r="B18" s="183" t="s">
        <v>6</v>
      </c>
      <c r="C18" s="30"/>
      <c r="D18" s="185"/>
      <c r="E18" s="183"/>
      <c r="F18" s="122"/>
      <c r="G18" s="183" t="s">
        <v>7</v>
      </c>
      <c r="H18" s="58" t="s">
        <v>7</v>
      </c>
      <c r="I18" s="67"/>
      <c r="J18" s="58"/>
      <c r="K18" s="46" t="s">
        <v>8</v>
      </c>
      <c r="L18" s="67" t="s">
        <v>9</v>
      </c>
      <c r="M18" s="48" t="s">
        <v>8</v>
      </c>
      <c r="N18" s="26"/>
    </row>
    <row r="19">
      <c r="A19" s="49">
        <v>40475.604166666664</v>
      </c>
      <c r="B19" s="195" t="s">
        <v>10</v>
      </c>
      <c r="C19" s="33" t="s">
        <v>7</v>
      </c>
      <c r="D19" s="183" t="s">
        <v>6</v>
      </c>
      <c r="E19" s="137" t="s">
        <v>11</v>
      </c>
      <c r="F19" s="50" t="s">
        <v>6</v>
      </c>
      <c r="G19" s="185" t="s">
        <v>7</v>
      </c>
      <c r="H19" s="58" t="s">
        <v>7</v>
      </c>
      <c r="I19" s="182" t="s">
        <v>7</v>
      </c>
      <c r="J19" s="58" t="s">
        <v>7</v>
      </c>
      <c r="K19" s="46" t="s">
        <v>8</v>
      </c>
      <c r="L19" s="46" t="s">
        <v>9</v>
      </c>
      <c r="M19" s="48" t="s">
        <v>8</v>
      </c>
      <c r="N19" s="35"/>
    </row>
    <row r="20">
      <c r="A20" s="49">
        <v>40475.625</v>
      </c>
      <c r="B20" s="67" t="s">
        <v>7</v>
      </c>
      <c r="C20" s="33" t="s">
        <v>7</v>
      </c>
      <c r="D20" s="183" t="s">
        <v>6</v>
      </c>
      <c r="E20" s="33" t="s">
        <v>11</v>
      </c>
      <c r="F20" s="50" t="s">
        <v>6</v>
      </c>
      <c r="G20" s="183" t="s">
        <v>7</v>
      </c>
      <c r="H20" s="58" t="s">
        <v>7</v>
      </c>
      <c r="I20" s="185" t="s">
        <v>7</v>
      </c>
      <c r="J20" s="58" t="s">
        <v>7</v>
      </c>
      <c r="K20" s="46" t="s">
        <v>8</v>
      </c>
      <c r="L20" s="46" t="s">
        <v>9</v>
      </c>
      <c r="M20" s="48" t="s">
        <v>8</v>
      </c>
      <c r="N20" s="35"/>
    </row>
    <row r="21">
      <c r="A21" s="55">
        <v>40475.645833333336</v>
      </c>
      <c r="B21" s="67" t="s">
        <v>7</v>
      </c>
      <c r="C21" s="33" t="s">
        <v>7</v>
      </c>
      <c r="D21" s="67" t="s">
        <v>6</v>
      </c>
      <c r="E21" s="137" t="s">
        <v>11</v>
      </c>
      <c r="F21" s="122" t="s">
        <v>6</v>
      </c>
      <c r="G21" s="67" t="s">
        <v>7</v>
      </c>
      <c r="H21" s="58" t="s">
        <v>7</v>
      </c>
      <c r="I21" s="185" t="s">
        <v>7</v>
      </c>
      <c r="J21" s="58" t="s">
        <v>7</v>
      </c>
      <c r="K21" s="46" t="s">
        <v>8</v>
      </c>
      <c r="L21" s="46" t="s">
        <v>9</v>
      </c>
      <c r="M21" s="48" t="s">
        <v>8</v>
      </c>
      <c r="N21" s="35"/>
    </row>
    <row r="22">
      <c r="A22" s="55">
        <v>40475.666666666664</v>
      </c>
      <c r="B22" s="195" t="s">
        <v>7</v>
      </c>
      <c r="C22" s="137" t="s">
        <v>7</v>
      </c>
      <c r="D22" s="185" t="s">
        <v>6</v>
      </c>
      <c r="E22" s="33" t="s">
        <v>11</v>
      </c>
      <c r="F22" s="40" t="s">
        <v>6</v>
      </c>
      <c r="G22" s="183" t="s">
        <v>7</v>
      </c>
      <c r="H22" s="58" t="s">
        <v>7</v>
      </c>
      <c r="I22" s="185" t="s">
        <v>7</v>
      </c>
      <c r="J22" s="58" t="s">
        <v>7</v>
      </c>
      <c r="K22" s="46" t="s">
        <v>8</v>
      </c>
      <c r="L22" s="46" t="s">
        <v>9</v>
      </c>
      <c r="M22" s="48" t="s">
        <v>8</v>
      </c>
      <c r="N22" s="76"/>
    </row>
    <row r="23">
      <c r="A23" s="49">
        <v>40475.6875</v>
      </c>
      <c r="B23" s="185" t="s">
        <v>7</v>
      </c>
      <c r="C23" s="30" t="s">
        <v>7</v>
      </c>
      <c r="D23" s="67" t="s">
        <v>6</v>
      </c>
      <c r="E23" s="33" t="s">
        <v>11</v>
      </c>
      <c r="F23" s="122" t="s">
        <v>6</v>
      </c>
      <c r="G23" s="67" t="s">
        <v>7</v>
      </c>
      <c r="H23" s="58" t="s">
        <v>7</v>
      </c>
      <c r="I23" s="185" t="s">
        <v>7</v>
      </c>
      <c r="J23" s="58" t="s">
        <v>7</v>
      </c>
      <c r="K23" s="46" t="s">
        <v>8</v>
      </c>
      <c r="L23" s="46" t="s">
        <v>9</v>
      </c>
      <c r="M23" s="48" t="s">
        <v>8</v>
      </c>
      <c r="N23" s="76"/>
    </row>
    <row r="24">
      <c r="A24" s="49">
        <v>40475.708333333336</v>
      </c>
      <c r="B24" s="183" t="s">
        <v>7</v>
      </c>
      <c r="C24" s="32" t="s">
        <v>7</v>
      </c>
      <c r="D24" s="185" t="s">
        <v>6</v>
      </c>
      <c r="E24" s="33" t="s">
        <v>11</v>
      </c>
      <c r="F24" s="40" t="s">
        <v>6</v>
      </c>
      <c r="G24" s="30"/>
      <c r="H24" s="67"/>
      <c r="I24" s="185" t="s">
        <v>7</v>
      </c>
      <c r="J24" s="58" t="s">
        <v>7</v>
      </c>
      <c r="K24" s="46"/>
      <c r="L24" s="67"/>
      <c r="M24" s="48" t="s">
        <v>8</v>
      </c>
      <c r="N24" s="76"/>
    </row>
    <row r="25">
      <c r="A25" s="55">
        <v>40475.729166666664</v>
      </c>
      <c r="B25" s="185" t="s">
        <v>7</v>
      </c>
      <c r="C25" s="33" t="s">
        <v>10</v>
      </c>
      <c r="D25" s="185" t="s">
        <v>6</v>
      </c>
      <c r="E25" s="33" t="s">
        <v>11</v>
      </c>
      <c r="F25" s="40" t="s">
        <v>6</v>
      </c>
      <c r="G25" s="30"/>
      <c r="H25" s="67"/>
      <c r="I25" s="185" t="s">
        <v>7</v>
      </c>
      <c r="J25" s="58" t="s">
        <v>7</v>
      </c>
      <c r="K25" s="46"/>
      <c r="L25" s="67"/>
      <c r="M25" s="48" t="s">
        <v>8</v>
      </c>
      <c r="N25" s="76"/>
    </row>
    <row r="26">
      <c r="A26" s="55">
        <v>40475.75</v>
      </c>
      <c r="B26" s="185" t="s">
        <v>7</v>
      </c>
      <c r="C26" s="137" t="s">
        <v>11</v>
      </c>
      <c r="D26" s="67" t="s">
        <v>10</v>
      </c>
      <c r="E26" s="33" t="s">
        <v>11</v>
      </c>
      <c r="F26" s="40" t="s">
        <v>6</v>
      </c>
      <c r="G26" s="30"/>
      <c r="H26" s="67"/>
      <c r="I26" s="185" t="s">
        <v>7</v>
      </c>
      <c r="J26" s="58" t="s">
        <v>7</v>
      </c>
      <c r="K26" s="46"/>
      <c r="L26" s="67"/>
      <c r="M26" s="48" t="s">
        <v>8</v>
      </c>
      <c r="N26" s="76"/>
    </row>
    <row r="27">
      <c r="A27" s="49">
        <v>40475.770833333336</v>
      </c>
      <c r="B27" s="67" t="s">
        <v>7</v>
      </c>
      <c r="C27" s="33" t="s">
        <v>11</v>
      </c>
      <c r="D27" s="67" t="s">
        <v>7</v>
      </c>
      <c r="E27" s="33" t="s">
        <v>10</v>
      </c>
      <c r="F27" s="40" t="s">
        <v>6</v>
      </c>
      <c r="G27" s="30"/>
      <c r="H27" s="67"/>
      <c r="I27" s="185" t="s">
        <v>7</v>
      </c>
      <c r="J27" s="37" t="s">
        <v>7</v>
      </c>
      <c r="K27" s="46"/>
      <c r="L27" s="67"/>
      <c r="M27" s="48"/>
      <c r="N27" s="76"/>
    </row>
    <row r="28">
      <c r="A28" s="49">
        <v>40475.791666666664</v>
      </c>
      <c r="B28" s="46"/>
      <c r="C28" s="137" t="s">
        <v>11</v>
      </c>
      <c r="D28" s="46" t="s">
        <v>7</v>
      </c>
      <c r="E28" s="32" t="s">
        <v>6</v>
      </c>
      <c r="F28" s="122" t="s">
        <v>10</v>
      </c>
      <c r="G28" s="30"/>
      <c r="H28" s="46"/>
      <c r="I28" s="185" t="s">
        <v>7</v>
      </c>
      <c r="J28" s="51" t="s">
        <v>7</v>
      </c>
      <c r="K28" s="48"/>
      <c r="L28" s="46"/>
      <c r="M28" s="48"/>
      <c r="N28" s="76"/>
    </row>
    <row r="29">
      <c r="A29" s="55">
        <v>40475.8125</v>
      </c>
      <c r="B29" s="54"/>
      <c r="C29" s="33" t="s">
        <v>11</v>
      </c>
      <c r="D29" s="46" t="s">
        <v>7</v>
      </c>
      <c r="E29" s="196" t="s">
        <v>6</v>
      </c>
      <c r="F29" s="122" t="s">
        <v>7</v>
      </c>
      <c r="G29" s="312"/>
      <c r="H29" s="46"/>
      <c r="I29" s="240" t="s">
        <v>10</v>
      </c>
      <c r="J29" s="37" t="s">
        <v>10</v>
      </c>
      <c r="K29" s="48"/>
      <c r="L29" s="46"/>
      <c r="M29" s="48"/>
      <c r="N29" s="76"/>
    </row>
    <row r="30">
      <c r="A30" s="55">
        <v>40475.833333333336</v>
      </c>
      <c r="B30" s="46"/>
      <c r="C30" s="33" t="s">
        <v>11</v>
      </c>
      <c r="D30" s="195" t="s">
        <v>7</v>
      </c>
      <c r="E30" s="33" t="s">
        <v>6</v>
      </c>
      <c r="F30" s="124" t="s">
        <v>7</v>
      </c>
      <c r="G30" s="312"/>
      <c r="H30" s="46"/>
      <c r="I30" s="185" t="s">
        <v>7</v>
      </c>
      <c r="J30" s="51" t="s">
        <v>7</v>
      </c>
      <c r="K30" s="48"/>
      <c r="L30" s="46"/>
      <c r="M30" s="48"/>
      <c r="N30" s="47"/>
    </row>
    <row r="31">
      <c r="A31" s="49">
        <v>40475.854166666664</v>
      </c>
      <c r="B31" s="46"/>
      <c r="C31" s="33" t="s">
        <v>11</v>
      </c>
      <c r="D31" s="185" t="s">
        <v>7</v>
      </c>
      <c r="E31" s="189" t="s">
        <v>6</v>
      </c>
      <c r="F31" s="40" t="s">
        <v>7</v>
      </c>
      <c r="G31" s="312"/>
      <c r="H31" s="46"/>
      <c r="I31" s="185" t="s">
        <v>7</v>
      </c>
      <c r="J31" s="37" t="s">
        <v>7</v>
      </c>
      <c r="K31" s="48"/>
      <c r="L31" s="46"/>
      <c r="M31" s="48"/>
      <c r="N31" s="47"/>
    </row>
    <row r="32">
      <c r="A32" s="49">
        <v>40475.875</v>
      </c>
      <c r="B32" s="37"/>
      <c r="C32" s="33" t="s">
        <v>11</v>
      </c>
      <c r="D32" s="77" t="s">
        <v>7</v>
      </c>
      <c r="E32" s="33" t="s">
        <v>6</v>
      </c>
      <c r="F32" s="50" t="s">
        <v>7</v>
      </c>
      <c r="G32" s="312"/>
      <c r="H32" s="46"/>
      <c r="I32" s="185" t="s">
        <v>7</v>
      </c>
      <c r="J32" s="51" t="s">
        <v>7</v>
      </c>
      <c r="K32" s="48"/>
      <c r="L32" s="46"/>
      <c r="M32" s="48"/>
      <c r="N32" s="76"/>
    </row>
    <row r="33">
      <c r="A33" s="55">
        <v>40475.895833333336</v>
      </c>
      <c r="B33" s="37"/>
      <c r="C33" s="33" t="s">
        <v>11</v>
      </c>
      <c r="D33" s="184" t="s">
        <v>7</v>
      </c>
      <c r="E33" s="189" t="s">
        <v>6</v>
      </c>
      <c r="F33" s="40" t="s">
        <v>7</v>
      </c>
      <c r="G33" s="288"/>
      <c r="H33" s="46"/>
      <c r="I33" s="185" t="s">
        <v>7</v>
      </c>
      <c r="J33" s="37" t="s">
        <v>7</v>
      </c>
      <c r="K33" s="48"/>
      <c r="L33" s="46"/>
      <c r="M33" s="48"/>
      <c r="N33" s="76"/>
    </row>
    <row r="34">
      <c r="A34" s="55">
        <v>40475.916666666664</v>
      </c>
      <c r="B34" s="37"/>
      <c r="C34" s="33" t="s">
        <v>11</v>
      </c>
      <c r="D34" s="37" t="s">
        <v>7</v>
      </c>
      <c r="E34" s="30" t="s">
        <v>6</v>
      </c>
      <c r="F34" s="40" t="s">
        <v>7</v>
      </c>
      <c r="G34" s="313"/>
      <c r="H34" s="46"/>
      <c r="I34" s="185" t="s">
        <v>7</v>
      </c>
      <c r="J34" s="51" t="s">
        <v>7</v>
      </c>
      <c r="K34" s="24"/>
      <c r="L34" s="24"/>
      <c r="M34" s="24"/>
      <c r="N34" s="76"/>
    </row>
    <row r="35">
      <c r="A35" s="49">
        <v>40475.9375</v>
      </c>
      <c r="B35" s="37"/>
      <c r="C35" s="33" t="s">
        <v>11</v>
      </c>
      <c r="D35" s="46" t="s">
        <v>7</v>
      </c>
      <c r="E35" s="250" t="s">
        <v>6</v>
      </c>
      <c r="F35" s="122" t="s">
        <v>7</v>
      </c>
      <c r="G35" s="313"/>
      <c r="H35" s="46"/>
      <c r="I35" s="185" t="s">
        <v>7</v>
      </c>
      <c r="J35" s="77" t="s">
        <v>7</v>
      </c>
      <c r="K35" s="24"/>
      <c r="L35" s="24"/>
      <c r="M35" s="24"/>
      <c r="N35" s="76"/>
    </row>
    <row r="36">
      <c r="A36" s="49">
        <v>40475.958333333336</v>
      </c>
      <c r="B36" s="308"/>
      <c r="C36" s="30"/>
      <c r="D36" s="307"/>
      <c r="E36" s="32"/>
      <c r="F36" s="32"/>
      <c r="G36" s="297"/>
      <c r="H36" s="82"/>
      <c r="I36" s="142"/>
      <c r="J36" s="83"/>
      <c r="K36" s="37"/>
      <c r="L36" s="24"/>
      <c r="M36" s="24"/>
      <c r="N36" s="26"/>
    </row>
    <row r="37">
      <c r="A37" s="55">
        <v>40475.979166666664</v>
      </c>
      <c r="B37" s="305"/>
      <c r="C37" s="30"/>
      <c r="D37" s="297"/>
      <c r="E37" s="32"/>
      <c r="F37" s="32"/>
      <c r="G37" s="289"/>
      <c r="H37" s="23"/>
      <c r="I37" s="25"/>
      <c r="J37" s="25"/>
      <c r="K37" s="25"/>
      <c r="L37" s="48"/>
      <c r="M37" s="25"/>
      <c r="N37" s="26"/>
    </row>
    <row r="38">
      <c r="A38" s="85" t="s">
        <v>12</v>
      </c>
      <c r="B38" s="309"/>
      <c r="C38" s="30"/>
      <c r="D38" s="298"/>
      <c r="E38" s="88"/>
      <c r="F38" s="88"/>
      <c r="G38" s="299"/>
      <c r="H38" s="23"/>
      <c r="I38" s="25"/>
      <c r="J38" s="25"/>
      <c r="K38" s="83"/>
      <c r="L38" s="24"/>
      <c r="M38" s="83"/>
      <c r="N38" s="23"/>
    </row>
    <row r="39">
      <c r="A39" s="89" t="s">
        <v>13</v>
      </c>
      <c r="B39" s="89">
        <f t="shared" ref="B39:N39" si="1">CONCATENATE(COUNTIF(B4:B38,"MAGAZZINI")+COUNTIF(B4:B38,"PRIMO")+COUNTIF(B4:B38,"RECEPTION")+COUNTIF(B4:B38,"SAGGI")+COUNTIF(B4:B38,"SECONDO")+COUNTIF(B4:B38,"SMART W")+COUNTIF(B4:B38,"STUDIO 1 e 2")+COUNTIF(B4:B38,"MANUTENZ.")+COUNTIF(B4:B38,"UFFICIO")+COUNTIF(B4:B38,"CAMPUS")+COUNTIF(B4:B38,"TEATRO")+COUNTIF(B4:B38,"AMM.ZIONE")+COUNTIF(B4:B38,"FORMAZ-1p")+COUNTIF(B4:B38,"FORMAZ-2p")+COUNTIF(B4:B38,"FORMAZ-rec")+COUNTIF(B4:B38,"WORKSHOP")+COUNTIF(B4:B38,"EVENTO EST."))/2</f>
        <v>8</v>
      </c>
      <c r="C39" s="89">
        <f t="shared" si="1"/>
        <v>8</v>
      </c>
      <c r="D39" s="89">
        <f t="shared" si="1"/>
        <v>8</v>
      </c>
      <c r="E39" s="89">
        <f t="shared" si="1"/>
        <v>8</v>
      </c>
      <c r="F39" s="89">
        <f t="shared" si="1"/>
        <v>8</v>
      </c>
      <c r="G39" s="89">
        <f t="shared" si="1"/>
        <v>8</v>
      </c>
      <c r="H39" s="89">
        <f t="shared" si="1"/>
        <v>8</v>
      </c>
      <c r="I39" s="89">
        <f t="shared" si="1"/>
        <v>8</v>
      </c>
      <c r="J39" s="89">
        <f t="shared" si="1"/>
        <v>8</v>
      </c>
      <c r="K39" s="89">
        <f t="shared" si="1"/>
        <v>8</v>
      </c>
      <c r="L39" s="89">
        <f t="shared" si="1"/>
        <v>8</v>
      </c>
      <c r="M39" s="89">
        <f t="shared" si="1"/>
        <v>9</v>
      </c>
      <c r="N39" s="89">
        <f t="shared" si="1"/>
        <v>0</v>
      </c>
    </row>
  </sheetData>
  <mergeCells count="4">
    <mergeCell ref="B1:C2"/>
    <mergeCell ref="D1:E2"/>
    <mergeCell ref="F1:F2"/>
    <mergeCell ref="G1:N2"/>
  </mergeCells>
  <conditionalFormatting sqref="B4:N38">
    <cfRule type="containsText" dxfId="5" priority="1" operator="containsText" text="PERMESSO">
      <formula>NOT(ISERROR(SEARCH(("PERMESSO"),(B4))))</formula>
    </cfRule>
  </conditionalFormatting>
  <conditionalFormatting sqref="B4:N38">
    <cfRule type="containsText" dxfId="1" priority="2" operator="containsText" text="MALATTIA">
      <formula>NOT(ISERROR(SEARCH(("MALATTIA"),(B4))))</formula>
    </cfRule>
  </conditionalFormatting>
  <conditionalFormatting sqref="B4:N38">
    <cfRule type="containsText" dxfId="2" priority="3" operator="containsText" text="FORMAZ">
      <formula>NOT(ISERROR(SEARCH(("FORMAZ"),(B4))))</formula>
    </cfRule>
  </conditionalFormatting>
  <conditionalFormatting sqref="B4:N38">
    <cfRule type="containsText" dxfId="3" priority="4" operator="containsText" text="AMM.ZIONE">
      <formula>NOT(ISERROR(SEARCH(("AMM.ZIONE"),(B4))))</formula>
    </cfRule>
  </conditionalFormatting>
  <conditionalFormatting sqref="B4:N38">
    <cfRule type="containsText" dxfId="4" priority="5" operator="containsText" text="PAUSA">
      <formula>NOT(ISERROR(SEARCH(("PAUSA"),(B4))))</formula>
    </cfRule>
  </conditionalFormatting>
  <conditionalFormatting sqref="B4:N38">
    <cfRule type="containsText" dxfId="0" priority="6" operator="containsText" text="PERMESSO">
      <formula>NOT(ISERROR(SEARCH(("PERMESSO"),(B4))))</formula>
    </cfRule>
  </conditionalFormatting>
  <conditionalFormatting sqref="B4:N38">
    <cfRule type="containsText" dxfId="6" priority="7" operator="containsText" text="UFFICIO">
      <formula>NOT(ISERROR(SEARCH(("UFFICIO"),(B4))))</formula>
    </cfRule>
  </conditionalFormatting>
  <conditionalFormatting sqref="B4:N38">
    <cfRule type="containsText" dxfId="7" priority="8" operator="containsText" text="RIPOSO">
      <formula>NOT(ISERROR(SEARCH(("RIPOSO"),(B4))))</formula>
    </cfRule>
  </conditionalFormatting>
  <dataValidations>
    <dataValidation type="list" allowBlank="1" showInputMessage="1" showErrorMessage="1" prompt="Fai clic e immetti un valore da intervallo elenchi!A1:A30" sqref="B4:N38">
      <formula1>elenchi!$A$1:$A$30</formula1>
    </dataValidation>
  </dataValidations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AA84F"/>
    <outlinePr summaryBelow="0" summaryRight="0"/>
  </sheetPr>
  <sheetViews>
    <sheetView workbookViewId="0">
      <pane xSplit="1.0" ySplit="3.0" topLeftCell="B4" activePane="bottomRight" state="frozen"/>
      <selection activeCell="B1" sqref="B1" pane="topRight"/>
      <selection activeCell="A4" sqref="A4" pane="bottomLeft"/>
      <selection activeCell="B4" sqref="B4" pane="bottomRight"/>
    </sheetView>
  </sheetViews>
  <sheetFormatPr customHeight="1" defaultColWidth="14.43" defaultRowHeight="15.0"/>
  <cols>
    <col customWidth="1" min="1" max="1" width="10.14"/>
    <col customWidth="1" min="2" max="14" width="18.71"/>
  </cols>
  <sheetData>
    <row r="1">
      <c r="A1" s="301"/>
      <c r="B1" s="222" t="s">
        <v>16</v>
      </c>
      <c r="C1" s="213"/>
      <c r="D1" s="302" t="str">
        <f>elenchi!C4</f>
        <v>  SETTIMANA - D</v>
      </c>
      <c r="F1" s="303" t="s">
        <v>22</v>
      </c>
      <c r="G1" s="304" t="str">
        <f>elenchi!D4</f>
        <v>LUNEDI 06 A DOMENICA 12 APRILE 2026</v>
      </c>
      <c r="N1" s="213"/>
    </row>
    <row r="2">
      <c r="A2" s="301"/>
      <c r="B2" s="8"/>
      <c r="C2" s="9"/>
      <c r="D2" s="10"/>
      <c r="E2" s="10"/>
      <c r="F2" s="10"/>
      <c r="G2" s="10"/>
      <c r="H2" s="10"/>
      <c r="I2" s="10"/>
      <c r="J2" s="10"/>
      <c r="K2" s="10"/>
      <c r="L2" s="10"/>
      <c r="M2" s="10"/>
      <c r="N2" s="9"/>
    </row>
    <row r="3">
      <c r="A3" s="11" t="s">
        <v>2</v>
      </c>
      <c r="B3" s="11" t="str">
        <f>elenchi!B1</f>
        <v>ALEXANDRA</v>
      </c>
      <c r="C3" s="11" t="str">
        <f>elenchi!B2</f>
        <v>GIUDITTA</v>
      </c>
      <c r="D3" s="11" t="str">
        <f>elenchi!B3</f>
        <v>ESTEFANY</v>
      </c>
      <c r="E3" s="12" t="str">
        <f>elenchi!B4</f>
        <v>NURA</v>
      </c>
      <c r="F3" s="12" t="str">
        <f>elenchi!B5</f>
        <v/>
      </c>
      <c r="G3" s="12" t="str">
        <f>elenchi!B6</f>
        <v>JOEL</v>
      </c>
      <c r="H3" s="13" t="str">
        <f>elenchi!B7</f>
        <v>KEVIN</v>
      </c>
      <c r="I3" s="14" t="str">
        <f>elenchi!B8</f>
        <v>JASIR</v>
      </c>
      <c r="J3" s="15" t="str">
        <f>elenchi!B9</f>
        <v>DIEGO</v>
      </c>
      <c r="K3" s="15" t="str">
        <f>elenchi!B10</f>
        <v>SARA</v>
      </c>
      <c r="L3" s="12" t="str">
        <f>elenchi!B11</f>
        <v>SANTO</v>
      </c>
      <c r="M3" s="12" t="str">
        <f>elenchi!B12</f>
        <v>MASSI</v>
      </c>
      <c r="N3" s="12" t="str">
        <f>elenchi!B13</f>
        <v/>
      </c>
    </row>
    <row r="4">
      <c r="A4" s="16" t="s">
        <v>3</v>
      </c>
      <c r="B4" s="225"/>
      <c r="C4" s="20"/>
      <c r="D4" s="286"/>
      <c r="E4" s="20"/>
      <c r="F4" s="20"/>
      <c r="G4" s="287"/>
      <c r="H4" s="23"/>
      <c r="I4" s="24"/>
      <c r="J4" s="25"/>
      <c r="K4" s="26"/>
      <c r="L4" s="27"/>
      <c r="M4" s="17"/>
      <c r="N4" s="26"/>
    </row>
    <row r="5">
      <c r="A5" s="28" t="s">
        <v>4</v>
      </c>
      <c r="B5" s="288"/>
      <c r="C5" s="32"/>
      <c r="D5" s="289"/>
      <c r="E5" s="32"/>
      <c r="F5" s="32"/>
      <c r="G5" s="290"/>
      <c r="H5" s="23"/>
      <c r="I5" s="24"/>
      <c r="J5" s="25"/>
      <c r="K5" s="26"/>
      <c r="L5" s="27"/>
      <c r="M5" s="17"/>
      <c r="N5" s="26"/>
    </row>
    <row r="6">
      <c r="A6" s="28" t="s">
        <v>5</v>
      </c>
      <c r="B6" s="288"/>
      <c r="C6" s="32"/>
      <c r="D6" s="289"/>
      <c r="E6" s="32"/>
      <c r="F6" s="32"/>
      <c r="G6" s="290"/>
      <c r="H6" s="35"/>
      <c r="I6" s="36"/>
      <c r="J6" s="37"/>
      <c r="K6" s="38"/>
      <c r="L6" s="27"/>
      <c r="M6" s="17"/>
      <c r="N6" s="26"/>
    </row>
    <row r="7">
      <c r="A7" s="39">
        <v>40475.354166666664</v>
      </c>
      <c r="B7" s="291"/>
      <c r="C7" s="32"/>
      <c r="D7" s="270"/>
      <c r="E7" s="154" t="s">
        <v>6</v>
      </c>
      <c r="F7" s="40"/>
      <c r="G7" s="314"/>
      <c r="H7" s="182"/>
      <c r="I7" s="182" t="s">
        <v>7</v>
      </c>
      <c r="J7" s="185"/>
      <c r="K7" s="46" t="s">
        <v>8</v>
      </c>
      <c r="L7" s="47" t="s">
        <v>9</v>
      </c>
      <c r="M7" s="48"/>
      <c r="N7" s="35"/>
    </row>
    <row r="8">
      <c r="A8" s="49">
        <v>40475.375</v>
      </c>
      <c r="B8" s="136"/>
      <c r="C8" s="32"/>
      <c r="D8" s="242"/>
      <c r="E8" s="53" t="s">
        <v>6</v>
      </c>
      <c r="F8" s="40"/>
      <c r="G8" s="71"/>
      <c r="H8" s="185"/>
      <c r="I8" s="185" t="s">
        <v>7</v>
      </c>
      <c r="J8" s="185"/>
      <c r="K8" s="46" t="s">
        <v>8</v>
      </c>
      <c r="L8" s="54" t="s">
        <v>9</v>
      </c>
      <c r="M8" s="48"/>
      <c r="N8" s="26"/>
    </row>
    <row r="9">
      <c r="A9" s="55">
        <v>40475.395833333336</v>
      </c>
      <c r="B9" s="136"/>
      <c r="C9" s="32"/>
      <c r="D9" s="243"/>
      <c r="E9" s="62" t="s">
        <v>6</v>
      </c>
      <c r="F9" s="40"/>
      <c r="G9" s="71"/>
      <c r="H9" s="185"/>
      <c r="I9" s="185" t="s">
        <v>7</v>
      </c>
      <c r="J9" s="185"/>
      <c r="K9" s="46" t="s">
        <v>8</v>
      </c>
      <c r="L9" s="54" t="s">
        <v>9</v>
      </c>
      <c r="M9" s="48"/>
      <c r="N9" s="35"/>
    </row>
    <row r="10">
      <c r="A10" s="55">
        <v>40475.416666666664</v>
      </c>
      <c r="B10" s="136"/>
      <c r="C10" s="32"/>
      <c r="D10" s="242"/>
      <c r="E10" s="53" t="s">
        <v>6</v>
      </c>
      <c r="F10" s="124"/>
      <c r="G10" s="74"/>
      <c r="H10" s="185"/>
      <c r="I10" s="185" t="s">
        <v>7</v>
      </c>
      <c r="J10" s="185"/>
      <c r="K10" s="46" t="s">
        <v>8</v>
      </c>
      <c r="L10" s="54" t="s">
        <v>9</v>
      </c>
      <c r="M10" s="48" t="s">
        <v>8</v>
      </c>
      <c r="N10" s="26"/>
    </row>
    <row r="11">
      <c r="A11" s="49">
        <v>40475.4375</v>
      </c>
      <c r="B11" s="136"/>
      <c r="C11" s="30"/>
      <c r="D11" s="293" t="s">
        <v>7</v>
      </c>
      <c r="E11" s="53" t="s">
        <v>6</v>
      </c>
      <c r="F11" s="50"/>
      <c r="G11" s="74"/>
      <c r="H11" s="185"/>
      <c r="I11" s="185" t="s">
        <v>7</v>
      </c>
      <c r="J11" s="185"/>
      <c r="K11" s="46" t="s">
        <v>8</v>
      </c>
      <c r="L11" s="63" t="s">
        <v>9</v>
      </c>
      <c r="M11" s="48" t="s">
        <v>8</v>
      </c>
      <c r="N11" s="35"/>
    </row>
    <row r="12">
      <c r="A12" s="49">
        <v>40475.458333333336</v>
      </c>
      <c r="B12" s="314"/>
      <c r="C12" s="183"/>
      <c r="D12" s="183" t="s">
        <v>7</v>
      </c>
      <c r="E12" s="62" t="s">
        <v>6</v>
      </c>
      <c r="F12" s="40"/>
      <c r="G12" s="154"/>
      <c r="H12" s="185"/>
      <c r="I12" s="185" t="s">
        <v>7</v>
      </c>
      <c r="J12" s="185"/>
      <c r="K12" s="46" t="s">
        <v>8</v>
      </c>
      <c r="L12" s="67" t="s">
        <v>9</v>
      </c>
      <c r="M12" s="48" t="s">
        <v>8</v>
      </c>
      <c r="N12" s="35"/>
    </row>
    <row r="13">
      <c r="A13" s="55">
        <v>40475.479166666664</v>
      </c>
      <c r="B13" s="74"/>
      <c r="C13" s="183"/>
      <c r="D13" s="183" t="s">
        <v>7</v>
      </c>
      <c r="E13" s="53" t="s">
        <v>6</v>
      </c>
      <c r="F13" s="50"/>
      <c r="G13" s="68"/>
      <c r="H13" s="185"/>
      <c r="I13" s="185" t="s">
        <v>7</v>
      </c>
      <c r="J13" s="185"/>
      <c r="K13" s="46" t="s">
        <v>8</v>
      </c>
      <c r="L13" s="67" t="s">
        <v>9</v>
      </c>
      <c r="M13" s="48" t="s">
        <v>8</v>
      </c>
      <c r="N13" s="26"/>
    </row>
    <row r="14">
      <c r="A14" s="55">
        <v>40475.5</v>
      </c>
      <c r="B14" s="74"/>
      <c r="C14" s="67"/>
      <c r="D14" s="183" t="s">
        <v>7</v>
      </c>
      <c r="E14" s="50" t="s">
        <v>6</v>
      </c>
      <c r="F14" s="50"/>
      <c r="G14" s="62"/>
      <c r="H14" s="185"/>
      <c r="I14" s="185" t="s">
        <v>7</v>
      </c>
      <c r="J14" s="185"/>
      <c r="K14" s="46" t="s">
        <v>10</v>
      </c>
      <c r="L14" s="67" t="s">
        <v>9</v>
      </c>
      <c r="M14" s="48" t="s">
        <v>8</v>
      </c>
      <c r="N14" s="35"/>
    </row>
    <row r="15">
      <c r="A15" s="49">
        <v>40475.520833333336</v>
      </c>
      <c r="B15" s="74"/>
      <c r="C15" s="183"/>
      <c r="D15" s="195" t="s">
        <v>6</v>
      </c>
      <c r="E15" s="50" t="s">
        <v>10</v>
      </c>
      <c r="F15" s="50"/>
      <c r="G15" s="62"/>
      <c r="H15" s="185"/>
      <c r="I15" s="185" t="s">
        <v>7</v>
      </c>
      <c r="J15" s="185"/>
      <c r="K15" s="46" t="s">
        <v>8</v>
      </c>
      <c r="L15" s="67" t="s">
        <v>9</v>
      </c>
      <c r="M15" s="48" t="s">
        <v>8</v>
      </c>
      <c r="N15" s="35"/>
    </row>
    <row r="16">
      <c r="A16" s="49">
        <v>40475.541666666664</v>
      </c>
      <c r="B16" s="74"/>
      <c r="C16" s="185"/>
      <c r="D16" s="183" t="s">
        <v>6</v>
      </c>
      <c r="E16" s="50" t="s">
        <v>7</v>
      </c>
      <c r="F16" s="40"/>
      <c r="G16" s="62"/>
      <c r="H16" s="185"/>
      <c r="I16" s="185" t="s">
        <v>7</v>
      </c>
      <c r="J16" s="185"/>
      <c r="K16" s="46" t="s">
        <v>8</v>
      </c>
      <c r="L16" s="67" t="s">
        <v>10</v>
      </c>
      <c r="M16" s="48" t="s">
        <v>10</v>
      </c>
      <c r="N16" s="35"/>
    </row>
    <row r="17">
      <c r="A17" s="55">
        <v>40475.5625</v>
      </c>
      <c r="B17" s="74"/>
      <c r="C17" s="183"/>
      <c r="D17" s="183" t="s">
        <v>6</v>
      </c>
      <c r="E17" s="71" t="s">
        <v>7</v>
      </c>
      <c r="F17" s="50"/>
      <c r="G17" s="53"/>
      <c r="H17" s="185"/>
      <c r="I17" s="185" t="s">
        <v>7</v>
      </c>
      <c r="J17" s="58"/>
      <c r="K17" s="46" t="s">
        <v>8</v>
      </c>
      <c r="L17" s="67" t="s">
        <v>9</v>
      </c>
      <c r="M17" s="48" t="s">
        <v>8</v>
      </c>
      <c r="N17" s="26"/>
    </row>
    <row r="18">
      <c r="A18" s="55">
        <v>40475.583333333336</v>
      </c>
      <c r="B18" s="74"/>
      <c r="C18" s="185"/>
      <c r="D18" s="183" t="s">
        <v>6</v>
      </c>
      <c r="E18" s="71" t="s">
        <v>7</v>
      </c>
      <c r="F18" s="50"/>
      <c r="G18" s="62"/>
      <c r="H18" s="185"/>
      <c r="I18" s="185" t="s">
        <v>7</v>
      </c>
      <c r="J18" s="58"/>
      <c r="K18" s="46" t="s">
        <v>8</v>
      </c>
      <c r="L18" s="67" t="s">
        <v>9</v>
      </c>
      <c r="M18" s="48" t="s">
        <v>8</v>
      </c>
      <c r="N18" s="26"/>
    </row>
    <row r="19">
      <c r="A19" s="49">
        <v>40475.604166666664</v>
      </c>
      <c r="B19" s="40" t="s">
        <v>7</v>
      </c>
      <c r="C19" s="72" t="s">
        <v>6</v>
      </c>
      <c r="D19" s="183" t="s">
        <v>10</v>
      </c>
      <c r="E19" s="71" t="s">
        <v>7</v>
      </c>
      <c r="F19" s="122" t="s">
        <v>6</v>
      </c>
      <c r="G19" s="183" t="s">
        <v>11</v>
      </c>
      <c r="H19" s="183" t="s">
        <v>7</v>
      </c>
      <c r="I19" s="185" t="s">
        <v>10</v>
      </c>
      <c r="J19" s="51" t="s">
        <v>7</v>
      </c>
      <c r="K19" s="46" t="s">
        <v>8</v>
      </c>
      <c r="L19" s="46" t="s">
        <v>9</v>
      </c>
      <c r="M19" s="48" t="s">
        <v>8</v>
      </c>
      <c r="N19" s="26"/>
    </row>
    <row r="20">
      <c r="A20" s="49">
        <v>40475.625</v>
      </c>
      <c r="B20" s="40" t="s">
        <v>7</v>
      </c>
      <c r="C20" s="72" t="s">
        <v>6</v>
      </c>
      <c r="D20" s="67" t="s">
        <v>7</v>
      </c>
      <c r="E20" s="71" t="s">
        <v>7</v>
      </c>
      <c r="F20" s="122" t="s">
        <v>6</v>
      </c>
      <c r="G20" s="183" t="s">
        <v>11</v>
      </c>
      <c r="H20" s="185" t="s">
        <v>7</v>
      </c>
      <c r="I20" s="185" t="s">
        <v>7</v>
      </c>
      <c r="J20" s="58" t="s">
        <v>7</v>
      </c>
      <c r="K20" s="46" t="s">
        <v>8</v>
      </c>
      <c r="L20" s="46" t="s">
        <v>9</v>
      </c>
      <c r="M20" s="48" t="s">
        <v>8</v>
      </c>
      <c r="N20" s="35"/>
    </row>
    <row r="21">
      <c r="A21" s="55">
        <v>40475.645833333336</v>
      </c>
      <c r="B21" s="185" t="s">
        <v>7</v>
      </c>
      <c r="C21" s="73" t="s">
        <v>6</v>
      </c>
      <c r="D21" s="185" t="s">
        <v>7</v>
      </c>
      <c r="E21" s="74" t="s">
        <v>7</v>
      </c>
      <c r="F21" s="124" t="s">
        <v>6</v>
      </c>
      <c r="G21" s="183" t="s">
        <v>11</v>
      </c>
      <c r="H21" s="183" t="s">
        <v>7</v>
      </c>
      <c r="I21" s="185" t="s">
        <v>7</v>
      </c>
      <c r="J21" s="51" t="s">
        <v>7</v>
      </c>
      <c r="K21" s="46" t="s">
        <v>8</v>
      </c>
      <c r="L21" s="46" t="s">
        <v>9</v>
      </c>
      <c r="M21" s="48" t="s">
        <v>8</v>
      </c>
      <c r="N21" s="26"/>
    </row>
    <row r="22">
      <c r="A22" s="55">
        <v>40475.666666666664</v>
      </c>
      <c r="B22" s="67" t="s">
        <v>7</v>
      </c>
      <c r="C22" s="73" t="s">
        <v>6</v>
      </c>
      <c r="D22" s="185" t="s">
        <v>7</v>
      </c>
      <c r="E22" s="71" t="s">
        <v>7</v>
      </c>
      <c r="F22" s="124" t="s">
        <v>6</v>
      </c>
      <c r="G22" s="183" t="s">
        <v>11</v>
      </c>
      <c r="H22" s="185" t="s">
        <v>7</v>
      </c>
      <c r="I22" s="185" t="s">
        <v>7</v>
      </c>
      <c r="J22" s="58" t="s">
        <v>7</v>
      </c>
      <c r="K22" s="46" t="s">
        <v>8</v>
      </c>
      <c r="L22" s="46" t="s">
        <v>9</v>
      </c>
      <c r="M22" s="48" t="s">
        <v>8</v>
      </c>
      <c r="N22" s="35"/>
    </row>
    <row r="23">
      <c r="A23" s="49">
        <v>40475.6875</v>
      </c>
      <c r="B23" s="67" t="s">
        <v>7</v>
      </c>
      <c r="C23" s="73" t="s">
        <v>6</v>
      </c>
      <c r="D23" s="185" t="s">
        <v>7</v>
      </c>
      <c r="E23" s="74" t="s">
        <v>7</v>
      </c>
      <c r="F23" s="124" t="s">
        <v>6</v>
      </c>
      <c r="G23" s="183" t="s">
        <v>11</v>
      </c>
      <c r="H23" s="183" t="s">
        <v>7</v>
      </c>
      <c r="I23" s="37" t="s">
        <v>7</v>
      </c>
      <c r="J23" s="51" t="s">
        <v>7</v>
      </c>
      <c r="K23" s="46" t="s">
        <v>8</v>
      </c>
      <c r="L23" s="46" t="s">
        <v>9</v>
      </c>
      <c r="M23" s="48" t="s">
        <v>8</v>
      </c>
      <c r="N23" s="26"/>
    </row>
    <row r="24">
      <c r="A24" s="49">
        <v>40475.708333333336</v>
      </c>
      <c r="B24" s="67" t="s">
        <v>7</v>
      </c>
      <c r="C24" s="73" t="s">
        <v>6</v>
      </c>
      <c r="D24" s="67" t="s">
        <v>7</v>
      </c>
      <c r="E24" s="32"/>
      <c r="F24" s="139" t="s">
        <v>6</v>
      </c>
      <c r="G24" s="185" t="s">
        <v>11</v>
      </c>
      <c r="H24" s="183" t="s">
        <v>7</v>
      </c>
      <c r="I24" s="37"/>
      <c r="J24" s="51" t="s">
        <v>7</v>
      </c>
      <c r="K24" s="46"/>
      <c r="L24" s="67"/>
      <c r="M24" s="48" t="s">
        <v>8</v>
      </c>
      <c r="N24" s="26"/>
    </row>
    <row r="25">
      <c r="A25" s="55">
        <v>40475.729166666664</v>
      </c>
      <c r="B25" s="67" t="s">
        <v>7</v>
      </c>
      <c r="C25" s="73" t="s">
        <v>10</v>
      </c>
      <c r="D25" s="67" t="s">
        <v>7</v>
      </c>
      <c r="E25" s="30"/>
      <c r="F25" s="139" t="s">
        <v>6</v>
      </c>
      <c r="G25" s="185" t="s">
        <v>11</v>
      </c>
      <c r="H25" s="77" t="s">
        <v>7</v>
      </c>
      <c r="I25" s="37"/>
      <c r="J25" s="51" t="s">
        <v>7</v>
      </c>
      <c r="K25" s="46"/>
      <c r="L25" s="67"/>
      <c r="M25" s="48" t="s">
        <v>8</v>
      </c>
      <c r="N25" s="26"/>
    </row>
    <row r="26">
      <c r="A26" s="55">
        <v>40475.75</v>
      </c>
      <c r="B26" s="67" t="s">
        <v>10</v>
      </c>
      <c r="C26" s="72" t="s">
        <v>7</v>
      </c>
      <c r="D26" s="67" t="s">
        <v>7</v>
      </c>
      <c r="E26" s="30"/>
      <c r="F26" s="46" t="s">
        <v>6</v>
      </c>
      <c r="G26" s="185" t="s">
        <v>11</v>
      </c>
      <c r="H26" s="77" t="s">
        <v>7</v>
      </c>
      <c r="I26" s="77"/>
      <c r="J26" s="51" t="s">
        <v>7</v>
      </c>
      <c r="K26" s="46"/>
      <c r="L26" s="67"/>
      <c r="M26" s="48" t="s">
        <v>8</v>
      </c>
      <c r="N26" s="26"/>
    </row>
    <row r="27">
      <c r="A27" s="49">
        <v>40475.770833333336</v>
      </c>
      <c r="B27" s="185" t="s">
        <v>11</v>
      </c>
      <c r="C27" s="72" t="s">
        <v>7</v>
      </c>
      <c r="D27" s="67" t="s">
        <v>7</v>
      </c>
      <c r="E27" s="30"/>
      <c r="F27" s="46" t="s">
        <v>6</v>
      </c>
      <c r="G27" s="67" t="s">
        <v>10</v>
      </c>
      <c r="H27" s="37" t="s">
        <v>7</v>
      </c>
      <c r="I27" s="37"/>
      <c r="J27" s="37" t="s">
        <v>7</v>
      </c>
      <c r="K27" s="46"/>
      <c r="L27" s="67"/>
      <c r="M27" s="48"/>
      <c r="N27" s="35"/>
    </row>
    <row r="28">
      <c r="A28" s="49">
        <v>40475.791666666664</v>
      </c>
      <c r="B28" s="185" t="s">
        <v>11</v>
      </c>
      <c r="C28" s="72" t="s">
        <v>7</v>
      </c>
      <c r="D28" s="37"/>
      <c r="E28" s="46"/>
      <c r="F28" s="46" t="s">
        <v>10</v>
      </c>
      <c r="G28" s="67" t="s">
        <v>6</v>
      </c>
      <c r="H28" s="37" t="s">
        <v>10</v>
      </c>
      <c r="I28" s="77"/>
      <c r="J28" s="77" t="s">
        <v>10</v>
      </c>
      <c r="K28" s="48"/>
      <c r="L28" s="46"/>
      <c r="M28" s="48"/>
      <c r="N28" s="35"/>
    </row>
    <row r="29">
      <c r="A29" s="55">
        <v>40475.8125</v>
      </c>
      <c r="B29" s="184" t="s">
        <v>11</v>
      </c>
      <c r="C29" s="30" t="s">
        <v>7</v>
      </c>
      <c r="D29" s="139"/>
      <c r="E29" s="37"/>
      <c r="F29" s="37" t="s">
        <v>7</v>
      </c>
      <c r="G29" s="315" t="s">
        <v>6</v>
      </c>
      <c r="H29" s="37" t="s">
        <v>11</v>
      </c>
      <c r="I29" s="37"/>
      <c r="J29" s="37" t="s">
        <v>11</v>
      </c>
      <c r="K29" s="48"/>
      <c r="L29" s="46"/>
      <c r="M29" s="48"/>
      <c r="N29" s="35"/>
    </row>
    <row r="30">
      <c r="A30" s="55">
        <v>40475.833333333336</v>
      </c>
      <c r="B30" s="184" t="s">
        <v>11</v>
      </c>
      <c r="C30" s="30" t="s">
        <v>7</v>
      </c>
      <c r="D30" s="46"/>
      <c r="E30" s="37"/>
      <c r="F30" s="37" t="s">
        <v>7</v>
      </c>
      <c r="G30" s="315" t="s">
        <v>6</v>
      </c>
      <c r="H30" s="37" t="s">
        <v>11</v>
      </c>
      <c r="I30" s="77"/>
      <c r="J30" s="77" t="s">
        <v>11</v>
      </c>
      <c r="K30" s="48"/>
      <c r="L30" s="46"/>
      <c r="M30" s="48"/>
      <c r="N30" s="27"/>
    </row>
    <row r="31">
      <c r="A31" s="49">
        <v>40475.854166666664</v>
      </c>
      <c r="B31" s="184" t="s">
        <v>11</v>
      </c>
      <c r="C31" s="30" t="s">
        <v>7</v>
      </c>
      <c r="D31" s="139"/>
      <c r="E31" s="46"/>
      <c r="F31" s="37" t="s">
        <v>7</v>
      </c>
      <c r="G31" s="315" t="s">
        <v>6</v>
      </c>
      <c r="H31" s="37" t="s">
        <v>11</v>
      </c>
      <c r="I31" s="37"/>
      <c r="J31" s="37" t="s">
        <v>11</v>
      </c>
      <c r="K31" s="48"/>
      <c r="L31" s="46"/>
      <c r="M31" s="48"/>
      <c r="N31" s="27"/>
    </row>
    <row r="32">
      <c r="A32" s="49">
        <v>40475.875</v>
      </c>
      <c r="B32" s="184" t="s">
        <v>11</v>
      </c>
      <c r="C32" s="30" t="s">
        <v>7</v>
      </c>
      <c r="D32" s="46"/>
      <c r="E32" s="189"/>
      <c r="F32" s="37" t="s">
        <v>7</v>
      </c>
      <c r="G32" s="315" t="s">
        <v>6</v>
      </c>
      <c r="H32" s="37" t="s">
        <v>11</v>
      </c>
      <c r="I32" s="77"/>
      <c r="J32" s="77" t="s">
        <v>11</v>
      </c>
      <c r="K32" s="48"/>
      <c r="L32" s="46"/>
      <c r="M32" s="48"/>
      <c r="N32" s="35"/>
    </row>
    <row r="33">
      <c r="A33" s="55">
        <v>40475.895833333336</v>
      </c>
      <c r="B33" s="54" t="s">
        <v>11</v>
      </c>
      <c r="C33" s="30" t="s">
        <v>7</v>
      </c>
      <c r="D33" s="46"/>
      <c r="E33" s="189"/>
      <c r="F33" s="37" t="s">
        <v>7</v>
      </c>
      <c r="G33" s="315" t="s">
        <v>6</v>
      </c>
      <c r="H33" s="37" t="s">
        <v>11</v>
      </c>
      <c r="I33" s="77"/>
      <c r="J33" s="77" t="s">
        <v>11</v>
      </c>
      <c r="K33" s="48"/>
      <c r="L33" s="46"/>
      <c r="M33" s="48"/>
      <c r="N33" s="35"/>
    </row>
    <row r="34">
      <c r="A34" s="55">
        <v>40475.916666666664</v>
      </c>
      <c r="B34" s="184" t="s">
        <v>11</v>
      </c>
      <c r="C34" s="30" t="s">
        <v>7</v>
      </c>
      <c r="D34" s="281"/>
      <c r="E34" s="33"/>
      <c r="F34" s="30" t="s">
        <v>7</v>
      </c>
      <c r="G34" s="265" t="s">
        <v>6</v>
      </c>
      <c r="H34" s="24" t="s">
        <v>11</v>
      </c>
      <c r="I34" s="17"/>
      <c r="J34" s="77" t="s">
        <v>11</v>
      </c>
      <c r="K34" s="24"/>
      <c r="L34" s="24"/>
      <c r="M34" s="24"/>
      <c r="N34" s="35"/>
    </row>
    <row r="35">
      <c r="A35" s="49">
        <v>40475.9375</v>
      </c>
      <c r="B35" s="54" t="s">
        <v>11</v>
      </c>
      <c r="C35" s="33" t="s">
        <v>7</v>
      </c>
      <c r="D35" s="281"/>
      <c r="E35" s="33"/>
      <c r="F35" s="33" t="s">
        <v>7</v>
      </c>
      <c r="G35" s="265" t="s">
        <v>6</v>
      </c>
      <c r="H35" s="24" t="s">
        <v>11</v>
      </c>
      <c r="I35" s="17"/>
      <c r="J35" s="77" t="s">
        <v>11</v>
      </c>
      <c r="K35" s="24"/>
      <c r="L35" s="24"/>
      <c r="M35" s="24"/>
      <c r="N35" s="35"/>
    </row>
    <row r="36">
      <c r="A36" s="49">
        <v>40475.958333333336</v>
      </c>
      <c r="B36" s="296"/>
      <c r="C36" s="30"/>
      <c r="D36" s="289"/>
      <c r="E36" s="41"/>
      <c r="F36" s="41"/>
      <c r="G36" s="297"/>
      <c r="H36" s="82"/>
      <c r="I36" s="37"/>
      <c r="J36" s="83"/>
      <c r="K36" s="37"/>
      <c r="L36" s="24"/>
      <c r="M36" s="24"/>
      <c r="N36" s="26"/>
    </row>
    <row r="37">
      <c r="A37" s="55">
        <v>40475.979166666664</v>
      </c>
      <c r="B37" s="288"/>
      <c r="C37" s="41"/>
      <c r="D37" s="289"/>
      <c r="E37" s="32"/>
      <c r="F37" s="32"/>
      <c r="G37" s="289"/>
      <c r="H37" s="23"/>
      <c r="I37" s="25"/>
      <c r="J37" s="25"/>
      <c r="K37" s="25"/>
      <c r="L37" s="48"/>
      <c r="M37" s="25"/>
      <c r="N37" s="26"/>
    </row>
    <row r="38">
      <c r="A38" s="85" t="s">
        <v>12</v>
      </c>
      <c r="B38" s="296"/>
      <c r="C38" s="88"/>
      <c r="D38" s="298"/>
      <c r="E38" s="88"/>
      <c r="F38" s="88"/>
      <c r="G38" s="299"/>
      <c r="H38" s="23"/>
      <c r="I38" s="25"/>
      <c r="J38" s="25"/>
      <c r="K38" s="83"/>
      <c r="L38" s="24"/>
      <c r="M38" s="83"/>
      <c r="N38" s="23"/>
    </row>
    <row r="39">
      <c r="A39" s="89" t="s">
        <v>13</v>
      </c>
      <c r="B39" s="89">
        <f t="shared" ref="B39:N39" si="1">CONCATENATE(COUNTIF(B4:B38,"MAGAZZINI")+COUNTIF(B4:B38,"PRIMO")+COUNTIF(B4:B38,"RECEPTION")+COUNTIF(B4:B38,"SAGGI")+COUNTIF(B4:B38,"SECONDO")+COUNTIF(B4:B38,"SMART W")+COUNTIF(B4:B38,"STUDIO 1 e 2")+COUNTIF(B4:B38,"MANUTENZ.")+COUNTIF(B4:B38,"UFFICIO")+COUNTIF(B4:B38,"CAMPUS")+COUNTIF(B4:B38,"TEATRO")+COUNTIF(B4:B38,"AMM.ZIONE")+COUNTIF(B4:B38,"FORMAZ-1p")+COUNTIF(B4:B38,"FORMAZ-2p")+COUNTIF(B4:B38,"FORMAZ-rec")+COUNTIF(B4:B38,"WORKSHOP")+COUNTIF(B4:B38,"EVENTO EST."))/2</f>
        <v>8</v>
      </c>
      <c r="C39" s="89">
        <f t="shared" si="1"/>
        <v>8</v>
      </c>
      <c r="D39" s="89">
        <f t="shared" si="1"/>
        <v>8</v>
      </c>
      <c r="E39" s="89">
        <f t="shared" si="1"/>
        <v>8</v>
      </c>
      <c r="F39" s="89">
        <f t="shared" si="1"/>
        <v>8</v>
      </c>
      <c r="G39" s="89">
        <f t="shared" si="1"/>
        <v>8</v>
      </c>
      <c r="H39" s="89">
        <f t="shared" si="1"/>
        <v>8</v>
      </c>
      <c r="I39" s="89">
        <f t="shared" si="1"/>
        <v>8</v>
      </c>
      <c r="J39" s="89">
        <f t="shared" si="1"/>
        <v>8</v>
      </c>
      <c r="K39" s="89">
        <f t="shared" si="1"/>
        <v>8</v>
      </c>
      <c r="L39" s="89">
        <f t="shared" si="1"/>
        <v>8</v>
      </c>
      <c r="M39" s="89">
        <f t="shared" si="1"/>
        <v>8</v>
      </c>
      <c r="N39" s="89">
        <f t="shared" si="1"/>
        <v>0</v>
      </c>
    </row>
  </sheetData>
  <mergeCells count="4">
    <mergeCell ref="B1:C2"/>
    <mergeCell ref="D1:E2"/>
    <mergeCell ref="F1:F2"/>
    <mergeCell ref="G1:N2"/>
  </mergeCells>
  <conditionalFormatting sqref="B4:N38">
    <cfRule type="containsText" dxfId="5" priority="1" operator="containsText" text="PERMESSO">
      <formula>NOT(ISERROR(SEARCH(("PERMESSO"),(B4))))</formula>
    </cfRule>
  </conditionalFormatting>
  <conditionalFormatting sqref="B4:N38">
    <cfRule type="containsText" dxfId="1" priority="2" operator="containsText" text="MALATTIA">
      <formula>NOT(ISERROR(SEARCH(("MALATTIA"),(B4))))</formula>
    </cfRule>
  </conditionalFormatting>
  <conditionalFormatting sqref="B4:N38">
    <cfRule type="containsText" dxfId="2" priority="3" operator="containsText" text="FORMAZ">
      <formula>NOT(ISERROR(SEARCH(("FORMAZ"),(B4))))</formula>
    </cfRule>
  </conditionalFormatting>
  <conditionalFormatting sqref="B4:N38">
    <cfRule type="containsText" dxfId="3" priority="4" operator="containsText" text="AMM.ZIONE">
      <formula>NOT(ISERROR(SEARCH(("AMM.ZIONE"),(B4))))</formula>
    </cfRule>
  </conditionalFormatting>
  <conditionalFormatting sqref="B4:N38">
    <cfRule type="containsText" dxfId="4" priority="5" operator="containsText" text="PAUSA">
      <formula>NOT(ISERROR(SEARCH(("PAUSA"),(B4))))</formula>
    </cfRule>
  </conditionalFormatting>
  <conditionalFormatting sqref="B4:N38">
    <cfRule type="containsText" dxfId="0" priority="6" operator="containsText" text="PERMESSO">
      <formula>NOT(ISERROR(SEARCH(("PERMESSO"),(B4))))</formula>
    </cfRule>
  </conditionalFormatting>
  <conditionalFormatting sqref="B4:N38">
    <cfRule type="containsText" dxfId="6" priority="7" operator="containsText" text="UFFICIO">
      <formula>NOT(ISERROR(SEARCH(("UFFICIO"),(B4))))</formula>
    </cfRule>
  </conditionalFormatting>
  <conditionalFormatting sqref="B4:N38">
    <cfRule type="containsText" dxfId="7" priority="8" operator="containsText" text="RIPOSO">
      <formula>NOT(ISERROR(SEARCH(("RIPOSO"),(B4))))</formula>
    </cfRule>
  </conditionalFormatting>
  <dataValidations>
    <dataValidation type="list" allowBlank="1" showInputMessage="1" showErrorMessage="1" prompt="Fai clic e immetti un valore da intervallo elenchi!A1:A30" sqref="B4:N38">
      <formula1>elenchi!$A$1:$A$30</formula1>
    </dataValidation>
  </dataValidations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AA84F"/>
    <outlinePr summaryBelow="0" summaryRight="0"/>
  </sheetPr>
  <sheetViews>
    <sheetView workbookViewId="0">
      <pane xSplit="1.0" ySplit="3.0" topLeftCell="B4" activePane="bottomRight" state="frozen"/>
      <selection activeCell="B1" sqref="B1" pane="topRight"/>
      <selection activeCell="A4" sqref="A4" pane="bottomLeft"/>
      <selection activeCell="B4" sqref="B4" pane="bottomRight"/>
    </sheetView>
  </sheetViews>
  <sheetFormatPr customHeight="1" defaultColWidth="14.43" defaultRowHeight="15.0"/>
  <cols>
    <col customWidth="1" min="1" max="1" width="10.14"/>
    <col customWidth="1" min="2" max="14" width="18.71"/>
  </cols>
  <sheetData>
    <row r="1">
      <c r="A1" s="301"/>
      <c r="B1" s="222" t="s">
        <v>17</v>
      </c>
      <c r="C1" s="213"/>
      <c r="D1" s="302" t="str">
        <f>elenchi!C4</f>
        <v>  SETTIMANA - D</v>
      </c>
      <c r="F1" s="303" t="s">
        <v>22</v>
      </c>
      <c r="G1" s="304" t="str">
        <f>elenchi!D4</f>
        <v>LUNEDI 06 A DOMENICA 12 APRILE 2026</v>
      </c>
      <c r="N1" s="213"/>
    </row>
    <row r="2">
      <c r="A2" s="301"/>
      <c r="B2" s="8"/>
      <c r="C2" s="9"/>
      <c r="D2" s="10"/>
      <c r="E2" s="10"/>
      <c r="F2" s="10"/>
      <c r="G2" s="10"/>
      <c r="H2" s="10"/>
      <c r="I2" s="10"/>
      <c r="J2" s="10"/>
      <c r="K2" s="10"/>
      <c r="L2" s="10"/>
      <c r="M2" s="10"/>
      <c r="N2" s="9"/>
    </row>
    <row r="3">
      <c r="A3" s="11" t="s">
        <v>2</v>
      </c>
      <c r="B3" s="11" t="str">
        <f>elenchi!B1</f>
        <v>ALEXANDRA</v>
      </c>
      <c r="C3" s="11" t="str">
        <f>elenchi!B2</f>
        <v>GIUDITTA</v>
      </c>
      <c r="D3" s="11" t="str">
        <f>elenchi!B3</f>
        <v>ESTEFANY</v>
      </c>
      <c r="E3" s="12" t="str">
        <f>elenchi!B4</f>
        <v>NURA</v>
      </c>
      <c r="F3" s="12" t="str">
        <f>elenchi!B5</f>
        <v/>
      </c>
      <c r="G3" s="12" t="str">
        <f>elenchi!B6</f>
        <v>JOEL</v>
      </c>
      <c r="H3" s="13" t="str">
        <f>elenchi!B7</f>
        <v>KEVIN</v>
      </c>
      <c r="I3" s="14" t="str">
        <f>elenchi!B8</f>
        <v>JASIR</v>
      </c>
      <c r="J3" s="15" t="str">
        <f>elenchi!B9</f>
        <v>DIEGO</v>
      </c>
      <c r="K3" s="15" t="str">
        <f>elenchi!B10</f>
        <v>SARA</v>
      </c>
      <c r="L3" s="12" t="str">
        <f>elenchi!B11</f>
        <v>SANTO</v>
      </c>
      <c r="M3" s="12" t="str">
        <f>elenchi!B12</f>
        <v>MASSI</v>
      </c>
      <c r="N3" s="12" t="str">
        <f>elenchi!B13</f>
        <v/>
      </c>
    </row>
    <row r="4">
      <c r="A4" s="16" t="s">
        <v>3</v>
      </c>
      <c r="B4" s="226"/>
      <c r="C4" s="20"/>
      <c r="D4" s="286"/>
      <c r="E4" s="18"/>
      <c r="F4" s="18"/>
      <c r="G4" s="287"/>
      <c r="H4" s="23"/>
      <c r="I4" s="24"/>
      <c r="J4" s="25"/>
      <c r="K4" s="26"/>
      <c r="L4" s="27"/>
      <c r="M4" s="17"/>
      <c r="N4" s="26"/>
    </row>
    <row r="5">
      <c r="A5" s="28" t="s">
        <v>4</v>
      </c>
      <c r="B5" s="305"/>
      <c r="C5" s="32"/>
      <c r="D5" s="289"/>
      <c r="E5" s="30"/>
      <c r="F5" s="30"/>
      <c r="G5" s="290"/>
      <c r="H5" s="23"/>
      <c r="I5" s="24"/>
      <c r="J5" s="25"/>
      <c r="K5" s="26"/>
      <c r="L5" s="27"/>
      <c r="M5" s="17"/>
      <c r="N5" s="26"/>
    </row>
    <row r="6">
      <c r="A6" s="28" t="s">
        <v>5</v>
      </c>
      <c r="B6" s="305"/>
      <c r="C6" s="32"/>
      <c r="D6" s="289"/>
      <c r="E6" s="30"/>
      <c r="F6" s="30"/>
      <c r="G6" s="290"/>
      <c r="H6" s="35"/>
      <c r="I6" s="36"/>
      <c r="J6" s="37"/>
      <c r="K6" s="38"/>
      <c r="L6" s="27"/>
      <c r="M6" s="17"/>
      <c r="N6" s="26"/>
    </row>
    <row r="7">
      <c r="A7" s="39">
        <v>40475.354166666664</v>
      </c>
      <c r="B7" s="175"/>
      <c r="C7" s="30"/>
      <c r="D7" s="241"/>
      <c r="E7" s="293"/>
      <c r="F7" s="40"/>
      <c r="G7" s="293" t="s">
        <v>6</v>
      </c>
      <c r="H7" s="182"/>
      <c r="I7" s="182" t="s">
        <v>7</v>
      </c>
      <c r="J7" s="183"/>
      <c r="K7" s="46" t="s">
        <v>8</v>
      </c>
      <c r="L7" s="47" t="s">
        <v>9</v>
      </c>
      <c r="M7" s="48"/>
      <c r="N7" s="35"/>
    </row>
    <row r="8">
      <c r="A8" s="49">
        <v>40475.375</v>
      </c>
      <c r="B8" s="52"/>
      <c r="C8" s="32"/>
      <c r="D8" s="242"/>
      <c r="E8" s="183"/>
      <c r="F8" s="50"/>
      <c r="G8" s="183" t="s">
        <v>6</v>
      </c>
      <c r="H8" s="185"/>
      <c r="I8" s="185" t="s">
        <v>7</v>
      </c>
      <c r="J8" s="183"/>
      <c r="K8" s="46" t="s">
        <v>8</v>
      </c>
      <c r="L8" s="54" t="s">
        <v>9</v>
      </c>
      <c r="M8" s="48" t="s">
        <v>8</v>
      </c>
      <c r="N8" s="26"/>
    </row>
    <row r="9">
      <c r="A9" s="55">
        <v>40475.395833333336</v>
      </c>
      <c r="B9" s="52"/>
      <c r="C9" s="30"/>
      <c r="D9" s="242"/>
      <c r="E9" s="183"/>
      <c r="F9" s="40"/>
      <c r="G9" s="183" t="s">
        <v>6</v>
      </c>
      <c r="H9" s="185"/>
      <c r="I9" s="185" t="s">
        <v>7</v>
      </c>
      <c r="J9" s="183"/>
      <c r="K9" s="46" t="s">
        <v>8</v>
      </c>
      <c r="L9" s="54" t="s">
        <v>9</v>
      </c>
      <c r="M9" s="48" t="s">
        <v>8</v>
      </c>
      <c r="N9" s="35"/>
    </row>
    <row r="10">
      <c r="A10" s="55">
        <v>40475.416666666664</v>
      </c>
      <c r="B10" s="52"/>
      <c r="C10" s="32"/>
      <c r="D10" s="242"/>
      <c r="E10" s="183"/>
      <c r="F10" s="50"/>
      <c r="G10" s="183" t="s">
        <v>6</v>
      </c>
      <c r="H10" s="185"/>
      <c r="I10" s="185" t="s">
        <v>7</v>
      </c>
      <c r="J10" s="183"/>
      <c r="K10" s="46" t="s">
        <v>8</v>
      </c>
      <c r="L10" s="54" t="s">
        <v>9</v>
      </c>
      <c r="M10" s="48" t="s">
        <v>8</v>
      </c>
      <c r="N10" s="26"/>
    </row>
    <row r="11">
      <c r="A11" s="49">
        <v>40475.4375</v>
      </c>
      <c r="B11" s="183" t="s">
        <v>7</v>
      </c>
      <c r="C11" s="30"/>
      <c r="D11" s="293"/>
      <c r="E11" s="183"/>
      <c r="F11" s="65"/>
      <c r="G11" s="293" t="s">
        <v>6</v>
      </c>
      <c r="H11" s="185"/>
      <c r="I11" s="185" t="s">
        <v>7</v>
      </c>
      <c r="J11" s="183"/>
      <c r="K11" s="46" t="s">
        <v>8</v>
      </c>
      <c r="L11" s="63" t="s">
        <v>9</v>
      </c>
      <c r="M11" s="48" t="s">
        <v>8</v>
      </c>
      <c r="N11" s="35"/>
    </row>
    <row r="12">
      <c r="A12" s="49">
        <v>40475.458333333336</v>
      </c>
      <c r="B12" s="183" t="s">
        <v>7</v>
      </c>
      <c r="C12" s="136"/>
      <c r="D12" s="183"/>
      <c r="E12" s="183"/>
      <c r="F12" s="65"/>
      <c r="G12" s="183" t="s">
        <v>6</v>
      </c>
      <c r="H12" s="185"/>
      <c r="I12" s="185" t="s">
        <v>7</v>
      </c>
      <c r="J12" s="183"/>
      <c r="K12" s="46" t="s">
        <v>8</v>
      </c>
      <c r="L12" s="67" t="s">
        <v>9</v>
      </c>
      <c r="M12" s="48" t="s">
        <v>8</v>
      </c>
      <c r="N12" s="35"/>
    </row>
    <row r="13">
      <c r="A13" s="55">
        <v>40475.479166666664</v>
      </c>
      <c r="B13" s="53" t="s">
        <v>7</v>
      </c>
      <c r="C13" s="52"/>
      <c r="D13" s="183"/>
      <c r="E13" s="53"/>
      <c r="F13" s="50"/>
      <c r="G13" s="183" t="s">
        <v>6</v>
      </c>
      <c r="H13" s="185"/>
      <c r="I13" s="185" t="s">
        <v>7</v>
      </c>
      <c r="J13" s="183"/>
      <c r="K13" s="46" t="s">
        <v>8</v>
      </c>
      <c r="L13" s="67" t="s">
        <v>9</v>
      </c>
      <c r="M13" s="48" t="s">
        <v>8</v>
      </c>
      <c r="N13" s="26"/>
    </row>
    <row r="14">
      <c r="A14" s="55">
        <v>40475.5</v>
      </c>
      <c r="B14" s="53" t="s">
        <v>7</v>
      </c>
      <c r="C14" s="52"/>
      <c r="D14" s="183"/>
      <c r="E14" s="53"/>
      <c r="F14" s="50"/>
      <c r="G14" s="183" t="s">
        <v>6</v>
      </c>
      <c r="H14" s="185"/>
      <c r="I14" s="185" t="s">
        <v>7</v>
      </c>
      <c r="J14" s="183"/>
      <c r="K14" s="46" t="s">
        <v>10</v>
      </c>
      <c r="L14" s="67" t="s">
        <v>9</v>
      </c>
      <c r="M14" s="48" t="s">
        <v>8</v>
      </c>
      <c r="N14" s="35"/>
    </row>
    <row r="15">
      <c r="A15" s="49">
        <v>40475.520833333336</v>
      </c>
      <c r="B15" s="53" t="s">
        <v>7</v>
      </c>
      <c r="C15" s="52"/>
      <c r="D15" s="183"/>
      <c r="E15" s="53"/>
      <c r="F15" s="50"/>
      <c r="G15" s="183" t="s">
        <v>6</v>
      </c>
      <c r="H15" s="185"/>
      <c r="I15" s="185" t="s">
        <v>7</v>
      </c>
      <c r="J15" s="183"/>
      <c r="K15" s="46" t="s">
        <v>8</v>
      </c>
      <c r="L15" s="67" t="s">
        <v>9</v>
      </c>
      <c r="M15" s="48" t="s">
        <v>8</v>
      </c>
      <c r="N15" s="35"/>
    </row>
    <row r="16">
      <c r="A16" s="49">
        <v>40475.541666666664</v>
      </c>
      <c r="B16" s="50" t="s">
        <v>7</v>
      </c>
      <c r="C16" s="52"/>
      <c r="D16" s="183"/>
      <c r="E16" s="50"/>
      <c r="F16" s="50"/>
      <c r="G16" s="183" t="s">
        <v>6</v>
      </c>
      <c r="H16" s="185"/>
      <c r="I16" s="185" t="s">
        <v>7</v>
      </c>
      <c r="J16" s="183"/>
      <c r="K16" s="46" t="s">
        <v>8</v>
      </c>
      <c r="L16" s="67" t="s">
        <v>10</v>
      </c>
      <c r="M16" s="48" t="s">
        <v>10</v>
      </c>
      <c r="N16" s="35"/>
    </row>
    <row r="17">
      <c r="A17" s="55">
        <v>40475.5625</v>
      </c>
      <c r="B17" s="176" t="s">
        <v>10</v>
      </c>
      <c r="C17" s="61" t="s">
        <v>6</v>
      </c>
      <c r="D17" s="50" t="s">
        <v>11</v>
      </c>
      <c r="E17" s="183" t="s">
        <v>7</v>
      </c>
      <c r="F17" s="183"/>
      <c r="G17" s="176" t="s">
        <v>10</v>
      </c>
      <c r="H17" s="183" t="s">
        <v>7</v>
      </c>
      <c r="I17" s="185" t="s">
        <v>10</v>
      </c>
      <c r="J17" s="293" t="s">
        <v>7</v>
      </c>
      <c r="K17" s="46" t="s">
        <v>8</v>
      </c>
      <c r="L17" s="67" t="s">
        <v>9</v>
      </c>
      <c r="M17" s="48" t="s">
        <v>8</v>
      </c>
      <c r="N17" s="293"/>
    </row>
    <row r="18">
      <c r="A18" s="55">
        <v>40475.583333333336</v>
      </c>
      <c r="B18" s="50" t="s">
        <v>7</v>
      </c>
      <c r="C18" s="61" t="s">
        <v>6</v>
      </c>
      <c r="D18" s="50" t="s">
        <v>11</v>
      </c>
      <c r="E18" s="183" t="s">
        <v>7</v>
      </c>
      <c r="F18" s="183"/>
      <c r="G18" s="183" t="s">
        <v>7</v>
      </c>
      <c r="H18" s="185" t="s">
        <v>7</v>
      </c>
      <c r="I18" s="185" t="s">
        <v>7</v>
      </c>
      <c r="J18" s="183" t="s">
        <v>7</v>
      </c>
      <c r="K18" s="46" t="s">
        <v>8</v>
      </c>
      <c r="L18" s="67" t="s">
        <v>9</v>
      </c>
      <c r="M18" s="48" t="s">
        <v>8</v>
      </c>
      <c r="N18" s="183"/>
    </row>
    <row r="19">
      <c r="A19" s="49">
        <v>40475.604166666664</v>
      </c>
      <c r="B19" s="50" t="s">
        <v>7</v>
      </c>
      <c r="C19" s="61" t="s">
        <v>6</v>
      </c>
      <c r="D19" s="50" t="s">
        <v>11</v>
      </c>
      <c r="E19" s="183" t="s">
        <v>7</v>
      </c>
      <c r="F19" s="183"/>
      <c r="G19" s="183" t="s">
        <v>7</v>
      </c>
      <c r="H19" s="183" t="s">
        <v>7</v>
      </c>
      <c r="I19" s="185" t="s">
        <v>7</v>
      </c>
      <c r="J19" s="183" t="s">
        <v>7</v>
      </c>
      <c r="K19" s="46" t="s">
        <v>8</v>
      </c>
      <c r="L19" s="46" t="s">
        <v>9</v>
      </c>
      <c r="M19" s="48" t="s">
        <v>8</v>
      </c>
      <c r="N19" s="183"/>
    </row>
    <row r="20">
      <c r="A20" s="49">
        <v>40475.625</v>
      </c>
      <c r="B20" s="50" t="s">
        <v>7</v>
      </c>
      <c r="C20" s="33" t="s">
        <v>6</v>
      </c>
      <c r="D20" s="50" t="s">
        <v>11</v>
      </c>
      <c r="E20" s="183" t="s">
        <v>7</v>
      </c>
      <c r="F20" s="183"/>
      <c r="G20" s="183" t="s">
        <v>7</v>
      </c>
      <c r="H20" s="185" t="s">
        <v>7</v>
      </c>
      <c r="I20" s="185" t="s">
        <v>7</v>
      </c>
      <c r="J20" s="183" t="s">
        <v>7</v>
      </c>
      <c r="K20" s="46" t="s">
        <v>8</v>
      </c>
      <c r="L20" s="46" t="s">
        <v>9</v>
      </c>
      <c r="M20" s="48" t="s">
        <v>8</v>
      </c>
      <c r="N20" s="183"/>
    </row>
    <row r="21">
      <c r="A21" s="55">
        <v>40475.645833333336</v>
      </c>
      <c r="B21" s="50" t="s">
        <v>7</v>
      </c>
      <c r="C21" s="33" t="s">
        <v>6</v>
      </c>
      <c r="D21" s="50" t="s">
        <v>11</v>
      </c>
      <c r="E21" s="183" t="s">
        <v>7</v>
      </c>
      <c r="F21" s="183"/>
      <c r="G21" s="183" t="s">
        <v>7</v>
      </c>
      <c r="H21" s="183" t="s">
        <v>7</v>
      </c>
      <c r="I21" s="185" t="s">
        <v>7</v>
      </c>
      <c r="J21" s="183" t="s">
        <v>7</v>
      </c>
      <c r="K21" s="46" t="s">
        <v>8</v>
      </c>
      <c r="L21" s="46" t="s">
        <v>9</v>
      </c>
      <c r="M21" s="48" t="s">
        <v>8</v>
      </c>
      <c r="N21" s="183"/>
    </row>
    <row r="22">
      <c r="A22" s="55">
        <v>40475.666666666664</v>
      </c>
      <c r="B22" s="50" t="s">
        <v>7</v>
      </c>
      <c r="C22" s="33" t="s">
        <v>6</v>
      </c>
      <c r="D22" s="50" t="s">
        <v>11</v>
      </c>
      <c r="E22" s="183" t="s">
        <v>7</v>
      </c>
      <c r="F22" s="183"/>
      <c r="G22" s="183" t="s">
        <v>7</v>
      </c>
      <c r="H22" s="183" t="s">
        <v>7</v>
      </c>
      <c r="I22" s="185" t="s">
        <v>7</v>
      </c>
      <c r="J22" s="183" t="s">
        <v>7</v>
      </c>
      <c r="K22" s="46" t="s">
        <v>8</v>
      </c>
      <c r="L22" s="46" t="s">
        <v>9</v>
      </c>
      <c r="M22" s="48" t="s">
        <v>8</v>
      </c>
      <c r="N22" s="183"/>
    </row>
    <row r="23">
      <c r="A23" s="49">
        <v>40475.6875</v>
      </c>
      <c r="B23" s="50" t="s">
        <v>7</v>
      </c>
      <c r="C23" s="33" t="s">
        <v>6</v>
      </c>
      <c r="D23" s="50" t="s">
        <v>11</v>
      </c>
      <c r="E23" s="183" t="s">
        <v>7</v>
      </c>
      <c r="F23" s="183"/>
      <c r="G23" s="183" t="s">
        <v>7</v>
      </c>
      <c r="H23" s="183" t="s">
        <v>7</v>
      </c>
      <c r="I23" s="37" t="s">
        <v>7</v>
      </c>
      <c r="J23" s="183" t="s">
        <v>7</v>
      </c>
      <c r="K23" s="46" t="s">
        <v>8</v>
      </c>
      <c r="L23" s="46" t="s">
        <v>9</v>
      </c>
      <c r="M23" s="48" t="s">
        <v>8</v>
      </c>
      <c r="N23" s="183"/>
    </row>
    <row r="24">
      <c r="A24" s="49">
        <v>40475.708333333336</v>
      </c>
      <c r="B24" s="50" t="s">
        <v>7</v>
      </c>
      <c r="C24" s="137" t="s">
        <v>6</v>
      </c>
      <c r="D24" s="51" t="s">
        <v>11</v>
      </c>
      <c r="E24" s="183" t="s">
        <v>7</v>
      </c>
      <c r="F24" s="183"/>
      <c r="G24" s="32"/>
      <c r="H24" s="183" t="s">
        <v>7</v>
      </c>
      <c r="I24" s="37"/>
      <c r="J24" s="183" t="s">
        <v>7</v>
      </c>
      <c r="K24" s="46"/>
      <c r="L24" s="67"/>
      <c r="M24" s="48" t="s">
        <v>8</v>
      </c>
      <c r="N24" s="183"/>
    </row>
    <row r="25">
      <c r="A25" s="55">
        <v>40475.729166666664</v>
      </c>
      <c r="B25" s="40" t="s">
        <v>7</v>
      </c>
      <c r="C25" s="137" t="s">
        <v>10</v>
      </c>
      <c r="D25" s="58" t="s">
        <v>11</v>
      </c>
      <c r="E25" s="240" t="s">
        <v>10</v>
      </c>
      <c r="F25" s="40"/>
      <c r="G25" s="30"/>
      <c r="H25" s="46" t="s">
        <v>7</v>
      </c>
      <c r="I25" s="37"/>
      <c r="J25" s="183" t="s">
        <v>7</v>
      </c>
      <c r="K25" s="46"/>
      <c r="L25" s="67"/>
      <c r="M25" s="48" t="s">
        <v>8</v>
      </c>
      <c r="N25" s="183"/>
    </row>
    <row r="26">
      <c r="A26" s="55">
        <v>40475.75</v>
      </c>
      <c r="B26" s="50" t="s">
        <v>7</v>
      </c>
      <c r="C26" s="32" t="s">
        <v>7</v>
      </c>
      <c r="D26" s="316" t="s">
        <v>10</v>
      </c>
      <c r="E26" s="183" t="s">
        <v>11</v>
      </c>
      <c r="F26" s="183"/>
      <c r="G26" s="30"/>
      <c r="H26" s="46" t="s">
        <v>10</v>
      </c>
      <c r="I26" s="77"/>
      <c r="J26" s="183" t="s">
        <v>7</v>
      </c>
      <c r="K26" s="46"/>
      <c r="L26" s="67"/>
      <c r="M26" s="48" t="s">
        <v>8</v>
      </c>
      <c r="N26" s="183"/>
    </row>
    <row r="27">
      <c r="A27" s="49">
        <v>40475.770833333336</v>
      </c>
      <c r="B27" s="50" t="s">
        <v>7</v>
      </c>
      <c r="C27" s="32" t="s">
        <v>7</v>
      </c>
      <c r="D27" s="58" t="s">
        <v>6</v>
      </c>
      <c r="E27" s="183" t="s">
        <v>11</v>
      </c>
      <c r="F27" s="183"/>
      <c r="G27" s="30"/>
      <c r="H27" s="46" t="s">
        <v>11</v>
      </c>
      <c r="I27" s="37"/>
      <c r="J27" s="176" t="s">
        <v>10</v>
      </c>
      <c r="K27" s="46"/>
      <c r="L27" s="67"/>
      <c r="M27" s="48"/>
      <c r="N27" s="50"/>
    </row>
    <row r="28">
      <c r="A28" s="49">
        <v>40475.791666666664</v>
      </c>
      <c r="B28" s="77"/>
      <c r="C28" s="32" t="s">
        <v>7</v>
      </c>
      <c r="D28" s="51" t="s">
        <v>6</v>
      </c>
      <c r="E28" s="50" t="s">
        <v>11</v>
      </c>
      <c r="F28" s="51"/>
      <c r="G28" s="32"/>
      <c r="H28" s="46" t="s">
        <v>11</v>
      </c>
      <c r="I28" s="77"/>
      <c r="J28" s="183" t="s">
        <v>7</v>
      </c>
      <c r="K28" s="48"/>
      <c r="L28" s="46"/>
      <c r="M28" s="48"/>
      <c r="N28" s="183"/>
    </row>
    <row r="29">
      <c r="A29" s="55">
        <v>40475.8125</v>
      </c>
      <c r="B29" s="38"/>
      <c r="C29" s="32" t="s">
        <v>7</v>
      </c>
      <c r="D29" s="58" t="s">
        <v>6</v>
      </c>
      <c r="E29" s="119" t="s">
        <v>11</v>
      </c>
      <c r="F29" s="56"/>
      <c r="G29" s="288"/>
      <c r="H29" s="46" t="s">
        <v>11</v>
      </c>
      <c r="I29" s="37"/>
      <c r="J29" s="185" t="s">
        <v>7</v>
      </c>
      <c r="K29" s="48"/>
      <c r="L29" s="46"/>
      <c r="M29" s="48"/>
      <c r="N29" s="185"/>
    </row>
    <row r="30">
      <c r="A30" s="55">
        <v>40475.833333333336</v>
      </c>
      <c r="B30" s="77"/>
      <c r="C30" s="32" t="s">
        <v>7</v>
      </c>
      <c r="D30" s="51" t="s">
        <v>6</v>
      </c>
      <c r="E30" s="50" t="s">
        <v>11</v>
      </c>
      <c r="F30" s="51"/>
      <c r="G30" s="305"/>
      <c r="H30" s="46" t="s">
        <v>11</v>
      </c>
      <c r="I30" s="77"/>
      <c r="J30" s="185" t="s">
        <v>7</v>
      </c>
      <c r="K30" s="48"/>
      <c r="L30" s="46"/>
      <c r="M30" s="48"/>
      <c r="N30" s="185"/>
    </row>
    <row r="31">
      <c r="A31" s="49">
        <v>40475.854166666664</v>
      </c>
      <c r="B31" s="37"/>
      <c r="C31" s="32" t="s">
        <v>7</v>
      </c>
      <c r="D31" s="58" t="s">
        <v>6</v>
      </c>
      <c r="E31" s="40" t="s">
        <v>11</v>
      </c>
      <c r="F31" s="58"/>
      <c r="G31" s="288"/>
      <c r="H31" s="46" t="s">
        <v>11</v>
      </c>
      <c r="I31" s="37"/>
      <c r="J31" s="185" t="s">
        <v>7</v>
      </c>
      <c r="K31" s="48"/>
      <c r="L31" s="46"/>
      <c r="M31" s="48"/>
      <c r="N31" s="185"/>
    </row>
    <row r="32">
      <c r="A32" s="49">
        <v>40475.875</v>
      </c>
      <c r="B32" s="37"/>
      <c r="C32" s="32" t="s">
        <v>7</v>
      </c>
      <c r="D32" s="58" t="s">
        <v>6</v>
      </c>
      <c r="E32" s="40" t="s">
        <v>11</v>
      </c>
      <c r="F32" s="58"/>
      <c r="G32" s="288"/>
      <c r="H32" s="46" t="s">
        <v>11</v>
      </c>
      <c r="I32" s="77"/>
      <c r="J32" s="185" t="s">
        <v>7</v>
      </c>
      <c r="K32" s="48"/>
      <c r="L32" s="46"/>
      <c r="M32" s="48"/>
      <c r="N32" s="185"/>
    </row>
    <row r="33">
      <c r="A33" s="55">
        <v>40475.895833333336</v>
      </c>
      <c r="B33" s="37"/>
      <c r="C33" s="30" t="s">
        <v>7</v>
      </c>
      <c r="D33" s="58" t="s">
        <v>6</v>
      </c>
      <c r="E33" s="40" t="s">
        <v>11</v>
      </c>
      <c r="F33" s="58"/>
      <c r="G33" s="288"/>
      <c r="H33" s="46" t="s">
        <v>11</v>
      </c>
      <c r="I33" s="77"/>
      <c r="J33" s="185" t="s">
        <v>7</v>
      </c>
      <c r="K33" s="48"/>
      <c r="L33" s="46"/>
      <c r="M33" s="48"/>
      <c r="N33" s="185"/>
    </row>
    <row r="34">
      <c r="A34" s="55">
        <v>40475.916666666664</v>
      </c>
      <c r="B34" s="37"/>
      <c r="C34" s="33"/>
      <c r="D34" s="281"/>
      <c r="E34" s="30"/>
      <c r="F34" s="32"/>
      <c r="G34" s="289"/>
      <c r="H34" s="24"/>
      <c r="I34" s="24"/>
      <c r="J34" s="37"/>
      <c r="K34" s="24"/>
      <c r="L34" s="24"/>
      <c r="M34" s="24"/>
      <c r="N34" s="35"/>
    </row>
    <row r="35">
      <c r="A35" s="49">
        <v>40475.9375</v>
      </c>
      <c r="B35" s="37"/>
      <c r="C35" s="33"/>
      <c r="D35" s="281"/>
      <c r="E35" s="30"/>
      <c r="F35" s="32"/>
      <c r="G35" s="289"/>
      <c r="H35" s="24"/>
      <c r="I35" s="24"/>
      <c r="J35" s="37"/>
      <c r="K35" s="24"/>
      <c r="L35" s="24"/>
      <c r="M35" s="24"/>
      <c r="N35" s="35"/>
    </row>
    <row r="36">
      <c r="A36" s="49">
        <v>40475.958333333336</v>
      </c>
      <c r="B36" s="296"/>
      <c r="C36" s="32"/>
      <c r="D36" s="297"/>
      <c r="E36" s="30"/>
      <c r="F36" s="32"/>
      <c r="G36" s="289"/>
      <c r="H36" s="82"/>
      <c r="I36" s="37"/>
      <c r="J36" s="83"/>
      <c r="K36" s="37"/>
      <c r="L36" s="24"/>
      <c r="M36" s="24"/>
      <c r="N36" s="26"/>
    </row>
    <row r="37">
      <c r="A37" s="55">
        <v>40475.979166666664</v>
      </c>
      <c r="B37" s="317"/>
      <c r="C37" s="32"/>
      <c r="D37" s="289"/>
      <c r="E37" s="30"/>
      <c r="F37" s="30"/>
      <c r="G37" s="307"/>
      <c r="H37" s="23"/>
      <c r="I37" s="25"/>
      <c r="J37" s="25"/>
      <c r="K37" s="25"/>
      <c r="L37" s="48"/>
      <c r="M37" s="25"/>
      <c r="N37" s="26"/>
    </row>
    <row r="38">
      <c r="A38" s="85" t="s">
        <v>12</v>
      </c>
      <c r="B38" s="309"/>
      <c r="C38" s="88"/>
      <c r="D38" s="298"/>
      <c r="E38" s="30"/>
      <c r="F38" s="32"/>
      <c r="G38" s="290"/>
      <c r="H38" s="23"/>
      <c r="I38" s="25"/>
      <c r="J38" s="25"/>
      <c r="K38" s="83"/>
      <c r="L38" s="24"/>
      <c r="M38" s="83"/>
      <c r="N38" s="23"/>
    </row>
    <row r="39">
      <c r="A39" s="89" t="s">
        <v>13</v>
      </c>
      <c r="B39" s="89">
        <f t="shared" ref="B39:N39" si="1">CONCATENATE(COUNTIF(B4:B38,"MAGAZZINI")+COUNTIF(B4:B38,"PRIMO")+COUNTIF(B4:B38,"RECEPTION")+COUNTIF(B4:B38,"SAGGI")+COUNTIF(B4:B38,"SECONDO")+COUNTIF(B4:B38,"SMART W")+COUNTIF(B4:B38,"STUDIO 1 e 2")+COUNTIF(B4:B38,"MANUTENZ.")+COUNTIF(B4:B38,"UFFICIO")+COUNTIF(B4:B38,"CAMPUS")+COUNTIF(B4:B38,"TEATRO")+COUNTIF(B4:B38,"AMM.ZIONE")+COUNTIF(B4:B38,"FORMAZ-1p")+COUNTIF(B4:B38,"FORMAZ-2p")+COUNTIF(B4:B38,"FORMAZ-rec")+COUNTIF(B4:B38,"WORKSHOP")+COUNTIF(B4:B38,"EVENTO EST."))/2</f>
        <v>8</v>
      </c>
      <c r="C39" s="89">
        <f t="shared" si="1"/>
        <v>8</v>
      </c>
      <c r="D39" s="89">
        <f t="shared" si="1"/>
        <v>8</v>
      </c>
      <c r="E39" s="89">
        <f t="shared" si="1"/>
        <v>8</v>
      </c>
      <c r="F39" s="89">
        <f t="shared" si="1"/>
        <v>0</v>
      </c>
      <c r="G39" s="89">
        <f t="shared" si="1"/>
        <v>8</v>
      </c>
      <c r="H39" s="89">
        <f t="shared" si="1"/>
        <v>8</v>
      </c>
      <c r="I39" s="89">
        <f t="shared" si="1"/>
        <v>8</v>
      </c>
      <c r="J39" s="89">
        <f t="shared" si="1"/>
        <v>8</v>
      </c>
      <c r="K39" s="89">
        <f t="shared" si="1"/>
        <v>8</v>
      </c>
      <c r="L39" s="89">
        <f t="shared" si="1"/>
        <v>8</v>
      </c>
      <c r="M39" s="89">
        <f t="shared" si="1"/>
        <v>9</v>
      </c>
      <c r="N39" s="89">
        <f t="shared" si="1"/>
        <v>0</v>
      </c>
    </row>
  </sheetData>
  <mergeCells count="4">
    <mergeCell ref="B1:C2"/>
    <mergeCell ref="D1:E2"/>
    <mergeCell ref="F1:F2"/>
    <mergeCell ref="G1:N2"/>
  </mergeCells>
  <conditionalFormatting sqref="B4:N38">
    <cfRule type="containsText" dxfId="5" priority="1" operator="containsText" text="PERMESSO">
      <formula>NOT(ISERROR(SEARCH(("PERMESSO"),(B4))))</formula>
    </cfRule>
  </conditionalFormatting>
  <conditionalFormatting sqref="B4:N38">
    <cfRule type="containsText" dxfId="1" priority="2" operator="containsText" text="MALATTIA">
      <formula>NOT(ISERROR(SEARCH(("MALATTIA"),(B4))))</formula>
    </cfRule>
  </conditionalFormatting>
  <conditionalFormatting sqref="B4:N38">
    <cfRule type="containsText" dxfId="2" priority="3" operator="containsText" text="FORMAZ">
      <formula>NOT(ISERROR(SEARCH(("FORMAZ"),(B4))))</formula>
    </cfRule>
  </conditionalFormatting>
  <conditionalFormatting sqref="B4:N38">
    <cfRule type="containsText" dxfId="3" priority="4" operator="containsText" text="AMM.ZIONE">
      <formula>NOT(ISERROR(SEARCH(("AMM.ZIONE"),(B4))))</formula>
    </cfRule>
  </conditionalFormatting>
  <conditionalFormatting sqref="B4:N38">
    <cfRule type="containsText" dxfId="4" priority="5" operator="containsText" text="PAUSA">
      <formula>NOT(ISERROR(SEARCH(("PAUSA"),(B4))))</formula>
    </cfRule>
  </conditionalFormatting>
  <conditionalFormatting sqref="B4:N38">
    <cfRule type="containsText" dxfId="0" priority="6" operator="containsText" text="PERMESSO">
      <formula>NOT(ISERROR(SEARCH(("PERMESSO"),(B4))))</formula>
    </cfRule>
  </conditionalFormatting>
  <conditionalFormatting sqref="B4:N38">
    <cfRule type="containsText" dxfId="6" priority="7" operator="containsText" text="UFFICIO">
      <formula>NOT(ISERROR(SEARCH(("UFFICIO"),(B4))))</formula>
    </cfRule>
  </conditionalFormatting>
  <conditionalFormatting sqref="B4:N38">
    <cfRule type="containsText" dxfId="7" priority="8" operator="containsText" text="RIPOSO">
      <formula>NOT(ISERROR(SEARCH(("RIPOSO"),(B4))))</formula>
    </cfRule>
  </conditionalFormatting>
  <dataValidations>
    <dataValidation type="list" allowBlank="1" showInputMessage="1" showErrorMessage="1" prompt="Fai clic e immetti un valore da intervallo elenchi!A1:A30" sqref="B4:N38">
      <formula1>elenchi!$A$1:$A$30</formula1>
    </dataValidation>
  </dataValidations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AA84F"/>
    <outlinePr summaryBelow="0" summaryRight="0"/>
  </sheetPr>
  <sheetViews>
    <sheetView workbookViewId="0">
      <pane xSplit="1.0" ySplit="3.0" topLeftCell="B4" activePane="bottomRight" state="frozen"/>
      <selection activeCell="B1" sqref="B1" pane="topRight"/>
      <selection activeCell="A4" sqref="A4" pane="bottomLeft"/>
      <selection activeCell="B4" sqref="B4" pane="bottomRight"/>
    </sheetView>
  </sheetViews>
  <sheetFormatPr customHeight="1" defaultColWidth="14.43" defaultRowHeight="15.0"/>
  <cols>
    <col customWidth="1" min="1" max="1" width="10.14"/>
    <col customWidth="1" min="2" max="14" width="18.71"/>
  </cols>
  <sheetData>
    <row r="1">
      <c r="A1" s="318"/>
      <c r="B1" s="319" t="s">
        <v>18</v>
      </c>
      <c r="C1" s="213"/>
      <c r="D1" s="302" t="str">
        <f>elenchi!C4</f>
        <v>  SETTIMANA - D</v>
      </c>
      <c r="F1" s="303" t="s">
        <v>22</v>
      </c>
      <c r="G1" s="304" t="str">
        <f>elenchi!D4</f>
        <v>LUNEDI 06 A DOMENICA 12 APRILE 2026</v>
      </c>
      <c r="N1" s="213"/>
    </row>
    <row r="2">
      <c r="A2" s="318"/>
      <c r="B2" s="8"/>
      <c r="C2" s="9"/>
      <c r="D2" s="10"/>
      <c r="E2" s="10"/>
      <c r="F2" s="10"/>
      <c r="G2" s="10"/>
      <c r="H2" s="10"/>
      <c r="I2" s="10"/>
      <c r="J2" s="10"/>
      <c r="K2" s="10"/>
      <c r="L2" s="10"/>
      <c r="M2" s="10"/>
      <c r="N2" s="9"/>
    </row>
    <row r="3">
      <c r="A3" s="11" t="s">
        <v>2</v>
      </c>
      <c r="B3" s="11" t="str">
        <f>elenchi!B1</f>
        <v>ALEXANDRA</v>
      </c>
      <c r="C3" s="11" t="str">
        <f>elenchi!B2</f>
        <v>GIUDITTA</v>
      </c>
      <c r="D3" s="11" t="str">
        <f>elenchi!B3</f>
        <v>ESTEFANY</v>
      </c>
      <c r="E3" s="12" t="str">
        <f>elenchi!B4</f>
        <v>NURA</v>
      </c>
      <c r="F3" s="12" t="str">
        <f>elenchi!B5</f>
        <v/>
      </c>
      <c r="G3" s="12" t="str">
        <f>elenchi!B6</f>
        <v>JOEL</v>
      </c>
      <c r="H3" s="11" t="str">
        <f>elenchi!B7</f>
        <v>KEVIN</v>
      </c>
      <c r="I3" s="320" t="str">
        <f>elenchi!B8</f>
        <v>JASIR</v>
      </c>
      <c r="J3" s="15" t="str">
        <f>elenchi!B9</f>
        <v>DIEGO</v>
      </c>
      <c r="K3" s="15" t="str">
        <f>elenchi!B10</f>
        <v>SARA</v>
      </c>
      <c r="L3" s="12" t="str">
        <f>elenchi!B11</f>
        <v>SANTO</v>
      </c>
      <c r="M3" s="12" t="str">
        <f>elenchi!B12</f>
        <v>MASSI</v>
      </c>
      <c r="N3" s="12" t="str">
        <f>elenchi!B13</f>
        <v/>
      </c>
    </row>
    <row r="4">
      <c r="A4" s="16" t="s">
        <v>3</v>
      </c>
      <c r="B4" s="146"/>
      <c r="C4" s="180"/>
      <c r="D4" s="27"/>
      <c r="E4" s="27"/>
      <c r="F4" s="48"/>
      <c r="G4" s="146"/>
      <c r="H4" s="24"/>
      <c r="I4" s="25"/>
      <c r="J4" s="24"/>
      <c r="K4" s="181"/>
      <c r="L4" s="181"/>
      <c r="M4" s="181"/>
      <c r="N4" s="181"/>
    </row>
    <row r="5">
      <c r="A5" s="28" t="s">
        <v>4</v>
      </c>
      <c r="B5" s="146"/>
      <c r="C5" s="180"/>
      <c r="D5" s="27"/>
      <c r="E5" s="27"/>
      <c r="F5" s="48"/>
      <c r="G5" s="146"/>
      <c r="H5" s="24"/>
      <c r="I5" s="25"/>
      <c r="J5" s="24"/>
      <c r="K5" s="181"/>
      <c r="L5" s="181"/>
      <c r="M5" s="181"/>
      <c r="N5" s="181"/>
    </row>
    <row r="6">
      <c r="A6" s="28" t="s">
        <v>5</v>
      </c>
      <c r="B6" s="146"/>
      <c r="C6" s="180"/>
      <c r="D6" s="27"/>
      <c r="E6" s="27"/>
      <c r="F6" s="48"/>
      <c r="G6" s="146"/>
      <c r="H6" s="24"/>
      <c r="I6" s="25"/>
      <c r="J6" s="24"/>
      <c r="K6" s="48"/>
      <c r="L6" s="38"/>
      <c r="M6" s="181"/>
      <c r="N6" s="181"/>
    </row>
    <row r="7">
      <c r="A7" s="39">
        <v>40475.354166666664</v>
      </c>
      <c r="B7" s="146"/>
      <c r="C7" s="180"/>
      <c r="D7" s="27"/>
      <c r="E7" s="27"/>
      <c r="F7" s="24"/>
      <c r="G7" s="146"/>
      <c r="H7" s="24"/>
      <c r="I7" s="25"/>
      <c r="J7" s="24"/>
      <c r="K7" s="48"/>
      <c r="L7" s="77"/>
      <c r="M7" s="181"/>
      <c r="N7" s="181"/>
    </row>
    <row r="8">
      <c r="A8" s="49">
        <v>40475.375</v>
      </c>
      <c r="B8" s="60" t="s">
        <v>11</v>
      </c>
      <c r="C8" s="183"/>
      <c r="D8" s="38" t="s">
        <v>21</v>
      </c>
      <c r="E8" s="38" t="s">
        <v>6</v>
      </c>
      <c r="F8" s="183" t="s">
        <v>7</v>
      </c>
      <c r="G8" s="51" t="s">
        <v>7</v>
      </c>
      <c r="H8" s="38" t="s">
        <v>11</v>
      </c>
      <c r="I8" s="249" t="s">
        <v>21</v>
      </c>
      <c r="J8" s="50" t="s">
        <v>7</v>
      </c>
      <c r="K8" s="35"/>
      <c r="L8" s="77"/>
      <c r="M8" s="181"/>
      <c r="N8" s="51"/>
    </row>
    <row r="9">
      <c r="A9" s="55">
        <v>40475.395833333336</v>
      </c>
      <c r="B9" s="60" t="s">
        <v>11</v>
      </c>
      <c r="C9" s="183"/>
      <c r="D9" s="77" t="s">
        <v>21</v>
      </c>
      <c r="E9" s="77" t="s">
        <v>6</v>
      </c>
      <c r="F9" s="183" t="s">
        <v>7</v>
      </c>
      <c r="G9" s="56" t="s">
        <v>7</v>
      </c>
      <c r="H9" s="77" t="s">
        <v>11</v>
      </c>
      <c r="I9" s="249" t="s">
        <v>21</v>
      </c>
      <c r="J9" s="119" t="s">
        <v>7</v>
      </c>
      <c r="K9" s="35"/>
      <c r="L9" s="77"/>
      <c r="M9" s="191"/>
      <c r="N9" s="56"/>
    </row>
    <row r="10">
      <c r="A10" s="55">
        <v>40475.416666666664</v>
      </c>
      <c r="B10" s="60" t="s">
        <v>11</v>
      </c>
      <c r="C10" s="183"/>
      <c r="D10" s="77" t="s">
        <v>21</v>
      </c>
      <c r="E10" s="77" t="s">
        <v>6</v>
      </c>
      <c r="F10" s="183" t="s">
        <v>7</v>
      </c>
      <c r="G10" s="242" t="s">
        <v>7</v>
      </c>
      <c r="H10" s="38" t="s">
        <v>11</v>
      </c>
      <c r="I10" s="249" t="s">
        <v>21</v>
      </c>
      <c r="J10" s="183" t="s">
        <v>7</v>
      </c>
      <c r="K10" s="35"/>
      <c r="L10" s="77"/>
      <c r="M10" s="191"/>
      <c r="N10" s="242"/>
    </row>
    <row r="11">
      <c r="A11" s="49">
        <v>40475.4375</v>
      </c>
      <c r="B11" s="60" t="s">
        <v>11</v>
      </c>
      <c r="C11" s="183"/>
      <c r="D11" s="77" t="s">
        <v>21</v>
      </c>
      <c r="E11" s="77" t="s">
        <v>6</v>
      </c>
      <c r="F11" s="183" t="s">
        <v>7</v>
      </c>
      <c r="G11" s="242" t="s">
        <v>7</v>
      </c>
      <c r="H11" s="77" t="s">
        <v>11</v>
      </c>
      <c r="I11" s="249" t="s">
        <v>21</v>
      </c>
      <c r="J11" s="183" t="s">
        <v>7</v>
      </c>
      <c r="K11" s="35"/>
      <c r="L11" s="77"/>
      <c r="M11" s="191"/>
      <c r="N11" s="242"/>
    </row>
    <row r="12">
      <c r="A12" s="49">
        <v>40475.458333333336</v>
      </c>
      <c r="B12" s="60" t="s">
        <v>11</v>
      </c>
      <c r="C12" s="183"/>
      <c r="D12" s="77" t="s">
        <v>21</v>
      </c>
      <c r="E12" s="77" t="s">
        <v>6</v>
      </c>
      <c r="F12" s="183" t="s">
        <v>7</v>
      </c>
      <c r="G12" s="242" t="s">
        <v>7</v>
      </c>
      <c r="H12" s="38" t="s">
        <v>11</v>
      </c>
      <c r="I12" s="249" t="s">
        <v>21</v>
      </c>
      <c r="J12" s="183" t="s">
        <v>7</v>
      </c>
      <c r="K12" s="35"/>
      <c r="L12" s="77"/>
      <c r="M12" s="191"/>
      <c r="N12" s="242"/>
    </row>
    <row r="13">
      <c r="A13" s="55">
        <v>40475.479166666664</v>
      </c>
      <c r="B13" s="60" t="s">
        <v>11</v>
      </c>
      <c r="C13" s="183"/>
      <c r="D13" s="77" t="s">
        <v>21</v>
      </c>
      <c r="E13" s="77" t="s">
        <v>6</v>
      </c>
      <c r="F13" s="183" t="s">
        <v>7</v>
      </c>
      <c r="G13" s="242" t="s">
        <v>7</v>
      </c>
      <c r="H13" s="77" t="s">
        <v>11</v>
      </c>
      <c r="I13" s="249" t="s">
        <v>21</v>
      </c>
      <c r="J13" s="183" t="s">
        <v>7</v>
      </c>
      <c r="K13" s="24"/>
      <c r="L13" s="77"/>
      <c r="M13" s="191"/>
      <c r="N13" s="242"/>
    </row>
    <row r="14">
      <c r="A14" s="55">
        <v>40475.5</v>
      </c>
      <c r="B14" s="60" t="s">
        <v>11</v>
      </c>
      <c r="C14" s="183"/>
      <c r="D14" s="77" t="s">
        <v>21</v>
      </c>
      <c r="E14" s="77" t="s">
        <v>6</v>
      </c>
      <c r="F14" s="183" t="s">
        <v>7</v>
      </c>
      <c r="G14" s="242" t="s">
        <v>7</v>
      </c>
      <c r="H14" s="38" t="s">
        <v>11</v>
      </c>
      <c r="I14" s="249" t="s">
        <v>21</v>
      </c>
      <c r="J14" s="183" t="s">
        <v>7</v>
      </c>
      <c r="K14" s="24"/>
      <c r="L14" s="77"/>
      <c r="M14" s="191"/>
      <c r="N14" s="242"/>
    </row>
    <row r="15">
      <c r="A15" s="49">
        <v>40475.520833333336</v>
      </c>
      <c r="B15" s="56" t="s">
        <v>10</v>
      </c>
      <c r="C15" s="183"/>
      <c r="D15" s="77" t="s">
        <v>21</v>
      </c>
      <c r="E15" s="77" t="s">
        <v>6</v>
      </c>
      <c r="F15" s="183" t="s">
        <v>7</v>
      </c>
      <c r="G15" s="242" t="s">
        <v>7</v>
      </c>
      <c r="H15" s="77" t="s">
        <v>10</v>
      </c>
      <c r="I15" s="249" t="s">
        <v>21</v>
      </c>
      <c r="J15" s="183" t="s">
        <v>7</v>
      </c>
      <c r="K15" s="35"/>
      <c r="L15" s="187"/>
      <c r="M15" s="191"/>
      <c r="N15" s="242"/>
    </row>
    <row r="16">
      <c r="A16" s="49">
        <v>40475.541666666664</v>
      </c>
      <c r="B16" s="60" t="s">
        <v>7</v>
      </c>
      <c r="C16" s="183"/>
      <c r="D16" s="77" t="s">
        <v>21</v>
      </c>
      <c r="E16" s="77" t="s">
        <v>6</v>
      </c>
      <c r="F16" s="50"/>
      <c r="G16" s="51" t="s">
        <v>10</v>
      </c>
      <c r="H16" s="38" t="s">
        <v>11</v>
      </c>
      <c r="I16" s="249" t="s">
        <v>21</v>
      </c>
      <c r="J16" s="321" t="s">
        <v>10</v>
      </c>
      <c r="K16" s="35"/>
      <c r="L16" s="190"/>
      <c r="M16" s="191"/>
      <c r="N16" s="56"/>
    </row>
    <row r="17">
      <c r="A17" s="55">
        <v>40475.5625</v>
      </c>
      <c r="B17" s="60" t="s">
        <v>7</v>
      </c>
      <c r="C17" s="183"/>
      <c r="D17" s="77" t="s">
        <v>21</v>
      </c>
      <c r="E17" s="38" t="s">
        <v>10</v>
      </c>
      <c r="F17" s="40"/>
      <c r="G17" s="56" t="s">
        <v>6</v>
      </c>
      <c r="H17" s="77" t="s">
        <v>11</v>
      </c>
      <c r="I17" s="249" t="s">
        <v>21</v>
      </c>
      <c r="J17" s="43" t="s">
        <v>7</v>
      </c>
      <c r="K17" s="35"/>
      <c r="L17" s="190"/>
      <c r="M17" s="191"/>
      <c r="N17" s="60"/>
    </row>
    <row r="18">
      <c r="A18" s="55">
        <v>40475.583333333336</v>
      </c>
      <c r="B18" s="60" t="s">
        <v>7</v>
      </c>
      <c r="C18" s="183"/>
      <c r="D18" s="77" t="s">
        <v>21</v>
      </c>
      <c r="E18" s="196" t="s">
        <v>11</v>
      </c>
      <c r="F18" s="43"/>
      <c r="G18" s="242" t="s">
        <v>6</v>
      </c>
      <c r="H18" s="38" t="s">
        <v>11</v>
      </c>
      <c r="I18" s="249" t="s">
        <v>21</v>
      </c>
      <c r="J18" s="43" t="s">
        <v>7</v>
      </c>
      <c r="K18" s="35"/>
      <c r="L18" s="190"/>
      <c r="M18" s="191"/>
      <c r="N18" s="60"/>
    </row>
    <row r="19">
      <c r="A19" s="49">
        <v>40475.604166666664</v>
      </c>
      <c r="B19" s="60" t="s">
        <v>7</v>
      </c>
      <c r="C19" s="183"/>
      <c r="D19" s="77" t="s">
        <v>21</v>
      </c>
      <c r="E19" s="196" t="s">
        <v>11</v>
      </c>
      <c r="F19" s="40"/>
      <c r="G19" s="242" t="s">
        <v>6</v>
      </c>
      <c r="H19" s="77" t="s">
        <v>11</v>
      </c>
      <c r="I19" s="249" t="s">
        <v>21</v>
      </c>
      <c r="J19" s="43" t="s">
        <v>7</v>
      </c>
      <c r="K19" s="35"/>
      <c r="L19" s="190"/>
      <c r="M19" s="181"/>
      <c r="N19" s="60"/>
    </row>
    <row r="20">
      <c r="A20" s="49">
        <v>40475.625</v>
      </c>
      <c r="B20" s="60" t="s">
        <v>7</v>
      </c>
      <c r="C20" s="183"/>
      <c r="D20" s="77" t="s">
        <v>21</v>
      </c>
      <c r="E20" s="196" t="s">
        <v>11</v>
      </c>
      <c r="F20" s="40"/>
      <c r="G20" s="242" t="s">
        <v>6</v>
      </c>
      <c r="H20" s="38" t="s">
        <v>11</v>
      </c>
      <c r="I20" s="249" t="s">
        <v>21</v>
      </c>
      <c r="J20" s="43" t="s">
        <v>7</v>
      </c>
      <c r="K20" s="24"/>
      <c r="L20" s="190"/>
      <c r="M20" s="181"/>
      <c r="N20" s="60"/>
    </row>
    <row r="21">
      <c r="A21" s="55">
        <v>40475.645833333336</v>
      </c>
      <c r="B21" s="60" t="s">
        <v>7</v>
      </c>
      <c r="C21" s="183"/>
      <c r="D21" s="77" t="s">
        <v>21</v>
      </c>
      <c r="E21" s="196" t="s">
        <v>11</v>
      </c>
      <c r="F21" s="50"/>
      <c r="G21" s="242" t="s">
        <v>6</v>
      </c>
      <c r="H21" s="77" t="s">
        <v>11</v>
      </c>
      <c r="I21" s="249" t="s">
        <v>21</v>
      </c>
      <c r="J21" s="43" t="s">
        <v>7</v>
      </c>
      <c r="K21" s="24"/>
      <c r="L21" s="192"/>
      <c r="M21" s="181"/>
      <c r="N21" s="60"/>
    </row>
    <row r="22">
      <c r="A22" s="55">
        <v>40475.666666666664</v>
      </c>
      <c r="B22" s="60" t="s">
        <v>7</v>
      </c>
      <c r="C22" s="183"/>
      <c r="D22" s="77" t="s">
        <v>21</v>
      </c>
      <c r="E22" s="196" t="s">
        <v>11</v>
      </c>
      <c r="F22" s="50"/>
      <c r="G22" s="242" t="s">
        <v>6</v>
      </c>
      <c r="H22" s="38" t="s">
        <v>11</v>
      </c>
      <c r="I22" s="249" t="s">
        <v>21</v>
      </c>
      <c r="J22" s="43" t="s">
        <v>7</v>
      </c>
      <c r="K22" s="35"/>
      <c r="L22" s="192"/>
      <c r="M22" s="181"/>
      <c r="N22" s="60"/>
    </row>
    <row r="23">
      <c r="A23" s="49">
        <v>40475.6875</v>
      </c>
      <c r="B23" s="60" t="s">
        <v>7</v>
      </c>
      <c r="C23" s="183"/>
      <c r="D23" s="77" t="s">
        <v>21</v>
      </c>
      <c r="E23" s="196" t="s">
        <v>11</v>
      </c>
      <c r="F23" s="50"/>
      <c r="G23" s="242" t="s">
        <v>6</v>
      </c>
      <c r="H23" s="77" t="s">
        <v>11</v>
      </c>
      <c r="I23" s="249" t="s">
        <v>21</v>
      </c>
      <c r="J23" s="43" t="s">
        <v>7</v>
      </c>
      <c r="K23" s="35"/>
      <c r="L23" s="192"/>
      <c r="M23" s="181"/>
      <c r="N23" s="60"/>
    </row>
    <row r="24">
      <c r="A24" s="49">
        <v>40475.708333333336</v>
      </c>
      <c r="B24" s="56" t="s">
        <v>7</v>
      </c>
      <c r="C24" s="183"/>
      <c r="D24" s="77" t="s">
        <v>21</v>
      </c>
      <c r="E24" s="196" t="s">
        <v>11</v>
      </c>
      <c r="F24" s="50"/>
      <c r="G24" s="242" t="s">
        <v>6</v>
      </c>
      <c r="H24" s="38" t="s">
        <v>11</v>
      </c>
      <c r="I24" s="249" t="s">
        <v>21</v>
      </c>
      <c r="J24" s="119" t="s">
        <v>7</v>
      </c>
      <c r="K24" s="35"/>
      <c r="L24" s="192"/>
      <c r="M24" s="181"/>
      <c r="N24" s="60"/>
    </row>
    <row r="25">
      <c r="A25" s="55">
        <v>40475.729166666664</v>
      </c>
      <c r="B25" s="243"/>
      <c r="C25" s="197"/>
      <c r="D25" s="184"/>
      <c r="E25" s="46"/>
      <c r="F25" s="189"/>
      <c r="G25" s="170"/>
      <c r="H25" s="77"/>
      <c r="I25" s="37"/>
      <c r="J25" s="26"/>
      <c r="K25" s="76"/>
      <c r="L25" s="76"/>
      <c r="M25" s="181"/>
      <c r="N25" s="56"/>
    </row>
    <row r="26">
      <c r="A26" s="55">
        <v>40475.75</v>
      </c>
      <c r="B26" s="146"/>
      <c r="C26" s="23"/>
      <c r="D26" s="24"/>
      <c r="E26" s="184"/>
      <c r="F26" s="27"/>
      <c r="G26" s="158"/>
      <c r="H26" s="184"/>
      <c r="I26" s="37"/>
      <c r="J26" s="24"/>
      <c r="K26" s="76"/>
      <c r="L26" s="77"/>
      <c r="M26" s="181"/>
      <c r="N26" s="181"/>
    </row>
    <row r="27">
      <c r="A27" s="49">
        <v>40475.770833333336</v>
      </c>
      <c r="B27" s="146"/>
      <c r="C27" s="180"/>
      <c r="D27" s="24"/>
      <c r="E27" s="198"/>
      <c r="F27" s="27"/>
      <c r="G27" s="150"/>
      <c r="H27" s="24"/>
      <c r="I27" s="25"/>
      <c r="J27" s="24"/>
      <c r="K27" s="48"/>
      <c r="L27" s="77"/>
      <c r="M27" s="181"/>
      <c r="N27" s="181"/>
    </row>
    <row r="28">
      <c r="A28" s="49">
        <v>40475.791666666664</v>
      </c>
      <c r="B28" s="149"/>
      <c r="C28" s="180"/>
      <c r="D28" s="17"/>
      <c r="E28" s="199"/>
      <c r="F28" s="200"/>
      <c r="G28" s="148"/>
      <c r="H28" s="17"/>
      <c r="I28" s="24"/>
      <c r="J28" s="17"/>
      <c r="K28" s="48"/>
      <c r="L28" s="38"/>
      <c r="M28" s="181"/>
      <c r="N28" s="181"/>
    </row>
    <row r="29">
      <c r="A29" s="55">
        <v>40475.8125</v>
      </c>
      <c r="B29" s="146"/>
      <c r="C29" s="180"/>
      <c r="D29" s="27"/>
      <c r="E29" s="198"/>
      <c r="F29" s="48"/>
      <c r="G29" s="150"/>
      <c r="H29" s="24"/>
      <c r="I29" s="25"/>
      <c r="J29" s="24"/>
      <c r="K29" s="76"/>
      <c r="L29" s="77"/>
      <c r="M29" s="181"/>
      <c r="N29" s="180"/>
    </row>
    <row r="30">
      <c r="A30" s="55">
        <v>40475.833333333336</v>
      </c>
      <c r="B30" s="146"/>
      <c r="C30" s="180"/>
      <c r="D30" s="27"/>
      <c r="E30" s="27"/>
      <c r="F30" s="48"/>
      <c r="G30" s="146"/>
      <c r="H30" s="24"/>
      <c r="I30" s="25"/>
      <c r="J30" s="27"/>
      <c r="K30" s="76"/>
      <c r="L30" s="77"/>
      <c r="M30" s="181"/>
      <c r="N30" s="180"/>
    </row>
    <row r="31">
      <c r="A31" s="49">
        <v>40475.854166666664</v>
      </c>
      <c r="B31" s="146"/>
      <c r="C31" s="180"/>
      <c r="D31" s="27"/>
      <c r="E31" s="27"/>
      <c r="F31" s="48"/>
      <c r="G31" s="146"/>
      <c r="H31" s="24"/>
      <c r="I31" s="25"/>
      <c r="J31" s="27"/>
      <c r="K31" s="76"/>
      <c r="L31" s="77"/>
      <c r="M31" s="181"/>
      <c r="N31" s="201"/>
    </row>
    <row r="32">
      <c r="A32" s="49">
        <v>40475.875</v>
      </c>
      <c r="B32" s="146"/>
      <c r="C32" s="180"/>
      <c r="D32" s="27"/>
      <c r="E32" s="27"/>
      <c r="F32" s="48"/>
      <c r="G32" s="146"/>
      <c r="H32" s="24"/>
      <c r="I32" s="25"/>
      <c r="J32" s="27"/>
      <c r="K32" s="76"/>
      <c r="L32" s="77"/>
      <c r="M32" s="181"/>
      <c r="N32" s="181"/>
    </row>
    <row r="33">
      <c r="A33" s="55">
        <v>40475.895833333336</v>
      </c>
      <c r="B33" s="146"/>
      <c r="C33" s="180"/>
      <c r="D33" s="27"/>
      <c r="E33" s="27"/>
      <c r="F33" s="48"/>
      <c r="G33" s="146"/>
      <c r="H33" s="24"/>
      <c r="I33" s="25"/>
      <c r="J33" s="27"/>
      <c r="K33" s="76"/>
      <c r="L33" s="77"/>
      <c r="M33" s="202"/>
      <c r="N33" s="202"/>
    </row>
    <row r="34">
      <c r="A34" s="55">
        <v>40475.916666666664</v>
      </c>
      <c r="B34" s="146"/>
      <c r="C34" s="180"/>
      <c r="D34" s="27"/>
      <c r="E34" s="27"/>
      <c r="F34" s="48"/>
      <c r="G34" s="146"/>
      <c r="H34" s="24"/>
      <c r="I34" s="25"/>
      <c r="J34" s="27"/>
      <c r="K34" s="76"/>
      <c r="L34" s="77"/>
      <c r="M34" s="202"/>
      <c r="N34" s="202"/>
    </row>
    <row r="35">
      <c r="A35" s="49">
        <v>40475.9375</v>
      </c>
      <c r="B35" s="146"/>
      <c r="C35" s="180"/>
      <c r="D35" s="27"/>
      <c r="E35" s="27"/>
      <c r="F35" s="48"/>
      <c r="G35" s="146"/>
      <c r="H35" s="24"/>
      <c r="I35" s="25"/>
      <c r="J35" s="27"/>
      <c r="K35" s="76"/>
      <c r="L35" s="77"/>
      <c r="M35" s="202"/>
      <c r="N35" s="202"/>
    </row>
    <row r="36">
      <c r="A36" s="49">
        <v>40475.958333333336</v>
      </c>
      <c r="B36" s="149"/>
      <c r="C36" s="180"/>
      <c r="D36" s="79"/>
      <c r="E36" s="79"/>
      <c r="F36" s="200"/>
      <c r="G36" s="149"/>
      <c r="H36" s="79"/>
      <c r="I36" s="203"/>
      <c r="J36" s="79"/>
      <c r="K36" s="76"/>
      <c r="L36" s="77"/>
      <c r="M36" s="202"/>
      <c r="N36" s="202"/>
    </row>
    <row r="37">
      <c r="A37" s="55">
        <v>40475.979166666664</v>
      </c>
      <c r="B37" s="146"/>
      <c r="C37" s="180"/>
      <c r="D37" s="27"/>
      <c r="E37" s="27"/>
      <c r="F37" s="48"/>
      <c r="G37" s="146"/>
      <c r="H37" s="24"/>
      <c r="I37" s="25"/>
      <c r="J37" s="24"/>
      <c r="K37" s="76"/>
      <c r="L37" s="77"/>
      <c r="M37" s="181"/>
      <c r="N37" s="181"/>
    </row>
    <row r="38">
      <c r="A38" s="85" t="s">
        <v>12</v>
      </c>
      <c r="B38" s="149"/>
      <c r="C38" s="180"/>
      <c r="D38" s="79"/>
      <c r="E38" s="79"/>
      <c r="F38" s="17"/>
      <c r="G38" s="149"/>
      <c r="H38" s="17"/>
      <c r="I38" s="25"/>
      <c r="J38" s="17"/>
      <c r="K38" s="25"/>
      <c r="L38" s="77"/>
      <c r="M38" s="181"/>
      <c r="N38" s="181"/>
    </row>
    <row r="39">
      <c r="A39" s="322" t="s">
        <v>13</v>
      </c>
      <c r="B39" s="89">
        <f t="shared" ref="B39:N39" si="1">CONCATENATE(COUNTIF(B4:B38,"MAGAZZINI")+COUNTIF(B4:B38,"PRIMO")+COUNTIF(B4:B38,"RECEPTION")+COUNTIF(B4:B38,"SAGGI")+COUNTIF(B4:B38,"SECONDO")+COUNTIF(B4:B38,"SMART W")+COUNTIF(B4:B38,"STUDIO 1 e 2")+COUNTIF(B4:B38,"MANUTENZ.")+COUNTIF(B4:B38,"UFFICIO")+COUNTIF(B4:B38,"CAMPUS")+COUNTIF(B4:B38,"TEATRO")+COUNTIF(B4:B38,"AMM.ZIONE")+COUNTIF(B4:B38,"FORMAZ-1p")+COUNTIF(B4:B38,"FORMAZ-2p")+COUNTIF(B4:B38,"FORMAZ-rec")+COUNTIF(B4:B38,"WORKSHOP")+COUNTIF(B4:B38,"EVENTO EST."))/2</f>
        <v>8</v>
      </c>
      <c r="C39" s="89">
        <f t="shared" si="1"/>
        <v>0</v>
      </c>
      <c r="D39" s="89">
        <f t="shared" si="1"/>
        <v>0</v>
      </c>
      <c r="E39" s="89">
        <f t="shared" si="1"/>
        <v>8</v>
      </c>
      <c r="F39" s="89">
        <f t="shared" si="1"/>
        <v>4</v>
      </c>
      <c r="G39" s="89">
        <f t="shared" si="1"/>
        <v>8</v>
      </c>
      <c r="H39" s="89">
        <f t="shared" si="1"/>
        <v>8</v>
      </c>
      <c r="I39" s="89">
        <f t="shared" si="1"/>
        <v>0</v>
      </c>
      <c r="J39" s="89">
        <f t="shared" si="1"/>
        <v>8</v>
      </c>
      <c r="K39" s="89">
        <f t="shared" si="1"/>
        <v>0</v>
      </c>
      <c r="L39" s="89">
        <f t="shared" si="1"/>
        <v>0</v>
      </c>
      <c r="M39" s="89">
        <f t="shared" si="1"/>
        <v>0</v>
      </c>
      <c r="N39" s="89">
        <f t="shared" si="1"/>
        <v>0</v>
      </c>
    </row>
  </sheetData>
  <mergeCells count="4">
    <mergeCell ref="B1:C2"/>
    <mergeCell ref="D1:E2"/>
    <mergeCell ref="F1:F2"/>
    <mergeCell ref="G1:N2"/>
  </mergeCells>
  <conditionalFormatting sqref="B4:N38">
    <cfRule type="containsText" dxfId="1" priority="1" operator="containsText" text="MALATTIA">
      <formula>NOT(ISERROR(SEARCH(("MALATTIA"),(B4))))</formula>
    </cfRule>
  </conditionalFormatting>
  <conditionalFormatting sqref="B4:N38">
    <cfRule type="containsText" dxfId="2" priority="2" operator="containsText" text="FORMAZ">
      <formula>NOT(ISERROR(SEARCH(("FORMAZ"),(B4))))</formula>
    </cfRule>
  </conditionalFormatting>
  <conditionalFormatting sqref="B4:N38">
    <cfRule type="containsText" dxfId="3" priority="3" operator="containsText" text="AMM.ZIONE">
      <formula>NOT(ISERROR(SEARCH(("AMM.ZIONE"),(B4))))</formula>
    </cfRule>
  </conditionalFormatting>
  <conditionalFormatting sqref="B4:N38">
    <cfRule type="containsText" dxfId="4" priority="4" operator="containsText" text="PAUSA">
      <formula>NOT(ISERROR(SEARCH(("PAUSA"),(B4))))</formula>
    </cfRule>
  </conditionalFormatting>
  <conditionalFormatting sqref="B4:N38">
    <cfRule type="containsText" dxfId="0" priority="5" operator="containsText" text="PERMESSO">
      <formula>NOT(ISERROR(SEARCH(("PERMESSO"),(B4))))</formula>
    </cfRule>
  </conditionalFormatting>
  <conditionalFormatting sqref="B4:N38">
    <cfRule type="containsText" dxfId="6" priority="6" operator="containsText" text="UFFICIO">
      <formula>NOT(ISERROR(SEARCH(("UFFICIO"),(B4))))</formula>
    </cfRule>
  </conditionalFormatting>
  <conditionalFormatting sqref="B4:N38">
    <cfRule type="containsText" dxfId="7" priority="7" operator="containsText" text="RIPOSO">
      <formula>NOT(ISERROR(SEARCH(("RIPOSO"),(B4))))</formula>
    </cfRule>
  </conditionalFormatting>
  <dataValidations>
    <dataValidation type="list" allowBlank="1" showInputMessage="1" showErrorMessage="1" prompt="Fai clic e immetti un valore da intervallo elenchi!A1:A30" sqref="B4:N38">
      <formula1>elenchi!$A$1:$A$30</formula1>
    </dataValidation>
  </dataValidations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AA84F"/>
    <outlinePr summaryBelow="0" summaryRight="0"/>
  </sheetPr>
  <sheetViews>
    <sheetView workbookViewId="0">
      <pane xSplit="1.0" ySplit="3.0" topLeftCell="B4" activePane="bottomRight" state="frozen"/>
      <selection activeCell="B1" sqref="B1" pane="topRight"/>
      <selection activeCell="A4" sqref="A4" pane="bottomLeft"/>
      <selection activeCell="B4" sqref="B4" pane="bottomRight"/>
    </sheetView>
  </sheetViews>
  <sheetFormatPr customHeight="1" defaultColWidth="14.43" defaultRowHeight="15.0"/>
  <cols>
    <col customWidth="1" min="1" max="1" width="10.14"/>
    <col customWidth="1" min="2" max="14" width="18.71"/>
  </cols>
  <sheetData>
    <row r="1">
      <c r="A1" s="318"/>
      <c r="B1" s="319" t="s">
        <v>19</v>
      </c>
      <c r="C1" s="213"/>
      <c r="D1" s="302" t="str">
        <f>elenchi!C4</f>
        <v>  SETTIMANA - D</v>
      </c>
      <c r="F1" s="303" t="s">
        <v>22</v>
      </c>
      <c r="G1" s="304" t="str">
        <f>elenchi!D4</f>
        <v>LUNEDI 06 A DOMENICA 12 APRILE 2026</v>
      </c>
      <c r="N1" s="213"/>
    </row>
    <row r="2">
      <c r="A2" s="318"/>
      <c r="B2" s="8"/>
      <c r="C2" s="9"/>
      <c r="D2" s="10"/>
      <c r="E2" s="10"/>
      <c r="F2" s="10"/>
      <c r="G2" s="10"/>
      <c r="H2" s="10"/>
      <c r="I2" s="10"/>
      <c r="J2" s="10"/>
      <c r="K2" s="10"/>
      <c r="L2" s="10"/>
      <c r="M2" s="10"/>
      <c r="N2" s="9"/>
    </row>
    <row r="3">
      <c r="A3" s="11" t="s">
        <v>2</v>
      </c>
      <c r="B3" s="11" t="str">
        <f>elenchi!B1</f>
        <v>ALEXANDRA</v>
      </c>
      <c r="C3" s="11" t="str">
        <f>elenchi!B2</f>
        <v>GIUDITTA</v>
      </c>
      <c r="D3" s="11" t="str">
        <f>elenchi!B3</f>
        <v>ESTEFANY</v>
      </c>
      <c r="E3" s="12" t="str">
        <f>elenchi!B4</f>
        <v>NURA</v>
      </c>
      <c r="F3" s="12" t="str">
        <f>elenchi!B5</f>
        <v/>
      </c>
      <c r="G3" s="12" t="str">
        <f>elenchi!B6</f>
        <v>JOEL</v>
      </c>
      <c r="H3" s="11" t="str">
        <f>elenchi!B7</f>
        <v>KEVIN</v>
      </c>
      <c r="I3" s="320" t="str">
        <f>elenchi!B8</f>
        <v>JASIR</v>
      </c>
      <c r="J3" s="15" t="str">
        <f>elenchi!B9</f>
        <v>DIEGO</v>
      </c>
      <c r="K3" s="15" t="str">
        <f>elenchi!B10</f>
        <v>SARA</v>
      </c>
      <c r="L3" s="12" t="str">
        <f>elenchi!B11</f>
        <v>SANTO</v>
      </c>
      <c r="M3" s="12" t="str">
        <f>elenchi!B12</f>
        <v>MASSI</v>
      </c>
      <c r="N3" s="12" t="str">
        <f>elenchi!B13</f>
        <v/>
      </c>
    </row>
    <row r="4">
      <c r="A4" s="16" t="s">
        <v>3</v>
      </c>
      <c r="B4" s="48"/>
      <c r="C4" s="180"/>
      <c r="D4" s="47"/>
      <c r="E4" s="47"/>
      <c r="F4" s="24"/>
      <c r="G4" s="48"/>
      <c r="H4" s="25"/>
      <c r="I4" s="25"/>
      <c r="J4" s="25"/>
      <c r="K4" s="181"/>
      <c r="L4" s="181"/>
      <c r="M4" s="181"/>
      <c r="N4" s="181"/>
    </row>
    <row r="5">
      <c r="A5" s="28" t="s">
        <v>4</v>
      </c>
      <c r="B5" s="48"/>
      <c r="C5" s="180"/>
      <c r="D5" s="47"/>
      <c r="E5" s="47"/>
      <c r="F5" s="24"/>
      <c r="G5" s="48"/>
      <c r="H5" s="25"/>
      <c r="I5" s="25"/>
      <c r="J5" s="25"/>
      <c r="K5" s="181"/>
      <c r="L5" s="181"/>
      <c r="M5" s="181"/>
      <c r="N5" s="181"/>
    </row>
    <row r="6">
      <c r="A6" s="28" t="s">
        <v>5</v>
      </c>
      <c r="B6" s="48"/>
      <c r="C6" s="180"/>
      <c r="D6" s="47"/>
      <c r="E6" s="47"/>
      <c r="F6" s="24"/>
      <c r="G6" s="48"/>
      <c r="H6" s="25"/>
      <c r="I6" s="25"/>
      <c r="J6" s="25"/>
      <c r="K6" s="48"/>
      <c r="L6" s="38"/>
      <c r="M6" s="181"/>
      <c r="N6" s="181"/>
    </row>
    <row r="7">
      <c r="A7" s="39">
        <v>40475.354166666664</v>
      </c>
      <c r="B7" s="24"/>
      <c r="C7" s="180"/>
      <c r="D7" s="27"/>
      <c r="E7" s="27"/>
      <c r="F7" s="24"/>
      <c r="G7" s="24"/>
      <c r="H7" s="25"/>
      <c r="I7" s="25"/>
      <c r="J7" s="25"/>
      <c r="K7" s="48"/>
      <c r="L7" s="77"/>
      <c r="M7" s="181"/>
      <c r="N7" s="181"/>
    </row>
    <row r="8">
      <c r="A8" s="49">
        <v>40475.375</v>
      </c>
      <c r="B8" s="24"/>
      <c r="C8" s="32"/>
      <c r="D8" s="24"/>
      <c r="E8" s="121"/>
      <c r="F8" s="185"/>
      <c r="G8" s="24"/>
      <c r="H8" s="48"/>
      <c r="I8" s="226"/>
      <c r="J8" s="206"/>
      <c r="K8" s="76"/>
      <c r="L8" s="77"/>
      <c r="M8" s="181"/>
      <c r="N8" s="181"/>
    </row>
    <row r="9">
      <c r="A9" s="55">
        <v>40475.395833333336</v>
      </c>
      <c r="B9" s="138"/>
      <c r="C9" s="32"/>
      <c r="D9" s="138"/>
      <c r="E9" s="122"/>
      <c r="F9" s="185"/>
      <c r="G9" s="140"/>
      <c r="H9" s="138"/>
      <c r="I9" s="225"/>
      <c r="J9" s="207"/>
      <c r="K9" s="76"/>
      <c r="L9" s="77"/>
      <c r="M9" s="191"/>
      <c r="N9" s="181"/>
    </row>
    <row r="10">
      <c r="A10" s="55">
        <v>40475.416666666664</v>
      </c>
      <c r="B10" s="54"/>
      <c r="C10" s="32"/>
      <c r="D10" s="77"/>
      <c r="E10" s="122"/>
      <c r="F10" s="185"/>
      <c r="G10" s="140"/>
      <c r="H10" s="48"/>
      <c r="I10" s="288"/>
      <c r="J10" s="207"/>
      <c r="K10" s="76"/>
      <c r="L10" s="77"/>
      <c r="M10" s="76"/>
      <c r="N10" s="181"/>
    </row>
    <row r="11">
      <c r="A11" s="49">
        <v>40475.4375</v>
      </c>
      <c r="B11" s="46"/>
      <c r="C11" s="32"/>
      <c r="D11" s="77"/>
      <c r="E11" s="122"/>
      <c r="F11" s="185"/>
      <c r="G11" s="140"/>
      <c r="H11" s="138"/>
      <c r="I11" s="288"/>
      <c r="J11" s="207"/>
      <c r="K11" s="76"/>
      <c r="L11" s="77"/>
      <c r="M11" s="76"/>
      <c r="N11" s="181"/>
    </row>
    <row r="12">
      <c r="A12" s="49">
        <v>40475.458333333336</v>
      </c>
      <c r="B12" s="54"/>
      <c r="C12" s="32"/>
      <c r="D12" s="77"/>
      <c r="E12" s="122"/>
      <c r="F12" s="185"/>
      <c r="G12" s="140"/>
      <c r="H12" s="48"/>
      <c r="I12" s="288"/>
      <c r="J12" s="207"/>
      <c r="K12" s="76"/>
      <c r="L12" s="77"/>
      <c r="M12" s="76"/>
      <c r="N12" s="181"/>
    </row>
    <row r="13">
      <c r="A13" s="55">
        <v>40475.479166666664</v>
      </c>
      <c r="B13" s="46"/>
      <c r="C13" s="32"/>
      <c r="D13" s="77"/>
      <c r="E13" s="124"/>
      <c r="F13" s="183"/>
      <c r="G13" s="140"/>
      <c r="H13" s="138"/>
      <c r="I13" s="288"/>
      <c r="J13" s="207"/>
      <c r="K13" s="48"/>
      <c r="L13" s="77"/>
      <c r="M13" s="76"/>
      <c r="N13" s="181"/>
    </row>
    <row r="14">
      <c r="A14" s="55">
        <v>40475.5</v>
      </c>
      <c r="B14" s="54"/>
      <c r="C14" s="32"/>
      <c r="D14" s="77"/>
      <c r="E14" s="124"/>
      <c r="F14" s="183"/>
      <c r="G14" s="323"/>
      <c r="H14" s="48"/>
      <c r="I14" s="288"/>
      <c r="J14" s="193"/>
      <c r="K14" s="48"/>
      <c r="L14" s="77"/>
      <c r="M14" s="76"/>
      <c r="N14" s="181"/>
    </row>
    <row r="15">
      <c r="A15" s="49">
        <v>40475.520833333336</v>
      </c>
      <c r="B15" s="46"/>
      <c r="C15" s="32"/>
      <c r="D15" s="77"/>
      <c r="E15" s="124"/>
      <c r="F15" s="183"/>
      <c r="G15" s="138"/>
      <c r="H15" s="138"/>
      <c r="I15" s="288"/>
      <c r="J15" s="193"/>
      <c r="K15" s="76"/>
      <c r="L15" s="187"/>
      <c r="M15" s="76"/>
      <c r="N15" s="191"/>
    </row>
    <row r="16">
      <c r="A16" s="49">
        <v>40475.541666666664</v>
      </c>
      <c r="B16" s="46"/>
      <c r="C16" s="137"/>
      <c r="D16" s="139"/>
      <c r="E16" s="122"/>
      <c r="F16" s="185"/>
      <c r="G16" s="138"/>
      <c r="H16" s="312"/>
      <c r="I16" s="140"/>
      <c r="J16" s="76"/>
      <c r="K16" s="76"/>
      <c r="L16" s="190"/>
      <c r="M16" s="76"/>
      <c r="N16" s="191"/>
    </row>
    <row r="17">
      <c r="A17" s="55">
        <v>40475.5625</v>
      </c>
      <c r="B17" s="54"/>
      <c r="C17" s="32"/>
      <c r="D17" s="77"/>
      <c r="E17" s="40"/>
      <c r="F17" s="40"/>
      <c r="G17" s="288"/>
      <c r="H17" s="312"/>
      <c r="I17" s="140"/>
      <c r="J17" s="76"/>
      <c r="K17" s="76"/>
      <c r="L17" s="190"/>
      <c r="M17" s="76"/>
      <c r="N17" s="191"/>
    </row>
    <row r="18">
      <c r="A18" s="55">
        <v>40475.583333333336</v>
      </c>
      <c r="B18" s="46"/>
      <c r="C18" s="137"/>
      <c r="D18" s="77"/>
      <c r="E18" s="185"/>
      <c r="F18" s="43"/>
      <c r="G18" s="288"/>
      <c r="H18" s="312"/>
      <c r="I18" s="140"/>
      <c r="J18" s="76"/>
      <c r="K18" s="76"/>
      <c r="L18" s="190"/>
      <c r="M18" s="76"/>
      <c r="N18" s="191"/>
    </row>
    <row r="19">
      <c r="A19" s="49">
        <v>40475.604166666664</v>
      </c>
      <c r="B19" s="46"/>
      <c r="C19" s="137"/>
      <c r="D19" s="77"/>
      <c r="E19" s="185"/>
      <c r="F19" s="40"/>
      <c r="G19" s="288"/>
      <c r="H19" s="138"/>
      <c r="I19" s="140"/>
      <c r="J19" s="76"/>
      <c r="K19" s="76"/>
      <c r="L19" s="190"/>
      <c r="M19" s="23"/>
      <c r="N19" s="191"/>
    </row>
    <row r="20">
      <c r="A20" s="49">
        <v>40475.625</v>
      </c>
      <c r="B20" s="46"/>
      <c r="C20" s="137"/>
      <c r="D20" s="77"/>
      <c r="E20" s="185"/>
      <c r="F20" s="40"/>
      <c r="G20" s="288"/>
      <c r="H20" s="312"/>
      <c r="I20" s="140"/>
      <c r="J20" s="76"/>
      <c r="K20" s="48"/>
      <c r="L20" s="190"/>
      <c r="M20" s="23"/>
      <c r="N20" s="191"/>
    </row>
    <row r="21">
      <c r="A21" s="55">
        <v>40475.645833333336</v>
      </c>
      <c r="B21" s="46"/>
      <c r="C21" s="137"/>
      <c r="D21" s="77"/>
      <c r="E21" s="185"/>
      <c r="F21" s="40"/>
      <c r="G21" s="288"/>
      <c r="H21" s="312"/>
      <c r="I21" s="140"/>
      <c r="J21" s="76"/>
      <c r="K21" s="48"/>
      <c r="L21" s="192"/>
      <c r="M21" s="23"/>
      <c r="N21" s="191"/>
    </row>
    <row r="22">
      <c r="A22" s="55">
        <v>40475.666666666664</v>
      </c>
      <c r="B22" s="46"/>
      <c r="C22" s="137"/>
      <c r="D22" s="77"/>
      <c r="E22" s="185"/>
      <c r="F22" s="50"/>
      <c r="G22" s="305"/>
      <c r="H22" s="138"/>
      <c r="I22" s="140"/>
      <c r="J22" s="76"/>
      <c r="K22" s="76"/>
      <c r="L22" s="192"/>
      <c r="M22" s="23"/>
      <c r="N22" s="191"/>
    </row>
    <row r="23">
      <c r="A23" s="49">
        <v>40475.6875</v>
      </c>
      <c r="B23" s="46"/>
      <c r="C23" s="137"/>
      <c r="D23" s="77"/>
      <c r="E23" s="185"/>
      <c r="F23" s="50"/>
      <c r="G23" s="305"/>
      <c r="H23" s="138"/>
      <c r="I23" s="140"/>
      <c r="J23" s="76"/>
      <c r="K23" s="76"/>
      <c r="L23" s="192"/>
      <c r="M23" s="23"/>
      <c r="N23" s="191"/>
    </row>
    <row r="24">
      <c r="A24" s="49">
        <v>40475.708333333336</v>
      </c>
      <c r="B24" s="46"/>
      <c r="C24" s="137"/>
      <c r="D24" s="77"/>
      <c r="E24" s="67"/>
      <c r="F24" s="50"/>
      <c r="G24" s="29"/>
      <c r="H24" s="138"/>
      <c r="I24" s="140"/>
      <c r="J24" s="76"/>
      <c r="K24" s="76"/>
      <c r="L24" s="192"/>
      <c r="M24" s="23"/>
      <c r="N24" s="191"/>
    </row>
    <row r="25">
      <c r="A25" s="55">
        <v>40475.729166666664</v>
      </c>
      <c r="B25" s="37"/>
      <c r="C25" s="137"/>
      <c r="D25" s="38"/>
      <c r="E25" s="184"/>
      <c r="F25" s="189"/>
      <c r="G25" s="24"/>
      <c r="H25" s="48"/>
      <c r="I25" s="29"/>
      <c r="J25" s="76"/>
      <c r="K25" s="76"/>
      <c r="L25" s="76"/>
      <c r="M25" s="23"/>
      <c r="N25" s="181"/>
    </row>
    <row r="26">
      <c r="A26" s="55">
        <v>40475.75</v>
      </c>
      <c r="B26" s="35"/>
      <c r="C26" s="41"/>
      <c r="D26" s="38"/>
      <c r="E26" s="35"/>
      <c r="F26" s="27"/>
      <c r="G26" s="27"/>
      <c r="H26" s="201"/>
      <c r="I26" s="48"/>
      <c r="J26" s="25"/>
      <c r="K26" s="76"/>
      <c r="L26" s="77"/>
      <c r="M26" s="23"/>
      <c r="N26" s="181"/>
    </row>
    <row r="27">
      <c r="A27" s="49">
        <v>40475.770833333336</v>
      </c>
      <c r="B27" s="184"/>
      <c r="C27" s="137"/>
      <c r="D27" s="38"/>
      <c r="E27" s="27"/>
      <c r="F27" s="27"/>
      <c r="G27" s="24"/>
      <c r="H27" s="25"/>
      <c r="I27" s="25"/>
      <c r="J27" s="25"/>
      <c r="K27" s="48"/>
      <c r="L27" s="77"/>
      <c r="M27" s="23"/>
      <c r="N27" s="181"/>
    </row>
    <row r="28">
      <c r="A28" s="49">
        <v>40475.791666666664</v>
      </c>
      <c r="B28" s="197"/>
      <c r="C28" s="137"/>
      <c r="D28" s="197"/>
      <c r="E28" s="180"/>
      <c r="F28" s="17"/>
      <c r="G28" s="200"/>
      <c r="H28" s="25"/>
      <c r="I28" s="24"/>
      <c r="J28" s="25"/>
      <c r="K28" s="48"/>
      <c r="L28" s="38"/>
      <c r="M28" s="23"/>
      <c r="N28" s="181"/>
    </row>
    <row r="29">
      <c r="A29" s="55">
        <v>40475.8125</v>
      </c>
      <c r="B29" s="54"/>
      <c r="C29" s="137"/>
      <c r="D29" s="54"/>
      <c r="E29" s="47"/>
      <c r="F29" s="24"/>
      <c r="G29" s="48"/>
      <c r="H29" s="25"/>
      <c r="I29" s="25"/>
      <c r="J29" s="25"/>
      <c r="K29" s="76"/>
      <c r="L29" s="77"/>
      <c r="M29" s="23"/>
      <c r="N29" s="180"/>
    </row>
    <row r="30">
      <c r="A30" s="55">
        <v>40475.833333333336</v>
      </c>
      <c r="B30" s="54"/>
      <c r="C30" s="197"/>
      <c r="D30" s="54"/>
      <c r="E30" s="47"/>
      <c r="F30" s="24"/>
      <c r="G30" s="47"/>
      <c r="H30" s="83"/>
      <c r="I30" s="25"/>
      <c r="J30" s="203"/>
      <c r="K30" s="76"/>
      <c r="L30" s="77"/>
      <c r="M30" s="23"/>
      <c r="N30" s="180"/>
    </row>
    <row r="31">
      <c r="A31" s="49">
        <v>40475.854166666664</v>
      </c>
      <c r="B31" s="54"/>
      <c r="C31" s="197"/>
      <c r="D31" s="54"/>
      <c r="E31" s="47"/>
      <c r="F31" s="24"/>
      <c r="G31" s="47"/>
      <c r="H31" s="83"/>
      <c r="I31" s="25"/>
      <c r="J31" s="203"/>
      <c r="K31" s="76"/>
      <c r="L31" s="77"/>
      <c r="M31" s="23"/>
      <c r="N31" s="201"/>
    </row>
    <row r="32">
      <c r="A32" s="49">
        <v>40475.875</v>
      </c>
      <c r="B32" s="54"/>
      <c r="C32" s="197"/>
      <c r="D32" s="54"/>
      <c r="E32" s="47"/>
      <c r="F32" s="24"/>
      <c r="G32" s="47"/>
      <c r="H32" s="83"/>
      <c r="I32" s="25"/>
      <c r="J32" s="203"/>
      <c r="K32" s="76"/>
      <c r="L32" s="77"/>
      <c r="M32" s="23"/>
      <c r="N32" s="181"/>
    </row>
    <row r="33">
      <c r="A33" s="55">
        <v>40475.895833333336</v>
      </c>
      <c r="B33" s="54"/>
      <c r="C33" s="197"/>
      <c r="D33" s="54"/>
      <c r="E33" s="47"/>
      <c r="F33" s="24"/>
      <c r="G33" s="47"/>
      <c r="H33" s="83"/>
      <c r="I33" s="25"/>
      <c r="J33" s="203"/>
      <c r="K33" s="76"/>
      <c r="L33" s="77"/>
      <c r="M33" s="82"/>
      <c r="N33" s="202"/>
    </row>
    <row r="34">
      <c r="A34" s="55">
        <v>40475.916666666664</v>
      </c>
      <c r="B34" s="54"/>
      <c r="C34" s="197"/>
      <c r="D34" s="54"/>
      <c r="E34" s="47"/>
      <c r="F34" s="24"/>
      <c r="G34" s="47"/>
      <c r="H34" s="83"/>
      <c r="I34" s="25"/>
      <c r="J34" s="203"/>
      <c r="K34" s="76"/>
      <c r="L34" s="77"/>
      <c r="M34" s="82"/>
      <c r="N34" s="202"/>
    </row>
    <row r="35">
      <c r="A35" s="49">
        <v>40475.9375</v>
      </c>
      <c r="B35" s="54"/>
      <c r="C35" s="197"/>
      <c r="D35" s="54"/>
      <c r="E35" s="47"/>
      <c r="F35" s="24"/>
      <c r="G35" s="47"/>
      <c r="H35" s="83"/>
      <c r="I35" s="25"/>
      <c r="J35" s="203"/>
      <c r="K35" s="76"/>
      <c r="L35" s="77"/>
      <c r="M35" s="82"/>
      <c r="N35" s="202"/>
    </row>
    <row r="36">
      <c r="A36" s="49">
        <v>40475.958333333336</v>
      </c>
      <c r="B36" s="197"/>
      <c r="C36" s="197"/>
      <c r="D36" s="197"/>
      <c r="E36" s="180"/>
      <c r="F36" s="17"/>
      <c r="G36" s="180"/>
      <c r="H36" s="203"/>
      <c r="I36" s="203"/>
      <c r="J36" s="203"/>
      <c r="K36" s="76"/>
      <c r="L36" s="77"/>
      <c r="M36" s="82"/>
      <c r="N36" s="202"/>
    </row>
    <row r="37">
      <c r="A37" s="55">
        <v>40475.979166666664</v>
      </c>
      <c r="B37" s="47"/>
      <c r="C37" s="180"/>
      <c r="D37" s="47"/>
      <c r="E37" s="47"/>
      <c r="F37" s="24"/>
      <c r="G37" s="48"/>
      <c r="H37" s="25"/>
      <c r="I37" s="25"/>
      <c r="J37" s="25"/>
      <c r="K37" s="76"/>
      <c r="L37" s="77"/>
      <c r="M37" s="181"/>
      <c r="N37" s="181"/>
    </row>
    <row r="38">
      <c r="A38" s="85" t="s">
        <v>12</v>
      </c>
      <c r="B38" s="79"/>
      <c r="C38" s="180"/>
      <c r="D38" s="79"/>
      <c r="E38" s="79"/>
      <c r="F38" s="17"/>
      <c r="G38" s="17"/>
      <c r="H38" s="25"/>
      <c r="I38" s="25"/>
      <c r="J38" s="25"/>
      <c r="K38" s="25"/>
      <c r="L38" s="77"/>
      <c r="M38" s="181"/>
      <c r="N38" s="181"/>
    </row>
    <row r="39">
      <c r="A39" s="322" t="s">
        <v>13</v>
      </c>
      <c r="B39" s="89">
        <f t="shared" ref="B39:N39" si="1">CONCATENATE(COUNTIF(B4:B38,"MAGAZZINI")+COUNTIF(B4:B38,"PRIMO")+COUNTIF(B4:B38,"RECEPTION")+COUNTIF(B4:B38,"SAGGI")+COUNTIF(B4:B38,"SECONDO")+COUNTIF(B4:B38,"SMART W")+COUNTIF(B4:B38,"STUDIO 1 e 2")+COUNTIF(B4:B38,"MANUTENZ.")+COUNTIF(B4:B38,"UFFICIO")+COUNTIF(B4:B38,"CAMPUS")+COUNTIF(B4:B38,"TEATRO")+COUNTIF(B4:B38,"AMM.ZIONE")+COUNTIF(B4:B38,"FORMAZ-1p")+COUNTIF(B4:B38,"FORMAZ-2p")+COUNTIF(B4:B38,"FORMAZ-rec")+COUNTIF(B4:B38,"WORKSHOP")+COUNTIF(B4:B38,"EVENTO EST."))/2</f>
        <v>0</v>
      </c>
      <c r="C39" s="89">
        <f t="shared" si="1"/>
        <v>0</v>
      </c>
      <c r="D39" s="89">
        <f t="shared" si="1"/>
        <v>0</v>
      </c>
      <c r="E39" s="89">
        <f t="shared" si="1"/>
        <v>0</v>
      </c>
      <c r="F39" s="89">
        <f t="shared" si="1"/>
        <v>0</v>
      </c>
      <c r="G39" s="89">
        <f t="shared" si="1"/>
        <v>0</v>
      </c>
      <c r="H39" s="89">
        <f t="shared" si="1"/>
        <v>0</v>
      </c>
      <c r="I39" s="89">
        <f t="shared" si="1"/>
        <v>0</v>
      </c>
      <c r="J39" s="89">
        <f t="shared" si="1"/>
        <v>0</v>
      </c>
      <c r="K39" s="89">
        <f t="shared" si="1"/>
        <v>0</v>
      </c>
      <c r="L39" s="89">
        <f t="shared" si="1"/>
        <v>0</v>
      </c>
      <c r="M39" s="89">
        <f t="shared" si="1"/>
        <v>0</v>
      </c>
      <c r="N39" s="89">
        <f t="shared" si="1"/>
        <v>0</v>
      </c>
    </row>
  </sheetData>
  <mergeCells count="4">
    <mergeCell ref="B1:C2"/>
    <mergeCell ref="D1:E2"/>
    <mergeCell ref="F1:F2"/>
    <mergeCell ref="G1:N2"/>
  </mergeCells>
  <conditionalFormatting sqref="B4:N38">
    <cfRule type="containsText" dxfId="1" priority="1" operator="containsText" text="MALATTIA">
      <formula>NOT(ISERROR(SEARCH(("MALATTIA"),(B4))))</formula>
    </cfRule>
  </conditionalFormatting>
  <conditionalFormatting sqref="B4:N38">
    <cfRule type="containsText" dxfId="2" priority="2" operator="containsText" text="FORMAZ">
      <formula>NOT(ISERROR(SEARCH(("FORMAZ"),(B4))))</formula>
    </cfRule>
  </conditionalFormatting>
  <conditionalFormatting sqref="B4:N38">
    <cfRule type="containsText" dxfId="3" priority="3" operator="containsText" text="AMM.ZIONE">
      <formula>NOT(ISERROR(SEARCH(("AMM.ZIONE"),(B4))))</formula>
    </cfRule>
  </conditionalFormatting>
  <conditionalFormatting sqref="B4:N38">
    <cfRule type="containsText" dxfId="4" priority="4" operator="containsText" text="PAUSA">
      <formula>NOT(ISERROR(SEARCH(("PAUSA"),(B4))))</formula>
    </cfRule>
  </conditionalFormatting>
  <conditionalFormatting sqref="B4:N38">
    <cfRule type="containsText" dxfId="0" priority="5" operator="containsText" text="PERMESSO">
      <formula>NOT(ISERROR(SEARCH(("PERMESSO"),(B4))))</formula>
    </cfRule>
  </conditionalFormatting>
  <conditionalFormatting sqref="B4:N38">
    <cfRule type="containsText" dxfId="6" priority="6" operator="containsText" text="UFFICIO">
      <formula>NOT(ISERROR(SEARCH(("UFFICIO"),(B4))))</formula>
    </cfRule>
  </conditionalFormatting>
  <conditionalFormatting sqref="B4:N38">
    <cfRule type="containsText" dxfId="7" priority="7" operator="containsText" text="RIPOSO">
      <formula>NOT(ISERROR(SEARCH(("RIPOSO"),(B4))))</formula>
    </cfRule>
  </conditionalFormatting>
  <dataValidations>
    <dataValidation type="list" allowBlank="1" showInputMessage="1" showErrorMessage="1" prompt="Fai clic e immetti un valore da intervallo elenchi!A1:A30" sqref="B4:N38">
      <formula1>elenchi!$A$1:$A$30</formula1>
    </dataValidation>
  </dataValidations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C78D8"/>
    <outlinePr summaryBelow="0" summaryRight="0"/>
  </sheetPr>
  <sheetViews>
    <sheetView workbookViewId="0">
      <pane xSplit="1.0" ySplit="3.0" topLeftCell="B4" activePane="bottomRight" state="frozen"/>
      <selection activeCell="B1" sqref="B1" pane="topRight"/>
      <selection activeCell="A4" sqref="A4" pane="bottomLeft"/>
      <selection activeCell="B4" sqref="B4" pane="bottomRight"/>
    </sheetView>
  </sheetViews>
  <sheetFormatPr customHeight="1" defaultColWidth="14.43" defaultRowHeight="15.0"/>
  <cols>
    <col customWidth="1" min="1" max="1" width="10.14"/>
    <col customWidth="1" min="2" max="14" width="18.71"/>
  </cols>
  <sheetData>
    <row r="1">
      <c r="A1" s="324"/>
      <c r="B1" s="2" t="s">
        <v>0</v>
      </c>
      <c r="C1" s="3"/>
      <c r="D1" s="325" t="str">
        <f>elenchi!C5</f>
        <v>  SETTIMANA - E</v>
      </c>
      <c r="E1" s="5"/>
      <c r="F1" s="326" t="s">
        <v>24</v>
      </c>
      <c r="G1" s="327" t="str">
        <f>elenchi!D5</f>
        <v>LUNEDI 13 A DOMENICA 19 APRILE 2026</v>
      </c>
      <c r="H1" s="5"/>
      <c r="I1" s="5"/>
      <c r="J1" s="5"/>
      <c r="K1" s="5"/>
      <c r="L1" s="5"/>
      <c r="M1" s="5"/>
      <c r="N1" s="3"/>
    </row>
    <row r="2">
      <c r="A2" s="324"/>
      <c r="B2" s="8"/>
      <c r="C2" s="9"/>
      <c r="D2" s="8"/>
      <c r="E2" s="10"/>
      <c r="F2" s="10"/>
      <c r="G2" s="10"/>
      <c r="H2" s="10"/>
      <c r="I2" s="10"/>
      <c r="J2" s="10"/>
      <c r="K2" s="10"/>
      <c r="L2" s="10"/>
      <c r="M2" s="10"/>
      <c r="N2" s="9"/>
    </row>
    <row r="3">
      <c r="A3" s="11" t="s">
        <v>2</v>
      </c>
      <c r="B3" s="11" t="str">
        <f>elenchi!B1</f>
        <v>ALEXANDRA</v>
      </c>
      <c r="C3" s="11" t="str">
        <f>elenchi!B2</f>
        <v>GIUDITTA</v>
      </c>
      <c r="D3" s="11" t="str">
        <f>elenchi!B3</f>
        <v>ESTEFANY</v>
      </c>
      <c r="E3" s="12" t="str">
        <f>elenchi!B4</f>
        <v>NURA</v>
      </c>
      <c r="F3" s="12" t="str">
        <f>elenchi!B5</f>
        <v/>
      </c>
      <c r="G3" s="12" t="str">
        <f>elenchi!B6</f>
        <v>JOEL</v>
      </c>
      <c r="H3" s="13" t="str">
        <f>elenchi!B7</f>
        <v>KEVIN</v>
      </c>
      <c r="I3" s="14" t="str">
        <f>elenchi!B8</f>
        <v>JASIR</v>
      </c>
      <c r="J3" s="15" t="str">
        <f>elenchi!B9</f>
        <v>DIEGO</v>
      </c>
      <c r="K3" s="15" t="str">
        <f>elenchi!B10</f>
        <v>SARA</v>
      </c>
      <c r="L3" s="12" t="str">
        <f>elenchi!B11</f>
        <v>SANTO</v>
      </c>
      <c r="M3" s="12" t="str">
        <f>elenchi!B12</f>
        <v>MASSI</v>
      </c>
      <c r="N3" s="12" t="str">
        <f>elenchi!B13</f>
        <v/>
      </c>
    </row>
    <row r="4">
      <c r="A4" s="16" t="s">
        <v>3</v>
      </c>
      <c r="B4" s="226"/>
      <c r="C4" s="18"/>
      <c r="D4" s="226"/>
      <c r="E4" s="20"/>
      <c r="F4" s="28"/>
      <c r="G4" s="226"/>
      <c r="H4" s="233"/>
      <c r="I4" s="225"/>
      <c r="J4" s="36"/>
      <c r="K4" s="26"/>
      <c r="L4" s="35"/>
      <c r="M4" s="17"/>
      <c r="N4" s="26"/>
    </row>
    <row r="5">
      <c r="A5" s="28" t="s">
        <v>4</v>
      </c>
      <c r="B5" s="226"/>
      <c r="C5" s="30"/>
      <c r="D5" s="226"/>
      <c r="E5" s="32"/>
      <c r="F5" s="28"/>
      <c r="G5" s="226"/>
      <c r="H5" s="233"/>
      <c r="I5" s="225"/>
      <c r="J5" s="36"/>
      <c r="K5" s="26"/>
      <c r="L5" s="35"/>
      <c r="M5" s="17"/>
      <c r="N5" s="26"/>
    </row>
    <row r="6">
      <c r="A6" s="28" t="s">
        <v>5</v>
      </c>
      <c r="B6" s="226"/>
      <c r="C6" s="30"/>
      <c r="D6" s="226"/>
      <c r="E6" s="32"/>
      <c r="F6" s="28"/>
      <c r="G6" s="226"/>
      <c r="H6" s="225"/>
      <c r="I6" s="258"/>
      <c r="J6" s="37"/>
      <c r="K6" s="38"/>
      <c r="L6" s="35"/>
      <c r="M6" s="17"/>
      <c r="N6" s="26"/>
    </row>
    <row r="7">
      <c r="A7" s="39">
        <v>40475.354166666664</v>
      </c>
      <c r="B7" s="30" t="s">
        <v>6</v>
      </c>
      <c r="C7" s="41"/>
      <c r="D7" s="251"/>
      <c r="E7" s="30"/>
      <c r="F7" s="184"/>
      <c r="G7" s="259"/>
      <c r="H7" s="260" t="s">
        <v>7</v>
      </c>
      <c r="I7" s="225"/>
      <c r="J7" s="37"/>
      <c r="K7" s="46" t="s">
        <v>8</v>
      </c>
      <c r="L7" s="76" t="s">
        <v>9</v>
      </c>
      <c r="M7" s="48"/>
      <c r="N7" s="35"/>
    </row>
    <row r="8">
      <c r="A8" s="49">
        <v>40475.375</v>
      </c>
      <c r="B8" s="32" t="s">
        <v>6</v>
      </c>
      <c r="C8" s="41"/>
      <c r="D8" s="246"/>
      <c r="E8" s="32"/>
      <c r="F8" s="38"/>
      <c r="G8" s="259"/>
      <c r="H8" s="260" t="s">
        <v>7</v>
      </c>
      <c r="I8" s="225"/>
      <c r="J8" s="37"/>
      <c r="K8" s="46" t="s">
        <v>8</v>
      </c>
      <c r="L8" s="76" t="s">
        <v>9</v>
      </c>
      <c r="M8" s="48"/>
      <c r="N8" s="26"/>
    </row>
    <row r="9">
      <c r="A9" s="55">
        <v>40475.395833333336</v>
      </c>
      <c r="B9" s="30" t="s">
        <v>6</v>
      </c>
      <c r="C9" s="41"/>
      <c r="D9" s="246"/>
      <c r="E9" s="30"/>
      <c r="F9" s="184"/>
      <c r="G9" s="259"/>
      <c r="H9" s="260" t="s">
        <v>7</v>
      </c>
      <c r="I9" s="225"/>
      <c r="J9" s="37"/>
      <c r="K9" s="46" t="s">
        <v>8</v>
      </c>
      <c r="L9" s="76" t="s">
        <v>9</v>
      </c>
      <c r="M9" s="48"/>
      <c r="N9" s="35"/>
    </row>
    <row r="10">
      <c r="A10" s="55">
        <v>40475.416666666664</v>
      </c>
      <c r="B10" s="32" t="s">
        <v>6</v>
      </c>
      <c r="C10" s="41"/>
      <c r="D10" s="190"/>
      <c r="E10" s="32"/>
      <c r="F10" s="197"/>
      <c r="G10" s="259"/>
      <c r="H10" s="260" t="s">
        <v>7</v>
      </c>
      <c r="I10" s="225"/>
      <c r="J10" s="37"/>
      <c r="K10" s="46" t="s">
        <v>8</v>
      </c>
      <c r="L10" s="76" t="s">
        <v>9</v>
      </c>
      <c r="M10" s="48" t="s">
        <v>8</v>
      </c>
      <c r="N10" s="26"/>
    </row>
    <row r="11">
      <c r="A11" s="49">
        <v>40475.4375</v>
      </c>
      <c r="B11" s="32" t="s">
        <v>6</v>
      </c>
      <c r="C11" s="41"/>
      <c r="D11" s="190"/>
      <c r="E11" s="32" t="s">
        <v>7</v>
      </c>
      <c r="F11" s="54"/>
      <c r="G11" s="260"/>
      <c r="H11" s="260" t="s">
        <v>7</v>
      </c>
      <c r="I11" s="225"/>
      <c r="J11" s="37"/>
      <c r="K11" s="46" t="s">
        <v>8</v>
      </c>
      <c r="L11" s="76" t="s">
        <v>9</v>
      </c>
      <c r="M11" s="48" t="s">
        <v>8</v>
      </c>
      <c r="N11" s="35"/>
    </row>
    <row r="12">
      <c r="A12" s="49">
        <v>40475.458333333336</v>
      </c>
      <c r="B12" s="30" t="s">
        <v>6</v>
      </c>
      <c r="C12" s="41"/>
      <c r="D12" s="190"/>
      <c r="E12" s="32" t="s">
        <v>7</v>
      </c>
      <c r="F12" s="46"/>
      <c r="G12" s="259"/>
      <c r="H12" s="260" t="s">
        <v>7</v>
      </c>
      <c r="I12" s="225"/>
      <c r="J12" s="37"/>
      <c r="K12" s="46" t="s">
        <v>8</v>
      </c>
      <c r="L12" s="76" t="s">
        <v>9</v>
      </c>
      <c r="M12" s="48" t="s">
        <v>8</v>
      </c>
      <c r="N12" s="35"/>
    </row>
    <row r="13">
      <c r="A13" s="55">
        <v>40475.479166666664</v>
      </c>
      <c r="B13" s="32" t="s">
        <v>6</v>
      </c>
      <c r="C13" s="30"/>
      <c r="D13" s="246"/>
      <c r="E13" s="32" t="s">
        <v>7</v>
      </c>
      <c r="F13" s="139"/>
      <c r="G13" s="259"/>
      <c r="H13" s="260" t="s">
        <v>7</v>
      </c>
      <c r="I13" s="225"/>
      <c r="J13" s="37"/>
      <c r="K13" s="46" t="s">
        <v>8</v>
      </c>
      <c r="L13" s="76" t="s">
        <v>9</v>
      </c>
      <c r="M13" s="48" t="s">
        <v>8</v>
      </c>
      <c r="N13" s="26"/>
    </row>
    <row r="14">
      <c r="A14" s="55">
        <v>40475.5</v>
      </c>
      <c r="B14" s="32" t="s">
        <v>6</v>
      </c>
      <c r="C14" s="30"/>
      <c r="D14" s="207"/>
      <c r="E14" s="32" t="s">
        <v>7</v>
      </c>
      <c r="F14" s="139"/>
      <c r="G14" s="32"/>
      <c r="H14" s="30" t="s">
        <v>7</v>
      </c>
      <c r="I14" s="225"/>
      <c r="J14" s="37"/>
      <c r="K14" s="46" t="s">
        <v>10</v>
      </c>
      <c r="L14" s="76" t="s">
        <v>9</v>
      </c>
      <c r="M14" s="48" t="s">
        <v>8</v>
      </c>
      <c r="N14" s="35"/>
    </row>
    <row r="15">
      <c r="A15" s="49">
        <v>40475.520833333336</v>
      </c>
      <c r="B15" s="32" t="s">
        <v>10</v>
      </c>
      <c r="C15" s="30"/>
      <c r="D15" s="228"/>
      <c r="E15" s="32" t="s">
        <v>7</v>
      </c>
      <c r="F15" s="139"/>
      <c r="G15" s="30"/>
      <c r="H15" s="30" t="s">
        <v>7</v>
      </c>
      <c r="I15" s="30"/>
      <c r="J15" s="37"/>
      <c r="K15" s="46" t="s">
        <v>8</v>
      </c>
      <c r="L15" s="76" t="s">
        <v>9</v>
      </c>
      <c r="M15" s="48" t="s">
        <v>8</v>
      </c>
      <c r="N15" s="35"/>
    </row>
    <row r="16">
      <c r="A16" s="49">
        <v>40475.541666666664</v>
      </c>
      <c r="B16" s="32" t="s">
        <v>7</v>
      </c>
      <c r="C16" s="30"/>
      <c r="D16" s="186"/>
      <c r="E16" s="32" t="s">
        <v>6</v>
      </c>
      <c r="F16" s="46"/>
      <c r="G16" s="32"/>
      <c r="H16" s="30" t="s">
        <v>7</v>
      </c>
      <c r="I16" s="30"/>
      <c r="J16" s="37"/>
      <c r="K16" s="46" t="s">
        <v>8</v>
      </c>
      <c r="L16" s="76" t="s">
        <v>10</v>
      </c>
      <c r="M16" s="48" t="s">
        <v>10</v>
      </c>
      <c r="N16" s="35"/>
    </row>
    <row r="17">
      <c r="A17" s="55">
        <v>40475.5625</v>
      </c>
      <c r="B17" s="32" t="s">
        <v>7</v>
      </c>
      <c r="C17" s="30"/>
      <c r="D17" s="196"/>
      <c r="E17" s="38" t="s">
        <v>6</v>
      </c>
      <c r="F17" s="46"/>
      <c r="G17" s="30"/>
      <c r="H17" s="30" t="s">
        <v>10</v>
      </c>
      <c r="I17" s="37"/>
      <c r="J17" s="37"/>
      <c r="K17" s="46" t="s">
        <v>8</v>
      </c>
      <c r="L17" s="76" t="s">
        <v>9</v>
      </c>
      <c r="M17" s="48" t="s">
        <v>8</v>
      </c>
      <c r="N17" s="26"/>
    </row>
    <row r="18">
      <c r="A18" s="55">
        <v>40475.583333333336</v>
      </c>
      <c r="B18" s="32" t="s">
        <v>7</v>
      </c>
      <c r="C18" s="30"/>
      <c r="D18" s="189"/>
      <c r="E18" s="77" t="s">
        <v>6</v>
      </c>
      <c r="F18" s="46"/>
      <c r="G18" s="32"/>
      <c r="H18" s="30" t="s">
        <v>7</v>
      </c>
      <c r="I18" s="37"/>
      <c r="J18" s="37"/>
      <c r="K18" s="46" t="s">
        <v>8</v>
      </c>
      <c r="L18" s="76" t="s">
        <v>9</v>
      </c>
      <c r="M18" s="48" t="s">
        <v>8</v>
      </c>
      <c r="N18" s="26"/>
    </row>
    <row r="19">
      <c r="A19" s="49">
        <v>40475.604166666664</v>
      </c>
      <c r="B19" s="38" t="s">
        <v>7</v>
      </c>
      <c r="C19" s="32" t="s">
        <v>7</v>
      </c>
      <c r="D19" s="184" t="s">
        <v>11</v>
      </c>
      <c r="E19" s="139" t="s">
        <v>10</v>
      </c>
      <c r="F19" s="37" t="s">
        <v>11</v>
      </c>
      <c r="G19" s="32" t="s">
        <v>6</v>
      </c>
      <c r="H19" s="30" t="s">
        <v>7</v>
      </c>
      <c r="I19" s="37" t="s">
        <v>11</v>
      </c>
      <c r="J19" s="37"/>
      <c r="K19" s="46" t="s">
        <v>8</v>
      </c>
      <c r="L19" s="46" t="s">
        <v>9</v>
      </c>
      <c r="M19" s="48" t="s">
        <v>8</v>
      </c>
      <c r="N19" s="35" t="s">
        <v>11</v>
      </c>
    </row>
    <row r="20">
      <c r="A20" s="49">
        <v>40475.625</v>
      </c>
      <c r="B20" s="38" t="s">
        <v>7</v>
      </c>
      <c r="C20" s="30" t="s">
        <v>7</v>
      </c>
      <c r="D20" s="184" t="s">
        <v>11</v>
      </c>
      <c r="E20" s="139" t="s">
        <v>11</v>
      </c>
      <c r="F20" s="37" t="s">
        <v>11</v>
      </c>
      <c r="G20" s="37" t="s">
        <v>6</v>
      </c>
      <c r="H20" s="30" t="s">
        <v>7</v>
      </c>
      <c r="I20" s="37" t="s">
        <v>11</v>
      </c>
      <c r="J20" s="37"/>
      <c r="K20" s="46" t="s">
        <v>8</v>
      </c>
      <c r="L20" s="46" t="s">
        <v>9</v>
      </c>
      <c r="M20" s="48" t="s">
        <v>8</v>
      </c>
      <c r="N20" s="35" t="s">
        <v>11</v>
      </c>
    </row>
    <row r="21">
      <c r="A21" s="55">
        <v>40475.645833333336</v>
      </c>
      <c r="B21" s="184" t="s">
        <v>7</v>
      </c>
      <c r="C21" s="32" t="s">
        <v>7</v>
      </c>
      <c r="D21" s="184" t="s">
        <v>11</v>
      </c>
      <c r="E21" s="77" t="s">
        <v>11</v>
      </c>
      <c r="F21" s="37" t="s">
        <v>11</v>
      </c>
      <c r="G21" s="77" t="s">
        <v>6</v>
      </c>
      <c r="H21" s="30" t="s">
        <v>7</v>
      </c>
      <c r="I21" s="37" t="s">
        <v>11</v>
      </c>
      <c r="J21" s="37"/>
      <c r="K21" s="46" t="s">
        <v>8</v>
      </c>
      <c r="L21" s="46" t="s">
        <v>9</v>
      </c>
      <c r="M21" s="48" t="s">
        <v>8</v>
      </c>
      <c r="N21" s="35" t="s">
        <v>11</v>
      </c>
    </row>
    <row r="22">
      <c r="A22" s="55">
        <v>40475.666666666664</v>
      </c>
      <c r="B22" s="77" t="s">
        <v>7</v>
      </c>
      <c r="C22" s="32" t="s">
        <v>7</v>
      </c>
      <c r="D22" s="184" t="s">
        <v>11</v>
      </c>
      <c r="E22" s="77" t="s">
        <v>11</v>
      </c>
      <c r="F22" s="37" t="s">
        <v>11</v>
      </c>
      <c r="G22" s="77" t="s">
        <v>6</v>
      </c>
      <c r="H22" s="30" t="s">
        <v>7</v>
      </c>
      <c r="I22" s="37" t="s">
        <v>11</v>
      </c>
      <c r="J22" s="37"/>
      <c r="K22" s="46" t="s">
        <v>8</v>
      </c>
      <c r="L22" s="46" t="s">
        <v>9</v>
      </c>
      <c r="M22" s="48" t="s">
        <v>8</v>
      </c>
      <c r="N22" s="35" t="s">
        <v>11</v>
      </c>
    </row>
    <row r="23">
      <c r="A23" s="49">
        <v>40475.6875</v>
      </c>
      <c r="B23" s="37" t="s">
        <v>7</v>
      </c>
      <c r="C23" s="32" t="s">
        <v>7</v>
      </c>
      <c r="D23" s="184" t="s">
        <v>11</v>
      </c>
      <c r="E23" s="77" t="s">
        <v>11</v>
      </c>
      <c r="F23" s="37" t="s">
        <v>11</v>
      </c>
      <c r="G23" s="77" t="s">
        <v>6</v>
      </c>
      <c r="H23" s="30" t="s">
        <v>7</v>
      </c>
      <c r="I23" s="30" t="s">
        <v>11</v>
      </c>
      <c r="J23" s="37"/>
      <c r="K23" s="46" t="s">
        <v>8</v>
      </c>
      <c r="L23" s="46" t="s">
        <v>9</v>
      </c>
      <c r="M23" s="48" t="s">
        <v>8</v>
      </c>
      <c r="N23" s="35" t="s">
        <v>11</v>
      </c>
    </row>
    <row r="24">
      <c r="A24" s="49">
        <v>40475.708333333336</v>
      </c>
      <c r="B24" s="77"/>
      <c r="C24" s="32" t="s">
        <v>7</v>
      </c>
      <c r="D24" s="184" t="s">
        <v>11</v>
      </c>
      <c r="E24" s="77" t="s">
        <v>11</v>
      </c>
      <c r="F24" s="30" t="s">
        <v>11</v>
      </c>
      <c r="G24" s="77" t="s">
        <v>6</v>
      </c>
      <c r="H24" s="30"/>
      <c r="I24" s="30" t="s">
        <v>11</v>
      </c>
      <c r="J24" s="37"/>
      <c r="K24" s="46"/>
      <c r="L24" s="46"/>
      <c r="M24" s="48" t="s">
        <v>8</v>
      </c>
      <c r="N24" s="35" t="s">
        <v>11</v>
      </c>
    </row>
    <row r="25">
      <c r="A25" s="55">
        <v>40475.729166666664</v>
      </c>
      <c r="B25" s="77"/>
      <c r="C25" s="32" t="s">
        <v>7</v>
      </c>
      <c r="D25" s="184" t="s">
        <v>11</v>
      </c>
      <c r="E25" s="37" t="s">
        <v>11</v>
      </c>
      <c r="F25" s="30" t="s">
        <v>11</v>
      </c>
      <c r="G25" s="77" t="s">
        <v>6</v>
      </c>
      <c r="H25" s="30"/>
      <c r="I25" s="30" t="s">
        <v>11</v>
      </c>
      <c r="J25" s="37"/>
      <c r="K25" s="46"/>
      <c r="L25" s="46"/>
      <c r="M25" s="48" t="s">
        <v>8</v>
      </c>
      <c r="N25" s="35" t="s">
        <v>11</v>
      </c>
    </row>
    <row r="26">
      <c r="A26" s="55">
        <v>40475.75</v>
      </c>
      <c r="B26" s="77"/>
      <c r="C26" s="32" t="s">
        <v>7</v>
      </c>
      <c r="D26" s="37" t="s">
        <v>10</v>
      </c>
      <c r="E26" s="37" t="s">
        <v>11</v>
      </c>
      <c r="F26" s="225" t="s">
        <v>10</v>
      </c>
      <c r="G26" s="77" t="s">
        <v>6</v>
      </c>
      <c r="H26" s="30"/>
      <c r="I26" s="30" t="s">
        <v>11</v>
      </c>
      <c r="J26" s="37"/>
      <c r="K26" s="46"/>
      <c r="L26" s="46"/>
      <c r="M26" s="48" t="s">
        <v>8</v>
      </c>
      <c r="N26" s="35" t="s">
        <v>11</v>
      </c>
    </row>
    <row r="27">
      <c r="A27" s="49">
        <v>40475.770833333336</v>
      </c>
      <c r="B27" s="77"/>
      <c r="C27" s="30" t="s">
        <v>7</v>
      </c>
      <c r="D27" s="189" t="s">
        <v>6</v>
      </c>
      <c r="E27" s="37" t="s">
        <v>11</v>
      </c>
      <c r="F27" s="225" t="s">
        <v>6</v>
      </c>
      <c r="G27" s="37" t="s">
        <v>10</v>
      </c>
      <c r="H27" s="189"/>
      <c r="I27" s="37" t="s">
        <v>10</v>
      </c>
      <c r="J27" s="37"/>
      <c r="K27" s="46"/>
      <c r="L27" s="48"/>
      <c r="M27" s="48"/>
      <c r="N27" s="35" t="s">
        <v>10</v>
      </c>
    </row>
    <row r="28">
      <c r="A28" s="49">
        <v>40475.791666666664</v>
      </c>
      <c r="B28" s="77"/>
      <c r="C28" s="30" t="s">
        <v>10</v>
      </c>
      <c r="D28" s="263" t="s">
        <v>6</v>
      </c>
      <c r="E28" s="46"/>
      <c r="F28" s="225" t="s">
        <v>6</v>
      </c>
      <c r="G28" s="37" t="s">
        <v>7</v>
      </c>
      <c r="H28" s="30"/>
      <c r="I28" s="77" t="s">
        <v>7</v>
      </c>
      <c r="J28" s="37"/>
      <c r="K28" s="46"/>
      <c r="L28" s="46"/>
      <c r="M28" s="48"/>
      <c r="N28" s="26" t="s">
        <v>7</v>
      </c>
    </row>
    <row r="29">
      <c r="A29" s="55">
        <v>40475.8125</v>
      </c>
      <c r="B29" s="30"/>
      <c r="C29" s="30" t="s">
        <v>11</v>
      </c>
      <c r="D29" s="264" t="s">
        <v>6</v>
      </c>
      <c r="E29" s="197"/>
      <c r="F29" s="226" t="s">
        <v>6</v>
      </c>
      <c r="G29" s="30" t="s">
        <v>7</v>
      </c>
      <c r="H29" s="37"/>
      <c r="I29" s="37" t="s">
        <v>7</v>
      </c>
      <c r="J29" s="37"/>
      <c r="K29" s="46"/>
      <c r="L29" s="46"/>
      <c r="M29" s="48"/>
      <c r="N29" s="35" t="s">
        <v>7</v>
      </c>
    </row>
    <row r="30">
      <c r="A30" s="55">
        <v>40475.833333333336</v>
      </c>
      <c r="B30" s="37"/>
      <c r="C30" s="30" t="s">
        <v>11</v>
      </c>
      <c r="D30" s="264" t="s">
        <v>6</v>
      </c>
      <c r="E30" s="197"/>
      <c r="F30" s="226" t="s">
        <v>6</v>
      </c>
      <c r="G30" s="30" t="s">
        <v>7</v>
      </c>
      <c r="H30" s="37"/>
      <c r="I30" s="77" t="s">
        <v>7</v>
      </c>
      <c r="J30" s="37"/>
      <c r="K30" s="46"/>
      <c r="L30" s="46"/>
      <c r="M30" s="48"/>
      <c r="N30" s="79" t="s">
        <v>7</v>
      </c>
    </row>
    <row r="31">
      <c r="A31" s="49">
        <v>40475.854166666664</v>
      </c>
      <c r="B31" s="37"/>
      <c r="C31" s="30" t="s">
        <v>11</v>
      </c>
      <c r="D31" s="264" t="s">
        <v>6</v>
      </c>
      <c r="E31" s="197"/>
      <c r="F31" s="226" t="s">
        <v>6</v>
      </c>
      <c r="G31" s="30" t="s">
        <v>7</v>
      </c>
      <c r="H31" s="37"/>
      <c r="I31" s="37" t="s">
        <v>7</v>
      </c>
      <c r="J31" s="37"/>
      <c r="K31" s="46"/>
      <c r="L31" s="46"/>
      <c r="M31" s="48"/>
      <c r="N31" s="27" t="s">
        <v>7</v>
      </c>
    </row>
    <row r="32">
      <c r="A32" s="49">
        <v>40475.875</v>
      </c>
      <c r="B32" s="37"/>
      <c r="C32" s="30" t="s">
        <v>11</v>
      </c>
      <c r="D32" s="264" t="s">
        <v>6</v>
      </c>
      <c r="E32" s="197"/>
      <c r="F32" s="226" t="s">
        <v>6</v>
      </c>
      <c r="G32" s="30" t="s">
        <v>7</v>
      </c>
      <c r="H32" s="37"/>
      <c r="I32" s="77" t="s">
        <v>7</v>
      </c>
      <c r="J32" s="37"/>
      <c r="K32" s="46"/>
      <c r="L32" s="46"/>
      <c r="M32" s="48"/>
      <c r="N32" s="26" t="s">
        <v>7</v>
      </c>
    </row>
    <row r="33">
      <c r="A33" s="55">
        <v>40475.895833333336</v>
      </c>
      <c r="B33" s="37"/>
      <c r="C33" s="30" t="s">
        <v>11</v>
      </c>
      <c r="D33" s="264" t="s">
        <v>6</v>
      </c>
      <c r="E33" s="197"/>
      <c r="F33" s="226" t="s">
        <v>6</v>
      </c>
      <c r="G33" s="30" t="s">
        <v>7</v>
      </c>
      <c r="H33" s="37"/>
      <c r="I33" s="37" t="s">
        <v>7</v>
      </c>
      <c r="J33" s="37"/>
      <c r="K33" s="46"/>
      <c r="L33" s="46"/>
      <c r="M33" s="48"/>
      <c r="N33" s="35" t="s">
        <v>7</v>
      </c>
    </row>
    <row r="34">
      <c r="A34" s="55">
        <v>40475.916666666664</v>
      </c>
      <c r="B34" s="37"/>
      <c r="C34" s="30" t="s">
        <v>11</v>
      </c>
      <c r="D34" s="264" t="s">
        <v>6</v>
      </c>
      <c r="E34" s="139"/>
      <c r="F34" s="226" t="s">
        <v>6</v>
      </c>
      <c r="G34" s="30" t="s">
        <v>7</v>
      </c>
      <c r="H34" s="37"/>
      <c r="I34" s="77" t="s">
        <v>7</v>
      </c>
      <c r="J34" s="37"/>
      <c r="K34" s="37"/>
      <c r="L34" s="24"/>
      <c r="M34" s="24"/>
      <c r="N34" s="26" t="s">
        <v>7</v>
      </c>
    </row>
    <row r="35">
      <c r="A35" s="49">
        <v>40475.9375</v>
      </c>
      <c r="B35" s="37"/>
      <c r="C35" s="30" t="s">
        <v>11</v>
      </c>
      <c r="D35" s="264" t="s">
        <v>6</v>
      </c>
      <c r="E35" s="139"/>
      <c r="F35" s="77" t="s">
        <v>6</v>
      </c>
      <c r="G35" s="30" t="s">
        <v>7</v>
      </c>
      <c r="H35" s="37"/>
      <c r="I35" s="77" t="s">
        <v>7</v>
      </c>
      <c r="J35" s="37"/>
      <c r="K35" s="37"/>
      <c r="L35" s="24"/>
      <c r="M35" s="24"/>
      <c r="N35" s="26" t="s">
        <v>7</v>
      </c>
    </row>
    <row r="36">
      <c r="A36" s="49">
        <v>40475.958333333336</v>
      </c>
      <c r="B36" s="266"/>
      <c r="C36" s="30"/>
      <c r="D36" s="233"/>
      <c r="E36" s="77"/>
      <c r="F36" s="228"/>
      <c r="G36" s="226"/>
      <c r="H36" s="267"/>
      <c r="I36" s="225"/>
      <c r="J36" s="83"/>
      <c r="K36" s="37"/>
      <c r="L36" s="27"/>
      <c r="M36" s="24"/>
      <c r="N36" s="26"/>
    </row>
    <row r="37">
      <c r="A37" s="55">
        <v>40475.979166666664</v>
      </c>
      <c r="B37" s="226"/>
      <c r="C37" s="30"/>
      <c r="D37" s="226"/>
      <c r="E37" s="32"/>
      <c r="F37" s="228"/>
      <c r="G37" s="225"/>
      <c r="H37" s="233"/>
      <c r="I37" s="233"/>
      <c r="J37" s="25"/>
      <c r="K37" s="25"/>
      <c r="L37" s="48"/>
      <c r="M37" s="25"/>
      <c r="N37" s="26"/>
    </row>
    <row r="38">
      <c r="A38" s="85" t="s">
        <v>12</v>
      </c>
      <c r="B38" s="253"/>
      <c r="C38" s="30"/>
      <c r="D38" s="267"/>
      <c r="E38" s="88"/>
      <c r="F38" s="28"/>
      <c r="G38" s="226"/>
      <c r="H38" s="233"/>
      <c r="I38" s="233"/>
      <c r="J38" s="25"/>
      <c r="K38" s="83"/>
      <c r="L38" s="24"/>
      <c r="M38" s="83"/>
      <c r="N38" s="23"/>
    </row>
    <row r="39">
      <c r="A39" s="89" t="s">
        <v>13</v>
      </c>
      <c r="B39" s="89">
        <f t="shared" ref="B39:N39" si="1">CONCATENATE(COUNTIF(B4:B38,"MAGAZZINI")+COUNTIF(B4:B38,"PRIMO")+COUNTIF(B4:B38,"RECEPTION")+COUNTIF(B4:B38,"SAGGI")+COUNTIF(B4:B38,"SECONDO")+COUNTIF(B4:B38,"SMART W")+COUNTIF(B4:B38,"STUDIO 1 e 2")+COUNTIF(B4:B38,"MANUTENZ.")+COUNTIF(B4:B38,"UFFICIO")+COUNTIF(B4:B38,"CAMPUS")+COUNTIF(B4:B38,"TEATRO")+COUNTIF(B4:B38,"AMM.ZIONE")+COUNTIF(B4:B38,"FORMAZ-1p")+COUNTIF(B4:B38,"FORMAZ-2p")+COUNTIF(B4:B38,"FORMAZ-rec")+COUNTIF(B4:B38,"WORKSHOP")+COUNTIF(B4:B38,"EVENTO EST."))/2</f>
        <v>8</v>
      </c>
      <c r="C39" s="89">
        <f t="shared" si="1"/>
        <v>8</v>
      </c>
      <c r="D39" s="89">
        <f t="shared" si="1"/>
        <v>8</v>
      </c>
      <c r="E39" s="89">
        <f t="shared" si="1"/>
        <v>8</v>
      </c>
      <c r="F39" s="89">
        <f t="shared" si="1"/>
        <v>8</v>
      </c>
      <c r="G39" s="89">
        <f t="shared" si="1"/>
        <v>8</v>
      </c>
      <c r="H39" s="89">
        <f t="shared" si="1"/>
        <v>8</v>
      </c>
      <c r="I39" s="89">
        <f t="shared" si="1"/>
        <v>8</v>
      </c>
      <c r="J39" s="89">
        <f t="shared" si="1"/>
        <v>0</v>
      </c>
      <c r="K39" s="89">
        <f t="shared" si="1"/>
        <v>8</v>
      </c>
      <c r="L39" s="89">
        <f t="shared" si="1"/>
        <v>8</v>
      </c>
      <c r="M39" s="89">
        <f t="shared" si="1"/>
        <v>8</v>
      </c>
      <c r="N39" s="89">
        <f t="shared" si="1"/>
        <v>8</v>
      </c>
    </row>
  </sheetData>
  <mergeCells count="4">
    <mergeCell ref="B1:C2"/>
    <mergeCell ref="D1:E2"/>
    <mergeCell ref="F1:F2"/>
    <mergeCell ref="G1:N2"/>
  </mergeCells>
  <conditionalFormatting sqref="B4:N38">
    <cfRule type="containsText" dxfId="5" priority="1" operator="containsText" text="PERMESSO">
      <formula>NOT(ISERROR(SEARCH(("PERMESSO"),(B4))))</formula>
    </cfRule>
  </conditionalFormatting>
  <conditionalFormatting sqref="B4:N38">
    <cfRule type="containsText" dxfId="1" priority="2" operator="containsText" text="MALATTIA">
      <formula>NOT(ISERROR(SEARCH(("MALATTIA"),(B4))))</formula>
    </cfRule>
  </conditionalFormatting>
  <conditionalFormatting sqref="B4:N38">
    <cfRule type="containsText" dxfId="2" priority="3" operator="containsText" text="FORMAZ">
      <formula>NOT(ISERROR(SEARCH(("FORMAZ"),(B4))))</formula>
    </cfRule>
  </conditionalFormatting>
  <conditionalFormatting sqref="B4:N38">
    <cfRule type="containsText" dxfId="3" priority="4" operator="containsText" text="AMM.ZIONE">
      <formula>NOT(ISERROR(SEARCH(("AMM.ZIONE"),(B4))))</formula>
    </cfRule>
  </conditionalFormatting>
  <conditionalFormatting sqref="B4:N38">
    <cfRule type="containsText" dxfId="4" priority="5" operator="containsText" text="PAUSA">
      <formula>NOT(ISERROR(SEARCH(("PAUSA"),(B4))))</formula>
    </cfRule>
  </conditionalFormatting>
  <conditionalFormatting sqref="B4:N38">
    <cfRule type="containsText" dxfId="0" priority="6" operator="containsText" text="PERMESSO">
      <formula>NOT(ISERROR(SEARCH(("PERMESSO"),(B4))))</formula>
    </cfRule>
  </conditionalFormatting>
  <conditionalFormatting sqref="B4:N38">
    <cfRule type="containsText" dxfId="6" priority="7" operator="containsText" text="UFFICIO">
      <formula>NOT(ISERROR(SEARCH(("UFFICIO"),(B4))))</formula>
    </cfRule>
  </conditionalFormatting>
  <conditionalFormatting sqref="B4:N38">
    <cfRule type="containsText" dxfId="7" priority="8" operator="containsText" text="RIPOSO">
      <formula>NOT(ISERROR(SEARCH(("RIPOSO"),(B4))))</formula>
    </cfRule>
  </conditionalFormatting>
  <dataValidations>
    <dataValidation type="list" allowBlank="1" showInputMessage="1" showErrorMessage="1" prompt="Fai clic e immetti un valore da intervallo elenchi!A1:A30" sqref="B4:N38">
      <formula1>elenchi!$A$1:$A$30</formula1>
    </dataValidation>
  </dataValidations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C78D8"/>
    <outlinePr summaryBelow="0" summaryRight="0"/>
  </sheetPr>
  <sheetViews>
    <sheetView workbookViewId="0">
      <pane xSplit="1.0" ySplit="3.0" topLeftCell="B4" activePane="bottomRight" state="frozen"/>
      <selection activeCell="B1" sqref="B1" pane="topRight"/>
      <selection activeCell="A4" sqref="A4" pane="bottomLeft"/>
      <selection activeCell="B4" sqref="B4" pane="bottomRight"/>
    </sheetView>
  </sheetViews>
  <sheetFormatPr customHeight="1" defaultColWidth="14.43" defaultRowHeight="15.0"/>
  <cols>
    <col customWidth="1" min="1" max="1" width="10.14"/>
    <col customWidth="1" min="2" max="14" width="18.71"/>
  </cols>
  <sheetData>
    <row r="1">
      <c r="A1" s="324"/>
      <c r="B1" s="2" t="s">
        <v>14</v>
      </c>
      <c r="C1" s="3"/>
      <c r="D1" s="325" t="str">
        <f>elenchi!C5</f>
        <v>  SETTIMANA - E</v>
      </c>
      <c r="E1" s="5"/>
      <c r="F1" s="326" t="s">
        <v>24</v>
      </c>
      <c r="G1" s="327" t="str">
        <f>elenchi!D5</f>
        <v>LUNEDI 13 A DOMENICA 19 APRILE 2026</v>
      </c>
      <c r="H1" s="5"/>
      <c r="I1" s="5"/>
      <c r="J1" s="5"/>
      <c r="K1" s="5"/>
      <c r="L1" s="5"/>
      <c r="M1" s="5"/>
      <c r="N1" s="3"/>
    </row>
    <row r="2">
      <c r="A2" s="324"/>
      <c r="B2" s="8"/>
      <c r="C2" s="9"/>
      <c r="D2" s="8"/>
      <c r="E2" s="10"/>
      <c r="F2" s="10"/>
      <c r="G2" s="10"/>
      <c r="H2" s="10"/>
      <c r="I2" s="10"/>
      <c r="J2" s="10"/>
      <c r="K2" s="10"/>
      <c r="L2" s="10"/>
      <c r="M2" s="10"/>
      <c r="N2" s="9"/>
    </row>
    <row r="3">
      <c r="A3" s="11" t="s">
        <v>2</v>
      </c>
      <c r="B3" s="11" t="str">
        <f>elenchi!B1</f>
        <v>ALEXANDRA</v>
      </c>
      <c r="C3" s="11" t="str">
        <f>elenchi!B2</f>
        <v>GIUDITTA</v>
      </c>
      <c r="D3" s="11" t="str">
        <f>elenchi!B3</f>
        <v>ESTEFANY</v>
      </c>
      <c r="E3" s="12" t="str">
        <f>elenchi!B4</f>
        <v>NURA</v>
      </c>
      <c r="F3" s="12" t="str">
        <f>elenchi!B5</f>
        <v/>
      </c>
      <c r="G3" s="12" t="str">
        <f>elenchi!B6</f>
        <v>JOEL</v>
      </c>
      <c r="H3" s="13" t="str">
        <f>elenchi!B7</f>
        <v>KEVIN</v>
      </c>
      <c r="I3" s="14" t="str">
        <f>elenchi!B8</f>
        <v>JASIR</v>
      </c>
      <c r="J3" s="15" t="str">
        <f>elenchi!B9</f>
        <v>DIEGO</v>
      </c>
      <c r="K3" s="15" t="str">
        <f>elenchi!B10</f>
        <v>SARA</v>
      </c>
      <c r="L3" s="12" t="str">
        <f>elenchi!B11</f>
        <v>SANTO</v>
      </c>
      <c r="M3" s="12" t="str">
        <f>elenchi!B12</f>
        <v>MASSI</v>
      </c>
      <c r="N3" s="12" t="str">
        <f>elenchi!B13</f>
        <v/>
      </c>
    </row>
    <row r="4">
      <c r="A4" s="16" t="s">
        <v>3</v>
      </c>
      <c r="B4" s="226"/>
      <c r="C4" s="20"/>
      <c r="D4" s="226"/>
      <c r="E4" s="223"/>
      <c r="F4" s="21"/>
      <c r="G4" s="232"/>
      <c r="H4" s="268"/>
      <c r="I4" s="225"/>
      <c r="J4" s="25"/>
      <c r="K4" s="199"/>
      <c r="L4" s="198"/>
      <c r="M4" s="17"/>
      <c r="N4" s="199"/>
    </row>
    <row r="5">
      <c r="A5" s="28" t="s">
        <v>4</v>
      </c>
      <c r="B5" s="226"/>
      <c r="C5" s="32"/>
      <c r="D5" s="226"/>
      <c r="E5" s="223"/>
      <c r="F5" s="33"/>
      <c r="G5" s="232"/>
      <c r="H5" s="268"/>
      <c r="I5" s="225"/>
      <c r="J5" s="25"/>
      <c r="K5" s="269"/>
      <c r="L5" s="198"/>
      <c r="M5" s="17"/>
      <c r="N5" s="199"/>
    </row>
    <row r="6">
      <c r="A6" s="28" t="s">
        <v>5</v>
      </c>
      <c r="B6" s="226"/>
      <c r="C6" s="32"/>
      <c r="D6" s="226"/>
      <c r="E6" s="223"/>
      <c r="F6" s="33"/>
      <c r="G6" s="232"/>
      <c r="H6" s="198"/>
      <c r="I6" s="258"/>
      <c r="J6" s="37"/>
      <c r="K6" s="38"/>
      <c r="L6" s="198"/>
      <c r="M6" s="17"/>
      <c r="N6" s="199"/>
    </row>
    <row r="7">
      <c r="A7" s="39">
        <v>40475.354166666664</v>
      </c>
      <c r="B7" s="30"/>
      <c r="C7" s="30"/>
      <c r="D7" s="190" t="s">
        <v>6</v>
      </c>
      <c r="E7" s="328"/>
      <c r="F7" s="260"/>
      <c r="G7" s="271"/>
      <c r="H7" s="184" t="s">
        <v>11</v>
      </c>
      <c r="I7" s="225"/>
      <c r="J7" s="37"/>
      <c r="K7" s="46" t="s">
        <v>8</v>
      </c>
      <c r="L7" s="46" t="s">
        <v>9</v>
      </c>
      <c r="M7" s="48"/>
      <c r="N7" s="35"/>
    </row>
    <row r="8">
      <c r="A8" s="49">
        <v>40475.375</v>
      </c>
      <c r="B8" s="32"/>
      <c r="C8" s="32"/>
      <c r="D8" s="246" t="s">
        <v>6</v>
      </c>
      <c r="E8" s="328"/>
      <c r="F8" s="259"/>
      <c r="G8" s="172"/>
      <c r="H8" s="37" t="s">
        <v>11</v>
      </c>
      <c r="I8" s="225"/>
      <c r="J8" s="37"/>
      <c r="K8" s="46" t="s">
        <v>8</v>
      </c>
      <c r="L8" s="46" t="s">
        <v>9</v>
      </c>
      <c r="M8" s="48"/>
      <c r="N8" s="26"/>
    </row>
    <row r="9">
      <c r="A9" s="55">
        <v>40475.395833333336</v>
      </c>
      <c r="B9" s="32"/>
      <c r="C9" s="30"/>
      <c r="D9" s="190" t="s">
        <v>6</v>
      </c>
      <c r="E9" s="328"/>
      <c r="F9" s="260"/>
      <c r="G9" s="172"/>
      <c r="H9" s="37" t="s">
        <v>11</v>
      </c>
      <c r="I9" s="225"/>
      <c r="J9" s="37"/>
      <c r="K9" s="46" t="s">
        <v>8</v>
      </c>
      <c r="L9" s="46" t="s">
        <v>9</v>
      </c>
      <c r="M9" s="48"/>
      <c r="N9" s="35"/>
    </row>
    <row r="10">
      <c r="A10" s="55">
        <v>40475.416666666664</v>
      </c>
      <c r="B10" s="32"/>
      <c r="C10" s="32"/>
      <c r="D10" s="246" t="s">
        <v>6</v>
      </c>
      <c r="E10" s="328"/>
      <c r="F10" s="272"/>
      <c r="G10" s="172"/>
      <c r="H10" s="37" t="s">
        <v>11</v>
      </c>
      <c r="I10" s="228"/>
      <c r="J10" s="37"/>
      <c r="K10" s="46" t="s">
        <v>8</v>
      </c>
      <c r="L10" s="46" t="s">
        <v>9</v>
      </c>
      <c r="M10" s="48" t="s">
        <v>8</v>
      </c>
      <c r="N10" s="26"/>
    </row>
    <row r="11">
      <c r="A11" s="49">
        <v>40475.4375</v>
      </c>
      <c r="B11" s="30"/>
      <c r="C11" s="30"/>
      <c r="D11" s="246" t="s">
        <v>6</v>
      </c>
      <c r="E11" s="328"/>
      <c r="F11" s="259"/>
      <c r="G11" s="51" t="s">
        <v>7</v>
      </c>
      <c r="H11" s="37" t="s">
        <v>11</v>
      </c>
      <c r="I11" s="228"/>
      <c r="J11" s="37"/>
      <c r="K11" s="46" t="s">
        <v>8</v>
      </c>
      <c r="L11" s="46" t="s">
        <v>9</v>
      </c>
      <c r="M11" s="48" t="s">
        <v>8</v>
      </c>
      <c r="N11" s="35"/>
    </row>
    <row r="12">
      <c r="A12" s="49">
        <v>40475.458333333336</v>
      </c>
      <c r="B12" s="30"/>
      <c r="C12" s="41"/>
      <c r="D12" s="190" t="s">
        <v>6</v>
      </c>
      <c r="E12" s="258"/>
      <c r="F12" s="259"/>
      <c r="G12" s="51" t="s">
        <v>7</v>
      </c>
      <c r="H12" s="37" t="s">
        <v>11</v>
      </c>
      <c r="I12" s="228"/>
      <c r="J12" s="37"/>
      <c r="K12" s="46" t="s">
        <v>8</v>
      </c>
      <c r="L12" s="46" t="s">
        <v>9</v>
      </c>
      <c r="M12" s="48" t="s">
        <v>8</v>
      </c>
      <c r="N12" s="35"/>
    </row>
    <row r="13">
      <c r="A13" s="55">
        <v>40475.479166666664</v>
      </c>
      <c r="B13" s="32"/>
      <c r="C13" s="32"/>
      <c r="D13" s="246" t="s">
        <v>6</v>
      </c>
      <c r="E13" s="189"/>
      <c r="F13" s="259"/>
      <c r="G13" s="51" t="s">
        <v>7</v>
      </c>
      <c r="H13" s="37" t="s">
        <v>11</v>
      </c>
      <c r="I13" s="228"/>
      <c r="J13" s="37"/>
      <c r="K13" s="46" t="s">
        <v>8</v>
      </c>
      <c r="L13" s="46" t="s">
        <v>9</v>
      </c>
      <c r="M13" s="48" t="s">
        <v>8</v>
      </c>
      <c r="N13" s="26"/>
    </row>
    <row r="14">
      <c r="A14" s="55">
        <v>40475.5</v>
      </c>
      <c r="B14" s="32"/>
      <c r="C14" s="32"/>
      <c r="D14" s="246" t="s">
        <v>6</v>
      </c>
      <c r="E14" s="189"/>
      <c r="F14" s="32"/>
      <c r="G14" s="51" t="s">
        <v>7</v>
      </c>
      <c r="H14" s="37" t="s">
        <v>11</v>
      </c>
      <c r="I14" s="228"/>
      <c r="J14" s="37"/>
      <c r="K14" s="46" t="s">
        <v>10</v>
      </c>
      <c r="L14" s="46" t="s">
        <v>9</v>
      </c>
      <c r="M14" s="48" t="s">
        <v>8</v>
      </c>
      <c r="N14" s="35" t="s">
        <v>7</v>
      </c>
    </row>
    <row r="15">
      <c r="A15" s="49">
        <v>40475.520833333336</v>
      </c>
      <c r="B15" s="32"/>
      <c r="C15" s="32"/>
      <c r="D15" s="226" t="s">
        <v>10</v>
      </c>
      <c r="E15" s="189"/>
      <c r="F15" s="38"/>
      <c r="G15" s="172" t="s">
        <v>6</v>
      </c>
      <c r="H15" s="46" t="s">
        <v>11</v>
      </c>
      <c r="I15" s="30"/>
      <c r="J15" s="37"/>
      <c r="K15" s="46" t="s">
        <v>8</v>
      </c>
      <c r="L15" s="46" t="s">
        <v>9</v>
      </c>
      <c r="M15" s="48" t="s">
        <v>8</v>
      </c>
      <c r="N15" s="35" t="s">
        <v>7</v>
      </c>
    </row>
    <row r="16">
      <c r="A16" s="49">
        <v>40475.541666666664</v>
      </c>
      <c r="B16" s="30"/>
      <c r="C16" s="32"/>
      <c r="D16" s="249" t="s">
        <v>6</v>
      </c>
      <c r="E16" s="189"/>
      <c r="F16" s="139"/>
      <c r="G16" s="51" t="s">
        <v>6</v>
      </c>
      <c r="H16" s="46"/>
      <c r="I16" s="30"/>
      <c r="J16" s="37"/>
      <c r="K16" s="46" t="s">
        <v>8</v>
      </c>
      <c r="L16" s="46" t="s">
        <v>10</v>
      </c>
      <c r="M16" s="48" t="s">
        <v>10</v>
      </c>
      <c r="N16" s="35" t="s">
        <v>7</v>
      </c>
    </row>
    <row r="17">
      <c r="A17" s="55">
        <v>40475.5625</v>
      </c>
      <c r="B17" s="186"/>
      <c r="C17" s="32"/>
      <c r="D17" s="248" t="s">
        <v>6</v>
      </c>
      <c r="E17" s="189"/>
      <c r="F17" s="139"/>
      <c r="G17" s="205" t="s">
        <v>6</v>
      </c>
      <c r="H17" s="46"/>
      <c r="I17" s="37"/>
      <c r="J17" s="37"/>
      <c r="K17" s="46" t="s">
        <v>8</v>
      </c>
      <c r="L17" s="46" t="s">
        <v>9</v>
      </c>
      <c r="M17" s="48" t="s">
        <v>8</v>
      </c>
      <c r="N17" s="26" t="s">
        <v>7</v>
      </c>
    </row>
    <row r="18">
      <c r="A18" s="55">
        <v>40475.583333333336</v>
      </c>
      <c r="B18" s="205"/>
      <c r="C18" s="32"/>
      <c r="D18" s="248" t="s">
        <v>6</v>
      </c>
      <c r="E18" s="184"/>
      <c r="F18" s="77"/>
      <c r="G18" s="205" t="s">
        <v>6</v>
      </c>
      <c r="H18" s="46"/>
      <c r="I18" s="37"/>
      <c r="J18" s="37"/>
      <c r="K18" s="46" t="s">
        <v>8</v>
      </c>
      <c r="L18" s="46" t="s">
        <v>9</v>
      </c>
      <c r="M18" s="48" t="s">
        <v>8</v>
      </c>
      <c r="N18" s="26" t="s">
        <v>7</v>
      </c>
    </row>
    <row r="19">
      <c r="A19" s="49">
        <v>40475.604166666664</v>
      </c>
      <c r="B19" s="58" t="s">
        <v>7</v>
      </c>
      <c r="C19" s="32" t="s">
        <v>7</v>
      </c>
      <c r="D19" s="249" t="s">
        <v>6</v>
      </c>
      <c r="E19" s="184" t="s">
        <v>11</v>
      </c>
      <c r="F19" s="248" t="s">
        <v>6</v>
      </c>
      <c r="G19" s="249" t="s">
        <v>10</v>
      </c>
      <c r="H19" s="54"/>
      <c r="I19" s="184" t="s">
        <v>7</v>
      </c>
      <c r="J19" s="37"/>
      <c r="K19" s="46" t="s">
        <v>8</v>
      </c>
      <c r="L19" s="46" t="s">
        <v>9</v>
      </c>
      <c r="M19" s="48" t="s">
        <v>8</v>
      </c>
      <c r="N19" s="35" t="s">
        <v>7</v>
      </c>
    </row>
    <row r="20">
      <c r="A20" s="49">
        <v>40475.625</v>
      </c>
      <c r="B20" s="58" t="s">
        <v>7</v>
      </c>
      <c r="C20" s="30" t="s">
        <v>7</v>
      </c>
      <c r="D20" s="249" t="s">
        <v>6</v>
      </c>
      <c r="E20" s="184" t="s">
        <v>11</v>
      </c>
      <c r="F20" s="248" t="s">
        <v>6</v>
      </c>
      <c r="G20" s="205" t="s">
        <v>7</v>
      </c>
      <c r="H20" s="54"/>
      <c r="I20" s="184" t="s">
        <v>7</v>
      </c>
      <c r="J20" s="37"/>
      <c r="K20" s="46" t="s">
        <v>8</v>
      </c>
      <c r="L20" s="46" t="s">
        <v>9</v>
      </c>
      <c r="M20" s="48" t="s">
        <v>8</v>
      </c>
      <c r="N20" s="35" t="s">
        <v>7</v>
      </c>
    </row>
    <row r="21">
      <c r="A21" s="55">
        <v>40475.645833333336</v>
      </c>
      <c r="B21" s="58" t="s">
        <v>7</v>
      </c>
      <c r="C21" s="32" t="s">
        <v>7</v>
      </c>
      <c r="D21" s="204" t="s">
        <v>6</v>
      </c>
      <c r="E21" s="184" t="s">
        <v>11</v>
      </c>
      <c r="F21" s="250" t="s">
        <v>6</v>
      </c>
      <c r="G21" s="186" t="s">
        <v>7</v>
      </c>
      <c r="H21" s="54"/>
      <c r="I21" s="184" t="s">
        <v>7</v>
      </c>
      <c r="J21" s="37"/>
      <c r="K21" s="46" t="s">
        <v>8</v>
      </c>
      <c r="L21" s="46" t="s">
        <v>9</v>
      </c>
      <c r="M21" s="48" t="s">
        <v>8</v>
      </c>
      <c r="N21" s="35" t="s">
        <v>7</v>
      </c>
    </row>
    <row r="22">
      <c r="A22" s="55">
        <v>40475.666666666664</v>
      </c>
      <c r="B22" s="69" t="s">
        <v>7</v>
      </c>
      <c r="C22" s="30" t="s">
        <v>7</v>
      </c>
      <c r="D22" s="249" t="s">
        <v>6</v>
      </c>
      <c r="E22" s="184" t="s">
        <v>11</v>
      </c>
      <c r="F22" s="248" t="s">
        <v>6</v>
      </c>
      <c r="G22" s="205" t="s">
        <v>7</v>
      </c>
      <c r="H22" s="54"/>
      <c r="I22" s="184" t="s">
        <v>7</v>
      </c>
      <c r="J22" s="37"/>
      <c r="K22" s="46" t="s">
        <v>8</v>
      </c>
      <c r="L22" s="46" t="s">
        <v>9</v>
      </c>
      <c r="M22" s="48" t="s">
        <v>8</v>
      </c>
      <c r="N22" s="35" t="s">
        <v>10</v>
      </c>
    </row>
    <row r="23">
      <c r="A23" s="49">
        <v>40475.6875</v>
      </c>
      <c r="B23" s="69" t="s">
        <v>7</v>
      </c>
      <c r="C23" s="32" t="s">
        <v>7</v>
      </c>
      <c r="D23" s="204" t="s">
        <v>6</v>
      </c>
      <c r="E23" s="37" t="s">
        <v>11</v>
      </c>
      <c r="F23" s="250" t="s">
        <v>6</v>
      </c>
      <c r="G23" s="186" t="s">
        <v>7</v>
      </c>
      <c r="H23" s="54"/>
      <c r="I23" s="184" t="s">
        <v>7</v>
      </c>
      <c r="J23" s="37"/>
      <c r="K23" s="46" t="s">
        <v>8</v>
      </c>
      <c r="L23" s="46" t="s">
        <v>9</v>
      </c>
      <c r="M23" s="48" t="s">
        <v>8</v>
      </c>
      <c r="N23" s="35" t="s">
        <v>7</v>
      </c>
    </row>
    <row r="24">
      <c r="A24" s="49">
        <v>40475.708333333336</v>
      </c>
      <c r="B24" s="69" t="s">
        <v>7</v>
      </c>
      <c r="C24" s="33" t="s">
        <v>7</v>
      </c>
      <c r="D24" s="196"/>
      <c r="E24" s="37" t="s">
        <v>11</v>
      </c>
      <c r="F24" s="250" t="s">
        <v>6</v>
      </c>
      <c r="G24" s="205" t="s">
        <v>7</v>
      </c>
      <c r="H24" s="37"/>
      <c r="I24" s="37" t="s">
        <v>7</v>
      </c>
      <c r="J24" s="37"/>
      <c r="K24" s="46"/>
      <c r="L24" s="46"/>
      <c r="M24" s="48" t="s">
        <v>8</v>
      </c>
      <c r="N24" s="35" t="s">
        <v>7</v>
      </c>
    </row>
    <row r="25">
      <c r="A25" s="55">
        <v>40475.729166666664</v>
      </c>
      <c r="B25" s="69" t="s">
        <v>7</v>
      </c>
      <c r="C25" s="137" t="s">
        <v>10</v>
      </c>
      <c r="D25" s="189"/>
      <c r="E25" s="46" t="s">
        <v>11</v>
      </c>
      <c r="F25" s="139" t="s">
        <v>6</v>
      </c>
      <c r="G25" s="204" t="s">
        <v>7</v>
      </c>
      <c r="H25" s="37"/>
      <c r="I25" s="37" t="s">
        <v>7</v>
      </c>
      <c r="J25" s="37"/>
      <c r="K25" s="46"/>
      <c r="L25" s="48"/>
      <c r="M25" s="48" t="s">
        <v>8</v>
      </c>
      <c r="N25" s="35" t="s">
        <v>7</v>
      </c>
    </row>
    <row r="26">
      <c r="A26" s="55">
        <v>40475.75</v>
      </c>
      <c r="B26" s="46" t="s">
        <v>10</v>
      </c>
      <c r="C26" s="137" t="s">
        <v>6</v>
      </c>
      <c r="D26" s="189"/>
      <c r="E26" s="312" t="s">
        <v>11</v>
      </c>
      <c r="F26" s="248" t="s">
        <v>6</v>
      </c>
      <c r="G26" s="77" t="s">
        <v>7</v>
      </c>
      <c r="H26" s="46"/>
      <c r="I26" s="37" t="s">
        <v>7</v>
      </c>
      <c r="J26" s="37"/>
      <c r="K26" s="46"/>
      <c r="L26" s="48"/>
      <c r="M26" s="48" t="s">
        <v>8</v>
      </c>
      <c r="N26" s="35" t="s">
        <v>7</v>
      </c>
    </row>
    <row r="27">
      <c r="A27" s="49">
        <v>40475.770833333336</v>
      </c>
      <c r="B27" s="250" t="s">
        <v>11</v>
      </c>
      <c r="C27" s="33" t="s">
        <v>6</v>
      </c>
      <c r="D27" s="37"/>
      <c r="E27" s="312" t="s">
        <v>10</v>
      </c>
      <c r="F27" s="250" t="s">
        <v>6</v>
      </c>
      <c r="G27" s="46" t="s">
        <v>7</v>
      </c>
      <c r="H27" s="46"/>
      <c r="I27" s="30" t="s">
        <v>10</v>
      </c>
      <c r="J27" s="46"/>
      <c r="K27" s="46"/>
      <c r="L27" s="48"/>
      <c r="M27" s="48"/>
      <c r="N27" s="35" t="s">
        <v>7</v>
      </c>
    </row>
    <row r="28">
      <c r="A28" s="49">
        <v>40475.791666666664</v>
      </c>
      <c r="B28" s="263" t="s">
        <v>11</v>
      </c>
      <c r="C28" s="33" t="s">
        <v>6</v>
      </c>
      <c r="D28" s="184"/>
      <c r="E28" s="312" t="s">
        <v>7</v>
      </c>
      <c r="F28" s="250" t="s">
        <v>10</v>
      </c>
      <c r="G28" s="58"/>
      <c r="H28" s="37"/>
      <c r="I28" s="30" t="s">
        <v>7</v>
      </c>
      <c r="J28" s="139"/>
      <c r="K28" s="46"/>
      <c r="L28" s="48"/>
      <c r="M28" s="48"/>
      <c r="N28" s="35" t="s">
        <v>7</v>
      </c>
    </row>
    <row r="29">
      <c r="A29" s="55">
        <v>40475.8125</v>
      </c>
      <c r="B29" s="263" t="s">
        <v>11</v>
      </c>
      <c r="C29" s="137" t="s">
        <v>6</v>
      </c>
      <c r="D29" s="184"/>
      <c r="E29" s="312" t="s">
        <v>7</v>
      </c>
      <c r="F29" s="248" t="s">
        <v>6</v>
      </c>
      <c r="G29" s="58"/>
      <c r="H29" s="37"/>
      <c r="I29" s="30" t="s">
        <v>7</v>
      </c>
      <c r="J29" s="46"/>
      <c r="K29" s="46"/>
      <c r="L29" s="48"/>
      <c r="M29" s="48"/>
      <c r="N29" s="35" t="s">
        <v>7</v>
      </c>
    </row>
    <row r="30">
      <c r="A30" s="55">
        <v>40475.833333333336</v>
      </c>
      <c r="B30" s="263" t="s">
        <v>11</v>
      </c>
      <c r="C30" s="137" t="s">
        <v>6</v>
      </c>
      <c r="D30" s="184"/>
      <c r="E30" s="288" t="s">
        <v>7</v>
      </c>
      <c r="F30" s="248" t="s">
        <v>6</v>
      </c>
      <c r="G30" s="58"/>
      <c r="H30" s="37"/>
      <c r="I30" s="30" t="s">
        <v>7</v>
      </c>
      <c r="J30" s="17"/>
      <c r="K30" s="46"/>
      <c r="L30" s="48"/>
      <c r="M30" s="48"/>
      <c r="N30" s="27" t="s">
        <v>7</v>
      </c>
    </row>
    <row r="31">
      <c r="A31" s="49">
        <v>40475.854166666664</v>
      </c>
      <c r="B31" s="263" t="s">
        <v>11</v>
      </c>
      <c r="C31" s="137" t="s">
        <v>6</v>
      </c>
      <c r="D31" s="184"/>
      <c r="E31" s="288" t="s">
        <v>7</v>
      </c>
      <c r="F31" s="248" t="s">
        <v>6</v>
      </c>
      <c r="G31" s="58"/>
      <c r="H31" s="37"/>
      <c r="I31" s="30" t="s">
        <v>7</v>
      </c>
      <c r="J31" s="24"/>
      <c r="K31" s="46"/>
      <c r="L31" s="48"/>
      <c r="M31" s="48"/>
      <c r="N31" s="27"/>
    </row>
    <row r="32">
      <c r="A32" s="49">
        <v>40475.875</v>
      </c>
      <c r="B32" s="263" t="s">
        <v>11</v>
      </c>
      <c r="C32" s="137" t="s">
        <v>6</v>
      </c>
      <c r="D32" s="184"/>
      <c r="E32" s="288" t="s">
        <v>7</v>
      </c>
      <c r="F32" s="248" t="s">
        <v>6</v>
      </c>
      <c r="G32" s="58"/>
      <c r="H32" s="37"/>
      <c r="I32" s="30" t="s">
        <v>7</v>
      </c>
      <c r="J32" s="17"/>
      <c r="K32" s="46"/>
      <c r="L32" s="48"/>
      <c r="M32" s="48"/>
      <c r="N32" s="35"/>
    </row>
    <row r="33">
      <c r="A33" s="55">
        <v>40475.895833333336</v>
      </c>
      <c r="B33" s="281" t="s">
        <v>11</v>
      </c>
      <c r="C33" s="137" t="s">
        <v>6</v>
      </c>
      <c r="D33" s="37"/>
      <c r="E33" s="288" t="s">
        <v>7</v>
      </c>
      <c r="F33" s="248" t="s">
        <v>6</v>
      </c>
      <c r="G33" s="58"/>
      <c r="H33" s="37"/>
      <c r="I33" s="30" t="s">
        <v>7</v>
      </c>
      <c r="J33" s="48"/>
      <c r="K33" s="46"/>
      <c r="L33" s="48"/>
      <c r="M33" s="48"/>
      <c r="N33" s="35"/>
    </row>
    <row r="34">
      <c r="A34" s="55">
        <v>40475.916666666664</v>
      </c>
      <c r="B34" s="281" t="s">
        <v>11</v>
      </c>
      <c r="C34" s="137" t="s">
        <v>6</v>
      </c>
      <c r="D34" s="37"/>
      <c r="E34" s="225" t="s">
        <v>7</v>
      </c>
      <c r="F34" s="137" t="s">
        <v>6</v>
      </c>
      <c r="G34" s="37"/>
      <c r="H34" s="30"/>
      <c r="I34" s="30" t="s">
        <v>7</v>
      </c>
      <c r="J34" s="77"/>
      <c r="K34" s="37"/>
      <c r="L34" s="37"/>
      <c r="M34" s="24"/>
      <c r="N34" s="35"/>
    </row>
    <row r="35">
      <c r="A35" s="49">
        <v>40475.9375</v>
      </c>
      <c r="B35" s="281" t="s">
        <v>11</v>
      </c>
      <c r="C35" s="137" t="s">
        <v>6</v>
      </c>
      <c r="D35" s="37"/>
      <c r="E35" s="225" t="s">
        <v>7</v>
      </c>
      <c r="F35" s="137" t="s">
        <v>6</v>
      </c>
      <c r="G35" s="37"/>
      <c r="H35" s="30"/>
      <c r="I35" s="30" t="s">
        <v>7</v>
      </c>
      <c r="J35" s="77"/>
      <c r="K35" s="37"/>
      <c r="L35" s="37"/>
      <c r="M35" s="24"/>
      <c r="N35" s="35"/>
    </row>
    <row r="36">
      <c r="A36" s="49">
        <v>40475.958333333336</v>
      </c>
      <c r="B36" s="277"/>
      <c r="C36" s="32"/>
      <c r="D36" s="226"/>
      <c r="E36" s="225"/>
      <c r="F36" s="33"/>
      <c r="G36" s="233"/>
      <c r="H36" s="278"/>
      <c r="I36" s="225"/>
      <c r="J36" s="24"/>
      <c r="K36" s="37"/>
      <c r="L36" s="27"/>
      <c r="M36" s="24"/>
      <c r="N36" s="199"/>
    </row>
    <row r="37">
      <c r="A37" s="55">
        <v>40475.979166666664</v>
      </c>
      <c r="B37" s="226"/>
      <c r="C37" s="32"/>
      <c r="D37" s="226"/>
      <c r="E37" s="225"/>
      <c r="F37" s="33"/>
      <c r="G37" s="226"/>
      <c r="H37" s="268"/>
      <c r="I37" s="233"/>
      <c r="J37" s="25"/>
      <c r="K37" s="25"/>
      <c r="L37" s="48"/>
      <c r="M37" s="25"/>
      <c r="N37" s="199"/>
    </row>
    <row r="38">
      <c r="A38" s="85" t="s">
        <v>12</v>
      </c>
      <c r="B38" s="232"/>
      <c r="C38" s="88"/>
      <c r="D38" s="226"/>
      <c r="E38" s="223"/>
      <c r="F38" s="33"/>
      <c r="G38" s="253"/>
      <c r="H38" s="268"/>
      <c r="I38" s="233"/>
      <c r="J38" s="25"/>
      <c r="K38" s="83"/>
      <c r="L38" s="24"/>
      <c r="M38" s="83"/>
      <c r="N38" s="268"/>
    </row>
    <row r="39">
      <c r="A39" s="89" t="s">
        <v>13</v>
      </c>
      <c r="B39" s="89">
        <f t="shared" ref="B39:N39" si="1">CONCATENATE(COUNTIF(B4:B38,"MAGAZZINI")+COUNTIF(B4:B38,"PRIMO")+COUNTIF(B4:B38,"RECEPTION")+COUNTIF(B4:B38,"SAGGI")+COUNTIF(B4:B38,"SECONDO")+COUNTIF(B4:B38,"SMART W")+COUNTIF(B4:B38,"STUDIO 1 e 2")+COUNTIF(B4:B38,"MANUTENZ.")+COUNTIF(B4:B38,"UFFICIO")+COUNTIF(B4:B38,"CAMPUS")+COUNTIF(B4:B38,"TEATRO")+COUNTIF(B4:B38,"AMM.ZIONE")+COUNTIF(B4:B38,"FORMAZ-1p")+COUNTIF(B4:B38,"FORMAZ-2p")+COUNTIF(B4:B38,"FORMAZ-rec")+COUNTIF(B4:B38,"WORKSHOP")+COUNTIF(B4:B38,"EVENTO EST."))/2</f>
        <v>8</v>
      </c>
      <c r="C39" s="89">
        <f t="shared" si="1"/>
        <v>8</v>
      </c>
      <c r="D39" s="89">
        <f t="shared" si="1"/>
        <v>8</v>
      </c>
      <c r="E39" s="89">
        <f t="shared" si="1"/>
        <v>8</v>
      </c>
      <c r="F39" s="89">
        <f t="shared" si="1"/>
        <v>8</v>
      </c>
      <c r="G39" s="89">
        <f t="shared" si="1"/>
        <v>8</v>
      </c>
      <c r="H39" s="89">
        <f t="shared" si="1"/>
        <v>4.5</v>
      </c>
      <c r="I39" s="89">
        <f t="shared" si="1"/>
        <v>8</v>
      </c>
      <c r="J39" s="89">
        <f t="shared" si="1"/>
        <v>0</v>
      </c>
      <c r="K39" s="89">
        <f t="shared" si="1"/>
        <v>8</v>
      </c>
      <c r="L39" s="89">
        <f t="shared" si="1"/>
        <v>8</v>
      </c>
      <c r="M39" s="89">
        <f t="shared" si="1"/>
        <v>8</v>
      </c>
      <c r="N39" s="89">
        <f t="shared" si="1"/>
        <v>8</v>
      </c>
    </row>
  </sheetData>
  <mergeCells count="4">
    <mergeCell ref="B1:C2"/>
    <mergeCell ref="D1:E2"/>
    <mergeCell ref="F1:F2"/>
    <mergeCell ref="G1:N2"/>
  </mergeCells>
  <conditionalFormatting sqref="B4:G38 H17:H33">
    <cfRule type="containsText" dxfId="5" priority="1" operator="containsText" text="PERMESSO">
      <formula>NOT(ISERROR(SEARCH(("PERMESSO"),(B4))))</formula>
    </cfRule>
  </conditionalFormatting>
  <conditionalFormatting sqref="B4:N38">
    <cfRule type="containsText" dxfId="1" priority="2" operator="containsText" text="MALATTIA">
      <formula>NOT(ISERROR(SEARCH(("MALATTIA"),(B4))))</formula>
    </cfRule>
  </conditionalFormatting>
  <conditionalFormatting sqref="B4:N38">
    <cfRule type="containsText" dxfId="2" priority="3" operator="containsText" text="FORMAZ">
      <formula>NOT(ISERROR(SEARCH(("FORMAZ"),(B4))))</formula>
    </cfRule>
  </conditionalFormatting>
  <conditionalFormatting sqref="B4:N38">
    <cfRule type="containsText" dxfId="3" priority="4" operator="containsText" text="AMM.ZIONE">
      <formula>NOT(ISERROR(SEARCH(("AMM.ZIONE"),(B4))))</formula>
    </cfRule>
  </conditionalFormatting>
  <conditionalFormatting sqref="B4:N38">
    <cfRule type="containsText" dxfId="4" priority="5" operator="containsText" text="PAUSA">
      <formula>NOT(ISERROR(SEARCH(("PAUSA"),(B4))))</formula>
    </cfRule>
  </conditionalFormatting>
  <conditionalFormatting sqref="B4:N38">
    <cfRule type="containsText" dxfId="0" priority="6" operator="containsText" text="PERMESSO">
      <formula>NOT(ISERROR(SEARCH(("PERMESSO"),(B4))))</formula>
    </cfRule>
  </conditionalFormatting>
  <conditionalFormatting sqref="B4:N38">
    <cfRule type="containsText" dxfId="6" priority="7" operator="containsText" text="UFFICIO">
      <formula>NOT(ISERROR(SEARCH(("UFFICIO"),(B4))))</formula>
    </cfRule>
  </conditionalFormatting>
  <conditionalFormatting sqref="B4:N38">
    <cfRule type="containsText" dxfId="7" priority="8" operator="containsText" text="RIPOSO">
      <formula>NOT(ISERROR(SEARCH(("RIPOSO"),(B4))))</formula>
    </cfRule>
  </conditionalFormatting>
  <dataValidations>
    <dataValidation type="list" allowBlank="1" showInputMessage="1" showErrorMessage="1" prompt="Fai clic e immetti un valore da intervallo elenchi!A1:A30" sqref="B4:N38">
      <formula1>elenchi!$A$1:$A$30</formula1>
    </dataValidation>
  </dataValidations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C78D8"/>
    <outlinePr summaryBelow="0" summaryRight="0"/>
  </sheetPr>
  <sheetViews>
    <sheetView workbookViewId="0">
      <pane xSplit="1.0" ySplit="3.0" topLeftCell="B4" activePane="bottomRight" state="frozen"/>
      <selection activeCell="B1" sqref="B1" pane="topRight"/>
      <selection activeCell="A4" sqref="A4" pane="bottomLeft"/>
      <selection activeCell="B4" sqref="B4" pane="bottomRight"/>
    </sheetView>
  </sheetViews>
  <sheetFormatPr customHeight="1" defaultColWidth="14.43" defaultRowHeight="15.0"/>
  <cols>
    <col customWidth="1" min="1" max="1" width="10.14"/>
    <col customWidth="1" min="2" max="14" width="18.71"/>
  </cols>
  <sheetData>
    <row r="1">
      <c r="A1" s="324"/>
      <c r="B1" s="2" t="s">
        <v>15</v>
      </c>
      <c r="C1" s="3"/>
      <c r="D1" s="325" t="str">
        <f>elenchi!C5</f>
        <v>  SETTIMANA - E</v>
      </c>
      <c r="E1" s="5"/>
      <c r="F1" s="326" t="s">
        <v>24</v>
      </c>
      <c r="G1" s="327" t="str">
        <f>elenchi!D5</f>
        <v>LUNEDI 13 A DOMENICA 19 APRILE 2026</v>
      </c>
      <c r="H1" s="5"/>
      <c r="I1" s="5"/>
      <c r="J1" s="5"/>
      <c r="K1" s="5"/>
      <c r="L1" s="5"/>
      <c r="M1" s="5"/>
      <c r="N1" s="3"/>
    </row>
    <row r="2">
      <c r="A2" s="324"/>
      <c r="B2" s="8"/>
      <c r="C2" s="9"/>
      <c r="D2" s="8"/>
      <c r="E2" s="10"/>
      <c r="F2" s="10"/>
      <c r="G2" s="10"/>
      <c r="H2" s="10"/>
      <c r="I2" s="10"/>
      <c r="J2" s="10"/>
      <c r="K2" s="10"/>
      <c r="L2" s="10"/>
      <c r="M2" s="10"/>
      <c r="N2" s="9"/>
    </row>
    <row r="3">
      <c r="A3" s="11" t="s">
        <v>2</v>
      </c>
      <c r="B3" s="11" t="str">
        <f>elenchi!B1</f>
        <v>ALEXANDRA</v>
      </c>
      <c r="C3" s="11" t="str">
        <f>elenchi!B2</f>
        <v>GIUDITTA</v>
      </c>
      <c r="D3" s="11" t="str">
        <f>elenchi!B3</f>
        <v>ESTEFANY</v>
      </c>
      <c r="E3" s="12" t="str">
        <f>elenchi!B4</f>
        <v>NURA</v>
      </c>
      <c r="F3" s="12" t="str">
        <f>elenchi!B5</f>
        <v/>
      </c>
      <c r="G3" s="12" t="str">
        <f>elenchi!B6</f>
        <v>JOEL</v>
      </c>
      <c r="H3" s="13" t="str">
        <f>elenchi!B7</f>
        <v>KEVIN</v>
      </c>
      <c r="I3" s="14" t="str">
        <f>elenchi!B8</f>
        <v>JASIR</v>
      </c>
      <c r="J3" s="15" t="str">
        <f>elenchi!B9</f>
        <v>DIEGO</v>
      </c>
      <c r="K3" s="15" t="str">
        <f>elenchi!B10</f>
        <v>SARA</v>
      </c>
      <c r="L3" s="12" t="str">
        <f>elenchi!B11</f>
        <v>SANTO</v>
      </c>
      <c r="M3" s="12" t="str">
        <f>elenchi!B12</f>
        <v>MASSI</v>
      </c>
      <c r="N3" s="12" t="str">
        <f>elenchi!B13</f>
        <v/>
      </c>
    </row>
    <row r="4">
      <c r="A4" s="16" t="s">
        <v>3</v>
      </c>
      <c r="B4" s="226"/>
      <c r="C4" s="18"/>
      <c r="D4" s="226"/>
      <c r="E4" s="20"/>
      <c r="F4" s="232"/>
      <c r="G4" s="232"/>
      <c r="H4" s="233"/>
      <c r="I4" s="233"/>
      <c r="J4" s="25"/>
      <c r="K4" s="199"/>
      <c r="L4" s="223"/>
      <c r="M4" s="17"/>
      <c r="N4" s="224"/>
    </row>
    <row r="5">
      <c r="A5" s="28" t="s">
        <v>4</v>
      </c>
      <c r="B5" s="226"/>
      <c r="C5" s="30"/>
      <c r="D5" s="226"/>
      <c r="E5" s="32"/>
      <c r="F5" s="232"/>
      <c r="G5" s="232"/>
      <c r="H5" s="233"/>
      <c r="I5" s="233"/>
      <c r="J5" s="25"/>
      <c r="K5" s="199"/>
      <c r="L5" s="223"/>
      <c r="M5" s="17"/>
      <c r="N5" s="224"/>
    </row>
    <row r="6">
      <c r="A6" s="28" t="s">
        <v>5</v>
      </c>
      <c r="B6" s="226"/>
      <c r="C6" s="30"/>
      <c r="D6" s="226"/>
      <c r="E6" s="32"/>
      <c r="F6" s="232"/>
      <c r="G6" s="232"/>
      <c r="H6" s="189"/>
      <c r="I6" s="189"/>
      <c r="J6" s="37"/>
      <c r="K6" s="38"/>
      <c r="L6" s="223"/>
      <c r="M6" s="17"/>
      <c r="N6" s="224"/>
    </row>
    <row r="7">
      <c r="A7" s="39">
        <v>40475.354166666664</v>
      </c>
      <c r="B7" s="30"/>
      <c r="C7" s="41"/>
      <c r="D7" s="246"/>
      <c r="E7" s="30"/>
      <c r="F7" s="225"/>
      <c r="G7" s="184" t="s">
        <v>6</v>
      </c>
      <c r="H7" s="279" t="s">
        <v>7</v>
      </c>
      <c r="I7" s="189"/>
      <c r="J7" s="37"/>
      <c r="K7" s="46" t="s">
        <v>8</v>
      </c>
      <c r="L7" s="46" t="s">
        <v>9</v>
      </c>
      <c r="M7" s="48"/>
      <c r="N7" s="225"/>
    </row>
    <row r="8">
      <c r="A8" s="49">
        <v>40475.375</v>
      </c>
      <c r="B8" s="32"/>
      <c r="C8" s="41"/>
      <c r="D8" s="246"/>
      <c r="E8" s="32"/>
      <c r="F8" s="225"/>
      <c r="G8" s="184" t="s">
        <v>6</v>
      </c>
      <c r="H8" s="280" t="s">
        <v>7</v>
      </c>
      <c r="I8" s="189"/>
      <c r="J8" s="37"/>
      <c r="K8" s="46" t="s">
        <v>8</v>
      </c>
      <c r="L8" s="46" t="s">
        <v>9</v>
      </c>
      <c r="M8" s="48" t="s">
        <v>8</v>
      </c>
      <c r="N8" s="226"/>
    </row>
    <row r="9">
      <c r="A9" s="55">
        <v>40475.395833333336</v>
      </c>
      <c r="B9" s="30"/>
      <c r="C9" s="41"/>
      <c r="D9" s="246"/>
      <c r="E9" s="30"/>
      <c r="F9" s="225"/>
      <c r="G9" s="184" t="s">
        <v>6</v>
      </c>
      <c r="H9" s="280" t="s">
        <v>7</v>
      </c>
      <c r="I9" s="189"/>
      <c r="J9" s="37"/>
      <c r="K9" s="46" t="s">
        <v>8</v>
      </c>
      <c r="L9" s="46" t="s">
        <v>9</v>
      </c>
      <c r="M9" s="48" t="s">
        <v>8</v>
      </c>
      <c r="N9" s="225"/>
    </row>
    <row r="10">
      <c r="A10" s="55">
        <v>40475.416666666664</v>
      </c>
      <c r="B10" s="137"/>
      <c r="C10" s="41"/>
      <c r="D10" s="246"/>
      <c r="E10" s="32"/>
      <c r="F10" s="227"/>
      <c r="G10" s="184" t="s">
        <v>6</v>
      </c>
      <c r="H10" s="280" t="s">
        <v>7</v>
      </c>
      <c r="I10" s="250"/>
      <c r="J10" s="37"/>
      <c r="K10" s="46" t="s">
        <v>8</v>
      </c>
      <c r="L10" s="46" t="s">
        <v>9</v>
      </c>
      <c r="M10" s="48" t="s">
        <v>8</v>
      </c>
      <c r="N10" s="226"/>
    </row>
    <row r="11">
      <c r="A11" s="49">
        <v>40475.4375</v>
      </c>
      <c r="B11" s="32" t="s">
        <v>7</v>
      </c>
      <c r="C11" s="41"/>
      <c r="D11" s="190"/>
      <c r="E11" s="30"/>
      <c r="F11" s="228"/>
      <c r="G11" s="184" t="s">
        <v>6</v>
      </c>
      <c r="H11" s="280" t="s">
        <v>7</v>
      </c>
      <c r="I11" s="250"/>
      <c r="J11" s="37"/>
      <c r="K11" s="46" t="s">
        <v>8</v>
      </c>
      <c r="L11" s="46" t="s">
        <v>9</v>
      </c>
      <c r="M11" s="48" t="s">
        <v>8</v>
      </c>
      <c r="N11" s="225"/>
    </row>
    <row r="12">
      <c r="A12" s="49">
        <v>40475.458333333336</v>
      </c>
      <c r="B12" s="32" t="s">
        <v>7</v>
      </c>
      <c r="C12" s="41"/>
      <c r="D12" s="246"/>
      <c r="E12" s="41"/>
      <c r="F12" s="228"/>
      <c r="G12" s="37" t="s">
        <v>6</v>
      </c>
      <c r="H12" s="280" t="s">
        <v>7</v>
      </c>
      <c r="I12" s="250"/>
      <c r="J12" s="37"/>
      <c r="K12" s="46" t="s">
        <v>8</v>
      </c>
      <c r="L12" s="46" t="s">
        <v>9</v>
      </c>
      <c r="M12" s="48" t="s">
        <v>8</v>
      </c>
      <c r="N12" s="225"/>
    </row>
    <row r="13">
      <c r="A13" s="55">
        <v>40475.479166666664</v>
      </c>
      <c r="B13" s="32" t="s">
        <v>7</v>
      </c>
      <c r="C13" s="30"/>
      <c r="D13" s="246"/>
      <c r="E13" s="32"/>
      <c r="F13" s="227"/>
      <c r="G13" s="37" t="s">
        <v>6</v>
      </c>
      <c r="H13" s="280" t="s">
        <v>7</v>
      </c>
      <c r="I13" s="250"/>
      <c r="J13" s="184"/>
      <c r="K13" s="46" t="s">
        <v>8</v>
      </c>
      <c r="L13" s="46" t="s">
        <v>9</v>
      </c>
      <c r="M13" s="48" t="s">
        <v>8</v>
      </c>
      <c r="N13" s="226"/>
    </row>
    <row r="14">
      <c r="A14" s="55">
        <v>40475.5</v>
      </c>
      <c r="B14" s="32" t="s">
        <v>7</v>
      </c>
      <c r="C14" s="30"/>
      <c r="D14" s="207"/>
      <c r="E14" s="32"/>
      <c r="F14" s="227"/>
      <c r="G14" s="37" t="s">
        <v>6</v>
      </c>
      <c r="H14" s="37" t="s">
        <v>7</v>
      </c>
      <c r="I14" s="250"/>
      <c r="J14" s="37"/>
      <c r="K14" s="46" t="s">
        <v>10</v>
      </c>
      <c r="L14" s="46" t="s">
        <v>9</v>
      </c>
      <c r="M14" s="48" t="s">
        <v>8</v>
      </c>
      <c r="N14" s="225"/>
    </row>
    <row r="15">
      <c r="A15" s="49">
        <v>40475.520833333336</v>
      </c>
      <c r="B15" s="137" t="s">
        <v>6</v>
      </c>
      <c r="C15" s="30"/>
      <c r="D15" s="226"/>
      <c r="E15" s="32"/>
      <c r="F15" s="227"/>
      <c r="G15" s="46" t="s">
        <v>10</v>
      </c>
      <c r="H15" s="37" t="s">
        <v>7</v>
      </c>
      <c r="I15" s="204"/>
      <c r="J15" s="37"/>
      <c r="K15" s="46" t="s">
        <v>8</v>
      </c>
      <c r="L15" s="46" t="s">
        <v>9</v>
      </c>
      <c r="M15" s="48" t="s">
        <v>8</v>
      </c>
      <c r="N15" s="225"/>
    </row>
    <row r="16">
      <c r="A16" s="49">
        <v>40475.541666666664</v>
      </c>
      <c r="B16" s="32" t="s">
        <v>6</v>
      </c>
      <c r="C16" s="30"/>
      <c r="D16" s="186"/>
      <c r="E16" s="32"/>
      <c r="F16" s="228"/>
      <c r="G16" s="77" t="s">
        <v>7</v>
      </c>
      <c r="H16" s="37" t="s">
        <v>7</v>
      </c>
      <c r="I16" s="250"/>
      <c r="J16" s="37"/>
      <c r="K16" s="46" t="s">
        <v>8</v>
      </c>
      <c r="L16" s="46" t="s">
        <v>10</v>
      </c>
      <c r="M16" s="48" t="s">
        <v>10</v>
      </c>
      <c r="N16" s="225"/>
    </row>
    <row r="17">
      <c r="A17" s="55">
        <v>40475.5625</v>
      </c>
      <c r="B17" s="38" t="s">
        <v>6</v>
      </c>
      <c r="C17" s="30"/>
      <c r="D17" s="196"/>
      <c r="E17" s="77"/>
      <c r="F17" s="228"/>
      <c r="G17" s="37" t="s">
        <v>7</v>
      </c>
      <c r="H17" s="37" t="s">
        <v>10</v>
      </c>
      <c r="I17" s="250"/>
      <c r="J17" s="37"/>
      <c r="K17" s="46" t="s">
        <v>8</v>
      </c>
      <c r="L17" s="46" t="s">
        <v>9</v>
      </c>
      <c r="M17" s="48" t="s">
        <v>8</v>
      </c>
      <c r="N17" s="226"/>
    </row>
    <row r="18">
      <c r="A18" s="55">
        <v>40475.583333333336</v>
      </c>
      <c r="B18" s="38" t="s">
        <v>6</v>
      </c>
      <c r="C18" s="30"/>
      <c r="D18" s="189"/>
      <c r="E18" s="77"/>
      <c r="F18" s="228"/>
      <c r="G18" s="196" t="s">
        <v>7</v>
      </c>
      <c r="H18" s="37" t="s">
        <v>7</v>
      </c>
      <c r="I18" s="250"/>
      <c r="J18" s="37"/>
      <c r="K18" s="46" t="s">
        <v>8</v>
      </c>
      <c r="L18" s="46" t="s">
        <v>9</v>
      </c>
      <c r="M18" s="48" t="s">
        <v>8</v>
      </c>
      <c r="N18" s="226"/>
    </row>
    <row r="19">
      <c r="A19" s="49">
        <v>40475.604166666664</v>
      </c>
      <c r="B19" s="197" t="s">
        <v>10</v>
      </c>
      <c r="C19" s="33" t="s">
        <v>7</v>
      </c>
      <c r="D19" s="38" t="s">
        <v>6</v>
      </c>
      <c r="E19" s="139" t="s">
        <v>11</v>
      </c>
      <c r="F19" s="38" t="s">
        <v>6</v>
      </c>
      <c r="G19" s="189" t="s">
        <v>7</v>
      </c>
      <c r="H19" s="189" t="s">
        <v>7</v>
      </c>
      <c r="I19" s="279" t="s">
        <v>7</v>
      </c>
      <c r="J19" s="37"/>
      <c r="K19" s="46" t="s">
        <v>8</v>
      </c>
      <c r="L19" s="46" t="s">
        <v>9</v>
      </c>
      <c r="M19" s="48" t="s">
        <v>8</v>
      </c>
      <c r="N19" s="225" t="s">
        <v>7</v>
      </c>
    </row>
    <row r="20">
      <c r="A20" s="49">
        <v>40475.625</v>
      </c>
      <c r="B20" s="54" t="s">
        <v>7</v>
      </c>
      <c r="C20" s="33" t="s">
        <v>7</v>
      </c>
      <c r="D20" s="38" t="s">
        <v>6</v>
      </c>
      <c r="E20" s="46" t="s">
        <v>11</v>
      </c>
      <c r="F20" s="38" t="s">
        <v>6</v>
      </c>
      <c r="G20" s="196" t="s">
        <v>7</v>
      </c>
      <c r="H20" s="189" t="s">
        <v>7</v>
      </c>
      <c r="I20" s="280" t="s">
        <v>7</v>
      </c>
      <c r="J20" s="37"/>
      <c r="K20" s="46" t="s">
        <v>8</v>
      </c>
      <c r="L20" s="46" t="s">
        <v>9</v>
      </c>
      <c r="M20" s="48" t="s">
        <v>8</v>
      </c>
      <c r="N20" s="225" t="s">
        <v>7</v>
      </c>
    </row>
    <row r="21">
      <c r="A21" s="55">
        <v>40475.645833333336</v>
      </c>
      <c r="B21" s="54" t="s">
        <v>7</v>
      </c>
      <c r="C21" s="33" t="s">
        <v>7</v>
      </c>
      <c r="D21" s="54" t="s">
        <v>6</v>
      </c>
      <c r="E21" s="139" t="s">
        <v>11</v>
      </c>
      <c r="F21" s="54" t="s">
        <v>6</v>
      </c>
      <c r="G21" s="250" t="s">
        <v>7</v>
      </c>
      <c r="H21" s="189" t="s">
        <v>7</v>
      </c>
      <c r="I21" s="280" t="s">
        <v>7</v>
      </c>
      <c r="J21" s="37"/>
      <c r="K21" s="46" t="s">
        <v>8</v>
      </c>
      <c r="L21" s="46" t="s">
        <v>9</v>
      </c>
      <c r="M21" s="48" t="s">
        <v>8</v>
      </c>
      <c r="N21" s="225" t="s">
        <v>7</v>
      </c>
    </row>
    <row r="22">
      <c r="A22" s="55">
        <v>40475.666666666664</v>
      </c>
      <c r="B22" s="139" t="s">
        <v>7</v>
      </c>
      <c r="C22" s="137" t="s">
        <v>7</v>
      </c>
      <c r="D22" s="184" t="s">
        <v>6</v>
      </c>
      <c r="E22" s="46" t="s">
        <v>11</v>
      </c>
      <c r="F22" s="184" t="s">
        <v>6</v>
      </c>
      <c r="G22" s="196" t="s">
        <v>7</v>
      </c>
      <c r="H22" s="189" t="s">
        <v>7</v>
      </c>
      <c r="I22" s="280" t="s">
        <v>7</v>
      </c>
      <c r="J22" s="37"/>
      <c r="K22" s="46" t="s">
        <v>8</v>
      </c>
      <c r="L22" s="46" t="s">
        <v>9</v>
      </c>
      <c r="M22" s="48" t="s">
        <v>8</v>
      </c>
      <c r="N22" s="225" t="s">
        <v>7</v>
      </c>
    </row>
    <row r="23">
      <c r="A23" s="49">
        <v>40475.6875</v>
      </c>
      <c r="B23" s="37" t="s">
        <v>7</v>
      </c>
      <c r="C23" s="30" t="s">
        <v>7</v>
      </c>
      <c r="D23" s="54" t="s">
        <v>6</v>
      </c>
      <c r="E23" s="46" t="s">
        <v>11</v>
      </c>
      <c r="F23" s="54" t="s">
        <v>6</v>
      </c>
      <c r="G23" s="250" t="s">
        <v>7</v>
      </c>
      <c r="H23" s="189" t="s">
        <v>7</v>
      </c>
      <c r="I23" s="279" t="s">
        <v>7</v>
      </c>
      <c r="J23" s="37"/>
      <c r="K23" s="46" t="s">
        <v>8</v>
      </c>
      <c r="L23" s="46" t="s">
        <v>9</v>
      </c>
      <c r="M23" s="48" t="s">
        <v>8</v>
      </c>
      <c r="N23" s="225" t="s">
        <v>7</v>
      </c>
    </row>
    <row r="24">
      <c r="A24" s="49">
        <v>40475.708333333336</v>
      </c>
      <c r="B24" s="51" t="s">
        <v>7</v>
      </c>
      <c r="C24" s="32" t="s">
        <v>7</v>
      </c>
      <c r="D24" s="37" t="s">
        <v>6</v>
      </c>
      <c r="E24" s="46" t="s">
        <v>11</v>
      </c>
      <c r="F24" s="184" t="s">
        <v>6</v>
      </c>
      <c r="G24" s="189"/>
      <c r="H24" s="250"/>
      <c r="I24" s="280" t="s">
        <v>7</v>
      </c>
      <c r="J24" s="37"/>
      <c r="K24" s="46"/>
      <c r="L24" s="46"/>
      <c r="M24" s="48" t="s">
        <v>8</v>
      </c>
      <c r="N24" s="225" t="s">
        <v>7</v>
      </c>
    </row>
    <row r="25">
      <c r="A25" s="55">
        <v>40475.729166666664</v>
      </c>
      <c r="B25" s="58" t="s">
        <v>7</v>
      </c>
      <c r="C25" s="33" t="s">
        <v>10</v>
      </c>
      <c r="D25" s="37" t="s">
        <v>6</v>
      </c>
      <c r="E25" s="46" t="s">
        <v>11</v>
      </c>
      <c r="F25" s="37" t="s">
        <v>6</v>
      </c>
      <c r="G25" s="189"/>
      <c r="H25" s="250"/>
      <c r="I25" s="280" t="s">
        <v>7</v>
      </c>
      <c r="J25" s="37"/>
      <c r="K25" s="46"/>
      <c r="L25" s="46"/>
      <c r="M25" s="48" t="s">
        <v>8</v>
      </c>
      <c r="N25" s="225" t="s">
        <v>7</v>
      </c>
    </row>
    <row r="26">
      <c r="A26" s="55">
        <v>40475.75</v>
      </c>
      <c r="B26" s="37" t="s">
        <v>7</v>
      </c>
      <c r="C26" s="137" t="s">
        <v>11</v>
      </c>
      <c r="D26" s="46" t="s">
        <v>10</v>
      </c>
      <c r="E26" s="46" t="s">
        <v>11</v>
      </c>
      <c r="F26" s="37" t="s">
        <v>6</v>
      </c>
      <c r="G26" s="280"/>
      <c r="H26" s="33"/>
      <c r="I26" s="280" t="s">
        <v>7</v>
      </c>
      <c r="J26" s="37"/>
      <c r="K26" s="46"/>
      <c r="L26" s="228"/>
      <c r="M26" s="48" t="s">
        <v>8</v>
      </c>
      <c r="N26" s="225" t="s">
        <v>7</v>
      </c>
    </row>
    <row r="27">
      <c r="A27" s="49">
        <v>40475.770833333336</v>
      </c>
      <c r="B27" s="46" t="s">
        <v>7</v>
      </c>
      <c r="C27" s="33" t="s">
        <v>11</v>
      </c>
      <c r="D27" s="250" t="s">
        <v>7</v>
      </c>
      <c r="E27" s="46" t="s">
        <v>10</v>
      </c>
      <c r="F27" s="37" t="s">
        <v>6</v>
      </c>
      <c r="G27" s="189"/>
      <c r="H27" s="33"/>
      <c r="I27" s="329" t="s">
        <v>10</v>
      </c>
      <c r="J27" s="46"/>
      <c r="K27" s="46"/>
      <c r="L27" s="228"/>
      <c r="M27" s="48"/>
      <c r="N27" s="228" t="s">
        <v>10</v>
      </c>
    </row>
    <row r="28">
      <c r="A28" s="49">
        <v>40475.791666666664</v>
      </c>
      <c r="B28" s="46"/>
      <c r="C28" s="137" t="s">
        <v>11</v>
      </c>
      <c r="D28" s="281" t="s">
        <v>7</v>
      </c>
      <c r="E28" s="77" t="s">
        <v>6</v>
      </c>
      <c r="F28" s="46" t="s">
        <v>10</v>
      </c>
      <c r="G28" s="186"/>
      <c r="H28" s="33"/>
      <c r="I28" s="280" t="s">
        <v>7</v>
      </c>
      <c r="J28" s="139"/>
      <c r="K28" s="46"/>
      <c r="L28" s="228"/>
      <c r="M28" s="48"/>
      <c r="N28" s="225" t="s">
        <v>7</v>
      </c>
    </row>
    <row r="29">
      <c r="A29" s="55">
        <v>40475.8125</v>
      </c>
      <c r="B29" s="33"/>
      <c r="C29" s="33" t="s">
        <v>11</v>
      </c>
      <c r="D29" s="281" t="s">
        <v>7</v>
      </c>
      <c r="E29" s="38" t="s">
        <v>6</v>
      </c>
      <c r="F29" s="46" t="s">
        <v>7</v>
      </c>
      <c r="G29" s="250"/>
      <c r="H29" s="33"/>
      <c r="I29" s="330" t="s">
        <v>7</v>
      </c>
      <c r="J29" s="46"/>
      <c r="K29" s="48"/>
      <c r="L29" s="228"/>
      <c r="M29" s="48"/>
      <c r="N29" s="228" t="s">
        <v>7</v>
      </c>
    </row>
    <row r="30">
      <c r="A30" s="55">
        <v>40475.833333333336</v>
      </c>
      <c r="B30" s="46"/>
      <c r="C30" s="33" t="s">
        <v>11</v>
      </c>
      <c r="D30" s="282" t="s">
        <v>7</v>
      </c>
      <c r="E30" s="54" t="s">
        <v>6</v>
      </c>
      <c r="F30" s="139" t="s">
        <v>7</v>
      </c>
      <c r="G30" s="250"/>
      <c r="H30" s="33"/>
      <c r="I30" s="280" t="s">
        <v>7</v>
      </c>
      <c r="J30" s="77"/>
      <c r="K30" s="48"/>
      <c r="L30" s="228"/>
      <c r="M30" s="48"/>
      <c r="N30" s="223" t="s">
        <v>7</v>
      </c>
    </row>
    <row r="31">
      <c r="A31" s="49">
        <v>40475.854166666664</v>
      </c>
      <c r="B31" s="46"/>
      <c r="C31" s="33" t="s">
        <v>11</v>
      </c>
      <c r="D31" s="263" t="s">
        <v>7</v>
      </c>
      <c r="E31" s="184" t="s">
        <v>6</v>
      </c>
      <c r="F31" s="37" t="s">
        <v>7</v>
      </c>
      <c r="G31" s="250"/>
      <c r="H31" s="33"/>
      <c r="I31" s="279" t="s">
        <v>7</v>
      </c>
      <c r="J31" s="37"/>
      <c r="K31" s="48"/>
      <c r="L31" s="228"/>
      <c r="M31" s="48"/>
      <c r="N31" s="223" t="s">
        <v>7</v>
      </c>
    </row>
    <row r="32">
      <c r="A32" s="49">
        <v>40475.875</v>
      </c>
      <c r="B32" s="37"/>
      <c r="C32" s="33" t="s">
        <v>11</v>
      </c>
      <c r="D32" s="264" t="s">
        <v>7</v>
      </c>
      <c r="E32" s="54" t="s">
        <v>6</v>
      </c>
      <c r="F32" s="77" t="s">
        <v>7</v>
      </c>
      <c r="G32" s="250"/>
      <c r="H32" s="33"/>
      <c r="I32" s="280" t="s">
        <v>7</v>
      </c>
      <c r="J32" s="77"/>
      <c r="K32" s="48"/>
      <c r="L32" s="228"/>
      <c r="M32" s="48"/>
      <c r="N32" s="223" t="s">
        <v>7</v>
      </c>
    </row>
    <row r="33">
      <c r="A33" s="55">
        <v>40475.895833333336</v>
      </c>
      <c r="B33" s="37"/>
      <c r="C33" s="33" t="s">
        <v>11</v>
      </c>
      <c r="D33" s="263" t="s">
        <v>7</v>
      </c>
      <c r="E33" s="184" t="s">
        <v>6</v>
      </c>
      <c r="F33" s="37" t="s">
        <v>7</v>
      </c>
      <c r="G33" s="189"/>
      <c r="H33" s="33"/>
      <c r="I33" s="280" t="s">
        <v>7</v>
      </c>
      <c r="J33" s="46"/>
      <c r="K33" s="48"/>
      <c r="L33" s="228"/>
      <c r="M33" s="48"/>
      <c r="N33" s="223" t="s">
        <v>7</v>
      </c>
    </row>
    <row r="34">
      <c r="A34" s="55">
        <v>40475.916666666664</v>
      </c>
      <c r="B34" s="37"/>
      <c r="C34" s="33" t="s">
        <v>11</v>
      </c>
      <c r="D34" s="263" t="s">
        <v>7</v>
      </c>
      <c r="E34" s="37" t="s">
        <v>6</v>
      </c>
      <c r="F34" s="189" t="s">
        <v>7</v>
      </c>
      <c r="G34" s="250"/>
      <c r="H34" s="33"/>
      <c r="I34" s="280" t="s">
        <v>7</v>
      </c>
      <c r="J34" s="77"/>
      <c r="K34" s="24"/>
      <c r="L34" s="225"/>
      <c r="M34" s="24"/>
      <c r="N34" s="283" t="s">
        <v>7</v>
      </c>
    </row>
    <row r="35">
      <c r="A35" s="49">
        <v>40475.9375</v>
      </c>
      <c r="B35" s="37"/>
      <c r="C35" s="33" t="s">
        <v>11</v>
      </c>
      <c r="D35" s="281" t="s">
        <v>7</v>
      </c>
      <c r="E35" s="46" t="s">
        <v>6</v>
      </c>
      <c r="F35" s="250" t="s">
        <v>7</v>
      </c>
      <c r="G35" s="250"/>
      <c r="H35" s="33"/>
      <c r="I35" s="189" t="s">
        <v>7</v>
      </c>
      <c r="J35" s="77"/>
      <c r="K35" s="24"/>
      <c r="L35" s="225"/>
      <c r="M35" s="24"/>
      <c r="N35" s="284" t="s">
        <v>7</v>
      </c>
    </row>
    <row r="36">
      <c r="A36" s="49">
        <v>40475.958333333336</v>
      </c>
      <c r="B36" s="266"/>
      <c r="C36" s="30"/>
      <c r="D36" s="225"/>
      <c r="E36" s="77"/>
      <c r="F36" s="226"/>
      <c r="G36" s="233"/>
      <c r="H36" s="267"/>
      <c r="I36" s="267"/>
      <c r="J36" s="83"/>
      <c r="K36" s="37"/>
      <c r="L36" s="225"/>
      <c r="M36" s="24"/>
      <c r="N36" s="232"/>
    </row>
    <row r="37">
      <c r="A37" s="55">
        <v>40475.979166666664</v>
      </c>
      <c r="B37" s="226"/>
      <c r="C37" s="30"/>
      <c r="D37" s="233"/>
      <c r="E37" s="32"/>
      <c r="F37" s="226"/>
      <c r="G37" s="232"/>
      <c r="H37" s="233"/>
      <c r="I37" s="233"/>
      <c r="J37" s="25"/>
      <c r="K37" s="25"/>
      <c r="L37" s="228"/>
      <c r="M37" s="25"/>
      <c r="N37" s="226"/>
    </row>
    <row r="38">
      <c r="A38" s="85" t="s">
        <v>12</v>
      </c>
      <c r="B38" s="253"/>
      <c r="C38" s="30"/>
      <c r="D38" s="267"/>
      <c r="E38" s="88"/>
      <c r="F38" s="253"/>
      <c r="G38" s="253"/>
      <c r="H38" s="233"/>
      <c r="I38" s="233"/>
      <c r="J38" s="25"/>
      <c r="K38" s="83"/>
      <c r="L38" s="225"/>
      <c r="M38" s="83"/>
      <c r="N38" s="233"/>
    </row>
    <row r="39">
      <c r="A39" s="89" t="s">
        <v>13</v>
      </c>
      <c r="B39" s="89">
        <f t="shared" ref="B39:N39" si="1">CONCATENATE(COUNTIF(B4:B38,"MAGAZZINI")+COUNTIF(B4:B38,"PRIMO")+COUNTIF(B4:B38,"RECEPTION")+COUNTIF(B4:B38,"SAGGI")+COUNTIF(B4:B38,"SECONDO")+COUNTIF(B4:B38,"SMART W")+COUNTIF(B4:B38,"STUDIO 1 e 2")+COUNTIF(B4:B38,"MANUTENZ.")+COUNTIF(B4:B38,"UFFICIO")+COUNTIF(B4:B38,"CAMPUS")+COUNTIF(B4:B38,"TEATRO")+COUNTIF(B4:B38,"AMM.ZIONE")+COUNTIF(B4:B38,"FORMAZ-1p")+COUNTIF(B4:B38,"FORMAZ-2p")+COUNTIF(B4:B38,"FORMAZ-rec")+COUNTIF(B4:B38,"WORKSHOP")+COUNTIF(B4:B38,"EVENTO EST."))/2</f>
        <v>8</v>
      </c>
      <c r="C39" s="89">
        <f t="shared" si="1"/>
        <v>8</v>
      </c>
      <c r="D39" s="89">
        <f t="shared" si="1"/>
        <v>8</v>
      </c>
      <c r="E39" s="89">
        <f t="shared" si="1"/>
        <v>8</v>
      </c>
      <c r="F39" s="89">
        <f t="shared" si="1"/>
        <v>8</v>
      </c>
      <c r="G39" s="89">
        <f t="shared" si="1"/>
        <v>8</v>
      </c>
      <c r="H39" s="89">
        <f t="shared" si="1"/>
        <v>8</v>
      </c>
      <c r="I39" s="89">
        <f t="shared" si="1"/>
        <v>8</v>
      </c>
      <c r="J39" s="89">
        <f t="shared" si="1"/>
        <v>0</v>
      </c>
      <c r="K39" s="89">
        <f t="shared" si="1"/>
        <v>8</v>
      </c>
      <c r="L39" s="89">
        <f t="shared" si="1"/>
        <v>8</v>
      </c>
      <c r="M39" s="89">
        <f t="shared" si="1"/>
        <v>9</v>
      </c>
      <c r="N39" s="89">
        <f t="shared" si="1"/>
        <v>8</v>
      </c>
    </row>
  </sheetData>
  <mergeCells count="4">
    <mergeCell ref="B1:C2"/>
    <mergeCell ref="D1:E2"/>
    <mergeCell ref="F1:F2"/>
    <mergeCell ref="G1:N2"/>
  </mergeCells>
  <conditionalFormatting sqref="B4:G38 H17:H33">
    <cfRule type="containsText" dxfId="5" priority="1" operator="containsText" text="PERMESSO">
      <formula>NOT(ISERROR(SEARCH(("PERMESSO"),(B4))))</formula>
    </cfRule>
  </conditionalFormatting>
  <conditionalFormatting sqref="B4:N38">
    <cfRule type="containsText" dxfId="1" priority="2" operator="containsText" text="MALATTIA">
      <formula>NOT(ISERROR(SEARCH(("MALATTIA"),(B4))))</formula>
    </cfRule>
  </conditionalFormatting>
  <conditionalFormatting sqref="B4:N38">
    <cfRule type="containsText" dxfId="2" priority="3" operator="containsText" text="FORMAZ">
      <formula>NOT(ISERROR(SEARCH(("FORMAZ"),(B4))))</formula>
    </cfRule>
  </conditionalFormatting>
  <conditionalFormatting sqref="B4:N38">
    <cfRule type="containsText" dxfId="3" priority="4" operator="containsText" text="AMM.ZIONE">
      <formula>NOT(ISERROR(SEARCH(("AMM.ZIONE"),(B4))))</formula>
    </cfRule>
  </conditionalFormatting>
  <conditionalFormatting sqref="B4:N38">
    <cfRule type="containsText" dxfId="4" priority="5" operator="containsText" text="PAUSA">
      <formula>NOT(ISERROR(SEARCH(("PAUSA"),(B4))))</formula>
    </cfRule>
  </conditionalFormatting>
  <conditionalFormatting sqref="B4:N38">
    <cfRule type="containsText" dxfId="0" priority="6" operator="containsText" text="PERMESSO">
      <formula>NOT(ISERROR(SEARCH(("PERMESSO"),(B4))))</formula>
    </cfRule>
  </conditionalFormatting>
  <conditionalFormatting sqref="B4:N38">
    <cfRule type="containsText" dxfId="6" priority="7" operator="containsText" text="UFFICIO">
      <formula>NOT(ISERROR(SEARCH(("UFFICIO"),(B4))))</formula>
    </cfRule>
  </conditionalFormatting>
  <conditionalFormatting sqref="B4:N38">
    <cfRule type="containsText" dxfId="7" priority="8" operator="containsText" text="RIPOSO">
      <formula>NOT(ISERROR(SEARCH(("RIPOSO"),(B4))))</formula>
    </cfRule>
  </conditionalFormatting>
  <dataValidations>
    <dataValidation type="list" allowBlank="1" showInputMessage="1" showErrorMessage="1" prompt="Fai clic e immetti un valore da intervallo elenchi!A1:A30" sqref="B4:N38">
      <formula1>elenchi!$A$1:$A$30</formula1>
    </dataValidation>
  </dataValidations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C78D8"/>
    <outlinePr summaryBelow="0" summaryRight="0"/>
  </sheetPr>
  <sheetViews>
    <sheetView workbookViewId="0">
      <pane xSplit="1.0" ySplit="3.0" topLeftCell="B4" activePane="bottomRight" state="frozen"/>
      <selection activeCell="B1" sqref="B1" pane="topRight"/>
      <selection activeCell="A4" sqref="A4" pane="bottomLeft"/>
      <selection activeCell="B4" sqref="B4" pane="bottomRight"/>
    </sheetView>
  </sheetViews>
  <sheetFormatPr customHeight="1" defaultColWidth="14.43" defaultRowHeight="15.0"/>
  <cols>
    <col customWidth="1" min="1" max="1" width="10.14"/>
    <col customWidth="1" min="2" max="14" width="18.71"/>
  </cols>
  <sheetData>
    <row r="1">
      <c r="A1" s="324"/>
      <c r="B1" s="2" t="s">
        <v>16</v>
      </c>
      <c r="C1" s="3"/>
      <c r="D1" s="325" t="str">
        <f>elenchi!C5</f>
        <v>  SETTIMANA - E</v>
      </c>
      <c r="E1" s="5"/>
      <c r="F1" s="326" t="s">
        <v>24</v>
      </c>
      <c r="G1" s="327" t="str">
        <f>elenchi!D5</f>
        <v>LUNEDI 13 A DOMENICA 19 APRILE 2026</v>
      </c>
      <c r="H1" s="5"/>
      <c r="I1" s="5"/>
      <c r="J1" s="5"/>
      <c r="K1" s="5"/>
      <c r="L1" s="5"/>
      <c r="M1" s="5"/>
      <c r="N1" s="3"/>
    </row>
    <row r="2">
      <c r="A2" s="324"/>
      <c r="B2" s="8"/>
      <c r="C2" s="9"/>
      <c r="D2" s="8"/>
      <c r="E2" s="10"/>
      <c r="F2" s="10"/>
      <c r="G2" s="10"/>
      <c r="H2" s="10"/>
      <c r="I2" s="10"/>
      <c r="J2" s="10"/>
      <c r="K2" s="10"/>
      <c r="L2" s="10"/>
      <c r="M2" s="10"/>
      <c r="N2" s="9"/>
    </row>
    <row r="3">
      <c r="A3" s="11" t="s">
        <v>2</v>
      </c>
      <c r="B3" s="11" t="str">
        <f>elenchi!B1</f>
        <v>ALEXANDRA</v>
      </c>
      <c r="C3" s="11" t="str">
        <f>elenchi!B2</f>
        <v>GIUDITTA</v>
      </c>
      <c r="D3" s="11" t="str">
        <f>elenchi!B3</f>
        <v>ESTEFANY</v>
      </c>
      <c r="E3" s="12" t="str">
        <f>elenchi!B4</f>
        <v>NURA</v>
      </c>
      <c r="F3" s="12" t="str">
        <f>elenchi!B5</f>
        <v/>
      </c>
      <c r="G3" s="12" t="str">
        <f>elenchi!B6</f>
        <v>JOEL</v>
      </c>
      <c r="H3" s="13" t="str">
        <f>elenchi!B7</f>
        <v>KEVIN</v>
      </c>
      <c r="I3" s="14" t="str">
        <f>elenchi!B8</f>
        <v>JASIR</v>
      </c>
      <c r="J3" s="15" t="str">
        <f>elenchi!B9</f>
        <v>DIEGO</v>
      </c>
      <c r="K3" s="15" t="str">
        <f>elenchi!B10</f>
        <v>SARA</v>
      </c>
      <c r="L3" s="12" t="str">
        <f>elenchi!B11</f>
        <v>SANTO</v>
      </c>
      <c r="M3" s="12" t="str">
        <f>elenchi!B12</f>
        <v>MASSI</v>
      </c>
      <c r="N3" s="12" t="str">
        <f>elenchi!B13</f>
        <v/>
      </c>
    </row>
    <row r="4">
      <c r="A4" s="16" t="s">
        <v>3</v>
      </c>
      <c r="B4" s="225"/>
      <c r="C4" s="20"/>
      <c r="D4" s="286"/>
      <c r="E4" s="20"/>
      <c r="F4" s="20"/>
      <c r="G4" s="287"/>
      <c r="H4" s="268"/>
      <c r="I4" s="24"/>
      <c r="J4" s="25"/>
      <c r="K4" s="199"/>
      <c r="L4" s="27"/>
      <c r="M4" s="17"/>
      <c r="N4" s="199"/>
    </row>
    <row r="5">
      <c r="A5" s="28" t="s">
        <v>4</v>
      </c>
      <c r="B5" s="288"/>
      <c r="C5" s="32"/>
      <c r="D5" s="289"/>
      <c r="E5" s="32"/>
      <c r="F5" s="32"/>
      <c r="G5" s="290"/>
      <c r="H5" s="268"/>
      <c r="I5" s="24"/>
      <c r="J5" s="25"/>
      <c r="K5" s="199"/>
      <c r="L5" s="27"/>
      <c r="M5" s="17"/>
      <c r="N5" s="199"/>
    </row>
    <row r="6">
      <c r="A6" s="28" t="s">
        <v>5</v>
      </c>
      <c r="B6" s="288"/>
      <c r="C6" s="32"/>
      <c r="D6" s="289"/>
      <c r="E6" s="32"/>
      <c r="F6" s="264"/>
      <c r="G6" s="290"/>
      <c r="H6" s="198"/>
      <c r="I6" s="36"/>
      <c r="J6" s="37"/>
      <c r="K6" s="38"/>
      <c r="L6" s="27"/>
      <c r="M6" s="17"/>
      <c r="N6" s="199"/>
    </row>
    <row r="7">
      <c r="A7" s="39">
        <v>40475.354166666664</v>
      </c>
      <c r="B7" s="291"/>
      <c r="C7" s="32"/>
      <c r="D7" s="270"/>
      <c r="E7" s="182" t="s">
        <v>6</v>
      </c>
      <c r="F7" s="185"/>
      <c r="G7" s="331"/>
      <c r="H7" s="182"/>
      <c r="I7" s="182" t="s">
        <v>7</v>
      </c>
      <c r="J7" s="37"/>
      <c r="K7" s="46" t="s">
        <v>8</v>
      </c>
      <c r="L7" s="47" t="s">
        <v>9</v>
      </c>
      <c r="M7" s="48"/>
      <c r="N7" s="35"/>
    </row>
    <row r="8">
      <c r="A8" s="49">
        <v>40475.375</v>
      </c>
      <c r="B8" s="136"/>
      <c r="C8" s="32"/>
      <c r="D8" s="242"/>
      <c r="E8" s="183" t="s">
        <v>6</v>
      </c>
      <c r="F8" s="185"/>
      <c r="G8" s="77"/>
      <c r="H8" s="185"/>
      <c r="I8" s="185" t="s">
        <v>7</v>
      </c>
      <c r="J8" s="37"/>
      <c r="K8" s="46" t="s">
        <v>8</v>
      </c>
      <c r="L8" s="54" t="s">
        <v>9</v>
      </c>
      <c r="M8" s="48"/>
      <c r="N8" s="26"/>
    </row>
    <row r="9">
      <c r="A9" s="55">
        <v>40475.395833333336</v>
      </c>
      <c r="B9" s="136"/>
      <c r="C9" s="32"/>
      <c r="D9" s="243"/>
      <c r="E9" s="182" t="s">
        <v>6</v>
      </c>
      <c r="F9" s="185"/>
      <c r="G9" s="77"/>
      <c r="H9" s="185"/>
      <c r="I9" s="185" t="s">
        <v>7</v>
      </c>
      <c r="J9" s="37"/>
      <c r="K9" s="46" t="s">
        <v>8</v>
      </c>
      <c r="L9" s="54" t="s">
        <v>9</v>
      </c>
      <c r="M9" s="48"/>
      <c r="N9" s="35"/>
    </row>
    <row r="10">
      <c r="A10" s="55">
        <v>40475.416666666664</v>
      </c>
      <c r="B10" s="136"/>
      <c r="C10" s="32"/>
      <c r="D10" s="242"/>
      <c r="E10" s="183" t="s">
        <v>6</v>
      </c>
      <c r="F10" s="195"/>
      <c r="G10" s="37"/>
      <c r="H10" s="185"/>
      <c r="I10" s="185" t="s">
        <v>7</v>
      </c>
      <c r="J10" s="37"/>
      <c r="K10" s="46" t="s">
        <v>8</v>
      </c>
      <c r="L10" s="54" t="s">
        <v>9</v>
      </c>
      <c r="M10" s="48" t="s">
        <v>8</v>
      </c>
      <c r="N10" s="26"/>
    </row>
    <row r="11">
      <c r="A11" s="49">
        <v>40475.4375</v>
      </c>
      <c r="B11" s="136"/>
      <c r="C11" s="30"/>
      <c r="D11" s="293" t="s">
        <v>7</v>
      </c>
      <c r="E11" s="293" t="s">
        <v>6</v>
      </c>
      <c r="F11" s="183"/>
      <c r="G11" s="44"/>
      <c r="H11" s="185"/>
      <c r="I11" s="185" t="s">
        <v>7</v>
      </c>
      <c r="J11" s="37"/>
      <c r="K11" s="46" t="s">
        <v>8</v>
      </c>
      <c r="L11" s="46" t="s">
        <v>9</v>
      </c>
      <c r="M11" s="48" t="s">
        <v>8</v>
      </c>
      <c r="N11" s="35"/>
    </row>
    <row r="12">
      <c r="A12" s="49">
        <v>40475.458333333336</v>
      </c>
      <c r="B12" s="136"/>
      <c r="C12" s="32"/>
      <c r="D12" s="183" t="s">
        <v>7</v>
      </c>
      <c r="E12" s="185" t="s">
        <v>6</v>
      </c>
      <c r="F12" s="185"/>
      <c r="G12" s="57"/>
      <c r="H12" s="185"/>
      <c r="I12" s="185" t="s">
        <v>7</v>
      </c>
      <c r="J12" s="37"/>
      <c r="K12" s="46" t="s">
        <v>8</v>
      </c>
      <c r="L12" s="46" t="s">
        <v>9</v>
      </c>
      <c r="M12" s="48" t="s">
        <v>8</v>
      </c>
      <c r="N12" s="35"/>
    </row>
    <row r="13">
      <c r="A13" s="55">
        <v>40475.479166666664</v>
      </c>
      <c r="B13" s="57"/>
      <c r="C13" s="32"/>
      <c r="D13" s="183" t="s">
        <v>7</v>
      </c>
      <c r="E13" s="293" t="s">
        <v>6</v>
      </c>
      <c r="F13" s="183"/>
      <c r="G13" s="59"/>
      <c r="H13" s="185"/>
      <c r="I13" s="185" t="s">
        <v>7</v>
      </c>
      <c r="J13" s="37"/>
      <c r="K13" s="46" t="s">
        <v>8</v>
      </c>
      <c r="L13" s="46" t="s">
        <v>9</v>
      </c>
      <c r="M13" s="48" t="s">
        <v>8</v>
      </c>
      <c r="N13" s="26"/>
    </row>
    <row r="14">
      <c r="A14" s="55">
        <v>40475.5</v>
      </c>
      <c r="B14" s="58"/>
      <c r="C14" s="33"/>
      <c r="D14" s="183" t="s">
        <v>7</v>
      </c>
      <c r="E14" s="183" t="s">
        <v>6</v>
      </c>
      <c r="F14" s="183"/>
      <c r="G14" s="57"/>
      <c r="H14" s="185"/>
      <c r="I14" s="185" t="s">
        <v>7</v>
      </c>
      <c r="J14" s="37"/>
      <c r="K14" s="46" t="s">
        <v>10</v>
      </c>
      <c r="L14" s="46" t="s">
        <v>9</v>
      </c>
      <c r="M14" s="48" t="s">
        <v>8</v>
      </c>
      <c r="N14" s="35"/>
    </row>
    <row r="15">
      <c r="A15" s="49">
        <v>40475.520833333336</v>
      </c>
      <c r="B15" s="58"/>
      <c r="C15" s="32"/>
      <c r="D15" s="195" t="s">
        <v>6</v>
      </c>
      <c r="E15" s="293" t="s">
        <v>10</v>
      </c>
      <c r="F15" s="183"/>
      <c r="G15" s="57"/>
      <c r="H15" s="185"/>
      <c r="I15" s="185" t="s">
        <v>7</v>
      </c>
      <c r="J15" s="37"/>
      <c r="K15" s="46" t="s">
        <v>8</v>
      </c>
      <c r="L15" s="46" t="s">
        <v>9</v>
      </c>
      <c r="M15" s="48" t="s">
        <v>8</v>
      </c>
      <c r="N15" s="35"/>
    </row>
    <row r="16">
      <c r="A16" s="49">
        <v>40475.541666666664</v>
      </c>
      <c r="B16" s="185"/>
      <c r="C16" s="30"/>
      <c r="D16" s="183" t="s">
        <v>6</v>
      </c>
      <c r="E16" s="183" t="s">
        <v>7</v>
      </c>
      <c r="F16" s="185"/>
      <c r="G16" s="57"/>
      <c r="H16" s="185"/>
      <c r="I16" s="185" t="s">
        <v>7</v>
      </c>
      <c r="J16" s="37"/>
      <c r="K16" s="46" t="s">
        <v>8</v>
      </c>
      <c r="L16" s="46" t="s">
        <v>10</v>
      </c>
      <c r="M16" s="48" t="s">
        <v>10</v>
      </c>
      <c r="N16" s="35"/>
    </row>
    <row r="17">
      <c r="A17" s="55">
        <v>40475.5625</v>
      </c>
      <c r="B17" s="185"/>
      <c r="C17" s="32"/>
      <c r="D17" s="183" t="s">
        <v>6</v>
      </c>
      <c r="E17" s="293" t="s">
        <v>7</v>
      </c>
      <c r="F17" s="183"/>
      <c r="G17" s="52"/>
      <c r="H17" s="185"/>
      <c r="I17" s="185" t="s">
        <v>7</v>
      </c>
      <c r="J17" s="37"/>
      <c r="K17" s="46" t="s">
        <v>8</v>
      </c>
      <c r="L17" s="46" t="s">
        <v>9</v>
      </c>
      <c r="M17" s="48" t="s">
        <v>8</v>
      </c>
      <c r="N17" s="26"/>
    </row>
    <row r="18">
      <c r="A18" s="55">
        <v>40475.583333333336</v>
      </c>
      <c r="B18" s="185"/>
      <c r="C18" s="30"/>
      <c r="D18" s="183" t="s">
        <v>6</v>
      </c>
      <c r="E18" s="183" t="s">
        <v>7</v>
      </c>
      <c r="F18" s="183"/>
      <c r="G18" s="185"/>
      <c r="H18" s="185"/>
      <c r="I18" s="185" t="s">
        <v>7</v>
      </c>
      <c r="J18" s="37"/>
      <c r="K18" s="46" t="s">
        <v>8</v>
      </c>
      <c r="L18" s="46" t="s">
        <v>9</v>
      </c>
      <c r="M18" s="48" t="s">
        <v>8</v>
      </c>
      <c r="N18" s="26"/>
    </row>
    <row r="19">
      <c r="A19" s="49">
        <v>40475.604166666664</v>
      </c>
      <c r="B19" s="185" t="s">
        <v>7</v>
      </c>
      <c r="C19" s="33" t="s">
        <v>6</v>
      </c>
      <c r="D19" s="183" t="s">
        <v>10</v>
      </c>
      <c r="E19" s="293" t="s">
        <v>7</v>
      </c>
      <c r="F19" s="67" t="s">
        <v>6</v>
      </c>
      <c r="G19" s="183" t="s">
        <v>11</v>
      </c>
      <c r="H19" s="183" t="s">
        <v>7</v>
      </c>
      <c r="I19" s="185" t="s">
        <v>10</v>
      </c>
      <c r="J19" s="37"/>
      <c r="K19" s="46" t="s">
        <v>8</v>
      </c>
      <c r="L19" s="46" t="s">
        <v>9</v>
      </c>
      <c r="M19" s="48" t="s">
        <v>8</v>
      </c>
      <c r="N19" s="26" t="s">
        <v>7</v>
      </c>
    </row>
    <row r="20">
      <c r="A20" s="49">
        <v>40475.625</v>
      </c>
      <c r="B20" s="185" t="s">
        <v>7</v>
      </c>
      <c r="C20" s="33" t="s">
        <v>6</v>
      </c>
      <c r="D20" s="67" t="s">
        <v>7</v>
      </c>
      <c r="E20" s="183" t="s">
        <v>7</v>
      </c>
      <c r="F20" s="67" t="s">
        <v>6</v>
      </c>
      <c r="G20" s="183" t="s">
        <v>11</v>
      </c>
      <c r="H20" s="185" t="s">
        <v>7</v>
      </c>
      <c r="I20" s="185" t="s">
        <v>7</v>
      </c>
      <c r="J20" s="37"/>
      <c r="K20" s="46" t="s">
        <v>8</v>
      </c>
      <c r="L20" s="46" t="s">
        <v>9</v>
      </c>
      <c r="M20" s="48" t="s">
        <v>8</v>
      </c>
      <c r="N20" s="35" t="s">
        <v>7</v>
      </c>
    </row>
    <row r="21">
      <c r="A21" s="55">
        <v>40475.645833333336</v>
      </c>
      <c r="B21" s="185" t="s">
        <v>7</v>
      </c>
      <c r="C21" s="137" t="s">
        <v>6</v>
      </c>
      <c r="D21" s="185" t="s">
        <v>7</v>
      </c>
      <c r="E21" s="182" t="s">
        <v>7</v>
      </c>
      <c r="F21" s="195" t="s">
        <v>6</v>
      </c>
      <c r="G21" s="183" t="s">
        <v>11</v>
      </c>
      <c r="H21" s="183" t="s">
        <v>7</v>
      </c>
      <c r="I21" s="185" t="s">
        <v>7</v>
      </c>
      <c r="J21" s="37"/>
      <c r="K21" s="46" t="s">
        <v>8</v>
      </c>
      <c r="L21" s="46" t="s">
        <v>9</v>
      </c>
      <c r="M21" s="48" t="s">
        <v>8</v>
      </c>
      <c r="N21" s="26" t="s">
        <v>7</v>
      </c>
    </row>
    <row r="22">
      <c r="A22" s="55">
        <v>40475.666666666664</v>
      </c>
      <c r="B22" s="67" t="s">
        <v>7</v>
      </c>
      <c r="C22" s="137" t="s">
        <v>6</v>
      </c>
      <c r="D22" s="185" t="s">
        <v>7</v>
      </c>
      <c r="E22" s="183" t="s">
        <v>7</v>
      </c>
      <c r="F22" s="195" t="s">
        <v>6</v>
      </c>
      <c r="G22" s="183" t="s">
        <v>11</v>
      </c>
      <c r="H22" s="185" t="s">
        <v>7</v>
      </c>
      <c r="I22" s="185" t="s">
        <v>7</v>
      </c>
      <c r="J22" s="37"/>
      <c r="K22" s="46" t="s">
        <v>8</v>
      </c>
      <c r="L22" s="46" t="s">
        <v>9</v>
      </c>
      <c r="M22" s="48" t="s">
        <v>8</v>
      </c>
      <c r="N22" s="35" t="s">
        <v>7</v>
      </c>
    </row>
    <row r="23">
      <c r="A23" s="49">
        <v>40475.6875</v>
      </c>
      <c r="B23" s="67" t="s">
        <v>7</v>
      </c>
      <c r="C23" s="137" t="s">
        <v>6</v>
      </c>
      <c r="D23" s="185" t="s">
        <v>7</v>
      </c>
      <c r="E23" s="182" t="s">
        <v>7</v>
      </c>
      <c r="F23" s="195" t="s">
        <v>6</v>
      </c>
      <c r="G23" s="183" t="s">
        <v>11</v>
      </c>
      <c r="H23" s="183" t="s">
        <v>7</v>
      </c>
      <c r="I23" s="185" t="s">
        <v>7</v>
      </c>
      <c r="J23" s="37"/>
      <c r="K23" s="46" t="s">
        <v>8</v>
      </c>
      <c r="L23" s="46" t="s">
        <v>9</v>
      </c>
      <c r="M23" s="48" t="s">
        <v>8</v>
      </c>
      <c r="N23" s="26" t="s">
        <v>7</v>
      </c>
    </row>
    <row r="24">
      <c r="A24" s="49">
        <v>40475.708333333336</v>
      </c>
      <c r="B24" s="67" t="s">
        <v>7</v>
      </c>
      <c r="C24" s="137" t="s">
        <v>6</v>
      </c>
      <c r="D24" s="67" t="s">
        <v>7</v>
      </c>
      <c r="E24" s="183"/>
      <c r="F24" s="248" t="s">
        <v>6</v>
      </c>
      <c r="G24" s="185" t="s">
        <v>11</v>
      </c>
      <c r="H24" s="293" t="s">
        <v>7</v>
      </c>
      <c r="I24" s="182"/>
      <c r="J24" s="37"/>
      <c r="K24" s="46"/>
      <c r="L24" s="46"/>
      <c r="M24" s="48" t="s">
        <v>8</v>
      </c>
      <c r="N24" s="26" t="s">
        <v>7</v>
      </c>
    </row>
    <row r="25">
      <c r="A25" s="55">
        <v>40475.729166666664</v>
      </c>
      <c r="B25" s="67" t="s">
        <v>7</v>
      </c>
      <c r="C25" s="137" t="s">
        <v>10</v>
      </c>
      <c r="D25" s="67" t="s">
        <v>7</v>
      </c>
      <c r="E25" s="185"/>
      <c r="F25" s="139" t="s">
        <v>6</v>
      </c>
      <c r="G25" s="185" t="s">
        <v>11</v>
      </c>
      <c r="H25" s="77" t="s">
        <v>7</v>
      </c>
      <c r="I25" s="37"/>
      <c r="J25" s="37"/>
      <c r="K25" s="46"/>
      <c r="L25" s="46"/>
      <c r="M25" s="48" t="s">
        <v>8</v>
      </c>
      <c r="N25" s="26" t="s">
        <v>7</v>
      </c>
    </row>
    <row r="26">
      <c r="A26" s="55">
        <v>40475.75</v>
      </c>
      <c r="B26" s="67" t="s">
        <v>10</v>
      </c>
      <c r="C26" s="33" t="s">
        <v>7</v>
      </c>
      <c r="D26" s="67" t="s">
        <v>7</v>
      </c>
      <c r="E26" s="184"/>
      <c r="F26" s="46" t="s">
        <v>6</v>
      </c>
      <c r="G26" s="185" t="s">
        <v>11</v>
      </c>
      <c r="H26" s="77" t="s">
        <v>7</v>
      </c>
      <c r="I26" s="77"/>
      <c r="J26" s="37"/>
      <c r="K26" s="46"/>
      <c r="L26" s="46"/>
      <c r="M26" s="48" t="s">
        <v>8</v>
      </c>
      <c r="N26" s="26" t="s">
        <v>7</v>
      </c>
    </row>
    <row r="27">
      <c r="A27" s="49">
        <v>40475.770833333336</v>
      </c>
      <c r="B27" s="185" t="s">
        <v>11</v>
      </c>
      <c r="C27" s="33" t="s">
        <v>7</v>
      </c>
      <c r="D27" s="67" t="s">
        <v>7</v>
      </c>
      <c r="E27" s="189"/>
      <c r="F27" s="46" t="s">
        <v>6</v>
      </c>
      <c r="G27" s="67" t="s">
        <v>10</v>
      </c>
      <c r="H27" s="37" t="s">
        <v>7</v>
      </c>
      <c r="I27" s="37"/>
      <c r="J27" s="46"/>
      <c r="K27" s="46"/>
      <c r="L27" s="46"/>
      <c r="M27" s="48"/>
      <c r="N27" s="35" t="s">
        <v>7</v>
      </c>
    </row>
    <row r="28">
      <c r="A28" s="49">
        <v>40475.791666666664</v>
      </c>
      <c r="B28" s="37" t="s">
        <v>11</v>
      </c>
      <c r="C28" s="33" t="s">
        <v>7</v>
      </c>
      <c r="D28" s="37"/>
      <c r="E28" s="250"/>
      <c r="F28" s="46" t="s">
        <v>10</v>
      </c>
      <c r="G28" s="312" t="s">
        <v>6</v>
      </c>
      <c r="H28" s="37" t="s">
        <v>10</v>
      </c>
      <c r="I28" s="77"/>
      <c r="J28" s="139"/>
      <c r="K28" s="48"/>
      <c r="L28" s="46"/>
      <c r="M28" s="48"/>
      <c r="N28" s="35" t="s">
        <v>10</v>
      </c>
    </row>
    <row r="29">
      <c r="A29" s="55">
        <v>40475.8125</v>
      </c>
      <c r="B29" s="184" t="s">
        <v>11</v>
      </c>
      <c r="C29" s="30" t="s">
        <v>7</v>
      </c>
      <c r="D29" s="139"/>
      <c r="E29" s="189"/>
      <c r="F29" s="37" t="s">
        <v>7</v>
      </c>
      <c r="G29" s="315" t="s">
        <v>6</v>
      </c>
      <c r="H29" s="37" t="s">
        <v>11</v>
      </c>
      <c r="I29" s="37"/>
      <c r="J29" s="46"/>
      <c r="K29" s="48"/>
      <c r="L29" s="46"/>
      <c r="M29" s="48"/>
      <c r="N29" s="35" t="s">
        <v>11</v>
      </c>
    </row>
    <row r="30">
      <c r="A30" s="55">
        <v>40475.833333333336</v>
      </c>
      <c r="B30" s="37" t="s">
        <v>11</v>
      </c>
      <c r="C30" s="30" t="s">
        <v>7</v>
      </c>
      <c r="D30" s="46"/>
      <c r="E30" s="189"/>
      <c r="F30" s="37" t="s">
        <v>7</v>
      </c>
      <c r="G30" s="315" t="s">
        <v>6</v>
      </c>
      <c r="H30" s="37" t="s">
        <v>11</v>
      </c>
      <c r="I30" s="77"/>
      <c r="J30" s="77"/>
      <c r="K30" s="48"/>
      <c r="L30" s="46"/>
      <c r="M30" s="48"/>
      <c r="N30" s="27" t="s">
        <v>11</v>
      </c>
    </row>
    <row r="31">
      <c r="A31" s="49">
        <v>40475.854166666664</v>
      </c>
      <c r="B31" s="37" t="s">
        <v>11</v>
      </c>
      <c r="C31" s="30" t="s">
        <v>7</v>
      </c>
      <c r="D31" s="139"/>
      <c r="E31" s="250"/>
      <c r="F31" s="37" t="s">
        <v>7</v>
      </c>
      <c r="G31" s="315" t="s">
        <v>6</v>
      </c>
      <c r="H31" s="37" t="s">
        <v>11</v>
      </c>
      <c r="I31" s="37"/>
      <c r="J31" s="37"/>
      <c r="K31" s="48"/>
      <c r="L31" s="46"/>
      <c r="M31" s="48"/>
      <c r="N31" s="27" t="s">
        <v>11</v>
      </c>
    </row>
    <row r="32">
      <c r="A32" s="49">
        <v>40475.875</v>
      </c>
      <c r="B32" s="37" t="s">
        <v>11</v>
      </c>
      <c r="C32" s="30" t="s">
        <v>7</v>
      </c>
      <c r="D32" s="46"/>
      <c r="E32" s="189"/>
      <c r="F32" s="37" t="s">
        <v>7</v>
      </c>
      <c r="G32" s="315" t="s">
        <v>6</v>
      </c>
      <c r="H32" s="37" t="s">
        <v>11</v>
      </c>
      <c r="I32" s="77"/>
      <c r="J32" s="77"/>
      <c r="K32" s="48"/>
      <c r="L32" s="46"/>
      <c r="M32" s="48"/>
      <c r="N32" s="35" t="s">
        <v>11</v>
      </c>
    </row>
    <row r="33">
      <c r="A33" s="55">
        <v>40475.895833333336</v>
      </c>
      <c r="B33" s="46" t="s">
        <v>11</v>
      </c>
      <c r="C33" s="30" t="s">
        <v>7</v>
      </c>
      <c r="D33" s="46"/>
      <c r="E33" s="189"/>
      <c r="F33" s="37" t="s">
        <v>7</v>
      </c>
      <c r="G33" s="315" t="s">
        <v>6</v>
      </c>
      <c r="H33" s="37" t="s">
        <v>11</v>
      </c>
      <c r="I33" s="77"/>
      <c r="J33" s="46"/>
      <c r="K33" s="48"/>
      <c r="L33" s="46"/>
      <c r="M33" s="48"/>
      <c r="N33" s="35" t="s">
        <v>11</v>
      </c>
    </row>
    <row r="34">
      <c r="A34" s="55">
        <v>40475.916666666664</v>
      </c>
      <c r="B34" s="37" t="s">
        <v>11</v>
      </c>
      <c r="C34" s="30" t="s">
        <v>7</v>
      </c>
      <c r="D34" s="281"/>
      <c r="E34" s="33"/>
      <c r="F34" s="30" t="s">
        <v>7</v>
      </c>
      <c r="G34" s="265" t="s">
        <v>6</v>
      </c>
      <c r="H34" s="24" t="s">
        <v>11</v>
      </c>
      <c r="I34" s="17"/>
      <c r="J34" s="77"/>
      <c r="K34" s="24"/>
      <c r="L34" s="24"/>
      <c r="M34" s="24"/>
      <c r="N34" s="35" t="s">
        <v>11</v>
      </c>
    </row>
    <row r="35">
      <c r="A35" s="49">
        <v>40475.9375</v>
      </c>
      <c r="B35" s="46" t="s">
        <v>11</v>
      </c>
      <c r="C35" s="33" t="s">
        <v>7</v>
      </c>
      <c r="D35" s="281"/>
      <c r="E35" s="33"/>
      <c r="F35" s="33" t="s">
        <v>7</v>
      </c>
      <c r="G35" s="265" t="s">
        <v>6</v>
      </c>
      <c r="H35" s="24" t="s">
        <v>11</v>
      </c>
      <c r="I35" s="17"/>
      <c r="J35" s="77"/>
      <c r="K35" s="24"/>
      <c r="L35" s="24"/>
      <c r="M35" s="24"/>
      <c r="N35" s="35" t="s">
        <v>11</v>
      </c>
    </row>
    <row r="36">
      <c r="A36" s="49">
        <v>40475.958333333336</v>
      </c>
      <c r="B36" s="296"/>
      <c r="C36" s="30"/>
      <c r="D36" s="289"/>
      <c r="E36" s="41"/>
      <c r="F36" s="41"/>
      <c r="G36" s="297"/>
      <c r="H36" s="278"/>
      <c r="I36" s="37"/>
      <c r="J36" s="83"/>
      <c r="K36" s="37"/>
      <c r="L36" s="24"/>
      <c r="M36" s="24"/>
      <c r="N36" s="199"/>
    </row>
    <row r="37">
      <c r="A37" s="55">
        <v>40475.979166666664</v>
      </c>
      <c r="B37" s="288"/>
      <c r="C37" s="41"/>
      <c r="D37" s="289"/>
      <c r="E37" s="32"/>
      <c r="F37" s="32"/>
      <c r="G37" s="289"/>
      <c r="H37" s="268"/>
      <c r="I37" s="25"/>
      <c r="J37" s="25"/>
      <c r="K37" s="25"/>
      <c r="L37" s="48"/>
      <c r="M37" s="25"/>
      <c r="N37" s="199"/>
    </row>
    <row r="38">
      <c r="A38" s="85" t="s">
        <v>12</v>
      </c>
      <c r="B38" s="296"/>
      <c r="C38" s="88"/>
      <c r="D38" s="298"/>
      <c r="E38" s="88"/>
      <c r="F38" s="88"/>
      <c r="G38" s="299"/>
      <c r="H38" s="268"/>
      <c r="I38" s="25"/>
      <c r="J38" s="25"/>
      <c r="K38" s="83"/>
      <c r="L38" s="24"/>
      <c r="M38" s="83"/>
      <c r="N38" s="268"/>
    </row>
    <row r="39">
      <c r="A39" s="89" t="s">
        <v>13</v>
      </c>
      <c r="B39" s="89">
        <f t="shared" ref="B39:N39" si="1">CONCATENATE(COUNTIF(B4:B38,"MAGAZZINI")+COUNTIF(B4:B38,"PRIMO")+COUNTIF(B4:B38,"RECEPTION")+COUNTIF(B4:B38,"SAGGI")+COUNTIF(B4:B38,"SECONDO")+COUNTIF(B4:B38,"SMART W")+COUNTIF(B4:B38,"STUDIO 1 e 2")+COUNTIF(B4:B38,"MANUTENZ.")+COUNTIF(B4:B38,"UFFICIO")+COUNTIF(B4:B38,"CAMPUS")+COUNTIF(B4:B38,"TEATRO")+COUNTIF(B4:B38,"AMM.ZIONE")+COUNTIF(B4:B38,"FORMAZ-1p")+COUNTIF(B4:B38,"FORMAZ-2p")+COUNTIF(B4:B38,"FORMAZ-rec")+COUNTIF(B4:B38,"WORKSHOP")+COUNTIF(B4:B38,"EVENTO EST."))/2</f>
        <v>8</v>
      </c>
      <c r="C39" s="89">
        <f t="shared" si="1"/>
        <v>8</v>
      </c>
      <c r="D39" s="89">
        <f t="shared" si="1"/>
        <v>8</v>
      </c>
      <c r="E39" s="89">
        <f t="shared" si="1"/>
        <v>8</v>
      </c>
      <c r="F39" s="89">
        <f t="shared" si="1"/>
        <v>8</v>
      </c>
      <c r="G39" s="89">
        <f t="shared" si="1"/>
        <v>8</v>
      </c>
      <c r="H39" s="89">
        <f t="shared" si="1"/>
        <v>8</v>
      </c>
      <c r="I39" s="89">
        <f t="shared" si="1"/>
        <v>8</v>
      </c>
      <c r="J39" s="89">
        <f t="shared" si="1"/>
        <v>0</v>
      </c>
      <c r="K39" s="89">
        <f t="shared" si="1"/>
        <v>8</v>
      </c>
      <c r="L39" s="89">
        <f t="shared" si="1"/>
        <v>8</v>
      </c>
      <c r="M39" s="89">
        <f t="shared" si="1"/>
        <v>8</v>
      </c>
      <c r="N39" s="89">
        <f t="shared" si="1"/>
        <v>8</v>
      </c>
    </row>
  </sheetData>
  <mergeCells count="4">
    <mergeCell ref="B1:C2"/>
    <mergeCell ref="D1:E2"/>
    <mergeCell ref="F1:F2"/>
    <mergeCell ref="G1:N2"/>
  </mergeCells>
  <conditionalFormatting sqref="B4:N38">
    <cfRule type="containsText" dxfId="0" priority="1" operator="containsText" text="PERMESSO">
      <formula>NOT(ISERROR(SEARCH(("PERMESSO"),(B4))))</formula>
    </cfRule>
  </conditionalFormatting>
  <conditionalFormatting sqref="B4:N38">
    <cfRule type="containsText" dxfId="1" priority="2" operator="containsText" text="MALATTIA">
      <formula>NOT(ISERROR(SEARCH(("MALATTIA"),(B4))))</formula>
    </cfRule>
  </conditionalFormatting>
  <conditionalFormatting sqref="B4:N38">
    <cfRule type="containsText" dxfId="2" priority="3" operator="containsText" text="FORMAZ">
      <formula>NOT(ISERROR(SEARCH(("FORMAZ"),(B4))))</formula>
    </cfRule>
  </conditionalFormatting>
  <conditionalFormatting sqref="B4:N38">
    <cfRule type="containsText" dxfId="3" priority="4" operator="containsText" text="AMM.ZIONE">
      <formula>NOT(ISERROR(SEARCH(("AMM.ZIONE"),(B4))))</formula>
    </cfRule>
  </conditionalFormatting>
  <conditionalFormatting sqref="B4:N38">
    <cfRule type="containsText" dxfId="4" priority="5" operator="containsText" text="PAUSA">
      <formula>NOT(ISERROR(SEARCH(("PAUSA"),(B4))))</formula>
    </cfRule>
  </conditionalFormatting>
  <conditionalFormatting sqref="B4:N38">
    <cfRule type="containsText" dxfId="5" priority="6" operator="containsText" text="PERMESSO">
      <formula>NOT(ISERROR(SEARCH(("PERMESSO"),(B4))))</formula>
    </cfRule>
  </conditionalFormatting>
  <conditionalFormatting sqref="B4:N38">
    <cfRule type="containsText" dxfId="6" priority="7" operator="containsText" text="UFFICIO">
      <formula>NOT(ISERROR(SEARCH(("UFFICIO"),(B4))))</formula>
    </cfRule>
  </conditionalFormatting>
  <conditionalFormatting sqref="B4:N38">
    <cfRule type="containsText" dxfId="7" priority="8" operator="containsText" text="RIPOSO">
      <formula>NOT(ISERROR(SEARCH(("RIPOSO"),(B4))))</formula>
    </cfRule>
  </conditionalFormatting>
  <dataValidations>
    <dataValidation type="list" allowBlank="1" showInputMessage="1" showErrorMessage="1" prompt="Fai clic e immetti un valore da intervallo elenchi!A1:A30" sqref="B4:N38">
      <formula1>elenchi!$A$1:$A$30</formula1>
    </dataValidation>
  </dataValidations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C78D8"/>
    <outlinePr summaryBelow="0" summaryRight="0"/>
  </sheetPr>
  <sheetViews>
    <sheetView workbookViewId="0">
      <pane xSplit="1.0" ySplit="3.0" topLeftCell="B4" activePane="bottomRight" state="frozen"/>
      <selection activeCell="B1" sqref="B1" pane="topRight"/>
      <selection activeCell="A4" sqref="A4" pane="bottomLeft"/>
      <selection activeCell="B4" sqref="B4" pane="bottomRight"/>
    </sheetView>
  </sheetViews>
  <sheetFormatPr customHeight="1" defaultColWidth="14.43" defaultRowHeight="15.0"/>
  <cols>
    <col customWidth="1" min="1" max="1" width="10.14"/>
    <col customWidth="1" min="2" max="14" width="18.71"/>
  </cols>
  <sheetData>
    <row r="1">
      <c r="A1" s="324"/>
      <c r="B1" s="2" t="s">
        <v>17</v>
      </c>
      <c r="C1" s="3"/>
      <c r="D1" s="325" t="str">
        <f>elenchi!C5</f>
        <v>  SETTIMANA - E</v>
      </c>
      <c r="E1" s="5"/>
      <c r="F1" s="326" t="s">
        <v>24</v>
      </c>
      <c r="G1" s="327" t="str">
        <f>elenchi!D5</f>
        <v>LUNEDI 13 A DOMENICA 19 APRILE 2026</v>
      </c>
      <c r="H1" s="5"/>
      <c r="I1" s="5"/>
      <c r="J1" s="5"/>
      <c r="K1" s="5"/>
      <c r="L1" s="5"/>
      <c r="M1" s="5"/>
      <c r="N1" s="3"/>
    </row>
    <row r="2">
      <c r="A2" s="324"/>
      <c r="B2" s="8"/>
      <c r="C2" s="9"/>
      <c r="D2" s="8"/>
      <c r="E2" s="10"/>
      <c r="F2" s="10"/>
      <c r="G2" s="10"/>
      <c r="H2" s="10"/>
      <c r="I2" s="10"/>
      <c r="J2" s="10"/>
      <c r="K2" s="10"/>
      <c r="L2" s="10"/>
      <c r="M2" s="10"/>
      <c r="N2" s="9"/>
    </row>
    <row r="3">
      <c r="A3" s="11" t="s">
        <v>2</v>
      </c>
      <c r="B3" s="11" t="str">
        <f>elenchi!B1</f>
        <v>ALEXANDRA</v>
      </c>
      <c r="C3" s="11" t="str">
        <f>elenchi!B2</f>
        <v>GIUDITTA</v>
      </c>
      <c r="D3" s="11" t="str">
        <f>elenchi!B3</f>
        <v>ESTEFANY</v>
      </c>
      <c r="E3" s="12" t="str">
        <f>elenchi!B4</f>
        <v>NURA</v>
      </c>
      <c r="F3" s="12" t="str">
        <f>elenchi!B5</f>
        <v/>
      </c>
      <c r="G3" s="12" t="str">
        <f>elenchi!B6</f>
        <v>JOEL</v>
      </c>
      <c r="H3" s="12" t="str">
        <f>elenchi!B7</f>
        <v>KEVIN</v>
      </c>
      <c r="I3" s="12" t="str">
        <f>elenchi!B8</f>
        <v>JASIR</v>
      </c>
      <c r="J3" s="15" t="str">
        <f>elenchi!B9</f>
        <v>DIEGO</v>
      </c>
      <c r="K3" s="15" t="str">
        <f>elenchi!B10</f>
        <v>SARA</v>
      </c>
      <c r="L3" s="12" t="str">
        <f>elenchi!B11</f>
        <v>SANTO</v>
      </c>
      <c r="M3" s="12" t="str">
        <f>elenchi!B12</f>
        <v>MASSI</v>
      </c>
      <c r="N3" s="12" t="str">
        <f>elenchi!B13</f>
        <v/>
      </c>
    </row>
    <row r="4">
      <c r="A4" s="16" t="s">
        <v>3</v>
      </c>
      <c r="B4" s="226"/>
      <c r="C4" s="20"/>
      <c r="D4" s="226"/>
      <c r="E4" s="18"/>
      <c r="F4" s="223"/>
      <c r="G4" s="226"/>
      <c r="H4" s="23"/>
      <c r="I4" s="24"/>
      <c r="J4" s="25"/>
      <c r="K4" s="26"/>
      <c r="L4" s="35"/>
      <c r="M4" s="17"/>
      <c r="N4" s="26"/>
    </row>
    <row r="5">
      <c r="A5" s="28" t="s">
        <v>4</v>
      </c>
      <c r="B5" s="226"/>
      <c r="C5" s="32"/>
      <c r="D5" s="226"/>
      <c r="E5" s="30"/>
      <c r="F5" s="223"/>
      <c r="G5" s="226"/>
      <c r="H5" s="23"/>
      <c r="I5" s="24"/>
      <c r="J5" s="25"/>
      <c r="K5" s="26"/>
      <c r="L5" s="35"/>
      <c r="M5" s="17"/>
      <c r="N5" s="26"/>
    </row>
    <row r="6">
      <c r="A6" s="28" t="s">
        <v>5</v>
      </c>
      <c r="B6" s="226"/>
      <c r="C6" s="32"/>
      <c r="D6" s="226"/>
      <c r="E6" s="30"/>
      <c r="F6" s="223"/>
      <c r="G6" s="226"/>
      <c r="H6" s="35"/>
      <c r="I6" s="36"/>
      <c r="J6" s="37"/>
      <c r="K6" s="38"/>
      <c r="L6" s="35"/>
      <c r="M6" s="17"/>
      <c r="N6" s="26"/>
    </row>
    <row r="7">
      <c r="A7" s="39">
        <v>40475.354166666664</v>
      </c>
      <c r="B7" s="332" t="s">
        <v>6</v>
      </c>
      <c r="C7" s="30"/>
      <c r="D7" s="251"/>
      <c r="E7" s="32"/>
      <c r="F7" s="184"/>
      <c r="G7" s="259"/>
      <c r="H7" s="35"/>
      <c r="I7" s="37" t="s">
        <v>7</v>
      </c>
      <c r="J7" s="37"/>
      <c r="K7" s="46" t="s">
        <v>8</v>
      </c>
      <c r="L7" s="76" t="s">
        <v>9</v>
      </c>
      <c r="M7" s="48"/>
      <c r="N7" s="35"/>
    </row>
    <row r="8">
      <c r="A8" s="49">
        <v>40475.375</v>
      </c>
      <c r="B8" s="332" t="s">
        <v>6</v>
      </c>
      <c r="C8" s="32"/>
      <c r="D8" s="246"/>
      <c r="E8" s="32"/>
      <c r="F8" s="38"/>
      <c r="G8" s="259"/>
      <c r="H8" s="35"/>
      <c r="I8" s="37" t="s">
        <v>7</v>
      </c>
      <c r="J8" s="37"/>
      <c r="K8" s="46" t="s">
        <v>8</v>
      </c>
      <c r="L8" s="76" t="s">
        <v>9</v>
      </c>
      <c r="M8" s="48" t="s">
        <v>8</v>
      </c>
      <c r="N8" s="26"/>
    </row>
    <row r="9">
      <c r="A9" s="55">
        <v>40475.395833333336</v>
      </c>
      <c r="B9" s="332" t="s">
        <v>6</v>
      </c>
      <c r="C9" s="30"/>
      <c r="D9" s="246"/>
      <c r="E9" s="32"/>
      <c r="F9" s="184"/>
      <c r="G9" s="259"/>
      <c r="H9" s="35"/>
      <c r="I9" s="37" t="s">
        <v>7</v>
      </c>
      <c r="J9" s="37"/>
      <c r="K9" s="46" t="s">
        <v>8</v>
      </c>
      <c r="L9" s="76" t="s">
        <v>9</v>
      </c>
      <c r="M9" s="48" t="s">
        <v>8</v>
      </c>
      <c r="N9" s="35"/>
    </row>
    <row r="10">
      <c r="A10" s="55">
        <v>40475.416666666664</v>
      </c>
      <c r="B10" s="332" t="s">
        <v>6</v>
      </c>
      <c r="C10" s="32"/>
      <c r="D10" s="190"/>
      <c r="E10" s="32"/>
      <c r="F10" s="38"/>
      <c r="G10" s="259"/>
      <c r="H10" s="35"/>
      <c r="I10" s="37" t="s">
        <v>7</v>
      </c>
      <c r="J10" s="46"/>
      <c r="K10" s="46" t="s">
        <v>8</v>
      </c>
      <c r="L10" s="76" t="s">
        <v>9</v>
      </c>
      <c r="M10" s="48" t="s">
        <v>8</v>
      </c>
      <c r="N10" s="26"/>
    </row>
    <row r="11">
      <c r="A11" s="49">
        <v>40475.4375</v>
      </c>
      <c r="B11" s="332" t="s">
        <v>6</v>
      </c>
      <c r="C11" s="30"/>
      <c r="D11" s="246"/>
      <c r="E11" s="32"/>
      <c r="F11" s="331"/>
      <c r="G11" s="78" t="s">
        <v>7</v>
      </c>
      <c r="H11" s="35"/>
      <c r="I11" s="37" t="s">
        <v>7</v>
      </c>
      <c r="J11" s="71"/>
      <c r="K11" s="46" t="s">
        <v>8</v>
      </c>
      <c r="L11" s="76" t="s">
        <v>9</v>
      </c>
      <c r="M11" s="48" t="s">
        <v>8</v>
      </c>
      <c r="N11" s="35"/>
    </row>
    <row r="12">
      <c r="A12" s="49">
        <v>40475.458333333336</v>
      </c>
      <c r="B12" s="332" t="s">
        <v>6</v>
      </c>
      <c r="C12" s="41"/>
      <c r="D12" s="246"/>
      <c r="E12" s="32"/>
      <c r="F12" s="36"/>
      <c r="G12" s="78" t="s">
        <v>7</v>
      </c>
      <c r="H12" s="35"/>
      <c r="I12" s="37" t="s">
        <v>7</v>
      </c>
      <c r="J12" s="71"/>
      <c r="K12" s="46" t="s">
        <v>8</v>
      </c>
      <c r="L12" s="76" t="s">
        <v>9</v>
      </c>
      <c r="M12" s="48" t="s">
        <v>8</v>
      </c>
      <c r="N12" s="35"/>
    </row>
    <row r="13">
      <c r="A13" s="55">
        <v>40475.479166666664</v>
      </c>
      <c r="B13" s="332" t="s">
        <v>6</v>
      </c>
      <c r="C13" s="32"/>
      <c r="D13" s="246"/>
      <c r="E13" s="32"/>
      <c r="F13" s="77"/>
      <c r="G13" s="78" t="s">
        <v>7</v>
      </c>
      <c r="H13" s="35"/>
      <c r="I13" s="37" t="s">
        <v>7</v>
      </c>
      <c r="J13" s="71"/>
      <c r="K13" s="46" t="s">
        <v>8</v>
      </c>
      <c r="L13" s="76" t="s">
        <v>9</v>
      </c>
      <c r="M13" s="48" t="s">
        <v>8</v>
      </c>
      <c r="N13" s="26"/>
    </row>
    <row r="14">
      <c r="A14" s="55">
        <v>40475.5</v>
      </c>
      <c r="B14" s="71" t="s">
        <v>6</v>
      </c>
      <c r="C14" s="32"/>
      <c r="D14" s="246"/>
      <c r="E14" s="32"/>
      <c r="F14" s="77"/>
      <c r="G14" s="78" t="s">
        <v>7</v>
      </c>
      <c r="H14" s="270"/>
      <c r="I14" s="37" t="s">
        <v>7</v>
      </c>
      <c r="J14" s="71"/>
      <c r="K14" s="46" t="s">
        <v>10</v>
      </c>
      <c r="L14" s="76" t="s">
        <v>9</v>
      </c>
      <c r="M14" s="48" t="s">
        <v>8</v>
      </c>
      <c r="N14" s="35"/>
    </row>
    <row r="15">
      <c r="A15" s="49">
        <v>40475.520833333336</v>
      </c>
      <c r="B15" s="71" t="s">
        <v>6</v>
      </c>
      <c r="C15" s="32"/>
      <c r="D15" s="226"/>
      <c r="E15" s="32"/>
      <c r="F15" s="77"/>
      <c r="G15" s="78" t="s">
        <v>7</v>
      </c>
      <c r="H15" s="243"/>
      <c r="I15" s="184" t="s">
        <v>7</v>
      </c>
      <c r="J15" s="71"/>
      <c r="K15" s="46" t="s">
        <v>8</v>
      </c>
      <c r="L15" s="76" t="s">
        <v>9</v>
      </c>
      <c r="M15" s="48" t="s">
        <v>8</v>
      </c>
      <c r="N15" s="35"/>
    </row>
    <row r="16">
      <c r="A16" s="49">
        <v>40475.541666666664</v>
      </c>
      <c r="B16" s="71" t="s">
        <v>6</v>
      </c>
      <c r="C16" s="32"/>
      <c r="D16" s="205"/>
      <c r="E16" s="32"/>
      <c r="F16" s="77"/>
      <c r="G16" s="78" t="s">
        <v>7</v>
      </c>
      <c r="H16" s="270"/>
      <c r="I16" s="37" t="s">
        <v>7</v>
      </c>
      <c r="J16" s="71"/>
      <c r="K16" s="46" t="s">
        <v>8</v>
      </c>
      <c r="L16" s="76" t="s">
        <v>10</v>
      </c>
      <c r="M16" s="48" t="s">
        <v>10</v>
      </c>
      <c r="N16" s="35"/>
    </row>
    <row r="17">
      <c r="A17" s="55">
        <v>40475.5625</v>
      </c>
      <c r="B17" s="261" t="s">
        <v>10</v>
      </c>
      <c r="C17" s="33" t="s">
        <v>6</v>
      </c>
      <c r="D17" s="248" t="s">
        <v>11</v>
      </c>
      <c r="E17" s="38" t="s">
        <v>7</v>
      </c>
      <c r="F17" s="46" t="s">
        <v>6</v>
      </c>
      <c r="G17" s="321" t="s">
        <v>10</v>
      </c>
      <c r="H17" s="242" t="s">
        <v>7</v>
      </c>
      <c r="I17" s="225" t="s">
        <v>10</v>
      </c>
      <c r="J17" s="217" t="s">
        <v>7</v>
      </c>
      <c r="K17" s="46" t="s">
        <v>8</v>
      </c>
      <c r="L17" s="76" t="s">
        <v>9</v>
      </c>
      <c r="M17" s="48" t="s">
        <v>8</v>
      </c>
      <c r="N17" s="26"/>
    </row>
    <row r="18">
      <c r="A18" s="55">
        <v>40475.583333333336</v>
      </c>
      <c r="B18" s="71" t="s">
        <v>7</v>
      </c>
      <c r="C18" s="33" t="s">
        <v>6</v>
      </c>
      <c r="D18" s="250" t="s">
        <v>11</v>
      </c>
      <c r="E18" s="77" t="s">
        <v>7</v>
      </c>
      <c r="F18" s="46" t="s">
        <v>6</v>
      </c>
      <c r="G18" s="119" t="s">
        <v>7</v>
      </c>
      <c r="H18" s="270" t="s">
        <v>7</v>
      </c>
      <c r="I18" s="30" t="s">
        <v>7</v>
      </c>
      <c r="J18" s="217" t="s">
        <v>7</v>
      </c>
      <c r="K18" s="46" t="s">
        <v>8</v>
      </c>
      <c r="L18" s="76" t="s">
        <v>9</v>
      </c>
      <c r="M18" s="48" t="s">
        <v>8</v>
      </c>
      <c r="N18" s="35"/>
    </row>
    <row r="19">
      <c r="A19" s="49">
        <v>40475.604166666664</v>
      </c>
      <c r="B19" s="71" t="s">
        <v>7</v>
      </c>
      <c r="C19" s="33" t="s">
        <v>6</v>
      </c>
      <c r="D19" s="54" t="s">
        <v>11</v>
      </c>
      <c r="E19" s="77" t="s">
        <v>7</v>
      </c>
      <c r="F19" s="46" t="s">
        <v>6</v>
      </c>
      <c r="G19" s="119" t="s">
        <v>7</v>
      </c>
      <c r="H19" s="242" t="s">
        <v>7</v>
      </c>
      <c r="I19" s="30" t="s">
        <v>7</v>
      </c>
      <c r="J19" s="217" t="s">
        <v>7</v>
      </c>
      <c r="K19" s="46" t="s">
        <v>8</v>
      </c>
      <c r="L19" s="46" t="s">
        <v>9</v>
      </c>
      <c r="M19" s="48" t="s">
        <v>8</v>
      </c>
      <c r="N19" s="26"/>
    </row>
    <row r="20">
      <c r="A20" s="49">
        <v>40475.625</v>
      </c>
      <c r="B20" s="71" t="s">
        <v>7</v>
      </c>
      <c r="C20" s="33" t="s">
        <v>6</v>
      </c>
      <c r="D20" s="197" t="s">
        <v>11</v>
      </c>
      <c r="E20" s="77" t="s">
        <v>7</v>
      </c>
      <c r="F20" s="46" t="s">
        <v>6</v>
      </c>
      <c r="G20" s="119" t="s">
        <v>7</v>
      </c>
      <c r="H20" s="270" t="s">
        <v>7</v>
      </c>
      <c r="I20" s="37" t="s">
        <v>7</v>
      </c>
      <c r="J20" s="217" t="s">
        <v>7</v>
      </c>
      <c r="K20" s="46" t="s">
        <v>8</v>
      </c>
      <c r="L20" s="46" t="s">
        <v>9</v>
      </c>
      <c r="M20" s="48" t="s">
        <v>8</v>
      </c>
      <c r="N20" s="35"/>
    </row>
    <row r="21">
      <c r="A21" s="55">
        <v>40475.645833333336</v>
      </c>
      <c r="B21" s="71" t="s">
        <v>7</v>
      </c>
      <c r="C21" s="33" t="s">
        <v>6</v>
      </c>
      <c r="D21" s="54" t="s">
        <v>11</v>
      </c>
      <c r="E21" s="77" t="s">
        <v>7</v>
      </c>
      <c r="F21" s="46" t="s">
        <v>6</v>
      </c>
      <c r="G21" s="119" t="s">
        <v>7</v>
      </c>
      <c r="H21" s="242" t="s">
        <v>7</v>
      </c>
      <c r="I21" s="37" t="s">
        <v>7</v>
      </c>
      <c r="J21" s="217" t="s">
        <v>7</v>
      </c>
      <c r="K21" s="46" t="s">
        <v>8</v>
      </c>
      <c r="L21" s="46" t="s">
        <v>9</v>
      </c>
      <c r="M21" s="48" t="s">
        <v>8</v>
      </c>
      <c r="N21" s="26"/>
    </row>
    <row r="22">
      <c r="A22" s="55">
        <v>40475.666666666664</v>
      </c>
      <c r="B22" s="71" t="s">
        <v>7</v>
      </c>
      <c r="C22" s="33" t="s">
        <v>6</v>
      </c>
      <c r="D22" s="197" t="s">
        <v>11</v>
      </c>
      <c r="E22" s="77" t="s">
        <v>7</v>
      </c>
      <c r="F22" s="46" t="s">
        <v>6</v>
      </c>
      <c r="G22" s="50" t="s">
        <v>7</v>
      </c>
      <c r="H22" s="241" t="s">
        <v>7</v>
      </c>
      <c r="I22" s="184" t="s">
        <v>7</v>
      </c>
      <c r="J22" s="217" t="s">
        <v>7</v>
      </c>
      <c r="K22" s="46" t="s">
        <v>8</v>
      </c>
      <c r="L22" s="46" t="s">
        <v>9</v>
      </c>
      <c r="M22" s="48" t="s">
        <v>8</v>
      </c>
      <c r="N22" s="26"/>
    </row>
    <row r="23">
      <c r="A23" s="49">
        <v>40475.6875</v>
      </c>
      <c r="B23" s="71" t="s">
        <v>7</v>
      </c>
      <c r="C23" s="33" t="s">
        <v>6</v>
      </c>
      <c r="D23" s="54" t="s">
        <v>11</v>
      </c>
      <c r="E23" s="77" t="s">
        <v>7</v>
      </c>
      <c r="F23" s="46" t="s">
        <v>6</v>
      </c>
      <c r="G23" s="50" t="s">
        <v>7</v>
      </c>
      <c r="H23" s="242" t="s">
        <v>7</v>
      </c>
      <c r="I23" s="184" t="s">
        <v>7</v>
      </c>
      <c r="J23" s="217" t="s">
        <v>7</v>
      </c>
      <c r="K23" s="46" t="s">
        <v>8</v>
      </c>
      <c r="L23" s="46" t="s">
        <v>9</v>
      </c>
      <c r="M23" s="48" t="s">
        <v>8</v>
      </c>
      <c r="N23" s="26"/>
    </row>
    <row r="24">
      <c r="A24" s="49">
        <v>40475.708333333336</v>
      </c>
      <c r="B24" s="37"/>
      <c r="C24" s="137" t="s">
        <v>6</v>
      </c>
      <c r="D24" s="197" t="s">
        <v>11</v>
      </c>
      <c r="E24" s="77" t="s">
        <v>7</v>
      </c>
      <c r="F24" s="137" t="s">
        <v>6</v>
      </c>
      <c r="G24" s="50" t="s">
        <v>7</v>
      </c>
      <c r="H24" s="241" t="s">
        <v>7</v>
      </c>
      <c r="I24" s="184"/>
      <c r="J24" s="217" t="s">
        <v>7</v>
      </c>
      <c r="K24" s="46"/>
      <c r="L24" s="46"/>
      <c r="M24" s="48" t="s">
        <v>8</v>
      </c>
      <c r="N24" s="26"/>
    </row>
    <row r="25">
      <c r="A25" s="55">
        <v>40475.729166666664</v>
      </c>
      <c r="B25" s="37"/>
      <c r="C25" s="137" t="s">
        <v>10</v>
      </c>
      <c r="D25" s="54" t="s">
        <v>11</v>
      </c>
      <c r="E25" s="46" t="s">
        <v>10</v>
      </c>
      <c r="F25" s="33" t="s">
        <v>6</v>
      </c>
      <c r="G25" s="40" t="s">
        <v>7</v>
      </c>
      <c r="H25" s="333" t="s">
        <v>7</v>
      </c>
      <c r="I25" s="184"/>
      <c r="J25" s="218" t="s">
        <v>7</v>
      </c>
      <c r="K25" s="46"/>
      <c r="L25" s="46"/>
      <c r="M25" s="48" t="s">
        <v>8</v>
      </c>
      <c r="N25" s="76"/>
    </row>
    <row r="26">
      <c r="A26" s="55">
        <v>40475.75</v>
      </c>
      <c r="B26" s="37"/>
      <c r="C26" s="32" t="s">
        <v>7</v>
      </c>
      <c r="D26" s="46" t="s">
        <v>10</v>
      </c>
      <c r="E26" s="77" t="s">
        <v>11</v>
      </c>
      <c r="F26" s="227" t="s">
        <v>6</v>
      </c>
      <c r="G26" s="40" t="s">
        <v>7</v>
      </c>
      <c r="H26" s="334" t="s">
        <v>10</v>
      </c>
      <c r="I26" s="38"/>
      <c r="J26" s="229" t="s">
        <v>10</v>
      </c>
      <c r="K26" s="46"/>
      <c r="L26" s="46"/>
      <c r="M26" s="48" t="s">
        <v>8</v>
      </c>
      <c r="N26" s="76"/>
    </row>
    <row r="27">
      <c r="A27" s="49">
        <v>40475.770833333336</v>
      </c>
      <c r="B27" s="77"/>
      <c r="C27" s="32" t="s">
        <v>7</v>
      </c>
      <c r="D27" s="250" t="s">
        <v>6</v>
      </c>
      <c r="E27" s="77" t="s">
        <v>11</v>
      </c>
      <c r="F27" s="228" t="s">
        <v>10</v>
      </c>
      <c r="G27" s="50" t="s">
        <v>7</v>
      </c>
      <c r="H27" s="333" t="s">
        <v>11</v>
      </c>
      <c r="I27" s="37"/>
      <c r="J27" s="217" t="s">
        <v>11</v>
      </c>
      <c r="K27" s="46"/>
      <c r="L27" s="48"/>
      <c r="M27" s="48"/>
      <c r="N27" s="76"/>
    </row>
    <row r="28">
      <c r="A28" s="49">
        <v>40475.791666666664</v>
      </c>
      <c r="B28" s="37"/>
      <c r="C28" s="32" t="s">
        <v>7</v>
      </c>
      <c r="D28" s="281" t="s">
        <v>6</v>
      </c>
      <c r="E28" s="77" t="s">
        <v>11</v>
      </c>
      <c r="F28" s="227" t="s">
        <v>7</v>
      </c>
      <c r="G28" s="139"/>
      <c r="H28" s="334" t="s">
        <v>11</v>
      </c>
      <c r="I28" s="77"/>
      <c r="J28" s="217" t="s">
        <v>11</v>
      </c>
      <c r="K28" s="46"/>
      <c r="L28" s="46"/>
      <c r="M28" s="48"/>
      <c r="N28" s="76"/>
    </row>
    <row r="29">
      <c r="A29" s="55">
        <v>40475.8125</v>
      </c>
      <c r="B29" s="32"/>
      <c r="C29" s="32" t="s">
        <v>7</v>
      </c>
      <c r="D29" s="281" t="s">
        <v>6</v>
      </c>
      <c r="E29" s="38" t="s">
        <v>11</v>
      </c>
      <c r="F29" s="225" t="s">
        <v>7</v>
      </c>
      <c r="G29" s="30"/>
      <c r="H29" s="333" t="s">
        <v>11</v>
      </c>
      <c r="I29" s="37"/>
      <c r="J29" s="218" t="s">
        <v>11</v>
      </c>
      <c r="K29" s="46"/>
      <c r="L29" s="46"/>
      <c r="M29" s="48"/>
      <c r="N29" s="76"/>
    </row>
    <row r="30">
      <c r="A30" s="55">
        <v>40475.833333333336</v>
      </c>
      <c r="B30" s="37"/>
      <c r="C30" s="32" t="s">
        <v>7</v>
      </c>
      <c r="D30" s="281" t="s">
        <v>6</v>
      </c>
      <c r="E30" s="38" t="s">
        <v>11</v>
      </c>
      <c r="F30" s="226" t="s">
        <v>7</v>
      </c>
      <c r="G30" s="32"/>
      <c r="H30" s="334" t="s">
        <v>11</v>
      </c>
      <c r="I30" s="32"/>
      <c r="J30" s="221" t="s">
        <v>11</v>
      </c>
      <c r="K30" s="46"/>
      <c r="L30" s="46"/>
      <c r="M30" s="48"/>
      <c r="N30" s="47"/>
    </row>
    <row r="31">
      <c r="A31" s="49">
        <v>40475.854166666664</v>
      </c>
      <c r="B31" s="37"/>
      <c r="C31" s="32" t="s">
        <v>7</v>
      </c>
      <c r="D31" s="281" t="s">
        <v>6</v>
      </c>
      <c r="E31" s="184" t="s">
        <v>11</v>
      </c>
      <c r="F31" s="225" t="s">
        <v>7</v>
      </c>
      <c r="G31" s="30"/>
      <c r="H31" s="333" t="s">
        <v>11</v>
      </c>
      <c r="I31" s="30"/>
      <c r="J31" s="221" t="s">
        <v>11</v>
      </c>
      <c r="K31" s="46"/>
      <c r="L31" s="46"/>
      <c r="M31" s="48"/>
      <c r="N31" s="47"/>
    </row>
    <row r="32">
      <c r="A32" s="49">
        <v>40475.875</v>
      </c>
      <c r="B32" s="37"/>
      <c r="C32" s="32" t="s">
        <v>7</v>
      </c>
      <c r="D32" s="281" t="s">
        <v>6</v>
      </c>
      <c r="E32" s="184" t="s">
        <v>11</v>
      </c>
      <c r="F32" s="225" t="s">
        <v>7</v>
      </c>
      <c r="G32" s="30"/>
      <c r="H32" s="46" t="s">
        <v>11</v>
      </c>
      <c r="I32" s="32"/>
      <c r="J32" s="218" t="s">
        <v>11</v>
      </c>
      <c r="K32" s="46"/>
      <c r="L32" s="46"/>
      <c r="M32" s="48"/>
      <c r="N32" s="76"/>
    </row>
    <row r="33">
      <c r="A33" s="55">
        <v>40475.895833333336</v>
      </c>
      <c r="B33" s="37"/>
      <c r="C33" s="30" t="s">
        <v>7</v>
      </c>
      <c r="D33" s="281" t="s">
        <v>6</v>
      </c>
      <c r="E33" s="184" t="s">
        <v>11</v>
      </c>
      <c r="F33" s="228" t="s">
        <v>7</v>
      </c>
      <c r="G33" s="33"/>
      <c r="H33" s="46" t="s">
        <v>11</v>
      </c>
      <c r="I33" s="32"/>
      <c r="J33" s="217" t="s">
        <v>11</v>
      </c>
      <c r="K33" s="46"/>
      <c r="L33" s="46"/>
      <c r="M33" s="48"/>
      <c r="N33" s="76"/>
    </row>
    <row r="34">
      <c r="A34" s="55">
        <v>40475.916666666664</v>
      </c>
      <c r="B34" s="37"/>
      <c r="C34" s="33"/>
      <c r="D34" s="281"/>
      <c r="E34" s="37"/>
      <c r="F34" s="226"/>
      <c r="G34" s="32"/>
      <c r="H34" s="24"/>
      <c r="I34" s="24"/>
      <c r="J34" s="77"/>
      <c r="K34" s="37"/>
      <c r="L34" s="24"/>
      <c r="M34" s="24"/>
      <c r="N34" s="35"/>
    </row>
    <row r="35">
      <c r="A35" s="49">
        <v>40475.9375</v>
      </c>
      <c r="B35" s="37"/>
      <c r="C35" s="33"/>
      <c r="D35" s="281"/>
      <c r="E35" s="37"/>
      <c r="F35" s="226"/>
      <c r="G35" s="289"/>
      <c r="H35" s="24"/>
      <c r="I35" s="24"/>
      <c r="J35" s="77"/>
      <c r="K35" s="37"/>
      <c r="L35" s="24"/>
      <c r="M35" s="24"/>
      <c r="N35" s="35"/>
    </row>
    <row r="36">
      <c r="A36" s="49">
        <v>40475.958333333336</v>
      </c>
      <c r="B36" s="223"/>
      <c r="C36" s="32"/>
      <c r="D36" s="233"/>
      <c r="E36" s="37"/>
      <c r="F36" s="226"/>
      <c r="G36" s="226"/>
      <c r="H36" s="82"/>
      <c r="I36" s="37"/>
      <c r="J36" s="83"/>
      <c r="K36" s="37"/>
      <c r="L36" s="27"/>
      <c r="M36" s="24"/>
      <c r="N36" s="26"/>
    </row>
    <row r="37">
      <c r="A37" s="55">
        <v>40475.979166666664</v>
      </c>
      <c r="B37" s="233"/>
      <c r="C37" s="32"/>
      <c r="D37" s="226"/>
      <c r="E37" s="30"/>
      <c r="F37" s="225"/>
      <c r="G37" s="225"/>
      <c r="H37" s="23"/>
      <c r="I37" s="25"/>
      <c r="J37" s="25"/>
      <c r="K37" s="25"/>
      <c r="L37" s="48"/>
      <c r="M37" s="25"/>
      <c r="N37" s="26"/>
    </row>
    <row r="38">
      <c r="A38" s="85" t="s">
        <v>12</v>
      </c>
      <c r="B38" s="253"/>
      <c r="C38" s="88"/>
      <c r="D38" s="267"/>
      <c r="E38" s="30"/>
      <c r="F38" s="232"/>
      <c r="G38" s="226"/>
      <c r="H38" s="23"/>
      <c r="I38" s="25"/>
      <c r="J38" s="25"/>
      <c r="K38" s="83"/>
      <c r="L38" s="24"/>
      <c r="M38" s="83"/>
      <c r="N38" s="23"/>
    </row>
    <row r="39">
      <c r="A39" s="89" t="s">
        <v>13</v>
      </c>
      <c r="B39" s="89">
        <f t="shared" ref="B39:N39" si="1">CONCATENATE(COUNTIF(B4:B38,"MAGAZZINI")+COUNTIF(B4:B38,"PRIMO")+COUNTIF(B4:B38,"RECEPTION")+COUNTIF(B4:B38,"SAGGI")+COUNTIF(B4:B38,"SECONDO")+COUNTIF(B4:B38,"SMART W")+COUNTIF(B4:B38,"STUDIO 1 e 2")+COUNTIF(B4:B38,"MANUTENZ.")+COUNTIF(B4:B38,"UFFICIO")+COUNTIF(B4:B38,"CAMPUS")+COUNTIF(B4:B38,"TEATRO")+COUNTIF(B4:B38,"AMM.ZIONE")+COUNTIF(B4:B38,"FORMAZ-1p")+COUNTIF(B4:B38,"FORMAZ-2p")+COUNTIF(B4:B38,"FORMAZ-rec")+COUNTIF(B4:B38,"WORKSHOP")+COUNTIF(B4:B38,"EVENTO EST."))/2</f>
        <v>8</v>
      </c>
      <c r="C39" s="89">
        <f t="shared" si="1"/>
        <v>8</v>
      </c>
      <c r="D39" s="89">
        <f t="shared" si="1"/>
        <v>8</v>
      </c>
      <c r="E39" s="89">
        <f t="shared" si="1"/>
        <v>8</v>
      </c>
      <c r="F39" s="89">
        <f t="shared" si="1"/>
        <v>8</v>
      </c>
      <c r="G39" s="89">
        <f t="shared" si="1"/>
        <v>8</v>
      </c>
      <c r="H39" s="89">
        <f t="shared" si="1"/>
        <v>8</v>
      </c>
      <c r="I39" s="89">
        <f t="shared" si="1"/>
        <v>8</v>
      </c>
      <c r="J39" s="89">
        <f t="shared" si="1"/>
        <v>8</v>
      </c>
      <c r="K39" s="89">
        <f t="shared" si="1"/>
        <v>8</v>
      </c>
      <c r="L39" s="89">
        <f t="shared" si="1"/>
        <v>8</v>
      </c>
      <c r="M39" s="89">
        <f t="shared" si="1"/>
        <v>9</v>
      </c>
      <c r="N39" s="89">
        <f t="shared" si="1"/>
        <v>0</v>
      </c>
    </row>
  </sheetData>
  <mergeCells count="4">
    <mergeCell ref="B1:C2"/>
    <mergeCell ref="D1:E2"/>
    <mergeCell ref="F1:F2"/>
    <mergeCell ref="G1:N2"/>
  </mergeCells>
  <conditionalFormatting sqref="B4:N38">
    <cfRule type="containsText" dxfId="0" priority="1" operator="containsText" text="PERMESSO">
      <formula>NOT(ISERROR(SEARCH(("PERMESSO"),(B4))))</formula>
    </cfRule>
  </conditionalFormatting>
  <conditionalFormatting sqref="B4:N38">
    <cfRule type="containsText" dxfId="1" priority="2" operator="containsText" text="MALATTIA">
      <formula>NOT(ISERROR(SEARCH(("MALATTIA"),(B4))))</formula>
    </cfRule>
  </conditionalFormatting>
  <conditionalFormatting sqref="B4:N38">
    <cfRule type="containsText" dxfId="2" priority="3" operator="containsText" text="FORMAZ">
      <formula>NOT(ISERROR(SEARCH(("FORMAZ"),(B4))))</formula>
    </cfRule>
  </conditionalFormatting>
  <conditionalFormatting sqref="B4:N38">
    <cfRule type="containsText" dxfId="3" priority="4" operator="containsText" text="AMM.ZIONE">
      <formula>NOT(ISERROR(SEARCH(("AMM.ZIONE"),(B4))))</formula>
    </cfRule>
  </conditionalFormatting>
  <conditionalFormatting sqref="B4:N38">
    <cfRule type="containsText" dxfId="4" priority="5" operator="containsText" text="PAUSA">
      <formula>NOT(ISERROR(SEARCH(("PAUSA"),(B4))))</formula>
    </cfRule>
  </conditionalFormatting>
  <conditionalFormatting sqref="B4:N38">
    <cfRule type="containsText" dxfId="5" priority="6" operator="containsText" text="PERMESSO">
      <formula>NOT(ISERROR(SEARCH(("PERMESSO"),(B4))))</formula>
    </cfRule>
  </conditionalFormatting>
  <conditionalFormatting sqref="B4:N38">
    <cfRule type="containsText" dxfId="6" priority="7" operator="containsText" text="UFFICIO">
      <formula>NOT(ISERROR(SEARCH(("UFFICIO"),(B4))))</formula>
    </cfRule>
  </conditionalFormatting>
  <conditionalFormatting sqref="B4:N38">
    <cfRule type="containsText" dxfId="7" priority="8" operator="containsText" text="RIPOSO">
      <formula>NOT(ISERROR(SEARCH(("RIPOSO"),(B4))))</formula>
    </cfRule>
  </conditionalFormatting>
  <dataValidations>
    <dataValidation type="list" allowBlank="1" showInputMessage="1" showErrorMessage="1" prompt="Fai clic e immetti un valore da intervallo elenchi!A1:A30" sqref="B4:N38">
      <formula1>elenchi!$A$1:$A$30</formula1>
    </dataValidation>
  </dataValidations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C78D8"/>
    <outlinePr summaryBelow="0" summaryRight="0"/>
  </sheetPr>
  <sheetViews>
    <sheetView workbookViewId="0">
      <pane xSplit="1.0" ySplit="3.0" topLeftCell="B4" activePane="bottomRight" state="frozen"/>
      <selection activeCell="B1" sqref="B1" pane="topRight"/>
      <selection activeCell="A4" sqref="A4" pane="bottomLeft"/>
      <selection activeCell="B4" sqref="B4" pane="bottomRight"/>
    </sheetView>
  </sheetViews>
  <sheetFormatPr customHeight="1" defaultColWidth="14.43" defaultRowHeight="15.0"/>
  <cols>
    <col customWidth="1" min="1" max="1" width="10.14"/>
    <col customWidth="1" min="2" max="14" width="18.71"/>
  </cols>
  <sheetData>
    <row r="1">
      <c r="A1" s="324"/>
      <c r="B1" s="2" t="s">
        <v>18</v>
      </c>
      <c r="C1" s="3"/>
      <c r="D1" s="325" t="str">
        <f>elenchi!C5</f>
        <v>  SETTIMANA - E</v>
      </c>
      <c r="E1" s="5"/>
      <c r="F1" s="326" t="s">
        <v>24</v>
      </c>
      <c r="G1" s="327" t="str">
        <f>elenchi!D5</f>
        <v>LUNEDI 13 A DOMENICA 19 APRILE 2026</v>
      </c>
      <c r="H1" s="5"/>
      <c r="I1" s="5"/>
      <c r="J1" s="5"/>
      <c r="K1" s="5"/>
      <c r="L1" s="5"/>
      <c r="M1" s="5"/>
      <c r="N1" s="3"/>
    </row>
    <row r="2">
      <c r="A2" s="324"/>
      <c r="B2" s="8"/>
      <c r="C2" s="9"/>
      <c r="D2" s="8"/>
      <c r="E2" s="10"/>
      <c r="F2" s="10"/>
      <c r="G2" s="10"/>
      <c r="H2" s="10"/>
      <c r="I2" s="10"/>
      <c r="J2" s="10"/>
      <c r="K2" s="10"/>
      <c r="L2" s="10"/>
      <c r="M2" s="10"/>
      <c r="N2" s="9"/>
    </row>
    <row r="3">
      <c r="A3" s="11" t="s">
        <v>2</v>
      </c>
      <c r="B3" s="11" t="str">
        <f>elenchi!B1</f>
        <v>ALEXANDRA</v>
      </c>
      <c r="C3" s="11" t="str">
        <f>elenchi!B2</f>
        <v>GIUDITTA</v>
      </c>
      <c r="D3" s="11" t="str">
        <f>elenchi!B3</f>
        <v>ESTEFANY</v>
      </c>
      <c r="E3" s="12" t="str">
        <f>elenchi!B4</f>
        <v>NURA</v>
      </c>
      <c r="F3" s="12" t="str">
        <f>elenchi!B5</f>
        <v/>
      </c>
      <c r="G3" s="12" t="str">
        <f>elenchi!B6</f>
        <v>JOEL</v>
      </c>
      <c r="H3" s="12" t="str">
        <f>elenchi!B7</f>
        <v>KEVIN</v>
      </c>
      <c r="I3" s="12" t="str">
        <f>elenchi!B8</f>
        <v>JASIR</v>
      </c>
      <c r="J3" s="15" t="str">
        <f>elenchi!B9</f>
        <v>DIEGO</v>
      </c>
      <c r="K3" s="15" t="str">
        <f>elenchi!B10</f>
        <v>SARA</v>
      </c>
      <c r="L3" s="12" t="str">
        <f>elenchi!B11</f>
        <v>SANTO</v>
      </c>
      <c r="M3" s="12" t="str">
        <f>elenchi!B12</f>
        <v>MASSI</v>
      </c>
      <c r="N3" s="12" t="str">
        <f>elenchi!B13</f>
        <v/>
      </c>
    </row>
    <row r="4">
      <c r="A4" s="16" t="s">
        <v>3</v>
      </c>
      <c r="B4" s="24"/>
      <c r="C4" s="180"/>
      <c r="D4" s="24"/>
      <c r="E4" s="27"/>
      <c r="F4" s="48"/>
      <c r="G4" s="24"/>
      <c r="H4" s="24"/>
      <c r="I4" s="25"/>
      <c r="J4" s="24"/>
      <c r="K4" s="181"/>
      <c r="L4" s="181"/>
      <c r="M4" s="181"/>
      <c r="N4" s="181"/>
    </row>
    <row r="5">
      <c r="A5" s="28" t="s">
        <v>4</v>
      </c>
      <c r="B5" s="24"/>
      <c r="C5" s="180"/>
      <c r="D5" s="24"/>
      <c r="E5" s="27"/>
      <c r="F5" s="48"/>
      <c r="G5" s="24"/>
      <c r="H5" s="24"/>
      <c r="I5" s="25"/>
      <c r="J5" s="24"/>
      <c r="K5" s="181"/>
      <c r="L5" s="181"/>
      <c r="M5" s="181"/>
      <c r="N5" s="181"/>
    </row>
    <row r="6">
      <c r="A6" s="28" t="s">
        <v>5</v>
      </c>
      <c r="B6" s="24"/>
      <c r="C6" s="180"/>
      <c r="D6" s="24"/>
      <c r="E6" s="27"/>
      <c r="F6" s="48"/>
      <c r="G6" s="24"/>
      <c r="H6" s="24"/>
      <c r="I6" s="25"/>
      <c r="J6" s="24"/>
      <c r="K6" s="48"/>
      <c r="L6" s="38"/>
      <c r="M6" s="181"/>
      <c r="N6" s="181"/>
    </row>
    <row r="7">
      <c r="A7" s="39">
        <v>40475.354166666664</v>
      </c>
      <c r="B7" s="24"/>
      <c r="C7" s="180"/>
      <c r="D7" s="24"/>
      <c r="E7" s="27"/>
      <c r="F7" s="24"/>
      <c r="G7" s="24"/>
      <c r="H7" s="24"/>
      <c r="I7" s="25"/>
      <c r="J7" s="24"/>
      <c r="K7" s="48"/>
      <c r="L7" s="77"/>
      <c r="M7" s="181"/>
      <c r="N7" s="181"/>
    </row>
    <row r="8">
      <c r="A8" s="49">
        <v>40475.375</v>
      </c>
      <c r="B8" s="270" t="s">
        <v>6</v>
      </c>
      <c r="C8" s="293"/>
      <c r="D8" s="270" t="s">
        <v>7</v>
      </c>
      <c r="E8" s="241" t="s">
        <v>21</v>
      </c>
      <c r="F8" s="186"/>
      <c r="G8" s="293" t="s">
        <v>11</v>
      </c>
      <c r="H8" s="241" t="s">
        <v>21</v>
      </c>
      <c r="I8" s="270" t="s">
        <v>7</v>
      </c>
      <c r="J8" s="333" t="s">
        <v>11</v>
      </c>
      <c r="K8" s="76"/>
      <c r="L8" s="38"/>
      <c r="M8" s="181"/>
      <c r="N8" s="241"/>
    </row>
    <row r="9">
      <c r="A9" s="55">
        <v>40475.395833333336</v>
      </c>
      <c r="B9" s="243" t="s">
        <v>6</v>
      </c>
      <c r="C9" s="183"/>
      <c r="D9" s="243" t="s">
        <v>7</v>
      </c>
      <c r="E9" s="242" t="s">
        <v>21</v>
      </c>
      <c r="F9" s="250"/>
      <c r="G9" s="183" t="s">
        <v>11</v>
      </c>
      <c r="H9" s="242" t="s">
        <v>21</v>
      </c>
      <c r="I9" s="243" t="s">
        <v>7</v>
      </c>
      <c r="J9" s="333" t="s">
        <v>11</v>
      </c>
      <c r="K9" s="76"/>
      <c r="L9" s="77"/>
      <c r="M9" s="191"/>
      <c r="N9" s="242"/>
    </row>
    <row r="10">
      <c r="A10" s="55">
        <v>40475.416666666664</v>
      </c>
      <c r="B10" s="243" t="s">
        <v>6</v>
      </c>
      <c r="C10" s="183"/>
      <c r="D10" s="243" t="s">
        <v>7</v>
      </c>
      <c r="E10" s="241" t="s">
        <v>21</v>
      </c>
      <c r="F10" s="196"/>
      <c r="G10" s="183" t="s">
        <v>11</v>
      </c>
      <c r="H10" s="241" t="s">
        <v>21</v>
      </c>
      <c r="I10" s="270" t="s">
        <v>7</v>
      </c>
      <c r="J10" s="334" t="s">
        <v>11</v>
      </c>
      <c r="K10" s="76"/>
      <c r="L10" s="77"/>
      <c r="M10" s="191"/>
      <c r="N10" s="241"/>
    </row>
    <row r="11">
      <c r="A11" s="49">
        <v>40475.4375</v>
      </c>
      <c r="B11" s="243" t="s">
        <v>6</v>
      </c>
      <c r="C11" s="183"/>
      <c r="D11" s="243" t="s">
        <v>7</v>
      </c>
      <c r="E11" s="242" t="s">
        <v>21</v>
      </c>
      <c r="F11" s="196"/>
      <c r="G11" s="183" t="s">
        <v>11</v>
      </c>
      <c r="H11" s="242" t="s">
        <v>21</v>
      </c>
      <c r="I11" s="333" t="s">
        <v>7</v>
      </c>
      <c r="J11" s="333" t="s">
        <v>11</v>
      </c>
      <c r="K11" s="76"/>
      <c r="L11" s="77"/>
      <c r="M11" s="191"/>
      <c r="N11" s="242"/>
    </row>
    <row r="12">
      <c r="A12" s="49">
        <v>40475.458333333336</v>
      </c>
      <c r="B12" s="243" t="s">
        <v>6</v>
      </c>
      <c r="C12" s="183"/>
      <c r="D12" s="243" t="s">
        <v>7</v>
      </c>
      <c r="E12" s="241" t="s">
        <v>21</v>
      </c>
      <c r="F12" s="196"/>
      <c r="G12" s="183" t="s">
        <v>11</v>
      </c>
      <c r="H12" s="241" t="s">
        <v>21</v>
      </c>
      <c r="I12" s="334" t="s">
        <v>7</v>
      </c>
      <c r="J12" s="334" t="s">
        <v>11</v>
      </c>
      <c r="K12" s="76"/>
      <c r="L12" s="77"/>
      <c r="M12" s="191"/>
      <c r="N12" s="241"/>
    </row>
    <row r="13">
      <c r="A13" s="55">
        <v>40475.479166666664</v>
      </c>
      <c r="B13" s="242" t="s">
        <v>6</v>
      </c>
      <c r="C13" s="183"/>
      <c r="D13" s="243" t="s">
        <v>7</v>
      </c>
      <c r="E13" s="242" t="s">
        <v>21</v>
      </c>
      <c r="F13" s="196"/>
      <c r="G13" s="183" t="s">
        <v>11</v>
      </c>
      <c r="H13" s="242" t="s">
        <v>21</v>
      </c>
      <c r="I13" s="333" t="s">
        <v>7</v>
      </c>
      <c r="J13" s="333" t="s">
        <v>11</v>
      </c>
      <c r="K13" s="48"/>
      <c r="L13" s="77"/>
      <c r="M13" s="191"/>
      <c r="N13" s="242"/>
    </row>
    <row r="14">
      <c r="A14" s="55">
        <v>40475.5</v>
      </c>
      <c r="B14" s="242" t="s">
        <v>6</v>
      </c>
      <c r="C14" s="183"/>
      <c r="D14" s="243" t="s">
        <v>7</v>
      </c>
      <c r="E14" s="241" t="s">
        <v>21</v>
      </c>
      <c r="F14" s="259"/>
      <c r="G14" s="183" t="s">
        <v>11</v>
      </c>
      <c r="H14" s="241" t="s">
        <v>21</v>
      </c>
      <c r="I14" s="334" t="s">
        <v>7</v>
      </c>
      <c r="J14" s="334" t="s">
        <v>11</v>
      </c>
      <c r="K14" s="48"/>
      <c r="L14" s="77"/>
      <c r="M14" s="191"/>
      <c r="N14" s="241"/>
    </row>
    <row r="15">
      <c r="A15" s="49">
        <v>40475.520833333336</v>
      </c>
      <c r="B15" s="242" t="s">
        <v>6</v>
      </c>
      <c r="C15" s="183"/>
      <c r="D15" s="242" t="s">
        <v>7</v>
      </c>
      <c r="E15" s="242" t="s">
        <v>21</v>
      </c>
      <c r="F15" s="77"/>
      <c r="G15" s="176" t="s">
        <v>10</v>
      </c>
      <c r="H15" s="242" t="s">
        <v>21</v>
      </c>
      <c r="I15" s="333" t="s">
        <v>10</v>
      </c>
      <c r="J15" s="333" t="s">
        <v>11</v>
      </c>
      <c r="K15" s="76"/>
      <c r="L15" s="37"/>
      <c r="M15" s="191"/>
      <c r="N15" s="242"/>
    </row>
    <row r="16">
      <c r="A16" s="49">
        <v>40475.541666666664</v>
      </c>
      <c r="B16" s="243" t="s">
        <v>6</v>
      </c>
      <c r="C16" s="195"/>
      <c r="D16" s="243" t="s">
        <v>10</v>
      </c>
      <c r="E16" s="241" t="s">
        <v>21</v>
      </c>
      <c r="F16" s="77"/>
      <c r="G16" s="183" t="s">
        <v>7</v>
      </c>
      <c r="H16" s="241" t="s">
        <v>21</v>
      </c>
      <c r="I16" s="333" t="s">
        <v>11</v>
      </c>
      <c r="J16" s="334" t="s">
        <v>10</v>
      </c>
      <c r="K16" s="76"/>
      <c r="L16" s="35"/>
      <c r="M16" s="191"/>
      <c r="N16" s="241"/>
    </row>
    <row r="17">
      <c r="A17" s="55">
        <v>40475.5625</v>
      </c>
      <c r="B17" s="58" t="s">
        <v>10</v>
      </c>
      <c r="C17" s="50"/>
      <c r="D17" s="58" t="s">
        <v>6</v>
      </c>
      <c r="E17" s="242" t="s">
        <v>21</v>
      </c>
      <c r="F17" s="259"/>
      <c r="G17" s="183" t="s">
        <v>7</v>
      </c>
      <c r="H17" s="242" t="s">
        <v>21</v>
      </c>
      <c r="I17" s="333" t="s">
        <v>11</v>
      </c>
      <c r="J17" s="270" t="s">
        <v>7</v>
      </c>
      <c r="K17" s="76"/>
      <c r="L17" s="35"/>
      <c r="M17" s="191"/>
      <c r="N17" s="242"/>
    </row>
    <row r="18">
      <c r="A18" s="55">
        <v>40475.583333333336</v>
      </c>
      <c r="B18" s="58" t="s">
        <v>11</v>
      </c>
      <c r="C18" s="124"/>
      <c r="D18" s="58" t="s">
        <v>6</v>
      </c>
      <c r="E18" s="241" t="s">
        <v>21</v>
      </c>
      <c r="F18" s="46"/>
      <c r="G18" s="50" t="s">
        <v>7</v>
      </c>
      <c r="H18" s="241" t="s">
        <v>21</v>
      </c>
      <c r="I18" s="334" t="s">
        <v>11</v>
      </c>
      <c r="J18" s="243" t="s">
        <v>7</v>
      </c>
      <c r="K18" s="76"/>
      <c r="L18" s="35"/>
      <c r="M18" s="191"/>
      <c r="N18" s="241"/>
    </row>
    <row r="19">
      <c r="A19" s="49">
        <v>40475.604166666664</v>
      </c>
      <c r="B19" s="58" t="s">
        <v>11</v>
      </c>
      <c r="C19" s="124"/>
      <c r="D19" s="58" t="s">
        <v>6</v>
      </c>
      <c r="E19" s="242" t="s">
        <v>21</v>
      </c>
      <c r="F19" s="250"/>
      <c r="G19" s="50" t="s">
        <v>7</v>
      </c>
      <c r="H19" s="242" t="s">
        <v>21</v>
      </c>
      <c r="I19" s="333" t="s">
        <v>11</v>
      </c>
      <c r="J19" s="270" t="s">
        <v>7</v>
      </c>
      <c r="K19" s="76"/>
      <c r="L19" s="35"/>
      <c r="M19" s="181"/>
      <c r="N19" s="242"/>
    </row>
    <row r="20">
      <c r="A20" s="49">
        <v>40475.625</v>
      </c>
      <c r="B20" s="58" t="s">
        <v>11</v>
      </c>
      <c r="C20" s="124"/>
      <c r="D20" s="58" t="s">
        <v>6</v>
      </c>
      <c r="E20" s="241" t="s">
        <v>21</v>
      </c>
      <c r="F20" s="250"/>
      <c r="G20" s="50" t="s">
        <v>7</v>
      </c>
      <c r="H20" s="241" t="s">
        <v>21</v>
      </c>
      <c r="I20" s="334" t="s">
        <v>11</v>
      </c>
      <c r="J20" s="333" t="s">
        <v>7</v>
      </c>
      <c r="K20" s="48"/>
      <c r="L20" s="35"/>
      <c r="M20" s="181"/>
      <c r="N20" s="241"/>
    </row>
    <row r="21">
      <c r="A21" s="55">
        <v>40475.645833333336</v>
      </c>
      <c r="B21" s="58" t="s">
        <v>11</v>
      </c>
      <c r="C21" s="124"/>
      <c r="D21" s="58" t="s">
        <v>6</v>
      </c>
      <c r="E21" s="242" t="s">
        <v>21</v>
      </c>
      <c r="F21" s="250"/>
      <c r="G21" s="50" t="s">
        <v>7</v>
      </c>
      <c r="H21" s="242" t="s">
        <v>21</v>
      </c>
      <c r="I21" s="333" t="s">
        <v>11</v>
      </c>
      <c r="J21" s="334" t="s">
        <v>7</v>
      </c>
      <c r="K21" s="48"/>
      <c r="L21" s="35"/>
      <c r="M21" s="181"/>
      <c r="N21" s="242"/>
    </row>
    <row r="22">
      <c r="A22" s="55">
        <v>40475.666666666664</v>
      </c>
      <c r="B22" s="58" t="s">
        <v>11</v>
      </c>
      <c r="C22" s="124"/>
      <c r="D22" s="51" t="s">
        <v>6</v>
      </c>
      <c r="E22" s="241" t="s">
        <v>21</v>
      </c>
      <c r="F22" s="250"/>
      <c r="G22" s="50" t="s">
        <v>7</v>
      </c>
      <c r="H22" s="241" t="s">
        <v>21</v>
      </c>
      <c r="I22" s="334" t="s">
        <v>11</v>
      </c>
      <c r="J22" s="333" t="s">
        <v>7</v>
      </c>
      <c r="K22" s="76"/>
      <c r="L22" s="35"/>
      <c r="M22" s="181"/>
      <c r="N22" s="241"/>
    </row>
    <row r="23">
      <c r="A23" s="49">
        <v>40475.6875</v>
      </c>
      <c r="B23" s="58" t="s">
        <v>11</v>
      </c>
      <c r="C23" s="124"/>
      <c r="D23" s="51" t="s">
        <v>6</v>
      </c>
      <c r="E23" s="242" t="s">
        <v>21</v>
      </c>
      <c r="F23" s="196"/>
      <c r="G23" s="50" t="s">
        <v>7</v>
      </c>
      <c r="H23" s="242" t="s">
        <v>21</v>
      </c>
      <c r="I23" s="333" t="s">
        <v>11</v>
      </c>
      <c r="J23" s="334" t="s">
        <v>7</v>
      </c>
      <c r="K23" s="76"/>
      <c r="L23" s="35"/>
      <c r="M23" s="181"/>
      <c r="N23" s="242"/>
    </row>
    <row r="24">
      <c r="A24" s="49">
        <v>40475.708333333336</v>
      </c>
      <c r="B24" s="51" t="s">
        <v>11</v>
      </c>
      <c r="C24" s="124"/>
      <c r="D24" s="51" t="s">
        <v>6</v>
      </c>
      <c r="E24" s="241" t="s">
        <v>21</v>
      </c>
      <c r="F24" s="196"/>
      <c r="G24" s="50" t="s">
        <v>7</v>
      </c>
      <c r="H24" s="241" t="s">
        <v>21</v>
      </c>
      <c r="I24" s="334" t="s">
        <v>11</v>
      </c>
      <c r="J24" s="334" t="s">
        <v>7</v>
      </c>
      <c r="K24" s="76"/>
      <c r="L24" s="35"/>
      <c r="M24" s="181"/>
      <c r="N24" s="241"/>
    </row>
    <row r="25">
      <c r="A25" s="55">
        <v>40475.729166666664</v>
      </c>
      <c r="B25" s="37"/>
      <c r="C25" s="197"/>
      <c r="D25" s="37"/>
      <c r="E25" s="46"/>
      <c r="F25" s="37"/>
      <c r="G25" s="122"/>
      <c r="H25" s="242"/>
      <c r="I25" s="243"/>
      <c r="J25" s="56"/>
      <c r="K25" s="76"/>
      <c r="L25" s="76"/>
      <c r="M25" s="181"/>
      <c r="N25" s="181"/>
    </row>
    <row r="26">
      <c r="A26" s="55">
        <v>40475.75</v>
      </c>
      <c r="B26" s="35"/>
      <c r="C26" s="23"/>
      <c r="D26" s="35"/>
      <c r="E26" s="184"/>
      <c r="F26" s="27"/>
      <c r="G26" s="47"/>
      <c r="H26" s="27"/>
      <c r="I26" s="24"/>
      <c r="J26" s="221"/>
      <c r="K26" s="76"/>
      <c r="L26" s="26"/>
      <c r="M26" s="181"/>
      <c r="N26" s="181"/>
    </row>
    <row r="27">
      <c r="A27" s="49">
        <v>40475.770833333336</v>
      </c>
      <c r="B27" s="27"/>
      <c r="C27" s="180"/>
      <c r="D27" s="27"/>
      <c r="E27" s="198"/>
      <c r="F27" s="27"/>
      <c r="G27" s="24"/>
      <c r="H27" s="24"/>
      <c r="I27" s="25"/>
      <c r="J27" s="24"/>
      <c r="K27" s="48"/>
      <c r="L27" s="26"/>
      <c r="M27" s="181"/>
      <c r="N27" s="181"/>
    </row>
    <row r="28">
      <c r="A28" s="49">
        <v>40475.791666666664</v>
      </c>
      <c r="B28" s="79"/>
      <c r="C28" s="180"/>
      <c r="D28" s="79"/>
      <c r="E28" s="199"/>
      <c r="F28" s="200"/>
      <c r="G28" s="17"/>
      <c r="H28" s="17"/>
      <c r="I28" s="24"/>
      <c r="J28" s="17"/>
      <c r="K28" s="48"/>
      <c r="L28" s="38"/>
      <c r="M28" s="181"/>
      <c r="N28" s="181"/>
    </row>
    <row r="29">
      <c r="A29" s="55">
        <v>40475.8125</v>
      </c>
      <c r="B29" s="27"/>
      <c r="C29" s="180"/>
      <c r="D29" s="27"/>
      <c r="E29" s="198"/>
      <c r="F29" s="48"/>
      <c r="G29" s="24"/>
      <c r="H29" s="24"/>
      <c r="I29" s="25"/>
      <c r="J29" s="24"/>
      <c r="K29" s="76"/>
      <c r="L29" s="77"/>
      <c r="M29" s="181"/>
      <c r="N29" s="180"/>
    </row>
    <row r="30">
      <c r="A30" s="55">
        <v>40475.833333333336</v>
      </c>
      <c r="B30" s="27"/>
      <c r="C30" s="180"/>
      <c r="D30" s="27"/>
      <c r="E30" s="27"/>
      <c r="F30" s="48"/>
      <c r="G30" s="27"/>
      <c r="H30" s="24"/>
      <c r="I30" s="25"/>
      <c r="J30" s="27"/>
      <c r="K30" s="76"/>
      <c r="L30" s="77"/>
      <c r="M30" s="181"/>
      <c r="N30" s="180"/>
    </row>
    <row r="31">
      <c r="A31" s="49">
        <v>40475.854166666664</v>
      </c>
      <c r="B31" s="27"/>
      <c r="C31" s="180"/>
      <c r="D31" s="27"/>
      <c r="E31" s="27"/>
      <c r="F31" s="48"/>
      <c r="G31" s="27"/>
      <c r="H31" s="24"/>
      <c r="I31" s="25"/>
      <c r="J31" s="27"/>
      <c r="K31" s="76"/>
      <c r="L31" s="77"/>
      <c r="M31" s="181"/>
      <c r="N31" s="201"/>
    </row>
    <row r="32">
      <c r="A32" s="49">
        <v>40475.875</v>
      </c>
      <c r="B32" s="27"/>
      <c r="C32" s="180"/>
      <c r="D32" s="27"/>
      <c r="E32" s="27"/>
      <c r="F32" s="48"/>
      <c r="G32" s="27"/>
      <c r="H32" s="24"/>
      <c r="I32" s="25"/>
      <c r="J32" s="27"/>
      <c r="K32" s="76"/>
      <c r="L32" s="77"/>
      <c r="M32" s="181"/>
      <c r="N32" s="181"/>
    </row>
    <row r="33">
      <c r="A33" s="55">
        <v>40475.895833333336</v>
      </c>
      <c r="B33" s="27"/>
      <c r="C33" s="180"/>
      <c r="D33" s="27"/>
      <c r="E33" s="27"/>
      <c r="F33" s="48"/>
      <c r="G33" s="27"/>
      <c r="H33" s="24"/>
      <c r="I33" s="25"/>
      <c r="J33" s="27"/>
      <c r="K33" s="76"/>
      <c r="L33" s="77"/>
      <c r="M33" s="202"/>
      <c r="N33" s="202"/>
    </row>
    <row r="34">
      <c r="A34" s="55">
        <v>40475.916666666664</v>
      </c>
      <c r="B34" s="27"/>
      <c r="C34" s="180"/>
      <c r="D34" s="27"/>
      <c r="E34" s="27"/>
      <c r="F34" s="48"/>
      <c r="G34" s="27"/>
      <c r="H34" s="24"/>
      <c r="I34" s="25"/>
      <c r="J34" s="27"/>
      <c r="K34" s="76"/>
      <c r="L34" s="77"/>
      <c r="M34" s="202"/>
      <c r="N34" s="202"/>
    </row>
    <row r="35">
      <c r="A35" s="49">
        <v>40475.9375</v>
      </c>
      <c r="B35" s="27"/>
      <c r="C35" s="180"/>
      <c r="D35" s="27"/>
      <c r="E35" s="27"/>
      <c r="F35" s="48"/>
      <c r="G35" s="27"/>
      <c r="H35" s="24"/>
      <c r="I35" s="25"/>
      <c r="J35" s="27"/>
      <c r="K35" s="76"/>
      <c r="L35" s="77"/>
      <c r="M35" s="202"/>
      <c r="N35" s="202"/>
    </row>
    <row r="36">
      <c r="A36" s="49">
        <v>40475.958333333336</v>
      </c>
      <c r="B36" s="79"/>
      <c r="C36" s="180"/>
      <c r="D36" s="79"/>
      <c r="E36" s="79"/>
      <c r="F36" s="200"/>
      <c r="G36" s="79"/>
      <c r="H36" s="79"/>
      <c r="I36" s="203"/>
      <c r="J36" s="79"/>
      <c r="K36" s="76"/>
      <c r="L36" s="77"/>
      <c r="M36" s="202"/>
      <c r="N36" s="202"/>
    </row>
    <row r="37">
      <c r="A37" s="55">
        <v>40475.979166666664</v>
      </c>
      <c r="B37" s="27"/>
      <c r="C37" s="180"/>
      <c r="D37" s="27"/>
      <c r="E37" s="27"/>
      <c r="F37" s="48"/>
      <c r="G37" s="24"/>
      <c r="H37" s="24"/>
      <c r="I37" s="25"/>
      <c r="J37" s="24"/>
      <c r="K37" s="76"/>
      <c r="L37" s="77"/>
      <c r="M37" s="181"/>
      <c r="N37" s="181"/>
    </row>
    <row r="38">
      <c r="A38" s="85" t="s">
        <v>12</v>
      </c>
      <c r="B38" s="79"/>
      <c r="C38" s="180"/>
      <c r="D38" s="79"/>
      <c r="E38" s="79"/>
      <c r="F38" s="17"/>
      <c r="G38" s="17"/>
      <c r="H38" s="17"/>
      <c r="I38" s="25"/>
      <c r="J38" s="17"/>
      <c r="K38" s="25"/>
      <c r="L38" s="77"/>
      <c r="M38" s="181"/>
      <c r="N38" s="181"/>
    </row>
    <row r="39">
      <c r="A39" s="89" t="s">
        <v>13</v>
      </c>
      <c r="B39" s="89">
        <f t="shared" ref="B39:N39" si="1">CONCATENATE(COUNTIF(B4:B38,"MAGAZZINI")+COUNTIF(B4:B38,"PRIMO")+COUNTIF(B4:B38,"RECEPTION")+COUNTIF(B4:B38,"SAGGI")+COUNTIF(B4:B38,"SECONDO")+COUNTIF(B4:B38,"SMART W")+COUNTIF(B4:B38,"STUDIO 1 e 2")+COUNTIF(B4:B38,"MANUTENZ.")+COUNTIF(B4:B38,"UFFICIO")+COUNTIF(B4:B38,"CAMPUS")+COUNTIF(B4:B38,"TEATRO")+COUNTIF(B4:B38,"AMM.ZIONE")+COUNTIF(B4:B38,"FORMAZ-1p")+COUNTIF(B4:B38,"FORMAZ-2p")+COUNTIF(B4:B38,"FORMAZ-rec")+COUNTIF(B4:B38,"WORKSHOP")+COUNTIF(B4:B38,"EVENTO EST."))/2</f>
        <v>8</v>
      </c>
      <c r="C39" s="89">
        <f t="shared" si="1"/>
        <v>0</v>
      </c>
      <c r="D39" s="89">
        <f t="shared" si="1"/>
        <v>8</v>
      </c>
      <c r="E39" s="89">
        <f t="shared" si="1"/>
        <v>0</v>
      </c>
      <c r="F39" s="89">
        <f t="shared" si="1"/>
        <v>0</v>
      </c>
      <c r="G39" s="89">
        <f t="shared" si="1"/>
        <v>8</v>
      </c>
      <c r="H39" s="89">
        <f t="shared" si="1"/>
        <v>0</v>
      </c>
      <c r="I39" s="89">
        <f t="shared" si="1"/>
        <v>8</v>
      </c>
      <c r="J39" s="89">
        <f t="shared" si="1"/>
        <v>8</v>
      </c>
      <c r="K39" s="89">
        <f t="shared" si="1"/>
        <v>0</v>
      </c>
      <c r="L39" s="89">
        <f t="shared" si="1"/>
        <v>0</v>
      </c>
      <c r="M39" s="89">
        <f t="shared" si="1"/>
        <v>0</v>
      </c>
      <c r="N39" s="89">
        <f t="shared" si="1"/>
        <v>0</v>
      </c>
    </row>
  </sheetData>
  <mergeCells count="4">
    <mergeCell ref="B1:C2"/>
    <mergeCell ref="D1:E2"/>
    <mergeCell ref="F1:F2"/>
    <mergeCell ref="G1:N2"/>
  </mergeCells>
  <conditionalFormatting sqref="B4:N38">
    <cfRule type="containsText" dxfId="1" priority="1" operator="containsText" text="MALATTIA">
      <formula>NOT(ISERROR(SEARCH(("MALATTIA"),(B4))))</formula>
    </cfRule>
  </conditionalFormatting>
  <conditionalFormatting sqref="B4:N38">
    <cfRule type="containsText" dxfId="2" priority="2" operator="containsText" text="FORMAZ">
      <formula>NOT(ISERROR(SEARCH(("FORMAZ"),(B4))))</formula>
    </cfRule>
  </conditionalFormatting>
  <conditionalFormatting sqref="B4:N38">
    <cfRule type="containsText" dxfId="3" priority="3" operator="containsText" text="AMM.ZIONE">
      <formula>NOT(ISERROR(SEARCH(("AMM.ZIONE"),(B4))))</formula>
    </cfRule>
  </conditionalFormatting>
  <conditionalFormatting sqref="B4:N38">
    <cfRule type="containsText" dxfId="4" priority="4" operator="containsText" text="PAUSA">
      <formula>NOT(ISERROR(SEARCH(("PAUSA"),(B4))))</formula>
    </cfRule>
  </conditionalFormatting>
  <conditionalFormatting sqref="B4:N38">
    <cfRule type="containsText" dxfId="0" priority="5" operator="containsText" text="PERMESSO">
      <formula>NOT(ISERROR(SEARCH(("PERMESSO"),(B4))))</formula>
    </cfRule>
  </conditionalFormatting>
  <conditionalFormatting sqref="B4:N38">
    <cfRule type="containsText" dxfId="6" priority="6" operator="containsText" text="UFFICIO">
      <formula>NOT(ISERROR(SEARCH(("UFFICIO"),(B4))))</formula>
    </cfRule>
  </conditionalFormatting>
  <conditionalFormatting sqref="B4:N38">
    <cfRule type="containsText" dxfId="7" priority="7" operator="containsText" text="RIPOSO">
      <formula>NOT(ISERROR(SEARCH(("RIPOSO"),(B4))))</formula>
    </cfRule>
  </conditionalFormatting>
  <dataValidations>
    <dataValidation type="list" allowBlank="1" showInputMessage="1" showErrorMessage="1" prompt="Fai clic e immetti un valore da intervallo elenchi!A1:A30" sqref="B4:N38">
      <formula1>elenchi!$A$1:$A$30</formula1>
    </dataValidation>
  </dataValidations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C78D8"/>
    <outlinePr summaryBelow="0" summaryRight="0"/>
  </sheetPr>
  <sheetViews>
    <sheetView workbookViewId="0">
      <pane xSplit="1.0" ySplit="3.0" topLeftCell="B4" activePane="bottomRight" state="frozen"/>
      <selection activeCell="B1" sqref="B1" pane="topRight"/>
      <selection activeCell="A4" sqref="A4" pane="bottomLeft"/>
      <selection activeCell="B4" sqref="B4" pane="bottomRight"/>
    </sheetView>
  </sheetViews>
  <sheetFormatPr customHeight="1" defaultColWidth="14.43" defaultRowHeight="15.0"/>
  <cols>
    <col customWidth="1" min="1" max="1" width="10.14"/>
    <col customWidth="1" min="2" max="14" width="18.71"/>
  </cols>
  <sheetData>
    <row r="1">
      <c r="A1" s="324"/>
      <c r="B1" s="2" t="s">
        <v>19</v>
      </c>
      <c r="C1" s="3"/>
      <c r="D1" s="325" t="str">
        <f>elenchi!C5</f>
        <v>  SETTIMANA - E</v>
      </c>
      <c r="E1" s="5"/>
      <c r="F1" s="326" t="s">
        <v>24</v>
      </c>
      <c r="G1" s="327" t="str">
        <f>elenchi!D5</f>
        <v>LUNEDI 13 A DOMENICA 19 APRILE 2026</v>
      </c>
      <c r="H1" s="5"/>
      <c r="I1" s="5"/>
      <c r="J1" s="5"/>
      <c r="K1" s="5"/>
      <c r="L1" s="5"/>
      <c r="M1" s="5"/>
      <c r="N1" s="3"/>
    </row>
    <row r="2">
      <c r="A2" s="324"/>
      <c r="B2" s="8"/>
      <c r="C2" s="9"/>
      <c r="D2" s="8"/>
      <c r="E2" s="10"/>
      <c r="F2" s="10"/>
      <c r="G2" s="10"/>
      <c r="H2" s="10"/>
      <c r="I2" s="10"/>
      <c r="J2" s="10"/>
      <c r="K2" s="10"/>
      <c r="L2" s="10"/>
      <c r="M2" s="10"/>
      <c r="N2" s="9"/>
    </row>
    <row r="3">
      <c r="A3" s="11" t="s">
        <v>2</v>
      </c>
      <c r="B3" s="11" t="str">
        <f>elenchi!B1</f>
        <v>ALEXANDRA</v>
      </c>
      <c r="C3" s="11" t="str">
        <f>elenchi!B2</f>
        <v>GIUDITTA</v>
      </c>
      <c r="D3" s="11" t="str">
        <f>elenchi!B3</f>
        <v>ESTEFANY</v>
      </c>
      <c r="E3" s="12" t="str">
        <f>elenchi!B4</f>
        <v>NURA</v>
      </c>
      <c r="F3" s="12" t="str">
        <f>elenchi!B5</f>
        <v/>
      </c>
      <c r="G3" s="12" t="str">
        <f>elenchi!B6</f>
        <v>JOEL</v>
      </c>
      <c r="H3" s="12" t="str">
        <f>elenchi!B7</f>
        <v>KEVIN</v>
      </c>
      <c r="I3" s="12" t="str">
        <f>elenchi!B8</f>
        <v>JASIR</v>
      </c>
      <c r="J3" s="15" t="str">
        <f>elenchi!B9</f>
        <v>DIEGO</v>
      </c>
      <c r="K3" s="15" t="str">
        <f>elenchi!B10</f>
        <v>SARA</v>
      </c>
      <c r="L3" s="12" t="str">
        <f>elenchi!B11</f>
        <v>SANTO</v>
      </c>
      <c r="M3" s="12" t="str">
        <f>elenchi!B12</f>
        <v>MASSI</v>
      </c>
      <c r="N3" s="12" t="str">
        <f>elenchi!B13</f>
        <v/>
      </c>
    </row>
    <row r="4">
      <c r="A4" s="16" t="s">
        <v>3</v>
      </c>
      <c r="B4" s="48"/>
      <c r="C4" s="180"/>
      <c r="D4" s="47"/>
      <c r="E4" s="180"/>
      <c r="F4" s="48"/>
      <c r="G4" s="48"/>
      <c r="H4" s="48"/>
      <c r="I4" s="25"/>
      <c r="J4" s="25"/>
      <c r="K4" s="181"/>
      <c r="L4" s="181"/>
      <c r="M4" s="181"/>
      <c r="N4" s="181"/>
    </row>
    <row r="5">
      <c r="A5" s="28" t="s">
        <v>4</v>
      </c>
      <c r="B5" s="48"/>
      <c r="C5" s="180"/>
      <c r="D5" s="47"/>
      <c r="E5" s="180"/>
      <c r="F5" s="48"/>
      <c r="G5" s="48"/>
      <c r="H5" s="48"/>
      <c r="I5" s="25"/>
      <c r="J5" s="25"/>
      <c r="K5" s="181"/>
      <c r="L5" s="181"/>
      <c r="M5" s="181"/>
      <c r="N5" s="181"/>
    </row>
    <row r="6">
      <c r="A6" s="28" t="s">
        <v>5</v>
      </c>
      <c r="B6" s="48"/>
      <c r="C6" s="180"/>
      <c r="D6" s="47"/>
      <c r="E6" s="180"/>
      <c r="F6" s="48"/>
      <c r="G6" s="48"/>
      <c r="H6" s="48"/>
      <c r="I6" s="25"/>
      <c r="J6" s="25"/>
      <c r="K6" s="48"/>
      <c r="L6" s="38"/>
      <c r="M6" s="191"/>
      <c r="N6" s="181"/>
    </row>
    <row r="7">
      <c r="A7" s="39">
        <v>40475.354166666664</v>
      </c>
      <c r="B7" s="24"/>
      <c r="C7" s="180"/>
      <c r="D7" s="27"/>
      <c r="E7" s="180"/>
      <c r="F7" s="24"/>
      <c r="G7" s="24"/>
      <c r="H7" s="24"/>
      <c r="I7" s="25"/>
      <c r="J7" s="25"/>
      <c r="K7" s="48"/>
      <c r="L7" s="77"/>
      <c r="M7" s="191"/>
      <c r="N7" s="181"/>
    </row>
    <row r="8">
      <c r="A8" s="49">
        <v>40475.375</v>
      </c>
      <c r="B8" s="334"/>
      <c r="C8" s="293"/>
      <c r="D8" s="184"/>
      <c r="E8" s="182"/>
      <c r="F8" s="204"/>
      <c r="G8" s="182"/>
      <c r="H8" s="270"/>
      <c r="I8" s="196"/>
      <c r="J8" s="76"/>
      <c r="K8" s="76"/>
      <c r="L8" s="38"/>
      <c r="M8" s="191"/>
      <c r="N8" s="181"/>
    </row>
    <row r="9">
      <c r="A9" s="55">
        <v>40475.395833333336</v>
      </c>
      <c r="B9" s="333"/>
      <c r="C9" s="183"/>
      <c r="D9" s="37"/>
      <c r="E9" s="67" t="s">
        <v>6</v>
      </c>
      <c r="F9" s="250"/>
      <c r="G9" s="185"/>
      <c r="H9" s="333" t="s">
        <v>7</v>
      </c>
      <c r="I9" s="248"/>
      <c r="J9" s="76"/>
      <c r="K9" s="76"/>
      <c r="L9" s="77"/>
      <c r="M9" s="191"/>
      <c r="N9" s="191"/>
    </row>
    <row r="10">
      <c r="A10" s="55">
        <v>40475.416666666664</v>
      </c>
      <c r="B10" s="333"/>
      <c r="C10" s="183"/>
      <c r="D10" s="37"/>
      <c r="E10" s="67" t="s">
        <v>6</v>
      </c>
      <c r="F10" s="250"/>
      <c r="G10" s="185"/>
      <c r="H10" s="333" t="s">
        <v>7</v>
      </c>
      <c r="I10" s="249"/>
      <c r="J10" s="76"/>
      <c r="K10" s="76"/>
      <c r="L10" s="77"/>
      <c r="M10" s="191"/>
      <c r="N10" s="191"/>
    </row>
    <row r="11">
      <c r="A11" s="49">
        <v>40475.4375</v>
      </c>
      <c r="B11" s="333"/>
      <c r="C11" s="183"/>
      <c r="D11" s="37"/>
      <c r="E11" s="67" t="s">
        <v>6</v>
      </c>
      <c r="F11" s="250"/>
      <c r="G11" s="185"/>
      <c r="H11" s="333" t="s">
        <v>7</v>
      </c>
      <c r="I11" s="248"/>
      <c r="J11" s="76"/>
      <c r="K11" s="76"/>
      <c r="L11" s="77"/>
      <c r="M11" s="191"/>
      <c r="N11" s="191"/>
    </row>
    <row r="12">
      <c r="A12" s="49">
        <v>40475.458333333336</v>
      </c>
      <c r="B12" s="333"/>
      <c r="C12" s="183"/>
      <c r="D12" s="37"/>
      <c r="E12" s="67" t="s">
        <v>6</v>
      </c>
      <c r="F12" s="250"/>
      <c r="G12" s="185"/>
      <c r="H12" s="333" t="s">
        <v>7</v>
      </c>
      <c r="I12" s="248"/>
      <c r="J12" s="76"/>
      <c r="K12" s="76"/>
      <c r="L12" s="77"/>
      <c r="M12" s="191"/>
      <c r="N12" s="191"/>
    </row>
    <row r="13">
      <c r="A13" s="55">
        <v>40475.479166666664</v>
      </c>
      <c r="B13" s="333"/>
      <c r="C13" s="183"/>
      <c r="D13" s="77"/>
      <c r="E13" s="67" t="s">
        <v>6</v>
      </c>
      <c r="F13" s="250"/>
      <c r="G13" s="183"/>
      <c r="H13" s="333" t="s">
        <v>7</v>
      </c>
      <c r="I13" s="248"/>
      <c r="J13" s="76"/>
      <c r="K13" s="48"/>
      <c r="L13" s="77"/>
      <c r="M13" s="191"/>
      <c r="N13" s="191"/>
    </row>
    <row r="14">
      <c r="A14" s="55">
        <v>40475.5</v>
      </c>
      <c r="B14" s="333"/>
      <c r="C14" s="183"/>
      <c r="D14" s="77"/>
      <c r="E14" s="67" t="s">
        <v>6</v>
      </c>
      <c r="F14" s="335"/>
      <c r="G14" s="183"/>
      <c r="H14" s="333" t="s">
        <v>7</v>
      </c>
      <c r="I14" s="248"/>
      <c r="J14" s="76"/>
      <c r="K14" s="48"/>
      <c r="L14" s="77"/>
      <c r="M14" s="191"/>
      <c r="N14" s="191"/>
    </row>
    <row r="15">
      <c r="A15" s="49">
        <v>40475.520833333336</v>
      </c>
      <c r="B15" s="333"/>
      <c r="C15" s="183"/>
      <c r="D15" s="77"/>
      <c r="E15" s="67" t="s">
        <v>6</v>
      </c>
      <c r="F15" s="335"/>
      <c r="G15" s="195"/>
      <c r="H15" s="333" t="s">
        <v>7</v>
      </c>
      <c r="I15" s="248"/>
      <c r="J15" s="76"/>
      <c r="K15" s="76"/>
      <c r="L15" s="37"/>
      <c r="M15" s="191"/>
      <c r="N15" s="191"/>
    </row>
    <row r="16">
      <c r="A16" s="49">
        <v>40475.541666666664</v>
      </c>
      <c r="B16" s="333"/>
      <c r="C16" s="195"/>
      <c r="D16" s="46"/>
      <c r="E16" s="67" t="s">
        <v>10</v>
      </c>
      <c r="F16" s="335"/>
      <c r="G16" s="63"/>
      <c r="H16" s="333" t="s">
        <v>7</v>
      </c>
      <c r="I16" s="248"/>
      <c r="J16" s="76"/>
      <c r="K16" s="76"/>
      <c r="L16" s="35"/>
      <c r="M16" s="191"/>
      <c r="N16" s="191"/>
    </row>
    <row r="17">
      <c r="A17" s="55">
        <v>40475.5625</v>
      </c>
      <c r="B17" s="69"/>
      <c r="C17" s="50"/>
      <c r="D17" s="46"/>
      <c r="E17" s="67" t="s">
        <v>6</v>
      </c>
      <c r="F17" s="335"/>
      <c r="G17" s="185"/>
      <c r="H17" s="333" t="s">
        <v>10</v>
      </c>
      <c r="I17" s="248"/>
      <c r="J17" s="76"/>
      <c r="K17" s="76"/>
      <c r="L17" s="35"/>
      <c r="M17" s="191"/>
      <c r="N17" s="191"/>
    </row>
    <row r="18">
      <c r="A18" s="55">
        <v>40475.583333333336</v>
      </c>
      <c r="B18" s="69"/>
      <c r="C18" s="124"/>
      <c r="D18" s="37"/>
      <c r="E18" s="122" t="s">
        <v>6</v>
      </c>
      <c r="F18" s="46"/>
      <c r="G18" s="185"/>
      <c r="H18" s="333" t="s">
        <v>7</v>
      </c>
      <c r="I18" s="248"/>
      <c r="J18" s="76"/>
      <c r="K18" s="76" t="s">
        <v>25</v>
      </c>
      <c r="L18" s="35"/>
      <c r="M18" s="191"/>
      <c r="N18" s="191"/>
    </row>
    <row r="19">
      <c r="A19" s="49">
        <v>40475.604166666664</v>
      </c>
      <c r="B19" s="69"/>
      <c r="C19" s="124"/>
      <c r="D19" s="37"/>
      <c r="E19" s="122" t="s">
        <v>6</v>
      </c>
      <c r="F19" s="250"/>
      <c r="G19" s="185"/>
      <c r="H19" s="333" t="s">
        <v>7</v>
      </c>
      <c r="I19" s="196"/>
      <c r="J19" s="76"/>
      <c r="K19" s="76" t="s">
        <v>25</v>
      </c>
      <c r="L19" s="35"/>
      <c r="M19" s="191"/>
      <c r="N19" s="191"/>
    </row>
    <row r="20">
      <c r="A20" s="49">
        <v>40475.625</v>
      </c>
      <c r="B20" s="69"/>
      <c r="C20" s="124"/>
      <c r="D20" s="37"/>
      <c r="E20" s="122" t="s">
        <v>6</v>
      </c>
      <c r="F20" s="250"/>
      <c r="G20" s="185"/>
      <c r="H20" s="333" t="s">
        <v>7</v>
      </c>
      <c r="I20" s="196"/>
      <c r="J20" s="76"/>
      <c r="K20" s="48" t="s">
        <v>25</v>
      </c>
      <c r="L20" s="35"/>
      <c r="M20" s="191"/>
      <c r="N20" s="191"/>
    </row>
    <row r="21">
      <c r="A21" s="55">
        <v>40475.645833333336</v>
      </c>
      <c r="B21" s="69"/>
      <c r="C21" s="124"/>
      <c r="D21" s="37"/>
      <c r="E21" s="122" t="s">
        <v>6</v>
      </c>
      <c r="F21" s="250"/>
      <c r="G21" s="185"/>
      <c r="H21" s="333" t="s">
        <v>7</v>
      </c>
      <c r="I21" s="196"/>
      <c r="J21" s="76"/>
      <c r="K21" s="48" t="s">
        <v>25</v>
      </c>
      <c r="L21" s="35"/>
      <c r="M21" s="191"/>
      <c r="N21" s="191"/>
    </row>
    <row r="22">
      <c r="A22" s="55">
        <v>40475.666666666664</v>
      </c>
      <c r="B22" s="69"/>
      <c r="C22" s="124"/>
      <c r="D22" s="37"/>
      <c r="E22" s="122" t="s">
        <v>6</v>
      </c>
      <c r="F22" s="250"/>
      <c r="G22" s="185"/>
      <c r="H22" s="333" t="s">
        <v>7</v>
      </c>
      <c r="I22" s="196"/>
      <c r="J22" s="75"/>
      <c r="K22" s="76" t="s">
        <v>25</v>
      </c>
      <c r="L22" s="35"/>
      <c r="M22" s="191"/>
      <c r="N22" s="191"/>
    </row>
    <row r="23">
      <c r="A23" s="49">
        <v>40475.6875</v>
      </c>
      <c r="B23" s="69"/>
      <c r="C23" s="124"/>
      <c r="D23" s="37"/>
      <c r="E23" s="122" t="s">
        <v>6</v>
      </c>
      <c r="F23" s="250"/>
      <c r="G23" s="185"/>
      <c r="H23" s="333" t="s">
        <v>7</v>
      </c>
      <c r="I23" s="196"/>
      <c r="J23" s="75"/>
      <c r="K23" s="76" t="s">
        <v>25</v>
      </c>
      <c r="L23" s="35"/>
      <c r="M23" s="191"/>
      <c r="N23" s="191"/>
    </row>
    <row r="24">
      <c r="A24" s="49">
        <v>40475.708333333336</v>
      </c>
      <c r="B24" s="69"/>
      <c r="C24" s="124"/>
      <c r="D24" s="46"/>
      <c r="E24" s="122" t="s">
        <v>6</v>
      </c>
      <c r="F24" s="250"/>
      <c r="G24" s="67"/>
      <c r="H24" s="333" t="s">
        <v>7</v>
      </c>
      <c r="I24" s="196"/>
      <c r="J24" s="75"/>
      <c r="K24" s="76"/>
      <c r="L24" s="35"/>
      <c r="M24" s="191"/>
      <c r="N24" s="191"/>
    </row>
    <row r="25">
      <c r="A25" s="55">
        <v>40475.729166666664</v>
      </c>
      <c r="B25" s="46"/>
      <c r="C25" s="197"/>
      <c r="D25" s="184"/>
      <c r="E25" s="139" t="s">
        <v>6</v>
      </c>
      <c r="F25" s="46"/>
      <c r="G25" s="40"/>
      <c r="H25" s="333" t="s">
        <v>7</v>
      </c>
      <c r="I25" s="77"/>
      <c r="J25" s="76"/>
      <c r="K25" s="76"/>
      <c r="L25" s="76"/>
      <c r="M25" s="191"/>
      <c r="N25" s="191"/>
    </row>
    <row r="26">
      <c r="A26" s="55">
        <v>40475.75</v>
      </c>
      <c r="B26" s="76"/>
      <c r="C26" s="23"/>
      <c r="D26" s="24"/>
      <c r="E26" s="38"/>
      <c r="F26" s="27"/>
      <c r="G26" s="27"/>
      <c r="H26" s="333"/>
      <c r="I26" s="17"/>
      <c r="J26" s="25"/>
      <c r="K26" s="76"/>
      <c r="L26" s="26"/>
      <c r="M26" s="191"/>
      <c r="N26" s="181"/>
    </row>
    <row r="27">
      <c r="A27" s="49">
        <v>40475.770833333336</v>
      </c>
      <c r="B27" s="47"/>
      <c r="C27" s="180"/>
      <c r="D27" s="24"/>
      <c r="E27" s="268"/>
      <c r="F27" s="27"/>
      <c r="G27" s="24"/>
      <c r="H27" s="24"/>
      <c r="I27" s="25"/>
      <c r="J27" s="25"/>
      <c r="K27" s="48"/>
      <c r="L27" s="26"/>
      <c r="M27" s="191"/>
      <c r="N27" s="181"/>
    </row>
    <row r="28">
      <c r="A28" s="49">
        <v>40475.791666666664</v>
      </c>
      <c r="B28" s="180"/>
      <c r="C28" s="180"/>
      <c r="D28" s="200"/>
      <c r="E28" s="268"/>
      <c r="F28" s="200"/>
      <c r="G28" s="200"/>
      <c r="H28" s="200"/>
      <c r="I28" s="24"/>
      <c r="J28" s="25"/>
      <c r="K28" s="48"/>
      <c r="L28" s="38"/>
      <c r="M28" s="191"/>
      <c r="N28" s="181"/>
    </row>
    <row r="29">
      <c r="A29" s="55">
        <v>40475.8125</v>
      </c>
      <c r="B29" s="47"/>
      <c r="C29" s="180"/>
      <c r="D29" s="47"/>
      <c r="E29" s="268"/>
      <c r="F29" s="48"/>
      <c r="G29" s="48"/>
      <c r="H29" s="48"/>
      <c r="I29" s="25"/>
      <c r="J29" s="25"/>
      <c r="K29" s="76"/>
      <c r="L29" s="77"/>
      <c r="M29" s="191"/>
      <c r="N29" s="180"/>
    </row>
    <row r="30">
      <c r="A30" s="55">
        <v>40475.833333333336</v>
      </c>
      <c r="B30" s="47"/>
      <c r="C30" s="180"/>
      <c r="D30" s="47"/>
      <c r="E30" s="180"/>
      <c r="F30" s="48"/>
      <c r="G30" s="47"/>
      <c r="H30" s="48"/>
      <c r="I30" s="25"/>
      <c r="J30" s="203"/>
      <c r="K30" s="76"/>
      <c r="L30" s="77"/>
      <c r="M30" s="191"/>
      <c r="N30" s="180"/>
    </row>
    <row r="31">
      <c r="A31" s="49">
        <v>40475.854166666664</v>
      </c>
      <c r="B31" s="47"/>
      <c r="C31" s="180"/>
      <c r="D31" s="47"/>
      <c r="E31" s="180"/>
      <c r="F31" s="48"/>
      <c r="G31" s="47"/>
      <c r="H31" s="48"/>
      <c r="I31" s="25"/>
      <c r="J31" s="203"/>
      <c r="K31" s="76"/>
      <c r="L31" s="77"/>
      <c r="M31" s="191"/>
      <c r="N31" s="201"/>
    </row>
    <row r="32">
      <c r="A32" s="49">
        <v>40475.875</v>
      </c>
      <c r="B32" s="47"/>
      <c r="C32" s="180"/>
      <c r="D32" s="47"/>
      <c r="E32" s="180"/>
      <c r="F32" s="48"/>
      <c r="G32" s="47"/>
      <c r="H32" s="48"/>
      <c r="I32" s="25"/>
      <c r="J32" s="203"/>
      <c r="K32" s="76"/>
      <c r="L32" s="77"/>
      <c r="M32" s="191"/>
      <c r="N32" s="181"/>
    </row>
    <row r="33">
      <c r="A33" s="55">
        <v>40475.895833333336</v>
      </c>
      <c r="B33" s="47"/>
      <c r="C33" s="180"/>
      <c r="D33" s="47"/>
      <c r="E33" s="180"/>
      <c r="F33" s="48"/>
      <c r="G33" s="47"/>
      <c r="H33" s="48"/>
      <c r="I33" s="25"/>
      <c r="J33" s="203"/>
      <c r="K33" s="76"/>
      <c r="L33" s="77"/>
      <c r="M33" s="210"/>
      <c r="N33" s="202"/>
    </row>
    <row r="34">
      <c r="A34" s="55">
        <v>40475.916666666664</v>
      </c>
      <c r="B34" s="47"/>
      <c r="C34" s="180"/>
      <c r="D34" s="47"/>
      <c r="E34" s="180"/>
      <c r="F34" s="48"/>
      <c r="G34" s="47"/>
      <c r="H34" s="48"/>
      <c r="I34" s="25"/>
      <c r="J34" s="203"/>
      <c r="K34" s="76"/>
      <c r="L34" s="77"/>
      <c r="M34" s="210"/>
      <c r="N34" s="202"/>
    </row>
    <row r="35">
      <c r="A35" s="49">
        <v>40475.9375</v>
      </c>
      <c r="B35" s="47"/>
      <c r="C35" s="180"/>
      <c r="D35" s="47"/>
      <c r="E35" s="180"/>
      <c r="F35" s="48"/>
      <c r="G35" s="47"/>
      <c r="H35" s="48"/>
      <c r="I35" s="25"/>
      <c r="J35" s="203"/>
      <c r="K35" s="76"/>
      <c r="L35" s="77"/>
      <c r="M35" s="210"/>
      <c r="N35" s="202"/>
    </row>
    <row r="36">
      <c r="A36" s="49">
        <v>40475.958333333336</v>
      </c>
      <c r="B36" s="180"/>
      <c r="C36" s="180"/>
      <c r="D36" s="180"/>
      <c r="E36" s="180"/>
      <c r="F36" s="200"/>
      <c r="G36" s="180"/>
      <c r="H36" s="180"/>
      <c r="I36" s="203"/>
      <c r="J36" s="203"/>
      <c r="K36" s="76"/>
      <c r="L36" s="77"/>
      <c r="M36" s="210"/>
      <c r="N36" s="202"/>
    </row>
    <row r="37">
      <c r="A37" s="55">
        <v>40475.979166666664</v>
      </c>
      <c r="B37" s="47"/>
      <c r="C37" s="180"/>
      <c r="D37" s="47"/>
      <c r="E37" s="180"/>
      <c r="F37" s="48"/>
      <c r="G37" s="48"/>
      <c r="H37" s="48"/>
      <c r="I37" s="25"/>
      <c r="J37" s="25"/>
      <c r="K37" s="76"/>
      <c r="L37" s="77"/>
      <c r="M37" s="191"/>
      <c r="N37" s="181"/>
    </row>
    <row r="38">
      <c r="A38" s="85" t="s">
        <v>12</v>
      </c>
      <c r="B38" s="79"/>
      <c r="C38" s="180"/>
      <c r="D38" s="79"/>
      <c r="E38" s="180"/>
      <c r="F38" s="17"/>
      <c r="G38" s="17"/>
      <c r="H38" s="17"/>
      <c r="I38" s="25"/>
      <c r="J38" s="25"/>
      <c r="K38" s="25"/>
      <c r="L38" s="77"/>
      <c r="M38" s="181"/>
      <c r="N38" s="181"/>
    </row>
    <row r="39">
      <c r="A39" s="89" t="s">
        <v>13</v>
      </c>
      <c r="B39" s="89">
        <f t="shared" ref="B39:N39" si="1">CONCATENATE(COUNTIF(B4:B38,"MAGAZZINI")+COUNTIF(B4:B38,"PRIMO")+COUNTIF(B4:B38,"RECEPTION")+COUNTIF(B4:B38,"SAGGI")+COUNTIF(B4:B38,"SECONDO")+COUNTIF(B4:B38,"SMART W")+COUNTIF(B4:B38,"STUDIO 1 e 2")+COUNTIF(B4:B38,"MANUTENZ.")+COUNTIF(B4:B38,"UFFICIO")+COUNTIF(B4:B38,"CAMPUS")+COUNTIF(B4:B38,"TEATRO")+COUNTIF(B4:B38,"AMM.ZIONE")+COUNTIF(B4:B38,"FORMAZ-1p")+COUNTIF(B4:B38,"FORMAZ-2p")+COUNTIF(B4:B38,"FORMAZ-rec")+COUNTIF(B4:B38,"WORKSHOP")+COUNTIF(B4:B38,"EVENTO EST."))/2</f>
        <v>0</v>
      </c>
      <c r="C39" s="89">
        <f t="shared" si="1"/>
        <v>0</v>
      </c>
      <c r="D39" s="89">
        <f t="shared" si="1"/>
        <v>0</v>
      </c>
      <c r="E39" s="89">
        <f t="shared" si="1"/>
        <v>8</v>
      </c>
      <c r="F39" s="89">
        <f t="shared" si="1"/>
        <v>0</v>
      </c>
      <c r="G39" s="89">
        <f t="shared" si="1"/>
        <v>0</v>
      </c>
      <c r="H39" s="89">
        <f t="shared" si="1"/>
        <v>8</v>
      </c>
      <c r="I39" s="89">
        <f t="shared" si="1"/>
        <v>0</v>
      </c>
      <c r="J39" s="89">
        <f t="shared" si="1"/>
        <v>0</v>
      </c>
      <c r="K39" s="89">
        <f t="shared" si="1"/>
        <v>3</v>
      </c>
      <c r="L39" s="89">
        <f t="shared" si="1"/>
        <v>0</v>
      </c>
      <c r="M39" s="89">
        <f t="shared" si="1"/>
        <v>0</v>
      </c>
      <c r="N39" s="89">
        <f t="shared" si="1"/>
        <v>0</v>
      </c>
    </row>
  </sheetData>
  <mergeCells count="4">
    <mergeCell ref="B1:C2"/>
    <mergeCell ref="D1:E2"/>
    <mergeCell ref="F1:F2"/>
    <mergeCell ref="G1:N2"/>
  </mergeCells>
  <conditionalFormatting sqref="B4:N38">
    <cfRule type="containsText" dxfId="1" priority="1" operator="containsText" text="MALATTIA">
      <formula>NOT(ISERROR(SEARCH(("MALATTIA"),(B4))))</formula>
    </cfRule>
  </conditionalFormatting>
  <conditionalFormatting sqref="B4:N38">
    <cfRule type="containsText" dxfId="2" priority="2" operator="containsText" text="FORMAZ">
      <formula>NOT(ISERROR(SEARCH(("FORMAZ"),(B4))))</formula>
    </cfRule>
  </conditionalFormatting>
  <conditionalFormatting sqref="B4:N38">
    <cfRule type="containsText" dxfId="3" priority="3" operator="containsText" text="AMM.ZIONE">
      <formula>NOT(ISERROR(SEARCH(("AMM.ZIONE"),(B4))))</formula>
    </cfRule>
  </conditionalFormatting>
  <conditionalFormatting sqref="B4:N38">
    <cfRule type="containsText" dxfId="4" priority="4" operator="containsText" text="PAUSA">
      <formula>NOT(ISERROR(SEARCH(("PAUSA"),(B4))))</formula>
    </cfRule>
  </conditionalFormatting>
  <conditionalFormatting sqref="B4:N38">
    <cfRule type="containsText" dxfId="0" priority="5" operator="containsText" text="PERMESSO">
      <formula>NOT(ISERROR(SEARCH(("PERMESSO"),(B4))))</formula>
    </cfRule>
  </conditionalFormatting>
  <conditionalFormatting sqref="B4:N38">
    <cfRule type="containsText" dxfId="6" priority="6" operator="containsText" text="UFFICIO">
      <formula>NOT(ISERROR(SEARCH(("UFFICIO"),(B4))))</formula>
    </cfRule>
  </conditionalFormatting>
  <conditionalFormatting sqref="B4:N38">
    <cfRule type="containsText" dxfId="7" priority="7" operator="containsText" text="RIPOSO">
      <formula>NOT(ISERROR(SEARCH(("RIPOSO"),(B4))))</formula>
    </cfRule>
  </conditionalFormatting>
  <dataValidations>
    <dataValidation type="list" allowBlank="1" showInputMessage="1" showErrorMessage="1" prompt="Fai clic e immetti un valore da intervallo elenchi!A1:A30" sqref="B4:N38">
      <formula1>elenchi!$A$1:$A$30</formula1>
    </dataValidation>
  </dataValidations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2.29"/>
    <col customWidth="1" min="2" max="2" width="21.29"/>
    <col customWidth="1" min="3" max="4" width="17.57"/>
    <col customWidth="1" min="5" max="5" width="16.14"/>
    <col customWidth="1" min="6" max="6" width="16.71"/>
    <col customWidth="1" min="7" max="7" width="15.86"/>
    <col customWidth="1" min="8" max="8" width="16.57"/>
  </cols>
  <sheetData>
    <row r="1">
      <c r="A1" s="336" t="s">
        <v>26</v>
      </c>
      <c r="B1" s="337" t="str">
        <f>elenchi!B1</f>
        <v>ALEXANDRA</v>
      </c>
      <c r="C1" s="338" t="str">
        <f>elenchi!B2</f>
        <v>GIUDITTA</v>
      </c>
      <c r="D1" s="338" t="str">
        <f>elenchi!B3</f>
        <v>ESTEFANY</v>
      </c>
      <c r="E1" s="338" t="str">
        <f>elenchi!B4</f>
        <v>NURA</v>
      </c>
      <c r="F1" s="338" t="str">
        <f>elenchi!B5</f>
        <v/>
      </c>
      <c r="G1" s="338" t="str">
        <f>elenchi!B6</f>
        <v>JOEL</v>
      </c>
      <c r="H1" s="338" t="str">
        <f>elenchi!B7</f>
        <v>KEVIN</v>
      </c>
      <c r="I1" s="338" t="str">
        <f>elenchi!B8</f>
        <v>JASIR</v>
      </c>
      <c r="J1" s="338" t="str">
        <f>elenchi!B9</f>
        <v>DIEGO</v>
      </c>
      <c r="K1" s="338" t="str">
        <f>elenchi!B10</f>
        <v>SARA</v>
      </c>
      <c r="L1" s="338" t="str">
        <f>elenchi!B11</f>
        <v>SANTO</v>
      </c>
      <c r="M1" s="338" t="str">
        <f>elenchi!B12</f>
        <v>MASSI</v>
      </c>
      <c r="N1" s="338" t="str">
        <f>elenchi!B13</f>
        <v/>
      </c>
    </row>
    <row r="2">
      <c r="A2" s="339"/>
      <c r="B2" s="340"/>
      <c r="C2" s="340"/>
      <c r="D2" s="340"/>
      <c r="E2" s="340"/>
      <c r="F2" s="340"/>
      <c r="G2" s="340"/>
      <c r="H2" s="340"/>
      <c r="I2" s="340"/>
      <c r="J2" s="340"/>
      <c r="K2" s="340"/>
      <c r="L2" s="340"/>
      <c r="M2" s="340"/>
      <c r="N2" s="340"/>
    </row>
    <row r="3">
      <c r="A3" s="339"/>
      <c r="B3" s="341"/>
      <c r="C3" s="340"/>
      <c r="D3" s="342"/>
      <c r="E3" s="342"/>
      <c r="F3" s="340"/>
      <c r="G3" s="342"/>
      <c r="H3" s="342"/>
      <c r="I3" s="342"/>
      <c r="J3" s="342"/>
      <c r="K3" s="340"/>
      <c r="L3" s="340"/>
      <c r="M3" s="340"/>
      <c r="N3" s="340"/>
    </row>
    <row r="4">
      <c r="A4" s="339"/>
      <c r="B4" s="342"/>
      <c r="C4" s="340"/>
      <c r="D4" s="341"/>
      <c r="E4" s="342"/>
      <c r="F4" s="340"/>
      <c r="G4" s="342"/>
      <c r="H4" s="342"/>
      <c r="I4" s="342"/>
      <c r="J4" s="342"/>
      <c r="K4" s="340"/>
      <c r="L4" s="340"/>
      <c r="M4" s="340"/>
      <c r="N4" s="340"/>
    </row>
    <row r="5">
      <c r="A5" s="339"/>
      <c r="B5" s="342"/>
      <c r="C5" s="340"/>
      <c r="D5" s="342"/>
      <c r="E5" s="342"/>
      <c r="F5" s="340"/>
      <c r="G5" s="342"/>
      <c r="H5" s="342"/>
      <c r="I5" s="342"/>
      <c r="J5" s="342"/>
      <c r="K5" s="340"/>
      <c r="L5" s="340"/>
      <c r="M5" s="340"/>
      <c r="N5" s="340"/>
    </row>
    <row r="6">
      <c r="A6" s="339"/>
      <c r="B6" s="342"/>
      <c r="C6" s="340"/>
      <c r="D6" s="342"/>
      <c r="E6" s="342"/>
      <c r="F6" s="340"/>
      <c r="G6" s="342"/>
      <c r="H6" s="342"/>
      <c r="I6" s="342"/>
      <c r="J6" s="342"/>
      <c r="K6" s="340"/>
      <c r="L6" s="340"/>
      <c r="M6" s="340"/>
      <c r="N6" s="340"/>
    </row>
    <row r="7">
      <c r="A7" s="339"/>
      <c r="B7" s="342"/>
      <c r="C7" s="340"/>
      <c r="D7" s="342"/>
      <c r="E7" s="342"/>
      <c r="F7" s="340"/>
      <c r="G7" s="342"/>
      <c r="H7" s="342"/>
      <c r="I7" s="342"/>
      <c r="J7" s="342"/>
      <c r="K7" s="340"/>
      <c r="L7" s="340"/>
      <c r="M7" s="340"/>
      <c r="N7" s="340"/>
    </row>
    <row r="8">
      <c r="A8" s="343"/>
      <c r="B8" s="341"/>
      <c r="C8" s="341"/>
      <c r="D8" s="341"/>
      <c r="E8" s="341"/>
      <c r="F8" s="341"/>
      <c r="G8" s="341"/>
      <c r="H8" s="341"/>
      <c r="I8" s="340"/>
      <c r="J8" s="340"/>
      <c r="K8" s="340"/>
      <c r="L8" s="340"/>
      <c r="M8" s="340"/>
      <c r="N8" s="340"/>
    </row>
    <row r="9">
      <c r="A9" s="344" t="s">
        <v>27</v>
      </c>
      <c r="B9" s="345" t="str">
        <f t="shared" ref="B9:N9" si="1">CONCATENATE(COUNTIF(B2:B8,"ALEXANDRA")+COUNTIF(B2:B8,"GIUDITTA")+COUNTIF(B2:B8,"ESTEFANY")+COUNTIF(B2:B8,"NURA")+COUNTIF(B2:B8,"JOEL")+COUNTIF(B2:B8,"KEVIN")+COUNTIF(B2:B8,"JASIR")+COUNTIF(B2:B8,"ZOILA")+COUNTIF(B2:B8,"SARA")+COUNTIF(B2:B8,"SANTO")+COUNTIF(B2:B8,"MASSI"))</f>
        <v>0</v>
      </c>
      <c r="C9" s="345" t="str">
        <f t="shared" si="1"/>
        <v>0</v>
      </c>
      <c r="D9" s="345" t="str">
        <f t="shared" si="1"/>
        <v>0</v>
      </c>
      <c r="E9" s="345" t="str">
        <f t="shared" si="1"/>
        <v>0</v>
      </c>
      <c r="F9" s="346" t="str">
        <f t="shared" si="1"/>
        <v>0</v>
      </c>
      <c r="G9" s="346" t="str">
        <f t="shared" si="1"/>
        <v>0</v>
      </c>
      <c r="H9" s="346" t="str">
        <f t="shared" si="1"/>
        <v>0</v>
      </c>
      <c r="I9" s="346" t="str">
        <f t="shared" si="1"/>
        <v>0</v>
      </c>
      <c r="J9" s="346" t="str">
        <f t="shared" si="1"/>
        <v>0</v>
      </c>
      <c r="K9" s="346" t="str">
        <f t="shared" si="1"/>
        <v>0</v>
      </c>
      <c r="L9" s="346" t="str">
        <f t="shared" si="1"/>
        <v>0</v>
      </c>
      <c r="M9" s="346" t="str">
        <f t="shared" si="1"/>
        <v>0</v>
      </c>
      <c r="N9" s="346" t="str">
        <f t="shared" si="1"/>
        <v>0</v>
      </c>
    </row>
    <row r="10">
      <c r="A10" s="343"/>
      <c r="B10" s="341"/>
      <c r="C10" s="341"/>
      <c r="D10" s="341"/>
      <c r="E10" s="341"/>
      <c r="F10" s="341"/>
      <c r="G10" s="341"/>
      <c r="H10" s="341"/>
      <c r="I10" s="340"/>
      <c r="J10" s="340"/>
      <c r="K10" s="340"/>
      <c r="L10" s="340"/>
      <c r="M10" s="340"/>
      <c r="N10" s="340"/>
    </row>
    <row r="11">
      <c r="A11" s="339">
        <v>46032.0</v>
      </c>
      <c r="B11" s="347"/>
      <c r="C11" s="341"/>
      <c r="D11" s="347" t="s">
        <v>28</v>
      </c>
      <c r="E11" s="347" t="s">
        <v>29</v>
      </c>
      <c r="F11" s="347" t="s">
        <v>30</v>
      </c>
      <c r="G11" s="347" t="s">
        <v>31</v>
      </c>
      <c r="H11" s="347" t="s">
        <v>32</v>
      </c>
      <c r="I11" s="348"/>
      <c r="J11" s="348" t="s">
        <v>33</v>
      </c>
      <c r="K11" s="340"/>
      <c r="L11" s="340"/>
      <c r="M11" s="340"/>
      <c r="N11" s="348" t="s">
        <v>34</v>
      </c>
    </row>
    <row r="12">
      <c r="A12" s="339">
        <v>46033.0</v>
      </c>
      <c r="B12" s="341"/>
      <c r="C12" s="341"/>
      <c r="D12" s="341"/>
      <c r="E12" s="341"/>
      <c r="F12" s="341"/>
      <c r="G12" s="341"/>
      <c r="H12" s="341"/>
      <c r="I12" s="340"/>
      <c r="J12" s="340"/>
      <c r="K12" s="340"/>
      <c r="L12" s="340"/>
      <c r="M12" s="340"/>
      <c r="N12" s="340"/>
    </row>
    <row r="13">
      <c r="A13" s="339">
        <v>46039.0</v>
      </c>
      <c r="B13" s="347" t="s">
        <v>35</v>
      </c>
      <c r="C13" s="341"/>
      <c r="D13" s="347" t="s">
        <v>28</v>
      </c>
      <c r="E13" s="347"/>
      <c r="F13" s="347" t="s">
        <v>30</v>
      </c>
      <c r="G13" s="347" t="s">
        <v>31</v>
      </c>
      <c r="H13" s="347"/>
      <c r="I13" s="348" t="s">
        <v>36</v>
      </c>
      <c r="J13" s="348" t="s">
        <v>33</v>
      </c>
      <c r="K13" s="340"/>
      <c r="L13" s="340"/>
      <c r="M13" s="340"/>
      <c r="N13" s="348" t="s">
        <v>34</v>
      </c>
    </row>
    <row r="14">
      <c r="A14" s="339">
        <v>46040.0</v>
      </c>
      <c r="B14" s="341"/>
      <c r="C14" s="341"/>
      <c r="D14" s="341"/>
      <c r="E14" s="347" t="s">
        <v>29</v>
      </c>
      <c r="F14" s="341"/>
      <c r="G14" s="341"/>
      <c r="H14" s="347" t="s">
        <v>32</v>
      </c>
      <c r="I14" s="340"/>
      <c r="J14" s="340"/>
      <c r="K14" s="340"/>
      <c r="L14" s="340"/>
      <c r="M14" s="340"/>
      <c r="N14" s="340"/>
    </row>
    <row r="15">
      <c r="A15" s="339">
        <v>46046.0</v>
      </c>
      <c r="B15" s="347" t="s">
        <v>35</v>
      </c>
      <c r="C15" s="341"/>
      <c r="D15" s="347" t="s">
        <v>28</v>
      </c>
      <c r="E15" s="347" t="s">
        <v>29</v>
      </c>
      <c r="F15" s="347"/>
      <c r="G15" s="347"/>
      <c r="H15" s="347" t="s">
        <v>32</v>
      </c>
      <c r="I15" s="348" t="s">
        <v>36</v>
      </c>
      <c r="J15" s="348"/>
      <c r="K15" s="340"/>
      <c r="L15" s="340"/>
      <c r="M15" s="340"/>
      <c r="N15" s="348" t="s">
        <v>34</v>
      </c>
    </row>
    <row r="16">
      <c r="A16" s="339">
        <v>46047.0</v>
      </c>
      <c r="B16" s="347"/>
      <c r="C16" s="341"/>
      <c r="D16" s="341"/>
      <c r="E16" s="341"/>
      <c r="F16" s="341"/>
      <c r="G16" s="341"/>
      <c r="H16" s="347"/>
      <c r="I16" s="348"/>
      <c r="J16" s="348" t="s">
        <v>33</v>
      </c>
      <c r="K16" s="340"/>
      <c r="L16" s="340"/>
      <c r="M16" s="340"/>
      <c r="N16" s="340"/>
    </row>
    <row r="17">
      <c r="A17" s="339">
        <v>46053.0</v>
      </c>
      <c r="B17" s="347" t="s">
        <v>35</v>
      </c>
      <c r="C17" s="341"/>
      <c r="D17" s="347"/>
      <c r="E17" s="347" t="s">
        <v>29</v>
      </c>
      <c r="F17" s="347" t="s">
        <v>30</v>
      </c>
      <c r="G17" s="347" t="s">
        <v>31</v>
      </c>
      <c r="H17" s="347" t="s">
        <v>32</v>
      </c>
      <c r="I17" s="348"/>
      <c r="J17" s="348" t="s">
        <v>33</v>
      </c>
      <c r="K17" s="348"/>
      <c r="L17" s="340"/>
      <c r="M17" s="340"/>
      <c r="N17" s="340"/>
    </row>
    <row r="18">
      <c r="A18" s="339"/>
      <c r="B18" s="347"/>
      <c r="C18" s="341"/>
      <c r="D18" s="341"/>
      <c r="E18" s="341"/>
      <c r="F18" s="341"/>
      <c r="G18" s="341"/>
      <c r="H18" s="341"/>
      <c r="I18" s="340"/>
      <c r="J18" s="348"/>
      <c r="K18" s="340"/>
      <c r="L18" s="340"/>
      <c r="M18" s="340"/>
      <c r="N18" s="340"/>
    </row>
    <row r="19">
      <c r="A19" s="343"/>
      <c r="B19" s="341"/>
      <c r="C19" s="341"/>
      <c r="D19" s="341"/>
      <c r="E19" s="341"/>
      <c r="F19" s="341"/>
      <c r="G19" s="341"/>
      <c r="H19" s="341"/>
      <c r="I19" s="340"/>
      <c r="J19" s="340"/>
      <c r="K19" s="340"/>
      <c r="L19" s="340"/>
      <c r="M19" s="340"/>
      <c r="N19" s="340"/>
    </row>
    <row r="20">
      <c r="A20" s="344" t="s">
        <v>27</v>
      </c>
      <c r="B20" s="346" t="str">
        <f t="shared" ref="B20:N20" si="2">CONCATENATE(COUNTIF(B10:B19,"ALEXANDRA")+COUNTIF(B10:B19,"GIUDITTA")+COUNTIF(B10:B19,"ESTEFANY")+COUNTIF(B10:B19,"NURA")+COUNTIF(B10:B19,"JOEL")+COUNTIF(B10:B19,"KEVIN")+COUNTIF(B10:B19,"JASIR")+COUNTIF(B10:B19,"ZOILA")+COUNTIF(B10:B19,"SARA")+COUNTIF(B10:B19,"SANTO")+COUNTIF(B10:B19,"MASSI"))</f>
        <v>3</v>
      </c>
      <c r="C20" s="346" t="str">
        <f t="shared" si="2"/>
        <v>0</v>
      </c>
      <c r="D20" s="346" t="str">
        <f t="shared" si="2"/>
        <v>3</v>
      </c>
      <c r="E20" s="346" t="str">
        <f t="shared" si="2"/>
        <v>4</v>
      </c>
      <c r="F20" s="346" t="str">
        <f t="shared" si="2"/>
        <v>0</v>
      </c>
      <c r="G20" s="346" t="str">
        <f t="shared" si="2"/>
        <v>3</v>
      </c>
      <c r="H20" s="346" t="str">
        <f t="shared" si="2"/>
        <v>4</v>
      </c>
      <c r="I20" s="346" t="str">
        <f t="shared" si="2"/>
        <v>2</v>
      </c>
      <c r="J20" s="346" t="str">
        <f t="shared" si="2"/>
        <v>4</v>
      </c>
      <c r="K20" s="346" t="str">
        <f t="shared" si="2"/>
        <v>0</v>
      </c>
      <c r="L20" s="346" t="str">
        <f t="shared" si="2"/>
        <v>0</v>
      </c>
      <c r="M20" s="346" t="str">
        <f t="shared" si="2"/>
        <v>0</v>
      </c>
      <c r="N20" s="346" t="str">
        <f t="shared" si="2"/>
        <v>0</v>
      </c>
    </row>
    <row r="21">
      <c r="A21" s="343"/>
      <c r="B21" s="341"/>
      <c r="C21" s="341"/>
      <c r="D21" s="341"/>
      <c r="E21" s="341"/>
      <c r="F21" s="341"/>
      <c r="G21" s="341"/>
      <c r="H21" s="341"/>
      <c r="I21" s="340"/>
      <c r="J21" s="340"/>
      <c r="K21" s="340"/>
      <c r="L21" s="340"/>
      <c r="M21" s="340"/>
      <c r="N21" s="340"/>
    </row>
    <row r="22">
      <c r="A22" s="339">
        <v>46054.0</v>
      </c>
      <c r="B22" s="347"/>
      <c r="C22" s="341"/>
      <c r="D22" s="347" t="s">
        <v>28</v>
      </c>
      <c r="E22" s="347"/>
      <c r="F22" s="347"/>
      <c r="G22" s="341"/>
      <c r="H22" s="341"/>
      <c r="I22" s="348" t="s">
        <v>36</v>
      </c>
      <c r="J22" s="348"/>
      <c r="K22" s="348" t="s">
        <v>37</v>
      </c>
      <c r="L22" s="340"/>
      <c r="M22" s="340"/>
      <c r="N22" s="340"/>
    </row>
    <row r="23">
      <c r="A23" s="339">
        <v>46060.0</v>
      </c>
      <c r="B23" s="341"/>
      <c r="C23" s="341"/>
      <c r="D23" s="347" t="s">
        <v>28</v>
      </c>
      <c r="E23" s="347" t="s">
        <v>29</v>
      </c>
      <c r="F23" s="347" t="s">
        <v>30</v>
      </c>
      <c r="G23" s="347" t="s">
        <v>31</v>
      </c>
      <c r="H23" s="341"/>
      <c r="I23" s="348" t="s">
        <v>36</v>
      </c>
      <c r="J23" s="348" t="s">
        <v>33</v>
      </c>
      <c r="K23" s="340"/>
      <c r="L23" s="340"/>
      <c r="M23" s="340"/>
      <c r="N23" s="348" t="s">
        <v>34</v>
      </c>
    </row>
    <row r="24">
      <c r="A24" s="339">
        <v>46061.0</v>
      </c>
      <c r="B24" s="347"/>
      <c r="C24" s="341"/>
      <c r="D24" s="347"/>
      <c r="E24" s="347"/>
      <c r="F24" s="347"/>
      <c r="G24" s="347"/>
      <c r="H24" s="347"/>
      <c r="I24" s="348"/>
      <c r="J24" s="348"/>
      <c r="K24" s="340"/>
      <c r="L24" s="340"/>
      <c r="M24" s="340"/>
      <c r="N24" s="340"/>
    </row>
    <row r="25">
      <c r="A25" s="339">
        <v>46067.0</v>
      </c>
      <c r="B25" s="347" t="s">
        <v>35</v>
      </c>
      <c r="C25" s="341"/>
      <c r="D25" s="347" t="s">
        <v>28</v>
      </c>
      <c r="E25" s="341"/>
      <c r="F25" s="347" t="s">
        <v>30</v>
      </c>
      <c r="G25" s="347" t="s">
        <v>31</v>
      </c>
      <c r="H25" s="347" t="s">
        <v>32</v>
      </c>
      <c r="I25" s="348" t="s">
        <v>36</v>
      </c>
      <c r="J25" s="340"/>
      <c r="K25" s="348"/>
      <c r="L25" s="340"/>
      <c r="M25" s="340"/>
      <c r="N25" s="348" t="s">
        <v>34</v>
      </c>
    </row>
    <row r="26">
      <c r="A26" s="339">
        <v>46068.0</v>
      </c>
      <c r="B26" s="347"/>
      <c r="C26" s="341"/>
      <c r="D26" s="347"/>
      <c r="E26" s="347" t="s">
        <v>29</v>
      </c>
      <c r="F26" s="347"/>
      <c r="G26" s="341"/>
      <c r="H26" s="341"/>
      <c r="I26" s="348"/>
      <c r="J26" s="348" t="s">
        <v>33</v>
      </c>
      <c r="K26" s="340"/>
      <c r="L26" s="340"/>
      <c r="M26" s="340"/>
      <c r="N26" s="340"/>
    </row>
    <row r="27">
      <c r="A27" s="339">
        <v>46074.0</v>
      </c>
      <c r="B27" s="347" t="s">
        <v>35</v>
      </c>
      <c r="C27" s="341"/>
      <c r="D27" s="347" t="s">
        <v>28</v>
      </c>
      <c r="E27" s="347" t="s">
        <v>29</v>
      </c>
      <c r="F27" s="347" t="s">
        <v>30</v>
      </c>
      <c r="G27" s="347"/>
      <c r="H27" s="341"/>
      <c r="I27" s="340"/>
      <c r="J27" s="348" t="s">
        <v>33</v>
      </c>
      <c r="K27" s="348"/>
      <c r="L27" s="340"/>
      <c r="M27" s="340"/>
      <c r="N27" s="348" t="s">
        <v>34</v>
      </c>
    </row>
    <row r="28">
      <c r="A28" s="339">
        <v>46075.0</v>
      </c>
      <c r="B28" s="347"/>
      <c r="C28" s="341"/>
      <c r="D28" s="341"/>
      <c r="E28" s="347"/>
      <c r="F28" s="341"/>
      <c r="G28" s="347" t="s">
        <v>31</v>
      </c>
      <c r="H28" s="347" t="s">
        <v>32</v>
      </c>
      <c r="I28" s="348" t="s">
        <v>36</v>
      </c>
      <c r="J28" s="348"/>
      <c r="K28" s="340"/>
      <c r="L28" s="340"/>
      <c r="M28" s="340"/>
      <c r="N28" s="340"/>
    </row>
    <row r="29">
      <c r="A29" s="339">
        <v>46081.0</v>
      </c>
      <c r="B29" s="347" t="s">
        <v>35</v>
      </c>
      <c r="C29" s="341"/>
      <c r="D29" s="347"/>
      <c r="E29" s="347" t="s">
        <v>29</v>
      </c>
      <c r="F29" s="341"/>
      <c r="G29" s="347" t="s">
        <v>31</v>
      </c>
      <c r="H29" s="347" t="s">
        <v>32</v>
      </c>
      <c r="I29" s="340"/>
      <c r="J29" s="348" t="s">
        <v>33</v>
      </c>
      <c r="K29" s="348"/>
      <c r="L29" s="340"/>
      <c r="M29" s="340"/>
      <c r="N29" s="340"/>
    </row>
    <row r="30">
      <c r="A30" s="339"/>
      <c r="B30" s="341"/>
      <c r="C30" s="341"/>
      <c r="D30" s="347"/>
      <c r="E30" s="347"/>
      <c r="F30" s="347"/>
      <c r="G30" s="347"/>
      <c r="H30" s="341"/>
      <c r="I30" s="348"/>
      <c r="J30" s="348"/>
      <c r="K30" s="340"/>
      <c r="L30" s="340"/>
      <c r="M30" s="340"/>
      <c r="N30" s="340"/>
    </row>
    <row r="31">
      <c r="A31" s="339"/>
      <c r="B31" s="341"/>
      <c r="C31" s="341"/>
      <c r="D31" s="341"/>
      <c r="E31" s="341"/>
      <c r="F31" s="341"/>
      <c r="G31" s="341"/>
      <c r="H31" s="341"/>
      <c r="I31" s="340"/>
      <c r="J31" s="340"/>
      <c r="K31" s="340"/>
      <c r="L31" s="340"/>
      <c r="M31" s="340"/>
      <c r="N31" s="340"/>
    </row>
    <row r="32">
      <c r="A32" s="343"/>
      <c r="B32" s="341"/>
      <c r="C32" s="341"/>
      <c r="D32" s="341"/>
      <c r="E32" s="341"/>
      <c r="F32" s="341"/>
      <c r="G32" s="341"/>
      <c r="H32" s="341"/>
      <c r="I32" s="340"/>
      <c r="J32" s="340"/>
      <c r="K32" s="340"/>
      <c r="L32" s="340"/>
      <c r="M32" s="340"/>
      <c r="N32" s="340"/>
    </row>
    <row r="33">
      <c r="A33" s="349" t="s">
        <v>27</v>
      </c>
      <c r="B33" s="346" t="str">
        <f t="shared" ref="B33:N33" si="3">CONCATENATE(COUNTIF(B21:B32,"ALEXANDRA")+COUNTIF(B21:B32,"GIUDITTA")+COUNTIF(B21:B32,"ESTEFANY")+COUNTIF(B21:B32,"NURA")+COUNTIF(B21:B32,"JOEL")+COUNTIF(B21:B32,"KEVIN")+COUNTIF(B21:B32,"JASIR")+COUNTIF(B21:B32,"ZOILA")+COUNTIF(B21:B32,"SARA")+COUNTIF(B21:B32,"SANTO")+COUNTIF(B21:B32,"MASSI"))</f>
        <v>3</v>
      </c>
      <c r="C33" s="346" t="str">
        <f t="shared" si="3"/>
        <v>0</v>
      </c>
      <c r="D33" s="346" t="str">
        <f t="shared" si="3"/>
        <v>4</v>
      </c>
      <c r="E33" s="346" t="str">
        <f t="shared" si="3"/>
        <v>4</v>
      </c>
      <c r="F33" s="346" t="str">
        <f t="shared" si="3"/>
        <v>0</v>
      </c>
      <c r="G33" s="346" t="str">
        <f t="shared" si="3"/>
        <v>4</v>
      </c>
      <c r="H33" s="346" t="str">
        <f t="shared" si="3"/>
        <v>3</v>
      </c>
      <c r="I33" s="346" t="str">
        <f t="shared" si="3"/>
        <v>4</v>
      </c>
      <c r="J33" s="346" t="str">
        <f t="shared" si="3"/>
        <v>4</v>
      </c>
      <c r="K33" s="346" t="str">
        <f t="shared" si="3"/>
        <v>1</v>
      </c>
      <c r="L33" s="346" t="str">
        <f t="shared" si="3"/>
        <v>0</v>
      </c>
      <c r="M33" s="346" t="str">
        <f t="shared" si="3"/>
        <v>0</v>
      </c>
      <c r="N33" s="346" t="str">
        <f t="shared" si="3"/>
        <v>0</v>
      </c>
    </row>
    <row r="34">
      <c r="A34" s="343"/>
      <c r="B34" s="341"/>
      <c r="C34" s="341"/>
      <c r="D34" s="341"/>
      <c r="E34" s="341"/>
      <c r="F34" s="341"/>
      <c r="G34" s="341"/>
      <c r="H34" s="341"/>
      <c r="I34" s="340"/>
      <c r="J34" s="340"/>
      <c r="K34" s="340"/>
      <c r="L34" s="340"/>
      <c r="M34" s="340"/>
      <c r="N34" s="340"/>
    </row>
    <row r="35">
      <c r="A35" s="339">
        <v>46082.0</v>
      </c>
      <c r="B35" s="341"/>
      <c r="C35" s="341"/>
      <c r="D35" s="341"/>
      <c r="E35" s="341"/>
      <c r="F35" s="341"/>
      <c r="G35" s="341"/>
      <c r="H35" s="341"/>
      <c r="I35" s="340"/>
      <c r="J35" s="340"/>
      <c r="K35" s="340"/>
      <c r="L35" s="340"/>
      <c r="M35" s="340"/>
      <c r="N35" s="340"/>
    </row>
    <row r="36">
      <c r="A36" s="339">
        <v>46088.0</v>
      </c>
      <c r="B36" s="347" t="s">
        <v>35</v>
      </c>
      <c r="C36" s="341"/>
      <c r="D36" s="341"/>
      <c r="E36" s="347" t="s">
        <v>29</v>
      </c>
      <c r="F36" s="341"/>
      <c r="G36" s="347" t="s">
        <v>31</v>
      </c>
      <c r="H36" s="347" t="s">
        <v>32</v>
      </c>
      <c r="I36" s="348" t="s">
        <v>36</v>
      </c>
      <c r="J36" s="340"/>
      <c r="K36" s="340"/>
      <c r="L36" s="340"/>
      <c r="M36" s="340"/>
      <c r="N36" s="340"/>
    </row>
    <row r="37">
      <c r="A37" s="339">
        <v>46089.0</v>
      </c>
      <c r="B37" s="341"/>
      <c r="C37" s="341"/>
      <c r="D37" s="341"/>
      <c r="E37" s="341"/>
      <c r="F37" s="341"/>
      <c r="G37" s="341"/>
      <c r="H37" s="341"/>
      <c r="I37" s="340"/>
      <c r="J37" s="340"/>
      <c r="K37" s="340"/>
      <c r="L37" s="340"/>
      <c r="M37" s="340"/>
      <c r="N37" s="340"/>
    </row>
    <row r="38">
      <c r="A38" s="339">
        <v>46095.0</v>
      </c>
      <c r="B38" s="347" t="s">
        <v>35</v>
      </c>
      <c r="C38" s="341"/>
      <c r="D38" s="347" t="s">
        <v>28</v>
      </c>
      <c r="E38" s="347" t="s">
        <v>29</v>
      </c>
      <c r="F38" s="347"/>
      <c r="G38" s="347"/>
      <c r="H38" s="347"/>
      <c r="I38" s="348" t="s">
        <v>36</v>
      </c>
      <c r="J38" s="348"/>
      <c r="K38" s="340"/>
      <c r="L38" s="348"/>
      <c r="M38" s="348"/>
      <c r="N38" s="340"/>
    </row>
    <row r="39">
      <c r="A39" s="339">
        <v>46096.0</v>
      </c>
      <c r="B39" s="347" t="s">
        <v>35</v>
      </c>
      <c r="C39" s="341"/>
      <c r="D39" s="347"/>
      <c r="E39" s="347"/>
      <c r="F39" s="341"/>
      <c r="G39" s="341"/>
      <c r="H39" s="347" t="s">
        <v>32</v>
      </c>
      <c r="I39" s="340"/>
      <c r="J39" s="340"/>
      <c r="K39" s="340"/>
      <c r="L39" s="340"/>
      <c r="M39" s="340"/>
      <c r="N39" s="340"/>
    </row>
    <row r="40">
      <c r="A40" s="339">
        <v>46102.0</v>
      </c>
      <c r="B40" s="347" t="s">
        <v>35</v>
      </c>
      <c r="C40" s="341"/>
      <c r="D40" s="347" t="s">
        <v>28</v>
      </c>
      <c r="E40" s="341"/>
      <c r="F40" s="341"/>
      <c r="G40" s="347" t="s">
        <v>31</v>
      </c>
      <c r="H40" s="341"/>
      <c r="I40" s="348" t="s">
        <v>36</v>
      </c>
      <c r="J40" s="340"/>
      <c r="K40" s="340"/>
      <c r="L40" s="340"/>
      <c r="M40" s="340"/>
      <c r="N40" s="340"/>
    </row>
    <row r="41">
      <c r="A41" s="339">
        <v>46103.0</v>
      </c>
      <c r="B41" s="341"/>
      <c r="C41" s="341"/>
      <c r="D41" s="341"/>
      <c r="E41" s="347" t="s">
        <v>29</v>
      </c>
      <c r="F41" s="341"/>
      <c r="G41" s="341"/>
      <c r="H41" s="347" t="s">
        <v>32</v>
      </c>
      <c r="I41" s="340"/>
      <c r="J41" s="340"/>
      <c r="K41" s="340"/>
      <c r="L41" s="340"/>
      <c r="M41" s="340"/>
      <c r="N41" s="340"/>
    </row>
    <row r="42">
      <c r="A42" s="339">
        <v>46109.0</v>
      </c>
      <c r="B42" s="341"/>
      <c r="C42" s="341"/>
      <c r="D42" s="341"/>
      <c r="E42" s="341"/>
      <c r="F42" s="341"/>
      <c r="G42" s="341"/>
      <c r="H42" s="341"/>
      <c r="I42" s="340"/>
      <c r="J42" s="340"/>
      <c r="K42" s="340"/>
      <c r="L42" s="340"/>
      <c r="M42" s="340"/>
      <c r="N42" s="340"/>
    </row>
    <row r="43">
      <c r="A43" s="350">
        <v>46110.0</v>
      </c>
      <c r="B43" s="341"/>
      <c r="C43" s="341"/>
      <c r="D43" s="341"/>
      <c r="E43" s="341"/>
      <c r="F43" s="341"/>
      <c r="G43" s="341"/>
      <c r="H43" s="341"/>
      <c r="I43" s="340"/>
      <c r="J43" s="340"/>
      <c r="K43" s="340"/>
      <c r="L43" s="340"/>
      <c r="M43" s="340"/>
      <c r="N43" s="340"/>
    </row>
    <row r="44">
      <c r="A44" s="349" t="s">
        <v>27</v>
      </c>
      <c r="B44" s="346" t="str">
        <f t="shared" ref="B44:N44" si="4">CONCATENATE(COUNTIF(B34:B43,"ALEXANDRA")+COUNTIF(B34:B43,"GIUDITTA")+COUNTIF(B34:B43,"ESTEFANY")+COUNTIF(B34:B43,"NURA")+COUNTIF(B34:B43,"JOEL")+COUNTIF(B34:B43,"KEVIN")+COUNTIF(B34:B43,"JASIR")+COUNTIF(B34:B43,"ZOILA")+COUNTIF(B34:B43,"SARA")+COUNTIF(B34:B43,"SANTO")+COUNTIF(B34:B43,"MASSI"))</f>
        <v>4</v>
      </c>
      <c r="C44" s="346" t="str">
        <f t="shared" si="4"/>
        <v>0</v>
      </c>
      <c r="D44" s="346" t="str">
        <f t="shared" si="4"/>
        <v>2</v>
      </c>
      <c r="E44" s="346" t="str">
        <f t="shared" si="4"/>
        <v>3</v>
      </c>
      <c r="F44" s="346" t="str">
        <f t="shared" si="4"/>
        <v>0</v>
      </c>
      <c r="G44" s="346" t="str">
        <f t="shared" si="4"/>
        <v>2</v>
      </c>
      <c r="H44" s="346" t="str">
        <f t="shared" si="4"/>
        <v>3</v>
      </c>
      <c r="I44" s="346" t="str">
        <f t="shared" si="4"/>
        <v>3</v>
      </c>
      <c r="J44" s="346" t="str">
        <f t="shared" si="4"/>
        <v>0</v>
      </c>
      <c r="K44" s="346" t="str">
        <f t="shared" si="4"/>
        <v>0</v>
      </c>
      <c r="L44" s="346" t="str">
        <f t="shared" si="4"/>
        <v>0</v>
      </c>
      <c r="M44" s="346" t="str">
        <f t="shared" si="4"/>
        <v>0</v>
      </c>
      <c r="N44" s="346" t="str">
        <f t="shared" si="4"/>
        <v>0</v>
      </c>
    </row>
    <row r="45">
      <c r="A45" s="343"/>
      <c r="B45" s="341"/>
      <c r="C45" s="341"/>
      <c r="D45" s="341"/>
      <c r="E45" s="341"/>
      <c r="F45" s="341"/>
      <c r="G45" s="341"/>
      <c r="H45" s="341"/>
      <c r="I45" s="340"/>
      <c r="J45" s="340"/>
      <c r="K45" s="340"/>
      <c r="L45" s="340"/>
      <c r="M45" s="340"/>
      <c r="N45" s="340"/>
    </row>
    <row r="46">
      <c r="A46" s="343"/>
      <c r="B46" s="341"/>
      <c r="C46" s="341"/>
      <c r="D46" s="341"/>
      <c r="E46" s="341"/>
      <c r="F46" s="341"/>
      <c r="G46" s="341"/>
      <c r="H46" s="341"/>
      <c r="I46" s="340"/>
      <c r="J46" s="340"/>
      <c r="K46" s="340"/>
      <c r="L46" s="340"/>
      <c r="M46" s="340"/>
      <c r="N46" s="340"/>
    </row>
    <row r="47">
      <c r="A47" s="343"/>
      <c r="B47" s="341"/>
      <c r="C47" s="341"/>
      <c r="D47" s="341"/>
      <c r="E47" s="341"/>
      <c r="F47" s="341"/>
      <c r="G47" s="341"/>
      <c r="H47" s="341"/>
      <c r="I47" s="340"/>
      <c r="J47" s="340"/>
      <c r="K47" s="340"/>
      <c r="L47" s="340"/>
      <c r="M47" s="340"/>
      <c r="N47" s="340"/>
    </row>
    <row r="48">
      <c r="A48" s="343"/>
      <c r="B48" s="341"/>
      <c r="C48" s="341"/>
      <c r="D48" s="341"/>
      <c r="E48" s="341"/>
      <c r="F48" s="341"/>
      <c r="G48" s="341"/>
      <c r="H48" s="341"/>
      <c r="I48" s="340"/>
      <c r="J48" s="340"/>
      <c r="K48" s="340"/>
      <c r="L48" s="340"/>
      <c r="M48" s="340"/>
      <c r="N48" s="340"/>
    </row>
    <row r="49">
      <c r="A49" s="343"/>
      <c r="B49" s="341"/>
      <c r="C49" s="341"/>
      <c r="D49" s="341"/>
      <c r="E49" s="341"/>
      <c r="F49" s="341"/>
      <c r="G49" s="341"/>
      <c r="H49" s="341"/>
      <c r="I49" s="340"/>
      <c r="J49" s="340"/>
      <c r="K49" s="340"/>
      <c r="L49" s="340"/>
      <c r="M49" s="340"/>
      <c r="N49" s="340"/>
    </row>
    <row r="50">
      <c r="A50" s="343"/>
      <c r="B50" s="341"/>
      <c r="C50" s="341"/>
      <c r="D50" s="341"/>
      <c r="E50" s="341"/>
      <c r="F50" s="341"/>
      <c r="G50" s="341"/>
      <c r="H50" s="341"/>
      <c r="I50" s="340"/>
      <c r="J50" s="340"/>
      <c r="K50" s="340"/>
      <c r="L50" s="340"/>
      <c r="M50" s="340"/>
      <c r="N50" s="340"/>
    </row>
    <row r="51">
      <c r="A51" s="343"/>
      <c r="B51" s="341"/>
      <c r="C51" s="341"/>
      <c r="D51" s="341"/>
      <c r="E51" s="341"/>
      <c r="F51" s="341"/>
      <c r="G51" s="341"/>
      <c r="H51" s="341"/>
      <c r="I51" s="340"/>
      <c r="J51" s="340"/>
      <c r="K51" s="340"/>
      <c r="L51" s="340"/>
      <c r="M51" s="340"/>
      <c r="N51" s="340"/>
    </row>
    <row r="52">
      <c r="A52" s="343"/>
      <c r="B52" s="341"/>
      <c r="C52" s="341"/>
      <c r="D52" s="341"/>
      <c r="E52" s="341"/>
      <c r="F52" s="341"/>
      <c r="G52" s="341"/>
      <c r="H52" s="341"/>
      <c r="I52" s="340"/>
      <c r="J52" s="340"/>
      <c r="K52" s="340"/>
      <c r="L52" s="340"/>
      <c r="M52" s="340"/>
      <c r="N52" s="340"/>
    </row>
    <row r="53">
      <c r="A53" s="343"/>
      <c r="B53" s="341"/>
      <c r="C53" s="341"/>
      <c r="D53" s="341"/>
      <c r="E53" s="341"/>
      <c r="F53" s="341"/>
      <c r="G53" s="341"/>
      <c r="H53" s="341"/>
      <c r="I53" s="340"/>
      <c r="J53" s="340"/>
      <c r="K53" s="340"/>
      <c r="L53" s="340"/>
      <c r="M53" s="340"/>
      <c r="N53" s="340"/>
    </row>
    <row r="54">
      <c r="A54" s="343"/>
      <c r="B54" s="341"/>
      <c r="C54" s="341"/>
      <c r="D54" s="341"/>
      <c r="E54" s="341"/>
      <c r="F54" s="341"/>
      <c r="G54" s="341"/>
      <c r="H54" s="341"/>
      <c r="I54" s="340"/>
      <c r="J54" s="340"/>
      <c r="K54" s="340"/>
      <c r="L54" s="340"/>
      <c r="M54" s="340"/>
      <c r="N54" s="340"/>
    </row>
    <row r="55">
      <c r="A55" s="351"/>
      <c r="B55" s="340"/>
      <c r="C55" s="340"/>
      <c r="D55" s="340"/>
      <c r="E55" s="340"/>
      <c r="F55" s="340"/>
      <c r="G55" s="340"/>
      <c r="H55" s="340"/>
      <c r="I55" s="340"/>
      <c r="J55" s="340"/>
      <c r="K55" s="340"/>
      <c r="L55" s="340"/>
      <c r="M55" s="340"/>
      <c r="N55" s="340"/>
    </row>
    <row r="56">
      <c r="A56" s="351"/>
      <c r="B56" s="340"/>
      <c r="C56" s="340"/>
      <c r="D56" s="340"/>
      <c r="E56" s="340"/>
      <c r="F56" s="340"/>
      <c r="G56" s="340"/>
      <c r="H56" s="340"/>
      <c r="I56" s="340"/>
      <c r="J56" s="340"/>
      <c r="K56" s="340"/>
      <c r="L56" s="340"/>
      <c r="M56" s="340"/>
      <c r="N56" s="340"/>
    </row>
    <row r="57">
      <c r="A57" s="351"/>
      <c r="B57" s="340"/>
      <c r="C57" s="340"/>
      <c r="D57" s="340"/>
      <c r="E57" s="340"/>
      <c r="F57" s="340"/>
      <c r="G57" s="340"/>
      <c r="H57" s="340"/>
      <c r="I57" s="340"/>
      <c r="J57" s="340"/>
      <c r="K57" s="340"/>
      <c r="L57" s="340"/>
      <c r="M57" s="340"/>
      <c r="N57" s="340"/>
    </row>
    <row r="58">
      <c r="A58" s="351"/>
      <c r="B58" s="340"/>
      <c r="C58" s="340"/>
      <c r="D58" s="340"/>
      <c r="E58" s="340"/>
      <c r="F58" s="340"/>
      <c r="G58" s="340"/>
      <c r="H58" s="340"/>
      <c r="I58" s="340"/>
      <c r="J58" s="340"/>
      <c r="K58" s="340"/>
      <c r="L58" s="340"/>
      <c r="M58" s="340"/>
      <c r="N58" s="340"/>
    </row>
    <row r="59">
      <c r="A59" s="351"/>
      <c r="B59" s="340"/>
      <c r="C59" s="340"/>
      <c r="D59" s="340"/>
      <c r="E59" s="340"/>
      <c r="F59" s="340"/>
      <c r="G59" s="340"/>
      <c r="H59" s="340"/>
      <c r="I59" s="340"/>
      <c r="J59" s="340"/>
      <c r="K59" s="340"/>
      <c r="L59" s="340"/>
      <c r="M59" s="340"/>
      <c r="N59" s="340"/>
    </row>
    <row r="60">
      <c r="A60" s="351"/>
      <c r="B60" s="340"/>
      <c r="C60" s="340"/>
      <c r="D60" s="340"/>
      <c r="E60" s="340"/>
      <c r="F60" s="340"/>
      <c r="G60" s="340"/>
      <c r="H60" s="340"/>
      <c r="I60" s="340"/>
      <c r="J60" s="340"/>
      <c r="K60" s="340"/>
      <c r="L60" s="340"/>
      <c r="M60" s="340"/>
      <c r="N60" s="340"/>
    </row>
    <row r="61">
      <c r="A61" s="351"/>
      <c r="B61" s="340"/>
      <c r="C61" s="340"/>
      <c r="D61" s="340"/>
      <c r="E61" s="340"/>
      <c r="F61" s="340"/>
      <c r="G61" s="340"/>
      <c r="H61" s="340"/>
      <c r="I61" s="340"/>
      <c r="J61" s="340"/>
      <c r="K61" s="340"/>
      <c r="L61" s="340"/>
      <c r="M61" s="340"/>
      <c r="N61" s="340"/>
    </row>
    <row r="62">
      <c r="A62" s="351"/>
      <c r="B62" s="340"/>
      <c r="C62" s="340"/>
      <c r="D62" s="340"/>
      <c r="E62" s="340"/>
      <c r="F62" s="340"/>
      <c r="G62" s="340"/>
      <c r="H62" s="340"/>
      <c r="I62" s="340"/>
      <c r="J62" s="340"/>
      <c r="K62" s="340"/>
      <c r="L62" s="340"/>
      <c r="M62" s="340"/>
      <c r="N62" s="340"/>
    </row>
    <row r="63">
      <c r="A63" s="351"/>
      <c r="B63" s="340"/>
      <c r="C63" s="340"/>
      <c r="D63" s="340"/>
      <c r="E63" s="340"/>
      <c r="F63" s="340"/>
      <c r="G63" s="340"/>
      <c r="H63" s="340"/>
      <c r="I63" s="340"/>
      <c r="J63" s="340"/>
      <c r="K63" s="340"/>
      <c r="L63" s="340"/>
      <c r="M63" s="340"/>
      <c r="N63" s="340"/>
    </row>
    <row r="64">
      <c r="A64" s="351"/>
      <c r="B64" s="340"/>
      <c r="C64" s="340"/>
      <c r="D64" s="340"/>
      <c r="E64" s="340"/>
      <c r="F64" s="340"/>
      <c r="G64" s="340"/>
      <c r="H64" s="340"/>
      <c r="I64" s="340"/>
      <c r="J64" s="340"/>
      <c r="K64" s="340"/>
      <c r="L64" s="340"/>
      <c r="M64" s="340"/>
      <c r="N64" s="340"/>
    </row>
    <row r="65">
      <c r="A65" s="351"/>
      <c r="B65" s="340"/>
      <c r="C65" s="340"/>
      <c r="D65" s="340"/>
      <c r="E65" s="340"/>
      <c r="F65" s="340"/>
      <c r="G65" s="340"/>
      <c r="H65" s="340"/>
      <c r="I65" s="340"/>
      <c r="J65" s="340"/>
      <c r="K65" s="340"/>
      <c r="L65" s="340"/>
      <c r="M65" s="340"/>
      <c r="N65" s="340"/>
    </row>
    <row r="66">
      <c r="A66" s="351"/>
      <c r="B66" s="340"/>
      <c r="C66" s="340"/>
      <c r="D66" s="340"/>
      <c r="E66" s="340"/>
      <c r="F66" s="340"/>
      <c r="G66" s="340"/>
      <c r="H66" s="340"/>
      <c r="I66" s="340"/>
      <c r="J66" s="340"/>
      <c r="K66" s="340"/>
      <c r="L66" s="340"/>
      <c r="M66" s="340"/>
      <c r="N66" s="340"/>
    </row>
    <row r="67">
      <c r="A67" s="351"/>
      <c r="B67" s="340"/>
      <c r="C67" s="340"/>
      <c r="D67" s="340"/>
      <c r="E67" s="340"/>
      <c r="F67" s="340"/>
      <c r="G67" s="340"/>
      <c r="H67" s="340"/>
      <c r="I67" s="340"/>
      <c r="J67" s="340"/>
      <c r="K67" s="340"/>
      <c r="L67" s="340"/>
      <c r="M67" s="340"/>
      <c r="N67" s="340"/>
    </row>
    <row r="68">
      <c r="A68" s="351"/>
      <c r="B68" s="340"/>
      <c r="C68" s="340"/>
      <c r="D68" s="340"/>
      <c r="E68" s="340"/>
      <c r="F68" s="340"/>
      <c r="G68" s="340"/>
      <c r="H68" s="340"/>
      <c r="I68" s="340"/>
      <c r="J68" s="340"/>
      <c r="K68" s="340"/>
      <c r="L68" s="340"/>
      <c r="M68" s="340"/>
      <c r="N68" s="340"/>
    </row>
    <row r="69">
      <c r="A69" s="351"/>
      <c r="B69" s="340"/>
      <c r="C69" s="340"/>
      <c r="D69" s="340"/>
      <c r="E69" s="340"/>
      <c r="F69" s="340"/>
      <c r="G69" s="340"/>
      <c r="H69" s="340"/>
      <c r="I69" s="340"/>
      <c r="J69" s="340"/>
      <c r="K69" s="340"/>
      <c r="L69" s="340"/>
      <c r="M69" s="340"/>
      <c r="N69" s="340"/>
    </row>
    <row r="70">
      <c r="A70" s="351"/>
      <c r="B70" s="340"/>
      <c r="C70" s="340"/>
      <c r="D70" s="340"/>
      <c r="E70" s="340"/>
      <c r="F70" s="340"/>
      <c r="G70" s="340"/>
      <c r="H70" s="340"/>
      <c r="I70" s="340"/>
      <c r="J70" s="340"/>
      <c r="K70" s="340"/>
      <c r="L70" s="340"/>
      <c r="M70" s="340"/>
      <c r="N70" s="340"/>
    </row>
    <row r="71">
      <c r="A71" s="351"/>
      <c r="B71" s="340"/>
      <c r="C71" s="340"/>
      <c r="D71" s="340"/>
      <c r="E71" s="340"/>
      <c r="F71" s="340"/>
      <c r="G71" s="340"/>
      <c r="H71" s="340"/>
      <c r="I71" s="340"/>
      <c r="J71" s="340"/>
      <c r="K71" s="340"/>
      <c r="L71" s="340"/>
      <c r="M71" s="340"/>
      <c r="N71" s="340"/>
    </row>
    <row r="72">
      <c r="A72" s="351"/>
      <c r="B72" s="340"/>
      <c r="C72" s="340"/>
      <c r="D72" s="340"/>
      <c r="E72" s="340"/>
      <c r="F72" s="340"/>
      <c r="G72" s="340"/>
      <c r="H72" s="340"/>
      <c r="I72" s="340"/>
      <c r="J72" s="340"/>
      <c r="K72" s="340"/>
      <c r="L72" s="340"/>
      <c r="M72" s="340"/>
      <c r="N72" s="340"/>
    </row>
    <row r="73">
      <c r="A73" s="351"/>
      <c r="B73" s="340"/>
      <c r="C73" s="340"/>
      <c r="D73" s="340"/>
      <c r="E73" s="340"/>
      <c r="F73" s="340"/>
      <c r="G73" s="340"/>
      <c r="H73" s="340"/>
      <c r="I73" s="340"/>
      <c r="J73" s="340"/>
      <c r="K73" s="340"/>
      <c r="L73" s="340"/>
      <c r="M73" s="340"/>
      <c r="N73" s="340"/>
    </row>
    <row r="74">
      <c r="A74" s="351"/>
      <c r="B74" s="340"/>
      <c r="C74" s="340"/>
      <c r="D74" s="340"/>
      <c r="E74" s="340"/>
      <c r="F74" s="340"/>
      <c r="G74" s="340"/>
      <c r="H74" s="340"/>
      <c r="I74" s="340"/>
      <c r="J74" s="340"/>
      <c r="K74" s="340"/>
      <c r="L74" s="340"/>
      <c r="M74" s="340"/>
      <c r="N74" s="340"/>
    </row>
    <row r="75">
      <c r="A75" s="351"/>
      <c r="B75" s="340"/>
      <c r="C75" s="340"/>
      <c r="D75" s="340"/>
      <c r="E75" s="340"/>
      <c r="F75" s="340"/>
      <c r="G75" s="340"/>
      <c r="H75" s="340"/>
      <c r="I75" s="340"/>
      <c r="J75" s="340"/>
      <c r="K75" s="340"/>
      <c r="L75" s="340"/>
      <c r="M75" s="340"/>
      <c r="N75" s="340"/>
    </row>
    <row r="76">
      <c r="A76" s="351"/>
      <c r="B76" s="340"/>
      <c r="C76" s="340"/>
      <c r="D76" s="340"/>
      <c r="E76" s="340"/>
      <c r="F76" s="340"/>
      <c r="G76" s="340"/>
      <c r="H76" s="340"/>
      <c r="I76" s="340"/>
      <c r="J76" s="340"/>
      <c r="K76" s="340"/>
      <c r="L76" s="340"/>
      <c r="M76" s="340"/>
      <c r="N76" s="340"/>
    </row>
    <row r="77">
      <c r="A77" s="351"/>
      <c r="B77" s="340"/>
      <c r="C77" s="340"/>
      <c r="D77" s="340"/>
      <c r="E77" s="340"/>
      <c r="F77" s="340"/>
      <c r="G77" s="340"/>
      <c r="H77" s="340"/>
      <c r="I77" s="340"/>
      <c r="J77" s="340"/>
      <c r="K77" s="340"/>
      <c r="L77" s="340"/>
      <c r="M77" s="340"/>
      <c r="N77" s="340"/>
    </row>
    <row r="78">
      <c r="A78" s="351"/>
      <c r="B78" s="340"/>
      <c r="C78" s="340"/>
      <c r="D78" s="340"/>
      <c r="E78" s="340"/>
      <c r="F78" s="340"/>
      <c r="G78" s="340"/>
      <c r="H78" s="340"/>
      <c r="I78" s="340"/>
      <c r="J78" s="340"/>
      <c r="K78" s="340"/>
      <c r="L78" s="340"/>
      <c r="M78" s="340"/>
      <c r="N78" s="340"/>
    </row>
    <row r="79">
      <c r="A79" s="351"/>
      <c r="B79" s="340"/>
      <c r="C79" s="340"/>
      <c r="D79" s="340"/>
      <c r="E79" s="340"/>
      <c r="F79" s="340"/>
      <c r="G79" s="340"/>
      <c r="H79" s="340"/>
      <c r="I79" s="340"/>
      <c r="J79" s="340"/>
      <c r="K79" s="340"/>
      <c r="L79" s="340"/>
      <c r="M79" s="340"/>
      <c r="N79" s="340"/>
    </row>
    <row r="80">
      <c r="A80" s="351"/>
      <c r="B80" s="340"/>
      <c r="C80" s="340"/>
      <c r="D80" s="340"/>
      <c r="E80" s="340"/>
      <c r="F80" s="340"/>
      <c r="G80" s="340"/>
      <c r="H80" s="340"/>
      <c r="I80" s="340"/>
      <c r="J80" s="340"/>
      <c r="K80" s="340"/>
      <c r="L80" s="340"/>
      <c r="M80" s="340"/>
      <c r="N80" s="340"/>
    </row>
    <row r="81">
      <c r="A81" s="351"/>
      <c r="B81" s="340"/>
      <c r="C81" s="340"/>
      <c r="D81" s="340"/>
      <c r="E81" s="340"/>
      <c r="F81" s="340"/>
      <c r="G81" s="340"/>
      <c r="H81" s="340"/>
      <c r="I81" s="340"/>
      <c r="J81" s="340"/>
      <c r="K81" s="340"/>
      <c r="L81" s="340"/>
      <c r="M81" s="340"/>
      <c r="N81" s="340"/>
    </row>
    <row r="82">
      <c r="A82" s="351"/>
      <c r="B82" s="340"/>
      <c r="C82" s="340"/>
      <c r="D82" s="340"/>
      <c r="E82" s="340"/>
      <c r="F82" s="340"/>
      <c r="G82" s="340"/>
      <c r="H82" s="340"/>
      <c r="I82" s="340"/>
      <c r="J82" s="340"/>
      <c r="K82" s="340"/>
      <c r="L82" s="340"/>
      <c r="M82" s="340"/>
      <c r="N82" s="340"/>
    </row>
    <row r="83">
      <c r="A83" s="351"/>
      <c r="B83" s="340"/>
      <c r="C83" s="340"/>
      <c r="D83" s="340"/>
      <c r="E83" s="340"/>
      <c r="F83" s="340"/>
      <c r="G83" s="340"/>
      <c r="H83" s="340"/>
      <c r="I83" s="340"/>
      <c r="J83" s="340"/>
      <c r="K83" s="340"/>
      <c r="L83" s="340"/>
      <c r="M83" s="340"/>
      <c r="N83" s="340"/>
    </row>
    <row r="84">
      <c r="A84" s="351"/>
      <c r="B84" s="340"/>
      <c r="C84" s="340"/>
      <c r="D84" s="340"/>
      <c r="E84" s="340"/>
      <c r="F84" s="340"/>
      <c r="G84" s="340"/>
      <c r="H84" s="340"/>
      <c r="I84" s="340"/>
      <c r="J84" s="340"/>
      <c r="K84" s="340"/>
      <c r="L84" s="340"/>
      <c r="M84" s="340"/>
      <c r="N84" s="340"/>
    </row>
    <row r="85">
      <c r="A85" s="351"/>
      <c r="B85" s="340"/>
      <c r="C85" s="340"/>
      <c r="D85" s="340"/>
      <c r="E85" s="340"/>
      <c r="F85" s="340"/>
      <c r="G85" s="340"/>
      <c r="H85" s="340"/>
      <c r="I85" s="340"/>
      <c r="J85" s="340"/>
      <c r="K85" s="340"/>
      <c r="L85" s="340"/>
      <c r="M85" s="340"/>
      <c r="N85" s="340"/>
    </row>
    <row r="86">
      <c r="A86" s="351"/>
      <c r="B86" s="340"/>
      <c r="C86" s="340"/>
      <c r="D86" s="340"/>
      <c r="E86" s="340"/>
      <c r="F86" s="340"/>
      <c r="G86" s="340"/>
      <c r="H86" s="340"/>
      <c r="I86" s="340"/>
      <c r="J86" s="340"/>
      <c r="K86" s="340"/>
      <c r="L86" s="340"/>
      <c r="M86" s="340"/>
      <c r="N86" s="340"/>
    </row>
    <row r="87">
      <c r="A87" s="351"/>
      <c r="B87" s="340"/>
      <c r="C87" s="340"/>
      <c r="D87" s="340"/>
      <c r="E87" s="340"/>
      <c r="F87" s="340"/>
      <c r="G87" s="340"/>
      <c r="H87" s="340"/>
      <c r="I87" s="340"/>
      <c r="J87" s="340"/>
      <c r="K87" s="340"/>
      <c r="L87" s="340"/>
      <c r="M87" s="340"/>
      <c r="N87" s="340"/>
    </row>
    <row r="88">
      <c r="A88" s="351"/>
      <c r="B88" s="340"/>
      <c r="C88" s="340"/>
      <c r="D88" s="340"/>
      <c r="E88" s="340"/>
      <c r="F88" s="340"/>
      <c r="G88" s="340"/>
      <c r="H88" s="340"/>
      <c r="I88" s="340"/>
      <c r="J88" s="340"/>
      <c r="K88" s="340"/>
      <c r="L88" s="340"/>
      <c r="M88" s="340"/>
      <c r="N88" s="340"/>
    </row>
    <row r="89">
      <c r="A89" s="351"/>
      <c r="B89" s="340"/>
      <c r="C89" s="340"/>
      <c r="D89" s="340"/>
      <c r="E89" s="340"/>
      <c r="F89" s="340"/>
      <c r="G89" s="340"/>
      <c r="H89" s="340"/>
      <c r="I89" s="340"/>
      <c r="J89" s="340"/>
      <c r="K89" s="340"/>
      <c r="L89" s="340"/>
      <c r="M89" s="340"/>
      <c r="N89" s="340"/>
    </row>
    <row r="90">
      <c r="A90" s="351"/>
      <c r="B90" s="340"/>
      <c r="C90" s="340"/>
      <c r="D90" s="340"/>
      <c r="E90" s="340"/>
      <c r="F90" s="340"/>
      <c r="G90" s="340"/>
      <c r="H90" s="340"/>
      <c r="I90" s="340"/>
      <c r="J90" s="340"/>
      <c r="K90" s="340"/>
      <c r="L90" s="340"/>
      <c r="M90" s="340"/>
      <c r="N90" s="340"/>
    </row>
    <row r="91">
      <c r="A91" s="351"/>
      <c r="B91" s="340"/>
      <c r="C91" s="340"/>
      <c r="D91" s="340"/>
      <c r="E91" s="340"/>
      <c r="F91" s="340"/>
      <c r="G91" s="340"/>
      <c r="H91" s="340"/>
      <c r="I91" s="340"/>
      <c r="J91" s="340"/>
      <c r="K91" s="340"/>
      <c r="L91" s="340"/>
      <c r="M91" s="340"/>
      <c r="N91" s="340"/>
    </row>
    <row r="92">
      <c r="A92" s="351"/>
      <c r="B92" s="340"/>
      <c r="C92" s="340"/>
      <c r="D92" s="340"/>
      <c r="E92" s="340"/>
      <c r="F92" s="340"/>
      <c r="G92" s="340"/>
      <c r="H92" s="340"/>
      <c r="I92" s="340"/>
      <c r="J92" s="340"/>
      <c r="K92" s="340"/>
      <c r="L92" s="340"/>
      <c r="M92" s="340"/>
      <c r="N92" s="340"/>
    </row>
    <row r="93">
      <c r="A93" s="351"/>
      <c r="B93" s="340"/>
      <c r="C93" s="340"/>
      <c r="D93" s="340"/>
      <c r="E93" s="340"/>
      <c r="F93" s="340"/>
      <c r="G93" s="340"/>
      <c r="H93" s="340"/>
      <c r="I93" s="340"/>
      <c r="J93" s="340"/>
      <c r="K93" s="340"/>
      <c r="L93" s="340"/>
      <c r="M93" s="340"/>
      <c r="N93" s="340"/>
    </row>
    <row r="94">
      <c r="A94" s="351"/>
      <c r="B94" s="340"/>
      <c r="C94" s="340"/>
      <c r="D94" s="340"/>
      <c r="E94" s="340"/>
      <c r="F94" s="340"/>
      <c r="G94" s="340"/>
      <c r="H94" s="340"/>
      <c r="I94" s="340"/>
      <c r="J94" s="340"/>
      <c r="K94" s="340"/>
      <c r="L94" s="340"/>
      <c r="M94" s="340"/>
      <c r="N94" s="340"/>
    </row>
    <row r="95">
      <c r="A95" s="351"/>
      <c r="B95" s="340"/>
      <c r="C95" s="340"/>
      <c r="D95" s="340"/>
      <c r="E95" s="340"/>
      <c r="F95" s="340"/>
      <c r="G95" s="340"/>
      <c r="H95" s="340"/>
      <c r="I95" s="340"/>
      <c r="J95" s="340"/>
      <c r="K95" s="340"/>
      <c r="L95" s="340"/>
      <c r="M95" s="340"/>
      <c r="N95" s="340"/>
    </row>
    <row r="96">
      <c r="A96" s="351"/>
      <c r="B96" s="340"/>
      <c r="C96" s="340"/>
      <c r="D96" s="340"/>
      <c r="E96" s="340"/>
      <c r="F96" s="340"/>
      <c r="G96" s="340"/>
      <c r="H96" s="340"/>
      <c r="I96" s="340"/>
      <c r="J96" s="340"/>
      <c r="K96" s="340"/>
      <c r="L96" s="340"/>
      <c r="M96" s="340"/>
      <c r="N96" s="340"/>
    </row>
    <row r="97">
      <c r="A97" s="351"/>
      <c r="B97" s="340"/>
      <c r="C97" s="340"/>
      <c r="D97" s="340"/>
      <c r="E97" s="340"/>
      <c r="F97" s="340"/>
      <c r="G97" s="340"/>
      <c r="H97" s="340"/>
      <c r="I97" s="340"/>
      <c r="J97" s="340"/>
      <c r="K97" s="340"/>
      <c r="L97" s="340"/>
      <c r="M97" s="340"/>
      <c r="N97" s="340"/>
    </row>
    <row r="98">
      <c r="A98" s="351"/>
      <c r="B98" s="340"/>
      <c r="C98" s="340"/>
      <c r="D98" s="340"/>
      <c r="E98" s="340"/>
      <c r="F98" s="340"/>
      <c r="G98" s="340"/>
      <c r="H98" s="340"/>
      <c r="I98" s="340"/>
      <c r="J98" s="340"/>
      <c r="K98" s="340"/>
      <c r="L98" s="340"/>
      <c r="M98" s="340"/>
      <c r="N98" s="340"/>
    </row>
    <row r="99">
      <c r="A99" s="351"/>
      <c r="B99" s="340"/>
      <c r="C99" s="340"/>
      <c r="D99" s="340"/>
      <c r="E99" s="340"/>
      <c r="F99" s="340"/>
      <c r="G99" s="340"/>
      <c r="H99" s="340"/>
      <c r="I99" s="340"/>
      <c r="J99" s="340"/>
      <c r="K99" s="340"/>
      <c r="L99" s="340"/>
      <c r="M99" s="340"/>
      <c r="N99" s="340"/>
    </row>
    <row r="100">
      <c r="A100" s="351"/>
      <c r="B100" s="340"/>
      <c r="C100" s="340"/>
      <c r="D100" s="340"/>
      <c r="E100" s="340"/>
      <c r="F100" s="340"/>
      <c r="G100" s="340"/>
      <c r="H100" s="340"/>
      <c r="I100" s="340"/>
      <c r="J100" s="340"/>
      <c r="K100" s="340"/>
      <c r="L100" s="340"/>
      <c r="M100" s="340"/>
      <c r="N100" s="340"/>
    </row>
    <row r="101">
      <c r="A101" s="351"/>
      <c r="B101" s="340"/>
      <c r="C101" s="340"/>
      <c r="D101" s="340"/>
      <c r="E101" s="340"/>
      <c r="F101" s="340"/>
      <c r="G101" s="340"/>
      <c r="H101" s="340"/>
      <c r="I101" s="340"/>
      <c r="J101" s="340"/>
      <c r="K101" s="340"/>
      <c r="L101" s="340"/>
      <c r="M101" s="340"/>
      <c r="N101" s="340"/>
    </row>
    <row r="102">
      <c r="A102" s="351"/>
      <c r="B102" s="340"/>
      <c r="C102" s="340"/>
      <c r="D102" s="340"/>
      <c r="E102" s="340"/>
      <c r="F102" s="340"/>
      <c r="G102" s="340"/>
      <c r="H102" s="340"/>
      <c r="I102" s="340"/>
      <c r="J102" s="340"/>
      <c r="K102" s="340"/>
      <c r="L102" s="340"/>
      <c r="M102" s="340"/>
      <c r="N102" s="340"/>
    </row>
    <row r="103">
      <c r="A103" s="351"/>
      <c r="B103" s="340"/>
      <c r="C103" s="340"/>
      <c r="D103" s="340"/>
      <c r="E103" s="340"/>
      <c r="F103" s="340"/>
      <c r="G103" s="340"/>
      <c r="H103" s="340"/>
      <c r="I103" s="340"/>
      <c r="J103" s="340"/>
      <c r="K103" s="340"/>
      <c r="L103" s="340"/>
      <c r="M103" s="340"/>
      <c r="N103" s="340"/>
    </row>
    <row r="104">
      <c r="A104" s="351"/>
      <c r="B104" s="340"/>
      <c r="C104" s="340"/>
      <c r="D104" s="340"/>
      <c r="E104" s="340"/>
      <c r="F104" s="340"/>
      <c r="G104" s="340"/>
      <c r="H104" s="340"/>
      <c r="I104" s="340"/>
      <c r="J104" s="340"/>
      <c r="K104" s="340"/>
      <c r="L104" s="340"/>
      <c r="M104" s="340"/>
      <c r="N104" s="340"/>
    </row>
    <row r="105">
      <c r="A105" s="351"/>
      <c r="B105" s="340"/>
      <c r="C105" s="340"/>
      <c r="D105" s="340"/>
      <c r="E105" s="340"/>
      <c r="F105" s="340"/>
      <c r="G105" s="340"/>
      <c r="H105" s="340"/>
      <c r="I105" s="340"/>
      <c r="J105" s="340"/>
      <c r="K105" s="340"/>
      <c r="L105" s="340"/>
      <c r="M105" s="340"/>
      <c r="N105" s="340"/>
    </row>
    <row r="106">
      <c r="A106" s="351"/>
      <c r="B106" s="340"/>
      <c r="C106" s="340"/>
      <c r="D106" s="340"/>
      <c r="E106" s="340"/>
      <c r="F106" s="340"/>
      <c r="G106" s="340"/>
      <c r="H106" s="340"/>
      <c r="I106" s="340"/>
      <c r="J106" s="340"/>
      <c r="K106" s="340"/>
      <c r="L106" s="340"/>
      <c r="M106" s="340"/>
      <c r="N106" s="340"/>
    </row>
    <row r="107">
      <c r="A107" s="351"/>
      <c r="B107" s="340"/>
      <c r="C107" s="340"/>
      <c r="D107" s="340"/>
      <c r="E107" s="340"/>
      <c r="F107" s="340"/>
      <c r="G107" s="340"/>
      <c r="H107" s="340"/>
      <c r="I107" s="340"/>
      <c r="J107" s="340"/>
      <c r="K107" s="340"/>
      <c r="L107" s="340"/>
      <c r="M107" s="340"/>
      <c r="N107" s="340"/>
    </row>
    <row r="108">
      <c r="A108" s="351"/>
      <c r="B108" s="340"/>
      <c r="C108" s="340"/>
      <c r="D108" s="340"/>
      <c r="E108" s="340"/>
      <c r="F108" s="340"/>
      <c r="G108" s="340"/>
      <c r="H108" s="340"/>
      <c r="I108" s="340"/>
      <c r="J108" s="340"/>
      <c r="K108" s="340"/>
      <c r="L108" s="340"/>
      <c r="M108" s="340"/>
      <c r="N108" s="340"/>
    </row>
    <row r="109">
      <c r="A109" s="351"/>
      <c r="B109" s="340"/>
      <c r="C109" s="340"/>
      <c r="D109" s="340"/>
      <c r="E109" s="340"/>
      <c r="F109" s="340"/>
      <c r="G109" s="340"/>
      <c r="H109" s="340"/>
      <c r="I109" s="340"/>
      <c r="J109" s="340"/>
      <c r="K109" s="340"/>
      <c r="L109" s="340"/>
      <c r="M109" s="340"/>
      <c r="N109" s="340"/>
    </row>
    <row r="110">
      <c r="A110" s="351"/>
      <c r="B110" s="340"/>
      <c r="C110" s="340"/>
      <c r="D110" s="340"/>
      <c r="E110" s="340"/>
      <c r="F110" s="340"/>
      <c r="G110" s="340"/>
      <c r="H110" s="340"/>
      <c r="I110" s="340"/>
      <c r="J110" s="340"/>
      <c r="K110" s="340"/>
      <c r="L110" s="340"/>
      <c r="M110" s="340"/>
      <c r="N110" s="340"/>
    </row>
    <row r="111">
      <c r="A111" s="351"/>
      <c r="B111" s="340"/>
      <c r="C111" s="340"/>
      <c r="D111" s="340"/>
      <c r="E111" s="340"/>
      <c r="F111" s="340"/>
      <c r="G111" s="340"/>
      <c r="H111" s="340"/>
      <c r="I111" s="340"/>
      <c r="J111" s="340"/>
      <c r="K111" s="340"/>
      <c r="L111" s="340"/>
      <c r="M111" s="340"/>
      <c r="N111" s="340"/>
    </row>
    <row r="112">
      <c r="A112" s="351"/>
      <c r="B112" s="340"/>
      <c r="C112" s="340"/>
      <c r="D112" s="340"/>
      <c r="E112" s="340"/>
      <c r="F112" s="340"/>
      <c r="G112" s="340"/>
      <c r="H112" s="340"/>
      <c r="I112" s="340"/>
      <c r="J112" s="340"/>
      <c r="K112" s="340"/>
      <c r="L112" s="340"/>
      <c r="M112" s="340"/>
      <c r="N112" s="340"/>
    </row>
    <row r="113">
      <c r="A113" s="351"/>
      <c r="B113" s="340"/>
      <c r="C113" s="340"/>
      <c r="D113" s="340"/>
      <c r="E113" s="340"/>
      <c r="F113" s="340"/>
      <c r="G113" s="340"/>
      <c r="H113" s="340"/>
      <c r="I113" s="340"/>
      <c r="J113" s="340"/>
      <c r="K113" s="340"/>
      <c r="L113" s="340"/>
      <c r="M113" s="340"/>
      <c r="N113" s="340"/>
    </row>
    <row r="114">
      <c r="A114" s="351"/>
      <c r="B114" s="340"/>
      <c r="C114" s="340"/>
      <c r="D114" s="340"/>
      <c r="E114" s="340"/>
      <c r="F114" s="340"/>
      <c r="G114" s="340"/>
      <c r="H114" s="340"/>
      <c r="I114" s="340"/>
      <c r="J114" s="340"/>
      <c r="K114" s="340"/>
      <c r="L114" s="340"/>
      <c r="M114" s="340"/>
      <c r="N114" s="340"/>
    </row>
    <row r="115">
      <c r="A115" s="351"/>
      <c r="B115" s="340"/>
      <c r="C115" s="340"/>
      <c r="D115" s="340"/>
      <c r="E115" s="340"/>
      <c r="F115" s="340"/>
      <c r="G115" s="340"/>
      <c r="H115" s="340"/>
      <c r="I115" s="340"/>
      <c r="J115" s="340"/>
      <c r="K115" s="340"/>
      <c r="L115" s="340"/>
      <c r="M115" s="340"/>
      <c r="N115" s="340"/>
    </row>
    <row r="116">
      <c r="A116" s="351"/>
      <c r="B116" s="340"/>
      <c r="C116" s="340"/>
      <c r="D116" s="340"/>
      <c r="E116" s="340"/>
      <c r="F116" s="340"/>
      <c r="G116" s="340"/>
      <c r="H116" s="340"/>
      <c r="I116" s="340"/>
      <c r="J116" s="340"/>
      <c r="K116" s="340"/>
      <c r="L116" s="340"/>
      <c r="M116" s="340"/>
      <c r="N116" s="340"/>
    </row>
    <row r="117">
      <c r="A117" s="351"/>
      <c r="B117" s="340"/>
      <c r="C117" s="340"/>
      <c r="D117" s="340"/>
      <c r="E117" s="340"/>
      <c r="F117" s="340"/>
      <c r="G117" s="340"/>
      <c r="H117" s="340"/>
      <c r="I117" s="340"/>
      <c r="J117" s="340"/>
      <c r="K117" s="340"/>
      <c r="L117" s="340"/>
      <c r="M117" s="340"/>
      <c r="N117" s="340"/>
    </row>
    <row r="118">
      <c r="A118" s="351"/>
      <c r="B118" s="340"/>
      <c r="C118" s="340"/>
      <c r="D118" s="340"/>
      <c r="E118" s="340"/>
      <c r="F118" s="340"/>
      <c r="G118" s="340"/>
      <c r="H118" s="340"/>
      <c r="I118" s="340"/>
      <c r="J118" s="340"/>
      <c r="K118" s="340"/>
      <c r="L118" s="340"/>
      <c r="M118" s="340"/>
      <c r="N118" s="340"/>
    </row>
    <row r="119">
      <c r="A119" s="351"/>
      <c r="B119" s="340"/>
      <c r="C119" s="340"/>
      <c r="D119" s="340"/>
      <c r="E119" s="340"/>
      <c r="F119" s="340"/>
      <c r="G119" s="340"/>
      <c r="H119" s="340"/>
      <c r="I119" s="340"/>
      <c r="J119" s="340"/>
      <c r="K119" s="340"/>
      <c r="L119" s="340"/>
      <c r="M119" s="340"/>
      <c r="N119" s="340"/>
    </row>
    <row r="120">
      <c r="A120" s="351"/>
      <c r="B120" s="340"/>
      <c r="C120" s="340"/>
      <c r="D120" s="340"/>
      <c r="E120" s="340"/>
      <c r="F120" s="340"/>
      <c r="G120" s="340"/>
      <c r="H120" s="340"/>
      <c r="I120" s="340"/>
      <c r="J120" s="340"/>
      <c r="K120" s="340"/>
      <c r="L120" s="340"/>
      <c r="M120" s="340"/>
      <c r="N120" s="340"/>
    </row>
    <row r="121">
      <c r="A121" s="351"/>
      <c r="B121" s="340"/>
      <c r="C121" s="340"/>
      <c r="D121" s="340"/>
      <c r="E121" s="340"/>
      <c r="F121" s="340"/>
      <c r="G121" s="340"/>
      <c r="H121" s="340"/>
      <c r="I121" s="340"/>
      <c r="J121" s="340"/>
      <c r="K121" s="340"/>
      <c r="L121" s="340"/>
      <c r="M121" s="340"/>
      <c r="N121" s="340"/>
    </row>
    <row r="122">
      <c r="A122" s="351"/>
      <c r="B122" s="340"/>
      <c r="C122" s="340"/>
      <c r="D122" s="340"/>
      <c r="E122" s="340"/>
      <c r="F122" s="340"/>
      <c r="G122" s="340"/>
      <c r="H122" s="340"/>
      <c r="I122" s="340"/>
      <c r="J122" s="340"/>
      <c r="K122" s="340"/>
      <c r="L122" s="340"/>
      <c r="M122" s="340"/>
      <c r="N122" s="340"/>
    </row>
    <row r="123">
      <c r="A123" s="351"/>
      <c r="B123" s="340"/>
      <c r="C123" s="340"/>
      <c r="D123" s="340"/>
      <c r="E123" s="340"/>
      <c r="F123" s="340"/>
      <c r="G123" s="340"/>
      <c r="H123" s="340"/>
      <c r="I123" s="340"/>
      <c r="J123" s="340"/>
      <c r="K123" s="340"/>
      <c r="L123" s="340"/>
      <c r="M123" s="340"/>
      <c r="N123" s="340"/>
    </row>
    <row r="124">
      <c r="A124" s="351"/>
      <c r="B124" s="340"/>
      <c r="C124" s="340"/>
      <c r="D124" s="340"/>
      <c r="E124" s="340"/>
      <c r="F124" s="340"/>
      <c r="G124" s="340"/>
      <c r="H124" s="340"/>
      <c r="I124" s="340"/>
      <c r="J124" s="340"/>
      <c r="K124" s="340"/>
      <c r="L124" s="340"/>
      <c r="M124" s="340"/>
      <c r="N124" s="340"/>
    </row>
    <row r="125">
      <c r="A125" s="351"/>
      <c r="B125" s="340"/>
      <c r="C125" s="340"/>
      <c r="D125" s="340"/>
      <c r="E125" s="340"/>
      <c r="F125" s="340"/>
      <c r="G125" s="340"/>
      <c r="H125" s="340"/>
      <c r="I125" s="340"/>
      <c r="J125" s="340"/>
      <c r="K125" s="340"/>
      <c r="L125" s="340"/>
      <c r="M125" s="340"/>
      <c r="N125" s="340"/>
    </row>
    <row r="126">
      <c r="A126" s="351"/>
      <c r="B126" s="340"/>
      <c r="C126" s="340"/>
      <c r="D126" s="340"/>
      <c r="E126" s="340"/>
      <c r="F126" s="340"/>
      <c r="G126" s="340"/>
      <c r="H126" s="340"/>
      <c r="I126" s="340"/>
      <c r="J126" s="340"/>
      <c r="K126" s="340"/>
      <c r="L126" s="340"/>
      <c r="M126" s="340"/>
      <c r="N126" s="340"/>
    </row>
    <row r="127">
      <c r="A127" s="351"/>
      <c r="B127" s="340"/>
      <c r="C127" s="340"/>
      <c r="D127" s="340"/>
      <c r="E127" s="340"/>
      <c r="F127" s="340"/>
      <c r="G127" s="340"/>
      <c r="H127" s="340"/>
      <c r="I127" s="340"/>
      <c r="J127" s="340"/>
      <c r="K127" s="340"/>
      <c r="L127" s="340"/>
      <c r="M127" s="340"/>
      <c r="N127" s="340"/>
    </row>
    <row r="128">
      <c r="A128" s="351"/>
      <c r="B128" s="340"/>
      <c r="C128" s="340"/>
      <c r="D128" s="340"/>
      <c r="E128" s="340"/>
      <c r="F128" s="340"/>
      <c r="G128" s="340"/>
      <c r="H128" s="340"/>
      <c r="I128" s="340"/>
      <c r="J128" s="340"/>
      <c r="K128" s="340"/>
      <c r="L128" s="340"/>
      <c r="M128" s="340"/>
      <c r="N128" s="340"/>
    </row>
    <row r="129">
      <c r="A129" s="351"/>
      <c r="B129" s="340"/>
      <c r="C129" s="340"/>
      <c r="D129" s="340"/>
      <c r="E129" s="340"/>
      <c r="F129" s="340"/>
      <c r="G129" s="340"/>
      <c r="H129" s="340"/>
      <c r="I129" s="340"/>
      <c r="J129" s="340"/>
      <c r="K129" s="340"/>
      <c r="L129" s="340"/>
      <c r="M129" s="340"/>
      <c r="N129" s="340"/>
    </row>
    <row r="130">
      <c r="A130" s="351"/>
      <c r="B130" s="340"/>
      <c r="C130" s="340"/>
      <c r="D130" s="340"/>
      <c r="E130" s="340"/>
      <c r="F130" s="340"/>
      <c r="G130" s="340"/>
      <c r="H130" s="340"/>
      <c r="I130" s="340"/>
      <c r="J130" s="340"/>
      <c r="K130" s="340"/>
      <c r="L130" s="340"/>
      <c r="M130" s="340"/>
      <c r="N130" s="340"/>
    </row>
    <row r="131">
      <c r="A131" s="351"/>
      <c r="B131" s="340"/>
      <c r="C131" s="340"/>
      <c r="D131" s="340"/>
      <c r="E131" s="340"/>
      <c r="F131" s="340"/>
      <c r="G131" s="340"/>
      <c r="H131" s="340"/>
      <c r="I131" s="340"/>
      <c r="J131" s="340"/>
      <c r="K131" s="340"/>
      <c r="L131" s="340"/>
      <c r="M131" s="340"/>
      <c r="N131" s="340"/>
    </row>
    <row r="132">
      <c r="A132" s="351"/>
      <c r="B132" s="340"/>
      <c r="C132" s="340"/>
      <c r="D132" s="340"/>
      <c r="E132" s="340"/>
      <c r="F132" s="340"/>
      <c r="G132" s="340"/>
      <c r="H132" s="340"/>
      <c r="I132" s="340"/>
      <c r="J132" s="340"/>
      <c r="K132" s="340"/>
      <c r="L132" s="340"/>
      <c r="M132" s="340"/>
      <c r="N132" s="340"/>
    </row>
    <row r="133">
      <c r="A133" s="351"/>
      <c r="B133" s="340"/>
      <c r="C133" s="340"/>
      <c r="D133" s="340"/>
      <c r="E133" s="340"/>
      <c r="F133" s="340"/>
      <c r="G133" s="340"/>
      <c r="H133" s="340"/>
      <c r="I133" s="340"/>
      <c r="J133" s="340"/>
      <c r="K133" s="340"/>
      <c r="L133" s="340"/>
      <c r="M133" s="340"/>
      <c r="N133" s="340"/>
    </row>
    <row r="134">
      <c r="A134" s="351"/>
      <c r="B134" s="340"/>
      <c r="C134" s="340"/>
      <c r="D134" s="340"/>
      <c r="E134" s="340"/>
      <c r="F134" s="340"/>
      <c r="G134" s="340"/>
      <c r="H134" s="340"/>
      <c r="I134" s="340"/>
      <c r="J134" s="340"/>
      <c r="K134" s="340"/>
      <c r="L134" s="340"/>
      <c r="M134" s="340"/>
      <c r="N134" s="340"/>
    </row>
    <row r="135">
      <c r="A135" s="351"/>
      <c r="B135" s="340"/>
      <c r="C135" s="340"/>
      <c r="D135" s="340"/>
      <c r="E135" s="340"/>
      <c r="F135" s="340"/>
      <c r="G135" s="340"/>
      <c r="H135" s="340"/>
      <c r="I135" s="340"/>
      <c r="J135" s="340"/>
      <c r="K135" s="340"/>
      <c r="L135" s="340"/>
      <c r="M135" s="340"/>
      <c r="N135" s="340"/>
    </row>
    <row r="136">
      <c r="A136" s="351"/>
      <c r="B136" s="340"/>
      <c r="C136" s="340"/>
      <c r="D136" s="340"/>
      <c r="E136" s="340"/>
      <c r="F136" s="340"/>
      <c r="G136" s="340"/>
      <c r="H136" s="340"/>
      <c r="I136" s="340"/>
      <c r="J136" s="340"/>
      <c r="K136" s="340"/>
      <c r="L136" s="340"/>
      <c r="M136" s="340"/>
      <c r="N136" s="340"/>
    </row>
    <row r="137">
      <c r="A137" s="351"/>
      <c r="B137" s="340"/>
      <c r="C137" s="340"/>
      <c r="D137" s="340"/>
      <c r="E137" s="340"/>
      <c r="F137" s="340"/>
      <c r="G137" s="340"/>
      <c r="H137" s="340"/>
      <c r="I137" s="340"/>
      <c r="J137" s="340"/>
      <c r="K137" s="340"/>
      <c r="L137" s="340"/>
      <c r="M137" s="340"/>
      <c r="N137" s="340"/>
    </row>
    <row r="138">
      <c r="A138" s="351"/>
      <c r="B138" s="340"/>
      <c r="C138" s="340"/>
      <c r="D138" s="340"/>
      <c r="E138" s="340"/>
      <c r="F138" s="340"/>
      <c r="G138" s="340"/>
      <c r="H138" s="340"/>
      <c r="I138" s="340"/>
      <c r="J138" s="340"/>
      <c r="K138" s="340"/>
      <c r="L138" s="340"/>
      <c r="M138" s="340"/>
      <c r="N138" s="340"/>
    </row>
    <row r="139">
      <c r="A139" s="351"/>
      <c r="B139" s="340"/>
      <c r="C139" s="340"/>
      <c r="D139" s="340"/>
      <c r="E139" s="340"/>
      <c r="F139" s="340"/>
      <c r="G139" s="340"/>
      <c r="H139" s="340"/>
      <c r="I139" s="340"/>
      <c r="J139" s="340"/>
      <c r="K139" s="340"/>
      <c r="L139" s="340"/>
      <c r="M139" s="340"/>
      <c r="N139" s="340"/>
    </row>
    <row r="140">
      <c r="A140" s="351"/>
      <c r="B140" s="340"/>
      <c r="C140" s="340"/>
      <c r="D140" s="340"/>
      <c r="E140" s="340"/>
      <c r="F140" s="340"/>
      <c r="G140" s="340"/>
      <c r="H140" s="340"/>
      <c r="I140" s="340"/>
      <c r="J140" s="340"/>
      <c r="K140" s="340"/>
      <c r="L140" s="340"/>
      <c r="M140" s="340"/>
      <c r="N140" s="340"/>
    </row>
    <row r="141">
      <c r="A141" s="351"/>
      <c r="B141" s="340"/>
      <c r="C141" s="340"/>
      <c r="D141" s="340"/>
      <c r="E141" s="340"/>
      <c r="F141" s="340"/>
      <c r="G141" s="340"/>
      <c r="H141" s="340"/>
      <c r="I141" s="340"/>
      <c r="J141" s="340"/>
      <c r="K141" s="340"/>
      <c r="L141" s="340"/>
      <c r="M141" s="340"/>
      <c r="N141" s="340"/>
    </row>
    <row r="142">
      <c r="A142" s="351"/>
      <c r="B142" s="340"/>
      <c r="C142" s="340"/>
      <c r="D142" s="340"/>
      <c r="E142" s="340"/>
      <c r="F142" s="340"/>
      <c r="G142" s="340"/>
      <c r="H142" s="340"/>
      <c r="I142" s="340"/>
      <c r="J142" s="340"/>
      <c r="K142" s="340"/>
      <c r="L142" s="340"/>
      <c r="M142" s="340"/>
      <c r="N142" s="340"/>
    </row>
    <row r="143">
      <c r="A143" s="351"/>
      <c r="B143" s="340"/>
      <c r="C143" s="340"/>
      <c r="D143" s="340"/>
      <c r="E143" s="340"/>
      <c r="F143" s="340"/>
      <c r="G143" s="340"/>
      <c r="H143" s="340"/>
      <c r="I143" s="340"/>
      <c r="J143" s="340"/>
      <c r="K143" s="340"/>
      <c r="L143" s="340"/>
      <c r="M143" s="340"/>
      <c r="N143" s="340"/>
    </row>
    <row r="144">
      <c r="A144" s="351"/>
      <c r="B144" s="340"/>
      <c r="C144" s="340"/>
      <c r="D144" s="340"/>
      <c r="E144" s="340"/>
      <c r="F144" s="340"/>
      <c r="G144" s="340"/>
      <c r="H144" s="340"/>
      <c r="I144" s="340"/>
      <c r="J144" s="340"/>
      <c r="K144" s="340"/>
      <c r="L144" s="340"/>
      <c r="M144" s="340"/>
      <c r="N144" s="340"/>
    </row>
    <row r="145">
      <c r="A145" s="351"/>
      <c r="B145" s="340"/>
      <c r="C145" s="340"/>
      <c r="D145" s="340"/>
      <c r="E145" s="340"/>
      <c r="F145" s="340"/>
      <c r="G145" s="340"/>
      <c r="H145" s="340"/>
      <c r="I145" s="340"/>
      <c r="J145" s="340"/>
      <c r="K145" s="340"/>
      <c r="L145" s="340"/>
      <c r="M145" s="340"/>
      <c r="N145" s="340"/>
    </row>
    <row r="146">
      <c r="A146" s="351"/>
      <c r="B146" s="340"/>
      <c r="C146" s="340"/>
      <c r="D146" s="340"/>
      <c r="E146" s="340"/>
      <c r="F146" s="340"/>
      <c r="G146" s="340"/>
      <c r="H146" s="340"/>
      <c r="I146" s="340"/>
      <c r="J146" s="340"/>
      <c r="K146" s="340"/>
      <c r="L146" s="340"/>
      <c r="M146" s="340"/>
      <c r="N146" s="340"/>
    </row>
    <row r="147">
      <c r="A147" s="351"/>
      <c r="B147" s="340"/>
      <c r="C147" s="340"/>
      <c r="D147" s="340"/>
      <c r="E147" s="340"/>
      <c r="F147" s="340"/>
      <c r="G147" s="340"/>
      <c r="H147" s="340"/>
      <c r="I147" s="340"/>
      <c r="J147" s="340"/>
      <c r="K147" s="340"/>
      <c r="L147" s="340"/>
      <c r="M147" s="340"/>
      <c r="N147" s="340"/>
    </row>
    <row r="148">
      <c r="A148" s="351"/>
      <c r="B148" s="340"/>
      <c r="C148" s="340"/>
      <c r="D148" s="340"/>
      <c r="E148" s="340"/>
      <c r="F148" s="340"/>
      <c r="G148" s="340"/>
      <c r="H148" s="340"/>
      <c r="I148" s="340"/>
      <c r="J148" s="340"/>
      <c r="K148" s="340"/>
      <c r="L148" s="340"/>
      <c r="M148" s="340"/>
      <c r="N148" s="340"/>
    </row>
    <row r="149">
      <c r="A149" s="351"/>
      <c r="B149" s="340"/>
      <c r="C149" s="340"/>
      <c r="D149" s="340"/>
      <c r="E149" s="340"/>
      <c r="F149" s="340"/>
      <c r="G149" s="340"/>
      <c r="H149" s="340"/>
      <c r="I149" s="340"/>
      <c r="J149" s="340"/>
      <c r="K149" s="340"/>
      <c r="L149" s="340"/>
      <c r="M149" s="340"/>
      <c r="N149" s="340"/>
    </row>
    <row r="150">
      <c r="A150" s="351"/>
      <c r="B150" s="340"/>
      <c r="C150" s="340"/>
      <c r="D150" s="340"/>
      <c r="E150" s="340"/>
      <c r="F150" s="340"/>
      <c r="G150" s="340"/>
      <c r="H150" s="340"/>
      <c r="I150" s="340"/>
      <c r="J150" s="340"/>
      <c r="K150" s="340"/>
      <c r="L150" s="340"/>
      <c r="M150" s="340"/>
      <c r="N150" s="340"/>
    </row>
    <row r="151">
      <c r="A151" s="351"/>
      <c r="B151" s="340"/>
      <c r="C151" s="340"/>
      <c r="D151" s="340"/>
      <c r="E151" s="340"/>
      <c r="F151" s="340"/>
      <c r="G151" s="340"/>
      <c r="H151" s="340"/>
      <c r="I151" s="340"/>
      <c r="J151" s="340"/>
      <c r="K151" s="340"/>
      <c r="L151" s="340"/>
      <c r="M151" s="340"/>
      <c r="N151" s="340"/>
    </row>
    <row r="152">
      <c r="A152" s="351"/>
      <c r="B152" s="340"/>
      <c r="C152" s="340"/>
      <c r="D152" s="340"/>
      <c r="E152" s="340"/>
      <c r="F152" s="340"/>
      <c r="G152" s="340"/>
      <c r="H152" s="340"/>
      <c r="I152" s="340"/>
      <c r="J152" s="340"/>
      <c r="K152" s="340"/>
      <c r="L152" s="340"/>
      <c r="M152" s="340"/>
      <c r="N152" s="340"/>
    </row>
  </sheetData>
  <dataValidations>
    <dataValidation type="list" allowBlank="1" showErrorMessage="1" sqref="B3:N7 B11:N18 B22:N31 B35:N43">
      <formula1>elenchi!$B$1:$B$33</formula1>
    </dataValidation>
  </dataValidations>
  <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900FF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7.29"/>
    <col customWidth="1" min="2" max="2" width="28.71"/>
    <col customWidth="1" min="3" max="3" width="7.29"/>
    <col customWidth="1" min="4" max="4" width="28.71"/>
    <col customWidth="1" min="5" max="5" width="7.29"/>
    <col customWidth="1" min="6" max="6" width="28.71"/>
    <col customWidth="1" min="7" max="7" width="7.29"/>
    <col customWidth="1" min="8" max="8" width="28.71"/>
    <col customWidth="1" min="9" max="9" width="7.29"/>
    <col customWidth="1" min="10" max="10" width="28.71"/>
    <col customWidth="1" min="11" max="11" width="7.29"/>
    <col customWidth="1" min="12" max="12" width="28.71"/>
    <col customWidth="1" min="13" max="13" width="7.29"/>
    <col customWidth="1" min="14" max="14" width="28.71"/>
    <col customWidth="1" min="15" max="15" width="7.29"/>
    <col customWidth="1" min="16" max="16" width="28.71"/>
    <col customWidth="1" min="17" max="17" width="7.29"/>
    <col customWidth="1" min="18" max="18" width="28.71"/>
    <col customWidth="1" min="19" max="19" width="7.29"/>
    <col customWidth="1" min="20" max="20" width="28.71"/>
    <col customWidth="1" min="21" max="21" width="7.29"/>
    <col customWidth="1" min="22" max="22" width="28.71"/>
    <col customWidth="1" min="23" max="23" width="7.29"/>
    <col customWidth="1" min="24" max="24" width="28.71"/>
  </cols>
  <sheetData>
    <row r="1" ht="26.25" customHeight="1">
      <c r="A1" s="352">
        <f>IFERROR(__xludf.DUMMYFUNCTION("IMPORTRANGE(""https://docs.google.com/spreadsheets/d/1O9G5CJn2MFIGoyF2uHQyxFictmT9kU2fAGsGdUxSQF8/edit?gid=715077939#gid=715077939"",""2025-2026!A1:X161"")"),2025.0)</f>
        <v>2025</v>
      </c>
      <c r="B1" s="353" t="str">
        <f>IFERROR(__xludf.DUMMYFUNCTION("""COMPUTED_VALUE"""),"Settembre ")</f>
        <v>Settembre </v>
      </c>
      <c r="C1" s="352" t="str">
        <f>IFERROR(__xludf.DUMMYFUNCTION("""COMPUTED_VALUE"""),"Ottobre ")</f>
        <v>Ottobre </v>
      </c>
      <c r="D1" s="354"/>
      <c r="E1" s="352" t="str">
        <f>IFERROR(__xludf.DUMMYFUNCTION("""COMPUTED_VALUE"""),"Novembre ")</f>
        <v>Novembre </v>
      </c>
      <c r="F1" s="354"/>
      <c r="G1" s="352" t="str">
        <f>IFERROR(__xludf.DUMMYFUNCTION("""COMPUTED_VALUE"""),"Dicembre ")</f>
        <v>Dicembre </v>
      </c>
      <c r="H1" s="354"/>
      <c r="I1" s="355">
        <f>IFERROR(__xludf.DUMMYFUNCTION("""COMPUTED_VALUE"""),2026.0)</f>
        <v>2026</v>
      </c>
      <c r="J1" s="356" t="str">
        <f>IFERROR(__xludf.DUMMYFUNCTION("""COMPUTED_VALUE"""),"Gennaio")</f>
        <v>Gennaio</v>
      </c>
      <c r="K1" s="357" t="str">
        <f>IFERROR(__xludf.DUMMYFUNCTION("""COMPUTED_VALUE"""),"Febbraio ")</f>
        <v>Febbraio </v>
      </c>
      <c r="L1" s="354"/>
      <c r="M1" s="357" t="str">
        <f>IFERROR(__xludf.DUMMYFUNCTION("""COMPUTED_VALUE"""),"Marzo")</f>
        <v>Marzo</v>
      </c>
      <c r="N1" s="354"/>
      <c r="O1" s="357" t="str">
        <f>IFERROR(__xludf.DUMMYFUNCTION("""COMPUTED_VALUE"""),"Aprile")</f>
        <v>Aprile</v>
      </c>
      <c r="P1" s="354"/>
      <c r="Q1" s="357" t="str">
        <f>IFERROR(__xludf.DUMMYFUNCTION("""COMPUTED_VALUE"""),"Maggio")</f>
        <v>Maggio</v>
      </c>
      <c r="R1" s="354"/>
      <c r="S1" s="357" t="str">
        <f>IFERROR(__xludf.DUMMYFUNCTION("""COMPUTED_VALUE"""),"Giugno")</f>
        <v>Giugno</v>
      </c>
      <c r="T1" s="354"/>
      <c r="U1" s="357" t="str">
        <f>IFERROR(__xludf.DUMMYFUNCTION("""COMPUTED_VALUE"""),"Luglio")</f>
        <v>Luglio</v>
      </c>
      <c r="V1" s="354"/>
      <c r="W1" s="357" t="str">
        <f>IFERROR(__xludf.DUMMYFUNCTION("""COMPUTED_VALUE"""),"Agosto")</f>
        <v>Agosto</v>
      </c>
      <c r="X1" s="354"/>
    </row>
    <row r="2">
      <c r="A2" s="358">
        <f>IFERROR(__xludf.DUMMYFUNCTION("""COMPUTED_VALUE"""),45901.0)</f>
        <v>45901</v>
      </c>
      <c r="B2" s="359" t="str">
        <f>IFERROR(__xludf.DUMMYFUNCTION("""COMPUTED_VALUE"""),"Uff aperti 8:30-19:30")</f>
        <v>Uff aperti 8:30-19:30</v>
      </c>
      <c r="C2" s="360">
        <f>IFERROR(__xludf.DUMMYFUNCTION("""COMPUTED_VALUE"""),45931.0)</f>
        <v>45931</v>
      </c>
      <c r="D2" s="361"/>
      <c r="E2" s="360">
        <f>IFERROR(__xludf.DUMMYFUNCTION("""COMPUTED_VALUE"""),45962.0)</f>
        <v>45962</v>
      </c>
      <c r="F2" s="359" t="str">
        <f>IFERROR(__xludf.DUMMYFUNCTION("""COMPUTED_VALUE"""),"Festa dei morti")</f>
        <v>Festa dei morti</v>
      </c>
      <c r="G2" s="360">
        <f>IFERROR(__xludf.DUMMYFUNCTION("""COMPUTED_VALUE"""),45992.0)</f>
        <v>45992</v>
      </c>
      <c r="H2" s="361"/>
      <c r="I2" s="362">
        <f>IFERROR(__xludf.DUMMYFUNCTION("""COMPUTED_VALUE"""),46023.0)</f>
        <v>46023</v>
      </c>
      <c r="J2" s="359" t="str">
        <f>IFERROR(__xludf.DUMMYFUNCTION("""COMPUTED_VALUE"""),"Festa Capodanno")</f>
        <v>Festa Capodanno</v>
      </c>
      <c r="K2" s="363">
        <f>IFERROR(__xludf.DUMMYFUNCTION("""COMPUTED_VALUE"""),46054.0)</f>
        <v>46054</v>
      </c>
      <c r="L2" s="359" t="str">
        <f>IFERROR(__xludf.DUMMYFUNCTION("""COMPUTED_VALUE"""),"Aperti")</f>
        <v>Aperti</v>
      </c>
      <c r="M2" s="363">
        <f>IFERROR(__xludf.DUMMYFUNCTION("""COMPUTED_VALUE"""),46082.0)</f>
        <v>46082</v>
      </c>
      <c r="N2" s="364" t="str">
        <f>IFERROR(__xludf.DUMMYFUNCTION("""COMPUTED_VALUE"""),"Aperti")</f>
        <v>Aperti</v>
      </c>
      <c r="O2" s="363">
        <f>IFERROR(__xludf.DUMMYFUNCTION("""COMPUTED_VALUE"""),46113.0)</f>
        <v>46113</v>
      </c>
      <c r="P2" s="365"/>
      <c r="Q2" s="363">
        <f>IFERROR(__xludf.DUMMYFUNCTION("""COMPUTED_VALUE"""),46143.0)</f>
        <v>46143</v>
      </c>
      <c r="R2" s="366" t="str">
        <f>IFERROR(__xludf.DUMMYFUNCTION("""COMPUTED_VALUE"""),"Festa dei lavoratori")</f>
        <v>Festa dei lavoratori</v>
      </c>
      <c r="S2" s="363">
        <f>IFERROR(__xludf.DUMMYFUNCTION("""COMPUTED_VALUE"""),46174.0)</f>
        <v>46174</v>
      </c>
      <c r="T2" s="361"/>
      <c r="U2" s="363">
        <f>IFERROR(__xludf.DUMMYFUNCTION("""COMPUTED_VALUE"""),46204.0)</f>
        <v>46204</v>
      </c>
      <c r="V2" s="365"/>
      <c r="W2" s="363">
        <f>IFERROR(__xludf.DUMMYFUNCTION("""COMPUTED_VALUE"""),46235.0)</f>
        <v>46235</v>
      </c>
      <c r="X2" s="365" t="str">
        <f>IFERROR(__xludf.DUMMYFUNCTION("""COMPUTED_VALUE"""),"Chiuso Ferie")</f>
        <v>Chiuso Ferie</v>
      </c>
    </row>
    <row r="3">
      <c r="B3" s="367"/>
      <c r="D3" s="367"/>
      <c r="F3" s="367"/>
      <c r="H3" s="367"/>
      <c r="J3" s="367"/>
      <c r="L3" s="368" t="str">
        <f>IFERROR(__xludf.DUMMYFUNCTION("""COMPUTED_VALUE"""),"WS Alessio Cavaliere (Urban) confermato • 14:00 • 15:30 • STUDIO 21")</f>
        <v>WS Alessio Cavaliere (Urban) confermato • 14:00 • 15:30 • STUDIO 21</v>
      </c>
      <c r="N3" s="369" t="str">
        <f>IFERROR(__xludf.DUMMYFUNCTION("""COMPUTED_VALUE"""),"GARA Brianza Danza Festival (Silvia Grande)")</f>
        <v>GARA Brianza Danza Festival (Silvia Grande)</v>
      </c>
      <c r="P3" s="370"/>
      <c r="R3" s="371"/>
      <c r="T3" s="367"/>
      <c r="V3" s="370"/>
      <c r="X3" s="370"/>
    </row>
    <row r="4">
      <c r="B4" s="367"/>
      <c r="D4" s="367"/>
      <c r="F4" s="372"/>
      <c r="H4" s="367"/>
      <c r="J4" s="372"/>
      <c r="L4" s="367"/>
      <c r="N4" s="370"/>
      <c r="P4" s="370"/>
      <c r="R4" s="373"/>
      <c r="T4" s="367"/>
      <c r="V4" s="370"/>
      <c r="X4" s="370"/>
    </row>
    <row r="5">
      <c r="B5" s="367"/>
      <c r="D5" s="367"/>
      <c r="F5" s="367"/>
      <c r="H5" s="367"/>
      <c r="J5" s="367"/>
      <c r="L5" s="367"/>
      <c r="N5" s="369" t="str">
        <f>IFERROR(__xludf.DUMMYFUNCTION("""COMPUTED_VALUE"""),"OPENCLASS Anahita (Heels) confermato • 14:30 • 16:00 • STUDIO 21")</f>
        <v>OPENCLASS Anahita (Heels) confermato • 14:30 • 16:00 • STUDIO 21</v>
      </c>
      <c r="P5" s="370"/>
      <c r="R5" s="371"/>
      <c r="T5" s="367"/>
      <c r="V5" s="370"/>
      <c r="X5" s="370"/>
    </row>
    <row r="6">
      <c r="A6" s="374"/>
      <c r="B6" s="375"/>
      <c r="C6" s="374"/>
      <c r="D6" s="375"/>
      <c r="E6" s="374"/>
      <c r="F6" s="375"/>
      <c r="G6" s="374"/>
      <c r="H6" s="375"/>
      <c r="I6" s="374"/>
      <c r="J6" s="375"/>
      <c r="K6" s="374"/>
      <c r="L6" s="375"/>
      <c r="M6" s="374"/>
      <c r="N6" s="376"/>
      <c r="O6" s="374"/>
      <c r="P6" s="376"/>
      <c r="Q6" s="374"/>
      <c r="R6" s="377"/>
      <c r="S6" s="374"/>
      <c r="T6" s="375"/>
      <c r="U6" s="374"/>
      <c r="V6" s="376"/>
      <c r="W6" s="374"/>
      <c r="X6" s="376"/>
    </row>
    <row r="7">
      <c r="A7" s="378">
        <f>IFERROR(__xludf.DUMMYFUNCTION("""COMPUTED_VALUE"""),45902.0)</f>
        <v>45902</v>
      </c>
      <c r="B7" s="367" t="str">
        <f>IFERROR(__xludf.DUMMYFUNCTION("""COMPUTED_VALUE"""),"Uff aperti 8:30-19:30")</f>
        <v>Uff aperti 8:30-19:30</v>
      </c>
      <c r="C7" s="379">
        <f>IFERROR(__xludf.DUMMYFUNCTION("""COMPUTED_VALUE"""),45932.0)</f>
        <v>45932</v>
      </c>
      <c r="D7" s="367"/>
      <c r="E7" s="379">
        <f>IFERROR(__xludf.DUMMYFUNCTION("""COMPUTED_VALUE"""),45963.0)</f>
        <v>45963</v>
      </c>
      <c r="F7" s="380" t="str">
        <f>IFERROR(__xludf.DUMMYFUNCTION("""COMPUTED_VALUE"""),"Chiuso")</f>
        <v>Chiuso</v>
      </c>
      <c r="G7" s="379">
        <f>IFERROR(__xludf.DUMMYFUNCTION("""COMPUTED_VALUE"""),45993.0)</f>
        <v>45993</v>
      </c>
      <c r="H7" s="367"/>
      <c r="I7" s="381">
        <f>IFERROR(__xludf.DUMMYFUNCTION("""COMPUTED_VALUE"""),46024.0)</f>
        <v>46024</v>
      </c>
      <c r="J7" s="372" t="str">
        <f>IFERROR(__xludf.DUMMYFUNCTION("""COMPUTED_VALUE"""),"Chiuso")</f>
        <v>Chiuso</v>
      </c>
      <c r="K7" s="382">
        <f>IFERROR(__xludf.DUMMYFUNCTION("""COMPUTED_VALUE"""),46055.0)</f>
        <v>46055</v>
      </c>
      <c r="L7" s="367"/>
      <c r="M7" s="382">
        <f>IFERROR(__xludf.DUMMYFUNCTION("""COMPUTED_VALUE"""),46083.0)</f>
        <v>46083</v>
      </c>
      <c r="N7" s="371"/>
      <c r="O7" s="382">
        <f>IFERROR(__xludf.DUMMYFUNCTION("""COMPUTED_VALUE"""),46114.0)</f>
        <v>46114</v>
      </c>
      <c r="P7" s="373" t="str">
        <f>IFERROR(__xludf.DUMMYFUNCTION("""COMPUTED_VALUE"""),"No corsi bambini")</f>
        <v>No corsi bambini</v>
      </c>
      <c r="Q7" s="382">
        <f>IFERROR(__xludf.DUMMYFUNCTION("""COMPUTED_VALUE"""),46144.0)</f>
        <v>46144</v>
      </c>
      <c r="R7" s="373" t="str">
        <f>IFERROR(__xludf.DUMMYFUNCTION("""COMPUTED_VALUE"""),"Apertura straordinaria prove saggi • 10:00 • 14:00")</f>
        <v>Apertura straordinaria prove saggi • 10:00 • 14:00</v>
      </c>
      <c r="S7" s="382">
        <f>IFERROR(__xludf.DUMMYFUNCTION("""COMPUTED_VALUE"""),46175.0)</f>
        <v>46175</v>
      </c>
      <c r="T7" s="372" t="str">
        <f>IFERROR(__xludf.DUMMYFUNCTION("""COMPUTED_VALUE"""),"Festa della Repubblica")</f>
        <v>Festa della Repubblica</v>
      </c>
      <c r="U7" s="382">
        <f>IFERROR(__xludf.DUMMYFUNCTION("""COMPUTED_VALUE"""),46205.0)</f>
        <v>46205</v>
      </c>
      <c r="V7" s="370"/>
      <c r="W7" s="382">
        <f>IFERROR(__xludf.DUMMYFUNCTION("""COMPUTED_VALUE"""),46236.0)</f>
        <v>46236</v>
      </c>
      <c r="X7" s="370" t="str">
        <f>IFERROR(__xludf.DUMMYFUNCTION("""COMPUTED_VALUE"""),"Chiuso Ferie")</f>
        <v>Chiuso Ferie</v>
      </c>
    </row>
    <row r="8">
      <c r="B8" s="367"/>
      <c r="D8" s="367"/>
      <c r="F8" s="367"/>
      <c r="H8" s="367"/>
      <c r="J8" s="367"/>
      <c r="L8" s="367"/>
      <c r="N8" s="370"/>
      <c r="P8" s="370"/>
      <c r="R8" s="373"/>
      <c r="T8" s="372"/>
      <c r="V8" s="370"/>
      <c r="X8" s="370"/>
    </row>
    <row r="9">
      <c r="B9" s="367"/>
      <c r="D9" s="367"/>
      <c r="F9" s="367"/>
      <c r="H9" s="367"/>
      <c r="J9" s="372"/>
      <c r="L9" s="367"/>
      <c r="N9" s="370"/>
      <c r="P9" s="370"/>
      <c r="R9" s="370"/>
      <c r="T9" s="372"/>
      <c r="V9" s="370"/>
      <c r="X9" s="370"/>
    </row>
    <row r="10">
      <c r="B10" s="367"/>
      <c r="D10" s="367"/>
      <c r="F10" s="367"/>
      <c r="H10" s="367"/>
      <c r="J10" s="372"/>
      <c r="L10" s="367"/>
      <c r="N10" s="370"/>
      <c r="P10" s="370"/>
      <c r="R10" s="370"/>
      <c r="T10" s="372"/>
      <c r="V10" s="370"/>
      <c r="X10" s="370"/>
    </row>
    <row r="11">
      <c r="A11" s="374"/>
      <c r="B11" s="375"/>
      <c r="C11" s="374"/>
      <c r="D11" s="375"/>
      <c r="E11" s="374"/>
      <c r="F11" s="375"/>
      <c r="G11" s="374"/>
      <c r="H11" s="375"/>
      <c r="I11" s="374"/>
      <c r="J11" s="375"/>
      <c r="K11" s="374"/>
      <c r="L11" s="375"/>
      <c r="M11" s="374"/>
      <c r="N11" s="376"/>
      <c r="O11" s="374"/>
      <c r="P11" s="376"/>
      <c r="Q11" s="374"/>
      <c r="R11" s="376"/>
      <c r="S11" s="374"/>
      <c r="T11" s="383"/>
      <c r="U11" s="374"/>
      <c r="V11" s="376"/>
      <c r="W11" s="374"/>
      <c r="X11" s="376"/>
    </row>
    <row r="12">
      <c r="A12" s="378">
        <f>IFERROR(__xludf.DUMMYFUNCTION("""COMPUTED_VALUE"""),45903.0)</f>
        <v>45903</v>
      </c>
      <c r="B12" s="367" t="str">
        <f>IFERROR(__xludf.DUMMYFUNCTION("""COMPUTED_VALUE"""),"Uff aperti 8:30-19:30")</f>
        <v>Uff aperti 8:30-19:30</v>
      </c>
      <c r="C12" s="379">
        <f>IFERROR(__xludf.DUMMYFUNCTION("""COMPUTED_VALUE"""),45933.0)</f>
        <v>45933</v>
      </c>
      <c r="D12" s="367"/>
      <c r="E12" s="379">
        <f>IFERROR(__xludf.DUMMYFUNCTION("""COMPUTED_VALUE"""),45964.0)</f>
        <v>45964</v>
      </c>
      <c r="F12" s="367"/>
      <c r="G12" s="379">
        <f>IFERROR(__xludf.DUMMYFUNCTION("""COMPUTED_VALUE"""),45994.0)</f>
        <v>45994</v>
      </c>
      <c r="H12" s="367"/>
      <c r="I12" s="381">
        <f>IFERROR(__xludf.DUMMYFUNCTION("""COMPUTED_VALUE"""),46025.0)</f>
        <v>46025</v>
      </c>
      <c r="J12" s="367" t="str">
        <f>IFERROR(__xludf.DUMMYFUNCTION("""COMPUTED_VALUE"""),"Chiuso")</f>
        <v>Chiuso</v>
      </c>
      <c r="K12" s="382">
        <f>IFERROR(__xludf.DUMMYFUNCTION("""COMPUTED_VALUE"""),46056.0)</f>
        <v>46056</v>
      </c>
      <c r="L12" s="372"/>
      <c r="M12" s="382">
        <f>IFERROR(__xludf.DUMMYFUNCTION("""COMPUTED_VALUE"""),46084.0)</f>
        <v>46084</v>
      </c>
      <c r="N12" s="370"/>
      <c r="O12" s="382">
        <f>IFERROR(__xludf.DUMMYFUNCTION("""COMPUTED_VALUE"""),46115.0)</f>
        <v>46115</v>
      </c>
      <c r="P12" s="373" t="str">
        <f>IFERROR(__xludf.DUMMYFUNCTION("""COMPUTED_VALUE"""),"No corsi bambini")</f>
        <v>No corsi bambini</v>
      </c>
      <c r="Q12" s="382">
        <f>IFERROR(__xludf.DUMMYFUNCTION("""COMPUTED_VALUE"""),46145.0)</f>
        <v>46145</v>
      </c>
      <c r="R12" s="371"/>
      <c r="S12" s="382">
        <f>IFERROR(__xludf.DUMMYFUNCTION("""COMPUTED_VALUE"""),46176.0)</f>
        <v>46176</v>
      </c>
      <c r="T12" s="372" t="str">
        <f>IFERROR(__xludf.DUMMYFUNCTION("""COMPUTED_VALUE"""),"No corsi bambini")</f>
        <v>No corsi bambini</v>
      </c>
      <c r="U12" s="382">
        <f>IFERROR(__xludf.DUMMYFUNCTION("""COMPUTED_VALUE"""),46206.0)</f>
        <v>46206</v>
      </c>
      <c r="V12" s="370"/>
      <c r="W12" s="382">
        <f>IFERROR(__xludf.DUMMYFUNCTION("""COMPUTED_VALUE"""),46237.0)</f>
        <v>46237</v>
      </c>
      <c r="X12" s="370" t="str">
        <f>IFERROR(__xludf.DUMMYFUNCTION("""COMPUTED_VALUE"""),"Chiuso Ferie")</f>
        <v>Chiuso Ferie</v>
      </c>
    </row>
    <row r="13">
      <c r="B13" s="367"/>
      <c r="D13" s="367"/>
      <c r="F13" s="367"/>
      <c r="H13" s="367"/>
      <c r="J13" s="367"/>
      <c r="L13" s="367"/>
      <c r="N13" s="370"/>
      <c r="P13" s="370"/>
      <c r="R13" s="371"/>
      <c r="T13" s="372"/>
      <c r="V13" s="370"/>
      <c r="X13" s="370"/>
    </row>
    <row r="14">
      <c r="B14" s="367"/>
      <c r="D14" s="367"/>
      <c r="F14" s="367"/>
      <c r="H14" s="367"/>
      <c r="J14" s="367"/>
      <c r="L14" s="372"/>
      <c r="N14" s="370"/>
      <c r="P14" s="370"/>
      <c r="R14" s="373"/>
      <c r="T14" s="372"/>
      <c r="V14" s="370"/>
      <c r="X14" s="370"/>
    </row>
    <row r="15">
      <c r="B15" s="367"/>
      <c r="D15" s="367"/>
      <c r="F15" s="367"/>
      <c r="H15" s="367"/>
      <c r="J15" s="372"/>
      <c r="L15" s="367"/>
      <c r="N15" s="370"/>
      <c r="P15" s="370"/>
      <c r="R15" s="371"/>
      <c r="T15" s="372"/>
      <c r="V15" s="370"/>
      <c r="X15" s="370"/>
    </row>
    <row r="16">
      <c r="A16" s="374"/>
      <c r="B16" s="375"/>
      <c r="C16" s="374"/>
      <c r="D16" s="375"/>
      <c r="E16" s="374"/>
      <c r="F16" s="375"/>
      <c r="G16" s="374"/>
      <c r="H16" s="375"/>
      <c r="I16" s="374"/>
      <c r="J16" s="375"/>
      <c r="K16" s="374"/>
      <c r="L16" s="375"/>
      <c r="M16" s="374"/>
      <c r="N16" s="376"/>
      <c r="O16" s="374"/>
      <c r="P16" s="376"/>
      <c r="Q16" s="374"/>
      <c r="R16" s="377"/>
      <c r="S16" s="374"/>
      <c r="T16" s="384"/>
      <c r="U16" s="374"/>
      <c r="V16" s="376"/>
      <c r="W16" s="374"/>
      <c r="X16" s="376"/>
    </row>
    <row r="17">
      <c r="A17" s="378">
        <f>IFERROR(__xludf.DUMMYFUNCTION("""COMPUTED_VALUE"""),45904.0)</f>
        <v>45904</v>
      </c>
      <c r="B17" s="385" t="str">
        <f>IFERROR(__xludf.DUMMYFUNCTION("""COMPUTED_VALUE"""),"Uff aperti 8:30-19:30")</f>
        <v>Uff aperti 8:30-19:30</v>
      </c>
      <c r="C17" s="379">
        <f>IFERROR(__xludf.DUMMYFUNCTION("""COMPUTED_VALUE"""),45934.0)</f>
        <v>45934</v>
      </c>
      <c r="D17" s="367"/>
      <c r="E17" s="379">
        <f>IFERROR(__xludf.DUMMYFUNCTION("""COMPUTED_VALUE"""),45965.0)</f>
        <v>45965</v>
      </c>
      <c r="F17" s="367"/>
      <c r="G17" s="379">
        <f>IFERROR(__xludf.DUMMYFUNCTION("""COMPUTED_VALUE"""),45995.0)</f>
        <v>45995</v>
      </c>
      <c r="H17" s="367"/>
      <c r="I17" s="381">
        <f>IFERROR(__xludf.DUMMYFUNCTION("""COMPUTED_VALUE"""),46026.0)</f>
        <v>46026</v>
      </c>
      <c r="J17" s="367"/>
      <c r="K17" s="382">
        <f>IFERROR(__xludf.DUMMYFUNCTION("""COMPUTED_VALUE"""),46057.0)</f>
        <v>46057</v>
      </c>
      <c r="L17" s="372"/>
      <c r="M17" s="382">
        <f>IFERROR(__xludf.DUMMYFUNCTION("""COMPUTED_VALUE"""),46085.0)</f>
        <v>46085</v>
      </c>
      <c r="N17" s="370"/>
      <c r="O17" s="382">
        <f>IFERROR(__xludf.DUMMYFUNCTION("""COMPUTED_VALUE"""),46116.0)</f>
        <v>46116</v>
      </c>
      <c r="P17" s="370" t="str">
        <f>IFERROR(__xludf.DUMMYFUNCTION("""COMPUTED_VALUE"""),"Chiuso")</f>
        <v>Chiuso</v>
      </c>
      <c r="Q17" s="382">
        <f>IFERROR(__xludf.DUMMYFUNCTION("""COMPUTED_VALUE"""),46146.0)</f>
        <v>46146</v>
      </c>
      <c r="R17" s="373"/>
      <c r="S17" s="382">
        <f>IFERROR(__xludf.DUMMYFUNCTION("""COMPUTED_VALUE"""),46177.0)</f>
        <v>46177</v>
      </c>
      <c r="T17" s="372" t="str">
        <f>IFERROR(__xludf.DUMMYFUNCTION("""COMPUTED_VALUE"""),"No corsi bambini")</f>
        <v>No corsi bambini</v>
      </c>
      <c r="U17" s="382">
        <f>IFERROR(__xludf.DUMMYFUNCTION("""COMPUTED_VALUE"""),46207.0)</f>
        <v>46207</v>
      </c>
      <c r="V17" s="370"/>
      <c r="W17" s="382">
        <f>IFERROR(__xludf.DUMMYFUNCTION("""COMPUTED_VALUE"""),46238.0)</f>
        <v>46238</v>
      </c>
      <c r="X17" s="370" t="str">
        <f>IFERROR(__xludf.DUMMYFUNCTION("""COMPUTED_VALUE"""),"Chiuso Ferie")</f>
        <v>Chiuso Ferie</v>
      </c>
    </row>
    <row r="18">
      <c r="B18" s="386" t="str">
        <f>IFERROR(__xludf.DUMMYFUNCTION("""COMPUTED_VALUE"""),"EVENTO ESTERNO Ondance Openclass Bollywood • 16:45 • 17:45")</f>
        <v>EVENTO ESTERNO Ondance Openclass Bollywood • 16:45 • 17:45</v>
      </c>
      <c r="D18" s="367"/>
      <c r="F18" s="367"/>
      <c r="H18" s="367"/>
      <c r="J18" s="367"/>
      <c r="L18" s="372"/>
      <c r="N18" s="370"/>
      <c r="P18" s="370"/>
      <c r="R18" s="373"/>
      <c r="T18" s="367"/>
      <c r="V18" s="370"/>
      <c r="X18" s="370"/>
    </row>
    <row r="19">
      <c r="B19" s="367"/>
      <c r="D19" s="367"/>
      <c r="F19" s="367"/>
      <c r="H19" s="367"/>
      <c r="J19" s="367"/>
      <c r="L19" s="372"/>
      <c r="N19" s="370"/>
      <c r="P19" s="370"/>
      <c r="R19" s="373"/>
      <c r="T19" s="367"/>
      <c r="V19" s="370"/>
      <c r="X19" s="370"/>
    </row>
    <row r="20">
      <c r="B20" s="367"/>
      <c r="D20" s="367"/>
      <c r="F20" s="367"/>
      <c r="H20" s="367"/>
      <c r="J20" s="367"/>
      <c r="L20" s="372"/>
      <c r="N20" s="370"/>
      <c r="P20" s="370"/>
      <c r="R20" s="373"/>
      <c r="T20" s="367"/>
      <c r="V20" s="370"/>
      <c r="X20" s="370"/>
    </row>
    <row r="21">
      <c r="A21" s="374"/>
      <c r="B21" s="375"/>
      <c r="C21" s="374"/>
      <c r="D21" s="375"/>
      <c r="E21" s="374"/>
      <c r="F21" s="375"/>
      <c r="G21" s="374"/>
      <c r="H21" s="375"/>
      <c r="I21" s="374"/>
      <c r="J21" s="375"/>
      <c r="K21" s="374"/>
      <c r="L21" s="384"/>
      <c r="M21" s="374"/>
      <c r="N21" s="376"/>
      <c r="O21" s="374"/>
      <c r="P21" s="376"/>
      <c r="Q21" s="374"/>
      <c r="R21" s="387"/>
      <c r="S21" s="374"/>
      <c r="T21" s="375"/>
      <c r="U21" s="374"/>
      <c r="V21" s="376"/>
      <c r="W21" s="374"/>
      <c r="X21" s="376"/>
    </row>
    <row r="22">
      <c r="A22" s="378">
        <f>IFERROR(__xludf.DUMMYFUNCTION("""COMPUTED_VALUE"""),45905.0)</f>
        <v>45905</v>
      </c>
      <c r="B22" s="367" t="str">
        <f>IFERROR(__xludf.DUMMYFUNCTION("""COMPUTED_VALUE"""),"Uff aperti 8:30-19:30")</f>
        <v>Uff aperti 8:30-19:30</v>
      </c>
      <c r="C22" s="379">
        <f>IFERROR(__xludf.DUMMYFUNCTION("""COMPUTED_VALUE"""),45935.0)</f>
        <v>45935</v>
      </c>
      <c r="D22" s="372"/>
      <c r="E22" s="379">
        <f>IFERROR(__xludf.DUMMYFUNCTION("""COMPUTED_VALUE"""),45966.0)</f>
        <v>45966</v>
      </c>
      <c r="F22" s="367"/>
      <c r="G22" s="379">
        <f>IFERROR(__xludf.DUMMYFUNCTION("""COMPUTED_VALUE"""),45996.0)</f>
        <v>45996</v>
      </c>
      <c r="H22" s="367"/>
      <c r="I22" s="381">
        <f>IFERROR(__xludf.DUMMYFUNCTION("""COMPUTED_VALUE"""),46027.0)</f>
        <v>46027</v>
      </c>
      <c r="J22" s="372"/>
      <c r="K22" s="382">
        <f>IFERROR(__xludf.DUMMYFUNCTION("""COMPUTED_VALUE"""),46058.0)</f>
        <v>46058</v>
      </c>
      <c r="L22" s="367"/>
      <c r="M22" s="382">
        <f>IFERROR(__xludf.DUMMYFUNCTION("""COMPUTED_VALUE"""),46086.0)</f>
        <v>46086</v>
      </c>
      <c r="N22" s="370"/>
      <c r="O22" s="382">
        <f>IFERROR(__xludf.DUMMYFUNCTION("""COMPUTED_VALUE"""),46117.0)</f>
        <v>46117</v>
      </c>
      <c r="P22" s="373" t="str">
        <f>IFERROR(__xludf.DUMMYFUNCTION("""COMPUTED_VALUE"""),"Festa Pasqua")</f>
        <v>Festa Pasqua</v>
      </c>
      <c r="Q22" s="382">
        <f>IFERROR(__xludf.DUMMYFUNCTION("""COMPUTED_VALUE"""),46147.0)</f>
        <v>46147</v>
      </c>
      <c r="R22" s="371"/>
      <c r="S22" s="382">
        <f>IFERROR(__xludf.DUMMYFUNCTION("""COMPUTED_VALUE"""),46178.0)</f>
        <v>46178</v>
      </c>
      <c r="T22" s="372" t="str">
        <f>IFERROR(__xludf.DUMMYFUNCTION("""COMPUTED_VALUE"""),"No corsi bambini")</f>
        <v>No corsi bambini</v>
      </c>
      <c r="U22" s="382">
        <f>IFERROR(__xludf.DUMMYFUNCTION("""COMPUTED_VALUE"""),46208.0)</f>
        <v>46208</v>
      </c>
      <c r="V22" s="370"/>
      <c r="W22" s="382">
        <f>IFERROR(__xludf.DUMMYFUNCTION("""COMPUTED_VALUE"""),46239.0)</f>
        <v>46239</v>
      </c>
      <c r="X22" s="370" t="str">
        <f>IFERROR(__xludf.DUMMYFUNCTION("""COMPUTED_VALUE"""),"Chiuso Ferie")</f>
        <v>Chiuso Ferie</v>
      </c>
    </row>
    <row r="23">
      <c r="B23" s="372" t="str">
        <f>IFERROR(__xludf.DUMMYFUNCTION("""COMPUTED_VALUE"""),"25-26 Prenotazioni Sale")</f>
        <v>25-26 Prenotazioni Sale</v>
      </c>
      <c r="D23" s="388"/>
      <c r="F23" s="372"/>
      <c r="H23" s="367"/>
      <c r="J23" s="367" t="str">
        <f>IFERROR(__xludf.DUMMYFUNCTION("""COMPUTED_VALUE"""),"Chiuso")</f>
        <v>Chiuso</v>
      </c>
      <c r="L23" s="367"/>
      <c r="N23" s="370"/>
      <c r="P23" s="373"/>
      <c r="R23" s="373"/>
      <c r="T23" s="367"/>
      <c r="V23" s="370"/>
      <c r="X23" s="370"/>
    </row>
    <row r="24">
      <c r="B24" s="367"/>
      <c r="D24" s="372"/>
      <c r="F24" s="367"/>
      <c r="H24" s="367"/>
      <c r="J24" s="367"/>
      <c r="L24" s="367"/>
      <c r="N24" s="370"/>
      <c r="P24" s="370"/>
      <c r="R24" s="371"/>
      <c r="T24" s="367"/>
      <c r="V24" s="370"/>
      <c r="X24" s="370"/>
    </row>
    <row r="25">
      <c r="B25" s="367"/>
      <c r="D25" s="372"/>
      <c r="F25" s="367"/>
      <c r="H25" s="367"/>
      <c r="J25" s="367"/>
      <c r="L25" s="367"/>
      <c r="N25" s="370"/>
      <c r="P25" s="370"/>
      <c r="R25" s="371"/>
      <c r="T25" s="367"/>
      <c r="V25" s="370"/>
      <c r="X25" s="370"/>
    </row>
    <row r="26">
      <c r="A26" s="374"/>
      <c r="B26" s="375"/>
      <c r="C26" s="374"/>
      <c r="D26" s="375"/>
      <c r="E26" s="374"/>
      <c r="F26" s="375"/>
      <c r="G26" s="374"/>
      <c r="H26" s="375"/>
      <c r="I26" s="374"/>
      <c r="J26" s="375"/>
      <c r="K26" s="374"/>
      <c r="L26" s="375"/>
      <c r="M26" s="374"/>
      <c r="N26" s="376"/>
      <c r="O26" s="374"/>
      <c r="P26" s="376"/>
      <c r="Q26" s="374"/>
      <c r="R26" s="389"/>
      <c r="S26" s="374"/>
      <c r="T26" s="375"/>
      <c r="U26" s="374"/>
      <c r="V26" s="376"/>
      <c r="W26" s="374"/>
      <c r="X26" s="376"/>
    </row>
    <row r="27">
      <c r="A27" s="378">
        <f>IFERROR(__xludf.DUMMYFUNCTION("""COMPUTED_VALUE"""),45906.0)</f>
        <v>45906</v>
      </c>
      <c r="B27" s="385" t="str">
        <f>IFERROR(__xludf.DUMMYFUNCTION("""COMPUTED_VALUE"""),"Uff aperti 9:00-17:30")</f>
        <v>Uff aperti 9:00-17:30</v>
      </c>
      <c r="C27" s="379">
        <f>IFERROR(__xludf.DUMMYFUNCTION("""COMPUTED_VALUE"""),45936.0)</f>
        <v>45936</v>
      </c>
      <c r="D27" s="367"/>
      <c r="E27" s="379">
        <f>IFERROR(__xludf.DUMMYFUNCTION("""COMPUTED_VALUE"""),45967.0)</f>
        <v>45967</v>
      </c>
      <c r="F27" s="367"/>
      <c r="G27" s="379">
        <f>IFERROR(__xludf.DUMMYFUNCTION("""COMPUTED_VALUE"""),45997.0)</f>
        <v>45997</v>
      </c>
      <c r="H27" s="367"/>
      <c r="I27" s="381">
        <f>IFERROR(__xludf.DUMMYFUNCTION("""COMPUTED_VALUE"""),46028.0)</f>
        <v>46028</v>
      </c>
      <c r="J27" s="372" t="str">
        <f>IFERROR(__xludf.DUMMYFUNCTION("""COMPUTED_VALUE"""),"Festa Epifania")</f>
        <v>Festa Epifania</v>
      </c>
      <c r="K27" s="382">
        <f>IFERROR(__xludf.DUMMYFUNCTION("""COMPUTED_VALUE"""),46059.0)</f>
        <v>46059</v>
      </c>
      <c r="L27" s="367"/>
      <c r="M27" s="382">
        <f>IFERROR(__xludf.DUMMYFUNCTION("""COMPUTED_VALUE"""),46087.0)</f>
        <v>46087</v>
      </c>
      <c r="N27" s="370"/>
      <c r="O27" s="382">
        <f>IFERROR(__xludf.DUMMYFUNCTION("""COMPUTED_VALUE"""),46118.0)</f>
        <v>46118</v>
      </c>
      <c r="P27" s="373" t="str">
        <f>IFERROR(__xludf.DUMMYFUNCTION("""COMPUTED_VALUE"""),"Festa Pasquetta")</f>
        <v>Festa Pasquetta</v>
      </c>
      <c r="Q27" s="382">
        <f>IFERROR(__xludf.DUMMYFUNCTION("""COMPUTED_VALUE"""),46148.0)</f>
        <v>46148</v>
      </c>
      <c r="R27" s="370"/>
      <c r="S27" s="382">
        <f>IFERROR(__xludf.DUMMYFUNCTION("""COMPUTED_VALUE"""),46179.0)</f>
        <v>46179</v>
      </c>
      <c r="T27" s="372" t="str">
        <f>IFERROR(__xludf.DUMMYFUNCTION("""COMPUTED_VALUE"""),"No corsi bambini")</f>
        <v>No corsi bambini</v>
      </c>
      <c r="U27" s="382">
        <f>IFERROR(__xludf.DUMMYFUNCTION("""COMPUTED_VALUE"""),46209.0)</f>
        <v>46209</v>
      </c>
      <c r="V27" s="370"/>
      <c r="W27" s="382">
        <f>IFERROR(__xludf.DUMMYFUNCTION("""COMPUTED_VALUE"""),46240.0)</f>
        <v>46240</v>
      </c>
      <c r="X27" s="370" t="str">
        <f>IFERROR(__xludf.DUMMYFUNCTION("""COMPUTED_VALUE"""),"Chiuso Ferie")</f>
        <v>Chiuso Ferie</v>
      </c>
    </row>
    <row r="28">
      <c r="B28" s="386" t="str">
        <f>IFERROR(__xludf.DUMMYFUNCTION("""COMPUTED_VALUE"""),"EVENTO ESTERNO Ondance Openclass K-Pop • 11:45 • 12:45")</f>
        <v>EVENTO ESTERNO Ondance Openclass K-Pop • 11:45 • 12:45</v>
      </c>
      <c r="D28" s="367"/>
      <c r="F28" s="367"/>
      <c r="H28" s="367"/>
      <c r="J28" s="367" t="str">
        <f>IFERROR(__xludf.DUMMYFUNCTION("""COMPUTED_VALUE"""),"Chiuso")</f>
        <v>Chiuso</v>
      </c>
      <c r="L28" s="367"/>
      <c r="N28" s="370"/>
      <c r="P28" s="373"/>
      <c r="R28" s="370"/>
      <c r="T28" s="367" t="str">
        <f>IFERROR(__xludf.DUMMYFUNCTION("""COMPUTED_VALUE"""),"Festa scuola Leonardo da vinci • 18:00 • 19:30")</f>
        <v>Festa scuola Leonardo da vinci • 18:00 • 19:30</v>
      </c>
      <c r="V28" s="370"/>
      <c r="X28" s="370"/>
    </row>
    <row r="29">
      <c r="B29" s="367"/>
      <c r="D29" s="367"/>
      <c r="F29" s="367"/>
      <c r="H29" s="367"/>
      <c r="J29" s="367"/>
      <c r="L29" s="367"/>
      <c r="N29" s="370"/>
      <c r="P29" s="373"/>
      <c r="R29" s="370"/>
      <c r="T29" s="367"/>
      <c r="V29" s="370"/>
      <c r="X29" s="370"/>
    </row>
    <row r="30">
      <c r="B30" s="367"/>
      <c r="D30" s="367"/>
      <c r="F30" s="367"/>
      <c r="H30" s="367"/>
      <c r="J30" s="367"/>
      <c r="L30" s="367"/>
      <c r="N30" s="370"/>
      <c r="P30" s="373"/>
      <c r="R30" s="370"/>
      <c r="T30" s="367"/>
      <c r="V30" s="370"/>
      <c r="X30" s="370"/>
    </row>
    <row r="31">
      <c r="A31" s="374"/>
      <c r="B31" s="375"/>
      <c r="C31" s="374"/>
      <c r="D31" s="375"/>
      <c r="E31" s="374"/>
      <c r="F31" s="375"/>
      <c r="G31" s="374"/>
      <c r="H31" s="375"/>
      <c r="I31" s="374"/>
      <c r="J31" s="375"/>
      <c r="K31" s="374"/>
      <c r="L31" s="375"/>
      <c r="M31" s="374"/>
      <c r="N31" s="376"/>
      <c r="O31" s="374"/>
      <c r="P31" s="387"/>
      <c r="Q31" s="374"/>
      <c r="R31" s="376"/>
      <c r="S31" s="374"/>
      <c r="T31" s="375"/>
      <c r="U31" s="374"/>
      <c r="V31" s="376"/>
      <c r="W31" s="374"/>
      <c r="X31" s="376"/>
    </row>
    <row r="32">
      <c r="A32" s="378">
        <f>IFERROR(__xludf.DUMMYFUNCTION("""COMPUTED_VALUE"""),45907.0)</f>
        <v>45907</v>
      </c>
      <c r="B32" s="380" t="str">
        <f>IFERROR(__xludf.DUMMYFUNCTION("""COMPUTED_VALUE"""),"Chiuso")</f>
        <v>Chiuso</v>
      </c>
      <c r="C32" s="379">
        <f>IFERROR(__xludf.DUMMYFUNCTION("""COMPUTED_VALUE"""),45937.0)</f>
        <v>45937</v>
      </c>
      <c r="D32" s="367"/>
      <c r="E32" s="379">
        <f>IFERROR(__xludf.DUMMYFUNCTION("""COMPUTED_VALUE"""),45968.0)</f>
        <v>45968</v>
      </c>
      <c r="F32" s="367"/>
      <c r="G32" s="379">
        <f>IFERROR(__xludf.DUMMYFUNCTION("""COMPUTED_VALUE"""),45998.0)</f>
        <v>45998</v>
      </c>
      <c r="H32" s="372" t="str">
        <f>IFERROR(__xludf.DUMMYFUNCTION("""COMPUTED_VALUE"""),"Festa Sant'Ambrogio")</f>
        <v>Festa Sant'Ambrogio</v>
      </c>
      <c r="I32" s="381">
        <f>IFERROR(__xludf.DUMMYFUNCTION("""COMPUTED_VALUE"""),46029.0)</f>
        <v>46029</v>
      </c>
      <c r="J32" s="367"/>
      <c r="K32" s="382">
        <f>IFERROR(__xludf.DUMMYFUNCTION("""COMPUTED_VALUE"""),46060.0)</f>
        <v>46060</v>
      </c>
      <c r="L32" s="367"/>
      <c r="M32" s="382">
        <f>IFERROR(__xludf.DUMMYFUNCTION("""COMPUTED_VALUE"""),46088.0)</f>
        <v>46088</v>
      </c>
      <c r="N32" s="369" t="str">
        <f>IFERROR(__xludf.DUMMYFUNCTION("""COMPUTED_VALUE"""),"GARA Danzando sotto le stelle (Silvia Grande)")</f>
        <v>GARA Danzando sotto le stelle (Silvia Grande)</v>
      </c>
      <c r="O32" s="382">
        <f>IFERROR(__xludf.DUMMYFUNCTION("""COMPUTED_VALUE"""),46119.0)</f>
        <v>46119</v>
      </c>
      <c r="P32" s="390" t="str">
        <f>IFERROR(__xludf.DUMMYFUNCTION("""COMPUTED_VALUE"""),"GARA Stelle della danza (Claudia Borri e Anna Franzini)")</f>
        <v>GARA Stelle della danza (Claudia Borri e Anna Franzini)</v>
      </c>
      <c r="Q32" s="382">
        <f>IFERROR(__xludf.DUMMYFUNCTION("""COMPUTED_VALUE"""),46149.0)</f>
        <v>46149</v>
      </c>
      <c r="R32" s="370"/>
      <c r="S32" s="382">
        <f>IFERROR(__xludf.DUMMYFUNCTION("""COMPUTED_VALUE"""),46180.0)</f>
        <v>46180</v>
      </c>
      <c r="T32" s="372" t="str">
        <f>IFERROR(__xludf.DUMMYFUNCTION("""COMPUTED_VALUE"""),"Aperti")</f>
        <v>Aperti</v>
      </c>
      <c r="U32" s="382">
        <f>IFERROR(__xludf.DUMMYFUNCTION("""COMPUTED_VALUE"""),46210.0)</f>
        <v>46210</v>
      </c>
      <c r="V32" s="370"/>
      <c r="W32" s="382">
        <f>IFERROR(__xludf.DUMMYFUNCTION("""COMPUTED_VALUE"""),46241.0)</f>
        <v>46241</v>
      </c>
      <c r="X32" s="370" t="str">
        <f>IFERROR(__xludf.DUMMYFUNCTION("""COMPUTED_VALUE"""),"Chiuso Ferie")</f>
        <v>Chiuso Ferie</v>
      </c>
    </row>
    <row r="33">
      <c r="B33" s="385" t="str">
        <f>IFERROR(__xludf.DUMMYFUNCTION("""COMPUTED_VALUE"""),"EVENTO ESTERNO Ondance Balloinbianco • 09:40 • 10:40")</f>
        <v>EVENTO ESTERNO Ondance Balloinbianco • 09:40 • 10:40</v>
      </c>
      <c r="D33" s="367"/>
      <c r="F33" s="367"/>
      <c r="H33" s="380" t="str">
        <f>IFERROR(__xludf.DUMMYFUNCTION("""COMPUTED_VALUE"""),"Chiuso")</f>
        <v>Chiuso</v>
      </c>
      <c r="J33" s="367"/>
      <c r="L33" s="367"/>
      <c r="N33" s="370"/>
      <c r="P33" s="373"/>
      <c r="R33" s="370"/>
      <c r="T33" s="367"/>
      <c r="V33" s="370"/>
      <c r="X33" s="370"/>
    </row>
    <row r="34">
      <c r="B34" s="385" t="str">
        <f>IFERROR(__xludf.DUMMYFUNCTION("""COMPUTED_VALUE"""),"EVENTO ESTERNO Ondance Openclass Samba • 13:15 • 14:15")</f>
        <v>EVENTO ESTERNO Ondance Openclass Samba • 13:15 • 14:15</v>
      </c>
      <c r="D34" s="367"/>
      <c r="F34" s="367"/>
      <c r="H34" s="372"/>
      <c r="J34" s="367"/>
      <c r="L34" s="367"/>
      <c r="N34" s="370"/>
      <c r="P34" s="373"/>
      <c r="R34" s="370"/>
      <c r="T34" s="367"/>
      <c r="V34" s="370"/>
      <c r="X34" s="370"/>
    </row>
    <row r="35">
      <c r="B35" s="385" t="str">
        <f>IFERROR(__xludf.DUMMYFUNCTION("""COMPUTED_VALUE"""),"EVENTO ESTERNO Ondance Ballorosso • 17:00 • 18:00")</f>
        <v>EVENTO ESTERNO Ondance Ballorosso • 17:00 • 18:00</v>
      </c>
      <c r="D35" s="367"/>
      <c r="F35" s="367"/>
      <c r="H35" s="367"/>
      <c r="J35" s="367"/>
      <c r="L35" s="367"/>
      <c r="N35" s="370"/>
      <c r="P35" s="373"/>
      <c r="R35" s="370"/>
      <c r="T35" s="367"/>
      <c r="V35" s="370"/>
      <c r="X35" s="370"/>
    </row>
    <row r="36">
      <c r="A36" s="374"/>
      <c r="B36" s="391"/>
      <c r="C36" s="374"/>
      <c r="D36" s="375"/>
      <c r="E36" s="374"/>
      <c r="F36" s="375"/>
      <c r="G36" s="374"/>
      <c r="H36" s="375"/>
      <c r="I36" s="374"/>
      <c r="J36" s="375"/>
      <c r="K36" s="374"/>
      <c r="L36" s="375"/>
      <c r="M36" s="374"/>
      <c r="N36" s="376"/>
      <c r="O36" s="374"/>
      <c r="P36" s="387"/>
      <c r="Q36" s="374"/>
      <c r="R36" s="376"/>
      <c r="S36" s="374"/>
      <c r="T36" s="375"/>
      <c r="U36" s="374"/>
      <c r="V36" s="376"/>
      <c r="W36" s="374"/>
      <c r="X36" s="376"/>
    </row>
    <row r="37">
      <c r="A37" s="378">
        <f>IFERROR(__xludf.DUMMYFUNCTION("""COMPUTED_VALUE"""),45908.0)</f>
        <v>45908</v>
      </c>
      <c r="B37" s="392" t="str">
        <f>IFERROR(__xludf.DUMMYFUNCTION("""COMPUTED_VALUE"""),"Prova Danza")</f>
        <v>Prova Danza</v>
      </c>
      <c r="C37" s="379">
        <f>IFERROR(__xludf.DUMMYFUNCTION("""COMPUTED_VALUE"""),45938.0)</f>
        <v>45938</v>
      </c>
      <c r="D37" s="367"/>
      <c r="E37" s="379">
        <f>IFERROR(__xludf.DUMMYFUNCTION("""COMPUTED_VALUE"""),45969.0)</f>
        <v>45969</v>
      </c>
      <c r="F37" s="367"/>
      <c r="G37" s="379">
        <f>IFERROR(__xludf.DUMMYFUNCTION("""COMPUTED_VALUE"""),45999.0)</f>
        <v>45999</v>
      </c>
      <c r="H37" s="372" t="str">
        <f>IFERROR(__xludf.DUMMYFUNCTION("""COMPUTED_VALUE"""),"Festa Immacolata")</f>
        <v>Festa Immacolata</v>
      </c>
      <c r="I37" s="381">
        <f>IFERROR(__xludf.DUMMYFUNCTION("""COMPUTED_VALUE"""),46030.0)</f>
        <v>46030</v>
      </c>
      <c r="J37" s="367"/>
      <c r="K37" s="382">
        <f>IFERROR(__xludf.DUMMYFUNCTION("""COMPUTED_VALUE"""),46061.0)</f>
        <v>46061</v>
      </c>
      <c r="L37" s="372" t="str">
        <f>IFERROR(__xludf.DUMMYFUNCTION("""COMPUTED_VALUE"""),"Aperti")</f>
        <v>Aperti</v>
      </c>
      <c r="M37" s="382">
        <f>IFERROR(__xludf.DUMMYFUNCTION("""COMPUTED_VALUE"""),46089.0)</f>
        <v>46089</v>
      </c>
      <c r="N37" s="373" t="str">
        <f>IFERROR(__xludf.DUMMYFUNCTION("""COMPUTED_VALUE"""),"Aperti")</f>
        <v>Aperti</v>
      </c>
      <c r="O37" s="382">
        <f>IFERROR(__xludf.DUMMYFUNCTION("""COMPUTED_VALUE"""),46120.0)</f>
        <v>46120</v>
      </c>
      <c r="P37" s="373"/>
      <c r="Q37" s="382">
        <f>IFERROR(__xludf.DUMMYFUNCTION("""COMPUTED_VALUE"""),46150.0)</f>
        <v>46150</v>
      </c>
      <c r="R37" s="370"/>
      <c r="S37" s="382">
        <f>IFERROR(__xludf.DUMMYFUNCTION("""COMPUTED_VALUE"""),46181.0)</f>
        <v>46181</v>
      </c>
      <c r="T37" s="372" t="str">
        <f>IFERROR(__xludf.DUMMYFUNCTION("""COMPUTED_VALUE"""),"No corsi bambini")</f>
        <v>No corsi bambini</v>
      </c>
      <c r="U37" s="382">
        <f>IFERROR(__xludf.DUMMYFUNCTION("""COMPUTED_VALUE"""),46211.0)</f>
        <v>46211</v>
      </c>
      <c r="V37" s="370"/>
      <c r="W37" s="382">
        <f>IFERROR(__xludf.DUMMYFUNCTION("""COMPUTED_VALUE"""),46242.0)</f>
        <v>46242</v>
      </c>
      <c r="X37" s="370" t="str">
        <f>IFERROR(__xludf.DUMMYFUNCTION("""COMPUTED_VALUE"""),"Chiuso Ferie")</f>
        <v>Chiuso Ferie</v>
      </c>
    </row>
    <row r="38">
      <c r="B38" s="392" t="str">
        <f>IFERROR(__xludf.DUMMYFUNCTION("""COMPUTED_VALUE"""),"Prova Fitness")</f>
        <v>Prova Fitness</v>
      </c>
      <c r="D38" s="367"/>
      <c r="F38" s="367"/>
      <c r="H38" s="380" t="str">
        <f>IFERROR(__xludf.DUMMYFUNCTION("""COMPUTED_VALUE"""),"Chiuso")</f>
        <v>Chiuso</v>
      </c>
      <c r="J38" s="367"/>
      <c r="L38" s="372"/>
      <c r="N38" s="371"/>
      <c r="P38" s="373"/>
      <c r="R38" s="370"/>
      <c r="T38" s="393" t="str">
        <f>IFERROR(__xludf.DUMMYFUNCTION("""COMPUTED_VALUE"""),"CAMPUS • 08/06/2026 • 26/06/2026")</f>
        <v>CAMPUS • 08/06/2026 • 26/06/2026</v>
      </c>
      <c r="V38" s="370"/>
      <c r="X38" s="370"/>
    </row>
    <row r="39">
      <c r="B39" s="372"/>
      <c r="D39" s="367"/>
      <c r="F39" s="367"/>
      <c r="H39" s="372"/>
      <c r="J39" s="367"/>
      <c r="L39" s="394"/>
      <c r="N39" s="370"/>
      <c r="P39" s="373"/>
      <c r="R39" s="370"/>
      <c r="T39" s="367"/>
      <c r="V39" s="370"/>
      <c r="X39" s="370"/>
    </row>
    <row r="40">
      <c r="B40" s="372"/>
      <c r="D40" s="367"/>
      <c r="F40" s="367"/>
      <c r="H40" s="367"/>
      <c r="J40" s="367"/>
      <c r="L40" s="367"/>
      <c r="N40" s="370"/>
      <c r="P40" s="373"/>
      <c r="R40" s="370"/>
      <c r="T40" s="367"/>
      <c r="V40" s="370"/>
      <c r="X40" s="370"/>
    </row>
    <row r="41">
      <c r="A41" s="374"/>
      <c r="B41" s="375"/>
      <c r="C41" s="374"/>
      <c r="D41" s="375"/>
      <c r="E41" s="374"/>
      <c r="F41" s="375"/>
      <c r="G41" s="374"/>
      <c r="H41" s="375"/>
      <c r="I41" s="374"/>
      <c r="J41" s="375"/>
      <c r="K41" s="374"/>
      <c r="L41" s="375"/>
      <c r="M41" s="374"/>
      <c r="N41" s="376"/>
      <c r="O41" s="374"/>
      <c r="P41" s="387"/>
      <c r="Q41" s="374"/>
      <c r="R41" s="376"/>
      <c r="S41" s="374"/>
      <c r="T41" s="375"/>
      <c r="U41" s="374"/>
      <c r="V41" s="376"/>
      <c r="W41" s="374"/>
      <c r="X41" s="376"/>
    </row>
    <row r="42">
      <c r="A42" s="378">
        <f>IFERROR(__xludf.DUMMYFUNCTION("""COMPUTED_VALUE"""),45909.0)</f>
        <v>45909</v>
      </c>
      <c r="B42" s="367"/>
      <c r="C42" s="379">
        <f>IFERROR(__xludf.DUMMYFUNCTION("""COMPUTED_VALUE"""),45939.0)</f>
        <v>45939</v>
      </c>
      <c r="D42" s="367"/>
      <c r="E42" s="379">
        <f>IFERROR(__xludf.DUMMYFUNCTION("""COMPUTED_VALUE"""),45970.0)</f>
        <v>45970</v>
      </c>
      <c r="F42" s="372" t="str">
        <f>IFERROR(__xludf.DUMMYFUNCTION("""COMPUTED_VALUE"""),"Afroheels e Gestulità con Consuelo dos Santos • 10:00 • 11:50 • STUDIO 12")</f>
        <v>Afroheels e Gestulità con Consuelo dos Santos • 10:00 • 11:50 • STUDIO 12</v>
      </c>
      <c r="G42" s="379">
        <f>IFERROR(__xludf.DUMMYFUNCTION("""COMPUTED_VALUE"""),46000.0)</f>
        <v>46000</v>
      </c>
      <c r="H42" s="367"/>
      <c r="I42" s="381">
        <f>IFERROR(__xludf.DUMMYFUNCTION("""COMPUTED_VALUE"""),46031.0)</f>
        <v>46031</v>
      </c>
      <c r="J42" s="367"/>
      <c r="K42" s="382">
        <f>IFERROR(__xludf.DUMMYFUNCTION("""COMPUTED_VALUE"""),46062.0)</f>
        <v>46062</v>
      </c>
      <c r="L42" s="395"/>
      <c r="M42" s="382">
        <f>IFERROR(__xludf.DUMMYFUNCTION("""COMPUTED_VALUE"""),46090.0)</f>
        <v>46090</v>
      </c>
      <c r="N42" s="373"/>
      <c r="O42" s="382">
        <f>IFERROR(__xludf.DUMMYFUNCTION("""COMPUTED_VALUE"""),46121.0)</f>
        <v>46121</v>
      </c>
      <c r="P42" s="373"/>
      <c r="Q42" s="382">
        <f>IFERROR(__xludf.DUMMYFUNCTION("""COMPUTED_VALUE"""),46151.0)</f>
        <v>46151</v>
      </c>
      <c r="R42" s="370"/>
      <c r="S42" s="382">
        <f>IFERROR(__xludf.DUMMYFUNCTION("""COMPUTED_VALUE"""),46182.0)</f>
        <v>46182</v>
      </c>
      <c r="T42" s="372" t="str">
        <f>IFERROR(__xludf.DUMMYFUNCTION("""COMPUTED_VALUE"""),"No corsi bambini")</f>
        <v>No corsi bambini</v>
      </c>
      <c r="U42" s="382">
        <f>IFERROR(__xludf.DUMMYFUNCTION("""COMPUTED_VALUE"""),46212.0)</f>
        <v>46212</v>
      </c>
      <c r="V42" s="370"/>
      <c r="W42" s="382">
        <f>IFERROR(__xludf.DUMMYFUNCTION("""COMPUTED_VALUE"""),46243.0)</f>
        <v>46243</v>
      </c>
      <c r="X42" s="370" t="str">
        <f>IFERROR(__xludf.DUMMYFUNCTION("""COMPUTED_VALUE"""),"Chiuso Ferie")</f>
        <v>Chiuso Ferie</v>
      </c>
    </row>
    <row r="43">
      <c r="B43" s="367"/>
      <c r="D43" s="367"/>
      <c r="F43" s="385" t="str">
        <f>IFERROR(__xludf.DUMMYFUNCTION("""COMPUTED_VALUE"""),"WS Kumo (urban) confermato • 14:30 • 16:30 • STUDIO 21 • 2h")</f>
        <v>WS Kumo (urban) confermato • 14:30 • 16:30 • STUDIO 21 • 2h</v>
      </c>
      <c r="H43" s="367"/>
      <c r="J43" s="367"/>
      <c r="L43" s="367"/>
      <c r="N43" s="370"/>
      <c r="P43" s="373"/>
      <c r="R43" s="370"/>
      <c r="T43" s="393" t="str">
        <f>IFERROR(__xludf.DUMMYFUNCTION("""COMPUTED_VALUE"""),"CAMPUS • 08/06/2026 • 26/06/2026")</f>
        <v>CAMPUS • 08/06/2026 • 26/06/2026</v>
      </c>
      <c r="V43" s="370"/>
      <c r="X43" s="370"/>
    </row>
    <row r="44">
      <c r="B44" s="367"/>
      <c r="D44" s="367"/>
      <c r="F44" s="385" t="str">
        <f>IFERROR(__xludf.DUMMYFUNCTION("""COMPUTED_VALUE"""),"WS Leli (Indian Fusion) confermato • 14:00 • 15:30 • STUDIO 24")</f>
        <v>WS Leli (Indian Fusion) confermato • 14:00 • 15:30 • STUDIO 24</v>
      </c>
      <c r="H44" s="367"/>
      <c r="J44" s="367"/>
      <c r="L44" s="367"/>
      <c r="N44" s="370"/>
      <c r="P44" s="373"/>
      <c r="R44" s="370"/>
      <c r="T44" s="367"/>
      <c r="V44" s="370"/>
      <c r="X44" s="370"/>
    </row>
    <row r="45">
      <c r="B45" s="367"/>
      <c r="D45" s="367"/>
      <c r="F45" s="396" t="str">
        <f>IFERROR(__xludf.DUMMYFUNCTION("""COMPUTED_VALUE"""),"Fitness con Dorian • 10:00 • 10:50 • STUDIO 11")</f>
        <v>Fitness con Dorian • 10:00 • 10:50 • STUDIO 11</v>
      </c>
      <c r="H45" s="367"/>
      <c r="J45" s="367"/>
      <c r="L45" s="367"/>
      <c r="N45" s="370"/>
      <c r="P45" s="373"/>
      <c r="R45" s="370"/>
      <c r="T45" s="367"/>
      <c r="V45" s="370"/>
      <c r="X45" s="370"/>
    </row>
    <row r="46">
      <c r="A46" s="374"/>
      <c r="B46" s="375"/>
      <c r="C46" s="374"/>
      <c r="D46" s="375"/>
      <c r="E46" s="374"/>
      <c r="F46" s="397" t="str">
        <f>IFERROR(__xludf.DUMMYFUNCTION("""COMPUTED_VALUE"""),"Fitness con Dorian • 11:00 • 11:50 • STUDIO 11")</f>
        <v>Fitness con Dorian • 11:00 • 11:50 • STUDIO 11</v>
      </c>
      <c r="G46" s="374"/>
      <c r="H46" s="375"/>
      <c r="I46" s="374"/>
      <c r="J46" s="375"/>
      <c r="K46" s="374"/>
      <c r="L46" s="375"/>
      <c r="M46" s="374"/>
      <c r="N46" s="376"/>
      <c r="O46" s="374"/>
      <c r="P46" s="387"/>
      <c r="Q46" s="374"/>
      <c r="R46" s="376"/>
      <c r="S46" s="374"/>
      <c r="T46" s="375"/>
      <c r="U46" s="374"/>
      <c r="V46" s="376"/>
      <c r="W46" s="374"/>
      <c r="X46" s="376"/>
    </row>
    <row r="47">
      <c r="A47" s="378">
        <f>IFERROR(__xludf.DUMMYFUNCTION("""COMPUTED_VALUE"""),45910.0)</f>
        <v>45910</v>
      </c>
      <c r="B47" s="367"/>
      <c r="C47" s="379">
        <f>IFERROR(__xludf.DUMMYFUNCTION("""COMPUTED_VALUE"""),45940.0)</f>
        <v>45940</v>
      </c>
      <c r="D47" s="367"/>
      <c r="E47" s="379">
        <f>IFERROR(__xludf.DUMMYFUNCTION("""COMPUTED_VALUE"""),45971.0)</f>
        <v>45971</v>
      </c>
      <c r="F47" s="367"/>
      <c r="G47" s="379">
        <f>IFERROR(__xludf.DUMMYFUNCTION("""COMPUTED_VALUE"""),46001.0)</f>
        <v>46001</v>
      </c>
      <c r="H47" s="367"/>
      <c r="I47" s="381">
        <f>IFERROR(__xludf.DUMMYFUNCTION("""COMPUTED_VALUE"""),46032.0)</f>
        <v>46032</v>
      </c>
      <c r="J47" s="367"/>
      <c r="K47" s="382">
        <f>IFERROR(__xludf.DUMMYFUNCTION("""COMPUTED_VALUE"""),46063.0)</f>
        <v>46063</v>
      </c>
      <c r="L47" s="367"/>
      <c r="M47" s="382">
        <f>IFERROR(__xludf.DUMMYFUNCTION("""COMPUTED_VALUE"""),46091.0)</f>
        <v>46091</v>
      </c>
      <c r="N47" s="371"/>
      <c r="O47" s="382">
        <f>IFERROR(__xludf.DUMMYFUNCTION("""COMPUTED_VALUE"""),46122.0)</f>
        <v>46122</v>
      </c>
      <c r="P47" s="373"/>
      <c r="Q47" s="382">
        <f>IFERROR(__xludf.DUMMYFUNCTION("""COMPUTED_VALUE"""),46152.0)</f>
        <v>46152</v>
      </c>
      <c r="R47" s="373" t="str">
        <f>IFERROR(__xludf.DUMMYFUNCTION("""COMPUTED_VALUE"""),"Aperti")</f>
        <v>Aperti</v>
      </c>
      <c r="S47" s="382">
        <f>IFERROR(__xludf.DUMMYFUNCTION("""COMPUTED_VALUE"""),46183.0)</f>
        <v>46183</v>
      </c>
      <c r="T47" s="372" t="str">
        <f>IFERROR(__xludf.DUMMYFUNCTION("""COMPUTED_VALUE"""),"No corsi bambini")</f>
        <v>No corsi bambini</v>
      </c>
      <c r="U47" s="382">
        <f>IFERROR(__xludf.DUMMYFUNCTION("""COMPUTED_VALUE"""),46213.0)</f>
        <v>46213</v>
      </c>
      <c r="V47" s="370"/>
      <c r="W47" s="382">
        <f>IFERROR(__xludf.DUMMYFUNCTION("""COMPUTED_VALUE"""),46244.0)</f>
        <v>46244</v>
      </c>
      <c r="X47" s="370" t="str">
        <f>IFERROR(__xludf.DUMMYFUNCTION("""COMPUTED_VALUE"""),"Chiuso Ferie")</f>
        <v>Chiuso Ferie</v>
      </c>
    </row>
    <row r="48">
      <c r="B48" s="367"/>
      <c r="D48" s="367"/>
      <c r="F48" s="367"/>
      <c r="H48" s="367"/>
      <c r="J48" s="367"/>
      <c r="L48" s="367"/>
      <c r="N48" s="371"/>
      <c r="P48" s="373"/>
      <c r="R48" s="370"/>
      <c r="T48" s="393" t="str">
        <f>IFERROR(__xludf.DUMMYFUNCTION("""COMPUTED_VALUE"""),"CAMPUS • 08/06/2026 • 26/06/2026")</f>
        <v>CAMPUS • 08/06/2026 • 26/06/2026</v>
      </c>
      <c r="V48" s="370"/>
      <c r="X48" s="370"/>
    </row>
    <row r="49">
      <c r="B49" s="367"/>
      <c r="D49" s="367"/>
      <c r="F49" s="367"/>
      <c r="H49" s="367"/>
      <c r="J49" s="367"/>
      <c r="L49" s="367"/>
      <c r="N49" s="371"/>
      <c r="P49" s="373"/>
      <c r="R49" s="370"/>
      <c r="T49" s="372"/>
      <c r="V49" s="370"/>
      <c r="X49" s="370"/>
    </row>
    <row r="50">
      <c r="B50" s="367"/>
      <c r="D50" s="367"/>
      <c r="F50" s="367"/>
      <c r="H50" s="367"/>
      <c r="J50" s="367"/>
      <c r="L50" s="367"/>
      <c r="N50" s="371"/>
      <c r="P50" s="373"/>
      <c r="R50" s="370"/>
      <c r="T50" s="372"/>
      <c r="V50" s="370"/>
      <c r="X50" s="370"/>
    </row>
    <row r="51">
      <c r="A51" s="374"/>
      <c r="B51" s="375"/>
      <c r="C51" s="374"/>
      <c r="D51" s="375"/>
      <c r="E51" s="374"/>
      <c r="F51" s="375"/>
      <c r="G51" s="374"/>
      <c r="H51" s="375"/>
      <c r="I51" s="374"/>
      <c r="J51" s="375"/>
      <c r="K51" s="374"/>
      <c r="L51" s="375"/>
      <c r="M51" s="374"/>
      <c r="N51" s="389"/>
      <c r="O51" s="374"/>
      <c r="P51" s="387"/>
      <c r="Q51" s="374"/>
      <c r="R51" s="376"/>
      <c r="S51" s="374"/>
      <c r="T51" s="384"/>
      <c r="U51" s="374"/>
      <c r="V51" s="376"/>
      <c r="W51" s="374"/>
      <c r="X51" s="376"/>
    </row>
    <row r="52">
      <c r="A52" s="378">
        <f>IFERROR(__xludf.DUMMYFUNCTION("""COMPUTED_VALUE"""),45911.0)</f>
        <v>45911</v>
      </c>
      <c r="B52" s="367"/>
      <c r="C52" s="379">
        <f>IFERROR(__xludf.DUMMYFUNCTION("""COMPUTED_VALUE"""),45941.0)</f>
        <v>45941</v>
      </c>
      <c r="D52" s="367"/>
      <c r="E52" s="379">
        <f>IFERROR(__xludf.DUMMYFUNCTION("""COMPUTED_VALUE"""),45972.0)</f>
        <v>45972</v>
      </c>
      <c r="F52" s="367"/>
      <c r="G52" s="379">
        <f>IFERROR(__xludf.DUMMYFUNCTION("""COMPUTED_VALUE"""),46002.0)</f>
        <v>46002</v>
      </c>
      <c r="H52" s="367"/>
      <c r="I52" s="381">
        <f>IFERROR(__xludf.DUMMYFUNCTION("""COMPUTED_VALUE"""),46033.0)</f>
        <v>46033</v>
      </c>
      <c r="J52" s="372" t="str">
        <f>IFERROR(__xludf.DUMMYFUNCTION("""COMPUTED_VALUE"""),"Aperti")</f>
        <v>Aperti</v>
      </c>
      <c r="K52" s="382">
        <f>IFERROR(__xludf.DUMMYFUNCTION("""COMPUTED_VALUE"""),46064.0)</f>
        <v>46064</v>
      </c>
      <c r="L52" s="398"/>
      <c r="M52" s="382">
        <f>IFERROR(__xludf.DUMMYFUNCTION("""COMPUTED_VALUE"""),46092.0)</f>
        <v>46092</v>
      </c>
      <c r="N52" s="370"/>
      <c r="O52" s="382">
        <f>IFERROR(__xludf.DUMMYFUNCTION("""COMPUTED_VALUE"""),46123.0)</f>
        <v>46123</v>
      </c>
      <c r="P52" s="370"/>
      <c r="Q52" s="382">
        <f>IFERROR(__xludf.DUMMYFUNCTION("""COMPUTED_VALUE"""),46153.0)</f>
        <v>46153</v>
      </c>
      <c r="R52" s="373"/>
      <c r="S52" s="382">
        <f>IFERROR(__xludf.DUMMYFUNCTION("""COMPUTED_VALUE"""),46184.0)</f>
        <v>46184</v>
      </c>
      <c r="T52" s="372" t="str">
        <f>IFERROR(__xludf.DUMMYFUNCTION("""COMPUTED_VALUE"""),"No corsi bambini")</f>
        <v>No corsi bambini</v>
      </c>
      <c r="U52" s="382">
        <f>IFERROR(__xludf.DUMMYFUNCTION("""COMPUTED_VALUE"""),46214.0)</f>
        <v>46214</v>
      </c>
      <c r="V52" s="370"/>
      <c r="W52" s="382">
        <f>IFERROR(__xludf.DUMMYFUNCTION("""COMPUTED_VALUE"""),46245.0)</f>
        <v>46245</v>
      </c>
      <c r="X52" s="370" t="str">
        <f>IFERROR(__xludf.DUMMYFUNCTION("""COMPUTED_VALUE"""),"Chiuso Ferie")</f>
        <v>Chiuso Ferie</v>
      </c>
    </row>
    <row r="53">
      <c r="B53" s="367"/>
      <c r="D53" s="367"/>
      <c r="F53" s="367"/>
      <c r="H53" s="367"/>
      <c r="J53" s="372"/>
      <c r="L53" s="398"/>
      <c r="N53" s="370"/>
      <c r="P53" s="370"/>
      <c r="R53" s="373"/>
      <c r="T53" s="393" t="str">
        <f>IFERROR(__xludf.DUMMYFUNCTION("""COMPUTED_VALUE"""),"CAMPUS • 08/06/2026 • 26/06/2026")</f>
        <v>CAMPUS • 08/06/2026 • 26/06/2026</v>
      </c>
      <c r="V53" s="370"/>
      <c r="X53" s="370"/>
    </row>
    <row r="54">
      <c r="B54" s="367"/>
      <c r="D54" s="367"/>
      <c r="F54" s="367"/>
      <c r="H54" s="367"/>
      <c r="J54" s="372"/>
      <c r="L54" s="398"/>
      <c r="N54" s="370"/>
      <c r="P54" s="370"/>
      <c r="R54" s="370"/>
      <c r="T54" s="372"/>
      <c r="V54" s="370"/>
      <c r="X54" s="370"/>
    </row>
    <row r="55">
      <c r="B55" s="367"/>
      <c r="D55" s="367"/>
      <c r="F55" s="367"/>
      <c r="H55" s="367"/>
      <c r="J55" s="367"/>
      <c r="L55" s="398"/>
      <c r="N55" s="370"/>
      <c r="P55" s="370"/>
      <c r="R55" s="370"/>
      <c r="T55" s="372"/>
      <c r="V55" s="370"/>
      <c r="X55" s="370"/>
    </row>
    <row r="56">
      <c r="A56" s="374"/>
      <c r="B56" s="375"/>
      <c r="C56" s="374"/>
      <c r="D56" s="375"/>
      <c r="E56" s="374"/>
      <c r="F56" s="375"/>
      <c r="G56" s="374"/>
      <c r="H56" s="375"/>
      <c r="I56" s="374"/>
      <c r="J56" s="375"/>
      <c r="K56" s="374"/>
      <c r="L56" s="399"/>
      <c r="M56" s="374"/>
      <c r="N56" s="376"/>
      <c r="O56" s="374"/>
      <c r="P56" s="376"/>
      <c r="Q56" s="374"/>
      <c r="R56" s="376"/>
      <c r="S56" s="374"/>
      <c r="T56" s="384"/>
      <c r="U56" s="374"/>
      <c r="V56" s="376"/>
      <c r="W56" s="374"/>
      <c r="X56" s="376"/>
    </row>
    <row r="57">
      <c r="A57" s="378">
        <f>IFERROR(__xludf.DUMMYFUNCTION("""COMPUTED_VALUE"""),45912.0)</f>
        <v>45912</v>
      </c>
      <c r="B57" s="367"/>
      <c r="C57" s="379">
        <f>IFERROR(__xludf.DUMMYFUNCTION("""COMPUTED_VALUE"""),45942.0)</f>
        <v>45942</v>
      </c>
      <c r="D57" s="372"/>
      <c r="E57" s="379">
        <f>IFERROR(__xludf.DUMMYFUNCTION("""COMPUTED_VALUE"""),45973.0)</f>
        <v>45973</v>
      </c>
      <c r="F57" s="367"/>
      <c r="G57" s="379">
        <f>IFERROR(__xludf.DUMMYFUNCTION("""COMPUTED_VALUE"""),46003.0)</f>
        <v>46003</v>
      </c>
      <c r="H57" s="367"/>
      <c r="I57" s="381">
        <f>IFERROR(__xludf.DUMMYFUNCTION("""COMPUTED_VALUE"""),46034.0)</f>
        <v>46034</v>
      </c>
      <c r="J57" s="367"/>
      <c r="K57" s="382">
        <f>IFERROR(__xludf.DUMMYFUNCTION("""COMPUTED_VALUE"""),46065.0)</f>
        <v>46065</v>
      </c>
      <c r="L57" s="367"/>
      <c r="M57" s="382">
        <f>IFERROR(__xludf.DUMMYFUNCTION("""COMPUTED_VALUE"""),46093.0)</f>
        <v>46093</v>
      </c>
      <c r="N57" s="370"/>
      <c r="O57" s="382">
        <f>IFERROR(__xludf.DUMMYFUNCTION("""COMPUTED_VALUE"""),46124.0)</f>
        <v>46124</v>
      </c>
      <c r="P57" s="373" t="str">
        <f>IFERROR(__xludf.DUMMYFUNCTION("""COMPUTED_VALUE"""),"Aperti")</f>
        <v>Aperti</v>
      </c>
      <c r="Q57" s="382">
        <f>IFERROR(__xludf.DUMMYFUNCTION("""COMPUTED_VALUE"""),46154.0)</f>
        <v>46154</v>
      </c>
      <c r="R57" s="370"/>
      <c r="S57" s="382">
        <f>IFERROR(__xludf.DUMMYFUNCTION("""COMPUTED_VALUE"""),46185.0)</f>
        <v>46185</v>
      </c>
      <c r="T57" s="372" t="str">
        <f>IFERROR(__xludf.DUMMYFUNCTION("""COMPUTED_VALUE"""),"No corsi bambini")</f>
        <v>No corsi bambini</v>
      </c>
      <c r="U57" s="382">
        <f>IFERROR(__xludf.DUMMYFUNCTION("""COMPUTED_VALUE"""),46215.0)</f>
        <v>46215</v>
      </c>
      <c r="V57" s="370"/>
      <c r="W57" s="382">
        <f>IFERROR(__xludf.DUMMYFUNCTION("""COMPUTED_VALUE"""),46246.0)</f>
        <v>46246</v>
      </c>
      <c r="X57" s="370" t="str">
        <f>IFERROR(__xludf.DUMMYFUNCTION("""COMPUTED_VALUE"""),"Chiuso Ferie")</f>
        <v>Chiuso Ferie</v>
      </c>
    </row>
    <row r="58">
      <c r="B58" s="367"/>
      <c r="D58" s="367"/>
      <c r="F58" s="367"/>
      <c r="H58" s="367"/>
      <c r="J58" s="367"/>
      <c r="L58" s="367"/>
      <c r="N58" s="370"/>
      <c r="P58" s="370"/>
      <c r="R58" s="370"/>
      <c r="T58" s="393" t="str">
        <f>IFERROR(__xludf.DUMMYFUNCTION("""COMPUTED_VALUE"""),"CAMPUS • 08/06/2026 • 26/06/2026")</f>
        <v>CAMPUS • 08/06/2026 • 26/06/2026</v>
      </c>
      <c r="V58" s="370"/>
      <c r="X58" s="370"/>
    </row>
    <row r="59">
      <c r="B59" s="367"/>
      <c r="D59" s="367"/>
      <c r="F59" s="367"/>
      <c r="H59" s="367"/>
      <c r="J59" s="367"/>
      <c r="L59" s="367"/>
      <c r="N59" s="370"/>
      <c r="P59" s="370"/>
      <c r="R59" s="370"/>
      <c r="T59" s="367"/>
      <c r="V59" s="370"/>
      <c r="X59" s="370"/>
    </row>
    <row r="60">
      <c r="B60" s="367"/>
      <c r="D60" s="367"/>
      <c r="F60" s="367"/>
      <c r="H60" s="367"/>
      <c r="J60" s="367"/>
      <c r="L60" s="367"/>
      <c r="N60" s="370"/>
      <c r="P60" s="370"/>
      <c r="R60" s="370"/>
      <c r="T60" s="367"/>
      <c r="V60" s="370"/>
      <c r="X60" s="370"/>
    </row>
    <row r="61">
      <c r="A61" s="374"/>
      <c r="B61" s="375"/>
      <c r="C61" s="374"/>
      <c r="D61" s="375"/>
      <c r="E61" s="374"/>
      <c r="F61" s="375"/>
      <c r="G61" s="374"/>
      <c r="H61" s="375"/>
      <c r="I61" s="374"/>
      <c r="J61" s="375"/>
      <c r="K61" s="374"/>
      <c r="L61" s="375"/>
      <c r="M61" s="374"/>
      <c r="N61" s="376"/>
      <c r="O61" s="374"/>
      <c r="P61" s="376"/>
      <c r="Q61" s="374"/>
      <c r="R61" s="376"/>
      <c r="S61" s="374"/>
      <c r="T61" s="375"/>
      <c r="U61" s="374"/>
      <c r="V61" s="376"/>
      <c r="W61" s="374"/>
      <c r="X61" s="376"/>
    </row>
    <row r="62">
      <c r="A62" s="378">
        <f>IFERROR(__xludf.DUMMYFUNCTION("""COMPUTED_VALUE"""),45913.0)</f>
        <v>45913</v>
      </c>
      <c r="B62" s="367"/>
      <c r="C62" s="379">
        <f>IFERROR(__xludf.DUMMYFUNCTION("""COMPUTED_VALUE"""),45943.0)</f>
        <v>45943</v>
      </c>
      <c r="D62" s="367"/>
      <c r="E62" s="379">
        <f>IFERROR(__xludf.DUMMYFUNCTION("""COMPUTED_VALUE"""),45974.0)</f>
        <v>45974</v>
      </c>
      <c r="F62" s="367"/>
      <c r="G62" s="379">
        <f>IFERROR(__xludf.DUMMYFUNCTION("""COMPUTED_VALUE"""),46004.0)</f>
        <v>46004</v>
      </c>
      <c r="H62" s="367"/>
      <c r="I62" s="381">
        <f>IFERROR(__xludf.DUMMYFUNCTION("""COMPUTED_VALUE"""),46035.0)</f>
        <v>46035</v>
      </c>
      <c r="J62" s="367"/>
      <c r="K62" s="382">
        <f>IFERROR(__xludf.DUMMYFUNCTION("""COMPUTED_VALUE"""),46066.0)</f>
        <v>46066</v>
      </c>
      <c r="L62" s="367"/>
      <c r="M62" s="382">
        <f>IFERROR(__xludf.DUMMYFUNCTION("""COMPUTED_VALUE"""),46094.0)</f>
        <v>46094</v>
      </c>
      <c r="N62" s="370"/>
      <c r="O62" s="382">
        <f>IFERROR(__xludf.DUMMYFUNCTION("""COMPUTED_VALUE"""),46125.0)</f>
        <v>46125</v>
      </c>
      <c r="P62" s="370"/>
      <c r="Q62" s="382">
        <f>IFERROR(__xludf.DUMMYFUNCTION("""COMPUTED_VALUE"""),46155.0)</f>
        <v>46155</v>
      </c>
      <c r="R62" s="370"/>
      <c r="S62" s="382">
        <f>IFERROR(__xludf.DUMMYFUNCTION("""COMPUTED_VALUE"""),46186.0)</f>
        <v>46186</v>
      </c>
      <c r="T62" s="367"/>
      <c r="U62" s="382">
        <f>IFERROR(__xludf.DUMMYFUNCTION("""COMPUTED_VALUE"""),46216.0)</f>
        <v>46216</v>
      </c>
      <c r="V62" s="370"/>
      <c r="W62" s="382">
        <f>IFERROR(__xludf.DUMMYFUNCTION("""COMPUTED_VALUE"""),46247.0)</f>
        <v>46247</v>
      </c>
      <c r="X62" s="370" t="str">
        <f>IFERROR(__xludf.DUMMYFUNCTION("""COMPUTED_VALUE"""),"Chiuso Ferie")</f>
        <v>Chiuso Ferie</v>
      </c>
    </row>
    <row r="63">
      <c r="B63" s="367"/>
      <c r="D63" s="367"/>
      <c r="F63" s="367"/>
      <c r="H63" s="367"/>
      <c r="J63" s="367"/>
      <c r="L63" s="367"/>
      <c r="N63" s="370"/>
      <c r="P63" s="370"/>
      <c r="R63" s="370"/>
      <c r="T63" s="367"/>
      <c r="V63" s="370"/>
      <c r="X63" s="370"/>
    </row>
    <row r="64">
      <c r="B64" s="367"/>
      <c r="D64" s="367"/>
      <c r="F64" s="367"/>
      <c r="H64" s="367"/>
      <c r="J64" s="367"/>
      <c r="L64" s="367"/>
      <c r="N64" s="370"/>
      <c r="P64" s="370"/>
      <c r="R64" s="370"/>
      <c r="T64" s="367"/>
      <c r="V64" s="370"/>
      <c r="X64" s="370"/>
    </row>
    <row r="65">
      <c r="B65" s="367"/>
      <c r="D65" s="367"/>
      <c r="F65" s="367"/>
      <c r="H65" s="367"/>
      <c r="J65" s="367"/>
      <c r="L65" s="367"/>
      <c r="N65" s="370"/>
      <c r="P65" s="370"/>
      <c r="R65" s="370"/>
      <c r="T65" s="367"/>
      <c r="V65" s="370"/>
      <c r="X65" s="370"/>
    </row>
    <row r="66">
      <c r="A66" s="374"/>
      <c r="B66" s="375"/>
      <c r="C66" s="374"/>
      <c r="D66" s="375"/>
      <c r="E66" s="374"/>
      <c r="F66" s="375"/>
      <c r="G66" s="374"/>
      <c r="H66" s="375"/>
      <c r="I66" s="374"/>
      <c r="J66" s="375"/>
      <c r="K66" s="374"/>
      <c r="L66" s="375"/>
      <c r="M66" s="374"/>
      <c r="N66" s="376"/>
      <c r="O66" s="374"/>
      <c r="P66" s="376"/>
      <c r="Q66" s="374"/>
      <c r="R66" s="376"/>
      <c r="S66" s="374"/>
      <c r="T66" s="375"/>
      <c r="U66" s="374"/>
      <c r="V66" s="376"/>
      <c r="W66" s="374"/>
      <c r="X66" s="376"/>
    </row>
    <row r="67">
      <c r="A67" s="378">
        <f>IFERROR(__xludf.DUMMYFUNCTION("""COMPUTED_VALUE"""),45914.0)</f>
        <v>45914</v>
      </c>
      <c r="B67" s="380" t="str">
        <f>IFERROR(__xludf.DUMMYFUNCTION("""COMPUTED_VALUE"""),"Chiuso")</f>
        <v>Chiuso</v>
      </c>
      <c r="C67" s="379">
        <f>IFERROR(__xludf.DUMMYFUNCTION("""COMPUTED_VALUE"""),45944.0)</f>
        <v>45944</v>
      </c>
      <c r="D67" s="367"/>
      <c r="E67" s="379">
        <f>IFERROR(__xludf.DUMMYFUNCTION("""COMPUTED_VALUE"""),45975.0)</f>
        <v>45975</v>
      </c>
      <c r="F67" s="400" t="str">
        <f>IFERROR(__xludf.DUMMYFUNCTION("""COMPUTED_VALUE"""),"25-26 Calendario Corsi")</f>
        <v>25-26 Calendario Corsi</v>
      </c>
      <c r="G67" s="379">
        <f>IFERROR(__xludf.DUMMYFUNCTION("""COMPUTED_VALUE"""),46005.0)</f>
        <v>46005</v>
      </c>
      <c r="H67" s="372" t="str">
        <f>IFERROR(__xludf.DUMMYFUNCTION("""COMPUTED_VALUE"""),"Aperti")</f>
        <v>Aperti</v>
      </c>
      <c r="I67" s="381">
        <f>IFERROR(__xludf.DUMMYFUNCTION("""COMPUTED_VALUE"""),46036.0)</f>
        <v>46036</v>
      </c>
      <c r="J67" s="372"/>
      <c r="K67" s="382">
        <f>IFERROR(__xludf.DUMMYFUNCTION("""COMPUTED_VALUE"""),46067.0)</f>
        <v>46067</v>
      </c>
      <c r="L67" s="367"/>
      <c r="M67" s="382">
        <f>IFERROR(__xludf.DUMMYFUNCTION("""COMPUTED_VALUE"""),46095.0)</f>
        <v>46095</v>
      </c>
      <c r="N67" s="370"/>
      <c r="O67" s="382">
        <f>IFERROR(__xludf.DUMMYFUNCTION("""COMPUTED_VALUE"""),46126.0)</f>
        <v>46126</v>
      </c>
      <c r="P67" s="371"/>
      <c r="Q67" s="382">
        <f>IFERROR(__xludf.DUMMYFUNCTION("""COMPUTED_VALUE"""),46156.0)</f>
        <v>46156</v>
      </c>
      <c r="R67" s="373"/>
      <c r="S67" s="382">
        <f>IFERROR(__xludf.DUMMYFUNCTION("""COMPUTED_VALUE"""),46187.0)</f>
        <v>46187</v>
      </c>
      <c r="T67" s="367"/>
      <c r="U67" s="382">
        <f>IFERROR(__xludf.DUMMYFUNCTION("""COMPUTED_VALUE"""),46217.0)</f>
        <v>46217</v>
      </c>
      <c r="V67" s="370"/>
      <c r="W67" s="382">
        <f>IFERROR(__xludf.DUMMYFUNCTION("""COMPUTED_VALUE"""),46248.0)</f>
        <v>46248</v>
      </c>
      <c r="X67" s="370" t="str">
        <f>IFERROR(__xludf.DUMMYFUNCTION("""COMPUTED_VALUE"""),"Chiuso Ferie")</f>
        <v>Chiuso Ferie</v>
      </c>
    </row>
    <row r="68">
      <c r="B68" s="367"/>
      <c r="D68" s="367"/>
      <c r="F68" s="367"/>
      <c r="H68" s="385"/>
      <c r="J68" s="372"/>
      <c r="L68" s="367"/>
      <c r="N68" s="370"/>
      <c r="P68" s="371"/>
      <c r="R68" s="373"/>
      <c r="T68" s="367"/>
      <c r="V68" s="370"/>
      <c r="X68" s="370"/>
    </row>
    <row r="69">
      <c r="B69" s="367"/>
      <c r="D69" s="367"/>
      <c r="F69" s="367"/>
      <c r="H69" s="385" t="str">
        <f>IFERROR(__xludf.DUMMYFUNCTION("""COMPUTED_VALUE"""),"WS Nerea Perez (Pasitos) confermato • 16:30 • 18:00 • STUDIO 21")</f>
        <v>WS Nerea Perez (Pasitos) confermato • 16:30 • 18:00 • STUDIO 21</v>
      </c>
      <c r="J69" s="372"/>
      <c r="L69" s="367"/>
      <c r="N69" s="370"/>
      <c r="P69" s="371"/>
      <c r="R69" s="373"/>
      <c r="T69" s="367"/>
      <c r="V69" s="370"/>
      <c r="X69" s="370"/>
    </row>
    <row r="70">
      <c r="B70" s="367"/>
      <c r="D70" s="367"/>
      <c r="F70" s="367"/>
      <c r="H70" s="368" t="str">
        <f>IFERROR(__xludf.DUMMYFUNCTION("""COMPUTED_VALUE"""),"Festa di Natale • 15:00 • 23:10 • STUDIO 11")</f>
        <v>Festa di Natale • 15:00 • 23:10 • STUDIO 11</v>
      </c>
      <c r="J70" s="372"/>
      <c r="L70" s="367"/>
      <c r="N70" s="370"/>
      <c r="P70" s="371"/>
      <c r="R70" s="373"/>
      <c r="T70" s="367"/>
      <c r="V70" s="370"/>
      <c r="X70" s="370"/>
    </row>
    <row r="71">
      <c r="A71" s="374"/>
      <c r="B71" s="375"/>
      <c r="C71" s="374"/>
      <c r="D71" s="375"/>
      <c r="E71" s="374"/>
      <c r="F71" s="375"/>
      <c r="G71" s="374"/>
      <c r="H71" s="375"/>
      <c r="I71" s="374"/>
      <c r="J71" s="384"/>
      <c r="K71" s="374"/>
      <c r="L71" s="375"/>
      <c r="M71" s="374"/>
      <c r="N71" s="376"/>
      <c r="O71" s="374"/>
      <c r="P71" s="389"/>
      <c r="Q71" s="374"/>
      <c r="R71" s="387"/>
      <c r="S71" s="374"/>
      <c r="T71" s="375"/>
      <c r="U71" s="374"/>
      <c r="V71" s="376"/>
      <c r="W71" s="374"/>
      <c r="X71" s="376"/>
    </row>
    <row r="72">
      <c r="A72" s="378">
        <f>IFERROR(__xludf.DUMMYFUNCTION("""COMPUTED_VALUE"""),45915.0)</f>
        <v>45915</v>
      </c>
      <c r="B72" s="392" t="str">
        <f>IFERROR(__xludf.DUMMYFUNCTION("""COMPUTED_VALUE"""),"Prova Aerial")</f>
        <v>Prova Aerial</v>
      </c>
      <c r="C72" s="379">
        <f>IFERROR(__xludf.DUMMYFUNCTION("""COMPUTED_VALUE"""),45945.0)</f>
        <v>45945</v>
      </c>
      <c r="D72" s="367"/>
      <c r="E72" s="379">
        <f>IFERROR(__xludf.DUMMYFUNCTION("""COMPUTED_VALUE"""),45976.0)</f>
        <v>45976</v>
      </c>
      <c r="F72" s="367"/>
      <c r="G72" s="379">
        <f>IFERROR(__xludf.DUMMYFUNCTION("""COMPUTED_VALUE"""),46006.0)</f>
        <v>46006</v>
      </c>
      <c r="H72" s="367"/>
      <c r="I72" s="381">
        <f>IFERROR(__xludf.DUMMYFUNCTION("""COMPUTED_VALUE"""),46037.0)</f>
        <v>46037</v>
      </c>
      <c r="J72" s="367"/>
      <c r="K72" s="382">
        <f>IFERROR(__xludf.DUMMYFUNCTION("""COMPUTED_VALUE"""),46068.0)</f>
        <v>46068</v>
      </c>
      <c r="L72" s="372" t="str">
        <f>IFERROR(__xludf.DUMMYFUNCTION("""COMPUTED_VALUE"""),"Aperti")</f>
        <v>Aperti</v>
      </c>
      <c r="M72" s="382">
        <f>IFERROR(__xludf.DUMMYFUNCTION("""COMPUTED_VALUE"""),46096.0)</f>
        <v>46096</v>
      </c>
      <c r="N72" s="373" t="str">
        <f>IFERROR(__xludf.DUMMYFUNCTION("""COMPUTED_VALUE"""),"Aperti")</f>
        <v>Aperti</v>
      </c>
      <c r="O72" s="382">
        <f>IFERROR(__xludf.DUMMYFUNCTION("""COMPUTED_VALUE"""),46127.0)</f>
        <v>46127</v>
      </c>
      <c r="P72" s="370"/>
      <c r="Q72" s="382">
        <f>IFERROR(__xludf.DUMMYFUNCTION("""COMPUTED_VALUE"""),46157.0)</f>
        <v>46157</v>
      </c>
      <c r="R72" s="369" t="str">
        <f>IFERROR(__xludf.DUMMYFUNCTION("""COMPUTED_VALUE"""),"EVENTO ESTERNO Union Latina")</f>
        <v>EVENTO ESTERNO Union Latina</v>
      </c>
      <c r="S72" s="382">
        <f>IFERROR(__xludf.DUMMYFUNCTION("""COMPUTED_VALUE"""),46188.0)</f>
        <v>46188</v>
      </c>
      <c r="T72" s="372" t="str">
        <f>IFERROR(__xludf.DUMMYFUNCTION("""COMPUTED_VALUE"""),"No corsi bambini")</f>
        <v>No corsi bambini</v>
      </c>
      <c r="U72" s="382">
        <f>IFERROR(__xludf.DUMMYFUNCTION("""COMPUTED_VALUE"""),46218.0)</f>
        <v>46218</v>
      </c>
      <c r="V72" s="370"/>
      <c r="W72" s="382">
        <f>IFERROR(__xludf.DUMMYFUNCTION("""COMPUTED_VALUE"""),46249.0)</f>
        <v>46249</v>
      </c>
      <c r="X72" s="370" t="str">
        <f>IFERROR(__xludf.DUMMYFUNCTION("""COMPUTED_VALUE"""),"Chiuso Ferie")</f>
        <v>Chiuso Ferie</v>
      </c>
    </row>
    <row r="73">
      <c r="B73" s="392" t="str">
        <f>IFERROR(__xludf.DUMMYFUNCTION("""COMPUTED_VALUE"""),"Prova Ballo")</f>
        <v>Prova Ballo</v>
      </c>
      <c r="D73" s="367"/>
      <c r="F73" s="367"/>
      <c r="H73" s="367"/>
      <c r="J73" s="367"/>
      <c r="L73" s="367" t="str">
        <f>IFERROR(__xludf.DUMMYFUNCTION("""COMPUTED_VALUE"""),"AFFITTO EXTRA Evento Modulo confermato • 11:00 • 17:30 • STUDIO 21")</f>
        <v>AFFITTO EXTRA Evento Modulo confermato • 11:00 • 17:30 • STUDIO 21</v>
      </c>
      <c r="N73" s="369" t="str">
        <f>IFERROR(__xludf.DUMMYFUNCTION("""COMPUTED_VALUE"""),"AFFITTO EXTRA Beatrice Carbone da confermare • 10:00 • 15:00 • STUDIO 25")</f>
        <v>AFFITTO EXTRA Beatrice Carbone da confermare • 10:00 • 15:00 • STUDIO 25</v>
      </c>
      <c r="P73" s="370"/>
      <c r="R73" s="370"/>
      <c r="T73" s="393" t="str">
        <f>IFERROR(__xludf.DUMMYFUNCTION("""COMPUTED_VALUE"""),"CAMPUS • 08/06/2026 • 26/06/2026")</f>
        <v>CAMPUS • 08/06/2026 • 26/06/2026</v>
      </c>
      <c r="V73" s="370"/>
      <c r="X73" s="370"/>
    </row>
    <row r="74">
      <c r="B74" s="372"/>
      <c r="D74" s="367"/>
      <c r="F74" s="367"/>
      <c r="H74" s="367"/>
      <c r="J74" s="367"/>
      <c r="L74" s="368" t="str">
        <f>IFERROR(__xludf.DUMMYFUNCTION("""COMPUTED_VALUE"""),"Fitness con Dorian • 10:00 • 10:50 • STUDIO 11")</f>
        <v>Fitness con Dorian • 10:00 • 10:50 • STUDIO 11</v>
      </c>
      <c r="N74" s="370" t="str">
        <f>IFERROR(__xludf.DUMMYFUNCTION("""COMPUTED_VALUE"""),"AFFITTO EXTRA Evento Modulo confermato • 11:00 • 17:30 • STUDIO 21")</f>
        <v>AFFITTO EXTRA Evento Modulo confermato • 11:00 • 17:30 • STUDIO 21</v>
      </c>
      <c r="P74" s="370"/>
      <c r="R74" s="370"/>
      <c r="T74" s="367"/>
      <c r="V74" s="370"/>
      <c r="X74" s="370"/>
    </row>
    <row r="75">
      <c r="B75" s="372"/>
      <c r="D75" s="367"/>
      <c r="F75" s="367"/>
      <c r="H75" s="367"/>
      <c r="J75" s="367"/>
      <c r="L75" s="368" t="str">
        <f>IFERROR(__xludf.DUMMYFUNCTION("""COMPUTED_VALUE"""),"Fitness con Dorian • 11:00 • 11:50 • STUDIO 11")</f>
        <v>Fitness con Dorian • 11:00 • 11:50 • STUDIO 11</v>
      </c>
      <c r="N75" s="369" t="str">
        <f>IFERROR(__xludf.DUMMYFUNCTION("""COMPUTED_VALUE"""),"Fitness con Dorian • 10:00 • 10:50 • STUDIO 11")</f>
        <v>Fitness con Dorian • 10:00 • 10:50 • STUDIO 11</v>
      </c>
      <c r="P75" s="370"/>
      <c r="R75" s="370"/>
      <c r="T75" s="367"/>
      <c r="V75" s="370"/>
      <c r="X75" s="370"/>
    </row>
    <row r="76">
      <c r="A76" s="374"/>
      <c r="B76" s="375"/>
      <c r="C76" s="374"/>
      <c r="D76" s="375"/>
      <c r="E76" s="374"/>
      <c r="F76" s="375"/>
      <c r="G76" s="374"/>
      <c r="H76" s="375"/>
      <c r="I76" s="374"/>
      <c r="J76" s="375"/>
      <c r="K76" s="374"/>
      <c r="L76" s="375"/>
      <c r="M76" s="374"/>
      <c r="N76" s="401" t="str">
        <f>IFERROR(__xludf.DUMMYFUNCTION("""COMPUTED_VALUE"""),"Fitness con Dorian • 11:00 • 11:50 • STUDIO 11")</f>
        <v>Fitness con Dorian • 11:00 • 11:50 • STUDIO 11</v>
      </c>
      <c r="O76" s="374"/>
      <c r="P76" s="376"/>
      <c r="Q76" s="374"/>
      <c r="R76" s="376"/>
      <c r="S76" s="374"/>
      <c r="T76" s="375"/>
      <c r="U76" s="374"/>
      <c r="V76" s="376"/>
      <c r="W76" s="374"/>
      <c r="X76" s="376"/>
    </row>
    <row r="77">
      <c r="A77" s="378"/>
      <c r="B77" s="367"/>
      <c r="C77" s="379"/>
      <c r="D77" s="367"/>
      <c r="E77" s="379"/>
      <c r="F77" s="372"/>
      <c r="G77" s="379"/>
      <c r="H77" s="367"/>
      <c r="I77" s="381"/>
      <c r="J77" s="367"/>
      <c r="K77" s="382"/>
      <c r="L77" s="367"/>
      <c r="M77" s="382"/>
      <c r="N77" s="371" t="str">
        <f>IFERROR(__xludf.DUMMYFUNCTION("""COMPUTED_VALUE"""),"OPENCLASS Amber &amp; Aldrin (Urban coreografico) confermato • 14:30 • 16:30 • STUDIO 24")</f>
        <v>OPENCLASS Amber &amp; Aldrin (Urban coreografico) confermato • 14:30 • 16:30 • STUDIO 24</v>
      </c>
      <c r="O77" s="382"/>
      <c r="P77" s="370"/>
      <c r="Q77" s="382"/>
      <c r="R77" s="370"/>
      <c r="S77" s="382"/>
      <c r="T77" s="372"/>
      <c r="U77" s="382"/>
      <c r="V77" s="370"/>
      <c r="W77" s="382"/>
      <c r="X77" s="370"/>
    </row>
    <row r="78">
      <c r="B78" s="367"/>
      <c r="D78" s="367"/>
      <c r="F78" s="367"/>
      <c r="H78" s="367"/>
      <c r="J78" s="367"/>
      <c r="L78" s="367"/>
      <c r="N78" s="371" t="str">
        <f>IFERROR(__xludf.DUMMYFUNCTION("""COMPUTED_VALUE"""),"WS Dìa en Cuba (Salsa Cubana) confermato • 14:30 • 16:30 • STUDIO 11")</f>
        <v>WS Dìa en Cuba (Salsa Cubana) confermato • 14:30 • 16:30 • STUDIO 11</v>
      </c>
      <c r="P78" s="370"/>
      <c r="R78" s="370"/>
      <c r="T78" s="367"/>
      <c r="V78" s="370"/>
      <c r="X78" s="370"/>
    </row>
    <row r="79">
      <c r="B79" s="367"/>
      <c r="D79" s="367"/>
      <c r="F79" s="367" t="str">
        <f>IFERROR(__xludf.DUMMYFUNCTION("""COMPUTED_VALUE"""),"Aperti")</f>
        <v>Aperti</v>
      </c>
      <c r="H79" s="367"/>
      <c r="J79" s="367"/>
      <c r="L79" s="367"/>
      <c r="N79" s="371"/>
      <c r="P79" s="370"/>
      <c r="R79" s="369" t="str">
        <f>IFERROR(__xludf.DUMMYFUNCTION("""COMPUTED_VALUE"""),"EVENTO ESTERNO Union Latina")</f>
        <v>EVENTO ESTERNO Union Latina</v>
      </c>
      <c r="T79" s="367" t="str">
        <f>IFERROR(__xludf.DUMMYFUNCTION("""COMPUTED_VALUE"""),"No corsi bambini")</f>
        <v>No corsi bambini</v>
      </c>
      <c r="V79" s="370"/>
      <c r="X79" s="370" t="str">
        <f>IFERROR(__xludf.DUMMYFUNCTION("""COMPUTED_VALUE"""),"Chiuso Ferie")</f>
        <v>Chiuso Ferie</v>
      </c>
    </row>
    <row r="80">
      <c r="B80" s="367"/>
      <c r="D80" s="367"/>
      <c r="F80" s="368" t="str">
        <f>IFERROR(__xludf.DUMMYFUNCTION("""COMPUTED_VALUE"""),"WS Deborah Esposito (Heels) confermato • 15:00 • 16:30 • STUDIO 21")</f>
        <v>WS Deborah Esposito (Heels) confermato • 15:00 • 16:30 • STUDIO 21</v>
      </c>
      <c r="H80" s="367"/>
      <c r="J80" s="367"/>
      <c r="L80" s="367"/>
      <c r="N80" s="371"/>
      <c r="P80" s="370"/>
      <c r="R80" s="370"/>
      <c r="T80" s="367"/>
      <c r="V80" s="370"/>
      <c r="X80" s="370"/>
    </row>
    <row r="81">
      <c r="A81" s="374"/>
      <c r="B81" s="375"/>
      <c r="C81" s="374"/>
      <c r="D81" s="375"/>
      <c r="E81" s="374"/>
      <c r="F81" s="402" t="str">
        <f>IFERROR(__xludf.DUMMYFUNCTION("""COMPUTED_VALUE"""),"WS Nicolò De Angelis (salsa musicality) confermato • 14:30 • 16:00 • STUDIO 11")</f>
        <v>WS Nicolò De Angelis (salsa musicality) confermato • 14:30 • 16:00 • STUDIO 11</v>
      </c>
      <c r="G81" s="374"/>
      <c r="H81" s="375"/>
      <c r="I81" s="374"/>
      <c r="J81" s="375"/>
      <c r="K81" s="374"/>
      <c r="L81" s="375"/>
      <c r="M81" s="374"/>
      <c r="N81" s="389"/>
      <c r="O81" s="374"/>
      <c r="P81" s="376"/>
      <c r="Q81" s="374"/>
      <c r="R81" s="376"/>
      <c r="S81" s="374"/>
      <c r="T81" s="375"/>
      <c r="U81" s="374"/>
      <c r="V81" s="376"/>
      <c r="W81" s="374"/>
      <c r="X81" s="376"/>
    </row>
    <row r="82">
      <c r="A82" s="378"/>
      <c r="B82" s="367"/>
      <c r="C82" s="379"/>
      <c r="D82" s="367"/>
      <c r="E82" s="379"/>
      <c r="F82" s="367"/>
      <c r="G82" s="379"/>
      <c r="H82" s="367"/>
      <c r="I82" s="381"/>
      <c r="J82" s="367"/>
      <c r="K82" s="382"/>
      <c r="L82" s="367"/>
      <c r="M82" s="382"/>
      <c r="N82" s="373"/>
      <c r="O82" s="382"/>
      <c r="P82" s="370"/>
      <c r="Q82" s="382"/>
      <c r="R82" s="373"/>
      <c r="S82" s="382"/>
      <c r="T82" s="372"/>
      <c r="U82" s="382"/>
      <c r="V82" s="370"/>
      <c r="W82" s="382"/>
      <c r="X82" s="370"/>
    </row>
    <row r="83">
      <c r="B83" s="367"/>
      <c r="D83" s="367"/>
      <c r="F83" s="367"/>
      <c r="H83" s="367"/>
      <c r="J83" s="367"/>
      <c r="L83" s="367"/>
      <c r="N83" s="373"/>
      <c r="P83" s="370"/>
      <c r="R83" s="370"/>
      <c r="T83" s="367"/>
      <c r="V83" s="370"/>
      <c r="X83" s="370"/>
    </row>
    <row r="84">
      <c r="B84" s="367"/>
      <c r="D84" s="367"/>
      <c r="F84" s="367"/>
      <c r="H84" s="367"/>
      <c r="J84" s="367"/>
      <c r="L84" s="367"/>
      <c r="N84" s="371"/>
      <c r="P84" s="370"/>
      <c r="R84" s="370" t="str">
        <f>IFERROR(__xludf.DUMMYFUNCTION("""COMPUTED_VALUE"""),"Aperti")</f>
        <v>Aperti</v>
      </c>
      <c r="T84" s="367" t="str">
        <f>IFERROR(__xludf.DUMMYFUNCTION("""COMPUTED_VALUE"""),"No corsi bambini")</f>
        <v>No corsi bambini</v>
      </c>
      <c r="V84" s="370"/>
      <c r="X84" s="370" t="str">
        <f>IFERROR(__xludf.DUMMYFUNCTION("""COMPUTED_VALUE"""),"Chiuso Ferie")</f>
        <v>Chiuso Ferie</v>
      </c>
    </row>
    <row r="85">
      <c r="B85" s="367"/>
      <c r="D85" s="367"/>
      <c r="F85" s="367"/>
      <c r="H85" s="367"/>
      <c r="J85" s="367"/>
      <c r="L85" s="367"/>
      <c r="N85" s="371"/>
      <c r="P85" s="370"/>
      <c r="R85" s="369" t="str">
        <f>IFERROR(__xludf.DUMMYFUNCTION("""COMPUTED_VALUE"""),"EVENTO ESTERNO Union Latina")</f>
        <v>EVENTO ESTERNO Union Latina</v>
      </c>
      <c r="T85" s="367"/>
      <c r="V85" s="370"/>
      <c r="X85" s="370"/>
    </row>
    <row r="86">
      <c r="A86" s="374"/>
      <c r="B86" s="375"/>
      <c r="C86" s="374"/>
      <c r="D86" s="375"/>
      <c r="E86" s="374"/>
      <c r="F86" s="375"/>
      <c r="G86" s="374"/>
      <c r="H86" s="375"/>
      <c r="I86" s="374"/>
      <c r="J86" s="375"/>
      <c r="K86" s="374"/>
      <c r="L86" s="375"/>
      <c r="M86" s="374"/>
      <c r="N86" s="389"/>
      <c r="O86" s="374"/>
      <c r="P86" s="376"/>
      <c r="Q86" s="374"/>
      <c r="R86" s="376"/>
      <c r="S86" s="374"/>
      <c r="T86" s="375"/>
      <c r="U86" s="374"/>
      <c r="V86" s="376"/>
      <c r="W86" s="374"/>
      <c r="X86" s="376"/>
    </row>
    <row r="87">
      <c r="A87" s="378"/>
      <c r="B87" s="367"/>
      <c r="C87" s="379"/>
      <c r="D87" s="367"/>
      <c r="E87" s="379"/>
      <c r="F87" s="367"/>
      <c r="G87" s="379"/>
      <c r="H87" s="367"/>
      <c r="I87" s="381"/>
      <c r="J87" s="372"/>
      <c r="K87" s="382"/>
      <c r="L87" s="367"/>
      <c r="M87" s="382"/>
      <c r="N87" s="370"/>
      <c r="O87" s="382"/>
      <c r="P87" s="370"/>
      <c r="Q87" s="382"/>
      <c r="R87" s="370"/>
      <c r="S87" s="382"/>
      <c r="T87" s="372"/>
      <c r="U87" s="382"/>
      <c r="V87" s="370"/>
      <c r="W87" s="382"/>
      <c r="X87" s="370"/>
    </row>
    <row r="88">
      <c r="B88" s="367"/>
      <c r="D88" s="367"/>
      <c r="F88" s="367"/>
      <c r="H88" s="367"/>
      <c r="J88" s="367"/>
      <c r="L88" s="367"/>
      <c r="N88" s="370"/>
      <c r="P88" s="370"/>
      <c r="R88" s="370"/>
      <c r="T88" s="367"/>
      <c r="V88" s="370"/>
      <c r="X88" s="370"/>
    </row>
    <row r="89">
      <c r="B89" s="367"/>
      <c r="D89" s="367"/>
      <c r="F89" s="367"/>
      <c r="H89" s="367"/>
      <c r="J89" s="372" t="str">
        <f>IFERROR(__xludf.DUMMYFUNCTION("""COMPUTED_VALUE"""),"Aperti")</f>
        <v>Aperti</v>
      </c>
      <c r="L89" s="367"/>
      <c r="N89" s="370"/>
      <c r="P89" s="370"/>
      <c r="R89" s="370"/>
      <c r="T89" s="367" t="str">
        <f>IFERROR(__xludf.DUMMYFUNCTION("""COMPUTED_VALUE"""),"No corsi bambini")</f>
        <v>No corsi bambini</v>
      </c>
      <c r="V89" s="370"/>
      <c r="X89" s="370" t="str">
        <f>IFERROR(__xludf.DUMMYFUNCTION("""COMPUTED_VALUE"""),"Chiuso Ferie")</f>
        <v>Chiuso Ferie</v>
      </c>
    </row>
    <row r="90">
      <c r="B90" s="367"/>
      <c r="D90" s="367"/>
      <c r="F90" s="367"/>
      <c r="H90" s="367"/>
      <c r="J90" s="367" t="str">
        <f>IFERROR(__xludf.DUMMYFUNCTION("""COMPUTED_VALUE"""),"AFFITTO EXTRA Evento Modulo confermato • 11:00 • 17:30 • STUDIO 21")</f>
        <v>AFFITTO EXTRA Evento Modulo confermato • 11:00 • 17:30 • STUDIO 21</v>
      </c>
      <c r="L90" s="367"/>
      <c r="N90" s="370"/>
      <c r="P90" s="370"/>
      <c r="R90" s="370"/>
      <c r="T90" s="367"/>
      <c r="V90" s="370"/>
      <c r="X90" s="370"/>
    </row>
    <row r="91">
      <c r="A91" s="374"/>
      <c r="B91" s="375"/>
      <c r="C91" s="374"/>
      <c r="D91" s="375"/>
      <c r="E91" s="374"/>
      <c r="F91" s="375"/>
      <c r="G91" s="374"/>
      <c r="H91" s="375"/>
      <c r="I91" s="374"/>
      <c r="J91" s="402" t="str">
        <f>IFERROR(__xludf.DUMMYFUNCTION("""COMPUTED_VALUE"""),"Fitness con Dorian • 10:00 • 10:50 • STUDIO 11")</f>
        <v>Fitness con Dorian • 10:00 • 10:50 • STUDIO 11</v>
      </c>
      <c r="K91" s="374"/>
      <c r="L91" s="375"/>
      <c r="M91" s="374"/>
      <c r="N91" s="376"/>
      <c r="O91" s="374"/>
      <c r="P91" s="376"/>
      <c r="Q91" s="374"/>
      <c r="R91" s="376"/>
      <c r="S91" s="374"/>
      <c r="T91" s="375"/>
      <c r="U91" s="374"/>
      <c r="V91" s="376"/>
      <c r="W91" s="374"/>
      <c r="X91" s="376"/>
    </row>
    <row r="92">
      <c r="A92" s="378"/>
      <c r="B92" s="372"/>
      <c r="C92" s="379"/>
      <c r="D92" s="372"/>
      <c r="E92" s="379"/>
      <c r="F92" s="367"/>
      <c r="G92" s="379"/>
      <c r="H92" s="367"/>
      <c r="I92" s="381"/>
      <c r="J92" s="368" t="str">
        <f>IFERROR(__xludf.DUMMYFUNCTION("""COMPUTED_VALUE"""),"Fitness con Dorian • 11:00 • 11:50 • STUDIO 11")</f>
        <v>Fitness con Dorian • 11:00 • 11:50 • STUDIO 11</v>
      </c>
      <c r="K92" s="382"/>
      <c r="L92" s="372"/>
      <c r="M92" s="382"/>
      <c r="N92" s="370"/>
      <c r="O92" s="382"/>
      <c r="P92" s="373"/>
      <c r="Q92" s="382"/>
      <c r="R92" s="373"/>
      <c r="S92" s="382"/>
      <c r="T92" s="372"/>
      <c r="U92" s="382"/>
      <c r="V92" s="370"/>
      <c r="W92" s="382"/>
      <c r="X92" s="370"/>
    </row>
    <row r="93">
      <c r="B93" s="403"/>
      <c r="D93" s="385"/>
      <c r="F93" s="367"/>
      <c r="H93" s="367"/>
      <c r="J93" s="367"/>
      <c r="L93" s="367"/>
      <c r="N93" s="370"/>
      <c r="P93" s="370"/>
      <c r="R93" s="373"/>
      <c r="T93" s="367"/>
      <c r="V93" s="370"/>
      <c r="X93" s="370"/>
    </row>
    <row r="94">
      <c r="B94" s="367"/>
      <c r="D94" s="372" t="str">
        <f>IFERROR(__xludf.DUMMYFUNCTION("""COMPUTED_VALUE"""),"AFFITTO EXTRA Evento Modulo confermato • 10:00 • 17:20 • STUDIO 24")</f>
        <v>AFFITTO EXTRA Evento Modulo confermato • 10:00 • 17:20 • STUDIO 24</v>
      </c>
      <c r="F94" s="367"/>
      <c r="H94" s="367"/>
      <c r="J94" s="367"/>
      <c r="L94" s="367" t="str">
        <f>IFERROR(__xludf.DUMMYFUNCTION("""COMPUTED_VALUE"""),"No corsi bambini")</f>
        <v>No corsi bambini</v>
      </c>
      <c r="N94" s="370"/>
      <c r="P94" s="370"/>
      <c r="R94" s="373"/>
      <c r="T94" s="367" t="str">
        <f>IFERROR(__xludf.DUMMYFUNCTION("""COMPUTED_VALUE"""),"No corsi bambini")</f>
        <v>No corsi bambini</v>
      </c>
      <c r="V94" s="370"/>
      <c r="X94" s="370" t="str">
        <f>IFERROR(__xludf.DUMMYFUNCTION("""COMPUTED_VALUE"""),"Chiuso Ferie")</f>
        <v>Chiuso Ferie</v>
      </c>
    </row>
    <row r="95">
      <c r="B95" s="367"/>
      <c r="D95" s="367" t="str">
        <f>IFERROR(__xludf.DUMMYFUNCTION("""COMPUTED_VALUE"""),"WS Banana (afrofusion) confermato • 14:30 • 16:30 • STUDIO 21")</f>
        <v>WS Banana (afrofusion) confermato • 14:30 • 16:30 • STUDIO 21</v>
      </c>
      <c r="F95" s="367"/>
      <c r="H95" s="367"/>
      <c r="J95" s="367"/>
      <c r="L95" s="367"/>
      <c r="N95" s="370"/>
      <c r="P95" s="370" t="str">
        <f>IFERROR(__xludf.DUMMYFUNCTION("""COMPUTED_VALUE"""),"AFFITTO EXTRA Evento Modulo confermato • 11:00 • 17:30 • STUDIO 21")</f>
        <v>AFFITTO EXTRA Evento Modulo confermato • 11:00 • 17:30 • STUDIO 21</v>
      </c>
      <c r="R95" s="373"/>
      <c r="T95" s="367"/>
      <c r="V95" s="370"/>
      <c r="X95" s="370"/>
    </row>
    <row r="96">
      <c r="A96" s="374"/>
      <c r="B96" s="375"/>
      <c r="C96" s="374"/>
      <c r="D96" s="402" t="str">
        <f>IFERROR(__xludf.DUMMYFUNCTION("""COMPUTED_VALUE"""),"Fitness con Dorian • 10:00 • 10:50 • STUDIO 11")</f>
        <v>Fitness con Dorian • 10:00 • 10:50 • STUDIO 11</v>
      </c>
      <c r="E96" s="374"/>
      <c r="F96" s="375"/>
      <c r="G96" s="374"/>
      <c r="H96" s="375"/>
      <c r="I96" s="374"/>
      <c r="J96" s="375"/>
      <c r="K96" s="374"/>
      <c r="L96" s="375"/>
      <c r="M96" s="374"/>
      <c r="N96" s="376"/>
      <c r="O96" s="374"/>
      <c r="P96" s="376"/>
      <c r="Q96" s="374"/>
      <c r="R96" s="387"/>
      <c r="S96" s="374"/>
      <c r="T96" s="375"/>
      <c r="U96" s="374"/>
      <c r="V96" s="376"/>
      <c r="W96" s="374"/>
      <c r="X96" s="376"/>
    </row>
    <row r="97">
      <c r="A97" s="378"/>
      <c r="B97" s="367"/>
      <c r="C97" s="379"/>
      <c r="D97" s="368" t="str">
        <f>IFERROR(__xludf.DUMMYFUNCTION("""COMPUTED_VALUE"""),"Fitness con Dorian • 11:00 • 11:50 • STUDIO 11")</f>
        <v>Fitness con Dorian • 11:00 • 11:50 • STUDIO 11</v>
      </c>
      <c r="E97" s="379"/>
      <c r="F97" s="367"/>
      <c r="G97" s="379"/>
      <c r="H97" s="367"/>
      <c r="I97" s="381"/>
      <c r="J97" s="395"/>
      <c r="K97" s="382"/>
      <c r="L97" s="372"/>
      <c r="M97" s="382"/>
      <c r="N97" s="370"/>
      <c r="O97" s="382"/>
      <c r="P97" s="369" t="str">
        <f>IFERROR(__xludf.DUMMYFUNCTION("""COMPUTED_VALUE"""),"GARA The Heels Gala (Andrea Piccirillo)")</f>
        <v>GARA The Heels Gala (Andrea Piccirillo)</v>
      </c>
      <c r="Q97" s="382"/>
      <c r="R97" s="370"/>
      <c r="S97" s="382"/>
      <c r="T97" s="367"/>
      <c r="U97" s="382"/>
      <c r="V97" s="370"/>
      <c r="W97" s="382"/>
      <c r="X97" s="370"/>
    </row>
    <row r="98">
      <c r="B98" s="367"/>
      <c r="D98" s="368" t="str">
        <f>IFERROR(__xludf.DUMMYFUNCTION("""COMPUTED_VALUE"""),"Gestualità afro con Raffaella • 10:00 • 11:50 • STUDIO 12")</f>
        <v>Gestualità afro con Raffaella • 10:00 • 11:50 • STUDIO 12</v>
      </c>
      <c r="F98" s="367"/>
      <c r="H98" s="367"/>
      <c r="J98" s="395"/>
      <c r="L98" s="367"/>
      <c r="N98" s="370"/>
      <c r="P98" s="370"/>
      <c r="R98" s="370"/>
      <c r="T98" s="367"/>
      <c r="V98" s="370"/>
      <c r="X98" s="370"/>
    </row>
    <row r="99">
      <c r="B99" s="367"/>
      <c r="D99" s="367"/>
      <c r="F99" s="367"/>
      <c r="H99" s="367"/>
      <c r="J99" s="395"/>
      <c r="L99" s="367" t="str">
        <f>IFERROR(__xludf.DUMMYFUNCTION("""COMPUTED_VALUE"""),"No corsi bambini")</f>
        <v>No corsi bambini</v>
      </c>
      <c r="N99" s="370"/>
      <c r="P99" s="370"/>
      <c r="R99" s="370"/>
      <c r="T99" s="367"/>
      <c r="V99" s="370"/>
      <c r="X99" s="370" t="str">
        <f>IFERROR(__xludf.DUMMYFUNCTION("""COMPUTED_VALUE"""),"Chiuso Ferie")</f>
        <v>Chiuso Ferie</v>
      </c>
    </row>
    <row r="100">
      <c r="B100" s="367"/>
      <c r="D100" s="367"/>
      <c r="F100" s="367"/>
      <c r="H100" s="367"/>
      <c r="J100" s="395"/>
      <c r="L100" s="367"/>
      <c r="N100" s="370"/>
      <c r="P100" s="370"/>
      <c r="R100" s="370"/>
      <c r="T100" s="367"/>
      <c r="V100" s="370"/>
      <c r="X100" s="370"/>
    </row>
    <row r="101">
      <c r="A101" s="374"/>
      <c r="B101" s="375"/>
      <c r="C101" s="374"/>
      <c r="D101" s="375"/>
      <c r="E101" s="374"/>
      <c r="F101" s="375"/>
      <c r="G101" s="374"/>
      <c r="H101" s="375"/>
      <c r="I101" s="374"/>
      <c r="J101" s="391"/>
      <c r="K101" s="374"/>
      <c r="L101" s="375"/>
      <c r="M101" s="374"/>
      <c r="N101" s="376"/>
      <c r="O101" s="374"/>
      <c r="P101" s="376"/>
      <c r="Q101" s="374"/>
      <c r="R101" s="376"/>
      <c r="S101" s="374"/>
      <c r="T101" s="375"/>
      <c r="U101" s="374"/>
      <c r="V101" s="376"/>
      <c r="W101" s="374"/>
      <c r="X101" s="376"/>
    </row>
    <row r="102">
      <c r="A102" s="378"/>
      <c r="B102" s="380"/>
      <c r="C102" s="379"/>
      <c r="D102" s="367"/>
      <c r="E102" s="379"/>
      <c r="F102" s="367"/>
      <c r="G102" s="379"/>
      <c r="H102" s="372"/>
      <c r="I102" s="381"/>
      <c r="J102" s="395"/>
      <c r="K102" s="382"/>
      <c r="L102" s="372"/>
      <c r="M102" s="382"/>
      <c r="N102" s="370"/>
      <c r="O102" s="382"/>
      <c r="P102" s="371"/>
      <c r="Q102" s="382"/>
      <c r="R102" s="370"/>
      <c r="S102" s="382"/>
      <c r="T102" s="372"/>
      <c r="U102" s="382"/>
      <c r="V102" s="370"/>
      <c r="W102" s="382"/>
      <c r="X102" s="370"/>
    </row>
    <row r="103">
      <c r="B103" s="367"/>
      <c r="D103" s="367"/>
      <c r="F103" s="367"/>
      <c r="H103" s="367"/>
      <c r="J103" s="395"/>
      <c r="L103" s="367"/>
      <c r="N103" s="370"/>
      <c r="P103" s="371"/>
      <c r="R103" s="370"/>
      <c r="T103" s="367"/>
      <c r="V103" s="370"/>
      <c r="X103" s="370"/>
    </row>
    <row r="104">
      <c r="B104" s="367" t="str">
        <f>IFERROR(__xludf.DUMMYFUNCTION("""COMPUTED_VALUE"""),"AFFITTO EXTRA Evento Modulo CASTING confermato • 12:00 • 17:00 • STUDIO 21")</f>
        <v>AFFITTO EXTRA Evento Modulo CASTING confermato • 12:00 • 17:00 • STUDIO 21</v>
      </c>
      <c r="D104" s="367"/>
      <c r="F104" s="367"/>
      <c r="H104" s="367" t="str">
        <f>IFERROR(__xludf.DUMMYFUNCTION("""COMPUTED_VALUE"""),"Aperti")</f>
        <v>Aperti</v>
      </c>
      <c r="J104" s="395"/>
      <c r="L104" s="367" t="str">
        <f>IFERROR(__xludf.DUMMYFUNCTION("""COMPUTED_VALUE"""),"No corsi bambini")</f>
        <v>No corsi bambini</v>
      </c>
      <c r="N104" s="370"/>
      <c r="P104" s="371"/>
      <c r="R104" s="370"/>
      <c r="T104" s="367" t="str">
        <f>IFERROR(__xludf.DUMMYFUNCTION("""COMPUTED_VALUE"""),"Aperti")</f>
        <v>Aperti</v>
      </c>
      <c r="V104" s="370"/>
      <c r="X104" s="370" t="str">
        <f>IFERROR(__xludf.DUMMYFUNCTION("""COMPUTED_VALUE"""),"Chiuso Ferie")</f>
        <v>Chiuso Ferie</v>
      </c>
    </row>
    <row r="105">
      <c r="B105" s="367"/>
      <c r="D105" s="367"/>
      <c r="F105" s="367"/>
      <c r="H105" s="368" t="str">
        <f>IFERROR(__xludf.DUMMYFUNCTION("""COMPUTED_VALUE"""),"GARA Grand Prix di Natale - videoconcorso
(Anna Franzini)")</f>
        <v>GARA Grand Prix di Natale - videoconcorso
(Anna Franzini)</v>
      </c>
      <c r="J105" s="395"/>
      <c r="L105" s="367"/>
      <c r="N105" s="370"/>
      <c r="P105" s="371"/>
      <c r="R105" s="370"/>
      <c r="T105" s="367"/>
      <c r="V105" s="370"/>
      <c r="X105" s="370"/>
    </row>
    <row r="106">
      <c r="A106" s="374"/>
      <c r="B106" s="375"/>
      <c r="C106" s="374"/>
      <c r="D106" s="375"/>
      <c r="E106" s="374"/>
      <c r="F106" s="375"/>
      <c r="G106" s="374"/>
      <c r="H106" s="375"/>
      <c r="I106" s="374"/>
      <c r="J106" s="391"/>
      <c r="K106" s="374"/>
      <c r="L106" s="375"/>
      <c r="M106" s="374"/>
      <c r="N106" s="376"/>
      <c r="O106" s="374"/>
      <c r="P106" s="389"/>
      <c r="Q106" s="374"/>
      <c r="R106" s="376"/>
      <c r="S106" s="374"/>
      <c r="T106" s="375"/>
      <c r="U106" s="374"/>
      <c r="V106" s="376"/>
      <c r="W106" s="374"/>
      <c r="X106" s="376"/>
    </row>
    <row r="107">
      <c r="A107" s="378"/>
      <c r="B107" s="392"/>
      <c r="C107" s="379"/>
      <c r="D107" s="367"/>
      <c r="E107" s="379"/>
      <c r="F107" s="367"/>
      <c r="G107" s="379"/>
      <c r="H107" s="367"/>
      <c r="I107" s="381"/>
      <c r="J107" s="367"/>
      <c r="K107" s="382"/>
      <c r="L107" s="372"/>
      <c r="M107" s="382"/>
      <c r="N107" s="371"/>
      <c r="O107" s="382"/>
      <c r="P107" s="370"/>
      <c r="Q107" s="382"/>
      <c r="R107" s="370"/>
      <c r="S107" s="382"/>
      <c r="T107" s="372"/>
      <c r="U107" s="382"/>
      <c r="V107" s="370"/>
      <c r="W107" s="382"/>
      <c r="X107" s="370"/>
    </row>
    <row r="108">
      <c r="B108" s="372"/>
      <c r="D108" s="367"/>
      <c r="F108" s="367"/>
      <c r="H108" s="367"/>
      <c r="J108" s="367"/>
      <c r="L108" s="367"/>
      <c r="N108" s="370"/>
      <c r="P108" s="370"/>
      <c r="R108" s="370"/>
      <c r="T108" s="372"/>
      <c r="V108" s="370"/>
      <c r="X108" s="370"/>
    </row>
    <row r="109">
      <c r="B109" s="367" t="str">
        <f>IFERROR(__xludf.DUMMYFUNCTION("""COMPUTED_VALUE"""),"Inizio corsi bambini")</f>
        <v>Inizio corsi bambini</v>
      </c>
      <c r="D109" s="367"/>
      <c r="F109" s="367"/>
      <c r="H109" s="367" t="str">
        <f>IFERROR(__xludf.DUMMYFUNCTION("""COMPUTED_VALUE"""),"No corsi bambini")</f>
        <v>No corsi bambini</v>
      </c>
      <c r="J109" s="367"/>
      <c r="L109" s="367" t="str">
        <f>IFERROR(__xludf.DUMMYFUNCTION("""COMPUTED_VALUE"""),"Aperti")</f>
        <v>Aperti</v>
      </c>
      <c r="N109" s="370" t="str">
        <f>IFERROR(__xludf.DUMMYFUNCTION("""COMPUTED_VALUE"""),"Aperti")</f>
        <v>Aperti</v>
      </c>
      <c r="P109" s="370"/>
      <c r="R109" s="370"/>
      <c r="T109" s="372" t="str">
        <f>IFERROR(__xludf.DUMMYFUNCTION("""COMPUTED_VALUE"""),"No corsi bambini")</f>
        <v>No corsi bambini</v>
      </c>
      <c r="V109" s="370"/>
      <c r="X109" s="370" t="str">
        <f>IFERROR(__xludf.DUMMYFUNCTION("""COMPUTED_VALUE"""),"Chiuso Ferie")</f>
        <v>Chiuso Ferie</v>
      </c>
    </row>
    <row r="110">
      <c r="B110" s="367"/>
      <c r="D110" s="367"/>
      <c r="F110" s="367"/>
      <c r="H110" s="367"/>
      <c r="J110" s="367"/>
      <c r="L110" s="368" t="str">
        <f>IFERROR(__xludf.DUMMYFUNCTION("""COMPUTED_VALUE"""),"WS Emanuel Lo (HipHop) confermato • 14:00 • 15:45 • STUDIO 21")</f>
        <v>WS Emanuel Lo (HipHop) confermato • 14:00 • 15:45 • STUDIO 21</v>
      </c>
      <c r="N110" s="370"/>
      <c r="P110" s="370"/>
      <c r="R110" s="370"/>
      <c r="T110" s="372"/>
      <c r="V110" s="370"/>
      <c r="X110" s="370"/>
    </row>
    <row r="111">
      <c r="A111" s="374"/>
      <c r="B111" s="375"/>
      <c r="C111" s="374"/>
      <c r="D111" s="375"/>
      <c r="E111" s="374"/>
      <c r="F111" s="375"/>
      <c r="G111" s="374"/>
      <c r="H111" s="375"/>
      <c r="I111" s="374"/>
      <c r="J111" s="375"/>
      <c r="K111" s="374"/>
      <c r="L111" s="375"/>
      <c r="M111" s="374"/>
      <c r="N111" s="376"/>
      <c r="O111" s="374"/>
      <c r="P111" s="376"/>
      <c r="Q111" s="374"/>
      <c r="R111" s="376"/>
      <c r="S111" s="374"/>
      <c r="T111" s="384"/>
      <c r="U111" s="374"/>
      <c r="V111" s="376"/>
      <c r="W111" s="374"/>
      <c r="X111" s="376"/>
    </row>
    <row r="112">
      <c r="A112" s="378"/>
      <c r="B112" s="367"/>
      <c r="C112" s="379"/>
      <c r="D112" s="367"/>
      <c r="E112" s="379"/>
      <c r="F112" s="372"/>
      <c r="G112" s="379"/>
      <c r="H112" s="367"/>
      <c r="I112" s="381"/>
      <c r="J112" s="367"/>
      <c r="K112" s="382"/>
      <c r="L112" s="396" t="str">
        <f>IFERROR(__xludf.DUMMYFUNCTION("""COMPUTED_VALUE"""),"AFFITTO EXTRA Kinectivibe confermato • 09:00 • 17:00 • STUDIO 11")</f>
        <v>AFFITTO EXTRA Kinectivibe confermato • 09:00 • 17:00 • STUDIO 11</v>
      </c>
      <c r="M112" s="382"/>
      <c r="N112" s="373"/>
      <c r="O112" s="382"/>
      <c r="P112" s="370"/>
      <c r="Q112" s="382"/>
      <c r="R112" s="370"/>
      <c r="S112" s="382"/>
      <c r="T112" s="372"/>
      <c r="U112" s="382"/>
      <c r="V112" s="370"/>
      <c r="W112" s="382"/>
      <c r="X112" s="370"/>
    </row>
    <row r="113">
      <c r="B113" s="367"/>
      <c r="D113" s="367"/>
      <c r="F113" s="367"/>
      <c r="H113" s="367"/>
      <c r="J113" s="367"/>
      <c r="L113" s="372"/>
      <c r="N113" s="370"/>
      <c r="P113" s="370"/>
      <c r="R113" s="370"/>
      <c r="T113" s="372"/>
      <c r="V113" s="370"/>
      <c r="X113" s="370"/>
    </row>
    <row r="114">
      <c r="B114" s="367"/>
      <c r="D114" s="367"/>
      <c r="F114" s="367" t="str">
        <f>IFERROR(__xludf.DUMMYFUNCTION("""COMPUTED_VALUE"""),"Aperti")</f>
        <v>Aperti</v>
      </c>
      <c r="H114" s="367" t="str">
        <f>IFERROR(__xludf.DUMMYFUNCTION("""COMPUTED_VALUE"""),"No corsi bambini")</f>
        <v>No corsi bambini</v>
      </c>
      <c r="J114" s="367"/>
      <c r="L114" s="367"/>
      <c r="N114" s="370"/>
      <c r="P114" s="370"/>
      <c r="R114" s="370"/>
      <c r="T114" s="372" t="str">
        <f>IFERROR(__xludf.DUMMYFUNCTION("""COMPUTED_VALUE"""),"No corsi bambini")</f>
        <v>No corsi bambini</v>
      </c>
      <c r="V114" s="370"/>
      <c r="X114" s="370" t="str">
        <f>IFERROR(__xludf.DUMMYFUNCTION("""COMPUTED_VALUE"""),"Chiuso Ferie")</f>
        <v>Chiuso Ferie</v>
      </c>
    </row>
    <row r="115">
      <c r="B115" s="367"/>
      <c r="D115" s="367"/>
      <c r="F115" s="368" t="str">
        <f>IFERROR(__xludf.DUMMYFUNCTION("""COMPUTED_VALUE"""),"Fitness con Dorian • 10:00 • 10:50 • STUDIO 11")</f>
        <v>Fitness con Dorian • 10:00 • 10:50 • STUDIO 11</v>
      </c>
      <c r="H115" s="367"/>
      <c r="J115" s="367"/>
      <c r="L115" s="367"/>
      <c r="N115" s="370"/>
      <c r="P115" s="370"/>
      <c r="R115" s="370"/>
      <c r="T115" s="372"/>
      <c r="V115" s="370"/>
      <c r="X115" s="370"/>
    </row>
    <row r="116">
      <c r="A116" s="374"/>
      <c r="B116" s="375"/>
      <c r="C116" s="374"/>
      <c r="D116" s="375"/>
      <c r="E116" s="374"/>
      <c r="F116" s="402" t="str">
        <f>IFERROR(__xludf.DUMMYFUNCTION("""COMPUTED_VALUE"""),"Fitness con Dorian • 11:00 • 11:50 • STUDIO 11")</f>
        <v>Fitness con Dorian • 11:00 • 11:50 • STUDIO 11</v>
      </c>
      <c r="G116" s="374"/>
      <c r="H116" s="375"/>
      <c r="I116" s="374"/>
      <c r="J116" s="375"/>
      <c r="K116" s="374"/>
      <c r="L116" s="375"/>
      <c r="M116" s="374"/>
      <c r="N116" s="376"/>
      <c r="O116" s="374"/>
      <c r="P116" s="376"/>
      <c r="Q116" s="374"/>
      <c r="R116" s="376"/>
      <c r="S116" s="374"/>
      <c r="T116" s="384"/>
      <c r="U116" s="374"/>
      <c r="V116" s="376"/>
      <c r="W116" s="374"/>
      <c r="X116" s="376"/>
    </row>
    <row r="117">
      <c r="A117" s="378"/>
      <c r="B117" s="367"/>
      <c r="C117" s="379"/>
      <c r="D117" s="367"/>
      <c r="E117" s="379"/>
      <c r="F117" s="368" t="str">
        <f>IFERROR(__xludf.DUMMYFUNCTION("""COMPUTED_VALUE"""),"AFFITTO EXTRA Beatrice Carbone confermato • 10:00 • 15:00 • STUDIO 25")</f>
        <v>AFFITTO EXTRA Beatrice Carbone confermato • 10:00 • 15:00 • STUDIO 25</v>
      </c>
      <c r="G117" s="379"/>
      <c r="H117" s="380"/>
      <c r="I117" s="381"/>
      <c r="J117" s="372"/>
      <c r="K117" s="382"/>
      <c r="L117" s="367"/>
      <c r="M117" s="382"/>
      <c r="N117" s="371"/>
      <c r="O117" s="382"/>
      <c r="P117" s="370"/>
      <c r="Q117" s="382"/>
      <c r="R117" s="373"/>
      <c r="S117" s="382"/>
      <c r="T117" s="372"/>
      <c r="U117" s="382"/>
      <c r="V117" s="370"/>
      <c r="W117" s="382"/>
      <c r="X117" s="370"/>
    </row>
    <row r="118">
      <c r="B118" s="367"/>
      <c r="D118" s="367"/>
      <c r="F118" s="367"/>
      <c r="H118" s="367"/>
      <c r="J118" s="372"/>
      <c r="L118" s="367"/>
      <c r="N118" s="371"/>
      <c r="P118" s="370"/>
      <c r="R118" s="370"/>
      <c r="T118" s="367"/>
      <c r="V118" s="370"/>
      <c r="X118" s="370"/>
    </row>
    <row r="119">
      <c r="B119" s="367"/>
      <c r="D119" s="367"/>
      <c r="F119" s="367"/>
      <c r="H119" s="367" t="str">
        <f>IFERROR(__xludf.DUMMYFUNCTION("""COMPUTED_VALUE"""),"Chiuso Ferie")</f>
        <v>Chiuso Ferie</v>
      </c>
      <c r="J119" s="372"/>
      <c r="L119" s="367"/>
      <c r="N119" s="371"/>
      <c r="P119" s="370"/>
      <c r="R119" s="370" t="str">
        <f>IFERROR(__xludf.DUMMYFUNCTION("""COMPUTED_VALUE"""),"Aperti")</f>
        <v>Aperti</v>
      </c>
      <c r="T119" s="367" t="str">
        <f>IFERROR(__xludf.DUMMYFUNCTION("""COMPUTED_VALUE"""),"No corsi bambini")</f>
        <v>No corsi bambini</v>
      </c>
      <c r="V119" s="370"/>
      <c r="X119" s="370" t="str">
        <f>IFERROR(__xludf.DUMMYFUNCTION("""COMPUTED_VALUE"""),"Uff aperti 8:30-19:30")</f>
        <v>Uff aperti 8:30-19:30</v>
      </c>
    </row>
    <row r="120">
      <c r="B120" s="367"/>
      <c r="D120" s="367"/>
      <c r="F120" s="367"/>
      <c r="H120" s="367"/>
      <c r="J120" s="367"/>
      <c r="L120" s="367"/>
      <c r="N120" s="371"/>
      <c r="P120" s="370"/>
      <c r="R120" s="370"/>
      <c r="T120" s="367"/>
      <c r="V120" s="370"/>
      <c r="X120" s="370"/>
    </row>
    <row r="121">
      <c r="A121" s="374"/>
      <c r="B121" s="375"/>
      <c r="C121" s="374"/>
      <c r="D121" s="375"/>
      <c r="E121" s="374"/>
      <c r="F121" s="375"/>
      <c r="G121" s="374"/>
      <c r="H121" s="375"/>
      <c r="I121" s="374"/>
      <c r="J121" s="375"/>
      <c r="K121" s="374"/>
      <c r="L121" s="375"/>
      <c r="M121" s="374"/>
      <c r="N121" s="389"/>
      <c r="O121" s="374"/>
      <c r="P121" s="376"/>
      <c r="Q121" s="374"/>
      <c r="R121" s="376"/>
      <c r="S121" s="374"/>
      <c r="T121" s="375"/>
      <c r="U121" s="374"/>
      <c r="V121" s="376"/>
      <c r="W121" s="374"/>
      <c r="X121" s="376"/>
    </row>
    <row r="122">
      <c r="A122" s="378"/>
      <c r="B122" s="367"/>
      <c r="C122" s="379"/>
      <c r="D122" s="367"/>
      <c r="E122" s="379"/>
      <c r="F122" s="367"/>
      <c r="G122" s="379"/>
      <c r="H122" s="372"/>
      <c r="I122" s="381"/>
      <c r="J122" s="372"/>
      <c r="K122" s="382"/>
      <c r="L122" s="372"/>
      <c r="M122" s="382"/>
      <c r="N122" s="370"/>
      <c r="O122" s="382"/>
      <c r="P122" s="373"/>
      <c r="Q122" s="382"/>
      <c r="R122" s="370"/>
      <c r="S122" s="382"/>
      <c r="T122" s="372"/>
      <c r="U122" s="382"/>
      <c r="V122" s="370"/>
      <c r="W122" s="382"/>
      <c r="X122" s="370"/>
    </row>
    <row r="123">
      <c r="B123" s="367"/>
      <c r="D123" s="367"/>
      <c r="F123" s="367"/>
      <c r="H123" s="372"/>
      <c r="J123" s="385"/>
      <c r="L123" s="372"/>
      <c r="N123" s="370"/>
      <c r="P123" s="373"/>
      <c r="R123" s="370"/>
      <c r="T123" s="367"/>
      <c r="V123" s="370"/>
      <c r="X123" s="370"/>
    </row>
    <row r="124">
      <c r="B124" s="367"/>
      <c r="D124" s="367"/>
      <c r="F124" s="367"/>
      <c r="H124" s="372" t="str">
        <f>IFERROR(__xludf.DUMMYFUNCTION("""COMPUTED_VALUE"""),"Festa Natale")</f>
        <v>Festa Natale</v>
      </c>
      <c r="J124" s="367" t="str">
        <f>IFERROR(__xludf.DUMMYFUNCTION("""COMPUTED_VALUE"""),"Aperti")</f>
        <v>Aperti</v>
      </c>
      <c r="L124" s="372"/>
      <c r="N124" s="370"/>
      <c r="P124" s="373" t="str">
        <f>IFERROR(__xludf.DUMMYFUNCTION("""COMPUTED_VALUE"""),"Chiuso")</f>
        <v>Chiuso</v>
      </c>
      <c r="R124" s="370"/>
      <c r="T124" s="367" t="str">
        <f>IFERROR(__xludf.DUMMYFUNCTION("""COMPUTED_VALUE"""),"No corsi bambini")</f>
        <v>No corsi bambini</v>
      </c>
      <c r="V124" s="370"/>
      <c r="X124" s="370" t="str">
        <f>IFERROR(__xludf.DUMMYFUNCTION("""COMPUTED_VALUE"""),"Uff aperti 8:30-19:30")</f>
        <v>Uff aperti 8:30-19:30</v>
      </c>
    </row>
    <row r="125">
      <c r="B125" s="367"/>
      <c r="D125" s="367"/>
      <c r="F125" s="367"/>
      <c r="H125" s="372"/>
      <c r="J125" s="368" t="str">
        <f>IFERROR(__xludf.DUMMYFUNCTION("""COMPUTED_VALUE"""),"AFFITTO EXTRA Beatrice Carbone confermato • 10:00 • 15:00 • STUDIO 25")</f>
        <v>AFFITTO EXTRA Beatrice Carbone confermato • 10:00 • 15:00 • STUDIO 25</v>
      </c>
      <c r="L125" s="372"/>
      <c r="N125" s="370"/>
      <c r="P125" s="373"/>
      <c r="R125" s="370"/>
      <c r="T125" s="367"/>
      <c r="V125" s="370"/>
      <c r="X125" s="370"/>
    </row>
    <row r="126">
      <c r="A126" s="374"/>
      <c r="B126" s="375"/>
      <c r="C126" s="374"/>
      <c r="D126" s="375"/>
      <c r="E126" s="374"/>
      <c r="F126" s="375"/>
      <c r="G126" s="374"/>
      <c r="H126" s="384"/>
      <c r="I126" s="374"/>
      <c r="J126" s="375"/>
      <c r="K126" s="374"/>
      <c r="L126" s="384"/>
      <c r="M126" s="374"/>
      <c r="N126" s="376"/>
      <c r="O126" s="374"/>
      <c r="P126" s="387"/>
      <c r="Q126" s="374"/>
      <c r="R126" s="376"/>
      <c r="S126" s="374"/>
      <c r="T126" s="375"/>
      <c r="U126" s="374"/>
      <c r="V126" s="376"/>
      <c r="W126" s="374"/>
      <c r="X126" s="376"/>
    </row>
    <row r="127">
      <c r="A127" s="378"/>
      <c r="B127" s="367"/>
      <c r="C127" s="379"/>
      <c r="D127" s="372"/>
      <c r="E127" s="379"/>
      <c r="F127" s="367"/>
      <c r="G127" s="379"/>
      <c r="H127" s="372"/>
      <c r="I127" s="381"/>
      <c r="J127" s="372"/>
      <c r="K127" s="382"/>
      <c r="L127" s="367"/>
      <c r="M127" s="382"/>
      <c r="N127" s="370"/>
      <c r="O127" s="382"/>
      <c r="P127" s="370"/>
      <c r="Q127" s="382"/>
      <c r="R127" s="370"/>
      <c r="S127" s="382"/>
      <c r="T127" s="372"/>
      <c r="U127" s="382"/>
      <c r="V127" s="370"/>
      <c r="W127" s="382"/>
      <c r="X127" s="370"/>
    </row>
    <row r="128">
      <c r="B128" s="367"/>
      <c r="D128" s="385"/>
      <c r="F128" s="367"/>
      <c r="H128" s="367"/>
      <c r="J128" s="367"/>
      <c r="L128" s="367"/>
      <c r="N128" s="370"/>
      <c r="P128" s="370"/>
      <c r="R128" s="370"/>
      <c r="T128" s="367"/>
      <c r="V128" s="370"/>
      <c r="X128" s="370"/>
    </row>
    <row r="129">
      <c r="B129" s="367"/>
      <c r="D129" s="385" t="str">
        <f>IFERROR(__xludf.DUMMYFUNCTION("""COMPUTED_VALUE"""),"Aperti")</f>
        <v>Aperti</v>
      </c>
      <c r="F129" s="367"/>
      <c r="H129" s="367" t="str">
        <f>IFERROR(__xludf.DUMMYFUNCTION("""COMPUTED_VALUE"""),"Festa Santo Stefano")</f>
        <v>Festa Santo Stefano</v>
      </c>
      <c r="J129" s="367"/>
      <c r="L129" s="367"/>
      <c r="N129" s="370"/>
      <c r="P129" s="369" t="str">
        <f>IFERROR(__xludf.DUMMYFUNCTION("""COMPUTED_VALUE"""),"GARA All you can dance
(Silvia Grande)")</f>
        <v>GARA All you can dance
(Silvia Grande)</v>
      </c>
      <c r="R129" s="370" t="str">
        <f>IFERROR(__xludf.DUMMYFUNCTION("""COMPUTED_VALUE"""),"festa scuola porta Agnesi • 16:30 • 18:00")</f>
        <v>festa scuola porta Agnesi • 16:30 • 18:00</v>
      </c>
      <c r="T129" s="367" t="str">
        <f>IFERROR(__xludf.DUMMYFUNCTION("""COMPUTED_VALUE"""),"No corsi bambini")</f>
        <v>No corsi bambini</v>
      </c>
      <c r="V129" s="370"/>
      <c r="X129" s="370" t="str">
        <f>IFERROR(__xludf.DUMMYFUNCTION("""COMPUTED_VALUE"""),"Uff aperti 8:30-19:30")</f>
        <v>Uff aperti 8:30-19:30</v>
      </c>
    </row>
    <row r="130">
      <c r="B130" s="367"/>
      <c r="D130" s="368" t="str">
        <f>IFERROR(__xludf.DUMMYFUNCTION("""COMPUTED_VALUE"""),"WS Lulu (Heels Fusion) confermato • 14:30 • 16:00 • STUDIO 11")</f>
        <v>WS Lulu (Heels Fusion) confermato • 14:30 • 16:00 • STUDIO 11</v>
      </c>
      <c r="F130" s="367"/>
      <c r="H130" s="367"/>
      <c r="J130" s="367"/>
      <c r="L130" s="367"/>
      <c r="N130" s="370"/>
      <c r="P130" s="370"/>
      <c r="R130" s="370"/>
      <c r="T130" s="367"/>
      <c r="V130" s="370"/>
      <c r="X130" s="370"/>
    </row>
    <row r="131">
      <c r="A131" s="374"/>
      <c r="B131" s="375"/>
      <c r="C131" s="374"/>
      <c r="D131" s="402" t="str">
        <f>IFERROR(__xludf.DUMMYFUNCTION("""COMPUTED_VALUE"""),"WS Timor Steffens (commercial) confermato • 15:30 • 17:00 • STUDIO 21")</f>
        <v>WS Timor Steffens (commercial) confermato • 15:30 • 17:00 • STUDIO 21</v>
      </c>
      <c r="E131" s="374"/>
      <c r="F131" s="375"/>
      <c r="G131" s="374"/>
      <c r="H131" s="375"/>
      <c r="I131" s="374"/>
      <c r="J131" s="375"/>
      <c r="K131" s="374"/>
      <c r="L131" s="375"/>
      <c r="M131" s="374"/>
      <c r="N131" s="376"/>
      <c r="O131" s="374"/>
      <c r="P131" s="376"/>
      <c r="Q131" s="374"/>
      <c r="R131" s="376"/>
      <c r="S131" s="374"/>
      <c r="T131" s="375"/>
      <c r="U131" s="374"/>
      <c r="V131" s="376"/>
      <c r="W131" s="374"/>
      <c r="X131" s="376"/>
    </row>
    <row r="132">
      <c r="A132" s="378"/>
      <c r="B132" s="367"/>
      <c r="C132" s="379"/>
      <c r="D132" s="368" t="str">
        <f>IFERROR(__xludf.DUMMYFUNCTION("""COMPUTED_VALUE"""),"AFFITTO EXTRA Beatrice Carbone confermato • 10:00 • 15:00 • STUDIO 25")</f>
        <v>AFFITTO EXTRA Beatrice Carbone confermato • 10:00 • 15:00 • STUDIO 25</v>
      </c>
      <c r="E132" s="379"/>
      <c r="F132" s="367"/>
      <c r="G132" s="379"/>
      <c r="H132" s="380"/>
      <c r="I132" s="381"/>
      <c r="J132" s="367"/>
      <c r="K132" s="382"/>
      <c r="L132" s="367"/>
      <c r="M132" s="382"/>
      <c r="N132" s="370"/>
      <c r="O132" s="382"/>
      <c r="P132" s="373"/>
      <c r="Q132" s="382"/>
      <c r="R132" s="370"/>
      <c r="S132" s="382"/>
      <c r="T132" s="367"/>
      <c r="U132" s="382"/>
      <c r="V132" s="370"/>
      <c r="W132" s="382"/>
      <c r="X132" s="370"/>
    </row>
    <row r="133">
      <c r="B133" s="367"/>
      <c r="D133" s="368" t="str">
        <f>IFERROR(__xludf.DUMMYFUNCTION("""COMPUTED_VALUE"""),"AFFITTO EXTRA Silvia Grande confermato • 10:30 • 12:30 • STUDIO 21")</f>
        <v>AFFITTO EXTRA Silvia Grande confermato • 10:30 • 12:30 • STUDIO 21</v>
      </c>
      <c r="F133" s="367"/>
      <c r="H133" s="367"/>
      <c r="J133" s="367"/>
      <c r="L133" s="367"/>
      <c r="N133" s="370"/>
      <c r="P133" s="370"/>
      <c r="R133" s="370"/>
      <c r="T133" s="367"/>
      <c r="V133" s="370"/>
      <c r="X133" s="370"/>
    </row>
    <row r="134">
      <c r="B134" s="367"/>
      <c r="D134" s="367"/>
      <c r="F134" s="367"/>
      <c r="H134" s="367" t="str">
        <f>IFERROR(__xludf.DUMMYFUNCTION("""COMPUTED_VALUE"""),"Chiuso Ferie")</f>
        <v>Chiuso Ferie</v>
      </c>
      <c r="J134" s="367"/>
      <c r="L134" s="367"/>
      <c r="N134" s="370"/>
      <c r="P134" s="370"/>
      <c r="R134" s="370"/>
      <c r="T134" s="367"/>
      <c r="V134" s="370"/>
      <c r="X134" s="370" t="str">
        <f>IFERROR(__xludf.DUMMYFUNCTION("""COMPUTED_VALUE"""),"Uff aperti 8:30-19:30")</f>
        <v>Uff aperti 8:30-19:30</v>
      </c>
    </row>
    <row r="135">
      <c r="B135" s="367"/>
      <c r="D135" s="367"/>
      <c r="F135" s="367"/>
      <c r="H135" s="367"/>
      <c r="J135" s="367"/>
      <c r="L135" s="367"/>
      <c r="N135" s="370"/>
      <c r="P135" s="370"/>
      <c r="R135" s="370"/>
      <c r="T135" s="367"/>
      <c r="V135" s="370"/>
      <c r="X135" s="370"/>
    </row>
    <row r="136">
      <c r="A136" s="374"/>
      <c r="B136" s="375"/>
      <c r="C136" s="374"/>
      <c r="D136" s="375"/>
      <c r="E136" s="374"/>
      <c r="F136" s="375"/>
      <c r="G136" s="374"/>
      <c r="H136" s="375"/>
      <c r="I136" s="374"/>
      <c r="J136" s="375"/>
      <c r="K136" s="374"/>
      <c r="L136" s="375"/>
      <c r="M136" s="374"/>
      <c r="N136" s="376"/>
      <c r="O136" s="374"/>
      <c r="P136" s="376"/>
      <c r="Q136" s="374"/>
      <c r="R136" s="376"/>
      <c r="S136" s="374"/>
      <c r="T136" s="375"/>
      <c r="U136" s="374"/>
      <c r="V136" s="376"/>
      <c r="W136" s="374"/>
      <c r="X136" s="376"/>
    </row>
    <row r="137">
      <c r="A137" s="378"/>
      <c r="B137" s="380"/>
      <c r="C137" s="379"/>
      <c r="D137" s="367"/>
      <c r="E137" s="379"/>
      <c r="F137" s="367"/>
      <c r="G137" s="379"/>
      <c r="H137" s="367"/>
      <c r="I137" s="381"/>
      <c r="J137" s="395"/>
      <c r="K137" s="382"/>
      <c r="L137" s="367"/>
      <c r="M137" s="382"/>
      <c r="N137" s="370"/>
      <c r="O137" s="382"/>
      <c r="P137" s="371"/>
      <c r="Q137" s="382"/>
      <c r="R137" s="370"/>
      <c r="S137" s="382"/>
      <c r="T137" s="372"/>
      <c r="U137" s="382"/>
      <c r="V137" s="370"/>
      <c r="W137" s="382"/>
      <c r="X137" s="370"/>
    </row>
    <row r="138">
      <c r="B138" s="367"/>
      <c r="D138" s="367"/>
      <c r="F138" s="367"/>
      <c r="H138" s="367"/>
      <c r="J138" s="395"/>
      <c r="L138" s="367"/>
      <c r="N138" s="370"/>
      <c r="P138" s="371"/>
      <c r="R138" s="370"/>
      <c r="T138" s="367"/>
      <c r="V138" s="370"/>
      <c r="X138" s="370"/>
    </row>
    <row r="139">
      <c r="B139" s="367" t="str">
        <f>IFERROR(__xludf.DUMMYFUNCTION("""COMPUTED_VALUE"""),"Chiuso")</f>
        <v>Chiuso</v>
      </c>
      <c r="D139" s="367"/>
      <c r="F139" s="367"/>
      <c r="H139" s="367"/>
      <c r="J139" s="395"/>
      <c r="L139" s="367"/>
      <c r="N139" s="370"/>
      <c r="P139" s="371"/>
      <c r="R139" s="370"/>
      <c r="T139" s="367" t="str">
        <f>IFERROR(__xludf.DUMMYFUNCTION("""COMPUTED_VALUE"""),"Aperti")</f>
        <v>Aperti</v>
      </c>
      <c r="V139" s="370"/>
      <c r="X139" s="370" t="str">
        <f>IFERROR(__xludf.DUMMYFUNCTION("""COMPUTED_VALUE"""),"Uff aperti 8:30-19:30")</f>
        <v>Uff aperti 8:30-19:30</v>
      </c>
    </row>
    <row r="140">
      <c r="B140" s="368" t="str">
        <f>IFERROR(__xludf.DUMMYFUNCTION("""COMPUTED_VALUE"""),"EVENTO ESTERNO Mind Fest Openclass In forma Ballando • 12:00 • 13:00")</f>
        <v>EVENTO ESTERNO Mind Fest Openclass In forma Ballando • 12:00 • 13:00</v>
      </c>
      <c r="D140" s="367"/>
      <c r="F140" s="367"/>
      <c r="H140" s="367"/>
      <c r="J140" s="395"/>
      <c r="L140" s="367"/>
      <c r="N140" s="370"/>
      <c r="P140" s="371"/>
      <c r="R140" s="370"/>
      <c r="T140" s="367"/>
      <c r="V140" s="370"/>
      <c r="X140" s="370"/>
    </row>
    <row r="141">
      <c r="A141" s="374"/>
      <c r="B141" s="402" t="str">
        <f>IFERROR(__xludf.DUMMYFUNCTION("""COMPUTED_VALUE"""),"EVENTO ESTERNO Mind Fest Openclass Danze caraibiche • 13:00 • 14:00")</f>
        <v>EVENTO ESTERNO Mind Fest Openclass Danze caraibiche • 13:00 • 14:00</v>
      </c>
      <c r="C141" s="374"/>
      <c r="D141" s="375"/>
      <c r="E141" s="374"/>
      <c r="F141" s="375"/>
      <c r="G141" s="374"/>
      <c r="H141" s="375"/>
      <c r="I141" s="374"/>
      <c r="J141" s="391"/>
      <c r="K141" s="374"/>
      <c r="L141" s="375"/>
      <c r="M141" s="374"/>
      <c r="N141" s="376"/>
      <c r="O141" s="374"/>
      <c r="P141" s="389"/>
      <c r="Q141" s="374"/>
      <c r="R141" s="376"/>
      <c r="S141" s="374"/>
      <c r="T141" s="375"/>
      <c r="U141" s="374"/>
      <c r="V141" s="376"/>
      <c r="W141" s="374"/>
      <c r="X141" s="376"/>
    </row>
    <row r="142">
      <c r="A142" s="378"/>
      <c r="B142" s="367"/>
      <c r="C142" s="379"/>
      <c r="D142" s="367"/>
      <c r="E142" s="379"/>
      <c r="F142" s="367"/>
      <c r="G142" s="379"/>
      <c r="H142" s="372"/>
      <c r="I142" s="381"/>
      <c r="J142" s="367"/>
      <c r="K142" s="404"/>
      <c r="L142" s="405"/>
      <c r="M142" s="382"/>
      <c r="N142" s="373"/>
      <c r="O142" s="382"/>
      <c r="P142" s="373"/>
      <c r="Q142" s="382"/>
      <c r="R142" s="370"/>
      <c r="S142" s="382"/>
      <c r="T142" s="372"/>
      <c r="U142" s="382"/>
      <c r="V142" s="370"/>
      <c r="W142" s="382"/>
      <c r="X142" s="370"/>
    </row>
    <row r="143">
      <c r="B143" s="367"/>
      <c r="D143" s="367"/>
      <c r="F143" s="367"/>
      <c r="H143" s="367"/>
      <c r="J143" s="367"/>
      <c r="K143" s="406"/>
      <c r="L143" s="407"/>
      <c r="N143" s="370"/>
      <c r="P143" s="373"/>
      <c r="R143" s="370"/>
      <c r="T143" s="367"/>
      <c r="V143" s="370"/>
      <c r="X143" s="370"/>
    </row>
    <row r="144">
      <c r="B144" s="367"/>
      <c r="D144" s="367"/>
      <c r="F144" s="367"/>
      <c r="H144" s="367" t="str">
        <f>IFERROR(__xludf.DUMMYFUNCTION("""COMPUTED_VALUE"""),"Uff aperti 8:30-19:30")</f>
        <v>Uff aperti 8:30-19:30</v>
      </c>
      <c r="J144" s="367"/>
      <c r="K144" s="406"/>
      <c r="L144" s="407"/>
      <c r="N144" s="370" t="str">
        <f>IFERROR(__xludf.DUMMYFUNCTION("""COMPUTED_VALUE"""),"Aperti")</f>
        <v>Aperti</v>
      </c>
      <c r="P144" s="373"/>
      <c r="R144" s="370"/>
      <c r="T144" s="367" t="str">
        <f>IFERROR(__xludf.DUMMYFUNCTION("""COMPUTED_VALUE"""),"No corsi bambini")</f>
        <v>No corsi bambini</v>
      </c>
      <c r="V144" s="370"/>
      <c r="X144" s="370" t="str">
        <f>IFERROR(__xludf.DUMMYFUNCTION("""COMPUTED_VALUE"""),"Chiuso")</f>
        <v>Chiuso</v>
      </c>
    </row>
    <row r="145">
      <c r="B145" s="367"/>
      <c r="D145" s="367"/>
      <c r="F145" s="367"/>
      <c r="H145" s="367"/>
      <c r="J145" s="367"/>
      <c r="K145" s="406"/>
      <c r="L145" s="407"/>
      <c r="N145" s="370"/>
      <c r="P145" s="373"/>
      <c r="R145" s="370"/>
      <c r="T145" s="367"/>
      <c r="V145" s="370"/>
      <c r="X145" s="370"/>
    </row>
    <row r="146">
      <c r="A146" s="374"/>
      <c r="B146" s="375"/>
      <c r="C146" s="374"/>
      <c r="D146" s="375"/>
      <c r="E146" s="374"/>
      <c r="F146" s="375"/>
      <c r="G146" s="374"/>
      <c r="H146" s="375"/>
      <c r="I146" s="374"/>
      <c r="J146" s="375"/>
      <c r="K146" s="406"/>
      <c r="L146" s="407"/>
      <c r="M146" s="374"/>
      <c r="N146" s="376"/>
      <c r="O146" s="374"/>
      <c r="P146" s="387"/>
      <c r="Q146" s="374"/>
      <c r="R146" s="376"/>
      <c r="S146" s="374"/>
      <c r="T146" s="375"/>
      <c r="U146" s="374"/>
      <c r="V146" s="376"/>
      <c r="W146" s="374"/>
      <c r="X146" s="376"/>
    </row>
    <row r="147">
      <c r="A147" s="378"/>
      <c r="B147" s="367"/>
      <c r="C147" s="379"/>
      <c r="D147" s="367"/>
      <c r="E147" s="379"/>
      <c r="F147" s="372"/>
      <c r="G147" s="379"/>
      <c r="H147" s="372"/>
      <c r="I147" s="381"/>
      <c r="J147" s="367"/>
      <c r="K147" s="406"/>
      <c r="L147" s="407"/>
      <c r="M147" s="382"/>
      <c r="N147" s="370"/>
      <c r="O147" s="382"/>
      <c r="P147" s="373"/>
      <c r="Q147" s="382"/>
      <c r="R147" s="370"/>
      <c r="S147" s="382"/>
      <c r="T147" s="372"/>
      <c r="U147" s="382"/>
      <c r="V147" s="370"/>
      <c r="W147" s="382"/>
      <c r="X147" s="370"/>
    </row>
    <row r="148">
      <c r="B148" s="367"/>
      <c r="D148" s="367"/>
      <c r="F148" s="367"/>
      <c r="H148" s="367"/>
      <c r="J148" s="367"/>
      <c r="K148" s="406"/>
      <c r="L148" s="407"/>
      <c r="N148" s="370"/>
      <c r="P148" s="373"/>
      <c r="R148" s="370"/>
      <c r="T148" s="367"/>
      <c r="V148" s="370"/>
      <c r="X148" s="370"/>
    </row>
    <row r="149">
      <c r="B149" s="367"/>
      <c r="D149" s="367"/>
      <c r="F149" s="367" t="str">
        <f>IFERROR(__xludf.DUMMYFUNCTION("""COMPUTED_VALUE"""),"Aperti")</f>
        <v>Aperti</v>
      </c>
      <c r="H149" s="367" t="str">
        <f>IFERROR(__xludf.DUMMYFUNCTION("""COMPUTED_VALUE"""),"Uff aperti 8:30-19:30")</f>
        <v>Uff aperti 8:30-19:30</v>
      </c>
      <c r="J149" s="367"/>
      <c r="K149" s="406"/>
      <c r="L149" s="407"/>
      <c r="N149" s="373"/>
      <c r="P149" s="373"/>
      <c r="R149" s="370"/>
      <c r="T149" s="367" t="str">
        <f>IFERROR(__xludf.DUMMYFUNCTION("""COMPUTED_VALUE"""),"No corsi bambini")</f>
        <v>No corsi bambini</v>
      </c>
      <c r="V149" s="370"/>
      <c r="X149" s="370"/>
    </row>
    <row r="150">
      <c r="B150" s="367"/>
      <c r="D150" s="367"/>
      <c r="F150" s="368" t="str">
        <f>IFERROR(__xludf.DUMMYFUNCTION("""COMPUTED_VALUE"""),"GARA Premio Vienna Danza
(Silvia Grande)")</f>
        <v>GARA Premio Vienna Danza
(Silvia Grande)</v>
      </c>
      <c r="H150" s="367"/>
      <c r="J150" s="367"/>
      <c r="K150" s="406"/>
      <c r="L150" s="407"/>
      <c r="N150" s="370"/>
      <c r="P150" s="373"/>
      <c r="R150" s="370"/>
      <c r="T150" s="367"/>
      <c r="V150" s="370"/>
      <c r="X150" s="370"/>
    </row>
    <row r="151">
      <c r="A151" s="374"/>
      <c r="B151" s="375"/>
      <c r="C151" s="374"/>
      <c r="D151" s="375"/>
      <c r="E151" s="374"/>
      <c r="F151" s="375"/>
      <c r="G151" s="374"/>
      <c r="H151" s="375"/>
      <c r="I151" s="374"/>
      <c r="J151" s="375"/>
      <c r="K151" s="406"/>
      <c r="L151" s="407"/>
      <c r="M151" s="374"/>
      <c r="N151" s="376"/>
      <c r="O151" s="374"/>
      <c r="P151" s="387"/>
      <c r="Q151" s="374"/>
      <c r="R151" s="376"/>
      <c r="S151" s="374"/>
      <c r="T151" s="375"/>
      <c r="U151" s="374"/>
      <c r="V151" s="376"/>
      <c r="W151" s="374"/>
      <c r="X151" s="376"/>
    </row>
    <row r="152">
      <c r="A152" s="408"/>
      <c r="B152" s="405"/>
      <c r="C152" s="379"/>
      <c r="D152" s="372"/>
      <c r="E152" s="404"/>
      <c r="F152" s="405"/>
      <c r="G152" s="379"/>
      <c r="H152" s="380"/>
      <c r="I152" s="381"/>
      <c r="J152" s="367"/>
      <c r="K152" s="406"/>
      <c r="L152" s="407"/>
      <c r="M152" s="404"/>
      <c r="N152" s="405"/>
      <c r="O152" s="404"/>
      <c r="P152" s="405"/>
      <c r="Q152" s="382"/>
      <c r="R152" s="370"/>
      <c r="S152" s="404"/>
      <c r="T152" s="405"/>
      <c r="U152" s="382"/>
      <c r="V152" s="370"/>
      <c r="W152" s="382"/>
      <c r="X152" s="370"/>
    </row>
    <row r="153">
      <c r="A153" s="406"/>
      <c r="B153" s="407"/>
      <c r="D153" s="367"/>
      <c r="E153" s="406"/>
      <c r="F153" s="407"/>
      <c r="H153" s="367"/>
      <c r="J153" s="367"/>
      <c r="K153" s="406"/>
      <c r="L153" s="407"/>
      <c r="M153" s="406"/>
      <c r="N153" s="407"/>
      <c r="O153" s="406"/>
      <c r="P153" s="407"/>
      <c r="R153" s="370"/>
      <c r="S153" s="406"/>
      <c r="T153" s="407"/>
      <c r="V153" s="370"/>
      <c r="X153" s="370"/>
    </row>
    <row r="154">
      <c r="A154" s="406"/>
      <c r="B154" s="407"/>
      <c r="D154" s="367"/>
      <c r="E154" s="406"/>
      <c r="F154" s="407"/>
      <c r="H154" s="367" t="str">
        <f>IFERROR(__xludf.DUMMYFUNCTION("""COMPUTED_VALUE"""),"Chiuso Ferie")</f>
        <v>Chiuso Ferie</v>
      </c>
      <c r="J154" s="367"/>
      <c r="K154" s="406"/>
      <c r="L154" s="407"/>
      <c r="M154" s="406"/>
      <c r="N154" s="407"/>
      <c r="O154" s="406"/>
      <c r="P154" s="407"/>
      <c r="R154" s="370"/>
      <c r="S154" s="406"/>
      <c r="T154" s="407"/>
      <c r="V154" s="370"/>
      <c r="X154" s="370" t="str">
        <f>IFERROR(__xludf.DUMMYFUNCTION("""COMPUTED_VALUE"""),"Uff aperti 8:30-19:30")</f>
        <v>Uff aperti 8:30-19:30</v>
      </c>
    </row>
    <row r="155">
      <c r="A155" s="406"/>
      <c r="B155" s="407"/>
      <c r="D155" s="367"/>
      <c r="E155" s="406"/>
      <c r="F155" s="407"/>
      <c r="H155" s="367"/>
      <c r="J155" s="367"/>
      <c r="K155" s="406"/>
      <c r="L155" s="407"/>
      <c r="M155" s="406"/>
      <c r="N155" s="407"/>
      <c r="O155" s="406"/>
      <c r="P155" s="407"/>
      <c r="R155" s="370"/>
      <c r="S155" s="406"/>
      <c r="T155" s="407"/>
      <c r="V155" s="370"/>
      <c r="X155" s="370"/>
    </row>
    <row r="156">
      <c r="A156" s="409"/>
      <c r="B156" s="410"/>
      <c r="C156" s="374"/>
      <c r="D156" s="375"/>
      <c r="E156" s="409"/>
      <c r="F156" s="410"/>
      <c r="G156" s="374"/>
      <c r="H156" s="375"/>
      <c r="I156" s="374"/>
      <c r="J156" s="375"/>
      <c r="K156" s="409"/>
      <c r="L156" s="410"/>
      <c r="M156" s="409"/>
      <c r="N156" s="410"/>
      <c r="O156" s="409"/>
      <c r="P156" s="410"/>
      <c r="Q156" s="374"/>
      <c r="R156" s="376"/>
      <c r="S156" s="409"/>
      <c r="T156" s="410"/>
      <c r="U156" s="374"/>
      <c r="V156" s="376"/>
      <c r="W156" s="374"/>
      <c r="X156" s="376"/>
    </row>
    <row r="157">
      <c r="A157" s="411"/>
      <c r="B157" s="412"/>
    </row>
    <row r="158">
      <c r="A158" s="413"/>
    </row>
    <row r="159">
      <c r="A159" s="414" t="str">
        <f>IFERROR(__xludf.DUMMYFUNCTION("""COMPUTED_VALUE"""),"Note")</f>
        <v>Note</v>
      </c>
      <c r="C159" s="415"/>
      <c r="E159" s="415"/>
      <c r="G159" s="415"/>
      <c r="I159" s="416"/>
      <c r="K159" s="417"/>
      <c r="M159" s="417"/>
      <c r="O159" s="418"/>
      <c r="Q159" s="418"/>
      <c r="S159" s="419"/>
      <c r="T159" s="412"/>
      <c r="U159" s="420"/>
      <c r="V159" s="420"/>
      <c r="W159" s="420"/>
      <c r="X159" s="420"/>
    </row>
    <row r="160">
      <c r="A160" s="421"/>
      <c r="C160" s="415"/>
      <c r="E160" s="415"/>
      <c r="G160" s="415"/>
      <c r="I160" s="415"/>
      <c r="K160" s="415"/>
      <c r="M160" s="415"/>
      <c r="O160" s="418"/>
      <c r="Q160" s="418"/>
      <c r="S160" s="419"/>
      <c r="T160" s="412"/>
      <c r="U160" s="420"/>
      <c r="V160" s="420"/>
      <c r="W160" s="420"/>
      <c r="X160" s="420"/>
    </row>
    <row r="161">
      <c r="A161" s="422" t="str">
        <f>IFERROR(__xludf.DUMMYFUNCTION("""COMPUTED_VALUE"""),"Legenda:	")</f>
        <v>Legenda:	</v>
      </c>
      <c r="C161" s="415" t="str">
        <f>IFERROR(__xludf.DUMMYFUNCTION("""COMPUTED_VALUE"""),"CAMPUS")</f>
        <v>CAMPUS</v>
      </c>
      <c r="E161" s="423" t="str">
        <f>IFERROR(__xludf.DUMMYFUNCTION("""COMPUTED_VALUE"""),"SAGGI")</f>
        <v>SAGGI</v>
      </c>
      <c r="G161" s="415" t="str">
        <f>IFERROR(__xludf.DUMMYFUNCTION("""COMPUTED_VALUE"""),"AFFITTO/AFFITTI")</f>
        <v>AFFITTO/AFFITTI</v>
      </c>
      <c r="I161" s="415" t="str">
        <f>IFERROR(__xludf.DUMMYFUNCTION("""COMPUTED_VALUE"""),"CHIUSO e FINE")</f>
        <v>CHIUSO e FINE</v>
      </c>
      <c r="K161" s="415" t="str">
        <f>IFERROR(__xludf.DUMMYFUNCTION("""COMPUTED_VALUE"""),"Bambini")</f>
        <v>Bambini</v>
      </c>
      <c r="M161" s="415" t="str">
        <f>IFERROR(__xludf.DUMMYFUNCTION("""COMPUTED_VALUE"""),"Danza")</f>
        <v>Danza</v>
      </c>
      <c r="O161" s="418" t="str">
        <f>IFERROR(__xludf.DUMMYFUNCTION("""COMPUTED_VALUE"""),"TURNI")</f>
        <v>TURNI</v>
      </c>
      <c r="Q161" s="418"/>
      <c r="S161" s="419"/>
      <c r="T161" s="412"/>
      <c r="U161" s="419"/>
      <c r="V161" s="412"/>
      <c r="W161" s="419"/>
      <c r="X161" s="424"/>
    </row>
  </sheetData>
  <mergeCells count="408">
    <mergeCell ref="M57:M61"/>
    <mergeCell ref="O57:O61"/>
    <mergeCell ref="Q57:Q61"/>
    <mergeCell ref="S57:S61"/>
    <mergeCell ref="U57:U61"/>
    <mergeCell ref="W57:W61"/>
    <mergeCell ref="A52:A56"/>
    <mergeCell ref="A57:A61"/>
    <mergeCell ref="C57:C61"/>
    <mergeCell ref="E57:E61"/>
    <mergeCell ref="G57:G61"/>
    <mergeCell ref="I57:I61"/>
    <mergeCell ref="K57:K61"/>
    <mergeCell ref="C37:C41"/>
    <mergeCell ref="C42:C46"/>
    <mergeCell ref="A47:A51"/>
    <mergeCell ref="C47:C51"/>
    <mergeCell ref="E47:E51"/>
    <mergeCell ref="C52:C56"/>
    <mergeCell ref="E52:E56"/>
    <mergeCell ref="O62:O66"/>
    <mergeCell ref="Q62:Q66"/>
    <mergeCell ref="S62:S66"/>
    <mergeCell ref="U62:U66"/>
    <mergeCell ref="W62:W66"/>
    <mergeCell ref="C62:C66"/>
    <mergeCell ref="C67:C71"/>
    <mergeCell ref="G62:G66"/>
    <mergeCell ref="G67:G71"/>
    <mergeCell ref="M67:M71"/>
    <mergeCell ref="O67:O71"/>
    <mergeCell ref="Q67:Q71"/>
    <mergeCell ref="S67:S71"/>
    <mergeCell ref="U67:U71"/>
    <mergeCell ref="W67:W71"/>
    <mergeCell ref="K62:K66"/>
    <mergeCell ref="K67:K71"/>
    <mergeCell ref="K72:K76"/>
    <mergeCell ref="K87:K91"/>
    <mergeCell ref="M87:M91"/>
    <mergeCell ref="A62:A66"/>
    <mergeCell ref="E62:E66"/>
    <mergeCell ref="I62:I66"/>
    <mergeCell ref="M62:M66"/>
    <mergeCell ref="A67:A71"/>
    <mergeCell ref="E67:E71"/>
    <mergeCell ref="I67:I71"/>
    <mergeCell ref="Q72:Q76"/>
    <mergeCell ref="S72:S76"/>
    <mergeCell ref="U72:U76"/>
    <mergeCell ref="W72:W76"/>
    <mergeCell ref="G72:G76"/>
    <mergeCell ref="G77:G81"/>
    <mergeCell ref="G82:G86"/>
    <mergeCell ref="G87:G91"/>
    <mergeCell ref="I87:I91"/>
    <mergeCell ref="A72:A76"/>
    <mergeCell ref="E72:E76"/>
    <mergeCell ref="I72:I76"/>
    <mergeCell ref="M72:M76"/>
    <mergeCell ref="A77:A81"/>
    <mergeCell ref="E77:E81"/>
    <mergeCell ref="M77:M81"/>
    <mergeCell ref="O87:O91"/>
    <mergeCell ref="Q87:Q91"/>
    <mergeCell ref="S87:S91"/>
    <mergeCell ref="U87:U91"/>
    <mergeCell ref="W87:W91"/>
    <mergeCell ref="O72:O76"/>
    <mergeCell ref="O77:O81"/>
    <mergeCell ref="Q77:Q81"/>
    <mergeCell ref="S77:S81"/>
    <mergeCell ref="U77:U81"/>
    <mergeCell ref="W77:W81"/>
    <mergeCell ref="W82:W86"/>
    <mergeCell ref="M92:M96"/>
    <mergeCell ref="O92:O96"/>
    <mergeCell ref="Q92:Q96"/>
    <mergeCell ref="S92:S96"/>
    <mergeCell ref="U92:U96"/>
    <mergeCell ref="W92:W96"/>
    <mergeCell ref="A87:A91"/>
    <mergeCell ref="A92:A96"/>
    <mergeCell ref="C92:C96"/>
    <mergeCell ref="E92:E96"/>
    <mergeCell ref="G92:G96"/>
    <mergeCell ref="I92:I96"/>
    <mergeCell ref="K92:K96"/>
    <mergeCell ref="C72:C76"/>
    <mergeCell ref="C77:C81"/>
    <mergeCell ref="A82:A86"/>
    <mergeCell ref="C82:C86"/>
    <mergeCell ref="E82:E86"/>
    <mergeCell ref="C87:C91"/>
    <mergeCell ref="E87:E91"/>
    <mergeCell ref="O97:O101"/>
    <mergeCell ref="Q97:Q101"/>
    <mergeCell ref="S97:S101"/>
    <mergeCell ref="U97:U101"/>
    <mergeCell ref="W97:W101"/>
    <mergeCell ref="C97:C101"/>
    <mergeCell ref="C102:C106"/>
    <mergeCell ref="G97:G101"/>
    <mergeCell ref="G102:G106"/>
    <mergeCell ref="M102:M106"/>
    <mergeCell ref="O102:O106"/>
    <mergeCell ref="Q102:Q106"/>
    <mergeCell ref="S102:S106"/>
    <mergeCell ref="U102:U106"/>
    <mergeCell ref="W102:W106"/>
    <mergeCell ref="K97:K101"/>
    <mergeCell ref="K102:K106"/>
    <mergeCell ref="K107:K111"/>
    <mergeCell ref="K122:K126"/>
    <mergeCell ref="M122:M126"/>
    <mergeCell ref="A97:A101"/>
    <mergeCell ref="E97:E101"/>
    <mergeCell ref="I97:I101"/>
    <mergeCell ref="M97:M101"/>
    <mergeCell ref="A102:A106"/>
    <mergeCell ref="E102:E106"/>
    <mergeCell ref="I102:I106"/>
    <mergeCell ref="Q107:Q111"/>
    <mergeCell ref="S107:S111"/>
    <mergeCell ref="U107:U111"/>
    <mergeCell ref="W107:W111"/>
    <mergeCell ref="G107:G111"/>
    <mergeCell ref="G112:G116"/>
    <mergeCell ref="G117:G121"/>
    <mergeCell ref="G122:G126"/>
    <mergeCell ref="I122:I126"/>
    <mergeCell ref="A107:A111"/>
    <mergeCell ref="E107:E111"/>
    <mergeCell ref="I107:I111"/>
    <mergeCell ref="M107:M111"/>
    <mergeCell ref="A112:A116"/>
    <mergeCell ref="E112:E116"/>
    <mergeCell ref="M112:M116"/>
    <mergeCell ref="O122:O126"/>
    <mergeCell ref="Q122:Q126"/>
    <mergeCell ref="S122:S126"/>
    <mergeCell ref="U122:U126"/>
    <mergeCell ref="W122:W126"/>
    <mergeCell ref="O107:O111"/>
    <mergeCell ref="O112:O116"/>
    <mergeCell ref="Q112:Q116"/>
    <mergeCell ref="S112:S116"/>
    <mergeCell ref="U112:U116"/>
    <mergeCell ref="W112:W116"/>
    <mergeCell ref="W117:W121"/>
    <mergeCell ref="M127:M131"/>
    <mergeCell ref="O127:O131"/>
    <mergeCell ref="Q127:Q131"/>
    <mergeCell ref="S127:S131"/>
    <mergeCell ref="U127:U131"/>
    <mergeCell ref="W127:W131"/>
    <mergeCell ref="A122:A126"/>
    <mergeCell ref="A127:A131"/>
    <mergeCell ref="C127:C131"/>
    <mergeCell ref="E127:E131"/>
    <mergeCell ref="G127:G131"/>
    <mergeCell ref="I127:I131"/>
    <mergeCell ref="K127:K131"/>
    <mergeCell ref="C107:C111"/>
    <mergeCell ref="C112:C116"/>
    <mergeCell ref="A117:A121"/>
    <mergeCell ref="C117:C121"/>
    <mergeCell ref="E117:E121"/>
    <mergeCell ref="C122:C126"/>
    <mergeCell ref="E122:E126"/>
    <mergeCell ref="O132:O136"/>
    <mergeCell ref="Q132:Q136"/>
    <mergeCell ref="S132:S136"/>
    <mergeCell ref="U132:U136"/>
    <mergeCell ref="W132:W136"/>
    <mergeCell ref="C132:C136"/>
    <mergeCell ref="C137:C141"/>
    <mergeCell ref="G132:G136"/>
    <mergeCell ref="G137:G141"/>
    <mergeCell ref="M137:M141"/>
    <mergeCell ref="O137:O141"/>
    <mergeCell ref="Q137:Q141"/>
    <mergeCell ref="S137:S141"/>
    <mergeCell ref="U137:U141"/>
    <mergeCell ref="W137:W141"/>
    <mergeCell ref="M142:M146"/>
    <mergeCell ref="M147:M151"/>
    <mergeCell ref="M152:N156"/>
    <mergeCell ref="O152:P156"/>
    <mergeCell ref="Q152:Q156"/>
    <mergeCell ref="O147:O151"/>
    <mergeCell ref="Q147:Q151"/>
    <mergeCell ref="S147:S151"/>
    <mergeCell ref="U147:U151"/>
    <mergeCell ref="W147:W151"/>
    <mergeCell ref="U152:U156"/>
    <mergeCell ref="W152:W156"/>
    <mergeCell ref="A160:B160"/>
    <mergeCell ref="A161:B161"/>
    <mergeCell ref="C142:C146"/>
    <mergeCell ref="C147:C151"/>
    <mergeCell ref="A152:B156"/>
    <mergeCell ref="C152:C156"/>
    <mergeCell ref="A159:B159"/>
    <mergeCell ref="C159:D159"/>
    <mergeCell ref="C160:D160"/>
    <mergeCell ref="C161:D161"/>
    <mergeCell ref="K132:K136"/>
    <mergeCell ref="K137:K141"/>
    <mergeCell ref="K142:L156"/>
    <mergeCell ref="K159:L159"/>
    <mergeCell ref="K160:L160"/>
    <mergeCell ref="A132:A136"/>
    <mergeCell ref="E132:E136"/>
    <mergeCell ref="I132:I136"/>
    <mergeCell ref="M132:M136"/>
    <mergeCell ref="A137:A141"/>
    <mergeCell ref="E137:E141"/>
    <mergeCell ref="I137:I141"/>
    <mergeCell ref="Q142:Q146"/>
    <mergeCell ref="S142:S146"/>
    <mergeCell ref="U142:U146"/>
    <mergeCell ref="W142:W146"/>
    <mergeCell ref="A142:A146"/>
    <mergeCell ref="E142:E146"/>
    <mergeCell ref="I142:I146"/>
    <mergeCell ref="O142:O146"/>
    <mergeCell ref="A147:A151"/>
    <mergeCell ref="E147:E151"/>
    <mergeCell ref="I147:I151"/>
    <mergeCell ref="S152:T156"/>
    <mergeCell ref="B157:X158"/>
    <mergeCell ref="M159:N159"/>
    <mergeCell ref="O159:P159"/>
    <mergeCell ref="Q159:R159"/>
    <mergeCell ref="E159:F159"/>
    <mergeCell ref="E160:F160"/>
    <mergeCell ref="G160:H160"/>
    <mergeCell ref="I160:J160"/>
    <mergeCell ref="M160:N160"/>
    <mergeCell ref="O160:P160"/>
    <mergeCell ref="Q160:R160"/>
    <mergeCell ref="E161:F161"/>
    <mergeCell ref="G161:H161"/>
    <mergeCell ref="I161:J161"/>
    <mergeCell ref="K161:L161"/>
    <mergeCell ref="M161:N161"/>
    <mergeCell ref="O161:P161"/>
    <mergeCell ref="Q161:R161"/>
    <mergeCell ref="G142:G146"/>
    <mergeCell ref="G147:G151"/>
    <mergeCell ref="E152:F156"/>
    <mergeCell ref="G152:G156"/>
    <mergeCell ref="I152:I156"/>
    <mergeCell ref="G159:H159"/>
    <mergeCell ref="I159:J159"/>
    <mergeCell ref="M7:M11"/>
    <mergeCell ref="O7:O11"/>
    <mergeCell ref="Q7:Q11"/>
    <mergeCell ref="S7:S11"/>
    <mergeCell ref="U7:U11"/>
    <mergeCell ref="W7:W11"/>
    <mergeCell ref="K2:K6"/>
    <mergeCell ref="K7:K11"/>
    <mergeCell ref="K12:K16"/>
    <mergeCell ref="M12:M16"/>
    <mergeCell ref="O12:O16"/>
    <mergeCell ref="Q12:Q16"/>
    <mergeCell ref="S12:S16"/>
    <mergeCell ref="S1:T1"/>
    <mergeCell ref="U1:V1"/>
    <mergeCell ref="W1:X1"/>
    <mergeCell ref="C1:D1"/>
    <mergeCell ref="E1:F1"/>
    <mergeCell ref="G1:H1"/>
    <mergeCell ref="K1:L1"/>
    <mergeCell ref="M1:N1"/>
    <mergeCell ref="O1:P1"/>
    <mergeCell ref="Q1:R1"/>
    <mergeCell ref="O2:O6"/>
    <mergeCell ref="Q2:Q6"/>
    <mergeCell ref="S2:S6"/>
    <mergeCell ref="U2:U6"/>
    <mergeCell ref="W2:W6"/>
    <mergeCell ref="A2:A6"/>
    <mergeCell ref="E2:E6"/>
    <mergeCell ref="I2:I6"/>
    <mergeCell ref="M2:M6"/>
    <mergeCell ref="A7:A11"/>
    <mergeCell ref="E7:E11"/>
    <mergeCell ref="I7:I11"/>
    <mergeCell ref="U12:U16"/>
    <mergeCell ref="W12:W16"/>
    <mergeCell ref="M17:M21"/>
    <mergeCell ref="O17:O21"/>
    <mergeCell ref="Q17:Q21"/>
    <mergeCell ref="S17:S21"/>
    <mergeCell ref="U17:U21"/>
    <mergeCell ref="W17:W21"/>
    <mergeCell ref="G2:G6"/>
    <mergeCell ref="G7:G11"/>
    <mergeCell ref="G12:G16"/>
    <mergeCell ref="I12:I16"/>
    <mergeCell ref="G17:G21"/>
    <mergeCell ref="I17:I21"/>
    <mergeCell ref="K17:K21"/>
    <mergeCell ref="M22:M26"/>
    <mergeCell ref="O22:O26"/>
    <mergeCell ref="Q22:Q26"/>
    <mergeCell ref="S22:S26"/>
    <mergeCell ref="U22:U26"/>
    <mergeCell ref="W22:W26"/>
    <mergeCell ref="A17:A21"/>
    <mergeCell ref="A22:A26"/>
    <mergeCell ref="C22:C26"/>
    <mergeCell ref="E22:E26"/>
    <mergeCell ref="G22:G26"/>
    <mergeCell ref="I22:I26"/>
    <mergeCell ref="K22:K26"/>
    <mergeCell ref="C2:C6"/>
    <mergeCell ref="C7:C11"/>
    <mergeCell ref="A12:A16"/>
    <mergeCell ref="C12:C16"/>
    <mergeCell ref="E12:E16"/>
    <mergeCell ref="C17:C21"/>
    <mergeCell ref="E17:E21"/>
    <mergeCell ref="O27:O31"/>
    <mergeCell ref="Q27:Q31"/>
    <mergeCell ref="S27:S31"/>
    <mergeCell ref="U27:U31"/>
    <mergeCell ref="W27:W31"/>
    <mergeCell ref="C27:C31"/>
    <mergeCell ref="C32:C36"/>
    <mergeCell ref="G27:G31"/>
    <mergeCell ref="G32:G36"/>
    <mergeCell ref="M32:M36"/>
    <mergeCell ref="O32:O36"/>
    <mergeCell ref="Q32:Q36"/>
    <mergeCell ref="S32:S36"/>
    <mergeCell ref="U32:U36"/>
    <mergeCell ref="W32:W36"/>
    <mergeCell ref="S47:S51"/>
    <mergeCell ref="U47:U51"/>
    <mergeCell ref="I42:I46"/>
    <mergeCell ref="K42:K46"/>
    <mergeCell ref="I47:I51"/>
    <mergeCell ref="K47:K51"/>
    <mergeCell ref="M47:M51"/>
    <mergeCell ref="O47:O51"/>
    <mergeCell ref="Q47:Q51"/>
    <mergeCell ref="K27:K31"/>
    <mergeCell ref="K32:K36"/>
    <mergeCell ref="K37:K41"/>
    <mergeCell ref="K52:K56"/>
    <mergeCell ref="M52:M56"/>
    <mergeCell ref="A27:A31"/>
    <mergeCell ref="E27:E31"/>
    <mergeCell ref="I27:I31"/>
    <mergeCell ref="M27:M31"/>
    <mergeCell ref="A32:A36"/>
    <mergeCell ref="E32:E36"/>
    <mergeCell ref="I32:I36"/>
    <mergeCell ref="Q37:Q41"/>
    <mergeCell ref="S37:S41"/>
    <mergeCell ref="U37:U41"/>
    <mergeCell ref="W37:W41"/>
    <mergeCell ref="G37:G41"/>
    <mergeCell ref="G42:G46"/>
    <mergeCell ref="G47:G51"/>
    <mergeCell ref="G52:G56"/>
    <mergeCell ref="I52:I56"/>
    <mergeCell ref="A37:A41"/>
    <mergeCell ref="E37:E41"/>
    <mergeCell ref="I37:I41"/>
    <mergeCell ref="M37:M41"/>
    <mergeCell ref="A42:A46"/>
    <mergeCell ref="E42:E46"/>
    <mergeCell ref="M42:M46"/>
    <mergeCell ref="O52:O56"/>
    <mergeCell ref="Q52:Q56"/>
    <mergeCell ref="S52:S56"/>
    <mergeCell ref="U52:U56"/>
    <mergeCell ref="W52:W56"/>
    <mergeCell ref="O37:O41"/>
    <mergeCell ref="O42:O46"/>
    <mergeCell ref="Q42:Q46"/>
    <mergeCell ref="S42:S46"/>
    <mergeCell ref="U42:U46"/>
    <mergeCell ref="W42:W46"/>
    <mergeCell ref="W47:W51"/>
    <mergeCell ref="S82:S86"/>
    <mergeCell ref="U82:U86"/>
    <mergeCell ref="I77:I81"/>
    <mergeCell ref="K77:K81"/>
    <mergeCell ref="I82:I86"/>
    <mergeCell ref="K82:K86"/>
    <mergeCell ref="M82:M86"/>
    <mergeCell ref="O82:O86"/>
    <mergeCell ref="Q82:Q86"/>
    <mergeCell ref="S117:S121"/>
    <mergeCell ref="U117:U121"/>
    <mergeCell ref="I112:I116"/>
    <mergeCell ref="K112:K116"/>
    <mergeCell ref="I117:I121"/>
    <mergeCell ref="K117:K121"/>
    <mergeCell ref="M117:M121"/>
    <mergeCell ref="O117:O121"/>
    <mergeCell ref="Q117:Q121"/>
  </mergeCells>
  <conditionalFormatting sqref="A2:X161">
    <cfRule type="containsText" dxfId="8" priority="1" operator="containsText" text="Fine">
      <formula>NOT(ISERROR(SEARCH(("Fine"),(A2))))</formula>
    </cfRule>
  </conditionalFormatting>
  <conditionalFormatting sqref="A2:X161">
    <cfRule type="containsText" dxfId="9" priority="2" operator="containsText" text="festa">
      <formula>NOT(ISERROR(SEARCH(("festa"),(A2))))</formula>
    </cfRule>
  </conditionalFormatting>
  <conditionalFormatting sqref="A2:X161">
    <cfRule type="containsText" dxfId="8" priority="3" operator="containsText" text="CHIUSO">
      <formula>NOT(ISERROR(SEARCH(("CHIUSO"),(A2))))</formula>
    </cfRule>
  </conditionalFormatting>
  <conditionalFormatting sqref="A2:X161">
    <cfRule type="containsText" dxfId="1" priority="4" operator="containsText" text="Bambini">
      <formula>NOT(ISERROR(SEARCH(("Bambini"),(A2))))</formula>
    </cfRule>
  </conditionalFormatting>
  <conditionalFormatting sqref="A2:X161">
    <cfRule type="containsText" dxfId="10" priority="5" operator="containsText" text="Fitness">
      <formula>NOT(ISERROR(SEARCH(("Fitness"),(A2))))</formula>
    </cfRule>
  </conditionalFormatting>
  <conditionalFormatting sqref="A2:X161">
    <cfRule type="containsText" dxfId="11" priority="6" operator="containsText" text="Danza">
      <formula>NOT(ISERROR(SEARCH(("Danza"),(A2))))</formula>
    </cfRule>
  </conditionalFormatting>
  <conditionalFormatting sqref="A2:X161">
    <cfRule type="containsText" dxfId="2" priority="7" operator="containsText" text="Aerial">
      <formula>NOT(ISERROR(SEARCH(("Aerial"),(A2))))</formula>
    </cfRule>
  </conditionalFormatting>
  <conditionalFormatting sqref="A2:X161">
    <cfRule type="containsText" dxfId="12" priority="8" operator="containsText" text="Ballo">
      <formula>NOT(ISERROR(SEARCH(("Ballo"),(A2))))</formula>
    </cfRule>
  </conditionalFormatting>
  <conditionalFormatting sqref="A2:X161">
    <cfRule type="expression" dxfId="13" priority="9">
      <formula>REGEXMATCH(A2,"(?i)affitti?")</formula>
    </cfRule>
  </conditionalFormatting>
  <conditionalFormatting sqref="A2:X161">
    <cfRule type="expression" dxfId="14" priority="10">
      <formula>REGEXMATCH(A2,"(?i)aperti?")</formula>
    </cfRule>
  </conditionalFormatting>
  <conditionalFormatting sqref="A2:X161">
    <cfRule type="containsText" dxfId="15" priority="11" operator="containsText" text="Confermato">
      <formula>NOT(ISERROR(SEARCH(("Confermato"),(A2))))</formula>
    </cfRule>
  </conditionalFormatting>
  <conditionalFormatting sqref="A2:X161">
    <cfRule type="containsText" dxfId="16" priority="12" operator="containsText" text="Gara">
      <formula>NOT(ISERROR(SEARCH(("Gara"),(A2))))</formula>
    </cfRule>
  </conditionalFormatting>
  <conditionalFormatting sqref="A2:X161">
    <cfRule type="containsText" dxfId="17" priority="13" operator="containsText" text="esterno">
      <formula>NOT(ISERROR(SEARCH(("esterno"),(A2))))</formula>
    </cfRule>
  </conditionalFormatting>
  <conditionalFormatting sqref="A2:X161">
    <cfRule type="containsText" dxfId="18" priority="14" operator="containsText" text="interno">
      <formula>NOT(ISERROR(SEARCH(("interno"),(A2))))</formula>
    </cfRule>
  </conditionalFormatting>
  <conditionalFormatting sqref="A2:X161">
    <cfRule type="containsText" dxfId="9" priority="15" operator="containsText" text="dom">
      <formula>NOT(ISERROR(SEARCH(("dom"),(A2))))</formula>
    </cfRule>
  </conditionalFormatting>
  <conditionalFormatting sqref="A2:X161">
    <cfRule type="containsText" dxfId="2" priority="16" operator="containsText" text="DA CONFERMARE">
      <formula>NOT(ISERROR(SEARCH(("DA CONFERMARE"),(A2))))</formula>
    </cfRule>
  </conditionalFormatting>
  <conditionalFormatting sqref="A2:X161">
    <cfRule type="containsText" dxfId="1" priority="17" operator="containsText" text="CAMPUS">
      <formula>NOT(ISERROR(SEARCH(("CAMPUS"),(A2))))</formula>
    </cfRule>
  </conditionalFormatting>
  <conditionalFormatting sqref="A2:X161">
    <cfRule type="expression" dxfId="13" priority="18">
      <formula>REGEXMATCH(A2,"(?i)affitti?")</formula>
    </cfRule>
  </conditionalFormatting>
  <conditionalFormatting sqref="A2:X161">
    <cfRule type="expression" dxfId="14" priority="19">
      <formula>REGEXMATCH(A2,"(?i)aperti?")</formula>
    </cfRule>
  </conditionalFormatting>
  <conditionalFormatting sqref="A2:X161">
    <cfRule type="containsText" dxfId="19" priority="20" operator="containsText" text="SAGGI">
      <formula>NOT(ISERROR(SEARCH(("SAGGI"),(A2))))</formula>
    </cfRule>
  </conditionalFormatting>
  <dataValidations>
    <dataValidation type="list" allowBlank="1" showErrorMessage="1" sqref="L2:L141 B2:B151 F2:F151 N2:N151 P2:P151 T2:T151 D2:D156 H2:H156 J2:J156 R2:R156 V2:V156 X2:X156 O159:O161 Q159:Q161">
      <formula1>eventi!$I$2:$I$150</formula1>
    </dataValidation>
  </dataValidations>
  <hyperlinks>
    <hyperlink r:id="rId1" ref="L3"/>
    <hyperlink r:id="rId2" ref="N3"/>
    <hyperlink r:id="rId3" ref="N5"/>
    <hyperlink r:id="rId4" ref="B18"/>
    <hyperlink r:id="rId5" ref="B28"/>
    <hyperlink r:id="rId6" ref="N32"/>
    <hyperlink r:id="rId7" ref="P32"/>
    <hyperlink r:id="rId8" ref="B33"/>
    <hyperlink r:id="rId9" ref="B34"/>
    <hyperlink r:id="rId10" ref="B35"/>
    <hyperlink r:id="rId11" ref="T38"/>
    <hyperlink r:id="rId12" ref="F43"/>
    <hyperlink r:id="rId13" ref="T43"/>
    <hyperlink r:id="rId14" ref="F44"/>
    <hyperlink r:id="rId15" ref="F45"/>
    <hyperlink r:id="rId16" ref="F46"/>
    <hyperlink r:id="rId17" ref="T48"/>
    <hyperlink r:id="rId18" ref="T53"/>
    <hyperlink r:id="rId19" ref="T58"/>
    <hyperlink r:id="rId20" location="gid=1856535678" ref="F67"/>
    <hyperlink r:id="rId21" ref="H69"/>
    <hyperlink r:id="rId22" ref="H70"/>
    <hyperlink r:id="rId23" ref="R72"/>
    <hyperlink r:id="rId24" ref="N73"/>
    <hyperlink r:id="rId25" ref="T73"/>
    <hyperlink r:id="rId26" ref="L74"/>
    <hyperlink r:id="rId27" ref="L75"/>
    <hyperlink r:id="rId28" ref="N75"/>
    <hyperlink r:id="rId29" ref="N76"/>
    <hyperlink r:id="rId30" ref="R79"/>
    <hyperlink r:id="rId31" ref="F80"/>
    <hyperlink r:id="rId32" ref="F81"/>
    <hyperlink r:id="rId33" ref="R85"/>
    <hyperlink r:id="rId34" ref="J91"/>
    <hyperlink r:id="rId35" ref="J92"/>
    <hyperlink r:id="rId36" ref="D96"/>
    <hyperlink r:id="rId37" ref="D97"/>
    <hyperlink r:id="rId38" ref="P97"/>
    <hyperlink r:id="rId39" ref="D98"/>
    <hyperlink r:id="rId40" ref="H105"/>
    <hyperlink r:id="rId41" ref="L110"/>
    <hyperlink r:id="rId42" ref="L112"/>
    <hyperlink r:id="rId43" ref="F115"/>
    <hyperlink r:id="rId44" ref="F116"/>
    <hyperlink r:id="rId45" ref="F117"/>
    <hyperlink r:id="rId46" ref="J125"/>
    <hyperlink r:id="rId47" ref="P129"/>
    <hyperlink r:id="rId48" ref="D130"/>
    <hyperlink r:id="rId49" ref="D131"/>
    <hyperlink r:id="rId50" ref="D132"/>
    <hyperlink r:id="rId51" ref="D133"/>
    <hyperlink r:id="rId52" ref="B140"/>
    <hyperlink r:id="rId53" ref="B141"/>
    <hyperlink r:id="rId54" ref="F150"/>
    <hyperlink r:id="rId55" ref="O161"/>
  </hyperlinks>
  <drawing r:id="rId56"/>
</worksheet>
</file>

<file path=xl/worksheets/sheet3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9.43"/>
    <col customWidth="1" min="2" max="2" width="17.71"/>
    <col customWidth="1" min="3" max="3" width="27.43"/>
    <col customWidth="1" min="4" max="4" width="59.86"/>
    <col customWidth="1" min="5" max="5" width="44.43"/>
  </cols>
  <sheetData>
    <row r="1">
      <c r="A1" s="425" t="s">
        <v>9</v>
      </c>
      <c r="B1" s="207" t="s">
        <v>35</v>
      </c>
      <c r="C1" s="426" t="s">
        <v>38</v>
      </c>
      <c r="D1" s="427" t="s">
        <v>39</v>
      </c>
      <c r="E1" s="428"/>
      <c r="F1" s="428"/>
    </row>
    <row r="2">
      <c r="A2" s="425" t="s">
        <v>40</v>
      </c>
      <c r="B2" s="207" t="s">
        <v>41</v>
      </c>
      <c r="C2" s="429" t="s">
        <v>42</v>
      </c>
      <c r="D2" s="427" t="s">
        <v>43</v>
      </c>
      <c r="E2" s="12"/>
      <c r="F2" s="12"/>
    </row>
    <row r="3">
      <c r="A3" s="425" t="s">
        <v>44</v>
      </c>
      <c r="B3" s="425" t="s">
        <v>28</v>
      </c>
      <c r="C3" s="426" t="s">
        <v>45</v>
      </c>
      <c r="D3" s="427" t="s">
        <v>46</v>
      </c>
      <c r="E3" s="428"/>
      <c r="F3" s="428"/>
    </row>
    <row r="4">
      <c r="A4" s="334" t="s">
        <v>47</v>
      </c>
      <c r="B4" s="425" t="s">
        <v>29</v>
      </c>
      <c r="C4" s="426" t="s">
        <v>48</v>
      </c>
      <c r="D4" s="430" t="s">
        <v>49</v>
      </c>
      <c r="E4" s="428"/>
      <c r="F4" s="428"/>
    </row>
    <row r="5">
      <c r="A5" s="425" t="s">
        <v>50</v>
      </c>
      <c r="B5" s="425"/>
      <c r="C5" s="427" t="s">
        <v>51</v>
      </c>
      <c r="D5" s="430" t="s">
        <v>52</v>
      </c>
      <c r="E5" s="425"/>
      <c r="F5" s="428"/>
    </row>
    <row r="6">
      <c r="A6" s="425" t="s">
        <v>53</v>
      </c>
      <c r="B6" s="425" t="s">
        <v>31</v>
      </c>
      <c r="C6" s="428"/>
      <c r="E6" s="425"/>
      <c r="F6" s="428"/>
    </row>
    <row r="7">
      <c r="A7" s="425" t="s">
        <v>54</v>
      </c>
      <c r="B7" s="425" t="s">
        <v>32</v>
      </c>
      <c r="C7" s="428"/>
      <c r="E7" s="425"/>
      <c r="F7" s="428"/>
    </row>
    <row r="8">
      <c r="A8" s="425" t="s">
        <v>55</v>
      </c>
      <c r="B8" s="431" t="s">
        <v>36</v>
      </c>
      <c r="C8" s="425"/>
      <c r="E8" s="425"/>
      <c r="F8" s="425"/>
    </row>
    <row r="9">
      <c r="A9" s="425" t="s">
        <v>56</v>
      </c>
      <c r="B9" s="425" t="s">
        <v>57</v>
      </c>
      <c r="C9" s="428"/>
      <c r="E9" s="425"/>
      <c r="F9" s="428"/>
    </row>
    <row r="10">
      <c r="A10" s="425" t="s">
        <v>58</v>
      </c>
      <c r="B10" s="425" t="s">
        <v>37</v>
      </c>
      <c r="C10" s="428"/>
      <c r="E10" s="425"/>
      <c r="F10" s="428"/>
    </row>
    <row r="11">
      <c r="A11" s="425" t="s">
        <v>59</v>
      </c>
      <c r="B11" s="425" t="s">
        <v>60</v>
      </c>
      <c r="C11" s="428"/>
      <c r="E11" s="425"/>
      <c r="F11" s="428"/>
    </row>
    <row r="12">
      <c r="A12" s="425" t="s">
        <v>61</v>
      </c>
      <c r="B12" s="425" t="s">
        <v>62</v>
      </c>
      <c r="C12" s="428"/>
      <c r="E12" s="425"/>
      <c r="F12" s="428"/>
    </row>
    <row r="13">
      <c r="A13" s="425" t="s">
        <v>10</v>
      </c>
      <c r="B13" s="432"/>
      <c r="C13" s="428"/>
      <c r="E13" s="425"/>
      <c r="F13" s="428"/>
    </row>
    <row r="14">
      <c r="A14" s="425" t="s">
        <v>23</v>
      </c>
      <c r="B14" s="425"/>
      <c r="C14" s="428"/>
      <c r="E14" s="425"/>
      <c r="F14" s="428"/>
    </row>
    <row r="15">
      <c r="A15" s="425" t="s">
        <v>7</v>
      </c>
      <c r="B15" s="425" t="s">
        <v>63</v>
      </c>
      <c r="C15" s="428"/>
      <c r="E15" s="425"/>
      <c r="F15" s="428"/>
    </row>
    <row r="16">
      <c r="A16" s="231" t="s">
        <v>6</v>
      </c>
      <c r="B16" s="425" t="s">
        <v>64</v>
      </c>
      <c r="C16" s="428"/>
      <c r="D16" s="428"/>
      <c r="E16" s="425"/>
      <c r="F16" s="428"/>
    </row>
    <row r="17">
      <c r="A17" s="425" t="s">
        <v>21</v>
      </c>
      <c r="B17" s="428"/>
      <c r="C17" s="428"/>
      <c r="D17" s="428"/>
      <c r="E17" s="425"/>
      <c r="F17" s="428"/>
    </row>
    <row r="18">
      <c r="A18" s="425" t="s">
        <v>65</v>
      </c>
      <c r="B18" s="428"/>
      <c r="C18" s="433" t="s">
        <v>66</v>
      </c>
      <c r="F18" s="428"/>
    </row>
    <row r="19">
      <c r="A19" s="425" t="s">
        <v>67</v>
      </c>
      <c r="B19" s="428"/>
      <c r="F19" s="428"/>
    </row>
    <row r="20">
      <c r="A20" s="425" t="s">
        <v>11</v>
      </c>
      <c r="B20" s="428"/>
      <c r="F20" s="428"/>
    </row>
    <row r="21">
      <c r="A21" s="425" t="s">
        <v>68</v>
      </c>
      <c r="B21" s="428"/>
      <c r="C21" s="428"/>
      <c r="D21" s="428"/>
      <c r="E21" s="425"/>
      <c r="F21" s="428"/>
    </row>
    <row r="22">
      <c r="A22" s="425" t="s">
        <v>69</v>
      </c>
      <c r="B22" s="428"/>
      <c r="C22" s="428"/>
      <c r="D22" s="428"/>
      <c r="E22" s="425"/>
      <c r="F22" s="428"/>
    </row>
    <row r="23">
      <c r="A23" s="425" t="s">
        <v>70</v>
      </c>
      <c r="B23" s="428"/>
      <c r="C23" s="428"/>
      <c r="D23" s="428"/>
      <c r="E23" s="425"/>
      <c r="F23" s="428"/>
    </row>
    <row r="24">
      <c r="A24" s="425" t="s">
        <v>8</v>
      </c>
      <c r="B24" s="434"/>
      <c r="C24" s="434"/>
      <c r="D24" s="434"/>
      <c r="E24" s="434"/>
      <c r="F24" s="428"/>
    </row>
    <row r="25">
      <c r="A25" s="425" t="s">
        <v>25</v>
      </c>
      <c r="B25" s="434"/>
      <c r="C25" s="434"/>
      <c r="D25" s="434"/>
      <c r="E25" s="434"/>
      <c r="F25" s="428"/>
    </row>
    <row r="26">
      <c r="A26" s="425"/>
      <c r="B26" s="434"/>
      <c r="C26" s="434"/>
      <c r="D26" s="434"/>
      <c r="E26" s="434"/>
      <c r="F26" s="428"/>
    </row>
    <row r="27">
      <c r="A27" s="428"/>
      <c r="B27" s="434"/>
      <c r="C27" s="434"/>
      <c r="D27" s="434"/>
      <c r="E27" s="434"/>
      <c r="F27" s="428"/>
    </row>
    <row r="28">
      <c r="A28" s="428"/>
      <c r="B28" s="434"/>
      <c r="C28" s="434"/>
      <c r="D28" s="434"/>
      <c r="E28" s="434"/>
      <c r="F28" s="428"/>
    </row>
    <row r="29">
      <c r="A29" s="428"/>
      <c r="B29" s="434"/>
      <c r="F29" s="428"/>
    </row>
    <row r="30">
      <c r="A30" s="428"/>
      <c r="B30" s="434"/>
      <c r="F30" s="428"/>
    </row>
    <row r="31">
      <c r="A31" s="428"/>
      <c r="B31" s="434"/>
      <c r="F31" s="428"/>
    </row>
    <row r="32">
      <c r="A32" s="428"/>
      <c r="B32" s="434"/>
      <c r="C32" s="434"/>
      <c r="D32" s="434"/>
      <c r="E32" s="434"/>
      <c r="F32" s="428"/>
    </row>
    <row r="33">
      <c r="A33" s="428"/>
      <c r="B33" s="434"/>
      <c r="C33" s="434"/>
      <c r="D33" s="434"/>
      <c r="E33" s="434"/>
      <c r="F33" s="428"/>
    </row>
  </sheetData>
  <mergeCells count="1">
    <mergeCell ref="C18:E20"/>
  </mergeCells>
  <conditionalFormatting sqref="A1:A33">
    <cfRule type="containsText" dxfId="4" priority="1" operator="containsText" text="PAUSA">
      <formula>NOT(ISERROR(SEARCH(("PAUSA"),(A1))))</formula>
    </cfRule>
  </conditionalFormatting>
  <conditionalFormatting sqref="A1:A33">
    <cfRule type="containsText" dxfId="0" priority="2" operator="containsText" text="PERMESSO">
      <formula>NOT(ISERROR(SEARCH(("PERMESSO"),(A1))))</formula>
    </cfRule>
  </conditionalFormatting>
  <conditionalFormatting sqref="A1:A33">
    <cfRule type="containsText" dxfId="7" priority="3" operator="containsText" text="RIPOSO">
      <formula>NOT(ISERROR(SEARCH(("RIPOSO"),(A1))))</formula>
    </cfRule>
  </conditionalFormatting>
  <conditionalFormatting sqref="A1:A33">
    <cfRule type="containsText" dxfId="6" priority="4" operator="containsText" text="UFFICIO">
      <formula>NOT(ISERROR(SEARCH(("UFFICIO"),(A1))))</formula>
    </cfRule>
  </conditionalFormatting>
  <conditionalFormatting sqref="A1:A33">
    <cfRule type="containsText" dxfId="2" priority="5" operator="containsText" text="FORMAZ">
      <formula>NOT(ISERROR(SEARCH(("FORMAZ"),(A1))))</formula>
    </cfRule>
  </conditionalFormatting>
  <conditionalFormatting sqref="A1:A33">
    <cfRule type="containsText" dxfId="3" priority="6" operator="containsText" text="AMM.ZIONE">
      <formula>NOT(ISERROR(SEARCH(("AMM.ZIONE"),(A1))))</formula>
    </cfRule>
  </conditionalFormatting>
  <conditionalFormatting sqref="A1:A33">
    <cfRule type="containsText" dxfId="1" priority="7" operator="containsText" text="MALATTIA">
      <formula>NOT(ISERROR(SEARCH(("MALATTIA"),(A1))))</formula>
    </cfRule>
  </conditionalFormatting>
  <drawing r:id="rId4"/>
  <legacyDrawing r:id="rId5"/>
</worksheet>
</file>