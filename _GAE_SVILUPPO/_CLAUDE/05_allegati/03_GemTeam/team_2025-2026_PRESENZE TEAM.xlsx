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embre25" sheetId="1" r:id="rId5"/>
    <sheet state="visible" name="Ottobre25" sheetId="2" r:id="rId6"/>
    <sheet state="visible" name="Novembre25" sheetId="3" r:id="rId7"/>
    <sheet state="visible" name="Dicembre25" sheetId="4" r:id="rId8"/>
    <sheet state="visible" name="Gennaio26" sheetId="5" r:id="rId9"/>
    <sheet state="visible" name="Febbraio26" sheetId="6" r:id="rId10"/>
    <sheet state="visible" name="Marzo26" sheetId="7" r:id="rId11"/>
    <sheet state="visible" name="Aprile26" sheetId="8" r:id="rId12"/>
    <sheet state="visible" name="Maggio26" sheetId="9" r:id="rId13"/>
    <sheet state="visible" name="Giugno26" sheetId="10" r:id="rId14"/>
    <sheet state="visible" name="Luglio26" sheetId="11" r:id="rId15"/>
    <sheet state="visible" name="Agosto26" sheetId="12" r:id="rId16"/>
    <sheet state="visible" name="report_ORE" sheetId="13" r:id="rId17"/>
    <sheet state="visible" name="griglia_presenze_SET-AGO" sheetId="14" r:id="rId18"/>
    <sheet state="visible" name="elenchi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tc={ad2247d3-649b-4e6b-a517-6de357ea01f8}</author>
  </authors>
  <commentList>
    <comment authorId="0" xr:uid="{ad2247d3-649b-4e6b-a517-6de357ea01f8}" ref="F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queste celle di Alexandra, danno errore, anche nel conteggio totale delle ore. E' urgentissimo, avrei dovuto mandare oggi il file a Grillo
Attività assegnata a gaechacha@gmail.com
Reply:
	risolto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tc={c03b3429-f7e3-4fb9-9624-9381da4a7ffd}</author>
    <author>tc={fb7fc481-409c-464b-bac9-b6197b72e3dd}</author>
  </authors>
  <commentList>
    <comment authorId="0" ref="A15">
      <text>
        <t xml:space="preserve">ultima cella collegata ai vari fogli</t>
      </text>
    </comment>
    <comment authorId="1" xr:uid="{c03b3429-f7e3-4fb9-9624-9381da4a7ffd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 elisa: aggiungi Giulia
</t>
      </text>
    </comment>
    <comment authorId="2" xr:uid="{fb7fc481-409c-464b-bac9-b6197b72e3dd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 elisa: aggiungi il nome e cognome di Nura
</t>
      </text>
    </comment>
  </commentList>
</comments>
</file>

<file path=xl/sharedStrings.xml><?xml version="1.0" encoding="utf-8"?>
<sst xmlns="http://schemas.openxmlformats.org/spreadsheetml/2006/main" count="2946" uniqueCount="113">
  <si>
    <t>ML</t>
  </si>
  <si>
    <t>PE</t>
  </si>
  <si>
    <t>TOTALE ore mese</t>
  </si>
  <si>
    <t>Totale ore BUSTA</t>
  </si>
  <si>
    <t>Totale ora extra</t>
  </si>
  <si>
    <t>importo in busta</t>
  </si>
  <si>
    <t>importo tiket edenred</t>
  </si>
  <si>
    <t>costi orari</t>
  </si>
  <si>
    <t>note</t>
  </si>
  <si>
    <t>Pe</t>
  </si>
  <si>
    <t>No</t>
  </si>
  <si>
    <t>F</t>
  </si>
  <si>
    <t>Fe</t>
  </si>
  <si>
    <t>FE</t>
  </si>
  <si>
    <t>2025 - 2026</t>
  </si>
  <si>
    <t>SET.</t>
  </si>
  <si>
    <t>OTT.</t>
  </si>
  <si>
    <t>NOV.</t>
  </si>
  <si>
    <t>DIC.</t>
  </si>
  <si>
    <t>GEN.</t>
  </si>
  <si>
    <t>FEB.</t>
  </si>
  <si>
    <t>MAR.</t>
  </si>
  <si>
    <t>APR.</t>
  </si>
  <si>
    <t>MAG.</t>
  </si>
  <si>
    <t>GIU.</t>
  </si>
  <si>
    <t>LUG.</t>
  </si>
  <si>
    <t>AGO.</t>
  </si>
  <si>
    <t>NOTE</t>
  </si>
  <si>
    <t>ORE</t>
  </si>
  <si>
    <t>IMPORTO</t>
  </si>
  <si>
    <t>Giorni</t>
  </si>
  <si>
    <t>GIORNI/ORE LAV.</t>
  </si>
  <si>
    <t>Assenze</t>
  </si>
  <si>
    <t>GG</t>
  </si>
  <si>
    <t>ST*</t>
  </si>
  <si>
    <t>AI</t>
  </si>
  <si>
    <t>AG</t>
  </si>
  <si>
    <t>MT</t>
  </si>
  <si>
    <t>IN</t>
  </si>
  <si>
    <t xml:space="preserve">                              ST*</t>
  </si>
  <si>
    <t>ST* = Straordinario</t>
  </si>
  <si>
    <t>ML = Malattia</t>
  </si>
  <si>
    <t>F= Festività</t>
  </si>
  <si>
    <t>R - Riposo</t>
  </si>
  <si>
    <t xml:space="preserve">         NOME AZIENDA______________________________________</t>
  </si>
  <si>
    <t>GG = Giornate lavorate</t>
  </si>
  <si>
    <t>MT = Maternità</t>
  </si>
  <si>
    <t>Pe= Permessi</t>
  </si>
  <si>
    <t>RL - ROL</t>
  </si>
  <si>
    <t>ORE = Ore lavorate</t>
  </si>
  <si>
    <t xml:space="preserve">IN = Infortunio </t>
  </si>
  <si>
    <t>Ai = Assenza Ingiustificata</t>
  </si>
  <si>
    <t>LD - Lavoro Domenicale</t>
  </si>
  <si>
    <t>FE = Ferie</t>
  </si>
  <si>
    <t>AG= Assenza giustificata</t>
  </si>
  <si>
    <t>LN - Lavoro notturno</t>
  </si>
  <si>
    <t>LF - Lavoro Festivo</t>
  </si>
  <si>
    <t>ALEXANDRA</t>
  </si>
  <si>
    <t xml:space="preserve">ML = Malattia				</t>
  </si>
  <si>
    <t>MALDONADO ALEXANDRA</t>
  </si>
  <si>
    <t>SET - Nominativo Dipendente</t>
  </si>
  <si>
    <t>PRESTAZIONI PER CIASCUNA GIORNATA DEL MESE DI: SETTEMBRE 2025</t>
  </si>
  <si>
    <t>GIUDITTA</t>
  </si>
  <si>
    <t xml:space="preserve">Pe= Permessi				</t>
  </si>
  <si>
    <t>FUMAGALLI GIUDITTA</t>
  </si>
  <si>
    <t xml:space="preserve">OTT - Nominativo Dipendente		</t>
  </si>
  <si>
    <t>PRESTAZIONI PER CIASCUNA GIORNATA DEL MESE DI: OTTOBRE 2025</t>
  </si>
  <si>
    <t>ESTEFANY</t>
  </si>
  <si>
    <t xml:space="preserve">FE = Ferie	</t>
  </si>
  <si>
    <t>SEGURA ESTEFANY</t>
  </si>
  <si>
    <t>NOV - Nominativo Dipendente</t>
  </si>
  <si>
    <t>PRESTAZIONI PER CIASCUNA GIORNATA DEL MESE DI: NOVEMBRE 2025</t>
  </si>
  <si>
    <t>NURA</t>
  </si>
  <si>
    <t>MOUSTAFA ISRA HANI MOHAMED</t>
  </si>
  <si>
    <t>DIC - Nominativo Dipendente</t>
  </si>
  <si>
    <t>PRESTAZIONI PER CIASCUNA GIORNATA DEL MESE DI: DICEMBRE 2025</t>
  </si>
  <si>
    <t>JOEL</t>
  </si>
  <si>
    <t>VILLON BOIANO JOEL</t>
  </si>
  <si>
    <t>GEN - Nominativo Dipendente</t>
  </si>
  <si>
    <t>PRESTAZIONI PER CIASCUNA GIORNATA DEL MESE DI: GENNAIO 2026</t>
  </si>
  <si>
    <t>KEVIN</t>
  </si>
  <si>
    <t>BONILLA KEVIN</t>
  </si>
  <si>
    <t>FEB - Nominativo Dipendente</t>
  </si>
  <si>
    <t>PRESTAZIONI PER CIASCUNA GIORNATA DEL MESE DI: FEBBRAIO 2026</t>
  </si>
  <si>
    <t>ZOILA</t>
  </si>
  <si>
    <t>vuoto</t>
  </si>
  <si>
    <t>MAR - Nominativo Dipendente</t>
  </si>
  <si>
    <t>PRESTAZIONI PER CIASCUNA GIORNATA DEL MESE DI: MARZO 2026</t>
  </si>
  <si>
    <t>JASIR</t>
  </si>
  <si>
    <t>APR - Nominativo Dipendente</t>
  </si>
  <si>
    <t>PRESTAZIONI PER CIASCUNA GIORNATA DEL MESE DI: APRILE 2026</t>
  </si>
  <si>
    <t>SARA</t>
  </si>
  <si>
    <t>JANNELLI SARA</t>
  </si>
  <si>
    <t>MAG - Nominativo Dipendente</t>
  </si>
  <si>
    <t>PRESTAZIONI PER CIASCUNA GIORNATA DEL MESE DI: MAGGIO 2026</t>
  </si>
  <si>
    <t>SANTO</t>
  </si>
  <si>
    <t>MANTICE SANTO</t>
  </si>
  <si>
    <t>GIU - Nominativo Dipendente</t>
  </si>
  <si>
    <t>PRESTAZIONI PER CIASCUNA GIORNATA DEL MESE DI: GIUGNO 2026</t>
  </si>
  <si>
    <t>MASSI</t>
  </si>
  <si>
    <t>LUG - Nominativo Dipendente</t>
  </si>
  <si>
    <t>PRESTAZIONI PER CIASCUNA GIORNATA DEL MESE DI: LUGLIO 2026</t>
  </si>
  <si>
    <t>STEFANO</t>
  </si>
  <si>
    <t>AGO - Nominativo Dipendente</t>
  </si>
  <si>
    <t>PRESTAZIONI PER CIASCUNA GIORNATA DEL MESE DI: AGOSTO 2026</t>
  </si>
  <si>
    <t>DIEGO</t>
  </si>
  <si>
    <t>ELISA</t>
  </si>
  <si>
    <t>ARRIVABENE ELISA</t>
  </si>
  <si>
    <t>GAETANO</t>
  </si>
  <si>
    <t>AMBROSIO GAETANO</t>
  </si>
  <si>
    <t>x elisa: questa colonna è collegata alle colonne nei vari fogli mesi</t>
  </si>
  <si>
    <t>x elisa: questa colonna è collegata alle righe del foglio "grilia_presenze_SET_AGO"</t>
  </si>
  <si>
    <t xml:space="preserve">"Ale 9€/ora, Giad 10€/ora, Estefany 9€/ora, Nura 8€/ora, Joel 8€/ora
Kevin 8€/ora, Jassir 7€/ora, Zoila 7€/ora, Sara 9€/ora, Massi 9€/ora, Santo fisso"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</si>
</sst>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&quot;mmmm&quot; &quot;yyyy"/>
    <numFmt numFmtId="165" formatCode="ddd&quot; &quot;d&quot;  &quot;"/>
    <numFmt numFmtId="166" formatCode="_-[$€-2]* #,##0.00_-;_-[$€-2]* \-#,##0.00_-;_-[$€-2]* &quot;-&quot;??_-;_-@"/>
    <numFmt numFmtId="167" formatCode="d"/>
  </numFmts>
  <fonts count="20">
    <font>
      <sz val="10.0"/>
      <color rgb="FF000000"/>
      <name val="Helvetica Neue"/>
      <scheme val="minor"/>
    </font>
    <font>
      <b/>
      <sz val="14.0"/>
      <color rgb="FF000000"/>
      <name val="Arial"/>
    </font>
    <font>
      <b/>
      <sz val="10.0"/>
      <color rgb="FF000000"/>
      <name val="Arial"/>
    </font>
    <font>
      <sz val="12.0"/>
      <color rgb="FF000000"/>
      <name val="Arial"/>
    </font>
    <font>
      <b/>
      <sz val="9.0"/>
      <color rgb="FF000000"/>
      <name val="Arial"/>
    </font>
    <font>
      <sz val="10.0"/>
      <color rgb="FF000000"/>
      <name val="Arial"/>
    </font>
    <font/>
    <font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sz val="9.0"/>
      <color rgb="FF000000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sz val="8.0"/>
      <color rgb="FFFF0000"/>
      <name val="Arial"/>
    </font>
    <font>
      <b/>
      <sz val="20.0"/>
      <color rgb="FF000000"/>
      <name val="Arial"/>
    </font>
    <font>
      <b/>
      <sz val="20.0"/>
      <color rgb="FFFF0000"/>
      <name val="Arial"/>
    </font>
    <font>
      <sz val="20.0"/>
      <color rgb="FF000000"/>
      <name val="Arial"/>
    </font>
    <font>
      <sz val="12.0"/>
      <color theme="1"/>
      <name val="Arial"/>
    </font>
    <font>
      <sz val="10.0"/>
      <color rgb="FF000000"/>
      <name val="Helvetica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BDBDB"/>
        <bgColor rgb="FFDBDBDB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BDC0BF"/>
        <bgColor rgb="FFBDC0BF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EFFFF"/>
        <bgColor rgb="FFFEFFFF"/>
      </patternFill>
    </fill>
  </fills>
  <borders count="8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ck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ck">
        <color rgb="FFFF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FF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ck">
        <color rgb="FFFF0000"/>
      </top>
      <bottom style="thin">
        <color rgb="FFCCCCCC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ck">
        <color rgb="FFFF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right style="medium">
        <color rgb="FF000000"/>
      </right>
      <bottom style="thin">
        <color rgb="FF000000"/>
      </bottom>
    </border>
    <border>
      <left style="thick">
        <color rgb="FFFF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AAAAAA"/>
      </right>
      <top style="thin">
        <color rgb="FF000000"/>
      </top>
    </border>
    <border>
      <left style="thin">
        <color rgb="FFAAAAAA"/>
      </left>
      <top style="thin">
        <color rgb="FF000000"/>
      </top>
    </border>
    <border>
      <left style="thin">
        <color rgb="FFAAAAAA"/>
      </left>
      <right style="medium">
        <color rgb="FF000000"/>
      </right>
      <top style="thin">
        <color rgb="FF000000"/>
      </top>
    </border>
    <border>
      <left style="thick">
        <color rgb="FFFF0000"/>
      </left>
      <top style="thick">
        <color rgb="FFFF0000"/>
      </top>
      <bottom style="thin">
        <color rgb="FF000000"/>
      </bottom>
    </border>
    <border>
      <top style="thick">
        <color rgb="FFFF0000"/>
      </top>
      <bottom style="thin">
        <color rgb="FF000000"/>
      </bottom>
    </border>
    <border>
      <right style="medium">
        <color rgb="FF000000"/>
      </right>
      <top style="thick">
        <color rgb="FFFF0000"/>
      </top>
      <bottom style="thin">
        <color rgb="FF000000"/>
      </bottom>
    </border>
    <border>
      <left style="thin">
        <color rgb="FFCCCCCC"/>
      </left>
      <top style="thick">
        <color rgb="FFFF0000"/>
      </top>
      <bottom style="thin">
        <color rgb="FFCCCCCC"/>
      </bottom>
    </border>
    <border>
      <left style="medium">
        <color rgb="FF000000"/>
      </left>
      <right style="hair">
        <color rgb="FF000000"/>
      </right>
      <top style="thick">
        <color rgb="FFFF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ck">
        <color rgb="FFFF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ck">
        <color rgb="FFFF0000"/>
      </top>
      <bottom style="thin">
        <color rgb="FF000000"/>
      </bottom>
    </border>
    <border>
      <left style="hair">
        <color rgb="FF000000"/>
      </left>
      <top style="thick">
        <color rgb="FFFF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000000"/>
      </bottom>
    </border>
    <border>
      <left style="thin">
        <color rgb="FFAAAAAA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thin">
        <color rgb="FFAAAAAA"/>
      </right>
      <top style="medium">
        <color rgb="FF000000"/>
      </top>
      <bottom style="hair">
        <color rgb="FF000000"/>
      </bottom>
    </border>
    <border>
      <left style="thin">
        <color rgb="FFAAAAAA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FF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AAAAAA"/>
      </right>
      <top style="hair">
        <color rgb="FF000000"/>
      </top>
      <bottom style="hair">
        <color rgb="FF000000"/>
      </bottom>
    </border>
    <border>
      <left style="thin">
        <color rgb="FFAAAAAA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medium">
        <color rgb="FF000000"/>
      </right>
    </border>
    <border>
      <left style="thick">
        <color rgb="FFFF0000"/>
      </lef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thin">
        <color rgb="FFAAAAAA"/>
      </right>
      <top style="hair">
        <color rgb="FF000000"/>
      </top>
      <bottom style="medium">
        <color rgb="FF000000"/>
      </bottom>
    </border>
    <border>
      <left style="thin">
        <color rgb="FFAAAAAA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medium">
        <color rgb="FFFF0000"/>
      </top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top" wrapText="1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readingOrder="0" shrinkToFit="0" vertical="center" wrapText="1"/>
    </xf>
    <xf borderId="1" fillId="4" fontId="3" numFmtId="165" xfId="0" applyAlignment="1" applyBorder="1" applyFill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4" fontId="3" numFmtId="165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5" fontId="4" numFmtId="0" xfId="0" applyAlignment="1" applyBorder="1" applyFill="1" applyFont="1">
      <alignment horizontal="right" readingOrder="0" shrinkToFit="0" vertical="center" wrapText="1"/>
    </xf>
    <xf borderId="3" fillId="5" fontId="5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ill="1" applyFont="1">
      <alignment horizontal="right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horizontal="right" readingOrder="0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6" fontId="4" numFmtId="166" xfId="0" applyAlignment="1" applyBorder="1" applyFont="1" applyNumberFormat="1">
      <alignment horizontal="right" readingOrder="0" shrinkToFit="0" vertical="center" wrapText="1"/>
    </xf>
    <xf borderId="4" fillId="0" fontId="5" numFmtId="166" xfId="0" applyAlignment="1" applyBorder="1" applyFont="1" applyNumberFormat="1">
      <alignment horizontal="right" readingOrder="0" shrinkToFit="0" vertical="center" wrapText="1"/>
    </xf>
    <xf borderId="4" fillId="0" fontId="5" numFmtId="166" xfId="0" applyAlignment="1" applyBorder="1" applyFont="1" applyNumberFormat="1">
      <alignment horizontal="center" readingOrder="0" shrinkToFit="0" vertical="center" wrapText="1"/>
    </xf>
    <xf borderId="1" fillId="5" fontId="4" numFmtId="0" xfId="0" applyAlignment="1" applyBorder="1" applyFont="1">
      <alignment horizontal="right" readingOrder="0" shrinkToFit="0" vertical="center" wrapText="1"/>
    </xf>
    <xf borderId="5" fillId="5" fontId="5" numFmtId="49" xfId="0" applyAlignment="1" applyBorder="1" applyFont="1" applyNumberFormat="1">
      <alignment horizontal="center" readingOrder="0" shrinkToFit="0" vertical="center" wrapText="1"/>
    </xf>
    <xf borderId="6" fillId="0" fontId="6" numFmtId="0" xfId="0" applyAlignment="1" applyBorder="1" applyFon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0" fillId="5" fontId="7" numFmtId="0" xfId="0" applyAlignment="1" applyFont="1">
      <alignment shrinkToFit="0" vertical="top" wrapText="1"/>
    </xf>
    <xf borderId="0" fillId="6" fontId="4" numFmtId="0" xfId="0" applyAlignment="1" applyFont="1">
      <alignment horizontal="right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1" fillId="7" fontId="1" numFmtId="164" xfId="0" applyAlignment="1" applyBorder="1" applyFill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8" fontId="1" numFmtId="164" xfId="0" applyAlignment="1" applyBorder="1" applyFill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4" fillId="6" fontId="8" numFmtId="166" xfId="0" applyAlignment="1" applyBorder="1" applyFont="1" applyNumberFormat="1">
      <alignment horizontal="right" shrinkToFit="0" vertical="center" wrapText="1"/>
    </xf>
    <xf borderId="4" fillId="6" fontId="4" numFmtId="166" xfId="0" applyAlignment="1" applyBorder="1" applyFont="1" applyNumberFormat="1">
      <alignment horizontal="right" shrinkToFit="0" vertical="center" wrapText="1"/>
    </xf>
    <xf borderId="8" fillId="9" fontId="9" numFmtId="0" xfId="0" applyAlignment="1" applyBorder="1" applyFill="1" applyFont="1">
      <alignment horizontal="right" readingOrder="0" shrinkToFit="0" vertical="center" wrapText="1"/>
    </xf>
    <xf borderId="8" fillId="9" fontId="9" numFmtId="49" xfId="0" applyAlignment="1" applyBorder="1" applyFont="1" applyNumberFormat="1">
      <alignment horizontal="right" readingOrder="0" shrinkToFit="0" vertical="center" wrapText="1"/>
    </xf>
    <xf borderId="8" fillId="9" fontId="9" numFmtId="49" xfId="0" applyAlignment="1" applyBorder="1" applyFont="1" applyNumberFormat="1">
      <alignment horizontal="right" shrinkToFit="0" vertical="center" wrapText="1"/>
    </xf>
    <xf borderId="0" fillId="0" fontId="9" numFmtId="49" xfId="0" applyAlignment="1" applyFont="1" applyNumberFormat="1">
      <alignment horizontal="right" readingOrder="0" shrinkToFit="0" vertical="top" wrapText="1"/>
    </xf>
    <xf borderId="8" fillId="10" fontId="9" numFmtId="49" xfId="0" applyAlignment="1" applyBorder="1" applyFill="1" applyFont="1" applyNumberFormat="1">
      <alignment horizontal="right" readingOrder="0" shrinkToFit="0" vertical="center" wrapText="1"/>
    </xf>
    <xf borderId="8" fillId="10" fontId="3" numFmtId="0" xfId="0" applyAlignment="1" applyBorder="1" applyFont="1">
      <alignment horizontal="right" shrinkToFit="0" vertical="center" wrapText="1"/>
    </xf>
    <xf borderId="8" fillId="6" fontId="9" numFmtId="0" xfId="0" applyAlignment="1" applyBorder="1" applyFont="1">
      <alignment horizontal="right" shrinkToFit="0" vertical="center" wrapText="1"/>
    </xf>
    <xf borderId="8" fillId="0" fontId="3" numFmtId="166" xfId="0" applyAlignment="1" applyBorder="1" applyFont="1" applyNumberFormat="1">
      <alignment horizontal="right" shrinkToFit="0" vertical="center" wrapText="1"/>
    </xf>
    <xf borderId="8" fillId="0" fontId="3" numFmtId="0" xfId="0" applyAlignment="1" applyBorder="1" applyFont="1">
      <alignment horizontal="right" shrinkToFit="0" vertical="center" wrapText="1"/>
    </xf>
    <xf borderId="8" fillId="6" fontId="9" numFmtId="0" xfId="0" applyAlignment="1" applyBorder="1" applyFont="1">
      <alignment horizontal="right" readingOrder="0" shrinkToFit="0" vertical="center" wrapText="1"/>
    </xf>
    <xf borderId="8" fillId="10" fontId="9" numFmtId="49" xfId="0" applyAlignment="1" applyBorder="1" applyFont="1" applyNumberFormat="1">
      <alignment horizontal="right" shrinkToFit="0" vertical="center" wrapText="1"/>
    </xf>
    <xf borderId="8" fillId="0" fontId="3" numFmtId="0" xfId="0" applyAlignment="1" applyBorder="1" applyFont="1">
      <alignment horizontal="right" shrinkToFit="0" vertical="center" wrapText="1"/>
    </xf>
    <xf borderId="8" fillId="0" fontId="3" numFmtId="0" xfId="0" applyAlignment="1" applyBorder="1" applyFont="1">
      <alignment horizontal="right" readingOrder="1" shrinkToFit="0" vertical="center" wrapText="1"/>
    </xf>
    <xf borderId="8" fillId="0" fontId="3" numFmtId="166" xfId="0" applyAlignment="1" applyBorder="1" applyFont="1" applyNumberFormat="1">
      <alignment horizontal="right" readingOrder="1" shrinkToFit="0" vertical="center" wrapText="1"/>
    </xf>
    <xf borderId="8" fillId="10" fontId="3" numFmtId="0" xfId="0" applyAlignment="1" applyBorder="1" applyFont="1">
      <alignment horizontal="right" readingOrder="0" shrinkToFit="0" vertical="center" wrapText="1"/>
    </xf>
    <xf borderId="9" fillId="6" fontId="9" numFmtId="0" xfId="0" applyAlignment="1" applyBorder="1" applyFont="1">
      <alignment horizontal="right" shrinkToFit="0" vertical="center" wrapText="1"/>
    </xf>
    <xf borderId="9" fillId="0" fontId="3" numFmtId="166" xfId="0" applyAlignment="1" applyBorder="1" applyFont="1" applyNumberFormat="1">
      <alignment horizontal="right" readingOrder="1" shrinkToFit="0" vertical="center" wrapText="1"/>
    </xf>
    <xf borderId="9" fillId="0" fontId="3" numFmtId="0" xfId="0" applyAlignment="1" applyBorder="1" applyFont="1">
      <alignment horizontal="right" readingOrder="1" shrinkToFit="0" vertical="center" wrapText="1"/>
    </xf>
    <xf borderId="9" fillId="0" fontId="3" numFmtId="0" xfId="0" applyAlignment="1" applyBorder="1" applyFont="1">
      <alignment horizontal="right" shrinkToFit="0" vertical="center" wrapText="1"/>
    </xf>
    <xf borderId="10" fillId="6" fontId="9" numFmtId="0" xfId="0" applyAlignment="1" applyBorder="1" applyFont="1">
      <alignment horizontal="right" shrinkToFit="0" vertical="center" wrapText="1"/>
    </xf>
    <xf borderId="10" fillId="0" fontId="3" numFmtId="0" xfId="0" applyAlignment="1" applyBorder="1" applyFont="1">
      <alignment horizontal="right" shrinkToFit="0" vertical="center" wrapText="1"/>
    </xf>
    <xf borderId="8" fillId="6" fontId="9" numFmtId="0" xfId="0" applyAlignment="1" applyBorder="1" applyFont="1">
      <alignment horizontal="right" shrinkToFit="0" vertical="center" wrapText="1"/>
    </xf>
    <xf borderId="11" fillId="5" fontId="2" numFmtId="49" xfId="0" applyAlignment="1" applyBorder="1" applyFont="1" applyNumberFormat="1">
      <alignment horizontal="center" readingOrder="0" shrinkToFit="0" vertical="center" wrapText="1"/>
    </xf>
    <xf borderId="12" fillId="0" fontId="6" numFmtId="0" xfId="0" applyAlignment="1" applyBorder="1" applyFont="1">
      <alignment shrinkToFit="0" vertical="top" wrapText="1"/>
    </xf>
    <xf borderId="13" fillId="0" fontId="6" numFmtId="0" xfId="0" applyAlignment="1" applyBorder="1" applyFont="1">
      <alignment shrinkToFit="0" vertical="top" wrapText="1"/>
    </xf>
    <xf borderId="14" fillId="5" fontId="2" numFmtId="49" xfId="0" applyAlignment="1" applyBorder="1" applyFont="1" applyNumberFormat="1">
      <alignment horizontal="center" readingOrder="0" shrinkToFit="0" vertical="center" wrapText="1"/>
    </xf>
    <xf borderId="15" fillId="5" fontId="9" numFmtId="0" xfId="0" applyAlignment="1" applyBorder="1" applyFont="1">
      <alignment horizontal="right" readingOrder="0" shrinkToFit="0" vertical="center" wrapText="1"/>
    </xf>
    <xf borderId="16" fillId="0" fontId="6" numFmtId="0" xfId="0" applyAlignment="1" applyBorder="1" applyFont="1">
      <alignment shrinkToFit="0" vertical="top" wrapText="1"/>
    </xf>
    <xf borderId="17" fillId="0" fontId="6" numFmtId="0" xfId="0" applyAlignment="1" applyBorder="1" applyFont="1">
      <alignment shrinkToFit="0" vertical="top" wrapText="1"/>
    </xf>
    <xf borderId="18" fillId="5" fontId="10" numFmtId="167" xfId="0" applyAlignment="1" applyBorder="1" applyFont="1" applyNumberFormat="1">
      <alignment horizontal="center" readingOrder="0" shrinkToFit="0" vertical="bottom" wrapText="1"/>
    </xf>
    <xf borderId="5" fillId="5" fontId="2" numFmtId="167" xfId="0" applyAlignment="1" applyBorder="1" applyFont="1" applyNumberFormat="1">
      <alignment horizontal="center" readingOrder="0" shrinkToFit="0" vertical="bottom" wrapText="1"/>
    </xf>
    <xf borderId="19" fillId="5" fontId="4" numFmtId="49" xfId="0" applyAlignment="1" applyBorder="1" applyFont="1" applyNumberFormat="1">
      <alignment horizontal="center" shrinkToFit="0" vertical="center" wrapText="1"/>
    </xf>
    <xf borderId="19" fillId="5" fontId="9" numFmtId="49" xfId="0" applyAlignment="1" applyBorder="1" applyFont="1" applyNumberFormat="1">
      <alignment horizontal="center" shrinkToFit="0" vertical="center" wrapText="1"/>
    </xf>
    <xf borderId="15" fillId="5" fontId="9" numFmtId="0" xfId="0" applyAlignment="1" applyBorder="1" applyFont="1">
      <alignment horizontal="center" shrinkToFit="0" vertical="center" wrapText="1"/>
    </xf>
    <xf borderId="20" fillId="11" fontId="4" numFmtId="49" xfId="0" applyAlignment="1" applyBorder="1" applyFill="1" applyFont="1" applyNumberFormat="1">
      <alignment horizontal="center" shrinkToFit="0" vertical="center" wrapText="1"/>
    </xf>
    <xf borderId="21" fillId="0" fontId="6" numFmtId="0" xfId="0" applyAlignment="1" applyBorder="1" applyFont="1">
      <alignment shrinkToFit="0" vertical="top" wrapText="1"/>
    </xf>
    <xf borderId="22" fillId="0" fontId="6" numFmtId="0" xfId="0" applyAlignment="1" applyBorder="1" applyFont="1">
      <alignment shrinkToFit="0" vertical="top" wrapText="1"/>
    </xf>
    <xf borderId="18" fillId="0" fontId="10" numFmtId="167" xfId="0" applyAlignment="1" applyBorder="1" applyFont="1" applyNumberFormat="1">
      <alignment horizontal="center" readingOrder="0" shrinkToFit="0" vertical="bottom" wrapText="1"/>
    </xf>
    <xf borderId="5" fillId="0" fontId="2" numFmtId="167" xfId="0" applyAlignment="1" applyBorder="1" applyFont="1" applyNumberFormat="1">
      <alignment horizontal="center" readingOrder="0" shrinkToFit="0" vertical="bottom" wrapText="1"/>
    </xf>
    <xf borderId="23" fillId="4" fontId="11" numFmtId="49" xfId="0" applyAlignment="1" applyBorder="1" applyFont="1" applyNumberFormat="1">
      <alignment horizontal="center" shrinkToFit="0" vertical="bottom" wrapText="1"/>
    </xf>
    <xf borderId="24" fillId="4" fontId="11" numFmtId="49" xfId="0" applyAlignment="1" applyBorder="1" applyFont="1" applyNumberFormat="1">
      <alignment horizontal="center" shrinkToFit="0" vertical="bottom" wrapText="1"/>
    </xf>
    <xf borderId="25" fillId="4" fontId="11" numFmtId="49" xfId="0" applyAlignment="1" applyBorder="1" applyFont="1" applyNumberFormat="1">
      <alignment horizontal="center" shrinkToFit="0" vertical="bottom" wrapText="1"/>
    </xf>
    <xf borderId="26" fillId="4" fontId="11" numFmtId="49" xfId="0" applyAlignment="1" applyBorder="1" applyFont="1" applyNumberFormat="1">
      <alignment horizontal="center" shrinkToFit="0" vertical="bottom" wrapText="1"/>
    </xf>
    <xf borderId="20" fillId="11" fontId="3" numFmtId="0" xfId="0" applyAlignment="1" applyBorder="1" applyFont="1">
      <alignment horizontal="center" shrinkToFit="0" vertical="bottom" wrapText="1"/>
    </xf>
    <xf borderId="27" fillId="4" fontId="12" numFmtId="0" xfId="0" applyAlignment="1" applyBorder="1" applyFont="1">
      <alignment horizontal="center" readingOrder="0" shrinkToFit="0" vertical="bottom" wrapText="1"/>
    </xf>
    <xf borderId="28" fillId="4" fontId="12" numFmtId="0" xfId="0" applyAlignment="1" applyBorder="1" applyFont="1">
      <alignment horizontal="center" readingOrder="0" shrinkToFit="0" vertical="bottom" wrapText="1"/>
    </xf>
    <xf borderId="28" fillId="4" fontId="12" numFmtId="0" xfId="0" applyAlignment="1" applyBorder="1" applyFont="1">
      <alignment horizontal="center" shrinkToFit="0" vertical="bottom" wrapText="1"/>
    </xf>
    <xf borderId="29" fillId="4" fontId="12" numFmtId="0" xfId="0" applyAlignment="1" applyBorder="1" applyFont="1">
      <alignment horizontal="center" readingOrder="0" shrinkToFit="0" vertical="bottom" wrapText="1"/>
    </xf>
    <xf borderId="23" fillId="4" fontId="3" numFmtId="0" xfId="0" applyAlignment="1" applyBorder="1" applyFont="1">
      <alignment shrinkToFit="0" vertical="bottom" wrapText="1"/>
    </xf>
    <xf borderId="24" fillId="4" fontId="3" numFmtId="2" xfId="0" applyAlignment="1" applyBorder="1" applyFont="1" applyNumberFormat="1">
      <alignment shrinkToFit="0" vertical="bottom" wrapText="1"/>
    </xf>
    <xf borderId="25" fillId="4" fontId="3" numFmtId="0" xfId="0" applyAlignment="1" applyBorder="1" applyFont="1">
      <alignment shrinkToFit="0" vertical="bottom" wrapText="1"/>
    </xf>
    <xf borderId="24" fillId="4" fontId="3" numFmtId="0" xfId="0" applyAlignment="1" applyBorder="1" applyFont="1">
      <alignment shrinkToFit="0" vertical="bottom" wrapText="1"/>
    </xf>
    <xf borderId="26" fillId="4" fontId="3" numFmtId="0" xfId="0" applyAlignment="1" applyBorder="1" applyFont="1">
      <alignment shrinkToFit="0" vertical="bottom" wrapText="1"/>
    </xf>
    <xf borderId="23" fillId="4" fontId="12" numFmtId="2" xfId="0" applyAlignment="1" applyBorder="1" applyFont="1" applyNumberFormat="1">
      <alignment horizontal="center" readingOrder="0" shrinkToFit="0" vertical="bottom" wrapText="1"/>
    </xf>
    <xf borderId="24" fillId="4" fontId="12" numFmtId="2" xfId="0" applyAlignment="1" applyBorder="1" applyFont="1" applyNumberFormat="1">
      <alignment horizontal="center" readingOrder="0" shrinkToFit="0" vertical="bottom" wrapText="1"/>
    </xf>
    <xf borderId="24" fillId="4" fontId="12" numFmtId="2" xfId="0" applyAlignment="1" applyBorder="1" applyFont="1" applyNumberFormat="1">
      <alignment horizontal="center" shrinkToFit="0" vertical="bottom" wrapText="1"/>
    </xf>
    <xf borderId="25" fillId="4" fontId="12" numFmtId="2" xfId="0" applyAlignment="1" applyBorder="1" applyFont="1" applyNumberFormat="1">
      <alignment horizontal="center" readingOrder="0" shrinkToFit="0" vertical="bottom" wrapText="1"/>
    </xf>
    <xf borderId="27" fillId="4" fontId="12" numFmtId="2" xfId="0" applyAlignment="1" applyBorder="1" applyFont="1" applyNumberFormat="1">
      <alignment horizontal="center" readingOrder="0" shrinkToFit="0" vertical="bottom" wrapText="1"/>
    </xf>
    <xf borderId="28" fillId="4" fontId="12" numFmtId="2" xfId="0" applyAlignment="1" applyBorder="1" applyFont="1" applyNumberFormat="1">
      <alignment horizontal="center" readingOrder="0" shrinkToFit="0" vertical="bottom" wrapText="1"/>
    </xf>
    <xf borderId="28" fillId="4" fontId="12" numFmtId="2" xfId="0" applyAlignment="1" applyBorder="1" applyFont="1" applyNumberFormat="1">
      <alignment horizontal="center" shrinkToFit="0" vertical="bottom" wrapText="1"/>
    </xf>
    <xf borderId="30" fillId="4" fontId="12" numFmtId="2" xfId="0" applyAlignment="1" applyBorder="1" applyFont="1" applyNumberFormat="1">
      <alignment horizontal="center" readingOrder="0" shrinkToFit="0" vertical="bottom" wrapText="1"/>
    </xf>
    <xf borderId="20" fillId="11" fontId="9" numFmtId="49" xfId="0" applyAlignment="1" applyBorder="1" applyFont="1" applyNumberFormat="1">
      <alignment horizontal="center" shrinkToFit="0" vertical="bottom" wrapText="1"/>
    </xf>
    <xf borderId="23" fillId="4" fontId="12" numFmtId="2" xfId="0" applyAlignment="1" applyBorder="1" applyFont="1" applyNumberFormat="1">
      <alignment horizontal="center" shrinkToFit="0" vertical="bottom" wrapText="1"/>
    </xf>
    <xf borderId="26" fillId="4" fontId="12" numFmtId="2" xfId="0" applyAlignment="1" applyBorder="1" applyFont="1" applyNumberFormat="1">
      <alignment horizontal="center" shrinkToFit="0" vertical="bottom" wrapText="1"/>
    </xf>
    <xf borderId="25" fillId="4" fontId="3" numFmtId="2" xfId="0" applyAlignment="1" applyBorder="1" applyFont="1" applyNumberFormat="1">
      <alignment shrinkToFit="0" vertical="bottom" wrapText="1"/>
    </xf>
    <xf borderId="25" fillId="4" fontId="12" numFmtId="2" xfId="0" applyAlignment="1" applyBorder="1" applyFont="1" applyNumberFormat="1">
      <alignment horizontal="center" shrinkToFit="0" vertical="bottom" wrapText="1"/>
    </xf>
    <xf borderId="31" fillId="11" fontId="9" numFmtId="0" xfId="0" applyAlignment="1" applyBorder="1" applyFont="1">
      <alignment horizontal="center" shrinkToFit="0" vertical="bottom" wrapText="1"/>
    </xf>
    <xf borderId="24" fillId="11" fontId="13" numFmtId="0" xfId="0" applyAlignment="1" applyBorder="1" applyFont="1">
      <alignment horizontal="center" shrinkToFit="0" vertical="bottom" wrapText="1"/>
    </xf>
    <xf borderId="25" fillId="11" fontId="13" numFmtId="0" xfId="0" applyAlignment="1" applyBorder="1" applyFont="1">
      <alignment horizontal="center" shrinkToFit="0" vertical="bottom" wrapText="1"/>
    </xf>
    <xf borderId="24" fillId="4" fontId="12" numFmtId="167" xfId="0" applyAlignment="1" applyBorder="1" applyFont="1" applyNumberFormat="1">
      <alignment horizontal="center" shrinkToFit="0" vertical="bottom" wrapText="1"/>
    </xf>
    <xf borderId="32" fillId="11" fontId="3" numFmtId="49" xfId="0" applyAlignment="1" applyBorder="1" applyFont="1" applyNumberFormat="1">
      <alignment horizontal="center" shrinkToFit="0" vertical="center" wrapText="1"/>
    </xf>
    <xf borderId="33" fillId="0" fontId="6" numFmtId="0" xfId="0" applyAlignment="1" applyBorder="1" applyFont="1">
      <alignment shrinkToFit="0" vertical="top" wrapText="1"/>
    </xf>
    <xf borderId="34" fillId="0" fontId="6" numFmtId="0" xfId="0" applyAlignment="1" applyBorder="1" applyFont="1">
      <alignment shrinkToFit="0" vertical="top" wrapText="1"/>
    </xf>
    <xf borderId="35" fillId="4" fontId="3" numFmtId="0" xfId="0" applyAlignment="1" applyBorder="1" applyFont="1">
      <alignment horizontal="center" shrinkToFit="0" vertical="bottom" wrapText="1"/>
    </xf>
    <xf borderId="36" fillId="0" fontId="6" numFmtId="0" xfId="0" applyAlignment="1" applyBorder="1" applyFont="1">
      <alignment shrinkToFit="0" vertical="top" wrapText="1"/>
    </xf>
    <xf borderId="37" fillId="4" fontId="3" numFmtId="0" xfId="0" applyAlignment="1" applyBorder="1" applyFont="1">
      <alignment horizontal="center" shrinkToFit="0" vertical="bottom" wrapText="1"/>
    </xf>
    <xf borderId="38" fillId="4" fontId="3" numFmtId="0" xfId="0" applyAlignment="1" applyBorder="1" applyFont="1">
      <alignment horizontal="center" shrinkToFit="0" vertical="bottom" wrapText="1"/>
    </xf>
    <xf borderId="35" fillId="4" fontId="3" numFmtId="0" xfId="0" applyAlignment="1" applyBorder="1" applyFont="1">
      <alignment horizontal="center" shrinkToFit="0" vertical="center" wrapText="1"/>
    </xf>
    <xf borderId="39" fillId="11" fontId="4" numFmtId="49" xfId="0" applyAlignment="1" applyBorder="1" applyFont="1" applyNumberFormat="1">
      <alignment horizontal="center" shrinkToFit="0" vertical="center" wrapText="1"/>
    </xf>
    <xf borderId="40" fillId="0" fontId="6" numFmtId="0" xfId="0" applyAlignment="1" applyBorder="1" applyFont="1">
      <alignment shrinkToFit="0" vertical="top" wrapText="1"/>
    </xf>
    <xf borderId="41" fillId="0" fontId="6" numFmtId="0" xfId="0" applyAlignment="1" applyBorder="1" applyFont="1">
      <alignment shrinkToFit="0" vertical="top" wrapText="1"/>
    </xf>
    <xf borderId="42" fillId="0" fontId="2" numFmtId="167" xfId="0" applyAlignment="1" applyBorder="1" applyFont="1" applyNumberFormat="1">
      <alignment horizontal="center" readingOrder="0" shrinkToFit="0" vertical="bottom" wrapText="1"/>
    </xf>
    <xf borderId="43" fillId="4" fontId="11" numFmtId="49" xfId="0" applyAlignment="1" applyBorder="1" applyFont="1" applyNumberFormat="1">
      <alignment horizontal="center" shrinkToFit="0" vertical="bottom" wrapText="1"/>
    </xf>
    <xf borderId="44" fillId="4" fontId="11" numFmtId="49" xfId="0" applyAlignment="1" applyBorder="1" applyFont="1" applyNumberFormat="1">
      <alignment horizontal="center" shrinkToFit="0" vertical="bottom" wrapText="1"/>
    </xf>
    <xf borderId="45" fillId="4" fontId="11" numFmtId="49" xfId="0" applyAlignment="1" applyBorder="1" applyFont="1" applyNumberFormat="1">
      <alignment horizontal="center" shrinkToFit="0" vertical="bottom" wrapText="1"/>
    </xf>
    <xf borderId="46" fillId="4" fontId="11" numFmtId="49" xfId="0" applyAlignment="1" applyBorder="1" applyFont="1" applyNumberFormat="1">
      <alignment horizontal="center" shrinkToFit="0" vertical="bottom" wrapText="1"/>
    </xf>
    <xf borderId="39" fillId="11" fontId="4" numFmtId="49" xfId="0" applyAlignment="1" applyBorder="1" applyFont="1" applyNumberFormat="1">
      <alignment horizontal="center" readingOrder="0" shrinkToFit="0" vertical="center" wrapText="1"/>
    </xf>
    <xf borderId="20" fillId="11" fontId="3" numFmtId="0" xfId="0" applyAlignment="1" applyBorder="1" applyFont="1">
      <alignment horizontal="center" shrinkToFit="0" vertical="center" wrapText="1"/>
    </xf>
    <xf borderId="26" fillId="4" fontId="3" numFmtId="0" xfId="0" applyAlignment="1" applyBorder="1" applyFont="1">
      <alignment horizontal="center" shrinkToFit="0" vertical="bottom" wrapText="1"/>
    </xf>
    <xf borderId="25" fillId="4" fontId="3" numFmtId="0" xfId="0" applyAlignment="1" applyBorder="1" applyFont="1">
      <alignment horizontal="center" shrinkToFit="0" vertical="bottom" wrapText="1"/>
    </xf>
    <xf borderId="35" fillId="4" fontId="3" numFmtId="49" xfId="0" applyAlignment="1" applyBorder="1" applyFont="1" applyNumberFormat="1">
      <alignment horizontal="center" shrinkToFit="0" vertical="bottom" wrapText="1"/>
    </xf>
    <xf borderId="20" fillId="11" fontId="3" numFmtId="49" xfId="0" applyAlignment="1" applyBorder="1" applyFont="1" applyNumberFormat="1">
      <alignment horizontal="center" shrinkToFit="0" vertical="center" wrapText="1"/>
    </xf>
    <xf borderId="20" fillId="11" fontId="3" numFmtId="49" xfId="0" applyAlignment="1" applyBorder="1" applyFont="1" applyNumberFormat="1">
      <alignment horizontal="center" readingOrder="0" shrinkToFit="0" vertical="center" wrapText="1"/>
    </xf>
    <xf borderId="47" fillId="4" fontId="3" numFmtId="0" xfId="0" applyAlignment="1" applyBorder="1" applyFont="1">
      <alignment horizontal="center" shrinkToFit="0" vertical="bottom" wrapText="1"/>
    </xf>
    <xf borderId="48" fillId="0" fontId="6" numFmtId="0" xfId="0" applyAlignment="1" applyBorder="1" applyFont="1">
      <alignment shrinkToFit="0" vertical="top" wrapText="1"/>
    </xf>
    <xf borderId="49" fillId="4" fontId="3" numFmtId="0" xfId="0" applyAlignment="1" applyBorder="1" applyFont="1">
      <alignment horizontal="center" shrinkToFit="0" vertical="bottom" wrapText="1"/>
    </xf>
    <xf borderId="50" fillId="4" fontId="3" numFmtId="0" xfId="0" applyAlignment="1" applyBorder="1" applyFont="1">
      <alignment horizontal="center" shrinkToFit="0" vertical="bottom" wrapText="1"/>
    </xf>
    <xf borderId="51" fillId="11" fontId="12" numFmtId="49" xfId="0" applyAlignment="1" applyBorder="1" applyFont="1" applyNumberFormat="1">
      <alignment horizontal="left" shrinkToFit="0" vertical="bottom" wrapText="1"/>
    </xf>
    <xf borderId="52" fillId="11" fontId="12" numFmtId="0" xfId="0" applyAlignment="1" applyBorder="1" applyFont="1">
      <alignment horizontal="left" shrinkToFit="0" vertical="bottom" wrapText="1"/>
    </xf>
    <xf borderId="53" fillId="11" fontId="12" numFmtId="0" xfId="0" applyAlignment="1" applyBorder="1" applyFont="1">
      <alignment horizontal="left" shrinkToFit="0" vertical="bottom" wrapText="1"/>
    </xf>
    <xf borderId="54" fillId="11" fontId="12" numFmtId="49" xfId="0" applyAlignment="1" applyBorder="1" applyFont="1" applyNumberFormat="1">
      <alignment horizontal="left" shrinkToFit="0" vertical="bottom" wrapText="1"/>
    </xf>
    <xf borderId="55" fillId="0" fontId="6" numFmtId="0" xfId="0" applyAlignment="1" applyBorder="1" applyFont="1">
      <alignment shrinkToFit="0" vertical="top" wrapText="1"/>
    </xf>
    <xf borderId="56" fillId="0" fontId="6" numFmtId="0" xfId="0" applyAlignment="1" applyBorder="1" applyFont="1">
      <alignment shrinkToFit="0" vertical="top" wrapText="1"/>
    </xf>
    <xf borderId="52" fillId="11" fontId="12" numFmtId="0" xfId="0" applyAlignment="1" applyBorder="1" applyFont="1">
      <alignment shrinkToFit="0" vertical="bottom" wrapText="1"/>
    </xf>
    <xf borderId="52" fillId="11" fontId="14" numFmtId="0" xfId="0" applyAlignment="1" applyBorder="1" applyFont="1">
      <alignment shrinkToFit="0" vertical="bottom" wrapText="1"/>
    </xf>
    <xf borderId="57" fillId="11" fontId="12" numFmtId="49" xfId="0" applyAlignment="1" applyBorder="1" applyFont="1" applyNumberFormat="1">
      <alignment horizontal="left" shrinkToFit="0" vertical="bottom" wrapText="1"/>
    </xf>
    <xf borderId="52" fillId="11" fontId="5" numFmtId="0" xfId="0" applyAlignment="1" applyBorder="1" applyFont="1">
      <alignment shrinkToFit="0" vertical="bottom" wrapText="1"/>
    </xf>
    <xf borderId="58" fillId="11" fontId="2" numFmtId="49" xfId="0" applyAlignment="1" applyBorder="1" applyFont="1" applyNumberFormat="1">
      <alignment horizontal="center" shrinkToFit="0" vertical="bottom" wrapText="1"/>
    </xf>
    <xf borderId="59" fillId="0" fontId="6" numFmtId="0" xfId="0" applyAlignment="1" applyBorder="1" applyFont="1">
      <alignment shrinkToFit="0" vertical="top" wrapText="1"/>
    </xf>
    <xf borderId="60" fillId="0" fontId="6" numFmtId="0" xfId="0" applyAlignment="1" applyBorder="1" applyFont="1">
      <alignment shrinkToFit="0" vertical="top" wrapText="1"/>
    </xf>
    <xf borderId="61" fillId="11" fontId="12" numFmtId="49" xfId="0" applyAlignment="1" applyBorder="1" applyFont="1" applyNumberFormat="1">
      <alignment horizontal="left" shrinkToFit="0" vertical="bottom" wrapText="1"/>
    </xf>
    <xf borderId="62" fillId="11" fontId="12" numFmtId="0" xfId="0" applyAlignment="1" applyBorder="1" applyFont="1">
      <alignment horizontal="left" shrinkToFit="0" vertical="bottom" wrapText="1"/>
    </xf>
    <xf borderId="63" fillId="11" fontId="12" numFmtId="0" xfId="0" applyAlignment="1" applyBorder="1" applyFont="1">
      <alignment horizontal="left" shrinkToFit="0" vertical="bottom" wrapText="1"/>
    </xf>
    <xf borderId="64" fillId="11" fontId="12" numFmtId="49" xfId="0" applyAlignment="1" applyBorder="1" applyFont="1" applyNumberFormat="1">
      <alignment horizontal="left" shrinkToFit="0" vertical="bottom" wrapText="1"/>
    </xf>
    <xf borderId="65" fillId="0" fontId="6" numFmtId="0" xfId="0" applyAlignment="1" applyBorder="1" applyFont="1">
      <alignment shrinkToFit="0" vertical="top" wrapText="1"/>
    </xf>
    <xf borderId="66" fillId="0" fontId="6" numFmtId="0" xfId="0" applyAlignment="1" applyBorder="1" applyFont="1">
      <alignment shrinkToFit="0" vertical="top" wrapText="1"/>
    </xf>
    <xf borderId="62" fillId="11" fontId="12" numFmtId="0" xfId="0" applyAlignment="1" applyBorder="1" applyFont="1">
      <alignment shrinkToFit="0" vertical="bottom" wrapText="1"/>
    </xf>
    <xf borderId="62" fillId="11" fontId="14" numFmtId="0" xfId="0" applyAlignment="1" applyBorder="1" applyFont="1">
      <alignment shrinkToFit="0" vertical="bottom" wrapText="1"/>
    </xf>
    <xf borderId="67" fillId="11" fontId="12" numFmtId="49" xfId="0" applyAlignment="1" applyBorder="1" applyFont="1" applyNumberFormat="1">
      <alignment horizontal="left" shrinkToFit="0" vertical="bottom" wrapText="1"/>
    </xf>
    <xf borderId="62" fillId="11" fontId="15" numFmtId="0" xfId="0" applyAlignment="1" applyBorder="1" applyFont="1">
      <alignment horizontal="center" shrinkToFit="0" vertical="bottom" wrapText="1"/>
    </xf>
    <xf borderId="62" fillId="11" fontId="16" numFmtId="0" xfId="0" applyAlignment="1" applyBorder="1" applyFont="1">
      <alignment horizontal="center" shrinkToFit="0" vertical="bottom" wrapText="1"/>
    </xf>
    <xf borderId="62" fillId="11" fontId="17" numFmtId="0" xfId="0" applyAlignment="1" applyBorder="1" applyFont="1">
      <alignment horizontal="center" shrinkToFit="0" vertical="bottom" wrapText="1"/>
    </xf>
    <xf borderId="68" fillId="0" fontId="6" numFmtId="0" xfId="0" applyAlignment="1" applyBorder="1" applyFont="1">
      <alignment shrinkToFit="0" vertical="top" wrapText="1"/>
    </xf>
    <xf borderId="69" fillId="0" fontId="6" numFmtId="0" xfId="0" applyAlignment="1" applyBorder="1" applyFont="1">
      <alignment shrinkToFit="0" vertical="top" wrapText="1"/>
    </xf>
    <xf borderId="62" fillId="11" fontId="12" numFmtId="49" xfId="0" applyAlignment="1" applyBorder="1" applyFont="1" applyNumberFormat="1">
      <alignment shrinkToFit="0" vertical="bottom" wrapText="1"/>
    </xf>
    <xf borderId="70" fillId="11" fontId="12" numFmtId="49" xfId="0" applyAlignment="1" applyBorder="1" applyFont="1" applyNumberFormat="1">
      <alignment horizontal="left" shrinkToFit="0" vertical="bottom" wrapText="1"/>
    </xf>
    <xf borderId="71" fillId="0" fontId="6" numFmtId="0" xfId="0" applyAlignment="1" applyBorder="1" applyFont="1">
      <alignment shrinkToFit="0" vertical="top" wrapText="1"/>
    </xf>
    <xf borderId="72" fillId="11" fontId="12" numFmtId="0" xfId="0" applyAlignment="1" applyBorder="1" applyFont="1">
      <alignment horizontal="left" shrinkToFit="0" vertical="bottom" wrapText="1"/>
    </xf>
    <xf borderId="73" fillId="11" fontId="12" numFmtId="49" xfId="0" applyAlignment="1" applyBorder="1" applyFont="1" applyNumberFormat="1">
      <alignment shrinkToFit="0" vertical="bottom" wrapText="1"/>
    </xf>
    <xf borderId="74" fillId="11" fontId="12" numFmtId="0" xfId="0" applyAlignment="1" applyBorder="1" applyFont="1">
      <alignment shrinkToFit="0" vertical="bottom" wrapText="1"/>
    </xf>
    <xf borderId="74" fillId="11" fontId="14" numFmtId="0" xfId="0" applyAlignment="1" applyBorder="1" applyFont="1">
      <alignment shrinkToFit="0" vertical="bottom" wrapText="1"/>
    </xf>
    <xf borderId="75" fillId="11" fontId="12" numFmtId="49" xfId="0" applyAlignment="1" applyBorder="1" applyFont="1" applyNumberFormat="1">
      <alignment horizontal="left" shrinkToFit="0" vertical="bottom" wrapText="1"/>
    </xf>
    <xf borderId="76" fillId="0" fontId="6" numFmtId="0" xfId="0" applyAlignment="1" applyBorder="1" applyFont="1">
      <alignment shrinkToFit="0" vertical="top" wrapText="1"/>
    </xf>
    <xf borderId="74" fillId="11" fontId="15" numFmtId="0" xfId="0" applyAlignment="1" applyBorder="1" applyFont="1">
      <alignment horizontal="center" shrinkToFit="0" vertical="bottom" wrapText="1"/>
    </xf>
    <xf borderId="74" fillId="11" fontId="16" numFmtId="0" xfId="0" applyAlignment="1" applyBorder="1" applyFont="1">
      <alignment horizontal="center" shrinkToFit="0" vertical="bottom" wrapText="1"/>
    </xf>
    <xf borderId="74" fillId="11" fontId="17" numFmtId="0" xfId="0" applyAlignment="1" applyBorder="1" applyFont="1">
      <alignment horizontal="center" shrinkToFit="0" vertical="bottom" wrapText="1"/>
    </xf>
    <xf borderId="77" fillId="0" fontId="6" numFmtId="0" xfId="0" applyAlignment="1" applyBorder="1" applyFont="1">
      <alignment shrinkToFit="0" vertical="top" wrapText="1"/>
    </xf>
    <xf borderId="78" fillId="0" fontId="6" numFmtId="0" xfId="0" applyAlignment="1" applyBorder="1" applyFont="1">
      <alignment shrinkToFit="0" vertical="top" wrapText="1"/>
    </xf>
    <xf borderId="79" fillId="0" fontId="6" numFmtId="0" xfId="0" applyAlignment="1" applyBorder="1" applyFont="1">
      <alignment shrinkToFit="0" vertical="top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49" xfId="0" applyAlignment="1" applyFont="1" applyNumberFormat="1">
      <alignment horizontal="center" readingOrder="0" shrinkToFit="0" vertical="center" wrapText="1"/>
    </xf>
    <xf borderId="0" fillId="0" fontId="18" numFmtId="49" xfId="0" applyAlignment="1" applyFont="1" applyNumberFormat="1">
      <alignment horizontal="left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80" fillId="4" fontId="9" numFmtId="49" xfId="0" applyAlignment="1" applyBorder="1" applyFont="1" applyNumberFormat="1">
      <alignment horizontal="center" readingOrder="0" shrinkToFit="0" vertical="center" wrapText="1"/>
    </xf>
    <xf borderId="80" fillId="12" fontId="3" numFmtId="49" xfId="0" applyAlignment="1" applyBorder="1" applyFill="1" applyFont="1" applyNumberFormat="1">
      <alignment horizontal="center" readingOrder="0" shrinkToFit="0" vertical="center" wrapText="1"/>
    </xf>
    <xf borderId="80" fillId="12" fontId="3" numFmtId="49" xfId="0" applyAlignment="1" applyBorder="1" applyFont="1" applyNumberFormat="1">
      <alignment horizontal="left" readingOrder="0" shrinkToFit="0" vertical="center" wrapText="1"/>
    </xf>
    <xf borderId="0" fillId="12" fontId="9" numFmtId="49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1" fillId="4" fontId="19" numFmtId="0" xfId="0" applyAlignment="1" applyBorder="1" applyFont="1">
      <alignment horizontal="center" readingOrder="0" shrinkToFit="0" vertical="center" wrapText="1"/>
    </xf>
    <xf borderId="0" fillId="4" fontId="18" numFmtId="0" xfId="0" applyAlignment="1" applyFont="1">
      <alignment horizontal="center" readingOrder="0" shrinkToFit="0" vertical="top" wrapText="1"/>
    </xf>
    <xf borderId="0" fillId="0" fontId="18" numFmtId="0" xfId="0" applyAlignment="1" applyFont="1">
      <alignment horizontal="center" readingOrder="0" shrinkToFit="0" vertical="top" wrapText="1"/>
    </xf>
    <xf borderId="81" fillId="0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ae8d973d-be82-48ca-bbd0-e68c322e3abd}">
    <Anchor>
      <Comment id="{ad2247d3-649b-4e6b-a517-6de357ea01f8}"/>
    </Anchor>
    <History>
      <Event time="2025-12-19T15:03:34.00" id="{b717a3a1-4691-429d-acb8-a855efbad025}">
        <Attribution userId="placeholder@email.com" userName="Elisa Arrivabene" userProvider="google-sheets"/>
        <Anchor>
          <Comment id="{ad2247d3-649b-4e6b-a517-6de357ea01f8}"/>
        </Anchor>
        <Create/>
      </Event>
      <Event time="2025-12-19T15:03:34.00" id="{c4285635-f1e8-4a36-a242-0161eaa75269}">
        <Attribution userId="placeholder@email.com" userName="Elisa Arrivabene" userProvider="google-sheets"/>
        <Anchor>
          <Comment id="{ad2247d3-649b-4e6b-a517-6de357ea01f8}"/>
        </Anchor>
        <Assign userId="gaechacha@gmail.com" userName="gaechacha@gmail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lisa Arrivabene" id="{a6b3c349-fd35-4dc0-9b6a-d07b506b3a57}" providerId="google-sheets"/>
  <x18tc:person displayName="gaechacha@gmail.com" id="{ce0c482c-dfa9-4438-80b5-8d2a75c04d54}" userId="gaechacha@gmail.com" providerId="google-sheets"/>
  <x18tc:person displayName="Gaetano Ambrosio" id="{b2d3315c-ea51-4cf6-9e9d-d2c4e79f965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F4" dT="2025-12-19T15:03:34.00" personId="{a6b3c349-fd35-4dc0-9b6a-d07b506b3a57}" id="{ad2247d3-649b-4e6b-a517-6de357ea01f8}" done="1">
    <x18tc:text xml:space="preserve">@gaechacha@gmail.com queste celle di Alexandra, danno errore, anche nel conteggio totale delle ore. E' urgentissimo, avrei dovuto mandare oggi il file a Grillo
Attività assegnata a gaechacha@gmail.com</x18tc:text>
    <x18tc:mentions>
      <x18tc:mention mentionpersonId="{ce0c482c-dfa9-4438-80b5-8d2a75c04d54}" mentionId="{8db7c415-47d2-49f3-8604-cca2ecada44b}" startIndex="0" length="20"/>
    </x18tc:mentions>
  </x18tc:threadedComment>
  <x18tc:threadedComment ref="FF4" dT="2025-12-22T11:24:41.00" personId="{b2d3315c-ea51-4cf6-9e9d-d2c4e79f9652}" id="{1bc951d5-639c-4953-9c27-d948ab6c2976}" parentId="{ad2247d3-649b-4e6b-a517-6de357ea01f8}">
    <x18tc:text xml:space="preserve">risolto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2" dT="2025-10-03T11:20:49.00" personId="{b2d3315c-ea51-4cf6-9e9d-d2c4e79f9652}" id="{c03b3429-f7e3-4fb9-9624-9381da4a7ffd}" done="1">
    <x18tc:text xml:space="preserve">x elisa: aggiungi Giulia</x18tc:text>
  </x18tc:threadedComment>
  <x18tc:threadedComment ref="C4" dT="2025-10-03T11:20:34.00" personId="{b2d3315c-ea51-4cf6-9e9d-d2c4e79f9652}" id="{fb7fc481-409c-464b-bac9-b6197b72e3dd}" done="1">
    <x18tc:text xml:space="preserve">x elisa: aggiungi il nome e cognome di Nura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1">
        <v>45901.0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45901.0</v>
      </c>
      <c r="B2" s="4">
        <v>8.0</v>
      </c>
      <c r="C2" s="4">
        <v>8.0</v>
      </c>
      <c r="D2" s="4">
        <v>8.0</v>
      </c>
      <c r="E2" s="4">
        <v>8.0</v>
      </c>
      <c r="F2" s="4" t="s">
        <v>0</v>
      </c>
      <c r="G2" s="4">
        <v>8.0</v>
      </c>
      <c r="H2" s="4">
        <v>8.0</v>
      </c>
      <c r="I2" s="4">
        <v>7.5</v>
      </c>
      <c r="J2" s="4">
        <v>8.0</v>
      </c>
      <c r="K2" s="4">
        <v>8.0</v>
      </c>
      <c r="L2" s="4">
        <v>8.0</v>
      </c>
      <c r="M2" s="4"/>
      <c r="N2" s="4"/>
      <c r="O2" s="4">
        <v>8.0</v>
      </c>
      <c r="P2" s="4">
        <v>8.0</v>
      </c>
    </row>
    <row r="3" ht="23.25" customHeight="1">
      <c r="A3" s="3">
        <v>45902.0</v>
      </c>
      <c r="B3" s="4">
        <v>8.0</v>
      </c>
      <c r="C3" s="4">
        <v>8.0</v>
      </c>
      <c r="D3" s="4">
        <v>8.0</v>
      </c>
      <c r="E3" s="4">
        <v>8.0</v>
      </c>
      <c r="F3" s="4" t="s">
        <v>0</v>
      </c>
      <c r="G3" s="4">
        <v>8.0</v>
      </c>
      <c r="H3" s="4">
        <v>8.0</v>
      </c>
      <c r="I3" s="4">
        <v>8.0</v>
      </c>
      <c r="J3" s="4">
        <v>8.0</v>
      </c>
      <c r="K3" s="4">
        <v>8.0</v>
      </c>
      <c r="L3" s="4">
        <v>8.0</v>
      </c>
      <c r="M3" s="4"/>
      <c r="N3" s="4"/>
      <c r="O3" s="4">
        <v>8.0</v>
      </c>
      <c r="P3" s="4">
        <v>8.0</v>
      </c>
    </row>
    <row r="4" ht="23.25" customHeight="1">
      <c r="A4" s="3">
        <v>45903.0</v>
      </c>
      <c r="B4" s="4">
        <v>8.0</v>
      </c>
      <c r="C4" s="4">
        <v>7.5</v>
      </c>
      <c r="D4" s="4">
        <v>6.0</v>
      </c>
      <c r="E4" s="4">
        <v>8.0</v>
      </c>
      <c r="F4" s="4" t="s">
        <v>0</v>
      </c>
      <c r="G4" s="4">
        <v>8.0</v>
      </c>
      <c r="H4" s="4">
        <v>8.0</v>
      </c>
      <c r="I4" s="4">
        <v>8.0</v>
      </c>
      <c r="J4" s="4">
        <v>8.0</v>
      </c>
      <c r="K4" s="4">
        <v>8.0</v>
      </c>
      <c r="L4" s="4">
        <v>9.0</v>
      </c>
      <c r="M4" s="4"/>
      <c r="N4" s="4"/>
      <c r="O4" s="4">
        <v>8.0</v>
      </c>
      <c r="P4" s="4">
        <v>8.0</v>
      </c>
    </row>
    <row r="5" ht="23.25" customHeight="1">
      <c r="A5" s="3">
        <v>45904.0</v>
      </c>
      <c r="B5" s="4">
        <v>8.0</v>
      </c>
      <c r="C5" s="4">
        <v>8.0</v>
      </c>
      <c r="D5" s="4">
        <v>8.0</v>
      </c>
      <c r="E5" s="4">
        <v>8.0</v>
      </c>
      <c r="F5" s="4" t="s">
        <v>0</v>
      </c>
      <c r="G5" s="4" t="s">
        <v>1</v>
      </c>
      <c r="H5" s="4">
        <v>8.0</v>
      </c>
      <c r="I5" s="4">
        <v>8.0</v>
      </c>
      <c r="J5" s="4">
        <v>9.0</v>
      </c>
      <c r="K5" s="4">
        <v>8.0</v>
      </c>
      <c r="L5" s="4">
        <v>8.0</v>
      </c>
      <c r="M5" s="4"/>
      <c r="N5" s="4"/>
      <c r="O5" s="4">
        <v>8.0</v>
      </c>
      <c r="P5" s="4">
        <v>8.0</v>
      </c>
    </row>
    <row r="6" ht="23.25" customHeight="1">
      <c r="A6" s="3">
        <v>45905.0</v>
      </c>
      <c r="B6" s="4">
        <v>8.0</v>
      </c>
      <c r="C6" s="4">
        <v>8.0</v>
      </c>
      <c r="D6" s="4">
        <v>8.0</v>
      </c>
      <c r="E6" s="4">
        <v>8.0</v>
      </c>
      <c r="F6" s="4" t="s">
        <v>0</v>
      </c>
      <c r="G6" s="4" t="s">
        <v>1</v>
      </c>
      <c r="H6" s="4">
        <v>8.0</v>
      </c>
      <c r="I6" s="4">
        <v>8.0</v>
      </c>
      <c r="J6" s="4">
        <v>8.0</v>
      </c>
      <c r="K6" s="4">
        <v>8.0</v>
      </c>
      <c r="L6" s="4">
        <v>9.0</v>
      </c>
      <c r="M6" s="4"/>
      <c r="N6" s="4"/>
      <c r="O6" s="4">
        <v>8.0</v>
      </c>
      <c r="P6" s="4">
        <v>8.0</v>
      </c>
    </row>
    <row r="7" ht="23.25" customHeight="1">
      <c r="A7" s="3">
        <v>45906.0</v>
      </c>
      <c r="B7" s="4">
        <v>8.0</v>
      </c>
      <c r="C7" s="4"/>
      <c r="D7" s="4"/>
      <c r="E7" s="4">
        <v>8.0</v>
      </c>
      <c r="F7" s="4" t="s">
        <v>0</v>
      </c>
      <c r="G7" s="4">
        <v>8.0</v>
      </c>
      <c r="H7" s="4">
        <v>8.0</v>
      </c>
      <c r="I7" s="4">
        <v>8.0</v>
      </c>
      <c r="J7" s="4">
        <v>2.0</v>
      </c>
      <c r="K7" s="4"/>
      <c r="L7" s="4"/>
      <c r="M7" s="4"/>
      <c r="N7" s="4"/>
      <c r="O7" s="4"/>
      <c r="P7" s="4"/>
    </row>
    <row r="8" ht="23.25" customHeight="1">
      <c r="A8" s="3">
        <v>45907.0</v>
      </c>
      <c r="B8" s="4"/>
      <c r="C8" s="4"/>
      <c r="D8" s="4"/>
      <c r="E8" s="4"/>
      <c r="F8" s="4"/>
      <c r="G8" s="4"/>
      <c r="H8" s="4"/>
      <c r="I8" s="4"/>
      <c r="J8" s="4">
        <v>10.0</v>
      </c>
      <c r="K8" s="4"/>
      <c r="L8" s="4"/>
      <c r="M8" s="4"/>
      <c r="N8" s="4"/>
      <c r="O8" s="4"/>
      <c r="P8" s="4"/>
    </row>
    <row r="9" ht="23.25" customHeight="1">
      <c r="A9" s="3">
        <v>45908.0</v>
      </c>
      <c r="B9" s="4">
        <v>9.5</v>
      </c>
      <c r="C9" s="4">
        <v>9.5</v>
      </c>
      <c r="D9" s="4">
        <v>9.5</v>
      </c>
      <c r="E9" s="4">
        <v>9.5</v>
      </c>
      <c r="F9" s="4" t="s">
        <v>0</v>
      </c>
      <c r="G9" s="4">
        <v>8.0</v>
      </c>
      <c r="H9" s="4">
        <v>8.0</v>
      </c>
      <c r="I9" s="4">
        <v>8.0</v>
      </c>
      <c r="J9" s="4">
        <v>8.0</v>
      </c>
      <c r="K9" s="4">
        <v>9.0</v>
      </c>
      <c r="L9" s="4">
        <v>8.0</v>
      </c>
      <c r="M9" s="4"/>
      <c r="N9" s="4"/>
      <c r="O9" s="4">
        <v>8.0</v>
      </c>
      <c r="P9" s="4">
        <v>8.0</v>
      </c>
    </row>
    <row r="10" ht="23.25" customHeight="1">
      <c r="A10" s="3">
        <v>45909.0</v>
      </c>
      <c r="B10" s="4">
        <v>9.5</v>
      </c>
      <c r="C10" s="4">
        <v>9.5</v>
      </c>
      <c r="D10" s="4">
        <v>9.5</v>
      </c>
      <c r="E10" s="4">
        <v>9.5</v>
      </c>
      <c r="F10" s="4" t="s">
        <v>0</v>
      </c>
      <c r="G10" s="4">
        <v>8.0</v>
      </c>
      <c r="H10" s="4">
        <v>8.0</v>
      </c>
      <c r="I10" s="4">
        <v>8.0</v>
      </c>
      <c r="J10" s="4">
        <v>8.0</v>
      </c>
      <c r="K10" s="4">
        <v>9.0</v>
      </c>
      <c r="L10" s="4">
        <v>8.0</v>
      </c>
      <c r="M10" s="4"/>
      <c r="N10" s="4"/>
      <c r="O10" s="4">
        <v>8.0</v>
      </c>
      <c r="P10" s="4">
        <v>8.0</v>
      </c>
    </row>
    <row r="11" ht="23.25" customHeight="1">
      <c r="A11" s="3">
        <v>45910.0</v>
      </c>
      <c r="B11" s="4">
        <v>10.5</v>
      </c>
      <c r="C11" s="4">
        <v>9.5</v>
      </c>
      <c r="D11" s="4">
        <v>9.5</v>
      </c>
      <c r="E11" s="4">
        <v>9.5</v>
      </c>
      <c r="F11" s="4" t="s">
        <v>0</v>
      </c>
      <c r="G11" s="4">
        <v>8.0</v>
      </c>
      <c r="H11" s="4">
        <v>8.0</v>
      </c>
      <c r="I11" s="4">
        <v>8.0</v>
      </c>
      <c r="J11" s="4">
        <v>8.0</v>
      </c>
      <c r="K11" s="4">
        <v>9.0</v>
      </c>
      <c r="L11" s="4">
        <v>9.0</v>
      </c>
      <c r="M11" s="4"/>
      <c r="N11" s="4"/>
      <c r="O11" s="4">
        <v>8.0</v>
      </c>
      <c r="P11" s="4">
        <v>8.0</v>
      </c>
    </row>
    <row r="12" ht="23.25" customHeight="1">
      <c r="A12" s="3">
        <v>45911.0</v>
      </c>
      <c r="B12" s="4">
        <v>9.5</v>
      </c>
      <c r="C12" s="4">
        <v>9.5</v>
      </c>
      <c r="D12" s="4">
        <v>9.5</v>
      </c>
      <c r="E12" s="4">
        <v>9.5</v>
      </c>
      <c r="F12" s="4" t="s">
        <v>0</v>
      </c>
      <c r="G12" s="4">
        <v>8.0</v>
      </c>
      <c r="H12" s="4">
        <v>8.0</v>
      </c>
      <c r="I12" s="4">
        <v>8.0</v>
      </c>
      <c r="J12" s="4">
        <v>11.5</v>
      </c>
      <c r="K12" s="4">
        <v>9.0</v>
      </c>
      <c r="L12" s="4">
        <v>8.0</v>
      </c>
      <c r="M12" s="4"/>
      <c r="N12" s="4"/>
      <c r="O12" s="4">
        <v>8.0</v>
      </c>
      <c r="P12" s="4">
        <v>8.0</v>
      </c>
    </row>
    <row r="13" ht="23.25" customHeight="1">
      <c r="A13" s="3">
        <v>45912.0</v>
      </c>
      <c r="B13" s="4">
        <v>9.5</v>
      </c>
      <c r="C13" s="4">
        <v>9.5</v>
      </c>
      <c r="D13" s="4">
        <v>9.5</v>
      </c>
      <c r="E13" s="4">
        <v>9.5</v>
      </c>
      <c r="F13" s="4" t="s">
        <v>0</v>
      </c>
      <c r="G13" s="4">
        <v>8.0</v>
      </c>
      <c r="H13" s="4">
        <v>8.0</v>
      </c>
      <c r="I13" s="4">
        <v>8.0</v>
      </c>
      <c r="J13" s="4">
        <v>8.0</v>
      </c>
      <c r="K13" s="4">
        <v>9.0</v>
      </c>
      <c r="L13" s="4">
        <v>9.0</v>
      </c>
      <c r="M13" s="4"/>
      <c r="N13" s="4"/>
      <c r="O13" s="4">
        <v>8.0</v>
      </c>
      <c r="P13" s="4">
        <v>8.0</v>
      </c>
    </row>
    <row r="14" ht="23.25" customHeight="1">
      <c r="A14" s="3">
        <v>45913.0</v>
      </c>
      <c r="B14" s="4">
        <v>8.0</v>
      </c>
      <c r="C14" s="4"/>
      <c r="D14" s="4">
        <v>8.0</v>
      </c>
      <c r="E14" s="4">
        <v>8.0</v>
      </c>
      <c r="F14" s="4" t="s">
        <v>0</v>
      </c>
      <c r="G14" s="4">
        <v>8.0</v>
      </c>
      <c r="H14" s="4">
        <v>8.0</v>
      </c>
      <c r="I14" s="4">
        <v>8.0</v>
      </c>
      <c r="J14" s="4"/>
      <c r="K14" s="4"/>
      <c r="L14" s="4"/>
      <c r="M14" s="4"/>
      <c r="N14" s="4"/>
      <c r="O14" s="4"/>
      <c r="P14" s="4"/>
    </row>
    <row r="15" ht="23.25" customHeight="1">
      <c r="A15" s="3">
        <v>45914.0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3.25" customHeight="1">
      <c r="A16" s="3">
        <v>45915.0</v>
      </c>
      <c r="B16" s="4">
        <v>11.5</v>
      </c>
      <c r="C16" s="4">
        <v>9.5</v>
      </c>
      <c r="D16" s="4">
        <v>9.5</v>
      </c>
      <c r="E16" s="4">
        <v>9.5</v>
      </c>
      <c r="F16" s="4">
        <v>8.0</v>
      </c>
      <c r="G16" s="4">
        <v>8.0</v>
      </c>
      <c r="H16" s="4">
        <v>8.0</v>
      </c>
      <c r="I16" s="4">
        <v>8.0</v>
      </c>
      <c r="J16" s="4">
        <v>8.0</v>
      </c>
      <c r="K16" s="4">
        <v>8.0</v>
      </c>
      <c r="L16" s="4">
        <v>8.0</v>
      </c>
      <c r="M16" s="4">
        <v>8.0</v>
      </c>
      <c r="N16" s="4"/>
      <c r="O16" s="4">
        <v>8.0</v>
      </c>
      <c r="P16" s="4">
        <v>8.0</v>
      </c>
    </row>
    <row r="17" ht="23.25" customHeight="1">
      <c r="A17" s="3">
        <v>45916.0</v>
      </c>
      <c r="B17" s="4">
        <v>9.5</v>
      </c>
      <c r="C17" s="4">
        <v>9.5</v>
      </c>
      <c r="D17" s="4">
        <v>9.5</v>
      </c>
      <c r="E17" s="4">
        <v>9.5</v>
      </c>
      <c r="F17" s="4">
        <v>8.0</v>
      </c>
      <c r="G17" s="4">
        <v>8.0</v>
      </c>
      <c r="H17" s="4">
        <v>8.0</v>
      </c>
      <c r="I17" s="4">
        <v>8.0</v>
      </c>
      <c r="J17" s="4">
        <v>11.5</v>
      </c>
      <c r="K17" s="4">
        <v>8.0</v>
      </c>
      <c r="L17" s="4">
        <v>8.0</v>
      </c>
      <c r="M17" s="4">
        <v>8.0</v>
      </c>
      <c r="N17" s="4"/>
      <c r="O17" s="4">
        <v>8.0</v>
      </c>
      <c r="P17" s="4">
        <v>8.0</v>
      </c>
    </row>
    <row r="18" ht="23.25" customHeight="1">
      <c r="A18" s="3">
        <v>45917.0</v>
      </c>
      <c r="B18" s="4">
        <v>9.5</v>
      </c>
      <c r="C18" s="4">
        <v>9.5</v>
      </c>
      <c r="D18" s="4">
        <v>9.5</v>
      </c>
      <c r="E18" s="4">
        <v>9.5</v>
      </c>
      <c r="F18" s="4">
        <v>9.0</v>
      </c>
      <c r="G18" s="4">
        <v>8.0</v>
      </c>
      <c r="H18" s="4">
        <v>8.0</v>
      </c>
      <c r="I18" s="4">
        <v>8.0</v>
      </c>
      <c r="J18" s="4">
        <v>11.5</v>
      </c>
      <c r="K18" s="4">
        <v>8.0</v>
      </c>
      <c r="L18" s="4">
        <v>9.0</v>
      </c>
      <c r="M18" s="4">
        <v>8.0</v>
      </c>
      <c r="N18" s="4"/>
      <c r="O18" s="4">
        <v>8.0</v>
      </c>
      <c r="P18" s="4">
        <v>8.0</v>
      </c>
    </row>
    <row r="19" ht="23.25" customHeight="1">
      <c r="A19" s="3">
        <v>45918.0</v>
      </c>
      <c r="B19" s="4">
        <v>9.5</v>
      </c>
      <c r="C19" s="4">
        <v>9.5</v>
      </c>
      <c r="D19" s="4">
        <v>9.5</v>
      </c>
      <c r="E19" s="4">
        <v>9.5</v>
      </c>
      <c r="F19" s="4">
        <v>9.0</v>
      </c>
      <c r="G19" s="4">
        <v>8.0</v>
      </c>
      <c r="H19" s="4">
        <v>8.0</v>
      </c>
      <c r="I19" s="4">
        <v>8.0</v>
      </c>
      <c r="J19" s="4">
        <v>11.5</v>
      </c>
      <c r="K19" s="4">
        <v>8.0</v>
      </c>
      <c r="L19" s="4">
        <v>8.0</v>
      </c>
      <c r="M19" s="4">
        <v>8.0</v>
      </c>
      <c r="N19" s="4"/>
      <c r="O19" s="4">
        <v>8.0</v>
      </c>
      <c r="P19" s="4">
        <v>8.0</v>
      </c>
    </row>
    <row r="20" ht="23.25" customHeight="1">
      <c r="A20" s="3">
        <v>45919.0</v>
      </c>
      <c r="B20" s="4">
        <v>9.5</v>
      </c>
      <c r="C20" s="4">
        <v>9.5</v>
      </c>
      <c r="D20" s="4">
        <v>9.5</v>
      </c>
      <c r="E20" s="4">
        <v>9.5</v>
      </c>
      <c r="F20" s="4">
        <v>9.0</v>
      </c>
      <c r="G20" s="4">
        <v>8.0</v>
      </c>
      <c r="H20" s="4">
        <v>8.0</v>
      </c>
      <c r="I20" s="4">
        <v>8.0</v>
      </c>
      <c r="J20" s="4">
        <v>8.0</v>
      </c>
      <c r="K20" s="4">
        <v>8.0</v>
      </c>
      <c r="L20" s="4">
        <v>9.0</v>
      </c>
      <c r="M20" s="4">
        <v>8.0</v>
      </c>
      <c r="N20" s="4"/>
      <c r="O20" s="4">
        <v>8.0</v>
      </c>
      <c r="P20" s="4">
        <v>8.0</v>
      </c>
    </row>
    <row r="21" ht="23.25" customHeight="1">
      <c r="A21" s="3">
        <v>45920.0</v>
      </c>
      <c r="B21" s="4">
        <v>8.0</v>
      </c>
      <c r="C21" s="4"/>
      <c r="D21" s="4">
        <v>8.0</v>
      </c>
      <c r="E21" s="4"/>
      <c r="F21" s="4">
        <v>8.0</v>
      </c>
      <c r="G21" s="4">
        <v>8.0</v>
      </c>
      <c r="H21" s="4"/>
      <c r="I21" s="4">
        <v>8.0</v>
      </c>
      <c r="J21" s="4"/>
      <c r="K21" s="4"/>
      <c r="L21" s="4"/>
      <c r="M21" s="4">
        <v>5.0</v>
      </c>
      <c r="N21" s="4"/>
      <c r="O21" s="4"/>
      <c r="P21" s="4"/>
    </row>
    <row r="22" ht="23.25" customHeight="1">
      <c r="A22" s="3">
        <v>45921.0</v>
      </c>
      <c r="B22" s="4"/>
      <c r="C22" s="4"/>
      <c r="D22" s="4"/>
      <c r="E22" s="4"/>
      <c r="F22" s="4"/>
      <c r="G22" s="4">
        <v>6.5</v>
      </c>
      <c r="H22" s="4"/>
      <c r="I22" s="4"/>
      <c r="J22" s="4"/>
      <c r="K22" s="4"/>
      <c r="L22" s="4"/>
      <c r="M22" s="4"/>
      <c r="N22" s="4"/>
      <c r="O22" s="4"/>
      <c r="P22" s="4"/>
    </row>
    <row r="23" ht="23.25" customHeight="1">
      <c r="A23" s="3">
        <v>45922.0</v>
      </c>
      <c r="B23" s="4">
        <v>10.0</v>
      </c>
      <c r="C23" s="4">
        <v>9.5</v>
      </c>
      <c r="D23" s="4">
        <v>9.5</v>
      </c>
      <c r="E23" s="4">
        <v>9.5</v>
      </c>
      <c r="F23" s="4">
        <v>8.0</v>
      </c>
      <c r="G23" s="4">
        <v>8.0</v>
      </c>
      <c r="H23" s="4">
        <v>8.0</v>
      </c>
      <c r="I23" s="4">
        <v>8.0</v>
      </c>
      <c r="J23" s="4">
        <v>7.0</v>
      </c>
      <c r="K23" s="4">
        <v>8.0</v>
      </c>
      <c r="L23" s="4">
        <v>8.0</v>
      </c>
      <c r="M23" s="4">
        <v>8.0</v>
      </c>
      <c r="N23" s="4"/>
      <c r="O23" s="4">
        <v>8.0</v>
      </c>
      <c r="P23" s="4">
        <v>8.0</v>
      </c>
    </row>
    <row r="24" ht="23.25" customHeight="1">
      <c r="A24" s="3">
        <v>45923.0</v>
      </c>
      <c r="B24" s="4">
        <v>9.5</v>
      </c>
      <c r="C24" s="4">
        <v>9.5</v>
      </c>
      <c r="D24" s="4">
        <v>9.5</v>
      </c>
      <c r="E24" s="4">
        <v>9.5</v>
      </c>
      <c r="F24" s="4">
        <v>8.0</v>
      </c>
      <c r="G24" s="4">
        <v>8.0</v>
      </c>
      <c r="H24" s="4">
        <v>8.0</v>
      </c>
      <c r="I24" s="4"/>
      <c r="J24" s="4">
        <v>11.5</v>
      </c>
      <c r="K24" s="4">
        <v>8.0</v>
      </c>
      <c r="L24" s="4">
        <v>8.0</v>
      </c>
      <c r="M24" s="4">
        <v>8.0</v>
      </c>
      <c r="N24" s="4"/>
      <c r="O24" s="4">
        <v>8.0</v>
      </c>
      <c r="P24" s="4">
        <v>8.0</v>
      </c>
    </row>
    <row r="25" ht="23.25" customHeight="1">
      <c r="A25" s="3">
        <v>45924.0</v>
      </c>
      <c r="B25" s="4">
        <v>9.5</v>
      </c>
      <c r="C25" s="4">
        <v>9.5</v>
      </c>
      <c r="D25" s="4">
        <v>9.5</v>
      </c>
      <c r="E25" s="4">
        <v>9.5</v>
      </c>
      <c r="F25" s="4">
        <v>8.0</v>
      </c>
      <c r="G25" s="4">
        <v>8.0</v>
      </c>
      <c r="H25" s="4">
        <v>8.0</v>
      </c>
      <c r="I25" s="4">
        <v>7.5</v>
      </c>
      <c r="J25" s="4">
        <v>11.5</v>
      </c>
      <c r="K25" s="4">
        <v>8.0</v>
      </c>
      <c r="L25" s="4">
        <v>9.0</v>
      </c>
      <c r="M25" s="4">
        <v>8.0</v>
      </c>
      <c r="N25" s="4"/>
      <c r="O25" s="4">
        <v>8.0</v>
      </c>
      <c r="P25" s="4">
        <v>8.0</v>
      </c>
    </row>
    <row r="26" ht="23.25" customHeight="1">
      <c r="A26" s="3">
        <v>45925.0</v>
      </c>
      <c r="B26" s="4">
        <v>9.5</v>
      </c>
      <c r="C26" s="4">
        <v>9.5</v>
      </c>
      <c r="D26" s="4">
        <v>9.5</v>
      </c>
      <c r="E26" s="4">
        <v>9.5</v>
      </c>
      <c r="F26" s="4">
        <v>4.0</v>
      </c>
      <c r="G26" s="4">
        <v>4.0</v>
      </c>
      <c r="H26" s="4">
        <v>8.0</v>
      </c>
      <c r="I26" s="4">
        <v>7.5</v>
      </c>
      <c r="J26" s="4">
        <v>8.0</v>
      </c>
      <c r="K26" s="4">
        <v>8.0</v>
      </c>
      <c r="L26" s="4">
        <v>8.0</v>
      </c>
      <c r="M26" s="4">
        <v>8.0</v>
      </c>
      <c r="N26" s="4"/>
      <c r="O26" s="4">
        <v>8.0</v>
      </c>
      <c r="P26" s="4">
        <v>8.0</v>
      </c>
    </row>
    <row r="27" ht="23.25" customHeight="1">
      <c r="A27" s="3">
        <v>45926.0</v>
      </c>
      <c r="B27" s="4">
        <v>9.5</v>
      </c>
      <c r="C27" s="4">
        <v>9.5</v>
      </c>
      <c r="D27" s="4">
        <v>9.5</v>
      </c>
      <c r="E27" s="4">
        <v>9.5</v>
      </c>
      <c r="F27" s="4">
        <v>8.0</v>
      </c>
      <c r="G27" s="4">
        <v>4.0</v>
      </c>
      <c r="H27" s="4">
        <v>8.0</v>
      </c>
      <c r="I27" s="4">
        <v>7.5</v>
      </c>
      <c r="J27" s="4">
        <v>8.0</v>
      </c>
      <c r="K27" s="4">
        <v>8.0</v>
      </c>
      <c r="L27" s="4">
        <v>9.0</v>
      </c>
      <c r="M27" s="4">
        <v>7.0</v>
      </c>
      <c r="N27" s="4"/>
      <c r="O27" s="4">
        <v>8.0</v>
      </c>
      <c r="P27" s="4">
        <v>8.0</v>
      </c>
    </row>
    <row r="28" ht="23.25" customHeight="1">
      <c r="A28" s="3">
        <v>45927.0</v>
      </c>
      <c r="B28" s="4">
        <v>8.0</v>
      </c>
      <c r="C28" s="4"/>
      <c r="D28" s="4">
        <v>8.0</v>
      </c>
      <c r="E28" s="4">
        <v>8.0</v>
      </c>
      <c r="F28" s="4">
        <v>8.0</v>
      </c>
      <c r="G28" s="4"/>
      <c r="H28" s="4">
        <v>8.0</v>
      </c>
      <c r="I28" s="4">
        <v>8.0</v>
      </c>
      <c r="J28" s="4"/>
      <c r="K28" s="4"/>
      <c r="L28" s="4"/>
      <c r="M28" s="4">
        <v>5.0</v>
      </c>
      <c r="N28" s="4"/>
      <c r="O28" s="4"/>
      <c r="P28" s="4"/>
    </row>
    <row r="29" ht="23.25" customHeight="1">
      <c r="A29" s="3">
        <v>45928.0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23.25" customHeight="1">
      <c r="A30" s="3">
        <v>45929.0</v>
      </c>
      <c r="B30" s="4">
        <v>9.5</v>
      </c>
      <c r="C30" s="4">
        <v>9.5</v>
      </c>
      <c r="D30" s="4">
        <v>9.5</v>
      </c>
      <c r="E30" s="4">
        <v>9.5</v>
      </c>
      <c r="F30" s="4">
        <v>8.0</v>
      </c>
      <c r="G30" s="4">
        <v>8.0</v>
      </c>
      <c r="H30" s="4">
        <v>8.0</v>
      </c>
      <c r="I30" s="4">
        <v>8.0</v>
      </c>
      <c r="J30" s="4">
        <v>8.0</v>
      </c>
      <c r="K30" s="4">
        <v>8.0</v>
      </c>
      <c r="L30" s="4">
        <v>8.0</v>
      </c>
      <c r="M30" s="4">
        <v>8.0</v>
      </c>
      <c r="N30" s="4"/>
      <c r="O30" s="4">
        <v>8.0</v>
      </c>
      <c r="P30" s="4">
        <v>8.0</v>
      </c>
    </row>
    <row r="31" ht="23.25" customHeight="1">
      <c r="A31" s="3">
        <v>45930.0</v>
      </c>
      <c r="B31" s="4">
        <v>9.5</v>
      </c>
      <c r="C31" s="4">
        <v>9.5</v>
      </c>
      <c r="D31" s="4">
        <v>9.5</v>
      </c>
      <c r="E31" s="4">
        <v>9.5</v>
      </c>
      <c r="F31" s="4">
        <v>4.5</v>
      </c>
      <c r="G31" s="4">
        <v>10.0</v>
      </c>
      <c r="H31" s="4">
        <v>8.0</v>
      </c>
      <c r="I31" s="4">
        <v>8.0</v>
      </c>
      <c r="J31" s="4">
        <v>8.0</v>
      </c>
      <c r="K31" s="4">
        <v>8.0</v>
      </c>
      <c r="L31" s="4">
        <v>8.0</v>
      </c>
      <c r="M31" s="4">
        <v>8.0</v>
      </c>
      <c r="N31" s="4"/>
      <c r="O31" s="4">
        <v>8.0</v>
      </c>
      <c r="P31" s="4">
        <v>8.0</v>
      </c>
    </row>
    <row r="32" ht="23.2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23.25" customHeight="1">
      <c r="A33" s="7" t="s">
        <v>2</v>
      </c>
      <c r="B33" s="8">
        <f t="shared" ref="B33:P33" si="1">SUM(B2:B32)</f>
        <v>237</v>
      </c>
      <c r="C33" s="8">
        <f t="shared" si="1"/>
        <v>201</v>
      </c>
      <c r="D33" s="8">
        <f t="shared" si="1"/>
        <v>223.5</v>
      </c>
      <c r="E33" s="8">
        <f t="shared" si="1"/>
        <v>225.5</v>
      </c>
      <c r="F33" s="8">
        <f t="shared" si="1"/>
        <v>107.5</v>
      </c>
      <c r="G33" s="8">
        <f t="shared" si="1"/>
        <v>184.5</v>
      </c>
      <c r="H33" s="8">
        <f t="shared" si="1"/>
        <v>200</v>
      </c>
      <c r="I33" s="8">
        <f t="shared" si="1"/>
        <v>198</v>
      </c>
      <c r="J33" s="8">
        <f t="shared" si="1"/>
        <v>209</v>
      </c>
      <c r="K33" s="8">
        <f t="shared" si="1"/>
        <v>181</v>
      </c>
      <c r="L33" s="8">
        <f t="shared" si="1"/>
        <v>184</v>
      </c>
      <c r="M33" s="8">
        <f t="shared" si="1"/>
        <v>105</v>
      </c>
      <c r="N33" s="8">
        <f t="shared" si="1"/>
        <v>0</v>
      </c>
      <c r="O33" s="8">
        <f t="shared" si="1"/>
        <v>176</v>
      </c>
      <c r="P33" s="8">
        <f t="shared" si="1"/>
        <v>176</v>
      </c>
    </row>
    <row r="34" ht="32.25" customHeight="1">
      <c r="A34" s="9" t="s">
        <v>3</v>
      </c>
      <c r="B34" s="10">
        <v>176.0</v>
      </c>
      <c r="C34" s="10">
        <v>176.0</v>
      </c>
      <c r="D34" s="10">
        <v>176.0</v>
      </c>
      <c r="E34" s="10">
        <v>176.0</v>
      </c>
      <c r="F34" s="10">
        <v>176.0</v>
      </c>
      <c r="G34" s="10">
        <v>176.0</v>
      </c>
      <c r="H34" s="10">
        <v>176.0</v>
      </c>
      <c r="I34" s="10">
        <v>176.0</v>
      </c>
      <c r="J34" s="10">
        <v>176.0</v>
      </c>
      <c r="K34" s="10">
        <v>176.0</v>
      </c>
      <c r="L34" s="10">
        <v>176.0</v>
      </c>
      <c r="M34" s="10">
        <v>105.0</v>
      </c>
      <c r="N34" s="10"/>
      <c r="O34" s="10">
        <v>176.0</v>
      </c>
      <c r="P34" s="10">
        <v>176.0</v>
      </c>
    </row>
    <row r="35" ht="32.25" customHeight="1">
      <c r="A35" s="11" t="s">
        <v>4</v>
      </c>
      <c r="B35" s="12">
        <f t="shared" ref="B35:P35" si="2">B33-B34</f>
        <v>61</v>
      </c>
      <c r="C35" s="12">
        <f t="shared" si="2"/>
        <v>25</v>
      </c>
      <c r="D35" s="12">
        <f t="shared" si="2"/>
        <v>47.5</v>
      </c>
      <c r="E35" s="12">
        <f t="shared" si="2"/>
        <v>49.5</v>
      </c>
      <c r="F35" s="12">
        <f t="shared" si="2"/>
        <v>-68.5</v>
      </c>
      <c r="G35" s="12">
        <f t="shared" si="2"/>
        <v>8.5</v>
      </c>
      <c r="H35" s="12">
        <f t="shared" si="2"/>
        <v>24</v>
      </c>
      <c r="I35" s="12">
        <f t="shared" si="2"/>
        <v>22</v>
      </c>
      <c r="J35" s="12">
        <f t="shared" si="2"/>
        <v>33</v>
      </c>
      <c r="K35" s="12">
        <f t="shared" si="2"/>
        <v>5</v>
      </c>
      <c r="L35" s="12">
        <f t="shared" si="2"/>
        <v>8</v>
      </c>
      <c r="M35" s="12">
        <f t="shared" si="2"/>
        <v>0</v>
      </c>
      <c r="N35" s="12">
        <f t="shared" si="2"/>
        <v>0</v>
      </c>
      <c r="O35" s="12">
        <f t="shared" si="2"/>
        <v>0</v>
      </c>
      <c r="P35" s="12">
        <f t="shared" si="2"/>
        <v>0</v>
      </c>
    </row>
    <row r="36" ht="32.25" customHeight="1">
      <c r="A36" s="13" t="s">
        <v>5</v>
      </c>
      <c r="B36" s="14">
        <v>1900.0</v>
      </c>
      <c r="C36" s="14">
        <v>1850.0</v>
      </c>
      <c r="D36" s="14">
        <v>1850.0</v>
      </c>
      <c r="E36" s="14">
        <v>1750.0</v>
      </c>
      <c r="F36" s="14"/>
      <c r="G36" s="14">
        <v>1500.0</v>
      </c>
      <c r="H36" s="14">
        <v>1300.0</v>
      </c>
      <c r="I36" s="14">
        <v>1300.0</v>
      </c>
      <c r="J36" s="14">
        <v>1800.0</v>
      </c>
      <c r="K36" s="14">
        <v>2600.0</v>
      </c>
      <c r="L36" s="14"/>
      <c r="M36" s="14">
        <v>680.0</v>
      </c>
      <c r="N36" s="14"/>
      <c r="O36" s="14">
        <v>2000.0</v>
      </c>
      <c r="P36" s="14">
        <v>2000.0</v>
      </c>
    </row>
    <row r="37" ht="32.25" customHeight="1">
      <c r="A37" s="13" t="s">
        <v>6</v>
      </c>
      <c r="B37" s="15">
        <v>104.0</v>
      </c>
      <c r="C37" s="15">
        <v>104.0</v>
      </c>
      <c r="D37" s="15">
        <v>104.0</v>
      </c>
      <c r="E37" s="15">
        <v>104.0</v>
      </c>
      <c r="F37" s="15">
        <v>104.0</v>
      </c>
      <c r="G37" s="15">
        <v>104.0</v>
      </c>
      <c r="H37" s="15">
        <v>104.0</v>
      </c>
      <c r="I37" s="15">
        <v>104.0</v>
      </c>
      <c r="J37" s="15">
        <v>104.0</v>
      </c>
      <c r="K37" s="15">
        <v>104.0</v>
      </c>
      <c r="L37" s="15"/>
      <c r="M37" s="15"/>
      <c r="N37" s="15"/>
      <c r="O37" s="15">
        <v>104.0</v>
      </c>
      <c r="P37" s="15">
        <v>104.0</v>
      </c>
    </row>
    <row r="38" ht="41.25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41.25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6" footer="0.0" header="0.0" left="0.25" right="0.25" top="0.2558139534883721"/>
  <pageSetup fitToHeight="0"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23">
        <v>45931.0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45931.0</v>
      </c>
      <c r="B2" s="4">
        <v>13.5</v>
      </c>
      <c r="C2" s="4">
        <v>9.5</v>
      </c>
      <c r="D2" s="4">
        <v>9.5</v>
      </c>
      <c r="E2" s="4">
        <v>9.5</v>
      </c>
      <c r="F2" s="4" t="s">
        <v>9</v>
      </c>
      <c r="G2" s="4">
        <v>8.0</v>
      </c>
      <c r="H2" s="4">
        <v>8.0</v>
      </c>
      <c r="I2" s="4">
        <v>8.0</v>
      </c>
      <c r="J2" s="4">
        <v>8.0</v>
      </c>
      <c r="K2" s="4">
        <v>8.0</v>
      </c>
      <c r="L2" s="4">
        <v>9.0</v>
      </c>
      <c r="M2" s="4" t="s">
        <v>9</v>
      </c>
      <c r="N2" s="4"/>
      <c r="O2" s="4">
        <v>8.0</v>
      </c>
      <c r="P2" s="4">
        <v>8.0</v>
      </c>
    </row>
    <row r="3" ht="23.25" customHeight="1">
      <c r="A3" s="3">
        <v>45932.0</v>
      </c>
      <c r="B3" s="4">
        <v>9.5</v>
      </c>
      <c r="C3" s="4">
        <v>9.5</v>
      </c>
      <c r="D3" s="4">
        <v>9.5</v>
      </c>
      <c r="E3" s="4">
        <v>9.5</v>
      </c>
      <c r="F3" s="4">
        <v>8.0</v>
      </c>
      <c r="G3" s="4">
        <v>8.0</v>
      </c>
      <c r="H3" s="4">
        <v>8.0</v>
      </c>
      <c r="I3" s="4">
        <v>8.0</v>
      </c>
      <c r="J3" s="4">
        <v>8.0</v>
      </c>
      <c r="K3" s="4">
        <v>8.0</v>
      </c>
      <c r="L3" s="4">
        <v>8.0</v>
      </c>
      <c r="M3" s="4">
        <v>8.0</v>
      </c>
      <c r="N3" s="4"/>
      <c r="O3" s="4">
        <v>8.0</v>
      </c>
      <c r="P3" s="4">
        <v>8.0</v>
      </c>
    </row>
    <row r="4" ht="23.25" customHeight="1">
      <c r="A4" s="3">
        <v>45933.0</v>
      </c>
      <c r="B4" s="4">
        <v>9.5</v>
      </c>
      <c r="C4" s="4">
        <v>9.5</v>
      </c>
      <c r="D4" s="4">
        <v>9.5</v>
      </c>
      <c r="E4" s="4">
        <v>8.0</v>
      </c>
      <c r="F4" s="4">
        <v>8.0</v>
      </c>
      <c r="G4" s="4">
        <v>8.0</v>
      </c>
      <c r="H4" s="4" t="s">
        <v>9</v>
      </c>
      <c r="I4" s="4">
        <v>8.0</v>
      </c>
      <c r="J4" s="4">
        <v>8.0</v>
      </c>
      <c r="K4" s="4">
        <v>8.0</v>
      </c>
      <c r="L4" s="4">
        <v>9.0</v>
      </c>
      <c r="M4" s="4">
        <v>8.0</v>
      </c>
      <c r="N4" s="4"/>
      <c r="O4" s="4">
        <v>8.0</v>
      </c>
      <c r="P4" s="4">
        <v>8.0</v>
      </c>
    </row>
    <row r="5" ht="23.25" customHeight="1">
      <c r="A5" s="3">
        <v>45934.0</v>
      </c>
      <c r="B5" s="4">
        <v>8.0</v>
      </c>
      <c r="C5" s="4"/>
      <c r="D5" s="4">
        <v>8.0</v>
      </c>
      <c r="E5" s="4"/>
      <c r="F5" s="4">
        <v>8.0</v>
      </c>
      <c r="G5" s="4">
        <v>8.0</v>
      </c>
      <c r="H5" s="4">
        <v>8.0</v>
      </c>
      <c r="I5" s="4">
        <v>8.0</v>
      </c>
      <c r="J5" s="4"/>
      <c r="K5" s="4"/>
      <c r="L5" s="4"/>
      <c r="M5" s="4">
        <v>5.0</v>
      </c>
      <c r="N5" s="4"/>
      <c r="O5" s="4"/>
      <c r="P5" s="4"/>
    </row>
    <row r="6" ht="23.25" customHeight="1">
      <c r="A6" s="3">
        <v>45935.0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23.25" customHeight="1">
      <c r="A7" s="3">
        <v>45936.0</v>
      </c>
      <c r="B7" s="4">
        <v>9.0</v>
      </c>
      <c r="C7" s="4">
        <v>8.0</v>
      </c>
      <c r="D7" s="4">
        <v>8.0</v>
      </c>
      <c r="E7" s="4">
        <v>8.0</v>
      </c>
      <c r="F7" s="4">
        <v>8.0</v>
      </c>
      <c r="G7" s="4">
        <v>8.0</v>
      </c>
      <c r="H7" s="4">
        <v>8.0</v>
      </c>
      <c r="I7" s="4">
        <v>8.0</v>
      </c>
      <c r="J7" s="4" t="s">
        <v>9</v>
      </c>
      <c r="K7" s="4">
        <v>8.0</v>
      </c>
      <c r="L7" s="4">
        <v>8.0</v>
      </c>
      <c r="M7" s="4">
        <v>8.0</v>
      </c>
      <c r="N7" s="4"/>
      <c r="O7" s="4">
        <v>8.0</v>
      </c>
      <c r="P7" s="4">
        <v>8.0</v>
      </c>
    </row>
    <row r="8" ht="23.25" customHeight="1">
      <c r="A8" s="3">
        <v>45937.0</v>
      </c>
      <c r="B8" s="4">
        <v>9.0</v>
      </c>
      <c r="C8" s="4">
        <v>8.0</v>
      </c>
      <c r="D8" s="4">
        <v>7.5</v>
      </c>
      <c r="E8" s="4">
        <v>8.0</v>
      </c>
      <c r="F8" s="4">
        <v>8.0</v>
      </c>
      <c r="G8" s="4">
        <v>8.0</v>
      </c>
      <c r="H8" s="4">
        <v>8.0</v>
      </c>
      <c r="I8" s="4">
        <v>8.0</v>
      </c>
      <c r="J8" s="4" t="s">
        <v>9</v>
      </c>
      <c r="K8" s="4">
        <v>8.0</v>
      </c>
      <c r="L8" s="4">
        <v>8.0</v>
      </c>
      <c r="M8" s="4">
        <v>8.0</v>
      </c>
      <c r="N8" s="4"/>
      <c r="O8" s="4">
        <v>8.0</v>
      </c>
      <c r="P8" s="4">
        <v>8.0</v>
      </c>
    </row>
    <row r="9" ht="23.25" customHeight="1">
      <c r="A9" s="3">
        <v>45938.0</v>
      </c>
      <c r="B9" s="4">
        <v>10.0</v>
      </c>
      <c r="C9" s="4">
        <v>8.0</v>
      </c>
      <c r="D9" s="4">
        <v>8.0</v>
      </c>
      <c r="E9" s="4">
        <v>8.0</v>
      </c>
      <c r="F9" s="4">
        <v>2.0</v>
      </c>
      <c r="G9" s="4">
        <v>8.0</v>
      </c>
      <c r="H9" s="4">
        <v>8.0</v>
      </c>
      <c r="I9" s="4">
        <v>8.0</v>
      </c>
      <c r="J9" s="4" t="s">
        <v>9</v>
      </c>
      <c r="K9" s="4">
        <v>8.0</v>
      </c>
      <c r="L9" s="4">
        <v>9.0</v>
      </c>
      <c r="M9" s="4">
        <v>8.0</v>
      </c>
      <c r="N9" s="4"/>
      <c r="O9" s="4">
        <v>8.0</v>
      </c>
      <c r="P9" s="4">
        <v>8.0</v>
      </c>
    </row>
    <row r="10" ht="23.25" customHeight="1">
      <c r="A10" s="3">
        <v>45939.0</v>
      </c>
      <c r="B10" s="4">
        <v>9.0</v>
      </c>
      <c r="C10" s="4">
        <v>8.0</v>
      </c>
      <c r="D10" s="4">
        <v>8.0</v>
      </c>
      <c r="E10" s="4">
        <v>8.0</v>
      </c>
      <c r="F10" s="4" t="s">
        <v>0</v>
      </c>
      <c r="G10" s="4">
        <v>8.0</v>
      </c>
      <c r="H10" s="4">
        <v>8.0</v>
      </c>
      <c r="I10" s="4">
        <v>8.0</v>
      </c>
      <c r="J10" s="4">
        <v>8.0</v>
      </c>
      <c r="K10" s="4">
        <v>8.0</v>
      </c>
      <c r="L10" s="4">
        <v>8.0</v>
      </c>
      <c r="M10" s="4">
        <v>8.0</v>
      </c>
      <c r="N10" s="4"/>
      <c r="O10" s="4">
        <v>8.0</v>
      </c>
      <c r="P10" s="4">
        <v>8.0</v>
      </c>
    </row>
    <row r="11" ht="23.25" customHeight="1">
      <c r="A11" s="3">
        <v>45940.0</v>
      </c>
      <c r="B11" s="4">
        <v>8.0</v>
      </c>
      <c r="C11" s="4">
        <v>8.5</v>
      </c>
      <c r="D11" s="4">
        <v>8.0</v>
      </c>
      <c r="E11" s="4">
        <v>8.0</v>
      </c>
      <c r="F11" s="4" t="s">
        <v>0</v>
      </c>
      <c r="G11" s="4">
        <v>8.0</v>
      </c>
      <c r="H11" s="4">
        <v>8.0</v>
      </c>
      <c r="I11" s="4">
        <v>8.0</v>
      </c>
      <c r="J11" s="4">
        <v>8.0</v>
      </c>
      <c r="K11" s="4">
        <v>8.0</v>
      </c>
      <c r="L11" s="4">
        <v>9.0</v>
      </c>
      <c r="M11" s="4">
        <v>8.0</v>
      </c>
      <c r="N11" s="4"/>
      <c r="O11" s="4">
        <v>8.0</v>
      </c>
      <c r="P11" s="4">
        <v>8.0</v>
      </c>
    </row>
    <row r="12" ht="23.25" customHeight="1">
      <c r="A12" s="3">
        <v>45941.0</v>
      </c>
      <c r="B12" s="4">
        <v>8.0</v>
      </c>
      <c r="C12" s="4"/>
      <c r="D12" s="4"/>
      <c r="E12" s="4">
        <v>8.0</v>
      </c>
      <c r="F12" s="4">
        <v>8.0</v>
      </c>
      <c r="G12" s="4" t="s">
        <v>9</v>
      </c>
      <c r="H12" s="4">
        <v>7.0</v>
      </c>
      <c r="I12" s="4">
        <v>8.0</v>
      </c>
      <c r="J12" s="4"/>
      <c r="K12" s="4"/>
      <c r="L12" s="4"/>
      <c r="M12" s="4">
        <v>5.0</v>
      </c>
      <c r="N12" s="4"/>
      <c r="O12" s="4"/>
      <c r="P12" s="4"/>
    </row>
    <row r="13" ht="23.25" customHeight="1">
      <c r="A13" s="3">
        <v>45942.0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3.25" customHeight="1">
      <c r="A14" s="3">
        <v>45943.0</v>
      </c>
      <c r="B14" s="4">
        <v>9.0</v>
      </c>
      <c r="C14" s="4">
        <v>9.5</v>
      </c>
      <c r="D14" s="4">
        <v>8.0</v>
      </c>
      <c r="E14" s="4">
        <v>8.0</v>
      </c>
      <c r="F14" s="4">
        <v>8.0</v>
      </c>
      <c r="G14" s="4">
        <v>8.0</v>
      </c>
      <c r="H14" s="4">
        <v>8.0</v>
      </c>
      <c r="I14" s="4">
        <v>8.0</v>
      </c>
      <c r="J14" s="4">
        <v>8.0</v>
      </c>
      <c r="K14" s="4">
        <v>8.0</v>
      </c>
      <c r="L14" s="4">
        <v>9.0</v>
      </c>
      <c r="M14" s="4">
        <v>8.0</v>
      </c>
      <c r="N14" s="4"/>
      <c r="O14" s="4">
        <v>8.0</v>
      </c>
      <c r="P14" s="4">
        <v>8.0</v>
      </c>
    </row>
    <row r="15" ht="23.25" customHeight="1">
      <c r="A15" s="3">
        <v>45944.0</v>
      </c>
      <c r="B15" s="4">
        <v>9.5</v>
      </c>
      <c r="C15" s="4">
        <v>8.0</v>
      </c>
      <c r="D15" s="4">
        <v>8.0</v>
      </c>
      <c r="E15" s="4">
        <v>9.5</v>
      </c>
      <c r="F15" s="4">
        <v>8.0</v>
      </c>
      <c r="G15" s="4">
        <v>8.0</v>
      </c>
      <c r="H15" s="4" t="s">
        <v>9</v>
      </c>
      <c r="I15" s="4">
        <v>8.0</v>
      </c>
      <c r="J15" s="4">
        <v>8.0</v>
      </c>
      <c r="K15" s="4">
        <v>8.0</v>
      </c>
      <c r="L15" s="4">
        <v>8.0</v>
      </c>
      <c r="M15" s="4">
        <v>8.0</v>
      </c>
      <c r="N15" s="4"/>
      <c r="O15" s="4">
        <v>8.0</v>
      </c>
      <c r="P15" s="4">
        <v>8.0</v>
      </c>
    </row>
    <row r="16" ht="23.25" customHeight="1">
      <c r="A16" s="3">
        <v>45945.0</v>
      </c>
      <c r="B16" s="4">
        <v>9.0</v>
      </c>
      <c r="C16" s="4">
        <v>9.5</v>
      </c>
      <c r="D16" s="4">
        <v>8.0</v>
      </c>
      <c r="E16" s="4">
        <v>8.0</v>
      </c>
      <c r="F16" s="4">
        <v>8.0</v>
      </c>
      <c r="G16" s="4">
        <v>8.0</v>
      </c>
      <c r="H16" s="4">
        <v>8.0</v>
      </c>
      <c r="I16" s="4">
        <v>8.0</v>
      </c>
      <c r="J16" s="4">
        <v>8.0</v>
      </c>
      <c r="K16" s="4">
        <v>8.0</v>
      </c>
      <c r="L16" s="4">
        <v>9.0</v>
      </c>
      <c r="M16" s="4">
        <v>8.0</v>
      </c>
      <c r="N16" s="4"/>
      <c r="O16" s="4">
        <v>8.0</v>
      </c>
      <c r="P16" s="4">
        <v>8.0</v>
      </c>
    </row>
    <row r="17" ht="23.25" customHeight="1">
      <c r="A17" s="3">
        <v>45946.0</v>
      </c>
      <c r="B17" s="4">
        <v>9.0</v>
      </c>
      <c r="C17" s="4">
        <v>8.0</v>
      </c>
      <c r="D17" s="4">
        <v>9.5</v>
      </c>
      <c r="E17" s="4">
        <v>8.0</v>
      </c>
      <c r="F17" s="4">
        <v>8.0</v>
      </c>
      <c r="G17" s="4">
        <v>8.0</v>
      </c>
      <c r="H17" s="4">
        <v>5.5</v>
      </c>
      <c r="I17" s="4">
        <v>8.0</v>
      </c>
      <c r="J17" s="4">
        <v>8.0</v>
      </c>
      <c r="K17" s="4">
        <v>8.0</v>
      </c>
      <c r="L17" s="4">
        <v>8.0</v>
      </c>
      <c r="M17" s="4">
        <v>8.0</v>
      </c>
      <c r="N17" s="4"/>
      <c r="O17" s="4">
        <v>8.0</v>
      </c>
      <c r="P17" s="4">
        <v>8.0</v>
      </c>
    </row>
    <row r="18" ht="23.25" customHeight="1">
      <c r="A18" s="3">
        <v>45947.0</v>
      </c>
      <c r="B18" s="4">
        <v>8.0</v>
      </c>
      <c r="C18" s="4">
        <v>8.5</v>
      </c>
      <c r="D18" s="4">
        <v>8.0</v>
      </c>
      <c r="E18" s="4">
        <v>8.0</v>
      </c>
      <c r="F18" s="4" t="s">
        <v>0</v>
      </c>
      <c r="G18" s="4">
        <v>8.0</v>
      </c>
      <c r="H18" s="4" t="s">
        <v>10</v>
      </c>
      <c r="I18" s="4">
        <v>8.0</v>
      </c>
      <c r="J18" s="4">
        <v>8.0</v>
      </c>
      <c r="K18" s="4">
        <v>8.0</v>
      </c>
      <c r="L18" s="4">
        <v>9.0</v>
      </c>
      <c r="M18" s="4">
        <v>8.0</v>
      </c>
      <c r="N18" s="4"/>
      <c r="O18" s="4">
        <v>8.0</v>
      </c>
      <c r="P18" s="4">
        <v>8.0</v>
      </c>
    </row>
    <row r="19" ht="23.25" customHeight="1">
      <c r="A19" s="3">
        <v>45948.0</v>
      </c>
      <c r="B19" s="4"/>
      <c r="C19" s="4"/>
      <c r="D19" s="4">
        <v>8.0</v>
      </c>
      <c r="E19" s="4">
        <v>8.0</v>
      </c>
      <c r="F19" s="4">
        <v>8.0</v>
      </c>
      <c r="G19" s="4">
        <v>9.0</v>
      </c>
      <c r="H19" s="4" t="s">
        <v>10</v>
      </c>
      <c r="I19" s="4" t="s">
        <v>10</v>
      </c>
      <c r="J19" s="4"/>
      <c r="K19" s="4"/>
      <c r="L19" s="4"/>
      <c r="M19" s="4">
        <v>5.0</v>
      </c>
      <c r="N19" s="4"/>
      <c r="O19" s="4"/>
      <c r="P19" s="4"/>
    </row>
    <row r="20" ht="23.25" customHeight="1">
      <c r="A20" s="3">
        <v>45949.0</v>
      </c>
      <c r="B20" s="4">
        <v>8.0</v>
      </c>
      <c r="C20" s="4"/>
      <c r="D20" s="4"/>
      <c r="E20" s="4"/>
      <c r="F20" s="4"/>
      <c r="G20" s="4">
        <v>8.0</v>
      </c>
      <c r="H20" s="4"/>
      <c r="I20" s="4"/>
      <c r="J20" s="4">
        <v>3.5</v>
      </c>
      <c r="K20" s="4"/>
      <c r="L20" s="4"/>
      <c r="M20" s="4"/>
      <c r="N20" s="4"/>
      <c r="O20" s="4"/>
      <c r="P20" s="4"/>
    </row>
    <row r="21" ht="23.25" customHeight="1">
      <c r="A21" s="3">
        <v>45950.0</v>
      </c>
      <c r="B21" s="4">
        <v>9.0</v>
      </c>
      <c r="C21" s="4">
        <v>9.5</v>
      </c>
      <c r="D21" s="4">
        <v>8.0</v>
      </c>
      <c r="E21" s="4">
        <v>8.0</v>
      </c>
      <c r="F21" s="4">
        <v>8.0</v>
      </c>
      <c r="G21" s="4">
        <v>8.0</v>
      </c>
      <c r="H21" s="4">
        <v>8.0</v>
      </c>
      <c r="I21" s="4">
        <v>8.0</v>
      </c>
      <c r="J21" s="4">
        <v>8.0</v>
      </c>
      <c r="K21" s="4">
        <v>8.0</v>
      </c>
      <c r="L21" s="4">
        <v>9.0</v>
      </c>
      <c r="M21" s="4">
        <v>8.0</v>
      </c>
      <c r="N21" s="4"/>
      <c r="O21" s="4">
        <v>8.0</v>
      </c>
      <c r="P21" s="4">
        <v>8.0</v>
      </c>
    </row>
    <row r="22" ht="23.25" customHeight="1">
      <c r="A22" s="3">
        <v>45951.0</v>
      </c>
      <c r="B22" s="4">
        <v>9.5</v>
      </c>
      <c r="C22" s="4">
        <v>8.0</v>
      </c>
      <c r="D22" s="4">
        <v>8.0</v>
      </c>
      <c r="E22" s="4">
        <v>9.5</v>
      </c>
      <c r="F22" s="4">
        <v>8.0</v>
      </c>
      <c r="G22" s="4">
        <v>4.5</v>
      </c>
      <c r="H22" s="4">
        <v>8.0</v>
      </c>
      <c r="I22" s="4">
        <v>8.0</v>
      </c>
      <c r="J22" s="4">
        <v>8.0</v>
      </c>
      <c r="K22" s="4">
        <v>8.0</v>
      </c>
      <c r="L22" s="4">
        <v>8.0</v>
      </c>
      <c r="M22" s="4">
        <v>8.0</v>
      </c>
      <c r="N22" s="4"/>
      <c r="O22" s="4">
        <v>8.0</v>
      </c>
      <c r="P22" s="4">
        <v>8.0</v>
      </c>
    </row>
    <row r="23" ht="23.25" customHeight="1">
      <c r="A23" s="3">
        <v>45952.0</v>
      </c>
      <c r="B23" s="4">
        <v>9.0</v>
      </c>
      <c r="C23" s="4">
        <v>9.5</v>
      </c>
      <c r="D23" s="4">
        <v>8.0</v>
      </c>
      <c r="E23" s="4">
        <v>8.0</v>
      </c>
      <c r="F23" s="4">
        <v>8.0</v>
      </c>
      <c r="G23" s="4">
        <v>8.0</v>
      </c>
      <c r="H23" s="4">
        <v>8.0</v>
      </c>
      <c r="I23" s="4">
        <v>8.0</v>
      </c>
      <c r="J23" s="4">
        <v>8.0</v>
      </c>
      <c r="K23" s="4">
        <v>8.0</v>
      </c>
      <c r="L23" s="4">
        <v>8.0</v>
      </c>
      <c r="M23" s="4" t="s">
        <v>9</v>
      </c>
      <c r="N23" s="4"/>
      <c r="O23" s="4">
        <v>8.0</v>
      </c>
      <c r="P23" s="4">
        <v>8.0</v>
      </c>
    </row>
    <row r="24" ht="23.25" customHeight="1">
      <c r="A24" s="3">
        <v>45953.0</v>
      </c>
      <c r="B24" s="4">
        <v>9.5</v>
      </c>
      <c r="C24" s="4">
        <v>8.0</v>
      </c>
      <c r="D24" s="4">
        <v>9.5</v>
      </c>
      <c r="E24" s="4">
        <v>8.0</v>
      </c>
      <c r="F24" s="4">
        <v>8.0</v>
      </c>
      <c r="G24" s="4">
        <v>8.0</v>
      </c>
      <c r="H24" s="4">
        <v>8.0</v>
      </c>
      <c r="I24" s="4">
        <v>8.0</v>
      </c>
      <c r="J24" s="4">
        <v>8.0</v>
      </c>
      <c r="K24" s="4">
        <v>8.0</v>
      </c>
      <c r="L24" s="4">
        <v>8.0</v>
      </c>
      <c r="M24" s="4">
        <v>8.0</v>
      </c>
      <c r="N24" s="4"/>
      <c r="O24" s="4">
        <v>8.0</v>
      </c>
      <c r="P24" s="4">
        <v>8.0</v>
      </c>
    </row>
    <row r="25" ht="23.25" customHeight="1">
      <c r="A25" s="3">
        <v>45954.0</v>
      </c>
      <c r="B25" s="4">
        <v>8.0</v>
      </c>
      <c r="C25" s="4">
        <v>8.5</v>
      </c>
      <c r="D25" s="4">
        <v>8.0</v>
      </c>
      <c r="E25" s="4">
        <v>8.0</v>
      </c>
      <c r="F25" s="4">
        <v>8.0</v>
      </c>
      <c r="G25" s="4">
        <v>8.0</v>
      </c>
      <c r="H25" s="4">
        <v>8.0</v>
      </c>
      <c r="I25" s="4">
        <v>8.0</v>
      </c>
      <c r="J25" s="4">
        <v>8.0</v>
      </c>
      <c r="K25" s="4">
        <v>8.0</v>
      </c>
      <c r="L25" s="4">
        <v>9.0</v>
      </c>
      <c r="M25" s="4">
        <v>8.0</v>
      </c>
      <c r="N25" s="4"/>
      <c r="O25" s="4">
        <v>8.0</v>
      </c>
      <c r="P25" s="4">
        <v>8.0</v>
      </c>
    </row>
    <row r="26" ht="23.25" customHeight="1">
      <c r="A26" s="3">
        <v>45955.0</v>
      </c>
      <c r="B26" s="4"/>
      <c r="C26" s="4"/>
      <c r="D26" s="4">
        <v>8.0</v>
      </c>
      <c r="E26" s="4">
        <v>8.0</v>
      </c>
      <c r="F26" s="4">
        <v>8.0</v>
      </c>
      <c r="G26" s="4">
        <v>10.0</v>
      </c>
      <c r="H26" s="4" t="s">
        <v>10</v>
      </c>
      <c r="I26" s="4">
        <v>8.0</v>
      </c>
      <c r="J26" s="4"/>
      <c r="K26" s="4"/>
      <c r="L26" s="4"/>
      <c r="M26" s="4"/>
      <c r="N26" s="4"/>
      <c r="O26" s="4"/>
      <c r="P26" s="4"/>
    </row>
    <row r="27" ht="23.25" customHeight="1">
      <c r="A27" s="3">
        <v>45956.0</v>
      </c>
      <c r="B27" s="4">
        <v>8.5</v>
      </c>
      <c r="C27" s="4"/>
      <c r="D27" s="4"/>
      <c r="E27" s="4"/>
      <c r="F27" s="4"/>
      <c r="G27" s="4"/>
      <c r="H27" s="4">
        <v>8.5</v>
      </c>
      <c r="I27" s="4"/>
      <c r="J27" s="4">
        <v>4.0</v>
      </c>
      <c r="K27" s="4"/>
      <c r="L27" s="4"/>
      <c r="M27" s="4"/>
      <c r="N27" s="4"/>
      <c r="O27" s="4"/>
      <c r="P27" s="4"/>
    </row>
    <row r="28" ht="23.25" customHeight="1">
      <c r="A28" s="3">
        <v>45957.0</v>
      </c>
      <c r="B28" s="4">
        <v>9.0</v>
      </c>
      <c r="C28" s="4">
        <v>9.5</v>
      </c>
      <c r="D28" s="4">
        <v>8.0</v>
      </c>
      <c r="E28" s="4">
        <v>8.0</v>
      </c>
      <c r="F28" s="4">
        <v>8.0</v>
      </c>
      <c r="G28" s="4">
        <v>8.0</v>
      </c>
      <c r="H28" s="4">
        <v>8.0</v>
      </c>
      <c r="I28" s="4">
        <v>8.0</v>
      </c>
      <c r="J28" s="4" t="s">
        <v>0</v>
      </c>
      <c r="K28" s="4">
        <v>8.0</v>
      </c>
      <c r="L28" s="4">
        <v>9.0</v>
      </c>
      <c r="M28" s="4" t="s">
        <v>0</v>
      </c>
      <c r="N28" s="4"/>
      <c r="O28" s="4">
        <v>8.0</v>
      </c>
      <c r="P28" s="4">
        <v>8.0</v>
      </c>
    </row>
    <row r="29" ht="23.25" customHeight="1">
      <c r="A29" s="3">
        <v>45958.0</v>
      </c>
      <c r="B29" s="4">
        <v>9.5</v>
      </c>
      <c r="C29" s="4">
        <v>8.0</v>
      </c>
      <c r="D29" s="4">
        <v>8.0</v>
      </c>
      <c r="E29" s="4">
        <v>9.5</v>
      </c>
      <c r="F29" s="4">
        <v>8.0</v>
      </c>
      <c r="G29" s="4">
        <v>6.0</v>
      </c>
      <c r="H29" s="4">
        <v>8.0</v>
      </c>
      <c r="I29" s="4">
        <v>8.0</v>
      </c>
      <c r="J29" s="4">
        <v>8.0</v>
      </c>
      <c r="K29" s="4">
        <v>8.0</v>
      </c>
      <c r="L29" s="4">
        <v>8.0</v>
      </c>
      <c r="M29" s="4" t="s">
        <v>0</v>
      </c>
      <c r="N29" s="4"/>
      <c r="O29" s="4">
        <v>8.0</v>
      </c>
      <c r="P29" s="4">
        <v>8.0</v>
      </c>
    </row>
    <row r="30" ht="23.25" customHeight="1">
      <c r="A30" s="3">
        <v>45959.0</v>
      </c>
      <c r="B30" s="4">
        <v>9.0</v>
      </c>
      <c r="C30" s="4">
        <v>9.5</v>
      </c>
      <c r="D30" s="4">
        <v>8.0</v>
      </c>
      <c r="E30" s="4">
        <v>8.0</v>
      </c>
      <c r="F30" s="4">
        <v>8.0</v>
      </c>
      <c r="G30" s="4">
        <v>8.0</v>
      </c>
      <c r="H30" s="4">
        <v>8.0</v>
      </c>
      <c r="I30" s="4">
        <v>8.0</v>
      </c>
      <c r="J30" s="4">
        <v>8.0</v>
      </c>
      <c r="K30" s="4">
        <v>8.0</v>
      </c>
      <c r="L30" s="4">
        <v>8.0</v>
      </c>
      <c r="M30" s="4" t="s">
        <v>0</v>
      </c>
      <c r="N30" s="4"/>
      <c r="O30" s="4">
        <v>8.0</v>
      </c>
      <c r="P30" s="4">
        <v>8.0</v>
      </c>
    </row>
    <row r="31" ht="23.25" customHeight="1">
      <c r="A31" s="3">
        <v>45960.0</v>
      </c>
      <c r="B31" s="4">
        <v>9.5</v>
      </c>
      <c r="C31" s="4">
        <v>8.0</v>
      </c>
      <c r="D31" s="4">
        <v>9.5</v>
      </c>
      <c r="E31" s="4">
        <v>8.0</v>
      </c>
      <c r="F31" s="4">
        <v>8.0</v>
      </c>
      <c r="G31" s="4">
        <v>8.0</v>
      </c>
      <c r="H31" s="4">
        <v>8.0</v>
      </c>
      <c r="I31" s="4">
        <v>8.0</v>
      </c>
      <c r="J31" s="4">
        <v>8.0</v>
      </c>
      <c r="K31" s="4">
        <v>8.0</v>
      </c>
      <c r="L31" s="4">
        <v>8.0</v>
      </c>
      <c r="M31" s="4" t="s">
        <v>0</v>
      </c>
      <c r="N31" s="4"/>
      <c r="O31" s="4">
        <v>8.0</v>
      </c>
      <c r="P31" s="4">
        <v>8.0</v>
      </c>
    </row>
    <row r="32" ht="23.25" customHeight="1">
      <c r="A32" s="5">
        <v>45961.0</v>
      </c>
      <c r="B32" s="6">
        <v>8.0</v>
      </c>
      <c r="C32" s="6">
        <v>8.5</v>
      </c>
      <c r="D32" s="6">
        <v>8.0</v>
      </c>
      <c r="E32" s="6">
        <v>8.0</v>
      </c>
      <c r="F32" s="6">
        <v>8.0</v>
      </c>
      <c r="G32" s="6" t="s">
        <v>9</v>
      </c>
      <c r="H32" s="6">
        <v>8.0</v>
      </c>
      <c r="I32" s="6">
        <v>8.0</v>
      </c>
      <c r="J32" s="6">
        <v>8.0</v>
      </c>
      <c r="K32" s="6">
        <v>8.0</v>
      </c>
      <c r="L32" s="6">
        <v>9.0</v>
      </c>
      <c r="M32" s="4" t="s">
        <v>0</v>
      </c>
      <c r="N32" s="6"/>
      <c r="O32" s="4">
        <v>8.0</v>
      </c>
      <c r="P32" s="4">
        <v>8.0</v>
      </c>
    </row>
    <row r="33" ht="23.25" customHeight="1">
      <c r="A33" s="7" t="s">
        <v>2</v>
      </c>
      <c r="B33" s="8">
        <f t="shared" ref="B33:P33" si="1">SUM(B2:B32)</f>
        <v>244.5</v>
      </c>
      <c r="C33" s="8">
        <f t="shared" si="1"/>
        <v>199.5</v>
      </c>
      <c r="D33" s="8">
        <f t="shared" si="1"/>
        <v>216.5</v>
      </c>
      <c r="E33" s="8">
        <f t="shared" si="1"/>
        <v>215.5</v>
      </c>
      <c r="F33" s="8">
        <f t="shared" si="1"/>
        <v>178</v>
      </c>
      <c r="G33" s="8">
        <f t="shared" si="1"/>
        <v>205.5</v>
      </c>
      <c r="H33" s="8">
        <f t="shared" si="1"/>
        <v>181</v>
      </c>
      <c r="I33" s="8">
        <f t="shared" si="1"/>
        <v>208</v>
      </c>
      <c r="J33" s="8">
        <f t="shared" si="1"/>
        <v>159.5</v>
      </c>
      <c r="K33" s="8">
        <f t="shared" si="1"/>
        <v>184</v>
      </c>
      <c r="L33" s="8">
        <f t="shared" si="1"/>
        <v>195</v>
      </c>
      <c r="M33" s="8">
        <f t="shared" si="1"/>
        <v>143</v>
      </c>
      <c r="N33" s="8">
        <f t="shared" si="1"/>
        <v>0</v>
      </c>
      <c r="O33" s="8">
        <f t="shared" si="1"/>
        <v>184</v>
      </c>
      <c r="P33" s="8">
        <f t="shared" si="1"/>
        <v>184</v>
      </c>
    </row>
    <row r="34" ht="32.25" customHeight="1">
      <c r="A34" s="9" t="s">
        <v>3</v>
      </c>
      <c r="B34" s="10">
        <v>184.0</v>
      </c>
      <c r="C34" s="10">
        <v>184.0</v>
      </c>
      <c r="D34" s="10">
        <v>184.0</v>
      </c>
      <c r="E34" s="10">
        <v>184.0</v>
      </c>
      <c r="F34" s="10">
        <v>184.0</v>
      </c>
      <c r="G34" s="10">
        <v>184.0</v>
      </c>
      <c r="H34" s="10">
        <v>184.0</v>
      </c>
      <c r="I34" s="10">
        <v>184.0</v>
      </c>
      <c r="J34" s="10">
        <v>184.0</v>
      </c>
      <c r="K34" s="10">
        <v>184.0</v>
      </c>
      <c r="L34" s="10">
        <v>184.0</v>
      </c>
      <c r="M34" s="10">
        <v>184.0</v>
      </c>
      <c r="N34" s="10"/>
      <c r="O34" s="10">
        <v>184.0</v>
      </c>
      <c r="P34" s="10">
        <v>184.0</v>
      </c>
    </row>
    <row r="35" ht="32.25" customHeight="1">
      <c r="A35" s="11" t="s">
        <v>4</v>
      </c>
      <c r="B35" s="12">
        <f t="shared" ref="B35:P35" si="2">B33-B34</f>
        <v>60.5</v>
      </c>
      <c r="C35" s="12">
        <f t="shared" si="2"/>
        <v>15.5</v>
      </c>
      <c r="D35" s="12">
        <f t="shared" si="2"/>
        <v>32.5</v>
      </c>
      <c r="E35" s="12">
        <f t="shared" si="2"/>
        <v>31.5</v>
      </c>
      <c r="F35" s="12">
        <f t="shared" si="2"/>
        <v>-6</v>
      </c>
      <c r="G35" s="12">
        <f t="shared" si="2"/>
        <v>21.5</v>
      </c>
      <c r="H35" s="12">
        <f t="shared" si="2"/>
        <v>-3</v>
      </c>
      <c r="I35" s="12">
        <f t="shared" si="2"/>
        <v>24</v>
      </c>
      <c r="J35" s="12">
        <f t="shared" si="2"/>
        <v>-24.5</v>
      </c>
      <c r="K35" s="12">
        <f t="shared" si="2"/>
        <v>0</v>
      </c>
      <c r="L35" s="12">
        <f t="shared" si="2"/>
        <v>11</v>
      </c>
      <c r="M35" s="12">
        <f t="shared" si="2"/>
        <v>-41</v>
      </c>
      <c r="N35" s="12">
        <f t="shared" si="2"/>
        <v>0</v>
      </c>
      <c r="O35" s="12">
        <f t="shared" si="2"/>
        <v>0</v>
      </c>
      <c r="P35" s="12">
        <f t="shared" si="2"/>
        <v>0</v>
      </c>
    </row>
    <row r="36" ht="32.25" customHeight="1">
      <c r="A36" s="13" t="s">
        <v>5</v>
      </c>
      <c r="B36" s="15">
        <v>1950.0</v>
      </c>
      <c r="C36" s="15">
        <v>1850.0</v>
      </c>
      <c r="D36" s="15">
        <v>1800.0</v>
      </c>
      <c r="E36" s="15">
        <v>1700.0</v>
      </c>
      <c r="F36" s="15">
        <v>1550.0</v>
      </c>
      <c r="G36" s="15">
        <v>1550.0</v>
      </c>
      <c r="H36" s="15">
        <v>1300.0</v>
      </c>
      <c r="I36" s="15">
        <v>1300.0</v>
      </c>
      <c r="J36" s="15">
        <v>1650.0</v>
      </c>
      <c r="K36" s="15">
        <v>2500.0</v>
      </c>
      <c r="L36" s="15">
        <v>1600.0</v>
      </c>
      <c r="M36" s="15">
        <v>950.0</v>
      </c>
      <c r="N36" s="15"/>
      <c r="O36" s="14">
        <v>2000.0</v>
      </c>
      <c r="P36" s="14">
        <v>2000.0</v>
      </c>
    </row>
    <row r="37" ht="32.25" customHeight="1">
      <c r="A37" s="13" t="s">
        <v>6</v>
      </c>
      <c r="B37" s="15">
        <v>104.0</v>
      </c>
      <c r="C37" s="15">
        <v>104.0</v>
      </c>
      <c r="D37" s="15">
        <v>104.0</v>
      </c>
      <c r="E37" s="15">
        <v>104.0</v>
      </c>
      <c r="F37" s="15">
        <v>104.0</v>
      </c>
      <c r="G37" s="15">
        <v>104.0</v>
      </c>
      <c r="H37" s="15">
        <v>104.0</v>
      </c>
      <c r="I37" s="15">
        <v>104.0</v>
      </c>
      <c r="J37" s="15">
        <v>104.0</v>
      </c>
      <c r="K37" s="15">
        <v>104.0</v>
      </c>
      <c r="L37" s="15"/>
      <c r="M37" s="15"/>
      <c r="N37" s="15"/>
      <c r="O37" s="15">
        <v>208.0</v>
      </c>
      <c r="P37" s="15"/>
    </row>
    <row r="38" ht="45.75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45.75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6" footer="0.0" header="0.0" left="0.25" right="0.25" top="0.22571819425444595"/>
  <pageSetup fitToHeight="0"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1">
        <v>45962.0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24">
        <v>45962.0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3.25" customHeight="1">
      <c r="A3" s="24">
        <v>45963.0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3.25" customHeight="1">
      <c r="A4" s="24">
        <v>45964.0</v>
      </c>
      <c r="B4" s="4">
        <v>8.0</v>
      </c>
      <c r="C4" s="4">
        <v>8.0</v>
      </c>
      <c r="D4" s="4">
        <v>8.0</v>
      </c>
      <c r="E4" s="4">
        <v>8.0</v>
      </c>
      <c r="F4" s="4">
        <v>8.0</v>
      </c>
      <c r="G4" s="4" t="s">
        <v>9</v>
      </c>
      <c r="H4" s="4">
        <v>8.0</v>
      </c>
      <c r="I4" s="4">
        <v>8.0</v>
      </c>
      <c r="J4" s="4">
        <v>8.0</v>
      </c>
      <c r="K4" s="4">
        <v>8.0</v>
      </c>
      <c r="L4" s="4">
        <v>8.0</v>
      </c>
      <c r="M4" s="4">
        <v>8.0</v>
      </c>
      <c r="N4" s="4"/>
      <c r="O4" s="4">
        <v>8.0</v>
      </c>
      <c r="P4" s="4">
        <v>8.0</v>
      </c>
    </row>
    <row r="5" ht="23.25" customHeight="1">
      <c r="A5" s="24">
        <v>45965.0</v>
      </c>
      <c r="B5" s="4">
        <v>8.0</v>
      </c>
      <c r="C5" s="4">
        <v>8.0</v>
      </c>
      <c r="D5" s="4">
        <v>8.0</v>
      </c>
      <c r="E5" s="4">
        <v>8.0</v>
      </c>
      <c r="F5" s="4">
        <v>8.0</v>
      </c>
      <c r="G5" s="4" t="s">
        <v>9</v>
      </c>
      <c r="H5" s="4">
        <v>8.0</v>
      </c>
      <c r="I5" s="4">
        <v>8.0</v>
      </c>
      <c r="J5" s="4">
        <v>8.0</v>
      </c>
      <c r="K5" s="4">
        <v>8.0</v>
      </c>
      <c r="L5" s="4">
        <v>8.0</v>
      </c>
      <c r="M5" s="4">
        <v>8.0</v>
      </c>
      <c r="N5" s="4"/>
      <c r="O5" s="4">
        <v>8.0</v>
      </c>
      <c r="P5" s="4">
        <v>8.0</v>
      </c>
    </row>
    <row r="6" ht="23.25" customHeight="1">
      <c r="A6" s="24">
        <v>45966.0</v>
      </c>
      <c r="B6" s="4">
        <v>8.0</v>
      </c>
      <c r="C6" s="4">
        <v>8.0</v>
      </c>
      <c r="D6" s="4">
        <v>8.0</v>
      </c>
      <c r="E6" s="4">
        <v>8.0</v>
      </c>
      <c r="F6" s="4">
        <v>8.0</v>
      </c>
      <c r="G6" s="4" t="s">
        <v>9</v>
      </c>
      <c r="H6" s="4">
        <v>8.0</v>
      </c>
      <c r="I6" s="4">
        <v>8.0</v>
      </c>
      <c r="J6" s="4">
        <v>8.0</v>
      </c>
      <c r="K6" s="4">
        <v>8.0</v>
      </c>
      <c r="L6" s="4">
        <v>9.0</v>
      </c>
      <c r="M6" s="4">
        <v>8.0</v>
      </c>
      <c r="N6" s="4"/>
      <c r="O6" s="4">
        <v>8.0</v>
      </c>
      <c r="P6" s="4">
        <v>8.0</v>
      </c>
    </row>
    <row r="7" ht="23.25" customHeight="1">
      <c r="A7" s="24">
        <v>45967.0</v>
      </c>
      <c r="B7" s="4">
        <v>8.0</v>
      </c>
      <c r="C7" s="4">
        <v>8.0</v>
      </c>
      <c r="D7" s="4">
        <v>8.0</v>
      </c>
      <c r="E7" s="4">
        <v>8.0</v>
      </c>
      <c r="F7" s="4">
        <v>8.0</v>
      </c>
      <c r="G7" s="4">
        <v>7.0</v>
      </c>
      <c r="H7" s="4">
        <v>7.0</v>
      </c>
      <c r="I7" s="4">
        <v>8.0</v>
      </c>
      <c r="J7" s="4">
        <v>8.0</v>
      </c>
      <c r="K7" s="4">
        <v>8.0</v>
      </c>
      <c r="L7" s="4">
        <v>8.0</v>
      </c>
      <c r="M7" s="4">
        <v>8.0</v>
      </c>
      <c r="N7" s="4"/>
      <c r="O7" s="4">
        <v>8.0</v>
      </c>
      <c r="P7" s="4">
        <v>8.0</v>
      </c>
    </row>
    <row r="8" ht="23.25" customHeight="1">
      <c r="A8" s="24">
        <v>45968.0</v>
      </c>
      <c r="B8" s="4">
        <v>8.0</v>
      </c>
      <c r="C8" s="4" t="s">
        <v>9</v>
      </c>
      <c r="D8" s="4">
        <v>8.0</v>
      </c>
      <c r="E8" s="4">
        <v>8.0</v>
      </c>
      <c r="F8" s="4">
        <v>8.0</v>
      </c>
      <c r="G8" s="4">
        <v>8.0</v>
      </c>
      <c r="H8" s="4" t="s">
        <v>9</v>
      </c>
      <c r="I8" s="4">
        <v>8.0</v>
      </c>
      <c r="J8" s="4">
        <v>8.0</v>
      </c>
      <c r="K8" s="4">
        <v>8.0</v>
      </c>
      <c r="L8" s="4">
        <v>9.0</v>
      </c>
      <c r="M8" s="4">
        <v>8.0</v>
      </c>
      <c r="N8" s="4"/>
      <c r="O8" s="4">
        <v>8.0</v>
      </c>
      <c r="P8" s="4">
        <v>8.0</v>
      </c>
    </row>
    <row r="9" ht="23.25" customHeight="1">
      <c r="A9" s="24">
        <v>45969.0</v>
      </c>
      <c r="B9" s="4">
        <v>8.0</v>
      </c>
      <c r="C9" s="4"/>
      <c r="D9" s="4">
        <v>8.0</v>
      </c>
      <c r="E9" s="4"/>
      <c r="F9" s="4">
        <v>8.0</v>
      </c>
      <c r="G9" s="4" t="s">
        <v>9</v>
      </c>
      <c r="H9" s="4">
        <v>9.0</v>
      </c>
      <c r="I9" s="4">
        <v>8.0</v>
      </c>
      <c r="J9" s="4"/>
      <c r="K9" s="4"/>
      <c r="L9" s="4"/>
      <c r="M9" s="4">
        <v>5.0</v>
      </c>
      <c r="N9" s="4"/>
      <c r="O9" s="4"/>
      <c r="P9" s="4"/>
    </row>
    <row r="10" ht="23.25" customHeight="1">
      <c r="A10" s="24">
        <v>45970.0</v>
      </c>
      <c r="B10" s="4">
        <v>7.5</v>
      </c>
      <c r="C10" s="4"/>
      <c r="D10" s="4"/>
      <c r="E10" s="4"/>
      <c r="F10" s="4"/>
      <c r="G10" s="4">
        <v>8.0</v>
      </c>
      <c r="H10" s="4"/>
      <c r="I10" s="4"/>
      <c r="J10" s="4">
        <v>3.5</v>
      </c>
      <c r="K10" s="4"/>
      <c r="L10" s="4"/>
      <c r="M10" s="4"/>
      <c r="N10" s="4"/>
      <c r="O10" s="4"/>
      <c r="P10" s="4"/>
    </row>
    <row r="11" ht="23.25" customHeight="1">
      <c r="A11" s="24">
        <v>45971.0</v>
      </c>
      <c r="B11" s="4">
        <v>8.0</v>
      </c>
      <c r="C11" s="4">
        <v>8.0</v>
      </c>
      <c r="D11" s="4">
        <v>8.0</v>
      </c>
      <c r="E11" s="4" t="s">
        <v>9</v>
      </c>
      <c r="F11" s="4">
        <v>8.0</v>
      </c>
      <c r="G11" s="4">
        <v>8.0</v>
      </c>
      <c r="H11" s="4">
        <v>8.0</v>
      </c>
      <c r="I11" s="4">
        <v>8.0</v>
      </c>
      <c r="J11" s="4">
        <v>8.0</v>
      </c>
      <c r="K11" s="4">
        <v>8.0</v>
      </c>
      <c r="L11" s="4">
        <v>8.0</v>
      </c>
      <c r="M11" s="4">
        <v>8.0</v>
      </c>
      <c r="N11" s="4"/>
      <c r="O11" s="4">
        <v>8.0</v>
      </c>
      <c r="P11" s="4">
        <v>8.0</v>
      </c>
    </row>
    <row r="12" ht="23.25" customHeight="1">
      <c r="A12" s="24">
        <v>45972.0</v>
      </c>
      <c r="B12" s="4">
        <v>8.0</v>
      </c>
      <c r="C12" s="4">
        <v>8.0</v>
      </c>
      <c r="D12" s="4">
        <v>8.0</v>
      </c>
      <c r="E12" s="4">
        <v>8.0</v>
      </c>
      <c r="F12" s="4">
        <v>8.0</v>
      </c>
      <c r="G12" s="4">
        <v>6.0</v>
      </c>
      <c r="H12" s="4">
        <v>8.0</v>
      </c>
      <c r="I12" s="4">
        <v>8.0</v>
      </c>
      <c r="J12" s="4">
        <v>8.0</v>
      </c>
      <c r="K12" s="4">
        <v>8.0</v>
      </c>
      <c r="L12" s="4">
        <v>8.0</v>
      </c>
      <c r="M12" s="4">
        <v>8.0</v>
      </c>
      <c r="N12" s="4"/>
      <c r="O12" s="4">
        <v>8.0</v>
      </c>
      <c r="P12" s="4">
        <v>8.0</v>
      </c>
    </row>
    <row r="13" ht="23.25" customHeight="1">
      <c r="A13" s="24">
        <v>45973.0</v>
      </c>
      <c r="B13" s="4">
        <v>8.0</v>
      </c>
      <c r="C13" s="4">
        <v>8.0</v>
      </c>
      <c r="D13" s="4">
        <v>8.0</v>
      </c>
      <c r="E13" s="4">
        <v>8.0</v>
      </c>
      <c r="F13" s="4">
        <v>8.0</v>
      </c>
      <c r="G13" s="4">
        <v>8.0</v>
      </c>
      <c r="H13" s="4">
        <v>8.0</v>
      </c>
      <c r="I13" s="4">
        <v>8.0</v>
      </c>
      <c r="J13" s="4">
        <v>8.0</v>
      </c>
      <c r="K13" s="4">
        <v>8.0</v>
      </c>
      <c r="L13" s="4">
        <v>9.0</v>
      </c>
      <c r="M13" s="4"/>
      <c r="N13" s="4"/>
      <c r="O13" s="4">
        <v>8.0</v>
      </c>
      <c r="P13" s="4">
        <v>8.0</v>
      </c>
    </row>
    <row r="14" ht="23.25" customHeight="1">
      <c r="A14" s="24">
        <v>45974.0</v>
      </c>
      <c r="B14" s="4">
        <v>8.0</v>
      </c>
      <c r="C14" s="4">
        <v>8.0</v>
      </c>
      <c r="D14" s="4">
        <v>8.0</v>
      </c>
      <c r="E14" s="4">
        <v>8.0</v>
      </c>
      <c r="F14" s="4">
        <v>8.0</v>
      </c>
      <c r="G14" s="4" t="s">
        <v>9</v>
      </c>
      <c r="H14" s="4">
        <v>8.0</v>
      </c>
      <c r="I14" s="4">
        <v>8.0</v>
      </c>
      <c r="J14" s="4">
        <v>8.0</v>
      </c>
      <c r="K14" s="4">
        <v>8.0</v>
      </c>
      <c r="L14" s="4">
        <v>8.0</v>
      </c>
      <c r="M14" s="4">
        <v>8.0</v>
      </c>
      <c r="N14" s="4"/>
      <c r="O14" s="4">
        <v>8.0</v>
      </c>
      <c r="P14" s="4">
        <v>8.0</v>
      </c>
    </row>
    <row r="15" ht="23.25" customHeight="1">
      <c r="A15" s="24">
        <v>45975.0</v>
      </c>
      <c r="B15" s="4">
        <v>8.0</v>
      </c>
      <c r="C15" s="4">
        <v>8.0</v>
      </c>
      <c r="D15" s="4">
        <v>6.0</v>
      </c>
      <c r="E15" s="4">
        <v>8.0</v>
      </c>
      <c r="F15" s="4">
        <v>8.0</v>
      </c>
      <c r="G15" s="4" t="s">
        <v>9</v>
      </c>
      <c r="H15" s="4">
        <v>8.0</v>
      </c>
      <c r="I15" s="4">
        <v>8.0</v>
      </c>
      <c r="J15" s="4">
        <v>8.0</v>
      </c>
      <c r="K15" s="4">
        <v>8.0</v>
      </c>
      <c r="L15" s="4">
        <v>9.0</v>
      </c>
      <c r="M15" s="4">
        <v>8.0</v>
      </c>
      <c r="N15" s="4"/>
      <c r="O15" s="4">
        <v>8.0</v>
      </c>
      <c r="P15" s="4">
        <v>8.0</v>
      </c>
    </row>
    <row r="16" ht="23.25" customHeight="1">
      <c r="A16" s="24">
        <v>45976.0</v>
      </c>
      <c r="B16" s="4">
        <v>8.0</v>
      </c>
      <c r="C16" s="4"/>
      <c r="D16" s="4"/>
      <c r="E16" s="4">
        <v>8.0</v>
      </c>
      <c r="F16" s="4"/>
      <c r="G16" s="4" t="s">
        <v>9</v>
      </c>
      <c r="H16" s="4">
        <v>8.0</v>
      </c>
      <c r="I16" s="4">
        <v>6.0</v>
      </c>
      <c r="J16" s="4"/>
      <c r="K16" s="4"/>
      <c r="L16" s="4"/>
      <c r="M16" s="4">
        <v>5.0</v>
      </c>
      <c r="N16" s="4"/>
      <c r="O16" s="4"/>
      <c r="P16" s="4"/>
    </row>
    <row r="17" ht="23.25" customHeight="1">
      <c r="A17" s="24">
        <v>45977.0</v>
      </c>
      <c r="B17" s="4"/>
      <c r="C17" s="4"/>
      <c r="D17" s="4"/>
      <c r="E17" s="4">
        <v>4.0</v>
      </c>
      <c r="F17" s="4">
        <v>4.0</v>
      </c>
      <c r="G17" s="4"/>
      <c r="H17" s="4"/>
      <c r="I17" s="4"/>
      <c r="J17" s="4">
        <v>3.0</v>
      </c>
      <c r="K17" s="4"/>
      <c r="L17" s="4"/>
      <c r="M17" s="4"/>
      <c r="N17" s="4"/>
      <c r="O17" s="4"/>
      <c r="P17" s="4"/>
    </row>
    <row r="18" ht="23.25" customHeight="1">
      <c r="A18" s="24">
        <v>45978.0</v>
      </c>
      <c r="B18" s="4">
        <v>8.0</v>
      </c>
      <c r="C18" s="4">
        <v>8.0</v>
      </c>
      <c r="D18" s="4" t="s">
        <v>0</v>
      </c>
      <c r="E18" s="4" t="s">
        <v>0</v>
      </c>
      <c r="F18" s="4">
        <v>8.0</v>
      </c>
      <c r="G18" s="4" t="s">
        <v>9</v>
      </c>
      <c r="H18" s="4">
        <v>8.0</v>
      </c>
      <c r="I18" s="4">
        <v>8.0</v>
      </c>
      <c r="J18" s="4">
        <v>8.0</v>
      </c>
      <c r="K18" s="4">
        <v>8.0</v>
      </c>
      <c r="L18" s="4">
        <v>8.0</v>
      </c>
      <c r="M18" s="4">
        <v>8.0</v>
      </c>
      <c r="N18" s="4"/>
      <c r="O18" s="4">
        <v>8.0</v>
      </c>
      <c r="P18" s="4">
        <v>8.0</v>
      </c>
    </row>
    <row r="19" ht="23.25" customHeight="1">
      <c r="A19" s="24">
        <v>45979.0</v>
      </c>
      <c r="B19" s="4">
        <v>8.0</v>
      </c>
      <c r="C19" s="4">
        <v>8.0</v>
      </c>
      <c r="D19" s="4" t="s">
        <v>0</v>
      </c>
      <c r="E19" s="4" t="s">
        <v>0</v>
      </c>
      <c r="F19" s="4">
        <v>8.0</v>
      </c>
      <c r="G19" s="4" t="s">
        <v>9</v>
      </c>
      <c r="H19" s="4">
        <v>8.0</v>
      </c>
      <c r="I19" s="4">
        <v>8.0</v>
      </c>
      <c r="J19" s="4">
        <v>8.0</v>
      </c>
      <c r="K19" s="4">
        <v>8.0</v>
      </c>
      <c r="L19" s="4">
        <v>8.0</v>
      </c>
      <c r="M19" s="4">
        <v>8.0</v>
      </c>
      <c r="N19" s="4"/>
      <c r="O19" s="4">
        <v>8.0</v>
      </c>
      <c r="P19" s="4">
        <v>8.0</v>
      </c>
    </row>
    <row r="20" ht="23.25" customHeight="1">
      <c r="A20" s="24">
        <v>45980.0</v>
      </c>
      <c r="B20" s="4">
        <v>8.0</v>
      </c>
      <c r="C20" s="4">
        <v>8.0</v>
      </c>
      <c r="D20" s="4" t="s">
        <v>0</v>
      </c>
      <c r="E20" s="4" t="s">
        <v>0</v>
      </c>
      <c r="F20" s="4">
        <v>8.0</v>
      </c>
      <c r="G20" s="4" t="s">
        <v>9</v>
      </c>
      <c r="H20" s="4">
        <v>8.0</v>
      </c>
      <c r="I20" s="4">
        <v>8.0</v>
      </c>
      <c r="J20" s="4">
        <v>8.0</v>
      </c>
      <c r="K20" s="4">
        <v>8.0</v>
      </c>
      <c r="L20" s="4">
        <v>9.0</v>
      </c>
      <c r="M20" s="4">
        <v>8.0</v>
      </c>
      <c r="N20" s="4"/>
      <c r="O20" s="4">
        <v>8.0</v>
      </c>
      <c r="P20" s="4">
        <v>8.0</v>
      </c>
    </row>
    <row r="21" ht="23.25" customHeight="1">
      <c r="A21" s="24">
        <v>45981.0</v>
      </c>
      <c r="B21" s="4">
        <v>8.0</v>
      </c>
      <c r="C21" s="4" t="s">
        <v>9</v>
      </c>
      <c r="D21" s="4">
        <v>8.0</v>
      </c>
      <c r="E21" s="4" t="s">
        <v>0</v>
      </c>
      <c r="F21" s="4">
        <v>8.0</v>
      </c>
      <c r="G21" s="4" t="s">
        <v>9</v>
      </c>
      <c r="H21" s="4">
        <v>8.0</v>
      </c>
      <c r="I21" s="4">
        <v>8.0</v>
      </c>
      <c r="J21" s="4">
        <v>8.0</v>
      </c>
      <c r="K21" s="4">
        <v>8.0</v>
      </c>
      <c r="L21" s="4">
        <v>8.0</v>
      </c>
      <c r="M21" s="4"/>
      <c r="N21" s="4"/>
      <c r="O21" s="4">
        <v>8.0</v>
      </c>
      <c r="P21" s="4">
        <v>8.0</v>
      </c>
    </row>
    <row r="22" ht="23.25" customHeight="1">
      <c r="A22" s="24">
        <v>45982.0</v>
      </c>
      <c r="B22" s="4">
        <v>8.0</v>
      </c>
      <c r="C22" s="4">
        <v>8.0</v>
      </c>
      <c r="D22" s="4">
        <v>8.0</v>
      </c>
      <c r="E22" s="4" t="s">
        <v>0</v>
      </c>
      <c r="F22" s="4">
        <v>8.0</v>
      </c>
      <c r="G22" s="4" t="s">
        <v>9</v>
      </c>
      <c r="H22" s="4">
        <v>8.0</v>
      </c>
      <c r="I22" s="4">
        <v>8.0</v>
      </c>
      <c r="J22" s="4">
        <v>8.0</v>
      </c>
      <c r="K22" s="4">
        <v>8.0</v>
      </c>
      <c r="L22" s="4">
        <v>9.0</v>
      </c>
      <c r="M22" s="4">
        <v>8.0</v>
      </c>
      <c r="N22" s="4"/>
      <c r="O22" s="4">
        <v>8.0</v>
      </c>
      <c r="P22" s="4">
        <v>8.0</v>
      </c>
    </row>
    <row r="23" ht="23.25" customHeight="1">
      <c r="A23" s="24">
        <v>45983.0</v>
      </c>
      <c r="B23" s="4">
        <v>8.0</v>
      </c>
      <c r="C23" s="4"/>
      <c r="D23" s="4"/>
      <c r="E23" s="4" t="s">
        <v>0</v>
      </c>
      <c r="F23" s="4">
        <v>8.0</v>
      </c>
      <c r="G23" s="4" t="s">
        <v>9</v>
      </c>
      <c r="H23" s="4">
        <v>7.0</v>
      </c>
      <c r="I23" s="4">
        <v>8.0</v>
      </c>
      <c r="J23" s="4"/>
      <c r="K23" s="4"/>
      <c r="L23" s="4"/>
      <c r="M23" s="4"/>
      <c r="N23" s="4"/>
      <c r="O23" s="4"/>
      <c r="P23" s="4"/>
    </row>
    <row r="24" ht="23.25" customHeight="1">
      <c r="A24" s="24">
        <v>45984.0</v>
      </c>
      <c r="B24" s="4"/>
      <c r="C24" s="4"/>
      <c r="D24" s="4">
        <v>5.5</v>
      </c>
      <c r="E24" s="4"/>
      <c r="F24" s="4"/>
      <c r="G24" s="4">
        <v>5.5</v>
      </c>
      <c r="H24" s="4"/>
      <c r="I24" s="4"/>
      <c r="J24" s="4"/>
      <c r="K24" s="4"/>
      <c r="L24" s="4"/>
      <c r="M24" s="4"/>
      <c r="N24" s="4"/>
      <c r="O24" s="4"/>
      <c r="P24" s="4"/>
    </row>
    <row r="25" ht="23.25" customHeight="1">
      <c r="A25" s="24">
        <v>45985.0</v>
      </c>
      <c r="B25" s="4">
        <v>8.0</v>
      </c>
      <c r="C25" s="4">
        <v>5.0</v>
      </c>
      <c r="D25" s="4">
        <v>8.0</v>
      </c>
      <c r="E25" s="4">
        <v>8.0</v>
      </c>
      <c r="F25" s="4">
        <v>8.0</v>
      </c>
      <c r="G25" s="4">
        <v>8.0</v>
      </c>
      <c r="H25" s="4">
        <v>8.0</v>
      </c>
      <c r="I25" s="4">
        <v>8.0</v>
      </c>
      <c r="J25" s="4">
        <v>8.0</v>
      </c>
      <c r="K25" s="4">
        <v>8.0</v>
      </c>
      <c r="L25" s="4">
        <v>8.0</v>
      </c>
      <c r="M25" s="4">
        <v>8.0</v>
      </c>
      <c r="N25" s="4"/>
      <c r="O25" s="4">
        <v>8.0</v>
      </c>
      <c r="P25" s="4">
        <v>8.0</v>
      </c>
    </row>
    <row r="26" ht="23.25" customHeight="1">
      <c r="A26" s="24">
        <v>45986.0</v>
      </c>
      <c r="B26" s="4">
        <v>8.0</v>
      </c>
      <c r="C26" s="4">
        <v>8.0</v>
      </c>
      <c r="D26" s="4">
        <v>8.0</v>
      </c>
      <c r="E26" s="4">
        <v>8.0</v>
      </c>
      <c r="F26" s="4">
        <v>8.0</v>
      </c>
      <c r="G26" s="4">
        <v>6.0</v>
      </c>
      <c r="H26" s="4">
        <v>8.0</v>
      </c>
      <c r="I26" s="4">
        <v>8.0</v>
      </c>
      <c r="J26" s="4">
        <v>8.0</v>
      </c>
      <c r="K26" s="4">
        <v>8.0</v>
      </c>
      <c r="L26" s="4">
        <v>8.0</v>
      </c>
      <c r="M26" s="4"/>
      <c r="N26" s="4"/>
      <c r="O26" s="4">
        <v>8.0</v>
      </c>
      <c r="P26" s="4">
        <v>8.0</v>
      </c>
    </row>
    <row r="27" ht="23.25" customHeight="1">
      <c r="A27" s="24">
        <v>45987.0</v>
      </c>
      <c r="B27" s="4">
        <v>8.0</v>
      </c>
      <c r="C27" s="4">
        <v>8.0</v>
      </c>
      <c r="D27" s="4">
        <v>8.0</v>
      </c>
      <c r="E27" s="4">
        <v>8.0</v>
      </c>
      <c r="F27" s="4">
        <v>8.0</v>
      </c>
      <c r="G27" s="4">
        <v>8.0</v>
      </c>
      <c r="H27" s="4">
        <v>8.0</v>
      </c>
      <c r="I27" s="4">
        <v>8.0</v>
      </c>
      <c r="J27" s="4">
        <v>8.0</v>
      </c>
      <c r="K27" s="4">
        <v>8.0</v>
      </c>
      <c r="L27" s="4">
        <v>9.0</v>
      </c>
      <c r="M27" s="4"/>
      <c r="N27" s="4"/>
      <c r="O27" s="4">
        <v>8.0</v>
      </c>
      <c r="P27" s="4">
        <v>8.0</v>
      </c>
    </row>
    <row r="28" ht="23.25" customHeight="1">
      <c r="A28" s="24">
        <v>45988.0</v>
      </c>
      <c r="B28" s="4">
        <v>8.0</v>
      </c>
      <c r="C28" s="4">
        <v>8.0</v>
      </c>
      <c r="D28" s="4">
        <v>8.0</v>
      </c>
      <c r="E28" s="4">
        <v>8.0</v>
      </c>
      <c r="F28" s="4">
        <v>8.0</v>
      </c>
      <c r="G28" s="4" t="s">
        <v>9</v>
      </c>
      <c r="H28" s="4">
        <v>8.0</v>
      </c>
      <c r="I28" s="4">
        <v>8.0</v>
      </c>
      <c r="J28" s="4">
        <v>8.0</v>
      </c>
      <c r="K28" s="4">
        <v>8.0</v>
      </c>
      <c r="L28" s="4">
        <v>8.0</v>
      </c>
      <c r="M28" s="4"/>
      <c r="N28" s="4"/>
      <c r="O28" s="4">
        <v>8.0</v>
      </c>
      <c r="P28" s="4">
        <v>8.0</v>
      </c>
    </row>
    <row r="29" ht="23.25" customHeight="1">
      <c r="A29" s="24">
        <v>45989.0</v>
      </c>
      <c r="B29" s="4">
        <v>8.0</v>
      </c>
      <c r="C29" s="4">
        <v>8.0</v>
      </c>
      <c r="D29" s="4">
        <v>8.0</v>
      </c>
      <c r="E29" s="4">
        <v>8.0</v>
      </c>
      <c r="F29" s="4">
        <v>8.0</v>
      </c>
      <c r="G29" s="4" t="s">
        <v>9</v>
      </c>
      <c r="H29" s="4">
        <v>8.0</v>
      </c>
      <c r="I29" s="4">
        <v>8.0</v>
      </c>
      <c r="J29" s="4">
        <v>8.0</v>
      </c>
      <c r="K29" s="4">
        <v>8.0</v>
      </c>
      <c r="L29" s="4">
        <v>9.0</v>
      </c>
      <c r="M29" s="4"/>
      <c r="N29" s="4"/>
      <c r="O29" s="4">
        <v>8.0</v>
      </c>
      <c r="P29" s="4">
        <v>8.0</v>
      </c>
    </row>
    <row r="30" ht="23.25" customHeight="1">
      <c r="A30" s="24">
        <v>45990.0</v>
      </c>
      <c r="B30" s="4"/>
      <c r="C30" s="4"/>
      <c r="D30" s="4">
        <v>8.0</v>
      </c>
      <c r="E30" s="4">
        <v>8.0</v>
      </c>
      <c r="F30" s="4">
        <v>8.0</v>
      </c>
      <c r="G30" s="4" t="s">
        <v>9</v>
      </c>
      <c r="H30" s="4">
        <v>8.0</v>
      </c>
      <c r="I30" s="4">
        <v>8.0</v>
      </c>
      <c r="J30" s="4"/>
      <c r="K30" s="4"/>
      <c r="L30" s="4"/>
      <c r="M30" s="4"/>
      <c r="N30" s="4"/>
      <c r="O30" s="4"/>
      <c r="P30" s="4"/>
    </row>
    <row r="31" ht="23.25" customHeight="1">
      <c r="A31" s="24">
        <v>45991.0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23.2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23.25" customHeight="1">
      <c r="A33" s="7" t="s">
        <v>2</v>
      </c>
      <c r="B33" s="8">
        <f t="shared" ref="B33:P33" si="1">SUM(B2:B32)</f>
        <v>191.5</v>
      </c>
      <c r="C33" s="8">
        <f t="shared" si="1"/>
        <v>141</v>
      </c>
      <c r="D33" s="8">
        <f t="shared" si="1"/>
        <v>155.5</v>
      </c>
      <c r="E33" s="8">
        <f t="shared" si="1"/>
        <v>132</v>
      </c>
      <c r="F33" s="8">
        <f t="shared" si="1"/>
        <v>188</v>
      </c>
      <c r="G33" s="8">
        <f t="shared" si="1"/>
        <v>72.5</v>
      </c>
      <c r="H33" s="8">
        <f t="shared" si="1"/>
        <v>183</v>
      </c>
      <c r="I33" s="8">
        <f t="shared" si="1"/>
        <v>190</v>
      </c>
      <c r="J33" s="8">
        <f t="shared" si="1"/>
        <v>166.5</v>
      </c>
      <c r="K33" s="8">
        <f t="shared" si="1"/>
        <v>160</v>
      </c>
      <c r="L33" s="8">
        <f t="shared" si="1"/>
        <v>168</v>
      </c>
      <c r="M33" s="8">
        <f t="shared" si="1"/>
        <v>122</v>
      </c>
      <c r="N33" s="8">
        <f t="shared" si="1"/>
        <v>0</v>
      </c>
      <c r="O33" s="8">
        <f t="shared" si="1"/>
        <v>160</v>
      </c>
      <c r="P33" s="8">
        <f t="shared" si="1"/>
        <v>160</v>
      </c>
    </row>
    <row r="34" ht="32.25" customHeight="1">
      <c r="A34" s="9" t="s">
        <v>3</v>
      </c>
      <c r="B34" s="10">
        <v>160.0</v>
      </c>
      <c r="C34" s="10">
        <v>160.0</v>
      </c>
      <c r="D34" s="10">
        <v>160.0</v>
      </c>
      <c r="E34" s="10">
        <v>160.0</v>
      </c>
      <c r="F34" s="10">
        <v>160.0</v>
      </c>
      <c r="G34" s="10">
        <v>160.0</v>
      </c>
      <c r="H34" s="10">
        <v>160.0</v>
      </c>
      <c r="I34" s="10">
        <v>160.0</v>
      </c>
      <c r="J34" s="10">
        <v>160.0</v>
      </c>
      <c r="K34" s="10">
        <v>160.0</v>
      </c>
      <c r="L34" s="10">
        <v>160.0</v>
      </c>
      <c r="M34" s="10">
        <v>160.0</v>
      </c>
      <c r="N34" s="10"/>
      <c r="O34" s="10">
        <v>160.0</v>
      </c>
      <c r="P34" s="10">
        <v>160.0</v>
      </c>
    </row>
    <row r="35" ht="32.25" customHeight="1">
      <c r="A35" s="11" t="s">
        <v>4</v>
      </c>
      <c r="B35" s="12">
        <f t="shared" ref="B35:P35" si="2">B33-B34</f>
        <v>31.5</v>
      </c>
      <c r="C35" s="12">
        <f t="shared" si="2"/>
        <v>-19</v>
      </c>
      <c r="D35" s="12">
        <f t="shared" si="2"/>
        <v>-4.5</v>
      </c>
      <c r="E35" s="12">
        <f t="shared" si="2"/>
        <v>-28</v>
      </c>
      <c r="F35" s="12">
        <f t="shared" si="2"/>
        <v>28</v>
      </c>
      <c r="G35" s="12">
        <f t="shared" si="2"/>
        <v>-87.5</v>
      </c>
      <c r="H35" s="12">
        <f t="shared" si="2"/>
        <v>23</v>
      </c>
      <c r="I35" s="12">
        <f t="shared" si="2"/>
        <v>30</v>
      </c>
      <c r="J35" s="12">
        <f t="shared" si="2"/>
        <v>6.5</v>
      </c>
      <c r="K35" s="12">
        <f t="shared" si="2"/>
        <v>0</v>
      </c>
      <c r="L35" s="12">
        <f t="shared" si="2"/>
        <v>8</v>
      </c>
      <c r="M35" s="12">
        <f t="shared" si="2"/>
        <v>-38</v>
      </c>
      <c r="N35" s="12">
        <f t="shared" si="2"/>
        <v>0</v>
      </c>
      <c r="O35" s="12">
        <f t="shared" si="2"/>
        <v>0</v>
      </c>
      <c r="P35" s="12">
        <f t="shared" si="2"/>
        <v>0</v>
      </c>
    </row>
    <row r="36" ht="32.25" customHeight="1">
      <c r="A36" s="13" t="s">
        <v>5</v>
      </c>
      <c r="B36" s="15">
        <v>1800.0</v>
      </c>
      <c r="C36" s="15">
        <v>1800.0</v>
      </c>
      <c r="D36" s="15">
        <v>1700.0</v>
      </c>
      <c r="E36" s="15">
        <v>1650.0</v>
      </c>
      <c r="F36" s="15">
        <v>1700.0</v>
      </c>
      <c r="G36" s="15"/>
      <c r="H36" s="15">
        <v>1300.0</v>
      </c>
      <c r="I36" s="15">
        <v>1300.0</v>
      </c>
      <c r="J36" s="15">
        <v>1700.0</v>
      </c>
      <c r="K36" s="15">
        <v>2500.0</v>
      </c>
      <c r="L36" s="15">
        <v>1600.0</v>
      </c>
      <c r="M36" s="15"/>
      <c r="N36" s="15"/>
      <c r="O36" s="14">
        <v>2000.0</v>
      </c>
      <c r="P36" s="14">
        <v>2000.0</v>
      </c>
    </row>
    <row r="37" ht="32.25" customHeight="1">
      <c r="A37" s="13" t="s">
        <v>6</v>
      </c>
      <c r="B37" s="15">
        <v>104.0</v>
      </c>
      <c r="C37" s="15">
        <v>104.0</v>
      </c>
      <c r="D37" s="15">
        <v>104.0</v>
      </c>
      <c r="E37" s="15">
        <v>104.0</v>
      </c>
      <c r="F37" s="15">
        <v>104.0</v>
      </c>
      <c r="G37" s="15">
        <v>104.0</v>
      </c>
      <c r="H37" s="15">
        <v>104.0</v>
      </c>
      <c r="I37" s="15">
        <v>104.0</v>
      </c>
      <c r="J37" s="15">
        <v>104.0</v>
      </c>
      <c r="K37" s="15">
        <v>104.0</v>
      </c>
      <c r="L37" s="15"/>
      <c r="M37" s="15">
        <v>900.0</v>
      </c>
      <c r="N37" s="15"/>
      <c r="O37" s="15">
        <v>208.0</v>
      </c>
      <c r="P37" s="15"/>
    </row>
    <row r="38" ht="43.5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43.5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23">
        <v>45992.0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45992.0</v>
      </c>
      <c r="B2" s="4">
        <v>8.0</v>
      </c>
      <c r="C2" s="4">
        <v>8.0</v>
      </c>
      <c r="D2" s="4">
        <v>8.0</v>
      </c>
      <c r="E2" s="4">
        <v>8.0</v>
      </c>
      <c r="F2" s="4">
        <v>8.0</v>
      </c>
      <c r="G2" s="4">
        <v>8.0</v>
      </c>
      <c r="H2" s="4">
        <v>8.0</v>
      </c>
      <c r="I2" s="4">
        <v>8.0</v>
      </c>
      <c r="J2" s="4">
        <v>8.0</v>
      </c>
      <c r="K2" s="4">
        <v>8.0</v>
      </c>
      <c r="L2" s="4">
        <v>8.0</v>
      </c>
      <c r="M2" s="4"/>
      <c r="N2" s="4"/>
      <c r="O2" s="4">
        <v>8.0</v>
      </c>
      <c r="P2" s="4">
        <v>8.0</v>
      </c>
    </row>
    <row r="3" ht="23.25" customHeight="1">
      <c r="A3" s="3">
        <v>45993.0</v>
      </c>
      <c r="B3" s="4" t="s">
        <v>9</v>
      </c>
      <c r="C3" s="4">
        <v>8.0</v>
      </c>
      <c r="D3" s="4">
        <v>8.0</v>
      </c>
      <c r="E3" s="4">
        <v>8.0</v>
      </c>
      <c r="F3" s="4">
        <v>8.0</v>
      </c>
      <c r="G3" s="4">
        <v>6.0</v>
      </c>
      <c r="H3" s="4">
        <v>8.0</v>
      </c>
      <c r="I3" s="4">
        <v>8.0</v>
      </c>
      <c r="J3" s="4">
        <v>8.0</v>
      </c>
      <c r="K3" s="4">
        <v>8.0</v>
      </c>
      <c r="L3" s="4">
        <v>8.0</v>
      </c>
      <c r="M3" s="4"/>
      <c r="N3" s="4"/>
      <c r="O3" s="4">
        <v>8.0</v>
      </c>
      <c r="P3" s="4">
        <v>8.0</v>
      </c>
    </row>
    <row r="4" ht="23.25" customHeight="1">
      <c r="A4" s="3">
        <v>45994.0</v>
      </c>
      <c r="B4" s="4" t="s">
        <v>9</v>
      </c>
      <c r="C4" s="4">
        <v>8.0</v>
      </c>
      <c r="D4" s="4">
        <v>8.0</v>
      </c>
      <c r="E4" s="4">
        <v>8.0</v>
      </c>
      <c r="F4" s="4">
        <v>8.0</v>
      </c>
      <c r="G4" s="4" t="s">
        <v>9</v>
      </c>
      <c r="H4" s="4">
        <v>8.0</v>
      </c>
      <c r="I4" s="4">
        <v>8.0</v>
      </c>
      <c r="J4" s="4">
        <v>8.0</v>
      </c>
      <c r="K4" s="4">
        <v>8.0</v>
      </c>
      <c r="L4" s="4">
        <v>9.0</v>
      </c>
      <c r="M4" s="4"/>
      <c r="N4" s="4"/>
      <c r="O4" s="4">
        <v>8.0</v>
      </c>
      <c r="P4" s="4">
        <v>8.0</v>
      </c>
    </row>
    <row r="5" ht="23.25" customHeight="1">
      <c r="A5" s="3">
        <v>45995.0</v>
      </c>
      <c r="B5" s="4">
        <v>8.0</v>
      </c>
      <c r="C5" s="4">
        <v>8.0</v>
      </c>
      <c r="D5" s="4">
        <v>8.0</v>
      </c>
      <c r="E5" s="4">
        <v>8.0</v>
      </c>
      <c r="F5" s="4">
        <v>8.0</v>
      </c>
      <c r="G5" s="4" t="s">
        <v>9</v>
      </c>
      <c r="H5" s="4">
        <v>8.0</v>
      </c>
      <c r="I5" s="4">
        <v>8.0</v>
      </c>
      <c r="J5" s="4">
        <v>8.0</v>
      </c>
      <c r="K5" s="4">
        <v>8.0</v>
      </c>
      <c r="L5" s="4">
        <v>8.0</v>
      </c>
      <c r="M5" s="4"/>
      <c r="N5" s="4"/>
      <c r="O5" s="4">
        <v>8.0</v>
      </c>
      <c r="P5" s="4">
        <v>8.0</v>
      </c>
    </row>
    <row r="6" ht="23.25" customHeight="1">
      <c r="A6" s="3">
        <v>45996.0</v>
      </c>
      <c r="B6" s="4">
        <v>8.0</v>
      </c>
      <c r="C6" s="4">
        <v>8.0</v>
      </c>
      <c r="D6" s="4">
        <v>8.0</v>
      </c>
      <c r="E6" s="4">
        <v>8.0</v>
      </c>
      <c r="F6" s="4" t="s">
        <v>0</v>
      </c>
      <c r="G6" s="4" t="s">
        <v>9</v>
      </c>
      <c r="H6" s="4">
        <v>8.0</v>
      </c>
      <c r="I6" s="4">
        <v>8.0</v>
      </c>
      <c r="J6" s="4">
        <v>8.0</v>
      </c>
      <c r="K6" s="4">
        <v>8.0</v>
      </c>
      <c r="L6" s="4">
        <v>9.0</v>
      </c>
      <c r="M6" s="4"/>
      <c r="N6" s="4"/>
      <c r="O6" s="4">
        <v>8.0</v>
      </c>
      <c r="P6" s="4">
        <v>8.0</v>
      </c>
    </row>
    <row r="7" ht="23.25" customHeight="1">
      <c r="A7" s="3">
        <v>45997.0</v>
      </c>
      <c r="B7" s="4"/>
      <c r="C7" s="4"/>
      <c r="D7" s="4">
        <v>8.0</v>
      </c>
      <c r="E7" s="4">
        <v>8.0</v>
      </c>
      <c r="F7" s="4" t="s">
        <v>0</v>
      </c>
      <c r="G7" s="4" t="s">
        <v>9</v>
      </c>
      <c r="H7" s="4" t="s">
        <v>9</v>
      </c>
      <c r="I7" s="4">
        <v>9.0</v>
      </c>
      <c r="J7" s="4"/>
      <c r="K7" s="4"/>
      <c r="L7" s="4"/>
      <c r="M7" s="4"/>
      <c r="N7" s="4"/>
      <c r="O7" s="4"/>
      <c r="P7" s="4"/>
    </row>
    <row r="8" ht="23.25" customHeight="1">
      <c r="A8" s="3">
        <v>45998.0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23.25" customHeight="1">
      <c r="A9" s="3">
        <v>45999.0</v>
      </c>
      <c r="B9" s="4" t="s">
        <v>11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  <c r="I9" s="4" t="s">
        <v>11</v>
      </c>
      <c r="J9" s="4" t="s">
        <v>11</v>
      </c>
      <c r="K9" s="4" t="s">
        <v>11</v>
      </c>
      <c r="L9" s="4" t="s">
        <v>11</v>
      </c>
      <c r="M9" s="4"/>
      <c r="N9" s="4"/>
      <c r="O9" s="4" t="s">
        <v>11</v>
      </c>
      <c r="P9" s="4" t="s">
        <v>11</v>
      </c>
    </row>
    <row r="10" ht="23.25" customHeight="1">
      <c r="A10" s="3">
        <v>46000.0</v>
      </c>
      <c r="B10" s="4">
        <v>8.0</v>
      </c>
      <c r="C10" s="4">
        <v>8.0</v>
      </c>
      <c r="D10" s="4">
        <v>8.0</v>
      </c>
      <c r="E10" s="4">
        <v>8.0</v>
      </c>
      <c r="F10" s="4">
        <v>8.0</v>
      </c>
      <c r="G10" s="4">
        <v>8.0</v>
      </c>
      <c r="H10" s="4">
        <v>8.0</v>
      </c>
      <c r="I10" s="4" t="s">
        <v>9</v>
      </c>
      <c r="J10" s="4">
        <v>8.0</v>
      </c>
      <c r="K10" s="4">
        <v>8.0</v>
      </c>
      <c r="L10" s="4">
        <v>8.0</v>
      </c>
      <c r="M10" s="4"/>
      <c r="N10" s="4"/>
      <c r="O10" s="4">
        <v>8.0</v>
      </c>
      <c r="P10" s="4">
        <v>8.0</v>
      </c>
    </row>
    <row r="11" ht="23.25" customHeight="1">
      <c r="A11" s="3">
        <v>46001.0</v>
      </c>
      <c r="B11" s="4">
        <v>8.0</v>
      </c>
      <c r="C11" s="4">
        <v>8.0</v>
      </c>
      <c r="D11" s="4">
        <v>8.0</v>
      </c>
      <c r="E11" s="4">
        <v>8.0</v>
      </c>
      <c r="F11" s="4">
        <v>8.0</v>
      </c>
      <c r="G11" s="4">
        <v>8.0</v>
      </c>
      <c r="H11" s="4">
        <v>8.0</v>
      </c>
      <c r="I11" s="4">
        <v>8.0</v>
      </c>
      <c r="J11" s="4">
        <v>8.0</v>
      </c>
      <c r="K11" s="4">
        <v>8.0</v>
      </c>
      <c r="L11" s="4">
        <v>9.0</v>
      </c>
      <c r="M11" s="4"/>
      <c r="N11" s="4"/>
      <c r="O11" s="4">
        <v>8.0</v>
      </c>
      <c r="P11" s="4">
        <v>8.0</v>
      </c>
    </row>
    <row r="12" ht="23.25" customHeight="1">
      <c r="A12" s="3">
        <v>46002.0</v>
      </c>
      <c r="B12" s="4">
        <v>8.0</v>
      </c>
      <c r="C12" s="4">
        <v>8.0</v>
      </c>
      <c r="D12" s="4">
        <v>8.0</v>
      </c>
      <c r="E12" s="4">
        <v>8.0</v>
      </c>
      <c r="F12" s="4">
        <v>8.0</v>
      </c>
      <c r="G12" s="4" t="s">
        <v>9</v>
      </c>
      <c r="H12" s="4">
        <v>8.0</v>
      </c>
      <c r="I12" s="4">
        <v>8.0</v>
      </c>
      <c r="J12" s="4">
        <v>8.0</v>
      </c>
      <c r="K12" s="4">
        <v>8.0</v>
      </c>
      <c r="L12" s="4">
        <v>8.0</v>
      </c>
      <c r="M12" s="4"/>
      <c r="N12" s="4"/>
      <c r="O12" s="4">
        <v>8.0</v>
      </c>
      <c r="P12" s="4">
        <v>8.0</v>
      </c>
    </row>
    <row r="13" ht="23.25" customHeight="1">
      <c r="A13" s="3">
        <v>46003.0</v>
      </c>
      <c r="B13" s="4">
        <v>8.0</v>
      </c>
      <c r="C13" s="4">
        <v>8.0</v>
      </c>
      <c r="D13" s="4" t="s">
        <v>9</v>
      </c>
      <c r="E13" s="4">
        <v>8.0</v>
      </c>
      <c r="F13" s="4">
        <v>8.0</v>
      </c>
      <c r="G13" s="4" t="s">
        <v>9</v>
      </c>
      <c r="H13" s="4">
        <v>8.0</v>
      </c>
      <c r="I13" s="4">
        <v>8.0</v>
      </c>
      <c r="J13" s="4" t="s">
        <v>9</v>
      </c>
      <c r="K13" s="4">
        <v>8.0</v>
      </c>
      <c r="L13" s="4">
        <v>9.0</v>
      </c>
      <c r="M13" s="4"/>
      <c r="N13" s="4"/>
      <c r="O13" s="4">
        <v>8.0</v>
      </c>
      <c r="P13" s="4">
        <v>8.0</v>
      </c>
    </row>
    <row r="14" ht="23.25" customHeight="1">
      <c r="A14" s="3">
        <v>46004.0</v>
      </c>
      <c r="B14" s="4">
        <v>8.0</v>
      </c>
      <c r="C14" s="4"/>
      <c r="D14" s="4" t="s">
        <v>9</v>
      </c>
      <c r="E14" s="4">
        <v>8.0</v>
      </c>
      <c r="F14" s="4">
        <v>8.0</v>
      </c>
      <c r="G14" s="4" t="s">
        <v>9</v>
      </c>
      <c r="H14" s="4">
        <v>8.0</v>
      </c>
      <c r="I14" s="4">
        <v>5.0</v>
      </c>
      <c r="J14" s="4"/>
      <c r="K14" s="4"/>
      <c r="L14" s="4"/>
      <c r="M14" s="4"/>
      <c r="N14" s="4"/>
      <c r="O14" s="4"/>
      <c r="P14" s="4"/>
    </row>
    <row r="15" ht="23.25" customHeight="1">
      <c r="A15" s="3">
        <v>46005.0</v>
      </c>
      <c r="B15" s="4"/>
      <c r="C15" s="4"/>
      <c r="D15" s="4" t="s">
        <v>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3.25" customHeight="1">
      <c r="A16" s="3">
        <v>46006.0</v>
      </c>
      <c r="B16" s="4">
        <v>8.0</v>
      </c>
      <c r="C16" s="4">
        <v>8.0</v>
      </c>
      <c r="D16" s="4" t="s">
        <v>9</v>
      </c>
      <c r="E16" s="4">
        <v>8.0</v>
      </c>
      <c r="F16" s="4">
        <v>8.0</v>
      </c>
      <c r="G16" s="4">
        <v>8.0</v>
      </c>
      <c r="H16" s="4">
        <v>6.0</v>
      </c>
      <c r="I16" s="4">
        <v>8.0</v>
      </c>
      <c r="J16" s="4">
        <v>8.0</v>
      </c>
      <c r="K16" s="4">
        <v>8.0</v>
      </c>
      <c r="L16" s="4">
        <v>8.0</v>
      </c>
      <c r="M16" s="4"/>
      <c r="N16" s="4"/>
      <c r="O16" s="4">
        <v>8.0</v>
      </c>
      <c r="P16" s="4">
        <v>8.0</v>
      </c>
    </row>
    <row r="17" ht="23.25" customHeight="1">
      <c r="A17" s="3">
        <v>46007.0</v>
      </c>
      <c r="B17" s="4">
        <v>8.0</v>
      </c>
      <c r="C17" s="4">
        <v>8.0</v>
      </c>
      <c r="D17" s="4" t="s">
        <v>9</v>
      </c>
      <c r="E17" s="4">
        <v>8.0</v>
      </c>
      <c r="F17" s="4">
        <v>8.0</v>
      </c>
      <c r="G17" s="4">
        <v>6.0</v>
      </c>
      <c r="H17" s="4">
        <v>8.0</v>
      </c>
      <c r="I17" s="4">
        <v>8.0</v>
      </c>
      <c r="J17" s="4">
        <v>8.0</v>
      </c>
      <c r="K17" s="4">
        <v>8.0</v>
      </c>
      <c r="L17" s="4">
        <v>8.0</v>
      </c>
      <c r="M17" s="4"/>
      <c r="N17" s="4"/>
      <c r="O17" s="4">
        <v>8.0</v>
      </c>
      <c r="P17" s="4">
        <v>8.0</v>
      </c>
    </row>
    <row r="18" ht="23.25" customHeight="1">
      <c r="A18" s="3">
        <v>46008.0</v>
      </c>
      <c r="B18" s="4">
        <v>8.0</v>
      </c>
      <c r="C18" s="4">
        <v>8.0</v>
      </c>
      <c r="D18" s="4" t="s">
        <v>9</v>
      </c>
      <c r="E18" s="4">
        <v>8.0</v>
      </c>
      <c r="F18" s="4">
        <v>8.0</v>
      </c>
      <c r="G18" s="4">
        <v>7.5</v>
      </c>
      <c r="H18" s="4">
        <v>8.0</v>
      </c>
      <c r="I18" s="4">
        <v>8.0</v>
      </c>
      <c r="J18" s="4">
        <v>8.0</v>
      </c>
      <c r="K18" s="4">
        <v>8.0</v>
      </c>
      <c r="L18" s="4">
        <v>9.0</v>
      </c>
      <c r="M18" s="4"/>
      <c r="N18" s="4"/>
      <c r="O18" s="4">
        <v>8.0</v>
      </c>
      <c r="P18" s="4">
        <v>8.0</v>
      </c>
    </row>
    <row r="19" ht="23.25" customHeight="1">
      <c r="A19" s="3">
        <v>46009.0</v>
      </c>
      <c r="B19" s="4">
        <v>8.0</v>
      </c>
      <c r="C19" s="4">
        <v>8.0</v>
      </c>
      <c r="D19" s="4" t="s">
        <v>9</v>
      </c>
      <c r="E19" s="4">
        <v>8.0</v>
      </c>
      <c r="F19" s="4">
        <v>8.0</v>
      </c>
      <c r="G19" s="4">
        <v>8.0</v>
      </c>
      <c r="H19" s="4">
        <v>7.5</v>
      </c>
      <c r="I19" s="4">
        <v>8.0</v>
      </c>
      <c r="J19" s="4">
        <v>8.0</v>
      </c>
      <c r="K19" s="4">
        <v>8.0</v>
      </c>
      <c r="L19" s="4">
        <v>8.0</v>
      </c>
      <c r="M19" s="4"/>
      <c r="N19" s="4"/>
      <c r="O19" s="4">
        <v>8.0</v>
      </c>
      <c r="P19" s="4">
        <v>8.0</v>
      </c>
    </row>
    <row r="20" ht="23.25" customHeight="1">
      <c r="A20" s="3">
        <v>46010.0</v>
      </c>
      <c r="B20" s="4">
        <v>8.0</v>
      </c>
      <c r="C20" s="4">
        <v>8.0</v>
      </c>
      <c r="D20" s="4" t="s">
        <v>9</v>
      </c>
      <c r="E20" s="4" t="s">
        <v>9</v>
      </c>
      <c r="F20" s="4">
        <v>8.0</v>
      </c>
      <c r="G20" s="4" t="s">
        <v>9</v>
      </c>
      <c r="H20" s="4">
        <v>8.0</v>
      </c>
      <c r="I20" s="4">
        <v>8.0</v>
      </c>
      <c r="J20" s="4">
        <v>8.0</v>
      </c>
      <c r="K20" s="4">
        <v>8.0</v>
      </c>
      <c r="L20" s="4">
        <v>9.0</v>
      </c>
      <c r="M20" s="4"/>
      <c r="N20" s="4"/>
      <c r="O20" s="4">
        <v>8.0</v>
      </c>
      <c r="P20" s="4">
        <v>8.0</v>
      </c>
    </row>
    <row r="21" ht="23.25" customHeight="1">
      <c r="A21" s="3">
        <v>46011.0</v>
      </c>
      <c r="B21" s="4">
        <v>8.0</v>
      </c>
      <c r="C21" s="4"/>
      <c r="D21" s="4" t="s">
        <v>9</v>
      </c>
      <c r="E21" s="4">
        <v>8.0</v>
      </c>
      <c r="F21" s="4">
        <v>8.0</v>
      </c>
      <c r="G21" s="4" t="s">
        <v>9</v>
      </c>
      <c r="H21" s="4">
        <v>4.0</v>
      </c>
      <c r="I21" s="4">
        <v>8.0</v>
      </c>
      <c r="J21" s="4"/>
      <c r="K21" s="4"/>
      <c r="L21" s="4"/>
      <c r="M21" s="4"/>
      <c r="N21" s="4"/>
      <c r="O21" s="4"/>
      <c r="P21" s="4"/>
    </row>
    <row r="22" ht="23.25" customHeight="1">
      <c r="A22" s="3">
        <v>46012.0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23.25" customHeight="1">
      <c r="A23" s="3">
        <v>46013.0</v>
      </c>
      <c r="B23" s="4">
        <v>8.0</v>
      </c>
      <c r="C23" s="4">
        <v>8.0</v>
      </c>
      <c r="D23" s="4" t="s">
        <v>9</v>
      </c>
      <c r="E23" s="4">
        <v>8.0</v>
      </c>
      <c r="F23" s="4">
        <v>8.0</v>
      </c>
      <c r="G23" s="4">
        <v>8.0</v>
      </c>
      <c r="H23" s="4">
        <v>8.0</v>
      </c>
      <c r="I23" s="4">
        <v>8.0</v>
      </c>
      <c r="J23" s="4">
        <v>8.0</v>
      </c>
      <c r="K23" s="4">
        <v>8.0</v>
      </c>
      <c r="L23" s="4">
        <v>8.0</v>
      </c>
      <c r="M23" s="4"/>
      <c r="N23" s="4"/>
      <c r="O23" s="4">
        <v>8.0</v>
      </c>
      <c r="P23" s="4">
        <v>8.0</v>
      </c>
    </row>
    <row r="24" ht="23.25" customHeight="1">
      <c r="A24" s="3">
        <v>46014.0</v>
      </c>
      <c r="B24" s="4">
        <v>8.0</v>
      </c>
      <c r="C24" s="4">
        <v>8.0</v>
      </c>
      <c r="D24" s="4" t="s">
        <v>9</v>
      </c>
      <c r="E24" s="4">
        <v>8.0</v>
      </c>
      <c r="F24" s="4">
        <v>8.0</v>
      </c>
      <c r="G24" s="4">
        <v>8.0</v>
      </c>
      <c r="H24" s="4">
        <v>8.0</v>
      </c>
      <c r="I24" s="4">
        <v>8.0</v>
      </c>
      <c r="J24" s="4">
        <v>8.0</v>
      </c>
      <c r="K24" s="4">
        <v>8.0</v>
      </c>
      <c r="L24" s="4">
        <v>8.0</v>
      </c>
      <c r="M24" s="4"/>
      <c r="N24" s="4"/>
      <c r="O24" s="4">
        <v>8.0</v>
      </c>
      <c r="P24" s="4">
        <v>8.0</v>
      </c>
    </row>
    <row r="25" ht="23.25" customHeight="1">
      <c r="A25" s="3">
        <v>46015.0</v>
      </c>
      <c r="B25" s="4" t="s">
        <v>12</v>
      </c>
      <c r="C25" s="4" t="s">
        <v>12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  <c r="M25" s="4"/>
      <c r="N25" s="4"/>
      <c r="O25" s="4">
        <v>8.0</v>
      </c>
      <c r="P25" s="4">
        <v>8.0</v>
      </c>
    </row>
    <row r="26" ht="23.25" customHeight="1">
      <c r="A26" s="3">
        <v>46016.0</v>
      </c>
      <c r="B26" s="4" t="s">
        <v>11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  <c r="L26" s="4" t="s">
        <v>11</v>
      </c>
      <c r="M26" s="4"/>
      <c r="N26" s="4"/>
      <c r="O26" s="4" t="s">
        <v>11</v>
      </c>
      <c r="P26" s="4" t="s">
        <v>11</v>
      </c>
    </row>
    <row r="27" ht="23.25" customHeight="1">
      <c r="A27" s="3">
        <v>46017.0</v>
      </c>
      <c r="B27" s="4" t="s">
        <v>11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  <c r="L27" s="4" t="s">
        <v>11</v>
      </c>
      <c r="M27" s="4"/>
      <c r="N27" s="4"/>
      <c r="O27" s="4" t="s">
        <v>11</v>
      </c>
      <c r="P27" s="4" t="s">
        <v>11</v>
      </c>
    </row>
    <row r="28" ht="23.25" customHeight="1">
      <c r="A28" s="3">
        <v>46018.0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23.25" customHeight="1">
      <c r="A29" s="3">
        <v>46019.0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23.25" customHeight="1">
      <c r="A30" s="3">
        <v>46020.0</v>
      </c>
      <c r="B30" s="4">
        <v>8.0</v>
      </c>
      <c r="C30" s="4">
        <v>8.0</v>
      </c>
      <c r="D30" s="4" t="s">
        <v>9</v>
      </c>
      <c r="E30" s="4">
        <v>8.0</v>
      </c>
      <c r="F30" s="4">
        <v>8.0</v>
      </c>
      <c r="G30" s="4">
        <v>8.0</v>
      </c>
      <c r="H30" s="4">
        <v>8.0</v>
      </c>
      <c r="I30" s="4">
        <v>8.0</v>
      </c>
      <c r="J30" s="4" t="s">
        <v>9</v>
      </c>
      <c r="K30" s="4">
        <v>8.0</v>
      </c>
      <c r="L30" s="4">
        <v>8.0</v>
      </c>
      <c r="M30" s="4"/>
      <c r="N30" s="4"/>
      <c r="O30" s="4">
        <v>8.0</v>
      </c>
      <c r="P30" s="4">
        <v>8.0</v>
      </c>
    </row>
    <row r="31" ht="23.25" customHeight="1">
      <c r="A31" s="3">
        <v>46021.0</v>
      </c>
      <c r="B31" s="4">
        <v>8.0</v>
      </c>
      <c r="C31" s="4">
        <v>8.0</v>
      </c>
      <c r="D31" s="4" t="s">
        <v>9</v>
      </c>
      <c r="E31" s="4">
        <v>8.0</v>
      </c>
      <c r="F31" s="4">
        <v>8.0</v>
      </c>
      <c r="G31" s="4">
        <v>8.0</v>
      </c>
      <c r="H31" s="4">
        <v>8.0</v>
      </c>
      <c r="I31" s="4">
        <v>8.0</v>
      </c>
      <c r="J31" s="4" t="s">
        <v>9</v>
      </c>
      <c r="K31" s="4">
        <v>8.0</v>
      </c>
      <c r="L31" s="4">
        <v>8.0</v>
      </c>
      <c r="M31" s="4"/>
      <c r="N31" s="4"/>
      <c r="O31" s="4">
        <v>8.0</v>
      </c>
      <c r="P31" s="4">
        <v>8.0</v>
      </c>
    </row>
    <row r="32" ht="23.25" customHeight="1">
      <c r="A32" s="5">
        <v>46022.0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23.25" customHeight="1">
      <c r="A33" s="7" t="s">
        <v>2</v>
      </c>
      <c r="B33" s="8">
        <f t="shared" ref="B33:P33" si="1">SUM(B2:B32)</f>
        <v>144</v>
      </c>
      <c r="C33" s="8">
        <f t="shared" si="1"/>
        <v>144</v>
      </c>
      <c r="D33" s="8">
        <f t="shared" si="1"/>
        <v>72</v>
      </c>
      <c r="E33" s="8">
        <f t="shared" si="1"/>
        <v>160</v>
      </c>
      <c r="F33" s="8">
        <f t="shared" si="1"/>
        <v>152</v>
      </c>
      <c r="G33" s="8">
        <f t="shared" si="1"/>
        <v>91.5</v>
      </c>
      <c r="H33" s="8">
        <f t="shared" si="1"/>
        <v>153.5</v>
      </c>
      <c r="I33" s="8">
        <f t="shared" si="1"/>
        <v>158</v>
      </c>
      <c r="J33" s="8">
        <f t="shared" si="1"/>
        <v>120</v>
      </c>
      <c r="K33" s="8">
        <f t="shared" si="1"/>
        <v>144</v>
      </c>
      <c r="L33" s="8">
        <f t="shared" si="1"/>
        <v>150</v>
      </c>
      <c r="M33" s="8">
        <f t="shared" si="1"/>
        <v>0</v>
      </c>
      <c r="N33" s="8">
        <f t="shared" si="1"/>
        <v>0</v>
      </c>
      <c r="O33" s="8">
        <f t="shared" si="1"/>
        <v>152</v>
      </c>
      <c r="P33" s="8">
        <f t="shared" si="1"/>
        <v>152</v>
      </c>
    </row>
    <row r="34" ht="32.25" customHeight="1">
      <c r="A34" s="9" t="s">
        <v>3</v>
      </c>
      <c r="B34" s="10">
        <v>144.0</v>
      </c>
      <c r="C34" s="10">
        <v>144.0</v>
      </c>
      <c r="D34" s="10">
        <v>144.0</v>
      </c>
      <c r="E34" s="10">
        <v>144.0</v>
      </c>
      <c r="F34" s="10">
        <v>144.0</v>
      </c>
      <c r="G34" s="10">
        <v>144.0</v>
      </c>
      <c r="H34" s="10">
        <v>144.0</v>
      </c>
      <c r="I34" s="10">
        <v>144.0</v>
      </c>
      <c r="J34" s="10">
        <v>144.0</v>
      </c>
      <c r="K34" s="10">
        <v>144.0</v>
      </c>
      <c r="L34" s="10">
        <v>144.0</v>
      </c>
      <c r="M34" s="10"/>
      <c r="N34" s="10"/>
      <c r="O34" s="10">
        <v>144.0</v>
      </c>
      <c r="P34" s="10">
        <v>144.0</v>
      </c>
    </row>
    <row r="35" ht="32.25" customHeight="1">
      <c r="A35" s="11" t="s">
        <v>4</v>
      </c>
      <c r="B35" s="12">
        <f t="shared" ref="B35:P35" si="2">B33-B34</f>
        <v>0</v>
      </c>
      <c r="C35" s="12">
        <f t="shared" si="2"/>
        <v>0</v>
      </c>
      <c r="D35" s="12">
        <f t="shared" si="2"/>
        <v>-72</v>
      </c>
      <c r="E35" s="12">
        <f t="shared" si="2"/>
        <v>16</v>
      </c>
      <c r="F35" s="12">
        <f t="shared" si="2"/>
        <v>8</v>
      </c>
      <c r="G35" s="12">
        <f t="shared" si="2"/>
        <v>-52.5</v>
      </c>
      <c r="H35" s="12">
        <f t="shared" si="2"/>
        <v>9.5</v>
      </c>
      <c r="I35" s="12">
        <f t="shared" si="2"/>
        <v>14</v>
      </c>
      <c r="J35" s="12">
        <f t="shared" si="2"/>
        <v>-24</v>
      </c>
      <c r="K35" s="12">
        <f t="shared" si="2"/>
        <v>0</v>
      </c>
      <c r="L35" s="12">
        <f t="shared" si="2"/>
        <v>6</v>
      </c>
      <c r="M35" s="12">
        <f t="shared" si="2"/>
        <v>0</v>
      </c>
      <c r="N35" s="12">
        <f t="shared" si="2"/>
        <v>0</v>
      </c>
      <c r="O35" s="12">
        <f t="shared" si="2"/>
        <v>8</v>
      </c>
      <c r="P35" s="12">
        <f t="shared" si="2"/>
        <v>8</v>
      </c>
    </row>
    <row r="36" ht="32.25" customHeight="1">
      <c r="A36" s="13" t="s">
        <v>5</v>
      </c>
      <c r="B36" s="15">
        <v>1700.0</v>
      </c>
      <c r="C36" s="15">
        <v>1700.0</v>
      </c>
      <c r="D36" s="15">
        <v>781.0</v>
      </c>
      <c r="E36" s="15">
        <v>1650.0</v>
      </c>
      <c r="F36" s="15">
        <v>1700.0</v>
      </c>
      <c r="G36" s="15">
        <v>2000.0</v>
      </c>
      <c r="H36" s="15">
        <v>1200.0</v>
      </c>
      <c r="I36" s="15">
        <v>1200.0</v>
      </c>
      <c r="J36" s="15">
        <v>1600.0</v>
      </c>
      <c r="K36" s="15">
        <v>2500.0</v>
      </c>
      <c r="L36" s="15">
        <v>1600.0</v>
      </c>
      <c r="M36" s="15"/>
      <c r="N36" s="15"/>
      <c r="O36" s="14"/>
      <c r="P36" s="14"/>
    </row>
    <row r="37" ht="32.25" customHeight="1">
      <c r="A37" s="13" t="s">
        <v>6</v>
      </c>
      <c r="B37" s="15">
        <v>104.0</v>
      </c>
      <c r="C37" s="15">
        <v>104.0</v>
      </c>
      <c r="D37" s="15">
        <v>104.0</v>
      </c>
      <c r="E37" s="15">
        <v>104.0</v>
      </c>
      <c r="F37" s="15">
        <v>104.0</v>
      </c>
      <c r="G37" s="15">
        <v>104.0</v>
      </c>
      <c r="H37" s="15">
        <v>104.0</v>
      </c>
      <c r="I37" s="15">
        <v>104.0</v>
      </c>
      <c r="J37" s="15">
        <v>104.0</v>
      </c>
      <c r="K37" s="15">
        <v>104.0</v>
      </c>
      <c r="L37" s="15"/>
      <c r="M37" s="15"/>
      <c r="N37" s="15"/>
      <c r="O37" s="15">
        <v>104.0</v>
      </c>
      <c r="P37" s="15"/>
    </row>
    <row r="38" ht="45.75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45.75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23">
        <v>46023.0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46023.0</v>
      </c>
      <c r="B2" s="4" t="s">
        <v>11</v>
      </c>
      <c r="C2" s="4" t="s">
        <v>11</v>
      </c>
      <c r="D2" s="4" t="s">
        <v>9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  <c r="L2" s="4" t="s">
        <v>11</v>
      </c>
      <c r="M2" s="4"/>
      <c r="N2" s="4"/>
      <c r="O2" s="4" t="s">
        <v>11</v>
      </c>
      <c r="P2" s="4" t="s">
        <v>11</v>
      </c>
    </row>
    <row r="3" ht="23.25" customHeight="1">
      <c r="A3" s="3">
        <v>46024.0</v>
      </c>
      <c r="B3" s="4" t="s">
        <v>13</v>
      </c>
      <c r="C3" s="4" t="s">
        <v>13</v>
      </c>
      <c r="D3" s="4" t="s">
        <v>9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4"/>
      <c r="N3" s="4"/>
      <c r="O3" s="4" t="s">
        <v>13</v>
      </c>
      <c r="P3" s="4" t="s">
        <v>13</v>
      </c>
    </row>
    <row r="4" ht="23.25" customHeight="1">
      <c r="A4" s="3">
        <v>46025.0</v>
      </c>
      <c r="B4" s="4"/>
      <c r="C4" s="4"/>
      <c r="D4" s="4" t="s">
        <v>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3.25" customHeight="1">
      <c r="A5" s="3">
        <v>46026.0</v>
      </c>
      <c r="B5" s="4"/>
      <c r="C5" s="4"/>
      <c r="D5" s="4" t="s">
        <v>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3.25" customHeight="1">
      <c r="A6" s="3">
        <v>46027.0</v>
      </c>
      <c r="B6" s="4" t="s">
        <v>13</v>
      </c>
      <c r="C6" s="4" t="s">
        <v>13</v>
      </c>
      <c r="D6" s="4" t="s">
        <v>9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  <c r="M6" s="4"/>
      <c r="N6" s="4"/>
      <c r="O6" s="4" t="s">
        <v>13</v>
      </c>
      <c r="P6" s="4" t="s">
        <v>13</v>
      </c>
    </row>
    <row r="7" ht="23.25" customHeight="1">
      <c r="A7" s="3">
        <v>46028.0</v>
      </c>
      <c r="B7" s="4" t="s">
        <v>11</v>
      </c>
      <c r="C7" s="4" t="s">
        <v>11</v>
      </c>
      <c r="D7" s="4" t="s">
        <v>9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11</v>
      </c>
      <c r="M7" s="4"/>
      <c r="N7" s="4"/>
      <c r="O7" s="4" t="s">
        <v>11</v>
      </c>
      <c r="P7" s="4" t="s">
        <v>11</v>
      </c>
    </row>
    <row r="8" ht="23.25" customHeight="1">
      <c r="A8" s="3">
        <v>46029.0</v>
      </c>
      <c r="B8" s="4">
        <v>8.0</v>
      </c>
      <c r="C8" s="4">
        <v>8.0</v>
      </c>
      <c r="D8" s="4" t="s">
        <v>9</v>
      </c>
      <c r="E8" s="4">
        <v>8.0</v>
      </c>
      <c r="F8" s="4">
        <v>8.0</v>
      </c>
      <c r="G8" s="4">
        <v>8.0</v>
      </c>
      <c r="H8" s="4">
        <v>8.0</v>
      </c>
      <c r="I8" s="4">
        <v>8.0</v>
      </c>
      <c r="J8" s="4" t="s">
        <v>9</v>
      </c>
      <c r="K8" s="4">
        <v>8.0</v>
      </c>
      <c r="L8" s="4">
        <v>9.0</v>
      </c>
      <c r="M8" s="4">
        <v>8.0</v>
      </c>
      <c r="N8" s="4"/>
      <c r="O8" s="4">
        <v>8.0</v>
      </c>
      <c r="P8" s="4">
        <v>8.0</v>
      </c>
    </row>
    <row r="9" ht="23.25" customHeight="1">
      <c r="A9" s="3">
        <v>46030.0</v>
      </c>
      <c r="B9" s="4">
        <v>8.0</v>
      </c>
      <c r="C9" s="4">
        <v>6.0</v>
      </c>
      <c r="D9" s="4" t="s">
        <v>9</v>
      </c>
      <c r="E9" s="4">
        <v>8.0</v>
      </c>
      <c r="F9" s="4">
        <v>8.0</v>
      </c>
      <c r="G9" s="4">
        <v>8.0</v>
      </c>
      <c r="H9" s="4">
        <v>8.0</v>
      </c>
      <c r="I9" s="4">
        <v>8.0</v>
      </c>
      <c r="J9" s="4">
        <v>8.0</v>
      </c>
      <c r="K9" s="4">
        <v>8.0</v>
      </c>
      <c r="L9" s="4">
        <v>8.0</v>
      </c>
      <c r="M9" s="4">
        <v>8.0</v>
      </c>
      <c r="N9" s="4"/>
      <c r="O9" s="4">
        <v>8.0</v>
      </c>
      <c r="P9" s="4">
        <v>8.0</v>
      </c>
    </row>
    <row r="10" ht="23.25" customHeight="1">
      <c r="A10" s="3">
        <v>46031.0</v>
      </c>
      <c r="B10" s="4">
        <v>8.0</v>
      </c>
      <c r="C10" s="4">
        <v>7.0</v>
      </c>
      <c r="D10" s="4">
        <v>8.0</v>
      </c>
      <c r="E10" s="4">
        <v>8.0</v>
      </c>
      <c r="F10" s="4">
        <v>8.0</v>
      </c>
      <c r="G10" s="4">
        <v>8.0</v>
      </c>
      <c r="H10" s="4">
        <v>8.0</v>
      </c>
      <c r="I10" s="4">
        <v>8.0</v>
      </c>
      <c r="J10" s="4">
        <v>5.5</v>
      </c>
      <c r="K10" s="4">
        <v>8.0</v>
      </c>
      <c r="L10" s="4">
        <v>9.0</v>
      </c>
      <c r="M10" s="4">
        <v>8.0</v>
      </c>
      <c r="N10" s="4"/>
      <c r="O10" s="4">
        <v>8.0</v>
      </c>
      <c r="P10" s="4">
        <v>8.0</v>
      </c>
    </row>
    <row r="11" ht="23.25" customHeight="1">
      <c r="A11" s="3">
        <v>46032.0</v>
      </c>
      <c r="B11" s="4"/>
      <c r="C11" s="4"/>
      <c r="D11" s="4">
        <v>8.0</v>
      </c>
      <c r="E11" s="4">
        <v>8.0</v>
      </c>
      <c r="F11" s="4">
        <v>8.0</v>
      </c>
      <c r="G11" s="4">
        <v>8.0</v>
      </c>
      <c r="H11" s="4">
        <v>8.0</v>
      </c>
      <c r="I11" s="4"/>
      <c r="J11" s="4"/>
      <c r="K11" s="4"/>
      <c r="L11" s="4"/>
      <c r="M11" s="4">
        <v>4.0</v>
      </c>
      <c r="N11" s="4"/>
      <c r="O11" s="4"/>
      <c r="P11" s="4"/>
    </row>
    <row r="12" ht="23.25" customHeight="1">
      <c r="A12" s="3">
        <v>46033.0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3.25" customHeight="1">
      <c r="A13" s="3">
        <v>46034.0</v>
      </c>
      <c r="B13" s="4">
        <v>5.0</v>
      </c>
      <c r="C13" s="4">
        <v>8.0</v>
      </c>
      <c r="D13" s="4">
        <v>8.0</v>
      </c>
      <c r="E13" s="4">
        <v>8.0</v>
      </c>
      <c r="F13" s="4">
        <v>8.0</v>
      </c>
      <c r="G13" s="4">
        <v>8.0</v>
      </c>
      <c r="H13" s="4">
        <v>8.0</v>
      </c>
      <c r="I13" s="4">
        <v>8.0</v>
      </c>
      <c r="J13" s="4">
        <v>8.0</v>
      </c>
      <c r="K13" s="4">
        <v>8.0</v>
      </c>
      <c r="L13" s="4">
        <v>8.0</v>
      </c>
      <c r="M13" s="4">
        <v>8.0</v>
      </c>
      <c r="N13" s="4"/>
      <c r="O13" s="4">
        <v>8.0</v>
      </c>
      <c r="P13" s="4">
        <v>8.0</v>
      </c>
    </row>
    <row r="14" ht="23.25" customHeight="1">
      <c r="A14" s="3">
        <v>46035.0</v>
      </c>
      <c r="B14" s="4">
        <v>8.0</v>
      </c>
      <c r="C14" s="4">
        <v>8.0</v>
      </c>
      <c r="D14" s="4">
        <v>8.0</v>
      </c>
      <c r="E14" s="4">
        <v>8.0</v>
      </c>
      <c r="F14" s="4">
        <v>8.0</v>
      </c>
      <c r="G14" s="4">
        <v>6.0</v>
      </c>
      <c r="H14" s="4">
        <v>8.0</v>
      </c>
      <c r="I14" s="4">
        <v>8.0</v>
      </c>
      <c r="J14" s="4">
        <v>8.0</v>
      </c>
      <c r="K14" s="4">
        <v>8.0</v>
      </c>
      <c r="L14" s="4">
        <v>8.0</v>
      </c>
      <c r="M14" s="4">
        <v>8.0</v>
      </c>
      <c r="N14" s="4"/>
      <c r="O14" s="4">
        <v>8.0</v>
      </c>
      <c r="P14" s="4">
        <v>8.0</v>
      </c>
    </row>
    <row r="15" ht="23.25" customHeight="1">
      <c r="A15" s="3">
        <v>46036.0</v>
      </c>
      <c r="B15" s="4">
        <v>6.5</v>
      </c>
      <c r="C15" s="4">
        <v>8.0</v>
      </c>
      <c r="D15" s="4">
        <v>8.0</v>
      </c>
      <c r="E15" s="4">
        <v>8.0</v>
      </c>
      <c r="F15" s="4">
        <v>8.0</v>
      </c>
      <c r="G15" s="4">
        <v>8.0</v>
      </c>
      <c r="H15" s="4">
        <v>8.0</v>
      </c>
      <c r="I15" s="4">
        <v>8.0</v>
      </c>
      <c r="J15" s="4">
        <v>8.0</v>
      </c>
      <c r="K15" s="4">
        <v>8.0</v>
      </c>
      <c r="L15" s="4">
        <v>9.0</v>
      </c>
      <c r="M15" s="4">
        <v>8.0</v>
      </c>
      <c r="N15" s="4"/>
      <c r="O15" s="4">
        <v>8.0</v>
      </c>
      <c r="P15" s="4">
        <v>8.0</v>
      </c>
    </row>
    <row r="16" ht="23.25" customHeight="1">
      <c r="A16" s="3">
        <v>46037.0</v>
      </c>
      <c r="B16" s="4">
        <v>8.0</v>
      </c>
      <c r="C16" s="4">
        <v>8.0</v>
      </c>
      <c r="D16" s="4">
        <v>8.0</v>
      </c>
      <c r="E16" s="4">
        <v>8.0</v>
      </c>
      <c r="F16" s="4">
        <v>8.0</v>
      </c>
      <c r="G16" s="4">
        <v>8.0</v>
      </c>
      <c r="H16" s="4">
        <v>8.0</v>
      </c>
      <c r="I16" s="4">
        <v>8.0</v>
      </c>
      <c r="J16" s="4">
        <v>8.0</v>
      </c>
      <c r="K16" s="4">
        <v>8.0</v>
      </c>
      <c r="L16" s="4">
        <v>8.0</v>
      </c>
      <c r="M16" s="4">
        <v>8.0</v>
      </c>
      <c r="N16" s="4"/>
      <c r="O16" s="4">
        <v>8.0</v>
      </c>
      <c r="P16" s="4">
        <v>8.0</v>
      </c>
    </row>
    <row r="17" ht="23.25" customHeight="1">
      <c r="A17" s="3">
        <v>46038.0</v>
      </c>
      <c r="B17" s="4">
        <v>8.0</v>
      </c>
      <c r="C17" s="4">
        <v>8.0</v>
      </c>
      <c r="D17" s="4">
        <v>8.0</v>
      </c>
      <c r="E17" s="4">
        <v>8.0</v>
      </c>
      <c r="F17" s="4">
        <v>8.0</v>
      </c>
      <c r="G17" s="4">
        <v>8.0</v>
      </c>
      <c r="H17" s="4">
        <v>8.0</v>
      </c>
      <c r="I17" s="4">
        <v>8.0</v>
      </c>
      <c r="J17" s="4">
        <v>8.0</v>
      </c>
      <c r="K17" s="4">
        <v>8.0</v>
      </c>
      <c r="L17" s="4">
        <v>9.0</v>
      </c>
      <c r="M17" s="4">
        <v>8.0</v>
      </c>
      <c r="N17" s="4"/>
      <c r="O17" s="4">
        <v>8.0</v>
      </c>
      <c r="P17" s="4">
        <v>8.0</v>
      </c>
    </row>
    <row r="18" ht="23.25" customHeight="1">
      <c r="A18" s="3">
        <v>46039.0</v>
      </c>
      <c r="B18" s="4">
        <v>8.0</v>
      </c>
      <c r="C18" s="4"/>
      <c r="D18" s="4">
        <v>8.0</v>
      </c>
      <c r="E18" s="4"/>
      <c r="F18" s="4">
        <v>8.0</v>
      </c>
      <c r="G18" s="4">
        <v>8.0</v>
      </c>
      <c r="H18" s="4"/>
      <c r="I18" s="4">
        <v>8.0</v>
      </c>
      <c r="J18" s="4"/>
      <c r="K18" s="4"/>
      <c r="L18" s="4"/>
      <c r="M18" s="4">
        <v>4.0</v>
      </c>
      <c r="N18" s="4"/>
      <c r="O18" s="4"/>
      <c r="P18" s="4"/>
    </row>
    <row r="19" ht="23.25" customHeight="1">
      <c r="A19" s="3">
        <v>46040.0</v>
      </c>
      <c r="B19" s="4"/>
      <c r="C19" s="4"/>
      <c r="D19" s="4"/>
      <c r="E19" s="4">
        <v>7.5</v>
      </c>
      <c r="F19" s="4"/>
      <c r="G19" s="4">
        <v>8.0</v>
      </c>
      <c r="H19" s="4"/>
      <c r="I19" s="4"/>
      <c r="J19" s="4"/>
      <c r="K19" s="4"/>
      <c r="L19" s="4"/>
      <c r="M19" s="4"/>
      <c r="N19" s="4"/>
      <c r="O19" s="4"/>
      <c r="P19" s="4"/>
    </row>
    <row r="20" ht="23.25" customHeight="1">
      <c r="A20" s="3">
        <v>46041.0</v>
      </c>
      <c r="B20" s="4">
        <v>8.0</v>
      </c>
      <c r="C20" s="4">
        <v>8.0</v>
      </c>
      <c r="D20" s="4">
        <v>8.0</v>
      </c>
      <c r="E20" s="4">
        <v>8.0</v>
      </c>
      <c r="F20" s="4">
        <v>8.0</v>
      </c>
      <c r="G20" s="4">
        <v>8.0</v>
      </c>
      <c r="H20" s="4">
        <v>8.0</v>
      </c>
      <c r="I20" s="4">
        <v>8.0</v>
      </c>
      <c r="J20" s="4">
        <v>8.0</v>
      </c>
      <c r="K20" s="4">
        <v>8.0</v>
      </c>
      <c r="L20" s="4">
        <v>8.0</v>
      </c>
      <c r="M20" s="4"/>
      <c r="N20" s="4"/>
      <c r="O20" s="4">
        <v>8.0</v>
      </c>
      <c r="P20" s="4">
        <v>8.0</v>
      </c>
    </row>
    <row r="21" ht="23.25" customHeight="1">
      <c r="A21" s="3">
        <v>46042.0</v>
      </c>
      <c r="B21" s="4">
        <v>8.0</v>
      </c>
      <c r="C21" s="4">
        <v>8.0</v>
      </c>
      <c r="D21" s="4">
        <v>8.0</v>
      </c>
      <c r="E21" s="4" t="s">
        <v>9</v>
      </c>
      <c r="F21" s="4">
        <v>8.0</v>
      </c>
      <c r="G21" s="4">
        <v>5.0</v>
      </c>
      <c r="H21" s="4">
        <v>8.0</v>
      </c>
      <c r="I21" s="4">
        <v>8.0</v>
      </c>
      <c r="J21" s="4">
        <v>8.0</v>
      </c>
      <c r="K21" s="4">
        <v>8.0</v>
      </c>
      <c r="L21" s="4">
        <v>8.0</v>
      </c>
      <c r="M21" s="4"/>
      <c r="N21" s="4"/>
      <c r="O21" s="4">
        <v>8.0</v>
      </c>
      <c r="P21" s="4">
        <v>8.0</v>
      </c>
    </row>
    <row r="22" ht="23.25" customHeight="1">
      <c r="A22" s="3">
        <v>46043.0</v>
      </c>
      <c r="B22" s="4">
        <v>8.0</v>
      </c>
      <c r="C22" s="4">
        <v>8.0</v>
      </c>
      <c r="D22" s="4">
        <v>8.0</v>
      </c>
      <c r="E22" s="4">
        <v>8.0</v>
      </c>
      <c r="F22" s="4">
        <v>8.0</v>
      </c>
      <c r="G22" s="4">
        <v>8.0</v>
      </c>
      <c r="H22" s="4">
        <v>7.0</v>
      </c>
      <c r="I22" s="4">
        <v>8.0</v>
      </c>
      <c r="J22" s="4">
        <v>8.0</v>
      </c>
      <c r="K22" s="4">
        <v>8.0</v>
      </c>
      <c r="L22" s="4">
        <v>9.0</v>
      </c>
      <c r="M22" s="4"/>
      <c r="N22" s="4"/>
      <c r="O22" s="4">
        <v>8.0</v>
      </c>
      <c r="P22" s="4">
        <v>8.0</v>
      </c>
    </row>
    <row r="23" ht="23.25" customHeight="1">
      <c r="A23" s="3">
        <v>46044.0</v>
      </c>
      <c r="B23" s="4">
        <v>8.0</v>
      </c>
      <c r="C23" s="4">
        <v>8.0</v>
      </c>
      <c r="D23" s="4">
        <v>8.0</v>
      </c>
      <c r="E23" s="4">
        <v>8.0</v>
      </c>
      <c r="F23" s="4">
        <v>8.0</v>
      </c>
      <c r="G23" s="4">
        <v>8.0</v>
      </c>
      <c r="H23" s="4">
        <v>8.0</v>
      </c>
      <c r="I23" s="4">
        <v>8.0</v>
      </c>
      <c r="J23" s="4">
        <v>8.0</v>
      </c>
      <c r="K23" s="4">
        <v>8.0</v>
      </c>
      <c r="L23" s="4">
        <v>8.0</v>
      </c>
      <c r="M23" s="4"/>
      <c r="N23" s="4"/>
      <c r="O23" s="4">
        <v>8.0</v>
      </c>
      <c r="P23" s="4">
        <v>8.0</v>
      </c>
    </row>
    <row r="24" ht="23.25" customHeight="1">
      <c r="A24" s="3">
        <v>46045.0</v>
      </c>
      <c r="B24" s="4">
        <v>8.0</v>
      </c>
      <c r="C24" s="4">
        <v>8.0</v>
      </c>
      <c r="D24" s="4">
        <v>8.0</v>
      </c>
      <c r="E24" s="4">
        <v>8.0</v>
      </c>
      <c r="F24" s="4">
        <v>8.0</v>
      </c>
      <c r="G24" s="4">
        <v>8.0</v>
      </c>
      <c r="H24" s="4">
        <v>8.0</v>
      </c>
      <c r="I24" s="4">
        <v>8.0</v>
      </c>
      <c r="J24" s="4">
        <v>8.0</v>
      </c>
      <c r="K24" s="4">
        <v>8.0</v>
      </c>
      <c r="L24" s="4">
        <v>9.0</v>
      </c>
      <c r="M24" s="4"/>
      <c r="N24" s="4"/>
      <c r="O24" s="4">
        <v>8.0</v>
      </c>
      <c r="P24" s="4">
        <v>8.0</v>
      </c>
    </row>
    <row r="25" ht="23.25" customHeight="1">
      <c r="A25" s="3">
        <v>46046.0</v>
      </c>
      <c r="B25" s="4">
        <v>8.0</v>
      </c>
      <c r="C25" s="4"/>
      <c r="D25" s="4">
        <v>8.0</v>
      </c>
      <c r="E25" s="4">
        <v>8.0</v>
      </c>
      <c r="F25" s="4"/>
      <c r="G25" s="4"/>
      <c r="H25" s="4">
        <v>8.0</v>
      </c>
      <c r="I25" s="4">
        <v>8.0</v>
      </c>
      <c r="J25" s="4"/>
      <c r="K25" s="4"/>
      <c r="L25" s="4"/>
      <c r="M25" s="4"/>
      <c r="N25" s="4"/>
      <c r="O25" s="4"/>
      <c r="P25" s="4"/>
    </row>
    <row r="26" ht="23.25" customHeight="1">
      <c r="A26" s="3">
        <v>46047.0</v>
      </c>
      <c r="B26" s="4"/>
      <c r="C26" s="4"/>
      <c r="D26" s="4"/>
      <c r="E26" s="4"/>
      <c r="F26" s="4"/>
      <c r="G26" s="4"/>
      <c r="H26" s="4">
        <v>4.5</v>
      </c>
      <c r="I26" s="4"/>
      <c r="J26" s="4"/>
      <c r="K26" s="4"/>
      <c r="L26" s="4"/>
      <c r="M26" s="4"/>
      <c r="N26" s="4"/>
      <c r="O26" s="4"/>
      <c r="P26" s="4"/>
    </row>
    <row r="27" ht="23.25" customHeight="1">
      <c r="A27" s="3">
        <v>46048.0</v>
      </c>
      <c r="B27" s="4">
        <v>8.0</v>
      </c>
      <c r="C27" s="4">
        <v>8.0</v>
      </c>
      <c r="D27" s="4">
        <v>8.0</v>
      </c>
      <c r="E27" s="4">
        <v>8.0</v>
      </c>
      <c r="F27" s="4">
        <v>7.0</v>
      </c>
      <c r="G27" s="4">
        <v>8.0</v>
      </c>
      <c r="H27" s="4" t="s">
        <v>9</v>
      </c>
      <c r="I27" s="4">
        <v>8.0</v>
      </c>
      <c r="J27" s="4">
        <v>8.0</v>
      </c>
      <c r="K27" s="4">
        <v>8.0</v>
      </c>
      <c r="L27" s="4">
        <v>8.0</v>
      </c>
      <c r="M27" s="4"/>
      <c r="N27" s="4"/>
      <c r="O27" s="4">
        <v>8.0</v>
      </c>
      <c r="P27" s="4">
        <v>8.0</v>
      </c>
    </row>
    <row r="28" ht="23.25" customHeight="1">
      <c r="A28" s="3">
        <v>46049.0</v>
      </c>
      <c r="B28" s="4">
        <v>8.0</v>
      </c>
      <c r="C28" s="4">
        <v>8.0</v>
      </c>
      <c r="D28" s="4">
        <v>8.0</v>
      </c>
      <c r="E28" s="4">
        <v>8.0</v>
      </c>
      <c r="F28" s="4">
        <v>8.0</v>
      </c>
      <c r="G28" s="4">
        <v>6.0</v>
      </c>
      <c r="H28" s="4">
        <v>8.0</v>
      </c>
      <c r="I28" s="4">
        <v>8.0</v>
      </c>
      <c r="J28" s="4">
        <v>8.0</v>
      </c>
      <c r="K28" s="4">
        <v>8.0</v>
      </c>
      <c r="L28" s="4">
        <v>8.0</v>
      </c>
      <c r="M28" s="4"/>
      <c r="N28" s="4"/>
      <c r="O28" s="4">
        <v>8.0</v>
      </c>
      <c r="P28" s="4">
        <v>8.0</v>
      </c>
    </row>
    <row r="29" ht="23.25" customHeight="1">
      <c r="A29" s="3">
        <v>46050.0</v>
      </c>
      <c r="B29" s="4">
        <v>8.0</v>
      </c>
      <c r="C29" s="4">
        <v>8.0</v>
      </c>
      <c r="D29" s="4">
        <v>8.0</v>
      </c>
      <c r="E29" s="4">
        <v>8.0</v>
      </c>
      <c r="F29" s="4">
        <v>8.0</v>
      </c>
      <c r="G29" s="4">
        <v>8.0</v>
      </c>
      <c r="H29" s="4">
        <v>7.5</v>
      </c>
      <c r="I29" s="4">
        <v>8.0</v>
      </c>
      <c r="J29" s="4">
        <v>8.0</v>
      </c>
      <c r="K29" s="4">
        <v>8.0</v>
      </c>
      <c r="L29" s="4">
        <v>9.0</v>
      </c>
      <c r="M29" s="4"/>
      <c r="N29" s="4"/>
      <c r="O29" s="4">
        <v>8.0</v>
      </c>
      <c r="P29" s="4">
        <v>8.0</v>
      </c>
    </row>
    <row r="30" ht="23.25" customHeight="1">
      <c r="A30" s="3">
        <v>46051.0</v>
      </c>
      <c r="B30" s="4">
        <v>8.0</v>
      </c>
      <c r="C30" s="4" t="s">
        <v>9</v>
      </c>
      <c r="D30" s="4">
        <v>8.0</v>
      </c>
      <c r="E30" s="4">
        <v>8.0</v>
      </c>
      <c r="F30" s="4">
        <v>8.0</v>
      </c>
      <c r="G30" s="4">
        <v>8.0</v>
      </c>
      <c r="H30" s="4" t="s">
        <v>9</v>
      </c>
      <c r="I30" s="4">
        <v>8.0</v>
      </c>
      <c r="J30" s="4">
        <v>8.0</v>
      </c>
      <c r="K30" s="4">
        <v>8.0</v>
      </c>
      <c r="L30" s="4">
        <v>8.0</v>
      </c>
      <c r="M30" s="4"/>
      <c r="N30" s="4"/>
      <c r="O30" s="4">
        <v>8.0</v>
      </c>
      <c r="P30" s="4">
        <v>8.0</v>
      </c>
    </row>
    <row r="31" ht="23.25" customHeight="1">
      <c r="A31" s="3">
        <v>46052.0</v>
      </c>
      <c r="B31" s="4">
        <v>8.0</v>
      </c>
      <c r="C31" s="4" t="s">
        <v>9</v>
      </c>
      <c r="D31" s="4">
        <v>8.0</v>
      </c>
      <c r="E31" s="4">
        <v>8.0</v>
      </c>
      <c r="F31" s="4">
        <v>8.0</v>
      </c>
      <c r="G31" s="4">
        <v>8.0</v>
      </c>
      <c r="H31" s="4">
        <v>8.0</v>
      </c>
      <c r="I31" s="4">
        <v>8.0</v>
      </c>
      <c r="J31" s="4">
        <v>8.0</v>
      </c>
      <c r="K31" s="4">
        <v>8.0</v>
      </c>
      <c r="L31" s="4">
        <v>9.0</v>
      </c>
      <c r="M31" s="4"/>
      <c r="N31" s="4"/>
      <c r="O31" s="4">
        <v>8.0</v>
      </c>
      <c r="P31" s="4">
        <v>8.0</v>
      </c>
    </row>
    <row r="32" ht="23.25" customHeight="1">
      <c r="A32" s="5">
        <v>46053.0</v>
      </c>
      <c r="B32" s="6">
        <v>8.0</v>
      </c>
      <c r="C32" s="6"/>
      <c r="D32" s="6"/>
      <c r="E32" s="6">
        <v>8.0</v>
      </c>
      <c r="F32" s="6">
        <v>8.0</v>
      </c>
      <c r="G32" s="6">
        <v>8.0</v>
      </c>
      <c r="H32" s="6">
        <v>8.0</v>
      </c>
      <c r="I32" s="6"/>
      <c r="J32" s="6"/>
      <c r="K32" s="6"/>
      <c r="L32" s="6"/>
      <c r="M32" s="6"/>
      <c r="N32" s="6"/>
      <c r="O32" s="6"/>
      <c r="P32" s="6"/>
    </row>
    <row r="33" ht="23.25" customHeight="1">
      <c r="A33" s="7" t="s">
        <v>2</v>
      </c>
      <c r="B33" s="8">
        <f t="shared" ref="B33:P33" si="1">SUM(B2:B32)</f>
        <v>163.5</v>
      </c>
      <c r="C33" s="8">
        <f t="shared" si="1"/>
        <v>125</v>
      </c>
      <c r="D33" s="8">
        <f t="shared" si="1"/>
        <v>152</v>
      </c>
      <c r="E33" s="8">
        <f t="shared" si="1"/>
        <v>167.5</v>
      </c>
      <c r="F33" s="8">
        <f t="shared" si="1"/>
        <v>167</v>
      </c>
      <c r="G33" s="8">
        <f t="shared" si="1"/>
        <v>169</v>
      </c>
      <c r="H33" s="8">
        <f t="shared" si="1"/>
        <v>155</v>
      </c>
      <c r="I33" s="8">
        <f t="shared" si="1"/>
        <v>160</v>
      </c>
      <c r="J33" s="8">
        <f t="shared" si="1"/>
        <v>133.5</v>
      </c>
      <c r="K33" s="8">
        <f t="shared" si="1"/>
        <v>144</v>
      </c>
      <c r="L33" s="8">
        <f t="shared" si="1"/>
        <v>152</v>
      </c>
      <c r="M33" s="8">
        <f t="shared" si="1"/>
        <v>72</v>
      </c>
      <c r="N33" s="8">
        <f t="shared" si="1"/>
        <v>0</v>
      </c>
      <c r="O33" s="8">
        <f t="shared" si="1"/>
        <v>144</v>
      </c>
      <c r="P33" s="8">
        <f t="shared" si="1"/>
        <v>144</v>
      </c>
    </row>
    <row r="34" ht="32.25" customHeight="1">
      <c r="A34" s="9" t="s">
        <v>3</v>
      </c>
      <c r="B34" s="10">
        <v>144.0</v>
      </c>
      <c r="C34" s="10">
        <v>144.0</v>
      </c>
      <c r="D34" s="10">
        <v>144.0</v>
      </c>
      <c r="E34" s="10">
        <v>144.0</v>
      </c>
      <c r="F34" s="10">
        <v>144.0</v>
      </c>
      <c r="G34" s="10">
        <v>144.0</v>
      </c>
      <c r="H34" s="10">
        <v>144.0</v>
      </c>
      <c r="I34" s="10">
        <v>144.0</v>
      </c>
      <c r="J34" s="10">
        <v>144.0</v>
      </c>
      <c r="K34" s="10">
        <v>144.0</v>
      </c>
      <c r="L34" s="10">
        <v>144.0</v>
      </c>
      <c r="M34" s="10"/>
      <c r="N34" s="10"/>
      <c r="O34" s="10">
        <v>144.0</v>
      </c>
      <c r="P34" s="10">
        <v>144.0</v>
      </c>
    </row>
    <row r="35" ht="32.25" customHeight="1">
      <c r="A35" s="11" t="s">
        <v>4</v>
      </c>
      <c r="B35" s="12">
        <f t="shared" ref="B35:P35" si="2">B33-B34</f>
        <v>19.5</v>
      </c>
      <c r="C35" s="12">
        <f t="shared" si="2"/>
        <v>-19</v>
      </c>
      <c r="D35" s="12">
        <f t="shared" si="2"/>
        <v>8</v>
      </c>
      <c r="E35" s="12">
        <f t="shared" si="2"/>
        <v>23.5</v>
      </c>
      <c r="F35" s="12">
        <f t="shared" si="2"/>
        <v>23</v>
      </c>
      <c r="G35" s="12">
        <f t="shared" si="2"/>
        <v>25</v>
      </c>
      <c r="H35" s="12">
        <f t="shared" si="2"/>
        <v>11</v>
      </c>
      <c r="I35" s="12">
        <f t="shared" si="2"/>
        <v>16</v>
      </c>
      <c r="J35" s="12">
        <f t="shared" si="2"/>
        <v>-10.5</v>
      </c>
      <c r="K35" s="12">
        <f t="shared" si="2"/>
        <v>0</v>
      </c>
      <c r="L35" s="12">
        <f t="shared" si="2"/>
        <v>8</v>
      </c>
      <c r="M35" s="12">
        <f t="shared" si="2"/>
        <v>72</v>
      </c>
      <c r="N35" s="12">
        <f t="shared" si="2"/>
        <v>0</v>
      </c>
      <c r="O35" s="12">
        <f t="shared" si="2"/>
        <v>0</v>
      </c>
      <c r="P35" s="12">
        <f t="shared" si="2"/>
        <v>0</v>
      </c>
    </row>
    <row r="36" ht="32.25" customHeight="1">
      <c r="A36" s="13" t="s">
        <v>5</v>
      </c>
      <c r="B36" s="15">
        <v>1700.0</v>
      </c>
      <c r="C36" s="15">
        <v>1700.0</v>
      </c>
      <c r="D36" s="15">
        <v>1600.0</v>
      </c>
      <c r="E36" s="15">
        <v>1700.0</v>
      </c>
      <c r="F36" s="15">
        <v>1700.0</v>
      </c>
      <c r="G36" s="15">
        <v>1600.0</v>
      </c>
      <c r="H36" s="15">
        <v>1250.0</v>
      </c>
      <c r="I36" s="15">
        <v>1250.0</v>
      </c>
      <c r="J36" s="15"/>
      <c r="K36" s="15">
        <v>2500.0</v>
      </c>
      <c r="L36" s="15">
        <v>1600.0</v>
      </c>
      <c r="M36" s="15"/>
      <c r="N36" s="15"/>
      <c r="O36" s="14"/>
      <c r="P36" s="14"/>
    </row>
    <row r="37" ht="32.25" customHeight="1">
      <c r="A37" s="13" t="s">
        <v>6</v>
      </c>
      <c r="B37" s="15">
        <v>104.0</v>
      </c>
      <c r="C37" s="15">
        <v>104.0</v>
      </c>
      <c r="D37" s="15">
        <v>104.0</v>
      </c>
      <c r="E37" s="15">
        <v>104.0</v>
      </c>
      <c r="F37" s="15">
        <v>104.0</v>
      </c>
      <c r="G37" s="15">
        <v>104.0</v>
      </c>
      <c r="H37" s="15">
        <v>104.0</v>
      </c>
      <c r="I37" s="15">
        <v>104.0</v>
      </c>
      <c r="J37" s="15">
        <v>104.0</v>
      </c>
      <c r="K37" s="15">
        <v>104.0</v>
      </c>
      <c r="L37" s="15"/>
      <c r="M37" s="15"/>
      <c r="N37" s="15"/>
      <c r="O37" s="15">
        <v>130.0</v>
      </c>
      <c r="P37" s="15"/>
    </row>
    <row r="38" ht="41.25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41.25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25">
        <v>46054.0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46054.0</v>
      </c>
      <c r="B2" s="4"/>
      <c r="C2" s="4"/>
      <c r="D2" s="4">
        <v>3.0</v>
      </c>
      <c r="E2" s="4"/>
      <c r="F2" s="4"/>
      <c r="G2" s="4"/>
      <c r="H2" s="4"/>
      <c r="I2" s="4">
        <v>3.0</v>
      </c>
      <c r="J2" s="4"/>
      <c r="K2" s="4"/>
      <c r="L2" s="4"/>
      <c r="M2" s="4"/>
      <c r="N2" s="4"/>
      <c r="O2" s="4"/>
      <c r="P2" s="4"/>
    </row>
    <row r="3" ht="23.25" customHeight="1">
      <c r="A3" s="3">
        <v>46055.0</v>
      </c>
      <c r="B3" s="4">
        <v>11.5</v>
      </c>
      <c r="C3" s="4">
        <v>8.0</v>
      </c>
      <c r="D3" s="4">
        <v>8.0</v>
      </c>
      <c r="E3" s="4">
        <v>8.0</v>
      </c>
      <c r="F3" s="4">
        <v>8.0</v>
      </c>
      <c r="G3" s="4">
        <v>8.0</v>
      </c>
      <c r="H3" s="4">
        <v>6.0</v>
      </c>
      <c r="I3" s="4">
        <v>0.0</v>
      </c>
      <c r="J3" s="4">
        <v>8.0</v>
      </c>
      <c r="K3" s="4">
        <v>8.0</v>
      </c>
      <c r="L3" s="4">
        <v>8.0</v>
      </c>
      <c r="M3" s="4"/>
      <c r="N3" s="4"/>
      <c r="O3" s="4">
        <v>8.0</v>
      </c>
      <c r="P3" s="4">
        <v>8.0</v>
      </c>
    </row>
    <row r="4" ht="23.25" customHeight="1">
      <c r="A4" s="3">
        <v>46056.0</v>
      </c>
      <c r="B4" s="4">
        <v>8.0</v>
      </c>
      <c r="C4" s="4">
        <v>8.0</v>
      </c>
      <c r="D4" s="4">
        <v>8.0</v>
      </c>
      <c r="E4" s="4">
        <v>8.0</v>
      </c>
      <c r="F4" s="4">
        <v>8.0</v>
      </c>
      <c r="G4" s="4">
        <v>5.0</v>
      </c>
      <c r="H4" s="4">
        <v>6.0</v>
      </c>
      <c r="I4" s="4">
        <v>8.0</v>
      </c>
      <c r="J4" s="4">
        <v>8.0</v>
      </c>
      <c r="K4" s="4">
        <v>8.0</v>
      </c>
      <c r="L4" s="4">
        <v>8.0</v>
      </c>
      <c r="M4" s="4"/>
      <c r="N4" s="4"/>
      <c r="O4" s="4">
        <v>8.0</v>
      </c>
      <c r="P4" s="4">
        <v>8.0</v>
      </c>
    </row>
    <row r="5" ht="23.25" customHeight="1">
      <c r="A5" s="3">
        <v>46057.0</v>
      </c>
      <c r="B5" s="4">
        <v>9.0</v>
      </c>
      <c r="C5" s="4">
        <v>8.0</v>
      </c>
      <c r="D5" s="4">
        <v>8.0</v>
      </c>
      <c r="E5" s="4">
        <v>8.0</v>
      </c>
      <c r="F5" s="4">
        <v>8.0</v>
      </c>
      <c r="G5" s="4">
        <v>8.0</v>
      </c>
      <c r="H5" s="4">
        <v>6.0</v>
      </c>
      <c r="I5" s="4">
        <v>8.0</v>
      </c>
      <c r="J5" s="4">
        <v>8.0</v>
      </c>
      <c r="K5" s="4">
        <v>8.0</v>
      </c>
      <c r="L5" s="4">
        <v>9.0</v>
      </c>
      <c r="M5" s="4"/>
      <c r="N5" s="4"/>
      <c r="O5" s="4">
        <v>8.0</v>
      </c>
      <c r="P5" s="4">
        <v>8.0</v>
      </c>
    </row>
    <row r="6" ht="23.25" customHeight="1">
      <c r="A6" s="3">
        <v>46058.0</v>
      </c>
      <c r="B6" s="4">
        <v>8.0</v>
      </c>
      <c r="C6" s="4">
        <v>8.0</v>
      </c>
      <c r="D6" s="4">
        <v>8.0</v>
      </c>
      <c r="E6" s="4">
        <v>8.0</v>
      </c>
      <c r="F6" s="4">
        <v>8.0</v>
      </c>
      <c r="G6" s="4">
        <v>8.0</v>
      </c>
      <c r="H6" s="4">
        <v>0.0</v>
      </c>
      <c r="I6" s="4">
        <v>8.0</v>
      </c>
      <c r="J6" s="4">
        <v>8.0</v>
      </c>
      <c r="K6" s="4">
        <v>8.0</v>
      </c>
      <c r="L6" s="4">
        <v>8.0</v>
      </c>
      <c r="M6" s="4"/>
      <c r="N6" s="4"/>
      <c r="O6" s="4">
        <v>8.0</v>
      </c>
      <c r="P6" s="4">
        <v>8.0</v>
      </c>
    </row>
    <row r="7" ht="23.25" customHeight="1">
      <c r="A7" s="3">
        <v>46059.0</v>
      </c>
      <c r="B7" s="4">
        <v>8.0</v>
      </c>
      <c r="C7" s="4">
        <v>8.0</v>
      </c>
      <c r="D7" s="4">
        <v>8.0</v>
      </c>
      <c r="E7" s="4">
        <v>4.0</v>
      </c>
      <c r="F7" s="4">
        <v>8.0</v>
      </c>
      <c r="G7" s="4">
        <v>8.0</v>
      </c>
      <c r="H7" s="4">
        <v>5.5</v>
      </c>
      <c r="I7" s="4">
        <v>8.0</v>
      </c>
      <c r="J7" s="4">
        <v>8.0</v>
      </c>
      <c r="K7" s="4">
        <v>8.0</v>
      </c>
      <c r="L7" s="4">
        <v>9.0</v>
      </c>
      <c r="M7" s="4"/>
      <c r="N7" s="4"/>
      <c r="O7" s="4">
        <v>8.0</v>
      </c>
      <c r="P7" s="4">
        <v>8.0</v>
      </c>
    </row>
    <row r="8" ht="23.25" customHeight="1">
      <c r="A8" s="3">
        <v>46060.0</v>
      </c>
      <c r="B8" s="4"/>
      <c r="C8" s="4"/>
      <c r="D8" s="4">
        <v>8.0</v>
      </c>
      <c r="E8" s="4">
        <v>8.0</v>
      </c>
      <c r="F8" s="4">
        <v>8.0</v>
      </c>
      <c r="G8" s="4">
        <v>8.0</v>
      </c>
      <c r="H8" s="4"/>
      <c r="I8" s="4">
        <v>8.0</v>
      </c>
      <c r="J8" s="4"/>
      <c r="K8" s="4"/>
      <c r="L8" s="4"/>
      <c r="M8" s="4"/>
      <c r="N8" s="4"/>
      <c r="O8" s="4"/>
      <c r="P8" s="4"/>
    </row>
    <row r="9" ht="23.25" customHeight="1">
      <c r="A9" s="3">
        <v>46061.0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3.25" customHeight="1">
      <c r="A10" s="3">
        <v>46062.0</v>
      </c>
      <c r="B10" s="4">
        <v>8.0</v>
      </c>
      <c r="C10" s="4">
        <v>8.0</v>
      </c>
      <c r="D10" s="4">
        <v>8.0</v>
      </c>
      <c r="E10" s="4">
        <v>8.0</v>
      </c>
      <c r="F10" s="4">
        <v>8.0</v>
      </c>
      <c r="G10" s="4">
        <v>8.0</v>
      </c>
      <c r="H10" s="4">
        <v>6.0</v>
      </c>
      <c r="I10" s="4">
        <v>8.0</v>
      </c>
      <c r="J10" s="4">
        <v>8.0</v>
      </c>
      <c r="K10" s="4">
        <v>8.0</v>
      </c>
      <c r="L10" s="4">
        <v>8.0</v>
      </c>
      <c r="M10" s="4"/>
      <c r="N10" s="4"/>
      <c r="O10" s="4">
        <v>8.0</v>
      </c>
      <c r="P10" s="4">
        <v>8.0</v>
      </c>
    </row>
    <row r="11" ht="23.25" customHeight="1">
      <c r="A11" s="3">
        <v>46063.0</v>
      </c>
      <c r="B11" s="4">
        <v>8.0</v>
      </c>
      <c r="C11" s="4">
        <v>8.0</v>
      </c>
      <c r="D11" s="4">
        <v>8.0</v>
      </c>
      <c r="E11" s="4">
        <v>8.0</v>
      </c>
      <c r="F11" s="4">
        <v>8.0</v>
      </c>
      <c r="G11" s="4">
        <v>6.0</v>
      </c>
      <c r="H11" s="4">
        <v>6.0</v>
      </c>
      <c r="I11" s="4">
        <v>8.0</v>
      </c>
      <c r="J11" s="4">
        <v>8.0</v>
      </c>
      <c r="K11" s="4">
        <v>8.0</v>
      </c>
      <c r="L11" s="4">
        <v>8.0</v>
      </c>
      <c r="M11" s="4"/>
      <c r="N11" s="4"/>
      <c r="O11" s="4">
        <v>8.0</v>
      </c>
      <c r="P11" s="4">
        <v>8.0</v>
      </c>
    </row>
    <row r="12" ht="23.25" customHeight="1">
      <c r="A12" s="3">
        <v>46064.0</v>
      </c>
      <c r="B12" s="4">
        <v>8.0</v>
      </c>
      <c r="C12" s="4">
        <v>8.0</v>
      </c>
      <c r="D12" s="4">
        <v>8.0</v>
      </c>
      <c r="E12" s="4">
        <v>8.0</v>
      </c>
      <c r="F12" s="4">
        <v>8.0</v>
      </c>
      <c r="G12" s="4">
        <v>8.0</v>
      </c>
      <c r="H12" s="4">
        <v>6.0</v>
      </c>
      <c r="I12" s="4">
        <v>8.0</v>
      </c>
      <c r="J12" s="4">
        <v>8.0</v>
      </c>
      <c r="K12" s="4">
        <v>8.0</v>
      </c>
      <c r="L12" s="4">
        <v>9.0</v>
      </c>
      <c r="M12" s="4"/>
      <c r="N12" s="4"/>
      <c r="O12" s="4">
        <v>8.0</v>
      </c>
      <c r="P12" s="4">
        <v>8.0</v>
      </c>
    </row>
    <row r="13" ht="23.25" customHeight="1">
      <c r="A13" s="3">
        <v>46065.0</v>
      </c>
      <c r="B13" s="4">
        <v>8.0</v>
      </c>
      <c r="C13" s="4">
        <v>8.0</v>
      </c>
      <c r="D13" s="4">
        <v>8.0</v>
      </c>
      <c r="E13" s="4">
        <v>8.0</v>
      </c>
      <c r="F13" s="4">
        <v>8.0</v>
      </c>
      <c r="G13" s="4">
        <v>3.0</v>
      </c>
      <c r="H13" s="4">
        <v>6.0</v>
      </c>
      <c r="I13" s="4">
        <v>8.0</v>
      </c>
      <c r="J13" s="4">
        <v>8.0</v>
      </c>
      <c r="K13" s="4">
        <v>8.0</v>
      </c>
      <c r="L13" s="4">
        <v>8.0</v>
      </c>
      <c r="M13" s="4"/>
      <c r="N13" s="4"/>
      <c r="O13" s="4">
        <v>8.0</v>
      </c>
      <c r="P13" s="4">
        <v>8.0</v>
      </c>
    </row>
    <row r="14" ht="23.25" customHeight="1">
      <c r="A14" s="3">
        <v>46066.0</v>
      </c>
      <c r="B14" s="4">
        <v>8.0</v>
      </c>
      <c r="C14" s="4">
        <v>8.0</v>
      </c>
      <c r="D14" s="4">
        <v>8.0</v>
      </c>
      <c r="E14" s="4">
        <v>6.0</v>
      </c>
      <c r="F14" s="4">
        <v>8.0</v>
      </c>
      <c r="G14" s="4">
        <v>8.0</v>
      </c>
      <c r="H14" s="4">
        <v>0.0</v>
      </c>
      <c r="I14" s="4">
        <v>8.0</v>
      </c>
      <c r="J14" s="4">
        <v>8.0</v>
      </c>
      <c r="K14" s="4">
        <v>8.0</v>
      </c>
      <c r="L14" s="4">
        <v>9.0</v>
      </c>
      <c r="M14" s="4"/>
      <c r="N14" s="4"/>
      <c r="O14" s="4">
        <v>8.0</v>
      </c>
      <c r="P14" s="4">
        <v>8.0</v>
      </c>
    </row>
    <row r="15" ht="23.25" customHeight="1">
      <c r="A15" s="3">
        <v>46067.0</v>
      </c>
      <c r="B15" s="4">
        <v>8.0</v>
      </c>
      <c r="C15" s="4"/>
      <c r="D15" s="4">
        <v>8.0</v>
      </c>
      <c r="E15" s="4"/>
      <c r="F15" s="4">
        <v>8.0</v>
      </c>
      <c r="G15" s="4"/>
      <c r="H15" s="4"/>
      <c r="I15" s="4">
        <v>9.0</v>
      </c>
      <c r="J15" s="4"/>
      <c r="K15" s="4"/>
      <c r="L15" s="4"/>
      <c r="M15" s="4"/>
      <c r="N15" s="4"/>
      <c r="O15" s="4"/>
      <c r="P15" s="4"/>
    </row>
    <row r="16" ht="23.25" customHeight="1">
      <c r="A16" s="3">
        <v>46068.0</v>
      </c>
      <c r="B16" s="4"/>
      <c r="C16" s="4"/>
      <c r="D16" s="4"/>
      <c r="E16" s="4">
        <v>8.0</v>
      </c>
      <c r="F16" s="4"/>
      <c r="G16" s="4">
        <v>8.0</v>
      </c>
      <c r="H16" s="4"/>
      <c r="I16" s="4"/>
      <c r="J16" s="4"/>
      <c r="K16" s="4"/>
      <c r="L16" s="4"/>
      <c r="M16" s="4"/>
      <c r="N16" s="4"/>
      <c r="O16" s="4"/>
      <c r="P16" s="4"/>
    </row>
    <row r="17" ht="23.25" customHeight="1">
      <c r="A17" s="3">
        <v>46069.0</v>
      </c>
      <c r="B17" s="4">
        <v>8.0</v>
      </c>
      <c r="C17" s="4">
        <v>8.0</v>
      </c>
      <c r="D17" s="4">
        <v>8.0</v>
      </c>
      <c r="E17" s="4">
        <v>8.0</v>
      </c>
      <c r="F17" s="4">
        <v>8.0</v>
      </c>
      <c r="G17" s="4">
        <v>8.0</v>
      </c>
      <c r="H17" s="4">
        <v>6.0</v>
      </c>
      <c r="I17" s="4">
        <v>8.0</v>
      </c>
      <c r="J17" s="4">
        <v>8.0</v>
      </c>
      <c r="K17" s="4">
        <v>8.0</v>
      </c>
      <c r="L17" s="4">
        <v>8.0</v>
      </c>
      <c r="M17" s="4"/>
      <c r="N17" s="4"/>
      <c r="O17" s="4">
        <v>8.0</v>
      </c>
      <c r="P17" s="4">
        <v>8.0</v>
      </c>
    </row>
    <row r="18" ht="23.25" customHeight="1">
      <c r="A18" s="3">
        <v>46070.0</v>
      </c>
      <c r="B18" s="4">
        <v>8.0</v>
      </c>
      <c r="C18" s="4">
        <v>8.0</v>
      </c>
      <c r="D18" s="4">
        <v>8.0</v>
      </c>
      <c r="E18" s="4">
        <v>8.0</v>
      </c>
      <c r="F18" s="4">
        <v>8.0</v>
      </c>
      <c r="G18" s="4">
        <v>5.5</v>
      </c>
      <c r="H18" s="4">
        <v>6.0</v>
      </c>
      <c r="I18" s="4">
        <v>8.0</v>
      </c>
      <c r="J18" s="4">
        <v>8.0</v>
      </c>
      <c r="K18" s="4">
        <v>8.0</v>
      </c>
      <c r="L18" s="4">
        <v>8.0</v>
      </c>
      <c r="M18" s="4"/>
      <c r="N18" s="4"/>
      <c r="O18" s="4">
        <v>8.0</v>
      </c>
      <c r="P18" s="4">
        <v>8.0</v>
      </c>
    </row>
    <row r="19" ht="23.25" customHeight="1">
      <c r="A19" s="3">
        <v>46071.0</v>
      </c>
      <c r="B19" s="4">
        <v>8.0</v>
      </c>
      <c r="C19" s="4">
        <v>8.0</v>
      </c>
      <c r="D19" s="4">
        <v>8.0</v>
      </c>
      <c r="E19" s="4">
        <v>8.0</v>
      </c>
      <c r="F19" s="4">
        <v>7.0</v>
      </c>
      <c r="G19" s="4">
        <v>8.0</v>
      </c>
      <c r="H19" s="4">
        <v>6.0</v>
      </c>
      <c r="I19" s="4">
        <v>8.0</v>
      </c>
      <c r="J19" s="4">
        <v>8.0</v>
      </c>
      <c r="K19" s="4">
        <v>8.0</v>
      </c>
      <c r="L19" s="4">
        <v>9.0</v>
      </c>
      <c r="M19" s="4"/>
      <c r="N19" s="4"/>
      <c r="O19" s="4">
        <v>8.0</v>
      </c>
      <c r="P19" s="4">
        <v>8.0</v>
      </c>
    </row>
    <row r="20" ht="23.25" customHeight="1">
      <c r="A20" s="3">
        <v>46072.0</v>
      </c>
      <c r="B20" s="4">
        <v>8.0</v>
      </c>
      <c r="C20" s="4">
        <v>8.0</v>
      </c>
      <c r="D20" s="4">
        <v>8.0</v>
      </c>
      <c r="E20" s="4" t="s">
        <v>0</v>
      </c>
      <c r="F20" s="4">
        <v>8.0</v>
      </c>
      <c r="G20" s="4">
        <v>8.0</v>
      </c>
      <c r="H20" s="4">
        <v>0.0</v>
      </c>
      <c r="I20" s="4">
        <v>8.0</v>
      </c>
      <c r="J20" s="4">
        <v>8.0</v>
      </c>
      <c r="K20" s="4">
        <v>8.0</v>
      </c>
      <c r="L20" s="4">
        <v>8.0</v>
      </c>
      <c r="M20" s="4"/>
      <c r="N20" s="4"/>
      <c r="O20" s="4">
        <v>8.0</v>
      </c>
      <c r="P20" s="4">
        <v>8.0</v>
      </c>
    </row>
    <row r="21" ht="23.25" customHeight="1">
      <c r="A21" s="3">
        <v>46073.0</v>
      </c>
      <c r="B21" s="4">
        <v>8.0</v>
      </c>
      <c r="C21" s="4">
        <v>8.0</v>
      </c>
      <c r="D21" s="4">
        <v>8.0</v>
      </c>
      <c r="E21" s="4" t="s">
        <v>0</v>
      </c>
      <c r="F21" s="4">
        <v>8.0</v>
      </c>
      <c r="G21" s="4">
        <v>7.5</v>
      </c>
      <c r="H21" s="4">
        <v>5.5</v>
      </c>
      <c r="I21" s="4">
        <v>8.0</v>
      </c>
      <c r="J21" s="4">
        <v>8.0</v>
      </c>
      <c r="K21" s="4">
        <v>8.0</v>
      </c>
      <c r="L21" s="4">
        <v>9.0</v>
      </c>
      <c r="M21" s="4"/>
      <c r="N21" s="4"/>
      <c r="O21" s="4">
        <v>8.0</v>
      </c>
      <c r="P21" s="4">
        <v>8.0</v>
      </c>
    </row>
    <row r="22" ht="23.25" customHeight="1">
      <c r="A22" s="3">
        <v>46074.0</v>
      </c>
      <c r="B22" s="4">
        <v>0.0</v>
      </c>
      <c r="C22" s="4"/>
      <c r="D22" s="4">
        <v>8.0</v>
      </c>
      <c r="E22" s="4" t="s">
        <v>0</v>
      </c>
      <c r="F22" s="4">
        <v>8.0</v>
      </c>
      <c r="G22" s="4">
        <v>8.0</v>
      </c>
      <c r="H22" s="4"/>
      <c r="I22" s="4">
        <v>4.0</v>
      </c>
      <c r="J22" s="4"/>
      <c r="K22" s="4"/>
      <c r="L22" s="4"/>
      <c r="M22" s="4"/>
      <c r="N22" s="4"/>
      <c r="O22" s="4"/>
      <c r="P22" s="4"/>
    </row>
    <row r="23" ht="23.25" customHeight="1">
      <c r="A23" s="3">
        <v>46075.0</v>
      </c>
      <c r="B23" s="4">
        <v>8.5</v>
      </c>
      <c r="C23" s="4"/>
      <c r="D23" s="4"/>
      <c r="E23" s="4"/>
      <c r="F23" s="4"/>
      <c r="G23" s="4"/>
      <c r="H23" s="4">
        <v>8.5</v>
      </c>
      <c r="I23" s="4"/>
      <c r="J23" s="4">
        <v>5.5</v>
      </c>
      <c r="K23" s="4"/>
      <c r="L23" s="4"/>
      <c r="M23" s="4"/>
      <c r="N23" s="4"/>
      <c r="O23" s="4"/>
      <c r="P23" s="4"/>
    </row>
    <row r="24" ht="23.25" customHeight="1">
      <c r="A24" s="3">
        <v>46076.0</v>
      </c>
      <c r="B24" s="4">
        <v>8.0</v>
      </c>
      <c r="C24" s="4">
        <v>8.0</v>
      </c>
      <c r="D24" s="4">
        <v>8.0</v>
      </c>
      <c r="E24" s="4">
        <v>8.0</v>
      </c>
      <c r="F24" s="4">
        <v>8.0</v>
      </c>
      <c r="G24" s="4">
        <v>8.0</v>
      </c>
      <c r="H24" s="4"/>
      <c r="I24" s="4">
        <v>8.0</v>
      </c>
      <c r="J24" s="4" t="s">
        <v>0</v>
      </c>
      <c r="K24" s="4">
        <v>8.0</v>
      </c>
      <c r="L24" s="4">
        <v>8.0</v>
      </c>
      <c r="M24" s="4"/>
      <c r="N24" s="4"/>
      <c r="O24" s="4">
        <v>8.0</v>
      </c>
      <c r="P24" s="4">
        <v>8.0</v>
      </c>
    </row>
    <row r="25" ht="23.25" customHeight="1">
      <c r="A25" s="3">
        <v>46077.0</v>
      </c>
      <c r="B25" s="4">
        <v>8.0</v>
      </c>
      <c r="C25" s="4">
        <v>8.0</v>
      </c>
      <c r="D25" s="4">
        <v>8.0</v>
      </c>
      <c r="E25" s="4">
        <v>8.0</v>
      </c>
      <c r="F25" s="4">
        <v>8.0</v>
      </c>
      <c r="G25" s="4">
        <v>6.0</v>
      </c>
      <c r="H25" s="4">
        <v>6.0</v>
      </c>
      <c r="I25" s="4">
        <v>8.0</v>
      </c>
      <c r="J25" s="4" t="s">
        <v>0</v>
      </c>
      <c r="K25" s="4">
        <v>8.0</v>
      </c>
      <c r="L25" s="4">
        <v>8.0</v>
      </c>
      <c r="M25" s="4"/>
      <c r="N25" s="4"/>
      <c r="O25" s="4">
        <v>8.0</v>
      </c>
      <c r="P25" s="4">
        <v>8.0</v>
      </c>
    </row>
    <row r="26" ht="23.25" customHeight="1">
      <c r="A26" s="3">
        <v>46078.0</v>
      </c>
      <c r="B26" s="4">
        <v>8.0</v>
      </c>
      <c r="C26" s="4">
        <v>8.0</v>
      </c>
      <c r="D26" s="4">
        <v>8.0</v>
      </c>
      <c r="E26" s="4">
        <v>8.0</v>
      </c>
      <c r="F26" s="4">
        <v>8.0</v>
      </c>
      <c r="G26" s="4">
        <v>8.0</v>
      </c>
      <c r="H26" s="4">
        <v>6.0</v>
      </c>
      <c r="I26" s="4">
        <v>8.0</v>
      </c>
      <c r="J26" s="4" t="s">
        <v>0</v>
      </c>
      <c r="K26" s="4">
        <v>8.0</v>
      </c>
      <c r="L26" s="4">
        <v>9.0</v>
      </c>
      <c r="M26" s="4"/>
      <c r="N26" s="4"/>
      <c r="O26" s="4">
        <v>8.0</v>
      </c>
      <c r="P26" s="4">
        <v>8.0</v>
      </c>
    </row>
    <row r="27" ht="23.25" customHeight="1">
      <c r="A27" s="3">
        <v>46079.0</v>
      </c>
      <c r="B27" s="4">
        <v>8.0</v>
      </c>
      <c r="C27" s="4">
        <v>8.0</v>
      </c>
      <c r="D27" s="4">
        <v>8.0</v>
      </c>
      <c r="E27" s="4">
        <v>8.0</v>
      </c>
      <c r="F27" s="4">
        <v>8.0</v>
      </c>
      <c r="G27" s="4">
        <v>8.0</v>
      </c>
      <c r="H27" s="4">
        <v>6.0</v>
      </c>
      <c r="I27" s="4">
        <v>8.0</v>
      </c>
      <c r="J27" s="4">
        <v>8.0</v>
      </c>
      <c r="K27" s="4">
        <v>8.0</v>
      </c>
      <c r="L27" s="4">
        <v>8.0</v>
      </c>
      <c r="M27" s="4"/>
      <c r="N27" s="4"/>
      <c r="O27" s="4">
        <v>8.0</v>
      </c>
      <c r="P27" s="4">
        <v>8.0</v>
      </c>
    </row>
    <row r="28" ht="23.25" customHeight="1">
      <c r="A28" s="3">
        <v>46080.0</v>
      </c>
      <c r="B28" s="4">
        <v>8.0</v>
      </c>
      <c r="C28" s="4">
        <v>8.0</v>
      </c>
      <c r="D28" s="4">
        <v>8.0</v>
      </c>
      <c r="E28" s="4">
        <v>8.0</v>
      </c>
      <c r="F28" s="4">
        <v>8.0</v>
      </c>
      <c r="G28" s="4">
        <v>8.0</v>
      </c>
      <c r="H28" s="4"/>
      <c r="I28" s="4">
        <v>8.0</v>
      </c>
      <c r="J28" s="4">
        <v>8.0</v>
      </c>
      <c r="K28" s="4">
        <v>8.0</v>
      </c>
      <c r="L28" s="4">
        <v>8.0</v>
      </c>
      <c r="M28" s="4"/>
      <c r="N28" s="4"/>
      <c r="O28" s="4">
        <v>8.0</v>
      </c>
      <c r="P28" s="4">
        <v>8.0</v>
      </c>
    </row>
    <row r="29" ht="23.25" customHeight="1">
      <c r="A29" s="3">
        <v>46081.0</v>
      </c>
      <c r="B29" s="4">
        <v>8.0</v>
      </c>
      <c r="C29" s="4"/>
      <c r="D29" s="4">
        <v>8.0</v>
      </c>
      <c r="E29" s="4">
        <v>8.0</v>
      </c>
      <c r="F29" s="4"/>
      <c r="G29" s="4">
        <v>9.0</v>
      </c>
      <c r="H29" s="4"/>
      <c r="I29" s="4"/>
      <c r="J29" s="4"/>
      <c r="K29" s="4"/>
      <c r="L29" s="4"/>
      <c r="M29" s="4"/>
      <c r="N29" s="4"/>
      <c r="O29" s="4"/>
      <c r="P29" s="4"/>
    </row>
    <row r="30" ht="23.25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23.25" customHeight="1">
      <c r="A31" s="3"/>
      <c r="B31" s="4"/>
      <c r="C31" s="4"/>
      <c r="D31" s="4"/>
      <c r="E31" s="4"/>
      <c r="F31" s="4"/>
      <c r="G31" s="26"/>
      <c r="H31" s="4"/>
      <c r="I31" s="4"/>
      <c r="J31" s="4"/>
      <c r="K31" s="4"/>
      <c r="L31" s="4"/>
      <c r="M31" s="4"/>
      <c r="N31" s="4"/>
      <c r="O31" s="4"/>
      <c r="P31" s="4"/>
    </row>
    <row r="32" ht="23.25" customHeight="1">
      <c r="A32" s="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ht="23.25" customHeight="1">
      <c r="A33" s="7" t="s">
        <v>2</v>
      </c>
      <c r="B33" s="8">
        <f t="shared" ref="B33:P33" si="1">SUM(B2:B32)</f>
        <v>189</v>
      </c>
      <c r="C33" s="8">
        <f t="shared" si="1"/>
        <v>160</v>
      </c>
      <c r="D33" s="8">
        <f t="shared" si="1"/>
        <v>195</v>
      </c>
      <c r="E33" s="8">
        <f t="shared" si="1"/>
        <v>162</v>
      </c>
      <c r="F33" s="8">
        <f t="shared" si="1"/>
        <v>183</v>
      </c>
      <c r="G33" s="8">
        <f t="shared" si="1"/>
        <v>178</v>
      </c>
      <c r="H33" s="8">
        <f t="shared" si="1"/>
        <v>97.5</v>
      </c>
      <c r="I33" s="8">
        <f t="shared" si="1"/>
        <v>176</v>
      </c>
      <c r="J33" s="8">
        <f t="shared" si="1"/>
        <v>141.5</v>
      </c>
      <c r="K33" s="8">
        <f t="shared" si="1"/>
        <v>160</v>
      </c>
      <c r="L33" s="8">
        <f t="shared" si="1"/>
        <v>167</v>
      </c>
      <c r="M33" s="8">
        <f t="shared" si="1"/>
        <v>0</v>
      </c>
      <c r="N33" s="8">
        <f t="shared" si="1"/>
        <v>0</v>
      </c>
      <c r="O33" s="8">
        <f t="shared" si="1"/>
        <v>160</v>
      </c>
      <c r="P33" s="8">
        <f t="shared" si="1"/>
        <v>160</v>
      </c>
    </row>
    <row r="34" ht="32.25" customHeight="1">
      <c r="A34" s="9" t="s">
        <v>3</v>
      </c>
      <c r="B34" s="10">
        <v>160.0</v>
      </c>
      <c r="C34" s="10">
        <v>160.0</v>
      </c>
      <c r="D34" s="10">
        <v>160.0</v>
      </c>
      <c r="E34" s="10">
        <v>160.0</v>
      </c>
      <c r="F34" s="10">
        <v>160.0</v>
      </c>
      <c r="G34" s="10">
        <v>160.0</v>
      </c>
      <c r="H34" s="10">
        <v>160.0</v>
      </c>
      <c r="I34" s="10">
        <v>160.0</v>
      </c>
      <c r="J34" s="10">
        <v>160.0</v>
      </c>
      <c r="K34" s="10">
        <v>160.0</v>
      </c>
      <c r="L34" s="10">
        <v>160.0</v>
      </c>
      <c r="M34" s="10"/>
      <c r="N34" s="10"/>
      <c r="O34" s="10">
        <v>160.0</v>
      </c>
      <c r="P34" s="10">
        <v>160.0</v>
      </c>
    </row>
    <row r="35" ht="32.25" customHeight="1">
      <c r="A35" s="11" t="s">
        <v>4</v>
      </c>
      <c r="B35" s="12">
        <f t="shared" ref="B35:P35" si="2">B33-B34</f>
        <v>29</v>
      </c>
      <c r="C35" s="12">
        <f t="shared" si="2"/>
        <v>0</v>
      </c>
      <c r="D35" s="12">
        <f t="shared" si="2"/>
        <v>35</v>
      </c>
      <c r="E35" s="12">
        <f t="shared" si="2"/>
        <v>2</v>
      </c>
      <c r="F35" s="12">
        <f t="shared" si="2"/>
        <v>23</v>
      </c>
      <c r="G35" s="12">
        <f t="shared" si="2"/>
        <v>18</v>
      </c>
      <c r="H35" s="12">
        <f t="shared" si="2"/>
        <v>-62.5</v>
      </c>
      <c r="I35" s="12">
        <f t="shared" si="2"/>
        <v>16</v>
      </c>
      <c r="J35" s="12">
        <f t="shared" si="2"/>
        <v>-18.5</v>
      </c>
      <c r="K35" s="12">
        <f t="shared" si="2"/>
        <v>0</v>
      </c>
      <c r="L35" s="12">
        <f t="shared" si="2"/>
        <v>7</v>
      </c>
      <c r="M35" s="12">
        <f t="shared" si="2"/>
        <v>0</v>
      </c>
      <c r="N35" s="12">
        <f t="shared" si="2"/>
        <v>0</v>
      </c>
      <c r="O35" s="12">
        <f t="shared" si="2"/>
        <v>0</v>
      </c>
      <c r="P35" s="12">
        <f t="shared" si="2"/>
        <v>0</v>
      </c>
    </row>
    <row r="36" ht="32.25" customHeight="1">
      <c r="A36" s="13" t="s">
        <v>5</v>
      </c>
      <c r="B36" s="15">
        <v>1750.0</v>
      </c>
      <c r="C36" s="15">
        <v>1700.0</v>
      </c>
      <c r="D36" s="15">
        <v>1800.0</v>
      </c>
      <c r="E36" s="15">
        <v>1700.0</v>
      </c>
      <c r="F36" s="15">
        <v>1700.0</v>
      </c>
      <c r="G36" s="15">
        <v>1650.0</v>
      </c>
      <c r="H36" s="15">
        <v>700.0</v>
      </c>
      <c r="I36" s="15">
        <v>1400.0</v>
      </c>
      <c r="J36" s="15">
        <v>1600.0</v>
      </c>
      <c r="K36" s="15">
        <v>2500.0</v>
      </c>
      <c r="L36" s="15">
        <v>1600.0</v>
      </c>
      <c r="M36" s="15"/>
      <c r="N36" s="15"/>
      <c r="O36" s="14">
        <v>2000.0</v>
      </c>
      <c r="P36" s="14">
        <v>2000.0</v>
      </c>
    </row>
    <row r="37" ht="32.25" customHeight="1">
      <c r="A37" s="13" t="s">
        <v>6</v>
      </c>
      <c r="B37" s="15">
        <v>104.0</v>
      </c>
      <c r="C37" s="15">
        <v>104.0</v>
      </c>
      <c r="D37" s="15">
        <v>104.0</v>
      </c>
      <c r="E37" s="15">
        <v>104.0</v>
      </c>
      <c r="F37" s="15">
        <v>104.0</v>
      </c>
      <c r="G37" s="15">
        <v>104.0</v>
      </c>
      <c r="H37" s="15"/>
      <c r="I37" s="15">
        <v>104.0</v>
      </c>
      <c r="J37" s="15">
        <v>104.0</v>
      </c>
      <c r="K37" s="15">
        <v>104.0</v>
      </c>
      <c r="L37" s="15"/>
      <c r="M37" s="15"/>
      <c r="N37" s="15"/>
      <c r="O37" s="15">
        <v>130.0</v>
      </c>
      <c r="P37" s="15"/>
    </row>
    <row r="38" ht="42.0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42.0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23">
        <v>46082.0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46082.0</v>
      </c>
      <c r="B2" s="4"/>
      <c r="C2" s="4"/>
      <c r="D2" s="4"/>
      <c r="E2" s="4"/>
      <c r="F2" s="4">
        <v>3.0</v>
      </c>
      <c r="G2" s="4">
        <v>3.0</v>
      </c>
      <c r="H2" s="4"/>
      <c r="I2" s="4"/>
      <c r="J2" s="4">
        <v>2.5</v>
      </c>
      <c r="K2" s="4"/>
      <c r="L2" s="4"/>
      <c r="M2" s="4"/>
      <c r="N2" s="4"/>
      <c r="O2" s="4"/>
      <c r="P2" s="4"/>
    </row>
    <row r="3" ht="23.25" customHeight="1">
      <c r="A3" s="3">
        <v>46083.0</v>
      </c>
      <c r="B3" s="4">
        <v>8.0</v>
      </c>
      <c r="C3" s="4">
        <v>8.0</v>
      </c>
      <c r="D3" s="4">
        <v>8.0</v>
      </c>
      <c r="E3" s="4">
        <v>8.0</v>
      </c>
      <c r="F3" s="4">
        <v>8.0</v>
      </c>
      <c r="G3" s="4">
        <v>8.0</v>
      </c>
      <c r="H3" s="4"/>
      <c r="I3" s="4">
        <v>8.0</v>
      </c>
      <c r="J3" s="4">
        <v>8.0</v>
      </c>
      <c r="K3" s="4">
        <v>8.0</v>
      </c>
      <c r="L3" s="4">
        <v>8.0</v>
      </c>
      <c r="M3" s="4">
        <v>8.0</v>
      </c>
      <c r="N3" s="4">
        <v>8.0</v>
      </c>
      <c r="O3" s="4">
        <v>8.0</v>
      </c>
      <c r="P3" s="4">
        <v>8.0</v>
      </c>
    </row>
    <row r="4" ht="23.25" customHeight="1">
      <c r="A4" s="3">
        <v>46084.0</v>
      </c>
      <c r="B4" s="4">
        <v>8.0</v>
      </c>
      <c r="C4" s="4">
        <v>8.0</v>
      </c>
      <c r="D4" s="4">
        <v>8.0</v>
      </c>
      <c r="E4" s="4">
        <v>8.0</v>
      </c>
      <c r="F4" s="4">
        <v>8.0</v>
      </c>
      <c r="G4" s="4">
        <v>6.0</v>
      </c>
      <c r="H4" s="4"/>
      <c r="I4" s="4">
        <v>8.0</v>
      </c>
      <c r="J4" s="4">
        <v>8.0</v>
      </c>
      <c r="K4" s="4">
        <v>8.0</v>
      </c>
      <c r="L4" s="4">
        <v>8.0</v>
      </c>
      <c r="M4" s="4">
        <v>8.0</v>
      </c>
      <c r="N4" s="4">
        <v>8.0</v>
      </c>
      <c r="O4" s="4">
        <v>8.0</v>
      </c>
      <c r="P4" s="4">
        <v>8.0</v>
      </c>
    </row>
    <row r="5" ht="23.25" customHeight="1">
      <c r="A5" s="3">
        <v>46085.0</v>
      </c>
      <c r="B5" s="4">
        <v>8.0</v>
      </c>
      <c r="C5" s="4">
        <v>8.0</v>
      </c>
      <c r="D5" s="4">
        <v>8.0</v>
      </c>
      <c r="E5" s="4">
        <v>8.0</v>
      </c>
      <c r="F5" s="4">
        <v>8.0</v>
      </c>
      <c r="G5" s="4">
        <v>8.0</v>
      </c>
      <c r="H5" s="4"/>
      <c r="I5" s="4">
        <v>8.0</v>
      </c>
      <c r="J5" s="4">
        <v>8.0</v>
      </c>
      <c r="K5" s="4">
        <v>8.0</v>
      </c>
      <c r="L5" s="4">
        <v>9.0</v>
      </c>
      <c r="M5" s="4">
        <v>8.0</v>
      </c>
      <c r="N5" s="4">
        <v>8.0</v>
      </c>
      <c r="O5" s="4">
        <v>8.0</v>
      </c>
      <c r="P5" s="4">
        <v>8.0</v>
      </c>
    </row>
    <row r="6" ht="23.25" customHeight="1">
      <c r="A6" s="3">
        <v>46086.0</v>
      </c>
      <c r="B6" s="4">
        <v>8.0</v>
      </c>
      <c r="C6" s="4">
        <v>8.0</v>
      </c>
      <c r="D6" s="4">
        <v>8.0</v>
      </c>
      <c r="E6" s="4">
        <v>8.0</v>
      </c>
      <c r="F6" s="4">
        <v>8.0</v>
      </c>
      <c r="G6" s="4">
        <v>8.0</v>
      </c>
      <c r="H6" s="4"/>
      <c r="I6" s="4">
        <v>8.0</v>
      </c>
      <c r="J6" s="4">
        <v>8.0</v>
      </c>
      <c r="K6" s="4">
        <v>8.0</v>
      </c>
      <c r="L6" s="4">
        <v>8.0</v>
      </c>
      <c r="M6" s="4"/>
      <c r="N6" s="4">
        <v>8.0</v>
      </c>
      <c r="O6" s="4">
        <v>8.0</v>
      </c>
      <c r="P6" s="4">
        <v>8.0</v>
      </c>
    </row>
    <row r="7" ht="23.25" customHeight="1">
      <c r="A7" s="3">
        <v>46087.0</v>
      </c>
      <c r="B7" s="4">
        <v>8.0</v>
      </c>
      <c r="C7" s="4">
        <v>8.0</v>
      </c>
      <c r="D7" s="4">
        <v>8.0</v>
      </c>
      <c r="E7" s="4">
        <v>8.0</v>
      </c>
      <c r="F7" s="4">
        <v>8.0</v>
      </c>
      <c r="G7" s="4">
        <v>8.0</v>
      </c>
      <c r="H7" s="4"/>
      <c r="I7" s="4">
        <v>8.0</v>
      </c>
      <c r="J7" s="4">
        <v>8.0</v>
      </c>
      <c r="K7" s="4">
        <v>8.0</v>
      </c>
      <c r="L7" s="4">
        <v>9.0</v>
      </c>
      <c r="M7" s="4">
        <v>8.0</v>
      </c>
      <c r="N7" s="4">
        <v>8.0</v>
      </c>
      <c r="O7" s="4">
        <v>8.0</v>
      </c>
      <c r="P7" s="4">
        <v>8.0</v>
      </c>
    </row>
    <row r="8" ht="23.25" customHeight="1">
      <c r="A8" s="3">
        <v>46088.0</v>
      </c>
      <c r="B8" s="4">
        <v>8.0</v>
      </c>
      <c r="C8" s="4"/>
      <c r="D8" s="4"/>
      <c r="E8" s="4">
        <v>8.0</v>
      </c>
      <c r="F8" s="4">
        <v>8.0</v>
      </c>
      <c r="G8" s="4">
        <v>8.0</v>
      </c>
      <c r="H8" s="4"/>
      <c r="I8" s="4">
        <v>8.0</v>
      </c>
      <c r="J8" s="4"/>
      <c r="K8" s="4"/>
      <c r="L8" s="4"/>
      <c r="M8" s="4">
        <v>4.0</v>
      </c>
      <c r="N8" s="4"/>
      <c r="O8" s="4"/>
      <c r="P8" s="4"/>
    </row>
    <row r="9" ht="23.25" customHeight="1">
      <c r="A9" s="3">
        <v>46089.0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3.25" customHeight="1">
      <c r="A10" s="3">
        <v>46090.0</v>
      </c>
      <c r="B10" s="4">
        <v>8.0</v>
      </c>
      <c r="C10" s="4">
        <v>8.0</v>
      </c>
      <c r="D10" s="4">
        <v>8.0</v>
      </c>
      <c r="E10" s="4">
        <v>8.0</v>
      </c>
      <c r="F10" s="4">
        <v>8.0</v>
      </c>
      <c r="G10" s="4">
        <v>8.0</v>
      </c>
      <c r="H10" s="4"/>
      <c r="I10" s="4">
        <v>8.0</v>
      </c>
      <c r="J10" s="4">
        <v>8.0</v>
      </c>
      <c r="K10" s="4">
        <v>8.0</v>
      </c>
      <c r="L10" s="4">
        <v>8.0</v>
      </c>
      <c r="M10" s="4"/>
      <c r="N10" s="4">
        <v>8.0</v>
      </c>
      <c r="O10" s="4">
        <v>8.0</v>
      </c>
      <c r="P10" s="4">
        <v>8.0</v>
      </c>
    </row>
    <row r="11" ht="23.25" customHeight="1">
      <c r="A11" s="3">
        <v>46091.0</v>
      </c>
      <c r="B11" s="4">
        <v>8.0</v>
      </c>
      <c r="C11" s="4">
        <v>8.0</v>
      </c>
      <c r="D11" s="4">
        <v>8.0</v>
      </c>
      <c r="E11" s="4">
        <v>8.0</v>
      </c>
      <c r="F11" s="4">
        <v>8.0</v>
      </c>
      <c r="G11" s="4">
        <v>6.0</v>
      </c>
      <c r="H11" s="4"/>
      <c r="I11" s="4">
        <v>8.0</v>
      </c>
      <c r="J11" s="4">
        <v>8.0</v>
      </c>
      <c r="K11" s="4">
        <v>8.0</v>
      </c>
      <c r="L11" s="4">
        <v>8.0</v>
      </c>
      <c r="M11" s="4"/>
      <c r="N11" s="4">
        <v>8.0</v>
      </c>
      <c r="O11" s="4">
        <v>8.0</v>
      </c>
      <c r="P11" s="4">
        <v>8.0</v>
      </c>
    </row>
    <row r="12" ht="23.25" customHeight="1">
      <c r="A12" s="3">
        <v>46092.0</v>
      </c>
      <c r="B12" s="4">
        <v>8.0</v>
      </c>
      <c r="C12" s="4">
        <v>8.0</v>
      </c>
      <c r="D12" s="4">
        <v>8.0</v>
      </c>
      <c r="E12" s="4">
        <v>8.0</v>
      </c>
      <c r="F12" s="4">
        <v>8.0</v>
      </c>
      <c r="G12" s="4">
        <v>8.0</v>
      </c>
      <c r="H12" s="4"/>
      <c r="I12" s="4">
        <v>7.0</v>
      </c>
      <c r="J12" s="4">
        <v>8.0</v>
      </c>
      <c r="K12" s="4">
        <v>8.0</v>
      </c>
      <c r="L12" s="4">
        <v>9.0</v>
      </c>
      <c r="M12" s="4"/>
      <c r="N12" s="4">
        <v>8.0</v>
      </c>
      <c r="O12" s="4">
        <v>8.0</v>
      </c>
      <c r="P12" s="4">
        <v>8.0</v>
      </c>
    </row>
    <row r="13" ht="23.25" customHeight="1">
      <c r="A13" s="3">
        <v>46093.0</v>
      </c>
      <c r="B13" s="4">
        <v>8.0</v>
      </c>
      <c r="C13" s="4">
        <v>8.0</v>
      </c>
      <c r="D13" s="4">
        <v>8.0</v>
      </c>
      <c r="E13" s="4">
        <v>8.0</v>
      </c>
      <c r="F13" s="4">
        <v>8.0</v>
      </c>
      <c r="G13" s="4">
        <v>8.0</v>
      </c>
      <c r="H13" s="4"/>
      <c r="I13" s="4">
        <v>8.0</v>
      </c>
      <c r="J13" s="4">
        <v>8.0</v>
      </c>
      <c r="K13" s="4">
        <v>8.0</v>
      </c>
      <c r="L13" s="4">
        <v>8.0</v>
      </c>
      <c r="M13" s="4"/>
      <c r="N13" s="4">
        <v>8.0</v>
      </c>
      <c r="O13" s="4">
        <v>8.0</v>
      </c>
      <c r="P13" s="4">
        <v>8.0</v>
      </c>
    </row>
    <row r="14" ht="23.25" customHeight="1">
      <c r="A14" s="3">
        <v>46094.0</v>
      </c>
      <c r="B14" s="4">
        <v>8.0</v>
      </c>
      <c r="C14" s="4">
        <v>8.0</v>
      </c>
      <c r="D14" s="4">
        <v>8.0</v>
      </c>
      <c r="E14" s="4">
        <v>8.0</v>
      </c>
      <c r="F14" s="4">
        <v>8.0</v>
      </c>
      <c r="G14" s="4">
        <v>8.0</v>
      </c>
      <c r="H14" s="4"/>
      <c r="I14" s="4">
        <v>8.0</v>
      </c>
      <c r="J14" s="4">
        <v>8.0</v>
      </c>
      <c r="K14" s="4">
        <v>8.0</v>
      </c>
      <c r="L14" s="4">
        <v>9.0</v>
      </c>
      <c r="M14" s="4"/>
      <c r="N14" s="4">
        <v>8.0</v>
      </c>
      <c r="O14" s="4">
        <v>8.0</v>
      </c>
      <c r="P14" s="4">
        <v>8.0</v>
      </c>
    </row>
    <row r="15" ht="23.25" customHeight="1">
      <c r="A15" s="3">
        <v>46095.0</v>
      </c>
      <c r="B15" s="4">
        <v>8.0</v>
      </c>
      <c r="C15" s="4"/>
      <c r="D15" s="4">
        <v>8.0</v>
      </c>
      <c r="E15" s="4">
        <v>8.0</v>
      </c>
      <c r="F15" s="4"/>
      <c r="G15" s="4">
        <v>6.5</v>
      </c>
      <c r="H15" s="4"/>
      <c r="I15" s="4">
        <v>4.0</v>
      </c>
      <c r="J15" s="4"/>
      <c r="K15" s="4"/>
      <c r="L15" s="4"/>
      <c r="M15" s="4"/>
      <c r="N15" s="4"/>
      <c r="O15" s="4"/>
      <c r="P15" s="4"/>
    </row>
    <row r="16" ht="23.25" customHeight="1">
      <c r="A16" s="3">
        <v>46096.0</v>
      </c>
      <c r="B16" s="4">
        <v>8.0</v>
      </c>
      <c r="C16" s="4"/>
      <c r="D16" s="4"/>
      <c r="E16" s="4"/>
      <c r="F16" s="4"/>
      <c r="G16" s="4">
        <v>8.5</v>
      </c>
      <c r="H16" s="4"/>
      <c r="I16" s="4"/>
      <c r="J16" s="4">
        <v>3.0</v>
      </c>
      <c r="K16" s="4"/>
      <c r="L16" s="4"/>
      <c r="M16" s="4"/>
      <c r="N16" s="4">
        <v>8.0</v>
      </c>
      <c r="O16" s="4"/>
      <c r="P16" s="4"/>
    </row>
    <row r="17" ht="23.25" customHeight="1">
      <c r="A17" s="3">
        <v>46097.0</v>
      </c>
      <c r="B17" s="4">
        <v>8.0</v>
      </c>
      <c r="C17" s="4">
        <v>8.0</v>
      </c>
      <c r="D17" s="4">
        <v>8.0</v>
      </c>
      <c r="E17" s="4">
        <v>8.0</v>
      </c>
      <c r="F17" s="4">
        <v>8.0</v>
      </c>
      <c r="G17" s="4">
        <v>8.0</v>
      </c>
      <c r="H17" s="4"/>
      <c r="I17" s="4">
        <v>8.0</v>
      </c>
      <c r="J17" s="4">
        <v>8.0</v>
      </c>
      <c r="K17" s="4">
        <v>8.0</v>
      </c>
      <c r="L17" s="4">
        <v>8.0</v>
      </c>
      <c r="M17" s="4"/>
      <c r="N17" s="4">
        <v>8.0</v>
      </c>
      <c r="O17" s="4">
        <v>8.0</v>
      </c>
      <c r="P17" s="4">
        <v>8.0</v>
      </c>
    </row>
    <row r="18" ht="23.25" customHeight="1">
      <c r="A18" s="3">
        <v>46098.0</v>
      </c>
      <c r="B18" s="4">
        <v>8.0</v>
      </c>
      <c r="C18" s="4">
        <v>8.0</v>
      </c>
      <c r="D18" s="4">
        <v>8.0</v>
      </c>
      <c r="E18" s="4">
        <v>8.0</v>
      </c>
      <c r="F18" s="4">
        <v>8.0</v>
      </c>
      <c r="G18" s="4">
        <v>6.0</v>
      </c>
      <c r="H18" s="4"/>
      <c r="I18" s="4">
        <v>8.0</v>
      </c>
      <c r="J18" s="4">
        <v>8.0</v>
      </c>
      <c r="K18" s="4">
        <v>8.0</v>
      </c>
      <c r="L18" s="4">
        <v>8.0</v>
      </c>
      <c r="M18" s="4"/>
      <c r="N18" s="4">
        <v>8.0</v>
      </c>
      <c r="O18" s="4">
        <v>8.0</v>
      </c>
      <c r="P18" s="4">
        <v>8.0</v>
      </c>
    </row>
    <row r="19" ht="23.25" customHeight="1">
      <c r="A19" s="3">
        <v>46099.0</v>
      </c>
      <c r="B19" s="4">
        <v>8.0</v>
      </c>
      <c r="C19" s="4">
        <v>8.0</v>
      </c>
      <c r="D19" s="4">
        <v>8.0</v>
      </c>
      <c r="E19" s="4">
        <v>8.0</v>
      </c>
      <c r="F19" s="4">
        <v>8.0</v>
      </c>
      <c r="G19" s="4">
        <v>8.0</v>
      </c>
      <c r="H19" s="4"/>
      <c r="I19" s="4">
        <v>7.0</v>
      </c>
      <c r="J19" s="4">
        <v>8.0</v>
      </c>
      <c r="K19" s="4">
        <v>8.0</v>
      </c>
      <c r="L19" s="4">
        <v>9.0</v>
      </c>
      <c r="M19" s="4"/>
      <c r="N19" s="4">
        <v>8.0</v>
      </c>
      <c r="O19" s="4">
        <v>8.0</v>
      </c>
      <c r="P19" s="4">
        <v>8.0</v>
      </c>
    </row>
    <row r="20" ht="23.25" customHeight="1">
      <c r="A20" s="3">
        <v>46100.0</v>
      </c>
      <c r="B20" s="4">
        <v>8.0</v>
      </c>
      <c r="C20" s="4">
        <v>7.0</v>
      </c>
      <c r="D20" s="4">
        <v>8.0</v>
      </c>
      <c r="E20" s="4">
        <v>8.0</v>
      </c>
      <c r="F20" s="4">
        <v>8.0</v>
      </c>
      <c r="G20" s="4">
        <v>8.0</v>
      </c>
      <c r="H20" s="4"/>
      <c r="I20" s="4">
        <v>8.0</v>
      </c>
      <c r="J20" s="4">
        <v>8.0</v>
      </c>
      <c r="K20" s="4">
        <v>8.0</v>
      </c>
      <c r="L20" s="4">
        <v>8.0</v>
      </c>
      <c r="M20" s="4"/>
      <c r="N20" s="4">
        <v>8.0</v>
      </c>
      <c r="O20" s="4">
        <v>8.0</v>
      </c>
      <c r="P20" s="4">
        <v>8.0</v>
      </c>
    </row>
    <row r="21" ht="23.25" customHeight="1">
      <c r="A21" s="3">
        <v>46101.0</v>
      </c>
      <c r="B21" s="4">
        <v>8.0</v>
      </c>
      <c r="C21" s="4"/>
      <c r="D21" s="4">
        <v>8.0</v>
      </c>
      <c r="E21" s="4">
        <v>8.0</v>
      </c>
      <c r="F21" s="4">
        <v>4.5</v>
      </c>
      <c r="G21" s="4">
        <v>8.0</v>
      </c>
      <c r="H21" s="4"/>
      <c r="I21" s="4">
        <v>8.0</v>
      </c>
      <c r="J21" s="4">
        <v>8.0</v>
      </c>
      <c r="K21" s="4">
        <v>8.0</v>
      </c>
      <c r="L21" s="4">
        <v>9.0</v>
      </c>
      <c r="M21" s="4"/>
      <c r="N21" s="4">
        <v>8.0</v>
      </c>
      <c r="O21" s="4">
        <v>8.0</v>
      </c>
      <c r="P21" s="4">
        <v>8.0</v>
      </c>
    </row>
    <row r="22" ht="23.25" customHeight="1">
      <c r="A22" s="3">
        <v>46102.0</v>
      </c>
      <c r="B22" s="4">
        <v>8.0</v>
      </c>
      <c r="C22" s="4"/>
      <c r="D22" s="4">
        <v>8.0</v>
      </c>
      <c r="E22" s="4"/>
      <c r="F22" s="4">
        <v>8.0</v>
      </c>
      <c r="G22" s="4"/>
      <c r="H22" s="4"/>
      <c r="I22" s="4">
        <v>8.0</v>
      </c>
      <c r="J22" s="4"/>
      <c r="K22" s="4"/>
      <c r="L22" s="4"/>
      <c r="M22" s="4"/>
      <c r="N22" s="4">
        <v>8.0</v>
      </c>
      <c r="O22" s="4"/>
      <c r="P22" s="4"/>
    </row>
    <row r="23" ht="23.25" customHeight="1">
      <c r="A23" s="3">
        <v>46103.0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23.25" customHeight="1">
      <c r="A24" s="3">
        <v>46104.0</v>
      </c>
      <c r="B24" s="4">
        <v>8.0</v>
      </c>
      <c r="C24" s="4">
        <v>8.0</v>
      </c>
      <c r="D24" s="4">
        <v>8.0</v>
      </c>
      <c r="E24" s="4">
        <v>8.0</v>
      </c>
      <c r="F24" s="4">
        <v>8.0</v>
      </c>
      <c r="G24" s="4">
        <v>8.0</v>
      </c>
      <c r="H24" s="4"/>
      <c r="I24" s="4">
        <v>8.0</v>
      </c>
      <c r="J24" s="4">
        <v>8.0</v>
      </c>
      <c r="K24" s="4">
        <v>8.0</v>
      </c>
      <c r="L24" s="4">
        <v>8.0</v>
      </c>
      <c r="M24" s="4"/>
      <c r="N24" s="4">
        <v>8.0</v>
      </c>
      <c r="O24" s="4">
        <v>8.0</v>
      </c>
      <c r="P24" s="4">
        <v>8.0</v>
      </c>
    </row>
    <row r="25" ht="23.25" customHeight="1">
      <c r="A25" s="3">
        <v>46105.0</v>
      </c>
      <c r="B25" s="4">
        <v>8.0</v>
      </c>
      <c r="C25" s="4">
        <v>8.0</v>
      </c>
      <c r="D25" s="4">
        <v>8.0</v>
      </c>
      <c r="E25" s="4">
        <v>8.0</v>
      </c>
      <c r="F25" s="4">
        <v>5.5</v>
      </c>
      <c r="G25" s="4">
        <v>6.0</v>
      </c>
      <c r="H25" s="4"/>
      <c r="I25" s="4">
        <v>8.0</v>
      </c>
      <c r="J25" s="4">
        <v>8.0</v>
      </c>
      <c r="K25" s="4">
        <v>8.0</v>
      </c>
      <c r="L25" s="4">
        <v>8.0</v>
      </c>
      <c r="M25" s="4"/>
      <c r="N25" s="4">
        <v>8.0</v>
      </c>
      <c r="O25" s="4">
        <v>8.0</v>
      </c>
      <c r="P25" s="4">
        <v>8.0</v>
      </c>
    </row>
    <row r="26" ht="23.25" customHeight="1">
      <c r="A26" s="3">
        <v>46106.0</v>
      </c>
      <c r="B26" s="4">
        <v>8.0</v>
      </c>
      <c r="C26" s="4">
        <v>8.0</v>
      </c>
      <c r="D26" s="4">
        <v>8.0</v>
      </c>
      <c r="E26" s="4">
        <v>8.0</v>
      </c>
      <c r="F26" s="4">
        <v>8.0</v>
      </c>
      <c r="G26" s="4">
        <v>8.0</v>
      </c>
      <c r="H26" s="4"/>
      <c r="I26" s="4">
        <v>8.0</v>
      </c>
      <c r="J26" s="4">
        <v>8.0</v>
      </c>
      <c r="K26" s="4">
        <v>8.0</v>
      </c>
      <c r="L26" s="4">
        <v>9.0</v>
      </c>
      <c r="M26" s="4"/>
      <c r="N26" s="4">
        <v>8.0</v>
      </c>
      <c r="O26" s="4">
        <v>8.0</v>
      </c>
      <c r="P26" s="4">
        <v>8.0</v>
      </c>
    </row>
    <row r="27" ht="23.25" customHeight="1">
      <c r="A27" s="3">
        <v>46107.0</v>
      </c>
      <c r="B27" s="4">
        <v>8.0</v>
      </c>
      <c r="C27" s="4">
        <v>8.0</v>
      </c>
      <c r="D27" s="4">
        <v>8.0</v>
      </c>
      <c r="E27" s="4">
        <v>8.0</v>
      </c>
      <c r="F27" s="4">
        <v>8.0</v>
      </c>
      <c r="G27" s="4">
        <v>8.0</v>
      </c>
      <c r="H27" s="4"/>
      <c r="I27" s="4">
        <v>8.0</v>
      </c>
      <c r="J27" s="4">
        <v>8.0</v>
      </c>
      <c r="K27" s="4">
        <v>8.0</v>
      </c>
      <c r="L27" s="4">
        <v>8.0</v>
      </c>
      <c r="M27" s="4"/>
      <c r="N27" s="4">
        <v>8.0</v>
      </c>
      <c r="O27" s="4">
        <v>8.0</v>
      </c>
      <c r="P27" s="4">
        <v>8.0</v>
      </c>
    </row>
    <row r="28" ht="23.25" customHeight="1">
      <c r="A28" s="3">
        <v>46108.0</v>
      </c>
      <c r="B28" s="4">
        <v>8.0</v>
      </c>
      <c r="C28" s="4">
        <v>8.0</v>
      </c>
      <c r="D28" s="4">
        <v>8.0</v>
      </c>
      <c r="E28" s="4">
        <v>8.0</v>
      </c>
      <c r="F28" s="4">
        <v>8.0</v>
      </c>
      <c r="G28" s="4">
        <v>8.0</v>
      </c>
      <c r="H28" s="4"/>
      <c r="I28" s="4">
        <v>8.0</v>
      </c>
      <c r="J28" s="4">
        <v>8.0</v>
      </c>
      <c r="K28" s="4">
        <v>8.0</v>
      </c>
      <c r="L28" s="4">
        <v>9.0</v>
      </c>
      <c r="M28" s="4"/>
      <c r="N28" s="4">
        <v>8.0</v>
      </c>
      <c r="O28" s="4">
        <v>8.0</v>
      </c>
      <c r="P28" s="4">
        <v>8.0</v>
      </c>
    </row>
    <row r="29" ht="23.25" customHeight="1">
      <c r="A29" s="3">
        <v>46109.0</v>
      </c>
      <c r="B29" s="4"/>
      <c r="C29" s="4"/>
      <c r="D29" s="4">
        <v>8.0</v>
      </c>
      <c r="E29" s="4">
        <v>8.0</v>
      </c>
      <c r="F29" s="4">
        <v>8.0</v>
      </c>
      <c r="G29" s="4"/>
      <c r="H29" s="4"/>
      <c r="I29" s="4">
        <v>8.0</v>
      </c>
      <c r="J29" s="4"/>
      <c r="K29" s="4"/>
      <c r="L29" s="4"/>
      <c r="M29" s="4"/>
      <c r="N29" s="4">
        <v>8.0</v>
      </c>
      <c r="O29" s="4"/>
      <c r="P29" s="4"/>
    </row>
    <row r="30" ht="23.25" customHeight="1">
      <c r="A30" s="3">
        <v>46110.0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23.25" customHeight="1">
      <c r="A31" s="3">
        <v>46111.0</v>
      </c>
      <c r="B31" s="4">
        <v>8.0</v>
      </c>
      <c r="C31" s="4">
        <v>8.0</v>
      </c>
      <c r="D31" s="4">
        <v>8.0</v>
      </c>
      <c r="E31" s="4">
        <v>7.0</v>
      </c>
      <c r="F31" s="4">
        <v>8.0</v>
      </c>
      <c r="G31" s="4">
        <v>8.0</v>
      </c>
      <c r="H31" s="4"/>
      <c r="I31" s="4"/>
      <c r="J31" s="4">
        <v>8.0</v>
      </c>
      <c r="K31" s="4">
        <v>8.0</v>
      </c>
      <c r="L31" s="4">
        <v>8.0</v>
      </c>
      <c r="M31" s="4"/>
      <c r="N31" s="4">
        <v>8.0</v>
      </c>
      <c r="O31" s="4">
        <v>8.0</v>
      </c>
      <c r="P31" s="4">
        <v>8.0</v>
      </c>
    </row>
    <row r="32" ht="23.25" customHeight="1">
      <c r="A32" s="5">
        <v>46112.0</v>
      </c>
      <c r="B32" s="4">
        <v>8.0</v>
      </c>
      <c r="C32" s="4"/>
      <c r="D32" s="4">
        <v>8.0</v>
      </c>
      <c r="E32" s="4">
        <v>8.0</v>
      </c>
      <c r="F32" s="4">
        <v>8.0</v>
      </c>
      <c r="G32" s="4">
        <v>6.0</v>
      </c>
      <c r="H32" s="4"/>
      <c r="I32" s="4">
        <v>8.0</v>
      </c>
      <c r="J32" s="4">
        <v>8.0</v>
      </c>
      <c r="K32" s="4">
        <v>8.0</v>
      </c>
      <c r="L32" s="4">
        <v>8.0</v>
      </c>
      <c r="M32" s="4"/>
      <c r="N32" s="4">
        <v>8.0</v>
      </c>
      <c r="O32" s="4">
        <v>8.0</v>
      </c>
      <c r="P32" s="4">
        <v>8.0</v>
      </c>
    </row>
    <row r="33" ht="23.25" customHeight="1">
      <c r="A33" s="7" t="s">
        <v>2</v>
      </c>
      <c r="B33" s="8">
        <f t="shared" ref="B33:P33" si="1">SUM(B2:B32)</f>
        <v>208</v>
      </c>
      <c r="C33" s="8">
        <f t="shared" si="1"/>
        <v>159</v>
      </c>
      <c r="D33" s="8">
        <f t="shared" si="1"/>
        <v>200</v>
      </c>
      <c r="E33" s="8">
        <f t="shared" si="1"/>
        <v>199</v>
      </c>
      <c r="F33" s="8">
        <f t="shared" si="1"/>
        <v>197</v>
      </c>
      <c r="G33" s="8">
        <f t="shared" si="1"/>
        <v>192</v>
      </c>
      <c r="H33" s="8">
        <f t="shared" si="1"/>
        <v>0</v>
      </c>
      <c r="I33" s="8">
        <f t="shared" si="1"/>
        <v>194</v>
      </c>
      <c r="J33" s="8">
        <f t="shared" si="1"/>
        <v>181.5</v>
      </c>
      <c r="K33" s="8">
        <f t="shared" si="1"/>
        <v>176</v>
      </c>
      <c r="L33" s="8">
        <f t="shared" si="1"/>
        <v>184</v>
      </c>
      <c r="M33" s="8">
        <f t="shared" si="1"/>
        <v>36</v>
      </c>
      <c r="N33" s="8">
        <f t="shared" si="1"/>
        <v>200</v>
      </c>
      <c r="O33" s="8">
        <f t="shared" si="1"/>
        <v>176</v>
      </c>
      <c r="P33" s="8">
        <f t="shared" si="1"/>
        <v>176</v>
      </c>
    </row>
    <row r="34" ht="32.25" customHeight="1">
      <c r="A34" s="9" t="s">
        <v>3</v>
      </c>
      <c r="B34" s="10">
        <v>176.0</v>
      </c>
      <c r="C34" s="10">
        <v>176.0</v>
      </c>
      <c r="D34" s="10">
        <v>176.0</v>
      </c>
      <c r="E34" s="10">
        <v>176.0</v>
      </c>
      <c r="F34" s="10">
        <v>176.0</v>
      </c>
      <c r="G34" s="10">
        <v>176.0</v>
      </c>
      <c r="H34" s="10"/>
      <c r="I34" s="10">
        <v>176.0</v>
      </c>
      <c r="J34" s="10">
        <v>176.0</v>
      </c>
      <c r="K34" s="10">
        <v>176.0</v>
      </c>
      <c r="L34" s="10">
        <v>176.0</v>
      </c>
      <c r="M34" s="10"/>
      <c r="N34" s="10">
        <v>176.0</v>
      </c>
      <c r="O34" s="10">
        <v>176.0</v>
      </c>
      <c r="P34" s="10">
        <v>176.0</v>
      </c>
    </row>
    <row r="35" ht="32.25" customHeight="1">
      <c r="A35" s="11" t="s">
        <v>4</v>
      </c>
      <c r="B35" s="12">
        <f t="shared" ref="B35:P35" si="2">B33-B34</f>
        <v>32</v>
      </c>
      <c r="C35" s="12">
        <f t="shared" si="2"/>
        <v>-17</v>
      </c>
      <c r="D35" s="12">
        <f t="shared" si="2"/>
        <v>24</v>
      </c>
      <c r="E35" s="12">
        <f t="shared" si="2"/>
        <v>23</v>
      </c>
      <c r="F35" s="12">
        <f t="shared" si="2"/>
        <v>21</v>
      </c>
      <c r="G35" s="12">
        <f t="shared" si="2"/>
        <v>16</v>
      </c>
      <c r="H35" s="12">
        <f t="shared" si="2"/>
        <v>0</v>
      </c>
      <c r="I35" s="12">
        <f t="shared" si="2"/>
        <v>18</v>
      </c>
      <c r="J35" s="12">
        <f t="shared" si="2"/>
        <v>5.5</v>
      </c>
      <c r="K35" s="12">
        <f t="shared" si="2"/>
        <v>0</v>
      </c>
      <c r="L35" s="12">
        <f t="shared" si="2"/>
        <v>8</v>
      </c>
      <c r="M35" s="12">
        <f t="shared" si="2"/>
        <v>36</v>
      </c>
      <c r="N35" s="12">
        <f t="shared" si="2"/>
        <v>24</v>
      </c>
      <c r="O35" s="12">
        <f t="shared" si="2"/>
        <v>0</v>
      </c>
      <c r="P35" s="12">
        <f t="shared" si="2"/>
        <v>0</v>
      </c>
    </row>
    <row r="36" ht="32.25" customHeight="1">
      <c r="A36" s="28" t="s">
        <v>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4"/>
      <c r="P36" s="14"/>
    </row>
    <row r="37" ht="32.25" customHeight="1">
      <c r="A37" s="28" t="s">
        <v>6</v>
      </c>
      <c r="B37" s="15">
        <v>104.0</v>
      </c>
      <c r="C37" s="15">
        <v>104.0</v>
      </c>
      <c r="D37" s="15">
        <v>104.0</v>
      </c>
      <c r="E37" s="15">
        <v>104.0</v>
      </c>
      <c r="F37" s="15">
        <v>104.0</v>
      </c>
      <c r="G37" s="15">
        <v>104.0</v>
      </c>
      <c r="H37" s="15"/>
      <c r="I37" s="15">
        <v>104.0</v>
      </c>
      <c r="J37" s="15">
        <v>104.0</v>
      </c>
      <c r="K37" s="15">
        <v>104.0</v>
      </c>
      <c r="L37" s="15"/>
      <c r="M37" s="15"/>
      <c r="N37" s="15"/>
      <c r="O37" s="15">
        <v>130.0</v>
      </c>
      <c r="P37" s="15"/>
    </row>
    <row r="38" ht="39.0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39.0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1">
        <v>46113.0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46113.0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3.25" customHeight="1">
      <c r="A3" s="3">
        <v>46114.0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3.25" customHeight="1">
      <c r="A4" s="3">
        <v>46115.0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3.25" customHeight="1">
      <c r="A5" s="3">
        <v>46116.0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3.25" customHeight="1">
      <c r="A6" s="3">
        <v>46117.0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23.25" customHeight="1">
      <c r="A7" s="3">
        <v>46118.0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23.25" customHeight="1">
      <c r="A8" s="3">
        <v>46119.0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23.25" customHeight="1">
      <c r="A9" s="3">
        <v>46120.0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3.25" customHeight="1">
      <c r="A10" s="3">
        <v>46121.0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23.25" customHeight="1">
      <c r="A11" s="3">
        <v>46122.0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23.25" customHeight="1">
      <c r="A12" s="3">
        <v>46123.0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3.25" customHeight="1">
      <c r="A13" s="3">
        <v>46124.0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3.25" customHeight="1">
      <c r="A14" s="3">
        <v>46125.0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3.25" customHeight="1">
      <c r="A15" s="3">
        <v>46126.0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3.25" customHeight="1">
      <c r="A16" s="3">
        <v>46127.0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3.25" customHeight="1">
      <c r="A17" s="3">
        <v>46128.0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3.25" customHeight="1">
      <c r="A18" s="3">
        <v>46129.0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3.25" customHeight="1">
      <c r="A19" s="3">
        <v>46130.0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3.25" customHeight="1">
      <c r="A20" s="3">
        <v>46131.0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23.25" customHeight="1">
      <c r="A21" s="3">
        <v>46132.0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23.25" customHeight="1">
      <c r="A22" s="3">
        <v>46133.0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23.25" customHeight="1">
      <c r="A23" s="3">
        <v>46134.0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23.25" customHeight="1">
      <c r="A24" s="3">
        <v>46135.0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23.25" customHeight="1">
      <c r="A25" s="3">
        <v>46136.0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23.25" customHeight="1">
      <c r="A26" s="3">
        <v>46137.0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23.25" customHeight="1">
      <c r="A27" s="3">
        <v>46138.0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23.25" customHeight="1">
      <c r="A28" s="3">
        <v>46139.0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23.25" customHeight="1">
      <c r="A29" s="3">
        <v>46140.0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23.25" customHeight="1">
      <c r="A30" s="3">
        <v>46141.0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23.25" customHeight="1">
      <c r="A31" s="3">
        <v>46142.0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23.2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23.25" customHeight="1">
      <c r="A33" s="7" t="s">
        <v>2</v>
      </c>
      <c r="B33" s="8">
        <f t="shared" ref="B33:P33" si="1">SUM(B2:B32)</f>
        <v>0</v>
      </c>
      <c r="C33" s="8">
        <f t="shared" si="1"/>
        <v>0</v>
      </c>
      <c r="D33" s="8">
        <f t="shared" si="1"/>
        <v>0</v>
      </c>
      <c r="E33" s="8">
        <f t="shared" si="1"/>
        <v>0</v>
      </c>
      <c r="F33" s="8">
        <f t="shared" si="1"/>
        <v>0</v>
      </c>
      <c r="G33" s="8">
        <f t="shared" si="1"/>
        <v>0</v>
      </c>
      <c r="H33" s="8">
        <f t="shared" si="1"/>
        <v>0</v>
      </c>
      <c r="I33" s="8">
        <f t="shared" si="1"/>
        <v>0</v>
      </c>
      <c r="J33" s="8">
        <f t="shared" si="1"/>
        <v>0</v>
      </c>
      <c r="K33" s="8">
        <f t="shared" si="1"/>
        <v>0</v>
      </c>
      <c r="L33" s="8">
        <f t="shared" si="1"/>
        <v>0</v>
      </c>
      <c r="M33" s="8">
        <f t="shared" si="1"/>
        <v>0</v>
      </c>
      <c r="N33" s="8">
        <f t="shared" si="1"/>
        <v>0</v>
      </c>
      <c r="O33" s="8">
        <f t="shared" si="1"/>
        <v>0</v>
      </c>
      <c r="P33" s="8">
        <f t="shared" si="1"/>
        <v>0</v>
      </c>
    </row>
    <row r="34" ht="32.25" customHeight="1">
      <c r="A34" s="9" t="s">
        <v>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ht="32.25" customHeight="1">
      <c r="A35" s="11" t="s">
        <v>4</v>
      </c>
      <c r="B35" s="12">
        <f t="shared" ref="B35:P35" si="2">B33-B34</f>
        <v>0</v>
      </c>
      <c r="C35" s="12">
        <f t="shared" si="2"/>
        <v>0</v>
      </c>
      <c r="D35" s="12">
        <f t="shared" si="2"/>
        <v>0</v>
      </c>
      <c r="E35" s="12">
        <f t="shared" si="2"/>
        <v>0</v>
      </c>
      <c r="F35" s="12">
        <f t="shared" si="2"/>
        <v>0</v>
      </c>
      <c r="G35" s="12">
        <f t="shared" si="2"/>
        <v>0</v>
      </c>
      <c r="H35" s="12">
        <f t="shared" si="2"/>
        <v>0</v>
      </c>
      <c r="I35" s="12">
        <f t="shared" si="2"/>
        <v>0</v>
      </c>
      <c r="J35" s="12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2"/>
        <v>0</v>
      </c>
      <c r="P35" s="12">
        <f t="shared" si="2"/>
        <v>0</v>
      </c>
    </row>
    <row r="36" ht="32.25" customHeight="1">
      <c r="A36" s="28" t="s">
        <v>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4"/>
      <c r="P36" s="14"/>
    </row>
    <row r="37" ht="32.25" customHeight="1">
      <c r="A37" s="28" t="s">
        <v>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ht="42.0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42.0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23">
        <v>46143.0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46143.0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3.25" customHeight="1">
      <c r="A3" s="3">
        <v>46144.0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3.25" customHeight="1">
      <c r="A4" s="3">
        <v>46145.0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3.25" customHeight="1">
      <c r="A5" s="3">
        <v>46146.0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3.25" customHeight="1">
      <c r="A6" s="3">
        <v>46147.0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23.25" customHeight="1">
      <c r="A7" s="3">
        <v>46148.0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23.25" customHeight="1">
      <c r="A8" s="3">
        <v>46149.0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23.25" customHeight="1">
      <c r="A9" s="3">
        <v>46150.0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3.25" customHeight="1">
      <c r="A10" s="3">
        <v>46151.0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23.25" customHeight="1">
      <c r="A11" s="3">
        <v>46152.0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23.25" customHeight="1">
      <c r="A12" s="3">
        <v>46153.0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3.25" customHeight="1">
      <c r="A13" s="3">
        <v>46154.0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3.25" customHeight="1">
      <c r="A14" s="3">
        <v>46155.0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3.25" customHeight="1">
      <c r="A15" s="3">
        <v>46156.0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3.25" customHeight="1">
      <c r="A16" s="3">
        <v>46157.0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3.25" customHeight="1">
      <c r="A17" s="3">
        <v>46158.0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3.25" customHeight="1">
      <c r="A18" s="3">
        <v>46159.0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3.25" customHeight="1">
      <c r="A19" s="3">
        <v>46160.0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3.25" customHeight="1">
      <c r="A20" s="3">
        <v>46161.0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23.25" customHeight="1">
      <c r="A21" s="3">
        <v>46162.0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23.25" customHeight="1">
      <c r="A22" s="3">
        <v>46163.0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23.25" customHeight="1">
      <c r="A23" s="3">
        <v>46164.0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23.25" customHeight="1">
      <c r="A24" s="3">
        <v>46165.0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23.25" customHeight="1">
      <c r="A25" s="3">
        <v>46166.0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23.25" customHeight="1">
      <c r="A26" s="3">
        <v>46167.0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23.25" customHeight="1">
      <c r="A27" s="3">
        <v>46168.0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23.25" customHeight="1">
      <c r="A28" s="3">
        <v>46169.0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23.25" customHeight="1">
      <c r="A29" s="3">
        <v>46170.0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23.25" customHeight="1">
      <c r="A30" s="3">
        <v>46171.0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23.25" customHeight="1">
      <c r="A31" s="3">
        <v>46172.0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23.25" customHeight="1">
      <c r="A32" s="5">
        <v>46173.0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23.25" customHeight="1">
      <c r="A33" s="7" t="s">
        <v>2</v>
      </c>
      <c r="B33" s="8">
        <f t="shared" ref="B33:P33" si="1">SUM(B2:B32)</f>
        <v>0</v>
      </c>
      <c r="C33" s="8">
        <f t="shared" si="1"/>
        <v>0</v>
      </c>
      <c r="D33" s="8">
        <f t="shared" si="1"/>
        <v>0</v>
      </c>
      <c r="E33" s="8">
        <f t="shared" si="1"/>
        <v>0</v>
      </c>
      <c r="F33" s="8">
        <f t="shared" si="1"/>
        <v>0</v>
      </c>
      <c r="G33" s="8">
        <f t="shared" si="1"/>
        <v>0</v>
      </c>
      <c r="H33" s="8">
        <f t="shared" si="1"/>
        <v>0</v>
      </c>
      <c r="I33" s="8">
        <f t="shared" si="1"/>
        <v>0</v>
      </c>
      <c r="J33" s="8">
        <f t="shared" si="1"/>
        <v>0</v>
      </c>
      <c r="K33" s="8">
        <f t="shared" si="1"/>
        <v>0</v>
      </c>
      <c r="L33" s="8">
        <f t="shared" si="1"/>
        <v>0</v>
      </c>
      <c r="M33" s="8">
        <f t="shared" si="1"/>
        <v>0</v>
      </c>
      <c r="N33" s="8">
        <f t="shared" si="1"/>
        <v>0</v>
      </c>
      <c r="O33" s="8">
        <f t="shared" si="1"/>
        <v>0</v>
      </c>
      <c r="P33" s="8">
        <f t="shared" si="1"/>
        <v>0</v>
      </c>
    </row>
    <row r="34" ht="32.25" customHeight="1">
      <c r="A34" s="9" t="s">
        <v>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ht="32.25" customHeight="1">
      <c r="A35" s="11" t="s">
        <v>4</v>
      </c>
      <c r="B35" s="12">
        <f t="shared" ref="B35:P35" si="2">B33-B34</f>
        <v>0</v>
      </c>
      <c r="C35" s="12">
        <f t="shared" si="2"/>
        <v>0</v>
      </c>
      <c r="D35" s="12">
        <f t="shared" si="2"/>
        <v>0</v>
      </c>
      <c r="E35" s="12">
        <f t="shared" si="2"/>
        <v>0</v>
      </c>
      <c r="F35" s="12">
        <f t="shared" si="2"/>
        <v>0</v>
      </c>
      <c r="G35" s="12">
        <f t="shared" si="2"/>
        <v>0</v>
      </c>
      <c r="H35" s="12">
        <f t="shared" si="2"/>
        <v>0</v>
      </c>
      <c r="I35" s="12">
        <f t="shared" si="2"/>
        <v>0</v>
      </c>
      <c r="J35" s="12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2"/>
        <v>0</v>
      </c>
      <c r="P35" s="12">
        <f t="shared" si="2"/>
        <v>0</v>
      </c>
    </row>
    <row r="36" ht="32.25" customHeight="1">
      <c r="A36" s="28" t="s">
        <v>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4"/>
      <c r="P36" s="14"/>
    </row>
    <row r="37" ht="32.25" customHeight="1">
      <c r="A37" s="28" t="s">
        <v>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ht="47.25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47.25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1">
        <v>46174.0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46174.0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3.25" customHeight="1">
      <c r="A3" s="3">
        <v>46175.0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3.25" customHeight="1">
      <c r="A4" s="3">
        <v>46176.0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3.25" customHeight="1">
      <c r="A5" s="3">
        <v>46177.0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3.25" customHeight="1">
      <c r="A6" s="3">
        <v>46178.0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23.25" customHeight="1">
      <c r="A7" s="3">
        <v>46179.0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23.25" customHeight="1">
      <c r="A8" s="3">
        <v>46180.0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23.25" customHeight="1">
      <c r="A9" s="3">
        <v>46181.0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3.25" customHeight="1">
      <c r="A10" s="3">
        <v>46182.0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23.25" customHeight="1">
      <c r="A11" s="3">
        <v>46183.0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23.25" customHeight="1">
      <c r="A12" s="3">
        <v>46184.0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3.25" customHeight="1">
      <c r="A13" s="3">
        <v>46185.0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3.25" customHeight="1">
      <c r="A14" s="3">
        <v>46186.0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3.25" customHeight="1">
      <c r="A15" s="3">
        <v>46187.0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3.25" customHeight="1">
      <c r="A16" s="3">
        <v>46188.0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3.25" customHeight="1">
      <c r="A17" s="3">
        <v>46189.0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3.25" customHeight="1">
      <c r="A18" s="3">
        <v>46190.0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3.25" customHeight="1">
      <c r="A19" s="3">
        <v>46191.0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3.25" customHeight="1">
      <c r="A20" s="3">
        <v>46192.0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23.25" customHeight="1">
      <c r="A21" s="3">
        <v>46193.0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23.25" customHeight="1">
      <c r="A22" s="3">
        <v>46194.0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23.25" customHeight="1">
      <c r="A23" s="3">
        <v>46195.0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23.25" customHeight="1">
      <c r="A24" s="3">
        <v>46196.0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23.25" customHeight="1">
      <c r="A25" s="3">
        <v>46197.0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23.25" customHeight="1">
      <c r="A26" s="3">
        <v>46198.0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23.25" customHeight="1">
      <c r="A27" s="3">
        <v>46199.0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23.25" customHeight="1">
      <c r="A28" s="3">
        <v>46200.0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23.25" customHeight="1">
      <c r="A29" s="3">
        <v>46201.0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23.25" customHeight="1">
      <c r="A30" s="3">
        <v>46202.0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23.25" customHeight="1">
      <c r="A31" s="3">
        <v>46203.0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23.2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23.25" customHeight="1">
      <c r="A33" s="7" t="s">
        <v>2</v>
      </c>
      <c r="B33" s="8">
        <f t="shared" ref="B33:P33" si="1">SUM(B2:B32)</f>
        <v>0</v>
      </c>
      <c r="C33" s="8">
        <f t="shared" si="1"/>
        <v>0</v>
      </c>
      <c r="D33" s="8">
        <f t="shared" si="1"/>
        <v>0</v>
      </c>
      <c r="E33" s="8">
        <f t="shared" si="1"/>
        <v>0</v>
      </c>
      <c r="F33" s="8">
        <f t="shared" si="1"/>
        <v>0</v>
      </c>
      <c r="G33" s="8">
        <f t="shared" si="1"/>
        <v>0</v>
      </c>
      <c r="H33" s="8">
        <f t="shared" si="1"/>
        <v>0</v>
      </c>
      <c r="I33" s="8">
        <f t="shared" si="1"/>
        <v>0</v>
      </c>
      <c r="J33" s="8">
        <f t="shared" si="1"/>
        <v>0</v>
      </c>
      <c r="K33" s="8">
        <f t="shared" si="1"/>
        <v>0</v>
      </c>
      <c r="L33" s="8">
        <f t="shared" si="1"/>
        <v>0</v>
      </c>
      <c r="M33" s="8">
        <f t="shared" si="1"/>
        <v>0</v>
      </c>
      <c r="N33" s="8">
        <f t="shared" si="1"/>
        <v>0</v>
      </c>
      <c r="O33" s="8">
        <f t="shared" si="1"/>
        <v>0</v>
      </c>
      <c r="P33" s="8">
        <f t="shared" si="1"/>
        <v>0</v>
      </c>
    </row>
    <row r="34" ht="32.25" customHeight="1">
      <c r="A34" s="9" t="s">
        <v>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ht="32.25" customHeight="1">
      <c r="A35" s="11" t="s">
        <v>4</v>
      </c>
      <c r="B35" s="12">
        <f t="shared" ref="B35:P35" si="2">B33-B34</f>
        <v>0</v>
      </c>
      <c r="C35" s="12">
        <f t="shared" si="2"/>
        <v>0</v>
      </c>
      <c r="D35" s="12">
        <f t="shared" si="2"/>
        <v>0</v>
      </c>
      <c r="E35" s="12">
        <f t="shared" si="2"/>
        <v>0</v>
      </c>
      <c r="F35" s="12">
        <f t="shared" si="2"/>
        <v>0</v>
      </c>
      <c r="G35" s="12">
        <f t="shared" si="2"/>
        <v>0</v>
      </c>
      <c r="H35" s="12">
        <f t="shared" si="2"/>
        <v>0</v>
      </c>
      <c r="I35" s="12">
        <f t="shared" si="2"/>
        <v>0</v>
      </c>
      <c r="J35" s="12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2"/>
        <v>0</v>
      </c>
      <c r="P35" s="12">
        <f t="shared" si="2"/>
        <v>0</v>
      </c>
    </row>
    <row r="36" ht="32.25" customHeight="1">
      <c r="A36" s="29" t="s">
        <v>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4"/>
      <c r="P36" s="14"/>
    </row>
    <row r="37" ht="32.25" customHeight="1">
      <c r="A37" s="29" t="s">
        <v>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ht="39.0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39.0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23">
        <v>46204.0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46204.0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3.25" customHeight="1">
      <c r="A3" s="3">
        <v>46205.0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3.25" customHeight="1">
      <c r="A4" s="3">
        <v>46206.0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3.25" customHeight="1">
      <c r="A5" s="3">
        <v>46207.0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3.25" customHeight="1">
      <c r="A6" s="3">
        <v>46208.0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23.25" customHeight="1">
      <c r="A7" s="3">
        <v>46209.0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23.25" customHeight="1">
      <c r="A8" s="3">
        <v>46210.0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23.25" customHeight="1">
      <c r="A9" s="3">
        <v>46211.0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3.25" customHeight="1">
      <c r="A10" s="3">
        <v>46212.0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23.25" customHeight="1">
      <c r="A11" s="3">
        <v>46213.0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23.25" customHeight="1">
      <c r="A12" s="3">
        <v>46214.0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3.25" customHeight="1">
      <c r="A13" s="3">
        <v>46215.0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3.25" customHeight="1">
      <c r="A14" s="3">
        <v>46216.0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3.25" customHeight="1">
      <c r="A15" s="3">
        <v>46217.0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3.25" customHeight="1">
      <c r="A16" s="3">
        <v>46218.0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3.25" customHeight="1">
      <c r="A17" s="3">
        <v>46219.0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3.25" customHeight="1">
      <c r="A18" s="3">
        <v>46220.0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3.25" customHeight="1">
      <c r="A19" s="3">
        <v>46221.0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3.25" customHeight="1">
      <c r="A20" s="3">
        <v>46222.0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23.25" customHeight="1">
      <c r="A21" s="3">
        <v>46223.0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23.25" customHeight="1">
      <c r="A22" s="3">
        <v>46224.0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23.25" customHeight="1">
      <c r="A23" s="3">
        <v>46225.0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23.25" customHeight="1">
      <c r="A24" s="3">
        <v>46226.0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23.25" customHeight="1">
      <c r="A25" s="3">
        <v>46227.0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23.25" customHeight="1">
      <c r="A26" s="3">
        <v>46228.0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23.25" customHeight="1">
      <c r="A27" s="3">
        <v>46229.0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23.25" customHeight="1">
      <c r="A28" s="3">
        <v>46230.0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23.25" customHeight="1">
      <c r="A29" s="3">
        <v>46231.0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23.25" customHeight="1">
      <c r="A30" s="3">
        <v>46232.0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23.25" customHeight="1">
      <c r="A31" s="3">
        <v>46233.0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23.25" customHeight="1">
      <c r="A32" s="5">
        <v>46234.0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23.25" customHeight="1">
      <c r="A33" s="7" t="s">
        <v>2</v>
      </c>
      <c r="B33" s="8">
        <f t="shared" ref="B33:P33" si="1">SUM(B2:B32)</f>
        <v>0</v>
      </c>
      <c r="C33" s="8">
        <f t="shared" si="1"/>
        <v>0</v>
      </c>
      <c r="D33" s="8">
        <f t="shared" si="1"/>
        <v>0</v>
      </c>
      <c r="E33" s="8">
        <f t="shared" si="1"/>
        <v>0</v>
      </c>
      <c r="F33" s="8">
        <f t="shared" si="1"/>
        <v>0</v>
      </c>
      <c r="G33" s="8">
        <f t="shared" si="1"/>
        <v>0</v>
      </c>
      <c r="H33" s="8">
        <f t="shared" si="1"/>
        <v>0</v>
      </c>
      <c r="I33" s="8">
        <f t="shared" si="1"/>
        <v>0</v>
      </c>
      <c r="J33" s="8">
        <f t="shared" si="1"/>
        <v>0</v>
      </c>
      <c r="K33" s="8">
        <f t="shared" si="1"/>
        <v>0</v>
      </c>
      <c r="L33" s="8">
        <f t="shared" si="1"/>
        <v>0</v>
      </c>
      <c r="M33" s="8">
        <f t="shared" si="1"/>
        <v>0</v>
      </c>
      <c r="N33" s="8">
        <f t="shared" si="1"/>
        <v>0</v>
      </c>
      <c r="O33" s="8">
        <f t="shared" si="1"/>
        <v>0</v>
      </c>
      <c r="P33" s="8">
        <f t="shared" si="1"/>
        <v>0</v>
      </c>
    </row>
    <row r="34" ht="32.25" customHeight="1">
      <c r="A34" s="9" t="s">
        <v>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ht="32.25" customHeight="1">
      <c r="A35" s="11" t="s">
        <v>4</v>
      </c>
      <c r="B35" s="12">
        <f t="shared" ref="B35:P35" si="2">B33-B34</f>
        <v>0</v>
      </c>
      <c r="C35" s="12">
        <f t="shared" si="2"/>
        <v>0</v>
      </c>
      <c r="D35" s="12">
        <f t="shared" si="2"/>
        <v>0</v>
      </c>
      <c r="E35" s="12">
        <f t="shared" si="2"/>
        <v>0</v>
      </c>
      <c r="F35" s="12">
        <f t="shared" si="2"/>
        <v>0</v>
      </c>
      <c r="G35" s="12">
        <f t="shared" si="2"/>
        <v>0</v>
      </c>
      <c r="H35" s="12">
        <f t="shared" si="2"/>
        <v>0</v>
      </c>
      <c r="I35" s="12">
        <f t="shared" si="2"/>
        <v>0</v>
      </c>
      <c r="J35" s="12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2"/>
        <v>0</v>
      </c>
      <c r="P35" s="12">
        <f t="shared" si="2"/>
        <v>0</v>
      </c>
    </row>
    <row r="36" ht="32.25" customHeight="1">
      <c r="A36" s="29" t="s">
        <v>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4"/>
      <c r="P36" s="14"/>
    </row>
    <row r="37" ht="32.25" customHeight="1">
      <c r="A37" s="29" t="s">
        <v>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ht="44.25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44.25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14"/>
    <col customWidth="1" min="2" max="16" width="14.71"/>
  </cols>
  <sheetData>
    <row r="1" ht="28.5" customHeight="1">
      <c r="A1" s="23">
        <v>46235.0</v>
      </c>
      <c r="B1" s="2" t="str">
        <f>elenchi!A1</f>
        <v>ALEXANDRA</v>
      </c>
      <c r="C1" s="2" t="str">
        <f>elenchi!A2</f>
        <v>GIUDITTA</v>
      </c>
      <c r="D1" s="2" t="str">
        <f>elenchi!A3</f>
        <v>ESTEFANY</v>
      </c>
      <c r="E1" s="2" t="str">
        <f>elenchi!A4</f>
        <v>NURA</v>
      </c>
      <c r="F1" s="2" t="str">
        <f>elenchi!A5</f>
        <v>JOEL</v>
      </c>
      <c r="G1" s="2" t="str">
        <f>elenchi!A6</f>
        <v>KEVIN</v>
      </c>
      <c r="H1" s="2" t="str">
        <f>elenchi!A7</f>
        <v>ZOILA</v>
      </c>
      <c r="I1" s="2" t="str">
        <f>elenchi!A8</f>
        <v>JASIR</v>
      </c>
      <c r="J1" s="2" t="str">
        <f>elenchi!A9</f>
        <v>SARA</v>
      </c>
      <c r="K1" s="2" t="str">
        <f>elenchi!A10</f>
        <v>SANTO</v>
      </c>
      <c r="L1" s="2" t="str">
        <f>elenchi!A11</f>
        <v>MASSI</v>
      </c>
      <c r="M1" s="2" t="str">
        <f>elenchi!A12</f>
        <v>STEFANO</v>
      </c>
      <c r="N1" s="2" t="str">
        <f>elenchi!A13</f>
        <v>DIEGO</v>
      </c>
      <c r="O1" s="2" t="str">
        <f>elenchi!A14</f>
        <v>ELISA</v>
      </c>
      <c r="P1" s="2" t="str">
        <f>elenchi!A15</f>
        <v>GAETANO</v>
      </c>
    </row>
    <row r="2" ht="23.25" customHeight="1">
      <c r="A2" s="3">
        <v>46235.0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3.25" customHeight="1">
      <c r="A3" s="3">
        <v>46236.0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3.25" customHeight="1">
      <c r="A4" s="3">
        <v>46237.0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3.25" customHeight="1">
      <c r="A5" s="3">
        <v>46238.0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3.25" customHeight="1">
      <c r="A6" s="3">
        <v>46239.0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23.25" customHeight="1">
      <c r="A7" s="3">
        <v>46240.0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23.25" customHeight="1">
      <c r="A8" s="3">
        <v>46241.0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23.25" customHeight="1">
      <c r="A9" s="3">
        <v>46242.0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3.25" customHeight="1">
      <c r="A10" s="3">
        <v>46243.0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23.25" customHeight="1">
      <c r="A11" s="3">
        <v>46244.0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23.25" customHeight="1">
      <c r="A12" s="3">
        <v>46245.0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3.25" customHeight="1">
      <c r="A13" s="3">
        <v>46246.0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3.25" customHeight="1">
      <c r="A14" s="3">
        <v>46247.0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3.25" customHeight="1">
      <c r="A15" s="3">
        <v>46248.0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3.25" customHeight="1">
      <c r="A16" s="3">
        <v>46249.0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3.25" customHeight="1">
      <c r="A17" s="3">
        <v>46250.0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3.25" customHeight="1">
      <c r="A18" s="3">
        <v>46251.0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3.25" customHeight="1">
      <c r="A19" s="3">
        <v>46252.0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3.25" customHeight="1">
      <c r="A20" s="3">
        <v>46253.0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23.25" customHeight="1">
      <c r="A21" s="3">
        <v>46254.0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23.25" customHeight="1">
      <c r="A22" s="3">
        <v>46255.0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23.25" customHeight="1">
      <c r="A23" s="3">
        <v>46256.0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23.25" customHeight="1">
      <c r="A24" s="3">
        <v>46257.0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23.25" customHeight="1">
      <c r="A25" s="3">
        <v>46258.0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23.25" customHeight="1">
      <c r="A26" s="3">
        <v>46259.0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23.25" customHeight="1">
      <c r="A27" s="3">
        <v>46260.0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23.25" customHeight="1">
      <c r="A28" s="3">
        <v>46261.0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23.25" customHeight="1">
      <c r="A29" s="3">
        <v>46262.0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23.25" customHeight="1">
      <c r="A30" s="3">
        <v>46263.0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23.25" customHeight="1">
      <c r="A31" s="3">
        <v>46264.0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23.25" customHeight="1">
      <c r="A32" s="5">
        <v>46265.0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23.25" customHeight="1">
      <c r="A33" s="7" t="s">
        <v>2</v>
      </c>
      <c r="B33" s="8">
        <f t="shared" ref="B33:P33" si="1">SUM(B2:B32)</f>
        <v>0</v>
      </c>
      <c r="C33" s="8">
        <f t="shared" si="1"/>
        <v>0</v>
      </c>
      <c r="D33" s="8">
        <f t="shared" si="1"/>
        <v>0</v>
      </c>
      <c r="E33" s="8">
        <f t="shared" si="1"/>
        <v>0</v>
      </c>
      <c r="F33" s="8">
        <f t="shared" si="1"/>
        <v>0</v>
      </c>
      <c r="G33" s="8">
        <f t="shared" si="1"/>
        <v>0</v>
      </c>
      <c r="H33" s="8">
        <f t="shared" si="1"/>
        <v>0</v>
      </c>
      <c r="I33" s="8">
        <f t="shared" si="1"/>
        <v>0</v>
      </c>
      <c r="J33" s="8">
        <f t="shared" si="1"/>
        <v>0</v>
      </c>
      <c r="K33" s="8">
        <f t="shared" si="1"/>
        <v>0</v>
      </c>
      <c r="L33" s="8">
        <f t="shared" si="1"/>
        <v>0</v>
      </c>
      <c r="M33" s="8">
        <f t="shared" si="1"/>
        <v>0</v>
      </c>
      <c r="N33" s="8">
        <f t="shared" si="1"/>
        <v>0</v>
      </c>
      <c r="O33" s="8">
        <f t="shared" si="1"/>
        <v>0</v>
      </c>
      <c r="P33" s="8">
        <f t="shared" si="1"/>
        <v>0</v>
      </c>
    </row>
    <row r="34" ht="32.25" customHeight="1">
      <c r="A34" s="9" t="s">
        <v>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ht="32.25" customHeight="1">
      <c r="A35" s="11" t="s">
        <v>4</v>
      </c>
      <c r="B35" s="12">
        <f t="shared" ref="B35:P35" si="2">B33-B34</f>
        <v>0</v>
      </c>
      <c r="C35" s="12">
        <f t="shared" si="2"/>
        <v>0</v>
      </c>
      <c r="D35" s="12">
        <f t="shared" si="2"/>
        <v>0</v>
      </c>
      <c r="E35" s="12">
        <f t="shared" si="2"/>
        <v>0</v>
      </c>
      <c r="F35" s="12">
        <f t="shared" si="2"/>
        <v>0</v>
      </c>
      <c r="G35" s="12">
        <f t="shared" si="2"/>
        <v>0</v>
      </c>
      <c r="H35" s="12">
        <f t="shared" si="2"/>
        <v>0</v>
      </c>
      <c r="I35" s="12">
        <f t="shared" si="2"/>
        <v>0</v>
      </c>
      <c r="J35" s="12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2">
        <f t="shared" si="2"/>
        <v>0</v>
      </c>
      <c r="O35" s="12">
        <f t="shared" si="2"/>
        <v>0</v>
      </c>
      <c r="P35" s="12">
        <f t="shared" si="2"/>
        <v>0</v>
      </c>
    </row>
    <row r="36" ht="32.25" customHeight="1">
      <c r="A36" s="29" t="s">
        <v>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4"/>
      <c r="P36" s="14"/>
    </row>
    <row r="37" ht="32.25" customHeight="1">
      <c r="A37" s="29" t="s">
        <v>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ht="39.75" customHeight="1">
      <c r="A38" s="16" t="s">
        <v>7</v>
      </c>
      <c r="B38" s="17" t="str">
        <f>elenchi!B28</f>
        <v>"Ale 9€/ora, Giad 10€/ora, Estefany 9€/ora, Nura 8€/ora, Joel 8€/ora
Kevin 8€/ora, Jassir 7€/ora, Zoila 7€/ora, Sara 9€/ora, Massi 9€/ora, Santo fisso"                                                                                                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20"/>
      <c r="P38" s="20"/>
    </row>
    <row r="39" ht="39.75" customHeight="1">
      <c r="A39" s="21" t="s">
        <v>8</v>
      </c>
      <c r="B39" s="22"/>
    </row>
  </sheetData>
  <mergeCells count="2">
    <mergeCell ref="B38:N38"/>
    <mergeCell ref="B39:P39"/>
  </mergeCells>
  <conditionalFormatting sqref="B2:P32">
    <cfRule type="containsText" dxfId="0" priority="1" operator="containsText" text="X">
      <formula>NOT(ISERROR(SEARCH(("X"),(B2))))</formula>
    </cfRule>
  </conditionalFormatting>
  <conditionalFormatting sqref="B2:P32">
    <cfRule type="notContainsBlanks" dxfId="1" priority="2">
      <formula>LEN(TRIM(B2))&gt;0</formula>
    </cfRule>
  </conditionalFormatting>
  <conditionalFormatting sqref="B33:P34">
    <cfRule type="cellIs" dxfId="1" priority="3" operator="greaterThan">
      <formula>1</formula>
    </cfRule>
  </conditionalFormatting>
  <conditionalFormatting sqref="A1:A32">
    <cfRule type="containsText" dxfId="0" priority="4" operator="containsText" text="dom">
      <formula>NOT(ISERROR(SEARCH(("dom"),(A1))))</formula>
    </cfRule>
  </conditionalFormatting>
  <conditionalFormatting sqref="A35:P37">
    <cfRule type="cellIs" dxfId="2" priority="5" operator="greaterThan">
      <formula>0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43"/>
    <col customWidth="1" min="2" max="13" width="11.29"/>
    <col customWidth="1" min="14" max="14" width="22.0"/>
    <col customWidth="1" min="15" max="15" width="18.86"/>
  </cols>
  <sheetData>
    <row r="1" ht="24.75" customHeight="1">
      <c r="A1" s="30" t="s">
        <v>14</v>
      </c>
      <c r="B1" s="31" t="s">
        <v>15</v>
      </c>
      <c r="C1" s="32" t="s">
        <v>16</v>
      </c>
      <c r="D1" s="32" t="s">
        <v>17</v>
      </c>
      <c r="E1" s="32" t="s">
        <v>18</v>
      </c>
      <c r="F1" s="32" t="s">
        <v>19</v>
      </c>
      <c r="G1" s="32" t="s">
        <v>20</v>
      </c>
      <c r="H1" s="32" t="s">
        <v>21</v>
      </c>
      <c r="I1" s="32" t="s">
        <v>22</v>
      </c>
      <c r="J1" s="32" t="s">
        <v>23</v>
      </c>
      <c r="K1" s="32" t="s">
        <v>24</v>
      </c>
      <c r="L1" s="32" t="s">
        <v>25</v>
      </c>
      <c r="M1" s="32" t="s">
        <v>26</v>
      </c>
      <c r="N1" s="31" t="s">
        <v>27</v>
      </c>
      <c r="O1" s="33"/>
    </row>
    <row r="2" ht="24.75" customHeight="1">
      <c r="A2" s="34" t="str">
        <f>elenchi!A1</f>
        <v>ALEXANDRA</v>
      </c>
      <c r="B2" s="35">
        <f>Settembre25!$B33</f>
        <v>237</v>
      </c>
      <c r="C2" s="35">
        <f>Ottobre25!$B33</f>
        <v>244.5</v>
      </c>
      <c r="D2" s="35">
        <f>Novembre25!$B33</f>
        <v>191.5</v>
      </c>
      <c r="E2" s="35">
        <f>Dicembre25!$B33</f>
        <v>144</v>
      </c>
      <c r="F2" s="35">
        <f>Gennaio26!$B33</f>
        <v>163.5</v>
      </c>
      <c r="G2" s="35">
        <f>Febbraio26!$B33</f>
        <v>189</v>
      </c>
      <c r="H2" s="35">
        <f>Marzo26!$B33</f>
        <v>208</v>
      </c>
      <c r="I2" s="35">
        <f>Aprile26!$B33</f>
        <v>0</v>
      </c>
      <c r="J2" s="35">
        <f>Maggio26!$B33</f>
        <v>0</v>
      </c>
      <c r="K2" s="35">
        <f>Giugno26!$B33</f>
        <v>0</v>
      </c>
      <c r="L2" s="35">
        <f>Luglio26!$B33</f>
        <v>0</v>
      </c>
      <c r="M2" s="35">
        <f>Agosto26!$B33</f>
        <v>0</v>
      </c>
      <c r="N2" s="35"/>
      <c r="O2" s="34" t="s">
        <v>28</v>
      </c>
    </row>
    <row r="3" ht="24.75" customHeight="1">
      <c r="A3" s="36"/>
      <c r="B3" s="37">
        <f>Settembre25!$B36</f>
        <v>1900</v>
      </c>
      <c r="C3" s="37">
        <f>Ottobre25!$B36</f>
        <v>1950</v>
      </c>
      <c r="D3" s="37">
        <f>Novembre25!$B36</f>
        <v>1800</v>
      </c>
      <c r="E3" s="37">
        <f>Dicembre25!$B36</f>
        <v>1700</v>
      </c>
      <c r="F3" s="37">
        <f>Gennaio26!$B36</f>
        <v>1700</v>
      </c>
      <c r="G3" s="37">
        <f>Febbraio26!$B36</f>
        <v>1750</v>
      </c>
      <c r="H3" s="37" t="str">
        <f>Marzo26!$B36</f>
        <v/>
      </c>
      <c r="I3" s="37" t="str">
        <f>Aprile26!$B36</f>
        <v/>
      </c>
      <c r="J3" s="37" t="str">
        <f>Maggio26!$B36</f>
        <v/>
      </c>
      <c r="K3" s="37" t="str">
        <f>Giugno26!$B36</f>
        <v/>
      </c>
      <c r="L3" s="37" t="str">
        <f>Luglio26!$B36</f>
        <v/>
      </c>
      <c r="M3" s="37" t="str">
        <f>Agosto26!$B36</f>
        <v/>
      </c>
      <c r="N3" s="38"/>
      <c r="O3" s="39" t="s">
        <v>29</v>
      </c>
    </row>
    <row r="4" ht="24.75" customHeight="1">
      <c r="A4" s="40" t="str">
        <f>elenchi!A2</f>
        <v>GIUDITTA</v>
      </c>
      <c r="B4" s="35">
        <f>Settembre25!$C33</f>
        <v>201</v>
      </c>
      <c r="C4" s="35">
        <f>Ottobre25!$C33</f>
        <v>199.5</v>
      </c>
      <c r="D4" s="35">
        <f>Novembre25!$C33</f>
        <v>141</v>
      </c>
      <c r="E4" s="35">
        <f>Dicembre25!$C33</f>
        <v>144</v>
      </c>
      <c r="F4" s="35">
        <f>Gennaio26!$C33</f>
        <v>125</v>
      </c>
      <c r="G4" s="35">
        <f>Febbraio26!$C33</f>
        <v>160</v>
      </c>
      <c r="H4" s="35">
        <f>Marzo26!$C33</f>
        <v>159</v>
      </c>
      <c r="I4" s="35">
        <f>Aprile26!$C33</f>
        <v>0</v>
      </c>
      <c r="J4" s="35">
        <f>Maggio26!$C33</f>
        <v>0</v>
      </c>
      <c r="K4" s="35">
        <f>Giugno26!$C33</f>
        <v>0</v>
      </c>
      <c r="L4" s="35">
        <f>Luglio26!$C33</f>
        <v>0</v>
      </c>
      <c r="M4" s="35">
        <f>Agosto26!$C33</f>
        <v>0</v>
      </c>
      <c r="N4" s="35"/>
      <c r="O4" s="41"/>
    </row>
    <row r="5" ht="24.75" customHeight="1">
      <c r="A5" s="36"/>
      <c r="B5" s="37">
        <f>Settembre25!$C36</f>
        <v>1850</v>
      </c>
      <c r="C5" s="37">
        <f>Ottobre25!$C36</f>
        <v>1850</v>
      </c>
      <c r="D5" s="37">
        <f>Novembre25!$C36</f>
        <v>1800</v>
      </c>
      <c r="E5" s="37">
        <f>Dicembre25!$C36</f>
        <v>1700</v>
      </c>
      <c r="F5" s="37">
        <f>Gennaio26!$C36</f>
        <v>1700</v>
      </c>
      <c r="G5" s="37">
        <f>Febbraio26!$C36</f>
        <v>1700</v>
      </c>
      <c r="H5" s="37" t="str">
        <f>Marzo26!$C36</f>
        <v/>
      </c>
      <c r="I5" s="37" t="str">
        <f>Aprile26!$C36</f>
        <v/>
      </c>
      <c r="J5" s="37" t="str">
        <f>Maggio26!$C36</f>
        <v/>
      </c>
      <c r="K5" s="37" t="str">
        <f>Giugno26!$C36</f>
        <v/>
      </c>
      <c r="L5" s="37" t="str">
        <f>Luglio26!$C36</f>
        <v/>
      </c>
      <c r="M5" s="37" t="str">
        <f>Agosto26!$C36</f>
        <v/>
      </c>
      <c r="N5" s="38"/>
      <c r="O5" s="42"/>
    </row>
    <row r="6" ht="24.75" customHeight="1">
      <c r="A6" s="40" t="str">
        <f>elenchi!A3</f>
        <v>ESTEFANY</v>
      </c>
      <c r="B6" s="35">
        <f>Settembre25!$D33</f>
        <v>223.5</v>
      </c>
      <c r="C6" s="35">
        <f>Ottobre25!$D33</f>
        <v>216.5</v>
      </c>
      <c r="D6" s="35">
        <f>Novembre25!$D33</f>
        <v>155.5</v>
      </c>
      <c r="E6" s="35">
        <f>Dicembre25!$D33</f>
        <v>72</v>
      </c>
      <c r="F6" s="35">
        <f>Gennaio26!$D33</f>
        <v>152</v>
      </c>
      <c r="G6" s="35">
        <f>Febbraio26!$D33</f>
        <v>195</v>
      </c>
      <c r="H6" s="35">
        <f>Marzo26!$D33</f>
        <v>200</v>
      </c>
      <c r="I6" s="35">
        <f>Aprile26!$D33</f>
        <v>0</v>
      </c>
      <c r="J6" s="35">
        <f>Maggio26!$D33</f>
        <v>0</v>
      </c>
      <c r="K6" s="35">
        <f>Giugno26!$D33</f>
        <v>0</v>
      </c>
      <c r="L6" s="35">
        <f>Luglio26!$D33</f>
        <v>0</v>
      </c>
      <c r="M6" s="35">
        <f>Agosto26!$D33</f>
        <v>0</v>
      </c>
      <c r="N6" s="35"/>
      <c r="O6" s="41"/>
    </row>
    <row r="7" ht="24.75" customHeight="1">
      <c r="A7" s="36"/>
      <c r="B7" s="43">
        <f>Settembre25!$D36</f>
        <v>1850</v>
      </c>
      <c r="C7" s="43">
        <f>Ottobre25!$D36</f>
        <v>1800</v>
      </c>
      <c r="D7" s="43">
        <f>Novembre25!$D36</f>
        <v>1700</v>
      </c>
      <c r="E7" s="43">
        <f>Dicembre25!$D36</f>
        <v>781</v>
      </c>
      <c r="F7" s="43">
        <f>Gennaio26!$D36</f>
        <v>1600</v>
      </c>
      <c r="G7" s="43">
        <f>Febbraio26!$D36</f>
        <v>1800</v>
      </c>
      <c r="H7" s="43" t="str">
        <f>Marzo26!$D36</f>
        <v/>
      </c>
      <c r="I7" s="43" t="str">
        <f>Aprile26!$D36</f>
        <v/>
      </c>
      <c r="J7" s="43" t="str">
        <f>Maggio26!$D36</f>
        <v/>
      </c>
      <c r="K7" s="43" t="str">
        <f>Giugno26!$D36</f>
        <v/>
      </c>
      <c r="L7" s="43" t="str">
        <f>Luglio26!$D36</f>
        <v/>
      </c>
      <c r="M7" s="43" t="str">
        <f>Agosto26!$D36</f>
        <v/>
      </c>
      <c r="N7" s="42"/>
      <c r="O7" s="42"/>
    </row>
    <row r="8" ht="24.75" customHeight="1">
      <c r="A8" s="34" t="str">
        <f>elenchi!A4</f>
        <v>NURA</v>
      </c>
      <c r="B8" s="44">
        <f>Settembre25!$E33</f>
        <v>225.5</v>
      </c>
      <c r="C8" s="44">
        <f>Ottobre25!$E33</f>
        <v>215.5</v>
      </c>
      <c r="D8" s="44">
        <f>Novembre25!$E33</f>
        <v>132</v>
      </c>
      <c r="E8" s="44">
        <f>Dicembre25!$E33</f>
        <v>160</v>
      </c>
      <c r="F8" s="44">
        <f>Gennaio26!$E33</f>
        <v>167.5</v>
      </c>
      <c r="G8" s="44">
        <f>Febbraio26!$E33</f>
        <v>162</v>
      </c>
      <c r="H8" s="44">
        <f>Marzo26!$E33</f>
        <v>199</v>
      </c>
      <c r="I8" s="44">
        <f>Aprile26!$E33</f>
        <v>0</v>
      </c>
      <c r="J8" s="44">
        <f>Maggio26!$E33</f>
        <v>0</v>
      </c>
      <c r="K8" s="44">
        <f>Giugno26!$E33</f>
        <v>0</v>
      </c>
      <c r="L8" s="44">
        <f>Luglio26!$E33</f>
        <v>0</v>
      </c>
      <c r="M8" s="44">
        <f>Agosto26!$E33</f>
        <v>0</v>
      </c>
      <c r="N8" s="44"/>
      <c r="O8" s="41"/>
    </row>
    <row r="9" ht="24.75" customHeight="1">
      <c r="A9" s="36"/>
      <c r="B9" s="43">
        <f>Settembre25!$E36</f>
        <v>1750</v>
      </c>
      <c r="C9" s="43">
        <f>Ottobre25!$E36</f>
        <v>1700</v>
      </c>
      <c r="D9" s="43">
        <f>Novembre25!$E36</f>
        <v>1650</v>
      </c>
      <c r="E9" s="43">
        <f>Dicembre25!$E36</f>
        <v>1650</v>
      </c>
      <c r="F9" s="43">
        <f>Gennaio26!$E36</f>
        <v>1700</v>
      </c>
      <c r="G9" s="43">
        <f>Febbraio26!$E36</f>
        <v>1700</v>
      </c>
      <c r="H9" s="43" t="str">
        <f>Marzo26!$E36</f>
        <v/>
      </c>
      <c r="I9" s="43" t="str">
        <f>Aprile26!$E36</f>
        <v/>
      </c>
      <c r="J9" s="43" t="str">
        <f>Maggio26!$E36</f>
        <v/>
      </c>
      <c r="K9" s="43" t="str">
        <f>Giugno26!$E36</f>
        <v/>
      </c>
      <c r="L9" s="43" t="str">
        <f>Luglio26!$E36</f>
        <v/>
      </c>
      <c r="M9" s="43" t="str">
        <f>Agosto26!$E36</f>
        <v/>
      </c>
      <c r="N9" s="42"/>
      <c r="O9" s="42"/>
    </row>
    <row r="10" ht="24.75" customHeight="1">
      <c r="A10" s="40" t="str">
        <f>elenchi!A5</f>
        <v>JOEL</v>
      </c>
      <c r="B10" s="44">
        <f>Settembre25!$F33</f>
        <v>107.5</v>
      </c>
      <c r="C10" s="44">
        <f>Ottobre25!$F33</f>
        <v>178</v>
      </c>
      <c r="D10" s="44">
        <f>Novembre25!$F33</f>
        <v>188</v>
      </c>
      <c r="E10" s="44">
        <f>Dicembre25!$F33</f>
        <v>152</v>
      </c>
      <c r="F10" s="44">
        <f>Gennaio26!$F33</f>
        <v>167</v>
      </c>
      <c r="G10" s="44">
        <f>Febbraio26!$F33</f>
        <v>183</v>
      </c>
      <c r="H10" s="44">
        <f>Marzo26!$F33</f>
        <v>197</v>
      </c>
      <c r="I10" s="44">
        <f>Aprile26!$F33</f>
        <v>0</v>
      </c>
      <c r="J10" s="44">
        <f>Maggio26!$F33</f>
        <v>0</v>
      </c>
      <c r="K10" s="44">
        <f>Giugno26!$F33</f>
        <v>0</v>
      </c>
      <c r="L10" s="44">
        <f>Luglio26!$F33</f>
        <v>0</v>
      </c>
      <c r="M10" s="44">
        <f>Agosto26!$F33</f>
        <v>0</v>
      </c>
      <c r="N10" s="44"/>
      <c r="O10" s="41"/>
    </row>
    <row r="11" ht="24.75" customHeight="1">
      <c r="A11" s="36"/>
      <c r="B11" s="43" t="str">
        <f>Settembre25!$F36</f>
        <v/>
      </c>
      <c r="C11" s="43">
        <f>Ottobre25!$F36</f>
        <v>1550</v>
      </c>
      <c r="D11" s="43">
        <f>Novembre25!$F36</f>
        <v>1700</v>
      </c>
      <c r="E11" s="43">
        <f>Dicembre25!$F36</f>
        <v>1700</v>
      </c>
      <c r="F11" s="43">
        <f>Gennaio26!$F36</f>
        <v>1700</v>
      </c>
      <c r="G11" s="43">
        <f>Febbraio26!$F36</f>
        <v>1700</v>
      </c>
      <c r="H11" s="43" t="str">
        <f>Marzo26!$F36</f>
        <v/>
      </c>
      <c r="I11" s="43" t="str">
        <f>Aprile26!$F36</f>
        <v/>
      </c>
      <c r="J11" s="43" t="str">
        <f>Maggio26!$F36</f>
        <v/>
      </c>
      <c r="K11" s="43" t="str">
        <f>Giugno26!$F36</f>
        <v/>
      </c>
      <c r="L11" s="43" t="str">
        <f>Luglio26!$F36</f>
        <v/>
      </c>
      <c r="M11" s="43" t="str">
        <f>Agosto26!$F36</f>
        <v/>
      </c>
      <c r="N11" s="42"/>
      <c r="O11" s="38"/>
    </row>
    <row r="12" ht="24.75" customHeight="1">
      <c r="A12" s="40" t="str">
        <f>elenchi!A6</f>
        <v>KEVIN</v>
      </c>
      <c r="B12" s="44">
        <f>Settembre25!$G33</f>
        <v>184.5</v>
      </c>
      <c r="C12" s="44">
        <f>Ottobre25!$G33</f>
        <v>205.5</v>
      </c>
      <c r="D12" s="44">
        <f>Novembre25!$G33</f>
        <v>72.5</v>
      </c>
      <c r="E12" s="44">
        <f>Dicembre25!$G33</f>
        <v>91.5</v>
      </c>
      <c r="F12" s="44">
        <f>Gennaio26!$G33</f>
        <v>169</v>
      </c>
      <c r="G12" s="44">
        <f>Febbraio26!$G33</f>
        <v>178</v>
      </c>
      <c r="H12" s="44">
        <f>Marzo26!$G33</f>
        <v>192</v>
      </c>
      <c r="I12" s="44">
        <f>Aprile26!$G33</f>
        <v>0</v>
      </c>
      <c r="J12" s="44">
        <f>Maggio26!$G33</f>
        <v>0</v>
      </c>
      <c r="K12" s="44">
        <f>Giugno26!$G33</f>
        <v>0</v>
      </c>
      <c r="L12" s="44">
        <f>Luglio26!$G33</f>
        <v>0</v>
      </c>
      <c r="M12" s="44">
        <f>Agosto26!$G33</f>
        <v>0</v>
      </c>
      <c r="N12" s="44"/>
      <c r="O12" s="41"/>
    </row>
    <row r="13" ht="24.75" customHeight="1">
      <c r="A13" s="36"/>
      <c r="B13" s="43">
        <f>Settembre25!$G36</f>
        <v>1500</v>
      </c>
      <c r="C13" s="43">
        <f>Ottobre25!$G36</f>
        <v>1550</v>
      </c>
      <c r="D13" s="43" t="str">
        <f>Novembre25!$G36</f>
        <v/>
      </c>
      <c r="E13" s="43">
        <f>Dicembre25!$G36</f>
        <v>2000</v>
      </c>
      <c r="F13" s="43">
        <f>Gennaio26!$G36</f>
        <v>1600</v>
      </c>
      <c r="G13" s="43">
        <f>Febbraio26!$G36</f>
        <v>1650</v>
      </c>
      <c r="H13" s="43" t="str">
        <f>Marzo26!$G36</f>
        <v/>
      </c>
      <c r="I13" s="43" t="str">
        <f>Aprile26!$G36</f>
        <v/>
      </c>
      <c r="J13" s="43" t="str">
        <f>Maggio26!$G36</f>
        <v/>
      </c>
      <c r="K13" s="43" t="str">
        <f>Giugno26!$G36</f>
        <v/>
      </c>
      <c r="L13" s="43" t="str">
        <f>Luglio26!$G36</f>
        <v/>
      </c>
      <c r="M13" s="43" t="str">
        <f>Agosto26!$G36</f>
        <v/>
      </c>
      <c r="N13" s="42"/>
      <c r="O13" s="38"/>
    </row>
    <row r="14" ht="24.75" customHeight="1">
      <c r="A14" s="40" t="str">
        <f>elenchi!A7</f>
        <v>ZOILA</v>
      </c>
      <c r="B14" s="44">
        <f>Settembre25!$H33</f>
        <v>200</v>
      </c>
      <c r="C14" s="44">
        <f>Ottobre25!$H33</f>
        <v>181</v>
      </c>
      <c r="D14" s="44">
        <f>Novembre25!$H33</f>
        <v>183</v>
      </c>
      <c r="E14" s="44">
        <f>Dicembre25!$H33</f>
        <v>153.5</v>
      </c>
      <c r="F14" s="44">
        <f>Gennaio26!$H33</f>
        <v>155</v>
      </c>
      <c r="G14" s="44">
        <f>Febbraio26!$H33</f>
        <v>97.5</v>
      </c>
      <c r="H14" s="44">
        <f>Marzo26!$H33</f>
        <v>0</v>
      </c>
      <c r="I14" s="44">
        <f>Aprile26!$H33</f>
        <v>0</v>
      </c>
      <c r="J14" s="44">
        <f>Maggio26!$H33</f>
        <v>0</v>
      </c>
      <c r="K14" s="44">
        <f>Giugno26!$H33</f>
        <v>0</v>
      </c>
      <c r="L14" s="44">
        <f>Luglio26!$H33</f>
        <v>0</v>
      </c>
      <c r="M14" s="44">
        <f>Agosto26!$H33</f>
        <v>0</v>
      </c>
      <c r="N14" s="44"/>
      <c r="O14" s="41"/>
    </row>
    <row r="15" ht="24.75" customHeight="1">
      <c r="A15" s="36"/>
      <c r="B15" s="43">
        <f>Settembre25!$H36</f>
        <v>1300</v>
      </c>
      <c r="C15" s="43">
        <f>Ottobre25!$H36</f>
        <v>1300</v>
      </c>
      <c r="D15" s="43">
        <f>Novembre25!$H36</f>
        <v>1300</v>
      </c>
      <c r="E15" s="43">
        <f>Dicembre25!$H36</f>
        <v>1200</v>
      </c>
      <c r="F15" s="43">
        <f>Gennaio26!$H36</f>
        <v>1250</v>
      </c>
      <c r="G15" s="43">
        <f>Febbraio26!$H36</f>
        <v>700</v>
      </c>
      <c r="H15" s="43" t="str">
        <f>Marzo26!$H36</f>
        <v/>
      </c>
      <c r="I15" s="43" t="str">
        <f>Aprile26!$H36</f>
        <v/>
      </c>
      <c r="J15" s="43" t="str">
        <f>Maggio26!$H36</f>
        <v/>
      </c>
      <c r="K15" s="43" t="str">
        <f>Giugno26!$H36</f>
        <v/>
      </c>
      <c r="L15" s="43" t="str">
        <f>Luglio26!$H36</f>
        <v/>
      </c>
      <c r="M15" s="43" t="str">
        <f>Agosto26!$H36</f>
        <v/>
      </c>
      <c r="N15" s="42"/>
      <c r="O15" s="38"/>
    </row>
    <row r="16" ht="24.75" customHeight="1">
      <c r="A16" s="40" t="str">
        <f>elenchi!A8</f>
        <v>JASIR</v>
      </c>
      <c r="B16" s="44">
        <f>Settembre25!$I33</f>
        <v>198</v>
      </c>
      <c r="C16" s="44">
        <f>Ottobre25!$I33</f>
        <v>208</v>
      </c>
      <c r="D16" s="44">
        <f>Novembre25!$I33</f>
        <v>190</v>
      </c>
      <c r="E16" s="44">
        <f>Dicembre25!$I33</f>
        <v>158</v>
      </c>
      <c r="F16" s="44">
        <f>Gennaio26!$I33</f>
        <v>160</v>
      </c>
      <c r="G16" s="44">
        <f>Febbraio26!$I33</f>
        <v>176</v>
      </c>
      <c r="H16" s="44">
        <f>Marzo26!$I33</f>
        <v>194</v>
      </c>
      <c r="I16" s="44">
        <f>Aprile26!$I33</f>
        <v>0</v>
      </c>
      <c r="J16" s="44">
        <f>Maggio26!$I33</f>
        <v>0</v>
      </c>
      <c r="K16" s="44">
        <f>Giugno26!$I33</f>
        <v>0</v>
      </c>
      <c r="L16" s="44">
        <f>Luglio26!$I33</f>
        <v>0</v>
      </c>
      <c r="M16" s="44">
        <f>Agosto26!$I33</f>
        <v>0</v>
      </c>
      <c r="N16" s="44"/>
      <c r="O16" s="41"/>
    </row>
    <row r="17" ht="24.75" customHeight="1">
      <c r="A17" s="36"/>
      <c r="B17" s="43">
        <f>Settembre25!$I36</f>
        <v>1300</v>
      </c>
      <c r="C17" s="43">
        <f>Ottobre25!$I36</f>
        <v>1300</v>
      </c>
      <c r="D17" s="43">
        <f>Novembre25!$I36</f>
        <v>1300</v>
      </c>
      <c r="E17" s="43">
        <f>Dicembre25!$I36</f>
        <v>1200</v>
      </c>
      <c r="F17" s="43">
        <f>Gennaio26!$I36</f>
        <v>1250</v>
      </c>
      <c r="G17" s="43">
        <f>Febbraio26!$I36</f>
        <v>1400</v>
      </c>
      <c r="H17" s="43" t="str">
        <f>Marzo26!$I36</f>
        <v/>
      </c>
      <c r="I17" s="43" t="str">
        <f>Aprile26!$I36</f>
        <v/>
      </c>
      <c r="J17" s="43" t="str">
        <f>Maggio26!$I36</f>
        <v/>
      </c>
      <c r="K17" s="43" t="str">
        <f>Giugno26!$I36</f>
        <v/>
      </c>
      <c r="L17" s="43" t="str">
        <f>Luglio26!$I36</f>
        <v/>
      </c>
      <c r="M17" s="43" t="str">
        <f>Agosto26!$I36</f>
        <v/>
      </c>
      <c r="N17" s="42"/>
      <c r="O17" s="38"/>
    </row>
    <row r="18" ht="24.75" customHeight="1">
      <c r="A18" s="40" t="str">
        <f>elenchi!A9</f>
        <v>SARA</v>
      </c>
      <c r="B18" s="44">
        <f>Settembre25!$J33</f>
        <v>209</v>
      </c>
      <c r="C18" s="44">
        <f>Ottobre25!$J33</f>
        <v>159.5</v>
      </c>
      <c r="D18" s="44">
        <f>Novembre25!$J33</f>
        <v>166.5</v>
      </c>
      <c r="E18" s="44">
        <f>Dicembre25!$J33</f>
        <v>120</v>
      </c>
      <c r="F18" s="44">
        <f>Gennaio26!$J33</f>
        <v>133.5</v>
      </c>
      <c r="G18" s="44">
        <f>Febbraio26!$J33</f>
        <v>141.5</v>
      </c>
      <c r="H18" s="44">
        <f>Marzo26!$J33</f>
        <v>181.5</v>
      </c>
      <c r="I18" s="44">
        <f>Aprile26!$J33</f>
        <v>0</v>
      </c>
      <c r="J18" s="44">
        <f>Maggio26!$J33</f>
        <v>0</v>
      </c>
      <c r="K18" s="44">
        <f>Giugno26!$J33</f>
        <v>0</v>
      </c>
      <c r="L18" s="44">
        <f>Luglio26!$J33</f>
        <v>0</v>
      </c>
      <c r="M18" s="44">
        <f>Agosto26!$J33</f>
        <v>0</v>
      </c>
      <c r="N18" s="44"/>
      <c r="O18" s="41"/>
    </row>
    <row r="19" ht="24.75" customHeight="1">
      <c r="A19" s="36"/>
      <c r="B19" s="43">
        <f>Settembre25!$J36</f>
        <v>1800</v>
      </c>
      <c r="C19" s="43">
        <f>Ottobre25!$J36</f>
        <v>1650</v>
      </c>
      <c r="D19" s="43">
        <f>Novembre25!$J36</f>
        <v>1700</v>
      </c>
      <c r="E19" s="43">
        <f>Dicembre25!$J36</f>
        <v>1600</v>
      </c>
      <c r="F19" s="43" t="str">
        <f>Gennaio26!$J36</f>
        <v/>
      </c>
      <c r="G19" s="43">
        <f>Febbraio26!$J36</f>
        <v>1600</v>
      </c>
      <c r="H19" s="43" t="str">
        <f>Marzo26!$J36</f>
        <v/>
      </c>
      <c r="I19" s="43" t="str">
        <f>Aprile26!$J36</f>
        <v/>
      </c>
      <c r="J19" s="43" t="str">
        <f>Maggio26!$J36</f>
        <v/>
      </c>
      <c r="K19" s="43" t="str">
        <f>Giugno26!$J36</f>
        <v/>
      </c>
      <c r="L19" s="43" t="str">
        <f>Luglio26!$J36</f>
        <v/>
      </c>
      <c r="M19" s="43" t="str">
        <f>Agosto26!$J36</f>
        <v/>
      </c>
      <c r="N19" s="42"/>
      <c r="O19" s="42"/>
    </row>
    <row r="20" ht="24.75" customHeight="1">
      <c r="A20" s="40" t="str">
        <f>elenchi!A10</f>
        <v>SANTO</v>
      </c>
      <c r="B20" s="44">
        <f>Settembre25!$K33</f>
        <v>181</v>
      </c>
      <c r="C20" s="44">
        <f>Ottobre25!$K33</f>
        <v>184</v>
      </c>
      <c r="D20" s="44">
        <f>Novembre25!$K33</f>
        <v>160</v>
      </c>
      <c r="E20" s="44">
        <f>Dicembre25!$K33</f>
        <v>144</v>
      </c>
      <c r="F20" s="44">
        <f>Gennaio26!$K33</f>
        <v>144</v>
      </c>
      <c r="G20" s="44">
        <f>Febbraio26!$K33</f>
        <v>160</v>
      </c>
      <c r="H20" s="44">
        <f>Marzo26!$K33</f>
        <v>176</v>
      </c>
      <c r="I20" s="44">
        <f>Aprile26!$K33</f>
        <v>0</v>
      </c>
      <c r="J20" s="44">
        <f>Maggio26!$K33</f>
        <v>0</v>
      </c>
      <c r="K20" s="44">
        <f>Giugno26!$K33</f>
        <v>0</v>
      </c>
      <c r="L20" s="44">
        <f>Luglio26!$K33</f>
        <v>0</v>
      </c>
      <c r="M20" s="44">
        <f>Agosto26!$K33</f>
        <v>0</v>
      </c>
      <c r="N20" s="44"/>
      <c r="O20" s="41"/>
    </row>
    <row r="21" ht="24.75" customHeight="1">
      <c r="A21" s="36"/>
      <c r="B21" s="43">
        <f>Settembre25!$K36</f>
        <v>2600</v>
      </c>
      <c r="C21" s="43">
        <f>Ottobre25!$K36</f>
        <v>2500</v>
      </c>
      <c r="D21" s="43">
        <f>Novembre25!$K36</f>
        <v>2500</v>
      </c>
      <c r="E21" s="43">
        <f>Dicembre25!$K36</f>
        <v>2500</v>
      </c>
      <c r="F21" s="43">
        <f>Gennaio26!$K36</f>
        <v>2500</v>
      </c>
      <c r="G21" s="43">
        <f>Febbraio26!$K36</f>
        <v>2500</v>
      </c>
      <c r="H21" s="43" t="str">
        <f>Marzo26!$K36</f>
        <v/>
      </c>
      <c r="I21" s="43" t="str">
        <f>Aprile26!$K36</f>
        <v/>
      </c>
      <c r="J21" s="43" t="str">
        <f>Maggio26!$K36</f>
        <v/>
      </c>
      <c r="K21" s="43" t="str">
        <f>Giugno26!$K36</f>
        <v/>
      </c>
      <c r="L21" s="43" t="str">
        <f>Luglio26!$K36</f>
        <v/>
      </c>
      <c r="M21" s="43" t="str">
        <f>Agosto26!$K36</f>
        <v/>
      </c>
      <c r="N21" s="42"/>
      <c r="O21" s="42"/>
    </row>
    <row r="22" ht="24.75" customHeight="1">
      <c r="A22" s="40" t="str">
        <f>elenchi!A11</f>
        <v>MASSI</v>
      </c>
      <c r="B22" s="44">
        <f>Settembre25!$L33</f>
        <v>184</v>
      </c>
      <c r="C22" s="44">
        <f>Ottobre25!$L33</f>
        <v>195</v>
      </c>
      <c r="D22" s="44">
        <f>Novembre25!$L33</f>
        <v>168</v>
      </c>
      <c r="E22" s="44">
        <f>Dicembre25!$L33</f>
        <v>150</v>
      </c>
      <c r="F22" s="44">
        <f>Gennaio26!$L33</f>
        <v>152</v>
      </c>
      <c r="G22" s="44">
        <f>Febbraio26!$L33</f>
        <v>167</v>
      </c>
      <c r="H22" s="44">
        <f>Marzo26!$L33</f>
        <v>184</v>
      </c>
      <c r="I22" s="44">
        <f>Aprile26!$L33</f>
        <v>0</v>
      </c>
      <c r="J22" s="44">
        <f>Maggio26!$L33</f>
        <v>0</v>
      </c>
      <c r="K22" s="44">
        <f>Giugno26!$L33</f>
        <v>0</v>
      </c>
      <c r="L22" s="44">
        <f>Luglio26!$L33</f>
        <v>0</v>
      </c>
      <c r="M22" s="44">
        <f>Agosto26!$L33</f>
        <v>0</v>
      </c>
      <c r="N22" s="44"/>
      <c r="O22" s="41"/>
    </row>
    <row r="23" ht="24.75" customHeight="1">
      <c r="A23" s="36"/>
      <c r="B23" s="43" t="str">
        <f>Settembre25!$L36</f>
        <v/>
      </c>
      <c r="C23" s="43">
        <f>Ottobre25!$L36</f>
        <v>1600</v>
      </c>
      <c r="D23" s="43">
        <f>Novembre25!$L36</f>
        <v>1600</v>
      </c>
      <c r="E23" s="43">
        <f>Dicembre25!$L36</f>
        <v>1600</v>
      </c>
      <c r="F23" s="43">
        <f>Gennaio26!$L36</f>
        <v>1600</v>
      </c>
      <c r="G23" s="43">
        <f>Febbraio26!$L36</f>
        <v>1600</v>
      </c>
      <c r="H23" s="43" t="str">
        <f>Marzo26!$L36</f>
        <v/>
      </c>
      <c r="I23" s="43" t="str">
        <f>Aprile26!$L36</f>
        <v/>
      </c>
      <c r="J23" s="43" t="str">
        <f>Maggio26!$L36</f>
        <v/>
      </c>
      <c r="K23" s="43" t="str">
        <f>Giugno26!$L36</f>
        <v/>
      </c>
      <c r="L23" s="43" t="str">
        <f>Luglio26!$L36</f>
        <v/>
      </c>
      <c r="M23" s="43" t="str">
        <f>Agosto26!$L36</f>
        <v/>
      </c>
      <c r="N23" s="42"/>
      <c r="O23" s="42"/>
    </row>
    <row r="24" ht="24.75" customHeight="1">
      <c r="A24" s="40" t="str">
        <f>elenchi!A12</f>
        <v>STEFANO</v>
      </c>
      <c r="B24" s="44">
        <f>Settembre25!$M33</f>
        <v>105</v>
      </c>
      <c r="C24" s="44">
        <f>Ottobre25!$M33</f>
        <v>143</v>
      </c>
      <c r="D24" s="44">
        <f>Novembre25!$M33</f>
        <v>122</v>
      </c>
      <c r="E24" s="44">
        <f>Dicembre25!$M33</f>
        <v>0</v>
      </c>
      <c r="F24" s="44">
        <f>Gennaio26!$M33</f>
        <v>72</v>
      </c>
      <c r="G24" s="44">
        <f>Febbraio26!$M33</f>
        <v>0</v>
      </c>
      <c r="H24" s="44">
        <f>Marzo26!$M33</f>
        <v>36</v>
      </c>
      <c r="I24" s="44">
        <f>Aprile26!$M33</f>
        <v>0</v>
      </c>
      <c r="J24" s="44">
        <f>Maggio26!$M33</f>
        <v>0</v>
      </c>
      <c r="K24" s="44">
        <f>Giugno26!$M33</f>
        <v>0</v>
      </c>
      <c r="L24" s="44">
        <f>Luglio26!$M33</f>
        <v>0</v>
      </c>
      <c r="M24" s="44">
        <f>Agosto26!$M33</f>
        <v>0</v>
      </c>
      <c r="N24" s="44"/>
      <c r="O24" s="41"/>
    </row>
    <row r="25" ht="24.75" customHeight="1">
      <c r="A25" s="45"/>
      <c r="B25" s="46">
        <f>Settembre25!$M36</f>
        <v>680</v>
      </c>
      <c r="C25" s="46">
        <f>Ottobre25!$M36</f>
        <v>950</v>
      </c>
      <c r="D25" s="46" t="str">
        <f>Novembre25!$M36</f>
        <v/>
      </c>
      <c r="E25" s="46" t="str">
        <f>Dicembre25!$M36</f>
        <v/>
      </c>
      <c r="F25" s="46" t="str">
        <f>Gennaio26!$M36</f>
        <v/>
      </c>
      <c r="G25" s="46" t="str">
        <f>Febbraio26!$M36</f>
        <v/>
      </c>
      <c r="H25" s="46" t="str">
        <f>Marzo26!$M36</f>
        <v/>
      </c>
      <c r="I25" s="46" t="str">
        <f>Aprile26!$M36</f>
        <v/>
      </c>
      <c r="J25" s="46" t="str">
        <f>Maggio26!$M36</f>
        <v/>
      </c>
      <c r="K25" s="46" t="str">
        <f>Giugno26!$M36</f>
        <v/>
      </c>
      <c r="L25" s="46" t="str">
        <f>Luglio26!$M36</f>
        <v/>
      </c>
      <c r="M25" s="46" t="str">
        <f>Agosto26!$M36</f>
        <v/>
      </c>
      <c r="N25" s="47"/>
      <c r="O25" s="48"/>
    </row>
    <row r="26" ht="24.75" customHeight="1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ht="24.75" customHeight="1">
      <c r="A27" s="5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</sheetData>
  <printOptions/>
  <pageMargins bottom="0.25" footer="0.0" header="0.0" left="0.5" right="0.25" top="0.25"/>
  <pageSetup scale="81" orientation="landscape"/>
  <headerFooter>
    <oddFooter>&amp;C000000&amp;P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 outlineLevelRow="1"/>
  <cols>
    <col collapsed="1" customWidth="1" min="1" max="1" width="15.14"/>
    <col customWidth="1" hidden="1" min="2" max="2" width="10.14" outlineLevel="1"/>
    <col customWidth="1" hidden="1" min="3" max="45" width="4.14" outlineLevel="1"/>
    <col collapsed="1" customWidth="1" min="46" max="46" width="15.29"/>
    <col customWidth="1" hidden="1" min="47" max="47" width="10.86" outlineLevel="1"/>
    <col customWidth="1" hidden="1" min="48" max="79" width="4.14" outlineLevel="1"/>
    <col customWidth="1" hidden="1" min="80" max="80" width="6.29" outlineLevel="1"/>
    <col customWidth="1" hidden="1" min="81" max="81" width="8.57" outlineLevel="1"/>
    <col customWidth="1" hidden="1" min="82" max="82" width="8.14" outlineLevel="1"/>
    <col customWidth="1" hidden="1" min="83" max="90" width="4.14" outlineLevel="1"/>
    <col collapsed="1" customWidth="1" min="91" max="91" width="15.0"/>
    <col customWidth="1" hidden="1" min="92" max="92" width="10.14" outlineLevel="1"/>
    <col customWidth="1" hidden="1" min="93" max="135" width="4.14" outlineLevel="1"/>
    <col collapsed="1" customWidth="1" min="136" max="136" width="15.0"/>
    <col customWidth="1" hidden="1" min="137" max="137" width="10.14" outlineLevel="1"/>
    <col customWidth="1" hidden="1" min="138" max="180" width="4.14" outlineLevel="1"/>
    <col collapsed="1" customWidth="1" min="181" max="181" width="15.0"/>
    <col customWidth="1" hidden="1" min="182" max="182" width="10.14" outlineLevel="1"/>
    <col customWidth="1" hidden="1" min="183" max="225" width="4.14" outlineLevel="1"/>
    <col collapsed="1" customWidth="1" min="226" max="226" width="15.0"/>
    <col customWidth="1" hidden="1" min="227" max="227" width="10.14" outlineLevel="1"/>
    <col customWidth="1" hidden="1" min="228" max="270" width="4.14" outlineLevel="1"/>
    <col customWidth="1" min="271" max="271" width="15.0"/>
    <col customWidth="1" min="272" max="272" width="10.14" outlineLevel="1"/>
    <col customWidth="1" min="273" max="315" width="4.14" outlineLevel="1"/>
    <col collapsed="1" customWidth="1" min="316" max="316" width="15.0"/>
    <col customWidth="1" hidden="1" min="317" max="317" width="10.14" outlineLevel="1"/>
    <col customWidth="1" hidden="1" min="318" max="360" width="4.14" outlineLevel="1"/>
    <col collapsed="1" customWidth="1" min="361" max="361" width="15.0"/>
    <col customWidth="1" hidden="1" min="362" max="362" width="10.14" outlineLevel="1"/>
    <col customWidth="1" hidden="1" min="363" max="405" width="4.14" outlineLevel="1"/>
    <col collapsed="1" customWidth="1" min="406" max="406" width="15.0"/>
    <col customWidth="1" hidden="1" min="407" max="407" width="10.14" outlineLevel="1"/>
    <col customWidth="1" hidden="1" min="408" max="450" width="4.14" outlineLevel="1"/>
    <col collapsed="1" customWidth="1" min="451" max="451" width="15.0"/>
    <col customWidth="1" hidden="1" min="452" max="452" width="10.14" outlineLevel="1"/>
    <col customWidth="1" hidden="1" min="453" max="495" width="4.14" outlineLevel="1"/>
    <col collapsed="1" customWidth="1" min="496" max="496" width="15.0"/>
    <col customWidth="1" hidden="1" min="497" max="497" width="10.14" outlineLevel="1"/>
    <col customWidth="1" hidden="1" min="498" max="540" width="4.14" outlineLevel="1"/>
  </cols>
  <sheetData>
    <row r="1" ht="24.75" customHeight="1">
      <c r="A1" s="52" t="str">
        <f>elenchi!D1</f>
        <v>SET - Nominativo Dipendente</v>
      </c>
      <c r="B1" s="53"/>
      <c r="C1" s="54"/>
      <c r="D1" s="55" t="str">
        <f>elenchi!E1</f>
        <v>PRESTAZIONI PER CIASCUNA GIORNATA DEL MESE DI: SETTEMBRE 2025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4"/>
      <c r="AT1" s="52" t="str">
        <f>elenchi!D2</f>
        <v>OTT - Nominativo Dipendente		</v>
      </c>
      <c r="AU1" s="53"/>
      <c r="AV1" s="54"/>
      <c r="AW1" s="55" t="str">
        <f>elenchi!E2</f>
        <v>PRESTAZIONI PER CIASCUNA GIORNATA DEL MESE DI: OTTOBRE 2025</v>
      </c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4"/>
      <c r="CM1" s="52" t="str">
        <f>elenchi!D3</f>
        <v>NOV - Nominativo Dipendente</v>
      </c>
      <c r="CN1" s="53"/>
      <c r="CO1" s="54"/>
      <c r="CP1" s="55" t="str">
        <f>elenchi!E3</f>
        <v>PRESTAZIONI PER CIASCUNA GIORNATA DEL MESE DI: NOVEMBRE 2025</v>
      </c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4"/>
      <c r="EF1" s="52" t="str">
        <f>elenchi!D4</f>
        <v>DIC - Nominativo Dipendente</v>
      </c>
      <c r="EG1" s="53"/>
      <c r="EH1" s="54"/>
      <c r="EI1" s="55" t="str">
        <f>elenchi!E4</f>
        <v>PRESTAZIONI PER CIASCUNA GIORNATA DEL MESE DI: DICEMBRE 2025</v>
      </c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4"/>
      <c r="FY1" s="52" t="str">
        <f>elenchi!D5</f>
        <v>GEN - Nominativo Dipendente</v>
      </c>
      <c r="FZ1" s="53"/>
      <c r="GA1" s="54"/>
      <c r="GB1" s="55" t="str">
        <f>elenchi!E5</f>
        <v>PRESTAZIONI PER CIASCUNA GIORNATA DEL MESE DI: GENNAIO 2026</v>
      </c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4"/>
      <c r="HR1" s="52" t="str">
        <f>elenchi!D6</f>
        <v>FEB - Nominativo Dipendente</v>
      </c>
      <c r="HS1" s="53"/>
      <c r="HT1" s="54"/>
      <c r="HU1" s="55" t="str">
        <f>elenchi!E6</f>
        <v>PRESTAZIONI PER CIASCUNA GIORNATA DEL MESE DI: FEBBRAIO 2026</v>
      </c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4"/>
      <c r="JK1" s="52" t="str">
        <f>elenchi!D7</f>
        <v>MAR - Nominativo Dipendente</v>
      </c>
      <c r="JL1" s="53"/>
      <c r="JM1" s="54"/>
      <c r="JN1" s="55" t="str">
        <f>elenchi!E7</f>
        <v>PRESTAZIONI PER CIASCUNA GIORNATA DEL MESE DI: MARZO 2026</v>
      </c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4"/>
      <c r="LD1" s="52" t="str">
        <f>elenchi!D8</f>
        <v>APR - Nominativo Dipendente</v>
      </c>
      <c r="LE1" s="53"/>
      <c r="LF1" s="54"/>
      <c r="LG1" s="55" t="str">
        <f>elenchi!E8</f>
        <v>PRESTAZIONI PER CIASCUNA GIORNATA DEL MESE DI: APRILE 2026</v>
      </c>
      <c r="LH1" s="53"/>
      <c r="LI1" s="53"/>
      <c r="LJ1" s="53"/>
      <c r="LK1" s="53"/>
      <c r="LL1" s="53"/>
      <c r="LM1" s="53"/>
      <c r="LN1" s="53"/>
      <c r="LO1" s="53"/>
      <c r="LP1" s="53"/>
      <c r="LQ1" s="53"/>
      <c r="LR1" s="53"/>
      <c r="LS1" s="53"/>
      <c r="LT1" s="53"/>
      <c r="LU1" s="53"/>
      <c r="LV1" s="53"/>
      <c r="LW1" s="53"/>
      <c r="LX1" s="53"/>
      <c r="LY1" s="53"/>
      <c r="LZ1" s="53"/>
      <c r="MA1" s="53"/>
      <c r="MB1" s="53"/>
      <c r="MC1" s="53"/>
      <c r="MD1" s="53"/>
      <c r="ME1" s="53"/>
      <c r="MF1" s="53"/>
      <c r="MG1" s="53"/>
      <c r="MH1" s="53"/>
      <c r="MI1" s="53"/>
      <c r="MJ1" s="53"/>
      <c r="MK1" s="53"/>
      <c r="ML1" s="53"/>
      <c r="MM1" s="53"/>
      <c r="MN1" s="53"/>
      <c r="MO1" s="53"/>
      <c r="MP1" s="53"/>
      <c r="MQ1" s="53"/>
      <c r="MR1" s="53"/>
      <c r="MS1" s="53"/>
      <c r="MT1" s="53"/>
      <c r="MU1" s="53"/>
      <c r="MV1" s="54"/>
      <c r="MW1" s="52" t="str">
        <f>elenchi!D9</f>
        <v>MAG - Nominativo Dipendente</v>
      </c>
      <c r="MX1" s="53"/>
      <c r="MY1" s="54"/>
      <c r="MZ1" s="55" t="str">
        <f>elenchi!E9</f>
        <v>PRESTAZIONI PER CIASCUNA GIORNATA DEL MESE DI: MAGGIO 2026</v>
      </c>
      <c r="NA1" s="53"/>
      <c r="NB1" s="53"/>
      <c r="NC1" s="53"/>
      <c r="ND1" s="53"/>
      <c r="NE1" s="53"/>
      <c r="NF1" s="53"/>
      <c r="NG1" s="53"/>
      <c r="NH1" s="53"/>
      <c r="NI1" s="53"/>
      <c r="NJ1" s="53"/>
      <c r="NK1" s="53"/>
      <c r="NL1" s="53"/>
      <c r="NM1" s="53"/>
      <c r="NN1" s="53"/>
      <c r="NO1" s="53"/>
      <c r="NP1" s="53"/>
      <c r="NQ1" s="53"/>
      <c r="NR1" s="53"/>
      <c r="NS1" s="53"/>
      <c r="NT1" s="53"/>
      <c r="NU1" s="53"/>
      <c r="NV1" s="53"/>
      <c r="NW1" s="53"/>
      <c r="NX1" s="53"/>
      <c r="NY1" s="53"/>
      <c r="NZ1" s="53"/>
      <c r="OA1" s="53"/>
      <c r="OB1" s="53"/>
      <c r="OC1" s="53"/>
      <c r="OD1" s="53"/>
      <c r="OE1" s="53"/>
      <c r="OF1" s="53"/>
      <c r="OG1" s="53"/>
      <c r="OH1" s="53"/>
      <c r="OI1" s="53"/>
      <c r="OJ1" s="53"/>
      <c r="OK1" s="53"/>
      <c r="OL1" s="53"/>
      <c r="OM1" s="53"/>
      <c r="ON1" s="53"/>
      <c r="OO1" s="54"/>
      <c r="OP1" s="52" t="str">
        <f>elenchi!D10</f>
        <v>GIU - Nominativo Dipendente</v>
      </c>
      <c r="OQ1" s="53"/>
      <c r="OR1" s="54"/>
      <c r="OS1" s="55" t="str">
        <f>elenchi!E10</f>
        <v>PRESTAZIONI PER CIASCUNA GIORNATA DEL MESE DI: GIUGNO 2026</v>
      </c>
      <c r="OT1" s="53"/>
      <c r="OU1" s="53"/>
      <c r="OV1" s="53"/>
      <c r="OW1" s="53"/>
      <c r="OX1" s="53"/>
      <c r="OY1" s="53"/>
      <c r="OZ1" s="53"/>
      <c r="PA1" s="53"/>
      <c r="PB1" s="53"/>
      <c r="PC1" s="53"/>
      <c r="PD1" s="53"/>
      <c r="PE1" s="53"/>
      <c r="PF1" s="53"/>
      <c r="PG1" s="53"/>
      <c r="PH1" s="53"/>
      <c r="PI1" s="53"/>
      <c r="PJ1" s="53"/>
      <c r="PK1" s="53"/>
      <c r="PL1" s="53"/>
      <c r="PM1" s="53"/>
      <c r="PN1" s="53"/>
      <c r="PO1" s="53"/>
      <c r="PP1" s="53"/>
      <c r="PQ1" s="53"/>
      <c r="PR1" s="53"/>
      <c r="PS1" s="53"/>
      <c r="PT1" s="53"/>
      <c r="PU1" s="53"/>
      <c r="PV1" s="53"/>
      <c r="PW1" s="53"/>
      <c r="PX1" s="53"/>
      <c r="PY1" s="53"/>
      <c r="PZ1" s="53"/>
      <c r="QA1" s="53"/>
      <c r="QB1" s="53"/>
      <c r="QC1" s="53"/>
      <c r="QD1" s="53"/>
      <c r="QE1" s="53"/>
      <c r="QF1" s="53"/>
      <c r="QG1" s="53"/>
      <c r="QH1" s="54"/>
      <c r="QI1" s="52" t="str">
        <f>elenchi!D11</f>
        <v>LUG - Nominativo Dipendente</v>
      </c>
      <c r="QJ1" s="53"/>
      <c r="QK1" s="54"/>
      <c r="QL1" s="55" t="str">
        <f>elenchi!E11</f>
        <v>PRESTAZIONI PER CIASCUNA GIORNATA DEL MESE DI: LUGLIO 2026</v>
      </c>
      <c r="QM1" s="53"/>
      <c r="QN1" s="53"/>
      <c r="QO1" s="53"/>
      <c r="QP1" s="53"/>
      <c r="QQ1" s="53"/>
      <c r="QR1" s="53"/>
      <c r="QS1" s="53"/>
      <c r="QT1" s="53"/>
      <c r="QU1" s="53"/>
      <c r="QV1" s="53"/>
      <c r="QW1" s="53"/>
      <c r="QX1" s="53"/>
      <c r="QY1" s="53"/>
      <c r="QZ1" s="53"/>
      <c r="RA1" s="53"/>
      <c r="RB1" s="53"/>
      <c r="RC1" s="53"/>
      <c r="RD1" s="53"/>
      <c r="RE1" s="53"/>
      <c r="RF1" s="53"/>
      <c r="RG1" s="53"/>
      <c r="RH1" s="53"/>
      <c r="RI1" s="53"/>
      <c r="RJ1" s="53"/>
      <c r="RK1" s="53"/>
      <c r="RL1" s="53"/>
      <c r="RM1" s="53"/>
      <c r="RN1" s="53"/>
      <c r="RO1" s="53"/>
      <c r="RP1" s="53"/>
      <c r="RQ1" s="53"/>
      <c r="RR1" s="53"/>
      <c r="RS1" s="53"/>
      <c r="RT1" s="53"/>
      <c r="RU1" s="53"/>
      <c r="RV1" s="53"/>
      <c r="RW1" s="53"/>
      <c r="RX1" s="53"/>
      <c r="RY1" s="53"/>
      <c r="RZ1" s="53"/>
      <c r="SA1" s="54"/>
      <c r="SB1" s="52" t="str">
        <f>elenchi!D12</f>
        <v>AGO - Nominativo Dipendente</v>
      </c>
      <c r="SC1" s="53"/>
      <c r="SD1" s="54"/>
      <c r="SE1" s="55" t="str">
        <f>elenchi!E12</f>
        <v>PRESTAZIONI PER CIASCUNA GIORNATA DEL MESE DI: AGOSTO 2026</v>
      </c>
      <c r="SF1" s="53"/>
      <c r="SG1" s="53"/>
      <c r="SH1" s="53"/>
      <c r="SI1" s="53"/>
      <c r="SJ1" s="53"/>
      <c r="SK1" s="53"/>
      <c r="SL1" s="53"/>
      <c r="SM1" s="53"/>
      <c r="SN1" s="53"/>
      <c r="SO1" s="53"/>
      <c r="SP1" s="53"/>
      <c r="SQ1" s="53"/>
      <c r="SR1" s="53"/>
      <c r="SS1" s="53"/>
      <c r="ST1" s="53"/>
      <c r="SU1" s="53"/>
      <c r="SV1" s="53"/>
      <c r="SW1" s="53"/>
      <c r="SX1" s="53"/>
      <c r="SY1" s="53"/>
      <c r="SZ1" s="53"/>
      <c r="TA1" s="53"/>
      <c r="TB1" s="53"/>
      <c r="TC1" s="53"/>
      <c r="TD1" s="53"/>
      <c r="TE1" s="53"/>
      <c r="TF1" s="53"/>
      <c r="TG1" s="53"/>
      <c r="TH1" s="53"/>
      <c r="TI1" s="53"/>
      <c r="TJ1" s="53"/>
      <c r="TK1" s="53"/>
      <c r="TL1" s="53"/>
      <c r="TM1" s="53"/>
      <c r="TN1" s="53"/>
      <c r="TO1" s="53"/>
      <c r="TP1" s="53"/>
      <c r="TQ1" s="53"/>
      <c r="TR1" s="53"/>
      <c r="TS1" s="53"/>
      <c r="TT1" s="54"/>
    </row>
    <row r="2" ht="24.75" customHeight="1">
      <c r="A2" s="56" t="s">
        <v>30</v>
      </c>
      <c r="B2" s="57"/>
      <c r="C2" s="58"/>
      <c r="D2" s="59">
        <v>45901.0</v>
      </c>
      <c r="E2" s="59">
        <v>45902.0</v>
      </c>
      <c r="F2" s="59">
        <v>45903.0</v>
      </c>
      <c r="G2" s="59">
        <v>45904.0</v>
      </c>
      <c r="H2" s="59">
        <v>45905.0</v>
      </c>
      <c r="I2" s="59">
        <v>45906.0</v>
      </c>
      <c r="J2" s="59">
        <v>45907.0</v>
      </c>
      <c r="K2" s="59">
        <v>45908.0</v>
      </c>
      <c r="L2" s="59">
        <v>45909.0</v>
      </c>
      <c r="M2" s="59">
        <v>45910.0</v>
      </c>
      <c r="N2" s="59">
        <v>45911.0</v>
      </c>
      <c r="O2" s="59">
        <v>45912.0</v>
      </c>
      <c r="P2" s="59">
        <v>45913.0</v>
      </c>
      <c r="Q2" s="59">
        <v>45914.0</v>
      </c>
      <c r="R2" s="59">
        <v>45915.0</v>
      </c>
      <c r="S2" s="59">
        <v>45916.0</v>
      </c>
      <c r="T2" s="59">
        <v>45917.0</v>
      </c>
      <c r="U2" s="59">
        <v>45918.0</v>
      </c>
      <c r="V2" s="59">
        <v>45919.0</v>
      </c>
      <c r="W2" s="59">
        <v>45920.0</v>
      </c>
      <c r="X2" s="59">
        <v>45921.0</v>
      </c>
      <c r="Y2" s="59">
        <v>45922.0</v>
      </c>
      <c r="Z2" s="59">
        <v>45923.0</v>
      </c>
      <c r="AA2" s="59">
        <v>45924.0</v>
      </c>
      <c r="AB2" s="59">
        <v>45925.0</v>
      </c>
      <c r="AC2" s="59">
        <v>45926.0</v>
      </c>
      <c r="AD2" s="59">
        <v>45927.0</v>
      </c>
      <c r="AE2" s="59">
        <v>45928.0</v>
      </c>
      <c r="AF2" s="59">
        <v>45929.0</v>
      </c>
      <c r="AG2" s="59">
        <v>45930.0</v>
      </c>
      <c r="AH2" s="60"/>
      <c r="AI2" s="61" t="s">
        <v>31</v>
      </c>
      <c r="AJ2" s="57"/>
      <c r="AK2" s="58"/>
      <c r="AL2" s="62" t="s">
        <v>32</v>
      </c>
      <c r="AM2" s="57"/>
      <c r="AN2" s="57"/>
      <c r="AO2" s="57"/>
      <c r="AP2" s="57"/>
      <c r="AQ2" s="57"/>
      <c r="AR2" s="57"/>
      <c r="AS2" s="58"/>
      <c r="AT2" s="63"/>
      <c r="AU2" s="57"/>
      <c r="AV2" s="58"/>
      <c r="AW2" s="59">
        <v>45931.0</v>
      </c>
      <c r="AX2" s="59">
        <v>45932.0</v>
      </c>
      <c r="AY2" s="59">
        <v>45933.0</v>
      </c>
      <c r="AZ2" s="59">
        <v>45934.0</v>
      </c>
      <c r="BA2" s="59">
        <v>45935.0</v>
      </c>
      <c r="BB2" s="59">
        <v>45936.0</v>
      </c>
      <c r="BC2" s="59">
        <v>45937.0</v>
      </c>
      <c r="BD2" s="59">
        <v>45938.0</v>
      </c>
      <c r="BE2" s="59">
        <v>45939.0</v>
      </c>
      <c r="BF2" s="59">
        <v>45940.0</v>
      </c>
      <c r="BG2" s="59">
        <v>45941.0</v>
      </c>
      <c r="BH2" s="59">
        <v>45942.0</v>
      </c>
      <c r="BI2" s="59">
        <v>45943.0</v>
      </c>
      <c r="BJ2" s="59">
        <v>45944.0</v>
      </c>
      <c r="BK2" s="59">
        <v>45945.0</v>
      </c>
      <c r="BL2" s="59">
        <v>45946.0</v>
      </c>
      <c r="BM2" s="59">
        <v>45947.0</v>
      </c>
      <c r="BN2" s="59">
        <v>45948.0</v>
      </c>
      <c r="BO2" s="59">
        <v>45949.0</v>
      </c>
      <c r="BP2" s="59">
        <v>45950.0</v>
      </c>
      <c r="BQ2" s="59">
        <v>45951.0</v>
      </c>
      <c r="BR2" s="59">
        <v>45952.0</v>
      </c>
      <c r="BS2" s="59">
        <v>45953.0</v>
      </c>
      <c r="BT2" s="59">
        <v>45954.0</v>
      </c>
      <c r="BU2" s="59">
        <v>45955.0</v>
      </c>
      <c r="BV2" s="59">
        <v>45956.0</v>
      </c>
      <c r="BW2" s="59">
        <v>45957.0</v>
      </c>
      <c r="BX2" s="59">
        <v>45958.0</v>
      </c>
      <c r="BY2" s="59">
        <v>45959.0</v>
      </c>
      <c r="BZ2" s="59">
        <v>45960.0</v>
      </c>
      <c r="CA2" s="59">
        <v>45961.0</v>
      </c>
      <c r="CB2" s="61" t="s">
        <v>31</v>
      </c>
      <c r="CC2" s="57"/>
      <c r="CD2" s="58"/>
      <c r="CE2" s="62" t="s">
        <v>32</v>
      </c>
      <c r="CF2" s="57"/>
      <c r="CG2" s="57"/>
      <c r="CH2" s="57"/>
      <c r="CI2" s="57"/>
      <c r="CJ2" s="57"/>
      <c r="CK2" s="57"/>
      <c r="CL2" s="58"/>
      <c r="CM2" s="63"/>
      <c r="CN2" s="57"/>
      <c r="CO2" s="58"/>
      <c r="CP2" s="59">
        <v>45962.0</v>
      </c>
      <c r="CQ2" s="59">
        <v>45963.0</v>
      </c>
      <c r="CR2" s="59">
        <v>45964.0</v>
      </c>
      <c r="CS2" s="59">
        <v>45965.0</v>
      </c>
      <c r="CT2" s="59">
        <v>45966.0</v>
      </c>
      <c r="CU2" s="59">
        <v>45967.0</v>
      </c>
      <c r="CV2" s="59">
        <v>45968.0</v>
      </c>
      <c r="CW2" s="59">
        <v>45969.0</v>
      </c>
      <c r="CX2" s="59">
        <v>45970.0</v>
      </c>
      <c r="CY2" s="59">
        <v>45971.0</v>
      </c>
      <c r="CZ2" s="59">
        <v>45972.0</v>
      </c>
      <c r="DA2" s="59">
        <v>45973.0</v>
      </c>
      <c r="DB2" s="59">
        <v>45974.0</v>
      </c>
      <c r="DC2" s="59">
        <v>45975.0</v>
      </c>
      <c r="DD2" s="59">
        <v>45976.0</v>
      </c>
      <c r="DE2" s="59">
        <v>45977.0</v>
      </c>
      <c r="DF2" s="59">
        <v>45978.0</v>
      </c>
      <c r="DG2" s="59">
        <v>45979.0</v>
      </c>
      <c r="DH2" s="59">
        <v>45980.0</v>
      </c>
      <c r="DI2" s="59">
        <v>45981.0</v>
      </c>
      <c r="DJ2" s="59">
        <v>45982.0</v>
      </c>
      <c r="DK2" s="59">
        <v>45983.0</v>
      </c>
      <c r="DL2" s="59">
        <v>45984.0</v>
      </c>
      <c r="DM2" s="59">
        <v>45985.0</v>
      </c>
      <c r="DN2" s="59">
        <v>45986.0</v>
      </c>
      <c r="DO2" s="59">
        <v>45987.0</v>
      </c>
      <c r="DP2" s="59">
        <v>45988.0</v>
      </c>
      <c r="DQ2" s="59">
        <v>45989.0</v>
      </c>
      <c r="DR2" s="59">
        <v>45990.0</v>
      </c>
      <c r="DS2" s="59">
        <v>45991.0</v>
      </c>
      <c r="DT2" s="59"/>
      <c r="DU2" s="61" t="s">
        <v>31</v>
      </c>
      <c r="DV2" s="57"/>
      <c r="DW2" s="58"/>
      <c r="DX2" s="62" t="s">
        <v>32</v>
      </c>
      <c r="DY2" s="57"/>
      <c r="DZ2" s="57"/>
      <c r="EA2" s="57"/>
      <c r="EB2" s="57"/>
      <c r="EC2" s="57"/>
      <c r="ED2" s="57"/>
      <c r="EE2" s="58"/>
      <c r="EF2" s="63"/>
      <c r="EG2" s="57"/>
      <c r="EH2" s="58"/>
      <c r="EI2" s="59">
        <v>45992.0</v>
      </c>
      <c r="EJ2" s="59">
        <v>45993.0</v>
      </c>
      <c r="EK2" s="59">
        <v>45994.0</v>
      </c>
      <c r="EL2" s="59">
        <v>45995.0</v>
      </c>
      <c r="EM2" s="59">
        <v>45996.0</v>
      </c>
      <c r="EN2" s="59">
        <v>45997.0</v>
      </c>
      <c r="EO2" s="59">
        <v>45998.0</v>
      </c>
      <c r="EP2" s="59">
        <v>45999.0</v>
      </c>
      <c r="EQ2" s="59">
        <v>46000.0</v>
      </c>
      <c r="ER2" s="59">
        <v>46001.0</v>
      </c>
      <c r="ES2" s="59">
        <v>46002.0</v>
      </c>
      <c r="ET2" s="59">
        <v>46003.0</v>
      </c>
      <c r="EU2" s="59">
        <v>46004.0</v>
      </c>
      <c r="EV2" s="59">
        <v>46005.0</v>
      </c>
      <c r="EW2" s="59">
        <v>46006.0</v>
      </c>
      <c r="EX2" s="59">
        <v>46007.0</v>
      </c>
      <c r="EY2" s="59">
        <v>46008.0</v>
      </c>
      <c r="EZ2" s="59">
        <v>46009.0</v>
      </c>
      <c r="FA2" s="59">
        <v>46010.0</v>
      </c>
      <c r="FB2" s="59">
        <v>46011.0</v>
      </c>
      <c r="FC2" s="59">
        <v>46012.0</v>
      </c>
      <c r="FD2" s="59">
        <v>46013.0</v>
      </c>
      <c r="FE2" s="59">
        <v>46014.0</v>
      </c>
      <c r="FF2" s="59">
        <v>46015.0</v>
      </c>
      <c r="FG2" s="59">
        <v>46016.0</v>
      </c>
      <c r="FH2" s="59">
        <v>46017.0</v>
      </c>
      <c r="FI2" s="59">
        <v>46018.0</v>
      </c>
      <c r="FJ2" s="59">
        <v>46019.0</v>
      </c>
      <c r="FK2" s="59">
        <v>46020.0</v>
      </c>
      <c r="FL2" s="59">
        <v>46021.0</v>
      </c>
      <c r="FM2" s="59">
        <v>46022.0</v>
      </c>
      <c r="FN2" s="61" t="s">
        <v>31</v>
      </c>
      <c r="FO2" s="57"/>
      <c r="FP2" s="58"/>
      <c r="FQ2" s="62" t="s">
        <v>32</v>
      </c>
      <c r="FR2" s="57"/>
      <c r="FS2" s="57"/>
      <c r="FT2" s="57"/>
      <c r="FU2" s="57"/>
      <c r="FV2" s="57"/>
      <c r="FW2" s="57"/>
      <c r="FX2" s="58"/>
      <c r="FY2" s="63"/>
      <c r="FZ2" s="57"/>
      <c r="GA2" s="58"/>
      <c r="GB2" s="59">
        <v>46023.0</v>
      </c>
      <c r="GC2" s="59">
        <v>46024.0</v>
      </c>
      <c r="GD2" s="59">
        <v>46025.0</v>
      </c>
      <c r="GE2" s="59">
        <v>46026.0</v>
      </c>
      <c r="GF2" s="59">
        <v>46027.0</v>
      </c>
      <c r="GG2" s="59">
        <v>46028.0</v>
      </c>
      <c r="GH2" s="59">
        <v>46029.0</v>
      </c>
      <c r="GI2" s="59">
        <v>46030.0</v>
      </c>
      <c r="GJ2" s="59">
        <v>46031.0</v>
      </c>
      <c r="GK2" s="59">
        <v>46032.0</v>
      </c>
      <c r="GL2" s="59">
        <v>46033.0</v>
      </c>
      <c r="GM2" s="59">
        <v>46034.0</v>
      </c>
      <c r="GN2" s="59">
        <v>46035.0</v>
      </c>
      <c r="GO2" s="59">
        <v>46036.0</v>
      </c>
      <c r="GP2" s="59">
        <v>46037.0</v>
      </c>
      <c r="GQ2" s="59">
        <v>46038.0</v>
      </c>
      <c r="GR2" s="59">
        <v>46039.0</v>
      </c>
      <c r="GS2" s="59">
        <v>46040.0</v>
      </c>
      <c r="GT2" s="59">
        <v>46041.0</v>
      </c>
      <c r="GU2" s="59">
        <v>46042.0</v>
      </c>
      <c r="GV2" s="59">
        <v>46043.0</v>
      </c>
      <c r="GW2" s="59">
        <v>46044.0</v>
      </c>
      <c r="GX2" s="59">
        <v>46045.0</v>
      </c>
      <c r="GY2" s="59">
        <v>46046.0</v>
      </c>
      <c r="GZ2" s="59">
        <v>46047.0</v>
      </c>
      <c r="HA2" s="59">
        <v>46048.0</v>
      </c>
      <c r="HB2" s="59">
        <v>46049.0</v>
      </c>
      <c r="HC2" s="59">
        <v>46050.0</v>
      </c>
      <c r="HD2" s="59">
        <v>46051.0</v>
      </c>
      <c r="HE2" s="59">
        <v>46052.0</v>
      </c>
      <c r="HF2" s="59">
        <v>46053.0</v>
      </c>
      <c r="HG2" s="61" t="s">
        <v>31</v>
      </c>
      <c r="HH2" s="57"/>
      <c r="HI2" s="58"/>
      <c r="HJ2" s="62" t="s">
        <v>32</v>
      </c>
      <c r="HK2" s="57"/>
      <c r="HL2" s="57"/>
      <c r="HM2" s="57"/>
      <c r="HN2" s="57"/>
      <c r="HO2" s="57"/>
      <c r="HP2" s="57"/>
      <c r="HQ2" s="58"/>
      <c r="HR2" s="63"/>
      <c r="HS2" s="57"/>
      <c r="HT2" s="58"/>
      <c r="HU2" s="59">
        <v>46054.0</v>
      </c>
      <c r="HV2" s="59">
        <v>46055.0</v>
      </c>
      <c r="HW2" s="59">
        <v>46056.0</v>
      </c>
      <c r="HX2" s="59">
        <v>46057.0</v>
      </c>
      <c r="HY2" s="59">
        <v>46058.0</v>
      </c>
      <c r="HZ2" s="59">
        <v>46059.0</v>
      </c>
      <c r="IA2" s="59">
        <v>46060.0</v>
      </c>
      <c r="IB2" s="59">
        <v>46061.0</v>
      </c>
      <c r="IC2" s="59">
        <v>46062.0</v>
      </c>
      <c r="ID2" s="59">
        <v>46063.0</v>
      </c>
      <c r="IE2" s="59">
        <v>46064.0</v>
      </c>
      <c r="IF2" s="59">
        <v>46065.0</v>
      </c>
      <c r="IG2" s="59">
        <v>46066.0</v>
      </c>
      <c r="IH2" s="59">
        <v>46067.0</v>
      </c>
      <c r="II2" s="59">
        <v>46068.0</v>
      </c>
      <c r="IJ2" s="59">
        <v>46069.0</v>
      </c>
      <c r="IK2" s="59">
        <v>46070.0</v>
      </c>
      <c r="IL2" s="59">
        <v>46071.0</v>
      </c>
      <c r="IM2" s="59">
        <v>46072.0</v>
      </c>
      <c r="IN2" s="59">
        <v>46073.0</v>
      </c>
      <c r="IO2" s="59">
        <v>46074.0</v>
      </c>
      <c r="IP2" s="59">
        <v>46075.0</v>
      </c>
      <c r="IQ2" s="59">
        <v>46076.0</v>
      </c>
      <c r="IR2" s="59">
        <v>46077.0</v>
      </c>
      <c r="IS2" s="59">
        <v>46078.0</v>
      </c>
      <c r="IT2" s="59">
        <v>46079.0</v>
      </c>
      <c r="IU2" s="59">
        <v>46080.0</v>
      </c>
      <c r="IV2" s="59">
        <v>46081.0</v>
      </c>
      <c r="IW2" s="59"/>
      <c r="IX2" s="59"/>
      <c r="IY2" s="59"/>
      <c r="IZ2" s="61" t="s">
        <v>31</v>
      </c>
      <c r="JA2" s="57"/>
      <c r="JB2" s="58"/>
      <c r="JC2" s="62" t="s">
        <v>32</v>
      </c>
      <c r="JD2" s="57"/>
      <c r="JE2" s="57"/>
      <c r="JF2" s="57"/>
      <c r="JG2" s="57"/>
      <c r="JH2" s="57"/>
      <c r="JI2" s="57"/>
      <c r="JJ2" s="58"/>
      <c r="JK2" s="63"/>
      <c r="JL2" s="57"/>
      <c r="JM2" s="58"/>
      <c r="JN2" s="59">
        <v>46082.0</v>
      </c>
      <c r="JO2" s="59">
        <v>46083.0</v>
      </c>
      <c r="JP2" s="59">
        <v>46084.0</v>
      </c>
      <c r="JQ2" s="59">
        <v>46085.0</v>
      </c>
      <c r="JR2" s="59">
        <v>46086.0</v>
      </c>
      <c r="JS2" s="59">
        <v>46087.0</v>
      </c>
      <c r="JT2" s="59">
        <v>46088.0</v>
      </c>
      <c r="JU2" s="59">
        <v>46089.0</v>
      </c>
      <c r="JV2" s="59">
        <v>46090.0</v>
      </c>
      <c r="JW2" s="59">
        <v>46091.0</v>
      </c>
      <c r="JX2" s="59">
        <v>46092.0</v>
      </c>
      <c r="JY2" s="59">
        <v>46093.0</v>
      </c>
      <c r="JZ2" s="59">
        <v>46094.0</v>
      </c>
      <c r="KA2" s="59">
        <v>46095.0</v>
      </c>
      <c r="KB2" s="59">
        <v>46096.0</v>
      </c>
      <c r="KC2" s="59">
        <v>46097.0</v>
      </c>
      <c r="KD2" s="59">
        <v>46098.0</v>
      </c>
      <c r="KE2" s="59">
        <v>46099.0</v>
      </c>
      <c r="KF2" s="59">
        <v>46100.0</v>
      </c>
      <c r="KG2" s="59">
        <v>46101.0</v>
      </c>
      <c r="KH2" s="59">
        <v>46102.0</v>
      </c>
      <c r="KI2" s="59">
        <v>46103.0</v>
      </c>
      <c r="KJ2" s="59">
        <v>46104.0</v>
      </c>
      <c r="KK2" s="59">
        <v>46105.0</v>
      </c>
      <c r="KL2" s="59">
        <v>46106.0</v>
      </c>
      <c r="KM2" s="59">
        <v>46107.0</v>
      </c>
      <c r="KN2" s="59">
        <v>46108.0</v>
      </c>
      <c r="KO2" s="59">
        <v>46109.0</v>
      </c>
      <c r="KP2" s="59">
        <v>46110.0</v>
      </c>
      <c r="KQ2" s="59">
        <v>46111.0</v>
      </c>
      <c r="KR2" s="59">
        <v>46112.0</v>
      </c>
      <c r="KS2" s="61" t="s">
        <v>31</v>
      </c>
      <c r="KT2" s="57"/>
      <c r="KU2" s="58"/>
      <c r="KV2" s="62" t="s">
        <v>32</v>
      </c>
      <c r="KW2" s="57"/>
      <c r="KX2" s="57"/>
      <c r="KY2" s="57"/>
      <c r="KZ2" s="57"/>
      <c r="LA2" s="57"/>
      <c r="LB2" s="57"/>
      <c r="LC2" s="58"/>
      <c r="LD2" s="63"/>
      <c r="LE2" s="57"/>
      <c r="LF2" s="58"/>
      <c r="LG2" s="59">
        <v>46113.0</v>
      </c>
      <c r="LH2" s="59">
        <v>46114.0</v>
      </c>
      <c r="LI2" s="59">
        <v>46115.0</v>
      </c>
      <c r="LJ2" s="59">
        <v>46116.0</v>
      </c>
      <c r="LK2" s="59">
        <v>46117.0</v>
      </c>
      <c r="LL2" s="59">
        <v>46118.0</v>
      </c>
      <c r="LM2" s="59">
        <v>46119.0</v>
      </c>
      <c r="LN2" s="59">
        <v>46120.0</v>
      </c>
      <c r="LO2" s="59">
        <v>46121.0</v>
      </c>
      <c r="LP2" s="59">
        <v>46122.0</v>
      </c>
      <c r="LQ2" s="59">
        <v>46123.0</v>
      </c>
      <c r="LR2" s="59">
        <v>46124.0</v>
      </c>
      <c r="LS2" s="59">
        <v>46125.0</v>
      </c>
      <c r="LT2" s="59">
        <v>46126.0</v>
      </c>
      <c r="LU2" s="59">
        <v>46127.0</v>
      </c>
      <c r="LV2" s="59">
        <v>46128.0</v>
      </c>
      <c r="LW2" s="59">
        <v>46129.0</v>
      </c>
      <c r="LX2" s="59">
        <v>46130.0</v>
      </c>
      <c r="LY2" s="59">
        <v>46131.0</v>
      </c>
      <c r="LZ2" s="59">
        <v>46132.0</v>
      </c>
      <c r="MA2" s="59">
        <v>46133.0</v>
      </c>
      <c r="MB2" s="59">
        <v>46134.0</v>
      </c>
      <c r="MC2" s="59">
        <v>46135.0</v>
      </c>
      <c r="MD2" s="59">
        <v>46136.0</v>
      </c>
      <c r="ME2" s="59">
        <v>46137.0</v>
      </c>
      <c r="MF2" s="59">
        <v>46138.0</v>
      </c>
      <c r="MG2" s="59">
        <v>46139.0</v>
      </c>
      <c r="MH2" s="59">
        <v>46140.0</v>
      </c>
      <c r="MI2" s="59">
        <v>46141.0</v>
      </c>
      <c r="MJ2" s="59">
        <v>46142.0</v>
      </c>
      <c r="MK2" s="59"/>
      <c r="ML2" s="61" t="s">
        <v>31</v>
      </c>
      <c r="MM2" s="57"/>
      <c r="MN2" s="58"/>
      <c r="MO2" s="62" t="s">
        <v>32</v>
      </c>
      <c r="MP2" s="57"/>
      <c r="MQ2" s="57"/>
      <c r="MR2" s="57"/>
      <c r="MS2" s="57"/>
      <c r="MT2" s="57"/>
      <c r="MU2" s="57"/>
      <c r="MV2" s="58"/>
      <c r="MW2" s="63"/>
      <c r="MX2" s="57"/>
      <c r="MY2" s="58"/>
      <c r="MZ2" s="59">
        <v>46143.0</v>
      </c>
      <c r="NA2" s="59">
        <v>46144.0</v>
      </c>
      <c r="NB2" s="59">
        <v>46145.0</v>
      </c>
      <c r="NC2" s="59">
        <v>46146.0</v>
      </c>
      <c r="ND2" s="59">
        <v>46147.0</v>
      </c>
      <c r="NE2" s="59">
        <v>46148.0</v>
      </c>
      <c r="NF2" s="59">
        <v>46149.0</v>
      </c>
      <c r="NG2" s="59">
        <v>46150.0</v>
      </c>
      <c r="NH2" s="59">
        <v>46151.0</v>
      </c>
      <c r="NI2" s="59">
        <v>46152.0</v>
      </c>
      <c r="NJ2" s="59">
        <v>46153.0</v>
      </c>
      <c r="NK2" s="59">
        <v>46154.0</v>
      </c>
      <c r="NL2" s="59">
        <v>46155.0</v>
      </c>
      <c r="NM2" s="59">
        <v>46156.0</v>
      </c>
      <c r="NN2" s="59">
        <v>46157.0</v>
      </c>
      <c r="NO2" s="59">
        <v>46158.0</v>
      </c>
      <c r="NP2" s="59">
        <v>46159.0</v>
      </c>
      <c r="NQ2" s="59">
        <v>46160.0</v>
      </c>
      <c r="NR2" s="59">
        <v>46161.0</v>
      </c>
      <c r="NS2" s="59">
        <v>46162.0</v>
      </c>
      <c r="NT2" s="59">
        <v>46163.0</v>
      </c>
      <c r="NU2" s="59">
        <v>46164.0</v>
      </c>
      <c r="NV2" s="59">
        <v>46165.0</v>
      </c>
      <c r="NW2" s="59">
        <v>46166.0</v>
      </c>
      <c r="NX2" s="59">
        <v>46167.0</v>
      </c>
      <c r="NY2" s="59">
        <v>46168.0</v>
      </c>
      <c r="NZ2" s="59">
        <v>46169.0</v>
      </c>
      <c r="OA2" s="59">
        <v>46170.0</v>
      </c>
      <c r="OB2" s="59">
        <v>46171.0</v>
      </c>
      <c r="OC2" s="59">
        <v>46172.0</v>
      </c>
      <c r="OD2" s="59">
        <v>46173.0</v>
      </c>
      <c r="OE2" s="61" t="s">
        <v>31</v>
      </c>
      <c r="OF2" s="57"/>
      <c r="OG2" s="58"/>
      <c r="OH2" s="62" t="s">
        <v>32</v>
      </c>
      <c r="OI2" s="57"/>
      <c r="OJ2" s="57"/>
      <c r="OK2" s="57"/>
      <c r="OL2" s="57"/>
      <c r="OM2" s="57"/>
      <c r="ON2" s="57"/>
      <c r="OO2" s="58"/>
      <c r="OP2" s="63"/>
      <c r="OQ2" s="57"/>
      <c r="OR2" s="58"/>
      <c r="OS2" s="59">
        <v>46174.0</v>
      </c>
      <c r="OT2" s="59">
        <v>46175.0</v>
      </c>
      <c r="OU2" s="59">
        <v>46176.0</v>
      </c>
      <c r="OV2" s="59">
        <v>46177.0</v>
      </c>
      <c r="OW2" s="59">
        <v>46178.0</v>
      </c>
      <c r="OX2" s="59">
        <v>46179.0</v>
      </c>
      <c r="OY2" s="59">
        <v>46180.0</v>
      </c>
      <c r="OZ2" s="59">
        <v>46181.0</v>
      </c>
      <c r="PA2" s="59">
        <v>46182.0</v>
      </c>
      <c r="PB2" s="59">
        <v>46183.0</v>
      </c>
      <c r="PC2" s="59">
        <v>46184.0</v>
      </c>
      <c r="PD2" s="59">
        <v>46185.0</v>
      </c>
      <c r="PE2" s="59">
        <v>46186.0</v>
      </c>
      <c r="PF2" s="59">
        <v>46187.0</v>
      </c>
      <c r="PG2" s="59">
        <v>46188.0</v>
      </c>
      <c r="PH2" s="59">
        <v>46189.0</v>
      </c>
      <c r="PI2" s="59">
        <v>46190.0</v>
      </c>
      <c r="PJ2" s="59">
        <v>46191.0</v>
      </c>
      <c r="PK2" s="59">
        <v>46192.0</v>
      </c>
      <c r="PL2" s="59">
        <v>46193.0</v>
      </c>
      <c r="PM2" s="59">
        <v>46194.0</v>
      </c>
      <c r="PN2" s="59">
        <v>46195.0</v>
      </c>
      <c r="PO2" s="59">
        <v>46196.0</v>
      </c>
      <c r="PP2" s="59">
        <v>46197.0</v>
      </c>
      <c r="PQ2" s="59">
        <v>46198.0</v>
      </c>
      <c r="PR2" s="59">
        <v>46199.0</v>
      </c>
      <c r="PS2" s="59">
        <v>46200.0</v>
      </c>
      <c r="PT2" s="59">
        <v>46201.0</v>
      </c>
      <c r="PU2" s="59">
        <v>46202.0</v>
      </c>
      <c r="PV2" s="59">
        <v>46203.0</v>
      </c>
      <c r="PW2" s="59"/>
      <c r="PX2" s="61" t="s">
        <v>31</v>
      </c>
      <c r="PY2" s="57"/>
      <c r="PZ2" s="58"/>
      <c r="QA2" s="62" t="s">
        <v>32</v>
      </c>
      <c r="QB2" s="57"/>
      <c r="QC2" s="57"/>
      <c r="QD2" s="57"/>
      <c r="QE2" s="57"/>
      <c r="QF2" s="57"/>
      <c r="QG2" s="57"/>
      <c r="QH2" s="58"/>
      <c r="QI2" s="63"/>
      <c r="QJ2" s="57"/>
      <c r="QK2" s="58"/>
      <c r="QL2" s="59">
        <v>46204.0</v>
      </c>
      <c r="QM2" s="59">
        <v>46205.0</v>
      </c>
      <c r="QN2" s="59">
        <v>46206.0</v>
      </c>
      <c r="QO2" s="59">
        <v>46207.0</v>
      </c>
      <c r="QP2" s="59">
        <v>46208.0</v>
      </c>
      <c r="QQ2" s="59">
        <v>46209.0</v>
      </c>
      <c r="QR2" s="59">
        <v>46210.0</v>
      </c>
      <c r="QS2" s="59">
        <v>46211.0</v>
      </c>
      <c r="QT2" s="59">
        <v>46212.0</v>
      </c>
      <c r="QU2" s="59">
        <v>46213.0</v>
      </c>
      <c r="QV2" s="59">
        <v>46214.0</v>
      </c>
      <c r="QW2" s="59">
        <v>46215.0</v>
      </c>
      <c r="QX2" s="59">
        <v>46216.0</v>
      </c>
      <c r="QY2" s="59">
        <v>46217.0</v>
      </c>
      <c r="QZ2" s="59">
        <v>46218.0</v>
      </c>
      <c r="RA2" s="59">
        <v>46219.0</v>
      </c>
      <c r="RB2" s="59">
        <v>46220.0</v>
      </c>
      <c r="RC2" s="59">
        <v>46221.0</v>
      </c>
      <c r="RD2" s="59">
        <v>46222.0</v>
      </c>
      <c r="RE2" s="59">
        <v>46223.0</v>
      </c>
      <c r="RF2" s="59">
        <v>46224.0</v>
      </c>
      <c r="RG2" s="59">
        <v>46225.0</v>
      </c>
      <c r="RH2" s="59">
        <v>46226.0</v>
      </c>
      <c r="RI2" s="59">
        <v>46227.0</v>
      </c>
      <c r="RJ2" s="59">
        <v>46228.0</v>
      </c>
      <c r="RK2" s="59">
        <v>46229.0</v>
      </c>
      <c r="RL2" s="59">
        <v>46230.0</v>
      </c>
      <c r="RM2" s="59">
        <v>46231.0</v>
      </c>
      <c r="RN2" s="59">
        <v>46232.0</v>
      </c>
      <c r="RO2" s="59">
        <v>46233.0</v>
      </c>
      <c r="RP2" s="59">
        <v>46234.0</v>
      </c>
      <c r="RQ2" s="61" t="s">
        <v>31</v>
      </c>
      <c r="RR2" s="57"/>
      <c r="RS2" s="58"/>
      <c r="RT2" s="62" t="s">
        <v>32</v>
      </c>
      <c r="RU2" s="57"/>
      <c r="RV2" s="57"/>
      <c r="RW2" s="57"/>
      <c r="RX2" s="57"/>
      <c r="RY2" s="57"/>
      <c r="RZ2" s="57"/>
      <c r="SA2" s="58"/>
      <c r="SB2" s="63"/>
      <c r="SC2" s="57"/>
      <c r="SD2" s="58"/>
      <c r="SE2" s="59">
        <v>46235.0</v>
      </c>
      <c r="SF2" s="59">
        <v>46236.0</v>
      </c>
      <c r="SG2" s="59">
        <v>46237.0</v>
      </c>
      <c r="SH2" s="59">
        <v>46238.0</v>
      </c>
      <c r="SI2" s="59">
        <v>46239.0</v>
      </c>
      <c r="SJ2" s="59">
        <v>46240.0</v>
      </c>
      <c r="SK2" s="59">
        <v>46241.0</v>
      </c>
      <c r="SL2" s="59">
        <v>46242.0</v>
      </c>
      <c r="SM2" s="59">
        <v>46243.0</v>
      </c>
      <c r="SN2" s="59">
        <v>46244.0</v>
      </c>
      <c r="SO2" s="59">
        <v>46245.0</v>
      </c>
      <c r="SP2" s="59">
        <v>46246.0</v>
      </c>
      <c r="SQ2" s="59">
        <v>46247.0</v>
      </c>
      <c r="SR2" s="59">
        <v>46248.0</v>
      </c>
      <c r="SS2" s="59">
        <v>46249.0</v>
      </c>
      <c r="ST2" s="59">
        <v>46250.0</v>
      </c>
      <c r="SU2" s="59">
        <v>46251.0</v>
      </c>
      <c r="SV2" s="59">
        <v>46252.0</v>
      </c>
      <c r="SW2" s="59">
        <v>46253.0</v>
      </c>
      <c r="SX2" s="59">
        <v>46254.0</v>
      </c>
      <c r="SY2" s="59">
        <v>46255.0</v>
      </c>
      <c r="SZ2" s="59">
        <v>46256.0</v>
      </c>
      <c r="TA2" s="59">
        <v>46257.0</v>
      </c>
      <c r="TB2" s="59">
        <v>46258.0</v>
      </c>
      <c r="TC2" s="59">
        <v>46259.0</v>
      </c>
      <c r="TD2" s="59">
        <v>46260.0</v>
      </c>
      <c r="TE2" s="59">
        <v>46261.0</v>
      </c>
      <c r="TF2" s="59">
        <v>46262.0</v>
      </c>
      <c r="TG2" s="59">
        <v>46263.0</v>
      </c>
      <c r="TH2" s="59">
        <v>46264.0</v>
      </c>
      <c r="TI2" s="59">
        <v>46265.0</v>
      </c>
      <c r="TJ2" s="61" t="s">
        <v>31</v>
      </c>
      <c r="TK2" s="57"/>
      <c r="TL2" s="58"/>
      <c r="TM2" s="62" t="s">
        <v>32</v>
      </c>
      <c r="TN2" s="57"/>
      <c r="TO2" s="57"/>
      <c r="TP2" s="57"/>
      <c r="TQ2" s="57"/>
      <c r="TR2" s="57"/>
      <c r="TS2" s="57"/>
      <c r="TT2" s="58"/>
    </row>
    <row r="3" ht="24.75" customHeight="1">
      <c r="A3" s="64" t="str">
        <f>elenchi!$C1</f>
        <v>MALDONADO ALEXANDRA</v>
      </c>
      <c r="B3" s="65"/>
      <c r="C3" s="66"/>
      <c r="D3" s="67">
        <f t="shared" ref="D3:AH3" si="1">D$2</f>
        <v>45901</v>
      </c>
      <c r="E3" s="67">
        <f t="shared" si="1"/>
        <v>45902</v>
      </c>
      <c r="F3" s="67">
        <f t="shared" si="1"/>
        <v>45903</v>
      </c>
      <c r="G3" s="67">
        <f t="shared" si="1"/>
        <v>45904</v>
      </c>
      <c r="H3" s="67">
        <f t="shared" si="1"/>
        <v>45905</v>
      </c>
      <c r="I3" s="67">
        <f t="shared" si="1"/>
        <v>45906</v>
      </c>
      <c r="J3" s="67">
        <f t="shared" si="1"/>
        <v>45907</v>
      </c>
      <c r="K3" s="67">
        <f t="shared" si="1"/>
        <v>45908</v>
      </c>
      <c r="L3" s="67">
        <f t="shared" si="1"/>
        <v>45909</v>
      </c>
      <c r="M3" s="67">
        <f t="shared" si="1"/>
        <v>45910</v>
      </c>
      <c r="N3" s="67">
        <f t="shared" si="1"/>
        <v>45911</v>
      </c>
      <c r="O3" s="67">
        <f t="shared" si="1"/>
        <v>45912</v>
      </c>
      <c r="P3" s="67">
        <f t="shared" si="1"/>
        <v>45913</v>
      </c>
      <c r="Q3" s="67">
        <f t="shared" si="1"/>
        <v>45914</v>
      </c>
      <c r="R3" s="67">
        <f t="shared" si="1"/>
        <v>45915</v>
      </c>
      <c r="S3" s="67">
        <f t="shared" si="1"/>
        <v>45916</v>
      </c>
      <c r="T3" s="67">
        <f t="shared" si="1"/>
        <v>45917</v>
      </c>
      <c r="U3" s="67">
        <f t="shared" si="1"/>
        <v>45918</v>
      </c>
      <c r="V3" s="67">
        <f t="shared" si="1"/>
        <v>45919</v>
      </c>
      <c r="W3" s="67">
        <f t="shared" si="1"/>
        <v>45920</v>
      </c>
      <c r="X3" s="67">
        <f t="shared" si="1"/>
        <v>45921</v>
      </c>
      <c r="Y3" s="67">
        <f t="shared" si="1"/>
        <v>45922</v>
      </c>
      <c r="Z3" s="67">
        <f t="shared" si="1"/>
        <v>45923</v>
      </c>
      <c r="AA3" s="67">
        <f t="shared" si="1"/>
        <v>45924</v>
      </c>
      <c r="AB3" s="67">
        <f t="shared" si="1"/>
        <v>45925</v>
      </c>
      <c r="AC3" s="67">
        <f t="shared" si="1"/>
        <v>45926</v>
      </c>
      <c r="AD3" s="67">
        <f t="shared" si="1"/>
        <v>45927</v>
      </c>
      <c r="AE3" s="67">
        <f t="shared" si="1"/>
        <v>45928</v>
      </c>
      <c r="AF3" s="67">
        <f t="shared" si="1"/>
        <v>45929</v>
      </c>
      <c r="AG3" s="67">
        <f t="shared" si="1"/>
        <v>45930</v>
      </c>
      <c r="AH3" s="68" t="str">
        <f t="shared" si="1"/>
        <v/>
      </c>
      <c r="AI3" s="69" t="s">
        <v>33</v>
      </c>
      <c r="AJ3" s="70" t="s">
        <v>28</v>
      </c>
      <c r="AK3" s="71" t="s">
        <v>34</v>
      </c>
      <c r="AL3" s="69" t="s">
        <v>13</v>
      </c>
      <c r="AM3" s="70" t="s">
        <v>1</v>
      </c>
      <c r="AN3" s="70" t="s">
        <v>35</v>
      </c>
      <c r="AO3" s="70" t="s">
        <v>36</v>
      </c>
      <c r="AP3" s="70" t="s">
        <v>37</v>
      </c>
      <c r="AQ3" s="70" t="s">
        <v>0</v>
      </c>
      <c r="AR3" s="70" t="s">
        <v>38</v>
      </c>
      <c r="AS3" s="72" t="s">
        <v>11</v>
      </c>
      <c r="AT3" s="64" t="str">
        <f>elenchi!$C1</f>
        <v>MALDONADO ALEXANDRA</v>
      </c>
      <c r="AU3" s="65"/>
      <c r="AV3" s="66"/>
      <c r="AW3" s="67">
        <f t="shared" ref="AW3:CA3" si="2">AW$2</f>
        <v>45931</v>
      </c>
      <c r="AX3" s="67">
        <f t="shared" si="2"/>
        <v>45932</v>
      </c>
      <c r="AY3" s="67">
        <f t="shared" si="2"/>
        <v>45933</v>
      </c>
      <c r="AZ3" s="67">
        <f t="shared" si="2"/>
        <v>45934</v>
      </c>
      <c r="BA3" s="67">
        <f t="shared" si="2"/>
        <v>45935</v>
      </c>
      <c r="BB3" s="67">
        <f t="shared" si="2"/>
        <v>45936</v>
      </c>
      <c r="BC3" s="67">
        <f t="shared" si="2"/>
        <v>45937</v>
      </c>
      <c r="BD3" s="67">
        <f t="shared" si="2"/>
        <v>45938</v>
      </c>
      <c r="BE3" s="67">
        <f t="shared" si="2"/>
        <v>45939</v>
      </c>
      <c r="BF3" s="67">
        <f t="shared" si="2"/>
        <v>45940</v>
      </c>
      <c r="BG3" s="67">
        <f t="shared" si="2"/>
        <v>45941</v>
      </c>
      <c r="BH3" s="67">
        <f t="shared" si="2"/>
        <v>45942</v>
      </c>
      <c r="BI3" s="67">
        <f t="shared" si="2"/>
        <v>45943</v>
      </c>
      <c r="BJ3" s="67">
        <f t="shared" si="2"/>
        <v>45944</v>
      </c>
      <c r="BK3" s="67">
        <f t="shared" si="2"/>
        <v>45945</v>
      </c>
      <c r="BL3" s="67">
        <f t="shared" si="2"/>
        <v>45946</v>
      </c>
      <c r="BM3" s="67">
        <f t="shared" si="2"/>
        <v>45947</v>
      </c>
      <c r="BN3" s="67">
        <f t="shared" si="2"/>
        <v>45948</v>
      </c>
      <c r="BO3" s="67">
        <f t="shared" si="2"/>
        <v>45949</v>
      </c>
      <c r="BP3" s="67">
        <f t="shared" si="2"/>
        <v>45950</v>
      </c>
      <c r="BQ3" s="67">
        <f t="shared" si="2"/>
        <v>45951</v>
      </c>
      <c r="BR3" s="67">
        <f t="shared" si="2"/>
        <v>45952</v>
      </c>
      <c r="BS3" s="67">
        <f t="shared" si="2"/>
        <v>45953</v>
      </c>
      <c r="BT3" s="67">
        <f t="shared" si="2"/>
        <v>45954</v>
      </c>
      <c r="BU3" s="67">
        <f t="shared" si="2"/>
        <v>45955</v>
      </c>
      <c r="BV3" s="67">
        <f t="shared" si="2"/>
        <v>45956</v>
      </c>
      <c r="BW3" s="67">
        <f t="shared" si="2"/>
        <v>45957</v>
      </c>
      <c r="BX3" s="67">
        <f t="shared" si="2"/>
        <v>45958</v>
      </c>
      <c r="BY3" s="67">
        <f t="shared" si="2"/>
        <v>45959</v>
      </c>
      <c r="BZ3" s="67">
        <f t="shared" si="2"/>
        <v>45960</v>
      </c>
      <c r="CA3" s="67">
        <f t="shared" si="2"/>
        <v>45961</v>
      </c>
      <c r="CB3" s="69" t="s">
        <v>33</v>
      </c>
      <c r="CC3" s="70" t="s">
        <v>28</v>
      </c>
      <c r="CD3" s="71" t="s">
        <v>34</v>
      </c>
      <c r="CE3" s="69" t="s">
        <v>13</v>
      </c>
      <c r="CF3" s="70" t="s">
        <v>1</v>
      </c>
      <c r="CG3" s="70" t="s">
        <v>35</v>
      </c>
      <c r="CH3" s="70" t="s">
        <v>36</v>
      </c>
      <c r="CI3" s="70" t="s">
        <v>37</v>
      </c>
      <c r="CJ3" s="70" t="s">
        <v>0</v>
      </c>
      <c r="CK3" s="70" t="s">
        <v>38</v>
      </c>
      <c r="CL3" s="72" t="s">
        <v>11</v>
      </c>
      <c r="CM3" s="64" t="str">
        <f>elenchi!$C1</f>
        <v>MALDONADO ALEXANDRA</v>
      </c>
      <c r="CN3" s="65"/>
      <c r="CO3" s="66"/>
      <c r="CP3" s="67">
        <f t="shared" ref="CP3:DT3" si="3">CP$2</f>
        <v>45962</v>
      </c>
      <c r="CQ3" s="67">
        <f t="shared" si="3"/>
        <v>45963</v>
      </c>
      <c r="CR3" s="67">
        <f t="shared" si="3"/>
        <v>45964</v>
      </c>
      <c r="CS3" s="67">
        <f t="shared" si="3"/>
        <v>45965</v>
      </c>
      <c r="CT3" s="67">
        <f t="shared" si="3"/>
        <v>45966</v>
      </c>
      <c r="CU3" s="67">
        <f t="shared" si="3"/>
        <v>45967</v>
      </c>
      <c r="CV3" s="67">
        <f t="shared" si="3"/>
        <v>45968</v>
      </c>
      <c r="CW3" s="67">
        <f t="shared" si="3"/>
        <v>45969</v>
      </c>
      <c r="CX3" s="67">
        <f t="shared" si="3"/>
        <v>45970</v>
      </c>
      <c r="CY3" s="67">
        <f t="shared" si="3"/>
        <v>45971</v>
      </c>
      <c r="CZ3" s="67">
        <f t="shared" si="3"/>
        <v>45972</v>
      </c>
      <c r="DA3" s="67">
        <f t="shared" si="3"/>
        <v>45973</v>
      </c>
      <c r="DB3" s="67">
        <f t="shared" si="3"/>
        <v>45974</v>
      </c>
      <c r="DC3" s="67">
        <f t="shared" si="3"/>
        <v>45975</v>
      </c>
      <c r="DD3" s="67">
        <f t="shared" si="3"/>
        <v>45976</v>
      </c>
      <c r="DE3" s="67">
        <f t="shared" si="3"/>
        <v>45977</v>
      </c>
      <c r="DF3" s="67">
        <f t="shared" si="3"/>
        <v>45978</v>
      </c>
      <c r="DG3" s="67">
        <f t="shared" si="3"/>
        <v>45979</v>
      </c>
      <c r="DH3" s="67">
        <f t="shared" si="3"/>
        <v>45980</v>
      </c>
      <c r="DI3" s="67">
        <f t="shared" si="3"/>
        <v>45981</v>
      </c>
      <c r="DJ3" s="67">
        <f t="shared" si="3"/>
        <v>45982</v>
      </c>
      <c r="DK3" s="67">
        <f t="shared" si="3"/>
        <v>45983</v>
      </c>
      <c r="DL3" s="67">
        <f t="shared" si="3"/>
        <v>45984</v>
      </c>
      <c r="DM3" s="67">
        <f t="shared" si="3"/>
        <v>45985</v>
      </c>
      <c r="DN3" s="67">
        <f t="shared" si="3"/>
        <v>45986</v>
      </c>
      <c r="DO3" s="67">
        <f t="shared" si="3"/>
        <v>45987</v>
      </c>
      <c r="DP3" s="67">
        <f t="shared" si="3"/>
        <v>45988</v>
      </c>
      <c r="DQ3" s="67">
        <f t="shared" si="3"/>
        <v>45989</v>
      </c>
      <c r="DR3" s="67">
        <f t="shared" si="3"/>
        <v>45990</v>
      </c>
      <c r="DS3" s="67">
        <f t="shared" si="3"/>
        <v>45991</v>
      </c>
      <c r="DT3" s="67" t="str">
        <f t="shared" si="3"/>
        <v/>
      </c>
      <c r="DU3" s="69" t="s">
        <v>33</v>
      </c>
      <c r="DV3" s="70" t="s">
        <v>28</v>
      </c>
      <c r="DW3" s="71" t="s">
        <v>34</v>
      </c>
      <c r="DX3" s="69" t="s">
        <v>13</v>
      </c>
      <c r="DY3" s="70" t="s">
        <v>1</v>
      </c>
      <c r="DZ3" s="70" t="s">
        <v>35</v>
      </c>
      <c r="EA3" s="70" t="s">
        <v>36</v>
      </c>
      <c r="EB3" s="70" t="s">
        <v>37</v>
      </c>
      <c r="EC3" s="70" t="s">
        <v>0</v>
      </c>
      <c r="ED3" s="70" t="s">
        <v>38</v>
      </c>
      <c r="EE3" s="71" t="s">
        <v>11</v>
      </c>
      <c r="EF3" s="64" t="str">
        <f>elenchi!$C1</f>
        <v>MALDONADO ALEXANDRA</v>
      </c>
      <c r="EG3" s="65"/>
      <c r="EH3" s="66"/>
      <c r="EI3" s="67">
        <f t="shared" ref="EI3:FM3" si="4">EI$2</f>
        <v>45992</v>
      </c>
      <c r="EJ3" s="67">
        <f t="shared" si="4"/>
        <v>45993</v>
      </c>
      <c r="EK3" s="67">
        <f t="shared" si="4"/>
        <v>45994</v>
      </c>
      <c r="EL3" s="67">
        <f t="shared" si="4"/>
        <v>45995</v>
      </c>
      <c r="EM3" s="67">
        <f t="shared" si="4"/>
        <v>45996</v>
      </c>
      <c r="EN3" s="67">
        <f t="shared" si="4"/>
        <v>45997</v>
      </c>
      <c r="EO3" s="67">
        <f t="shared" si="4"/>
        <v>45998</v>
      </c>
      <c r="EP3" s="67">
        <f t="shared" si="4"/>
        <v>45999</v>
      </c>
      <c r="EQ3" s="67">
        <f t="shared" si="4"/>
        <v>46000</v>
      </c>
      <c r="ER3" s="67">
        <f t="shared" si="4"/>
        <v>46001</v>
      </c>
      <c r="ES3" s="67">
        <f t="shared" si="4"/>
        <v>46002</v>
      </c>
      <c r="ET3" s="67">
        <f t="shared" si="4"/>
        <v>46003</v>
      </c>
      <c r="EU3" s="67">
        <f t="shared" si="4"/>
        <v>46004</v>
      </c>
      <c r="EV3" s="67">
        <f t="shared" si="4"/>
        <v>46005</v>
      </c>
      <c r="EW3" s="67">
        <f t="shared" si="4"/>
        <v>46006</v>
      </c>
      <c r="EX3" s="67">
        <f t="shared" si="4"/>
        <v>46007</v>
      </c>
      <c r="EY3" s="67">
        <f t="shared" si="4"/>
        <v>46008</v>
      </c>
      <c r="EZ3" s="67">
        <f t="shared" si="4"/>
        <v>46009</v>
      </c>
      <c r="FA3" s="67">
        <f t="shared" si="4"/>
        <v>46010</v>
      </c>
      <c r="FB3" s="67">
        <f t="shared" si="4"/>
        <v>46011</v>
      </c>
      <c r="FC3" s="67">
        <f t="shared" si="4"/>
        <v>46012</v>
      </c>
      <c r="FD3" s="67">
        <f t="shared" si="4"/>
        <v>46013</v>
      </c>
      <c r="FE3" s="67">
        <f t="shared" si="4"/>
        <v>46014</v>
      </c>
      <c r="FF3" s="67">
        <f t="shared" si="4"/>
        <v>46015</v>
      </c>
      <c r="FG3" s="67">
        <f t="shared" si="4"/>
        <v>46016</v>
      </c>
      <c r="FH3" s="67">
        <f t="shared" si="4"/>
        <v>46017</v>
      </c>
      <c r="FI3" s="67">
        <f t="shared" si="4"/>
        <v>46018</v>
      </c>
      <c r="FJ3" s="67">
        <f t="shared" si="4"/>
        <v>46019</v>
      </c>
      <c r="FK3" s="67">
        <f t="shared" si="4"/>
        <v>46020</v>
      </c>
      <c r="FL3" s="67">
        <f t="shared" si="4"/>
        <v>46021</v>
      </c>
      <c r="FM3" s="67">
        <f t="shared" si="4"/>
        <v>46022</v>
      </c>
      <c r="FN3" s="69" t="s">
        <v>33</v>
      </c>
      <c r="FO3" s="70" t="s">
        <v>28</v>
      </c>
      <c r="FP3" s="71" t="s">
        <v>34</v>
      </c>
      <c r="FQ3" s="69" t="s">
        <v>13</v>
      </c>
      <c r="FR3" s="70" t="s">
        <v>1</v>
      </c>
      <c r="FS3" s="70" t="s">
        <v>35</v>
      </c>
      <c r="FT3" s="70" t="s">
        <v>36</v>
      </c>
      <c r="FU3" s="70" t="s">
        <v>37</v>
      </c>
      <c r="FV3" s="70" t="s">
        <v>0</v>
      </c>
      <c r="FW3" s="70" t="s">
        <v>38</v>
      </c>
      <c r="FX3" s="71" t="s">
        <v>11</v>
      </c>
      <c r="FY3" s="64" t="str">
        <f>elenchi!$C1</f>
        <v>MALDONADO ALEXANDRA</v>
      </c>
      <c r="FZ3" s="65"/>
      <c r="GA3" s="66"/>
      <c r="GB3" s="67">
        <f t="shared" ref="GB3:HF3" si="5">GB$2</f>
        <v>46023</v>
      </c>
      <c r="GC3" s="67">
        <f t="shared" si="5"/>
        <v>46024</v>
      </c>
      <c r="GD3" s="67">
        <f t="shared" si="5"/>
        <v>46025</v>
      </c>
      <c r="GE3" s="67">
        <f t="shared" si="5"/>
        <v>46026</v>
      </c>
      <c r="GF3" s="67">
        <f t="shared" si="5"/>
        <v>46027</v>
      </c>
      <c r="GG3" s="67">
        <f t="shared" si="5"/>
        <v>46028</v>
      </c>
      <c r="GH3" s="67">
        <f t="shared" si="5"/>
        <v>46029</v>
      </c>
      <c r="GI3" s="67">
        <f t="shared" si="5"/>
        <v>46030</v>
      </c>
      <c r="GJ3" s="67">
        <f t="shared" si="5"/>
        <v>46031</v>
      </c>
      <c r="GK3" s="67">
        <f t="shared" si="5"/>
        <v>46032</v>
      </c>
      <c r="GL3" s="67">
        <f t="shared" si="5"/>
        <v>46033</v>
      </c>
      <c r="GM3" s="67">
        <f t="shared" si="5"/>
        <v>46034</v>
      </c>
      <c r="GN3" s="67">
        <f t="shared" si="5"/>
        <v>46035</v>
      </c>
      <c r="GO3" s="67">
        <f t="shared" si="5"/>
        <v>46036</v>
      </c>
      <c r="GP3" s="67">
        <f t="shared" si="5"/>
        <v>46037</v>
      </c>
      <c r="GQ3" s="67">
        <f t="shared" si="5"/>
        <v>46038</v>
      </c>
      <c r="GR3" s="67">
        <f t="shared" si="5"/>
        <v>46039</v>
      </c>
      <c r="GS3" s="67">
        <f t="shared" si="5"/>
        <v>46040</v>
      </c>
      <c r="GT3" s="67">
        <f t="shared" si="5"/>
        <v>46041</v>
      </c>
      <c r="GU3" s="67">
        <f t="shared" si="5"/>
        <v>46042</v>
      </c>
      <c r="GV3" s="67">
        <f t="shared" si="5"/>
        <v>46043</v>
      </c>
      <c r="GW3" s="67">
        <f t="shared" si="5"/>
        <v>46044</v>
      </c>
      <c r="GX3" s="67">
        <f t="shared" si="5"/>
        <v>46045</v>
      </c>
      <c r="GY3" s="67">
        <f t="shared" si="5"/>
        <v>46046</v>
      </c>
      <c r="GZ3" s="67">
        <f t="shared" si="5"/>
        <v>46047</v>
      </c>
      <c r="HA3" s="67">
        <f t="shared" si="5"/>
        <v>46048</v>
      </c>
      <c r="HB3" s="67">
        <f t="shared" si="5"/>
        <v>46049</v>
      </c>
      <c r="HC3" s="67">
        <f t="shared" si="5"/>
        <v>46050</v>
      </c>
      <c r="HD3" s="67">
        <f t="shared" si="5"/>
        <v>46051</v>
      </c>
      <c r="HE3" s="67">
        <f t="shared" si="5"/>
        <v>46052</v>
      </c>
      <c r="HF3" s="67">
        <f t="shared" si="5"/>
        <v>46053</v>
      </c>
      <c r="HG3" s="69" t="s">
        <v>33</v>
      </c>
      <c r="HH3" s="70" t="s">
        <v>28</v>
      </c>
      <c r="HI3" s="71" t="s">
        <v>34</v>
      </c>
      <c r="HJ3" s="69" t="s">
        <v>13</v>
      </c>
      <c r="HK3" s="70" t="s">
        <v>1</v>
      </c>
      <c r="HL3" s="70" t="s">
        <v>35</v>
      </c>
      <c r="HM3" s="70" t="s">
        <v>36</v>
      </c>
      <c r="HN3" s="70" t="s">
        <v>37</v>
      </c>
      <c r="HO3" s="70" t="s">
        <v>0</v>
      </c>
      <c r="HP3" s="70" t="s">
        <v>38</v>
      </c>
      <c r="HQ3" s="71" t="s">
        <v>11</v>
      </c>
      <c r="HR3" s="64" t="str">
        <f>elenchi!$C1</f>
        <v>MALDONADO ALEXANDRA</v>
      </c>
      <c r="HS3" s="65"/>
      <c r="HT3" s="66"/>
      <c r="HU3" s="67">
        <f t="shared" ref="HU3:IY3" si="6">HU$2</f>
        <v>46054</v>
      </c>
      <c r="HV3" s="67">
        <f t="shared" si="6"/>
        <v>46055</v>
      </c>
      <c r="HW3" s="67">
        <f t="shared" si="6"/>
        <v>46056</v>
      </c>
      <c r="HX3" s="67">
        <f t="shared" si="6"/>
        <v>46057</v>
      </c>
      <c r="HY3" s="67">
        <f t="shared" si="6"/>
        <v>46058</v>
      </c>
      <c r="HZ3" s="67">
        <f t="shared" si="6"/>
        <v>46059</v>
      </c>
      <c r="IA3" s="67">
        <f t="shared" si="6"/>
        <v>46060</v>
      </c>
      <c r="IB3" s="67">
        <f t="shared" si="6"/>
        <v>46061</v>
      </c>
      <c r="IC3" s="67">
        <f t="shared" si="6"/>
        <v>46062</v>
      </c>
      <c r="ID3" s="67">
        <f t="shared" si="6"/>
        <v>46063</v>
      </c>
      <c r="IE3" s="67">
        <f t="shared" si="6"/>
        <v>46064</v>
      </c>
      <c r="IF3" s="67">
        <f t="shared" si="6"/>
        <v>46065</v>
      </c>
      <c r="IG3" s="67">
        <f t="shared" si="6"/>
        <v>46066</v>
      </c>
      <c r="IH3" s="67">
        <f t="shared" si="6"/>
        <v>46067</v>
      </c>
      <c r="II3" s="67">
        <f t="shared" si="6"/>
        <v>46068</v>
      </c>
      <c r="IJ3" s="67">
        <f t="shared" si="6"/>
        <v>46069</v>
      </c>
      <c r="IK3" s="67">
        <f t="shared" si="6"/>
        <v>46070</v>
      </c>
      <c r="IL3" s="67">
        <f t="shared" si="6"/>
        <v>46071</v>
      </c>
      <c r="IM3" s="67">
        <f t="shared" si="6"/>
        <v>46072</v>
      </c>
      <c r="IN3" s="67">
        <f t="shared" si="6"/>
        <v>46073</v>
      </c>
      <c r="IO3" s="67">
        <f t="shared" si="6"/>
        <v>46074</v>
      </c>
      <c r="IP3" s="67">
        <f t="shared" si="6"/>
        <v>46075</v>
      </c>
      <c r="IQ3" s="67">
        <f t="shared" si="6"/>
        <v>46076</v>
      </c>
      <c r="IR3" s="67">
        <f t="shared" si="6"/>
        <v>46077</v>
      </c>
      <c r="IS3" s="67">
        <f t="shared" si="6"/>
        <v>46078</v>
      </c>
      <c r="IT3" s="67">
        <f t="shared" si="6"/>
        <v>46079</v>
      </c>
      <c r="IU3" s="67">
        <f t="shared" si="6"/>
        <v>46080</v>
      </c>
      <c r="IV3" s="67">
        <f t="shared" si="6"/>
        <v>46081</v>
      </c>
      <c r="IW3" s="67" t="str">
        <f t="shared" si="6"/>
        <v/>
      </c>
      <c r="IX3" s="67" t="str">
        <f t="shared" si="6"/>
        <v/>
      </c>
      <c r="IY3" s="67" t="str">
        <f t="shared" si="6"/>
        <v/>
      </c>
      <c r="IZ3" s="69" t="s">
        <v>33</v>
      </c>
      <c r="JA3" s="70" t="s">
        <v>28</v>
      </c>
      <c r="JB3" s="71" t="s">
        <v>34</v>
      </c>
      <c r="JC3" s="69" t="s">
        <v>13</v>
      </c>
      <c r="JD3" s="70" t="s">
        <v>1</v>
      </c>
      <c r="JE3" s="70" t="s">
        <v>35</v>
      </c>
      <c r="JF3" s="70" t="s">
        <v>36</v>
      </c>
      <c r="JG3" s="70" t="s">
        <v>37</v>
      </c>
      <c r="JH3" s="70" t="s">
        <v>0</v>
      </c>
      <c r="JI3" s="70" t="s">
        <v>38</v>
      </c>
      <c r="JJ3" s="71" t="s">
        <v>11</v>
      </c>
      <c r="JK3" s="64" t="str">
        <f>elenchi!$C1</f>
        <v>MALDONADO ALEXANDRA</v>
      </c>
      <c r="JL3" s="65"/>
      <c r="JM3" s="66"/>
      <c r="JN3" s="67">
        <f t="shared" ref="JN3:KR3" si="7">JN$2</f>
        <v>46082</v>
      </c>
      <c r="JO3" s="67">
        <f t="shared" si="7"/>
        <v>46083</v>
      </c>
      <c r="JP3" s="67">
        <f t="shared" si="7"/>
        <v>46084</v>
      </c>
      <c r="JQ3" s="67">
        <f t="shared" si="7"/>
        <v>46085</v>
      </c>
      <c r="JR3" s="67">
        <f t="shared" si="7"/>
        <v>46086</v>
      </c>
      <c r="JS3" s="67">
        <f t="shared" si="7"/>
        <v>46087</v>
      </c>
      <c r="JT3" s="67">
        <f t="shared" si="7"/>
        <v>46088</v>
      </c>
      <c r="JU3" s="67">
        <f t="shared" si="7"/>
        <v>46089</v>
      </c>
      <c r="JV3" s="67">
        <f t="shared" si="7"/>
        <v>46090</v>
      </c>
      <c r="JW3" s="67">
        <f t="shared" si="7"/>
        <v>46091</v>
      </c>
      <c r="JX3" s="67">
        <f t="shared" si="7"/>
        <v>46092</v>
      </c>
      <c r="JY3" s="67">
        <f t="shared" si="7"/>
        <v>46093</v>
      </c>
      <c r="JZ3" s="67">
        <f t="shared" si="7"/>
        <v>46094</v>
      </c>
      <c r="KA3" s="67">
        <f t="shared" si="7"/>
        <v>46095</v>
      </c>
      <c r="KB3" s="67">
        <f t="shared" si="7"/>
        <v>46096</v>
      </c>
      <c r="KC3" s="67">
        <f t="shared" si="7"/>
        <v>46097</v>
      </c>
      <c r="KD3" s="67">
        <f t="shared" si="7"/>
        <v>46098</v>
      </c>
      <c r="KE3" s="67">
        <f t="shared" si="7"/>
        <v>46099</v>
      </c>
      <c r="KF3" s="67">
        <f t="shared" si="7"/>
        <v>46100</v>
      </c>
      <c r="KG3" s="67">
        <f t="shared" si="7"/>
        <v>46101</v>
      </c>
      <c r="KH3" s="67">
        <f t="shared" si="7"/>
        <v>46102</v>
      </c>
      <c r="KI3" s="67">
        <f t="shared" si="7"/>
        <v>46103</v>
      </c>
      <c r="KJ3" s="67">
        <f t="shared" si="7"/>
        <v>46104</v>
      </c>
      <c r="KK3" s="67">
        <f t="shared" si="7"/>
        <v>46105</v>
      </c>
      <c r="KL3" s="67">
        <f t="shared" si="7"/>
        <v>46106</v>
      </c>
      <c r="KM3" s="67">
        <f t="shared" si="7"/>
        <v>46107</v>
      </c>
      <c r="KN3" s="67">
        <f t="shared" si="7"/>
        <v>46108</v>
      </c>
      <c r="KO3" s="67">
        <f t="shared" si="7"/>
        <v>46109</v>
      </c>
      <c r="KP3" s="67">
        <f t="shared" si="7"/>
        <v>46110</v>
      </c>
      <c r="KQ3" s="67">
        <f t="shared" si="7"/>
        <v>46111</v>
      </c>
      <c r="KR3" s="67">
        <f t="shared" si="7"/>
        <v>46112</v>
      </c>
      <c r="KS3" s="69" t="s">
        <v>33</v>
      </c>
      <c r="KT3" s="70" t="s">
        <v>28</v>
      </c>
      <c r="KU3" s="71" t="s">
        <v>34</v>
      </c>
      <c r="KV3" s="69" t="s">
        <v>13</v>
      </c>
      <c r="KW3" s="70" t="s">
        <v>1</v>
      </c>
      <c r="KX3" s="70" t="s">
        <v>35</v>
      </c>
      <c r="KY3" s="70" t="s">
        <v>36</v>
      </c>
      <c r="KZ3" s="70" t="s">
        <v>37</v>
      </c>
      <c r="LA3" s="70" t="s">
        <v>0</v>
      </c>
      <c r="LB3" s="70" t="s">
        <v>38</v>
      </c>
      <c r="LC3" s="71" t="s">
        <v>11</v>
      </c>
      <c r="LD3" s="64" t="str">
        <f>elenchi!$C1</f>
        <v>MALDONADO ALEXANDRA</v>
      </c>
      <c r="LE3" s="65"/>
      <c r="LF3" s="66"/>
      <c r="LG3" s="67">
        <f t="shared" ref="LG3:MK3" si="8">LG$2</f>
        <v>46113</v>
      </c>
      <c r="LH3" s="67">
        <f t="shared" si="8"/>
        <v>46114</v>
      </c>
      <c r="LI3" s="67">
        <f t="shared" si="8"/>
        <v>46115</v>
      </c>
      <c r="LJ3" s="67">
        <f t="shared" si="8"/>
        <v>46116</v>
      </c>
      <c r="LK3" s="67">
        <f t="shared" si="8"/>
        <v>46117</v>
      </c>
      <c r="LL3" s="67">
        <f t="shared" si="8"/>
        <v>46118</v>
      </c>
      <c r="LM3" s="67">
        <f t="shared" si="8"/>
        <v>46119</v>
      </c>
      <c r="LN3" s="67">
        <f t="shared" si="8"/>
        <v>46120</v>
      </c>
      <c r="LO3" s="67">
        <f t="shared" si="8"/>
        <v>46121</v>
      </c>
      <c r="LP3" s="67">
        <f t="shared" si="8"/>
        <v>46122</v>
      </c>
      <c r="LQ3" s="67">
        <f t="shared" si="8"/>
        <v>46123</v>
      </c>
      <c r="LR3" s="67">
        <f t="shared" si="8"/>
        <v>46124</v>
      </c>
      <c r="LS3" s="67">
        <f t="shared" si="8"/>
        <v>46125</v>
      </c>
      <c r="LT3" s="67">
        <f t="shared" si="8"/>
        <v>46126</v>
      </c>
      <c r="LU3" s="67">
        <f t="shared" si="8"/>
        <v>46127</v>
      </c>
      <c r="LV3" s="67">
        <f t="shared" si="8"/>
        <v>46128</v>
      </c>
      <c r="LW3" s="67">
        <f t="shared" si="8"/>
        <v>46129</v>
      </c>
      <c r="LX3" s="67">
        <f t="shared" si="8"/>
        <v>46130</v>
      </c>
      <c r="LY3" s="67">
        <f t="shared" si="8"/>
        <v>46131</v>
      </c>
      <c r="LZ3" s="67">
        <f t="shared" si="8"/>
        <v>46132</v>
      </c>
      <c r="MA3" s="67">
        <f t="shared" si="8"/>
        <v>46133</v>
      </c>
      <c r="MB3" s="67">
        <f t="shared" si="8"/>
        <v>46134</v>
      </c>
      <c r="MC3" s="67">
        <f t="shared" si="8"/>
        <v>46135</v>
      </c>
      <c r="MD3" s="67">
        <f t="shared" si="8"/>
        <v>46136</v>
      </c>
      <c r="ME3" s="67">
        <f t="shared" si="8"/>
        <v>46137</v>
      </c>
      <c r="MF3" s="67">
        <f t="shared" si="8"/>
        <v>46138</v>
      </c>
      <c r="MG3" s="67">
        <f t="shared" si="8"/>
        <v>46139</v>
      </c>
      <c r="MH3" s="67">
        <f t="shared" si="8"/>
        <v>46140</v>
      </c>
      <c r="MI3" s="67">
        <f t="shared" si="8"/>
        <v>46141</v>
      </c>
      <c r="MJ3" s="67">
        <f t="shared" si="8"/>
        <v>46142</v>
      </c>
      <c r="MK3" s="67" t="str">
        <f t="shared" si="8"/>
        <v/>
      </c>
      <c r="ML3" s="69" t="s">
        <v>33</v>
      </c>
      <c r="MM3" s="70" t="s">
        <v>28</v>
      </c>
      <c r="MN3" s="71" t="s">
        <v>34</v>
      </c>
      <c r="MO3" s="69" t="s">
        <v>13</v>
      </c>
      <c r="MP3" s="70" t="s">
        <v>1</v>
      </c>
      <c r="MQ3" s="70" t="s">
        <v>35</v>
      </c>
      <c r="MR3" s="70" t="s">
        <v>36</v>
      </c>
      <c r="MS3" s="70" t="s">
        <v>37</v>
      </c>
      <c r="MT3" s="70" t="s">
        <v>0</v>
      </c>
      <c r="MU3" s="70" t="s">
        <v>38</v>
      </c>
      <c r="MV3" s="72" t="s">
        <v>11</v>
      </c>
      <c r="MW3" s="64" t="str">
        <f>elenchi!$C1</f>
        <v>MALDONADO ALEXANDRA</v>
      </c>
      <c r="MX3" s="65"/>
      <c r="MY3" s="66"/>
      <c r="MZ3" s="67">
        <f t="shared" ref="MZ3:OD3" si="9">MZ$2</f>
        <v>46143</v>
      </c>
      <c r="NA3" s="67">
        <f t="shared" si="9"/>
        <v>46144</v>
      </c>
      <c r="NB3" s="67">
        <f t="shared" si="9"/>
        <v>46145</v>
      </c>
      <c r="NC3" s="67">
        <f t="shared" si="9"/>
        <v>46146</v>
      </c>
      <c r="ND3" s="67">
        <f t="shared" si="9"/>
        <v>46147</v>
      </c>
      <c r="NE3" s="67">
        <f t="shared" si="9"/>
        <v>46148</v>
      </c>
      <c r="NF3" s="67">
        <f t="shared" si="9"/>
        <v>46149</v>
      </c>
      <c r="NG3" s="67">
        <f t="shared" si="9"/>
        <v>46150</v>
      </c>
      <c r="NH3" s="67">
        <f t="shared" si="9"/>
        <v>46151</v>
      </c>
      <c r="NI3" s="67">
        <f t="shared" si="9"/>
        <v>46152</v>
      </c>
      <c r="NJ3" s="67">
        <f t="shared" si="9"/>
        <v>46153</v>
      </c>
      <c r="NK3" s="67">
        <f t="shared" si="9"/>
        <v>46154</v>
      </c>
      <c r="NL3" s="67">
        <f t="shared" si="9"/>
        <v>46155</v>
      </c>
      <c r="NM3" s="67">
        <f t="shared" si="9"/>
        <v>46156</v>
      </c>
      <c r="NN3" s="67">
        <f t="shared" si="9"/>
        <v>46157</v>
      </c>
      <c r="NO3" s="67">
        <f t="shared" si="9"/>
        <v>46158</v>
      </c>
      <c r="NP3" s="67">
        <f t="shared" si="9"/>
        <v>46159</v>
      </c>
      <c r="NQ3" s="67">
        <f t="shared" si="9"/>
        <v>46160</v>
      </c>
      <c r="NR3" s="67">
        <f t="shared" si="9"/>
        <v>46161</v>
      </c>
      <c r="NS3" s="67">
        <f t="shared" si="9"/>
        <v>46162</v>
      </c>
      <c r="NT3" s="67">
        <f t="shared" si="9"/>
        <v>46163</v>
      </c>
      <c r="NU3" s="67">
        <f t="shared" si="9"/>
        <v>46164</v>
      </c>
      <c r="NV3" s="67">
        <f t="shared" si="9"/>
        <v>46165</v>
      </c>
      <c r="NW3" s="67">
        <f t="shared" si="9"/>
        <v>46166</v>
      </c>
      <c r="NX3" s="67">
        <f t="shared" si="9"/>
        <v>46167</v>
      </c>
      <c r="NY3" s="67">
        <f t="shared" si="9"/>
        <v>46168</v>
      </c>
      <c r="NZ3" s="67">
        <f t="shared" si="9"/>
        <v>46169</v>
      </c>
      <c r="OA3" s="67">
        <f t="shared" si="9"/>
        <v>46170</v>
      </c>
      <c r="OB3" s="67">
        <f t="shared" si="9"/>
        <v>46171</v>
      </c>
      <c r="OC3" s="67">
        <f t="shared" si="9"/>
        <v>46172</v>
      </c>
      <c r="OD3" s="67">
        <f t="shared" si="9"/>
        <v>46173</v>
      </c>
      <c r="OE3" s="69" t="s">
        <v>33</v>
      </c>
      <c r="OF3" s="70" t="s">
        <v>28</v>
      </c>
      <c r="OG3" s="71" t="s">
        <v>34</v>
      </c>
      <c r="OH3" s="69" t="s">
        <v>13</v>
      </c>
      <c r="OI3" s="70" t="s">
        <v>1</v>
      </c>
      <c r="OJ3" s="70" t="s">
        <v>35</v>
      </c>
      <c r="OK3" s="70" t="s">
        <v>36</v>
      </c>
      <c r="OL3" s="70" t="s">
        <v>37</v>
      </c>
      <c r="OM3" s="70" t="s">
        <v>0</v>
      </c>
      <c r="ON3" s="70" t="s">
        <v>38</v>
      </c>
      <c r="OO3" s="72" t="s">
        <v>11</v>
      </c>
      <c r="OP3" s="64" t="str">
        <f>elenchi!$C1</f>
        <v>MALDONADO ALEXANDRA</v>
      </c>
      <c r="OQ3" s="65"/>
      <c r="OR3" s="66"/>
      <c r="OS3" s="67">
        <f t="shared" ref="OS3:PW3" si="10">OS$2</f>
        <v>46174</v>
      </c>
      <c r="OT3" s="67">
        <f t="shared" si="10"/>
        <v>46175</v>
      </c>
      <c r="OU3" s="67">
        <f t="shared" si="10"/>
        <v>46176</v>
      </c>
      <c r="OV3" s="67">
        <f t="shared" si="10"/>
        <v>46177</v>
      </c>
      <c r="OW3" s="67">
        <f t="shared" si="10"/>
        <v>46178</v>
      </c>
      <c r="OX3" s="67">
        <f t="shared" si="10"/>
        <v>46179</v>
      </c>
      <c r="OY3" s="67">
        <f t="shared" si="10"/>
        <v>46180</v>
      </c>
      <c r="OZ3" s="67">
        <f t="shared" si="10"/>
        <v>46181</v>
      </c>
      <c r="PA3" s="67">
        <f t="shared" si="10"/>
        <v>46182</v>
      </c>
      <c r="PB3" s="67">
        <f t="shared" si="10"/>
        <v>46183</v>
      </c>
      <c r="PC3" s="67">
        <f t="shared" si="10"/>
        <v>46184</v>
      </c>
      <c r="PD3" s="67">
        <f t="shared" si="10"/>
        <v>46185</v>
      </c>
      <c r="PE3" s="67">
        <f t="shared" si="10"/>
        <v>46186</v>
      </c>
      <c r="PF3" s="67">
        <f t="shared" si="10"/>
        <v>46187</v>
      </c>
      <c r="PG3" s="67">
        <f t="shared" si="10"/>
        <v>46188</v>
      </c>
      <c r="PH3" s="67">
        <f t="shared" si="10"/>
        <v>46189</v>
      </c>
      <c r="PI3" s="67">
        <f t="shared" si="10"/>
        <v>46190</v>
      </c>
      <c r="PJ3" s="67">
        <f t="shared" si="10"/>
        <v>46191</v>
      </c>
      <c r="PK3" s="67">
        <f t="shared" si="10"/>
        <v>46192</v>
      </c>
      <c r="PL3" s="67">
        <f t="shared" si="10"/>
        <v>46193</v>
      </c>
      <c r="PM3" s="67">
        <f t="shared" si="10"/>
        <v>46194</v>
      </c>
      <c r="PN3" s="67">
        <f t="shared" si="10"/>
        <v>46195</v>
      </c>
      <c r="PO3" s="67">
        <f t="shared" si="10"/>
        <v>46196</v>
      </c>
      <c r="PP3" s="67">
        <f t="shared" si="10"/>
        <v>46197</v>
      </c>
      <c r="PQ3" s="67">
        <f t="shared" si="10"/>
        <v>46198</v>
      </c>
      <c r="PR3" s="67">
        <f t="shared" si="10"/>
        <v>46199</v>
      </c>
      <c r="PS3" s="67">
        <f t="shared" si="10"/>
        <v>46200</v>
      </c>
      <c r="PT3" s="67">
        <f t="shared" si="10"/>
        <v>46201</v>
      </c>
      <c r="PU3" s="67">
        <f t="shared" si="10"/>
        <v>46202</v>
      </c>
      <c r="PV3" s="67">
        <f t="shared" si="10"/>
        <v>46203</v>
      </c>
      <c r="PW3" s="67" t="str">
        <f t="shared" si="10"/>
        <v/>
      </c>
      <c r="PX3" s="69" t="s">
        <v>33</v>
      </c>
      <c r="PY3" s="70" t="s">
        <v>28</v>
      </c>
      <c r="PZ3" s="71" t="s">
        <v>34</v>
      </c>
      <c r="QA3" s="69" t="s">
        <v>13</v>
      </c>
      <c r="QB3" s="70" t="s">
        <v>1</v>
      </c>
      <c r="QC3" s="70" t="s">
        <v>35</v>
      </c>
      <c r="QD3" s="70" t="s">
        <v>36</v>
      </c>
      <c r="QE3" s="70" t="s">
        <v>37</v>
      </c>
      <c r="QF3" s="70" t="s">
        <v>0</v>
      </c>
      <c r="QG3" s="70" t="s">
        <v>38</v>
      </c>
      <c r="QH3" s="72" t="s">
        <v>11</v>
      </c>
      <c r="QI3" s="64" t="str">
        <f>elenchi!$C1</f>
        <v>MALDONADO ALEXANDRA</v>
      </c>
      <c r="QJ3" s="65"/>
      <c r="QK3" s="66"/>
      <c r="QL3" s="67">
        <f t="shared" ref="QL3:RP3" si="11">QL$2</f>
        <v>46204</v>
      </c>
      <c r="QM3" s="67">
        <f t="shared" si="11"/>
        <v>46205</v>
      </c>
      <c r="QN3" s="67">
        <f t="shared" si="11"/>
        <v>46206</v>
      </c>
      <c r="QO3" s="67">
        <f t="shared" si="11"/>
        <v>46207</v>
      </c>
      <c r="QP3" s="67">
        <f t="shared" si="11"/>
        <v>46208</v>
      </c>
      <c r="QQ3" s="67">
        <f t="shared" si="11"/>
        <v>46209</v>
      </c>
      <c r="QR3" s="67">
        <f t="shared" si="11"/>
        <v>46210</v>
      </c>
      <c r="QS3" s="67">
        <f t="shared" si="11"/>
        <v>46211</v>
      </c>
      <c r="QT3" s="67">
        <f t="shared" si="11"/>
        <v>46212</v>
      </c>
      <c r="QU3" s="67">
        <f t="shared" si="11"/>
        <v>46213</v>
      </c>
      <c r="QV3" s="67">
        <f t="shared" si="11"/>
        <v>46214</v>
      </c>
      <c r="QW3" s="67">
        <f t="shared" si="11"/>
        <v>46215</v>
      </c>
      <c r="QX3" s="67">
        <f t="shared" si="11"/>
        <v>46216</v>
      </c>
      <c r="QY3" s="67">
        <f t="shared" si="11"/>
        <v>46217</v>
      </c>
      <c r="QZ3" s="67">
        <f t="shared" si="11"/>
        <v>46218</v>
      </c>
      <c r="RA3" s="67">
        <f t="shared" si="11"/>
        <v>46219</v>
      </c>
      <c r="RB3" s="67">
        <f t="shared" si="11"/>
        <v>46220</v>
      </c>
      <c r="RC3" s="67">
        <f t="shared" si="11"/>
        <v>46221</v>
      </c>
      <c r="RD3" s="67">
        <f t="shared" si="11"/>
        <v>46222</v>
      </c>
      <c r="RE3" s="67">
        <f t="shared" si="11"/>
        <v>46223</v>
      </c>
      <c r="RF3" s="67">
        <f t="shared" si="11"/>
        <v>46224</v>
      </c>
      <c r="RG3" s="67">
        <f t="shared" si="11"/>
        <v>46225</v>
      </c>
      <c r="RH3" s="67">
        <f t="shared" si="11"/>
        <v>46226</v>
      </c>
      <c r="RI3" s="67">
        <f t="shared" si="11"/>
        <v>46227</v>
      </c>
      <c r="RJ3" s="67">
        <f t="shared" si="11"/>
        <v>46228</v>
      </c>
      <c r="RK3" s="67">
        <f t="shared" si="11"/>
        <v>46229</v>
      </c>
      <c r="RL3" s="67">
        <f t="shared" si="11"/>
        <v>46230</v>
      </c>
      <c r="RM3" s="67">
        <f t="shared" si="11"/>
        <v>46231</v>
      </c>
      <c r="RN3" s="67">
        <f t="shared" si="11"/>
        <v>46232</v>
      </c>
      <c r="RO3" s="67">
        <f t="shared" si="11"/>
        <v>46233</v>
      </c>
      <c r="RP3" s="67">
        <f t="shared" si="11"/>
        <v>46234</v>
      </c>
      <c r="RQ3" s="69" t="s">
        <v>33</v>
      </c>
      <c r="RR3" s="70" t="s">
        <v>28</v>
      </c>
      <c r="RS3" s="71" t="s">
        <v>34</v>
      </c>
      <c r="RT3" s="69" t="s">
        <v>13</v>
      </c>
      <c r="RU3" s="70" t="s">
        <v>1</v>
      </c>
      <c r="RV3" s="70" t="s">
        <v>35</v>
      </c>
      <c r="RW3" s="70" t="s">
        <v>36</v>
      </c>
      <c r="RX3" s="70" t="s">
        <v>37</v>
      </c>
      <c r="RY3" s="70" t="s">
        <v>0</v>
      </c>
      <c r="RZ3" s="70" t="s">
        <v>38</v>
      </c>
      <c r="SA3" s="72" t="s">
        <v>11</v>
      </c>
      <c r="SB3" s="64" t="str">
        <f>elenchi!$C1</f>
        <v>MALDONADO ALEXANDRA</v>
      </c>
      <c r="SC3" s="65"/>
      <c r="SD3" s="66"/>
      <c r="SE3" s="67">
        <f t="shared" ref="SE3:TI3" si="12">SE$2</f>
        <v>46235</v>
      </c>
      <c r="SF3" s="67">
        <f t="shared" si="12"/>
        <v>46236</v>
      </c>
      <c r="SG3" s="67">
        <f t="shared" si="12"/>
        <v>46237</v>
      </c>
      <c r="SH3" s="67">
        <f t="shared" si="12"/>
        <v>46238</v>
      </c>
      <c r="SI3" s="67">
        <f t="shared" si="12"/>
        <v>46239</v>
      </c>
      <c r="SJ3" s="67">
        <f t="shared" si="12"/>
        <v>46240</v>
      </c>
      <c r="SK3" s="67">
        <f t="shared" si="12"/>
        <v>46241</v>
      </c>
      <c r="SL3" s="67">
        <f t="shared" si="12"/>
        <v>46242</v>
      </c>
      <c r="SM3" s="67">
        <f t="shared" si="12"/>
        <v>46243</v>
      </c>
      <c r="SN3" s="67">
        <f t="shared" si="12"/>
        <v>46244</v>
      </c>
      <c r="SO3" s="67">
        <f t="shared" si="12"/>
        <v>46245</v>
      </c>
      <c r="SP3" s="67">
        <f t="shared" si="12"/>
        <v>46246</v>
      </c>
      <c r="SQ3" s="67">
        <f t="shared" si="12"/>
        <v>46247</v>
      </c>
      <c r="SR3" s="67">
        <f t="shared" si="12"/>
        <v>46248</v>
      </c>
      <c r="SS3" s="67">
        <f t="shared" si="12"/>
        <v>46249</v>
      </c>
      <c r="ST3" s="67">
        <f t="shared" si="12"/>
        <v>46250</v>
      </c>
      <c r="SU3" s="67">
        <f t="shared" si="12"/>
        <v>46251</v>
      </c>
      <c r="SV3" s="67">
        <f t="shared" si="12"/>
        <v>46252</v>
      </c>
      <c r="SW3" s="67">
        <f t="shared" si="12"/>
        <v>46253</v>
      </c>
      <c r="SX3" s="67">
        <f t="shared" si="12"/>
        <v>46254</v>
      </c>
      <c r="SY3" s="67">
        <f t="shared" si="12"/>
        <v>46255</v>
      </c>
      <c r="SZ3" s="67">
        <f t="shared" si="12"/>
        <v>46256</v>
      </c>
      <c r="TA3" s="67">
        <f t="shared" si="12"/>
        <v>46257</v>
      </c>
      <c r="TB3" s="67">
        <f t="shared" si="12"/>
        <v>46258</v>
      </c>
      <c r="TC3" s="67">
        <f t="shared" si="12"/>
        <v>46259</v>
      </c>
      <c r="TD3" s="67">
        <f t="shared" si="12"/>
        <v>46260</v>
      </c>
      <c r="TE3" s="67">
        <f t="shared" si="12"/>
        <v>46261</v>
      </c>
      <c r="TF3" s="67">
        <f t="shared" si="12"/>
        <v>46262</v>
      </c>
      <c r="TG3" s="67">
        <f t="shared" si="12"/>
        <v>46263</v>
      </c>
      <c r="TH3" s="67">
        <f t="shared" si="12"/>
        <v>46264</v>
      </c>
      <c r="TI3" s="67">
        <f t="shared" si="12"/>
        <v>46265</v>
      </c>
      <c r="TJ3" s="69" t="s">
        <v>33</v>
      </c>
      <c r="TK3" s="70" t="s">
        <v>28</v>
      </c>
      <c r="TL3" s="71" t="s">
        <v>34</v>
      </c>
      <c r="TM3" s="69" t="s">
        <v>13</v>
      </c>
      <c r="TN3" s="70" t="s">
        <v>1</v>
      </c>
      <c r="TO3" s="70" t="s">
        <v>35</v>
      </c>
      <c r="TP3" s="70" t="s">
        <v>36</v>
      </c>
      <c r="TQ3" s="70" t="s">
        <v>37</v>
      </c>
      <c r="TR3" s="70" t="s">
        <v>0</v>
      </c>
      <c r="TS3" s="70" t="s">
        <v>38</v>
      </c>
      <c r="TT3" s="71" t="s">
        <v>11</v>
      </c>
    </row>
    <row r="4" ht="24.75" customHeight="1">
      <c r="A4" s="73"/>
      <c r="B4" s="65"/>
      <c r="C4" s="66"/>
      <c r="D4" s="74">
        <f>Settembre25!$B$2</f>
        <v>8</v>
      </c>
      <c r="E4" s="75">
        <f>Settembre25!$B$3</f>
        <v>8</v>
      </c>
      <c r="F4" s="75">
        <f>Settembre25!$B$4</f>
        <v>8</v>
      </c>
      <c r="G4" s="75">
        <f>Settembre25!$B$5</f>
        <v>8</v>
      </c>
      <c r="H4" s="76">
        <f>Settembre25!$B$6</f>
        <v>8</v>
      </c>
      <c r="I4" s="76">
        <f>Settembre25!$B$7</f>
        <v>8</v>
      </c>
      <c r="J4" s="75" t="str">
        <f>Settembre25!$B$8</f>
        <v/>
      </c>
      <c r="K4" s="75">
        <f>Settembre25!$B$9</f>
        <v>9.5</v>
      </c>
      <c r="L4" s="75">
        <f>Settembre25!$B$10</f>
        <v>9.5</v>
      </c>
      <c r="M4" s="75">
        <f>Settembre25!$B$11</f>
        <v>10.5</v>
      </c>
      <c r="N4" s="75">
        <f>Settembre25!$B$12</f>
        <v>9.5</v>
      </c>
      <c r="O4" s="76">
        <f>Settembre25!$B$13</f>
        <v>9.5</v>
      </c>
      <c r="P4" s="75">
        <f>Settembre25!$B$14</f>
        <v>8</v>
      </c>
      <c r="Q4" s="75" t="str">
        <f>Settembre25!$B$15</f>
        <v/>
      </c>
      <c r="R4" s="75">
        <f>Settembre25!$B$16</f>
        <v>11.5</v>
      </c>
      <c r="S4" s="75">
        <f>Settembre25!$B$17</f>
        <v>9.5</v>
      </c>
      <c r="T4" s="75">
        <f>Settembre25!$B$18</f>
        <v>9.5</v>
      </c>
      <c r="U4" s="75">
        <f>Settembre25!$B$19</f>
        <v>9.5</v>
      </c>
      <c r="V4" s="76">
        <f>Settembre25!$B$20</f>
        <v>9.5</v>
      </c>
      <c r="W4" s="76">
        <f>Settembre25!$B$21</f>
        <v>8</v>
      </c>
      <c r="X4" s="75" t="str">
        <f>Settembre25!$B$22</f>
        <v/>
      </c>
      <c r="Y4" s="75">
        <f>Settembre25!$B$23</f>
        <v>10</v>
      </c>
      <c r="Z4" s="75">
        <f>Settembre25!$B$24</f>
        <v>9.5</v>
      </c>
      <c r="AA4" s="75">
        <f>Settembre25!$B$25</f>
        <v>9.5</v>
      </c>
      <c r="AB4" s="75">
        <f>Settembre25!$B$26</f>
        <v>9.5</v>
      </c>
      <c r="AC4" s="76">
        <f>Settembre25!$B$27</f>
        <v>9.5</v>
      </c>
      <c r="AD4" s="76">
        <f>Settembre25!$B$28</f>
        <v>8</v>
      </c>
      <c r="AE4" s="75" t="str">
        <f>Settembre25!$B$29</f>
        <v/>
      </c>
      <c r="AF4" s="75">
        <f>Settembre25!$B$30</f>
        <v>9.5</v>
      </c>
      <c r="AG4" s="75">
        <f>Settembre25!$B$31</f>
        <v>9.5</v>
      </c>
      <c r="AH4" s="77" t="str">
        <f>Settembre25!$B$32</f>
        <v/>
      </c>
      <c r="AI4" s="78"/>
      <c r="AJ4" s="79">
        <f>SUM(D4:AH4)</f>
        <v>237</v>
      </c>
      <c r="AK4" s="80"/>
      <c r="AL4" s="78"/>
      <c r="AM4" s="81"/>
      <c r="AN4" s="81"/>
      <c r="AO4" s="81"/>
      <c r="AP4" s="81"/>
      <c r="AQ4" s="81"/>
      <c r="AR4" s="81"/>
      <c r="AS4" s="82"/>
      <c r="AT4" s="73"/>
      <c r="AU4" s="65"/>
      <c r="AV4" s="66"/>
      <c r="AW4" s="83">
        <f>Ottobre25!$B$2</f>
        <v>13.5</v>
      </c>
      <c r="AX4" s="84">
        <f>Ottobre25!$B$3</f>
        <v>9.5</v>
      </c>
      <c r="AY4" s="84">
        <f>Ottobre25!$B$4</f>
        <v>9.5</v>
      </c>
      <c r="AZ4" s="84">
        <f>Ottobre25!$B$5</f>
        <v>8</v>
      </c>
      <c r="BA4" s="85" t="str">
        <f>Ottobre25!$B$6</f>
        <v/>
      </c>
      <c r="BB4" s="85">
        <f>Ottobre25!$B$7</f>
        <v>9</v>
      </c>
      <c r="BC4" s="84">
        <f>Ottobre25!$B$8</f>
        <v>9</v>
      </c>
      <c r="BD4" s="84">
        <f>Ottobre25!$B$9</f>
        <v>10</v>
      </c>
      <c r="BE4" s="84">
        <f>Ottobre25!$B$10</f>
        <v>9</v>
      </c>
      <c r="BF4" s="84">
        <f>Ottobre25!$B$11</f>
        <v>8</v>
      </c>
      <c r="BG4" s="84">
        <f>Ottobre25!$B$12</f>
        <v>8</v>
      </c>
      <c r="BH4" s="85" t="str">
        <f>Ottobre25!$B$13</f>
        <v/>
      </c>
      <c r="BI4" s="84">
        <f>Ottobre25!$B$14</f>
        <v>9</v>
      </c>
      <c r="BJ4" s="84">
        <f>Ottobre25!$B$15</f>
        <v>9.5</v>
      </c>
      <c r="BK4" s="84">
        <f>Ottobre25!$B$16</f>
        <v>9</v>
      </c>
      <c r="BL4" s="84">
        <f>Ottobre25!$B$17</f>
        <v>9</v>
      </c>
      <c r="BM4" s="84">
        <f>Ottobre25!$B$18</f>
        <v>8</v>
      </c>
      <c r="BN4" s="84" t="str">
        <f>Ottobre25!$B$19</f>
        <v/>
      </c>
      <c r="BO4" s="85">
        <f>Ottobre25!$B$20</f>
        <v>8</v>
      </c>
      <c r="BP4" s="85">
        <f>Ottobre25!$B$21</f>
        <v>9</v>
      </c>
      <c r="BQ4" s="84">
        <f>Ottobre25!$B$22</f>
        <v>9.5</v>
      </c>
      <c r="BR4" s="84">
        <f>Ottobre25!$B$23</f>
        <v>9</v>
      </c>
      <c r="BS4" s="84">
        <f>Ottobre25!$B$24</f>
        <v>9.5</v>
      </c>
      <c r="BT4" s="84">
        <f>Ottobre25!$B$25</f>
        <v>8</v>
      </c>
      <c r="BU4" s="84" t="str">
        <f>Ottobre25!$B$26</f>
        <v/>
      </c>
      <c r="BV4" s="85">
        <f>Ottobre25!$B$27</f>
        <v>8.5</v>
      </c>
      <c r="BW4" s="85">
        <f>Ottobre25!$B$28</f>
        <v>9</v>
      </c>
      <c r="BX4" s="84">
        <f>Ottobre25!$B$29</f>
        <v>9.5</v>
      </c>
      <c r="BY4" s="84">
        <f>Ottobre25!$B$30</f>
        <v>9</v>
      </c>
      <c r="BZ4" s="84">
        <f>Ottobre25!$B$31</f>
        <v>9.5</v>
      </c>
      <c r="CA4" s="86">
        <f>Ottobre25!$B$32</f>
        <v>8</v>
      </c>
      <c r="CB4" s="78"/>
      <c r="CC4" s="79">
        <f>SUM(AW4:CA4)</f>
        <v>244.5</v>
      </c>
      <c r="CD4" s="80"/>
      <c r="CE4" s="78"/>
      <c r="CF4" s="81"/>
      <c r="CG4" s="81"/>
      <c r="CH4" s="81"/>
      <c r="CI4" s="81"/>
      <c r="CJ4" s="81"/>
      <c r="CK4" s="81"/>
      <c r="CL4" s="82"/>
      <c r="CM4" s="73"/>
      <c r="CN4" s="65"/>
      <c r="CO4" s="66"/>
      <c r="CP4" s="87" t="str">
        <f>Novembre25!$B$2</f>
        <v/>
      </c>
      <c r="CQ4" s="88" t="str">
        <f>Novembre25!$B$3</f>
        <v/>
      </c>
      <c r="CR4" s="88">
        <f>Novembre25!$B$4</f>
        <v>8</v>
      </c>
      <c r="CS4" s="88">
        <f>Novembre25!$B$5</f>
        <v>8</v>
      </c>
      <c r="CT4" s="89">
        <f>Novembre25!$B$6</f>
        <v>8</v>
      </c>
      <c r="CU4" s="89">
        <f>Novembre25!$B$7</f>
        <v>8</v>
      </c>
      <c r="CV4" s="88">
        <f>Novembre25!$B$8</f>
        <v>8</v>
      </c>
      <c r="CW4" s="88">
        <f>Novembre25!$B$9</f>
        <v>8</v>
      </c>
      <c r="CX4" s="88">
        <f>Novembre25!$B$10</f>
        <v>7.5</v>
      </c>
      <c r="CY4" s="88">
        <f>Novembre25!$B$11</f>
        <v>8</v>
      </c>
      <c r="CZ4" s="88">
        <f>Novembre25!$B$12</f>
        <v>8</v>
      </c>
      <c r="DA4" s="89">
        <f>Novembre25!$B$13</f>
        <v>8</v>
      </c>
      <c r="DB4" s="88">
        <f>Novembre25!$B$14</f>
        <v>8</v>
      </c>
      <c r="DC4" s="88">
        <f>Novembre25!$B$15</f>
        <v>8</v>
      </c>
      <c r="DD4" s="88">
        <f>Novembre25!$B$16</f>
        <v>8</v>
      </c>
      <c r="DE4" s="88" t="str">
        <f>Novembre25!$B$17</f>
        <v/>
      </c>
      <c r="DF4" s="88">
        <f>Novembre25!$B$18</f>
        <v>8</v>
      </c>
      <c r="DG4" s="88">
        <f>Novembre25!$B$19</f>
        <v>8</v>
      </c>
      <c r="DH4" s="89">
        <f>Novembre25!$B$20</f>
        <v>8</v>
      </c>
      <c r="DI4" s="89">
        <f>Novembre25!$B$21</f>
        <v>8</v>
      </c>
      <c r="DJ4" s="88">
        <f>Novembre25!$B$22</f>
        <v>8</v>
      </c>
      <c r="DK4" s="88">
        <f>Novembre25!$B$23</f>
        <v>8</v>
      </c>
      <c r="DL4" s="88" t="str">
        <f>Novembre25!$B$24</f>
        <v/>
      </c>
      <c r="DM4" s="88">
        <f>Novembre25!$B$25</f>
        <v>8</v>
      </c>
      <c r="DN4" s="88">
        <f>Novembre25!$B$26</f>
        <v>8</v>
      </c>
      <c r="DO4" s="89">
        <f>Novembre25!$B$27</f>
        <v>8</v>
      </c>
      <c r="DP4" s="89">
        <f>Novembre25!$B$28</f>
        <v>8</v>
      </c>
      <c r="DQ4" s="88">
        <f>Novembre25!$B$29</f>
        <v>8</v>
      </c>
      <c r="DR4" s="88" t="str">
        <f>Novembre25!$B$30</f>
        <v/>
      </c>
      <c r="DS4" s="88" t="str">
        <f>Novembre25!$B$31</f>
        <v/>
      </c>
      <c r="DT4" s="90" t="str">
        <f>Novembre25!$B$32</f>
        <v/>
      </c>
      <c r="DU4" s="78"/>
      <c r="DV4" s="79">
        <f>SUM(CP4:DT4)</f>
        <v>191.5</v>
      </c>
      <c r="DW4" s="80"/>
      <c r="DX4" s="78"/>
      <c r="DY4" s="81"/>
      <c r="DZ4" s="81"/>
      <c r="EA4" s="81"/>
      <c r="EB4" s="81"/>
      <c r="EC4" s="81"/>
      <c r="ED4" s="81"/>
      <c r="EE4" s="80"/>
      <c r="EF4" s="73"/>
      <c r="EG4" s="65"/>
      <c r="EH4" s="66"/>
      <c r="EI4" s="87">
        <f>Dicembre25!$B$2</f>
        <v>8</v>
      </c>
      <c r="EJ4" s="88" t="str">
        <f>Dicembre25!$B$3</f>
        <v>Pe</v>
      </c>
      <c r="EK4" s="88" t="str">
        <f>Dicembre25!$B$4</f>
        <v>Pe</v>
      </c>
      <c r="EL4" s="88">
        <f>Dicembre25!$B$5</f>
        <v>8</v>
      </c>
      <c r="EM4" s="89">
        <f>Dicembre25!$B$6</f>
        <v>8</v>
      </c>
      <c r="EN4" s="89" t="str">
        <f>Dicembre25!$B$7</f>
        <v/>
      </c>
      <c r="EO4" s="88" t="str">
        <f>Dicembre25!$B$8</f>
        <v/>
      </c>
      <c r="EP4" s="88" t="str">
        <f>Dicembre25!$B$9</f>
        <v>F</v>
      </c>
      <c r="EQ4" s="88">
        <f>Dicembre25!$B$10</f>
        <v>8</v>
      </c>
      <c r="ER4" s="88">
        <f>Dicembre25!$B$11</f>
        <v>8</v>
      </c>
      <c r="ES4" s="88">
        <f>Dicembre25!$B$12</f>
        <v>8</v>
      </c>
      <c r="ET4" s="89">
        <f>Dicembre25!$B$13</f>
        <v>8</v>
      </c>
      <c r="EU4" s="88">
        <f>Dicembre25!$B$14</f>
        <v>8</v>
      </c>
      <c r="EV4" s="88" t="str">
        <f>Dicembre25!$B$15</f>
        <v/>
      </c>
      <c r="EW4" s="88">
        <f>Dicembre25!$B$16</f>
        <v>8</v>
      </c>
      <c r="EX4" s="88">
        <f>Dicembre25!$B$17</f>
        <v>8</v>
      </c>
      <c r="EY4" s="88">
        <f>Dicembre25!$B$18</f>
        <v>8</v>
      </c>
      <c r="EZ4" s="88">
        <f>Dicembre25!$B$19</f>
        <v>8</v>
      </c>
      <c r="FA4" s="89">
        <f>Dicembre25!$B$20</f>
        <v>8</v>
      </c>
      <c r="FB4" s="89">
        <f>Dicembre25!$B$21</f>
        <v>8</v>
      </c>
      <c r="FC4" s="88" t="str">
        <f>Dicembre25!$B$22</f>
        <v/>
      </c>
      <c r="FD4" s="88">
        <f>Dicembre25!$B$23</f>
        <v>8</v>
      </c>
      <c r="FE4" s="88">
        <f>Dicembre25!$B$24</f>
        <v>8</v>
      </c>
      <c r="FF4" s="88" t="str">
        <f>Dicembre25!$B$25</f>
        <v>Fe</v>
      </c>
      <c r="FG4" s="88" t="str">
        <f>Dicembre25!$B$26</f>
        <v>F</v>
      </c>
      <c r="FH4" s="89" t="str">
        <f>Dicembre25!$B$27</f>
        <v>F</v>
      </c>
      <c r="FI4" s="89" t="str">
        <f>Dicembre25!$B$28</f>
        <v/>
      </c>
      <c r="FJ4" s="88" t="str">
        <f>Dicembre25!$B$29</f>
        <v/>
      </c>
      <c r="FK4" s="88">
        <f>Dicembre25!$B$30</f>
        <v>8</v>
      </c>
      <c r="FL4" s="88">
        <f>Dicembre25!$B$31</f>
        <v>8</v>
      </c>
      <c r="FM4" s="90" t="str">
        <f>Dicembre25!$B$32</f>
        <v/>
      </c>
      <c r="FN4" s="78"/>
      <c r="FO4" s="79">
        <f>SUM(EI4:FM4)</f>
        <v>144</v>
      </c>
      <c r="FP4" s="80"/>
      <c r="FQ4" s="78"/>
      <c r="FR4" s="81"/>
      <c r="FS4" s="81"/>
      <c r="FT4" s="81"/>
      <c r="FU4" s="81"/>
      <c r="FV4" s="81"/>
      <c r="FW4" s="81"/>
      <c r="FX4" s="80"/>
      <c r="FY4" s="73"/>
      <c r="FZ4" s="65"/>
      <c r="GA4" s="66"/>
      <c r="GB4" s="87" t="str">
        <f>Gennaio26!$B$2</f>
        <v>F</v>
      </c>
      <c r="GC4" s="88" t="str">
        <f>Gennaio26!$B$3</f>
        <v>FE</v>
      </c>
      <c r="GD4" s="88" t="str">
        <f>Gennaio26!$B$4</f>
        <v/>
      </c>
      <c r="GE4" s="88" t="str">
        <f>Gennaio26!$B$5</f>
        <v/>
      </c>
      <c r="GF4" s="89" t="str">
        <f>Gennaio26!$B$6</f>
        <v>FE</v>
      </c>
      <c r="GG4" s="89" t="str">
        <f>Gennaio26!$B$7</f>
        <v>F</v>
      </c>
      <c r="GH4" s="88">
        <f>Gennaio26!$B$8</f>
        <v>8</v>
      </c>
      <c r="GI4" s="88">
        <f>Gennaio26!$B$9</f>
        <v>8</v>
      </c>
      <c r="GJ4" s="88">
        <f>Gennaio26!$B$10</f>
        <v>8</v>
      </c>
      <c r="GK4" s="88" t="str">
        <f>Gennaio26!$B$11</f>
        <v/>
      </c>
      <c r="GL4" s="88" t="str">
        <f>Gennaio26!$B$12</f>
        <v/>
      </c>
      <c r="GM4" s="89">
        <f>Gennaio26!$B$13</f>
        <v>5</v>
      </c>
      <c r="GN4" s="88">
        <f>Gennaio26!$B$14</f>
        <v>8</v>
      </c>
      <c r="GO4" s="88" t="str">
        <f>#REF!</f>
        <v>#REF!</v>
      </c>
      <c r="GP4" s="88">
        <f>Gennaio26!$B$15</f>
        <v>6.5</v>
      </c>
      <c r="GQ4" s="88">
        <f>Gennaio26!$B$17</f>
        <v>8</v>
      </c>
      <c r="GR4" s="88">
        <f>Gennaio26!$B$18</f>
        <v>8</v>
      </c>
      <c r="GS4" s="88" t="str">
        <f>Gennaio26!$B$19</f>
        <v/>
      </c>
      <c r="GT4" s="89">
        <f>Gennaio26!$B$20</f>
        <v>8</v>
      </c>
      <c r="GU4" s="89">
        <f>Gennaio26!$B$21</f>
        <v>8</v>
      </c>
      <c r="GV4" s="88">
        <f>Gennaio26!$B$22</f>
        <v>8</v>
      </c>
      <c r="GW4" s="88">
        <f>Gennaio26!$B$23</f>
        <v>8</v>
      </c>
      <c r="GX4" s="88">
        <f>Gennaio26!$B$24</f>
        <v>8</v>
      </c>
      <c r="GY4" s="88">
        <f>Gennaio26!$B$25</f>
        <v>8</v>
      </c>
      <c r="GZ4" s="88" t="str">
        <f>Gennaio26!$B$26</f>
        <v/>
      </c>
      <c r="HA4" s="89">
        <f>Gennaio26!$B$27</f>
        <v>8</v>
      </c>
      <c r="HB4" s="89">
        <f>Gennaio26!$B$28</f>
        <v>8</v>
      </c>
      <c r="HC4" s="88">
        <f>Gennaio26!$B$29</f>
        <v>8</v>
      </c>
      <c r="HD4" s="88">
        <f>Gennaio26!$B$30</f>
        <v>8</v>
      </c>
      <c r="HE4" s="88">
        <f>Gennaio26!$B$31</f>
        <v>8</v>
      </c>
      <c r="HF4" s="90">
        <f>Gennaio26!$B$32</f>
        <v>8</v>
      </c>
      <c r="HG4" s="78"/>
      <c r="HH4" s="79" t="str">
        <f>SUM(GB4:HF4)</f>
        <v>#REF!</v>
      </c>
      <c r="HI4" s="80"/>
      <c r="HJ4" s="78"/>
      <c r="HK4" s="81"/>
      <c r="HL4" s="81"/>
      <c r="HM4" s="81"/>
      <c r="HN4" s="81"/>
      <c r="HO4" s="81"/>
      <c r="HP4" s="81"/>
      <c r="HQ4" s="80"/>
      <c r="HR4" s="73"/>
      <c r="HS4" s="65"/>
      <c r="HT4" s="66"/>
      <c r="HU4" s="87" t="str">
        <f>Febbraio26!$B$2</f>
        <v/>
      </c>
      <c r="HV4" s="88">
        <f>Febbraio26!$B$3</f>
        <v>11.5</v>
      </c>
      <c r="HW4" s="88">
        <f>Febbraio26!$B$4</f>
        <v>8</v>
      </c>
      <c r="HX4" s="88">
        <f>Febbraio26!$B$5</f>
        <v>9</v>
      </c>
      <c r="HY4" s="89">
        <f>Febbraio26!$B$6</f>
        <v>8</v>
      </c>
      <c r="HZ4" s="89">
        <f>Febbraio26!$B$7</f>
        <v>8</v>
      </c>
      <c r="IA4" s="88" t="str">
        <f>Febbraio26!$B$8</f>
        <v/>
      </c>
      <c r="IB4" s="88" t="str">
        <f>Febbraio26!$B$9</f>
        <v/>
      </c>
      <c r="IC4" s="88">
        <f>Febbraio26!$B$10</f>
        <v>8</v>
      </c>
      <c r="ID4" s="88">
        <f>Febbraio26!$B$11</f>
        <v>8</v>
      </c>
      <c r="IE4" s="88">
        <f>Febbraio26!$B$12</f>
        <v>8</v>
      </c>
      <c r="IF4" s="89">
        <f>Febbraio26!$B$13</f>
        <v>8</v>
      </c>
      <c r="IG4" s="88">
        <f>Febbraio26!$B$14</f>
        <v>8</v>
      </c>
      <c r="IH4" s="88">
        <f>Febbraio26!$B$15</f>
        <v>8</v>
      </c>
      <c r="II4" s="88" t="str">
        <f>Febbraio26!$B$16</f>
        <v/>
      </c>
      <c r="IJ4" s="88">
        <f>Febbraio26!$B$17</f>
        <v>8</v>
      </c>
      <c r="IK4" s="88">
        <f>Febbraio26!$B$18</f>
        <v>8</v>
      </c>
      <c r="IL4" s="88">
        <f>Febbraio26!$B$19</f>
        <v>8</v>
      </c>
      <c r="IM4" s="89">
        <f>Febbraio26!$B$20</f>
        <v>8</v>
      </c>
      <c r="IN4" s="89">
        <f>Febbraio26!$B$21</f>
        <v>8</v>
      </c>
      <c r="IO4" s="88">
        <f>Febbraio26!$B$22</f>
        <v>0</v>
      </c>
      <c r="IP4" s="88">
        <f>Febbraio26!$B$23</f>
        <v>8.5</v>
      </c>
      <c r="IQ4" s="88">
        <f>Febbraio26!$B$24</f>
        <v>8</v>
      </c>
      <c r="IR4" s="88">
        <f>Febbraio26!$B$25</f>
        <v>8</v>
      </c>
      <c r="IS4" s="88">
        <f>Febbraio26!$B$26</f>
        <v>8</v>
      </c>
      <c r="IT4" s="89">
        <f>Febbraio26!$B$27</f>
        <v>8</v>
      </c>
      <c r="IU4" s="89">
        <f>Febbraio26!$B$28</f>
        <v>8</v>
      </c>
      <c r="IV4" s="88">
        <f>Febbraio26!$B$29</f>
        <v>8</v>
      </c>
      <c r="IW4" s="88" t="str">
        <f>Febbraio26!$B$30</f>
        <v/>
      </c>
      <c r="IX4" s="88" t="str">
        <f>Febbraio26!$B$31</f>
        <v/>
      </c>
      <c r="IY4" s="90" t="str">
        <f>Febbraio26!$B$32</f>
        <v/>
      </c>
      <c r="IZ4" s="78"/>
      <c r="JA4" s="79">
        <f>SUM(HU4:IY4)</f>
        <v>189</v>
      </c>
      <c r="JB4" s="80"/>
      <c r="JC4" s="78"/>
      <c r="JD4" s="81"/>
      <c r="JE4" s="81"/>
      <c r="JF4" s="81"/>
      <c r="JG4" s="81"/>
      <c r="JH4" s="81"/>
      <c r="JI4" s="81"/>
      <c r="JJ4" s="80"/>
      <c r="JK4" s="73"/>
      <c r="JL4" s="65"/>
      <c r="JM4" s="66"/>
      <c r="JN4" s="87" t="str">
        <f>Marzo26!$B$2</f>
        <v/>
      </c>
      <c r="JO4" s="88">
        <f>Marzo26!$B$3</f>
        <v>8</v>
      </c>
      <c r="JP4" s="88">
        <f>Marzo26!$B$4</f>
        <v>8</v>
      </c>
      <c r="JQ4" s="88">
        <f>Marzo26!$B$5</f>
        <v>8</v>
      </c>
      <c r="JR4" s="89">
        <f>Marzo26!$B$6</f>
        <v>8</v>
      </c>
      <c r="JS4" s="89">
        <f>Marzo26!$B$7</f>
        <v>8</v>
      </c>
      <c r="JT4" s="88">
        <f>Marzo26!$B$8</f>
        <v>8</v>
      </c>
      <c r="JU4" s="88" t="str">
        <f>Marzo26!$B$9</f>
        <v/>
      </c>
      <c r="JV4" s="88">
        <f>Marzo26!$B$10</f>
        <v>8</v>
      </c>
      <c r="JW4" s="88">
        <f>Marzo26!$B$11</f>
        <v>8</v>
      </c>
      <c r="JX4" s="88">
        <f>Marzo26!$B$12</f>
        <v>8</v>
      </c>
      <c r="JY4" s="89">
        <f>Marzo26!$B$13</f>
        <v>8</v>
      </c>
      <c r="JZ4" s="88">
        <f>Marzo26!$B$14</f>
        <v>8</v>
      </c>
      <c r="KA4" s="88">
        <f>Marzo26!$B$15</f>
        <v>8</v>
      </c>
      <c r="KB4" s="88">
        <f>Marzo26!$B$16</f>
        <v>8</v>
      </c>
      <c r="KC4" s="88">
        <f>Marzo26!$B$17</f>
        <v>8</v>
      </c>
      <c r="KD4" s="88">
        <f>Marzo26!$B$18</f>
        <v>8</v>
      </c>
      <c r="KE4" s="88">
        <f>Marzo26!$B$19</f>
        <v>8</v>
      </c>
      <c r="KF4" s="89">
        <f>Marzo26!$B$20</f>
        <v>8</v>
      </c>
      <c r="KG4" s="89">
        <f>Marzo26!$B$21</f>
        <v>8</v>
      </c>
      <c r="KH4" s="88">
        <f>Marzo26!$B$22</f>
        <v>8</v>
      </c>
      <c r="KI4" s="88" t="str">
        <f>Marzo26!$B$23</f>
        <v/>
      </c>
      <c r="KJ4" s="88">
        <f>Marzo26!$B$24</f>
        <v>8</v>
      </c>
      <c r="KK4" s="88">
        <f>Marzo26!$B$25</f>
        <v>8</v>
      </c>
      <c r="KL4" s="88">
        <f>Marzo26!$B$26</f>
        <v>8</v>
      </c>
      <c r="KM4" s="89">
        <f>Marzo26!$B$27</f>
        <v>8</v>
      </c>
      <c r="KN4" s="89">
        <f>Marzo26!$B$28</f>
        <v>8</v>
      </c>
      <c r="KO4" s="88" t="str">
        <f>Marzo26!$B$29</f>
        <v/>
      </c>
      <c r="KP4" s="88" t="str">
        <f>Marzo26!$B$30</f>
        <v/>
      </c>
      <c r="KQ4" s="88">
        <f>Marzo26!$B$31</f>
        <v>8</v>
      </c>
      <c r="KR4" s="90">
        <f>Marzo26!$B$32</f>
        <v>8</v>
      </c>
      <c r="KS4" s="78"/>
      <c r="KT4" s="79">
        <f>SUM(JN4:KR4)</f>
        <v>208</v>
      </c>
      <c r="KU4" s="80"/>
      <c r="KV4" s="78"/>
      <c r="KW4" s="81"/>
      <c r="KX4" s="81"/>
      <c r="KY4" s="81"/>
      <c r="KZ4" s="81"/>
      <c r="LA4" s="81"/>
      <c r="LB4" s="81"/>
      <c r="LC4" s="80"/>
      <c r="LD4" s="73"/>
      <c r="LE4" s="65"/>
      <c r="LF4" s="66"/>
      <c r="LG4" s="87" t="str">
        <f>Aprile26!$B$2</f>
        <v/>
      </c>
      <c r="LH4" s="88" t="str">
        <f>Aprile26!$B$3</f>
        <v/>
      </c>
      <c r="LI4" s="88" t="str">
        <f>Aprile26!$B$4</f>
        <v/>
      </c>
      <c r="LJ4" s="88" t="str">
        <f>Aprile26!$B$5</f>
        <v/>
      </c>
      <c r="LK4" s="89" t="str">
        <f>Aprile26!$B$6</f>
        <v/>
      </c>
      <c r="LL4" s="89" t="str">
        <f>Aprile26!$B$7</f>
        <v/>
      </c>
      <c r="LM4" s="88" t="str">
        <f>Aprile26!$B$8</f>
        <v/>
      </c>
      <c r="LN4" s="88" t="str">
        <f>Aprile26!$B$9</f>
        <v/>
      </c>
      <c r="LO4" s="88" t="str">
        <f>Aprile26!$B$10</f>
        <v/>
      </c>
      <c r="LP4" s="88" t="str">
        <f>Aprile26!$B$11</f>
        <v/>
      </c>
      <c r="LQ4" s="88" t="str">
        <f>Aprile26!$B$12</f>
        <v/>
      </c>
      <c r="LR4" s="89" t="str">
        <f>Aprile26!$B$13</f>
        <v/>
      </c>
      <c r="LS4" s="88" t="str">
        <f>Aprile26!$B$14</f>
        <v/>
      </c>
      <c r="LT4" s="88" t="str">
        <f>Aprile26!$B$15</f>
        <v/>
      </c>
      <c r="LU4" s="88" t="str">
        <f>Aprile26!$B$16</f>
        <v/>
      </c>
      <c r="LV4" s="88" t="str">
        <f>Aprile26!$B$17</f>
        <v/>
      </c>
      <c r="LW4" s="88" t="str">
        <f>Aprile26!$B$18</f>
        <v/>
      </c>
      <c r="LX4" s="88" t="str">
        <f>Aprile26!$B$19</f>
        <v/>
      </c>
      <c r="LY4" s="89" t="str">
        <f>Aprile26!$B$20</f>
        <v/>
      </c>
      <c r="LZ4" s="89" t="str">
        <f>Aprile26!$B$21</f>
        <v/>
      </c>
      <c r="MA4" s="88" t="str">
        <f>Aprile26!$B$22</f>
        <v/>
      </c>
      <c r="MB4" s="88" t="str">
        <f>Aprile26!$B$23</f>
        <v/>
      </c>
      <c r="MC4" s="88" t="str">
        <f>Aprile26!$B$24</f>
        <v/>
      </c>
      <c r="MD4" s="88" t="str">
        <f>Aprile26!$B$25</f>
        <v/>
      </c>
      <c r="ME4" s="88" t="str">
        <f>Aprile26!$B$26</f>
        <v/>
      </c>
      <c r="MF4" s="89" t="str">
        <f>Aprile26!$B$27</f>
        <v/>
      </c>
      <c r="MG4" s="89" t="str">
        <f>Aprile26!$B$28</f>
        <v/>
      </c>
      <c r="MH4" s="88" t="str">
        <f>Aprile26!$B$29</f>
        <v/>
      </c>
      <c r="MI4" s="88" t="str">
        <f>Aprile26!$B$30</f>
        <v/>
      </c>
      <c r="MJ4" s="88" t="str">
        <f>Aprile26!$B$31</f>
        <v/>
      </c>
      <c r="MK4" s="90" t="str">
        <f>Aprile26!$B$32</f>
        <v/>
      </c>
      <c r="ML4" s="78"/>
      <c r="MM4" s="79">
        <f>SUM(LG4:MK4)</f>
        <v>0</v>
      </c>
      <c r="MN4" s="80"/>
      <c r="MO4" s="78"/>
      <c r="MP4" s="81"/>
      <c r="MQ4" s="81"/>
      <c r="MR4" s="81"/>
      <c r="MS4" s="81"/>
      <c r="MT4" s="81"/>
      <c r="MU4" s="81"/>
      <c r="MV4" s="82"/>
      <c r="MW4" s="73"/>
      <c r="MX4" s="65"/>
      <c r="MY4" s="66"/>
      <c r="MZ4" s="87" t="str">
        <f>Maggio26!$B$2</f>
        <v/>
      </c>
      <c r="NA4" s="88" t="str">
        <f>Maggio26!$B$3</f>
        <v/>
      </c>
      <c r="NB4" s="88" t="str">
        <f>Maggio26!$B$4</f>
        <v/>
      </c>
      <c r="NC4" s="88" t="str">
        <f>Maggio26!$B$5</f>
        <v/>
      </c>
      <c r="ND4" s="89" t="str">
        <f>Maggio26!$B$6</f>
        <v/>
      </c>
      <c r="NE4" s="89" t="str">
        <f>Maggio26!$B$7</f>
        <v/>
      </c>
      <c r="NF4" s="88" t="str">
        <f>Maggio26!$B$8</f>
        <v/>
      </c>
      <c r="NG4" s="88" t="str">
        <f>Maggio26!$B$9</f>
        <v/>
      </c>
      <c r="NH4" s="88" t="str">
        <f>Maggio26!$B$10</f>
        <v/>
      </c>
      <c r="NI4" s="88" t="str">
        <f>Maggio26!$B$11</f>
        <v/>
      </c>
      <c r="NJ4" s="88" t="str">
        <f>Maggio26!$B$12</f>
        <v/>
      </c>
      <c r="NK4" s="89" t="str">
        <f>Maggio26!$B$13</f>
        <v/>
      </c>
      <c r="NL4" s="88" t="str">
        <f>Maggio26!$B$14</f>
        <v/>
      </c>
      <c r="NM4" s="88" t="str">
        <f>Maggio26!$B$15</f>
        <v/>
      </c>
      <c r="NN4" s="88" t="str">
        <f>Maggio26!$B$16</f>
        <v/>
      </c>
      <c r="NO4" s="88" t="str">
        <f>Maggio26!$B$17</f>
        <v/>
      </c>
      <c r="NP4" s="88" t="str">
        <f>Maggio26!$B$18</f>
        <v/>
      </c>
      <c r="NQ4" s="88" t="str">
        <f>Maggio26!$B$19</f>
        <v/>
      </c>
      <c r="NR4" s="89" t="str">
        <f>Maggio26!$B$20</f>
        <v/>
      </c>
      <c r="NS4" s="89" t="str">
        <f>Maggio26!$B$21</f>
        <v/>
      </c>
      <c r="NT4" s="88" t="str">
        <f>Maggio26!$B$22</f>
        <v/>
      </c>
      <c r="NU4" s="88" t="str">
        <f>Maggio26!$B$23</f>
        <v/>
      </c>
      <c r="NV4" s="88" t="str">
        <f>Maggio26!$B$24</f>
        <v/>
      </c>
      <c r="NW4" s="88" t="str">
        <f>Maggio26!$B$25</f>
        <v/>
      </c>
      <c r="NX4" s="88" t="str">
        <f>Maggio26!$B$26</f>
        <v/>
      </c>
      <c r="NY4" s="89" t="str">
        <f>Maggio26!$B$27</f>
        <v/>
      </c>
      <c r="NZ4" s="89" t="str">
        <f>Maggio26!$B$28</f>
        <v/>
      </c>
      <c r="OA4" s="88" t="str">
        <f>Maggio26!$B$29</f>
        <v/>
      </c>
      <c r="OB4" s="88" t="str">
        <f>Maggio26!$B$30</f>
        <v/>
      </c>
      <c r="OC4" s="88" t="str">
        <f>Maggio26!$B$31</f>
        <v/>
      </c>
      <c r="OD4" s="90" t="str">
        <f>Maggio26!$B$32</f>
        <v/>
      </c>
      <c r="OE4" s="78"/>
      <c r="OF4" s="79">
        <f>SUM(MZ4:OD4)</f>
        <v>0</v>
      </c>
      <c r="OG4" s="80"/>
      <c r="OH4" s="78"/>
      <c r="OI4" s="81"/>
      <c r="OJ4" s="81"/>
      <c r="OK4" s="81"/>
      <c r="OL4" s="81"/>
      <c r="OM4" s="81"/>
      <c r="ON4" s="81"/>
      <c r="OO4" s="82"/>
      <c r="OP4" s="73"/>
      <c r="OQ4" s="65"/>
      <c r="OR4" s="66"/>
      <c r="OS4" s="87" t="str">
        <f>Giugno26!$B$2</f>
        <v/>
      </c>
      <c r="OT4" s="88" t="str">
        <f>Giugno26!$B$3</f>
        <v/>
      </c>
      <c r="OU4" s="88" t="str">
        <f>Giugno26!$B$4</f>
        <v/>
      </c>
      <c r="OV4" s="88" t="str">
        <f>Giugno26!$B$5</f>
        <v/>
      </c>
      <c r="OW4" s="89" t="str">
        <f>Giugno26!$B$6</f>
        <v/>
      </c>
      <c r="OX4" s="89" t="str">
        <f>Giugno26!$B$7</f>
        <v/>
      </c>
      <c r="OY4" s="88" t="str">
        <f>Giugno26!$B$8</f>
        <v/>
      </c>
      <c r="OZ4" s="88" t="str">
        <f>Giugno26!$B$9</f>
        <v/>
      </c>
      <c r="PA4" s="88" t="str">
        <f>Giugno26!$B$10</f>
        <v/>
      </c>
      <c r="PB4" s="88" t="str">
        <f>Giugno26!$B$11</f>
        <v/>
      </c>
      <c r="PC4" s="88" t="str">
        <f>Giugno26!$B$12</f>
        <v/>
      </c>
      <c r="PD4" s="89" t="str">
        <f>Giugno26!$B$13</f>
        <v/>
      </c>
      <c r="PE4" s="88" t="str">
        <f>Giugno26!$B$14</f>
        <v/>
      </c>
      <c r="PF4" s="88" t="str">
        <f>Giugno26!$B$15</f>
        <v/>
      </c>
      <c r="PG4" s="88" t="str">
        <f>Giugno26!$B$16</f>
        <v/>
      </c>
      <c r="PH4" s="88" t="str">
        <f>Giugno26!$B$17</f>
        <v/>
      </c>
      <c r="PI4" s="88" t="str">
        <f>Giugno26!$B$18</f>
        <v/>
      </c>
      <c r="PJ4" s="88" t="str">
        <f>Giugno26!$B$19</f>
        <v/>
      </c>
      <c r="PK4" s="89" t="str">
        <f>Giugno26!$B$20</f>
        <v/>
      </c>
      <c r="PL4" s="89" t="str">
        <f>Giugno26!$B$21</f>
        <v/>
      </c>
      <c r="PM4" s="88" t="str">
        <f>Giugno26!$B$22</f>
        <v/>
      </c>
      <c r="PN4" s="88" t="str">
        <f>Giugno26!$B$23</f>
        <v/>
      </c>
      <c r="PO4" s="88" t="str">
        <f>Giugno26!$B$24</f>
        <v/>
      </c>
      <c r="PP4" s="88" t="str">
        <f>Giugno26!$B$25</f>
        <v/>
      </c>
      <c r="PQ4" s="88" t="str">
        <f>Giugno26!$B$26</f>
        <v/>
      </c>
      <c r="PR4" s="89" t="str">
        <f>Giugno26!$B$27</f>
        <v/>
      </c>
      <c r="PS4" s="89" t="str">
        <f>Giugno26!$B$28</f>
        <v/>
      </c>
      <c r="PT4" s="88" t="str">
        <f>Giugno26!$B$29</f>
        <v/>
      </c>
      <c r="PU4" s="88" t="str">
        <f>Giugno26!$B$30</f>
        <v/>
      </c>
      <c r="PV4" s="88" t="str">
        <f>Giugno26!$B$31</f>
        <v/>
      </c>
      <c r="PW4" s="90" t="str">
        <f>Giugno26!$B$32</f>
        <v/>
      </c>
      <c r="PX4" s="78"/>
      <c r="PY4" s="79">
        <f>SUM(OS4:PW4)</f>
        <v>0</v>
      </c>
      <c r="PZ4" s="80"/>
      <c r="QA4" s="78"/>
      <c r="QB4" s="81"/>
      <c r="QC4" s="81"/>
      <c r="QD4" s="81"/>
      <c r="QE4" s="81"/>
      <c r="QF4" s="81"/>
      <c r="QG4" s="81"/>
      <c r="QH4" s="82"/>
      <c r="QI4" s="73"/>
      <c r="QJ4" s="65"/>
      <c r="QK4" s="66"/>
      <c r="QL4" s="87" t="str">
        <f>Luglio26!$B$2</f>
        <v/>
      </c>
      <c r="QM4" s="88" t="str">
        <f>Luglio26!$B$3</f>
        <v/>
      </c>
      <c r="QN4" s="88" t="str">
        <f>Luglio26!$B$4</f>
        <v/>
      </c>
      <c r="QO4" s="88" t="str">
        <f>Luglio26!$B$5</f>
        <v/>
      </c>
      <c r="QP4" s="89" t="str">
        <f>Luglio26!$B$6</f>
        <v/>
      </c>
      <c r="QQ4" s="89" t="str">
        <f>Luglio26!$B$7</f>
        <v/>
      </c>
      <c r="QR4" s="88" t="str">
        <f>Luglio26!$B$8</f>
        <v/>
      </c>
      <c r="QS4" s="88" t="str">
        <f>Luglio26!$B$9</f>
        <v/>
      </c>
      <c r="QT4" s="88" t="str">
        <f>Luglio26!$B$10</f>
        <v/>
      </c>
      <c r="QU4" s="88" t="str">
        <f>Luglio26!$B$11</f>
        <v/>
      </c>
      <c r="QV4" s="88" t="str">
        <f>Luglio26!$B$12</f>
        <v/>
      </c>
      <c r="QW4" s="89" t="str">
        <f>Luglio26!$B$13</f>
        <v/>
      </c>
      <c r="QX4" s="88" t="str">
        <f>Luglio26!$B$14</f>
        <v/>
      </c>
      <c r="QY4" s="88" t="str">
        <f>Luglio26!$B$15</f>
        <v/>
      </c>
      <c r="QZ4" s="88" t="str">
        <f>Luglio26!$B$16</f>
        <v/>
      </c>
      <c r="RA4" s="88" t="str">
        <f>Luglio26!$B$17</f>
        <v/>
      </c>
      <c r="RB4" s="88" t="str">
        <f>Luglio26!$B$18</f>
        <v/>
      </c>
      <c r="RC4" s="88" t="str">
        <f>Luglio26!$B$19</f>
        <v/>
      </c>
      <c r="RD4" s="89" t="str">
        <f>Luglio26!$B$20</f>
        <v/>
      </c>
      <c r="RE4" s="89" t="str">
        <f>Luglio26!$B$21</f>
        <v/>
      </c>
      <c r="RF4" s="88" t="str">
        <f>Luglio26!$B$22</f>
        <v/>
      </c>
      <c r="RG4" s="88" t="str">
        <f>Luglio26!$B$23</f>
        <v/>
      </c>
      <c r="RH4" s="88" t="str">
        <f>Luglio26!$B$24</f>
        <v/>
      </c>
      <c r="RI4" s="88" t="str">
        <f>Luglio26!$B$25</f>
        <v/>
      </c>
      <c r="RJ4" s="88" t="str">
        <f>Luglio26!$B$26</f>
        <v/>
      </c>
      <c r="RK4" s="89" t="str">
        <f>Luglio26!$B$27</f>
        <v/>
      </c>
      <c r="RL4" s="89" t="str">
        <f>Luglio26!$B$28</f>
        <v/>
      </c>
      <c r="RM4" s="88" t="str">
        <f>Luglio26!$B$29</f>
        <v/>
      </c>
      <c r="RN4" s="88" t="str">
        <f>Luglio26!$B$30</f>
        <v/>
      </c>
      <c r="RO4" s="88" t="str">
        <f>Luglio26!$B$31</f>
        <v/>
      </c>
      <c r="RP4" s="90" t="str">
        <f>Luglio26!$B$32</f>
        <v/>
      </c>
      <c r="RQ4" s="78"/>
      <c r="RR4" s="79">
        <f>SUM(QL4:RP4)</f>
        <v>0</v>
      </c>
      <c r="RS4" s="80"/>
      <c r="RT4" s="78"/>
      <c r="RU4" s="81"/>
      <c r="RV4" s="81"/>
      <c r="RW4" s="81"/>
      <c r="RX4" s="81"/>
      <c r="RY4" s="81"/>
      <c r="RZ4" s="81"/>
      <c r="SA4" s="82"/>
      <c r="SB4" s="73"/>
      <c r="SC4" s="65"/>
      <c r="SD4" s="66"/>
      <c r="SE4" s="87" t="str">
        <f>Agosto26!$B$2</f>
        <v/>
      </c>
      <c r="SF4" s="88" t="str">
        <f>Agosto26!$B$3</f>
        <v/>
      </c>
      <c r="SG4" s="88" t="str">
        <f>Agosto26!$B$4</f>
        <v/>
      </c>
      <c r="SH4" s="88" t="str">
        <f>Agosto26!$B$5</f>
        <v/>
      </c>
      <c r="SI4" s="89" t="str">
        <f>Agosto26!$B$6</f>
        <v/>
      </c>
      <c r="SJ4" s="89" t="str">
        <f>Agosto26!$B$7</f>
        <v/>
      </c>
      <c r="SK4" s="88" t="str">
        <f>Agosto26!$B$8</f>
        <v/>
      </c>
      <c r="SL4" s="88" t="str">
        <f>Agosto26!$B$9</f>
        <v/>
      </c>
      <c r="SM4" s="88" t="str">
        <f>Agosto26!$B$10</f>
        <v/>
      </c>
      <c r="SN4" s="88" t="str">
        <f>Agosto26!$B$11</f>
        <v/>
      </c>
      <c r="SO4" s="88" t="str">
        <f>Agosto26!$B$12</f>
        <v/>
      </c>
      <c r="SP4" s="89" t="str">
        <f>Agosto26!$B$13</f>
        <v/>
      </c>
      <c r="SQ4" s="88" t="str">
        <f>Agosto26!$B$14</f>
        <v/>
      </c>
      <c r="SR4" s="88" t="str">
        <f>Agosto26!$B$15</f>
        <v/>
      </c>
      <c r="SS4" s="88" t="str">
        <f>Agosto26!$B$16</f>
        <v/>
      </c>
      <c r="ST4" s="88" t="str">
        <f>Agosto26!$B$17</f>
        <v/>
      </c>
      <c r="SU4" s="88" t="str">
        <f>Agosto26!$B$18</f>
        <v/>
      </c>
      <c r="SV4" s="88" t="str">
        <f>Agosto26!$B$19</f>
        <v/>
      </c>
      <c r="SW4" s="89" t="str">
        <f>Agosto26!$B$20</f>
        <v/>
      </c>
      <c r="SX4" s="89" t="str">
        <f>Agosto26!$B$21</f>
        <v/>
      </c>
      <c r="SY4" s="88" t="str">
        <f>Agosto26!$B$22</f>
        <v/>
      </c>
      <c r="SZ4" s="88" t="str">
        <f>Agosto26!$B$23</f>
        <v/>
      </c>
      <c r="TA4" s="88" t="str">
        <f>Agosto26!$B$24</f>
        <v/>
      </c>
      <c r="TB4" s="88" t="str">
        <f>Agosto26!$B$25</f>
        <v/>
      </c>
      <c r="TC4" s="88" t="str">
        <f>Agosto26!$B$26</f>
        <v/>
      </c>
      <c r="TD4" s="89" t="str">
        <f>Agosto26!$B$27</f>
        <v/>
      </c>
      <c r="TE4" s="89" t="str">
        <f>Agosto26!$B$28</f>
        <v/>
      </c>
      <c r="TF4" s="88" t="str">
        <f>Agosto26!$B$29</f>
        <v/>
      </c>
      <c r="TG4" s="88" t="str">
        <f>Agosto26!$B$30</f>
        <v/>
      </c>
      <c r="TH4" s="88" t="str">
        <f>Agosto26!$B$31</f>
        <v/>
      </c>
      <c r="TI4" s="90" t="str">
        <f>Agosto26!$B$32</f>
        <v/>
      </c>
      <c r="TJ4" s="78"/>
      <c r="TK4" s="79">
        <f>SUM(SE4:TI4)</f>
        <v>0</v>
      </c>
      <c r="TL4" s="80"/>
      <c r="TM4" s="78"/>
      <c r="TN4" s="81"/>
      <c r="TO4" s="81"/>
      <c r="TP4" s="81"/>
      <c r="TQ4" s="81"/>
      <c r="TR4" s="81"/>
      <c r="TS4" s="81"/>
      <c r="TT4" s="80"/>
    </row>
    <row r="5" ht="24.75" customHeight="1">
      <c r="A5" s="91" t="s">
        <v>39</v>
      </c>
      <c r="B5" s="65"/>
      <c r="C5" s="66"/>
      <c r="D5" s="92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4"/>
      <c r="Z5" s="85"/>
      <c r="AA5" s="85"/>
      <c r="AB5" s="85"/>
      <c r="AC5" s="85"/>
      <c r="AD5" s="85"/>
      <c r="AE5" s="85"/>
      <c r="AF5" s="85"/>
      <c r="AG5" s="85"/>
      <c r="AH5" s="93"/>
      <c r="AI5" s="78"/>
      <c r="AJ5" s="81"/>
      <c r="AK5" s="94">
        <f>SUM(D5:AG5)</f>
        <v>0</v>
      </c>
      <c r="AL5" s="78"/>
      <c r="AM5" s="81"/>
      <c r="AN5" s="81"/>
      <c r="AO5" s="81"/>
      <c r="AP5" s="81"/>
      <c r="AQ5" s="81"/>
      <c r="AR5" s="81"/>
      <c r="AS5" s="82"/>
      <c r="AT5" s="91" t="s">
        <v>39</v>
      </c>
      <c r="AU5" s="65"/>
      <c r="AV5" s="66"/>
      <c r="AW5" s="92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4"/>
      <c r="BS5" s="85"/>
      <c r="BT5" s="85"/>
      <c r="BU5" s="85"/>
      <c r="BV5" s="85"/>
      <c r="BW5" s="85"/>
      <c r="BX5" s="85"/>
      <c r="BY5" s="85"/>
      <c r="BZ5" s="85"/>
      <c r="CA5" s="95"/>
      <c r="CB5" s="78"/>
      <c r="CC5" s="81"/>
      <c r="CD5" s="94">
        <f>SUM(AW5:BZ5)</f>
        <v>0</v>
      </c>
      <c r="CE5" s="78"/>
      <c r="CF5" s="81"/>
      <c r="CG5" s="81"/>
      <c r="CH5" s="81"/>
      <c r="CI5" s="81"/>
      <c r="CJ5" s="81"/>
      <c r="CK5" s="81"/>
      <c r="CL5" s="82"/>
      <c r="CM5" s="91" t="s">
        <v>39</v>
      </c>
      <c r="CN5" s="65"/>
      <c r="CO5" s="66"/>
      <c r="CP5" s="92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4"/>
      <c r="DL5" s="85"/>
      <c r="DM5" s="85"/>
      <c r="DN5" s="85"/>
      <c r="DO5" s="85"/>
      <c r="DP5" s="85"/>
      <c r="DQ5" s="85"/>
      <c r="DR5" s="85"/>
      <c r="DS5" s="85"/>
      <c r="DT5" s="95"/>
      <c r="DU5" s="78"/>
      <c r="DV5" s="81"/>
      <c r="DW5" s="94">
        <f>SUM(CP5:DS5)</f>
        <v>0</v>
      </c>
      <c r="DX5" s="78"/>
      <c r="DY5" s="81"/>
      <c r="DZ5" s="81"/>
      <c r="EA5" s="81"/>
      <c r="EB5" s="81"/>
      <c r="EC5" s="81"/>
      <c r="ED5" s="81"/>
      <c r="EE5" s="80"/>
      <c r="EF5" s="91" t="s">
        <v>39</v>
      </c>
      <c r="EG5" s="65"/>
      <c r="EH5" s="66"/>
      <c r="EI5" s="92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4"/>
      <c r="FE5" s="85"/>
      <c r="FF5" s="85"/>
      <c r="FG5" s="85"/>
      <c r="FH5" s="85"/>
      <c r="FI5" s="85"/>
      <c r="FJ5" s="85"/>
      <c r="FK5" s="85"/>
      <c r="FL5" s="85"/>
      <c r="FM5" s="95"/>
      <c r="FN5" s="78"/>
      <c r="FO5" s="81"/>
      <c r="FP5" s="94">
        <f>SUM(EI5:FL5)</f>
        <v>0</v>
      </c>
      <c r="FQ5" s="78"/>
      <c r="FR5" s="81"/>
      <c r="FS5" s="81"/>
      <c r="FT5" s="81"/>
      <c r="FU5" s="81"/>
      <c r="FV5" s="81"/>
      <c r="FW5" s="81"/>
      <c r="FX5" s="80"/>
      <c r="FY5" s="91" t="s">
        <v>39</v>
      </c>
      <c r="FZ5" s="65"/>
      <c r="GA5" s="66"/>
      <c r="GB5" s="92"/>
      <c r="GC5" s="85"/>
      <c r="GD5" s="85"/>
      <c r="GE5" s="85"/>
      <c r="GF5" s="85"/>
      <c r="GG5" s="85"/>
      <c r="GH5" s="85"/>
      <c r="GI5" s="85"/>
      <c r="GJ5" s="85"/>
      <c r="GK5" s="85"/>
      <c r="GL5" s="85"/>
      <c r="GM5" s="85"/>
      <c r="GN5" s="85"/>
      <c r="GO5" s="85"/>
      <c r="GP5" s="85"/>
      <c r="GQ5" s="85"/>
      <c r="GR5" s="85"/>
      <c r="GS5" s="85"/>
      <c r="GT5" s="85"/>
      <c r="GU5" s="85"/>
      <c r="GV5" s="85"/>
      <c r="GW5" s="84"/>
      <c r="GX5" s="85"/>
      <c r="GY5" s="85"/>
      <c r="GZ5" s="85"/>
      <c r="HA5" s="85"/>
      <c r="HB5" s="85"/>
      <c r="HC5" s="85"/>
      <c r="HD5" s="85"/>
      <c r="HE5" s="85"/>
      <c r="HF5" s="95"/>
      <c r="HG5" s="78"/>
      <c r="HH5" s="81"/>
      <c r="HI5" s="94">
        <f>SUM(GB5:HE5)</f>
        <v>0</v>
      </c>
      <c r="HJ5" s="78"/>
      <c r="HK5" s="81"/>
      <c r="HL5" s="81"/>
      <c r="HM5" s="81"/>
      <c r="HN5" s="81"/>
      <c r="HO5" s="81"/>
      <c r="HP5" s="81"/>
      <c r="HQ5" s="80"/>
      <c r="HR5" s="91" t="s">
        <v>39</v>
      </c>
      <c r="HS5" s="65"/>
      <c r="HT5" s="66"/>
      <c r="HU5" s="92"/>
      <c r="HV5" s="85"/>
      <c r="HW5" s="85"/>
      <c r="HX5" s="85"/>
      <c r="HY5" s="85"/>
      <c r="HZ5" s="85"/>
      <c r="IA5" s="85"/>
      <c r="IB5" s="85"/>
      <c r="IC5" s="85"/>
      <c r="ID5" s="85"/>
      <c r="IE5" s="85"/>
      <c r="IF5" s="85"/>
      <c r="IG5" s="85"/>
      <c r="IH5" s="85"/>
      <c r="II5" s="85"/>
      <c r="IJ5" s="85"/>
      <c r="IK5" s="85"/>
      <c r="IL5" s="85"/>
      <c r="IM5" s="85"/>
      <c r="IN5" s="85"/>
      <c r="IO5" s="85"/>
      <c r="IP5" s="84"/>
      <c r="IQ5" s="85"/>
      <c r="IR5" s="85"/>
      <c r="IS5" s="85"/>
      <c r="IT5" s="85"/>
      <c r="IU5" s="85"/>
      <c r="IV5" s="85"/>
      <c r="IW5" s="85"/>
      <c r="IX5" s="85"/>
      <c r="IY5" s="95"/>
      <c r="IZ5" s="78"/>
      <c r="JA5" s="81"/>
      <c r="JB5" s="94">
        <f>SUM(HU5:IX5)</f>
        <v>0</v>
      </c>
      <c r="JC5" s="78"/>
      <c r="JD5" s="81"/>
      <c r="JE5" s="81"/>
      <c r="JF5" s="81"/>
      <c r="JG5" s="81"/>
      <c r="JH5" s="81"/>
      <c r="JI5" s="81"/>
      <c r="JJ5" s="80"/>
      <c r="JK5" s="91" t="s">
        <v>39</v>
      </c>
      <c r="JL5" s="65"/>
      <c r="JM5" s="66"/>
      <c r="JN5" s="92"/>
      <c r="JO5" s="85"/>
      <c r="JP5" s="85"/>
      <c r="JQ5" s="85"/>
      <c r="JR5" s="85"/>
      <c r="JS5" s="85"/>
      <c r="JT5" s="85"/>
      <c r="JU5" s="85"/>
      <c r="JV5" s="85"/>
      <c r="JW5" s="85"/>
      <c r="JX5" s="85"/>
      <c r="JY5" s="85"/>
      <c r="JZ5" s="85"/>
      <c r="KA5" s="85"/>
      <c r="KB5" s="85"/>
      <c r="KC5" s="85"/>
      <c r="KD5" s="85"/>
      <c r="KE5" s="85"/>
      <c r="KF5" s="85"/>
      <c r="KG5" s="85"/>
      <c r="KH5" s="85"/>
      <c r="KI5" s="84"/>
      <c r="KJ5" s="85"/>
      <c r="KK5" s="85"/>
      <c r="KL5" s="85"/>
      <c r="KM5" s="85"/>
      <c r="KN5" s="85"/>
      <c r="KO5" s="85"/>
      <c r="KP5" s="85"/>
      <c r="KQ5" s="85"/>
      <c r="KR5" s="95"/>
      <c r="KS5" s="78"/>
      <c r="KT5" s="81"/>
      <c r="KU5" s="94">
        <f>SUM(JN5:KQ5)</f>
        <v>0</v>
      </c>
      <c r="KV5" s="78"/>
      <c r="KW5" s="81"/>
      <c r="KX5" s="81"/>
      <c r="KY5" s="81"/>
      <c r="KZ5" s="81"/>
      <c r="LA5" s="81"/>
      <c r="LB5" s="81"/>
      <c r="LC5" s="80"/>
      <c r="LD5" s="91" t="s">
        <v>39</v>
      </c>
      <c r="LE5" s="65"/>
      <c r="LF5" s="66"/>
      <c r="LG5" s="92"/>
      <c r="LH5" s="85"/>
      <c r="LI5" s="85"/>
      <c r="LJ5" s="85"/>
      <c r="LK5" s="85"/>
      <c r="LL5" s="85"/>
      <c r="LM5" s="85"/>
      <c r="LN5" s="85"/>
      <c r="LO5" s="85"/>
      <c r="LP5" s="85"/>
      <c r="LQ5" s="85"/>
      <c r="LR5" s="85"/>
      <c r="LS5" s="85"/>
      <c r="LT5" s="85"/>
      <c r="LU5" s="85"/>
      <c r="LV5" s="85"/>
      <c r="LW5" s="85"/>
      <c r="LX5" s="85"/>
      <c r="LY5" s="85"/>
      <c r="LZ5" s="85"/>
      <c r="MA5" s="85"/>
      <c r="MB5" s="84"/>
      <c r="MC5" s="85"/>
      <c r="MD5" s="85"/>
      <c r="ME5" s="85"/>
      <c r="MF5" s="85"/>
      <c r="MG5" s="85"/>
      <c r="MH5" s="85"/>
      <c r="MI5" s="85"/>
      <c r="MJ5" s="85"/>
      <c r="MK5" s="95"/>
      <c r="ML5" s="78"/>
      <c r="MM5" s="81"/>
      <c r="MN5" s="94">
        <f>SUM(LG5:MJ5)</f>
        <v>0</v>
      </c>
      <c r="MO5" s="78"/>
      <c r="MP5" s="81"/>
      <c r="MQ5" s="81"/>
      <c r="MR5" s="81"/>
      <c r="MS5" s="81"/>
      <c r="MT5" s="81"/>
      <c r="MU5" s="81"/>
      <c r="MV5" s="82"/>
      <c r="MW5" s="91" t="s">
        <v>39</v>
      </c>
      <c r="MX5" s="65"/>
      <c r="MY5" s="66"/>
      <c r="MZ5" s="92"/>
      <c r="NA5" s="85"/>
      <c r="NB5" s="85"/>
      <c r="NC5" s="85"/>
      <c r="ND5" s="85"/>
      <c r="NE5" s="85"/>
      <c r="NF5" s="85"/>
      <c r="NG5" s="85"/>
      <c r="NH5" s="85"/>
      <c r="NI5" s="85"/>
      <c r="NJ5" s="85"/>
      <c r="NK5" s="85"/>
      <c r="NL5" s="85"/>
      <c r="NM5" s="85"/>
      <c r="NN5" s="85"/>
      <c r="NO5" s="85"/>
      <c r="NP5" s="85"/>
      <c r="NQ5" s="85"/>
      <c r="NR5" s="85"/>
      <c r="NS5" s="85"/>
      <c r="NT5" s="85"/>
      <c r="NU5" s="84"/>
      <c r="NV5" s="85"/>
      <c r="NW5" s="85"/>
      <c r="NX5" s="85"/>
      <c r="NY5" s="85"/>
      <c r="NZ5" s="85"/>
      <c r="OA5" s="85"/>
      <c r="OB5" s="85"/>
      <c r="OC5" s="85"/>
      <c r="OD5" s="95"/>
      <c r="OE5" s="78"/>
      <c r="OF5" s="81"/>
      <c r="OG5" s="94">
        <f>SUM(MZ5:OC5)</f>
        <v>0</v>
      </c>
      <c r="OH5" s="78"/>
      <c r="OI5" s="81"/>
      <c r="OJ5" s="81"/>
      <c r="OK5" s="81"/>
      <c r="OL5" s="81"/>
      <c r="OM5" s="81"/>
      <c r="ON5" s="81"/>
      <c r="OO5" s="82"/>
      <c r="OP5" s="91" t="s">
        <v>39</v>
      </c>
      <c r="OQ5" s="65"/>
      <c r="OR5" s="66"/>
      <c r="OS5" s="92"/>
      <c r="OT5" s="85"/>
      <c r="OU5" s="85"/>
      <c r="OV5" s="85"/>
      <c r="OW5" s="85"/>
      <c r="OX5" s="85"/>
      <c r="OY5" s="85"/>
      <c r="OZ5" s="85"/>
      <c r="PA5" s="85"/>
      <c r="PB5" s="85"/>
      <c r="PC5" s="85"/>
      <c r="PD5" s="85"/>
      <c r="PE5" s="85"/>
      <c r="PF5" s="85"/>
      <c r="PG5" s="85"/>
      <c r="PH5" s="85"/>
      <c r="PI5" s="85"/>
      <c r="PJ5" s="85"/>
      <c r="PK5" s="85"/>
      <c r="PL5" s="85"/>
      <c r="PM5" s="85"/>
      <c r="PN5" s="84"/>
      <c r="PO5" s="85"/>
      <c r="PP5" s="85"/>
      <c r="PQ5" s="85"/>
      <c r="PR5" s="85"/>
      <c r="PS5" s="85"/>
      <c r="PT5" s="85"/>
      <c r="PU5" s="85"/>
      <c r="PV5" s="85"/>
      <c r="PW5" s="95"/>
      <c r="PX5" s="78"/>
      <c r="PY5" s="81"/>
      <c r="PZ5" s="94">
        <f>SUM(OS5:PV5)</f>
        <v>0</v>
      </c>
      <c r="QA5" s="78"/>
      <c r="QB5" s="81"/>
      <c r="QC5" s="81"/>
      <c r="QD5" s="81"/>
      <c r="QE5" s="81"/>
      <c r="QF5" s="81"/>
      <c r="QG5" s="81"/>
      <c r="QH5" s="82"/>
      <c r="QI5" s="91" t="s">
        <v>39</v>
      </c>
      <c r="QJ5" s="65"/>
      <c r="QK5" s="66"/>
      <c r="QL5" s="92"/>
      <c r="QM5" s="85"/>
      <c r="QN5" s="85"/>
      <c r="QO5" s="85"/>
      <c r="QP5" s="85"/>
      <c r="QQ5" s="85"/>
      <c r="QR5" s="85"/>
      <c r="QS5" s="85"/>
      <c r="QT5" s="85"/>
      <c r="QU5" s="85"/>
      <c r="QV5" s="85"/>
      <c r="QW5" s="85"/>
      <c r="QX5" s="85"/>
      <c r="QY5" s="85"/>
      <c r="QZ5" s="85"/>
      <c r="RA5" s="85"/>
      <c r="RB5" s="85"/>
      <c r="RC5" s="85"/>
      <c r="RD5" s="85"/>
      <c r="RE5" s="85"/>
      <c r="RF5" s="85"/>
      <c r="RG5" s="84"/>
      <c r="RH5" s="85"/>
      <c r="RI5" s="85"/>
      <c r="RJ5" s="85"/>
      <c r="RK5" s="85"/>
      <c r="RL5" s="85"/>
      <c r="RM5" s="85"/>
      <c r="RN5" s="85"/>
      <c r="RO5" s="85"/>
      <c r="RP5" s="95"/>
      <c r="RQ5" s="78"/>
      <c r="RR5" s="81"/>
      <c r="RS5" s="94">
        <f>SUM(QL5:RO5)</f>
        <v>0</v>
      </c>
      <c r="RT5" s="78"/>
      <c r="RU5" s="81"/>
      <c r="RV5" s="81"/>
      <c r="RW5" s="81"/>
      <c r="RX5" s="81"/>
      <c r="RY5" s="81"/>
      <c r="RZ5" s="81"/>
      <c r="SA5" s="82"/>
      <c r="SB5" s="91" t="s">
        <v>39</v>
      </c>
      <c r="SC5" s="65"/>
      <c r="SD5" s="66"/>
      <c r="SE5" s="92"/>
      <c r="SF5" s="85"/>
      <c r="SG5" s="85"/>
      <c r="SH5" s="85"/>
      <c r="SI5" s="85"/>
      <c r="SJ5" s="85"/>
      <c r="SK5" s="85"/>
      <c r="SL5" s="85"/>
      <c r="SM5" s="85"/>
      <c r="SN5" s="85"/>
      <c r="SO5" s="85"/>
      <c r="SP5" s="85"/>
      <c r="SQ5" s="85"/>
      <c r="SR5" s="85"/>
      <c r="SS5" s="85"/>
      <c r="ST5" s="85"/>
      <c r="SU5" s="85"/>
      <c r="SV5" s="85"/>
      <c r="SW5" s="85"/>
      <c r="SX5" s="85"/>
      <c r="SY5" s="85"/>
      <c r="SZ5" s="84"/>
      <c r="TA5" s="85"/>
      <c r="TB5" s="85"/>
      <c r="TC5" s="85"/>
      <c r="TD5" s="85"/>
      <c r="TE5" s="85"/>
      <c r="TF5" s="85"/>
      <c r="TG5" s="85"/>
      <c r="TH5" s="85"/>
      <c r="TI5" s="95"/>
      <c r="TJ5" s="78"/>
      <c r="TK5" s="81"/>
      <c r="TL5" s="94">
        <f>SUM(SE5:TH5)</f>
        <v>0</v>
      </c>
      <c r="TM5" s="78"/>
      <c r="TN5" s="81"/>
      <c r="TO5" s="81"/>
      <c r="TP5" s="81"/>
      <c r="TQ5" s="81"/>
      <c r="TR5" s="81"/>
      <c r="TS5" s="81"/>
      <c r="TT5" s="80"/>
    </row>
    <row r="6" ht="24.75" customHeight="1">
      <c r="A6" s="96"/>
      <c r="B6" s="97"/>
      <c r="C6" s="98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99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93"/>
      <c r="AI6" s="78"/>
      <c r="AJ6" s="81"/>
      <c r="AK6" s="80"/>
      <c r="AL6" s="78"/>
      <c r="AM6" s="81"/>
      <c r="AN6" s="81"/>
      <c r="AO6" s="81"/>
      <c r="AP6" s="81"/>
      <c r="AQ6" s="81"/>
      <c r="AR6" s="81"/>
      <c r="AS6" s="82"/>
      <c r="AT6" s="96"/>
      <c r="AU6" s="97"/>
      <c r="AV6" s="98"/>
      <c r="AW6" s="92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95"/>
      <c r="CB6" s="78"/>
      <c r="CC6" s="81"/>
      <c r="CD6" s="80"/>
      <c r="CE6" s="78"/>
      <c r="CF6" s="81"/>
      <c r="CG6" s="81"/>
      <c r="CH6" s="81"/>
      <c r="CI6" s="81"/>
      <c r="CJ6" s="81"/>
      <c r="CK6" s="81"/>
      <c r="CL6" s="82"/>
      <c r="CM6" s="96"/>
      <c r="CN6" s="97"/>
      <c r="CO6" s="98"/>
      <c r="CP6" s="92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99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95"/>
      <c r="DU6" s="78"/>
      <c r="DV6" s="81"/>
      <c r="DW6" s="80"/>
      <c r="DX6" s="78"/>
      <c r="DY6" s="81"/>
      <c r="DZ6" s="81"/>
      <c r="EA6" s="81"/>
      <c r="EB6" s="81"/>
      <c r="EC6" s="81"/>
      <c r="ED6" s="81"/>
      <c r="EE6" s="80"/>
      <c r="EF6" s="96"/>
      <c r="EG6" s="97"/>
      <c r="EH6" s="98"/>
      <c r="EI6" s="92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99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95"/>
      <c r="FN6" s="78"/>
      <c r="FO6" s="81"/>
      <c r="FP6" s="80"/>
      <c r="FQ6" s="78"/>
      <c r="FR6" s="81"/>
      <c r="FS6" s="81"/>
      <c r="FT6" s="81"/>
      <c r="FU6" s="81"/>
      <c r="FV6" s="81"/>
      <c r="FW6" s="81"/>
      <c r="FX6" s="80"/>
      <c r="FY6" s="96"/>
      <c r="FZ6" s="97"/>
      <c r="GA6" s="98"/>
      <c r="GB6" s="92"/>
      <c r="GC6" s="85"/>
      <c r="GD6" s="85"/>
      <c r="GE6" s="85"/>
      <c r="GF6" s="85"/>
      <c r="GG6" s="85"/>
      <c r="GH6" s="85"/>
      <c r="GI6" s="85"/>
      <c r="GJ6" s="85"/>
      <c r="GK6" s="85"/>
      <c r="GL6" s="85"/>
      <c r="GM6" s="85"/>
      <c r="GN6" s="85"/>
      <c r="GO6" s="99"/>
      <c r="GP6" s="85"/>
      <c r="GQ6" s="85"/>
      <c r="GR6" s="85"/>
      <c r="GS6" s="85"/>
      <c r="GT6" s="85"/>
      <c r="GU6" s="85"/>
      <c r="GV6" s="85"/>
      <c r="GW6" s="85"/>
      <c r="GX6" s="85"/>
      <c r="GY6" s="85"/>
      <c r="GZ6" s="85"/>
      <c r="HA6" s="85"/>
      <c r="HB6" s="85"/>
      <c r="HC6" s="85"/>
      <c r="HD6" s="85"/>
      <c r="HE6" s="85"/>
      <c r="HF6" s="95"/>
      <c r="HG6" s="78"/>
      <c r="HH6" s="81"/>
      <c r="HI6" s="80"/>
      <c r="HJ6" s="78"/>
      <c r="HK6" s="81"/>
      <c r="HL6" s="81"/>
      <c r="HM6" s="81"/>
      <c r="HN6" s="81"/>
      <c r="HO6" s="81"/>
      <c r="HP6" s="81"/>
      <c r="HQ6" s="80"/>
      <c r="HR6" s="96"/>
      <c r="HS6" s="97"/>
      <c r="HT6" s="98"/>
      <c r="HU6" s="92"/>
      <c r="HV6" s="85"/>
      <c r="HW6" s="85"/>
      <c r="HX6" s="85"/>
      <c r="HY6" s="85"/>
      <c r="HZ6" s="85"/>
      <c r="IA6" s="85"/>
      <c r="IB6" s="85"/>
      <c r="IC6" s="85"/>
      <c r="ID6" s="85"/>
      <c r="IE6" s="85"/>
      <c r="IF6" s="85"/>
      <c r="IG6" s="85"/>
      <c r="IH6" s="99"/>
      <c r="II6" s="85"/>
      <c r="IJ6" s="85"/>
      <c r="IK6" s="85"/>
      <c r="IL6" s="85"/>
      <c r="IM6" s="85"/>
      <c r="IN6" s="85"/>
      <c r="IO6" s="85"/>
      <c r="IP6" s="85"/>
      <c r="IQ6" s="85"/>
      <c r="IR6" s="85"/>
      <c r="IS6" s="85"/>
      <c r="IT6" s="85"/>
      <c r="IU6" s="85"/>
      <c r="IV6" s="85"/>
      <c r="IW6" s="85"/>
      <c r="IX6" s="85"/>
      <c r="IY6" s="95"/>
      <c r="IZ6" s="78"/>
      <c r="JA6" s="81"/>
      <c r="JB6" s="80"/>
      <c r="JC6" s="78"/>
      <c r="JD6" s="81"/>
      <c r="JE6" s="81"/>
      <c r="JF6" s="81"/>
      <c r="JG6" s="81"/>
      <c r="JH6" s="81"/>
      <c r="JI6" s="81"/>
      <c r="JJ6" s="80"/>
      <c r="JK6" s="96"/>
      <c r="JL6" s="97"/>
      <c r="JM6" s="98"/>
      <c r="JN6" s="92"/>
      <c r="JO6" s="85"/>
      <c r="JP6" s="85"/>
      <c r="JQ6" s="85"/>
      <c r="JR6" s="85"/>
      <c r="JS6" s="85"/>
      <c r="JT6" s="85"/>
      <c r="JU6" s="85"/>
      <c r="JV6" s="85"/>
      <c r="JW6" s="85"/>
      <c r="JX6" s="85"/>
      <c r="JY6" s="85"/>
      <c r="JZ6" s="85"/>
      <c r="KA6" s="99"/>
      <c r="KB6" s="85"/>
      <c r="KC6" s="85"/>
      <c r="KD6" s="85"/>
      <c r="KE6" s="85"/>
      <c r="KF6" s="85"/>
      <c r="KG6" s="85"/>
      <c r="KH6" s="85"/>
      <c r="KI6" s="85"/>
      <c r="KJ6" s="85"/>
      <c r="KK6" s="85"/>
      <c r="KL6" s="85"/>
      <c r="KM6" s="85"/>
      <c r="KN6" s="85"/>
      <c r="KO6" s="85"/>
      <c r="KP6" s="85"/>
      <c r="KQ6" s="85"/>
      <c r="KR6" s="95"/>
      <c r="KS6" s="78"/>
      <c r="KT6" s="81"/>
      <c r="KU6" s="80"/>
      <c r="KV6" s="78"/>
      <c r="KW6" s="81"/>
      <c r="KX6" s="81"/>
      <c r="KY6" s="81"/>
      <c r="KZ6" s="81"/>
      <c r="LA6" s="81"/>
      <c r="LB6" s="81"/>
      <c r="LC6" s="80"/>
      <c r="LD6" s="96"/>
      <c r="LE6" s="97"/>
      <c r="LF6" s="98"/>
      <c r="LG6" s="92"/>
      <c r="LH6" s="85"/>
      <c r="LI6" s="85"/>
      <c r="LJ6" s="85"/>
      <c r="LK6" s="85"/>
      <c r="LL6" s="85"/>
      <c r="LM6" s="85"/>
      <c r="LN6" s="85"/>
      <c r="LO6" s="85"/>
      <c r="LP6" s="85"/>
      <c r="LQ6" s="85"/>
      <c r="LR6" s="85"/>
      <c r="LS6" s="85"/>
      <c r="LT6" s="99"/>
      <c r="LU6" s="85"/>
      <c r="LV6" s="85"/>
      <c r="LW6" s="85"/>
      <c r="LX6" s="85"/>
      <c r="LY6" s="85"/>
      <c r="LZ6" s="85"/>
      <c r="MA6" s="85"/>
      <c r="MB6" s="85"/>
      <c r="MC6" s="85"/>
      <c r="MD6" s="85"/>
      <c r="ME6" s="85"/>
      <c r="MF6" s="85"/>
      <c r="MG6" s="85"/>
      <c r="MH6" s="85"/>
      <c r="MI6" s="85"/>
      <c r="MJ6" s="85"/>
      <c r="MK6" s="95"/>
      <c r="ML6" s="78"/>
      <c r="MM6" s="81"/>
      <c r="MN6" s="80"/>
      <c r="MO6" s="78"/>
      <c r="MP6" s="81"/>
      <c r="MQ6" s="81"/>
      <c r="MR6" s="81"/>
      <c r="MS6" s="81"/>
      <c r="MT6" s="81"/>
      <c r="MU6" s="81"/>
      <c r="MV6" s="80"/>
      <c r="MW6" s="96"/>
      <c r="MX6" s="97"/>
      <c r="MY6" s="98"/>
      <c r="MZ6" s="92"/>
      <c r="NA6" s="85"/>
      <c r="NB6" s="85"/>
      <c r="NC6" s="85"/>
      <c r="ND6" s="85"/>
      <c r="NE6" s="85"/>
      <c r="NF6" s="85"/>
      <c r="NG6" s="85"/>
      <c r="NH6" s="85"/>
      <c r="NI6" s="85"/>
      <c r="NJ6" s="85"/>
      <c r="NK6" s="85"/>
      <c r="NL6" s="85"/>
      <c r="NM6" s="99"/>
      <c r="NN6" s="85"/>
      <c r="NO6" s="85"/>
      <c r="NP6" s="85"/>
      <c r="NQ6" s="85"/>
      <c r="NR6" s="85"/>
      <c r="NS6" s="85"/>
      <c r="NT6" s="85"/>
      <c r="NU6" s="85"/>
      <c r="NV6" s="85"/>
      <c r="NW6" s="85"/>
      <c r="NX6" s="85"/>
      <c r="NY6" s="85"/>
      <c r="NZ6" s="85"/>
      <c r="OA6" s="85"/>
      <c r="OB6" s="85"/>
      <c r="OC6" s="85"/>
      <c r="OD6" s="95"/>
      <c r="OE6" s="78"/>
      <c r="OF6" s="81"/>
      <c r="OG6" s="80"/>
      <c r="OH6" s="78"/>
      <c r="OI6" s="81"/>
      <c r="OJ6" s="81"/>
      <c r="OK6" s="81"/>
      <c r="OL6" s="81"/>
      <c r="OM6" s="81"/>
      <c r="ON6" s="81"/>
      <c r="OO6" s="80"/>
      <c r="OP6" s="96"/>
      <c r="OQ6" s="97"/>
      <c r="OR6" s="98"/>
      <c r="OS6" s="92"/>
      <c r="OT6" s="85"/>
      <c r="OU6" s="85"/>
      <c r="OV6" s="85"/>
      <c r="OW6" s="85"/>
      <c r="OX6" s="85"/>
      <c r="OY6" s="85"/>
      <c r="OZ6" s="85"/>
      <c r="PA6" s="85"/>
      <c r="PB6" s="85"/>
      <c r="PC6" s="85"/>
      <c r="PD6" s="85"/>
      <c r="PE6" s="85"/>
      <c r="PF6" s="99"/>
      <c r="PG6" s="85"/>
      <c r="PH6" s="85"/>
      <c r="PI6" s="85"/>
      <c r="PJ6" s="85"/>
      <c r="PK6" s="85"/>
      <c r="PL6" s="85"/>
      <c r="PM6" s="85"/>
      <c r="PN6" s="85"/>
      <c r="PO6" s="85"/>
      <c r="PP6" s="85"/>
      <c r="PQ6" s="85"/>
      <c r="PR6" s="85"/>
      <c r="PS6" s="85"/>
      <c r="PT6" s="85"/>
      <c r="PU6" s="85"/>
      <c r="PV6" s="85"/>
      <c r="PW6" s="95"/>
      <c r="PX6" s="78"/>
      <c r="PY6" s="81"/>
      <c r="PZ6" s="80"/>
      <c r="QA6" s="78"/>
      <c r="QB6" s="81"/>
      <c r="QC6" s="81"/>
      <c r="QD6" s="81"/>
      <c r="QE6" s="81"/>
      <c r="QF6" s="81"/>
      <c r="QG6" s="81"/>
      <c r="QH6" s="80"/>
      <c r="QI6" s="96"/>
      <c r="QJ6" s="97"/>
      <c r="QK6" s="98"/>
      <c r="QL6" s="92"/>
      <c r="QM6" s="85"/>
      <c r="QN6" s="85"/>
      <c r="QO6" s="85"/>
      <c r="QP6" s="85"/>
      <c r="QQ6" s="85"/>
      <c r="QR6" s="85"/>
      <c r="QS6" s="85"/>
      <c r="QT6" s="85"/>
      <c r="QU6" s="85"/>
      <c r="QV6" s="85"/>
      <c r="QW6" s="85"/>
      <c r="QX6" s="85"/>
      <c r="QY6" s="99"/>
      <c r="QZ6" s="85"/>
      <c r="RA6" s="85"/>
      <c r="RB6" s="85"/>
      <c r="RC6" s="85"/>
      <c r="RD6" s="85"/>
      <c r="RE6" s="85"/>
      <c r="RF6" s="85"/>
      <c r="RG6" s="85"/>
      <c r="RH6" s="85"/>
      <c r="RI6" s="85"/>
      <c r="RJ6" s="85"/>
      <c r="RK6" s="85"/>
      <c r="RL6" s="85"/>
      <c r="RM6" s="85"/>
      <c r="RN6" s="85"/>
      <c r="RO6" s="85"/>
      <c r="RP6" s="95"/>
      <c r="RQ6" s="78"/>
      <c r="RR6" s="81"/>
      <c r="RS6" s="80"/>
      <c r="RT6" s="78"/>
      <c r="RU6" s="81"/>
      <c r="RV6" s="81"/>
      <c r="RW6" s="81"/>
      <c r="RX6" s="81"/>
      <c r="RY6" s="81"/>
      <c r="RZ6" s="81"/>
      <c r="SA6" s="80"/>
      <c r="SB6" s="96"/>
      <c r="SC6" s="97"/>
      <c r="SD6" s="98"/>
      <c r="SE6" s="92"/>
      <c r="SF6" s="85"/>
      <c r="SG6" s="85"/>
      <c r="SH6" s="85"/>
      <c r="SI6" s="85"/>
      <c r="SJ6" s="85"/>
      <c r="SK6" s="85"/>
      <c r="SL6" s="85"/>
      <c r="SM6" s="85"/>
      <c r="SN6" s="85"/>
      <c r="SO6" s="85"/>
      <c r="SP6" s="85"/>
      <c r="SQ6" s="85"/>
      <c r="SR6" s="99"/>
      <c r="SS6" s="85"/>
      <c r="ST6" s="85"/>
      <c r="SU6" s="85"/>
      <c r="SV6" s="85"/>
      <c r="SW6" s="85"/>
      <c r="SX6" s="85"/>
      <c r="SY6" s="85"/>
      <c r="SZ6" s="85"/>
      <c r="TA6" s="85"/>
      <c r="TB6" s="85"/>
      <c r="TC6" s="85"/>
      <c r="TD6" s="85"/>
      <c r="TE6" s="85"/>
      <c r="TF6" s="85"/>
      <c r="TG6" s="85"/>
      <c r="TH6" s="85"/>
      <c r="TI6" s="95"/>
      <c r="TJ6" s="78"/>
      <c r="TK6" s="81"/>
      <c r="TL6" s="80"/>
      <c r="TM6" s="78"/>
      <c r="TN6" s="81"/>
      <c r="TO6" s="81"/>
      <c r="TP6" s="81"/>
      <c r="TQ6" s="81"/>
      <c r="TR6" s="81"/>
      <c r="TS6" s="81"/>
      <c r="TT6" s="80"/>
    </row>
    <row r="7" ht="24.75" customHeight="1">
      <c r="A7" s="100" t="s">
        <v>27</v>
      </c>
      <c r="B7" s="101"/>
      <c r="C7" s="102"/>
      <c r="D7" s="103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4"/>
      <c r="AH7" s="105"/>
      <c r="AI7" s="103"/>
      <c r="AJ7" s="101"/>
      <c r="AK7" s="102"/>
      <c r="AL7" s="103"/>
      <c r="AM7" s="101"/>
      <c r="AN7" s="101"/>
      <c r="AO7" s="101"/>
      <c r="AP7" s="101"/>
      <c r="AQ7" s="101"/>
      <c r="AR7" s="101"/>
      <c r="AS7" s="102"/>
      <c r="AT7" s="100" t="s">
        <v>27</v>
      </c>
      <c r="AU7" s="101"/>
      <c r="AV7" s="102"/>
      <c r="AW7" s="103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4"/>
      <c r="CA7" s="106"/>
      <c r="CB7" s="103"/>
      <c r="CC7" s="101"/>
      <c r="CD7" s="102"/>
      <c r="CE7" s="103"/>
      <c r="CF7" s="101"/>
      <c r="CG7" s="101"/>
      <c r="CH7" s="101"/>
      <c r="CI7" s="101"/>
      <c r="CJ7" s="101"/>
      <c r="CK7" s="101"/>
      <c r="CL7" s="102"/>
      <c r="CM7" s="100" t="s">
        <v>27</v>
      </c>
      <c r="CN7" s="101"/>
      <c r="CO7" s="102"/>
      <c r="CP7" s="103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4"/>
      <c r="DT7" s="106"/>
      <c r="DU7" s="103"/>
      <c r="DV7" s="101"/>
      <c r="DW7" s="102"/>
      <c r="DX7" s="103"/>
      <c r="DY7" s="101"/>
      <c r="DZ7" s="101"/>
      <c r="EA7" s="101"/>
      <c r="EB7" s="101"/>
      <c r="EC7" s="101"/>
      <c r="ED7" s="101"/>
      <c r="EE7" s="102"/>
      <c r="EF7" s="100" t="s">
        <v>27</v>
      </c>
      <c r="EG7" s="101"/>
      <c r="EH7" s="102"/>
      <c r="EI7" s="103"/>
      <c r="EJ7" s="101"/>
      <c r="EK7" s="101"/>
      <c r="EL7" s="101"/>
      <c r="EM7" s="101"/>
      <c r="EN7" s="101"/>
      <c r="EO7" s="101"/>
      <c r="EP7" s="101"/>
      <c r="EQ7" s="101"/>
      <c r="ER7" s="101"/>
      <c r="ES7" s="101"/>
      <c r="ET7" s="101"/>
      <c r="EU7" s="101"/>
      <c r="EV7" s="101"/>
      <c r="EW7" s="101"/>
      <c r="EX7" s="101"/>
      <c r="EY7" s="101"/>
      <c r="EZ7" s="101"/>
      <c r="FA7" s="101"/>
      <c r="FB7" s="101"/>
      <c r="FC7" s="101"/>
      <c r="FD7" s="101"/>
      <c r="FE7" s="101"/>
      <c r="FF7" s="101"/>
      <c r="FG7" s="101"/>
      <c r="FH7" s="101"/>
      <c r="FI7" s="101"/>
      <c r="FJ7" s="101"/>
      <c r="FK7" s="101"/>
      <c r="FL7" s="104"/>
      <c r="FM7" s="106"/>
      <c r="FN7" s="103"/>
      <c r="FO7" s="101"/>
      <c r="FP7" s="102"/>
      <c r="FQ7" s="103"/>
      <c r="FR7" s="101"/>
      <c r="FS7" s="101"/>
      <c r="FT7" s="101"/>
      <c r="FU7" s="101"/>
      <c r="FV7" s="101"/>
      <c r="FW7" s="101"/>
      <c r="FX7" s="102"/>
      <c r="FY7" s="100" t="s">
        <v>27</v>
      </c>
      <c r="FZ7" s="101"/>
      <c r="GA7" s="102"/>
      <c r="GB7" s="107"/>
      <c r="GC7" s="101"/>
      <c r="GD7" s="101"/>
      <c r="GE7" s="101"/>
      <c r="GF7" s="101"/>
      <c r="GG7" s="101"/>
      <c r="GH7" s="101"/>
      <c r="GI7" s="101"/>
      <c r="GJ7" s="101"/>
      <c r="GK7" s="101"/>
      <c r="GL7" s="101"/>
      <c r="GM7" s="101"/>
      <c r="GN7" s="101"/>
      <c r="GO7" s="101"/>
      <c r="GP7" s="101"/>
      <c r="GQ7" s="101"/>
      <c r="GR7" s="101"/>
      <c r="GS7" s="101"/>
      <c r="GT7" s="101"/>
      <c r="GU7" s="101"/>
      <c r="GV7" s="101"/>
      <c r="GW7" s="101"/>
      <c r="GX7" s="101"/>
      <c r="GY7" s="101"/>
      <c r="GZ7" s="101"/>
      <c r="HA7" s="101"/>
      <c r="HB7" s="101"/>
      <c r="HC7" s="101"/>
      <c r="HD7" s="101"/>
      <c r="HE7" s="104"/>
      <c r="HF7" s="106"/>
      <c r="HG7" s="103"/>
      <c r="HH7" s="101"/>
      <c r="HI7" s="102"/>
      <c r="HJ7" s="103"/>
      <c r="HK7" s="101"/>
      <c r="HL7" s="101"/>
      <c r="HM7" s="101"/>
      <c r="HN7" s="101"/>
      <c r="HO7" s="101"/>
      <c r="HP7" s="101"/>
      <c r="HQ7" s="102"/>
      <c r="HR7" s="100" t="s">
        <v>27</v>
      </c>
      <c r="HS7" s="101"/>
      <c r="HT7" s="102"/>
      <c r="HU7" s="103"/>
      <c r="HV7" s="101"/>
      <c r="HW7" s="101"/>
      <c r="HX7" s="101"/>
      <c r="HY7" s="101"/>
      <c r="HZ7" s="101"/>
      <c r="IA7" s="101"/>
      <c r="IB7" s="101"/>
      <c r="IC7" s="101"/>
      <c r="ID7" s="101"/>
      <c r="IE7" s="101"/>
      <c r="IF7" s="101"/>
      <c r="IG7" s="101"/>
      <c r="IH7" s="101"/>
      <c r="II7" s="101"/>
      <c r="IJ7" s="101"/>
      <c r="IK7" s="101"/>
      <c r="IL7" s="101"/>
      <c r="IM7" s="101"/>
      <c r="IN7" s="101"/>
      <c r="IO7" s="101"/>
      <c r="IP7" s="101"/>
      <c r="IQ7" s="101"/>
      <c r="IR7" s="101"/>
      <c r="IS7" s="101"/>
      <c r="IT7" s="101"/>
      <c r="IU7" s="101"/>
      <c r="IV7" s="101"/>
      <c r="IW7" s="101"/>
      <c r="IX7" s="104"/>
      <c r="IY7" s="106"/>
      <c r="IZ7" s="103"/>
      <c r="JA7" s="101"/>
      <c r="JB7" s="102"/>
      <c r="JC7" s="103"/>
      <c r="JD7" s="101"/>
      <c r="JE7" s="101"/>
      <c r="JF7" s="101"/>
      <c r="JG7" s="101"/>
      <c r="JH7" s="101"/>
      <c r="JI7" s="101"/>
      <c r="JJ7" s="102"/>
      <c r="JK7" s="100" t="s">
        <v>27</v>
      </c>
      <c r="JL7" s="101"/>
      <c r="JM7" s="102"/>
      <c r="JN7" s="103"/>
      <c r="JO7" s="101"/>
      <c r="JP7" s="101"/>
      <c r="JQ7" s="101"/>
      <c r="JR7" s="101"/>
      <c r="JS7" s="101"/>
      <c r="JT7" s="101"/>
      <c r="JU7" s="101"/>
      <c r="JV7" s="101"/>
      <c r="JW7" s="101"/>
      <c r="JX7" s="101"/>
      <c r="JY7" s="101"/>
      <c r="JZ7" s="101"/>
      <c r="KA7" s="101"/>
      <c r="KB7" s="101"/>
      <c r="KC7" s="101"/>
      <c r="KD7" s="101"/>
      <c r="KE7" s="101"/>
      <c r="KF7" s="101"/>
      <c r="KG7" s="101"/>
      <c r="KH7" s="101"/>
      <c r="KI7" s="101"/>
      <c r="KJ7" s="101"/>
      <c r="KK7" s="101"/>
      <c r="KL7" s="101"/>
      <c r="KM7" s="101"/>
      <c r="KN7" s="101"/>
      <c r="KO7" s="101"/>
      <c r="KP7" s="101"/>
      <c r="KQ7" s="104"/>
      <c r="KR7" s="106"/>
      <c r="KS7" s="103"/>
      <c r="KT7" s="101"/>
      <c r="KU7" s="102"/>
      <c r="KV7" s="103"/>
      <c r="KW7" s="101"/>
      <c r="KX7" s="101"/>
      <c r="KY7" s="101"/>
      <c r="KZ7" s="101"/>
      <c r="LA7" s="101"/>
      <c r="LB7" s="101"/>
      <c r="LC7" s="102"/>
      <c r="LD7" s="100" t="s">
        <v>27</v>
      </c>
      <c r="LE7" s="101"/>
      <c r="LF7" s="102"/>
      <c r="LG7" s="103"/>
      <c r="LH7" s="101"/>
      <c r="LI7" s="101"/>
      <c r="LJ7" s="101"/>
      <c r="LK7" s="101"/>
      <c r="LL7" s="101"/>
      <c r="LM7" s="101"/>
      <c r="LN7" s="101"/>
      <c r="LO7" s="101"/>
      <c r="LP7" s="101"/>
      <c r="LQ7" s="101"/>
      <c r="LR7" s="101"/>
      <c r="LS7" s="101"/>
      <c r="LT7" s="101"/>
      <c r="LU7" s="101"/>
      <c r="LV7" s="101"/>
      <c r="LW7" s="101"/>
      <c r="LX7" s="101"/>
      <c r="LY7" s="101"/>
      <c r="LZ7" s="101"/>
      <c r="MA7" s="101"/>
      <c r="MB7" s="101"/>
      <c r="MC7" s="101"/>
      <c r="MD7" s="101"/>
      <c r="ME7" s="101"/>
      <c r="MF7" s="101"/>
      <c r="MG7" s="101"/>
      <c r="MH7" s="101"/>
      <c r="MI7" s="101"/>
      <c r="MJ7" s="104"/>
      <c r="MK7" s="106"/>
      <c r="ML7" s="103"/>
      <c r="MM7" s="101"/>
      <c r="MN7" s="102"/>
      <c r="MO7" s="103"/>
      <c r="MP7" s="101"/>
      <c r="MQ7" s="101"/>
      <c r="MR7" s="101"/>
      <c r="MS7" s="101"/>
      <c r="MT7" s="101"/>
      <c r="MU7" s="101"/>
      <c r="MV7" s="102"/>
      <c r="MW7" s="100" t="s">
        <v>27</v>
      </c>
      <c r="MX7" s="101"/>
      <c r="MY7" s="102"/>
      <c r="MZ7" s="103"/>
      <c r="NA7" s="101"/>
      <c r="NB7" s="101"/>
      <c r="NC7" s="101"/>
      <c r="ND7" s="101"/>
      <c r="NE7" s="101"/>
      <c r="NF7" s="101"/>
      <c r="NG7" s="101"/>
      <c r="NH7" s="101"/>
      <c r="NI7" s="101"/>
      <c r="NJ7" s="101"/>
      <c r="NK7" s="101"/>
      <c r="NL7" s="101"/>
      <c r="NM7" s="101"/>
      <c r="NN7" s="101"/>
      <c r="NO7" s="101"/>
      <c r="NP7" s="101"/>
      <c r="NQ7" s="101"/>
      <c r="NR7" s="101"/>
      <c r="NS7" s="101"/>
      <c r="NT7" s="101"/>
      <c r="NU7" s="101"/>
      <c r="NV7" s="101"/>
      <c r="NW7" s="101"/>
      <c r="NX7" s="101"/>
      <c r="NY7" s="101"/>
      <c r="NZ7" s="101"/>
      <c r="OA7" s="101"/>
      <c r="OB7" s="101"/>
      <c r="OC7" s="104"/>
      <c r="OD7" s="106"/>
      <c r="OE7" s="103"/>
      <c r="OF7" s="101"/>
      <c r="OG7" s="102"/>
      <c r="OH7" s="103"/>
      <c r="OI7" s="101"/>
      <c r="OJ7" s="101"/>
      <c r="OK7" s="101"/>
      <c r="OL7" s="101"/>
      <c r="OM7" s="101"/>
      <c r="ON7" s="101"/>
      <c r="OO7" s="102"/>
      <c r="OP7" s="100" t="s">
        <v>27</v>
      </c>
      <c r="OQ7" s="101"/>
      <c r="OR7" s="102"/>
      <c r="OS7" s="103"/>
      <c r="OT7" s="101"/>
      <c r="OU7" s="101"/>
      <c r="OV7" s="101"/>
      <c r="OW7" s="101"/>
      <c r="OX7" s="101"/>
      <c r="OY7" s="101"/>
      <c r="OZ7" s="101"/>
      <c r="PA7" s="101"/>
      <c r="PB7" s="101"/>
      <c r="PC7" s="101"/>
      <c r="PD7" s="101"/>
      <c r="PE7" s="101"/>
      <c r="PF7" s="101"/>
      <c r="PG7" s="101"/>
      <c r="PH7" s="101"/>
      <c r="PI7" s="101"/>
      <c r="PJ7" s="101"/>
      <c r="PK7" s="101"/>
      <c r="PL7" s="101"/>
      <c r="PM7" s="101"/>
      <c r="PN7" s="101"/>
      <c r="PO7" s="101"/>
      <c r="PP7" s="101"/>
      <c r="PQ7" s="101"/>
      <c r="PR7" s="101"/>
      <c r="PS7" s="101"/>
      <c r="PT7" s="101"/>
      <c r="PU7" s="101"/>
      <c r="PV7" s="104"/>
      <c r="PW7" s="106"/>
      <c r="PX7" s="103"/>
      <c r="PY7" s="101"/>
      <c r="PZ7" s="102"/>
      <c r="QA7" s="103"/>
      <c r="QB7" s="101"/>
      <c r="QC7" s="101"/>
      <c r="QD7" s="101"/>
      <c r="QE7" s="101"/>
      <c r="QF7" s="101"/>
      <c r="QG7" s="101"/>
      <c r="QH7" s="102"/>
      <c r="QI7" s="100" t="s">
        <v>27</v>
      </c>
      <c r="QJ7" s="101"/>
      <c r="QK7" s="102"/>
      <c r="QL7" s="103"/>
      <c r="QM7" s="101"/>
      <c r="QN7" s="101"/>
      <c r="QO7" s="101"/>
      <c r="QP7" s="101"/>
      <c r="QQ7" s="101"/>
      <c r="QR7" s="101"/>
      <c r="QS7" s="101"/>
      <c r="QT7" s="101"/>
      <c r="QU7" s="101"/>
      <c r="QV7" s="101"/>
      <c r="QW7" s="101"/>
      <c r="QX7" s="101"/>
      <c r="QY7" s="101"/>
      <c r="QZ7" s="101"/>
      <c r="RA7" s="101"/>
      <c r="RB7" s="101"/>
      <c r="RC7" s="101"/>
      <c r="RD7" s="101"/>
      <c r="RE7" s="101"/>
      <c r="RF7" s="101"/>
      <c r="RG7" s="101"/>
      <c r="RH7" s="101"/>
      <c r="RI7" s="101"/>
      <c r="RJ7" s="101"/>
      <c r="RK7" s="101"/>
      <c r="RL7" s="101"/>
      <c r="RM7" s="101"/>
      <c r="RN7" s="101"/>
      <c r="RO7" s="104"/>
      <c r="RP7" s="106"/>
      <c r="RQ7" s="103"/>
      <c r="RR7" s="101"/>
      <c r="RS7" s="102"/>
      <c r="RT7" s="103"/>
      <c r="RU7" s="101"/>
      <c r="RV7" s="101"/>
      <c r="RW7" s="101"/>
      <c r="RX7" s="101"/>
      <c r="RY7" s="101"/>
      <c r="RZ7" s="101"/>
      <c r="SA7" s="102"/>
      <c r="SB7" s="100" t="s">
        <v>27</v>
      </c>
      <c r="SC7" s="101"/>
      <c r="SD7" s="102"/>
      <c r="SE7" s="103"/>
      <c r="SF7" s="101"/>
      <c r="SG7" s="101"/>
      <c r="SH7" s="101"/>
      <c r="SI7" s="101"/>
      <c r="SJ7" s="101"/>
      <c r="SK7" s="101"/>
      <c r="SL7" s="101"/>
      <c r="SM7" s="101"/>
      <c r="SN7" s="101"/>
      <c r="SO7" s="101"/>
      <c r="SP7" s="101"/>
      <c r="SQ7" s="101"/>
      <c r="SR7" s="101"/>
      <c r="SS7" s="101"/>
      <c r="ST7" s="101"/>
      <c r="SU7" s="101"/>
      <c r="SV7" s="101"/>
      <c r="SW7" s="101"/>
      <c r="SX7" s="101"/>
      <c r="SY7" s="101"/>
      <c r="SZ7" s="101"/>
      <c r="TA7" s="101"/>
      <c r="TB7" s="101"/>
      <c r="TC7" s="101"/>
      <c r="TD7" s="101"/>
      <c r="TE7" s="101"/>
      <c r="TF7" s="101"/>
      <c r="TG7" s="101"/>
      <c r="TH7" s="104"/>
      <c r="TI7" s="106"/>
      <c r="TJ7" s="103"/>
      <c r="TK7" s="101"/>
      <c r="TL7" s="102"/>
      <c r="TM7" s="103"/>
      <c r="TN7" s="101"/>
      <c r="TO7" s="101"/>
      <c r="TP7" s="101"/>
      <c r="TQ7" s="101"/>
      <c r="TR7" s="101"/>
      <c r="TS7" s="101"/>
      <c r="TT7" s="102"/>
    </row>
    <row r="8" ht="24.75" customHeight="1">
      <c r="A8" s="108" t="str">
        <f>elenchi!$C2</f>
        <v>FUMAGALLI GIUDITTA</v>
      </c>
      <c r="B8" s="109"/>
      <c r="C8" s="110"/>
      <c r="D8" s="67">
        <f t="shared" ref="D8:AH8" si="13">D$2</f>
        <v>45901</v>
      </c>
      <c r="E8" s="67">
        <f t="shared" si="13"/>
        <v>45902</v>
      </c>
      <c r="F8" s="67">
        <f t="shared" si="13"/>
        <v>45903</v>
      </c>
      <c r="G8" s="67">
        <f t="shared" si="13"/>
        <v>45904</v>
      </c>
      <c r="H8" s="67">
        <f t="shared" si="13"/>
        <v>45905</v>
      </c>
      <c r="I8" s="67">
        <f t="shared" si="13"/>
        <v>45906</v>
      </c>
      <c r="J8" s="67">
        <f t="shared" si="13"/>
        <v>45907</v>
      </c>
      <c r="K8" s="67">
        <f t="shared" si="13"/>
        <v>45908</v>
      </c>
      <c r="L8" s="67">
        <f t="shared" si="13"/>
        <v>45909</v>
      </c>
      <c r="M8" s="67">
        <f t="shared" si="13"/>
        <v>45910</v>
      </c>
      <c r="N8" s="67">
        <f t="shared" si="13"/>
        <v>45911</v>
      </c>
      <c r="O8" s="67">
        <f t="shared" si="13"/>
        <v>45912</v>
      </c>
      <c r="P8" s="67">
        <f t="shared" si="13"/>
        <v>45913</v>
      </c>
      <c r="Q8" s="67">
        <f t="shared" si="13"/>
        <v>45914</v>
      </c>
      <c r="R8" s="67">
        <f t="shared" si="13"/>
        <v>45915</v>
      </c>
      <c r="S8" s="67">
        <f t="shared" si="13"/>
        <v>45916</v>
      </c>
      <c r="T8" s="67">
        <f t="shared" si="13"/>
        <v>45917</v>
      </c>
      <c r="U8" s="67">
        <f t="shared" si="13"/>
        <v>45918</v>
      </c>
      <c r="V8" s="67">
        <f t="shared" si="13"/>
        <v>45919</v>
      </c>
      <c r="W8" s="67">
        <f t="shared" si="13"/>
        <v>45920</v>
      </c>
      <c r="X8" s="67">
        <f t="shared" si="13"/>
        <v>45921</v>
      </c>
      <c r="Y8" s="67">
        <f t="shared" si="13"/>
        <v>45922</v>
      </c>
      <c r="Z8" s="67">
        <f t="shared" si="13"/>
        <v>45923</v>
      </c>
      <c r="AA8" s="67">
        <f t="shared" si="13"/>
        <v>45924</v>
      </c>
      <c r="AB8" s="67">
        <f t="shared" si="13"/>
        <v>45925</v>
      </c>
      <c r="AC8" s="67">
        <f t="shared" si="13"/>
        <v>45926</v>
      </c>
      <c r="AD8" s="67">
        <f t="shared" si="13"/>
        <v>45927</v>
      </c>
      <c r="AE8" s="67">
        <f t="shared" si="13"/>
        <v>45928</v>
      </c>
      <c r="AF8" s="67">
        <f t="shared" si="13"/>
        <v>45929</v>
      </c>
      <c r="AG8" s="67">
        <f t="shared" si="13"/>
        <v>45930</v>
      </c>
      <c r="AH8" s="111" t="str">
        <f t="shared" si="13"/>
        <v/>
      </c>
      <c r="AI8" s="112" t="s">
        <v>33</v>
      </c>
      <c r="AJ8" s="113" t="s">
        <v>28</v>
      </c>
      <c r="AK8" s="114" t="s">
        <v>34</v>
      </c>
      <c r="AL8" s="112" t="s">
        <v>13</v>
      </c>
      <c r="AM8" s="113" t="s">
        <v>1</v>
      </c>
      <c r="AN8" s="113" t="s">
        <v>35</v>
      </c>
      <c r="AO8" s="113" t="s">
        <v>36</v>
      </c>
      <c r="AP8" s="113" t="s">
        <v>37</v>
      </c>
      <c r="AQ8" s="113" t="s">
        <v>0</v>
      </c>
      <c r="AR8" s="113" t="s">
        <v>38</v>
      </c>
      <c r="AS8" s="115" t="s">
        <v>11</v>
      </c>
      <c r="AT8" s="108" t="str">
        <f>elenchi!$C2</f>
        <v>FUMAGALLI GIUDITTA</v>
      </c>
      <c r="AU8" s="109"/>
      <c r="AV8" s="110"/>
      <c r="AW8" s="67">
        <f t="shared" ref="AW8:CA8" si="14">AW$2</f>
        <v>45931</v>
      </c>
      <c r="AX8" s="67">
        <f t="shared" si="14"/>
        <v>45932</v>
      </c>
      <c r="AY8" s="67">
        <f t="shared" si="14"/>
        <v>45933</v>
      </c>
      <c r="AZ8" s="67">
        <f t="shared" si="14"/>
        <v>45934</v>
      </c>
      <c r="BA8" s="67">
        <f t="shared" si="14"/>
        <v>45935</v>
      </c>
      <c r="BB8" s="67">
        <f t="shared" si="14"/>
        <v>45936</v>
      </c>
      <c r="BC8" s="67">
        <f t="shared" si="14"/>
        <v>45937</v>
      </c>
      <c r="BD8" s="67">
        <f t="shared" si="14"/>
        <v>45938</v>
      </c>
      <c r="BE8" s="67">
        <f t="shared" si="14"/>
        <v>45939</v>
      </c>
      <c r="BF8" s="67">
        <f t="shared" si="14"/>
        <v>45940</v>
      </c>
      <c r="BG8" s="67">
        <f t="shared" si="14"/>
        <v>45941</v>
      </c>
      <c r="BH8" s="67">
        <f t="shared" si="14"/>
        <v>45942</v>
      </c>
      <c r="BI8" s="67">
        <f t="shared" si="14"/>
        <v>45943</v>
      </c>
      <c r="BJ8" s="67">
        <f t="shared" si="14"/>
        <v>45944</v>
      </c>
      <c r="BK8" s="67">
        <f t="shared" si="14"/>
        <v>45945</v>
      </c>
      <c r="BL8" s="67">
        <f t="shared" si="14"/>
        <v>45946</v>
      </c>
      <c r="BM8" s="67">
        <f t="shared" si="14"/>
        <v>45947</v>
      </c>
      <c r="BN8" s="67">
        <f t="shared" si="14"/>
        <v>45948</v>
      </c>
      <c r="BO8" s="67">
        <f t="shared" si="14"/>
        <v>45949</v>
      </c>
      <c r="BP8" s="67">
        <f t="shared" si="14"/>
        <v>45950</v>
      </c>
      <c r="BQ8" s="67">
        <f t="shared" si="14"/>
        <v>45951</v>
      </c>
      <c r="BR8" s="67">
        <f t="shared" si="14"/>
        <v>45952</v>
      </c>
      <c r="BS8" s="67">
        <f t="shared" si="14"/>
        <v>45953</v>
      </c>
      <c r="BT8" s="67">
        <f t="shared" si="14"/>
        <v>45954</v>
      </c>
      <c r="BU8" s="67">
        <f t="shared" si="14"/>
        <v>45955</v>
      </c>
      <c r="BV8" s="67">
        <f t="shared" si="14"/>
        <v>45956</v>
      </c>
      <c r="BW8" s="67">
        <f t="shared" si="14"/>
        <v>45957</v>
      </c>
      <c r="BX8" s="67">
        <f t="shared" si="14"/>
        <v>45958</v>
      </c>
      <c r="BY8" s="67">
        <f t="shared" si="14"/>
        <v>45959</v>
      </c>
      <c r="BZ8" s="67">
        <f t="shared" si="14"/>
        <v>45960</v>
      </c>
      <c r="CA8" s="67">
        <f t="shared" si="14"/>
        <v>45961</v>
      </c>
      <c r="CB8" s="112" t="s">
        <v>33</v>
      </c>
      <c r="CC8" s="113" t="s">
        <v>28</v>
      </c>
      <c r="CD8" s="114" t="s">
        <v>34</v>
      </c>
      <c r="CE8" s="112" t="s">
        <v>13</v>
      </c>
      <c r="CF8" s="113" t="s">
        <v>1</v>
      </c>
      <c r="CG8" s="113" t="s">
        <v>35</v>
      </c>
      <c r="CH8" s="113" t="s">
        <v>36</v>
      </c>
      <c r="CI8" s="113" t="s">
        <v>37</v>
      </c>
      <c r="CJ8" s="113" t="s">
        <v>0</v>
      </c>
      <c r="CK8" s="113" t="s">
        <v>38</v>
      </c>
      <c r="CL8" s="115" t="s">
        <v>11</v>
      </c>
      <c r="CM8" s="108" t="str">
        <f>elenchi!$C2</f>
        <v>FUMAGALLI GIUDITTA</v>
      </c>
      <c r="CN8" s="109"/>
      <c r="CO8" s="110"/>
      <c r="CP8" s="67">
        <f t="shared" ref="CP8:DT8" si="15">CP$2</f>
        <v>45962</v>
      </c>
      <c r="CQ8" s="67">
        <f t="shared" si="15"/>
        <v>45963</v>
      </c>
      <c r="CR8" s="67">
        <f t="shared" si="15"/>
        <v>45964</v>
      </c>
      <c r="CS8" s="67">
        <f t="shared" si="15"/>
        <v>45965</v>
      </c>
      <c r="CT8" s="67">
        <f t="shared" si="15"/>
        <v>45966</v>
      </c>
      <c r="CU8" s="67">
        <f t="shared" si="15"/>
        <v>45967</v>
      </c>
      <c r="CV8" s="67">
        <f t="shared" si="15"/>
        <v>45968</v>
      </c>
      <c r="CW8" s="67">
        <f t="shared" si="15"/>
        <v>45969</v>
      </c>
      <c r="CX8" s="67">
        <f t="shared" si="15"/>
        <v>45970</v>
      </c>
      <c r="CY8" s="67">
        <f t="shared" si="15"/>
        <v>45971</v>
      </c>
      <c r="CZ8" s="67">
        <f t="shared" si="15"/>
        <v>45972</v>
      </c>
      <c r="DA8" s="67">
        <f t="shared" si="15"/>
        <v>45973</v>
      </c>
      <c r="DB8" s="67">
        <f t="shared" si="15"/>
        <v>45974</v>
      </c>
      <c r="DC8" s="67">
        <f t="shared" si="15"/>
        <v>45975</v>
      </c>
      <c r="DD8" s="67">
        <f t="shared" si="15"/>
        <v>45976</v>
      </c>
      <c r="DE8" s="67">
        <f t="shared" si="15"/>
        <v>45977</v>
      </c>
      <c r="DF8" s="67">
        <f t="shared" si="15"/>
        <v>45978</v>
      </c>
      <c r="DG8" s="67">
        <f t="shared" si="15"/>
        <v>45979</v>
      </c>
      <c r="DH8" s="67">
        <f t="shared" si="15"/>
        <v>45980</v>
      </c>
      <c r="DI8" s="67">
        <f t="shared" si="15"/>
        <v>45981</v>
      </c>
      <c r="DJ8" s="67">
        <f t="shared" si="15"/>
        <v>45982</v>
      </c>
      <c r="DK8" s="67">
        <f t="shared" si="15"/>
        <v>45983</v>
      </c>
      <c r="DL8" s="67">
        <f t="shared" si="15"/>
        <v>45984</v>
      </c>
      <c r="DM8" s="67">
        <f t="shared" si="15"/>
        <v>45985</v>
      </c>
      <c r="DN8" s="67">
        <f t="shared" si="15"/>
        <v>45986</v>
      </c>
      <c r="DO8" s="67">
        <f t="shared" si="15"/>
        <v>45987</v>
      </c>
      <c r="DP8" s="67">
        <f t="shared" si="15"/>
        <v>45988</v>
      </c>
      <c r="DQ8" s="67">
        <f t="shared" si="15"/>
        <v>45989</v>
      </c>
      <c r="DR8" s="67">
        <f t="shared" si="15"/>
        <v>45990</v>
      </c>
      <c r="DS8" s="67">
        <f t="shared" si="15"/>
        <v>45991</v>
      </c>
      <c r="DT8" s="67" t="str">
        <f t="shared" si="15"/>
        <v/>
      </c>
      <c r="DU8" s="112" t="s">
        <v>33</v>
      </c>
      <c r="DV8" s="113" t="s">
        <v>28</v>
      </c>
      <c r="DW8" s="114" t="s">
        <v>34</v>
      </c>
      <c r="DX8" s="112" t="s">
        <v>13</v>
      </c>
      <c r="DY8" s="113" t="s">
        <v>1</v>
      </c>
      <c r="DZ8" s="113" t="s">
        <v>35</v>
      </c>
      <c r="EA8" s="113" t="s">
        <v>36</v>
      </c>
      <c r="EB8" s="113" t="s">
        <v>37</v>
      </c>
      <c r="EC8" s="113" t="s">
        <v>0</v>
      </c>
      <c r="ED8" s="113" t="s">
        <v>38</v>
      </c>
      <c r="EE8" s="114" t="s">
        <v>11</v>
      </c>
      <c r="EF8" s="108" t="str">
        <f>elenchi!$C2</f>
        <v>FUMAGALLI GIUDITTA</v>
      </c>
      <c r="EG8" s="109"/>
      <c r="EH8" s="110"/>
      <c r="EI8" s="67">
        <f t="shared" ref="EI8:FM8" si="16">EI$2</f>
        <v>45992</v>
      </c>
      <c r="EJ8" s="67">
        <f t="shared" si="16"/>
        <v>45993</v>
      </c>
      <c r="EK8" s="67">
        <f t="shared" si="16"/>
        <v>45994</v>
      </c>
      <c r="EL8" s="67">
        <f t="shared" si="16"/>
        <v>45995</v>
      </c>
      <c r="EM8" s="67">
        <f t="shared" si="16"/>
        <v>45996</v>
      </c>
      <c r="EN8" s="67">
        <f t="shared" si="16"/>
        <v>45997</v>
      </c>
      <c r="EO8" s="67">
        <f t="shared" si="16"/>
        <v>45998</v>
      </c>
      <c r="EP8" s="67">
        <f t="shared" si="16"/>
        <v>45999</v>
      </c>
      <c r="EQ8" s="67">
        <f t="shared" si="16"/>
        <v>46000</v>
      </c>
      <c r="ER8" s="67">
        <f t="shared" si="16"/>
        <v>46001</v>
      </c>
      <c r="ES8" s="67">
        <f t="shared" si="16"/>
        <v>46002</v>
      </c>
      <c r="ET8" s="67">
        <f t="shared" si="16"/>
        <v>46003</v>
      </c>
      <c r="EU8" s="67">
        <f t="shared" si="16"/>
        <v>46004</v>
      </c>
      <c r="EV8" s="67">
        <f t="shared" si="16"/>
        <v>46005</v>
      </c>
      <c r="EW8" s="67">
        <f t="shared" si="16"/>
        <v>46006</v>
      </c>
      <c r="EX8" s="67">
        <f t="shared" si="16"/>
        <v>46007</v>
      </c>
      <c r="EY8" s="67">
        <f t="shared" si="16"/>
        <v>46008</v>
      </c>
      <c r="EZ8" s="67">
        <f t="shared" si="16"/>
        <v>46009</v>
      </c>
      <c r="FA8" s="67">
        <f t="shared" si="16"/>
        <v>46010</v>
      </c>
      <c r="FB8" s="67">
        <f t="shared" si="16"/>
        <v>46011</v>
      </c>
      <c r="FC8" s="67">
        <f t="shared" si="16"/>
        <v>46012</v>
      </c>
      <c r="FD8" s="67">
        <f t="shared" si="16"/>
        <v>46013</v>
      </c>
      <c r="FE8" s="67">
        <f t="shared" si="16"/>
        <v>46014</v>
      </c>
      <c r="FF8" s="67">
        <f t="shared" si="16"/>
        <v>46015</v>
      </c>
      <c r="FG8" s="67">
        <f t="shared" si="16"/>
        <v>46016</v>
      </c>
      <c r="FH8" s="67">
        <f t="shared" si="16"/>
        <v>46017</v>
      </c>
      <c r="FI8" s="67">
        <f t="shared" si="16"/>
        <v>46018</v>
      </c>
      <c r="FJ8" s="67">
        <f t="shared" si="16"/>
        <v>46019</v>
      </c>
      <c r="FK8" s="67">
        <f t="shared" si="16"/>
        <v>46020</v>
      </c>
      <c r="FL8" s="67">
        <f t="shared" si="16"/>
        <v>46021</v>
      </c>
      <c r="FM8" s="67">
        <f t="shared" si="16"/>
        <v>46022</v>
      </c>
      <c r="FN8" s="112" t="s">
        <v>33</v>
      </c>
      <c r="FO8" s="113" t="s">
        <v>28</v>
      </c>
      <c r="FP8" s="114" t="s">
        <v>34</v>
      </c>
      <c r="FQ8" s="112" t="s">
        <v>13</v>
      </c>
      <c r="FR8" s="113" t="s">
        <v>1</v>
      </c>
      <c r="FS8" s="113" t="s">
        <v>35</v>
      </c>
      <c r="FT8" s="113" t="s">
        <v>36</v>
      </c>
      <c r="FU8" s="113" t="s">
        <v>37</v>
      </c>
      <c r="FV8" s="113" t="s">
        <v>0</v>
      </c>
      <c r="FW8" s="113" t="s">
        <v>38</v>
      </c>
      <c r="FX8" s="114" t="s">
        <v>11</v>
      </c>
      <c r="FY8" s="108" t="str">
        <f>elenchi!$C2</f>
        <v>FUMAGALLI GIUDITTA</v>
      </c>
      <c r="FZ8" s="109"/>
      <c r="GA8" s="110"/>
      <c r="GB8" s="67">
        <f t="shared" ref="GB8:HF8" si="17">GB$2</f>
        <v>46023</v>
      </c>
      <c r="GC8" s="67">
        <f t="shared" si="17"/>
        <v>46024</v>
      </c>
      <c r="GD8" s="67">
        <f t="shared" si="17"/>
        <v>46025</v>
      </c>
      <c r="GE8" s="67">
        <f t="shared" si="17"/>
        <v>46026</v>
      </c>
      <c r="GF8" s="67">
        <f t="shared" si="17"/>
        <v>46027</v>
      </c>
      <c r="GG8" s="67">
        <f t="shared" si="17"/>
        <v>46028</v>
      </c>
      <c r="GH8" s="67">
        <f t="shared" si="17"/>
        <v>46029</v>
      </c>
      <c r="GI8" s="67">
        <f t="shared" si="17"/>
        <v>46030</v>
      </c>
      <c r="GJ8" s="67">
        <f t="shared" si="17"/>
        <v>46031</v>
      </c>
      <c r="GK8" s="67">
        <f t="shared" si="17"/>
        <v>46032</v>
      </c>
      <c r="GL8" s="67">
        <f t="shared" si="17"/>
        <v>46033</v>
      </c>
      <c r="GM8" s="67">
        <f t="shared" si="17"/>
        <v>46034</v>
      </c>
      <c r="GN8" s="67">
        <f t="shared" si="17"/>
        <v>46035</v>
      </c>
      <c r="GO8" s="67">
        <f t="shared" si="17"/>
        <v>46036</v>
      </c>
      <c r="GP8" s="67">
        <f t="shared" si="17"/>
        <v>46037</v>
      </c>
      <c r="GQ8" s="67">
        <f t="shared" si="17"/>
        <v>46038</v>
      </c>
      <c r="GR8" s="67">
        <f t="shared" si="17"/>
        <v>46039</v>
      </c>
      <c r="GS8" s="67">
        <f t="shared" si="17"/>
        <v>46040</v>
      </c>
      <c r="GT8" s="67">
        <f t="shared" si="17"/>
        <v>46041</v>
      </c>
      <c r="GU8" s="67">
        <f t="shared" si="17"/>
        <v>46042</v>
      </c>
      <c r="GV8" s="67">
        <f t="shared" si="17"/>
        <v>46043</v>
      </c>
      <c r="GW8" s="67">
        <f t="shared" si="17"/>
        <v>46044</v>
      </c>
      <c r="GX8" s="67">
        <f t="shared" si="17"/>
        <v>46045</v>
      </c>
      <c r="GY8" s="67">
        <f t="shared" si="17"/>
        <v>46046</v>
      </c>
      <c r="GZ8" s="67">
        <f t="shared" si="17"/>
        <v>46047</v>
      </c>
      <c r="HA8" s="67">
        <f t="shared" si="17"/>
        <v>46048</v>
      </c>
      <c r="HB8" s="67">
        <f t="shared" si="17"/>
        <v>46049</v>
      </c>
      <c r="HC8" s="67">
        <f t="shared" si="17"/>
        <v>46050</v>
      </c>
      <c r="HD8" s="67">
        <f t="shared" si="17"/>
        <v>46051</v>
      </c>
      <c r="HE8" s="67">
        <f t="shared" si="17"/>
        <v>46052</v>
      </c>
      <c r="HF8" s="67">
        <f t="shared" si="17"/>
        <v>46053</v>
      </c>
      <c r="HG8" s="112" t="s">
        <v>33</v>
      </c>
      <c r="HH8" s="113" t="s">
        <v>28</v>
      </c>
      <c r="HI8" s="114" t="s">
        <v>34</v>
      </c>
      <c r="HJ8" s="112" t="s">
        <v>13</v>
      </c>
      <c r="HK8" s="113" t="s">
        <v>1</v>
      </c>
      <c r="HL8" s="113" t="s">
        <v>35</v>
      </c>
      <c r="HM8" s="113" t="s">
        <v>36</v>
      </c>
      <c r="HN8" s="113" t="s">
        <v>37</v>
      </c>
      <c r="HO8" s="113" t="s">
        <v>0</v>
      </c>
      <c r="HP8" s="113" t="s">
        <v>38</v>
      </c>
      <c r="HQ8" s="114" t="s">
        <v>11</v>
      </c>
      <c r="HR8" s="108" t="str">
        <f>elenchi!$C2</f>
        <v>FUMAGALLI GIUDITTA</v>
      </c>
      <c r="HS8" s="109"/>
      <c r="HT8" s="110"/>
      <c r="HU8" s="67">
        <f t="shared" ref="HU8:IY8" si="18">HU$2</f>
        <v>46054</v>
      </c>
      <c r="HV8" s="67">
        <f t="shared" si="18"/>
        <v>46055</v>
      </c>
      <c r="HW8" s="67">
        <f t="shared" si="18"/>
        <v>46056</v>
      </c>
      <c r="HX8" s="67">
        <f t="shared" si="18"/>
        <v>46057</v>
      </c>
      <c r="HY8" s="67">
        <f t="shared" si="18"/>
        <v>46058</v>
      </c>
      <c r="HZ8" s="67">
        <f t="shared" si="18"/>
        <v>46059</v>
      </c>
      <c r="IA8" s="67">
        <f t="shared" si="18"/>
        <v>46060</v>
      </c>
      <c r="IB8" s="67">
        <f t="shared" si="18"/>
        <v>46061</v>
      </c>
      <c r="IC8" s="67">
        <f t="shared" si="18"/>
        <v>46062</v>
      </c>
      <c r="ID8" s="67">
        <f t="shared" si="18"/>
        <v>46063</v>
      </c>
      <c r="IE8" s="67">
        <f t="shared" si="18"/>
        <v>46064</v>
      </c>
      <c r="IF8" s="67">
        <f t="shared" si="18"/>
        <v>46065</v>
      </c>
      <c r="IG8" s="67">
        <f t="shared" si="18"/>
        <v>46066</v>
      </c>
      <c r="IH8" s="67">
        <f t="shared" si="18"/>
        <v>46067</v>
      </c>
      <c r="II8" s="67">
        <f t="shared" si="18"/>
        <v>46068</v>
      </c>
      <c r="IJ8" s="67">
        <f t="shared" si="18"/>
        <v>46069</v>
      </c>
      <c r="IK8" s="67">
        <f t="shared" si="18"/>
        <v>46070</v>
      </c>
      <c r="IL8" s="67">
        <f t="shared" si="18"/>
        <v>46071</v>
      </c>
      <c r="IM8" s="67">
        <f t="shared" si="18"/>
        <v>46072</v>
      </c>
      <c r="IN8" s="67">
        <f t="shared" si="18"/>
        <v>46073</v>
      </c>
      <c r="IO8" s="67">
        <f t="shared" si="18"/>
        <v>46074</v>
      </c>
      <c r="IP8" s="67">
        <f t="shared" si="18"/>
        <v>46075</v>
      </c>
      <c r="IQ8" s="67">
        <f t="shared" si="18"/>
        <v>46076</v>
      </c>
      <c r="IR8" s="67">
        <f t="shared" si="18"/>
        <v>46077</v>
      </c>
      <c r="IS8" s="67">
        <f t="shared" si="18"/>
        <v>46078</v>
      </c>
      <c r="IT8" s="67">
        <f t="shared" si="18"/>
        <v>46079</v>
      </c>
      <c r="IU8" s="67">
        <f t="shared" si="18"/>
        <v>46080</v>
      </c>
      <c r="IV8" s="67">
        <f t="shared" si="18"/>
        <v>46081</v>
      </c>
      <c r="IW8" s="67" t="str">
        <f t="shared" si="18"/>
        <v/>
      </c>
      <c r="IX8" s="67" t="str">
        <f t="shared" si="18"/>
        <v/>
      </c>
      <c r="IY8" s="67" t="str">
        <f t="shared" si="18"/>
        <v/>
      </c>
      <c r="IZ8" s="112" t="s">
        <v>33</v>
      </c>
      <c r="JA8" s="113" t="s">
        <v>28</v>
      </c>
      <c r="JB8" s="114" t="s">
        <v>34</v>
      </c>
      <c r="JC8" s="112" t="s">
        <v>13</v>
      </c>
      <c r="JD8" s="113" t="s">
        <v>1</v>
      </c>
      <c r="JE8" s="113" t="s">
        <v>35</v>
      </c>
      <c r="JF8" s="113" t="s">
        <v>36</v>
      </c>
      <c r="JG8" s="113" t="s">
        <v>37</v>
      </c>
      <c r="JH8" s="113" t="s">
        <v>0</v>
      </c>
      <c r="JI8" s="113" t="s">
        <v>38</v>
      </c>
      <c r="JJ8" s="114" t="s">
        <v>11</v>
      </c>
      <c r="JK8" s="108" t="str">
        <f>elenchi!$C2</f>
        <v>FUMAGALLI GIUDITTA</v>
      </c>
      <c r="JL8" s="109"/>
      <c r="JM8" s="110"/>
      <c r="JN8" s="67">
        <f t="shared" ref="JN8:KR8" si="19">JN$2</f>
        <v>46082</v>
      </c>
      <c r="JO8" s="67">
        <f t="shared" si="19"/>
        <v>46083</v>
      </c>
      <c r="JP8" s="67">
        <f t="shared" si="19"/>
        <v>46084</v>
      </c>
      <c r="JQ8" s="67">
        <f t="shared" si="19"/>
        <v>46085</v>
      </c>
      <c r="JR8" s="67">
        <f t="shared" si="19"/>
        <v>46086</v>
      </c>
      <c r="JS8" s="67">
        <f t="shared" si="19"/>
        <v>46087</v>
      </c>
      <c r="JT8" s="67">
        <f t="shared" si="19"/>
        <v>46088</v>
      </c>
      <c r="JU8" s="67">
        <f t="shared" si="19"/>
        <v>46089</v>
      </c>
      <c r="JV8" s="67">
        <f t="shared" si="19"/>
        <v>46090</v>
      </c>
      <c r="JW8" s="67">
        <f t="shared" si="19"/>
        <v>46091</v>
      </c>
      <c r="JX8" s="67">
        <f t="shared" si="19"/>
        <v>46092</v>
      </c>
      <c r="JY8" s="67">
        <f t="shared" si="19"/>
        <v>46093</v>
      </c>
      <c r="JZ8" s="67">
        <f t="shared" si="19"/>
        <v>46094</v>
      </c>
      <c r="KA8" s="67">
        <f t="shared" si="19"/>
        <v>46095</v>
      </c>
      <c r="KB8" s="67">
        <f t="shared" si="19"/>
        <v>46096</v>
      </c>
      <c r="KC8" s="67">
        <f t="shared" si="19"/>
        <v>46097</v>
      </c>
      <c r="KD8" s="67">
        <f t="shared" si="19"/>
        <v>46098</v>
      </c>
      <c r="KE8" s="67">
        <f t="shared" si="19"/>
        <v>46099</v>
      </c>
      <c r="KF8" s="67">
        <f t="shared" si="19"/>
        <v>46100</v>
      </c>
      <c r="KG8" s="67">
        <f t="shared" si="19"/>
        <v>46101</v>
      </c>
      <c r="KH8" s="67">
        <f t="shared" si="19"/>
        <v>46102</v>
      </c>
      <c r="KI8" s="67">
        <f t="shared" si="19"/>
        <v>46103</v>
      </c>
      <c r="KJ8" s="67">
        <f t="shared" si="19"/>
        <v>46104</v>
      </c>
      <c r="KK8" s="67">
        <f t="shared" si="19"/>
        <v>46105</v>
      </c>
      <c r="KL8" s="67">
        <f t="shared" si="19"/>
        <v>46106</v>
      </c>
      <c r="KM8" s="67">
        <f t="shared" si="19"/>
        <v>46107</v>
      </c>
      <c r="KN8" s="67">
        <f t="shared" si="19"/>
        <v>46108</v>
      </c>
      <c r="KO8" s="67">
        <f t="shared" si="19"/>
        <v>46109</v>
      </c>
      <c r="KP8" s="67">
        <f t="shared" si="19"/>
        <v>46110</v>
      </c>
      <c r="KQ8" s="67">
        <f t="shared" si="19"/>
        <v>46111</v>
      </c>
      <c r="KR8" s="67">
        <f t="shared" si="19"/>
        <v>46112</v>
      </c>
      <c r="KS8" s="112" t="s">
        <v>33</v>
      </c>
      <c r="KT8" s="113" t="s">
        <v>28</v>
      </c>
      <c r="KU8" s="114" t="s">
        <v>34</v>
      </c>
      <c r="KV8" s="112" t="s">
        <v>13</v>
      </c>
      <c r="KW8" s="113" t="s">
        <v>1</v>
      </c>
      <c r="KX8" s="113" t="s">
        <v>35</v>
      </c>
      <c r="KY8" s="113" t="s">
        <v>36</v>
      </c>
      <c r="KZ8" s="113" t="s">
        <v>37</v>
      </c>
      <c r="LA8" s="113" t="s">
        <v>0</v>
      </c>
      <c r="LB8" s="113" t="s">
        <v>38</v>
      </c>
      <c r="LC8" s="114" t="s">
        <v>11</v>
      </c>
      <c r="LD8" s="108" t="str">
        <f>elenchi!$C2</f>
        <v>FUMAGALLI GIUDITTA</v>
      </c>
      <c r="LE8" s="109"/>
      <c r="LF8" s="110"/>
      <c r="LG8" s="67">
        <f t="shared" ref="LG8:MK8" si="20">LG$2</f>
        <v>46113</v>
      </c>
      <c r="LH8" s="67">
        <f t="shared" si="20"/>
        <v>46114</v>
      </c>
      <c r="LI8" s="67">
        <f t="shared" si="20"/>
        <v>46115</v>
      </c>
      <c r="LJ8" s="67">
        <f t="shared" si="20"/>
        <v>46116</v>
      </c>
      <c r="LK8" s="67">
        <f t="shared" si="20"/>
        <v>46117</v>
      </c>
      <c r="LL8" s="67">
        <f t="shared" si="20"/>
        <v>46118</v>
      </c>
      <c r="LM8" s="67">
        <f t="shared" si="20"/>
        <v>46119</v>
      </c>
      <c r="LN8" s="67">
        <f t="shared" si="20"/>
        <v>46120</v>
      </c>
      <c r="LO8" s="67">
        <f t="shared" si="20"/>
        <v>46121</v>
      </c>
      <c r="LP8" s="67">
        <f t="shared" si="20"/>
        <v>46122</v>
      </c>
      <c r="LQ8" s="67">
        <f t="shared" si="20"/>
        <v>46123</v>
      </c>
      <c r="LR8" s="67">
        <f t="shared" si="20"/>
        <v>46124</v>
      </c>
      <c r="LS8" s="67">
        <f t="shared" si="20"/>
        <v>46125</v>
      </c>
      <c r="LT8" s="67">
        <f t="shared" si="20"/>
        <v>46126</v>
      </c>
      <c r="LU8" s="67">
        <f t="shared" si="20"/>
        <v>46127</v>
      </c>
      <c r="LV8" s="67">
        <f t="shared" si="20"/>
        <v>46128</v>
      </c>
      <c r="LW8" s="67">
        <f t="shared" si="20"/>
        <v>46129</v>
      </c>
      <c r="LX8" s="67">
        <f t="shared" si="20"/>
        <v>46130</v>
      </c>
      <c r="LY8" s="67">
        <f t="shared" si="20"/>
        <v>46131</v>
      </c>
      <c r="LZ8" s="67">
        <f t="shared" si="20"/>
        <v>46132</v>
      </c>
      <c r="MA8" s="67">
        <f t="shared" si="20"/>
        <v>46133</v>
      </c>
      <c r="MB8" s="67">
        <f t="shared" si="20"/>
        <v>46134</v>
      </c>
      <c r="MC8" s="67">
        <f t="shared" si="20"/>
        <v>46135</v>
      </c>
      <c r="MD8" s="67">
        <f t="shared" si="20"/>
        <v>46136</v>
      </c>
      <c r="ME8" s="67">
        <f t="shared" si="20"/>
        <v>46137</v>
      </c>
      <c r="MF8" s="67">
        <f t="shared" si="20"/>
        <v>46138</v>
      </c>
      <c r="MG8" s="67">
        <f t="shared" si="20"/>
        <v>46139</v>
      </c>
      <c r="MH8" s="67">
        <f t="shared" si="20"/>
        <v>46140</v>
      </c>
      <c r="MI8" s="67">
        <f t="shared" si="20"/>
        <v>46141</v>
      </c>
      <c r="MJ8" s="67">
        <f t="shared" si="20"/>
        <v>46142</v>
      </c>
      <c r="MK8" s="67" t="str">
        <f t="shared" si="20"/>
        <v/>
      </c>
      <c r="ML8" s="112" t="s">
        <v>33</v>
      </c>
      <c r="MM8" s="113" t="s">
        <v>28</v>
      </c>
      <c r="MN8" s="114" t="s">
        <v>34</v>
      </c>
      <c r="MO8" s="112" t="s">
        <v>13</v>
      </c>
      <c r="MP8" s="113" t="s">
        <v>1</v>
      </c>
      <c r="MQ8" s="113" t="s">
        <v>35</v>
      </c>
      <c r="MR8" s="113" t="s">
        <v>36</v>
      </c>
      <c r="MS8" s="113" t="s">
        <v>37</v>
      </c>
      <c r="MT8" s="113" t="s">
        <v>0</v>
      </c>
      <c r="MU8" s="113" t="s">
        <v>38</v>
      </c>
      <c r="MV8" s="115" t="s">
        <v>11</v>
      </c>
      <c r="MW8" s="108" t="str">
        <f>elenchi!$C2</f>
        <v>FUMAGALLI GIUDITTA</v>
      </c>
      <c r="MX8" s="109"/>
      <c r="MY8" s="110"/>
      <c r="MZ8" s="67">
        <f t="shared" ref="MZ8:OD8" si="21">MZ$2</f>
        <v>46143</v>
      </c>
      <c r="NA8" s="67">
        <f t="shared" si="21"/>
        <v>46144</v>
      </c>
      <c r="NB8" s="67">
        <f t="shared" si="21"/>
        <v>46145</v>
      </c>
      <c r="NC8" s="67">
        <f t="shared" si="21"/>
        <v>46146</v>
      </c>
      <c r="ND8" s="67">
        <f t="shared" si="21"/>
        <v>46147</v>
      </c>
      <c r="NE8" s="67">
        <f t="shared" si="21"/>
        <v>46148</v>
      </c>
      <c r="NF8" s="67">
        <f t="shared" si="21"/>
        <v>46149</v>
      </c>
      <c r="NG8" s="67">
        <f t="shared" si="21"/>
        <v>46150</v>
      </c>
      <c r="NH8" s="67">
        <f t="shared" si="21"/>
        <v>46151</v>
      </c>
      <c r="NI8" s="67">
        <f t="shared" si="21"/>
        <v>46152</v>
      </c>
      <c r="NJ8" s="67">
        <f t="shared" si="21"/>
        <v>46153</v>
      </c>
      <c r="NK8" s="67">
        <f t="shared" si="21"/>
        <v>46154</v>
      </c>
      <c r="NL8" s="67">
        <f t="shared" si="21"/>
        <v>46155</v>
      </c>
      <c r="NM8" s="67">
        <f t="shared" si="21"/>
        <v>46156</v>
      </c>
      <c r="NN8" s="67">
        <f t="shared" si="21"/>
        <v>46157</v>
      </c>
      <c r="NO8" s="67">
        <f t="shared" si="21"/>
        <v>46158</v>
      </c>
      <c r="NP8" s="67">
        <f t="shared" si="21"/>
        <v>46159</v>
      </c>
      <c r="NQ8" s="67">
        <f t="shared" si="21"/>
        <v>46160</v>
      </c>
      <c r="NR8" s="67">
        <f t="shared" si="21"/>
        <v>46161</v>
      </c>
      <c r="NS8" s="67">
        <f t="shared" si="21"/>
        <v>46162</v>
      </c>
      <c r="NT8" s="67">
        <f t="shared" si="21"/>
        <v>46163</v>
      </c>
      <c r="NU8" s="67">
        <f t="shared" si="21"/>
        <v>46164</v>
      </c>
      <c r="NV8" s="67">
        <f t="shared" si="21"/>
        <v>46165</v>
      </c>
      <c r="NW8" s="67">
        <f t="shared" si="21"/>
        <v>46166</v>
      </c>
      <c r="NX8" s="67">
        <f t="shared" si="21"/>
        <v>46167</v>
      </c>
      <c r="NY8" s="67">
        <f t="shared" si="21"/>
        <v>46168</v>
      </c>
      <c r="NZ8" s="67">
        <f t="shared" si="21"/>
        <v>46169</v>
      </c>
      <c r="OA8" s="67">
        <f t="shared" si="21"/>
        <v>46170</v>
      </c>
      <c r="OB8" s="67">
        <f t="shared" si="21"/>
        <v>46171</v>
      </c>
      <c r="OC8" s="67">
        <f t="shared" si="21"/>
        <v>46172</v>
      </c>
      <c r="OD8" s="67">
        <f t="shared" si="21"/>
        <v>46173</v>
      </c>
      <c r="OE8" s="112" t="s">
        <v>33</v>
      </c>
      <c r="OF8" s="113" t="s">
        <v>28</v>
      </c>
      <c r="OG8" s="114" t="s">
        <v>34</v>
      </c>
      <c r="OH8" s="112" t="s">
        <v>13</v>
      </c>
      <c r="OI8" s="113" t="s">
        <v>1</v>
      </c>
      <c r="OJ8" s="113" t="s">
        <v>35</v>
      </c>
      <c r="OK8" s="113" t="s">
        <v>36</v>
      </c>
      <c r="OL8" s="113" t="s">
        <v>37</v>
      </c>
      <c r="OM8" s="113" t="s">
        <v>0</v>
      </c>
      <c r="ON8" s="113" t="s">
        <v>38</v>
      </c>
      <c r="OO8" s="115" t="s">
        <v>11</v>
      </c>
      <c r="OP8" s="108" t="str">
        <f>elenchi!$C2</f>
        <v>FUMAGALLI GIUDITTA</v>
      </c>
      <c r="OQ8" s="109"/>
      <c r="OR8" s="110"/>
      <c r="OS8" s="67">
        <f t="shared" ref="OS8:PW8" si="22">OS$2</f>
        <v>46174</v>
      </c>
      <c r="OT8" s="67">
        <f t="shared" si="22"/>
        <v>46175</v>
      </c>
      <c r="OU8" s="67">
        <f t="shared" si="22"/>
        <v>46176</v>
      </c>
      <c r="OV8" s="67">
        <f t="shared" si="22"/>
        <v>46177</v>
      </c>
      <c r="OW8" s="67">
        <f t="shared" si="22"/>
        <v>46178</v>
      </c>
      <c r="OX8" s="67">
        <f t="shared" si="22"/>
        <v>46179</v>
      </c>
      <c r="OY8" s="67">
        <f t="shared" si="22"/>
        <v>46180</v>
      </c>
      <c r="OZ8" s="67">
        <f t="shared" si="22"/>
        <v>46181</v>
      </c>
      <c r="PA8" s="67">
        <f t="shared" si="22"/>
        <v>46182</v>
      </c>
      <c r="PB8" s="67">
        <f t="shared" si="22"/>
        <v>46183</v>
      </c>
      <c r="PC8" s="67">
        <f t="shared" si="22"/>
        <v>46184</v>
      </c>
      <c r="PD8" s="67">
        <f t="shared" si="22"/>
        <v>46185</v>
      </c>
      <c r="PE8" s="67">
        <f t="shared" si="22"/>
        <v>46186</v>
      </c>
      <c r="PF8" s="67">
        <f t="shared" si="22"/>
        <v>46187</v>
      </c>
      <c r="PG8" s="67">
        <f t="shared" si="22"/>
        <v>46188</v>
      </c>
      <c r="PH8" s="67">
        <f t="shared" si="22"/>
        <v>46189</v>
      </c>
      <c r="PI8" s="67">
        <f t="shared" si="22"/>
        <v>46190</v>
      </c>
      <c r="PJ8" s="67">
        <f t="shared" si="22"/>
        <v>46191</v>
      </c>
      <c r="PK8" s="67">
        <f t="shared" si="22"/>
        <v>46192</v>
      </c>
      <c r="PL8" s="67">
        <f t="shared" si="22"/>
        <v>46193</v>
      </c>
      <c r="PM8" s="67">
        <f t="shared" si="22"/>
        <v>46194</v>
      </c>
      <c r="PN8" s="67">
        <f t="shared" si="22"/>
        <v>46195</v>
      </c>
      <c r="PO8" s="67">
        <f t="shared" si="22"/>
        <v>46196</v>
      </c>
      <c r="PP8" s="67">
        <f t="shared" si="22"/>
        <v>46197</v>
      </c>
      <c r="PQ8" s="67">
        <f t="shared" si="22"/>
        <v>46198</v>
      </c>
      <c r="PR8" s="67">
        <f t="shared" si="22"/>
        <v>46199</v>
      </c>
      <c r="PS8" s="67">
        <f t="shared" si="22"/>
        <v>46200</v>
      </c>
      <c r="PT8" s="67">
        <f t="shared" si="22"/>
        <v>46201</v>
      </c>
      <c r="PU8" s="67">
        <f t="shared" si="22"/>
        <v>46202</v>
      </c>
      <c r="PV8" s="67">
        <f t="shared" si="22"/>
        <v>46203</v>
      </c>
      <c r="PW8" s="67" t="str">
        <f t="shared" si="22"/>
        <v/>
      </c>
      <c r="PX8" s="112" t="s">
        <v>33</v>
      </c>
      <c r="PY8" s="113" t="s">
        <v>28</v>
      </c>
      <c r="PZ8" s="114" t="s">
        <v>34</v>
      </c>
      <c r="QA8" s="112" t="s">
        <v>13</v>
      </c>
      <c r="QB8" s="113" t="s">
        <v>1</v>
      </c>
      <c r="QC8" s="113" t="s">
        <v>35</v>
      </c>
      <c r="QD8" s="113" t="s">
        <v>36</v>
      </c>
      <c r="QE8" s="113" t="s">
        <v>37</v>
      </c>
      <c r="QF8" s="113" t="s">
        <v>0</v>
      </c>
      <c r="QG8" s="113" t="s">
        <v>38</v>
      </c>
      <c r="QH8" s="115" t="s">
        <v>11</v>
      </c>
      <c r="QI8" s="108" t="str">
        <f>elenchi!$C2</f>
        <v>FUMAGALLI GIUDITTA</v>
      </c>
      <c r="QJ8" s="109"/>
      <c r="QK8" s="110"/>
      <c r="QL8" s="67">
        <f t="shared" ref="QL8:RP8" si="23">QL$2</f>
        <v>46204</v>
      </c>
      <c r="QM8" s="67">
        <f t="shared" si="23"/>
        <v>46205</v>
      </c>
      <c r="QN8" s="67">
        <f t="shared" si="23"/>
        <v>46206</v>
      </c>
      <c r="QO8" s="67">
        <f t="shared" si="23"/>
        <v>46207</v>
      </c>
      <c r="QP8" s="67">
        <f t="shared" si="23"/>
        <v>46208</v>
      </c>
      <c r="QQ8" s="67">
        <f t="shared" si="23"/>
        <v>46209</v>
      </c>
      <c r="QR8" s="67">
        <f t="shared" si="23"/>
        <v>46210</v>
      </c>
      <c r="QS8" s="67">
        <f t="shared" si="23"/>
        <v>46211</v>
      </c>
      <c r="QT8" s="67">
        <f t="shared" si="23"/>
        <v>46212</v>
      </c>
      <c r="QU8" s="67">
        <f t="shared" si="23"/>
        <v>46213</v>
      </c>
      <c r="QV8" s="67">
        <f t="shared" si="23"/>
        <v>46214</v>
      </c>
      <c r="QW8" s="67">
        <f t="shared" si="23"/>
        <v>46215</v>
      </c>
      <c r="QX8" s="67">
        <f t="shared" si="23"/>
        <v>46216</v>
      </c>
      <c r="QY8" s="67">
        <f t="shared" si="23"/>
        <v>46217</v>
      </c>
      <c r="QZ8" s="67">
        <f t="shared" si="23"/>
        <v>46218</v>
      </c>
      <c r="RA8" s="67">
        <f t="shared" si="23"/>
        <v>46219</v>
      </c>
      <c r="RB8" s="67">
        <f t="shared" si="23"/>
        <v>46220</v>
      </c>
      <c r="RC8" s="67">
        <f t="shared" si="23"/>
        <v>46221</v>
      </c>
      <c r="RD8" s="67">
        <f t="shared" si="23"/>
        <v>46222</v>
      </c>
      <c r="RE8" s="67">
        <f t="shared" si="23"/>
        <v>46223</v>
      </c>
      <c r="RF8" s="67">
        <f t="shared" si="23"/>
        <v>46224</v>
      </c>
      <c r="RG8" s="67">
        <f t="shared" si="23"/>
        <v>46225</v>
      </c>
      <c r="RH8" s="67">
        <f t="shared" si="23"/>
        <v>46226</v>
      </c>
      <c r="RI8" s="67">
        <f t="shared" si="23"/>
        <v>46227</v>
      </c>
      <c r="RJ8" s="67">
        <f t="shared" si="23"/>
        <v>46228</v>
      </c>
      <c r="RK8" s="67">
        <f t="shared" si="23"/>
        <v>46229</v>
      </c>
      <c r="RL8" s="67">
        <f t="shared" si="23"/>
        <v>46230</v>
      </c>
      <c r="RM8" s="67">
        <f t="shared" si="23"/>
        <v>46231</v>
      </c>
      <c r="RN8" s="67">
        <f t="shared" si="23"/>
        <v>46232</v>
      </c>
      <c r="RO8" s="67">
        <f t="shared" si="23"/>
        <v>46233</v>
      </c>
      <c r="RP8" s="67">
        <f t="shared" si="23"/>
        <v>46234</v>
      </c>
      <c r="RQ8" s="112" t="s">
        <v>33</v>
      </c>
      <c r="RR8" s="113" t="s">
        <v>28</v>
      </c>
      <c r="RS8" s="114" t="s">
        <v>34</v>
      </c>
      <c r="RT8" s="112" t="s">
        <v>13</v>
      </c>
      <c r="RU8" s="113" t="s">
        <v>1</v>
      </c>
      <c r="RV8" s="113" t="s">
        <v>35</v>
      </c>
      <c r="RW8" s="113" t="s">
        <v>36</v>
      </c>
      <c r="RX8" s="113" t="s">
        <v>37</v>
      </c>
      <c r="RY8" s="113" t="s">
        <v>0</v>
      </c>
      <c r="RZ8" s="113" t="s">
        <v>38</v>
      </c>
      <c r="SA8" s="115" t="s">
        <v>11</v>
      </c>
      <c r="SB8" s="108" t="str">
        <f>elenchi!$C2</f>
        <v>FUMAGALLI GIUDITTA</v>
      </c>
      <c r="SC8" s="109"/>
      <c r="SD8" s="110"/>
      <c r="SE8" s="67">
        <f t="shared" ref="SE8:TI8" si="24">SE$2</f>
        <v>46235</v>
      </c>
      <c r="SF8" s="67">
        <f t="shared" si="24"/>
        <v>46236</v>
      </c>
      <c r="SG8" s="67">
        <f t="shared" si="24"/>
        <v>46237</v>
      </c>
      <c r="SH8" s="67">
        <f t="shared" si="24"/>
        <v>46238</v>
      </c>
      <c r="SI8" s="67">
        <f t="shared" si="24"/>
        <v>46239</v>
      </c>
      <c r="SJ8" s="67">
        <f t="shared" si="24"/>
        <v>46240</v>
      </c>
      <c r="SK8" s="67">
        <f t="shared" si="24"/>
        <v>46241</v>
      </c>
      <c r="SL8" s="67">
        <f t="shared" si="24"/>
        <v>46242</v>
      </c>
      <c r="SM8" s="67">
        <f t="shared" si="24"/>
        <v>46243</v>
      </c>
      <c r="SN8" s="67">
        <f t="shared" si="24"/>
        <v>46244</v>
      </c>
      <c r="SO8" s="67">
        <f t="shared" si="24"/>
        <v>46245</v>
      </c>
      <c r="SP8" s="67">
        <f t="shared" si="24"/>
        <v>46246</v>
      </c>
      <c r="SQ8" s="67">
        <f t="shared" si="24"/>
        <v>46247</v>
      </c>
      <c r="SR8" s="67">
        <f t="shared" si="24"/>
        <v>46248</v>
      </c>
      <c r="SS8" s="67">
        <f t="shared" si="24"/>
        <v>46249</v>
      </c>
      <c r="ST8" s="67">
        <f t="shared" si="24"/>
        <v>46250</v>
      </c>
      <c r="SU8" s="67">
        <f t="shared" si="24"/>
        <v>46251</v>
      </c>
      <c r="SV8" s="67">
        <f t="shared" si="24"/>
        <v>46252</v>
      </c>
      <c r="SW8" s="67">
        <f t="shared" si="24"/>
        <v>46253</v>
      </c>
      <c r="SX8" s="67">
        <f t="shared" si="24"/>
        <v>46254</v>
      </c>
      <c r="SY8" s="67">
        <f t="shared" si="24"/>
        <v>46255</v>
      </c>
      <c r="SZ8" s="67">
        <f t="shared" si="24"/>
        <v>46256</v>
      </c>
      <c r="TA8" s="67">
        <f t="shared" si="24"/>
        <v>46257</v>
      </c>
      <c r="TB8" s="67">
        <f t="shared" si="24"/>
        <v>46258</v>
      </c>
      <c r="TC8" s="67">
        <f t="shared" si="24"/>
        <v>46259</v>
      </c>
      <c r="TD8" s="67">
        <f t="shared" si="24"/>
        <v>46260</v>
      </c>
      <c r="TE8" s="67">
        <f t="shared" si="24"/>
        <v>46261</v>
      </c>
      <c r="TF8" s="67">
        <f t="shared" si="24"/>
        <v>46262</v>
      </c>
      <c r="TG8" s="67">
        <f t="shared" si="24"/>
        <v>46263</v>
      </c>
      <c r="TH8" s="67">
        <f t="shared" si="24"/>
        <v>46264</v>
      </c>
      <c r="TI8" s="67">
        <f t="shared" si="24"/>
        <v>46265</v>
      </c>
      <c r="TJ8" s="112" t="s">
        <v>33</v>
      </c>
      <c r="TK8" s="113" t="s">
        <v>28</v>
      </c>
      <c r="TL8" s="114" t="s">
        <v>34</v>
      </c>
      <c r="TM8" s="112" t="s">
        <v>13</v>
      </c>
      <c r="TN8" s="113" t="s">
        <v>1</v>
      </c>
      <c r="TO8" s="113" t="s">
        <v>35</v>
      </c>
      <c r="TP8" s="113" t="s">
        <v>36</v>
      </c>
      <c r="TQ8" s="113" t="s">
        <v>37</v>
      </c>
      <c r="TR8" s="113" t="s">
        <v>0</v>
      </c>
      <c r="TS8" s="113" t="s">
        <v>38</v>
      </c>
      <c r="TT8" s="114" t="s">
        <v>11</v>
      </c>
    </row>
    <row r="9" ht="24.75" customHeight="1">
      <c r="A9" s="73"/>
      <c r="B9" s="65"/>
      <c r="C9" s="66"/>
      <c r="D9" s="74">
        <f>Settembre25!$C$2</f>
        <v>8</v>
      </c>
      <c r="E9" s="75">
        <f>Settembre25!$C$3</f>
        <v>8</v>
      </c>
      <c r="F9" s="75">
        <f>Settembre25!$C$4</f>
        <v>7.5</v>
      </c>
      <c r="G9" s="75">
        <f>Settembre25!$C$5</f>
        <v>8</v>
      </c>
      <c r="H9" s="76">
        <f>Settembre25!$C$6</f>
        <v>8</v>
      </c>
      <c r="I9" s="76" t="str">
        <f>Settembre25!$C$7</f>
        <v/>
      </c>
      <c r="J9" s="75" t="str">
        <f>Settembre25!$C$8</f>
        <v/>
      </c>
      <c r="K9" s="75">
        <f>Settembre25!$C$9</f>
        <v>9.5</v>
      </c>
      <c r="L9" s="75">
        <f>Settembre25!$C$10</f>
        <v>9.5</v>
      </c>
      <c r="M9" s="75">
        <f>Settembre25!$C$11</f>
        <v>9.5</v>
      </c>
      <c r="N9" s="75">
        <f>Settembre25!$C$12</f>
        <v>9.5</v>
      </c>
      <c r="O9" s="76">
        <f>Settembre25!$C$13</f>
        <v>9.5</v>
      </c>
      <c r="P9" s="75" t="str">
        <f>Settembre25!$C$14</f>
        <v/>
      </c>
      <c r="Q9" s="75" t="str">
        <f>Settembre25!$C$15</f>
        <v/>
      </c>
      <c r="R9" s="75">
        <f>Settembre25!$C$16</f>
        <v>9.5</v>
      </c>
      <c r="S9" s="75">
        <f>Settembre25!$C$17</f>
        <v>9.5</v>
      </c>
      <c r="T9" s="75">
        <f>Settembre25!$C$18</f>
        <v>9.5</v>
      </c>
      <c r="U9" s="75">
        <f>Settembre25!$C$19</f>
        <v>9.5</v>
      </c>
      <c r="V9" s="76">
        <f>Settembre25!$C$20</f>
        <v>9.5</v>
      </c>
      <c r="W9" s="76" t="str">
        <f>Settembre25!$C$21</f>
        <v/>
      </c>
      <c r="X9" s="75" t="str">
        <f>Settembre25!$C$22</f>
        <v/>
      </c>
      <c r="Y9" s="75">
        <f>Settembre25!$C$23</f>
        <v>9.5</v>
      </c>
      <c r="Z9" s="75">
        <f>Settembre25!$C$24</f>
        <v>9.5</v>
      </c>
      <c r="AA9" s="75">
        <f>Settembre25!$C$25</f>
        <v>9.5</v>
      </c>
      <c r="AB9" s="75">
        <f>Settembre25!$C$26</f>
        <v>9.5</v>
      </c>
      <c r="AC9" s="76">
        <f>Settembre25!$C$27</f>
        <v>9.5</v>
      </c>
      <c r="AD9" s="76" t="str">
        <f>Settembre25!$C$28</f>
        <v/>
      </c>
      <c r="AE9" s="75" t="str">
        <f>Settembre25!$C$29</f>
        <v/>
      </c>
      <c r="AF9" s="75">
        <f>Settembre25!$C$30</f>
        <v>9.5</v>
      </c>
      <c r="AG9" s="75">
        <f>Settembre25!$C$31</f>
        <v>9.5</v>
      </c>
      <c r="AH9" s="77" t="str">
        <f>Settembre25!$C$32</f>
        <v/>
      </c>
      <c r="AI9" s="78"/>
      <c r="AJ9" s="79">
        <f>SUM(D9:AH9)</f>
        <v>201</v>
      </c>
      <c r="AK9" s="80"/>
      <c r="AL9" s="78"/>
      <c r="AM9" s="81"/>
      <c r="AN9" s="81"/>
      <c r="AO9" s="81"/>
      <c r="AP9" s="81"/>
      <c r="AQ9" s="81"/>
      <c r="AR9" s="81"/>
      <c r="AS9" s="82"/>
      <c r="AT9" s="73"/>
      <c r="AU9" s="65"/>
      <c r="AV9" s="66"/>
      <c r="AW9" s="83">
        <f>Ottobre25!$C$2</f>
        <v>9.5</v>
      </c>
      <c r="AX9" s="84">
        <f>Ottobre25!$C$3</f>
        <v>9.5</v>
      </c>
      <c r="AY9" s="84">
        <f>Ottobre25!$C$4</f>
        <v>9.5</v>
      </c>
      <c r="AZ9" s="84" t="str">
        <f>Ottobre25!$C$5</f>
        <v/>
      </c>
      <c r="BA9" s="85" t="str">
        <f>Ottobre25!$C$6</f>
        <v/>
      </c>
      <c r="BB9" s="85">
        <f>Ottobre25!$C$7</f>
        <v>8</v>
      </c>
      <c r="BC9" s="84">
        <f>Ottobre25!$C$8</f>
        <v>8</v>
      </c>
      <c r="BD9" s="84">
        <f>Ottobre25!$C$9</f>
        <v>8</v>
      </c>
      <c r="BE9" s="84">
        <f>Ottobre25!$C$10</f>
        <v>8</v>
      </c>
      <c r="BF9" s="84">
        <f>Ottobre25!$C$11</f>
        <v>8.5</v>
      </c>
      <c r="BG9" s="84" t="str">
        <f>Ottobre25!$C$12</f>
        <v/>
      </c>
      <c r="BH9" s="85" t="str">
        <f>Ottobre25!$C$13</f>
        <v/>
      </c>
      <c r="BI9" s="85">
        <f>Ottobre25!$C$14</f>
        <v>9.5</v>
      </c>
      <c r="BJ9" s="84">
        <f>Ottobre25!$C$15</f>
        <v>8</v>
      </c>
      <c r="BK9" s="84">
        <f>Ottobre25!$C$16</f>
        <v>9.5</v>
      </c>
      <c r="BL9" s="84">
        <f>Ottobre25!$C$17</f>
        <v>8</v>
      </c>
      <c r="BM9" s="84">
        <f>Ottobre25!$C$18</f>
        <v>8.5</v>
      </c>
      <c r="BN9" s="84" t="str">
        <f>Ottobre25!$C$19</f>
        <v/>
      </c>
      <c r="BO9" s="85" t="str">
        <f>Ottobre25!$C$20</f>
        <v/>
      </c>
      <c r="BP9" s="85">
        <f>Ottobre25!$C$21</f>
        <v>9.5</v>
      </c>
      <c r="BQ9" s="84">
        <f>Ottobre25!$C$22</f>
        <v>8</v>
      </c>
      <c r="BR9" s="84">
        <f>Ottobre25!$C$23</f>
        <v>9.5</v>
      </c>
      <c r="BS9" s="84">
        <f>Ottobre25!$C$24</f>
        <v>8</v>
      </c>
      <c r="BT9" s="84">
        <f>Ottobre25!$C$25</f>
        <v>8.5</v>
      </c>
      <c r="BU9" s="84" t="str">
        <f>Ottobre25!$C$26</f>
        <v/>
      </c>
      <c r="BV9" s="85" t="str">
        <f>Ottobre25!$C$27</f>
        <v/>
      </c>
      <c r="BW9" s="85">
        <f>Ottobre25!$C$28</f>
        <v>9.5</v>
      </c>
      <c r="BX9" s="84">
        <f>Ottobre25!$C$29</f>
        <v>8</v>
      </c>
      <c r="BY9" s="84">
        <f>Ottobre25!$C$30</f>
        <v>9.5</v>
      </c>
      <c r="BZ9" s="84">
        <f>Ottobre25!$C$31</f>
        <v>8</v>
      </c>
      <c r="CA9" s="86">
        <f>Ottobre25!$C$32</f>
        <v>8.5</v>
      </c>
      <c r="CB9" s="78"/>
      <c r="CC9" s="79">
        <f>SUM(AW9:CA9)</f>
        <v>199.5</v>
      </c>
      <c r="CD9" s="80"/>
      <c r="CE9" s="78"/>
      <c r="CF9" s="81"/>
      <c r="CG9" s="81"/>
      <c r="CH9" s="81"/>
      <c r="CI9" s="81"/>
      <c r="CJ9" s="81"/>
      <c r="CK9" s="81"/>
      <c r="CL9" s="82"/>
      <c r="CM9" s="73"/>
      <c r="CN9" s="65"/>
      <c r="CO9" s="66"/>
      <c r="CP9" s="83" t="str">
        <f>Novembre25!$C$2</f>
        <v/>
      </c>
      <c r="CQ9" s="84" t="str">
        <f>Novembre25!$C$3</f>
        <v/>
      </c>
      <c r="CR9" s="84">
        <f>Novembre25!$C$4</f>
        <v>8</v>
      </c>
      <c r="CS9" s="84">
        <f>Novembre25!$C$5</f>
        <v>8</v>
      </c>
      <c r="CT9" s="85">
        <f>Novembre25!$C$6</f>
        <v>8</v>
      </c>
      <c r="CU9" s="85">
        <f>Novembre25!$C$7</f>
        <v>8</v>
      </c>
      <c r="CV9" s="84" t="str">
        <f>Novembre25!$C$8</f>
        <v>Pe</v>
      </c>
      <c r="CW9" s="84" t="str">
        <f>Novembre25!$C$9</f>
        <v/>
      </c>
      <c r="CX9" s="84" t="str">
        <f>Novembre25!$C$10</f>
        <v/>
      </c>
      <c r="CY9" s="84">
        <f>Novembre25!$C$11</f>
        <v>8</v>
      </c>
      <c r="CZ9" s="84">
        <f>Novembre25!$C$12</f>
        <v>8</v>
      </c>
      <c r="DA9" s="85">
        <f>Novembre25!$C$13</f>
        <v>8</v>
      </c>
      <c r="DB9" s="85">
        <f>Novembre25!$C$14</f>
        <v>8</v>
      </c>
      <c r="DC9" s="84">
        <f>Novembre25!$C$15</f>
        <v>8</v>
      </c>
      <c r="DD9" s="84" t="str">
        <f>Novembre25!$C$16</f>
        <v/>
      </c>
      <c r="DE9" s="84" t="str">
        <f>Novembre25!$C$17</f>
        <v/>
      </c>
      <c r="DF9" s="84">
        <f>Novembre25!$C$18</f>
        <v>8</v>
      </c>
      <c r="DG9" s="84">
        <f>Novembre25!$C$19</f>
        <v>8</v>
      </c>
      <c r="DH9" s="85">
        <f>Novembre25!$C$20</f>
        <v>8</v>
      </c>
      <c r="DI9" s="85" t="str">
        <f>Novembre25!$C$21</f>
        <v>Pe</v>
      </c>
      <c r="DJ9" s="84">
        <f>Novembre25!$C$22</f>
        <v>8</v>
      </c>
      <c r="DK9" s="84" t="str">
        <f>Novembre25!$C$23</f>
        <v/>
      </c>
      <c r="DL9" s="84" t="str">
        <f>Novembre25!$C$24</f>
        <v/>
      </c>
      <c r="DM9" s="84">
        <f>Novembre25!$C$25</f>
        <v>5</v>
      </c>
      <c r="DN9" s="84">
        <f>Novembre25!$C$26</f>
        <v>8</v>
      </c>
      <c r="DO9" s="85">
        <f>Novembre25!$C$27</f>
        <v>8</v>
      </c>
      <c r="DP9" s="85">
        <f>Novembre25!$C$28</f>
        <v>8</v>
      </c>
      <c r="DQ9" s="84">
        <f>Novembre25!$C$29</f>
        <v>8</v>
      </c>
      <c r="DR9" s="84" t="str">
        <f>Novembre25!$C$30</f>
        <v/>
      </c>
      <c r="DS9" s="84" t="str">
        <f>Novembre25!$C$31</f>
        <v/>
      </c>
      <c r="DT9" s="86" t="str">
        <f>Novembre25!$C$32</f>
        <v/>
      </c>
      <c r="DU9" s="78"/>
      <c r="DV9" s="79">
        <f>SUM(CP9:DT9)</f>
        <v>141</v>
      </c>
      <c r="DW9" s="80"/>
      <c r="DX9" s="78"/>
      <c r="DY9" s="81"/>
      <c r="DZ9" s="81"/>
      <c r="EA9" s="81"/>
      <c r="EB9" s="81"/>
      <c r="EC9" s="81"/>
      <c r="ED9" s="81"/>
      <c r="EE9" s="80"/>
      <c r="EF9" s="73"/>
      <c r="EG9" s="65"/>
      <c r="EH9" s="66"/>
      <c r="EI9" s="83">
        <f>Dicembre25!$C$2</f>
        <v>8</v>
      </c>
      <c r="EJ9" s="84">
        <f>Dicembre25!$C$3</f>
        <v>8</v>
      </c>
      <c r="EK9" s="84">
        <f>Dicembre25!$C$4</f>
        <v>8</v>
      </c>
      <c r="EL9" s="84">
        <f>Dicembre25!$C$5</f>
        <v>8</v>
      </c>
      <c r="EM9" s="85">
        <f>Dicembre25!$C$6</f>
        <v>8</v>
      </c>
      <c r="EN9" s="85" t="str">
        <f>Dicembre25!$C$7</f>
        <v/>
      </c>
      <c r="EO9" s="84" t="str">
        <f>Dicembre25!$C$8</f>
        <v/>
      </c>
      <c r="EP9" s="84" t="str">
        <f>Dicembre25!$C$9</f>
        <v>F</v>
      </c>
      <c r="EQ9" s="84">
        <f>Dicembre25!$C$10</f>
        <v>8</v>
      </c>
      <c r="ER9" s="84">
        <f>Dicembre25!$C$11</f>
        <v>8</v>
      </c>
      <c r="ES9" s="84">
        <f>Dicembre25!$C$12</f>
        <v>8</v>
      </c>
      <c r="ET9" s="85">
        <f>Dicembre25!$C$13</f>
        <v>8</v>
      </c>
      <c r="EU9" s="85" t="str">
        <f>Dicembre25!$C$14</f>
        <v/>
      </c>
      <c r="EV9" s="84" t="str">
        <f>Dicembre25!$C$15</f>
        <v/>
      </c>
      <c r="EW9" s="84">
        <f>Dicembre25!$C$16</f>
        <v>8</v>
      </c>
      <c r="EX9" s="84">
        <f>Dicembre25!$C$17</f>
        <v>8</v>
      </c>
      <c r="EY9" s="84">
        <f>Dicembre25!$C$18</f>
        <v>8</v>
      </c>
      <c r="EZ9" s="84">
        <f>Dicembre25!$C$19</f>
        <v>8</v>
      </c>
      <c r="FA9" s="85">
        <f>Dicembre25!$C$20</f>
        <v>8</v>
      </c>
      <c r="FB9" s="85" t="str">
        <f>Dicembre25!$C$21</f>
        <v/>
      </c>
      <c r="FC9" s="84" t="str">
        <f>Dicembre25!$C$22</f>
        <v/>
      </c>
      <c r="FD9" s="84">
        <f>Dicembre25!$C$23</f>
        <v>8</v>
      </c>
      <c r="FE9" s="84">
        <f>Dicembre25!$C$24</f>
        <v>8</v>
      </c>
      <c r="FF9" s="84" t="str">
        <f>Dicembre25!$C$25</f>
        <v>Fe</v>
      </c>
      <c r="FG9" s="84" t="str">
        <f>Dicembre25!$C$26</f>
        <v>F</v>
      </c>
      <c r="FH9" s="85" t="str">
        <f>Dicembre25!$C$27</f>
        <v>F</v>
      </c>
      <c r="FI9" s="85" t="str">
        <f>Dicembre25!$C$28</f>
        <v/>
      </c>
      <c r="FJ9" s="84" t="str">
        <f>Dicembre25!$C$29</f>
        <v/>
      </c>
      <c r="FK9" s="84">
        <f>Dicembre25!$C$30</f>
        <v>8</v>
      </c>
      <c r="FL9" s="84">
        <f>Dicembre25!$C$31</f>
        <v>8</v>
      </c>
      <c r="FM9" s="86" t="str">
        <f>Dicembre25!$C$32</f>
        <v/>
      </c>
      <c r="FN9" s="78"/>
      <c r="FO9" s="79">
        <f>SUM(EI9:FM9)</f>
        <v>144</v>
      </c>
      <c r="FP9" s="80"/>
      <c r="FQ9" s="78"/>
      <c r="FR9" s="81"/>
      <c r="FS9" s="81"/>
      <c r="FT9" s="81"/>
      <c r="FU9" s="81"/>
      <c r="FV9" s="81"/>
      <c r="FW9" s="81"/>
      <c r="FX9" s="80"/>
      <c r="FY9" s="73"/>
      <c r="FZ9" s="65"/>
      <c r="GA9" s="66"/>
      <c r="GB9" s="83" t="str">
        <f>Gennaio26!$C$2</f>
        <v>F</v>
      </c>
      <c r="GC9" s="84" t="str">
        <f>Gennaio26!$C$3</f>
        <v>FE</v>
      </c>
      <c r="GD9" s="84" t="str">
        <f>Gennaio26!$C$4</f>
        <v/>
      </c>
      <c r="GE9" s="84" t="str">
        <f>Gennaio26!$C$5</f>
        <v/>
      </c>
      <c r="GF9" s="85" t="str">
        <f>Gennaio26!$C$6</f>
        <v>FE</v>
      </c>
      <c r="GG9" s="85" t="str">
        <f>Gennaio26!$C$7</f>
        <v>F</v>
      </c>
      <c r="GH9" s="85">
        <f>Gennaio26!$C$8</f>
        <v>8</v>
      </c>
      <c r="GI9" s="84">
        <f>Gennaio26!$C$9</f>
        <v>6</v>
      </c>
      <c r="GJ9" s="84">
        <f>Gennaio26!$C$10</f>
        <v>7</v>
      </c>
      <c r="GK9" s="84" t="str">
        <f>Gennaio26!$C$11</f>
        <v/>
      </c>
      <c r="GL9" s="84" t="str">
        <f>Gennaio26!$C$12</f>
        <v/>
      </c>
      <c r="GM9" s="85">
        <f>Gennaio26!$C$13</f>
        <v>8</v>
      </c>
      <c r="GN9" s="85">
        <f>Gennaio26!$C$14</f>
        <v>8</v>
      </c>
      <c r="GO9" s="84">
        <f>Gennaio26!$C$15</f>
        <v>8</v>
      </c>
      <c r="GP9" s="84">
        <f>Gennaio26!$C$16</f>
        <v>8</v>
      </c>
      <c r="GQ9" s="84">
        <f>Gennaio26!$C$17</f>
        <v>8</v>
      </c>
      <c r="GR9" s="84" t="str">
        <f>Gennaio26!$C$18</f>
        <v/>
      </c>
      <c r="GS9" s="84" t="str">
        <f>Gennaio26!$C$19</f>
        <v/>
      </c>
      <c r="GT9" s="85">
        <f>Gennaio26!$C$20</f>
        <v>8</v>
      </c>
      <c r="GU9" s="85">
        <f>Gennaio26!$C$21</f>
        <v>8</v>
      </c>
      <c r="GV9" s="84">
        <f>Gennaio26!$C$22</f>
        <v>8</v>
      </c>
      <c r="GW9" s="84">
        <f>Gennaio26!$C$23</f>
        <v>8</v>
      </c>
      <c r="GX9" s="84">
        <f>Gennaio26!$C$24</f>
        <v>8</v>
      </c>
      <c r="GY9" s="84" t="str">
        <f>Gennaio26!$C$25</f>
        <v/>
      </c>
      <c r="GZ9" s="84" t="str">
        <f>Gennaio26!$C$26</f>
        <v/>
      </c>
      <c r="HA9" s="85">
        <f>Gennaio26!$C$27</f>
        <v>8</v>
      </c>
      <c r="HB9" s="85">
        <f>Gennaio26!$C$28</f>
        <v>8</v>
      </c>
      <c r="HC9" s="84">
        <f>Gennaio26!$C$29</f>
        <v>8</v>
      </c>
      <c r="HD9" s="84" t="str">
        <f>Gennaio26!$C$30</f>
        <v>Pe</v>
      </c>
      <c r="HE9" s="84" t="str">
        <f>Gennaio26!$C$31</f>
        <v>Pe</v>
      </c>
      <c r="HF9" s="86" t="str">
        <f>Gennaio26!$C$32</f>
        <v/>
      </c>
      <c r="HG9" s="78"/>
      <c r="HH9" s="79">
        <f>SUM(GB9:HF9)</f>
        <v>125</v>
      </c>
      <c r="HI9" s="80"/>
      <c r="HJ9" s="78"/>
      <c r="HK9" s="81"/>
      <c r="HL9" s="81"/>
      <c r="HM9" s="81"/>
      <c r="HN9" s="81"/>
      <c r="HO9" s="81"/>
      <c r="HP9" s="81"/>
      <c r="HQ9" s="80"/>
      <c r="HR9" s="73"/>
      <c r="HS9" s="65"/>
      <c r="HT9" s="66"/>
      <c r="HU9" s="83" t="str">
        <f>Febbraio26!$C$2</f>
        <v/>
      </c>
      <c r="HV9" s="84">
        <f>Febbraio26!$C$3</f>
        <v>8</v>
      </c>
      <c r="HW9" s="84">
        <f>Febbraio26!$C$4</f>
        <v>8</v>
      </c>
      <c r="HX9" s="84">
        <f>Febbraio26!$C$5</f>
        <v>8</v>
      </c>
      <c r="HY9" s="85">
        <f>Febbraio26!$C$6</f>
        <v>8</v>
      </c>
      <c r="HZ9" s="85">
        <f>Febbraio26!$C$7</f>
        <v>8</v>
      </c>
      <c r="IA9" s="84" t="str">
        <f>Febbraio26!$C$8</f>
        <v/>
      </c>
      <c r="IB9" s="84" t="str">
        <f>Febbraio26!$C$9</f>
        <v/>
      </c>
      <c r="IC9" s="84">
        <f>Febbraio26!$C$10</f>
        <v>8</v>
      </c>
      <c r="ID9" s="84">
        <f>Febbraio26!$C$11</f>
        <v>8</v>
      </c>
      <c r="IE9" s="84">
        <f>Febbraio26!$C$12</f>
        <v>8</v>
      </c>
      <c r="IF9" s="85">
        <f>Febbraio26!$C$13</f>
        <v>8</v>
      </c>
      <c r="IG9" s="85">
        <f>Febbraio26!$C$14</f>
        <v>8</v>
      </c>
      <c r="IH9" s="84" t="str">
        <f>Febbraio26!$C$15</f>
        <v/>
      </c>
      <c r="II9" s="84" t="str">
        <f>Febbraio26!$C$16</f>
        <v/>
      </c>
      <c r="IJ9" s="84">
        <f>Febbraio26!$C$17</f>
        <v>8</v>
      </c>
      <c r="IK9" s="84">
        <f>Febbraio26!$C$18</f>
        <v>8</v>
      </c>
      <c r="IL9" s="84">
        <f>Febbraio26!$C$19</f>
        <v>8</v>
      </c>
      <c r="IM9" s="85">
        <f>Febbraio26!$C$20</f>
        <v>8</v>
      </c>
      <c r="IN9" s="85">
        <f>Febbraio26!$C$21</f>
        <v>8</v>
      </c>
      <c r="IO9" s="84" t="str">
        <f>Febbraio26!$C$22</f>
        <v/>
      </c>
      <c r="IP9" s="84" t="str">
        <f>Febbraio26!$C$23</f>
        <v/>
      </c>
      <c r="IQ9" s="84">
        <f>Febbraio26!$C$24</f>
        <v>8</v>
      </c>
      <c r="IR9" s="84">
        <f>Febbraio26!$C$25</f>
        <v>8</v>
      </c>
      <c r="IS9" s="84">
        <f>Febbraio26!$C$26</f>
        <v>8</v>
      </c>
      <c r="IT9" s="85">
        <f>Febbraio26!$C$27</f>
        <v>8</v>
      </c>
      <c r="IU9" s="85">
        <f>Febbraio26!$C$28</f>
        <v>8</v>
      </c>
      <c r="IV9" s="84" t="str">
        <f>Febbraio26!$C$29</f>
        <v/>
      </c>
      <c r="IW9" s="84" t="str">
        <f>Febbraio26!$C$30</f>
        <v/>
      </c>
      <c r="IX9" s="84" t="str">
        <f>Febbraio26!$C$31</f>
        <v/>
      </c>
      <c r="IY9" s="86" t="str">
        <f>Febbraio26!$C$32</f>
        <v/>
      </c>
      <c r="IZ9" s="78"/>
      <c r="JA9" s="79">
        <f>SUM(HU9:IY9)</f>
        <v>160</v>
      </c>
      <c r="JB9" s="80"/>
      <c r="JC9" s="78"/>
      <c r="JD9" s="81"/>
      <c r="JE9" s="81"/>
      <c r="JF9" s="81"/>
      <c r="JG9" s="81"/>
      <c r="JH9" s="81"/>
      <c r="JI9" s="81"/>
      <c r="JJ9" s="80"/>
      <c r="JK9" s="73"/>
      <c r="JL9" s="65"/>
      <c r="JM9" s="66"/>
      <c r="JN9" s="83" t="str">
        <f>Marzo26!$C$2</f>
        <v/>
      </c>
      <c r="JO9" s="84">
        <f>Marzo26!$C$3</f>
        <v>8</v>
      </c>
      <c r="JP9" s="84">
        <f>Marzo26!$C$4</f>
        <v>8</v>
      </c>
      <c r="JQ9" s="84">
        <f>Marzo26!$C$5</f>
        <v>8</v>
      </c>
      <c r="JR9" s="85">
        <f>Marzo26!$C$6</f>
        <v>8</v>
      </c>
      <c r="JS9" s="85">
        <f>Marzo26!$C$7</f>
        <v>8</v>
      </c>
      <c r="JT9" s="84" t="str">
        <f>Marzo26!$C$8</f>
        <v/>
      </c>
      <c r="JU9" s="84" t="str">
        <f>Marzo26!$C$9</f>
        <v/>
      </c>
      <c r="JV9" s="84">
        <f>Marzo26!$C$10</f>
        <v>8</v>
      </c>
      <c r="JW9" s="84">
        <f>Marzo26!$C$11</f>
        <v>8</v>
      </c>
      <c r="JX9" s="84">
        <f>Marzo26!$C$12</f>
        <v>8</v>
      </c>
      <c r="JY9" s="85">
        <f>Marzo26!$C$13</f>
        <v>8</v>
      </c>
      <c r="JZ9" s="85">
        <f>Marzo26!$C$14</f>
        <v>8</v>
      </c>
      <c r="KA9" s="84" t="str">
        <f>Marzo26!$C$15</f>
        <v/>
      </c>
      <c r="KB9" s="84" t="str">
        <f>Marzo26!$C$16</f>
        <v/>
      </c>
      <c r="KC9" s="84">
        <f>Marzo26!$C$17</f>
        <v>8</v>
      </c>
      <c r="KD9" s="84">
        <f>Marzo26!$C$18</f>
        <v>8</v>
      </c>
      <c r="KE9" s="84">
        <f>Marzo26!$C$19</f>
        <v>8</v>
      </c>
      <c r="KF9" s="85">
        <f>Marzo26!$C$20</f>
        <v>7</v>
      </c>
      <c r="KG9" s="85" t="str">
        <f>Marzo26!$C$21</f>
        <v/>
      </c>
      <c r="KH9" s="84" t="str">
        <f>Marzo26!$C$22</f>
        <v/>
      </c>
      <c r="KI9" s="84" t="str">
        <f>Marzo26!$C$23</f>
        <v/>
      </c>
      <c r="KJ9" s="84">
        <f>Marzo26!$C$24</f>
        <v>8</v>
      </c>
      <c r="KK9" s="84">
        <f>Marzo26!$C$25</f>
        <v>8</v>
      </c>
      <c r="KL9" s="84">
        <f>Marzo26!$C$26</f>
        <v>8</v>
      </c>
      <c r="KM9" s="85">
        <f>Marzo26!$C$27</f>
        <v>8</v>
      </c>
      <c r="KN9" s="85">
        <f>Marzo26!$C$28</f>
        <v>8</v>
      </c>
      <c r="KO9" s="84" t="str">
        <f>Marzo26!$C$29</f>
        <v/>
      </c>
      <c r="KP9" s="84" t="str">
        <f>Marzo26!$C$30</f>
        <v/>
      </c>
      <c r="KQ9" s="84">
        <f>Marzo26!$C$31</f>
        <v>8</v>
      </c>
      <c r="KR9" s="86" t="str">
        <f>Marzo26!$C$32</f>
        <v/>
      </c>
      <c r="KS9" s="78"/>
      <c r="KT9" s="79">
        <f>SUM(JN9:KR9)</f>
        <v>159</v>
      </c>
      <c r="KU9" s="80"/>
      <c r="KV9" s="78"/>
      <c r="KW9" s="81"/>
      <c r="KX9" s="81"/>
      <c r="KY9" s="81"/>
      <c r="KZ9" s="81"/>
      <c r="LA9" s="81"/>
      <c r="LB9" s="81"/>
      <c r="LC9" s="80"/>
      <c r="LD9" s="73"/>
      <c r="LE9" s="65"/>
      <c r="LF9" s="66"/>
      <c r="LG9" s="83" t="str">
        <f>Aprile26!$C$2</f>
        <v/>
      </c>
      <c r="LH9" s="84" t="str">
        <f>Aprile26!$C$3</f>
        <v/>
      </c>
      <c r="LI9" s="84" t="str">
        <f>Aprile26!$C$4</f>
        <v/>
      </c>
      <c r="LJ9" s="84" t="str">
        <f>Aprile26!$C$5</f>
        <v/>
      </c>
      <c r="LK9" s="85" t="str">
        <f>Aprile26!$C$6</f>
        <v/>
      </c>
      <c r="LL9" s="85" t="str">
        <f>Aprile26!$C$7</f>
        <v/>
      </c>
      <c r="LM9" s="84" t="str">
        <f>Aprile26!$C$8</f>
        <v/>
      </c>
      <c r="LN9" s="84" t="str">
        <f>Aprile26!$C$9</f>
        <v/>
      </c>
      <c r="LO9" s="84" t="str">
        <f>Aprile26!$C$10</f>
        <v/>
      </c>
      <c r="LP9" s="84" t="str">
        <f>Aprile26!$C$11</f>
        <v/>
      </c>
      <c r="LQ9" s="84" t="str">
        <f>Aprile26!$C$12</f>
        <v/>
      </c>
      <c r="LR9" s="85" t="str">
        <f>Aprile26!$C$13</f>
        <v/>
      </c>
      <c r="LS9" s="85" t="str">
        <f>Aprile26!$C$14</f>
        <v/>
      </c>
      <c r="LT9" s="84" t="str">
        <f>Aprile26!$C$15</f>
        <v/>
      </c>
      <c r="LU9" s="84" t="str">
        <f>Aprile26!$C$16</f>
        <v/>
      </c>
      <c r="LV9" s="84" t="str">
        <f>Aprile26!$C$17</f>
        <v/>
      </c>
      <c r="LW9" s="84" t="str">
        <f>Aprile26!$C$18</f>
        <v/>
      </c>
      <c r="LX9" s="84" t="str">
        <f>Aprile26!$C$19</f>
        <v/>
      </c>
      <c r="LY9" s="85" t="str">
        <f>Aprile26!$C$20</f>
        <v/>
      </c>
      <c r="LZ9" s="85" t="str">
        <f>Aprile26!$C$21</f>
        <v/>
      </c>
      <c r="MA9" s="84" t="str">
        <f>Aprile26!$C$22</f>
        <v/>
      </c>
      <c r="MB9" s="84" t="str">
        <f>Aprile26!$C$23</f>
        <v/>
      </c>
      <c r="MC9" s="84" t="str">
        <f>Aprile26!$C$24</f>
        <v/>
      </c>
      <c r="MD9" s="84" t="str">
        <f>Aprile26!$C$25</f>
        <v/>
      </c>
      <c r="ME9" s="84" t="str">
        <f>Aprile26!$C$26</f>
        <v/>
      </c>
      <c r="MF9" s="85" t="str">
        <f>Aprile26!$C$27</f>
        <v/>
      </c>
      <c r="MG9" s="85" t="str">
        <f>Aprile26!$C$28</f>
        <v/>
      </c>
      <c r="MH9" s="84" t="str">
        <f>Aprile26!$C$29</f>
        <v/>
      </c>
      <c r="MI9" s="84" t="str">
        <f>Aprile26!$C$30</f>
        <v/>
      </c>
      <c r="MJ9" s="84" t="str">
        <f>Aprile26!$C$31</f>
        <v/>
      </c>
      <c r="MK9" s="86" t="str">
        <f>Aprile26!$C$32</f>
        <v/>
      </c>
      <c r="ML9" s="78"/>
      <c r="MM9" s="79">
        <f>SUM(LG9:MK9)</f>
        <v>0</v>
      </c>
      <c r="MN9" s="80"/>
      <c r="MO9" s="78"/>
      <c r="MP9" s="81"/>
      <c r="MQ9" s="81"/>
      <c r="MR9" s="81"/>
      <c r="MS9" s="81"/>
      <c r="MT9" s="81"/>
      <c r="MU9" s="81"/>
      <c r="MV9" s="82"/>
      <c r="MW9" s="73"/>
      <c r="MX9" s="65"/>
      <c r="MY9" s="66"/>
      <c r="MZ9" s="83" t="str">
        <f>Maggio26!$C$2</f>
        <v/>
      </c>
      <c r="NA9" s="84" t="str">
        <f>Maggio26!$C$3</f>
        <v/>
      </c>
      <c r="NB9" s="84" t="str">
        <f>Maggio26!$C$4</f>
        <v/>
      </c>
      <c r="NC9" s="84" t="str">
        <f>Maggio26!$C$5</f>
        <v/>
      </c>
      <c r="ND9" s="85" t="str">
        <f>Maggio26!$C$6</f>
        <v/>
      </c>
      <c r="NE9" s="85" t="str">
        <f>Maggio26!$C$7</f>
        <v/>
      </c>
      <c r="NF9" s="84" t="str">
        <f>Maggio26!$C$8</f>
        <v/>
      </c>
      <c r="NG9" s="84" t="str">
        <f>Maggio26!$C$9</f>
        <v/>
      </c>
      <c r="NH9" s="84" t="str">
        <f>Maggio26!$C$10</f>
        <v/>
      </c>
      <c r="NI9" s="84" t="str">
        <f>Maggio26!$C$11</f>
        <v/>
      </c>
      <c r="NJ9" s="84" t="str">
        <f>Maggio26!$C$12</f>
        <v/>
      </c>
      <c r="NK9" s="85" t="str">
        <f>Maggio26!$C$13</f>
        <v/>
      </c>
      <c r="NL9" s="85" t="str">
        <f>Maggio26!$C$14</f>
        <v/>
      </c>
      <c r="NM9" s="84" t="str">
        <f>Maggio26!$C$15</f>
        <v/>
      </c>
      <c r="NN9" s="84" t="str">
        <f>Maggio26!$C$16</f>
        <v/>
      </c>
      <c r="NO9" s="84" t="str">
        <f>Maggio26!$C$17</f>
        <v/>
      </c>
      <c r="NP9" s="84" t="str">
        <f>Maggio26!$C$18</f>
        <v/>
      </c>
      <c r="NQ9" s="84" t="str">
        <f>Maggio26!$C$19</f>
        <v/>
      </c>
      <c r="NR9" s="85" t="str">
        <f>Maggio26!$C$20</f>
        <v/>
      </c>
      <c r="NS9" s="85" t="str">
        <f>Maggio26!$C$21</f>
        <v/>
      </c>
      <c r="NT9" s="84" t="str">
        <f>Maggio26!$C$22</f>
        <v/>
      </c>
      <c r="NU9" s="84" t="str">
        <f>Maggio26!$C$23</f>
        <v/>
      </c>
      <c r="NV9" s="84" t="str">
        <f>Maggio26!$C$24</f>
        <v/>
      </c>
      <c r="NW9" s="84" t="str">
        <f>Maggio26!$C$25</f>
        <v/>
      </c>
      <c r="NX9" s="84" t="str">
        <f>Maggio26!$C$26</f>
        <v/>
      </c>
      <c r="NY9" s="85" t="str">
        <f>Maggio26!$C$27</f>
        <v/>
      </c>
      <c r="NZ9" s="85" t="str">
        <f>Maggio26!$C$28</f>
        <v/>
      </c>
      <c r="OA9" s="84" t="str">
        <f>Maggio26!$C$29</f>
        <v/>
      </c>
      <c r="OB9" s="84" t="str">
        <f>Maggio26!$C$30</f>
        <v/>
      </c>
      <c r="OC9" s="84" t="str">
        <f>Maggio26!$C$31</f>
        <v/>
      </c>
      <c r="OD9" s="86" t="str">
        <f>Maggio26!$C$32</f>
        <v/>
      </c>
      <c r="OE9" s="78"/>
      <c r="OF9" s="79">
        <f>SUM(MZ9:OD9)</f>
        <v>0</v>
      </c>
      <c r="OG9" s="80"/>
      <c r="OH9" s="78"/>
      <c r="OI9" s="81"/>
      <c r="OJ9" s="81"/>
      <c r="OK9" s="81"/>
      <c r="OL9" s="81"/>
      <c r="OM9" s="81"/>
      <c r="ON9" s="81"/>
      <c r="OO9" s="82"/>
      <c r="OP9" s="73"/>
      <c r="OQ9" s="65"/>
      <c r="OR9" s="66"/>
      <c r="OS9" s="83" t="str">
        <f>Giugno26!$C$2</f>
        <v/>
      </c>
      <c r="OT9" s="84" t="str">
        <f>Giugno26!$C$3</f>
        <v/>
      </c>
      <c r="OU9" s="84" t="str">
        <f>Giugno26!$C$4</f>
        <v/>
      </c>
      <c r="OV9" s="84" t="str">
        <f>Giugno26!$C$5</f>
        <v/>
      </c>
      <c r="OW9" s="85" t="str">
        <f>Giugno26!$C$6</f>
        <v/>
      </c>
      <c r="OX9" s="85" t="str">
        <f>Giugno26!$C$7</f>
        <v/>
      </c>
      <c r="OY9" s="84" t="str">
        <f>Giugno26!$C$8</f>
        <v/>
      </c>
      <c r="OZ9" s="84" t="str">
        <f>Giugno26!$C$9</f>
        <v/>
      </c>
      <c r="PA9" s="84" t="str">
        <f>Giugno26!$C$10</f>
        <v/>
      </c>
      <c r="PB9" s="84" t="str">
        <f>Giugno26!$C$11</f>
        <v/>
      </c>
      <c r="PC9" s="84" t="str">
        <f>Giugno26!$C$12</f>
        <v/>
      </c>
      <c r="PD9" s="85" t="str">
        <f>Giugno26!$C$13</f>
        <v/>
      </c>
      <c r="PE9" s="85" t="str">
        <f>Giugno26!$C$14</f>
        <v/>
      </c>
      <c r="PF9" s="84" t="str">
        <f>Giugno26!$C$15</f>
        <v/>
      </c>
      <c r="PG9" s="84" t="str">
        <f>Giugno26!$C$16</f>
        <v/>
      </c>
      <c r="PH9" s="84" t="str">
        <f>Giugno26!$C$17</f>
        <v/>
      </c>
      <c r="PI9" s="84" t="str">
        <f>Giugno26!$C$18</f>
        <v/>
      </c>
      <c r="PJ9" s="84" t="str">
        <f>Giugno26!$C$19</f>
        <v/>
      </c>
      <c r="PK9" s="85" t="str">
        <f>Giugno26!$C$20</f>
        <v/>
      </c>
      <c r="PL9" s="85" t="str">
        <f>Giugno26!$C$21</f>
        <v/>
      </c>
      <c r="PM9" s="84" t="str">
        <f>Giugno26!$C$22</f>
        <v/>
      </c>
      <c r="PN9" s="84" t="str">
        <f>Giugno26!$C$23</f>
        <v/>
      </c>
      <c r="PO9" s="84" t="str">
        <f>Giugno26!$C$24</f>
        <v/>
      </c>
      <c r="PP9" s="84" t="str">
        <f>Giugno26!$C$25</f>
        <v/>
      </c>
      <c r="PQ9" s="84" t="str">
        <f>Giugno26!$C$26</f>
        <v/>
      </c>
      <c r="PR9" s="85" t="str">
        <f>Giugno26!$C$27</f>
        <v/>
      </c>
      <c r="PS9" s="85" t="str">
        <f>Giugno26!$C$28</f>
        <v/>
      </c>
      <c r="PT9" s="84" t="str">
        <f>Giugno26!$C$29</f>
        <v/>
      </c>
      <c r="PU9" s="84" t="str">
        <f>Giugno26!$C$30</f>
        <v/>
      </c>
      <c r="PV9" s="84" t="str">
        <f>Giugno26!$C$31</f>
        <v/>
      </c>
      <c r="PW9" s="86" t="str">
        <f>Giugno26!$C$32</f>
        <v/>
      </c>
      <c r="PX9" s="78"/>
      <c r="PY9" s="79">
        <f>SUM(OS9:PW9)</f>
        <v>0</v>
      </c>
      <c r="PZ9" s="80"/>
      <c r="QA9" s="78"/>
      <c r="QB9" s="81"/>
      <c r="QC9" s="81"/>
      <c r="QD9" s="81"/>
      <c r="QE9" s="81"/>
      <c r="QF9" s="81"/>
      <c r="QG9" s="81"/>
      <c r="QH9" s="82"/>
      <c r="QI9" s="73"/>
      <c r="QJ9" s="65"/>
      <c r="QK9" s="66"/>
      <c r="QL9" s="83" t="str">
        <f>Luglio26!$C$2</f>
        <v/>
      </c>
      <c r="QM9" s="84" t="str">
        <f>Luglio26!$C$3</f>
        <v/>
      </c>
      <c r="QN9" s="84" t="str">
        <f>Luglio26!$C$4</f>
        <v/>
      </c>
      <c r="QO9" s="84" t="str">
        <f>Luglio26!$C$5</f>
        <v/>
      </c>
      <c r="QP9" s="85" t="str">
        <f>Luglio26!$C$6</f>
        <v/>
      </c>
      <c r="QQ9" s="85" t="str">
        <f>Luglio26!$C$7</f>
        <v/>
      </c>
      <c r="QR9" s="84" t="str">
        <f>Luglio26!$C$8</f>
        <v/>
      </c>
      <c r="QS9" s="84" t="str">
        <f>Luglio26!$C$9</f>
        <v/>
      </c>
      <c r="QT9" s="84" t="str">
        <f>Luglio26!$C$10</f>
        <v/>
      </c>
      <c r="QU9" s="84" t="str">
        <f>Luglio26!$C$11</f>
        <v/>
      </c>
      <c r="QV9" s="84" t="str">
        <f>Luglio26!$C$12</f>
        <v/>
      </c>
      <c r="QW9" s="85" t="str">
        <f>Luglio26!$C$13</f>
        <v/>
      </c>
      <c r="QX9" s="85" t="str">
        <f>Luglio26!$C$14</f>
        <v/>
      </c>
      <c r="QY9" s="84" t="str">
        <f>Luglio26!$C$15</f>
        <v/>
      </c>
      <c r="QZ9" s="84" t="str">
        <f>Luglio26!$C$16</f>
        <v/>
      </c>
      <c r="RA9" s="84" t="str">
        <f>Luglio26!$C$17</f>
        <v/>
      </c>
      <c r="RB9" s="84" t="str">
        <f>Luglio26!$C$18</f>
        <v/>
      </c>
      <c r="RC9" s="84" t="str">
        <f>Luglio26!$C$19</f>
        <v/>
      </c>
      <c r="RD9" s="85" t="str">
        <f>Luglio26!$C$20</f>
        <v/>
      </c>
      <c r="RE9" s="85" t="str">
        <f>Luglio26!$C$21</f>
        <v/>
      </c>
      <c r="RF9" s="84" t="str">
        <f>Luglio26!$C$22</f>
        <v/>
      </c>
      <c r="RG9" s="84" t="str">
        <f>Luglio26!$C$23</f>
        <v/>
      </c>
      <c r="RH9" s="84" t="str">
        <f>Luglio26!$C$24</f>
        <v/>
      </c>
      <c r="RI9" s="84" t="str">
        <f>Luglio26!$C$25</f>
        <v/>
      </c>
      <c r="RJ9" s="84" t="str">
        <f>Luglio26!$C$26</f>
        <v/>
      </c>
      <c r="RK9" s="85" t="str">
        <f>Luglio26!$C$27</f>
        <v/>
      </c>
      <c r="RL9" s="85" t="str">
        <f>Luglio26!$C$28</f>
        <v/>
      </c>
      <c r="RM9" s="84" t="str">
        <f>Luglio26!$C$29</f>
        <v/>
      </c>
      <c r="RN9" s="84" t="str">
        <f>Luglio26!$C$30</f>
        <v/>
      </c>
      <c r="RO9" s="84" t="str">
        <f>Luglio26!$C$31</f>
        <v/>
      </c>
      <c r="RP9" s="86" t="str">
        <f>Luglio26!$C$32</f>
        <v/>
      </c>
      <c r="RQ9" s="78"/>
      <c r="RR9" s="79">
        <f>SUM(QL9:RP9)</f>
        <v>0</v>
      </c>
      <c r="RS9" s="80"/>
      <c r="RT9" s="78"/>
      <c r="RU9" s="81"/>
      <c r="RV9" s="81"/>
      <c r="RW9" s="81"/>
      <c r="RX9" s="81"/>
      <c r="RY9" s="81"/>
      <c r="RZ9" s="81"/>
      <c r="SA9" s="82"/>
      <c r="SB9" s="73"/>
      <c r="SC9" s="65"/>
      <c r="SD9" s="66"/>
      <c r="SE9" s="83" t="str">
        <f>Agosto26!$C$2</f>
        <v/>
      </c>
      <c r="SF9" s="84" t="str">
        <f>Agosto26!$C$3</f>
        <v/>
      </c>
      <c r="SG9" s="84" t="str">
        <f>Agosto26!$C$4</f>
        <v/>
      </c>
      <c r="SH9" s="84" t="str">
        <f>Agosto26!$C$5</f>
        <v/>
      </c>
      <c r="SI9" s="85" t="str">
        <f>Agosto26!$C$6</f>
        <v/>
      </c>
      <c r="SJ9" s="85" t="str">
        <f>Agosto26!$C$7</f>
        <v/>
      </c>
      <c r="SK9" s="84" t="str">
        <f>Agosto26!$C$8</f>
        <v/>
      </c>
      <c r="SL9" s="84" t="str">
        <f>Agosto26!$C$9</f>
        <v/>
      </c>
      <c r="SM9" s="84" t="str">
        <f>Agosto26!$C$10</f>
        <v/>
      </c>
      <c r="SN9" s="84" t="str">
        <f>Agosto26!$C$11</f>
        <v/>
      </c>
      <c r="SO9" s="84" t="str">
        <f>Agosto26!$C$12</f>
        <v/>
      </c>
      <c r="SP9" s="85" t="str">
        <f>Agosto26!$C$13</f>
        <v/>
      </c>
      <c r="SQ9" s="85" t="str">
        <f>Agosto26!$C$14</f>
        <v/>
      </c>
      <c r="SR9" s="84" t="str">
        <f>Agosto26!$C$15</f>
        <v/>
      </c>
      <c r="SS9" s="84" t="str">
        <f>Agosto26!$C$16</f>
        <v/>
      </c>
      <c r="ST9" s="84" t="str">
        <f>Agosto26!$C$17</f>
        <v/>
      </c>
      <c r="SU9" s="84" t="str">
        <f>Agosto26!$C$18</f>
        <v/>
      </c>
      <c r="SV9" s="84" t="str">
        <f>Agosto26!$C$19</f>
        <v/>
      </c>
      <c r="SW9" s="85" t="str">
        <f>Agosto26!$C$20</f>
        <v/>
      </c>
      <c r="SX9" s="85" t="str">
        <f>Agosto26!$C$21</f>
        <v/>
      </c>
      <c r="SY9" s="84" t="str">
        <f>Agosto26!$C$22</f>
        <v/>
      </c>
      <c r="SZ9" s="84" t="str">
        <f>Agosto26!$C$23</f>
        <v/>
      </c>
      <c r="TA9" s="84" t="str">
        <f>Agosto26!$C$24</f>
        <v/>
      </c>
      <c r="TB9" s="84" t="str">
        <f>Agosto26!$C$25</f>
        <v/>
      </c>
      <c r="TC9" s="84" t="str">
        <f>Agosto26!$C$26</f>
        <v/>
      </c>
      <c r="TD9" s="85" t="str">
        <f>Agosto26!$C$27</f>
        <v/>
      </c>
      <c r="TE9" s="85" t="str">
        <f>Agosto26!$C$28</f>
        <v/>
      </c>
      <c r="TF9" s="84" t="str">
        <f>Agosto26!$C$29</f>
        <v/>
      </c>
      <c r="TG9" s="84" t="str">
        <f>Agosto26!$C$30</f>
        <v/>
      </c>
      <c r="TH9" s="84" t="str">
        <f>Agosto26!$C$31</f>
        <v/>
      </c>
      <c r="TI9" s="86" t="str">
        <f>Agosto26!$C$32</f>
        <v/>
      </c>
      <c r="TJ9" s="78"/>
      <c r="TK9" s="79">
        <f>SUM(SE9:TI9)</f>
        <v>0</v>
      </c>
      <c r="TL9" s="80"/>
      <c r="TM9" s="78"/>
      <c r="TN9" s="81"/>
      <c r="TO9" s="81"/>
      <c r="TP9" s="81"/>
      <c r="TQ9" s="81"/>
      <c r="TR9" s="81"/>
      <c r="TS9" s="81"/>
      <c r="TT9" s="80"/>
    </row>
    <row r="10" ht="24.75" customHeight="1">
      <c r="A10" s="91" t="s">
        <v>39</v>
      </c>
      <c r="B10" s="65"/>
      <c r="C10" s="66"/>
      <c r="D10" s="92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93"/>
      <c r="AI10" s="78"/>
      <c r="AJ10" s="81"/>
      <c r="AK10" s="94">
        <f>SUM(D10:AG10)</f>
        <v>0</v>
      </c>
      <c r="AL10" s="78"/>
      <c r="AM10" s="81"/>
      <c r="AN10" s="81"/>
      <c r="AO10" s="81"/>
      <c r="AP10" s="81"/>
      <c r="AQ10" s="81"/>
      <c r="AR10" s="81"/>
      <c r="AS10" s="82"/>
      <c r="AT10" s="91" t="s">
        <v>39</v>
      </c>
      <c r="AU10" s="65"/>
      <c r="AV10" s="66"/>
      <c r="AW10" s="92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95"/>
      <c r="CB10" s="78"/>
      <c r="CC10" s="81"/>
      <c r="CD10" s="94">
        <f>SUM(AW10:BZ10)</f>
        <v>0</v>
      </c>
      <c r="CE10" s="78"/>
      <c r="CF10" s="81"/>
      <c r="CG10" s="81"/>
      <c r="CH10" s="81"/>
      <c r="CI10" s="81"/>
      <c r="CJ10" s="81"/>
      <c r="CK10" s="81"/>
      <c r="CL10" s="82"/>
      <c r="CM10" s="91" t="s">
        <v>39</v>
      </c>
      <c r="CN10" s="65"/>
      <c r="CO10" s="66"/>
      <c r="CP10" s="92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95"/>
      <c r="DU10" s="78"/>
      <c r="DV10" s="81"/>
      <c r="DW10" s="94">
        <f>SUM(CP10:DS10)</f>
        <v>0</v>
      </c>
      <c r="DX10" s="78"/>
      <c r="DY10" s="81"/>
      <c r="DZ10" s="81"/>
      <c r="EA10" s="81"/>
      <c r="EB10" s="81"/>
      <c r="EC10" s="81"/>
      <c r="ED10" s="81"/>
      <c r="EE10" s="80"/>
      <c r="EF10" s="91" t="s">
        <v>39</v>
      </c>
      <c r="EG10" s="65"/>
      <c r="EH10" s="66"/>
      <c r="EI10" s="92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95"/>
      <c r="FN10" s="78"/>
      <c r="FO10" s="81"/>
      <c r="FP10" s="94">
        <f>SUM(EI10:FL10)</f>
        <v>0</v>
      </c>
      <c r="FQ10" s="78"/>
      <c r="FR10" s="81"/>
      <c r="FS10" s="81"/>
      <c r="FT10" s="81"/>
      <c r="FU10" s="81"/>
      <c r="FV10" s="81"/>
      <c r="FW10" s="81"/>
      <c r="FX10" s="80"/>
      <c r="FY10" s="91" t="s">
        <v>39</v>
      </c>
      <c r="FZ10" s="65"/>
      <c r="GA10" s="66"/>
      <c r="GB10" s="92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  <c r="HC10" s="85"/>
      <c r="HD10" s="85"/>
      <c r="HE10" s="85"/>
      <c r="HF10" s="95"/>
      <c r="HG10" s="78"/>
      <c r="HH10" s="81"/>
      <c r="HI10" s="94">
        <f>SUM(GB10:HE10)</f>
        <v>0</v>
      </c>
      <c r="HJ10" s="78"/>
      <c r="HK10" s="81"/>
      <c r="HL10" s="81"/>
      <c r="HM10" s="81"/>
      <c r="HN10" s="81"/>
      <c r="HO10" s="81"/>
      <c r="HP10" s="81"/>
      <c r="HQ10" s="80"/>
      <c r="HR10" s="91" t="s">
        <v>39</v>
      </c>
      <c r="HS10" s="65"/>
      <c r="HT10" s="66"/>
      <c r="HU10" s="92"/>
      <c r="HV10" s="85"/>
      <c r="HW10" s="85"/>
      <c r="HX10" s="85"/>
      <c r="HY10" s="85"/>
      <c r="HZ10" s="85"/>
      <c r="IA10" s="85"/>
      <c r="IB10" s="85"/>
      <c r="IC10" s="85"/>
      <c r="ID10" s="85"/>
      <c r="IE10" s="85"/>
      <c r="IF10" s="85"/>
      <c r="IG10" s="85"/>
      <c r="IH10" s="85"/>
      <c r="II10" s="85"/>
      <c r="IJ10" s="85"/>
      <c r="IK10" s="85"/>
      <c r="IL10" s="85"/>
      <c r="IM10" s="85"/>
      <c r="IN10" s="85"/>
      <c r="IO10" s="85"/>
      <c r="IP10" s="85"/>
      <c r="IQ10" s="85"/>
      <c r="IR10" s="85"/>
      <c r="IS10" s="85"/>
      <c r="IT10" s="85"/>
      <c r="IU10" s="85"/>
      <c r="IV10" s="85"/>
      <c r="IW10" s="85"/>
      <c r="IX10" s="85"/>
      <c r="IY10" s="95"/>
      <c r="IZ10" s="78"/>
      <c r="JA10" s="81"/>
      <c r="JB10" s="94">
        <f>SUM(HU10:IX10)</f>
        <v>0</v>
      </c>
      <c r="JC10" s="78"/>
      <c r="JD10" s="81"/>
      <c r="JE10" s="81"/>
      <c r="JF10" s="81"/>
      <c r="JG10" s="81"/>
      <c r="JH10" s="81"/>
      <c r="JI10" s="81"/>
      <c r="JJ10" s="80"/>
      <c r="JK10" s="91" t="s">
        <v>39</v>
      </c>
      <c r="JL10" s="65"/>
      <c r="JM10" s="66"/>
      <c r="JN10" s="92"/>
      <c r="JO10" s="85"/>
      <c r="JP10" s="85"/>
      <c r="JQ10" s="85"/>
      <c r="JR10" s="85"/>
      <c r="JS10" s="85"/>
      <c r="JT10" s="85"/>
      <c r="JU10" s="85"/>
      <c r="JV10" s="85"/>
      <c r="JW10" s="85"/>
      <c r="JX10" s="85"/>
      <c r="JY10" s="85"/>
      <c r="JZ10" s="85"/>
      <c r="KA10" s="85"/>
      <c r="KB10" s="85"/>
      <c r="KC10" s="85"/>
      <c r="KD10" s="85"/>
      <c r="KE10" s="85"/>
      <c r="KF10" s="85"/>
      <c r="KG10" s="85"/>
      <c r="KH10" s="85"/>
      <c r="KI10" s="85"/>
      <c r="KJ10" s="85"/>
      <c r="KK10" s="85"/>
      <c r="KL10" s="85"/>
      <c r="KM10" s="85"/>
      <c r="KN10" s="85"/>
      <c r="KO10" s="85"/>
      <c r="KP10" s="85"/>
      <c r="KQ10" s="85"/>
      <c r="KR10" s="95"/>
      <c r="KS10" s="78"/>
      <c r="KT10" s="81"/>
      <c r="KU10" s="94">
        <f>SUM(JN10:KQ10)</f>
        <v>0</v>
      </c>
      <c r="KV10" s="78"/>
      <c r="KW10" s="81"/>
      <c r="KX10" s="81"/>
      <c r="KY10" s="81"/>
      <c r="KZ10" s="81"/>
      <c r="LA10" s="81"/>
      <c r="LB10" s="81"/>
      <c r="LC10" s="80"/>
      <c r="LD10" s="91" t="s">
        <v>39</v>
      </c>
      <c r="LE10" s="65"/>
      <c r="LF10" s="66"/>
      <c r="LG10" s="92"/>
      <c r="LH10" s="85"/>
      <c r="LI10" s="85"/>
      <c r="LJ10" s="85"/>
      <c r="LK10" s="85"/>
      <c r="LL10" s="85"/>
      <c r="LM10" s="85"/>
      <c r="LN10" s="85"/>
      <c r="LO10" s="85"/>
      <c r="LP10" s="85"/>
      <c r="LQ10" s="85"/>
      <c r="LR10" s="85"/>
      <c r="LS10" s="85"/>
      <c r="LT10" s="85"/>
      <c r="LU10" s="85"/>
      <c r="LV10" s="85"/>
      <c r="LW10" s="85"/>
      <c r="LX10" s="85"/>
      <c r="LY10" s="85"/>
      <c r="LZ10" s="85"/>
      <c r="MA10" s="85"/>
      <c r="MB10" s="85"/>
      <c r="MC10" s="85"/>
      <c r="MD10" s="85"/>
      <c r="ME10" s="85"/>
      <c r="MF10" s="85"/>
      <c r="MG10" s="85"/>
      <c r="MH10" s="85"/>
      <c r="MI10" s="85"/>
      <c r="MJ10" s="85"/>
      <c r="MK10" s="95"/>
      <c r="ML10" s="78"/>
      <c r="MM10" s="81"/>
      <c r="MN10" s="94">
        <f>SUM(LG10:MJ10)</f>
        <v>0</v>
      </c>
      <c r="MO10" s="78"/>
      <c r="MP10" s="81"/>
      <c r="MQ10" s="81"/>
      <c r="MR10" s="81"/>
      <c r="MS10" s="81"/>
      <c r="MT10" s="81"/>
      <c r="MU10" s="81"/>
      <c r="MV10" s="82"/>
      <c r="MW10" s="91" t="s">
        <v>39</v>
      </c>
      <c r="MX10" s="65"/>
      <c r="MY10" s="66"/>
      <c r="MZ10" s="92"/>
      <c r="NA10" s="85"/>
      <c r="NB10" s="85"/>
      <c r="NC10" s="85"/>
      <c r="ND10" s="85"/>
      <c r="NE10" s="85"/>
      <c r="NF10" s="85"/>
      <c r="NG10" s="85"/>
      <c r="NH10" s="85"/>
      <c r="NI10" s="85"/>
      <c r="NJ10" s="85"/>
      <c r="NK10" s="85"/>
      <c r="NL10" s="85"/>
      <c r="NM10" s="85"/>
      <c r="NN10" s="85"/>
      <c r="NO10" s="85"/>
      <c r="NP10" s="85"/>
      <c r="NQ10" s="85"/>
      <c r="NR10" s="85"/>
      <c r="NS10" s="85"/>
      <c r="NT10" s="85"/>
      <c r="NU10" s="85"/>
      <c r="NV10" s="85"/>
      <c r="NW10" s="85"/>
      <c r="NX10" s="85"/>
      <c r="NY10" s="85"/>
      <c r="NZ10" s="85"/>
      <c r="OA10" s="85"/>
      <c r="OB10" s="85"/>
      <c r="OC10" s="85"/>
      <c r="OD10" s="95"/>
      <c r="OE10" s="78"/>
      <c r="OF10" s="81"/>
      <c r="OG10" s="94">
        <f>SUM(MZ10:OC10)</f>
        <v>0</v>
      </c>
      <c r="OH10" s="78"/>
      <c r="OI10" s="81"/>
      <c r="OJ10" s="81"/>
      <c r="OK10" s="81"/>
      <c r="OL10" s="81"/>
      <c r="OM10" s="81"/>
      <c r="ON10" s="81"/>
      <c r="OO10" s="82"/>
      <c r="OP10" s="91" t="s">
        <v>39</v>
      </c>
      <c r="OQ10" s="65"/>
      <c r="OR10" s="66"/>
      <c r="OS10" s="92"/>
      <c r="OT10" s="85"/>
      <c r="OU10" s="85"/>
      <c r="OV10" s="85"/>
      <c r="OW10" s="85"/>
      <c r="OX10" s="85"/>
      <c r="OY10" s="85"/>
      <c r="OZ10" s="85"/>
      <c r="PA10" s="85"/>
      <c r="PB10" s="85"/>
      <c r="PC10" s="85"/>
      <c r="PD10" s="85"/>
      <c r="PE10" s="85"/>
      <c r="PF10" s="85"/>
      <c r="PG10" s="85"/>
      <c r="PH10" s="85"/>
      <c r="PI10" s="85"/>
      <c r="PJ10" s="85"/>
      <c r="PK10" s="85"/>
      <c r="PL10" s="85"/>
      <c r="PM10" s="85"/>
      <c r="PN10" s="85"/>
      <c r="PO10" s="85"/>
      <c r="PP10" s="85"/>
      <c r="PQ10" s="85"/>
      <c r="PR10" s="85"/>
      <c r="PS10" s="85"/>
      <c r="PT10" s="85"/>
      <c r="PU10" s="85"/>
      <c r="PV10" s="85"/>
      <c r="PW10" s="95"/>
      <c r="PX10" s="78"/>
      <c r="PY10" s="81"/>
      <c r="PZ10" s="94">
        <f>SUM(OS10:PV10)</f>
        <v>0</v>
      </c>
      <c r="QA10" s="78"/>
      <c r="QB10" s="81"/>
      <c r="QC10" s="81"/>
      <c r="QD10" s="81"/>
      <c r="QE10" s="81"/>
      <c r="QF10" s="81"/>
      <c r="QG10" s="81"/>
      <c r="QH10" s="82"/>
      <c r="QI10" s="91" t="s">
        <v>39</v>
      </c>
      <c r="QJ10" s="65"/>
      <c r="QK10" s="66"/>
      <c r="QL10" s="92"/>
      <c r="QM10" s="85"/>
      <c r="QN10" s="85"/>
      <c r="QO10" s="85"/>
      <c r="QP10" s="85"/>
      <c r="QQ10" s="85"/>
      <c r="QR10" s="85"/>
      <c r="QS10" s="85"/>
      <c r="QT10" s="85"/>
      <c r="QU10" s="85"/>
      <c r="QV10" s="85"/>
      <c r="QW10" s="85"/>
      <c r="QX10" s="85"/>
      <c r="QY10" s="85"/>
      <c r="QZ10" s="85"/>
      <c r="RA10" s="85"/>
      <c r="RB10" s="85"/>
      <c r="RC10" s="85"/>
      <c r="RD10" s="85"/>
      <c r="RE10" s="85"/>
      <c r="RF10" s="85"/>
      <c r="RG10" s="85"/>
      <c r="RH10" s="85"/>
      <c r="RI10" s="85"/>
      <c r="RJ10" s="85"/>
      <c r="RK10" s="85"/>
      <c r="RL10" s="85"/>
      <c r="RM10" s="85"/>
      <c r="RN10" s="85"/>
      <c r="RO10" s="85"/>
      <c r="RP10" s="95"/>
      <c r="RQ10" s="78"/>
      <c r="RR10" s="81"/>
      <c r="RS10" s="94">
        <f>SUM(QL10:RO10)</f>
        <v>0</v>
      </c>
      <c r="RT10" s="78"/>
      <c r="RU10" s="81"/>
      <c r="RV10" s="81"/>
      <c r="RW10" s="81"/>
      <c r="RX10" s="81"/>
      <c r="RY10" s="81"/>
      <c r="RZ10" s="81"/>
      <c r="SA10" s="82"/>
      <c r="SB10" s="91" t="s">
        <v>39</v>
      </c>
      <c r="SC10" s="65"/>
      <c r="SD10" s="66"/>
      <c r="SE10" s="92"/>
      <c r="SF10" s="85"/>
      <c r="SG10" s="85"/>
      <c r="SH10" s="85"/>
      <c r="SI10" s="85"/>
      <c r="SJ10" s="85"/>
      <c r="SK10" s="85"/>
      <c r="SL10" s="85"/>
      <c r="SM10" s="85"/>
      <c r="SN10" s="85"/>
      <c r="SO10" s="85"/>
      <c r="SP10" s="85"/>
      <c r="SQ10" s="85"/>
      <c r="SR10" s="85"/>
      <c r="SS10" s="85"/>
      <c r="ST10" s="85"/>
      <c r="SU10" s="85"/>
      <c r="SV10" s="85"/>
      <c r="SW10" s="85"/>
      <c r="SX10" s="85"/>
      <c r="SY10" s="85"/>
      <c r="SZ10" s="85"/>
      <c r="TA10" s="85"/>
      <c r="TB10" s="85"/>
      <c r="TC10" s="85"/>
      <c r="TD10" s="85"/>
      <c r="TE10" s="85"/>
      <c r="TF10" s="85"/>
      <c r="TG10" s="85"/>
      <c r="TH10" s="85"/>
      <c r="TI10" s="95"/>
      <c r="TJ10" s="78"/>
      <c r="TK10" s="81"/>
      <c r="TL10" s="94">
        <f>SUM(SE10:TH10)</f>
        <v>0</v>
      </c>
      <c r="TM10" s="78"/>
      <c r="TN10" s="81"/>
      <c r="TO10" s="81"/>
      <c r="TP10" s="81"/>
      <c r="TQ10" s="81"/>
      <c r="TR10" s="81"/>
      <c r="TS10" s="81"/>
      <c r="TT10" s="80"/>
    </row>
    <row r="11" ht="24.75" customHeight="1">
      <c r="A11" s="96"/>
      <c r="B11" s="97"/>
      <c r="C11" s="98"/>
      <c r="D11" s="92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93"/>
      <c r="AI11" s="78"/>
      <c r="AJ11" s="81"/>
      <c r="AK11" s="80"/>
      <c r="AL11" s="78"/>
      <c r="AM11" s="81"/>
      <c r="AN11" s="81"/>
      <c r="AO11" s="81"/>
      <c r="AP11" s="81"/>
      <c r="AQ11" s="81"/>
      <c r="AR11" s="81"/>
      <c r="AS11" s="82"/>
      <c r="AT11" s="96"/>
      <c r="AU11" s="97"/>
      <c r="AV11" s="98"/>
      <c r="AW11" s="92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95"/>
      <c r="CB11" s="78"/>
      <c r="CC11" s="81"/>
      <c r="CD11" s="80"/>
      <c r="CE11" s="78"/>
      <c r="CF11" s="81"/>
      <c r="CG11" s="81"/>
      <c r="CH11" s="81"/>
      <c r="CI11" s="81"/>
      <c r="CJ11" s="81"/>
      <c r="CK11" s="81"/>
      <c r="CL11" s="82"/>
      <c r="CM11" s="96"/>
      <c r="CN11" s="97"/>
      <c r="CO11" s="98"/>
      <c r="CP11" s="92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95"/>
      <c r="DU11" s="78"/>
      <c r="DV11" s="81"/>
      <c r="DW11" s="80"/>
      <c r="DX11" s="78"/>
      <c r="DY11" s="81"/>
      <c r="DZ11" s="81"/>
      <c r="EA11" s="81"/>
      <c r="EB11" s="81"/>
      <c r="EC11" s="81"/>
      <c r="ED11" s="81"/>
      <c r="EE11" s="80"/>
      <c r="EF11" s="96"/>
      <c r="EG11" s="97"/>
      <c r="EH11" s="98"/>
      <c r="EI11" s="92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95"/>
      <c r="FN11" s="78"/>
      <c r="FO11" s="81"/>
      <c r="FP11" s="80"/>
      <c r="FQ11" s="78"/>
      <c r="FR11" s="81"/>
      <c r="FS11" s="81"/>
      <c r="FT11" s="81"/>
      <c r="FU11" s="81"/>
      <c r="FV11" s="81"/>
      <c r="FW11" s="81"/>
      <c r="FX11" s="80"/>
      <c r="FY11" s="96"/>
      <c r="FZ11" s="97"/>
      <c r="GA11" s="98"/>
      <c r="GB11" s="92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  <c r="HC11" s="85"/>
      <c r="HD11" s="85"/>
      <c r="HE11" s="85"/>
      <c r="HF11" s="95"/>
      <c r="HG11" s="78"/>
      <c r="HH11" s="81"/>
      <c r="HI11" s="80"/>
      <c r="HJ11" s="78"/>
      <c r="HK11" s="81"/>
      <c r="HL11" s="81"/>
      <c r="HM11" s="81"/>
      <c r="HN11" s="81"/>
      <c r="HO11" s="81"/>
      <c r="HP11" s="81"/>
      <c r="HQ11" s="80"/>
      <c r="HR11" s="96"/>
      <c r="HS11" s="97"/>
      <c r="HT11" s="98"/>
      <c r="HU11" s="92"/>
      <c r="HV11" s="85"/>
      <c r="HW11" s="85"/>
      <c r="HX11" s="85"/>
      <c r="HY11" s="85"/>
      <c r="HZ11" s="85"/>
      <c r="IA11" s="85"/>
      <c r="IB11" s="85"/>
      <c r="IC11" s="85"/>
      <c r="ID11" s="85"/>
      <c r="IE11" s="85"/>
      <c r="IF11" s="85"/>
      <c r="IG11" s="85"/>
      <c r="IH11" s="85"/>
      <c r="II11" s="85"/>
      <c r="IJ11" s="85"/>
      <c r="IK11" s="85"/>
      <c r="IL11" s="85"/>
      <c r="IM11" s="85"/>
      <c r="IN11" s="85"/>
      <c r="IO11" s="85"/>
      <c r="IP11" s="85"/>
      <c r="IQ11" s="85"/>
      <c r="IR11" s="85"/>
      <c r="IS11" s="85"/>
      <c r="IT11" s="85"/>
      <c r="IU11" s="85"/>
      <c r="IV11" s="85"/>
      <c r="IW11" s="85"/>
      <c r="IX11" s="85"/>
      <c r="IY11" s="95"/>
      <c r="IZ11" s="78"/>
      <c r="JA11" s="81"/>
      <c r="JB11" s="80"/>
      <c r="JC11" s="78"/>
      <c r="JD11" s="81"/>
      <c r="JE11" s="81"/>
      <c r="JF11" s="81"/>
      <c r="JG11" s="81"/>
      <c r="JH11" s="81"/>
      <c r="JI11" s="81"/>
      <c r="JJ11" s="80"/>
      <c r="JK11" s="96"/>
      <c r="JL11" s="97"/>
      <c r="JM11" s="98"/>
      <c r="JN11" s="92"/>
      <c r="JO11" s="85"/>
      <c r="JP11" s="85"/>
      <c r="JQ11" s="85"/>
      <c r="JR11" s="85"/>
      <c r="JS11" s="85"/>
      <c r="JT11" s="85"/>
      <c r="JU11" s="85"/>
      <c r="JV11" s="85"/>
      <c r="JW11" s="85"/>
      <c r="JX11" s="85"/>
      <c r="JY11" s="85"/>
      <c r="JZ11" s="85"/>
      <c r="KA11" s="85"/>
      <c r="KB11" s="85"/>
      <c r="KC11" s="85"/>
      <c r="KD11" s="85"/>
      <c r="KE11" s="85"/>
      <c r="KF11" s="85"/>
      <c r="KG11" s="85"/>
      <c r="KH11" s="85"/>
      <c r="KI11" s="85"/>
      <c r="KJ11" s="85"/>
      <c r="KK11" s="85"/>
      <c r="KL11" s="85"/>
      <c r="KM11" s="85"/>
      <c r="KN11" s="85"/>
      <c r="KO11" s="85"/>
      <c r="KP11" s="85"/>
      <c r="KQ11" s="85"/>
      <c r="KR11" s="95"/>
      <c r="KS11" s="78"/>
      <c r="KT11" s="81"/>
      <c r="KU11" s="80"/>
      <c r="KV11" s="78"/>
      <c r="KW11" s="81"/>
      <c r="KX11" s="81"/>
      <c r="KY11" s="81"/>
      <c r="KZ11" s="81"/>
      <c r="LA11" s="81"/>
      <c r="LB11" s="81"/>
      <c r="LC11" s="80"/>
      <c r="LD11" s="96"/>
      <c r="LE11" s="97"/>
      <c r="LF11" s="98"/>
      <c r="LG11" s="92"/>
      <c r="LH11" s="85"/>
      <c r="LI11" s="85"/>
      <c r="LJ11" s="85"/>
      <c r="LK11" s="85"/>
      <c r="LL11" s="85"/>
      <c r="LM11" s="85"/>
      <c r="LN11" s="85"/>
      <c r="LO11" s="85"/>
      <c r="LP11" s="85"/>
      <c r="LQ11" s="85"/>
      <c r="LR11" s="85"/>
      <c r="LS11" s="85"/>
      <c r="LT11" s="85"/>
      <c r="LU11" s="85"/>
      <c r="LV11" s="85"/>
      <c r="LW11" s="85"/>
      <c r="LX11" s="85"/>
      <c r="LY11" s="85"/>
      <c r="LZ11" s="85"/>
      <c r="MA11" s="85"/>
      <c r="MB11" s="85"/>
      <c r="MC11" s="85"/>
      <c r="MD11" s="85"/>
      <c r="ME11" s="85"/>
      <c r="MF11" s="85"/>
      <c r="MG11" s="85"/>
      <c r="MH11" s="85"/>
      <c r="MI11" s="85"/>
      <c r="MJ11" s="85"/>
      <c r="MK11" s="95"/>
      <c r="ML11" s="78"/>
      <c r="MM11" s="81"/>
      <c r="MN11" s="80"/>
      <c r="MO11" s="78"/>
      <c r="MP11" s="81"/>
      <c r="MQ11" s="81"/>
      <c r="MR11" s="81"/>
      <c r="MS11" s="81"/>
      <c r="MT11" s="81"/>
      <c r="MU11" s="81"/>
      <c r="MV11" s="80"/>
      <c r="MW11" s="96"/>
      <c r="MX11" s="97"/>
      <c r="MY11" s="98"/>
      <c r="MZ11" s="92"/>
      <c r="NA11" s="85"/>
      <c r="NB11" s="85"/>
      <c r="NC11" s="85"/>
      <c r="ND11" s="85"/>
      <c r="NE11" s="85"/>
      <c r="NF11" s="85"/>
      <c r="NG11" s="85"/>
      <c r="NH11" s="85"/>
      <c r="NI11" s="85"/>
      <c r="NJ11" s="85"/>
      <c r="NK11" s="85"/>
      <c r="NL11" s="85"/>
      <c r="NM11" s="85"/>
      <c r="NN11" s="85"/>
      <c r="NO11" s="85"/>
      <c r="NP11" s="85"/>
      <c r="NQ11" s="85"/>
      <c r="NR11" s="85"/>
      <c r="NS11" s="85"/>
      <c r="NT11" s="85"/>
      <c r="NU11" s="85"/>
      <c r="NV11" s="85"/>
      <c r="NW11" s="85"/>
      <c r="NX11" s="85"/>
      <c r="NY11" s="85"/>
      <c r="NZ11" s="85"/>
      <c r="OA11" s="85"/>
      <c r="OB11" s="85"/>
      <c r="OC11" s="85"/>
      <c r="OD11" s="95"/>
      <c r="OE11" s="78"/>
      <c r="OF11" s="81"/>
      <c r="OG11" s="80"/>
      <c r="OH11" s="78"/>
      <c r="OI11" s="81"/>
      <c r="OJ11" s="81"/>
      <c r="OK11" s="81"/>
      <c r="OL11" s="81"/>
      <c r="OM11" s="81"/>
      <c r="ON11" s="81"/>
      <c r="OO11" s="80"/>
      <c r="OP11" s="96"/>
      <c r="OQ11" s="97"/>
      <c r="OR11" s="98"/>
      <c r="OS11" s="92"/>
      <c r="OT11" s="85"/>
      <c r="OU11" s="85"/>
      <c r="OV11" s="85"/>
      <c r="OW11" s="85"/>
      <c r="OX11" s="85"/>
      <c r="OY11" s="85"/>
      <c r="OZ11" s="85"/>
      <c r="PA11" s="85"/>
      <c r="PB11" s="85"/>
      <c r="PC11" s="85"/>
      <c r="PD11" s="85"/>
      <c r="PE11" s="85"/>
      <c r="PF11" s="85"/>
      <c r="PG11" s="85"/>
      <c r="PH11" s="85"/>
      <c r="PI11" s="85"/>
      <c r="PJ11" s="85"/>
      <c r="PK11" s="85"/>
      <c r="PL11" s="85"/>
      <c r="PM11" s="85"/>
      <c r="PN11" s="85"/>
      <c r="PO11" s="85"/>
      <c r="PP11" s="85"/>
      <c r="PQ11" s="85"/>
      <c r="PR11" s="85"/>
      <c r="PS11" s="85"/>
      <c r="PT11" s="85"/>
      <c r="PU11" s="85"/>
      <c r="PV11" s="85"/>
      <c r="PW11" s="95"/>
      <c r="PX11" s="78"/>
      <c r="PY11" s="81"/>
      <c r="PZ11" s="80"/>
      <c r="QA11" s="78"/>
      <c r="QB11" s="81"/>
      <c r="QC11" s="81"/>
      <c r="QD11" s="81"/>
      <c r="QE11" s="81"/>
      <c r="QF11" s="81"/>
      <c r="QG11" s="81"/>
      <c r="QH11" s="80"/>
      <c r="QI11" s="96"/>
      <c r="QJ11" s="97"/>
      <c r="QK11" s="98"/>
      <c r="QL11" s="92"/>
      <c r="QM11" s="85"/>
      <c r="QN11" s="85"/>
      <c r="QO11" s="85"/>
      <c r="QP11" s="85"/>
      <c r="QQ11" s="85"/>
      <c r="QR11" s="85"/>
      <c r="QS11" s="85"/>
      <c r="QT11" s="85"/>
      <c r="QU11" s="85"/>
      <c r="QV11" s="85"/>
      <c r="QW11" s="85"/>
      <c r="QX11" s="85"/>
      <c r="QY11" s="85"/>
      <c r="QZ11" s="85"/>
      <c r="RA11" s="85"/>
      <c r="RB11" s="85"/>
      <c r="RC11" s="85"/>
      <c r="RD11" s="85"/>
      <c r="RE11" s="85"/>
      <c r="RF11" s="85"/>
      <c r="RG11" s="85"/>
      <c r="RH11" s="85"/>
      <c r="RI11" s="85"/>
      <c r="RJ11" s="85"/>
      <c r="RK11" s="85"/>
      <c r="RL11" s="85"/>
      <c r="RM11" s="85"/>
      <c r="RN11" s="85"/>
      <c r="RO11" s="85"/>
      <c r="RP11" s="95"/>
      <c r="RQ11" s="78"/>
      <c r="RR11" s="81"/>
      <c r="RS11" s="80"/>
      <c r="RT11" s="78"/>
      <c r="RU11" s="81"/>
      <c r="RV11" s="81"/>
      <c r="RW11" s="81"/>
      <c r="RX11" s="81"/>
      <c r="RY11" s="81"/>
      <c r="RZ11" s="81"/>
      <c r="SA11" s="80"/>
      <c r="SB11" s="96"/>
      <c r="SC11" s="97"/>
      <c r="SD11" s="98"/>
      <c r="SE11" s="92"/>
      <c r="SF11" s="85"/>
      <c r="SG11" s="85"/>
      <c r="SH11" s="85"/>
      <c r="SI11" s="85"/>
      <c r="SJ11" s="85"/>
      <c r="SK11" s="85"/>
      <c r="SL11" s="85"/>
      <c r="SM11" s="85"/>
      <c r="SN11" s="85"/>
      <c r="SO11" s="85"/>
      <c r="SP11" s="85"/>
      <c r="SQ11" s="85"/>
      <c r="SR11" s="85"/>
      <c r="SS11" s="85"/>
      <c r="ST11" s="85"/>
      <c r="SU11" s="85"/>
      <c r="SV11" s="85"/>
      <c r="SW11" s="85"/>
      <c r="SX11" s="85"/>
      <c r="SY11" s="85"/>
      <c r="SZ11" s="85"/>
      <c r="TA11" s="85"/>
      <c r="TB11" s="85"/>
      <c r="TC11" s="85"/>
      <c r="TD11" s="85"/>
      <c r="TE11" s="85"/>
      <c r="TF11" s="85"/>
      <c r="TG11" s="85"/>
      <c r="TH11" s="85"/>
      <c r="TI11" s="95"/>
      <c r="TJ11" s="78"/>
      <c r="TK11" s="81"/>
      <c r="TL11" s="80"/>
      <c r="TM11" s="78"/>
      <c r="TN11" s="81"/>
      <c r="TO11" s="81"/>
      <c r="TP11" s="81"/>
      <c r="TQ11" s="81"/>
      <c r="TR11" s="81"/>
      <c r="TS11" s="81"/>
      <c r="TT11" s="80"/>
    </row>
    <row r="12" ht="24.75" customHeight="1">
      <c r="A12" s="100" t="s">
        <v>27</v>
      </c>
      <c r="B12" s="101"/>
      <c r="C12" s="102"/>
      <c r="D12" s="103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4"/>
      <c r="AH12" s="105"/>
      <c r="AI12" s="103"/>
      <c r="AJ12" s="101"/>
      <c r="AK12" s="102"/>
      <c r="AL12" s="103"/>
      <c r="AM12" s="101"/>
      <c r="AN12" s="101"/>
      <c r="AO12" s="101"/>
      <c r="AP12" s="101"/>
      <c r="AQ12" s="101"/>
      <c r="AR12" s="101"/>
      <c r="AS12" s="102"/>
      <c r="AT12" s="100" t="s">
        <v>27</v>
      </c>
      <c r="AU12" s="101"/>
      <c r="AV12" s="102"/>
      <c r="AW12" s="103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4"/>
      <c r="CA12" s="106"/>
      <c r="CB12" s="103"/>
      <c r="CC12" s="101"/>
      <c r="CD12" s="102"/>
      <c r="CE12" s="103"/>
      <c r="CF12" s="101"/>
      <c r="CG12" s="101"/>
      <c r="CH12" s="101"/>
      <c r="CI12" s="101"/>
      <c r="CJ12" s="101"/>
      <c r="CK12" s="101"/>
      <c r="CL12" s="102"/>
      <c r="CM12" s="100" t="s">
        <v>27</v>
      </c>
      <c r="CN12" s="101"/>
      <c r="CO12" s="102"/>
      <c r="CP12" s="103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4"/>
      <c r="DT12" s="106"/>
      <c r="DU12" s="103"/>
      <c r="DV12" s="101"/>
      <c r="DW12" s="102"/>
      <c r="DX12" s="103"/>
      <c r="DY12" s="101"/>
      <c r="DZ12" s="101"/>
      <c r="EA12" s="101"/>
      <c r="EB12" s="101"/>
      <c r="EC12" s="101"/>
      <c r="ED12" s="101"/>
      <c r="EE12" s="102"/>
      <c r="EF12" s="100" t="s">
        <v>27</v>
      </c>
      <c r="EG12" s="101"/>
      <c r="EH12" s="102"/>
      <c r="EI12" s="103"/>
      <c r="EJ12" s="101"/>
      <c r="EK12" s="101"/>
      <c r="EL12" s="101"/>
      <c r="EM12" s="101"/>
      <c r="EN12" s="101"/>
      <c r="EO12" s="101"/>
      <c r="EP12" s="101"/>
      <c r="EQ12" s="101"/>
      <c r="ER12" s="101"/>
      <c r="ES12" s="101"/>
      <c r="ET12" s="101"/>
      <c r="EU12" s="101"/>
      <c r="EV12" s="101"/>
      <c r="EW12" s="101"/>
      <c r="EX12" s="101"/>
      <c r="EY12" s="101"/>
      <c r="EZ12" s="101"/>
      <c r="FA12" s="101"/>
      <c r="FB12" s="101"/>
      <c r="FC12" s="101"/>
      <c r="FD12" s="101"/>
      <c r="FE12" s="101"/>
      <c r="FF12" s="101"/>
      <c r="FG12" s="101"/>
      <c r="FH12" s="101"/>
      <c r="FI12" s="101"/>
      <c r="FJ12" s="101"/>
      <c r="FK12" s="101"/>
      <c r="FL12" s="104"/>
      <c r="FM12" s="106"/>
      <c r="FN12" s="103"/>
      <c r="FO12" s="101"/>
      <c r="FP12" s="102"/>
      <c r="FQ12" s="103"/>
      <c r="FR12" s="101"/>
      <c r="FS12" s="101"/>
      <c r="FT12" s="101"/>
      <c r="FU12" s="101"/>
      <c r="FV12" s="101"/>
      <c r="FW12" s="101"/>
      <c r="FX12" s="102"/>
      <c r="FY12" s="100" t="s">
        <v>27</v>
      </c>
      <c r="FZ12" s="101"/>
      <c r="GA12" s="102"/>
      <c r="GB12" s="103"/>
      <c r="GC12" s="101"/>
      <c r="GD12" s="101"/>
      <c r="GE12" s="101"/>
      <c r="GF12" s="101"/>
      <c r="GG12" s="101"/>
      <c r="GH12" s="101"/>
      <c r="GI12" s="101"/>
      <c r="GJ12" s="101"/>
      <c r="GK12" s="101"/>
      <c r="GL12" s="101"/>
      <c r="GM12" s="101"/>
      <c r="GN12" s="101"/>
      <c r="GO12" s="101"/>
      <c r="GP12" s="101"/>
      <c r="GQ12" s="101"/>
      <c r="GR12" s="101"/>
      <c r="GS12" s="101"/>
      <c r="GT12" s="101"/>
      <c r="GU12" s="101"/>
      <c r="GV12" s="101"/>
      <c r="GW12" s="101"/>
      <c r="GX12" s="101"/>
      <c r="GY12" s="101"/>
      <c r="GZ12" s="101"/>
      <c r="HA12" s="101"/>
      <c r="HB12" s="101"/>
      <c r="HC12" s="101"/>
      <c r="HD12" s="101"/>
      <c r="HE12" s="104"/>
      <c r="HF12" s="106"/>
      <c r="HG12" s="103"/>
      <c r="HH12" s="101"/>
      <c r="HI12" s="102"/>
      <c r="HJ12" s="103"/>
      <c r="HK12" s="101"/>
      <c r="HL12" s="101"/>
      <c r="HM12" s="101"/>
      <c r="HN12" s="101"/>
      <c r="HO12" s="101"/>
      <c r="HP12" s="101"/>
      <c r="HQ12" s="102"/>
      <c r="HR12" s="100" t="s">
        <v>27</v>
      </c>
      <c r="HS12" s="101"/>
      <c r="HT12" s="102"/>
      <c r="HU12" s="103"/>
      <c r="HV12" s="101"/>
      <c r="HW12" s="101"/>
      <c r="HX12" s="101"/>
      <c r="HY12" s="101"/>
      <c r="HZ12" s="101"/>
      <c r="IA12" s="101"/>
      <c r="IB12" s="101"/>
      <c r="IC12" s="101"/>
      <c r="ID12" s="101"/>
      <c r="IE12" s="101"/>
      <c r="IF12" s="101"/>
      <c r="IG12" s="101"/>
      <c r="IH12" s="101"/>
      <c r="II12" s="101"/>
      <c r="IJ12" s="101"/>
      <c r="IK12" s="101"/>
      <c r="IL12" s="101"/>
      <c r="IM12" s="101"/>
      <c r="IN12" s="101"/>
      <c r="IO12" s="101"/>
      <c r="IP12" s="101"/>
      <c r="IQ12" s="101"/>
      <c r="IR12" s="101"/>
      <c r="IS12" s="101"/>
      <c r="IT12" s="101"/>
      <c r="IU12" s="101"/>
      <c r="IV12" s="101"/>
      <c r="IW12" s="101"/>
      <c r="IX12" s="104"/>
      <c r="IY12" s="106"/>
      <c r="IZ12" s="103"/>
      <c r="JA12" s="101"/>
      <c r="JB12" s="102"/>
      <c r="JC12" s="103"/>
      <c r="JD12" s="101"/>
      <c r="JE12" s="101"/>
      <c r="JF12" s="101"/>
      <c r="JG12" s="101"/>
      <c r="JH12" s="101"/>
      <c r="JI12" s="101"/>
      <c r="JJ12" s="102"/>
      <c r="JK12" s="100" t="s">
        <v>27</v>
      </c>
      <c r="JL12" s="101"/>
      <c r="JM12" s="102"/>
      <c r="JN12" s="103"/>
      <c r="JO12" s="101"/>
      <c r="JP12" s="101"/>
      <c r="JQ12" s="101"/>
      <c r="JR12" s="101"/>
      <c r="JS12" s="101"/>
      <c r="JT12" s="101"/>
      <c r="JU12" s="101"/>
      <c r="JV12" s="101"/>
      <c r="JW12" s="101"/>
      <c r="JX12" s="101"/>
      <c r="JY12" s="101"/>
      <c r="JZ12" s="101"/>
      <c r="KA12" s="101"/>
      <c r="KB12" s="101"/>
      <c r="KC12" s="101"/>
      <c r="KD12" s="101"/>
      <c r="KE12" s="101"/>
      <c r="KF12" s="101"/>
      <c r="KG12" s="101"/>
      <c r="KH12" s="101"/>
      <c r="KI12" s="101"/>
      <c r="KJ12" s="101"/>
      <c r="KK12" s="101"/>
      <c r="KL12" s="101"/>
      <c r="KM12" s="101"/>
      <c r="KN12" s="101"/>
      <c r="KO12" s="101"/>
      <c r="KP12" s="101"/>
      <c r="KQ12" s="104"/>
      <c r="KR12" s="106"/>
      <c r="KS12" s="103"/>
      <c r="KT12" s="101"/>
      <c r="KU12" s="102"/>
      <c r="KV12" s="103"/>
      <c r="KW12" s="101"/>
      <c r="KX12" s="101"/>
      <c r="KY12" s="101"/>
      <c r="KZ12" s="101"/>
      <c r="LA12" s="101"/>
      <c r="LB12" s="101"/>
      <c r="LC12" s="102"/>
      <c r="LD12" s="100" t="s">
        <v>27</v>
      </c>
      <c r="LE12" s="101"/>
      <c r="LF12" s="102"/>
      <c r="LG12" s="103"/>
      <c r="LH12" s="101"/>
      <c r="LI12" s="101"/>
      <c r="LJ12" s="101"/>
      <c r="LK12" s="101"/>
      <c r="LL12" s="101"/>
      <c r="LM12" s="101"/>
      <c r="LN12" s="101"/>
      <c r="LO12" s="101"/>
      <c r="LP12" s="101"/>
      <c r="LQ12" s="101"/>
      <c r="LR12" s="101"/>
      <c r="LS12" s="101"/>
      <c r="LT12" s="101"/>
      <c r="LU12" s="101"/>
      <c r="LV12" s="101"/>
      <c r="LW12" s="101"/>
      <c r="LX12" s="101"/>
      <c r="LY12" s="101"/>
      <c r="LZ12" s="101"/>
      <c r="MA12" s="101"/>
      <c r="MB12" s="101"/>
      <c r="MC12" s="101"/>
      <c r="MD12" s="101"/>
      <c r="ME12" s="101"/>
      <c r="MF12" s="101"/>
      <c r="MG12" s="101"/>
      <c r="MH12" s="101"/>
      <c r="MI12" s="101"/>
      <c r="MJ12" s="104"/>
      <c r="MK12" s="106"/>
      <c r="ML12" s="103"/>
      <c r="MM12" s="101"/>
      <c r="MN12" s="102"/>
      <c r="MO12" s="103"/>
      <c r="MP12" s="101"/>
      <c r="MQ12" s="101"/>
      <c r="MR12" s="101"/>
      <c r="MS12" s="101"/>
      <c r="MT12" s="101"/>
      <c r="MU12" s="101"/>
      <c r="MV12" s="102"/>
      <c r="MW12" s="100" t="s">
        <v>27</v>
      </c>
      <c r="MX12" s="101"/>
      <c r="MY12" s="102"/>
      <c r="MZ12" s="103"/>
      <c r="NA12" s="101"/>
      <c r="NB12" s="101"/>
      <c r="NC12" s="101"/>
      <c r="ND12" s="101"/>
      <c r="NE12" s="101"/>
      <c r="NF12" s="101"/>
      <c r="NG12" s="101"/>
      <c r="NH12" s="101"/>
      <c r="NI12" s="101"/>
      <c r="NJ12" s="101"/>
      <c r="NK12" s="101"/>
      <c r="NL12" s="101"/>
      <c r="NM12" s="101"/>
      <c r="NN12" s="101"/>
      <c r="NO12" s="101"/>
      <c r="NP12" s="101"/>
      <c r="NQ12" s="101"/>
      <c r="NR12" s="101"/>
      <c r="NS12" s="101"/>
      <c r="NT12" s="101"/>
      <c r="NU12" s="101"/>
      <c r="NV12" s="101"/>
      <c r="NW12" s="101"/>
      <c r="NX12" s="101"/>
      <c r="NY12" s="101"/>
      <c r="NZ12" s="101"/>
      <c r="OA12" s="101"/>
      <c r="OB12" s="101"/>
      <c r="OC12" s="104"/>
      <c r="OD12" s="106"/>
      <c r="OE12" s="103"/>
      <c r="OF12" s="101"/>
      <c r="OG12" s="102"/>
      <c r="OH12" s="103"/>
      <c r="OI12" s="101"/>
      <c r="OJ12" s="101"/>
      <c r="OK12" s="101"/>
      <c r="OL12" s="101"/>
      <c r="OM12" s="101"/>
      <c r="ON12" s="101"/>
      <c r="OO12" s="102"/>
      <c r="OP12" s="100" t="s">
        <v>27</v>
      </c>
      <c r="OQ12" s="101"/>
      <c r="OR12" s="102"/>
      <c r="OS12" s="103"/>
      <c r="OT12" s="101"/>
      <c r="OU12" s="101"/>
      <c r="OV12" s="101"/>
      <c r="OW12" s="101"/>
      <c r="OX12" s="101"/>
      <c r="OY12" s="101"/>
      <c r="OZ12" s="101"/>
      <c r="PA12" s="101"/>
      <c r="PB12" s="101"/>
      <c r="PC12" s="101"/>
      <c r="PD12" s="101"/>
      <c r="PE12" s="101"/>
      <c r="PF12" s="101"/>
      <c r="PG12" s="101"/>
      <c r="PH12" s="101"/>
      <c r="PI12" s="101"/>
      <c r="PJ12" s="101"/>
      <c r="PK12" s="101"/>
      <c r="PL12" s="101"/>
      <c r="PM12" s="101"/>
      <c r="PN12" s="101"/>
      <c r="PO12" s="101"/>
      <c r="PP12" s="101"/>
      <c r="PQ12" s="101"/>
      <c r="PR12" s="101"/>
      <c r="PS12" s="101"/>
      <c r="PT12" s="101"/>
      <c r="PU12" s="101"/>
      <c r="PV12" s="104"/>
      <c r="PW12" s="106"/>
      <c r="PX12" s="103"/>
      <c r="PY12" s="101"/>
      <c r="PZ12" s="102"/>
      <c r="QA12" s="103"/>
      <c r="QB12" s="101"/>
      <c r="QC12" s="101"/>
      <c r="QD12" s="101"/>
      <c r="QE12" s="101"/>
      <c r="QF12" s="101"/>
      <c r="QG12" s="101"/>
      <c r="QH12" s="102"/>
      <c r="QI12" s="100" t="s">
        <v>27</v>
      </c>
      <c r="QJ12" s="101"/>
      <c r="QK12" s="102"/>
      <c r="QL12" s="103"/>
      <c r="QM12" s="101"/>
      <c r="QN12" s="101"/>
      <c r="QO12" s="101"/>
      <c r="QP12" s="101"/>
      <c r="QQ12" s="101"/>
      <c r="QR12" s="101"/>
      <c r="QS12" s="101"/>
      <c r="QT12" s="101"/>
      <c r="QU12" s="101"/>
      <c r="QV12" s="101"/>
      <c r="QW12" s="101"/>
      <c r="QX12" s="101"/>
      <c r="QY12" s="101"/>
      <c r="QZ12" s="101"/>
      <c r="RA12" s="101"/>
      <c r="RB12" s="101"/>
      <c r="RC12" s="101"/>
      <c r="RD12" s="101"/>
      <c r="RE12" s="101"/>
      <c r="RF12" s="101"/>
      <c r="RG12" s="101"/>
      <c r="RH12" s="101"/>
      <c r="RI12" s="101"/>
      <c r="RJ12" s="101"/>
      <c r="RK12" s="101"/>
      <c r="RL12" s="101"/>
      <c r="RM12" s="101"/>
      <c r="RN12" s="101"/>
      <c r="RO12" s="104"/>
      <c r="RP12" s="106"/>
      <c r="RQ12" s="103"/>
      <c r="RR12" s="101"/>
      <c r="RS12" s="102"/>
      <c r="RT12" s="103"/>
      <c r="RU12" s="101"/>
      <c r="RV12" s="101"/>
      <c r="RW12" s="101"/>
      <c r="RX12" s="101"/>
      <c r="RY12" s="101"/>
      <c r="RZ12" s="101"/>
      <c r="SA12" s="102"/>
      <c r="SB12" s="100" t="s">
        <v>27</v>
      </c>
      <c r="SC12" s="101"/>
      <c r="SD12" s="102"/>
      <c r="SE12" s="103"/>
      <c r="SF12" s="101"/>
      <c r="SG12" s="101"/>
      <c r="SH12" s="101"/>
      <c r="SI12" s="101"/>
      <c r="SJ12" s="101"/>
      <c r="SK12" s="101"/>
      <c r="SL12" s="101"/>
      <c r="SM12" s="101"/>
      <c r="SN12" s="101"/>
      <c r="SO12" s="101"/>
      <c r="SP12" s="101"/>
      <c r="SQ12" s="101"/>
      <c r="SR12" s="101"/>
      <c r="SS12" s="101"/>
      <c r="ST12" s="101"/>
      <c r="SU12" s="101"/>
      <c r="SV12" s="101"/>
      <c r="SW12" s="101"/>
      <c r="SX12" s="101"/>
      <c r="SY12" s="101"/>
      <c r="SZ12" s="101"/>
      <c r="TA12" s="101"/>
      <c r="TB12" s="101"/>
      <c r="TC12" s="101"/>
      <c r="TD12" s="101"/>
      <c r="TE12" s="101"/>
      <c r="TF12" s="101"/>
      <c r="TG12" s="101"/>
      <c r="TH12" s="104"/>
      <c r="TI12" s="106"/>
      <c r="TJ12" s="103"/>
      <c r="TK12" s="101"/>
      <c r="TL12" s="102"/>
      <c r="TM12" s="103"/>
      <c r="TN12" s="101"/>
      <c r="TO12" s="101"/>
      <c r="TP12" s="101"/>
      <c r="TQ12" s="101"/>
      <c r="TR12" s="101"/>
      <c r="TS12" s="101"/>
      <c r="TT12" s="102"/>
    </row>
    <row r="13" ht="24.75" customHeight="1">
      <c r="A13" s="108" t="str">
        <f>elenchi!$C3</f>
        <v>SEGURA ESTEFANY</v>
      </c>
      <c r="B13" s="109"/>
      <c r="C13" s="110"/>
      <c r="D13" s="67">
        <f t="shared" ref="D13:AH13" si="25">D$2</f>
        <v>45901</v>
      </c>
      <c r="E13" s="67">
        <f t="shared" si="25"/>
        <v>45902</v>
      </c>
      <c r="F13" s="67">
        <f t="shared" si="25"/>
        <v>45903</v>
      </c>
      <c r="G13" s="67">
        <f t="shared" si="25"/>
        <v>45904</v>
      </c>
      <c r="H13" s="67">
        <f t="shared" si="25"/>
        <v>45905</v>
      </c>
      <c r="I13" s="67">
        <f t="shared" si="25"/>
        <v>45906</v>
      </c>
      <c r="J13" s="67">
        <f t="shared" si="25"/>
        <v>45907</v>
      </c>
      <c r="K13" s="67">
        <f t="shared" si="25"/>
        <v>45908</v>
      </c>
      <c r="L13" s="67">
        <f t="shared" si="25"/>
        <v>45909</v>
      </c>
      <c r="M13" s="67">
        <f t="shared" si="25"/>
        <v>45910</v>
      </c>
      <c r="N13" s="67">
        <f t="shared" si="25"/>
        <v>45911</v>
      </c>
      <c r="O13" s="67">
        <f t="shared" si="25"/>
        <v>45912</v>
      </c>
      <c r="P13" s="67">
        <f t="shared" si="25"/>
        <v>45913</v>
      </c>
      <c r="Q13" s="67">
        <f t="shared" si="25"/>
        <v>45914</v>
      </c>
      <c r="R13" s="67">
        <f t="shared" si="25"/>
        <v>45915</v>
      </c>
      <c r="S13" s="67">
        <f t="shared" si="25"/>
        <v>45916</v>
      </c>
      <c r="T13" s="67">
        <f t="shared" si="25"/>
        <v>45917</v>
      </c>
      <c r="U13" s="67">
        <f t="shared" si="25"/>
        <v>45918</v>
      </c>
      <c r="V13" s="67">
        <f t="shared" si="25"/>
        <v>45919</v>
      </c>
      <c r="W13" s="67">
        <f t="shared" si="25"/>
        <v>45920</v>
      </c>
      <c r="X13" s="67">
        <f t="shared" si="25"/>
        <v>45921</v>
      </c>
      <c r="Y13" s="67">
        <f t="shared" si="25"/>
        <v>45922</v>
      </c>
      <c r="Z13" s="67">
        <f t="shared" si="25"/>
        <v>45923</v>
      </c>
      <c r="AA13" s="67">
        <f t="shared" si="25"/>
        <v>45924</v>
      </c>
      <c r="AB13" s="67">
        <f t="shared" si="25"/>
        <v>45925</v>
      </c>
      <c r="AC13" s="67">
        <f t="shared" si="25"/>
        <v>45926</v>
      </c>
      <c r="AD13" s="67">
        <f t="shared" si="25"/>
        <v>45927</v>
      </c>
      <c r="AE13" s="67">
        <f t="shared" si="25"/>
        <v>45928</v>
      </c>
      <c r="AF13" s="67">
        <f t="shared" si="25"/>
        <v>45929</v>
      </c>
      <c r="AG13" s="67">
        <f t="shared" si="25"/>
        <v>45930</v>
      </c>
      <c r="AH13" s="111" t="str">
        <f t="shared" si="25"/>
        <v/>
      </c>
      <c r="AI13" s="112" t="s">
        <v>33</v>
      </c>
      <c r="AJ13" s="113" t="s">
        <v>28</v>
      </c>
      <c r="AK13" s="114" t="s">
        <v>34</v>
      </c>
      <c r="AL13" s="112" t="s">
        <v>13</v>
      </c>
      <c r="AM13" s="113" t="s">
        <v>1</v>
      </c>
      <c r="AN13" s="113" t="s">
        <v>35</v>
      </c>
      <c r="AO13" s="113" t="s">
        <v>36</v>
      </c>
      <c r="AP13" s="113" t="s">
        <v>37</v>
      </c>
      <c r="AQ13" s="113" t="s">
        <v>0</v>
      </c>
      <c r="AR13" s="113" t="s">
        <v>38</v>
      </c>
      <c r="AS13" s="115" t="s">
        <v>11</v>
      </c>
      <c r="AT13" s="108" t="str">
        <f>elenchi!$C3</f>
        <v>SEGURA ESTEFANY</v>
      </c>
      <c r="AU13" s="109"/>
      <c r="AV13" s="110"/>
      <c r="AW13" s="67">
        <f t="shared" ref="AW13:CA13" si="26">AW$2</f>
        <v>45931</v>
      </c>
      <c r="AX13" s="67">
        <f t="shared" si="26"/>
        <v>45932</v>
      </c>
      <c r="AY13" s="67">
        <f t="shared" si="26"/>
        <v>45933</v>
      </c>
      <c r="AZ13" s="67">
        <f t="shared" si="26"/>
        <v>45934</v>
      </c>
      <c r="BA13" s="67">
        <f t="shared" si="26"/>
        <v>45935</v>
      </c>
      <c r="BB13" s="67">
        <f t="shared" si="26"/>
        <v>45936</v>
      </c>
      <c r="BC13" s="67">
        <f t="shared" si="26"/>
        <v>45937</v>
      </c>
      <c r="BD13" s="67">
        <f t="shared" si="26"/>
        <v>45938</v>
      </c>
      <c r="BE13" s="67">
        <f t="shared" si="26"/>
        <v>45939</v>
      </c>
      <c r="BF13" s="67">
        <f t="shared" si="26"/>
        <v>45940</v>
      </c>
      <c r="BG13" s="67">
        <f t="shared" si="26"/>
        <v>45941</v>
      </c>
      <c r="BH13" s="67">
        <f t="shared" si="26"/>
        <v>45942</v>
      </c>
      <c r="BI13" s="67">
        <f t="shared" si="26"/>
        <v>45943</v>
      </c>
      <c r="BJ13" s="67">
        <f t="shared" si="26"/>
        <v>45944</v>
      </c>
      <c r="BK13" s="67">
        <f t="shared" si="26"/>
        <v>45945</v>
      </c>
      <c r="BL13" s="67">
        <f t="shared" si="26"/>
        <v>45946</v>
      </c>
      <c r="BM13" s="67">
        <f t="shared" si="26"/>
        <v>45947</v>
      </c>
      <c r="BN13" s="67">
        <f t="shared" si="26"/>
        <v>45948</v>
      </c>
      <c r="BO13" s="67">
        <f t="shared" si="26"/>
        <v>45949</v>
      </c>
      <c r="BP13" s="67">
        <f t="shared" si="26"/>
        <v>45950</v>
      </c>
      <c r="BQ13" s="67">
        <f t="shared" si="26"/>
        <v>45951</v>
      </c>
      <c r="BR13" s="67">
        <f t="shared" si="26"/>
        <v>45952</v>
      </c>
      <c r="BS13" s="67">
        <f t="shared" si="26"/>
        <v>45953</v>
      </c>
      <c r="BT13" s="67">
        <f t="shared" si="26"/>
        <v>45954</v>
      </c>
      <c r="BU13" s="67">
        <f t="shared" si="26"/>
        <v>45955</v>
      </c>
      <c r="BV13" s="67">
        <f t="shared" si="26"/>
        <v>45956</v>
      </c>
      <c r="BW13" s="67">
        <f t="shared" si="26"/>
        <v>45957</v>
      </c>
      <c r="BX13" s="67">
        <f t="shared" si="26"/>
        <v>45958</v>
      </c>
      <c r="BY13" s="67">
        <f t="shared" si="26"/>
        <v>45959</v>
      </c>
      <c r="BZ13" s="67">
        <f t="shared" si="26"/>
        <v>45960</v>
      </c>
      <c r="CA13" s="67">
        <f t="shared" si="26"/>
        <v>45961</v>
      </c>
      <c r="CB13" s="112" t="s">
        <v>33</v>
      </c>
      <c r="CC13" s="113" t="s">
        <v>28</v>
      </c>
      <c r="CD13" s="114" t="s">
        <v>34</v>
      </c>
      <c r="CE13" s="112" t="s">
        <v>13</v>
      </c>
      <c r="CF13" s="113" t="s">
        <v>1</v>
      </c>
      <c r="CG13" s="113" t="s">
        <v>35</v>
      </c>
      <c r="CH13" s="113" t="s">
        <v>36</v>
      </c>
      <c r="CI13" s="113" t="s">
        <v>37</v>
      </c>
      <c r="CJ13" s="113" t="s">
        <v>0</v>
      </c>
      <c r="CK13" s="113" t="s">
        <v>38</v>
      </c>
      <c r="CL13" s="115" t="s">
        <v>11</v>
      </c>
      <c r="CM13" s="108" t="str">
        <f>elenchi!$C3</f>
        <v>SEGURA ESTEFANY</v>
      </c>
      <c r="CN13" s="109"/>
      <c r="CO13" s="110"/>
      <c r="CP13" s="67">
        <f t="shared" ref="CP13:DT13" si="27">CP$2</f>
        <v>45962</v>
      </c>
      <c r="CQ13" s="67">
        <f t="shared" si="27"/>
        <v>45963</v>
      </c>
      <c r="CR13" s="67">
        <f t="shared" si="27"/>
        <v>45964</v>
      </c>
      <c r="CS13" s="67">
        <f t="shared" si="27"/>
        <v>45965</v>
      </c>
      <c r="CT13" s="67">
        <f t="shared" si="27"/>
        <v>45966</v>
      </c>
      <c r="CU13" s="67">
        <f t="shared" si="27"/>
        <v>45967</v>
      </c>
      <c r="CV13" s="67">
        <f t="shared" si="27"/>
        <v>45968</v>
      </c>
      <c r="CW13" s="67">
        <f t="shared" si="27"/>
        <v>45969</v>
      </c>
      <c r="CX13" s="67">
        <f t="shared" si="27"/>
        <v>45970</v>
      </c>
      <c r="CY13" s="67">
        <f t="shared" si="27"/>
        <v>45971</v>
      </c>
      <c r="CZ13" s="67">
        <f t="shared" si="27"/>
        <v>45972</v>
      </c>
      <c r="DA13" s="67">
        <f t="shared" si="27"/>
        <v>45973</v>
      </c>
      <c r="DB13" s="67">
        <f t="shared" si="27"/>
        <v>45974</v>
      </c>
      <c r="DC13" s="67">
        <f t="shared" si="27"/>
        <v>45975</v>
      </c>
      <c r="DD13" s="67">
        <f t="shared" si="27"/>
        <v>45976</v>
      </c>
      <c r="DE13" s="67">
        <f t="shared" si="27"/>
        <v>45977</v>
      </c>
      <c r="DF13" s="67">
        <f t="shared" si="27"/>
        <v>45978</v>
      </c>
      <c r="DG13" s="67">
        <f t="shared" si="27"/>
        <v>45979</v>
      </c>
      <c r="DH13" s="67">
        <f t="shared" si="27"/>
        <v>45980</v>
      </c>
      <c r="DI13" s="67">
        <f t="shared" si="27"/>
        <v>45981</v>
      </c>
      <c r="DJ13" s="67">
        <f t="shared" si="27"/>
        <v>45982</v>
      </c>
      <c r="DK13" s="67">
        <f t="shared" si="27"/>
        <v>45983</v>
      </c>
      <c r="DL13" s="67">
        <f t="shared" si="27"/>
        <v>45984</v>
      </c>
      <c r="DM13" s="67">
        <f t="shared" si="27"/>
        <v>45985</v>
      </c>
      <c r="DN13" s="67">
        <f t="shared" si="27"/>
        <v>45986</v>
      </c>
      <c r="DO13" s="67">
        <f t="shared" si="27"/>
        <v>45987</v>
      </c>
      <c r="DP13" s="67">
        <f t="shared" si="27"/>
        <v>45988</v>
      </c>
      <c r="DQ13" s="67">
        <f t="shared" si="27"/>
        <v>45989</v>
      </c>
      <c r="DR13" s="67">
        <f t="shared" si="27"/>
        <v>45990</v>
      </c>
      <c r="DS13" s="67">
        <f t="shared" si="27"/>
        <v>45991</v>
      </c>
      <c r="DT13" s="67" t="str">
        <f t="shared" si="27"/>
        <v/>
      </c>
      <c r="DU13" s="112" t="s">
        <v>33</v>
      </c>
      <c r="DV13" s="113" t="s">
        <v>28</v>
      </c>
      <c r="DW13" s="114" t="s">
        <v>34</v>
      </c>
      <c r="DX13" s="112" t="s">
        <v>13</v>
      </c>
      <c r="DY13" s="113" t="s">
        <v>1</v>
      </c>
      <c r="DZ13" s="113" t="s">
        <v>35</v>
      </c>
      <c r="EA13" s="113" t="s">
        <v>36</v>
      </c>
      <c r="EB13" s="113" t="s">
        <v>37</v>
      </c>
      <c r="EC13" s="113" t="s">
        <v>0</v>
      </c>
      <c r="ED13" s="113" t="s">
        <v>38</v>
      </c>
      <c r="EE13" s="114" t="s">
        <v>11</v>
      </c>
      <c r="EF13" s="108" t="str">
        <f>elenchi!$C3</f>
        <v>SEGURA ESTEFANY</v>
      </c>
      <c r="EG13" s="109"/>
      <c r="EH13" s="110"/>
      <c r="EI13" s="67">
        <f t="shared" ref="EI13:FM13" si="28">EI$2</f>
        <v>45992</v>
      </c>
      <c r="EJ13" s="67">
        <f t="shared" si="28"/>
        <v>45993</v>
      </c>
      <c r="EK13" s="67">
        <f t="shared" si="28"/>
        <v>45994</v>
      </c>
      <c r="EL13" s="67">
        <f t="shared" si="28"/>
        <v>45995</v>
      </c>
      <c r="EM13" s="67">
        <f t="shared" si="28"/>
        <v>45996</v>
      </c>
      <c r="EN13" s="67">
        <f t="shared" si="28"/>
        <v>45997</v>
      </c>
      <c r="EO13" s="67">
        <f t="shared" si="28"/>
        <v>45998</v>
      </c>
      <c r="EP13" s="67">
        <f t="shared" si="28"/>
        <v>45999</v>
      </c>
      <c r="EQ13" s="67">
        <f t="shared" si="28"/>
        <v>46000</v>
      </c>
      <c r="ER13" s="67">
        <f t="shared" si="28"/>
        <v>46001</v>
      </c>
      <c r="ES13" s="67">
        <f t="shared" si="28"/>
        <v>46002</v>
      </c>
      <c r="ET13" s="67">
        <f t="shared" si="28"/>
        <v>46003</v>
      </c>
      <c r="EU13" s="67">
        <f t="shared" si="28"/>
        <v>46004</v>
      </c>
      <c r="EV13" s="67">
        <f t="shared" si="28"/>
        <v>46005</v>
      </c>
      <c r="EW13" s="67">
        <f t="shared" si="28"/>
        <v>46006</v>
      </c>
      <c r="EX13" s="67">
        <f t="shared" si="28"/>
        <v>46007</v>
      </c>
      <c r="EY13" s="67">
        <f t="shared" si="28"/>
        <v>46008</v>
      </c>
      <c r="EZ13" s="67">
        <f t="shared" si="28"/>
        <v>46009</v>
      </c>
      <c r="FA13" s="67">
        <f t="shared" si="28"/>
        <v>46010</v>
      </c>
      <c r="FB13" s="67">
        <f t="shared" si="28"/>
        <v>46011</v>
      </c>
      <c r="FC13" s="67">
        <f t="shared" si="28"/>
        <v>46012</v>
      </c>
      <c r="FD13" s="67">
        <f t="shared" si="28"/>
        <v>46013</v>
      </c>
      <c r="FE13" s="67">
        <f t="shared" si="28"/>
        <v>46014</v>
      </c>
      <c r="FF13" s="67">
        <f t="shared" si="28"/>
        <v>46015</v>
      </c>
      <c r="FG13" s="67">
        <f t="shared" si="28"/>
        <v>46016</v>
      </c>
      <c r="FH13" s="67">
        <f t="shared" si="28"/>
        <v>46017</v>
      </c>
      <c r="FI13" s="67">
        <f t="shared" si="28"/>
        <v>46018</v>
      </c>
      <c r="FJ13" s="67">
        <f t="shared" si="28"/>
        <v>46019</v>
      </c>
      <c r="FK13" s="67">
        <f t="shared" si="28"/>
        <v>46020</v>
      </c>
      <c r="FL13" s="67">
        <f t="shared" si="28"/>
        <v>46021</v>
      </c>
      <c r="FM13" s="67">
        <f t="shared" si="28"/>
        <v>46022</v>
      </c>
      <c r="FN13" s="112" t="s">
        <v>33</v>
      </c>
      <c r="FO13" s="113" t="s">
        <v>28</v>
      </c>
      <c r="FP13" s="114" t="s">
        <v>34</v>
      </c>
      <c r="FQ13" s="112" t="s">
        <v>13</v>
      </c>
      <c r="FR13" s="113" t="s">
        <v>1</v>
      </c>
      <c r="FS13" s="113" t="s">
        <v>35</v>
      </c>
      <c r="FT13" s="113" t="s">
        <v>36</v>
      </c>
      <c r="FU13" s="113" t="s">
        <v>37</v>
      </c>
      <c r="FV13" s="113" t="s">
        <v>0</v>
      </c>
      <c r="FW13" s="113" t="s">
        <v>38</v>
      </c>
      <c r="FX13" s="114" t="s">
        <v>11</v>
      </c>
      <c r="FY13" s="108" t="str">
        <f>elenchi!$C3</f>
        <v>SEGURA ESTEFANY</v>
      </c>
      <c r="FZ13" s="109"/>
      <c r="GA13" s="110"/>
      <c r="GB13" s="67">
        <f t="shared" ref="GB13:HF13" si="29">GB$2</f>
        <v>46023</v>
      </c>
      <c r="GC13" s="67">
        <f t="shared" si="29"/>
        <v>46024</v>
      </c>
      <c r="GD13" s="67">
        <f t="shared" si="29"/>
        <v>46025</v>
      </c>
      <c r="GE13" s="67">
        <f t="shared" si="29"/>
        <v>46026</v>
      </c>
      <c r="GF13" s="67">
        <f t="shared" si="29"/>
        <v>46027</v>
      </c>
      <c r="GG13" s="67">
        <f t="shared" si="29"/>
        <v>46028</v>
      </c>
      <c r="GH13" s="67">
        <f t="shared" si="29"/>
        <v>46029</v>
      </c>
      <c r="GI13" s="67">
        <f t="shared" si="29"/>
        <v>46030</v>
      </c>
      <c r="GJ13" s="67">
        <f t="shared" si="29"/>
        <v>46031</v>
      </c>
      <c r="GK13" s="67">
        <f t="shared" si="29"/>
        <v>46032</v>
      </c>
      <c r="GL13" s="67">
        <f t="shared" si="29"/>
        <v>46033</v>
      </c>
      <c r="GM13" s="67">
        <f t="shared" si="29"/>
        <v>46034</v>
      </c>
      <c r="GN13" s="67">
        <f t="shared" si="29"/>
        <v>46035</v>
      </c>
      <c r="GO13" s="67">
        <f t="shared" si="29"/>
        <v>46036</v>
      </c>
      <c r="GP13" s="67">
        <f t="shared" si="29"/>
        <v>46037</v>
      </c>
      <c r="GQ13" s="67">
        <f t="shared" si="29"/>
        <v>46038</v>
      </c>
      <c r="GR13" s="67">
        <f t="shared" si="29"/>
        <v>46039</v>
      </c>
      <c r="GS13" s="67">
        <f t="shared" si="29"/>
        <v>46040</v>
      </c>
      <c r="GT13" s="67">
        <f t="shared" si="29"/>
        <v>46041</v>
      </c>
      <c r="GU13" s="67">
        <f t="shared" si="29"/>
        <v>46042</v>
      </c>
      <c r="GV13" s="67">
        <f t="shared" si="29"/>
        <v>46043</v>
      </c>
      <c r="GW13" s="67">
        <f t="shared" si="29"/>
        <v>46044</v>
      </c>
      <c r="GX13" s="67">
        <f t="shared" si="29"/>
        <v>46045</v>
      </c>
      <c r="GY13" s="67">
        <f t="shared" si="29"/>
        <v>46046</v>
      </c>
      <c r="GZ13" s="67">
        <f t="shared" si="29"/>
        <v>46047</v>
      </c>
      <c r="HA13" s="67">
        <f t="shared" si="29"/>
        <v>46048</v>
      </c>
      <c r="HB13" s="67">
        <f t="shared" si="29"/>
        <v>46049</v>
      </c>
      <c r="HC13" s="67">
        <f t="shared" si="29"/>
        <v>46050</v>
      </c>
      <c r="HD13" s="67">
        <f t="shared" si="29"/>
        <v>46051</v>
      </c>
      <c r="HE13" s="67">
        <f t="shared" si="29"/>
        <v>46052</v>
      </c>
      <c r="HF13" s="67">
        <f t="shared" si="29"/>
        <v>46053</v>
      </c>
      <c r="HG13" s="112" t="s">
        <v>33</v>
      </c>
      <c r="HH13" s="113" t="s">
        <v>28</v>
      </c>
      <c r="HI13" s="114" t="s">
        <v>34</v>
      </c>
      <c r="HJ13" s="112" t="s">
        <v>13</v>
      </c>
      <c r="HK13" s="113" t="s">
        <v>1</v>
      </c>
      <c r="HL13" s="113" t="s">
        <v>35</v>
      </c>
      <c r="HM13" s="113" t="s">
        <v>36</v>
      </c>
      <c r="HN13" s="113" t="s">
        <v>37</v>
      </c>
      <c r="HO13" s="113" t="s">
        <v>0</v>
      </c>
      <c r="HP13" s="113" t="s">
        <v>38</v>
      </c>
      <c r="HQ13" s="114" t="s">
        <v>11</v>
      </c>
      <c r="HR13" s="108" t="str">
        <f>elenchi!$C3</f>
        <v>SEGURA ESTEFANY</v>
      </c>
      <c r="HS13" s="109"/>
      <c r="HT13" s="110"/>
      <c r="HU13" s="67">
        <f t="shared" ref="HU13:IY13" si="30">HU$2</f>
        <v>46054</v>
      </c>
      <c r="HV13" s="67">
        <f t="shared" si="30"/>
        <v>46055</v>
      </c>
      <c r="HW13" s="67">
        <f t="shared" si="30"/>
        <v>46056</v>
      </c>
      <c r="HX13" s="67">
        <f t="shared" si="30"/>
        <v>46057</v>
      </c>
      <c r="HY13" s="67">
        <f t="shared" si="30"/>
        <v>46058</v>
      </c>
      <c r="HZ13" s="67">
        <f t="shared" si="30"/>
        <v>46059</v>
      </c>
      <c r="IA13" s="67">
        <f t="shared" si="30"/>
        <v>46060</v>
      </c>
      <c r="IB13" s="67">
        <f t="shared" si="30"/>
        <v>46061</v>
      </c>
      <c r="IC13" s="67">
        <f t="shared" si="30"/>
        <v>46062</v>
      </c>
      <c r="ID13" s="67">
        <f t="shared" si="30"/>
        <v>46063</v>
      </c>
      <c r="IE13" s="67">
        <f t="shared" si="30"/>
        <v>46064</v>
      </c>
      <c r="IF13" s="67">
        <f t="shared" si="30"/>
        <v>46065</v>
      </c>
      <c r="IG13" s="67">
        <f t="shared" si="30"/>
        <v>46066</v>
      </c>
      <c r="IH13" s="67">
        <f t="shared" si="30"/>
        <v>46067</v>
      </c>
      <c r="II13" s="67">
        <f t="shared" si="30"/>
        <v>46068</v>
      </c>
      <c r="IJ13" s="67">
        <f t="shared" si="30"/>
        <v>46069</v>
      </c>
      <c r="IK13" s="67">
        <f t="shared" si="30"/>
        <v>46070</v>
      </c>
      <c r="IL13" s="67">
        <f t="shared" si="30"/>
        <v>46071</v>
      </c>
      <c r="IM13" s="67">
        <f t="shared" si="30"/>
        <v>46072</v>
      </c>
      <c r="IN13" s="67">
        <f t="shared" si="30"/>
        <v>46073</v>
      </c>
      <c r="IO13" s="67">
        <f t="shared" si="30"/>
        <v>46074</v>
      </c>
      <c r="IP13" s="67">
        <f t="shared" si="30"/>
        <v>46075</v>
      </c>
      <c r="IQ13" s="67">
        <f t="shared" si="30"/>
        <v>46076</v>
      </c>
      <c r="IR13" s="67">
        <f t="shared" si="30"/>
        <v>46077</v>
      </c>
      <c r="IS13" s="67">
        <f t="shared" si="30"/>
        <v>46078</v>
      </c>
      <c r="IT13" s="67">
        <f t="shared" si="30"/>
        <v>46079</v>
      </c>
      <c r="IU13" s="67">
        <f t="shared" si="30"/>
        <v>46080</v>
      </c>
      <c r="IV13" s="67">
        <f t="shared" si="30"/>
        <v>46081</v>
      </c>
      <c r="IW13" s="67" t="str">
        <f t="shared" si="30"/>
        <v/>
      </c>
      <c r="IX13" s="67" t="str">
        <f t="shared" si="30"/>
        <v/>
      </c>
      <c r="IY13" s="67" t="str">
        <f t="shared" si="30"/>
        <v/>
      </c>
      <c r="IZ13" s="112" t="s">
        <v>33</v>
      </c>
      <c r="JA13" s="113" t="s">
        <v>28</v>
      </c>
      <c r="JB13" s="114" t="s">
        <v>34</v>
      </c>
      <c r="JC13" s="112" t="s">
        <v>13</v>
      </c>
      <c r="JD13" s="113" t="s">
        <v>1</v>
      </c>
      <c r="JE13" s="113" t="s">
        <v>35</v>
      </c>
      <c r="JF13" s="113" t="s">
        <v>36</v>
      </c>
      <c r="JG13" s="113" t="s">
        <v>37</v>
      </c>
      <c r="JH13" s="113" t="s">
        <v>0</v>
      </c>
      <c r="JI13" s="113" t="s">
        <v>38</v>
      </c>
      <c r="JJ13" s="114" t="s">
        <v>11</v>
      </c>
      <c r="JK13" s="108" t="str">
        <f>elenchi!$C3</f>
        <v>SEGURA ESTEFANY</v>
      </c>
      <c r="JL13" s="109"/>
      <c r="JM13" s="110"/>
      <c r="JN13" s="67">
        <f t="shared" ref="JN13:KR13" si="31">JN$2</f>
        <v>46082</v>
      </c>
      <c r="JO13" s="67">
        <f t="shared" si="31"/>
        <v>46083</v>
      </c>
      <c r="JP13" s="67">
        <f t="shared" si="31"/>
        <v>46084</v>
      </c>
      <c r="JQ13" s="67">
        <f t="shared" si="31"/>
        <v>46085</v>
      </c>
      <c r="JR13" s="67">
        <f t="shared" si="31"/>
        <v>46086</v>
      </c>
      <c r="JS13" s="67">
        <f t="shared" si="31"/>
        <v>46087</v>
      </c>
      <c r="JT13" s="67">
        <f t="shared" si="31"/>
        <v>46088</v>
      </c>
      <c r="JU13" s="67">
        <f t="shared" si="31"/>
        <v>46089</v>
      </c>
      <c r="JV13" s="67">
        <f t="shared" si="31"/>
        <v>46090</v>
      </c>
      <c r="JW13" s="67">
        <f t="shared" si="31"/>
        <v>46091</v>
      </c>
      <c r="JX13" s="67">
        <f t="shared" si="31"/>
        <v>46092</v>
      </c>
      <c r="JY13" s="67">
        <f t="shared" si="31"/>
        <v>46093</v>
      </c>
      <c r="JZ13" s="67">
        <f t="shared" si="31"/>
        <v>46094</v>
      </c>
      <c r="KA13" s="67">
        <f t="shared" si="31"/>
        <v>46095</v>
      </c>
      <c r="KB13" s="67">
        <f t="shared" si="31"/>
        <v>46096</v>
      </c>
      <c r="KC13" s="67">
        <f t="shared" si="31"/>
        <v>46097</v>
      </c>
      <c r="KD13" s="67">
        <f t="shared" si="31"/>
        <v>46098</v>
      </c>
      <c r="KE13" s="67">
        <f t="shared" si="31"/>
        <v>46099</v>
      </c>
      <c r="KF13" s="67">
        <f t="shared" si="31"/>
        <v>46100</v>
      </c>
      <c r="KG13" s="67">
        <f t="shared" si="31"/>
        <v>46101</v>
      </c>
      <c r="KH13" s="67">
        <f t="shared" si="31"/>
        <v>46102</v>
      </c>
      <c r="KI13" s="67">
        <f t="shared" si="31"/>
        <v>46103</v>
      </c>
      <c r="KJ13" s="67">
        <f t="shared" si="31"/>
        <v>46104</v>
      </c>
      <c r="KK13" s="67">
        <f t="shared" si="31"/>
        <v>46105</v>
      </c>
      <c r="KL13" s="67">
        <f t="shared" si="31"/>
        <v>46106</v>
      </c>
      <c r="KM13" s="67">
        <f t="shared" si="31"/>
        <v>46107</v>
      </c>
      <c r="KN13" s="67">
        <f t="shared" si="31"/>
        <v>46108</v>
      </c>
      <c r="KO13" s="67">
        <f t="shared" si="31"/>
        <v>46109</v>
      </c>
      <c r="KP13" s="67">
        <f t="shared" si="31"/>
        <v>46110</v>
      </c>
      <c r="KQ13" s="67">
        <f t="shared" si="31"/>
        <v>46111</v>
      </c>
      <c r="KR13" s="67">
        <f t="shared" si="31"/>
        <v>46112</v>
      </c>
      <c r="KS13" s="112" t="s">
        <v>33</v>
      </c>
      <c r="KT13" s="113" t="s">
        <v>28</v>
      </c>
      <c r="KU13" s="114" t="s">
        <v>34</v>
      </c>
      <c r="KV13" s="112" t="s">
        <v>13</v>
      </c>
      <c r="KW13" s="113" t="s">
        <v>1</v>
      </c>
      <c r="KX13" s="113" t="s">
        <v>35</v>
      </c>
      <c r="KY13" s="113" t="s">
        <v>36</v>
      </c>
      <c r="KZ13" s="113" t="s">
        <v>37</v>
      </c>
      <c r="LA13" s="113" t="s">
        <v>0</v>
      </c>
      <c r="LB13" s="113" t="s">
        <v>38</v>
      </c>
      <c r="LC13" s="114" t="s">
        <v>11</v>
      </c>
      <c r="LD13" s="108" t="str">
        <f>elenchi!$C3</f>
        <v>SEGURA ESTEFANY</v>
      </c>
      <c r="LE13" s="109"/>
      <c r="LF13" s="110"/>
      <c r="LG13" s="67">
        <f t="shared" ref="LG13:MK13" si="32">LG$2</f>
        <v>46113</v>
      </c>
      <c r="LH13" s="67">
        <f t="shared" si="32"/>
        <v>46114</v>
      </c>
      <c r="LI13" s="67">
        <f t="shared" si="32"/>
        <v>46115</v>
      </c>
      <c r="LJ13" s="67">
        <f t="shared" si="32"/>
        <v>46116</v>
      </c>
      <c r="LK13" s="67">
        <f t="shared" si="32"/>
        <v>46117</v>
      </c>
      <c r="LL13" s="67">
        <f t="shared" si="32"/>
        <v>46118</v>
      </c>
      <c r="LM13" s="67">
        <f t="shared" si="32"/>
        <v>46119</v>
      </c>
      <c r="LN13" s="67">
        <f t="shared" si="32"/>
        <v>46120</v>
      </c>
      <c r="LO13" s="67">
        <f t="shared" si="32"/>
        <v>46121</v>
      </c>
      <c r="LP13" s="67">
        <f t="shared" si="32"/>
        <v>46122</v>
      </c>
      <c r="LQ13" s="67">
        <f t="shared" si="32"/>
        <v>46123</v>
      </c>
      <c r="LR13" s="67">
        <f t="shared" si="32"/>
        <v>46124</v>
      </c>
      <c r="LS13" s="67">
        <f t="shared" si="32"/>
        <v>46125</v>
      </c>
      <c r="LT13" s="67">
        <f t="shared" si="32"/>
        <v>46126</v>
      </c>
      <c r="LU13" s="67">
        <f t="shared" si="32"/>
        <v>46127</v>
      </c>
      <c r="LV13" s="67">
        <f t="shared" si="32"/>
        <v>46128</v>
      </c>
      <c r="LW13" s="67">
        <f t="shared" si="32"/>
        <v>46129</v>
      </c>
      <c r="LX13" s="67">
        <f t="shared" si="32"/>
        <v>46130</v>
      </c>
      <c r="LY13" s="67">
        <f t="shared" si="32"/>
        <v>46131</v>
      </c>
      <c r="LZ13" s="67">
        <f t="shared" si="32"/>
        <v>46132</v>
      </c>
      <c r="MA13" s="67">
        <f t="shared" si="32"/>
        <v>46133</v>
      </c>
      <c r="MB13" s="67">
        <f t="shared" si="32"/>
        <v>46134</v>
      </c>
      <c r="MC13" s="67">
        <f t="shared" si="32"/>
        <v>46135</v>
      </c>
      <c r="MD13" s="67">
        <f t="shared" si="32"/>
        <v>46136</v>
      </c>
      <c r="ME13" s="67">
        <f t="shared" si="32"/>
        <v>46137</v>
      </c>
      <c r="MF13" s="67">
        <f t="shared" si="32"/>
        <v>46138</v>
      </c>
      <c r="MG13" s="67">
        <f t="shared" si="32"/>
        <v>46139</v>
      </c>
      <c r="MH13" s="67">
        <f t="shared" si="32"/>
        <v>46140</v>
      </c>
      <c r="MI13" s="67">
        <f t="shared" si="32"/>
        <v>46141</v>
      </c>
      <c r="MJ13" s="67">
        <f t="shared" si="32"/>
        <v>46142</v>
      </c>
      <c r="MK13" s="67" t="str">
        <f t="shared" si="32"/>
        <v/>
      </c>
      <c r="ML13" s="112" t="s">
        <v>33</v>
      </c>
      <c r="MM13" s="113" t="s">
        <v>28</v>
      </c>
      <c r="MN13" s="114" t="s">
        <v>34</v>
      </c>
      <c r="MO13" s="112" t="s">
        <v>13</v>
      </c>
      <c r="MP13" s="113" t="s">
        <v>1</v>
      </c>
      <c r="MQ13" s="113" t="s">
        <v>35</v>
      </c>
      <c r="MR13" s="113" t="s">
        <v>36</v>
      </c>
      <c r="MS13" s="113" t="s">
        <v>37</v>
      </c>
      <c r="MT13" s="113" t="s">
        <v>0</v>
      </c>
      <c r="MU13" s="113" t="s">
        <v>38</v>
      </c>
      <c r="MV13" s="115" t="s">
        <v>11</v>
      </c>
      <c r="MW13" s="108" t="str">
        <f>elenchi!$C3</f>
        <v>SEGURA ESTEFANY</v>
      </c>
      <c r="MX13" s="109"/>
      <c r="MY13" s="110"/>
      <c r="MZ13" s="67">
        <f t="shared" ref="MZ13:OD13" si="33">MZ$2</f>
        <v>46143</v>
      </c>
      <c r="NA13" s="67">
        <f t="shared" si="33"/>
        <v>46144</v>
      </c>
      <c r="NB13" s="67">
        <f t="shared" si="33"/>
        <v>46145</v>
      </c>
      <c r="NC13" s="67">
        <f t="shared" si="33"/>
        <v>46146</v>
      </c>
      <c r="ND13" s="67">
        <f t="shared" si="33"/>
        <v>46147</v>
      </c>
      <c r="NE13" s="67">
        <f t="shared" si="33"/>
        <v>46148</v>
      </c>
      <c r="NF13" s="67">
        <f t="shared" si="33"/>
        <v>46149</v>
      </c>
      <c r="NG13" s="67">
        <f t="shared" si="33"/>
        <v>46150</v>
      </c>
      <c r="NH13" s="67">
        <f t="shared" si="33"/>
        <v>46151</v>
      </c>
      <c r="NI13" s="67">
        <f t="shared" si="33"/>
        <v>46152</v>
      </c>
      <c r="NJ13" s="67">
        <f t="shared" si="33"/>
        <v>46153</v>
      </c>
      <c r="NK13" s="67">
        <f t="shared" si="33"/>
        <v>46154</v>
      </c>
      <c r="NL13" s="67">
        <f t="shared" si="33"/>
        <v>46155</v>
      </c>
      <c r="NM13" s="67">
        <f t="shared" si="33"/>
        <v>46156</v>
      </c>
      <c r="NN13" s="67">
        <f t="shared" si="33"/>
        <v>46157</v>
      </c>
      <c r="NO13" s="67">
        <f t="shared" si="33"/>
        <v>46158</v>
      </c>
      <c r="NP13" s="67">
        <f t="shared" si="33"/>
        <v>46159</v>
      </c>
      <c r="NQ13" s="67">
        <f t="shared" si="33"/>
        <v>46160</v>
      </c>
      <c r="NR13" s="67">
        <f t="shared" si="33"/>
        <v>46161</v>
      </c>
      <c r="NS13" s="67">
        <f t="shared" si="33"/>
        <v>46162</v>
      </c>
      <c r="NT13" s="67">
        <f t="shared" si="33"/>
        <v>46163</v>
      </c>
      <c r="NU13" s="67">
        <f t="shared" si="33"/>
        <v>46164</v>
      </c>
      <c r="NV13" s="67">
        <f t="shared" si="33"/>
        <v>46165</v>
      </c>
      <c r="NW13" s="67">
        <f t="shared" si="33"/>
        <v>46166</v>
      </c>
      <c r="NX13" s="67">
        <f t="shared" si="33"/>
        <v>46167</v>
      </c>
      <c r="NY13" s="67">
        <f t="shared" si="33"/>
        <v>46168</v>
      </c>
      <c r="NZ13" s="67">
        <f t="shared" si="33"/>
        <v>46169</v>
      </c>
      <c r="OA13" s="67">
        <f t="shared" si="33"/>
        <v>46170</v>
      </c>
      <c r="OB13" s="67">
        <f t="shared" si="33"/>
        <v>46171</v>
      </c>
      <c r="OC13" s="67">
        <f t="shared" si="33"/>
        <v>46172</v>
      </c>
      <c r="OD13" s="67">
        <f t="shared" si="33"/>
        <v>46173</v>
      </c>
      <c r="OE13" s="112" t="s">
        <v>33</v>
      </c>
      <c r="OF13" s="113" t="s">
        <v>28</v>
      </c>
      <c r="OG13" s="114" t="s">
        <v>34</v>
      </c>
      <c r="OH13" s="112" t="s">
        <v>13</v>
      </c>
      <c r="OI13" s="113" t="s">
        <v>1</v>
      </c>
      <c r="OJ13" s="113" t="s">
        <v>35</v>
      </c>
      <c r="OK13" s="113" t="s">
        <v>36</v>
      </c>
      <c r="OL13" s="113" t="s">
        <v>37</v>
      </c>
      <c r="OM13" s="113" t="s">
        <v>0</v>
      </c>
      <c r="ON13" s="113" t="s">
        <v>38</v>
      </c>
      <c r="OO13" s="115" t="s">
        <v>11</v>
      </c>
      <c r="OP13" s="108" t="str">
        <f>elenchi!$C3</f>
        <v>SEGURA ESTEFANY</v>
      </c>
      <c r="OQ13" s="109"/>
      <c r="OR13" s="110"/>
      <c r="OS13" s="67">
        <f t="shared" ref="OS13:PW13" si="34">OS$2</f>
        <v>46174</v>
      </c>
      <c r="OT13" s="67">
        <f t="shared" si="34"/>
        <v>46175</v>
      </c>
      <c r="OU13" s="67">
        <f t="shared" si="34"/>
        <v>46176</v>
      </c>
      <c r="OV13" s="67">
        <f t="shared" si="34"/>
        <v>46177</v>
      </c>
      <c r="OW13" s="67">
        <f t="shared" si="34"/>
        <v>46178</v>
      </c>
      <c r="OX13" s="67">
        <f t="shared" si="34"/>
        <v>46179</v>
      </c>
      <c r="OY13" s="67">
        <f t="shared" si="34"/>
        <v>46180</v>
      </c>
      <c r="OZ13" s="67">
        <f t="shared" si="34"/>
        <v>46181</v>
      </c>
      <c r="PA13" s="67">
        <f t="shared" si="34"/>
        <v>46182</v>
      </c>
      <c r="PB13" s="67">
        <f t="shared" si="34"/>
        <v>46183</v>
      </c>
      <c r="PC13" s="67">
        <f t="shared" si="34"/>
        <v>46184</v>
      </c>
      <c r="PD13" s="67">
        <f t="shared" si="34"/>
        <v>46185</v>
      </c>
      <c r="PE13" s="67">
        <f t="shared" si="34"/>
        <v>46186</v>
      </c>
      <c r="PF13" s="67">
        <f t="shared" si="34"/>
        <v>46187</v>
      </c>
      <c r="PG13" s="67">
        <f t="shared" si="34"/>
        <v>46188</v>
      </c>
      <c r="PH13" s="67">
        <f t="shared" si="34"/>
        <v>46189</v>
      </c>
      <c r="PI13" s="67">
        <f t="shared" si="34"/>
        <v>46190</v>
      </c>
      <c r="PJ13" s="67">
        <f t="shared" si="34"/>
        <v>46191</v>
      </c>
      <c r="PK13" s="67">
        <f t="shared" si="34"/>
        <v>46192</v>
      </c>
      <c r="PL13" s="67">
        <f t="shared" si="34"/>
        <v>46193</v>
      </c>
      <c r="PM13" s="67">
        <f t="shared" si="34"/>
        <v>46194</v>
      </c>
      <c r="PN13" s="67">
        <f t="shared" si="34"/>
        <v>46195</v>
      </c>
      <c r="PO13" s="67">
        <f t="shared" si="34"/>
        <v>46196</v>
      </c>
      <c r="PP13" s="67">
        <f t="shared" si="34"/>
        <v>46197</v>
      </c>
      <c r="PQ13" s="67">
        <f t="shared" si="34"/>
        <v>46198</v>
      </c>
      <c r="PR13" s="67">
        <f t="shared" si="34"/>
        <v>46199</v>
      </c>
      <c r="PS13" s="67">
        <f t="shared" si="34"/>
        <v>46200</v>
      </c>
      <c r="PT13" s="67">
        <f t="shared" si="34"/>
        <v>46201</v>
      </c>
      <c r="PU13" s="67">
        <f t="shared" si="34"/>
        <v>46202</v>
      </c>
      <c r="PV13" s="67">
        <f t="shared" si="34"/>
        <v>46203</v>
      </c>
      <c r="PW13" s="67" t="str">
        <f t="shared" si="34"/>
        <v/>
      </c>
      <c r="PX13" s="112" t="s">
        <v>33</v>
      </c>
      <c r="PY13" s="113" t="s">
        <v>28</v>
      </c>
      <c r="PZ13" s="114" t="s">
        <v>34</v>
      </c>
      <c r="QA13" s="112" t="s">
        <v>13</v>
      </c>
      <c r="QB13" s="113" t="s">
        <v>1</v>
      </c>
      <c r="QC13" s="113" t="s">
        <v>35</v>
      </c>
      <c r="QD13" s="113" t="s">
        <v>36</v>
      </c>
      <c r="QE13" s="113" t="s">
        <v>37</v>
      </c>
      <c r="QF13" s="113" t="s">
        <v>0</v>
      </c>
      <c r="QG13" s="113" t="s">
        <v>38</v>
      </c>
      <c r="QH13" s="115" t="s">
        <v>11</v>
      </c>
      <c r="QI13" s="108" t="str">
        <f>elenchi!$C3</f>
        <v>SEGURA ESTEFANY</v>
      </c>
      <c r="QJ13" s="109"/>
      <c r="QK13" s="110"/>
      <c r="QL13" s="67">
        <f t="shared" ref="QL13:RP13" si="35">QL$2</f>
        <v>46204</v>
      </c>
      <c r="QM13" s="67">
        <f t="shared" si="35"/>
        <v>46205</v>
      </c>
      <c r="QN13" s="67">
        <f t="shared" si="35"/>
        <v>46206</v>
      </c>
      <c r="QO13" s="67">
        <f t="shared" si="35"/>
        <v>46207</v>
      </c>
      <c r="QP13" s="67">
        <f t="shared" si="35"/>
        <v>46208</v>
      </c>
      <c r="QQ13" s="67">
        <f t="shared" si="35"/>
        <v>46209</v>
      </c>
      <c r="QR13" s="67">
        <f t="shared" si="35"/>
        <v>46210</v>
      </c>
      <c r="QS13" s="67">
        <f t="shared" si="35"/>
        <v>46211</v>
      </c>
      <c r="QT13" s="67">
        <f t="shared" si="35"/>
        <v>46212</v>
      </c>
      <c r="QU13" s="67">
        <f t="shared" si="35"/>
        <v>46213</v>
      </c>
      <c r="QV13" s="67">
        <f t="shared" si="35"/>
        <v>46214</v>
      </c>
      <c r="QW13" s="67">
        <f t="shared" si="35"/>
        <v>46215</v>
      </c>
      <c r="QX13" s="67">
        <f t="shared" si="35"/>
        <v>46216</v>
      </c>
      <c r="QY13" s="67">
        <f t="shared" si="35"/>
        <v>46217</v>
      </c>
      <c r="QZ13" s="67">
        <f t="shared" si="35"/>
        <v>46218</v>
      </c>
      <c r="RA13" s="67">
        <f t="shared" si="35"/>
        <v>46219</v>
      </c>
      <c r="RB13" s="67">
        <f t="shared" si="35"/>
        <v>46220</v>
      </c>
      <c r="RC13" s="67">
        <f t="shared" si="35"/>
        <v>46221</v>
      </c>
      <c r="RD13" s="67">
        <f t="shared" si="35"/>
        <v>46222</v>
      </c>
      <c r="RE13" s="67">
        <f t="shared" si="35"/>
        <v>46223</v>
      </c>
      <c r="RF13" s="67">
        <f t="shared" si="35"/>
        <v>46224</v>
      </c>
      <c r="RG13" s="67">
        <f t="shared" si="35"/>
        <v>46225</v>
      </c>
      <c r="RH13" s="67">
        <f t="shared" si="35"/>
        <v>46226</v>
      </c>
      <c r="RI13" s="67">
        <f t="shared" si="35"/>
        <v>46227</v>
      </c>
      <c r="RJ13" s="67">
        <f t="shared" si="35"/>
        <v>46228</v>
      </c>
      <c r="RK13" s="67">
        <f t="shared" si="35"/>
        <v>46229</v>
      </c>
      <c r="RL13" s="67">
        <f t="shared" si="35"/>
        <v>46230</v>
      </c>
      <c r="RM13" s="67">
        <f t="shared" si="35"/>
        <v>46231</v>
      </c>
      <c r="RN13" s="67">
        <f t="shared" si="35"/>
        <v>46232</v>
      </c>
      <c r="RO13" s="67">
        <f t="shared" si="35"/>
        <v>46233</v>
      </c>
      <c r="RP13" s="67">
        <f t="shared" si="35"/>
        <v>46234</v>
      </c>
      <c r="RQ13" s="112" t="s">
        <v>33</v>
      </c>
      <c r="RR13" s="113" t="s">
        <v>28</v>
      </c>
      <c r="RS13" s="114" t="s">
        <v>34</v>
      </c>
      <c r="RT13" s="112" t="s">
        <v>13</v>
      </c>
      <c r="RU13" s="113" t="s">
        <v>1</v>
      </c>
      <c r="RV13" s="113" t="s">
        <v>35</v>
      </c>
      <c r="RW13" s="113" t="s">
        <v>36</v>
      </c>
      <c r="RX13" s="113" t="s">
        <v>37</v>
      </c>
      <c r="RY13" s="113" t="s">
        <v>0</v>
      </c>
      <c r="RZ13" s="113" t="s">
        <v>38</v>
      </c>
      <c r="SA13" s="115" t="s">
        <v>11</v>
      </c>
      <c r="SB13" s="108" t="str">
        <f>elenchi!$C3</f>
        <v>SEGURA ESTEFANY</v>
      </c>
      <c r="SC13" s="109"/>
      <c r="SD13" s="110"/>
      <c r="SE13" s="67">
        <f t="shared" ref="SE13:TI13" si="36">SE$2</f>
        <v>46235</v>
      </c>
      <c r="SF13" s="67">
        <f t="shared" si="36"/>
        <v>46236</v>
      </c>
      <c r="SG13" s="67">
        <f t="shared" si="36"/>
        <v>46237</v>
      </c>
      <c r="SH13" s="67">
        <f t="shared" si="36"/>
        <v>46238</v>
      </c>
      <c r="SI13" s="67">
        <f t="shared" si="36"/>
        <v>46239</v>
      </c>
      <c r="SJ13" s="67">
        <f t="shared" si="36"/>
        <v>46240</v>
      </c>
      <c r="SK13" s="67">
        <f t="shared" si="36"/>
        <v>46241</v>
      </c>
      <c r="SL13" s="67">
        <f t="shared" si="36"/>
        <v>46242</v>
      </c>
      <c r="SM13" s="67">
        <f t="shared" si="36"/>
        <v>46243</v>
      </c>
      <c r="SN13" s="67">
        <f t="shared" si="36"/>
        <v>46244</v>
      </c>
      <c r="SO13" s="67">
        <f t="shared" si="36"/>
        <v>46245</v>
      </c>
      <c r="SP13" s="67">
        <f t="shared" si="36"/>
        <v>46246</v>
      </c>
      <c r="SQ13" s="67">
        <f t="shared" si="36"/>
        <v>46247</v>
      </c>
      <c r="SR13" s="67">
        <f t="shared" si="36"/>
        <v>46248</v>
      </c>
      <c r="SS13" s="67">
        <f t="shared" si="36"/>
        <v>46249</v>
      </c>
      <c r="ST13" s="67">
        <f t="shared" si="36"/>
        <v>46250</v>
      </c>
      <c r="SU13" s="67">
        <f t="shared" si="36"/>
        <v>46251</v>
      </c>
      <c r="SV13" s="67">
        <f t="shared" si="36"/>
        <v>46252</v>
      </c>
      <c r="SW13" s="67">
        <f t="shared" si="36"/>
        <v>46253</v>
      </c>
      <c r="SX13" s="67">
        <f t="shared" si="36"/>
        <v>46254</v>
      </c>
      <c r="SY13" s="67">
        <f t="shared" si="36"/>
        <v>46255</v>
      </c>
      <c r="SZ13" s="67">
        <f t="shared" si="36"/>
        <v>46256</v>
      </c>
      <c r="TA13" s="67">
        <f t="shared" si="36"/>
        <v>46257</v>
      </c>
      <c r="TB13" s="67">
        <f t="shared" si="36"/>
        <v>46258</v>
      </c>
      <c r="TC13" s="67">
        <f t="shared" si="36"/>
        <v>46259</v>
      </c>
      <c r="TD13" s="67">
        <f t="shared" si="36"/>
        <v>46260</v>
      </c>
      <c r="TE13" s="67">
        <f t="shared" si="36"/>
        <v>46261</v>
      </c>
      <c r="TF13" s="67">
        <f t="shared" si="36"/>
        <v>46262</v>
      </c>
      <c r="TG13" s="67">
        <f t="shared" si="36"/>
        <v>46263</v>
      </c>
      <c r="TH13" s="67">
        <f t="shared" si="36"/>
        <v>46264</v>
      </c>
      <c r="TI13" s="67">
        <f t="shared" si="36"/>
        <v>46265</v>
      </c>
      <c r="TJ13" s="112" t="s">
        <v>33</v>
      </c>
      <c r="TK13" s="113" t="s">
        <v>28</v>
      </c>
      <c r="TL13" s="114" t="s">
        <v>34</v>
      </c>
      <c r="TM13" s="112" t="s">
        <v>13</v>
      </c>
      <c r="TN13" s="113" t="s">
        <v>1</v>
      </c>
      <c r="TO13" s="113" t="s">
        <v>35</v>
      </c>
      <c r="TP13" s="113" t="s">
        <v>36</v>
      </c>
      <c r="TQ13" s="113" t="s">
        <v>37</v>
      </c>
      <c r="TR13" s="113" t="s">
        <v>0</v>
      </c>
      <c r="TS13" s="113" t="s">
        <v>38</v>
      </c>
      <c r="TT13" s="114" t="s">
        <v>11</v>
      </c>
    </row>
    <row r="14" ht="24.75" customHeight="1">
      <c r="A14" s="73"/>
      <c r="B14" s="65"/>
      <c r="C14" s="66"/>
      <c r="D14" s="74">
        <f>Settembre25!$D$2</f>
        <v>8</v>
      </c>
      <c r="E14" s="75">
        <f>Settembre25!$D$3</f>
        <v>8</v>
      </c>
      <c r="F14" s="75">
        <f>Settembre25!$D$4</f>
        <v>6</v>
      </c>
      <c r="G14" s="75">
        <f>Settembre25!$D$5</f>
        <v>8</v>
      </c>
      <c r="H14" s="76">
        <f>Settembre25!$D$6</f>
        <v>8</v>
      </c>
      <c r="I14" s="76" t="str">
        <f>Settembre25!$D$7</f>
        <v/>
      </c>
      <c r="J14" s="75" t="str">
        <f>Settembre25!$D$8</f>
        <v/>
      </c>
      <c r="K14" s="75">
        <f>Settembre25!$D$9</f>
        <v>9.5</v>
      </c>
      <c r="L14" s="75">
        <f>Settembre25!$D$10</f>
        <v>9.5</v>
      </c>
      <c r="M14" s="75">
        <f>Settembre25!$D$11</f>
        <v>9.5</v>
      </c>
      <c r="N14" s="75">
        <f>Settembre25!$D$12</f>
        <v>9.5</v>
      </c>
      <c r="O14" s="76">
        <f>Settembre25!$D$13</f>
        <v>9.5</v>
      </c>
      <c r="P14" s="75">
        <f>Settembre25!$D$14</f>
        <v>8</v>
      </c>
      <c r="Q14" s="75" t="str">
        <f>Settembre25!$D$15</f>
        <v/>
      </c>
      <c r="R14" s="75">
        <f>Settembre25!$D$16</f>
        <v>9.5</v>
      </c>
      <c r="S14" s="75">
        <f>Settembre25!$D$17</f>
        <v>9.5</v>
      </c>
      <c r="T14" s="75">
        <f>Settembre25!$D$18</f>
        <v>9.5</v>
      </c>
      <c r="U14" s="75">
        <f>Settembre25!$D$19</f>
        <v>9.5</v>
      </c>
      <c r="V14" s="76">
        <f>Settembre25!$D$20</f>
        <v>9.5</v>
      </c>
      <c r="W14" s="76">
        <f>Settembre25!$D$21</f>
        <v>8</v>
      </c>
      <c r="X14" s="75" t="str">
        <f>Settembre25!$D$22</f>
        <v/>
      </c>
      <c r="Y14" s="75">
        <f>Settembre25!$D$23</f>
        <v>9.5</v>
      </c>
      <c r="Z14" s="75">
        <f>Settembre25!$D$24</f>
        <v>9.5</v>
      </c>
      <c r="AA14" s="75">
        <f>Settembre25!$D$25</f>
        <v>9.5</v>
      </c>
      <c r="AB14" s="75">
        <f>Settembre25!$D$26</f>
        <v>9.5</v>
      </c>
      <c r="AC14" s="76">
        <f>Settembre25!$D$27</f>
        <v>9.5</v>
      </c>
      <c r="AD14" s="76">
        <f>Settembre25!$D$28</f>
        <v>8</v>
      </c>
      <c r="AE14" s="75" t="str">
        <f>Settembre25!$D$29</f>
        <v/>
      </c>
      <c r="AF14" s="75">
        <f>Settembre25!$D$30</f>
        <v>9.5</v>
      </c>
      <c r="AG14" s="75">
        <f>Settembre25!$D$31</f>
        <v>9.5</v>
      </c>
      <c r="AH14" s="77" t="str">
        <f>Settembre25!$D$32</f>
        <v/>
      </c>
      <c r="AI14" s="78"/>
      <c r="AJ14" s="79">
        <f>SUM(D14:AH14)</f>
        <v>223.5</v>
      </c>
      <c r="AK14" s="80"/>
      <c r="AL14" s="78"/>
      <c r="AM14" s="81"/>
      <c r="AN14" s="81"/>
      <c r="AO14" s="81"/>
      <c r="AP14" s="81"/>
      <c r="AQ14" s="81"/>
      <c r="AR14" s="81"/>
      <c r="AS14" s="82"/>
      <c r="AT14" s="73"/>
      <c r="AU14" s="65"/>
      <c r="AV14" s="66"/>
      <c r="AW14" s="83">
        <f>Ottobre25!$D$2</f>
        <v>9.5</v>
      </c>
      <c r="AX14" s="84">
        <f>Ottobre25!$D$3</f>
        <v>9.5</v>
      </c>
      <c r="AY14" s="84">
        <f>Ottobre25!$D$4</f>
        <v>9.5</v>
      </c>
      <c r="AZ14" s="84">
        <f>Ottobre25!$D$5</f>
        <v>8</v>
      </c>
      <c r="BA14" s="84" t="str">
        <f>Ottobre25!$D$6</f>
        <v/>
      </c>
      <c r="BB14" s="85">
        <f>Ottobre25!$D$7</f>
        <v>8</v>
      </c>
      <c r="BC14" s="84">
        <f>Ottobre25!$D$8</f>
        <v>7.5</v>
      </c>
      <c r="BD14" s="84">
        <f>Ottobre25!$D$9</f>
        <v>8</v>
      </c>
      <c r="BE14" s="84">
        <f>Ottobre25!$D$10</f>
        <v>8</v>
      </c>
      <c r="BF14" s="84">
        <f>Ottobre25!$D$11</f>
        <v>8</v>
      </c>
      <c r="BG14" s="84" t="str">
        <f>Ottobre25!$D$12</f>
        <v/>
      </c>
      <c r="BH14" s="84" t="str">
        <f>Ottobre25!$D$13</f>
        <v/>
      </c>
      <c r="BI14" s="84">
        <f>Ottobre25!$D$14</f>
        <v>8</v>
      </c>
      <c r="BJ14" s="84">
        <f>Ottobre25!$D$15</f>
        <v>8</v>
      </c>
      <c r="BK14" s="84">
        <f>Ottobre25!$D$16</f>
        <v>8</v>
      </c>
      <c r="BL14" s="84">
        <f>Ottobre25!$D$17</f>
        <v>9.5</v>
      </c>
      <c r="BM14" s="84">
        <f>Ottobre25!$D$18</f>
        <v>8</v>
      </c>
      <c r="BN14" s="84">
        <f>Ottobre25!$D$19</f>
        <v>8</v>
      </c>
      <c r="BO14" s="84" t="str">
        <f>Ottobre25!$D$20</f>
        <v/>
      </c>
      <c r="BP14" s="84">
        <f>Ottobre25!$D$21</f>
        <v>8</v>
      </c>
      <c r="BQ14" s="84">
        <f>Ottobre25!$D$22</f>
        <v>8</v>
      </c>
      <c r="BR14" s="84">
        <f>Ottobre25!$D$23</f>
        <v>8</v>
      </c>
      <c r="BS14" s="84">
        <f>Ottobre25!$D$24</f>
        <v>9.5</v>
      </c>
      <c r="BT14" s="84">
        <f>Ottobre25!$D$25</f>
        <v>8</v>
      </c>
      <c r="BU14" s="84">
        <f>Ottobre25!$D$26</f>
        <v>8</v>
      </c>
      <c r="BV14" s="84" t="str">
        <f>Ottobre25!$D$27</f>
        <v/>
      </c>
      <c r="BW14" s="85">
        <f>Ottobre25!$D$28</f>
        <v>8</v>
      </c>
      <c r="BX14" s="84">
        <f>Ottobre25!$D$29</f>
        <v>8</v>
      </c>
      <c r="BY14" s="84">
        <f>Ottobre25!$D$30</f>
        <v>8</v>
      </c>
      <c r="BZ14" s="84">
        <f>Ottobre25!$D$31</f>
        <v>9.5</v>
      </c>
      <c r="CA14" s="86">
        <f>Ottobre25!$D$32</f>
        <v>8</v>
      </c>
      <c r="CB14" s="78"/>
      <c r="CC14" s="79">
        <f>SUM(AW14:CA14)</f>
        <v>216.5</v>
      </c>
      <c r="CD14" s="80"/>
      <c r="CE14" s="78"/>
      <c r="CF14" s="81"/>
      <c r="CG14" s="81"/>
      <c r="CH14" s="81"/>
      <c r="CI14" s="81"/>
      <c r="CJ14" s="81"/>
      <c r="CK14" s="81"/>
      <c r="CL14" s="82"/>
      <c r="CM14" s="73"/>
      <c r="CN14" s="65"/>
      <c r="CO14" s="66"/>
      <c r="CP14" s="83" t="str">
        <f>Novembre25!$D$2</f>
        <v/>
      </c>
      <c r="CQ14" s="84" t="str">
        <f>Novembre25!$D$3</f>
        <v/>
      </c>
      <c r="CR14" s="84">
        <f>Novembre25!$D$4</f>
        <v>8</v>
      </c>
      <c r="CS14" s="84">
        <f>Novembre25!$D$5</f>
        <v>8</v>
      </c>
      <c r="CT14" s="84">
        <f>Novembre25!$D$6</f>
        <v>8</v>
      </c>
      <c r="CU14" s="85">
        <f>Novembre25!$D$7</f>
        <v>8</v>
      </c>
      <c r="CV14" s="84">
        <f>Novembre25!$D$8</f>
        <v>8</v>
      </c>
      <c r="CW14" s="84">
        <f>Novembre25!$D$9</f>
        <v>8</v>
      </c>
      <c r="CX14" s="84" t="str">
        <f>Novembre25!$D$10</f>
        <v/>
      </c>
      <c r="CY14" s="84">
        <f>Novembre25!$D$11</f>
        <v>8</v>
      </c>
      <c r="CZ14" s="84">
        <f>Novembre25!$D$12</f>
        <v>8</v>
      </c>
      <c r="DA14" s="84">
        <f>Novembre25!$D$13</f>
        <v>8</v>
      </c>
      <c r="DB14" s="84">
        <f>Novembre25!$D$14</f>
        <v>8</v>
      </c>
      <c r="DC14" s="84">
        <f>Novembre25!$D$15</f>
        <v>6</v>
      </c>
      <c r="DD14" s="84" t="str">
        <f>Novembre25!$D$16</f>
        <v/>
      </c>
      <c r="DE14" s="84" t="str">
        <f>Novembre25!$D$17</f>
        <v/>
      </c>
      <c r="DF14" s="84" t="str">
        <f>Novembre25!$D$18</f>
        <v>ML</v>
      </c>
      <c r="DG14" s="84" t="str">
        <f>Novembre25!$D$19</f>
        <v>ML</v>
      </c>
      <c r="DH14" s="84" t="str">
        <f>Novembre25!$D$20</f>
        <v>ML</v>
      </c>
      <c r="DI14" s="84">
        <f>Novembre25!$D$21</f>
        <v>8</v>
      </c>
      <c r="DJ14" s="84">
        <f>Novembre25!$D$22</f>
        <v>8</v>
      </c>
      <c r="DK14" s="84" t="str">
        <f>Novembre25!$D$23</f>
        <v/>
      </c>
      <c r="DL14" s="84">
        <f>Novembre25!$D$24</f>
        <v>5.5</v>
      </c>
      <c r="DM14" s="84">
        <f>Novembre25!$D$25</f>
        <v>8</v>
      </c>
      <c r="DN14" s="84">
        <f>Novembre25!$D$26</f>
        <v>8</v>
      </c>
      <c r="DO14" s="84">
        <f>Novembre25!$D$27</f>
        <v>8</v>
      </c>
      <c r="DP14" s="85">
        <f>Novembre25!$D$28</f>
        <v>8</v>
      </c>
      <c r="DQ14" s="84">
        <f>Novembre25!$D$29</f>
        <v>8</v>
      </c>
      <c r="DR14" s="84">
        <f>Novembre25!$D$30</f>
        <v>8</v>
      </c>
      <c r="DS14" s="84" t="str">
        <f>Novembre25!$D$31</f>
        <v/>
      </c>
      <c r="DT14" s="86" t="str">
        <f>Novembre25!$D$32</f>
        <v/>
      </c>
      <c r="DU14" s="78"/>
      <c r="DV14" s="79">
        <f>SUM(CP14:DT14)</f>
        <v>155.5</v>
      </c>
      <c r="DW14" s="80"/>
      <c r="DX14" s="78"/>
      <c r="DY14" s="81"/>
      <c r="DZ14" s="81"/>
      <c r="EA14" s="81"/>
      <c r="EB14" s="81"/>
      <c r="EC14" s="81"/>
      <c r="ED14" s="81"/>
      <c r="EE14" s="80"/>
      <c r="EF14" s="73"/>
      <c r="EG14" s="65"/>
      <c r="EH14" s="66"/>
      <c r="EI14" s="83">
        <f>Dicembre25!$D$2</f>
        <v>8</v>
      </c>
      <c r="EJ14" s="84">
        <f>Dicembre25!$D$3</f>
        <v>8</v>
      </c>
      <c r="EK14" s="84">
        <f>Dicembre25!$D$4</f>
        <v>8</v>
      </c>
      <c r="EL14" s="84">
        <f>Dicembre25!$D$5</f>
        <v>8</v>
      </c>
      <c r="EM14" s="84">
        <f>Dicembre25!$D$6</f>
        <v>8</v>
      </c>
      <c r="EN14" s="85">
        <f>Dicembre25!$D$7</f>
        <v>8</v>
      </c>
      <c r="EO14" s="84" t="str">
        <f>Dicembre25!$D$8</f>
        <v/>
      </c>
      <c r="EP14" s="84" t="str">
        <f>Dicembre25!$D$9</f>
        <v>F</v>
      </c>
      <c r="EQ14" s="84">
        <f>Dicembre25!$D$10</f>
        <v>8</v>
      </c>
      <c r="ER14" s="84">
        <f>Dicembre25!$D$11</f>
        <v>8</v>
      </c>
      <c r="ES14" s="84">
        <f>Dicembre25!$D$12</f>
        <v>8</v>
      </c>
      <c r="ET14" s="84" t="str">
        <f>Dicembre25!$D$13</f>
        <v>Pe</v>
      </c>
      <c r="EU14" s="84" t="str">
        <f>Dicembre25!$D$14</f>
        <v>Pe</v>
      </c>
      <c r="EV14" s="84" t="str">
        <f>Dicembre25!$D$15</f>
        <v>Pe</v>
      </c>
      <c r="EW14" s="84" t="str">
        <f>Dicembre25!$D$16</f>
        <v>Pe</v>
      </c>
      <c r="EX14" s="84" t="str">
        <f>Dicembre25!$D$17</f>
        <v>Pe</v>
      </c>
      <c r="EY14" s="84" t="str">
        <f>Dicembre25!$D$18</f>
        <v>Pe</v>
      </c>
      <c r="EZ14" s="84" t="str">
        <f>Dicembre25!$D$19</f>
        <v>Pe</v>
      </c>
      <c r="FA14" s="84" t="str">
        <f>Dicembre25!$D$20</f>
        <v>Pe</v>
      </c>
      <c r="FB14" s="84" t="str">
        <f>Dicembre25!$D$21</f>
        <v>Pe</v>
      </c>
      <c r="FC14" s="84" t="str">
        <f>Dicembre25!$D$22</f>
        <v/>
      </c>
      <c r="FD14" s="84" t="str">
        <f>Dicembre25!$D$23</f>
        <v>Pe</v>
      </c>
      <c r="FE14" s="84" t="str">
        <f>Dicembre25!$D$24</f>
        <v>Pe</v>
      </c>
      <c r="FF14" s="84" t="str">
        <f>Dicembre25!$D$25</f>
        <v>Fe</v>
      </c>
      <c r="FG14" s="84" t="str">
        <f>Dicembre25!$D$26</f>
        <v>F</v>
      </c>
      <c r="FH14" s="84" t="str">
        <f>Dicembre25!$D$27</f>
        <v>F</v>
      </c>
      <c r="FI14" s="85" t="str">
        <f>Dicembre25!$D$28</f>
        <v/>
      </c>
      <c r="FJ14" s="84" t="str">
        <f>Dicembre25!$D$29</f>
        <v/>
      </c>
      <c r="FK14" s="84" t="str">
        <f>Dicembre25!$D$30</f>
        <v>Pe</v>
      </c>
      <c r="FL14" s="84" t="str">
        <f>Dicembre25!$D$31</f>
        <v>Pe</v>
      </c>
      <c r="FM14" s="86" t="str">
        <f>Dicembre25!$D$32</f>
        <v/>
      </c>
      <c r="FN14" s="78"/>
      <c r="FO14" s="79">
        <f>SUM(EI14:FM14)</f>
        <v>72</v>
      </c>
      <c r="FP14" s="80"/>
      <c r="FQ14" s="78"/>
      <c r="FR14" s="81"/>
      <c r="FS14" s="81"/>
      <c r="FT14" s="81"/>
      <c r="FU14" s="81"/>
      <c r="FV14" s="81"/>
      <c r="FW14" s="81"/>
      <c r="FX14" s="80"/>
      <c r="FY14" s="73"/>
      <c r="FZ14" s="65"/>
      <c r="GA14" s="66"/>
      <c r="GB14" s="83" t="str">
        <f>Gennaio26!$D$2</f>
        <v>Pe</v>
      </c>
      <c r="GC14" s="84" t="str">
        <f>Gennaio26!$D$3</f>
        <v>Pe</v>
      </c>
      <c r="GD14" s="84" t="str">
        <f>Gennaio26!$D$4</f>
        <v>Pe</v>
      </c>
      <c r="GE14" s="84" t="str">
        <f>Gennaio26!$D$5</f>
        <v>Pe</v>
      </c>
      <c r="GF14" s="84" t="str">
        <f>Gennaio26!$D$6</f>
        <v>Pe</v>
      </c>
      <c r="GG14" s="85" t="str">
        <f>Gennaio26!$D$7</f>
        <v>Pe</v>
      </c>
      <c r="GH14" s="84" t="str">
        <f>Gennaio26!$D$8</f>
        <v>Pe</v>
      </c>
      <c r="GI14" s="84" t="str">
        <f>Gennaio26!$D$9</f>
        <v>Pe</v>
      </c>
      <c r="GJ14" s="84">
        <f>Gennaio26!$D$10</f>
        <v>8</v>
      </c>
      <c r="GK14" s="84">
        <f>Gennaio26!$D$11</f>
        <v>8</v>
      </c>
      <c r="GL14" s="84" t="str">
        <f>Gennaio26!$D$12</f>
        <v/>
      </c>
      <c r="GM14" s="84">
        <f>Gennaio26!$D$13</f>
        <v>8</v>
      </c>
      <c r="GN14" s="84">
        <f>Gennaio26!$D$14</f>
        <v>8</v>
      </c>
      <c r="GO14" s="84">
        <f>Gennaio26!$D$15</f>
        <v>8</v>
      </c>
      <c r="GP14" s="84">
        <f>Gennaio26!$D$16</f>
        <v>8</v>
      </c>
      <c r="GQ14" s="84">
        <f>Gennaio26!$D$17</f>
        <v>8</v>
      </c>
      <c r="GR14" s="84">
        <f>Gennaio26!$D$18</f>
        <v>8</v>
      </c>
      <c r="GS14" s="84" t="str">
        <f>Gennaio26!$D$19</f>
        <v/>
      </c>
      <c r="GT14" s="84">
        <f>Gennaio26!$D$20</f>
        <v>8</v>
      </c>
      <c r="GU14" s="84">
        <f>Gennaio26!$D$21</f>
        <v>8</v>
      </c>
      <c r="GV14" s="84">
        <f>Gennaio26!$D$22</f>
        <v>8</v>
      </c>
      <c r="GW14" s="84">
        <f>Gennaio26!$D$23</f>
        <v>8</v>
      </c>
      <c r="GX14" s="84">
        <f>Gennaio26!$D$24</f>
        <v>8</v>
      </c>
      <c r="GY14" s="84">
        <f>Gennaio26!$D$25</f>
        <v>8</v>
      </c>
      <c r="GZ14" s="84" t="str">
        <f>Gennaio26!$D$26</f>
        <v/>
      </c>
      <c r="HA14" s="84">
        <f>Gennaio26!$D$27</f>
        <v>8</v>
      </c>
      <c r="HB14" s="85">
        <f>Gennaio26!$D$28</f>
        <v>8</v>
      </c>
      <c r="HC14" s="84">
        <f>Gennaio26!$D$29</f>
        <v>8</v>
      </c>
      <c r="HD14" s="84">
        <f>Gennaio26!$D$30</f>
        <v>8</v>
      </c>
      <c r="HE14" s="84">
        <f>Gennaio26!$D$31</f>
        <v>8</v>
      </c>
      <c r="HF14" s="86" t="str">
        <f>Gennaio26!$D$32</f>
        <v/>
      </c>
      <c r="HG14" s="78"/>
      <c r="HH14" s="79">
        <f>SUM(GB14:HF14)</f>
        <v>152</v>
      </c>
      <c r="HI14" s="80"/>
      <c r="HJ14" s="78"/>
      <c r="HK14" s="81"/>
      <c r="HL14" s="81"/>
      <c r="HM14" s="81"/>
      <c r="HN14" s="81"/>
      <c r="HO14" s="81"/>
      <c r="HP14" s="81"/>
      <c r="HQ14" s="80"/>
      <c r="HR14" s="73"/>
      <c r="HS14" s="65"/>
      <c r="HT14" s="66"/>
      <c r="HU14" s="83">
        <f>Febbraio26!$D$2</f>
        <v>3</v>
      </c>
      <c r="HV14" s="84">
        <f>Febbraio26!$D$3</f>
        <v>8</v>
      </c>
      <c r="HW14" s="84">
        <f>Febbraio26!$D$4</f>
        <v>8</v>
      </c>
      <c r="HX14" s="84">
        <f>Febbraio26!$D$5</f>
        <v>8</v>
      </c>
      <c r="HY14" s="84">
        <f>Febbraio26!$D$6</f>
        <v>8</v>
      </c>
      <c r="HZ14" s="85">
        <f>Febbraio26!$D$7</f>
        <v>8</v>
      </c>
      <c r="IA14" s="84">
        <f>Febbraio26!$D$8</f>
        <v>8</v>
      </c>
      <c r="IB14" s="84" t="str">
        <f>Febbraio26!$D$9</f>
        <v/>
      </c>
      <c r="IC14" s="84">
        <f>Febbraio26!$D$10</f>
        <v>8</v>
      </c>
      <c r="ID14" s="84">
        <f>Febbraio26!$D$11</f>
        <v>8</v>
      </c>
      <c r="IE14" s="84">
        <f>Febbraio26!$D$12</f>
        <v>8</v>
      </c>
      <c r="IF14" s="84">
        <f>Febbraio26!$D$13</f>
        <v>8</v>
      </c>
      <c r="IG14" s="84">
        <f>Febbraio26!$D$14</f>
        <v>8</v>
      </c>
      <c r="IH14" s="84">
        <f>Febbraio26!$D$15</f>
        <v>8</v>
      </c>
      <c r="II14" s="84" t="str">
        <f>Febbraio26!$D$16</f>
        <v/>
      </c>
      <c r="IJ14" s="84">
        <f>Febbraio26!$D$17</f>
        <v>8</v>
      </c>
      <c r="IK14" s="84">
        <f>Febbraio26!$D$18</f>
        <v>8</v>
      </c>
      <c r="IL14" s="84">
        <f>Febbraio26!$D$19</f>
        <v>8</v>
      </c>
      <c r="IM14" s="84">
        <f>Febbraio26!$D$20</f>
        <v>8</v>
      </c>
      <c r="IN14" s="84">
        <f>Febbraio26!$D$21</f>
        <v>8</v>
      </c>
      <c r="IO14" s="84">
        <f>Febbraio26!$D$22</f>
        <v>8</v>
      </c>
      <c r="IP14" s="84" t="str">
        <f>Febbraio26!$D$23</f>
        <v/>
      </c>
      <c r="IQ14" s="84">
        <f>Febbraio26!$D$24</f>
        <v>8</v>
      </c>
      <c r="IR14" s="84">
        <f>Febbraio26!$D$25</f>
        <v>8</v>
      </c>
      <c r="IS14" s="84">
        <f>Febbraio26!$D$26</f>
        <v>8</v>
      </c>
      <c r="IT14" s="84">
        <f>Febbraio26!$D$27</f>
        <v>8</v>
      </c>
      <c r="IU14" s="85">
        <f>Febbraio26!$D$28</f>
        <v>8</v>
      </c>
      <c r="IV14" s="84">
        <f>Febbraio26!$D$29</f>
        <v>8</v>
      </c>
      <c r="IW14" s="84" t="str">
        <f>Febbraio26!$D$30</f>
        <v/>
      </c>
      <c r="IX14" s="84" t="str">
        <f>Febbraio26!$D$31</f>
        <v/>
      </c>
      <c r="IY14" s="86" t="str">
        <f>Febbraio26!$D$32</f>
        <v/>
      </c>
      <c r="IZ14" s="78"/>
      <c r="JA14" s="79">
        <f>SUM(HU14:IY14)</f>
        <v>195</v>
      </c>
      <c r="JB14" s="80"/>
      <c r="JC14" s="78"/>
      <c r="JD14" s="81"/>
      <c r="JE14" s="81"/>
      <c r="JF14" s="81"/>
      <c r="JG14" s="81"/>
      <c r="JH14" s="81"/>
      <c r="JI14" s="81"/>
      <c r="JJ14" s="80"/>
      <c r="JK14" s="73"/>
      <c r="JL14" s="65"/>
      <c r="JM14" s="66"/>
      <c r="JN14" s="83" t="str">
        <f>Marzo26!$D$2</f>
        <v/>
      </c>
      <c r="JO14" s="84">
        <f>Marzo26!$D$3</f>
        <v>8</v>
      </c>
      <c r="JP14" s="84">
        <f>Marzo26!$D$4</f>
        <v>8</v>
      </c>
      <c r="JQ14" s="84">
        <f>Marzo26!$D$5</f>
        <v>8</v>
      </c>
      <c r="JR14" s="84">
        <f>Marzo26!$D$6</f>
        <v>8</v>
      </c>
      <c r="JS14" s="85">
        <f>Marzo26!$D$7</f>
        <v>8</v>
      </c>
      <c r="JT14" s="84" t="str">
        <f>Marzo26!$D$8</f>
        <v/>
      </c>
      <c r="JU14" s="84" t="str">
        <f>Marzo26!$D$9</f>
        <v/>
      </c>
      <c r="JV14" s="84">
        <f>Marzo26!$D$10</f>
        <v>8</v>
      </c>
      <c r="JW14" s="84">
        <f>Marzo26!$D$11</f>
        <v>8</v>
      </c>
      <c r="JX14" s="84">
        <f>Marzo26!$D$12</f>
        <v>8</v>
      </c>
      <c r="JY14" s="84">
        <f>Marzo26!$D$13</f>
        <v>8</v>
      </c>
      <c r="JZ14" s="84">
        <f>Marzo26!$D$14</f>
        <v>8</v>
      </c>
      <c r="KA14" s="84">
        <f>Marzo26!$D$15</f>
        <v>8</v>
      </c>
      <c r="KB14" s="84" t="str">
        <f>Marzo26!$D$16</f>
        <v/>
      </c>
      <c r="KC14" s="84">
        <f>Marzo26!$D$17</f>
        <v>8</v>
      </c>
      <c r="KD14" s="84">
        <f>Marzo26!$D$18</f>
        <v>8</v>
      </c>
      <c r="KE14" s="84">
        <f>Marzo26!$D$19</f>
        <v>8</v>
      </c>
      <c r="KF14" s="84">
        <f>Marzo26!$D$20</f>
        <v>8</v>
      </c>
      <c r="KG14" s="84">
        <f>Marzo26!$D$21</f>
        <v>8</v>
      </c>
      <c r="KH14" s="84">
        <f>Marzo26!$D$22</f>
        <v>8</v>
      </c>
      <c r="KI14" s="84" t="str">
        <f>Marzo26!$D$23</f>
        <v/>
      </c>
      <c r="KJ14" s="84">
        <f>Marzo26!$D$24</f>
        <v>8</v>
      </c>
      <c r="KK14" s="84">
        <f>Marzo26!$D$25</f>
        <v>8</v>
      </c>
      <c r="KL14" s="84">
        <f>Marzo26!$D$26</f>
        <v>8</v>
      </c>
      <c r="KM14" s="84">
        <f>Marzo26!$D$27</f>
        <v>8</v>
      </c>
      <c r="KN14" s="85">
        <f>Marzo26!$D$28</f>
        <v>8</v>
      </c>
      <c r="KO14" s="84">
        <f>Marzo26!$D$29</f>
        <v>8</v>
      </c>
      <c r="KP14" s="84" t="str">
        <f>Marzo26!$D$30</f>
        <v/>
      </c>
      <c r="KQ14" s="84">
        <f>Marzo26!$D$31</f>
        <v>8</v>
      </c>
      <c r="KR14" s="86">
        <f>Marzo26!$D$32</f>
        <v>8</v>
      </c>
      <c r="KS14" s="78"/>
      <c r="KT14" s="79">
        <f>SUM(JN14:KR14)</f>
        <v>200</v>
      </c>
      <c r="KU14" s="80"/>
      <c r="KV14" s="78"/>
      <c r="KW14" s="81"/>
      <c r="KX14" s="81"/>
      <c r="KY14" s="81"/>
      <c r="KZ14" s="81"/>
      <c r="LA14" s="81"/>
      <c r="LB14" s="81"/>
      <c r="LC14" s="80"/>
      <c r="LD14" s="73"/>
      <c r="LE14" s="65"/>
      <c r="LF14" s="66"/>
      <c r="LG14" s="83" t="str">
        <f>Aprile26!$D$2</f>
        <v/>
      </c>
      <c r="LH14" s="84" t="str">
        <f>Aprile26!$D$3</f>
        <v/>
      </c>
      <c r="LI14" s="84" t="str">
        <f>Aprile26!$D$4</f>
        <v/>
      </c>
      <c r="LJ14" s="84" t="str">
        <f>Aprile26!$D$5</f>
        <v/>
      </c>
      <c r="LK14" s="84" t="str">
        <f>Aprile26!$D$6</f>
        <v/>
      </c>
      <c r="LL14" s="85" t="str">
        <f>Aprile26!$D$7</f>
        <v/>
      </c>
      <c r="LM14" s="84" t="str">
        <f>Aprile26!$D$8</f>
        <v/>
      </c>
      <c r="LN14" s="84" t="str">
        <f>Aprile26!$D$9</f>
        <v/>
      </c>
      <c r="LO14" s="84" t="str">
        <f>Aprile26!$D$10</f>
        <v/>
      </c>
      <c r="LP14" s="84" t="str">
        <f>Aprile26!$D$11</f>
        <v/>
      </c>
      <c r="LQ14" s="84" t="str">
        <f>Aprile26!$D$12</f>
        <v/>
      </c>
      <c r="LR14" s="84" t="str">
        <f>Aprile26!$D$13</f>
        <v/>
      </c>
      <c r="LS14" s="84" t="str">
        <f>Aprile26!$D$14</f>
        <v/>
      </c>
      <c r="LT14" s="84" t="str">
        <f>Aprile26!$D$15</f>
        <v/>
      </c>
      <c r="LU14" s="84" t="str">
        <f>Aprile26!$D$16</f>
        <v/>
      </c>
      <c r="LV14" s="84" t="str">
        <f>Aprile26!$D$17</f>
        <v/>
      </c>
      <c r="LW14" s="84" t="str">
        <f>Aprile26!$D$18</f>
        <v/>
      </c>
      <c r="LX14" s="84" t="str">
        <f>Aprile26!$D$19</f>
        <v/>
      </c>
      <c r="LY14" s="84" t="str">
        <f>Aprile26!$D$20</f>
        <v/>
      </c>
      <c r="LZ14" s="84" t="str">
        <f>Aprile26!$D$21</f>
        <v/>
      </c>
      <c r="MA14" s="84" t="str">
        <f>Aprile26!$D$22</f>
        <v/>
      </c>
      <c r="MB14" s="84" t="str">
        <f>Aprile26!$D$23</f>
        <v/>
      </c>
      <c r="MC14" s="84" t="str">
        <f>Aprile26!$D$24</f>
        <v/>
      </c>
      <c r="MD14" s="84" t="str">
        <f>Aprile26!$D$25</f>
        <v/>
      </c>
      <c r="ME14" s="84" t="str">
        <f>Aprile26!$D$26</f>
        <v/>
      </c>
      <c r="MF14" s="84" t="str">
        <f>Aprile26!$D$27</f>
        <v/>
      </c>
      <c r="MG14" s="85" t="str">
        <f>Aprile26!$D$28</f>
        <v/>
      </c>
      <c r="MH14" s="84" t="str">
        <f>Aprile26!$D$29</f>
        <v/>
      </c>
      <c r="MI14" s="84" t="str">
        <f>Aprile26!$D$30</f>
        <v/>
      </c>
      <c r="MJ14" s="84" t="str">
        <f>Aprile26!$D$31</f>
        <v/>
      </c>
      <c r="MK14" s="86" t="str">
        <f>Aprile26!$D$32</f>
        <v/>
      </c>
      <c r="ML14" s="78"/>
      <c r="MM14" s="79">
        <f>SUM(LG14:MK14)</f>
        <v>0</v>
      </c>
      <c r="MN14" s="80"/>
      <c r="MO14" s="78"/>
      <c r="MP14" s="81"/>
      <c r="MQ14" s="81"/>
      <c r="MR14" s="81"/>
      <c r="MS14" s="81"/>
      <c r="MT14" s="81"/>
      <c r="MU14" s="81"/>
      <c r="MV14" s="82"/>
      <c r="MW14" s="73"/>
      <c r="MX14" s="65"/>
      <c r="MY14" s="66"/>
      <c r="MZ14" s="83" t="str">
        <f>Maggio26!$D$2</f>
        <v/>
      </c>
      <c r="NA14" s="84" t="str">
        <f>Maggio26!$D$3</f>
        <v/>
      </c>
      <c r="NB14" s="84" t="str">
        <f>Maggio26!$D$4</f>
        <v/>
      </c>
      <c r="NC14" s="84" t="str">
        <f>Maggio26!$D$5</f>
        <v/>
      </c>
      <c r="ND14" s="84" t="str">
        <f>Maggio26!$D$6</f>
        <v/>
      </c>
      <c r="NE14" s="85" t="str">
        <f>Maggio26!$D$7</f>
        <v/>
      </c>
      <c r="NF14" s="84" t="str">
        <f>Maggio26!$D$8</f>
        <v/>
      </c>
      <c r="NG14" s="84" t="str">
        <f>Maggio26!$D$9</f>
        <v/>
      </c>
      <c r="NH14" s="84" t="str">
        <f>Maggio26!$D$10</f>
        <v/>
      </c>
      <c r="NI14" s="84" t="str">
        <f>Maggio26!$D$11</f>
        <v/>
      </c>
      <c r="NJ14" s="84" t="str">
        <f>Maggio26!$D$12</f>
        <v/>
      </c>
      <c r="NK14" s="84" t="str">
        <f>Maggio26!$D$13</f>
        <v/>
      </c>
      <c r="NL14" s="84" t="str">
        <f>Maggio26!$D$14</f>
        <v/>
      </c>
      <c r="NM14" s="84" t="str">
        <f>Maggio26!$D$15</f>
        <v/>
      </c>
      <c r="NN14" s="84" t="str">
        <f>Maggio26!$D$16</f>
        <v/>
      </c>
      <c r="NO14" s="84" t="str">
        <f>Maggio26!$D$17</f>
        <v/>
      </c>
      <c r="NP14" s="84" t="str">
        <f>Maggio26!$D$18</f>
        <v/>
      </c>
      <c r="NQ14" s="84" t="str">
        <f>Maggio26!$D$19</f>
        <v/>
      </c>
      <c r="NR14" s="84" t="str">
        <f>Maggio26!$D$20</f>
        <v/>
      </c>
      <c r="NS14" s="84" t="str">
        <f>Maggio26!$D$21</f>
        <v/>
      </c>
      <c r="NT14" s="84" t="str">
        <f>Maggio26!$D$22</f>
        <v/>
      </c>
      <c r="NU14" s="84" t="str">
        <f>Maggio26!$D$23</f>
        <v/>
      </c>
      <c r="NV14" s="84" t="str">
        <f>Maggio26!$D$24</f>
        <v/>
      </c>
      <c r="NW14" s="84" t="str">
        <f>Maggio26!$D$25</f>
        <v/>
      </c>
      <c r="NX14" s="84" t="str">
        <f>Maggio26!$D$26</f>
        <v/>
      </c>
      <c r="NY14" s="84" t="str">
        <f>Maggio26!$D$27</f>
        <v/>
      </c>
      <c r="NZ14" s="85" t="str">
        <f>Maggio26!$D$28</f>
        <v/>
      </c>
      <c r="OA14" s="84" t="str">
        <f>Maggio26!$D$29</f>
        <v/>
      </c>
      <c r="OB14" s="84" t="str">
        <f>Maggio26!$D$30</f>
        <v/>
      </c>
      <c r="OC14" s="84" t="str">
        <f>Maggio26!$D$31</f>
        <v/>
      </c>
      <c r="OD14" s="86" t="str">
        <f>Maggio26!$D$32</f>
        <v/>
      </c>
      <c r="OE14" s="78"/>
      <c r="OF14" s="79">
        <f>SUM(MZ14:OD14)</f>
        <v>0</v>
      </c>
      <c r="OG14" s="80"/>
      <c r="OH14" s="78"/>
      <c r="OI14" s="81"/>
      <c r="OJ14" s="81"/>
      <c r="OK14" s="81"/>
      <c r="OL14" s="81"/>
      <c r="OM14" s="81"/>
      <c r="ON14" s="81"/>
      <c r="OO14" s="82"/>
      <c r="OP14" s="73"/>
      <c r="OQ14" s="65"/>
      <c r="OR14" s="66"/>
      <c r="OS14" s="83" t="str">
        <f>Giugno26!$D$2</f>
        <v/>
      </c>
      <c r="OT14" s="84" t="str">
        <f>Giugno26!$D$3</f>
        <v/>
      </c>
      <c r="OU14" s="84" t="str">
        <f>Giugno26!$D$4</f>
        <v/>
      </c>
      <c r="OV14" s="84" t="str">
        <f>Giugno26!$D$5</f>
        <v/>
      </c>
      <c r="OW14" s="84" t="str">
        <f>Giugno26!$D$6</f>
        <v/>
      </c>
      <c r="OX14" s="85" t="str">
        <f>Giugno26!$D$7</f>
        <v/>
      </c>
      <c r="OY14" s="84" t="str">
        <f>Giugno26!$D$8</f>
        <v/>
      </c>
      <c r="OZ14" s="84" t="str">
        <f>Giugno26!$D$9</f>
        <v/>
      </c>
      <c r="PA14" s="84" t="str">
        <f>Giugno26!$D$10</f>
        <v/>
      </c>
      <c r="PB14" s="84" t="str">
        <f>Giugno26!$D$11</f>
        <v/>
      </c>
      <c r="PC14" s="84" t="str">
        <f>Giugno26!$D$12</f>
        <v/>
      </c>
      <c r="PD14" s="84" t="str">
        <f>Giugno26!$D$13</f>
        <v/>
      </c>
      <c r="PE14" s="84" t="str">
        <f>Giugno26!$D$14</f>
        <v/>
      </c>
      <c r="PF14" s="84" t="str">
        <f>Giugno26!$D$15</f>
        <v/>
      </c>
      <c r="PG14" s="84" t="str">
        <f>Giugno26!$D$16</f>
        <v/>
      </c>
      <c r="PH14" s="84" t="str">
        <f>Giugno26!$D$17</f>
        <v/>
      </c>
      <c r="PI14" s="84" t="str">
        <f>Giugno26!$D$18</f>
        <v/>
      </c>
      <c r="PJ14" s="84" t="str">
        <f>Giugno26!$D$19</f>
        <v/>
      </c>
      <c r="PK14" s="84" t="str">
        <f>Giugno26!$D$20</f>
        <v/>
      </c>
      <c r="PL14" s="84" t="str">
        <f>Giugno26!$D$21</f>
        <v/>
      </c>
      <c r="PM14" s="84" t="str">
        <f>Giugno26!$D$22</f>
        <v/>
      </c>
      <c r="PN14" s="84" t="str">
        <f>Giugno26!$D$23</f>
        <v/>
      </c>
      <c r="PO14" s="84" t="str">
        <f>Giugno26!$D$24</f>
        <v/>
      </c>
      <c r="PP14" s="84" t="str">
        <f>Giugno26!$D$25</f>
        <v/>
      </c>
      <c r="PQ14" s="84" t="str">
        <f>Giugno26!$D$26</f>
        <v/>
      </c>
      <c r="PR14" s="84" t="str">
        <f>Giugno26!$D$27</f>
        <v/>
      </c>
      <c r="PS14" s="85" t="str">
        <f>Giugno26!$D$28</f>
        <v/>
      </c>
      <c r="PT14" s="84" t="str">
        <f>Giugno26!$D$29</f>
        <v/>
      </c>
      <c r="PU14" s="84" t="str">
        <f>Giugno26!$D$30</f>
        <v/>
      </c>
      <c r="PV14" s="84" t="str">
        <f>Giugno26!$D$31</f>
        <v/>
      </c>
      <c r="PW14" s="86" t="str">
        <f>Giugno26!$D$32</f>
        <v/>
      </c>
      <c r="PX14" s="78"/>
      <c r="PY14" s="79">
        <f>SUM(OS14:PW14)</f>
        <v>0</v>
      </c>
      <c r="PZ14" s="80"/>
      <c r="QA14" s="78"/>
      <c r="QB14" s="81"/>
      <c r="QC14" s="81"/>
      <c r="QD14" s="81"/>
      <c r="QE14" s="81"/>
      <c r="QF14" s="81"/>
      <c r="QG14" s="81"/>
      <c r="QH14" s="82"/>
      <c r="QI14" s="73"/>
      <c r="QJ14" s="65"/>
      <c r="QK14" s="66"/>
      <c r="QL14" s="83" t="str">
        <f>Luglio26!$D$2</f>
        <v/>
      </c>
      <c r="QM14" s="84" t="str">
        <f>Luglio26!$D$3</f>
        <v/>
      </c>
      <c r="QN14" s="84" t="str">
        <f>Luglio26!$D$4</f>
        <v/>
      </c>
      <c r="QO14" s="84" t="str">
        <f>Luglio26!$D$5</f>
        <v/>
      </c>
      <c r="QP14" s="84" t="str">
        <f>Luglio26!$D$6</f>
        <v/>
      </c>
      <c r="QQ14" s="85" t="str">
        <f>Luglio26!$D$7</f>
        <v/>
      </c>
      <c r="QR14" s="84" t="str">
        <f>Luglio26!$D$8</f>
        <v/>
      </c>
      <c r="QS14" s="84" t="str">
        <f>Luglio26!$D$9</f>
        <v/>
      </c>
      <c r="QT14" s="84" t="str">
        <f>Luglio26!$D$10</f>
        <v/>
      </c>
      <c r="QU14" s="84" t="str">
        <f>Luglio26!$D$11</f>
        <v/>
      </c>
      <c r="QV14" s="84" t="str">
        <f>Luglio26!$D$12</f>
        <v/>
      </c>
      <c r="QW14" s="84" t="str">
        <f>Luglio26!$D$13</f>
        <v/>
      </c>
      <c r="QX14" s="84" t="str">
        <f>Luglio26!$D$14</f>
        <v/>
      </c>
      <c r="QY14" s="84" t="str">
        <f>Luglio26!$D$15</f>
        <v/>
      </c>
      <c r="QZ14" s="84" t="str">
        <f>Luglio26!$D$16</f>
        <v/>
      </c>
      <c r="RA14" s="84" t="str">
        <f>Luglio26!$D$17</f>
        <v/>
      </c>
      <c r="RB14" s="84" t="str">
        <f>Luglio26!$D$18</f>
        <v/>
      </c>
      <c r="RC14" s="84" t="str">
        <f>Luglio26!$D$19</f>
        <v/>
      </c>
      <c r="RD14" s="84" t="str">
        <f>Luglio26!$D$20</f>
        <v/>
      </c>
      <c r="RE14" s="84" t="str">
        <f>Luglio26!$D$21</f>
        <v/>
      </c>
      <c r="RF14" s="84" t="str">
        <f>Luglio26!$D$22</f>
        <v/>
      </c>
      <c r="RG14" s="84" t="str">
        <f>Luglio26!$D$23</f>
        <v/>
      </c>
      <c r="RH14" s="84" t="str">
        <f>Luglio26!$D$24</f>
        <v/>
      </c>
      <c r="RI14" s="84" t="str">
        <f>Luglio26!$D$25</f>
        <v/>
      </c>
      <c r="RJ14" s="84" t="str">
        <f>Luglio26!$D$26</f>
        <v/>
      </c>
      <c r="RK14" s="84" t="str">
        <f>Luglio26!$D$27</f>
        <v/>
      </c>
      <c r="RL14" s="85" t="str">
        <f>Luglio26!$D$28</f>
        <v/>
      </c>
      <c r="RM14" s="84" t="str">
        <f>Luglio26!$D$29</f>
        <v/>
      </c>
      <c r="RN14" s="84" t="str">
        <f>Luglio26!$D$30</f>
        <v/>
      </c>
      <c r="RO14" s="84" t="str">
        <f>Luglio26!$D$31</f>
        <v/>
      </c>
      <c r="RP14" s="86" t="str">
        <f>Luglio26!$D$32</f>
        <v/>
      </c>
      <c r="RQ14" s="78"/>
      <c r="RR14" s="79">
        <f>SUM(QL14:RP14)</f>
        <v>0</v>
      </c>
      <c r="RS14" s="80"/>
      <c r="RT14" s="78"/>
      <c r="RU14" s="81"/>
      <c r="RV14" s="81"/>
      <c r="RW14" s="81"/>
      <c r="RX14" s="81"/>
      <c r="RY14" s="81"/>
      <c r="RZ14" s="81"/>
      <c r="SA14" s="82"/>
      <c r="SB14" s="73"/>
      <c r="SC14" s="65"/>
      <c r="SD14" s="66"/>
      <c r="SE14" s="83" t="str">
        <f>Agosto26!$D$2</f>
        <v/>
      </c>
      <c r="SF14" s="84" t="str">
        <f>Agosto26!$D$3</f>
        <v/>
      </c>
      <c r="SG14" s="84" t="str">
        <f>Agosto26!$D$4</f>
        <v/>
      </c>
      <c r="SH14" s="84" t="str">
        <f>Agosto26!$D$5</f>
        <v/>
      </c>
      <c r="SI14" s="84" t="str">
        <f>Agosto26!$D$6</f>
        <v/>
      </c>
      <c r="SJ14" s="85" t="str">
        <f>Agosto26!$D$7</f>
        <v/>
      </c>
      <c r="SK14" s="84" t="str">
        <f>Agosto26!$D$8</f>
        <v/>
      </c>
      <c r="SL14" s="84" t="str">
        <f>Agosto26!$D$9</f>
        <v/>
      </c>
      <c r="SM14" s="84" t="str">
        <f>Agosto26!$D$10</f>
        <v/>
      </c>
      <c r="SN14" s="84" t="str">
        <f>Agosto26!$D$11</f>
        <v/>
      </c>
      <c r="SO14" s="84" t="str">
        <f>Agosto26!$D$12</f>
        <v/>
      </c>
      <c r="SP14" s="84" t="str">
        <f>Agosto26!$D$13</f>
        <v/>
      </c>
      <c r="SQ14" s="84" t="str">
        <f>Agosto26!$D$14</f>
        <v/>
      </c>
      <c r="SR14" s="84" t="str">
        <f>Agosto26!$D$15</f>
        <v/>
      </c>
      <c r="SS14" s="84" t="str">
        <f>Agosto26!$D$16</f>
        <v/>
      </c>
      <c r="ST14" s="84" t="str">
        <f>Agosto26!$D$17</f>
        <v/>
      </c>
      <c r="SU14" s="84" t="str">
        <f>Agosto26!$D$18</f>
        <v/>
      </c>
      <c r="SV14" s="84" t="str">
        <f>Agosto26!$D$19</f>
        <v/>
      </c>
      <c r="SW14" s="84" t="str">
        <f>Agosto26!$D$20</f>
        <v/>
      </c>
      <c r="SX14" s="84" t="str">
        <f>Agosto26!$D$21</f>
        <v/>
      </c>
      <c r="SY14" s="84" t="str">
        <f>Agosto26!$D$22</f>
        <v/>
      </c>
      <c r="SZ14" s="84" t="str">
        <f>Agosto26!$D$23</f>
        <v/>
      </c>
      <c r="TA14" s="84" t="str">
        <f>Agosto26!$D$24</f>
        <v/>
      </c>
      <c r="TB14" s="84" t="str">
        <f>Agosto26!$D$25</f>
        <v/>
      </c>
      <c r="TC14" s="84" t="str">
        <f>Agosto26!$D$26</f>
        <v/>
      </c>
      <c r="TD14" s="84" t="str">
        <f>Agosto26!$D$27</f>
        <v/>
      </c>
      <c r="TE14" s="85" t="str">
        <f>Agosto26!$D$28</f>
        <v/>
      </c>
      <c r="TF14" s="84" t="str">
        <f>Agosto26!$D$29</f>
        <v/>
      </c>
      <c r="TG14" s="84" t="str">
        <f>Agosto26!$D$30</f>
        <v/>
      </c>
      <c r="TH14" s="84" t="str">
        <f>Agosto26!$D$31</f>
        <v/>
      </c>
      <c r="TI14" s="86" t="str">
        <f>Agosto26!$D$32</f>
        <v/>
      </c>
      <c r="TJ14" s="78"/>
      <c r="TK14" s="79">
        <f>SUM(SE14:TI14)</f>
        <v>0</v>
      </c>
      <c r="TL14" s="80"/>
      <c r="TM14" s="78"/>
      <c r="TN14" s="81"/>
      <c r="TO14" s="81"/>
      <c r="TP14" s="81"/>
      <c r="TQ14" s="81"/>
      <c r="TR14" s="81"/>
      <c r="TS14" s="81"/>
      <c r="TT14" s="80"/>
    </row>
    <row r="15" ht="24.75" customHeight="1">
      <c r="A15" s="91" t="s">
        <v>39</v>
      </c>
      <c r="B15" s="65"/>
      <c r="C15" s="66"/>
      <c r="D15" s="92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93"/>
      <c r="AI15" s="78"/>
      <c r="AJ15" s="81"/>
      <c r="AK15" s="94">
        <f>SUM(D15:AG15)</f>
        <v>0</v>
      </c>
      <c r="AL15" s="78"/>
      <c r="AM15" s="81"/>
      <c r="AN15" s="81"/>
      <c r="AO15" s="81"/>
      <c r="AP15" s="81"/>
      <c r="AQ15" s="81"/>
      <c r="AR15" s="81"/>
      <c r="AS15" s="82"/>
      <c r="AT15" s="91" t="s">
        <v>39</v>
      </c>
      <c r="AU15" s="65"/>
      <c r="AV15" s="66"/>
      <c r="AW15" s="92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95"/>
      <c r="CB15" s="78"/>
      <c r="CC15" s="81"/>
      <c r="CD15" s="94">
        <f>SUM(AW15:BZ15)</f>
        <v>0</v>
      </c>
      <c r="CE15" s="78"/>
      <c r="CF15" s="81"/>
      <c r="CG15" s="81"/>
      <c r="CH15" s="81"/>
      <c r="CI15" s="81"/>
      <c r="CJ15" s="81"/>
      <c r="CK15" s="81"/>
      <c r="CL15" s="82"/>
      <c r="CM15" s="91" t="s">
        <v>39</v>
      </c>
      <c r="CN15" s="65"/>
      <c r="CO15" s="66"/>
      <c r="CP15" s="92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95"/>
      <c r="DU15" s="78"/>
      <c r="DV15" s="81"/>
      <c r="DW15" s="94">
        <f>SUM(CP15:DS15)</f>
        <v>0</v>
      </c>
      <c r="DX15" s="78"/>
      <c r="DY15" s="81"/>
      <c r="DZ15" s="81"/>
      <c r="EA15" s="81"/>
      <c r="EB15" s="81"/>
      <c r="EC15" s="81"/>
      <c r="ED15" s="81"/>
      <c r="EE15" s="80"/>
      <c r="EF15" s="91" t="s">
        <v>39</v>
      </c>
      <c r="EG15" s="65"/>
      <c r="EH15" s="66"/>
      <c r="EI15" s="92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95"/>
      <c r="FN15" s="78"/>
      <c r="FO15" s="81"/>
      <c r="FP15" s="94">
        <f>SUM(EI15:FL15)</f>
        <v>0</v>
      </c>
      <c r="FQ15" s="78"/>
      <c r="FR15" s="81"/>
      <c r="FS15" s="81"/>
      <c r="FT15" s="81"/>
      <c r="FU15" s="81"/>
      <c r="FV15" s="81"/>
      <c r="FW15" s="81"/>
      <c r="FX15" s="80"/>
      <c r="FY15" s="91" t="s">
        <v>39</v>
      </c>
      <c r="FZ15" s="65"/>
      <c r="GA15" s="66"/>
      <c r="GB15" s="92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  <c r="GS15" s="85"/>
      <c r="GT15" s="85"/>
      <c r="GU15" s="85"/>
      <c r="GV15" s="85"/>
      <c r="GW15" s="85"/>
      <c r="GX15" s="85"/>
      <c r="GY15" s="85"/>
      <c r="GZ15" s="85"/>
      <c r="HA15" s="85"/>
      <c r="HB15" s="85"/>
      <c r="HC15" s="85"/>
      <c r="HD15" s="85"/>
      <c r="HE15" s="85"/>
      <c r="HF15" s="95"/>
      <c r="HG15" s="78"/>
      <c r="HH15" s="81"/>
      <c r="HI15" s="94">
        <f>SUM(GB15:HE15)</f>
        <v>0</v>
      </c>
      <c r="HJ15" s="78"/>
      <c r="HK15" s="81"/>
      <c r="HL15" s="81"/>
      <c r="HM15" s="81"/>
      <c r="HN15" s="81"/>
      <c r="HO15" s="81"/>
      <c r="HP15" s="81"/>
      <c r="HQ15" s="80"/>
      <c r="HR15" s="91" t="s">
        <v>39</v>
      </c>
      <c r="HS15" s="65"/>
      <c r="HT15" s="66"/>
      <c r="HU15" s="92"/>
      <c r="HV15" s="85"/>
      <c r="HW15" s="85"/>
      <c r="HX15" s="85"/>
      <c r="HY15" s="85"/>
      <c r="HZ15" s="85"/>
      <c r="IA15" s="85"/>
      <c r="IB15" s="85"/>
      <c r="IC15" s="85"/>
      <c r="ID15" s="85"/>
      <c r="IE15" s="85"/>
      <c r="IF15" s="85"/>
      <c r="IG15" s="85"/>
      <c r="IH15" s="85"/>
      <c r="II15" s="85"/>
      <c r="IJ15" s="85"/>
      <c r="IK15" s="85"/>
      <c r="IL15" s="85"/>
      <c r="IM15" s="85"/>
      <c r="IN15" s="85"/>
      <c r="IO15" s="85"/>
      <c r="IP15" s="85"/>
      <c r="IQ15" s="85"/>
      <c r="IR15" s="85"/>
      <c r="IS15" s="85"/>
      <c r="IT15" s="85"/>
      <c r="IU15" s="85"/>
      <c r="IV15" s="85"/>
      <c r="IW15" s="85"/>
      <c r="IX15" s="85"/>
      <c r="IY15" s="95"/>
      <c r="IZ15" s="78"/>
      <c r="JA15" s="81"/>
      <c r="JB15" s="94">
        <f>SUM(HU15:IX15)</f>
        <v>0</v>
      </c>
      <c r="JC15" s="78"/>
      <c r="JD15" s="81"/>
      <c r="JE15" s="81"/>
      <c r="JF15" s="81"/>
      <c r="JG15" s="81"/>
      <c r="JH15" s="81"/>
      <c r="JI15" s="81"/>
      <c r="JJ15" s="80"/>
      <c r="JK15" s="91" t="s">
        <v>39</v>
      </c>
      <c r="JL15" s="65"/>
      <c r="JM15" s="66"/>
      <c r="JN15" s="92"/>
      <c r="JO15" s="85"/>
      <c r="JP15" s="85"/>
      <c r="JQ15" s="85"/>
      <c r="JR15" s="85"/>
      <c r="JS15" s="85"/>
      <c r="JT15" s="85"/>
      <c r="JU15" s="85"/>
      <c r="JV15" s="85"/>
      <c r="JW15" s="85"/>
      <c r="JX15" s="85"/>
      <c r="JY15" s="85"/>
      <c r="JZ15" s="85"/>
      <c r="KA15" s="85"/>
      <c r="KB15" s="85"/>
      <c r="KC15" s="85"/>
      <c r="KD15" s="85"/>
      <c r="KE15" s="85"/>
      <c r="KF15" s="85"/>
      <c r="KG15" s="85"/>
      <c r="KH15" s="85"/>
      <c r="KI15" s="85"/>
      <c r="KJ15" s="85"/>
      <c r="KK15" s="85"/>
      <c r="KL15" s="85"/>
      <c r="KM15" s="85"/>
      <c r="KN15" s="85"/>
      <c r="KO15" s="85"/>
      <c r="KP15" s="85"/>
      <c r="KQ15" s="85"/>
      <c r="KR15" s="95"/>
      <c r="KS15" s="78"/>
      <c r="KT15" s="81"/>
      <c r="KU15" s="94">
        <f>SUM(JN15:KQ15)</f>
        <v>0</v>
      </c>
      <c r="KV15" s="78"/>
      <c r="KW15" s="81"/>
      <c r="KX15" s="81"/>
      <c r="KY15" s="81"/>
      <c r="KZ15" s="81"/>
      <c r="LA15" s="81"/>
      <c r="LB15" s="81"/>
      <c r="LC15" s="80"/>
      <c r="LD15" s="91" t="s">
        <v>39</v>
      </c>
      <c r="LE15" s="65"/>
      <c r="LF15" s="66"/>
      <c r="LG15" s="92"/>
      <c r="LH15" s="85"/>
      <c r="LI15" s="85"/>
      <c r="LJ15" s="85"/>
      <c r="LK15" s="85"/>
      <c r="LL15" s="85"/>
      <c r="LM15" s="85"/>
      <c r="LN15" s="85"/>
      <c r="LO15" s="85"/>
      <c r="LP15" s="85"/>
      <c r="LQ15" s="85"/>
      <c r="LR15" s="85"/>
      <c r="LS15" s="85"/>
      <c r="LT15" s="85"/>
      <c r="LU15" s="85"/>
      <c r="LV15" s="85"/>
      <c r="LW15" s="85"/>
      <c r="LX15" s="85"/>
      <c r="LY15" s="85"/>
      <c r="LZ15" s="85"/>
      <c r="MA15" s="85"/>
      <c r="MB15" s="85"/>
      <c r="MC15" s="85"/>
      <c r="MD15" s="85"/>
      <c r="ME15" s="85"/>
      <c r="MF15" s="85"/>
      <c r="MG15" s="85"/>
      <c r="MH15" s="85"/>
      <c r="MI15" s="85"/>
      <c r="MJ15" s="85"/>
      <c r="MK15" s="95"/>
      <c r="ML15" s="78"/>
      <c r="MM15" s="81"/>
      <c r="MN15" s="94">
        <f>SUM(LG15:MJ15)</f>
        <v>0</v>
      </c>
      <c r="MO15" s="78"/>
      <c r="MP15" s="81"/>
      <c r="MQ15" s="81"/>
      <c r="MR15" s="81"/>
      <c r="MS15" s="81"/>
      <c r="MT15" s="81"/>
      <c r="MU15" s="81"/>
      <c r="MV15" s="82"/>
      <c r="MW15" s="91" t="s">
        <v>39</v>
      </c>
      <c r="MX15" s="65"/>
      <c r="MY15" s="66"/>
      <c r="MZ15" s="92"/>
      <c r="NA15" s="85"/>
      <c r="NB15" s="85"/>
      <c r="NC15" s="85"/>
      <c r="ND15" s="85"/>
      <c r="NE15" s="85"/>
      <c r="NF15" s="85"/>
      <c r="NG15" s="85"/>
      <c r="NH15" s="85"/>
      <c r="NI15" s="85"/>
      <c r="NJ15" s="85"/>
      <c r="NK15" s="85"/>
      <c r="NL15" s="85"/>
      <c r="NM15" s="85"/>
      <c r="NN15" s="85"/>
      <c r="NO15" s="85"/>
      <c r="NP15" s="85"/>
      <c r="NQ15" s="85"/>
      <c r="NR15" s="85"/>
      <c r="NS15" s="85"/>
      <c r="NT15" s="85"/>
      <c r="NU15" s="85"/>
      <c r="NV15" s="85"/>
      <c r="NW15" s="85"/>
      <c r="NX15" s="85"/>
      <c r="NY15" s="85"/>
      <c r="NZ15" s="85"/>
      <c r="OA15" s="85"/>
      <c r="OB15" s="85"/>
      <c r="OC15" s="85"/>
      <c r="OD15" s="95"/>
      <c r="OE15" s="78"/>
      <c r="OF15" s="81"/>
      <c r="OG15" s="94">
        <f>SUM(MZ15:OC15)</f>
        <v>0</v>
      </c>
      <c r="OH15" s="78"/>
      <c r="OI15" s="81"/>
      <c r="OJ15" s="81"/>
      <c r="OK15" s="81"/>
      <c r="OL15" s="81"/>
      <c r="OM15" s="81"/>
      <c r="ON15" s="81"/>
      <c r="OO15" s="82"/>
      <c r="OP15" s="91" t="s">
        <v>39</v>
      </c>
      <c r="OQ15" s="65"/>
      <c r="OR15" s="66"/>
      <c r="OS15" s="92"/>
      <c r="OT15" s="85"/>
      <c r="OU15" s="85"/>
      <c r="OV15" s="85"/>
      <c r="OW15" s="85"/>
      <c r="OX15" s="85"/>
      <c r="OY15" s="85"/>
      <c r="OZ15" s="85"/>
      <c r="PA15" s="85"/>
      <c r="PB15" s="85"/>
      <c r="PC15" s="85"/>
      <c r="PD15" s="85"/>
      <c r="PE15" s="85"/>
      <c r="PF15" s="85"/>
      <c r="PG15" s="85"/>
      <c r="PH15" s="85"/>
      <c r="PI15" s="85"/>
      <c r="PJ15" s="85"/>
      <c r="PK15" s="85"/>
      <c r="PL15" s="85"/>
      <c r="PM15" s="85"/>
      <c r="PN15" s="85"/>
      <c r="PO15" s="85"/>
      <c r="PP15" s="85"/>
      <c r="PQ15" s="85"/>
      <c r="PR15" s="85"/>
      <c r="PS15" s="85"/>
      <c r="PT15" s="85"/>
      <c r="PU15" s="85"/>
      <c r="PV15" s="85"/>
      <c r="PW15" s="95"/>
      <c r="PX15" s="78"/>
      <c r="PY15" s="81"/>
      <c r="PZ15" s="94">
        <f>SUM(OS15:PV15)</f>
        <v>0</v>
      </c>
      <c r="QA15" s="78"/>
      <c r="QB15" s="81"/>
      <c r="QC15" s="81"/>
      <c r="QD15" s="81"/>
      <c r="QE15" s="81"/>
      <c r="QF15" s="81"/>
      <c r="QG15" s="81"/>
      <c r="QH15" s="82"/>
      <c r="QI15" s="91" t="s">
        <v>39</v>
      </c>
      <c r="QJ15" s="65"/>
      <c r="QK15" s="66"/>
      <c r="QL15" s="92"/>
      <c r="QM15" s="85"/>
      <c r="QN15" s="85"/>
      <c r="QO15" s="85"/>
      <c r="QP15" s="85"/>
      <c r="QQ15" s="85"/>
      <c r="QR15" s="85"/>
      <c r="QS15" s="85"/>
      <c r="QT15" s="85"/>
      <c r="QU15" s="85"/>
      <c r="QV15" s="85"/>
      <c r="QW15" s="85"/>
      <c r="QX15" s="85"/>
      <c r="QY15" s="85"/>
      <c r="QZ15" s="85"/>
      <c r="RA15" s="85"/>
      <c r="RB15" s="85"/>
      <c r="RC15" s="85"/>
      <c r="RD15" s="85"/>
      <c r="RE15" s="85"/>
      <c r="RF15" s="85"/>
      <c r="RG15" s="85"/>
      <c r="RH15" s="85"/>
      <c r="RI15" s="85"/>
      <c r="RJ15" s="85"/>
      <c r="RK15" s="85"/>
      <c r="RL15" s="85"/>
      <c r="RM15" s="85"/>
      <c r="RN15" s="85"/>
      <c r="RO15" s="85"/>
      <c r="RP15" s="95"/>
      <c r="RQ15" s="78"/>
      <c r="RR15" s="81"/>
      <c r="RS15" s="94">
        <f>SUM(QL15:RO15)</f>
        <v>0</v>
      </c>
      <c r="RT15" s="78"/>
      <c r="RU15" s="81"/>
      <c r="RV15" s="81"/>
      <c r="RW15" s="81"/>
      <c r="RX15" s="81"/>
      <c r="RY15" s="81"/>
      <c r="RZ15" s="81"/>
      <c r="SA15" s="82"/>
      <c r="SB15" s="91" t="s">
        <v>39</v>
      </c>
      <c r="SC15" s="65"/>
      <c r="SD15" s="66"/>
      <c r="SE15" s="92"/>
      <c r="SF15" s="85"/>
      <c r="SG15" s="85"/>
      <c r="SH15" s="85"/>
      <c r="SI15" s="85"/>
      <c r="SJ15" s="85"/>
      <c r="SK15" s="85"/>
      <c r="SL15" s="85"/>
      <c r="SM15" s="85"/>
      <c r="SN15" s="85"/>
      <c r="SO15" s="85"/>
      <c r="SP15" s="85"/>
      <c r="SQ15" s="85"/>
      <c r="SR15" s="85"/>
      <c r="SS15" s="85"/>
      <c r="ST15" s="85"/>
      <c r="SU15" s="85"/>
      <c r="SV15" s="85"/>
      <c r="SW15" s="85"/>
      <c r="SX15" s="85"/>
      <c r="SY15" s="85"/>
      <c r="SZ15" s="85"/>
      <c r="TA15" s="85"/>
      <c r="TB15" s="85"/>
      <c r="TC15" s="85"/>
      <c r="TD15" s="85"/>
      <c r="TE15" s="85"/>
      <c r="TF15" s="85"/>
      <c r="TG15" s="85"/>
      <c r="TH15" s="85"/>
      <c r="TI15" s="95"/>
      <c r="TJ15" s="78"/>
      <c r="TK15" s="81"/>
      <c r="TL15" s="94">
        <f>SUM(SE15:TH15)</f>
        <v>0</v>
      </c>
      <c r="TM15" s="78"/>
      <c r="TN15" s="81"/>
      <c r="TO15" s="81"/>
      <c r="TP15" s="81"/>
      <c r="TQ15" s="81"/>
      <c r="TR15" s="81"/>
      <c r="TS15" s="81"/>
      <c r="TT15" s="80"/>
    </row>
    <row r="16" ht="24.75" customHeight="1">
      <c r="A16" s="96"/>
      <c r="B16" s="97"/>
      <c r="C16" s="98"/>
      <c r="D16" s="92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93"/>
      <c r="AI16" s="78"/>
      <c r="AJ16" s="81"/>
      <c r="AK16" s="80"/>
      <c r="AL16" s="78"/>
      <c r="AM16" s="81"/>
      <c r="AN16" s="81"/>
      <c r="AO16" s="81"/>
      <c r="AP16" s="81"/>
      <c r="AQ16" s="81"/>
      <c r="AR16" s="81"/>
      <c r="AS16" s="82"/>
      <c r="AT16" s="96"/>
      <c r="AU16" s="97"/>
      <c r="AV16" s="98"/>
      <c r="AW16" s="92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95"/>
      <c r="CB16" s="78"/>
      <c r="CC16" s="81"/>
      <c r="CD16" s="80"/>
      <c r="CE16" s="78"/>
      <c r="CF16" s="81"/>
      <c r="CG16" s="81"/>
      <c r="CH16" s="81"/>
      <c r="CI16" s="81"/>
      <c r="CJ16" s="81"/>
      <c r="CK16" s="81"/>
      <c r="CL16" s="82"/>
      <c r="CM16" s="96"/>
      <c r="CN16" s="97"/>
      <c r="CO16" s="98"/>
      <c r="CP16" s="92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95"/>
      <c r="DU16" s="78"/>
      <c r="DV16" s="81"/>
      <c r="DW16" s="80"/>
      <c r="DX16" s="78"/>
      <c r="DY16" s="81"/>
      <c r="DZ16" s="81"/>
      <c r="EA16" s="81"/>
      <c r="EB16" s="81"/>
      <c r="EC16" s="81"/>
      <c r="ED16" s="81"/>
      <c r="EE16" s="80"/>
      <c r="EF16" s="96"/>
      <c r="EG16" s="97"/>
      <c r="EH16" s="98"/>
      <c r="EI16" s="92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95"/>
      <c r="FN16" s="78"/>
      <c r="FO16" s="81"/>
      <c r="FP16" s="80"/>
      <c r="FQ16" s="78"/>
      <c r="FR16" s="81"/>
      <c r="FS16" s="81"/>
      <c r="FT16" s="81"/>
      <c r="FU16" s="81"/>
      <c r="FV16" s="81"/>
      <c r="FW16" s="81"/>
      <c r="FX16" s="80"/>
      <c r="FY16" s="96"/>
      <c r="FZ16" s="97"/>
      <c r="GA16" s="98"/>
      <c r="GB16" s="92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  <c r="GS16" s="85"/>
      <c r="GT16" s="85"/>
      <c r="GU16" s="85"/>
      <c r="GV16" s="85"/>
      <c r="GW16" s="85"/>
      <c r="GX16" s="85"/>
      <c r="GY16" s="85"/>
      <c r="GZ16" s="85"/>
      <c r="HA16" s="85"/>
      <c r="HB16" s="85"/>
      <c r="HC16" s="85"/>
      <c r="HD16" s="85"/>
      <c r="HE16" s="85"/>
      <c r="HF16" s="95"/>
      <c r="HG16" s="78"/>
      <c r="HH16" s="81"/>
      <c r="HI16" s="80"/>
      <c r="HJ16" s="78"/>
      <c r="HK16" s="81"/>
      <c r="HL16" s="81"/>
      <c r="HM16" s="81"/>
      <c r="HN16" s="81"/>
      <c r="HO16" s="81"/>
      <c r="HP16" s="81"/>
      <c r="HQ16" s="80"/>
      <c r="HR16" s="96"/>
      <c r="HS16" s="97"/>
      <c r="HT16" s="98"/>
      <c r="HU16" s="92"/>
      <c r="HV16" s="85"/>
      <c r="HW16" s="85"/>
      <c r="HX16" s="85"/>
      <c r="HY16" s="85"/>
      <c r="HZ16" s="85"/>
      <c r="IA16" s="85"/>
      <c r="IB16" s="85"/>
      <c r="IC16" s="85"/>
      <c r="ID16" s="85"/>
      <c r="IE16" s="85"/>
      <c r="IF16" s="85"/>
      <c r="IG16" s="85"/>
      <c r="IH16" s="85"/>
      <c r="II16" s="85"/>
      <c r="IJ16" s="85"/>
      <c r="IK16" s="85"/>
      <c r="IL16" s="85"/>
      <c r="IM16" s="85"/>
      <c r="IN16" s="85"/>
      <c r="IO16" s="85"/>
      <c r="IP16" s="85"/>
      <c r="IQ16" s="85"/>
      <c r="IR16" s="85"/>
      <c r="IS16" s="85"/>
      <c r="IT16" s="85"/>
      <c r="IU16" s="85"/>
      <c r="IV16" s="85"/>
      <c r="IW16" s="85"/>
      <c r="IX16" s="85"/>
      <c r="IY16" s="95"/>
      <c r="IZ16" s="78"/>
      <c r="JA16" s="81"/>
      <c r="JB16" s="80"/>
      <c r="JC16" s="78"/>
      <c r="JD16" s="81"/>
      <c r="JE16" s="81"/>
      <c r="JF16" s="81"/>
      <c r="JG16" s="81"/>
      <c r="JH16" s="81"/>
      <c r="JI16" s="81"/>
      <c r="JJ16" s="80"/>
      <c r="JK16" s="96"/>
      <c r="JL16" s="97"/>
      <c r="JM16" s="98"/>
      <c r="JN16" s="92"/>
      <c r="JO16" s="85"/>
      <c r="JP16" s="85"/>
      <c r="JQ16" s="85"/>
      <c r="JR16" s="85"/>
      <c r="JS16" s="85"/>
      <c r="JT16" s="85"/>
      <c r="JU16" s="85"/>
      <c r="JV16" s="85"/>
      <c r="JW16" s="85"/>
      <c r="JX16" s="85"/>
      <c r="JY16" s="85"/>
      <c r="JZ16" s="85"/>
      <c r="KA16" s="85"/>
      <c r="KB16" s="85"/>
      <c r="KC16" s="85"/>
      <c r="KD16" s="85"/>
      <c r="KE16" s="85"/>
      <c r="KF16" s="85"/>
      <c r="KG16" s="85"/>
      <c r="KH16" s="85"/>
      <c r="KI16" s="85"/>
      <c r="KJ16" s="85"/>
      <c r="KK16" s="85"/>
      <c r="KL16" s="85"/>
      <c r="KM16" s="85"/>
      <c r="KN16" s="85"/>
      <c r="KO16" s="85"/>
      <c r="KP16" s="85"/>
      <c r="KQ16" s="85"/>
      <c r="KR16" s="95"/>
      <c r="KS16" s="78"/>
      <c r="KT16" s="81"/>
      <c r="KU16" s="80"/>
      <c r="KV16" s="78"/>
      <c r="KW16" s="81"/>
      <c r="KX16" s="81"/>
      <c r="KY16" s="81"/>
      <c r="KZ16" s="81"/>
      <c r="LA16" s="81"/>
      <c r="LB16" s="81"/>
      <c r="LC16" s="80"/>
      <c r="LD16" s="96"/>
      <c r="LE16" s="97"/>
      <c r="LF16" s="98"/>
      <c r="LG16" s="92"/>
      <c r="LH16" s="85"/>
      <c r="LI16" s="85"/>
      <c r="LJ16" s="85"/>
      <c r="LK16" s="85"/>
      <c r="LL16" s="85"/>
      <c r="LM16" s="85"/>
      <c r="LN16" s="85"/>
      <c r="LO16" s="85"/>
      <c r="LP16" s="85"/>
      <c r="LQ16" s="85"/>
      <c r="LR16" s="85"/>
      <c r="LS16" s="85"/>
      <c r="LT16" s="85"/>
      <c r="LU16" s="85"/>
      <c r="LV16" s="85"/>
      <c r="LW16" s="85"/>
      <c r="LX16" s="85"/>
      <c r="LY16" s="85"/>
      <c r="LZ16" s="85"/>
      <c r="MA16" s="85"/>
      <c r="MB16" s="85"/>
      <c r="MC16" s="85"/>
      <c r="MD16" s="85"/>
      <c r="ME16" s="85"/>
      <c r="MF16" s="85"/>
      <c r="MG16" s="85"/>
      <c r="MH16" s="85"/>
      <c r="MI16" s="85"/>
      <c r="MJ16" s="85"/>
      <c r="MK16" s="95"/>
      <c r="ML16" s="78"/>
      <c r="MM16" s="81"/>
      <c r="MN16" s="80"/>
      <c r="MO16" s="78"/>
      <c r="MP16" s="81"/>
      <c r="MQ16" s="81"/>
      <c r="MR16" s="81"/>
      <c r="MS16" s="81"/>
      <c r="MT16" s="81"/>
      <c r="MU16" s="81"/>
      <c r="MV16" s="80"/>
      <c r="MW16" s="96"/>
      <c r="MX16" s="97"/>
      <c r="MY16" s="98"/>
      <c r="MZ16" s="92"/>
      <c r="NA16" s="85"/>
      <c r="NB16" s="85"/>
      <c r="NC16" s="85"/>
      <c r="ND16" s="85"/>
      <c r="NE16" s="85"/>
      <c r="NF16" s="85"/>
      <c r="NG16" s="85"/>
      <c r="NH16" s="85"/>
      <c r="NI16" s="85"/>
      <c r="NJ16" s="85"/>
      <c r="NK16" s="85"/>
      <c r="NL16" s="85"/>
      <c r="NM16" s="85"/>
      <c r="NN16" s="85"/>
      <c r="NO16" s="85"/>
      <c r="NP16" s="85"/>
      <c r="NQ16" s="85"/>
      <c r="NR16" s="85"/>
      <c r="NS16" s="85"/>
      <c r="NT16" s="85"/>
      <c r="NU16" s="85"/>
      <c r="NV16" s="85"/>
      <c r="NW16" s="85"/>
      <c r="NX16" s="85"/>
      <c r="NY16" s="85"/>
      <c r="NZ16" s="85"/>
      <c r="OA16" s="85"/>
      <c r="OB16" s="85"/>
      <c r="OC16" s="85"/>
      <c r="OD16" s="95"/>
      <c r="OE16" s="78"/>
      <c r="OF16" s="81"/>
      <c r="OG16" s="80"/>
      <c r="OH16" s="78"/>
      <c r="OI16" s="81"/>
      <c r="OJ16" s="81"/>
      <c r="OK16" s="81"/>
      <c r="OL16" s="81"/>
      <c r="OM16" s="81"/>
      <c r="ON16" s="81"/>
      <c r="OO16" s="80"/>
      <c r="OP16" s="96"/>
      <c r="OQ16" s="97"/>
      <c r="OR16" s="98"/>
      <c r="OS16" s="92"/>
      <c r="OT16" s="85"/>
      <c r="OU16" s="85"/>
      <c r="OV16" s="85"/>
      <c r="OW16" s="85"/>
      <c r="OX16" s="85"/>
      <c r="OY16" s="85"/>
      <c r="OZ16" s="85"/>
      <c r="PA16" s="85"/>
      <c r="PB16" s="85"/>
      <c r="PC16" s="85"/>
      <c r="PD16" s="85"/>
      <c r="PE16" s="85"/>
      <c r="PF16" s="85"/>
      <c r="PG16" s="85"/>
      <c r="PH16" s="85"/>
      <c r="PI16" s="85"/>
      <c r="PJ16" s="85"/>
      <c r="PK16" s="85"/>
      <c r="PL16" s="85"/>
      <c r="PM16" s="85"/>
      <c r="PN16" s="85"/>
      <c r="PO16" s="85"/>
      <c r="PP16" s="85"/>
      <c r="PQ16" s="85"/>
      <c r="PR16" s="85"/>
      <c r="PS16" s="85"/>
      <c r="PT16" s="85"/>
      <c r="PU16" s="85"/>
      <c r="PV16" s="85"/>
      <c r="PW16" s="95"/>
      <c r="PX16" s="78"/>
      <c r="PY16" s="81"/>
      <c r="PZ16" s="80"/>
      <c r="QA16" s="78"/>
      <c r="QB16" s="81"/>
      <c r="QC16" s="81"/>
      <c r="QD16" s="81"/>
      <c r="QE16" s="81"/>
      <c r="QF16" s="81"/>
      <c r="QG16" s="81"/>
      <c r="QH16" s="80"/>
      <c r="QI16" s="96"/>
      <c r="QJ16" s="97"/>
      <c r="QK16" s="98"/>
      <c r="QL16" s="92"/>
      <c r="QM16" s="85"/>
      <c r="QN16" s="85"/>
      <c r="QO16" s="85"/>
      <c r="QP16" s="85"/>
      <c r="QQ16" s="85"/>
      <c r="QR16" s="85"/>
      <c r="QS16" s="85"/>
      <c r="QT16" s="85"/>
      <c r="QU16" s="85"/>
      <c r="QV16" s="85"/>
      <c r="QW16" s="85"/>
      <c r="QX16" s="85"/>
      <c r="QY16" s="85"/>
      <c r="QZ16" s="85"/>
      <c r="RA16" s="85"/>
      <c r="RB16" s="85"/>
      <c r="RC16" s="85"/>
      <c r="RD16" s="85"/>
      <c r="RE16" s="85"/>
      <c r="RF16" s="85"/>
      <c r="RG16" s="85"/>
      <c r="RH16" s="85"/>
      <c r="RI16" s="85"/>
      <c r="RJ16" s="85"/>
      <c r="RK16" s="85"/>
      <c r="RL16" s="85"/>
      <c r="RM16" s="85"/>
      <c r="RN16" s="85"/>
      <c r="RO16" s="85"/>
      <c r="RP16" s="95"/>
      <c r="RQ16" s="78"/>
      <c r="RR16" s="81"/>
      <c r="RS16" s="80"/>
      <c r="RT16" s="78"/>
      <c r="RU16" s="81"/>
      <c r="RV16" s="81"/>
      <c r="RW16" s="81"/>
      <c r="RX16" s="81"/>
      <c r="RY16" s="81"/>
      <c r="RZ16" s="81"/>
      <c r="SA16" s="80"/>
      <c r="SB16" s="96"/>
      <c r="SC16" s="97"/>
      <c r="SD16" s="98"/>
      <c r="SE16" s="92"/>
      <c r="SF16" s="85"/>
      <c r="SG16" s="85"/>
      <c r="SH16" s="85"/>
      <c r="SI16" s="85"/>
      <c r="SJ16" s="85"/>
      <c r="SK16" s="85"/>
      <c r="SL16" s="85"/>
      <c r="SM16" s="85"/>
      <c r="SN16" s="85"/>
      <c r="SO16" s="85"/>
      <c r="SP16" s="85"/>
      <c r="SQ16" s="85"/>
      <c r="SR16" s="85"/>
      <c r="SS16" s="85"/>
      <c r="ST16" s="85"/>
      <c r="SU16" s="85"/>
      <c r="SV16" s="85"/>
      <c r="SW16" s="85"/>
      <c r="SX16" s="85"/>
      <c r="SY16" s="85"/>
      <c r="SZ16" s="85"/>
      <c r="TA16" s="85"/>
      <c r="TB16" s="85"/>
      <c r="TC16" s="85"/>
      <c r="TD16" s="85"/>
      <c r="TE16" s="85"/>
      <c r="TF16" s="85"/>
      <c r="TG16" s="85"/>
      <c r="TH16" s="85"/>
      <c r="TI16" s="95"/>
      <c r="TJ16" s="78"/>
      <c r="TK16" s="81"/>
      <c r="TL16" s="80"/>
      <c r="TM16" s="78"/>
      <c r="TN16" s="81"/>
      <c r="TO16" s="81"/>
      <c r="TP16" s="81"/>
      <c r="TQ16" s="81"/>
      <c r="TR16" s="81"/>
      <c r="TS16" s="81"/>
      <c r="TT16" s="80"/>
    </row>
    <row r="17" ht="24.75" customHeight="1">
      <c r="A17" s="100" t="s">
        <v>27</v>
      </c>
      <c r="B17" s="101"/>
      <c r="C17" s="102"/>
      <c r="D17" s="103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4"/>
      <c r="AH17" s="105"/>
      <c r="AI17" s="103"/>
      <c r="AJ17" s="101"/>
      <c r="AK17" s="102"/>
      <c r="AL17" s="103"/>
      <c r="AM17" s="101"/>
      <c r="AN17" s="101"/>
      <c r="AO17" s="101"/>
      <c r="AP17" s="101"/>
      <c r="AQ17" s="101"/>
      <c r="AR17" s="101"/>
      <c r="AS17" s="102"/>
      <c r="AT17" s="100" t="s">
        <v>27</v>
      </c>
      <c r="AU17" s="101"/>
      <c r="AV17" s="102"/>
      <c r="AW17" s="103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4"/>
      <c r="CA17" s="106"/>
      <c r="CB17" s="103"/>
      <c r="CC17" s="101"/>
      <c r="CD17" s="102"/>
      <c r="CE17" s="103"/>
      <c r="CF17" s="101"/>
      <c r="CG17" s="101"/>
      <c r="CH17" s="101"/>
      <c r="CI17" s="101"/>
      <c r="CJ17" s="101"/>
      <c r="CK17" s="101"/>
      <c r="CL17" s="102"/>
      <c r="CM17" s="100" t="s">
        <v>27</v>
      </c>
      <c r="CN17" s="101"/>
      <c r="CO17" s="102"/>
      <c r="CP17" s="103"/>
      <c r="CQ17" s="101"/>
      <c r="CR17" s="101"/>
      <c r="CS17" s="101"/>
      <c r="CT17" s="101"/>
      <c r="CU17" s="101"/>
      <c r="CV17" s="101"/>
      <c r="CW17" s="101"/>
      <c r="CX17" s="101"/>
      <c r="CY17" s="101"/>
      <c r="CZ17" s="101"/>
      <c r="DA17" s="101"/>
      <c r="DB17" s="101"/>
      <c r="DC17" s="101"/>
      <c r="DD17" s="101"/>
      <c r="DE17" s="101"/>
      <c r="DF17" s="101"/>
      <c r="DG17" s="101"/>
      <c r="DH17" s="101"/>
      <c r="DI17" s="101"/>
      <c r="DJ17" s="101"/>
      <c r="DK17" s="101"/>
      <c r="DL17" s="101"/>
      <c r="DM17" s="101"/>
      <c r="DN17" s="101"/>
      <c r="DO17" s="101"/>
      <c r="DP17" s="101"/>
      <c r="DQ17" s="101"/>
      <c r="DR17" s="101"/>
      <c r="DS17" s="104"/>
      <c r="DT17" s="106"/>
      <c r="DU17" s="103"/>
      <c r="DV17" s="101"/>
      <c r="DW17" s="102"/>
      <c r="DX17" s="103"/>
      <c r="DY17" s="101"/>
      <c r="DZ17" s="101"/>
      <c r="EA17" s="101"/>
      <c r="EB17" s="101"/>
      <c r="EC17" s="101"/>
      <c r="ED17" s="101"/>
      <c r="EE17" s="102"/>
      <c r="EF17" s="100" t="s">
        <v>27</v>
      </c>
      <c r="EG17" s="101"/>
      <c r="EH17" s="102"/>
      <c r="EI17" s="103"/>
      <c r="EJ17" s="101"/>
      <c r="EK17" s="101"/>
      <c r="EL17" s="101"/>
      <c r="EM17" s="101"/>
      <c r="EN17" s="101"/>
      <c r="EO17" s="101"/>
      <c r="EP17" s="101"/>
      <c r="EQ17" s="101"/>
      <c r="ER17" s="101"/>
      <c r="ES17" s="101"/>
      <c r="ET17" s="101"/>
      <c r="EU17" s="101"/>
      <c r="EV17" s="101"/>
      <c r="EW17" s="101"/>
      <c r="EX17" s="101"/>
      <c r="EY17" s="101"/>
      <c r="EZ17" s="101"/>
      <c r="FA17" s="101"/>
      <c r="FB17" s="101"/>
      <c r="FC17" s="101"/>
      <c r="FD17" s="101"/>
      <c r="FE17" s="101"/>
      <c r="FF17" s="101"/>
      <c r="FG17" s="101"/>
      <c r="FH17" s="101"/>
      <c r="FI17" s="101"/>
      <c r="FJ17" s="101"/>
      <c r="FK17" s="101"/>
      <c r="FL17" s="104"/>
      <c r="FM17" s="106"/>
      <c r="FN17" s="103"/>
      <c r="FO17" s="101"/>
      <c r="FP17" s="102"/>
      <c r="FQ17" s="103"/>
      <c r="FR17" s="101"/>
      <c r="FS17" s="101"/>
      <c r="FT17" s="101"/>
      <c r="FU17" s="101"/>
      <c r="FV17" s="101"/>
      <c r="FW17" s="101"/>
      <c r="FX17" s="102"/>
      <c r="FY17" s="100" t="s">
        <v>27</v>
      </c>
      <c r="FZ17" s="101"/>
      <c r="GA17" s="102"/>
      <c r="GB17" s="103"/>
      <c r="GC17" s="101"/>
      <c r="GD17" s="101"/>
      <c r="GE17" s="101"/>
      <c r="GF17" s="101"/>
      <c r="GG17" s="101"/>
      <c r="GH17" s="101"/>
      <c r="GI17" s="101"/>
      <c r="GJ17" s="101"/>
      <c r="GK17" s="101"/>
      <c r="GL17" s="101"/>
      <c r="GM17" s="101"/>
      <c r="GN17" s="101"/>
      <c r="GO17" s="101"/>
      <c r="GP17" s="101"/>
      <c r="GQ17" s="101"/>
      <c r="GR17" s="101"/>
      <c r="GS17" s="101"/>
      <c r="GT17" s="101"/>
      <c r="GU17" s="101"/>
      <c r="GV17" s="101"/>
      <c r="GW17" s="101"/>
      <c r="GX17" s="101"/>
      <c r="GY17" s="101"/>
      <c r="GZ17" s="101"/>
      <c r="HA17" s="101"/>
      <c r="HB17" s="101"/>
      <c r="HC17" s="101"/>
      <c r="HD17" s="101"/>
      <c r="HE17" s="104"/>
      <c r="HF17" s="106"/>
      <c r="HG17" s="103"/>
      <c r="HH17" s="101"/>
      <c r="HI17" s="102"/>
      <c r="HJ17" s="103"/>
      <c r="HK17" s="101"/>
      <c r="HL17" s="101"/>
      <c r="HM17" s="101"/>
      <c r="HN17" s="101"/>
      <c r="HO17" s="101"/>
      <c r="HP17" s="101"/>
      <c r="HQ17" s="102"/>
      <c r="HR17" s="100" t="s">
        <v>27</v>
      </c>
      <c r="HS17" s="101"/>
      <c r="HT17" s="102"/>
      <c r="HU17" s="103"/>
      <c r="HV17" s="101"/>
      <c r="HW17" s="101"/>
      <c r="HX17" s="101"/>
      <c r="HY17" s="101"/>
      <c r="HZ17" s="101"/>
      <c r="IA17" s="101"/>
      <c r="IB17" s="101"/>
      <c r="IC17" s="101"/>
      <c r="ID17" s="101"/>
      <c r="IE17" s="101"/>
      <c r="IF17" s="101"/>
      <c r="IG17" s="101"/>
      <c r="IH17" s="101"/>
      <c r="II17" s="101"/>
      <c r="IJ17" s="101"/>
      <c r="IK17" s="101"/>
      <c r="IL17" s="101"/>
      <c r="IM17" s="101"/>
      <c r="IN17" s="101"/>
      <c r="IO17" s="101"/>
      <c r="IP17" s="101"/>
      <c r="IQ17" s="101"/>
      <c r="IR17" s="101"/>
      <c r="IS17" s="101"/>
      <c r="IT17" s="101"/>
      <c r="IU17" s="101"/>
      <c r="IV17" s="101"/>
      <c r="IW17" s="101"/>
      <c r="IX17" s="104"/>
      <c r="IY17" s="106"/>
      <c r="IZ17" s="103"/>
      <c r="JA17" s="101"/>
      <c r="JB17" s="102"/>
      <c r="JC17" s="103"/>
      <c r="JD17" s="101"/>
      <c r="JE17" s="101"/>
      <c r="JF17" s="101"/>
      <c r="JG17" s="101"/>
      <c r="JH17" s="101"/>
      <c r="JI17" s="101"/>
      <c r="JJ17" s="102"/>
      <c r="JK17" s="100" t="s">
        <v>27</v>
      </c>
      <c r="JL17" s="101"/>
      <c r="JM17" s="102"/>
      <c r="JN17" s="103"/>
      <c r="JO17" s="101"/>
      <c r="JP17" s="101"/>
      <c r="JQ17" s="101"/>
      <c r="JR17" s="101"/>
      <c r="JS17" s="101"/>
      <c r="JT17" s="101"/>
      <c r="JU17" s="101"/>
      <c r="JV17" s="101"/>
      <c r="JW17" s="101"/>
      <c r="JX17" s="101"/>
      <c r="JY17" s="101"/>
      <c r="JZ17" s="101"/>
      <c r="KA17" s="101"/>
      <c r="KB17" s="101"/>
      <c r="KC17" s="101"/>
      <c r="KD17" s="101"/>
      <c r="KE17" s="101"/>
      <c r="KF17" s="101"/>
      <c r="KG17" s="101"/>
      <c r="KH17" s="101"/>
      <c r="KI17" s="101"/>
      <c r="KJ17" s="101"/>
      <c r="KK17" s="101"/>
      <c r="KL17" s="101"/>
      <c r="KM17" s="101"/>
      <c r="KN17" s="101"/>
      <c r="KO17" s="101"/>
      <c r="KP17" s="101"/>
      <c r="KQ17" s="104"/>
      <c r="KR17" s="106"/>
      <c r="KS17" s="103"/>
      <c r="KT17" s="101"/>
      <c r="KU17" s="102"/>
      <c r="KV17" s="103"/>
      <c r="KW17" s="101"/>
      <c r="KX17" s="101"/>
      <c r="KY17" s="101"/>
      <c r="KZ17" s="101"/>
      <c r="LA17" s="101"/>
      <c r="LB17" s="101"/>
      <c r="LC17" s="102"/>
      <c r="LD17" s="100" t="s">
        <v>27</v>
      </c>
      <c r="LE17" s="101"/>
      <c r="LF17" s="102"/>
      <c r="LG17" s="103"/>
      <c r="LH17" s="101"/>
      <c r="LI17" s="101"/>
      <c r="LJ17" s="101"/>
      <c r="LK17" s="101"/>
      <c r="LL17" s="101"/>
      <c r="LM17" s="101"/>
      <c r="LN17" s="101"/>
      <c r="LO17" s="101"/>
      <c r="LP17" s="101"/>
      <c r="LQ17" s="101"/>
      <c r="LR17" s="101"/>
      <c r="LS17" s="101"/>
      <c r="LT17" s="101"/>
      <c r="LU17" s="101"/>
      <c r="LV17" s="101"/>
      <c r="LW17" s="101"/>
      <c r="LX17" s="101"/>
      <c r="LY17" s="101"/>
      <c r="LZ17" s="101"/>
      <c r="MA17" s="101"/>
      <c r="MB17" s="101"/>
      <c r="MC17" s="101"/>
      <c r="MD17" s="101"/>
      <c r="ME17" s="101"/>
      <c r="MF17" s="101"/>
      <c r="MG17" s="101"/>
      <c r="MH17" s="101"/>
      <c r="MI17" s="101"/>
      <c r="MJ17" s="104"/>
      <c r="MK17" s="106"/>
      <c r="ML17" s="103"/>
      <c r="MM17" s="101"/>
      <c r="MN17" s="102"/>
      <c r="MO17" s="103"/>
      <c r="MP17" s="101"/>
      <c r="MQ17" s="101"/>
      <c r="MR17" s="101"/>
      <c r="MS17" s="101"/>
      <c r="MT17" s="101"/>
      <c r="MU17" s="101"/>
      <c r="MV17" s="102"/>
      <c r="MW17" s="100" t="s">
        <v>27</v>
      </c>
      <c r="MX17" s="101"/>
      <c r="MY17" s="102"/>
      <c r="MZ17" s="103"/>
      <c r="NA17" s="101"/>
      <c r="NB17" s="101"/>
      <c r="NC17" s="101"/>
      <c r="ND17" s="101"/>
      <c r="NE17" s="101"/>
      <c r="NF17" s="101"/>
      <c r="NG17" s="101"/>
      <c r="NH17" s="101"/>
      <c r="NI17" s="101"/>
      <c r="NJ17" s="101"/>
      <c r="NK17" s="101"/>
      <c r="NL17" s="101"/>
      <c r="NM17" s="101"/>
      <c r="NN17" s="101"/>
      <c r="NO17" s="101"/>
      <c r="NP17" s="101"/>
      <c r="NQ17" s="101"/>
      <c r="NR17" s="101"/>
      <c r="NS17" s="101"/>
      <c r="NT17" s="101"/>
      <c r="NU17" s="101"/>
      <c r="NV17" s="101"/>
      <c r="NW17" s="101"/>
      <c r="NX17" s="101"/>
      <c r="NY17" s="101"/>
      <c r="NZ17" s="101"/>
      <c r="OA17" s="101"/>
      <c r="OB17" s="101"/>
      <c r="OC17" s="104"/>
      <c r="OD17" s="106"/>
      <c r="OE17" s="103"/>
      <c r="OF17" s="101"/>
      <c r="OG17" s="102"/>
      <c r="OH17" s="103"/>
      <c r="OI17" s="101"/>
      <c r="OJ17" s="101"/>
      <c r="OK17" s="101"/>
      <c r="OL17" s="101"/>
      <c r="OM17" s="101"/>
      <c r="ON17" s="101"/>
      <c r="OO17" s="102"/>
      <c r="OP17" s="100" t="s">
        <v>27</v>
      </c>
      <c r="OQ17" s="101"/>
      <c r="OR17" s="102"/>
      <c r="OS17" s="103"/>
      <c r="OT17" s="101"/>
      <c r="OU17" s="101"/>
      <c r="OV17" s="101"/>
      <c r="OW17" s="101"/>
      <c r="OX17" s="101"/>
      <c r="OY17" s="101"/>
      <c r="OZ17" s="101"/>
      <c r="PA17" s="101"/>
      <c r="PB17" s="101"/>
      <c r="PC17" s="101"/>
      <c r="PD17" s="101"/>
      <c r="PE17" s="101"/>
      <c r="PF17" s="101"/>
      <c r="PG17" s="101"/>
      <c r="PH17" s="101"/>
      <c r="PI17" s="101"/>
      <c r="PJ17" s="101"/>
      <c r="PK17" s="101"/>
      <c r="PL17" s="101"/>
      <c r="PM17" s="101"/>
      <c r="PN17" s="101"/>
      <c r="PO17" s="101"/>
      <c r="PP17" s="101"/>
      <c r="PQ17" s="101"/>
      <c r="PR17" s="101"/>
      <c r="PS17" s="101"/>
      <c r="PT17" s="101"/>
      <c r="PU17" s="101"/>
      <c r="PV17" s="104"/>
      <c r="PW17" s="106"/>
      <c r="PX17" s="103"/>
      <c r="PY17" s="101"/>
      <c r="PZ17" s="102"/>
      <c r="QA17" s="103"/>
      <c r="QB17" s="101"/>
      <c r="QC17" s="101"/>
      <c r="QD17" s="101"/>
      <c r="QE17" s="101"/>
      <c r="QF17" s="101"/>
      <c r="QG17" s="101"/>
      <c r="QH17" s="102"/>
      <c r="QI17" s="100" t="s">
        <v>27</v>
      </c>
      <c r="QJ17" s="101"/>
      <c r="QK17" s="102"/>
      <c r="QL17" s="103"/>
      <c r="QM17" s="101"/>
      <c r="QN17" s="101"/>
      <c r="QO17" s="101"/>
      <c r="QP17" s="101"/>
      <c r="QQ17" s="101"/>
      <c r="QR17" s="101"/>
      <c r="QS17" s="101"/>
      <c r="QT17" s="101"/>
      <c r="QU17" s="101"/>
      <c r="QV17" s="101"/>
      <c r="QW17" s="101"/>
      <c r="QX17" s="101"/>
      <c r="QY17" s="101"/>
      <c r="QZ17" s="101"/>
      <c r="RA17" s="101"/>
      <c r="RB17" s="101"/>
      <c r="RC17" s="101"/>
      <c r="RD17" s="101"/>
      <c r="RE17" s="101"/>
      <c r="RF17" s="101"/>
      <c r="RG17" s="101"/>
      <c r="RH17" s="101"/>
      <c r="RI17" s="101"/>
      <c r="RJ17" s="101"/>
      <c r="RK17" s="101"/>
      <c r="RL17" s="101"/>
      <c r="RM17" s="101"/>
      <c r="RN17" s="101"/>
      <c r="RO17" s="104"/>
      <c r="RP17" s="106"/>
      <c r="RQ17" s="103"/>
      <c r="RR17" s="101"/>
      <c r="RS17" s="102"/>
      <c r="RT17" s="103"/>
      <c r="RU17" s="101"/>
      <c r="RV17" s="101"/>
      <c r="RW17" s="101"/>
      <c r="RX17" s="101"/>
      <c r="RY17" s="101"/>
      <c r="RZ17" s="101"/>
      <c r="SA17" s="102"/>
      <c r="SB17" s="100" t="s">
        <v>27</v>
      </c>
      <c r="SC17" s="101"/>
      <c r="SD17" s="102"/>
      <c r="SE17" s="103"/>
      <c r="SF17" s="101"/>
      <c r="SG17" s="101"/>
      <c r="SH17" s="101"/>
      <c r="SI17" s="101"/>
      <c r="SJ17" s="101"/>
      <c r="SK17" s="101"/>
      <c r="SL17" s="101"/>
      <c r="SM17" s="101"/>
      <c r="SN17" s="101"/>
      <c r="SO17" s="101"/>
      <c r="SP17" s="101"/>
      <c r="SQ17" s="101"/>
      <c r="SR17" s="101"/>
      <c r="SS17" s="101"/>
      <c r="ST17" s="101"/>
      <c r="SU17" s="101"/>
      <c r="SV17" s="101"/>
      <c r="SW17" s="101"/>
      <c r="SX17" s="101"/>
      <c r="SY17" s="101"/>
      <c r="SZ17" s="101"/>
      <c r="TA17" s="101"/>
      <c r="TB17" s="101"/>
      <c r="TC17" s="101"/>
      <c r="TD17" s="101"/>
      <c r="TE17" s="101"/>
      <c r="TF17" s="101"/>
      <c r="TG17" s="101"/>
      <c r="TH17" s="104"/>
      <c r="TI17" s="106"/>
      <c r="TJ17" s="103"/>
      <c r="TK17" s="101"/>
      <c r="TL17" s="102"/>
      <c r="TM17" s="103"/>
      <c r="TN17" s="101"/>
      <c r="TO17" s="101"/>
      <c r="TP17" s="101"/>
      <c r="TQ17" s="101"/>
      <c r="TR17" s="101"/>
      <c r="TS17" s="101"/>
      <c r="TT17" s="102"/>
    </row>
    <row r="18" ht="24.75" customHeight="1" outlineLevel="1">
      <c r="A18" s="116" t="str">
        <f>elenchi!$C4</f>
        <v>MOUSTAFA ISRA HANI MOHAMED</v>
      </c>
      <c r="B18" s="109"/>
      <c r="C18" s="110"/>
      <c r="D18" s="67">
        <f t="shared" ref="D18:AH18" si="37">D$2</f>
        <v>45901</v>
      </c>
      <c r="E18" s="67">
        <f t="shared" si="37"/>
        <v>45902</v>
      </c>
      <c r="F18" s="67">
        <f t="shared" si="37"/>
        <v>45903</v>
      </c>
      <c r="G18" s="67">
        <f t="shared" si="37"/>
        <v>45904</v>
      </c>
      <c r="H18" s="67">
        <f t="shared" si="37"/>
        <v>45905</v>
      </c>
      <c r="I18" s="67">
        <f t="shared" si="37"/>
        <v>45906</v>
      </c>
      <c r="J18" s="67">
        <f t="shared" si="37"/>
        <v>45907</v>
      </c>
      <c r="K18" s="67">
        <f t="shared" si="37"/>
        <v>45908</v>
      </c>
      <c r="L18" s="67">
        <f t="shared" si="37"/>
        <v>45909</v>
      </c>
      <c r="M18" s="67">
        <f t="shared" si="37"/>
        <v>45910</v>
      </c>
      <c r="N18" s="67">
        <f t="shared" si="37"/>
        <v>45911</v>
      </c>
      <c r="O18" s="67">
        <f t="shared" si="37"/>
        <v>45912</v>
      </c>
      <c r="P18" s="67">
        <f t="shared" si="37"/>
        <v>45913</v>
      </c>
      <c r="Q18" s="67">
        <f t="shared" si="37"/>
        <v>45914</v>
      </c>
      <c r="R18" s="67">
        <f t="shared" si="37"/>
        <v>45915</v>
      </c>
      <c r="S18" s="67">
        <f t="shared" si="37"/>
        <v>45916</v>
      </c>
      <c r="T18" s="67">
        <f t="shared" si="37"/>
        <v>45917</v>
      </c>
      <c r="U18" s="67">
        <f t="shared" si="37"/>
        <v>45918</v>
      </c>
      <c r="V18" s="67">
        <f t="shared" si="37"/>
        <v>45919</v>
      </c>
      <c r="W18" s="67">
        <f t="shared" si="37"/>
        <v>45920</v>
      </c>
      <c r="X18" s="67">
        <f t="shared" si="37"/>
        <v>45921</v>
      </c>
      <c r="Y18" s="67">
        <f t="shared" si="37"/>
        <v>45922</v>
      </c>
      <c r="Z18" s="67">
        <f t="shared" si="37"/>
        <v>45923</v>
      </c>
      <c r="AA18" s="67">
        <f t="shared" si="37"/>
        <v>45924</v>
      </c>
      <c r="AB18" s="67">
        <f t="shared" si="37"/>
        <v>45925</v>
      </c>
      <c r="AC18" s="67">
        <f t="shared" si="37"/>
        <v>45926</v>
      </c>
      <c r="AD18" s="67">
        <f t="shared" si="37"/>
        <v>45927</v>
      </c>
      <c r="AE18" s="67">
        <f t="shared" si="37"/>
        <v>45928</v>
      </c>
      <c r="AF18" s="67">
        <f t="shared" si="37"/>
        <v>45929</v>
      </c>
      <c r="AG18" s="67">
        <f t="shared" si="37"/>
        <v>45930</v>
      </c>
      <c r="AH18" s="111" t="str">
        <f t="shared" si="37"/>
        <v/>
      </c>
      <c r="AI18" s="112" t="s">
        <v>33</v>
      </c>
      <c r="AJ18" s="113" t="s">
        <v>28</v>
      </c>
      <c r="AK18" s="114" t="s">
        <v>34</v>
      </c>
      <c r="AL18" s="112" t="s">
        <v>13</v>
      </c>
      <c r="AM18" s="113" t="s">
        <v>1</v>
      </c>
      <c r="AN18" s="113" t="s">
        <v>35</v>
      </c>
      <c r="AO18" s="113" t="s">
        <v>36</v>
      </c>
      <c r="AP18" s="113" t="s">
        <v>37</v>
      </c>
      <c r="AQ18" s="113" t="s">
        <v>0</v>
      </c>
      <c r="AR18" s="113" t="s">
        <v>38</v>
      </c>
      <c r="AS18" s="115" t="s">
        <v>11</v>
      </c>
      <c r="AT18" s="108" t="str">
        <f>elenchi!$C4</f>
        <v>MOUSTAFA ISRA HANI MOHAMED</v>
      </c>
      <c r="AU18" s="109"/>
      <c r="AV18" s="110"/>
      <c r="AW18" s="67">
        <f t="shared" ref="AW18:CA18" si="38">AW$2</f>
        <v>45931</v>
      </c>
      <c r="AX18" s="67">
        <f t="shared" si="38"/>
        <v>45932</v>
      </c>
      <c r="AY18" s="67">
        <f t="shared" si="38"/>
        <v>45933</v>
      </c>
      <c r="AZ18" s="67">
        <f t="shared" si="38"/>
        <v>45934</v>
      </c>
      <c r="BA18" s="67">
        <f t="shared" si="38"/>
        <v>45935</v>
      </c>
      <c r="BB18" s="67">
        <f t="shared" si="38"/>
        <v>45936</v>
      </c>
      <c r="BC18" s="67">
        <f t="shared" si="38"/>
        <v>45937</v>
      </c>
      <c r="BD18" s="67">
        <f t="shared" si="38"/>
        <v>45938</v>
      </c>
      <c r="BE18" s="67">
        <f t="shared" si="38"/>
        <v>45939</v>
      </c>
      <c r="BF18" s="67">
        <f t="shared" si="38"/>
        <v>45940</v>
      </c>
      <c r="BG18" s="67">
        <f t="shared" si="38"/>
        <v>45941</v>
      </c>
      <c r="BH18" s="67">
        <f t="shared" si="38"/>
        <v>45942</v>
      </c>
      <c r="BI18" s="67">
        <f t="shared" si="38"/>
        <v>45943</v>
      </c>
      <c r="BJ18" s="67">
        <f t="shared" si="38"/>
        <v>45944</v>
      </c>
      <c r="BK18" s="67">
        <f t="shared" si="38"/>
        <v>45945</v>
      </c>
      <c r="BL18" s="67">
        <f t="shared" si="38"/>
        <v>45946</v>
      </c>
      <c r="BM18" s="67">
        <f t="shared" si="38"/>
        <v>45947</v>
      </c>
      <c r="BN18" s="67">
        <f t="shared" si="38"/>
        <v>45948</v>
      </c>
      <c r="BO18" s="67">
        <f t="shared" si="38"/>
        <v>45949</v>
      </c>
      <c r="BP18" s="67">
        <f t="shared" si="38"/>
        <v>45950</v>
      </c>
      <c r="BQ18" s="67">
        <f t="shared" si="38"/>
        <v>45951</v>
      </c>
      <c r="BR18" s="67">
        <f t="shared" si="38"/>
        <v>45952</v>
      </c>
      <c r="BS18" s="67">
        <f t="shared" si="38"/>
        <v>45953</v>
      </c>
      <c r="BT18" s="67">
        <f t="shared" si="38"/>
        <v>45954</v>
      </c>
      <c r="BU18" s="67">
        <f t="shared" si="38"/>
        <v>45955</v>
      </c>
      <c r="BV18" s="67">
        <f t="shared" si="38"/>
        <v>45956</v>
      </c>
      <c r="BW18" s="67">
        <f t="shared" si="38"/>
        <v>45957</v>
      </c>
      <c r="BX18" s="67">
        <f t="shared" si="38"/>
        <v>45958</v>
      </c>
      <c r="BY18" s="67">
        <f t="shared" si="38"/>
        <v>45959</v>
      </c>
      <c r="BZ18" s="67">
        <f t="shared" si="38"/>
        <v>45960</v>
      </c>
      <c r="CA18" s="67">
        <f t="shared" si="38"/>
        <v>45961</v>
      </c>
      <c r="CB18" s="112" t="s">
        <v>33</v>
      </c>
      <c r="CC18" s="113" t="s">
        <v>28</v>
      </c>
      <c r="CD18" s="114" t="s">
        <v>34</v>
      </c>
      <c r="CE18" s="112" t="s">
        <v>13</v>
      </c>
      <c r="CF18" s="113" t="s">
        <v>1</v>
      </c>
      <c r="CG18" s="113" t="s">
        <v>35</v>
      </c>
      <c r="CH18" s="113" t="s">
        <v>36</v>
      </c>
      <c r="CI18" s="113" t="s">
        <v>37</v>
      </c>
      <c r="CJ18" s="113" t="s">
        <v>0</v>
      </c>
      <c r="CK18" s="113" t="s">
        <v>38</v>
      </c>
      <c r="CL18" s="115" t="s">
        <v>11</v>
      </c>
      <c r="CM18" s="108" t="str">
        <f>elenchi!$C4</f>
        <v>MOUSTAFA ISRA HANI MOHAMED</v>
      </c>
      <c r="CN18" s="109"/>
      <c r="CO18" s="110"/>
      <c r="CP18" s="67">
        <f t="shared" ref="CP18:DT18" si="39">CP$2</f>
        <v>45962</v>
      </c>
      <c r="CQ18" s="67">
        <f t="shared" si="39"/>
        <v>45963</v>
      </c>
      <c r="CR18" s="67">
        <f t="shared" si="39"/>
        <v>45964</v>
      </c>
      <c r="CS18" s="67">
        <f t="shared" si="39"/>
        <v>45965</v>
      </c>
      <c r="CT18" s="67">
        <f t="shared" si="39"/>
        <v>45966</v>
      </c>
      <c r="CU18" s="67">
        <f t="shared" si="39"/>
        <v>45967</v>
      </c>
      <c r="CV18" s="67">
        <f t="shared" si="39"/>
        <v>45968</v>
      </c>
      <c r="CW18" s="67">
        <f t="shared" si="39"/>
        <v>45969</v>
      </c>
      <c r="CX18" s="67">
        <f t="shared" si="39"/>
        <v>45970</v>
      </c>
      <c r="CY18" s="67">
        <f t="shared" si="39"/>
        <v>45971</v>
      </c>
      <c r="CZ18" s="67">
        <f t="shared" si="39"/>
        <v>45972</v>
      </c>
      <c r="DA18" s="67">
        <f t="shared" si="39"/>
        <v>45973</v>
      </c>
      <c r="DB18" s="67">
        <f t="shared" si="39"/>
        <v>45974</v>
      </c>
      <c r="DC18" s="67">
        <f t="shared" si="39"/>
        <v>45975</v>
      </c>
      <c r="DD18" s="67">
        <f t="shared" si="39"/>
        <v>45976</v>
      </c>
      <c r="DE18" s="67">
        <f t="shared" si="39"/>
        <v>45977</v>
      </c>
      <c r="DF18" s="67">
        <f t="shared" si="39"/>
        <v>45978</v>
      </c>
      <c r="DG18" s="67">
        <f t="shared" si="39"/>
        <v>45979</v>
      </c>
      <c r="DH18" s="67">
        <f t="shared" si="39"/>
        <v>45980</v>
      </c>
      <c r="DI18" s="67">
        <f t="shared" si="39"/>
        <v>45981</v>
      </c>
      <c r="DJ18" s="67">
        <f t="shared" si="39"/>
        <v>45982</v>
      </c>
      <c r="DK18" s="67">
        <f t="shared" si="39"/>
        <v>45983</v>
      </c>
      <c r="DL18" s="67">
        <f t="shared" si="39"/>
        <v>45984</v>
      </c>
      <c r="DM18" s="67">
        <f t="shared" si="39"/>
        <v>45985</v>
      </c>
      <c r="DN18" s="67">
        <f t="shared" si="39"/>
        <v>45986</v>
      </c>
      <c r="DO18" s="67">
        <f t="shared" si="39"/>
        <v>45987</v>
      </c>
      <c r="DP18" s="67">
        <f t="shared" si="39"/>
        <v>45988</v>
      </c>
      <c r="DQ18" s="67">
        <f t="shared" si="39"/>
        <v>45989</v>
      </c>
      <c r="DR18" s="67">
        <f t="shared" si="39"/>
        <v>45990</v>
      </c>
      <c r="DS18" s="67">
        <f t="shared" si="39"/>
        <v>45991</v>
      </c>
      <c r="DT18" s="67" t="str">
        <f t="shared" si="39"/>
        <v/>
      </c>
      <c r="DU18" s="112" t="s">
        <v>33</v>
      </c>
      <c r="DV18" s="113" t="s">
        <v>28</v>
      </c>
      <c r="DW18" s="114" t="s">
        <v>34</v>
      </c>
      <c r="DX18" s="112" t="s">
        <v>13</v>
      </c>
      <c r="DY18" s="113" t="s">
        <v>1</v>
      </c>
      <c r="DZ18" s="113" t="s">
        <v>35</v>
      </c>
      <c r="EA18" s="113" t="s">
        <v>36</v>
      </c>
      <c r="EB18" s="113" t="s">
        <v>37</v>
      </c>
      <c r="EC18" s="113" t="s">
        <v>0</v>
      </c>
      <c r="ED18" s="113" t="s">
        <v>38</v>
      </c>
      <c r="EE18" s="114" t="s">
        <v>11</v>
      </c>
      <c r="EF18" s="108" t="str">
        <f>elenchi!$C4</f>
        <v>MOUSTAFA ISRA HANI MOHAMED</v>
      </c>
      <c r="EG18" s="109"/>
      <c r="EH18" s="110"/>
      <c r="EI18" s="67">
        <f t="shared" ref="EI18:FM18" si="40">EI$2</f>
        <v>45992</v>
      </c>
      <c r="EJ18" s="67">
        <f t="shared" si="40"/>
        <v>45993</v>
      </c>
      <c r="EK18" s="67">
        <f t="shared" si="40"/>
        <v>45994</v>
      </c>
      <c r="EL18" s="67">
        <f t="shared" si="40"/>
        <v>45995</v>
      </c>
      <c r="EM18" s="67">
        <f t="shared" si="40"/>
        <v>45996</v>
      </c>
      <c r="EN18" s="67">
        <f t="shared" si="40"/>
        <v>45997</v>
      </c>
      <c r="EO18" s="67">
        <f t="shared" si="40"/>
        <v>45998</v>
      </c>
      <c r="EP18" s="67">
        <f t="shared" si="40"/>
        <v>45999</v>
      </c>
      <c r="EQ18" s="67">
        <f t="shared" si="40"/>
        <v>46000</v>
      </c>
      <c r="ER18" s="67">
        <f t="shared" si="40"/>
        <v>46001</v>
      </c>
      <c r="ES18" s="67">
        <f t="shared" si="40"/>
        <v>46002</v>
      </c>
      <c r="ET18" s="67">
        <f t="shared" si="40"/>
        <v>46003</v>
      </c>
      <c r="EU18" s="67">
        <f t="shared" si="40"/>
        <v>46004</v>
      </c>
      <c r="EV18" s="67">
        <f t="shared" si="40"/>
        <v>46005</v>
      </c>
      <c r="EW18" s="67">
        <f t="shared" si="40"/>
        <v>46006</v>
      </c>
      <c r="EX18" s="67">
        <f t="shared" si="40"/>
        <v>46007</v>
      </c>
      <c r="EY18" s="67">
        <f t="shared" si="40"/>
        <v>46008</v>
      </c>
      <c r="EZ18" s="67">
        <f t="shared" si="40"/>
        <v>46009</v>
      </c>
      <c r="FA18" s="67">
        <f t="shared" si="40"/>
        <v>46010</v>
      </c>
      <c r="FB18" s="67">
        <f t="shared" si="40"/>
        <v>46011</v>
      </c>
      <c r="FC18" s="67">
        <f t="shared" si="40"/>
        <v>46012</v>
      </c>
      <c r="FD18" s="67">
        <f t="shared" si="40"/>
        <v>46013</v>
      </c>
      <c r="FE18" s="67">
        <f t="shared" si="40"/>
        <v>46014</v>
      </c>
      <c r="FF18" s="67">
        <f t="shared" si="40"/>
        <v>46015</v>
      </c>
      <c r="FG18" s="67">
        <f t="shared" si="40"/>
        <v>46016</v>
      </c>
      <c r="FH18" s="67">
        <f t="shared" si="40"/>
        <v>46017</v>
      </c>
      <c r="FI18" s="67">
        <f t="shared" si="40"/>
        <v>46018</v>
      </c>
      <c r="FJ18" s="67">
        <f t="shared" si="40"/>
        <v>46019</v>
      </c>
      <c r="FK18" s="67">
        <f t="shared" si="40"/>
        <v>46020</v>
      </c>
      <c r="FL18" s="67">
        <f t="shared" si="40"/>
        <v>46021</v>
      </c>
      <c r="FM18" s="67">
        <f t="shared" si="40"/>
        <v>46022</v>
      </c>
      <c r="FN18" s="112" t="s">
        <v>33</v>
      </c>
      <c r="FO18" s="113" t="s">
        <v>28</v>
      </c>
      <c r="FP18" s="114" t="s">
        <v>34</v>
      </c>
      <c r="FQ18" s="112" t="s">
        <v>13</v>
      </c>
      <c r="FR18" s="113" t="s">
        <v>1</v>
      </c>
      <c r="FS18" s="113" t="s">
        <v>35</v>
      </c>
      <c r="FT18" s="113" t="s">
        <v>36</v>
      </c>
      <c r="FU18" s="113" t="s">
        <v>37</v>
      </c>
      <c r="FV18" s="113" t="s">
        <v>0</v>
      </c>
      <c r="FW18" s="113" t="s">
        <v>38</v>
      </c>
      <c r="FX18" s="114" t="s">
        <v>11</v>
      </c>
      <c r="FY18" s="108" t="str">
        <f>elenchi!$C4</f>
        <v>MOUSTAFA ISRA HANI MOHAMED</v>
      </c>
      <c r="FZ18" s="109"/>
      <c r="GA18" s="110"/>
      <c r="GB18" s="67">
        <f t="shared" ref="GB18:HF18" si="41">GB$2</f>
        <v>46023</v>
      </c>
      <c r="GC18" s="67">
        <f t="shared" si="41"/>
        <v>46024</v>
      </c>
      <c r="GD18" s="67">
        <f t="shared" si="41"/>
        <v>46025</v>
      </c>
      <c r="GE18" s="67">
        <f t="shared" si="41"/>
        <v>46026</v>
      </c>
      <c r="GF18" s="67">
        <f t="shared" si="41"/>
        <v>46027</v>
      </c>
      <c r="GG18" s="67">
        <f t="shared" si="41"/>
        <v>46028</v>
      </c>
      <c r="GH18" s="67">
        <f t="shared" si="41"/>
        <v>46029</v>
      </c>
      <c r="GI18" s="67">
        <f t="shared" si="41"/>
        <v>46030</v>
      </c>
      <c r="GJ18" s="67">
        <f t="shared" si="41"/>
        <v>46031</v>
      </c>
      <c r="GK18" s="67">
        <f t="shared" si="41"/>
        <v>46032</v>
      </c>
      <c r="GL18" s="67">
        <f t="shared" si="41"/>
        <v>46033</v>
      </c>
      <c r="GM18" s="67">
        <f t="shared" si="41"/>
        <v>46034</v>
      </c>
      <c r="GN18" s="67">
        <f t="shared" si="41"/>
        <v>46035</v>
      </c>
      <c r="GO18" s="67">
        <f t="shared" si="41"/>
        <v>46036</v>
      </c>
      <c r="GP18" s="67">
        <f t="shared" si="41"/>
        <v>46037</v>
      </c>
      <c r="GQ18" s="67">
        <f t="shared" si="41"/>
        <v>46038</v>
      </c>
      <c r="GR18" s="67">
        <f t="shared" si="41"/>
        <v>46039</v>
      </c>
      <c r="GS18" s="67">
        <f t="shared" si="41"/>
        <v>46040</v>
      </c>
      <c r="GT18" s="67">
        <f t="shared" si="41"/>
        <v>46041</v>
      </c>
      <c r="GU18" s="67">
        <f t="shared" si="41"/>
        <v>46042</v>
      </c>
      <c r="GV18" s="67">
        <f t="shared" si="41"/>
        <v>46043</v>
      </c>
      <c r="GW18" s="67">
        <f t="shared" si="41"/>
        <v>46044</v>
      </c>
      <c r="GX18" s="67">
        <f t="shared" si="41"/>
        <v>46045</v>
      </c>
      <c r="GY18" s="67">
        <f t="shared" si="41"/>
        <v>46046</v>
      </c>
      <c r="GZ18" s="67">
        <f t="shared" si="41"/>
        <v>46047</v>
      </c>
      <c r="HA18" s="67">
        <f t="shared" si="41"/>
        <v>46048</v>
      </c>
      <c r="HB18" s="67">
        <f t="shared" si="41"/>
        <v>46049</v>
      </c>
      <c r="HC18" s="67">
        <f t="shared" si="41"/>
        <v>46050</v>
      </c>
      <c r="HD18" s="67">
        <f t="shared" si="41"/>
        <v>46051</v>
      </c>
      <c r="HE18" s="67">
        <f t="shared" si="41"/>
        <v>46052</v>
      </c>
      <c r="HF18" s="67">
        <f t="shared" si="41"/>
        <v>46053</v>
      </c>
      <c r="HG18" s="112" t="s">
        <v>33</v>
      </c>
      <c r="HH18" s="113" t="s">
        <v>28</v>
      </c>
      <c r="HI18" s="114" t="s">
        <v>34</v>
      </c>
      <c r="HJ18" s="112" t="s">
        <v>13</v>
      </c>
      <c r="HK18" s="113" t="s">
        <v>1</v>
      </c>
      <c r="HL18" s="113" t="s">
        <v>35</v>
      </c>
      <c r="HM18" s="113" t="s">
        <v>36</v>
      </c>
      <c r="HN18" s="113" t="s">
        <v>37</v>
      </c>
      <c r="HO18" s="113" t="s">
        <v>0</v>
      </c>
      <c r="HP18" s="113" t="s">
        <v>38</v>
      </c>
      <c r="HQ18" s="114" t="s">
        <v>11</v>
      </c>
      <c r="HR18" s="108" t="str">
        <f>elenchi!$C4</f>
        <v>MOUSTAFA ISRA HANI MOHAMED</v>
      </c>
      <c r="HS18" s="109"/>
      <c r="HT18" s="110"/>
      <c r="HU18" s="67">
        <f t="shared" ref="HU18:IY18" si="42">HU$2</f>
        <v>46054</v>
      </c>
      <c r="HV18" s="67">
        <f t="shared" si="42"/>
        <v>46055</v>
      </c>
      <c r="HW18" s="67">
        <f t="shared" si="42"/>
        <v>46056</v>
      </c>
      <c r="HX18" s="67">
        <f t="shared" si="42"/>
        <v>46057</v>
      </c>
      <c r="HY18" s="67">
        <f t="shared" si="42"/>
        <v>46058</v>
      </c>
      <c r="HZ18" s="67">
        <f t="shared" si="42"/>
        <v>46059</v>
      </c>
      <c r="IA18" s="67">
        <f t="shared" si="42"/>
        <v>46060</v>
      </c>
      <c r="IB18" s="67">
        <f t="shared" si="42"/>
        <v>46061</v>
      </c>
      <c r="IC18" s="67">
        <f t="shared" si="42"/>
        <v>46062</v>
      </c>
      <c r="ID18" s="67">
        <f t="shared" si="42"/>
        <v>46063</v>
      </c>
      <c r="IE18" s="67">
        <f t="shared" si="42"/>
        <v>46064</v>
      </c>
      <c r="IF18" s="67">
        <f t="shared" si="42"/>
        <v>46065</v>
      </c>
      <c r="IG18" s="67">
        <f t="shared" si="42"/>
        <v>46066</v>
      </c>
      <c r="IH18" s="67">
        <f t="shared" si="42"/>
        <v>46067</v>
      </c>
      <c r="II18" s="67">
        <f t="shared" si="42"/>
        <v>46068</v>
      </c>
      <c r="IJ18" s="67">
        <f t="shared" si="42"/>
        <v>46069</v>
      </c>
      <c r="IK18" s="67">
        <f t="shared" si="42"/>
        <v>46070</v>
      </c>
      <c r="IL18" s="67">
        <f t="shared" si="42"/>
        <v>46071</v>
      </c>
      <c r="IM18" s="67">
        <f t="shared" si="42"/>
        <v>46072</v>
      </c>
      <c r="IN18" s="67">
        <f t="shared" si="42"/>
        <v>46073</v>
      </c>
      <c r="IO18" s="67">
        <f t="shared" si="42"/>
        <v>46074</v>
      </c>
      <c r="IP18" s="67">
        <f t="shared" si="42"/>
        <v>46075</v>
      </c>
      <c r="IQ18" s="67">
        <f t="shared" si="42"/>
        <v>46076</v>
      </c>
      <c r="IR18" s="67">
        <f t="shared" si="42"/>
        <v>46077</v>
      </c>
      <c r="IS18" s="67">
        <f t="shared" si="42"/>
        <v>46078</v>
      </c>
      <c r="IT18" s="67">
        <f t="shared" si="42"/>
        <v>46079</v>
      </c>
      <c r="IU18" s="67">
        <f t="shared" si="42"/>
        <v>46080</v>
      </c>
      <c r="IV18" s="67">
        <f t="shared" si="42"/>
        <v>46081</v>
      </c>
      <c r="IW18" s="67" t="str">
        <f t="shared" si="42"/>
        <v/>
      </c>
      <c r="IX18" s="67" t="str">
        <f t="shared" si="42"/>
        <v/>
      </c>
      <c r="IY18" s="67" t="str">
        <f t="shared" si="42"/>
        <v/>
      </c>
      <c r="IZ18" s="112" t="s">
        <v>33</v>
      </c>
      <c r="JA18" s="113" t="s">
        <v>28</v>
      </c>
      <c r="JB18" s="114" t="s">
        <v>34</v>
      </c>
      <c r="JC18" s="112" t="s">
        <v>13</v>
      </c>
      <c r="JD18" s="113" t="s">
        <v>1</v>
      </c>
      <c r="JE18" s="113" t="s">
        <v>35</v>
      </c>
      <c r="JF18" s="113" t="s">
        <v>36</v>
      </c>
      <c r="JG18" s="113" t="s">
        <v>37</v>
      </c>
      <c r="JH18" s="113" t="s">
        <v>0</v>
      </c>
      <c r="JI18" s="113" t="s">
        <v>38</v>
      </c>
      <c r="JJ18" s="114" t="s">
        <v>11</v>
      </c>
      <c r="JK18" s="108" t="str">
        <f>elenchi!$C4</f>
        <v>MOUSTAFA ISRA HANI MOHAMED</v>
      </c>
      <c r="JL18" s="109"/>
      <c r="JM18" s="110"/>
      <c r="JN18" s="67">
        <f t="shared" ref="JN18:KR18" si="43">JN$2</f>
        <v>46082</v>
      </c>
      <c r="JO18" s="67">
        <f t="shared" si="43"/>
        <v>46083</v>
      </c>
      <c r="JP18" s="67">
        <f t="shared" si="43"/>
        <v>46084</v>
      </c>
      <c r="JQ18" s="67">
        <f t="shared" si="43"/>
        <v>46085</v>
      </c>
      <c r="JR18" s="67">
        <f t="shared" si="43"/>
        <v>46086</v>
      </c>
      <c r="JS18" s="67">
        <f t="shared" si="43"/>
        <v>46087</v>
      </c>
      <c r="JT18" s="67">
        <f t="shared" si="43"/>
        <v>46088</v>
      </c>
      <c r="JU18" s="67">
        <f t="shared" si="43"/>
        <v>46089</v>
      </c>
      <c r="JV18" s="67">
        <f t="shared" si="43"/>
        <v>46090</v>
      </c>
      <c r="JW18" s="67">
        <f t="shared" si="43"/>
        <v>46091</v>
      </c>
      <c r="JX18" s="67">
        <f t="shared" si="43"/>
        <v>46092</v>
      </c>
      <c r="JY18" s="67">
        <f t="shared" si="43"/>
        <v>46093</v>
      </c>
      <c r="JZ18" s="67">
        <f t="shared" si="43"/>
        <v>46094</v>
      </c>
      <c r="KA18" s="67">
        <f t="shared" si="43"/>
        <v>46095</v>
      </c>
      <c r="KB18" s="67">
        <f t="shared" si="43"/>
        <v>46096</v>
      </c>
      <c r="KC18" s="67">
        <f t="shared" si="43"/>
        <v>46097</v>
      </c>
      <c r="KD18" s="67">
        <f t="shared" si="43"/>
        <v>46098</v>
      </c>
      <c r="KE18" s="67">
        <f t="shared" si="43"/>
        <v>46099</v>
      </c>
      <c r="KF18" s="67">
        <f t="shared" si="43"/>
        <v>46100</v>
      </c>
      <c r="KG18" s="67">
        <f t="shared" si="43"/>
        <v>46101</v>
      </c>
      <c r="KH18" s="67">
        <f t="shared" si="43"/>
        <v>46102</v>
      </c>
      <c r="KI18" s="67">
        <f t="shared" si="43"/>
        <v>46103</v>
      </c>
      <c r="KJ18" s="67">
        <f t="shared" si="43"/>
        <v>46104</v>
      </c>
      <c r="KK18" s="67">
        <f t="shared" si="43"/>
        <v>46105</v>
      </c>
      <c r="KL18" s="67">
        <f t="shared" si="43"/>
        <v>46106</v>
      </c>
      <c r="KM18" s="67">
        <f t="shared" si="43"/>
        <v>46107</v>
      </c>
      <c r="KN18" s="67">
        <f t="shared" si="43"/>
        <v>46108</v>
      </c>
      <c r="KO18" s="67">
        <f t="shared" si="43"/>
        <v>46109</v>
      </c>
      <c r="KP18" s="67">
        <f t="shared" si="43"/>
        <v>46110</v>
      </c>
      <c r="KQ18" s="67">
        <f t="shared" si="43"/>
        <v>46111</v>
      </c>
      <c r="KR18" s="67">
        <f t="shared" si="43"/>
        <v>46112</v>
      </c>
      <c r="KS18" s="112" t="s">
        <v>33</v>
      </c>
      <c r="KT18" s="113" t="s">
        <v>28</v>
      </c>
      <c r="KU18" s="114" t="s">
        <v>34</v>
      </c>
      <c r="KV18" s="112" t="s">
        <v>13</v>
      </c>
      <c r="KW18" s="113" t="s">
        <v>1</v>
      </c>
      <c r="KX18" s="113" t="s">
        <v>35</v>
      </c>
      <c r="KY18" s="113" t="s">
        <v>36</v>
      </c>
      <c r="KZ18" s="113" t="s">
        <v>37</v>
      </c>
      <c r="LA18" s="113" t="s">
        <v>0</v>
      </c>
      <c r="LB18" s="113" t="s">
        <v>38</v>
      </c>
      <c r="LC18" s="114" t="s">
        <v>11</v>
      </c>
      <c r="LD18" s="108" t="str">
        <f>elenchi!$C4</f>
        <v>MOUSTAFA ISRA HANI MOHAMED</v>
      </c>
      <c r="LE18" s="109"/>
      <c r="LF18" s="110"/>
      <c r="LG18" s="67">
        <f t="shared" ref="LG18:MK18" si="44">LG$2</f>
        <v>46113</v>
      </c>
      <c r="LH18" s="67">
        <f t="shared" si="44"/>
        <v>46114</v>
      </c>
      <c r="LI18" s="67">
        <f t="shared" si="44"/>
        <v>46115</v>
      </c>
      <c r="LJ18" s="67">
        <f t="shared" si="44"/>
        <v>46116</v>
      </c>
      <c r="LK18" s="67">
        <f t="shared" si="44"/>
        <v>46117</v>
      </c>
      <c r="LL18" s="67">
        <f t="shared" si="44"/>
        <v>46118</v>
      </c>
      <c r="LM18" s="67">
        <f t="shared" si="44"/>
        <v>46119</v>
      </c>
      <c r="LN18" s="67">
        <f t="shared" si="44"/>
        <v>46120</v>
      </c>
      <c r="LO18" s="67">
        <f t="shared" si="44"/>
        <v>46121</v>
      </c>
      <c r="LP18" s="67">
        <f t="shared" si="44"/>
        <v>46122</v>
      </c>
      <c r="LQ18" s="67">
        <f t="shared" si="44"/>
        <v>46123</v>
      </c>
      <c r="LR18" s="67">
        <f t="shared" si="44"/>
        <v>46124</v>
      </c>
      <c r="LS18" s="67">
        <f t="shared" si="44"/>
        <v>46125</v>
      </c>
      <c r="LT18" s="67">
        <f t="shared" si="44"/>
        <v>46126</v>
      </c>
      <c r="LU18" s="67">
        <f t="shared" si="44"/>
        <v>46127</v>
      </c>
      <c r="LV18" s="67">
        <f t="shared" si="44"/>
        <v>46128</v>
      </c>
      <c r="LW18" s="67">
        <f t="shared" si="44"/>
        <v>46129</v>
      </c>
      <c r="LX18" s="67">
        <f t="shared" si="44"/>
        <v>46130</v>
      </c>
      <c r="LY18" s="67">
        <f t="shared" si="44"/>
        <v>46131</v>
      </c>
      <c r="LZ18" s="67">
        <f t="shared" si="44"/>
        <v>46132</v>
      </c>
      <c r="MA18" s="67">
        <f t="shared" si="44"/>
        <v>46133</v>
      </c>
      <c r="MB18" s="67">
        <f t="shared" si="44"/>
        <v>46134</v>
      </c>
      <c r="MC18" s="67">
        <f t="shared" si="44"/>
        <v>46135</v>
      </c>
      <c r="MD18" s="67">
        <f t="shared" si="44"/>
        <v>46136</v>
      </c>
      <c r="ME18" s="67">
        <f t="shared" si="44"/>
        <v>46137</v>
      </c>
      <c r="MF18" s="67">
        <f t="shared" si="44"/>
        <v>46138</v>
      </c>
      <c r="MG18" s="67">
        <f t="shared" si="44"/>
        <v>46139</v>
      </c>
      <c r="MH18" s="67">
        <f t="shared" si="44"/>
        <v>46140</v>
      </c>
      <c r="MI18" s="67">
        <f t="shared" si="44"/>
        <v>46141</v>
      </c>
      <c r="MJ18" s="67">
        <f t="shared" si="44"/>
        <v>46142</v>
      </c>
      <c r="MK18" s="67" t="str">
        <f t="shared" si="44"/>
        <v/>
      </c>
      <c r="ML18" s="112" t="s">
        <v>33</v>
      </c>
      <c r="MM18" s="113" t="s">
        <v>28</v>
      </c>
      <c r="MN18" s="114" t="s">
        <v>34</v>
      </c>
      <c r="MO18" s="112" t="s">
        <v>13</v>
      </c>
      <c r="MP18" s="113" t="s">
        <v>1</v>
      </c>
      <c r="MQ18" s="113" t="s">
        <v>35</v>
      </c>
      <c r="MR18" s="113" t="s">
        <v>36</v>
      </c>
      <c r="MS18" s="113" t="s">
        <v>37</v>
      </c>
      <c r="MT18" s="113" t="s">
        <v>0</v>
      </c>
      <c r="MU18" s="113" t="s">
        <v>38</v>
      </c>
      <c r="MV18" s="115" t="s">
        <v>11</v>
      </c>
      <c r="MW18" s="108" t="str">
        <f>elenchi!$C4</f>
        <v>MOUSTAFA ISRA HANI MOHAMED</v>
      </c>
      <c r="MX18" s="109"/>
      <c r="MY18" s="110"/>
      <c r="MZ18" s="67">
        <f t="shared" ref="MZ18:OD18" si="45">MZ$2</f>
        <v>46143</v>
      </c>
      <c r="NA18" s="67">
        <f t="shared" si="45"/>
        <v>46144</v>
      </c>
      <c r="NB18" s="67">
        <f t="shared" si="45"/>
        <v>46145</v>
      </c>
      <c r="NC18" s="67">
        <f t="shared" si="45"/>
        <v>46146</v>
      </c>
      <c r="ND18" s="67">
        <f t="shared" si="45"/>
        <v>46147</v>
      </c>
      <c r="NE18" s="67">
        <f t="shared" si="45"/>
        <v>46148</v>
      </c>
      <c r="NF18" s="67">
        <f t="shared" si="45"/>
        <v>46149</v>
      </c>
      <c r="NG18" s="67">
        <f t="shared" si="45"/>
        <v>46150</v>
      </c>
      <c r="NH18" s="67">
        <f t="shared" si="45"/>
        <v>46151</v>
      </c>
      <c r="NI18" s="67">
        <f t="shared" si="45"/>
        <v>46152</v>
      </c>
      <c r="NJ18" s="67">
        <f t="shared" si="45"/>
        <v>46153</v>
      </c>
      <c r="NK18" s="67">
        <f t="shared" si="45"/>
        <v>46154</v>
      </c>
      <c r="NL18" s="67">
        <f t="shared" si="45"/>
        <v>46155</v>
      </c>
      <c r="NM18" s="67">
        <f t="shared" si="45"/>
        <v>46156</v>
      </c>
      <c r="NN18" s="67">
        <f t="shared" si="45"/>
        <v>46157</v>
      </c>
      <c r="NO18" s="67">
        <f t="shared" si="45"/>
        <v>46158</v>
      </c>
      <c r="NP18" s="67">
        <f t="shared" si="45"/>
        <v>46159</v>
      </c>
      <c r="NQ18" s="67">
        <f t="shared" si="45"/>
        <v>46160</v>
      </c>
      <c r="NR18" s="67">
        <f t="shared" si="45"/>
        <v>46161</v>
      </c>
      <c r="NS18" s="67">
        <f t="shared" si="45"/>
        <v>46162</v>
      </c>
      <c r="NT18" s="67">
        <f t="shared" si="45"/>
        <v>46163</v>
      </c>
      <c r="NU18" s="67">
        <f t="shared" si="45"/>
        <v>46164</v>
      </c>
      <c r="NV18" s="67">
        <f t="shared" si="45"/>
        <v>46165</v>
      </c>
      <c r="NW18" s="67">
        <f t="shared" si="45"/>
        <v>46166</v>
      </c>
      <c r="NX18" s="67">
        <f t="shared" si="45"/>
        <v>46167</v>
      </c>
      <c r="NY18" s="67">
        <f t="shared" si="45"/>
        <v>46168</v>
      </c>
      <c r="NZ18" s="67">
        <f t="shared" si="45"/>
        <v>46169</v>
      </c>
      <c r="OA18" s="67">
        <f t="shared" si="45"/>
        <v>46170</v>
      </c>
      <c r="OB18" s="67">
        <f t="shared" si="45"/>
        <v>46171</v>
      </c>
      <c r="OC18" s="67">
        <f t="shared" si="45"/>
        <v>46172</v>
      </c>
      <c r="OD18" s="67">
        <f t="shared" si="45"/>
        <v>46173</v>
      </c>
      <c r="OE18" s="112" t="s">
        <v>33</v>
      </c>
      <c r="OF18" s="113" t="s">
        <v>28</v>
      </c>
      <c r="OG18" s="114" t="s">
        <v>34</v>
      </c>
      <c r="OH18" s="112" t="s">
        <v>13</v>
      </c>
      <c r="OI18" s="113" t="s">
        <v>1</v>
      </c>
      <c r="OJ18" s="113" t="s">
        <v>35</v>
      </c>
      <c r="OK18" s="113" t="s">
        <v>36</v>
      </c>
      <c r="OL18" s="113" t="s">
        <v>37</v>
      </c>
      <c r="OM18" s="113" t="s">
        <v>0</v>
      </c>
      <c r="ON18" s="113" t="s">
        <v>38</v>
      </c>
      <c r="OO18" s="115" t="s">
        <v>11</v>
      </c>
      <c r="OP18" s="108" t="str">
        <f>elenchi!$C4</f>
        <v>MOUSTAFA ISRA HANI MOHAMED</v>
      </c>
      <c r="OQ18" s="109"/>
      <c r="OR18" s="110"/>
      <c r="OS18" s="67">
        <f t="shared" ref="OS18:PW18" si="46">OS$2</f>
        <v>46174</v>
      </c>
      <c r="OT18" s="67">
        <f t="shared" si="46"/>
        <v>46175</v>
      </c>
      <c r="OU18" s="67">
        <f t="shared" si="46"/>
        <v>46176</v>
      </c>
      <c r="OV18" s="67">
        <f t="shared" si="46"/>
        <v>46177</v>
      </c>
      <c r="OW18" s="67">
        <f t="shared" si="46"/>
        <v>46178</v>
      </c>
      <c r="OX18" s="67">
        <f t="shared" si="46"/>
        <v>46179</v>
      </c>
      <c r="OY18" s="67">
        <f t="shared" si="46"/>
        <v>46180</v>
      </c>
      <c r="OZ18" s="67">
        <f t="shared" si="46"/>
        <v>46181</v>
      </c>
      <c r="PA18" s="67">
        <f t="shared" si="46"/>
        <v>46182</v>
      </c>
      <c r="PB18" s="67">
        <f t="shared" si="46"/>
        <v>46183</v>
      </c>
      <c r="PC18" s="67">
        <f t="shared" si="46"/>
        <v>46184</v>
      </c>
      <c r="PD18" s="67">
        <f t="shared" si="46"/>
        <v>46185</v>
      </c>
      <c r="PE18" s="67">
        <f t="shared" si="46"/>
        <v>46186</v>
      </c>
      <c r="PF18" s="67">
        <f t="shared" si="46"/>
        <v>46187</v>
      </c>
      <c r="PG18" s="67">
        <f t="shared" si="46"/>
        <v>46188</v>
      </c>
      <c r="PH18" s="67">
        <f t="shared" si="46"/>
        <v>46189</v>
      </c>
      <c r="PI18" s="67">
        <f t="shared" si="46"/>
        <v>46190</v>
      </c>
      <c r="PJ18" s="67">
        <f t="shared" si="46"/>
        <v>46191</v>
      </c>
      <c r="PK18" s="67">
        <f t="shared" si="46"/>
        <v>46192</v>
      </c>
      <c r="PL18" s="67">
        <f t="shared" si="46"/>
        <v>46193</v>
      </c>
      <c r="PM18" s="67">
        <f t="shared" si="46"/>
        <v>46194</v>
      </c>
      <c r="PN18" s="67">
        <f t="shared" si="46"/>
        <v>46195</v>
      </c>
      <c r="PO18" s="67">
        <f t="shared" si="46"/>
        <v>46196</v>
      </c>
      <c r="PP18" s="67">
        <f t="shared" si="46"/>
        <v>46197</v>
      </c>
      <c r="PQ18" s="67">
        <f t="shared" si="46"/>
        <v>46198</v>
      </c>
      <c r="PR18" s="67">
        <f t="shared" si="46"/>
        <v>46199</v>
      </c>
      <c r="PS18" s="67">
        <f t="shared" si="46"/>
        <v>46200</v>
      </c>
      <c r="PT18" s="67">
        <f t="shared" si="46"/>
        <v>46201</v>
      </c>
      <c r="PU18" s="67">
        <f t="shared" si="46"/>
        <v>46202</v>
      </c>
      <c r="PV18" s="67">
        <f t="shared" si="46"/>
        <v>46203</v>
      </c>
      <c r="PW18" s="67" t="str">
        <f t="shared" si="46"/>
        <v/>
      </c>
      <c r="PX18" s="112" t="s">
        <v>33</v>
      </c>
      <c r="PY18" s="113" t="s">
        <v>28</v>
      </c>
      <c r="PZ18" s="114" t="s">
        <v>34</v>
      </c>
      <c r="QA18" s="112" t="s">
        <v>13</v>
      </c>
      <c r="QB18" s="113" t="s">
        <v>1</v>
      </c>
      <c r="QC18" s="113" t="s">
        <v>35</v>
      </c>
      <c r="QD18" s="113" t="s">
        <v>36</v>
      </c>
      <c r="QE18" s="113" t="s">
        <v>37</v>
      </c>
      <c r="QF18" s="113" t="s">
        <v>0</v>
      </c>
      <c r="QG18" s="113" t="s">
        <v>38</v>
      </c>
      <c r="QH18" s="115" t="s">
        <v>11</v>
      </c>
      <c r="QI18" s="108" t="str">
        <f>elenchi!$C4</f>
        <v>MOUSTAFA ISRA HANI MOHAMED</v>
      </c>
      <c r="QJ18" s="109"/>
      <c r="QK18" s="110"/>
      <c r="QL18" s="67">
        <f t="shared" ref="QL18:RP18" si="47">QL$2</f>
        <v>46204</v>
      </c>
      <c r="QM18" s="67">
        <f t="shared" si="47"/>
        <v>46205</v>
      </c>
      <c r="QN18" s="67">
        <f t="shared" si="47"/>
        <v>46206</v>
      </c>
      <c r="QO18" s="67">
        <f t="shared" si="47"/>
        <v>46207</v>
      </c>
      <c r="QP18" s="67">
        <f t="shared" si="47"/>
        <v>46208</v>
      </c>
      <c r="QQ18" s="67">
        <f t="shared" si="47"/>
        <v>46209</v>
      </c>
      <c r="QR18" s="67">
        <f t="shared" si="47"/>
        <v>46210</v>
      </c>
      <c r="QS18" s="67">
        <f t="shared" si="47"/>
        <v>46211</v>
      </c>
      <c r="QT18" s="67">
        <f t="shared" si="47"/>
        <v>46212</v>
      </c>
      <c r="QU18" s="67">
        <f t="shared" si="47"/>
        <v>46213</v>
      </c>
      <c r="QV18" s="67">
        <f t="shared" si="47"/>
        <v>46214</v>
      </c>
      <c r="QW18" s="67">
        <f t="shared" si="47"/>
        <v>46215</v>
      </c>
      <c r="QX18" s="67">
        <f t="shared" si="47"/>
        <v>46216</v>
      </c>
      <c r="QY18" s="67">
        <f t="shared" si="47"/>
        <v>46217</v>
      </c>
      <c r="QZ18" s="67">
        <f t="shared" si="47"/>
        <v>46218</v>
      </c>
      <c r="RA18" s="67">
        <f t="shared" si="47"/>
        <v>46219</v>
      </c>
      <c r="RB18" s="67">
        <f t="shared" si="47"/>
        <v>46220</v>
      </c>
      <c r="RC18" s="67">
        <f t="shared" si="47"/>
        <v>46221</v>
      </c>
      <c r="RD18" s="67">
        <f t="shared" si="47"/>
        <v>46222</v>
      </c>
      <c r="RE18" s="67">
        <f t="shared" si="47"/>
        <v>46223</v>
      </c>
      <c r="RF18" s="67">
        <f t="shared" si="47"/>
        <v>46224</v>
      </c>
      <c r="RG18" s="67">
        <f t="shared" si="47"/>
        <v>46225</v>
      </c>
      <c r="RH18" s="67">
        <f t="shared" si="47"/>
        <v>46226</v>
      </c>
      <c r="RI18" s="67">
        <f t="shared" si="47"/>
        <v>46227</v>
      </c>
      <c r="RJ18" s="67">
        <f t="shared" si="47"/>
        <v>46228</v>
      </c>
      <c r="RK18" s="67">
        <f t="shared" si="47"/>
        <v>46229</v>
      </c>
      <c r="RL18" s="67">
        <f t="shared" si="47"/>
        <v>46230</v>
      </c>
      <c r="RM18" s="67">
        <f t="shared" si="47"/>
        <v>46231</v>
      </c>
      <c r="RN18" s="67">
        <f t="shared" si="47"/>
        <v>46232</v>
      </c>
      <c r="RO18" s="67">
        <f t="shared" si="47"/>
        <v>46233</v>
      </c>
      <c r="RP18" s="67">
        <f t="shared" si="47"/>
        <v>46234</v>
      </c>
      <c r="RQ18" s="112" t="s">
        <v>33</v>
      </c>
      <c r="RR18" s="113" t="s">
        <v>28</v>
      </c>
      <c r="RS18" s="114" t="s">
        <v>34</v>
      </c>
      <c r="RT18" s="112" t="s">
        <v>13</v>
      </c>
      <c r="RU18" s="113" t="s">
        <v>1</v>
      </c>
      <c r="RV18" s="113" t="s">
        <v>35</v>
      </c>
      <c r="RW18" s="113" t="s">
        <v>36</v>
      </c>
      <c r="RX18" s="113" t="s">
        <v>37</v>
      </c>
      <c r="RY18" s="113" t="s">
        <v>0</v>
      </c>
      <c r="RZ18" s="113" t="s">
        <v>38</v>
      </c>
      <c r="SA18" s="115" t="s">
        <v>11</v>
      </c>
      <c r="SB18" s="108" t="str">
        <f>elenchi!$C4</f>
        <v>MOUSTAFA ISRA HANI MOHAMED</v>
      </c>
      <c r="SC18" s="109"/>
      <c r="SD18" s="110"/>
      <c r="SE18" s="67">
        <f t="shared" ref="SE18:TI18" si="48">SE$2</f>
        <v>46235</v>
      </c>
      <c r="SF18" s="67">
        <f t="shared" si="48"/>
        <v>46236</v>
      </c>
      <c r="SG18" s="67">
        <f t="shared" si="48"/>
        <v>46237</v>
      </c>
      <c r="SH18" s="67">
        <f t="shared" si="48"/>
        <v>46238</v>
      </c>
      <c r="SI18" s="67">
        <f t="shared" si="48"/>
        <v>46239</v>
      </c>
      <c r="SJ18" s="67">
        <f t="shared" si="48"/>
        <v>46240</v>
      </c>
      <c r="SK18" s="67">
        <f t="shared" si="48"/>
        <v>46241</v>
      </c>
      <c r="SL18" s="67">
        <f t="shared" si="48"/>
        <v>46242</v>
      </c>
      <c r="SM18" s="67">
        <f t="shared" si="48"/>
        <v>46243</v>
      </c>
      <c r="SN18" s="67">
        <f t="shared" si="48"/>
        <v>46244</v>
      </c>
      <c r="SO18" s="67">
        <f t="shared" si="48"/>
        <v>46245</v>
      </c>
      <c r="SP18" s="67">
        <f t="shared" si="48"/>
        <v>46246</v>
      </c>
      <c r="SQ18" s="67">
        <f t="shared" si="48"/>
        <v>46247</v>
      </c>
      <c r="SR18" s="67">
        <f t="shared" si="48"/>
        <v>46248</v>
      </c>
      <c r="SS18" s="67">
        <f t="shared" si="48"/>
        <v>46249</v>
      </c>
      <c r="ST18" s="67">
        <f t="shared" si="48"/>
        <v>46250</v>
      </c>
      <c r="SU18" s="67">
        <f t="shared" si="48"/>
        <v>46251</v>
      </c>
      <c r="SV18" s="67">
        <f t="shared" si="48"/>
        <v>46252</v>
      </c>
      <c r="SW18" s="67">
        <f t="shared" si="48"/>
        <v>46253</v>
      </c>
      <c r="SX18" s="67">
        <f t="shared" si="48"/>
        <v>46254</v>
      </c>
      <c r="SY18" s="67">
        <f t="shared" si="48"/>
        <v>46255</v>
      </c>
      <c r="SZ18" s="67">
        <f t="shared" si="48"/>
        <v>46256</v>
      </c>
      <c r="TA18" s="67">
        <f t="shared" si="48"/>
        <v>46257</v>
      </c>
      <c r="TB18" s="67">
        <f t="shared" si="48"/>
        <v>46258</v>
      </c>
      <c r="TC18" s="67">
        <f t="shared" si="48"/>
        <v>46259</v>
      </c>
      <c r="TD18" s="67">
        <f t="shared" si="48"/>
        <v>46260</v>
      </c>
      <c r="TE18" s="67">
        <f t="shared" si="48"/>
        <v>46261</v>
      </c>
      <c r="TF18" s="67">
        <f t="shared" si="48"/>
        <v>46262</v>
      </c>
      <c r="TG18" s="67">
        <f t="shared" si="48"/>
        <v>46263</v>
      </c>
      <c r="TH18" s="67">
        <f t="shared" si="48"/>
        <v>46264</v>
      </c>
      <c r="TI18" s="67">
        <f t="shared" si="48"/>
        <v>46265</v>
      </c>
      <c r="TJ18" s="112" t="s">
        <v>33</v>
      </c>
      <c r="TK18" s="113" t="s">
        <v>28</v>
      </c>
      <c r="TL18" s="114" t="s">
        <v>34</v>
      </c>
      <c r="TM18" s="112" t="s">
        <v>13</v>
      </c>
      <c r="TN18" s="113" t="s">
        <v>1</v>
      </c>
      <c r="TO18" s="113" t="s">
        <v>35</v>
      </c>
      <c r="TP18" s="113" t="s">
        <v>36</v>
      </c>
      <c r="TQ18" s="113" t="s">
        <v>37</v>
      </c>
      <c r="TR18" s="113" t="s">
        <v>0</v>
      </c>
      <c r="TS18" s="113" t="s">
        <v>38</v>
      </c>
      <c r="TT18" s="114" t="s">
        <v>11</v>
      </c>
    </row>
    <row r="19" ht="24.75" customHeight="1" outlineLevel="1">
      <c r="A19" s="73"/>
      <c r="B19" s="65"/>
      <c r="C19" s="66"/>
      <c r="D19" s="74">
        <f>Settembre25!$E$2</f>
        <v>8</v>
      </c>
      <c r="E19" s="75">
        <f>Settembre25!$E$3</f>
        <v>8</v>
      </c>
      <c r="F19" s="75">
        <f>Settembre25!$E$4</f>
        <v>8</v>
      </c>
      <c r="G19" s="75">
        <f>Settembre25!$E$5</f>
        <v>8</v>
      </c>
      <c r="H19" s="76">
        <f>Settembre25!$E$6</f>
        <v>8</v>
      </c>
      <c r="I19" s="76">
        <f>Settembre25!$E$7</f>
        <v>8</v>
      </c>
      <c r="J19" s="75" t="str">
        <f>Settembre25!$E$8</f>
        <v/>
      </c>
      <c r="K19" s="75">
        <f>Settembre25!$E$9</f>
        <v>9.5</v>
      </c>
      <c r="L19" s="75">
        <f>Settembre25!$E$10</f>
        <v>9.5</v>
      </c>
      <c r="M19" s="75">
        <f>Settembre25!$E$11</f>
        <v>9.5</v>
      </c>
      <c r="N19" s="75">
        <f>Settembre25!$E$12</f>
        <v>9.5</v>
      </c>
      <c r="O19" s="76">
        <f>Settembre25!$E$13</f>
        <v>9.5</v>
      </c>
      <c r="P19" s="75">
        <f>Settembre25!$E$14</f>
        <v>8</v>
      </c>
      <c r="Q19" s="75" t="str">
        <f>Settembre25!$E$15</f>
        <v/>
      </c>
      <c r="R19" s="75">
        <f>Settembre25!$E$16</f>
        <v>9.5</v>
      </c>
      <c r="S19" s="75">
        <f>Settembre25!$E$17</f>
        <v>9.5</v>
      </c>
      <c r="T19" s="75">
        <f>Settembre25!$E$18</f>
        <v>9.5</v>
      </c>
      <c r="U19" s="75">
        <f>Settembre25!$E$19</f>
        <v>9.5</v>
      </c>
      <c r="V19" s="76">
        <f>Settembre25!$E$20</f>
        <v>9.5</v>
      </c>
      <c r="W19" s="76" t="str">
        <f>Settembre25!$E$21</f>
        <v/>
      </c>
      <c r="X19" s="75" t="str">
        <f>Settembre25!$E$22</f>
        <v/>
      </c>
      <c r="Y19" s="75">
        <f>Settembre25!$E$23</f>
        <v>9.5</v>
      </c>
      <c r="Z19" s="75">
        <f>Settembre25!$E$24</f>
        <v>9.5</v>
      </c>
      <c r="AA19" s="75">
        <f>Settembre25!$E$25</f>
        <v>9.5</v>
      </c>
      <c r="AB19" s="75">
        <f>Settembre25!$E$26</f>
        <v>9.5</v>
      </c>
      <c r="AC19" s="76">
        <f>Settembre25!$E$27</f>
        <v>9.5</v>
      </c>
      <c r="AD19" s="76">
        <f>Settembre25!$E$28</f>
        <v>8</v>
      </c>
      <c r="AE19" s="75" t="str">
        <f>Settembre25!$E$29</f>
        <v/>
      </c>
      <c r="AF19" s="75">
        <f>Settembre25!$E$30</f>
        <v>9.5</v>
      </c>
      <c r="AG19" s="75">
        <f>Settembre25!$E$31</f>
        <v>9.5</v>
      </c>
      <c r="AH19" s="77" t="str">
        <f>Settembre25!$E$32</f>
        <v/>
      </c>
      <c r="AI19" s="78"/>
      <c r="AJ19" s="79">
        <f>SUM(D19:AH19)</f>
        <v>225.5</v>
      </c>
      <c r="AK19" s="80"/>
      <c r="AL19" s="78"/>
      <c r="AM19" s="81"/>
      <c r="AN19" s="81"/>
      <c r="AO19" s="81"/>
      <c r="AP19" s="81"/>
      <c r="AQ19" s="81"/>
      <c r="AR19" s="81"/>
      <c r="AS19" s="82"/>
      <c r="AT19" s="73"/>
      <c r="AU19" s="65"/>
      <c r="AV19" s="66"/>
      <c r="AW19" s="83">
        <f>Ottobre25!$E$2</f>
        <v>9.5</v>
      </c>
      <c r="AX19" s="84">
        <f>Ottobre25!$E$3</f>
        <v>9.5</v>
      </c>
      <c r="AY19" s="84">
        <f>Ottobre25!$E$4</f>
        <v>8</v>
      </c>
      <c r="AZ19" s="84" t="str">
        <f>Ottobre25!$E$5</f>
        <v/>
      </c>
      <c r="BA19" s="85" t="str">
        <f>Ottobre25!$E$6</f>
        <v/>
      </c>
      <c r="BB19" s="85">
        <f>Ottobre25!$E$7</f>
        <v>8</v>
      </c>
      <c r="BC19" s="84">
        <f>Ottobre25!$E$8</f>
        <v>8</v>
      </c>
      <c r="BD19" s="84">
        <f>Ottobre25!$E$9</f>
        <v>8</v>
      </c>
      <c r="BE19" s="84">
        <f>Ottobre25!$E$10</f>
        <v>8</v>
      </c>
      <c r="BF19" s="84">
        <f>Ottobre25!$E$11</f>
        <v>8</v>
      </c>
      <c r="BG19" s="84">
        <f>Ottobre25!$E$12</f>
        <v>8</v>
      </c>
      <c r="BH19" s="85" t="str">
        <f>Ottobre25!$E$13</f>
        <v/>
      </c>
      <c r="BI19" s="85">
        <f>Ottobre25!$E$14</f>
        <v>8</v>
      </c>
      <c r="BJ19" s="84">
        <f>Ottobre25!$E$15</f>
        <v>9.5</v>
      </c>
      <c r="BK19" s="84">
        <f>Ottobre25!$E$16</f>
        <v>8</v>
      </c>
      <c r="BL19" s="84">
        <f>Ottobre25!$E$17</f>
        <v>8</v>
      </c>
      <c r="BM19" s="84">
        <f>Ottobre25!$E$18</f>
        <v>8</v>
      </c>
      <c r="BN19" s="84">
        <f>Ottobre25!$E$19</f>
        <v>8</v>
      </c>
      <c r="BO19" s="85" t="str">
        <f>Ottobre25!$E$20</f>
        <v/>
      </c>
      <c r="BP19" s="85">
        <f>Ottobre25!$E$21</f>
        <v>8</v>
      </c>
      <c r="BQ19" s="84">
        <f>Ottobre25!$E$22</f>
        <v>9.5</v>
      </c>
      <c r="BR19" s="84">
        <f>Ottobre25!$E$23</f>
        <v>8</v>
      </c>
      <c r="BS19" s="84">
        <f>Ottobre25!$E$24</f>
        <v>8</v>
      </c>
      <c r="BT19" s="84">
        <f>Ottobre25!$E$25</f>
        <v>8</v>
      </c>
      <c r="BU19" s="84">
        <f>Ottobre25!$E$26</f>
        <v>8</v>
      </c>
      <c r="BV19" s="85" t="str">
        <f>Ottobre25!$E$27</f>
        <v/>
      </c>
      <c r="BW19" s="85">
        <f>Ottobre25!$E$28</f>
        <v>8</v>
      </c>
      <c r="BX19" s="84">
        <f>Ottobre25!$E$29</f>
        <v>9.5</v>
      </c>
      <c r="BY19" s="84">
        <f>Ottobre25!$E$30</f>
        <v>8</v>
      </c>
      <c r="BZ19" s="84">
        <f>Ottobre25!$E$31</f>
        <v>8</v>
      </c>
      <c r="CA19" s="86">
        <f>Ottobre25!$E$32</f>
        <v>8</v>
      </c>
      <c r="CB19" s="78"/>
      <c r="CC19" s="79">
        <f>SUM(AW19:CA19)</f>
        <v>215.5</v>
      </c>
      <c r="CD19" s="80"/>
      <c r="CE19" s="78"/>
      <c r="CF19" s="81"/>
      <c r="CG19" s="81"/>
      <c r="CH19" s="81"/>
      <c r="CI19" s="81"/>
      <c r="CJ19" s="81"/>
      <c r="CK19" s="81"/>
      <c r="CL19" s="82"/>
      <c r="CM19" s="73"/>
      <c r="CN19" s="65"/>
      <c r="CO19" s="66"/>
      <c r="CP19" s="83" t="str">
        <f>Novembre25!$E$2</f>
        <v/>
      </c>
      <c r="CQ19" s="84" t="str">
        <f>Novembre25!$E$3</f>
        <v/>
      </c>
      <c r="CR19" s="84">
        <f>Novembre25!$E$4</f>
        <v>8</v>
      </c>
      <c r="CS19" s="84">
        <f>Novembre25!$E$5</f>
        <v>8</v>
      </c>
      <c r="CT19" s="85">
        <f>Novembre25!$E$6</f>
        <v>8</v>
      </c>
      <c r="CU19" s="85">
        <f>Novembre25!$E$7</f>
        <v>8</v>
      </c>
      <c r="CV19" s="84">
        <f>Novembre25!$E$8</f>
        <v>8</v>
      </c>
      <c r="CW19" s="84" t="str">
        <f>Novembre25!$E$9</f>
        <v/>
      </c>
      <c r="CX19" s="84" t="str">
        <f>Novembre25!$E$10</f>
        <v/>
      </c>
      <c r="CY19" s="84" t="str">
        <f>Novembre25!$E$11</f>
        <v>Pe</v>
      </c>
      <c r="CZ19" s="84">
        <f>Novembre25!$E$12</f>
        <v>8</v>
      </c>
      <c r="DA19" s="85">
        <f>Novembre25!$E$13</f>
        <v>8</v>
      </c>
      <c r="DB19" s="85">
        <f>Novembre25!$E$14</f>
        <v>8</v>
      </c>
      <c r="DC19" s="84">
        <f>Novembre25!$E$15</f>
        <v>8</v>
      </c>
      <c r="DD19" s="84">
        <f>Novembre25!$E$16</f>
        <v>8</v>
      </c>
      <c r="DE19" s="84">
        <f>Novembre25!$E$17</f>
        <v>4</v>
      </c>
      <c r="DF19" s="84" t="str">
        <f>Novembre25!$E$18</f>
        <v>ML</v>
      </c>
      <c r="DG19" s="84" t="str">
        <f>Novembre25!$E$19</f>
        <v>ML</v>
      </c>
      <c r="DH19" s="85" t="str">
        <f>Novembre25!$E$20</f>
        <v>ML</v>
      </c>
      <c r="DI19" s="85" t="str">
        <f>Novembre25!$E$21</f>
        <v>ML</v>
      </c>
      <c r="DJ19" s="84" t="str">
        <f>Novembre25!$E$22</f>
        <v>ML</v>
      </c>
      <c r="DK19" s="84" t="str">
        <f>Novembre25!$E$23</f>
        <v>ML</v>
      </c>
      <c r="DL19" s="84" t="str">
        <f>Novembre25!$E$24</f>
        <v/>
      </c>
      <c r="DM19" s="84">
        <f>Novembre25!$E$25</f>
        <v>8</v>
      </c>
      <c r="DN19" s="84">
        <f>Novembre25!$E$26</f>
        <v>8</v>
      </c>
      <c r="DO19" s="85">
        <f>Novembre25!$E$27</f>
        <v>8</v>
      </c>
      <c r="DP19" s="85">
        <f>Novembre25!$E$28</f>
        <v>8</v>
      </c>
      <c r="DQ19" s="84">
        <f>Novembre25!$E$29</f>
        <v>8</v>
      </c>
      <c r="DR19" s="84">
        <f>Novembre25!$E$30</f>
        <v>8</v>
      </c>
      <c r="DS19" s="84" t="str">
        <f>Novembre25!$E$31</f>
        <v/>
      </c>
      <c r="DT19" s="86" t="str">
        <f>Novembre25!$E$32</f>
        <v/>
      </c>
      <c r="DU19" s="78"/>
      <c r="DV19" s="79">
        <f>SUM(CP19:DT19)</f>
        <v>132</v>
      </c>
      <c r="DW19" s="80"/>
      <c r="DX19" s="78"/>
      <c r="DY19" s="81"/>
      <c r="DZ19" s="81"/>
      <c r="EA19" s="81"/>
      <c r="EB19" s="81"/>
      <c r="EC19" s="81"/>
      <c r="ED19" s="81"/>
      <c r="EE19" s="80"/>
      <c r="EF19" s="73"/>
      <c r="EG19" s="65"/>
      <c r="EH19" s="66"/>
      <c r="EI19" s="83">
        <f>Dicembre25!$E$2</f>
        <v>8</v>
      </c>
      <c r="EJ19" s="84">
        <f>Dicembre25!$E$3</f>
        <v>8</v>
      </c>
      <c r="EK19" s="84">
        <f>Dicembre25!$E$4</f>
        <v>8</v>
      </c>
      <c r="EL19" s="84">
        <f>Dicembre25!$E$5</f>
        <v>8</v>
      </c>
      <c r="EM19" s="85">
        <f>Dicembre25!$E$6</f>
        <v>8</v>
      </c>
      <c r="EN19" s="85">
        <f>Dicembre25!$E$7</f>
        <v>8</v>
      </c>
      <c r="EO19" s="84" t="str">
        <f>Dicembre25!$E$8</f>
        <v/>
      </c>
      <c r="EP19" s="84" t="str">
        <f>Dicembre25!$E$9</f>
        <v>F</v>
      </c>
      <c r="EQ19" s="84">
        <f>Dicembre25!$E$10</f>
        <v>8</v>
      </c>
      <c r="ER19" s="84">
        <f>Dicembre25!$E$11</f>
        <v>8</v>
      </c>
      <c r="ES19" s="84">
        <f>Dicembre25!$E$12</f>
        <v>8</v>
      </c>
      <c r="ET19" s="85">
        <f>Dicembre25!$E$13</f>
        <v>8</v>
      </c>
      <c r="EU19" s="85">
        <f>Dicembre25!$E$14</f>
        <v>8</v>
      </c>
      <c r="EV19" s="84" t="str">
        <f>Dicembre25!$E$15</f>
        <v/>
      </c>
      <c r="EW19" s="84">
        <f>Dicembre25!$E$16</f>
        <v>8</v>
      </c>
      <c r="EX19" s="84">
        <f>Dicembre25!$E$17</f>
        <v>8</v>
      </c>
      <c r="EY19" s="84">
        <f>Dicembre25!$E$18</f>
        <v>8</v>
      </c>
      <c r="EZ19" s="84">
        <f>Dicembre25!$E$19</f>
        <v>8</v>
      </c>
      <c r="FA19" s="85" t="str">
        <f>Dicembre25!$E$20</f>
        <v>Pe</v>
      </c>
      <c r="FB19" s="85">
        <f>Dicembre25!$E$21</f>
        <v>8</v>
      </c>
      <c r="FC19" s="84" t="str">
        <f>Dicembre25!$E$22</f>
        <v/>
      </c>
      <c r="FD19" s="84">
        <f>Dicembre25!$E$23</f>
        <v>8</v>
      </c>
      <c r="FE19" s="84">
        <f>Dicembre25!$E$24</f>
        <v>8</v>
      </c>
      <c r="FF19" s="84" t="str">
        <f>Dicembre25!$E$25</f>
        <v>Fe</v>
      </c>
      <c r="FG19" s="84" t="str">
        <f>Dicembre25!$E$26</f>
        <v>F</v>
      </c>
      <c r="FH19" s="85" t="str">
        <f>Dicembre25!$E$27</f>
        <v>F</v>
      </c>
      <c r="FI19" s="85" t="str">
        <f>Dicembre25!$E$28</f>
        <v/>
      </c>
      <c r="FJ19" s="84" t="str">
        <f>Dicembre25!$E$29</f>
        <v/>
      </c>
      <c r="FK19" s="84">
        <f>Dicembre25!$E$30</f>
        <v>8</v>
      </c>
      <c r="FL19" s="84">
        <f>Dicembre25!$E$31</f>
        <v>8</v>
      </c>
      <c r="FM19" s="86" t="str">
        <f>Dicembre25!$E$32</f>
        <v/>
      </c>
      <c r="FN19" s="78"/>
      <c r="FO19" s="79">
        <f>SUM(EI19:FM19)</f>
        <v>160</v>
      </c>
      <c r="FP19" s="80"/>
      <c r="FQ19" s="78"/>
      <c r="FR19" s="81"/>
      <c r="FS19" s="81"/>
      <c r="FT19" s="81"/>
      <c r="FU19" s="81"/>
      <c r="FV19" s="81"/>
      <c r="FW19" s="81"/>
      <c r="FX19" s="80"/>
      <c r="FY19" s="73"/>
      <c r="FZ19" s="65"/>
      <c r="GA19" s="66"/>
      <c r="GB19" s="83" t="str">
        <f>Gennaio26!$E$2</f>
        <v>F</v>
      </c>
      <c r="GC19" s="84" t="str">
        <f>Gennaio26!$E$3</f>
        <v>FE</v>
      </c>
      <c r="GD19" s="84" t="str">
        <f>Gennaio26!$E$4</f>
        <v/>
      </c>
      <c r="GE19" s="84" t="str">
        <f>Gennaio26!$E$5</f>
        <v/>
      </c>
      <c r="GF19" s="85" t="str">
        <f>Gennaio26!$E$6</f>
        <v>FE</v>
      </c>
      <c r="GG19" s="85" t="str">
        <f>Gennaio26!$E$7</f>
        <v>F</v>
      </c>
      <c r="GH19" s="84">
        <f>Gennaio26!$E$8</f>
        <v>8</v>
      </c>
      <c r="GI19" s="84">
        <f>Gennaio26!$E$9</f>
        <v>8</v>
      </c>
      <c r="GJ19" s="84">
        <f>Gennaio26!$E$10</f>
        <v>8</v>
      </c>
      <c r="GK19" s="84">
        <f>Gennaio26!$E$11</f>
        <v>8</v>
      </c>
      <c r="GL19" s="84" t="str">
        <f>Gennaio26!$E$12</f>
        <v/>
      </c>
      <c r="GM19" s="85">
        <f>Gennaio26!$E$13</f>
        <v>8</v>
      </c>
      <c r="GN19" s="85">
        <f>Gennaio26!$E$14</f>
        <v>8</v>
      </c>
      <c r="GO19" s="84">
        <f>Gennaio26!$E$15</f>
        <v>8</v>
      </c>
      <c r="GP19" s="84">
        <f>Gennaio26!$E$16</f>
        <v>8</v>
      </c>
      <c r="GQ19" s="84">
        <f>Gennaio26!$E$17</f>
        <v>8</v>
      </c>
      <c r="GR19" s="84" t="str">
        <f>Gennaio26!$E$18</f>
        <v/>
      </c>
      <c r="GS19" s="84">
        <f>Gennaio26!$E$19</f>
        <v>7.5</v>
      </c>
      <c r="GT19" s="85">
        <f>Gennaio26!$E$20</f>
        <v>8</v>
      </c>
      <c r="GU19" s="85" t="str">
        <f>Gennaio26!$E$21</f>
        <v>Pe</v>
      </c>
      <c r="GV19" s="84">
        <f>Gennaio26!$E$22</f>
        <v>8</v>
      </c>
      <c r="GW19" s="84">
        <f>Gennaio26!$E$23</f>
        <v>8</v>
      </c>
      <c r="GX19" s="84">
        <f>Gennaio26!$E$24</f>
        <v>8</v>
      </c>
      <c r="GY19" s="84">
        <f>Gennaio26!$E$25</f>
        <v>8</v>
      </c>
      <c r="GZ19" s="84" t="str">
        <f>Gennaio26!$E$26</f>
        <v/>
      </c>
      <c r="HA19" s="85">
        <f>Gennaio26!$E$27</f>
        <v>8</v>
      </c>
      <c r="HB19" s="85">
        <f>Gennaio26!$E$28</f>
        <v>8</v>
      </c>
      <c r="HC19" s="84">
        <f>Gennaio26!$E$29</f>
        <v>8</v>
      </c>
      <c r="HD19" s="84">
        <f>Gennaio26!$E$30</f>
        <v>8</v>
      </c>
      <c r="HE19" s="84">
        <f>Gennaio26!$E$31</f>
        <v>8</v>
      </c>
      <c r="HF19" s="86">
        <f>Gennaio26!$E$32</f>
        <v>8</v>
      </c>
      <c r="HG19" s="78"/>
      <c r="HH19" s="79">
        <f>SUM(GB19:HF19)</f>
        <v>167.5</v>
      </c>
      <c r="HI19" s="80"/>
      <c r="HJ19" s="78"/>
      <c r="HK19" s="81"/>
      <c r="HL19" s="81"/>
      <c r="HM19" s="81"/>
      <c r="HN19" s="81"/>
      <c r="HO19" s="81"/>
      <c r="HP19" s="81"/>
      <c r="HQ19" s="80"/>
      <c r="HR19" s="73"/>
      <c r="HS19" s="65"/>
      <c r="HT19" s="66"/>
      <c r="HU19" s="83" t="str">
        <f>Febbraio26!$E$2</f>
        <v/>
      </c>
      <c r="HV19" s="84">
        <f>Febbraio26!$E$3</f>
        <v>8</v>
      </c>
      <c r="HW19" s="84">
        <f>Febbraio26!$E$4</f>
        <v>8</v>
      </c>
      <c r="HX19" s="84">
        <f>Febbraio26!$E$5</f>
        <v>8</v>
      </c>
      <c r="HY19" s="85">
        <f>Febbraio26!$E$6</f>
        <v>8</v>
      </c>
      <c r="HZ19" s="85">
        <f>Febbraio26!$E$7</f>
        <v>4</v>
      </c>
      <c r="IA19" s="84">
        <f>Febbraio26!$E$8</f>
        <v>8</v>
      </c>
      <c r="IB19" s="84" t="str">
        <f>Febbraio26!$E$9</f>
        <v/>
      </c>
      <c r="IC19" s="84">
        <f>Febbraio26!$E$10</f>
        <v>8</v>
      </c>
      <c r="ID19" s="84">
        <f>Febbraio26!$E$11</f>
        <v>8</v>
      </c>
      <c r="IE19" s="84">
        <f>Febbraio26!$E$12</f>
        <v>8</v>
      </c>
      <c r="IF19" s="85">
        <f>Febbraio26!$E$13</f>
        <v>8</v>
      </c>
      <c r="IG19" s="85">
        <f>Febbraio26!$E$14</f>
        <v>6</v>
      </c>
      <c r="IH19" s="84" t="str">
        <f>Febbraio26!$E$15</f>
        <v/>
      </c>
      <c r="II19" s="84">
        <f>Febbraio26!$E$16</f>
        <v>8</v>
      </c>
      <c r="IJ19" s="84">
        <f>Febbraio26!$E$17</f>
        <v>8</v>
      </c>
      <c r="IK19" s="84">
        <f>Febbraio26!$E$18</f>
        <v>8</v>
      </c>
      <c r="IL19" s="84">
        <f>Febbraio26!$E$19</f>
        <v>8</v>
      </c>
      <c r="IM19" s="85" t="str">
        <f>Febbraio26!$E$20</f>
        <v>ML</v>
      </c>
      <c r="IN19" s="85" t="str">
        <f>Febbraio26!$E$21</f>
        <v>ML</v>
      </c>
      <c r="IO19" s="84" t="str">
        <f>Febbraio26!$E$22</f>
        <v>ML</v>
      </c>
      <c r="IP19" s="84" t="str">
        <f>Febbraio26!$E$23</f>
        <v/>
      </c>
      <c r="IQ19" s="84">
        <f>Febbraio26!$E$24</f>
        <v>8</v>
      </c>
      <c r="IR19" s="84">
        <f>Febbraio26!$E$25</f>
        <v>8</v>
      </c>
      <c r="IS19" s="84">
        <f>Febbraio26!$E$26</f>
        <v>8</v>
      </c>
      <c r="IT19" s="85">
        <f>Febbraio26!$E$27</f>
        <v>8</v>
      </c>
      <c r="IU19" s="85">
        <f>Febbraio26!$E$28</f>
        <v>8</v>
      </c>
      <c r="IV19" s="84">
        <f>Febbraio26!$E$29</f>
        <v>8</v>
      </c>
      <c r="IW19" s="84" t="str">
        <f>Febbraio26!$E$30</f>
        <v/>
      </c>
      <c r="IX19" s="84" t="str">
        <f>Febbraio26!$E$31</f>
        <v/>
      </c>
      <c r="IY19" s="86" t="str">
        <f>Febbraio26!$E$32</f>
        <v/>
      </c>
      <c r="IZ19" s="78"/>
      <c r="JA19" s="79">
        <f>SUM(HU19:IY19)</f>
        <v>162</v>
      </c>
      <c r="JB19" s="80"/>
      <c r="JC19" s="78"/>
      <c r="JD19" s="81"/>
      <c r="JE19" s="81"/>
      <c r="JF19" s="81"/>
      <c r="JG19" s="81"/>
      <c r="JH19" s="81"/>
      <c r="JI19" s="81"/>
      <c r="JJ19" s="80"/>
      <c r="JK19" s="73"/>
      <c r="JL19" s="65"/>
      <c r="JM19" s="66"/>
      <c r="JN19" s="83" t="str">
        <f>Marzo26!$E$2</f>
        <v/>
      </c>
      <c r="JO19" s="84">
        <f>Marzo26!$E$3</f>
        <v>8</v>
      </c>
      <c r="JP19" s="84">
        <f>Marzo26!$E$4</f>
        <v>8</v>
      </c>
      <c r="JQ19" s="84">
        <f>Marzo26!$E$5</f>
        <v>8</v>
      </c>
      <c r="JR19" s="85">
        <f>Marzo26!$E$6</f>
        <v>8</v>
      </c>
      <c r="JS19" s="85">
        <f>Marzo26!$E$7</f>
        <v>8</v>
      </c>
      <c r="JT19" s="84">
        <f>Marzo26!$E$8</f>
        <v>8</v>
      </c>
      <c r="JU19" s="84" t="str">
        <f>Marzo26!$E$9</f>
        <v/>
      </c>
      <c r="JV19" s="84">
        <f>Marzo26!$E$10</f>
        <v>8</v>
      </c>
      <c r="JW19" s="84">
        <f>Marzo26!$E$11</f>
        <v>8</v>
      </c>
      <c r="JX19" s="84">
        <f>Marzo26!$E$12</f>
        <v>8</v>
      </c>
      <c r="JY19" s="85">
        <f>Marzo26!$E$13</f>
        <v>8</v>
      </c>
      <c r="JZ19" s="85">
        <f>Marzo26!$E$14</f>
        <v>8</v>
      </c>
      <c r="KA19" s="84">
        <f>Marzo26!$E$15</f>
        <v>8</v>
      </c>
      <c r="KB19" s="84" t="str">
        <f>Marzo26!$E$16</f>
        <v/>
      </c>
      <c r="KC19" s="84">
        <f>Marzo26!$E$17</f>
        <v>8</v>
      </c>
      <c r="KD19" s="84">
        <f>Marzo26!$E$18</f>
        <v>8</v>
      </c>
      <c r="KE19" s="84">
        <f>Marzo26!$E$19</f>
        <v>8</v>
      </c>
      <c r="KF19" s="85">
        <f>Marzo26!$E$20</f>
        <v>8</v>
      </c>
      <c r="KG19" s="85">
        <f>Marzo26!$E$21</f>
        <v>8</v>
      </c>
      <c r="KH19" s="84" t="str">
        <f>Marzo26!$E$22</f>
        <v/>
      </c>
      <c r="KI19" s="84" t="str">
        <f>Marzo26!$E$23</f>
        <v/>
      </c>
      <c r="KJ19" s="84">
        <f>Marzo26!$E$24</f>
        <v>8</v>
      </c>
      <c r="KK19" s="84">
        <f>Marzo26!$E$25</f>
        <v>8</v>
      </c>
      <c r="KL19" s="84">
        <f>Marzo26!$E$26</f>
        <v>8</v>
      </c>
      <c r="KM19" s="85">
        <f>Marzo26!$E$27</f>
        <v>8</v>
      </c>
      <c r="KN19" s="85">
        <f>Marzo26!$E$28</f>
        <v>8</v>
      </c>
      <c r="KO19" s="84">
        <f>Marzo26!$E$29</f>
        <v>8</v>
      </c>
      <c r="KP19" s="84" t="str">
        <f>Marzo26!$E$30</f>
        <v/>
      </c>
      <c r="KQ19" s="84">
        <f>Marzo26!$E$31</f>
        <v>7</v>
      </c>
      <c r="KR19" s="86">
        <f>Marzo26!$E$32</f>
        <v>8</v>
      </c>
      <c r="KS19" s="78"/>
      <c r="KT19" s="79">
        <f>SUM(JN19:KR19)</f>
        <v>199</v>
      </c>
      <c r="KU19" s="80"/>
      <c r="KV19" s="78"/>
      <c r="KW19" s="81"/>
      <c r="KX19" s="81"/>
      <c r="KY19" s="81"/>
      <c r="KZ19" s="81"/>
      <c r="LA19" s="81"/>
      <c r="LB19" s="81"/>
      <c r="LC19" s="80"/>
      <c r="LD19" s="73"/>
      <c r="LE19" s="65"/>
      <c r="LF19" s="66"/>
      <c r="LG19" s="83" t="str">
        <f>Aprile26!$E$2</f>
        <v/>
      </c>
      <c r="LH19" s="84" t="str">
        <f>Aprile26!$E$3</f>
        <v/>
      </c>
      <c r="LI19" s="84" t="str">
        <f>Aprile26!$E$4</f>
        <v/>
      </c>
      <c r="LJ19" s="84" t="str">
        <f>Aprile26!$E$5</f>
        <v/>
      </c>
      <c r="LK19" s="85" t="str">
        <f>Aprile26!$E$6</f>
        <v/>
      </c>
      <c r="LL19" s="85" t="str">
        <f>Aprile26!$E$7</f>
        <v/>
      </c>
      <c r="LM19" s="84" t="str">
        <f>Aprile26!$E$8</f>
        <v/>
      </c>
      <c r="LN19" s="84" t="str">
        <f>Aprile26!$E$9</f>
        <v/>
      </c>
      <c r="LO19" s="84" t="str">
        <f>Aprile26!$E$10</f>
        <v/>
      </c>
      <c r="LP19" s="84" t="str">
        <f>Aprile26!$E$11</f>
        <v/>
      </c>
      <c r="LQ19" s="84" t="str">
        <f>Aprile26!$E$12</f>
        <v/>
      </c>
      <c r="LR19" s="85" t="str">
        <f>Aprile26!$E$13</f>
        <v/>
      </c>
      <c r="LS19" s="85" t="str">
        <f>Aprile26!$E$14</f>
        <v/>
      </c>
      <c r="LT19" s="84" t="str">
        <f>Aprile26!$E$15</f>
        <v/>
      </c>
      <c r="LU19" s="84" t="str">
        <f>Aprile26!$E$16</f>
        <v/>
      </c>
      <c r="LV19" s="84" t="str">
        <f>Aprile26!$E$17</f>
        <v/>
      </c>
      <c r="LW19" s="84" t="str">
        <f>Aprile26!$E$18</f>
        <v/>
      </c>
      <c r="LX19" s="84" t="str">
        <f>Aprile26!$E$19</f>
        <v/>
      </c>
      <c r="LY19" s="85" t="str">
        <f>Aprile26!$E$20</f>
        <v/>
      </c>
      <c r="LZ19" s="85" t="str">
        <f>Aprile26!$E$21</f>
        <v/>
      </c>
      <c r="MA19" s="84" t="str">
        <f>Aprile26!$E$22</f>
        <v/>
      </c>
      <c r="MB19" s="84" t="str">
        <f>Aprile26!$E$23</f>
        <v/>
      </c>
      <c r="MC19" s="84" t="str">
        <f>Aprile26!$E$24</f>
        <v/>
      </c>
      <c r="MD19" s="84" t="str">
        <f>Aprile26!$E$25</f>
        <v/>
      </c>
      <c r="ME19" s="84" t="str">
        <f>Aprile26!$E$26</f>
        <v/>
      </c>
      <c r="MF19" s="85" t="str">
        <f>Aprile26!$E$27</f>
        <v/>
      </c>
      <c r="MG19" s="85" t="str">
        <f>Aprile26!$E$28</f>
        <v/>
      </c>
      <c r="MH19" s="84" t="str">
        <f>Aprile26!$E$29</f>
        <v/>
      </c>
      <c r="MI19" s="84" t="str">
        <f>Aprile26!$E$30</f>
        <v/>
      </c>
      <c r="MJ19" s="84" t="str">
        <f>Aprile26!$E$31</f>
        <v/>
      </c>
      <c r="MK19" s="86" t="str">
        <f>Aprile26!$E$32</f>
        <v/>
      </c>
      <c r="ML19" s="78"/>
      <c r="MM19" s="79">
        <f>SUM(LG19:MK19)</f>
        <v>0</v>
      </c>
      <c r="MN19" s="80"/>
      <c r="MO19" s="78"/>
      <c r="MP19" s="81"/>
      <c r="MQ19" s="81"/>
      <c r="MR19" s="81"/>
      <c r="MS19" s="81"/>
      <c r="MT19" s="81"/>
      <c r="MU19" s="81"/>
      <c r="MV19" s="82"/>
      <c r="MW19" s="73"/>
      <c r="MX19" s="65"/>
      <c r="MY19" s="66"/>
      <c r="MZ19" s="83" t="str">
        <f>Maggio26!$E$2</f>
        <v/>
      </c>
      <c r="NA19" s="84" t="str">
        <f>Maggio26!$E$3</f>
        <v/>
      </c>
      <c r="NB19" s="84" t="str">
        <f>Maggio26!$E$4</f>
        <v/>
      </c>
      <c r="NC19" s="84" t="str">
        <f>Maggio26!$E$5</f>
        <v/>
      </c>
      <c r="ND19" s="85" t="str">
        <f>Maggio26!$E$6</f>
        <v/>
      </c>
      <c r="NE19" s="85" t="str">
        <f>Maggio26!$E$7</f>
        <v/>
      </c>
      <c r="NF19" s="84" t="str">
        <f>Maggio26!$E$8</f>
        <v/>
      </c>
      <c r="NG19" s="84" t="str">
        <f>Maggio26!$E$9</f>
        <v/>
      </c>
      <c r="NH19" s="84" t="str">
        <f>Maggio26!$E$10</f>
        <v/>
      </c>
      <c r="NI19" s="84" t="str">
        <f>Maggio26!$E$11</f>
        <v/>
      </c>
      <c r="NJ19" s="84" t="str">
        <f>Maggio26!$E$12</f>
        <v/>
      </c>
      <c r="NK19" s="85" t="str">
        <f>Maggio26!$E$13</f>
        <v/>
      </c>
      <c r="NL19" s="85" t="str">
        <f>Maggio26!$E$14</f>
        <v/>
      </c>
      <c r="NM19" s="84" t="str">
        <f>Maggio26!$E$15</f>
        <v/>
      </c>
      <c r="NN19" s="84" t="str">
        <f>Maggio26!$E$16</f>
        <v/>
      </c>
      <c r="NO19" s="84" t="str">
        <f>Maggio26!$E$17</f>
        <v/>
      </c>
      <c r="NP19" s="84" t="str">
        <f>Maggio26!$E$18</f>
        <v/>
      </c>
      <c r="NQ19" s="84" t="str">
        <f>Maggio26!$E$19</f>
        <v/>
      </c>
      <c r="NR19" s="85" t="str">
        <f>Maggio26!$E$20</f>
        <v/>
      </c>
      <c r="NS19" s="85" t="str">
        <f>Maggio26!$E$21</f>
        <v/>
      </c>
      <c r="NT19" s="84" t="str">
        <f>Maggio26!$E$22</f>
        <v/>
      </c>
      <c r="NU19" s="84" t="str">
        <f>Maggio26!$E$23</f>
        <v/>
      </c>
      <c r="NV19" s="84" t="str">
        <f>Maggio26!$E$24</f>
        <v/>
      </c>
      <c r="NW19" s="84" t="str">
        <f>Maggio26!$E$25</f>
        <v/>
      </c>
      <c r="NX19" s="84" t="str">
        <f>Maggio26!$E$26</f>
        <v/>
      </c>
      <c r="NY19" s="85" t="str">
        <f>Maggio26!$E$27</f>
        <v/>
      </c>
      <c r="NZ19" s="85" t="str">
        <f>Maggio26!$E$28</f>
        <v/>
      </c>
      <c r="OA19" s="84" t="str">
        <f>Maggio26!$E$29</f>
        <v/>
      </c>
      <c r="OB19" s="84" t="str">
        <f>Maggio26!$E$30</f>
        <v/>
      </c>
      <c r="OC19" s="84" t="str">
        <f>Maggio26!$E$31</f>
        <v/>
      </c>
      <c r="OD19" s="86" t="str">
        <f>Maggio26!$E$32</f>
        <v/>
      </c>
      <c r="OE19" s="78"/>
      <c r="OF19" s="79">
        <f>SUM(MZ19:OD19)</f>
        <v>0</v>
      </c>
      <c r="OG19" s="80"/>
      <c r="OH19" s="78"/>
      <c r="OI19" s="81"/>
      <c r="OJ19" s="81"/>
      <c r="OK19" s="81"/>
      <c r="OL19" s="81"/>
      <c r="OM19" s="81"/>
      <c r="ON19" s="81"/>
      <c r="OO19" s="82"/>
      <c r="OP19" s="73"/>
      <c r="OQ19" s="65"/>
      <c r="OR19" s="66"/>
      <c r="OS19" s="83" t="str">
        <f>Giugno26!$E$2</f>
        <v/>
      </c>
      <c r="OT19" s="84" t="str">
        <f>Giugno26!$E$3</f>
        <v/>
      </c>
      <c r="OU19" s="84" t="str">
        <f>Giugno26!$E$4</f>
        <v/>
      </c>
      <c r="OV19" s="84" t="str">
        <f>Giugno26!$E$5</f>
        <v/>
      </c>
      <c r="OW19" s="85" t="str">
        <f>Giugno26!$E$6</f>
        <v/>
      </c>
      <c r="OX19" s="85" t="str">
        <f>Giugno26!$E$7</f>
        <v/>
      </c>
      <c r="OY19" s="84" t="str">
        <f>Giugno26!$E$8</f>
        <v/>
      </c>
      <c r="OZ19" s="84" t="str">
        <f>Giugno26!$E$9</f>
        <v/>
      </c>
      <c r="PA19" s="84" t="str">
        <f>Giugno26!$E$10</f>
        <v/>
      </c>
      <c r="PB19" s="84" t="str">
        <f>Giugno26!$E$11</f>
        <v/>
      </c>
      <c r="PC19" s="84" t="str">
        <f>Giugno26!$E$12</f>
        <v/>
      </c>
      <c r="PD19" s="85" t="str">
        <f>Giugno26!$E$13</f>
        <v/>
      </c>
      <c r="PE19" s="85" t="str">
        <f>Giugno26!$E$14</f>
        <v/>
      </c>
      <c r="PF19" s="84" t="str">
        <f>Giugno26!$E$15</f>
        <v/>
      </c>
      <c r="PG19" s="84" t="str">
        <f>Giugno26!$E$16</f>
        <v/>
      </c>
      <c r="PH19" s="84" t="str">
        <f>Giugno26!$E$17</f>
        <v/>
      </c>
      <c r="PI19" s="84" t="str">
        <f>Giugno26!$E$18</f>
        <v/>
      </c>
      <c r="PJ19" s="84" t="str">
        <f>Giugno26!$E$19</f>
        <v/>
      </c>
      <c r="PK19" s="85" t="str">
        <f>Giugno26!$E$20</f>
        <v/>
      </c>
      <c r="PL19" s="85" t="str">
        <f>Giugno26!$E$21</f>
        <v/>
      </c>
      <c r="PM19" s="84" t="str">
        <f>Giugno26!$E$22</f>
        <v/>
      </c>
      <c r="PN19" s="84" t="str">
        <f>Giugno26!$E$23</f>
        <v/>
      </c>
      <c r="PO19" s="84" t="str">
        <f>Giugno26!$E$24</f>
        <v/>
      </c>
      <c r="PP19" s="84" t="str">
        <f>Giugno26!$E$25</f>
        <v/>
      </c>
      <c r="PQ19" s="84" t="str">
        <f>Giugno26!$E$26</f>
        <v/>
      </c>
      <c r="PR19" s="85" t="str">
        <f>Giugno26!$E$27</f>
        <v/>
      </c>
      <c r="PS19" s="85" t="str">
        <f>Giugno26!$E$28</f>
        <v/>
      </c>
      <c r="PT19" s="84" t="str">
        <f>Giugno26!$E$29</f>
        <v/>
      </c>
      <c r="PU19" s="84" t="str">
        <f>Giugno26!$E$30</f>
        <v/>
      </c>
      <c r="PV19" s="84" t="str">
        <f>Giugno26!$E$31</f>
        <v/>
      </c>
      <c r="PW19" s="86" t="str">
        <f>Giugno26!$E$32</f>
        <v/>
      </c>
      <c r="PX19" s="78"/>
      <c r="PY19" s="79">
        <f>SUM(OS19:PW19)</f>
        <v>0</v>
      </c>
      <c r="PZ19" s="80"/>
      <c r="QA19" s="78"/>
      <c r="QB19" s="81"/>
      <c r="QC19" s="81"/>
      <c r="QD19" s="81"/>
      <c r="QE19" s="81"/>
      <c r="QF19" s="81"/>
      <c r="QG19" s="81"/>
      <c r="QH19" s="82"/>
      <c r="QI19" s="73"/>
      <c r="QJ19" s="65"/>
      <c r="QK19" s="66"/>
      <c r="QL19" s="83" t="str">
        <f>Luglio26!$E$2</f>
        <v/>
      </c>
      <c r="QM19" s="84" t="str">
        <f>Luglio26!$E$3</f>
        <v/>
      </c>
      <c r="QN19" s="84" t="str">
        <f>Luglio26!$E$4</f>
        <v/>
      </c>
      <c r="QO19" s="84" t="str">
        <f>Luglio26!$E$5</f>
        <v/>
      </c>
      <c r="QP19" s="85" t="str">
        <f>Luglio26!$E$6</f>
        <v/>
      </c>
      <c r="QQ19" s="85" t="str">
        <f>Luglio26!$E$7</f>
        <v/>
      </c>
      <c r="QR19" s="84" t="str">
        <f>Luglio26!$E$8</f>
        <v/>
      </c>
      <c r="QS19" s="84" t="str">
        <f>Luglio26!$E$9</f>
        <v/>
      </c>
      <c r="QT19" s="84" t="str">
        <f>Luglio26!$E$10</f>
        <v/>
      </c>
      <c r="QU19" s="84" t="str">
        <f>Luglio26!$E$11</f>
        <v/>
      </c>
      <c r="QV19" s="84" t="str">
        <f>Luglio26!$E$12</f>
        <v/>
      </c>
      <c r="QW19" s="85" t="str">
        <f>Luglio26!$E$13</f>
        <v/>
      </c>
      <c r="QX19" s="85" t="str">
        <f>Luglio26!$E$14</f>
        <v/>
      </c>
      <c r="QY19" s="84" t="str">
        <f>Luglio26!$E$15</f>
        <v/>
      </c>
      <c r="QZ19" s="84" t="str">
        <f>Luglio26!$E$16</f>
        <v/>
      </c>
      <c r="RA19" s="84" t="str">
        <f>Luglio26!$E$17</f>
        <v/>
      </c>
      <c r="RB19" s="84" t="str">
        <f>Luglio26!$E$18</f>
        <v/>
      </c>
      <c r="RC19" s="84" t="str">
        <f>Luglio26!$E$19</f>
        <v/>
      </c>
      <c r="RD19" s="85" t="str">
        <f>Luglio26!$E$20</f>
        <v/>
      </c>
      <c r="RE19" s="85" t="str">
        <f>Luglio26!$E$21</f>
        <v/>
      </c>
      <c r="RF19" s="84" t="str">
        <f>Luglio26!$E$22</f>
        <v/>
      </c>
      <c r="RG19" s="84" t="str">
        <f>Luglio26!$E$23</f>
        <v/>
      </c>
      <c r="RH19" s="84" t="str">
        <f>Luglio26!$E$24</f>
        <v/>
      </c>
      <c r="RI19" s="84" t="str">
        <f>Luglio26!$E$25</f>
        <v/>
      </c>
      <c r="RJ19" s="84" t="str">
        <f>Luglio26!$E$26</f>
        <v/>
      </c>
      <c r="RK19" s="85" t="str">
        <f>Luglio26!$E$27</f>
        <v/>
      </c>
      <c r="RL19" s="85" t="str">
        <f>Luglio26!$E$28</f>
        <v/>
      </c>
      <c r="RM19" s="84" t="str">
        <f>Luglio26!$E$29</f>
        <v/>
      </c>
      <c r="RN19" s="84" t="str">
        <f>Luglio26!$E$30</f>
        <v/>
      </c>
      <c r="RO19" s="84" t="str">
        <f>Luglio26!$E$31</f>
        <v/>
      </c>
      <c r="RP19" s="86" t="str">
        <f>Luglio26!$E$32</f>
        <v/>
      </c>
      <c r="RQ19" s="78"/>
      <c r="RR19" s="79">
        <f>SUM(QL19:RP19)</f>
        <v>0</v>
      </c>
      <c r="RS19" s="80"/>
      <c r="RT19" s="78"/>
      <c r="RU19" s="81"/>
      <c r="RV19" s="81"/>
      <c r="RW19" s="81"/>
      <c r="RX19" s="81"/>
      <c r="RY19" s="81"/>
      <c r="RZ19" s="81"/>
      <c r="SA19" s="82"/>
      <c r="SB19" s="73"/>
      <c r="SC19" s="65"/>
      <c r="SD19" s="66"/>
      <c r="SE19" s="83" t="str">
        <f>Agosto26!$E$2</f>
        <v/>
      </c>
      <c r="SF19" s="84" t="str">
        <f>Agosto26!$E$3</f>
        <v/>
      </c>
      <c r="SG19" s="84" t="str">
        <f>Agosto26!$E$4</f>
        <v/>
      </c>
      <c r="SH19" s="84" t="str">
        <f>Agosto26!$E$5</f>
        <v/>
      </c>
      <c r="SI19" s="85" t="str">
        <f>Agosto26!$E$6</f>
        <v/>
      </c>
      <c r="SJ19" s="85" t="str">
        <f>Agosto26!$E$7</f>
        <v/>
      </c>
      <c r="SK19" s="84" t="str">
        <f>Agosto26!$E$8</f>
        <v/>
      </c>
      <c r="SL19" s="84" t="str">
        <f>Agosto26!$E$9</f>
        <v/>
      </c>
      <c r="SM19" s="84" t="str">
        <f>Agosto26!$E$10</f>
        <v/>
      </c>
      <c r="SN19" s="84" t="str">
        <f>Agosto26!$E$11</f>
        <v/>
      </c>
      <c r="SO19" s="84" t="str">
        <f>Agosto26!$E$12</f>
        <v/>
      </c>
      <c r="SP19" s="85" t="str">
        <f>Agosto26!$E$13</f>
        <v/>
      </c>
      <c r="SQ19" s="85" t="str">
        <f>Agosto26!$E$14</f>
        <v/>
      </c>
      <c r="SR19" s="84" t="str">
        <f>Agosto26!$E$15</f>
        <v/>
      </c>
      <c r="SS19" s="84" t="str">
        <f>Agosto26!$E$16</f>
        <v/>
      </c>
      <c r="ST19" s="84" t="str">
        <f>Agosto26!$E$17</f>
        <v/>
      </c>
      <c r="SU19" s="84" t="str">
        <f>Agosto26!$E$18</f>
        <v/>
      </c>
      <c r="SV19" s="84" t="str">
        <f>Agosto26!$E$19</f>
        <v/>
      </c>
      <c r="SW19" s="85" t="str">
        <f>Agosto26!$E$20</f>
        <v/>
      </c>
      <c r="SX19" s="85" t="str">
        <f>Agosto26!$E$21</f>
        <v/>
      </c>
      <c r="SY19" s="84" t="str">
        <f>Agosto26!$E$22</f>
        <v/>
      </c>
      <c r="SZ19" s="84" t="str">
        <f>Agosto26!$E$23</f>
        <v/>
      </c>
      <c r="TA19" s="84" t="str">
        <f>Agosto26!$E$24</f>
        <v/>
      </c>
      <c r="TB19" s="84" t="str">
        <f>Agosto26!$E$25</f>
        <v/>
      </c>
      <c r="TC19" s="84" t="str">
        <f>Agosto26!$E$26</f>
        <v/>
      </c>
      <c r="TD19" s="85" t="str">
        <f>Agosto26!$E$27</f>
        <v/>
      </c>
      <c r="TE19" s="85" t="str">
        <f>Agosto26!$E$28</f>
        <v/>
      </c>
      <c r="TF19" s="84" t="str">
        <f>Agosto26!$E$29</f>
        <v/>
      </c>
      <c r="TG19" s="84" t="str">
        <f>Agosto26!$E$30</f>
        <v/>
      </c>
      <c r="TH19" s="84" t="str">
        <f>Agosto26!$E$31</f>
        <v/>
      </c>
      <c r="TI19" s="86" t="str">
        <f>Agosto26!$E$32</f>
        <v/>
      </c>
      <c r="TJ19" s="78"/>
      <c r="TK19" s="79">
        <f>SUM(SE19:TI19)</f>
        <v>0</v>
      </c>
      <c r="TL19" s="80"/>
      <c r="TM19" s="78"/>
      <c r="TN19" s="81"/>
      <c r="TO19" s="81"/>
      <c r="TP19" s="81"/>
      <c r="TQ19" s="81"/>
      <c r="TR19" s="81"/>
      <c r="TS19" s="81"/>
      <c r="TT19" s="80"/>
    </row>
    <row r="20" ht="24.75" customHeight="1" outlineLevel="1">
      <c r="A20" s="91" t="s">
        <v>39</v>
      </c>
      <c r="B20" s="65"/>
      <c r="C20" s="66"/>
      <c r="D20" s="92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93"/>
      <c r="AI20" s="78"/>
      <c r="AJ20" s="81"/>
      <c r="AK20" s="94">
        <f>SUM(D20:AG20)</f>
        <v>0</v>
      </c>
      <c r="AL20" s="78"/>
      <c r="AM20" s="81"/>
      <c r="AN20" s="81"/>
      <c r="AO20" s="81"/>
      <c r="AP20" s="81"/>
      <c r="AQ20" s="81"/>
      <c r="AR20" s="81"/>
      <c r="AS20" s="82"/>
      <c r="AT20" s="91" t="s">
        <v>39</v>
      </c>
      <c r="AU20" s="65"/>
      <c r="AV20" s="66"/>
      <c r="AW20" s="92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95"/>
      <c r="CB20" s="78"/>
      <c r="CC20" s="81"/>
      <c r="CD20" s="94">
        <f>SUM(AW20:BZ20)</f>
        <v>0</v>
      </c>
      <c r="CE20" s="78"/>
      <c r="CF20" s="81"/>
      <c r="CG20" s="81"/>
      <c r="CH20" s="81"/>
      <c r="CI20" s="81"/>
      <c r="CJ20" s="81"/>
      <c r="CK20" s="81"/>
      <c r="CL20" s="82"/>
      <c r="CM20" s="91" t="s">
        <v>39</v>
      </c>
      <c r="CN20" s="65"/>
      <c r="CO20" s="66"/>
      <c r="CP20" s="92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95"/>
      <c r="DU20" s="78"/>
      <c r="DV20" s="81"/>
      <c r="DW20" s="94">
        <f>SUM(CP20:DS20)</f>
        <v>0</v>
      </c>
      <c r="DX20" s="78"/>
      <c r="DY20" s="81"/>
      <c r="DZ20" s="81"/>
      <c r="EA20" s="81"/>
      <c r="EB20" s="81"/>
      <c r="EC20" s="81"/>
      <c r="ED20" s="81"/>
      <c r="EE20" s="80"/>
      <c r="EF20" s="91" t="s">
        <v>39</v>
      </c>
      <c r="EG20" s="65"/>
      <c r="EH20" s="66"/>
      <c r="EI20" s="92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95"/>
      <c r="FN20" s="78"/>
      <c r="FO20" s="81"/>
      <c r="FP20" s="94">
        <f>SUM(EI20:FL20)</f>
        <v>0</v>
      </c>
      <c r="FQ20" s="78"/>
      <c r="FR20" s="81"/>
      <c r="FS20" s="81"/>
      <c r="FT20" s="81"/>
      <c r="FU20" s="81"/>
      <c r="FV20" s="81"/>
      <c r="FW20" s="81"/>
      <c r="FX20" s="80"/>
      <c r="FY20" s="91" t="s">
        <v>39</v>
      </c>
      <c r="FZ20" s="65"/>
      <c r="GA20" s="66"/>
      <c r="GB20" s="92"/>
      <c r="GC20" s="85"/>
      <c r="GD20" s="85"/>
      <c r="GE20" s="85"/>
      <c r="GF20" s="85"/>
      <c r="GG20" s="85"/>
      <c r="GH20" s="85"/>
      <c r="GI20" s="85"/>
      <c r="GJ20" s="85"/>
      <c r="GK20" s="85"/>
      <c r="GL20" s="85"/>
      <c r="GM20" s="85"/>
      <c r="GN20" s="85"/>
      <c r="GO20" s="85"/>
      <c r="GP20" s="85"/>
      <c r="GQ20" s="85"/>
      <c r="GR20" s="85"/>
      <c r="GS20" s="85"/>
      <c r="GT20" s="85"/>
      <c r="GU20" s="85"/>
      <c r="GV20" s="85"/>
      <c r="GW20" s="85"/>
      <c r="GX20" s="85"/>
      <c r="GY20" s="85"/>
      <c r="GZ20" s="85"/>
      <c r="HA20" s="85"/>
      <c r="HB20" s="85"/>
      <c r="HC20" s="85"/>
      <c r="HD20" s="85"/>
      <c r="HE20" s="85"/>
      <c r="HF20" s="95"/>
      <c r="HG20" s="78"/>
      <c r="HH20" s="81"/>
      <c r="HI20" s="94">
        <f>SUM(GB20:HE20)</f>
        <v>0</v>
      </c>
      <c r="HJ20" s="78"/>
      <c r="HK20" s="81"/>
      <c r="HL20" s="81"/>
      <c r="HM20" s="81"/>
      <c r="HN20" s="81"/>
      <c r="HO20" s="81"/>
      <c r="HP20" s="81"/>
      <c r="HQ20" s="80"/>
      <c r="HR20" s="91" t="s">
        <v>39</v>
      </c>
      <c r="HS20" s="65"/>
      <c r="HT20" s="66"/>
      <c r="HU20" s="92"/>
      <c r="HV20" s="85"/>
      <c r="HW20" s="85"/>
      <c r="HX20" s="85"/>
      <c r="HY20" s="85"/>
      <c r="HZ20" s="85"/>
      <c r="IA20" s="85"/>
      <c r="IB20" s="85"/>
      <c r="IC20" s="85"/>
      <c r="ID20" s="85"/>
      <c r="IE20" s="85"/>
      <c r="IF20" s="85"/>
      <c r="IG20" s="85"/>
      <c r="IH20" s="85"/>
      <c r="II20" s="85"/>
      <c r="IJ20" s="85"/>
      <c r="IK20" s="85"/>
      <c r="IL20" s="85"/>
      <c r="IM20" s="85"/>
      <c r="IN20" s="85"/>
      <c r="IO20" s="85"/>
      <c r="IP20" s="85"/>
      <c r="IQ20" s="85"/>
      <c r="IR20" s="85"/>
      <c r="IS20" s="85"/>
      <c r="IT20" s="85"/>
      <c r="IU20" s="85"/>
      <c r="IV20" s="85"/>
      <c r="IW20" s="85"/>
      <c r="IX20" s="85"/>
      <c r="IY20" s="95"/>
      <c r="IZ20" s="78"/>
      <c r="JA20" s="81"/>
      <c r="JB20" s="94">
        <f>SUM(HU20:IX20)</f>
        <v>0</v>
      </c>
      <c r="JC20" s="78"/>
      <c r="JD20" s="81"/>
      <c r="JE20" s="81"/>
      <c r="JF20" s="81"/>
      <c r="JG20" s="81"/>
      <c r="JH20" s="81"/>
      <c r="JI20" s="81"/>
      <c r="JJ20" s="80"/>
      <c r="JK20" s="91" t="s">
        <v>39</v>
      </c>
      <c r="JL20" s="65"/>
      <c r="JM20" s="66"/>
      <c r="JN20" s="92"/>
      <c r="JO20" s="85"/>
      <c r="JP20" s="85"/>
      <c r="JQ20" s="85"/>
      <c r="JR20" s="85"/>
      <c r="JS20" s="85"/>
      <c r="JT20" s="85"/>
      <c r="JU20" s="85"/>
      <c r="JV20" s="85"/>
      <c r="JW20" s="85"/>
      <c r="JX20" s="85"/>
      <c r="JY20" s="85"/>
      <c r="JZ20" s="85"/>
      <c r="KA20" s="85"/>
      <c r="KB20" s="85"/>
      <c r="KC20" s="85"/>
      <c r="KD20" s="85"/>
      <c r="KE20" s="85"/>
      <c r="KF20" s="85"/>
      <c r="KG20" s="85"/>
      <c r="KH20" s="85"/>
      <c r="KI20" s="85"/>
      <c r="KJ20" s="85"/>
      <c r="KK20" s="85"/>
      <c r="KL20" s="85"/>
      <c r="KM20" s="85"/>
      <c r="KN20" s="85"/>
      <c r="KO20" s="85"/>
      <c r="KP20" s="85"/>
      <c r="KQ20" s="85"/>
      <c r="KR20" s="95"/>
      <c r="KS20" s="78"/>
      <c r="KT20" s="81"/>
      <c r="KU20" s="94">
        <f>SUM(JN20:KQ20)</f>
        <v>0</v>
      </c>
      <c r="KV20" s="78"/>
      <c r="KW20" s="81"/>
      <c r="KX20" s="81"/>
      <c r="KY20" s="81"/>
      <c r="KZ20" s="81"/>
      <c r="LA20" s="81"/>
      <c r="LB20" s="81"/>
      <c r="LC20" s="80"/>
      <c r="LD20" s="91" t="s">
        <v>39</v>
      </c>
      <c r="LE20" s="65"/>
      <c r="LF20" s="66"/>
      <c r="LG20" s="92"/>
      <c r="LH20" s="85"/>
      <c r="LI20" s="85"/>
      <c r="LJ20" s="85"/>
      <c r="LK20" s="85"/>
      <c r="LL20" s="85"/>
      <c r="LM20" s="85"/>
      <c r="LN20" s="85"/>
      <c r="LO20" s="85"/>
      <c r="LP20" s="85"/>
      <c r="LQ20" s="85"/>
      <c r="LR20" s="85"/>
      <c r="LS20" s="85"/>
      <c r="LT20" s="85"/>
      <c r="LU20" s="85"/>
      <c r="LV20" s="85"/>
      <c r="LW20" s="85"/>
      <c r="LX20" s="85"/>
      <c r="LY20" s="85"/>
      <c r="LZ20" s="85"/>
      <c r="MA20" s="85"/>
      <c r="MB20" s="85"/>
      <c r="MC20" s="85"/>
      <c r="MD20" s="85"/>
      <c r="ME20" s="85"/>
      <c r="MF20" s="85"/>
      <c r="MG20" s="85"/>
      <c r="MH20" s="85"/>
      <c r="MI20" s="85"/>
      <c r="MJ20" s="85"/>
      <c r="MK20" s="95"/>
      <c r="ML20" s="78"/>
      <c r="MM20" s="81"/>
      <c r="MN20" s="94">
        <f>SUM(LG20:MJ20)</f>
        <v>0</v>
      </c>
      <c r="MO20" s="78"/>
      <c r="MP20" s="81"/>
      <c r="MQ20" s="81"/>
      <c r="MR20" s="81"/>
      <c r="MS20" s="81"/>
      <c r="MT20" s="81"/>
      <c r="MU20" s="81"/>
      <c r="MV20" s="82"/>
      <c r="MW20" s="91" t="s">
        <v>39</v>
      </c>
      <c r="MX20" s="65"/>
      <c r="MY20" s="66"/>
      <c r="MZ20" s="92"/>
      <c r="NA20" s="85"/>
      <c r="NB20" s="85"/>
      <c r="NC20" s="85"/>
      <c r="ND20" s="85"/>
      <c r="NE20" s="85"/>
      <c r="NF20" s="85"/>
      <c r="NG20" s="85"/>
      <c r="NH20" s="85"/>
      <c r="NI20" s="85"/>
      <c r="NJ20" s="85"/>
      <c r="NK20" s="85"/>
      <c r="NL20" s="85"/>
      <c r="NM20" s="85"/>
      <c r="NN20" s="85"/>
      <c r="NO20" s="85"/>
      <c r="NP20" s="85"/>
      <c r="NQ20" s="85"/>
      <c r="NR20" s="85"/>
      <c r="NS20" s="85"/>
      <c r="NT20" s="85"/>
      <c r="NU20" s="85"/>
      <c r="NV20" s="85"/>
      <c r="NW20" s="85"/>
      <c r="NX20" s="85"/>
      <c r="NY20" s="85"/>
      <c r="NZ20" s="85"/>
      <c r="OA20" s="85"/>
      <c r="OB20" s="85"/>
      <c r="OC20" s="85"/>
      <c r="OD20" s="95"/>
      <c r="OE20" s="78"/>
      <c r="OF20" s="81"/>
      <c r="OG20" s="94">
        <f>SUM(MZ20:OC20)</f>
        <v>0</v>
      </c>
      <c r="OH20" s="78"/>
      <c r="OI20" s="81"/>
      <c r="OJ20" s="81"/>
      <c r="OK20" s="81"/>
      <c r="OL20" s="81"/>
      <c r="OM20" s="81"/>
      <c r="ON20" s="81"/>
      <c r="OO20" s="82"/>
      <c r="OP20" s="91" t="s">
        <v>39</v>
      </c>
      <c r="OQ20" s="65"/>
      <c r="OR20" s="66"/>
      <c r="OS20" s="92"/>
      <c r="OT20" s="85"/>
      <c r="OU20" s="85"/>
      <c r="OV20" s="85"/>
      <c r="OW20" s="85"/>
      <c r="OX20" s="85"/>
      <c r="OY20" s="85"/>
      <c r="OZ20" s="85"/>
      <c r="PA20" s="85"/>
      <c r="PB20" s="85"/>
      <c r="PC20" s="85"/>
      <c r="PD20" s="85"/>
      <c r="PE20" s="85"/>
      <c r="PF20" s="85"/>
      <c r="PG20" s="85"/>
      <c r="PH20" s="85"/>
      <c r="PI20" s="85"/>
      <c r="PJ20" s="85"/>
      <c r="PK20" s="85"/>
      <c r="PL20" s="85"/>
      <c r="PM20" s="85"/>
      <c r="PN20" s="85"/>
      <c r="PO20" s="85"/>
      <c r="PP20" s="85"/>
      <c r="PQ20" s="85"/>
      <c r="PR20" s="85"/>
      <c r="PS20" s="85"/>
      <c r="PT20" s="85"/>
      <c r="PU20" s="85"/>
      <c r="PV20" s="85"/>
      <c r="PW20" s="95"/>
      <c r="PX20" s="78"/>
      <c r="PY20" s="81"/>
      <c r="PZ20" s="94">
        <f>SUM(OS20:PV20)</f>
        <v>0</v>
      </c>
      <c r="QA20" s="78"/>
      <c r="QB20" s="81"/>
      <c r="QC20" s="81"/>
      <c r="QD20" s="81"/>
      <c r="QE20" s="81"/>
      <c r="QF20" s="81"/>
      <c r="QG20" s="81"/>
      <c r="QH20" s="82"/>
      <c r="QI20" s="91" t="s">
        <v>39</v>
      </c>
      <c r="QJ20" s="65"/>
      <c r="QK20" s="66"/>
      <c r="QL20" s="92"/>
      <c r="QM20" s="85"/>
      <c r="QN20" s="85"/>
      <c r="QO20" s="85"/>
      <c r="QP20" s="85"/>
      <c r="QQ20" s="85"/>
      <c r="QR20" s="85"/>
      <c r="QS20" s="85"/>
      <c r="QT20" s="85"/>
      <c r="QU20" s="85"/>
      <c r="QV20" s="85"/>
      <c r="QW20" s="85"/>
      <c r="QX20" s="85"/>
      <c r="QY20" s="85"/>
      <c r="QZ20" s="85"/>
      <c r="RA20" s="85"/>
      <c r="RB20" s="85"/>
      <c r="RC20" s="85"/>
      <c r="RD20" s="85"/>
      <c r="RE20" s="85"/>
      <c r="RF20" s="85"/>
      <c r="RG20" s="85"/>
      <c r="RH20" s="85"/>
      <c r="RI20" s="85"/>
      <c r="RJ20" s="85"/>
      <c r="RK20" s="85"/>
      <c r="RL20" s="85"/>
      <c r="RM20" s="85"/>
      <c r="RN20" s="85"/>
      <c r="RO20" s="85"/>
      <c r="RP20" s="95"/>
      <c r="RQ20" s="78"/>
      <c r="RR20" s="81"/>
      <c r="RS20" s="94">
        <f>SUM(QL20:RO20)</f>
        <v>0</v>
      </c>
      <c r="RT20" s="78"/>
      <c r="RU20" s="81"/>
      <c r="RV20" s="81"/>
      <c r="RW20" s="81"/>
      <c r="RX20" s="81"/>
      <c r="RY20" s="81"/>
      <c r="RZ20" s="81"/>
      <c r="SA20" s="82"/>
      <c r="SB20" s="91" t="s">
        <v>39</v>
      </c>
      <c r="SC20" s="65"/>
      <c r="SD20" s="66"/>
      <c r="SE20" s="92"/>
      <c r="SF20" s="85"/>
      <c r="SG20" s="85"/>
      <c r="SH20" s="85"/>
      <c r="SI20" s="85"/>
      <c r="SJ20" s="85"/>
      <c r="SK20" s="85"/>
      <c r="SL20" s="85"/>
      <c r="SM20" s="85"/>
      <c r="SN20" s="85"/>
      <c r="SO20" s="85"/>
      <c r="SP20" s="85"/>
      <c r="SQ20" s="85"/>
      <c r="SR20" s="85"/>
      <c r="SS20" s="85"/>
      <c r="ST20" s="85"/>
      <c r="SU20" s="85"/>
      <c r="SV20" s="85"/>
      <c r="SW20" s="85"/>
      <c r="SX20" s="85"/>
      <c r="SY20" s="85"/>
      <c r="SZ20" s="85"/>
      <c r="TA20" s="85"/>
      <c r="TB20" s="85"/>
      <c r="TC20" s="85"/>
      <c r="TD20" s="85"/>
      <c r="TE20" s="85"/>
      <c r="TF20" s="85"/>
      <c r="TG20" s="85"/>
      <c r="TH20" s="85"/>
      <c r="TI20" s="95"/>
      <c r="TJ20" s="78"/>
      <c r="TK20" s="81"/>
      <c r="TL20" s="94">
        <f>SUM(SE20:TH20)</f>
        <v>0</v>
      </c>
      <c r="TM20" s="78"/>
      <c r="TN20" s="81"/>
      <c r="TO20" s="81"/>
      <c r="TP20" s="81"/>
      <c r="TQ20" s="81"/>
      <c r="TR20" s="81"/>
      <c r="TS20" s="81"/>
      <c r="TT20" s="80"/>
    </row>
    <row r="21" ht="24.75" customHeight="1" outlineLevel="1">
      <c r="A21" s="96"/>
      <c r="B21" s="97"/>
      <c r="C21" s="98"/>
      <c r="D21" s="92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93"/>
      <c r="AI21" s="78"/>
      <c r="AJ21" s="81"/>
      <c r="AK21" s="80"/>
      <c r="AL21" s="78"/>
      <c r="AM21" s="81"/>
      <c r="AN21" s="81"/>
      <c r="AO21" s="81"/>
      <c r="AP21" s="81"/>
      <c r="AQ21" s="81"/>
      <c r="AR21" s="81"/>
      <c r="AS21" s="82"/>
      <c r="AT21" s="96"/>
      <c r="AU21" s="97"/>
      <c r="AV21" s="98"/>
      <c r="AW21" s="92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95"/>
      <c r="CB21" s="78"/>
      <c r="CC21" s="81"/>
      <c r="CD21" s="80"/>
      <c r="CE21" s="78"/>
      <c r="CF21" s="81"/>
      <c r="CG21" s="81"/>
      <c r="CH21" s="81"/>
      <c r="CI21" s="81"/>
      <c r="CJ21" s="81"/>
      <c r="CK21" s="81"/>
      <c r="CL21" s="82"/>
      <c r="CM21" s="96"/>
      <c r="CN21" s="97"/>
      <c r="CO21" s="98"/>
      <c r="CP21" s="92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95"/>
      <c r="DU21" s="78"/>
      <c r="DV21" s="81"/>
      <c r="DW21" s="80"/>
      <c r="DX21" s="78"/>
      <c r="DY21" s="81"/>
      <c r="DZ21" s="81"/>
      <c r="EA21" s="81"/>
      <c r="EB21" s="81"/>
      <c r="EC21" s="81"/>
      <c r="ED21" s="81"/>
      <c r="EE21" s="80"/>
      <c r="EF21" s="96"/>
      <c r="EG21" s="97"/>
      <c r="EH21" s="98"/>
      <c r="EI21" s="92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95"/>
      <c r="FN21" s="78"/>
      <c r="FO21" s="81"/>
      <c r="FP21" s="80"/>
      <c r="FQ21" s="78"/>
      <c r="FR21" s="81"/>
      <c r="FS21" s="81"/>
      <c r="FT21" s="81"/>
      <c r="FU21" s="81"/>
      <c r="FV21" s="81"/>
      <c r="FW21" s="81"/>
      <c r="FX21" s="80"/>
      <c r="FY21" s="96"/>
      <c r="FZ21" s="97"/>
      <c r="GA21" s="98"/>
      <c r="GB21" s="92"/>
      <c r="GC21" s="85"/>
      <c r="GD21" s="85"/>
      <c r="GE21" s="85"/>
      <c r="GF21" s="85"/>
      <c r="GG21" s="85"/>
      <c r="GH21" s="85"/>
      <c r="GI21" s="85"/>
      <c r="GJ21" s="85"/>
      <c r="GK21" s="85"/>
      <c r="GL21" s="85"/>
      <c r="GM21" s="85"/>
      <c r="GN21" s="85"/>
      <c r="GO21" s="85"/>
      <c r="GP21" s="85"/>
      <c r="GQ21" s="85"/>
      <c r="GR21" s="85"/>
      <c r="GS21" s="85"/>
      <c r="GT21" s="85"/>
      <c r="GU21" s="85"/>
      <c r="GV21" s="85"/>
      <c r="GW21" s="85"/>
      <c r="GX21" s="85"/>
      <c r="GY21" s="85"/>
      <c r="GZ21" s="85"/>
      <c r="HA21" s="85"/>
      <c r="HB21" s="85"/>
      <c r="HC21" s="85"/>
      <c r="HD21" s="85"/>
      <c r="HE21" s="85"/>
      <c r="HF21" s="95"/>
      <c r="HG21" s="78"/>
      <c r="HH21" s="81"/>
      <c r="HI21" s="80"/>
      <c r="HJ21" s="78"/>
      <c r="HK21" s="81"/>
      <c r="HL21" s="81"/>
      <c r="HM21" s="81"/>
      <c r="HN21" s="81"/>
      <c r="HO21" s="81"/>
      <c r="HP21" s="81"/>
      <c r="HQ21" s="80"/>
      <c r="HR21" s="96"/>
      <c r="HS21" s="97"/>
      <c r="HT21" s="98"/>
      <c r="HU21" s="92"/>
      <c r="HV21" s="85"/>
      <c r="HW21" s="85"/>
      <c r="HX21" s="85"/>
      <c r="HY21" s="85"/>
      <c r="HZ21" s="85"/>
      <c r="IA21" s="85"/>
      <c r="IB21" s="85"/>
      <c r="IC21" s="85"/>
      <c r="ID21" s="85"/>
      <c r="IE21" s="85"/>
      <c r="IF21" s="85"/>
      <c r="IG21" s="85"/>
      <c r="IH21" s="85"/>
      <c r="II21" s="85"/>
      <c r="IJ21" s="85"/>
      <c r="IK21" s="85"/>
      <c r="IL21" s="85"/>
      <c r="IM21" s="85"/>
      <c r="IN21" s="85"/>
      <c r="IO21" s="85"/>
      <c r="IP21" s="85"/>
      <c r="IQ21" s="85"/>
      <c r="IR21" s="85"/>
      <c r="IS21" s="85"/>
      <c r="IT21" s="85"/>
      <c r="IU21" s="85"/>
      <c r="IV21" s="85"/>
      <c r="IW21" s="85"/>
      <c r="IX21" s="85"/>
      <c r="IY21" s="95"/>
      <c r="IZ21" s="78"/>
      <c r="JA21" s="81"/>
      <c r="JB21" s="80"/>
      <c r="JC21" s="78"/>
      <c r="JD21" s="81"/>
      <c r="JE21" s="81"/>
      <c r="JF21" s="81"/>
      <c r="JG21" s="81"/>
      <c r="JH21" s="81"/>
      <c r="JI21" s="81"/>
      <c r="JJ21" s="80"/>
      <c r="JK21" s="96"/>
      <c r="JL21" s="97"/>
      <c r="JM21" s="98"/>
      <c r="JN21" s="92"/>
      <c r="JO21" s="85"/>
      <c r="JP21" s="85"/>
      <c r="JQ21" s="85"/>
      <c r="JR21" s="85"/>
      <c r="JS21" s="85"/>
      <c r="JT21" s="85"/>
      <c r="JU21" s="85"/>
      <c r="JV21" s="85"/>
      <c r="JW21" s="85"/>
      <c r="JX21" s="85"/>
      <c r="JY21" s="85"/>
      <c r="JZ21" s="85"/>
      <c r="KA21" s="85"/>
      <c r="KB21" s="85"/>
      <c r="KC21" s="85"/>
      <c r="KD21" s="85"/>
      <c r="KE21" s="85"/>
      <c r="KF21" s="85"/>
      <c r="KG21" s="85"/>
      <c r="KH21" s="85"/>
      <c r="KI21" s="85"/>
      <c r="KJ21" s="85"/>
      <c r="KK21" s="85"/>
      <c r="KL21" s="85"/>
      <c r="KM21" s="85"/>
      <c r="KN21" s="85"/>
      <c r="KO21" s="85"/>
      <c r="KP21" s="85"/>
      <c r="KQ21" s="85"/>
      <c r="KR21" s="95"/>
      <c r="KS21" s="78"/>
      <c r="KT21" s="81"/>
      <c r="KU21" s="80"/>
      <c r="KV21" s="78"/>
      <c r="KW21" s="81"/>
      <c r="KX21" s="81"/>
      <c r="KY21" s="81"/>
      <c r="KZ21" s="81"/>
      <c r="LA21" s="81"/>
      <c r="LB21" s="81"/>
      <c r="LC21" s="80"/>
      <c r="LD21" s="96"/>
      <c r="LE21" s="97"/>
      <c r="LF21" s="98"/>
      <c r="LG21" s="92"/>
      <c r="LH21" s="85"/>
      <c r="LI21" s="85"/>
      <c r="LJ21" s="85"/>
      <c r="LK21" s="85"/>
      <c r="LL21" s="85"/>
      <c r="LM21" s="85"/>
      <c r="LN21" s="85"/>
      <c r="LO21" s="85"/>
      <c r="LP21" s="85"/>
      <c r="LQ21" s="85"/>
      <c r="LR21" s="85"/>
      <c r="LS21" s="85"/>
      <c r="LT21" s="85"/>
      <c r="LU21" s="85"/>
      <c r="LV21" s="85"/>
      <c r="LW21" s="85"/>
      <c r="LX21" s="85"/>
      <c r="LY21" s="85"/>
      <c r="LZ21" s="85"/>
      <c r="MA21" s="85"/>
      <c r="MB21" s="85"/>
      <c r="MC21" s="85"/>
      <c r="MD21" s="85"/>
      <c r="ME21" s="85"/>
      <c r="MF21" s="85"/>
      <c r="MG21" s="85"/>
      <c r="MH21" s="85"/>
      <c r="MI21" s="85"/>
      <c r="MJ21" s="85"/>
      <c r="MK21" s="95"/>
      <c r="ML21" s="78"/>
      <c r="MM21" s="81"/>
      <c r="MN21" s="80"/>
      <c r="MO21" s="78"/>
      <c r="MP21" s="81"/>
      <c r="MQ21" s="81"/>
      <c r="MR21" s="81"/>
      <c r="MS21" s="81"/>
      <c r="MT21" s="81"/>
      <c r="MU21" s="81"/>
      <c r="MV21" s="80"/>
      <c r="MW21" s="96"/>
      <c r="MX21" s="97"/>
      <c r="MY21" s="98"/>
      <c r="MZ21" s="92"/>
      <c r="NA21" s="85"/>
      <c r="NB21" s="85"/>
      <c r="NC21" s="85"/>
      <c r="ND21" s="85"/>
      <c r="NE21" s="85"/>
      <c r="NF21" s="85"/>
      <c r="NG21" s="85"/>
      <c r="NH21" s="85"/>
      <c r="NI21" s="85"/>
      <c r="NJ21" s="85"/>
      <c r="NK21" s="85"/>
      <c r="NL21" s="85"/>
      <c r="NM21" s="85"/>
      <c r="NN21" s="85"/>
      <c r="NO21" s="85"/>
      <c r="NP21" s="85"/>
      <c r="NQ21" s="85"/>
      <c r="NR21" s="85"/>
      <c r="NS21" s="85"/>
      <c r="NT21" s="85"/>
      <c r="NU21" s="85"/>
      <c r="NV21" s="85"/>
      <c r="NW21" s="85"/>
      <c r="NX21" s="85"/>
      <c r="NY21" s="85"/>
      <c r="NZ21" s="85"/>
      <c r="OA21" s="85"/>
      <c r="OB21" s="85"/>
      <c r="OC21" s="85"/>
      <c r="OD21" s="95"/>
      <c r="OE21" s="78"/>
      <c r="OF21" s="81"/>
      <c r="OG21" s="80"/>
      <c r="OH21" s="78"/>
      <c r="OI21" s="81"/>
      <c r="OJ21" s="81"/>
      <c r="OK21" s="81"/>
      <c r="OL21" s="81"/>
      <c r="OM21" s="81"/>
      <c r="ON21" s="81"/>
      <c r="OO21" s="80"/>
      <c r="OP21" s="96"/>
      <c r="OQ21" s="97"/>
      <c r="OR21" s="98"/>
      <c r="OS21" s="92"/>
      <c r="OT21" s="85"/>
      <c r="OU21" s="85"/>
      <c r="OV21" s="85"/>
      <c r="OW21" s="85"/>
      <c r="OX21" s="85"/>
      <c r="OY21" s="85"/>
      <c r="OZ21" s="85"/>
      <c r="PA21" s="85"/>
      <c r="PB21" s="85"/>
      <c r="PC21" s="85"/>
      <c r="PD21" s="85"/>
      <c r="PE21" s="85"/>
      <c r="PF21" s="85"/>
      <c r="PG21" s="85"/>
      <c r="PH21" s="85"/>
      <c r="PI21" s="85"/>
      <c r="PJ21" s="85"/>
      <c r="PK21" s="85"/>
      <c r="PL21" s="85"/>
      <c r="PM21" s="85"/>
      <c r="PN21" s="85"/>
      <c r="PO21" s="85"/>
      <c r="PP21" s="85"/>
      <c r="PQ21" s="85"/>
      <c r="PR21" s="85"/>
      <c r="PS21" s="85"/>
      <c r="PT21" s="85"/>
      <c r="PU21" s="85"/>
      <c r="PV21" s="85"/>
      <c r="PW21" s="95"/>
      <c r="PX21" s="78"/>
      <c r="PY21" s="81"/>
      <c r="PZ21" s="80"/>
      <c r="QA21" s="78"/>
      <c r="QB21" s="81"/>
      <c r="QC21" s="81"/>
      <c r="QD21" s="81"/>
      <c r="QE21" s="81"/>
      <c r="QF21" s="81"/>
      <c r="QG21" s="81"/>
      <c r="QH21" s="80"/>
      <c r="QI21" s="96"/>
      <c r="QJ21" s="97"/>
      <c r="QK21" s="98"/>
      <c r="QL21" s="92"/>
      <c r="QM21" s="85"/>
      <c r="QN21" s="85"/>
      <c r="QO21" s="85"/>
      <c r="QP21" s="85"/>
      <c r="QQ21" s="85"/>
      <c r="QR21" s="85"/>
      <c r="QS21" s="85"/>
      <c r="QT21" s="85"/>
      <c r="QU21" s="85"/>
      <c r="QV21" s="85"/>
      <c r="QW21" s="85"/>
      <c r="QX21" s="85"/>
      <c r="QY21" s="85"/>
      <c r="QZ21" s="85"/>
      <c r="RA21" s="85"/>
      <c r="RB21" s="85"/>
      <c r="RC21" s="85"/>
      <c r="RD21" s="85"/>
      <c r="RE21" s="85"/>
      <c r="RF21" s="85"/>
      <c r="RG21" s="85"/>
      <c r="RH21" s="85"/>
      <c r="RI21" s="85"/>
      <c r="RJ21" s="85"/>
      <c r="RK21" s="85"/>
      <c r="RL21" s="85"/>
      <c r="RM21" s="85"/>
      <c r="RN21" s="85"/>
      <c r="RO21" s="85"/>
      <c r="RP21" s="95"/>
      <c r="RQ21" s="78"/>
      <c r="RR21" s="81"/>
      <c r="RS21" s="80"/>
      <c r="RT21" s="78"/>
      <c r="RU21" s="81"/>
      <c r="RV21" s="81"/>
      <c r="RW21" s="81"/>
      <c r="RX21" s="81"/>
      <c r="RY21" s="81"/>
      <c r="RZ21" s="81"/>
      <c r="SA21" s="80"/>
      <c r="SB21" s="96"/>
      <c r="SC21" s="97"/>
      <c r="SD21" s="98"/>
      <c r="SE21" s="92"/>
      <c r="SF21" s="85"/>
      <c r="SG21" s="85"/>
      <c r="SH21" s="85"/>
      <c r="SI21" s="85"/>
      <c r="SJ21" s="85"/>
      <c r="SK21" s="85"/>
      <c r="SL21" s="85"/>
      <c r="SM21" s="85"/>
      <c r="SN21" s="85"/>
      <c r="SO21" s="85"/>
      <c r="SP21" s="85"/>
      <c r="SQ21" s="85"/>
      <c r="SR21" s="85"/>
      <c r="SS21" s="85"/>
      <c r="ST21" s="85"/>
      <c r="SU21" s="85"/>
      <c r="SV21" s="85"/>
      <c r="SW21" s="85"/>
      <c r="SX21" s="85"/>
      <c r="SY21" s="85"/>
      <c r="SZ21" s="85"/>
      <c r="TA21" s="85"/>
      <c r="TB21" s="85"/>
      <c r="TC21" s="85"/>
      <c r="TD21" s="85"/>
      <c r="TE21" s="85"/>
      <c r="TF21" s="85"/>
      <c r="TG21" s="85"/>
      <c r="TH21" s="85"/>
      <c r="TI21" s="95"/>
      <c r="TJ21" s="78"/>
      <c r="TK21" s="81"/>
      <c r="TL21" s="80"/>
      <c r="TM21" s="78"/>
      <c r="TN21" s="81"/>
      <c r="TO21" s="81"/>
      <c r="TP21" s="81"/>
      <c r="TQ21" s="81"/>
      <c r="TR21" s="81"/>
      <c r="TS21" s="81"/>
      <c r="TT21" s="80"/>
    </row>
    <row r="22" ht="24.75" customHeight="1" outlineLevel="1">
      <c r="A22" s="100" t="s">
        <v>27</v>
      </c>
      <c r="B22" s="101"/>
      <c r="C22" s="102"/>
      <c r="D22" s="103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4"/>
      <c r="AH22" s="105"/>
      <c r="AI22" s="103"/>
      <c r="AJ22" s="101"/>
      <c r="AK22" s="102"/>
      <c r="AL22" s="103"/>
      <c r="AM22" s="101"/>
      <c r="AN22" s="101"/>
      <c r="AO22" s="101"/>
      <c r="AP22" s="101"/>
      <c r="AQ22" s="101"/>
      <c r="AR22" s="101"/>
      <c r="AS22" s="102"/>
      <c r="AT22" s="100" t="s">
        <v>27</v>
      </c>
      <c r="AU22" s="101"/>
      <c r="AV22" s="102"/>
      <c r="AW22" s="103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4"/>
      <c r="CA22" s="106"/>
      <c r="CB22" s="103"/>
      <c r="CC22" s="101"/>
      <c r="CD22" s="102"/>
      <c r="CE22" s="103"/>
      <c r="CF22" s="101"/>
      <c r="CG22" s="101"/>
      <c r="CH22" s="101"/>
      <c r="CI22" s="101"/>
      <c r="CJ22" s="101"/>
      <c r="CK22" s="101"/>
      <c r="CL22" s="102"/>
      <c r="CM22" s="100" t="s">
        <v>27</v>
      </c>
      <c r="CN22" s="101"/>
      <c r="CO22" s="102"/>
      <c r="CP22" s="103"/>
      <c r="CQ22" s="101"/>
      <c r="CR22" s="101"/>
      <c r="CS22" s="101"/>
      <c r="CT22" s="101"/>
      <c r="CU22" s="101"/>
      <c r="CV22" s="101"/>
      <c r="CW22" s="101"/>
      <c r="CX22" s="101"/>
      <c r="CY22" s="101"/>
      <c r="CZ22" s="101"/>
      <c r="DA22" s="101"/>
      <c r="DB22" s="101"/>
      <c r="DC22" s="101"/>
      <c r="DD22" s="101"/>
      <c r="DE22" s="101"/>
      <c r="DF22" s="101"/>
      <c r="DG22" s="101"/>
      <c r="DH22" s="101"/>
      <c r="DI22" s="101"/>
      <c r="DJ22" s="101"/>
      <c r="DK22" s="101"/>
      <c r="DL22" s="101"/>
      <c r="DM22" s="101"/>
      <c r="DN22" s="101"/>
      <c r="DO22" s="101"/>
      <c r="DP22" s="101"/>
      <c r="DQ22" s="101"/>
      <c r="DR22" s="101"/>
      <c r="DS22" s="104"/>
      <c r="DT22" s="106"/>
      <c r="DU22" s="103"/>
      <c r="DV22" s="101"/>
      <c r="DW22" s="102"/>
      <c r="DX22" s="103"/>
      <c r="DY22" s="101"/>
      <c r="DZ22" s="101"/>
      <c r="EA22" s="101"/>
      <c r="EB22" s="101"/>
      <c r="EC22" s="101"/>
      <c r="ED22" s="101"/>
      <c r="EE22" s="102"/>
      <c r="EF22" s="100" t="s">
        <v>27</v>
      </c>
      <c r="EG22" s="101"/>
      <c r="EH22" s="102"/>
      <c r="EI22" s="103"/>
      <c r="EJ22" s="101"/>
      <c r="EK22" s="101"/>
      <c r="EL22" s="101"/>
      <c r="EM22" s="101"/>
      <c r="EN22" s="101"/>
      <c r="EO22" s="101"/>
      <c r="EP22" s="101"/>
      <c r="EQ22" s="101"/>
      <c r="ER22" s="101"/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4"/>
      <c r="FM22" s="106"/>
      <c r="FN22" s="103"/>
      <c r="FO22" s="101"/>
      <c r="FP22" s="102"/>
      <c r="FQ22" s="103"/>
      <c r="FR22" s="101"/>
      <c r="FS22" s="101"/>
      <c r="FT22" s="101"/>
      <c r="FU22" s="101"/>
      <c r="FV22" s="101"/>
      <c r="FW22" s="101"/>
      <c r="FX22" s="102"/>
      <c r="FY22" s="100" t="s">
        <v>27</v>
      </c>
      <c r="FZ22" s="101"/>
      <c r="GA22" s="102"/>
      <c r="GB22" s="103"/>
      <c r="GC22" s="101"/>
      <c r="GD22" s="101"/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  <c r="GY22" s="101"/>
      <c r="GZ22" s="101"/>
      <c r="HA22" s="101"/>
      <c r="HB22" s="101"/>
      <c r="HC22" s="101"/>
      <c r="HD22" s="101"/>
      <c r="HE22" s="104"/>
      <c r="HF22" s="106"/>
      <c r="HG22" s="103"/>
      <c r="HH22" s="101"/>
      <c r="HI22" s="102"/>
      <c r="HJ22" s="103"/>
      <c r="HK22" s="101"/>
      <c r="HL22" s="101"/>
      <c r="HM22" s="101"/>
      <c r="HN22" s="101"/>
      <c r="HO22" s="101"/>
      <c r="HP22" s="101"/>
      <c r="HQ22" s="102"/>
      <c r="HR22" s="100" t="s">
        <v>27</v>
      </c>
      <c r="HS22" s="101"/>
      <c r="HT22" s="102"/>
      <c r="HU22" s="103"/>
      <c r="HV22" s="101"/>
      <c r="HW22" s="101"/>
      <c r="HX22" s="101"/>
      <c r="HY22" s="101"/>
      <c r="HZ22" s="101"/>
      <c r="IA22" s="101"/>
      <c r="IB22" s="101"/>
      <c r="IC22" s="101"/>
      <c r="ID22" s="101"/>
      <c r="IE22" s="101"/>
      <c r="IF22" s="101"/>
      <c r="IG22" s="101"/>
      <c r="IH22" s="101"/>
      <c r="II22" s="101"/>
      <c r="IJ22" s="101"/>
      <c r="IK22" s="101"/>
      <c r="IL22" s="101"/>
      <c r="IM22" s="101"/>
      <c r="IN22" s="101"/>
      <c r="IO22" s="101"/>
      <c r="IP22" s="101"/>
      <c r="IQ22" s="101"/>
      <c r="IR22" s="101"/>
      <c r="IS22" s="101"/>
      <c r="IT22" s="101"/>
      <c r="IU22" s="101"/>
      <c r="IV22" s="101"/>
      <c r="IW22" s="101"/>
      <c r="IX22" s="104"/>
      <c r="IY22" s="106"/>
      <c r="IZ22" s="103"/>
      <c r="JA22" s="101"/>
      <c r="JB22" s="102"/>
      <c r="JC22" s="103"/>
      <c r="JD22" s="101"/>
      <c r="JE22" s="101"/>
      <c r="JF22" s="101"/>
      <c r="JG22" s="101"/>
      <c r="JH22" s="101"/>
      <c r="JI22" s="101"/>
      <c r="JJ22" s="102"/>
      <c r="JK22" s="100" t="s">
        <v>27</v>
      </c>
      <c r="JL22" s="101"/>
      <c r="JM22" s="102"/>
      <c r="JN22" s="103"/>
      <c r="JO22" s="101"/>
      <c r="JP22" s="101"/>
      <c r="JQ22" s="101"/>
      <c r="JR22" s="101"/>
      <c r="JS22" s="101"/>
      <c r="JT22" s="101"/>
      <c r="JU22" s="101"/>
      <c r="JV22" s="101"/>
      <c r="JW22" s="101"/>
      <c r="JX22" s="101"/>
      <c r="JY22" s="101"/>
      <c r="JZ22" s="101"/>
      <c r="KA22" s="101"/>
      <c r="KB22" s="101"/>
      <c r="KC22" s="101"/>
      <c r="KD22" s="101"/>
      <c r="KE22" s="101"/>
      <c r="KF22" s="101"/>
      <c r="KG22" s="101"/>
      <c r="KH22" s="101"/>
      <c r="KI22" s="101"/>
      <c r="KJ22" s="101"/>
      <c r="KK22" s="101"/>
      <c r="KL22" s="101"/>
      <c r="KM22" s="101"/>
      <c r="KN22" s="101"/>
      <c r="KO22" s="101"/>
      <c r="KP22" s="101"/>
      <c r="KQ22" s="104"/>
      <c r="KR22" s="106"/>
      <c r="KS22" s="103"/>
      <c r="KT22" s="101"/>
      <c r="KU22" s="102"/>
      <c r="KV22" s="103"/>
      <c r="KW22" s="101"/>
      <c r="KX22" s="101"/>
      <c r="KY22" s="101"/>
      <c r="KZ22" s="101"/>
      <c r="LA22" s="101"/>
      <c r="LB22" s="101"/>
      <c r="LC22" s="102"/>
      <c r="LD22" s="100" t="s">
        <v>27</v>
      </c>
      <c r="LE22" s="101"/>
      <c r="LF22" s="102"/>
      <c r="LG22" s="103"/>
      <c r="LH22" s="101"/>
      <c r="LI22" s="101"/>
      <c r="LJ22" s="101"/>
      <c r="LK22" s="101"/>
      <c r="LL22" s="101"/>
      <c r="LM22" s="101"/>
      <c r="LN22" s="101"/>
      <c r="LO22" s="101"/>
      <c r="LP22" s="101"/>
      <c r="LQ22" s="101"/>
      <c r="LR22" s="101"/>
      <c r="LS22" s="101"/>
      <c r="LT22" s="101"/>
      <c r="LU22" s="101"/>
      <c r="LV22" s="101"/>
      <c r="LW22" s="101"/>
      <c r="LX22" s="101"/>
      <c r="LY22" s="101"/>
      <c r="LZ22" s="101"/>
      <c r="MA22" s="101"/>
      <c r="MB22" s="101"/>
      <c r="MC22" s="101"/>
      <c r="MD22" s="101"/>
      <c r="ME22" s="101"/>
      <c r="MF22" s="101"/>
      <c r="MG22" s="101"/>
      <c r="MH22" s="101"/>
      <c r="MI22" s="101"/>
      <c r="MJ22" s="104"/>
      <c r="MK22" s="106"/>
      <c r="ML22" s="103"/>
      <c r="MM22" s="101"/>
      <c r="MN22" s="102"/>
      <c r="MO22" s="103"/>
      <c r="MP22" s="101"/>
      <c r="MQ22" s="101"/>
      <c r="MR22" s="101"/>
      <c r="MS22" s="101"/>
      <c r="MT22" s="101"/>
      <c r="MU22" s="101"/>
      <c r="MV22" s="102"/>
      <c r="MW22" s="100" t="s">
        <v>27</v>
      </c>
      <c r="MX22" s="101"/>
      <c r="MY22" s="102"/>
      <c r="MZ22" s="103"/>
      <c r="NA22" s="101"/>
      <c r="NB22" s="101"/>
      <c r="NC22" s="101"/>
      <c r="ND22" s="101"/>
      <c r="NE22" s="101"/>
      <c r="NF22" s="101"/>
      <c r="NG22" s="101"/>
      <c r="NH22" s="101"/>
      <c r="NI22" s="101"/>
      <c r="NJ22" s="101"/>
      <c r="NK22" s="101"/>
      <c r="NL22" s="101"/>
      <c r="NM22" s="101"/>
      <c r="NN22" s="101"/>
      <c r="NO22" s="101"/>
      <c r="NP22" s="101"/>
      <c r="NQ22" s="101"/>
      <c r="NR22" s="101"/>
      <c r="NS22" s="101"/>
      <c r="NT22" s="101"/>
      <c r="NU22" s="101"/>
      <c r="NV22" s="101"/>
      <c r="NW22" s="101"/>
      <c r="NX22" s="101"/>
      <c r="NY22" s="101"/>
      <c r="NZ22" s="101"/>
      <c r="OA22" s="101"/>
      <c r="OB22" s="101"/>
      <c r="OC22" s="104"/>
      <c r="OD22" s="106"/>
      <c r="OE22" s="103"/>
      <c r="OF22" s="101"/>
      <c r="OG22" s="102"/>
      <c r="OH22" s="103"/>
      <c r="OI22" s="101"/>
      <c r="OJ22" s="101"/>
      <c r="OK22" s="101"/>
      <c r="OL22" s="101"/>
      <c r="OM22" s="101"/>
      <c r="ON22" s="101"/>
      <c r="OO22" s="102"/>
      <c r="OP22" s="100" t="s">
        <v>27</v>
      </c>
      <c r="OQ22" s="101"/>
      <c r="OR22" s="102"/>
      <c r="OS22" s="103"/>
      <c r="OT22" s="101"/>
      <c r="OU22" s="101"/>
      <c r="OV22" s="101"/>
      <c r="OW22" s="101"/>
      <c r="OX22" s="101"/>
      <c r="OY22" s="101"/>
      <c r="OZ22" s="101"/>
      <c r="PA22" s="101"/>
      <c r="PB22" s="101"/>
      <c r="PC22" s="101"/>
      <c r="PD22" s="101"/>
      <c r="PE22" s="101"/>
      <c r="PF22" s="101"/>
      <c r="PG22" s="101"/>
      <c r="PH22" s="101"/>
      <c r="PI22" s="101"/>
      <c r="PJ22" s="101"/>
      <c r="PK22" s="101"/>
      <c r="PL22" s="101"/>
      <c r="PM22" s="101"/>
      <c r="PN22" s="101"/>
      <c r="PO22" s="101"/>
      <c r="PP22" s="101"/>
      <c r="PQ22" s="101"/>
      <c r="PR22" s="101"/>
      <c r="PS22" s="101"/>
      <c r="PT22" s="101"/>
      <c r="PU22" s="101"/>
      <c r="PV22" s="104"/>
      <c r="PW22" s="106"/>
      <c r="PX22" s="103"/>
      <c r="PY22" s="101"/>
      <c r="PZ22" s="102"/>
      <c r="QA22" s="103"/>
      <c r="QB22" s="101"/>
      <c r="QC22" s="101"/>
      <c r="QD22" s="101"/>
      <c r="QE22" s="101"/>
      <c r="QF22" s="101"/>
      <c r="QG22" s="101"/>
      <c r="QH22" s="102"/>
      <c r="QI22" s="100" t="s">
        <v>27</v>
      </c>
      <c r="QJ22" s="101"/>
      <c r="QK22" s="102"/>
      <c r="QL22" s="103"/>
      <c r="QM22" s="101"/>
      <c r="QN22" s="101"/>
      <c r="QO22" s="101"/>
      <c r="QP22" s="101"/>
      <c r="QQ22" s="101"/>
      <c r="QR22" s="101"/>
      <c r="QS22" s="101"/>
      <c r="QT22" s="101"/>
      <c r="QU22" s="101"/>
      <c r="QV22" s="101"/>
      <c r="QW22" s="101"/>
      <c r="QX22" s="101"/>
      <c r="QY22" s="101"/>
      <c r="QZ22" s="101"/>
      <c r="RA22" s="101"/>
      <c r="RB22" s="101"/>
      <c r="RC22" s="101"/>
      <c r="RD22" s="101"/>
      <c r="RE22" s="101"/>
      <c r="RF22" s="101"/>
      <c r="RG22" s="101"/>
      <c r="RH22" s="101"/>
      <c r="RI22" s="101"/>
      <c r="RJ22" s="101"/>
      <c r="RK22" s="101"/>
      <c r="RL22" s="101"/>
      <c r="RM22" s="101"/>
      <c r="RN22" s="101"/>
      <c r="RO22" s="104"/>
      <c r="RP22" s="106"/>
      <c r="RQ22" s="103"/>
      <c r="RR22" s="101"/>
      <c r="RS22" s="102"/>
      <c r="RT22" s="103"/>
      <c r="RU22" s="101"/>
      <c r="RV22" s="101"/>
      <c r="RW22" s="101"/>
      <c r="RX22" s="101"/>
      <c r="RY22" s="101"/>
      <c r="RZ22" s="101"/>
      <c r="SA22" s="102"/>
      <c r="SB22" s="100" t="s">
        <v>27</v>
      </c>
      <c r="SC22" s="101"/>
      <c r="SD22" s="102"/>
      <c r="SE22" s="103"/>
      <c r="SF22" s="101"/>
      <c r="SG22" s="101"/>
      <c r="SH22" s="101"/>
      <c r="SI22" s="101"/>
      <c r="SJ22" s="101"/>
      <c r="SK22" s="101"/>
      <c r="SL22" s="101"/>
      <c r="SM22" s="101"/>
      <c r="SN22" s="101"/>
      <c r="SO22" s="101"/>
      <c r="SP22" s="101"/>
      <c r="SQ22" s="101"/>
      <c r="SR22" s="101"/>
      <c r="SS22" s="101"/>
      <c r="ST22" s="101"/>
      <c r="SU22" s="101"/>
      <c r="SV22" s="101"/>
      <c r="SW22" s="101"/>
      <c r="SX22" s="101"/>
      <c r="SY22" s="101"/>
      <c r="SZ22" s="101"/>
      <c r="TA22" s="101"/>
      <c r="TB22" s="101"/>
      <c r="TC22" s="101"/>
      <c r="TD22" s="101"/>
      <c r="TE22" s="101"/>
      <c r="TF22" s="101"/>
      <c r="TG22" s="101"/>
      <c r="TH22" s="104"/>
      <c r="TI22" s="106"/>
      <c r="TJ22" s="103"/>
      <c r="TK22" s="101"/>
      <c r="TL22" s="102"/>
      <c r="TM22" s="103"/>
      <c r="TN22" s="101"/>
      <c r="TO22" s="101"/>
      <c r="TP22" s="101"/>
      <c r="TQ22" s="101"/>
      <c r="TR22" s="101"/>
      <c r="TS22" s="101"/>
      <c r="TT22" s="102"/>
    </row>
    <row r="23" ht="24.75" customHeight="1">
      <c r="A23" s="116" t="str">
        <f>elenchi!$C5</f>
        <v>VILLON BOIANO JOEL</v>
      </c>
      <c r="B23" s="109"/>
      <c r="C23" s="110"/>
      <c r="D23" s="67">
        <f t="shared" ref="D23:AH23" si="49">D$2</f>
        <v>45901</v>
      </c>
      <c r="E23" s="67">
        <f t="shared" si="49"/>
        <v>45902</v>
      </c>
      <c r="F23" s="67">
        <f t="shared" si="49"/>
        <v>45903</v>
      </c>
      <c r="G23" s="67">
        <f t="shared" si="49"/>
        <v>45904</v>
      </c>
      <c r="H23" s="67">
        <f t="shared" si="49"/>
        <v>45905</v>
      </c>
      <c r="I23" s="67">
        <f t="shared" si="49"/>
        <v>45906</v>
      </c>
      <c r="J23" s="67">
        <f t="shared" si="49"/>
        <v>45907</v>
      </c>
      <c r="K23" s="67">
        <f t="shared" si="49"/>
        <v>45908</v>
      </c>
      <c r="L23" s="67">
        <f t="shared" si="49"/>
        <v>45909</v>
      </c>
      <c r="M23" s="67">
        <f t="shared" si="49"/>
        <v>45910</v>
      </c>
      <c r="N23" s="67">
        <f t="shared" si="49"/>
        <v>45911</v>
      </c>
      <c r="O23" s="67">
        <f t="shared" si="49"/>
        <v>45912</v>
      </c>
      <c r="P23" s="67">
        <f t="shared" si="49"/>
        <v>45913</v>
      </c>
      <c r="Q23" s="67">
        <f t="shared" si="49"/>
        <v>45914</v>
      </c>
      <c r="R23" s="67">
        <f t="shared" si="49"/>
        <v>45915</v>
      </c>
      <c r="S23" s="67">
        <f t="shared" si="49"/>
        <v>45916</v>
      </c>
      <c r="T23" s="67">
        <f t="shared" si="49"/>
        <v>45917</v>
      </c>
      <c r="U23" s="67">
        <f t="shared" si="49"/>
        <v>45918</v>
      </c>
      <c r="V23" s="67">
        <f t="shared" si="49"/>
        <v>45919</v>
      </c>
      <c r="W23" s="67">
        <f t="shared" si="49"/>
        <v>45920</v>
      </c>
      <c r="X23" s="67">
        <f t="shared" si="49"/>
        <v>45921</v>
      </c>
      <c r="Y23" s="67">
        <f t="shared" si="49"/>
        <v>45922</v>
      </c>
      <c r="Z23" s="67">
        <f t="shared" si="49"/>
        <v>45923</v>
      </c>
      <c r="AA23" s="67">
        <f t="shared" si="49"/>
        <v>45924</v>
      </c>
      <c r="AB23" s="67">
        <f t="shared" si="49"/>
        <v>45925</v>
      </c>
      <c r="AC23" s="67">
        <f t="shared" si="49"/>
        <v>45926</v>
      </c>
      <c r="AD23" s="67">
        <f t="shared" si="49"/>
        <v>45927</v>
      </c>
      <c r="AE23" s="67">
        <f t="shared" si="49"/>
        <v>45928</v>
      </c>
      <c r="AF23" s="67">
        <f t="shared" si="49"/>
        <v>45929</v>
      </c>
      <c r="AG23" s="67">
        <f t="shared" si="49"/>
        <v>45930</v>
      </c>
      <c r="AH23" s="111" t="str">
        <f t="shared" si="49"/>
        <v/>
      </c>
      <c r="AI23" s="112" t="s">
        <v>33</v>
      </c>
      <c r="AJ23" s="113" t="s">
        <v>28</v>
      </c>
      <c r="AK23" s="114" t="s">
        <v>34</v>
      </c>
      <c r="AL23" s="112" t="s">
        <v>13</v>
      </c>
      <c r="AM23" s="113" t="s">
        <v>1</v>
      </c>
      <c r="AN23" s="113" t="s">
        <v>35</v>
      </c>
      <c r="AO23" s="113" t="s">
        <v>36</v>
      </c>
      <c r="AP23" s="113" t="s">
        <v>37</v>
      </c>
      <c r="AQ23" s="113" t="s">
        <v>0</v>
      </c>
      <c r="AR23" s="113" t="s">
        <v>38</v>
      </c>
      <c r="AS23" s="115" t="s">
        <v>11</v>
      </c>
      <c r="AT23" s="108" t="str">
        <f>elenchi!$C5</f>
        <v>VILLON BOIANO JOEL</v>
      </c>
      <c r="AU23" s="109"/>
      <c r="AV23" s="110"/>
      <c r="AW23" s="67">
        <f t="shared" ref="AW23:CA23" si="50">AW$2</f>
        <v>45931</v>
      </c>
      <c r="AX23" s="67">
        <f t="shared" si="50"/>
        <v>45932</v>
      </c>
      <c r="AY23" s="67">
        <f t="shared" si="50"/>
        <v>45933</v>
      </c>
      <c r="AZ23" s="67">
        <f t="shared" si="50"/>
        <v>45934</v>
      </c>
      <c r="BA23" s="67">
        <f t="shared" si="50"/>
        <v>45935</v>
      </c>
      <c r="BB23" s="67">
        <f t="shared" si="50"/>
        <v>45936</v>
      </c>
      <c r="BC23" s="67">
        <f t="shared" si="50"/>
        <v>45937</v>
      </c>
      <c r="BD23" s="67">
        <f t="shared" si="50"/>
        <v>45938</v>
      </c>
      <c r="BE23" s="67">
        <f t="shared" si="50"/>
        <v>45939</v>
      </c>
      <c r="BF23" s="67">
        <f t="shared" si="50"/>
        <v>45940</v>
      </c>
      <c r="BG23" s="67">
        <f t="shared" si="50"/>
        <v>45941</v>
      </c>
      <c r="BH23" s="67">
        <f t="shared" si="50"/>
        <v>45942</v>
      </c>
      <c r="BI23" s="67">
        <f t="shared" si="50"/>
        <v>45943</v>
      </c>
      <c r="BJ23" s="67">
        <f t="shared" si="50"/>
        <v>45944</v>
      </c>
      <c r="BK23" s="67">
        <f t="shared" si="50"/>
        <v>45945</v>
      </c>
      <c r="BL23" s="67">
        <f t="shared" si="50"/>
        <v>45946</v>
      </c>
      <c r="BM23" s="67">
        <f t="shared" si="50"/>
        <v>45947</v>
      </c>
      <c r="BN23" s="67">
        <f t="shared" si="50"/>
        <v>45948</v>
      </c>
      <c r="BO23" s="67">
        <f t="shared" si="50"/>
        <v>45949</v>
      </c>
      <c r="BP23" s="67">
        <f t="shared" si="50"/>
        <v>45950</v>
      </c>
      <c r="BQ23" s="67">
        <f t="shared" si="50"/>
        <v>45951</v>
      </c>
      <c r="BR23" s="67">
        <f t="shared" si="50"/>
        <v>45952</v>
      </c>
      <c r="BS23" s="67">
        <f t="shared" si="50"/>
        <v>45953</v>
      </c>
      <c r="BT23" s="67">
        <f t="shared" si="50"/>
        <v>45954</v>
      </c>
      <c r="BU23" s="67">
        <f t="shared" si="50"/>
        <v>45955</v>
      </c>
      <c r="BV23" s="67">
        <f t="shared" si="50"/>
        <v>45956</v>
      </c>
      <c r="BW23" s="67">
        <f t="shared" si="50"/>
        <v>45957</v>
      </c>
      <c r="BX23" s="67">
        <f t="shared" si="50"/>
        <v>45958</v>
      </c>
      <c r="BY23" s="67">
        <f t="shared" si="50"/>
        <v>45959</v>
      </c>
      <c r="BZ23" s="67">
        <f t="shared" si="50"/>
        <v>45960</v>
      </c>
      <c r="CA23" s="67">
        <f t="shared" si="50"/>
        <v>45961</v>
      </c>
      <c r="CB23" s="112" t="s">
        <v>33</v>
      </c>
      <c r="CC23" s="113" t="s">
        <v>28</v>
      </c>
      <c r="CD23" s="114" t="s">
        <v>34</v>
      </c>
      <c r="CE23" s="112" t="s">
        <v>13</v>
      </c>
      <c r="CF23" s="113" t="s">
        <v>1</v>
      </c>
      <c r="CG23" s="113" t="s">
        <v>35</v>
      </c>
      <c r="CH23" s="113" t="s">
        <v>36</v>
      </c>
      <c r="CI23" s="113" t="s">
        <v>37</v>
      </c>
      <c r="CJ23" s="113" t="s">
        <v>0</v>
      </c>
      <c r="CK23" s="113" t="s">
        <v>38</v>
      </c>
      <c r="CL23" s="115" t="s">
        <v>11</v>
      </c>
      <c r="CM23" s="108" t="str">
        <f>elenchi!$C5</f>
        <v>VILLON BOIANO JOEL</v>
      </c>
      <c r="CN23" s="109"/>
      <c r="CO23" s="110"/>
      <c r="CP23" s="67">
        <f t="shared" ref="CP23:DT23" si="51">CP$2</f>
        <v>45962</v>
      </c>
      <c r="CQ23" s="67">
        <f t="shared" si="51"/>
        <v>45963</v>
      </c>
      <c r="CR23" s="67">
        <f t="shared" si="51"/>
        <v>45964</v>
      </c>
      <c r="CS23" s="67">
        <f t="shared" si="51"/>
        <v>45965</v>
      </c>
      <c r="CT23" s="67">
        <f t="shared" si="51"/>
        <v>45966</v>
      </c>
      <c r="CU23" s="67">
        <f t="shared" si="51"/>
        <v>45967</v>
      </c>
      <c r="CV23" s="67">
        <f t="shared" si="51"/>
        <v>45968</v>
      </c>
      <c r="CW23" s="67">
        <f t="shared" si="51"/>
        <v>45969</v>
      </c>
      <c r="CX23" s="67">
        <f t="shared" si="51"/>
        <v>45970</v>
      </c>
      <c r="CY23" s="67">
        <f t="shared" si="51"/>
        <v>45971</v>
      </c>
      <c r="CZ23" s="67">
        <f t="shared" si="51"/>
        <v>45972</v>
      </c>
      <c r="DA23" s="67">
        <f t="shared" si="51"/>
        <v>45973</v>
      </c>
      <c r="DB23" s="67">
        <f t="shared" si="51"/>
        <v>45974</v>
      </c>
      <c r="DC23" s="67">
        <f t="shared" si="51"/>
        <v>45975</v>
      </c>
      <c r="DD23" s="67">
        <f t="shared" si="51"/>
        <v>45976</v>
      </c>
      <c r="DE23" s="67">
        <f t="shared" si="51"/>
        <v>45977</v>
      </c>
      <c r="DF23" s="67">
        <f t="shared" si="51"/>
        <v>45978</v>
      </c>
      <c r="DG23" s="67">
        <f t="shared" si="51"/>
        <v>45979</v>
      </c>
      <c r="DH23" s="67">
        <f t="shared" si="51"/>
        <v>45980</v>
      </c>
      <c r="DI23" s="67">
        <f t="shared" si="51"/>
        <v>45981</v>
      </c>
      <c r="DJ23" s="67">
        <f t="shared" si="51"/>
        <v>45982</v>
      </c>
      <c r="DK23" s="67">
        <f t="shared" si="51"/>
        <v>45983</v>
      </c>
      <c r="DL23" s="67">
        <f t="shared" si="51"/>
        <v>45984</v>
      </c>
      <c r="DM23" s="67">
        <f t="shared" si="51"/>
        <v>45985</v>
      </c>
      <c r="DN23" s="67">
        <f t="shared" si="51"/>
        <v>45986</v>
      </c>
      <c r="DO23" s="67">
        <f t="shared" si="51"/>
        <v>45987</v>
      </c>
      <c r="DP23" s="67">
        <f t="shared" si="51"/>
        <v>45988</v>
      </c>
      <c r="DQ23" s="67">
        <f t="shared" si="51"/>
        <v>45989</v>
      </c>
      <c r="DR23" s="67">
        <f t="shared" si="51"/>
        <v>45990</v>
      </c>
      <c r="DS23" s="67">
        <f t="shared" si="51"/>
        <v>45991</v>
      </c>
      <c r="DT23" s="67" t="str">
        <f t="shared" si="51"/>
        <v/>
      </c>
      <c r="DU23" s="112" t="s">
        <v>33</v>
      </c>
      <c r="DV23" s="113" t="s">
        <v>28</v>
      </c>
      <c r="DW23" s="114" t="s">
        <v>34</v>
      </c>
      <c r="DX23" s="112" t="s">
        <v>13</v>
      </c>
      <c r="DY23" s="113" t="s">
        <v>1</v>
      </c>
      <c r="DZ23" s="113" t="s">
        <v>35</v>
      </c>
      <c r="EA23" s="113" t="s">
        <v>36</v>
      </c>
      <c r="EB23" s="113" t="s">
        <v>37</v>
      </c>
      <c r="EC23" s="113" t="s">
        <v>0</v>
      </c>
      <c r="ED23" s="113" t="s">
        <v>38</v>
      </c>
      <c r="EE23" s="114" t="s">
        <v>11</v>
      </c>
      <c r="EF23" s="108" t="str">
        <f>elenchi!$C5</f>
        <v>VILLON BOIANO JOEL</v>
      </c>
      <c r="EG23" s="109"/>
      <c r="EH23" s="110"/>
      <c r="EI23" s="67">
        <f t="shared" ref="EI23:FM23" si="52">EI$2</f>
        <v>45992</v>
      </c>
      <c r="EJ23" s="67">
        <f t="shared" si="52"/>
        <v>45993</v>
      </c>
      <c r="EK23" s="67">
        <f t="shared" si="52"/>
        <v>45994</v>
      </c>
      <c r="EL23" s="67">
        <f t="shared" si="52"/>
        <v>45995</v>
      </c>
      <c r="EM23" s="67">
        <f t="shared" si="52"/>
        <v>45996</v>
      </c>
      <c r="EN23" s="67">
        <f t="shared" si="52"/>
        <v>45997</v>
      </c>
      <c r="EO23" s="67">
        <f t="shared" si="52"/>
        <v>45998</v>
      </c>
      <c r="EP23" s="67">
        <f t="shared" si="52"/>
        <v>45999</v>
      </c>
      <c r="EQ23" s="67">
        <f t="shared" si="52"/>
        <v>46000</v>
      </c>
      <c r="ER23" s="67">
        <f t="shared" si="52"/>
        <v>46001</v>
      </c>
      <c r="ES23" s="67">
        <f t="shared" si="52"/>
        <v>46002</v>
      </c>
      <c r="ET23" s="67">
        <f t="shared" si="52"/>
        <v>46003</v>
      </c>
      <c r="EU23" s="67">
        <f t="shared" si="52"/>
        <v>46004</v>
      </c>
      <c r="EV23" s="67">
        <f t="shared" si="52"/>
        <v>46005</v>
      </c>
      <c r="EW23" s="67">
        <f t="shared" si="52"/>
        <v>46006</v>
      </c>
      <c r="EX23" s="67">
        <f t="shared" si="52"/>
        <v>46007</v>
      </c>
      <c r="EY23" s="67">
        <f t="shared" si="52"/>
        <v>46008</v>
      </c>
      <c r="EZ23" s="67">
        <f t="shared" si="52"/>
        <v>46009</v>
      </c>
      <c r="FA23" s="67">
        <f t="shared" si="52"/>
        <v>46010</v>
      </c>
      <c r="FB23" s="67">
        <f t="shared" si="52"/>
        <v>46011</v>
      </c>
      <c r="FC23" s="67">
        <f t="shared" si="52"/>
        <v>46012</v>
      </c>
      <c r="FD23" s="67">
        <f t="shared" si="52"/>
        <v>46013</v>
      </c>
      <c r="FE23" s="67">
        <f t="shared" si="52"/>
        <v>46014</v>
      </c>
      <c r="FF23" s="67">
        <f t="shared" si="52"/>
        <v>46015</v>
      </c>
      <c r="FG23" s="67">
        <f t="shared" si="52"/>
        <v>46016</v>
      </c>
      <c r="FH23" s="67">
        <f t="shared" si="52"/>
        <v>46017</v>
      </c>
      <c r="FI23" s="67">
        <f t="shared" si="52"/>
        <v>46018</v>
      </c>
      <c r="FJ23" s="67">
        <f t="shared" si="52"/>
        <v>46019</v>
      </c>
      <c r="FK23" s="67">
        <f t="shared" si="52"/>
        <v>46020</v>
      </c>
      <c r="FL23" s="67">
        <f t="shared" si="52"/>
        <v>46021</v>
      </c>
      <c r="FM23" s="67">
        <f t="shared" si="52"/>
        <v>46022</v>
      </c>
      <c r="FN23" s="112" t="s">
        <v>33</v>
      </c>
      <c r="FO23" s="113" t="s">
        <v>28</v>
      </c>
      <c r="FP23" s="114" t="s">
        <v>34</v>
      </c>
      <c r="FQ23" s="112" t="s">
        <v>13</v>
      </c>
      <c r="FR23" s="113" t="s">
        <v>1</v>
      </c>
      <c r="FS23" s="113" t="s">
        <v>35</v>
      </c>
      <c r="FT23" s="113" t="s">
        <v>36</v>
      </c>
      <c r="FU23" s="113" t="s">
        <v>37</v>
      </c>
      <c r="FV23" s="113" t="s">
        <v>0</v>
      </c>
      <c r="FW23" s="113" t="s">
        <v>38</v>
      </c>
      <c r="FX23" s="114" t="s">
        <v>11</v>
      </c>
      <c r="FY23" s="108" t="str">
        <f>elenchi!$C5</f>
        <v>VILLON BOIANO JOEL</v>
      </c>
      <c r="FZ23" s="109"/>
      <c r="GA23" s="110"/>
      <c r="GB23" s="67">
        <f t="shared" ref="GB23:HF23" si="53">GB$2</f>
        <v>46023</v>
      </c>
      <c r="GC23" s="67">
        <f t="shared" si="53"/>
        <v>46024</v>
      </c>
      <c r="GD23" s="67">
        <f t="shared" si="53"/>
        <v>46025</v>
      </c>
      <c r="GE23" s="67">
        <f t="shared" si="53"/>
        <v>46026</v>
      </c>
      <c r="GF23" s="67">
        <f t="shared" si="53"/>
        <v>46027</v>
      </c>
      <c r="GG23" s="67">
        <f t="shared" si="53"/>
        <v>46028</v>
      </c>
      <c r="GH23" s="67">
        <f t="shared" si="53"/>
        <v>46029</v>
      </c>
      <c r="GI23" s="67">
        <f t="shared" si="53"/>
        <v>46030</v>
      </c>
      <c r="GJ23" s="67">
        <f t="shared" si="53"/>
        <v>46031</v>
      </c>
      <c r="GK23" s="67">
        <f t="shared" si="53"/>
        <v>46032</v>
      </c>
      <c r="GL23" s="67">
        <f t="shared" si="53"/>
        <v>46033</v>
      </c>
      <c r="GM23" s="67">
        <f t="shared" si="53"/>
        <v>46034</v>
      </c>
      <c r="GN23" s="67">
        <f t="shared" si="53"/>
        <v>46035</v>
      </c>
      <c r="GO23" s="67">
        <f t="shared" si="53"/>
        <v>46036</v>
      </c>
      <c r="GP23" s="67">
        <f t="shared" si="53"/>
        <v>46037</v>
      </c>
      <c r="GQ23" s="67">
        <f t="shared" si="53"/>
        <v>46038</v>
      </c>
      <c r="GR23" s="67">
        <f t="shared" si="53"/>
        <v>46039</v>
      </c>
      <c r="GS23" s="67">
        <f t="shared" si="53"/>
        <v>46040</v>
      </c>
      <c r="GT23" s="67">
        <f t="shared" si="53"/>
        <v>46041</v>
      </c>
      <c r="GU23" s="67">
        <f t="shared" si="53"/>
        <v>46042</v>
      </c>
      <c r="GV23" s="67">
        <f t="shared" si="53"/>
        <v>46043</v>
      </c>
      <c r="GW23" s="67">
        <f t="shared" si="53"/>
        <v>46044</v>
      </c>
      <c r="GX23" s="67">
        <f t="shared" si="53"/>
        <v>46045</v>
      </c>
      <c r="GY23" s="67">
        <f t="shared" si="53"/>
        <v>46046</v>
      </c>
      <c r="GZ23" s="67">
        <f t="shared" si="53"/>
        <v>46047</v>
      </c>
      <c r="HA23" s="67">
        <f t="shared" si="53"/>
        <v>46048</v>
      </c>
      <c r="HB23" s="67">
        <f t="shared" si="53"/>
        <v>46049</v>
      </c>
      <c r="HC23" s="67">
        <f t="shared" si="53"/>
        <v>46050</v>
      </c>
      <c r="HD23" s="67">
        <f t="shared" si="53"/>
        <v>46051</v>
      </c>
      <c r="HE23" s="67">
        <f t="shared" si="53"/>
        <v>46052</v>
      </c>
      <c r="HF23" s="67">
        <f t="shared" si="53"/>
        <v>46053</v>
      </c>
      <c r="HG23" s="112" t="s">
        <v>33</v>
      </c>
      <c r="HH23" s="113" t="s">
        <v>28</v>
      </c>
      <c r="HI23" s="114" t="s">
        <v>34</v>
      </c>
      <c r="HJ23" s="112" t="s">
        <v>13</v>
      </c>
      <c r="HK23" s="113" t="s">
        <v>1</v>
      </c>
      <c r="HL23" s="113" t="s">
        <v>35</v>
      </c>
      <c r="HM23" s="113" t="s">
        <v>36</v>
      </c>
      <c r="HN23" s="113" t="s">
        <v>37</v>
      </c>
      <c r="HO23" s="113" t="s">
        <v>0</v>
      </c>
      <c r="HP23" s="113" t="s">
        <v>38</v>
      </c>
      <c r="HQ23" s="114" t="s">
        <v>11</v>
      </c>
      <c r="HR23" s="108" t="str">
        <f>elenchi!$C5</f>
        <v>VILLON BOIANO JOEL</v>
      </c>
      <c r="HS23" s="109"/>
      <c r="HT23" s="110"/>
      <c r="HU23" s="67">
        <f t="shared" ref="HU23:IY23" si="54">HU$2</f>
        <v>46054</v>
      </c>
      <c r="HV23" s="67">
        <f t="shared" si="54"/>
        <v>46055</v>
      </c>
      <c r="HW23" s="67">
        <f t="shared" si="54"/>
        <v>46056</v>
      </c>
      <c r="HX23" s="67">
        <f t="shared" si="54"/>
        <v>46057</v>
      </c>
      <c r="HY23" s="67">
        <f t="shared" si="54"/>
        <v>46058</v>
      </c>
      <c r="HZ23" s="67">
        <f t="shared" si="54"/>
        <v>46059</v>
      </c>
      <c r="IA23" s="67">
        <f t="shared" si="54"/>
        <v>46060</v>
      </c>
      <c r="IB23" s="67">
        <f t="shared" si="54"/>
        <v>46061</v>
      </c>
      <c r="IC23" s="67">
        <f t="shared" si="54"/>
        <v>46062</v>
      </c>
      <c r="ID23" s="67">
        <f t="shared" si="54"/>
        <v>46063</v>
      </c>
      <c r="IE23" s="67">
        <f t="shared" si="54"/>
        <v>46064</v>
      </c>
      <c r="IF23" s="67">
        <f t="shared" si="54"/>
        <v>46065</v>
      </c>
      <c r="IG23" s="67">
        <f t="shared" si="54"/>
        <v>46066</v>
      </c>
      <c r="IH23" s="67">
        <f t="shared" si="54"/>
        <v>46067</v>
      </c>
      <c r="II23" s="67">
        <f t="shared" si="54"/>
        <v>46068</v>
      </c>
      <c r="IJ23" s="67">
        <f t="shared" si="54"/>
        <v>46069</v>
      </c>
      <c r="IK23" s="67">
        <f t="shared" si="54"/>
        <v>46070</v>
      </c>
      <c r="IL23" s="67">
        <f t="shared" si="54"/>
        <v>46071</v>
      </c>
      <c r="IM23" s="67">
        <f t="shared" si="54"/>
        <v>46072</v>
      </c>
      <c r="IN23" s="67">
        <f t="shared" si="54"/>
        <v>46073</v>
      </c>
      <c r="IO23" s="67">
        <f t="shared" si="54"/>
        <v>46074</v>
      </c>
      <c r="IP23" s="67">
        <f t="shared" si="54"/>
        <v>46075</v>
      </c>
      <c r="IQ23" s="67">
        <f t="shared" si="54"/>
        <v>46076</v>
      </c>
      <c r="IR23" s="67">
        <f t="shared" si="54"/>
        <v>46077</v>
      </c>
      <c r="IS23" s="67">
        <f t="shared" si="54"/>
        <v>46078</v>
      </c>
      <c r="IT23" s="67">
        <f t="shared" si="54"/>
        <v>46079</v>
      </c>
      <c r="IU23" s="67">
        <f t="shared" si="54"/>
        <v>46080</v>
      </c>
      <c r="IV23" s="67">
        <f t="shared" si="54"/>
        <v>46081</v>
      </c>
      <c r="IW23" s="67" t="str">
        <f t="shared" si="54"/>
        <v/>
      </c>
      <c r="IX23" s="67" t="str">
        <f t="shared" si="54"/>
        <v/>
      </c>
      <c r="IY23" s="67" t="str">
        <f t="shared" si="54"/>
        <v/>
      </c>
      <c r="IZ23" s="112" t="s">
        <v>33</v>
      </c>
      <c r="JA23" s="113" t="s">
        <v>28</v>
      </c>
      <c r="JB23" s="114" t="s">
        <v>34</v>
      </c>
      <c r="JC23" s="112" t="s">
        <v>13</v>
      </c>
      <c r="JD23" s="113" t="s">
        <v>1</v>
      </c>
      <c r="JE23" s="113" t="s">
        <v>35</v>
      </c>
      <c r="JF23" s="113" t="s">
        <v>36</v>
      </c>
      <c r="JG23" s="113" t="s">
        <v>37</v>
      </c>
      <c r="JH23" s="113" t="s">
        <v>0</v>
      </c>
      <c r="JI23" s="113" t="s">
        <v>38</v>
      </c>
      <c r="JJ23" s="114" t="s">
        <v>11</v>
      </c>
      <c r="JK23" s="108" t="str">
        <f>elenchi!$C5</f>
        <v>VILLON BOIANO JOEL</v>
      </c>
      <c r="JL23" s="109"/>
      <c r="JM23" s="110"/>
      <c r="JN23" s="67">
        <f t="shared" ref="JN23:KR23" si="55">JN$2</f>
        <v>46082</v>
      </c>
      <c r="JO23" s="67">
        <f t="shared" si="55"/>
        <v>46083</v>
      </c>
      <c r="JP23" s="67">
        <f t="shared" si="55"/>
        <v>46084</v>
      </c>
      <c r="JQ23" s="67">
        <f t="shared" si="55"/>
        <v>46085</v>
      </c>
      <c r="JR23" s="67">
        <f t="shared" si="55"/>
        <v>46086</v>
      </c>
      <c r="JS23" s="67">
        <f t="shared" si="55"/>
        <v>46087</v>
      </c>
      <c r="JT23" s="67">
        <f t="shared" si="55"/>
        <v>46088</v>
      </c>
      <c r="JU23" s="67">
        <f t="shared" si="55"/>
        <v>46089</v>
      </c>
      <c r="JV23" s="67">
        <f t="shared" si="55"/>
        <v>46090</v>
      </c>
      <c r="JW23" s="67">
        <f t="shared" si="55"/>
        <v>46091</v>
      </c>
      <c r="JX23" s="67">
        <f t="shared" si="55"/>
        <v>46092</v>
      </c>
      <c r="JY23" s="67">
        <f t="shared" si="55"/>
        <v>46093</v>
      </c>
      <c r="JZ23" s="67">
        <f t="shared" si="55"/>
        <v>46094</v>
      </c>
      <c r="KA23" s="67">
        <f t="shared" si="55"/>
        <v>46095</v>
      </c>
      <c r="KB23" s="67">
        <f t="shared" si="55"/>
        <v>46096</v>
      </c>
      <c r="KC23" s="67">
        <f t="shared" si="55"/>
        <v>46097</v>
      </c>
      <c r="KD23" s="67">
        <f t="shared" si="55"/>
        <v>46098</v>
      </c>
      <c r="KE23" s="67">
        <f t="shared" si="55"/>
        <v>46099</v>
      </c>
      <c r="KF23" s="67">
        <f t="shared" si="55"/>
        <v>46100</v>
      </c>
      <c r="KG23" s="67">
        <f t="shared" si="55"/>
        <v>46101</v>
      </c>
      <c r="KH23" s="67">
        <f t="shared" si="55"/>
        <v>46102</v>
      </c>
      <c r="KI23" s="67">
        <f t="shared" si="55"/>
        <v>46103</v>
      </c>
      <c r="KJ23" s="67">
        <f t="shared" si="55"/>
        <v>46104</v>
      </c>
      <c r="KK23" s="67">
        <f t="shared" si="55"/>
        <v>46105</v>
      </c>
      <c r="KL23" s="67">
        <f t="shared" si="55"/>
        <v>46106</v>
      </c>
      <c r="KM23" s="67">
        <f t="shared" si="55"/>
        <v>46107</v>
      </c>
      <c r="KN23" s="67">
        <f t="shared" si="55"/>
        <v>46108</v>
      </c>
      <c r="KO23" s="67">
        <f t="shared" si="55"/>
        <v>46109</v>
      </c>
      <c r="KP23" s="67">
        <f t="shared" si="55"/>
        <v>46110</v>
      </c>
      <c r="KQ23" s="67">
        <f t="shared" si="55"/>
        <v>46111</v>
      </c>
      <c r="KR23" s="67">
        <f t="shared" si="55"/>
        <v>46112</v>
      </c>
      <c r="KS23" s="112" t="s">
        <v>33</v>
      </c>
      <c r="KT23" s="113" t="s">
        <v>28</v>
      </c>
      <c r="KU23" s="114" t="s">
        <v>34</v>
      </c>
      <c r="KV23" s="112" t="s">
        <v>13</v>
      </c>
      <c r="KW23" s="113" t="s">
        <v>1</v>
      </c>
      <c r="KX23" s="113" t="s">
        <v>35</v>
      </c>
      <c r="KY23" s="113" t="s">
        <v>36</v>
      </c>
      <c r="KZ23" s="113" t="s">
        <v>37</v>
      </c>
      <c r="LA23" s="113" t="s">
        <v>0</v>
      </c>
      <c r="LB23" s="113" t="s">
        <v>38</v>
      </c>
      <c r="LC23" s="114" t="s">
        <v>11</v>
      </c>
      <c r="LD23" s="108" t="str">
        <f>elenchi!$C5</f>
        <v>VILLON BOIANO JOEL</v>
      </c>
      <c r="LE23" s="109"/>
      <c r="LF23" s="110"/>
      <c r="LG23" s="67">
        <f t="shared" ref="LG23:MK23" si="56">LG$2</f>
        <v>46113</v>
      </c>
      <c r="LH23" s="67">
        <f t="shared" si="56"/>
        <v>46114</v>
      </c>
      <c r="LI23" s="67">
        <f t="shared" si="56"/>
        <v>46115</v>
      </c>
      <c r="LJ23" s="67">
        <f t="shared" si="56"/>
        <v>46116</v>
      </c>
      <c r="LK23" s="67">
        <f t="shared" si="56"/>
        <v>46117</v>
      </c>
      <c r="LL23" s="67">
        <f t="shared" si="56"/>
        <v>46118</v>
      </c>
      <c r="LM23" s="67">
        <f t="shared" si="56"/>
        <v>46119</v>
      </c>
      <c r="LN23" s="67">
        <f t="shared" si="56"/>
        <v>46120</v>
      </c>
      <c r="LO23" s="67">
        <f t="shared" si="56"/>
        <v>46121</v>
      </c>
      <c r="LP23" s="67">
        <f t="shared" si="56"/>
        <v>46122</v>
      </c>
      <c r="LQ23" s="67">
        <f t="shared" si="56"/>
        <v>46123</v>
      </c>
      <c r="LR23" s="67">
        <f t="shared" si="56"/>
        <v>46124</v>
      </c>
      <c r="LS23" s="67">
        <f t="shared" si="56"/>
        <v>46125</v>
      </c>
      <c r="LT23" s="67">
        <f t="shared" si="56"/>
        <v>46126</v>
      </c>
      <c r="LU23" s="67">
        <f t="shared" si="56"/>
        <v>46127</v>
      </c>
      <c r="LV23" s="67">
        <f t="shared" si="56"/>
        <v>46128</v>
      </c>
      <c r="LW23" s="67">
        <f t="shared" si="56"/>
        <v>46129</v>
      </c>
      <c r="LX23" s="67">
        <f t="shared" si="56"/>
        <v>46130</v>
      </c>
      <c r="LY23" s="67">
        <f t="shared" si="56"/>
        <v>46131</v>
      </c>
      <c r="LZ23" s="67">
        <f t="shared" si="56"/>
        <v>46132</v>
      </c>
      <c r="MA23" s="67">
        <f t="shared" si="56"/>
        <v>46133</v>
      </c>
      <c r="MB23" s="67">
        <f t="shared" si="56"/>
        <v>46134</v>
      </c>
      <c r="MC23" s="67">
        <f t="shared" si="56"/>
        <v>46135</v>
      </c>
      <c r="MD23" s="67">
        <f t="shared" si="56"/>
        <v>46136</v>
      </c>
      <c r="ME23" s="67">
        <f t="shared" si="56"/>
        <v>46137</v>
      </c>
      <c r="MF23" s="67">
        <f t="shared" si="56"/>
        <v>46138</v>
      </c>
      <c r="MG23" s="67">
        <f t="shared" si="56"/>
        <v>46139</v>
      </c>
      <c r="MH23" s="67">
        <f t="shared" si="56"/>
        <v>46140</v>
      </c>
      <c r="MI23" s="67">
        <f t="shared" si="56"/>
        <v>46141</v>
      </c>
      <c r="MJ23" s="67">
        <f t="shared" si="56"/>
        <v>46142</v>
      </c>
      <c r="MK23" s="67" t="str">
        <f t="shared" si="56"/>
        <v/>
      </c>
      <c r="ML23" s="112" t="s">
        <v>33</v>
      </c>
      <c r="MM23" s="113" t="s">
        <v>28</v>
      </c>
      <c r="MN23" s="114" t="s">
        <v>34</v>
      </c>
      <c r="MO23" s="112" t="s">
        <v>13</v>
      </c>
      <c r="MP23" s="113" t="s">
        <v>1</v>
      </c>
      <c r="MQ23" s="113" t="s">
        <v>35</v>
      </c>
      <c r="MR23" s="113" t="s">
        <v>36</v>
      </c>
      <c r="MS23" s="113" t="s">
        <v>37</v>
      </c>
      <c r="MT23" s="113" t="s">
        <v>0</v>
      </c>
      <c r="MU23" s="113" t="s">
        <v>38</v>
      </c>
      <c r="MV23" s="115" t="s">
        <v>11</v>
      </c>
      <c r="MW23" s="108" t="str">
        <f>elenchi!$C5</f>
        <v>VILLON BOIANO JOEL</v>
      </c>
      <c r="MX23" s="109"/>
      <c r="MY23" s="110"/>
      <c r="MZ23" s="67">
        <f t="shared" ref="MZ23:OD23" si="57">MZ$2</f>
        <v>46143</v>
      </c>
      <c r="NA23" s="67">
        <f t="shared" si="57"/>
        <v>46144</v>
      </c>
      <c r="NB23" s="67">
        <f t="shared" si="57"/>
        <v>46145</v>
      </c>
      <c r="NC23" s="67">
        <f t="shared" si="57"/>
        <v>46146</v>
      </c>
      <c r="ND23" s="67">
        <f t="shared" si="57"/>
        <v>46147</v>
      </c>
      <c r="NE23" s="67">
        <f t="shared" si="57"/>
        <v>46148</v>
      </c>
      <c r="NF23" s="67">
        <f t="shared" si="57"/>
        <v>46149</v>
      </c>
      <c r="NG23" s="67">
        <f t="shared" si="57"/>
        <v>46150</v>
      </c>
      <c r="NH23" s="67">
        <f t="shared" si="57"/>
        <v>46151</v>
      </c>
      <c r="NI23" s="67">
        <f t="shared" si="57"/>
        <v>46152</v>
      </c>
      <c r="NJ23" s="67">
        <f t="shared" si="57"/>
        <v>46153</v>
      </c>
      <c r="NK23" s="67">
        <f t="shared" si="57"/>
        <v>46154</v>
      </c>
      <c r="NL23" s="67">
        <f t="shared" si="57"/>
        <v>46155</v>
      </c>
      <c r="NM23" s="67">
        <f t="shared" si="57"/>
        <v>46156</v>
      </c>
      <c r="NN23" s="67">
        <f t="shared" si="57"/>
        <v>46157</v>
      </c>
      <c r="NO23" s="67">
        <f t="shared" si="57"/>
        <v>46158</v>
      </c>
      <c r="NP23" s="67">
        <f t="shared" si="57"/>
        <v>46159</v>
      </c>
      <c r="NQ23" s="67">
        <f t="shared" si="57"/>
        <v>46160</v>
      </c>
      <c r="NR23" s="67">
        <f t="shared" si="57"/>
        <v>46161</v>
      </c>
      <c r="NS23" s="67">
        <f t="shared" si="57"/>
        <v>46162</v>
      </c>
      <c r="NT23" s="67">
        <f t="shared" si="57"/>
        <v>46163</v>
      </c>
      <c r="NU23" s="67">
        <f t="shared" si="57"/>
        <v>46164</v>
      </c>
      <c r="NV23" s="67">
        <f t="shared" si="57"/>
        <v>46165</v>
      </c>
      <c r="NW23" s="67">
        <f t="shared" si="57"/>
        <v>46166</v>
      </c>
      <c r="NX23" s="67">
        <f t="shared" si="57"/>
        <v>46167</v>
      </c>
      <c r="NY23" s="67">
        <f t="shared" si="57"/>
        <v>46168</v>
      </c>
      <c r="NZ23" s="67">
        <f t="shared" si="57"/>
        <v>46169</v>
      </c>
      <c r="OA23" s="67">
        <f t="shared" si="57"/>
        <v>46170</v>
      </c>
      <c r="OB23" s="67">
        <f t="shared" si="57"/>
        <v>46171</v>
      </c>
      <c r="OC23" s="67">
        <f t="shared" si="57"/>
        <v>46172</v>
      </c>
      <c r="OD23" s="67">
        <f t="shared" si="57"/>
        <v>46173</v>
      </c>
      <c r="OE23" s="112" t="s">
        <v>33</v>
      </c>
      <c r="OF23" s="113" t="s">
        <v>28</v>
      </c>
      <c r="OG23" s="114" t="s">
        <v>34</v>
      </c>
      <c r="OH23" s="112" t="s">
        <v>13</v>
      </c>
      <c r="OI23" s="113" t="s">
        <v>1</v>
      </c>
      <c r="OJ23" s="113" t="s">
        <v>35</v>
      </c>
      <c r="OK23" s="113" t="s">
        <v>36</v>
      </c>
      <c r="OL23" s="113" t="s">
        <v>37</v>
      </c>
      <c r="OM23" s="113" t="s">
        <v>0</v>
      </c>
      <c r="ON23" s="113" t="s">
        <v>38</v>
      </c>
      <c r="OO23" s="115" t="s">
        <v>11</v>
      </c>
      <c r="OP23" s="108" t="str">
        <f>elenchi!$C5</f>
        <v>VILLON BOIANO JOEL</v>
      </c>
      <c r="OQ23" s="109"/>
      <c r="OR23" s="110"/>
      <c r="OS23" s="67">
        <f t="shared" ref="OS23:PW23" si="58">OS$2</f>
        <v>46174</v>
      </c>
      <c r="OT23" s="67">
        <f t="shared" si="58"/>
        <v>46175</v>
      </c>
      <c r="OU23" s="67">
        <f t="shared" si="58"/>
        <v>46176</v>
      </c>
      <c r="OV23" s="67">
        <f t="shared" si="58"/>
        <v>46177</v>
      </c>
      <c r="OW23" s="67">
        <f t="shared" si="58"/>
        <v>46178</v>
      </c>
      <c r="OX23" s="67">
        <f t="shared" si="58"/>
        <v>46179</v>
      </c>
      <c r="OY23" s="67">
        <f t="shared" si="58"/>
        <v>46180</v>
      </c>
      <c r="OZ23" s="67">
        <f t="shared" si="58"/>
        <v>46181</v>
      </c>
      <c r="PA23" s="67">
        <f t="shared" si="58"/>
        <v>46182</v>
      </c>
      <c r="PB23" s="67">
        <f t="shared" si="58"/>
        <v>46183</v>
      </c>
      <c r="PC23" s="67">
        <f t="shared" si="58"/>
        <v>46184</v>
      </c>
      <c r="PD23" s="67">
        <f t="shared" si="58"/>
        <v>46185</v>
      </c>
      <c r="PE23" s="67">
        <f t="shared" si="58"/>
        <v>46186</v>
      </c>
      <c r="PF23" s="67">
        <f t="shared" si="58"/>
        <v>46187</v>
      </c>
      <c r="PG23" s="67">
        <f t="shared" si="58"/>
        <v>46188</v>
      </c>
      <c r="PH23" s="67">
        <f t="shared" si="58"/>
        <v>46189</v>
      </c>
      <c r="PI23" s="67">
        <f t="shared" si="58"/>
        <v>46190</v>
      </c>
      <c r="PJ23" s="67">
        <f t="shared" si="58"/>
        <v>46191</v>
      </c>
      <c r="PK23" s="67">
        <f t="shared" si="58"/>
        <v>46192</v>
      </c>
      <c r="PL23" s="67">
        <f t="shared" si="58"/>
        <v>46193</v>
      </c>
      <c r="PM23" s="67">
        <f t="shared" si="58"/>
        <v>46194</v>
      </c>
      <c r="PN23" s="67">
        <f t="shared" si="58"/>
        <v>46195</v>
      </c>
      <c r="PO23" s="67">
        <f t="shared" si="58"/>
        <v>46196</v>
      </c>
      <c r="PP23" s="67">
        <f t="shared" si="58"/>
        <v>46197</v>
      </c>
      <c r="PQ23" s="67">
        <f t="shared" si="58"/>
        <v>46198</v>
      </c>
      <c r="PR23" s="67">
        <f t="shared" si="58"/>
        <v>46199</v>
      </c>
      <c r="PS23" s="67">
        <f t="shared" si="58"/>
        <v>46200</v>
      </c>
      <c r="PT23" s="67">
        <f t="shared" si="58"/>
        <v>46201</v>
      </c>
      <c r="PU23" s="67">
        <f t="shared" si="58"/>
        <v>46202</v>
      </c>
      <c r="PV23" s="67">
        <f t="shared" si="58"/>
        <v>46203</v>
      </c>
      <c r="PW23" s="67" t="str">
        <f t="shared" si="58"/>
        <v/>
      </c>
      <c r="PX23" s="112" t="s">
        <v>33</v>
      </c>
      <c r="PY23" s="113" t="s">
        <v>28</v>
      </c>
      <c r="PZ23" s="114" t="s">
        <v>34</v>
      </c>
      <c r="QA23" s="112" t="s">
        <v>13</v>
      </c>
      <c r="QB23" s="113" t="s">
        <v>1</v>
      </c>
      <c r="QC23" s="113" t="s">
        <v>35</v>
      </c>
      <c r="QD23" s="113" t="s">
        <v>36</v>
      </c>
      <c r="QE23" s="113" t="s">
        <v>37</v>
      </c>
      <c r="QF23" s="113" t="s">
        <v>0</v>
      </c>
      <c r="QG23" s="113" t="s">
        <v>38</v>
      </c>
      <c r="QH23" s="115" t="s">
        <v>11</v>
      </c>
      <c r="QI23" s="108" t="str">
        <f>elenchi!$C5</f>
        <v>VILLON BOIANO JOEL</v>
      </c>
      <c r="QJ23" s="109"/>
      <c r="QK23" s="110"/>
      <c r="QL23" s="67">
        <f t="shared" ref="QL23:RP23" si="59">QL$2</f>
        <v>46204</v>
      </c>
      <c r="QM23" s="67">
        <f t="shared" si="59"/>
        <v>46205</v>
      </c>
      <c r="QN23" s="67">
        <f t="shared" si="59"/>
        <v>46206</v>
      </c>
      <c r="QO23" s="67">
        <f t="shared" si="59"/>
        <v>46207</v>
      </c>
      <c r="QP23" s="67">
        <f t="shared" si="59"/>
        <v>46208</v>
      </c>
      <c r="QQ23" s="67">
        <f t="shared" si="59"/>
        <v>46209</v>
      </c>
      <c r="QR23" s="67">
        <f t="shared" si="59"/>
        <v>46210</v>
      </c>
      <c r="QS23" s="67">
        <f t="shared" si="59"/>
        <v>46211</v>
      </c>
      <c r="QT23" s="67">
        <f t="shared" si="59"/>
        <v>46212</v>
      </c>
      <c r="QU23" s="67">
        <f t="shared" si="59"/>
        <v>46213</v>
      </c>
      <c r="QV23" s="67">
        <f t="shared" si="59"/>
        <v>46214</v>
      </c>
      <c r="QW23" s="67">
        <f t="shared" si="59"/>
        <v>46215</v>
      </c>
      <c r="QX23" s="67">
        <f t="shared" si="59"/>
        <v>46216</v>
      </c>
      <c r="QY23" s="67">
        <f t="shared" si="59"/>
        <v>46217</v>
      </c>
      <c r="QZ23" s="67">
        <f t="shared" si="59"/>
        <v>46218</v>
      </c>
      <c r="RA23" s="67">
        <f t="shared" si="59"/>
        <v>46219</v>
      </c>
      <c r="RB23" s="67">
        <f t="shared" si="59"/>
        <v>46220</v>
      </c>
      <c r="RC23" s="67">
        <f t="shared" si="59"/>
        <v>46221</v>
      </c>
      <c r="RD23" s="67">
        <f t="shared" si="59"/>
        <v>46222</v>
      </c>
      <c r="RE23" s="67">
        <f t="shared" si="59"/>
        <v>46223</v>
      </c>
      <c r="RF23" s="67">
        <f t="shared" si="59"/>
        <v>46224</v>
      </c>
      <c r="RG23" s="67">
        <f t="shared" si="59"/>
        <v>46225</v>
      </c>
      <c r="RH23" s="67">
        <f t="shared" si="59"/>
        <v>46226</v>
      </c>
      <c r="RI23" s="67">
        <f t="shared" si="59"/>
        <v>46227</v>
      </c>
      <c r="RJ23" s="67">
        <f t="shared" si="59"/>
        <v>46228</v>
      </c>
      <c r="RK23" s="67">
        <f t="shared" si="59"/>
        <v>46229</v>
      </c>
      <c r="RL23" s="67">
        <f t="shared" si="59"/>
        <v>46230</v>
      </c>
      <c r="RM23" s="67">
        <f t="shared" si="59"/>
        <v>46231</v>
      </c>
      <c r="RN23" s="67">
        <f t="shared" si="59"/>
        <v>46232</v>
      </c>
      <c r="RO23" s="67">
        <f t="shared" si="59"/>
        <v>46233</v>
      </c>
      <c r="RP23" s="67">
        <f t="shared" si="59"/>
        <v>46234</v>
      </c>
      <c r="RQ23" s="112" t="s">
        <v>33</v>
      </c>
      <c r="RR23" s="113" t="s">
        <v>28</v>
      </c>
      <c r="RS23" s="114" t="s">
        <v>34</v>
      </c>
      <c r="RT23" s="112" t="s">
        <v>13</v>
      </c>
      <c r="RU23" s="113" t="s">
        <v>1</v>
      </c>
      <c r="RV23" s="113" t="s">
        <v>35</v>
      </c>
      <c r="RW23" s="113" t="s">
        <v>36</v>
      </c>
      <c r="RX23" s="113" t="s">
        <v>37</v>
      </c>
      <c r="RY23" s="113" t="s">
        <v>0</v>
      </c>
      <c r="RZ23" s="113" t="s">
        <v>38</v>
      </c>
      <c r="SA23" s="115" t="s">
        <v>11</v>
      </c>
      <c r="SB23" s="108" t="str">
        <f>elenchi!$C5</f>
        <v>VILLON BOIANO JOEL</v>
      </c>
      <c r="SC23" s="109"/>
      <c r="SD23" s="110"/>
      <c r="SE23" s="67">
        <f t="shared" ref="SE23:TI23" si="60">SE$2</f>
        <v>46235</v>
      </c>
      <c r="SF23" s="67">
        <f t="shared" si="60"/>
        <v>46236</v>
      </c>
      <c r="SG23" s="67">
        <f t="shared" si="60"/>
        <v>46237</v>
      </c>
      <c r="SH23" s="67">
        <f t="shared" si="60"/>
        <v>46238</v>
      </c>
      <c r="SI23" s="67">
        <f t="shared" si="60"/>
        <v>46239</v>
      </c>
      <c r="SJ23" s="67">
        <f t="shared" si="60"/>
        <v>46240</v>
      </c>
      <c r="SK23" s="67">
        <f t="shared" si="60"/>
        <v>46241</v>
      </c>
      <c r="SL23" s="67">
        <f t="shared" si="60"/>
        <v>46242</v>
      </c>
      <c r="SM23" s="67">
        <f t="shared" si="60"/>
        <v>46243</v>
      </c>
      <c r="SN23" s="67">
        <f t="shared" si="60"/>
        <v>46244</v>
      </c>
      <c r="SO23" s="67">
        <f t="shared" si="60"/>
        <v>46245</v>
      </c>
      <c r="SP23" s="67">
        <f t="shared" si="60"/>
        <v>46246</v>
      </c>
      <c r="SQ23" s="67">
        <f t="shared" si="60"/>
        <v>46247</v>
      </c>
      <c r="SR23" s="67">
        <f t="shared" si="60"/>
        <v>46248</v>
      </c>
      <c r="SS23" s="67">
        <f t="shared" si="60"/>
        <v>46249</v>
      </c>
      <c r="ST23" s="67">
        <f t="shared" si="60"/>
        <v>46250</v>
      </c>
      <c r="SU23" s="67">
        <f t="shared" si="60"/>
        <v>46251</v>
      </c>
      <c r="SV23" s="67">
        <f t="shared" si="60"/>
        <v>46252</v>
      </c>
      <c r="SW23" s="67">
        <f t="shared" si="60"/>
        <v>46253</v>
      </c>
      <c r="SX23" s="67">
        <f t="shared" si="60"/>
        <v>46254</v>
      </c>
      <c r="SY23" s="67">
        <f t="shared" si="60"/>
        <v>46255</v>
      </c>
      <c r="SZ23" s="67">
        <f t="shared" si="60"/>
        <v>46256</v>
      </c>
      <c r="TA23" s="67">
        <f t="shared" si="60"/>
        <v>46257</v>
      </c>
      <c r="TB23" s="67">
        <f t="shared" si="60"/>
        <v>46258</v>
      </c>
      <c r="TC23" s="67">
        <f t="shared" si="60"/>
        <v>46259</v>
      </c>
      <c r="TD23" s="67">
        <f t="shared" si="60"/>
        <v>46260</v>
      </c>
      <c r="TE23" s="67">
        <f t="shared" si="60"/>
        <v>46261</v>
      </c>
      <c r="TF23" s="67">
        <f t="shared" si="60"/>
        <v>46262</v>
      </c>
      <c r="TG23" s="67">
        <f t="shared" si="60"/>
        <v>46263</v>
      </c>
      <c r="TH23" s="67">
        <f t="shared" si="60"/>
        <v>46264</v>
      </c>
      <c r="TI23" s="67">
        <f t="shared" si="60"/>
        <v>46265</v>
      </c>
      <c r="TJ23" s="112" t="s">
        <v>33</v>
      </c>
      <c r="TK23" s="113" t="s">
        <v>28</v>
      </c>
      <c r="TL23" s="114" t="s">
        <v>34</v>
      </c>
      <c r="TM23" s="112" t="s">
        <v>13</v>
      </c>
      <c r="TN23" s="113" t="s">
        <v>1</v>
      </c>
      <c r="TO23" s="113" t="s">
        <v>35</v>
      </c>
      <c r="TP23" s="113" t="s">
        <v>36</v>
      </c>
      <c r="TQ23" s="113" t="s">
        <v>37</v>
      </c>
      <c r="TR23" s="113" t="s">
        <v>0</v>
      </c>
      <c r="TS23" s="113" t="s">
        <v>38</v>
      </c>
      <c r="TT23" s="114" t="s">
        <v>11</v>
      </c>
    </row>
    <row r="24" ht="24.75" customHeight="1">
      <c r="A24" s="73"/>
      <c r="B24" s="65"/>
      <c r="C24" s="66"/>
      <c r="D24" s="74" t="str">
        <f>Settembre25!$F$2</f>
        <v>ML</v>
      </c>
      <c r="E24" s="75" t="str">
        <f>Settembre25!$F$3</f>
        <v>ML</v>
      </c>
      <c r="F24" s="75" t="str">
        <f>Settembre25!$F$4</f>
        <v>ML</v>
      </c>
      <c r="G24" s="75" t="str">
        <f>Settembre25!$F$5</f>
        <v>ML</v>
      </c>
      <c r="H24" s="76" t="str">
        <f>Settembre25!$F$6</f>
        <v>ML</v>
      </c>
      <c r="I24" s="76" t="str">
        <f>Settembre25!$F$7</f>
        <v>ML</v>
      </c>
      <c r="J24" s="75" t="str">
        <f>Settembre25!$F$8</f>
        <v/>
      </c>
      <c r="K24" s="75" t="str">
        <f>Settembre25!$F$9</f>
        <v>ML</v>
      </c>
      <c r="L24" s="75" t="str">
        <f>Settembre25!$F$10</f>
        <v>ML</v>
      </c>
      <c r="M24" s="75" t="str">
        <f>Settembre25!$F$11</f>
        <v>ML</v>
      </c>
      <c r="N24" s="75" t="str">
        <f>Settembre25!$F$12</f>
        <v>ML</v>
      </c>
      <c r="O24" s="76" t="str">
        <f>Settembre25!$F$13</f>
        <v>ML</v>
      </c>
      <c r="P24" s="75" t="str">
        <f>Settembre25!$F$14</f>
        <v>ML</v>
      </c>
      <c r="Q24" s="75" t="str">
        <f>Settembre25!$F$15</f>
        <v/>
      </c>
      <c r="R24" s="75">
        <f>Settembre25!$F$16</f>
        <v>8</v>
      </c>
      <c r="S24" s="75">
        <f>Settembre25!$F$17</f>
        <v>8</v>
      </c>
      <c r="T24" s="75">
        <f>Settembre25!$F$18</f>
        <v>9</v>
      </c>
      <c r="U24" s="75">
        <f>Settembre25!$F$19</f>
        <v>9</v>
      </c>
      <c r="V24" s="76">
        <f>Settembre25!$F$20</f>
        <v>9</v>
      </c>
      <c r="W24" s="76">
        <f>Settembre25!$F$21</f>
        <v>8</v>
      </c>
      <c r="X24" s="75" t="str">
        <f>Settembre25!$F$22</f>
        <v/>
      </c>
      <c r="Y24" s="75">
        <f>Settembre25!$F$23</f>
        <v>8</v>
      </c>
      <c r="Z24" s="75">
        <f>Settembre25!$F$24</f>
        <v>8</v>
      </c>
      <c r="AA24" s="75">
        <f>Settembre25!$F$25</f>
        <v>8</v>
      </c>
      <c r="AB24" s="75">
        <f>Settembre25!$F$26</f>
        <v>4</v>
      </c>
      <c r="AC24" s="76">
        <f>Settembre25!$F$27</f>
        <v>8</v>
      </c>
      <c r="AD24" s="76">
        <f>Settembre25!$F$28</f>
        <v>8</v>
      </c>
      <c r="AE24" s="75" t="str">
        <f>Settembre25!$F$29</f>
        <v/>
      </c>
      <c r="AF24" s="75">
        <f>Settembre25!$F$30</f>
        <v>8</v>
      </c>
      <c r="AG24" s="75">
        <f>Settembre25!$F$31</f>
        <v>4.5</v>
      </c>
      <c r="AH24" s="77" t="str">
        <f>Settembre25!$F$32</f>
        <v/>
      </c>
      <c r="AI24" s="78"/>
      <c r="AJ24" s="79">
        <f>SUM(D24:AH24)</f>
        <v>107.5</v>
      </c>
      <c r="AK24" s="80"/>
      <c r="AL24" s="78"/>
      <c r="AM24" s="81"/>
      <c r="AN24" s="81"/>
      <c r="AO24" s="81"/>
      <c r="AP24" s="81"/>
      <c r="AQ24" s="81"/>
      <c r="AR24" s="81"/>
      <c r="AS24" s="82"/>
      <c r="AT24" s="73"/>
      <c r="AU24" s="65"/>
      <c r="AV24" s="66"/>
      <c r="AW24" s="83" t="str">
        <f>Ottobre25!$F$2</f>
        <v>Pe</v>
      </c>
      <c r="AX24" s="84">
        <f>Ottobre25!$F$3</f>
        <v>8</v>
      </c>
      <c r="AY24" s="84">
        <f>Ottobre25!$F$4</f>
        <v>8</v>
      </c>
      <c r="AZ24" s="84">
        <f>Ottobre25!$F$5</f>
        <v>8</v>
      </c>
      <c r="BA24" s="85" t="str">
        <f>Ottobre25!$F$6</f>
        <v/>
      </c>
      <c r="BB24" s="85">
        <f>Ottobre25!$F$7</f>
        <v>8</v>
      </c>
      <c r="BC24" s="84">
        <f>Ottobre25!$F$8</f>
        <v>8</v>
      </c>
      <c r="BD24" s="84">
        <f>Ottobre25!$F$9</f>
        <v>2</v>
      </c>
      <c r="BE24" s="84" t="str">
        <f>Ottobre25!$F$10</f>
        <v>ML</v>
      </c>
      <c r="BF24" s="84" t="str">
        <f>Ottobre25!$F$11</f>
        <v>ML</v>
      </c>
      <c r="BG24" s="84">
        <f>Ottobre25!$F$12</f>
        <v>8</v>
      </c>
      <c r="BH24" s="85" t="str">
        <f>Ottobre25!$F$13</f>
        <v/>
      </c>
      <c r="BI24" s="85">
        <f>Ottobre25!$F$14</f>
        <v>8</v>
      </c>
      <c r="BJ24" s="84">
        <f>Ottobre25!$F$15</f>
        <v>8</v>
      </c>
      <c r="BK24" s="84">
        <f>Ottobre25!$F$16</f>
        <v>8</v>
      </c>
      <c r="BL24" s="84">
        <f>Ottobre25!$F$17</f>
        <v>8</v>
      </c>
      <c r="BM24" s="84" t="str">
        <f>Ottobre25!$F$18</f>
        <v>ML</v>
      </c>
      <c r="BN24" s="84">
        <f>Ottobre25!$F$19</f>
        <v>8</v>
      </c>
      <c r="BO24" s="85" t="str">
        <f>Ottobre25!$F$20</f>
        <v/>
      </c>
      <c r="BP24" s="85">
        <f>Ottobre25!$F$21</f>
        <v>8</v>
      </c>
      <c r="BQ24" s="84">
        <f>Ottobre25!$F$22</f>
        <v>8</v>
      </c>
      <c r="BR24" s="84">
        <f>Ottobre25!$F$23</f>
        <v>8</v>
      </c>
      <c r="BS24" s="84">
        <f>Ottobre25!$F$24</f>
        <v>8</v>
      </c>
      <c r="BT24" s="84">
        <f>Ottobre25!$F$25</f>
        <v>8</v>
      </c>
      <c r="BU24" s="84">
        <f>Ottobre25!$F$26</f>
        <v>8</v>
      </c>
      <c r="BV24" s="85" t="str">
        <f>Ottobre25!$F$27</f>
        <v/>
      </c>
      <c r="BW24" s="85">
        <f>Ottobre25!$F$28</f>
        <v>8</v>
      </c>
      <c r="BX24" s="84">
        <f>Ottobre25!$F$29</f>
        <v>8</v>
      </c>
      <c r="BY24" s="84">
        <f>Ottobre25!$F$30</f>
        <v>8</v>
      </c>
      <c r="BZ24" s="84">
        <f>Ottobre25!$F$31</f>
        <v>8</v>
      </c>
      <c r="CA24" s="86">
        <f>Ottobre25!$F$32</f>
        <v>8</v>
      </c>
      <c r="CB24" s="78"/>
      <c r="CC24" s="79">
        <f>SUM(AW24:CA24)</f>
        <v>178</v>
      </c>
      <c r="CD24" s="80"/>
      <c r="CE24" s="78"/>
      <c r="CF24" s="81"/>
      <c r="CG24" s="81"/>
      <c r="CH24" s="81"/>
      <c r="CI24" s="81"/>
      <c r="CJ24" s="81"/>
      <c r="CK24" s="81"/>
      <c r="CL24" s="82"/>
      <c r="CM24" s="73"/>
      <c r="CN24" s="65"/>
      <c r="CO24" s="66"/>
      <c r="CP24" s="83" t="str">
        <f>Novembre25!$F$2</f>
        <v/>
      </c>
      <c r="CQ24" s="84" t="str">
        <f>Novembre25!$F$3</f>
        <v/>
      </c>
      <c r="CR24" s="84">
        <f>Novembre25!$F$4</f>
        <v>8</v>
      </c>
      <c r="CS24" s="84">
        <f>Novembre25!$F$5</f>
        <v>8</v>
      </c>
      <c r="CT24" s="85">
        <f>Novembre25!$F$6</f>
        <v>8</v>
      </c>
      <c r="CU24" s="85">
        <f>Novembre25!$F$7</f>
        <v>8</v>
      </c>
      <c r="CV24" s="84">
        <f>Novembre25!$F$8</f>
        <v>8</v>
      </c>
      <c r="CW24" s="84">
        <f>Novembre25!$F$9</f>
        <v>8</v>
      </c>
      <c r="CX24" s="84" t="str">
        <f>Novembre25!$F$10</f>
        <v/>
      </c>
      <c r="CY24" s="84">
        <f>Novembre25!$F$11</f>
        <v>8</v>
      </c>
      <c r="CZ24" s="84">
        <f>Novembre25!$F$12</f>
        <v>8</v>
      </c>
      <c r="DA24" s="85">
        <f>Novembre25!$F$13</f>
        <v>8</v>
      </c>
      <c r="DB24" s="85">
        <f>Novembre25!$F$14</f>
        <v>8</v>
      </c>
      <c r="DC24" s="84">
        <f>Novembre25!$F$15</f>
        <v>8</v>
      </c>
      <c r="DD24" s="84" t="str">
        <f>Novembre25!$F$16</f>
        <v/>
      </c>
      <c r="DE24" s="84">
        <f>Novembre25!$F$17</f>
        <v>4</v>
      </c>
      <c r="DF24" s="84">
        <f>Novembre25!$F$18</f>
        <v>8</v>
      </c>
      <c r="DG24" s="84">
        <f>Novembre25!$F$19</f>
        <v>8</v>
      </c>
      <c r="DH24" s="85">
        <f>Novembre25!$F$20</f>
        <v>8</v>
      </c>
      <c r="DI24" s="85">
        <f>Novembre25!$F$21</f>
        <v>8</v>
      </c>
      <c r="DJ24" s="84">
        <f>Novembre25!$F$22</f>
        <v>8</v>
      </c>
      <c r="DK24" s="84">
        <f>Novembre25!$F$23</f>
        <v>8</v>
      </c>
      <c r="DL24" s="84" t="str">
        <f>Novembre25!$F$24</f>
        <v/>
      </c>
      <c r="DM24" s="84">
        <f>Novembre25!$F$25</f>
        <v>8</v>
      </c>
      <c r="DN24" s="84">
        <f>Novembre25!$F$26</f>
        <v>8</v>
      </c>
      <c r="DO24" s="85">
        <f>Novembre25!$F$27</f>
        <v>8</v>
      </c>
      <c r="DP24" s="85">
        <f>Novembre25!$F$28</f>
        <v>8</v>
      </c>
      <c r="DQ24" s="84">
        <f>Novembre25!$F$29</f>
        <v>8</v>
      </c>
      <c r="DR24" s="84">
        <f>Novembre25!$F$30</f>
        <v>8</v>
      </c>
      <c r="DS24" s="84" t="str">
        <f>Novembre25!$F$31</f>
        <v/>
      </c>
      <c r="DT24" s="86" t="str">
        <f>Novembre25!$F$32</f>
        <v/>
      </c>
      <c r="DU24" s="78"/>
      <c r="DV24" s="79">
        <f>SUM(CP24:DT24)</f>
        <v>188</v>
      </c>
      <c r="DW24" s="80"/>
      <c r="DX24" s="78"/>
      <c r="DY24" s="81"/>
      <c r="DZ24" s="81"/>
      <c r="EA24" s="81"/>
      <c r="EB24" s="81"/>
      <c r="EC24" s="81"/>
      <c r="ED24" s="81"/>
      <c r="EE24" s="80"/>
      <c r="EF24" s="73"/>
      <c r="EG24" s="65"/>
      <c r="EH24" s="66"/>
      <c r="EI24" s="83">
        <f>Dicembre25!$F$2</f>
        <v>8</v>
      </c>
      <c r="EJ24" s="84">
        <f>Dicembre25!$F$3</f>
        <v>8</v>
      </c>
      <c r="EK24" s="84">
        <f>Dicembre25!$F$4</f>
        <v>8</v>
      </c>
      <c r="EL24" s="84">
        <f>Dicembre25!$F$5</f>
        <v>8</v>
      </c>
      <c r="EM24" s="85" t="str">
        <f>Dicembre25!$F$6</f>
        <v>ML</v>
      </c>
      <c r="EN24" s="85" t="str">
        <f>Dicembre25!$F$7</f>
        <v>ML</v>
      </c>
      <c r="EO24" s="84" t="str">
        <f>Dicembre25!$F$8</f>
        <v/>
      </c>
      <c r="EP24" s="84" t="str">
        <f>Dicembre25!$F$9</f>
        <v>F</v>
      </c>
      <c r="EQ24" s="84">
        <f>Dicembre25!$F$10</f>
        <v>8</v>
      </c>
      <c r="ER24" s="84">
        <f>Dicembre25!$F$11</f>
        <v>8</v>
      </c>
      <c r="ES24" s="84">
        <f>Dicembre25!$F$12</f>
        <v>8</v>
      </c>
      <c r="ET24" s="85">
        <f>Dicembre25!$F$13</f>
        <v>8</v>
      </c>
      <c r="EU24" s="85">
        <f>Dicembre25!$F$14</f>
        <v>8</v>
      </c>
      <c r="EV24" s="84" t="str">
        <f>Dicembre25!$F$15</f>
        <v/>
      </c>
      <c r="EW24" s="84">
        <f>Dicembre25!$F$16</f>
        <v>8</v>
      </c>
      <c r="EX24" s="84">
        <f>Dicembre25!$F$17</f>
        <v>8</v>
      </c>
      <c r="EY24" s="84">
        <f>Dicembre25!$F$18</f>
        <v>8</v>
      </c>
      <c r="EZ24" s="84">
        <f>Dicembre25!$F$19</f>
        <v>8</v>
      </c>
      <c r="FA24" s="85">
        <f>Dicembre25!$F$20</f>
        <v>8</v>
      </c>
      <c r="FB24" s="85">
        <f>Dicembre25!$F$21</f>
        <v>8</v>
      </c>
      <c r="FC24" s="84" t="str">
        <f>Dicembre25!$F$22</f>
        <v/>
      </c>
      <c r="FD24" s="84">
        <f>Dicembre25!$F$23</f>
        <v>8</v>
      </c>
      <c r="FE24" s="84">
        <f>Dicembre25!$F$24</f>
        <v>8</v>
      </c>
      <c r="FF24" s="84" t="str">
        <f>Dicembre25!$F$25</f>
        <v>Fe</v>
      </c>
      <c r="FG24" s="84" t="str">
        <f>Dicembre25!$F$26</f>
        <v>F</v>
      </c>
      <c r="FH24" s="85" t="str">
        <f>Dicembre25!$F$27</f>
        <v>F</v>
      </c>
      <c r="FI24" s="85" t="str">
        <f>Dicembre25!$F$28</f>
        <v/>
      </c>
      <c r="FJ24" s="84" t="str">
        <f>Dicembre25!$F$29</f>
        <v/>
      </c>
      <c r="FK24" s="84">
        <f>Dicembre25!$F$30</f>
        <v>8</v>
      </c>
      <c r="FL24" s="84">
        <f>Dicembre25!$F$31</f>
        <v>8</v>
      </c>
      <c r="FM24" s="86" t="str">
        <f>Dicembre25!$F$32</f>
        <v/>
      </c>
      <c r="FN24" s="78"/>
      <c r="FO24" s="79">
        <f>SUM(EI24:FM24)</f>
        <v>152</v>
      </c>
      <c r="FP24" s="80"/>
      <c r="FQ24" s="78"/>
      <c r="FR24" s="81"/>
      <c r="FS24" s="81"/>
      <c r="FT24" s="81"/>
      <c r="FU24" s="81"/>
      <c r="FV24" s="81"/>
      <c r="FW24" s="81"/>
      <c r="FX24" s="80"/>
      <c r="FY24" s="73"/>
      <c r="FZ24" s="65"/>
      <c r="GA24" s="66"/>
      <c r="GB24" s="83" t="str">
        <f>Gennaio26!$F$2</f>
        <v>F</v>
      </c>
      <c r="GC24" s="84" t="str">
        <f>Gennaio26!$F$3</f>
        <v>FE</v>
      </c>
      <c r="GD24" s="84" t="str">
        <f>Gennaio26!$F$4</f>
        <v/>
      </c>
      <c r="GE24" s="84" t="str">
        <f>Gennaio26!$F$5</f>
        <v/>
      </c>
      <c r="GF24" s="85" t="str">
        <f>Gennaio26!$F$6</f>
        <v>FE</v>
      </c>
      <c r="GG24" s="85" t="str">
        <f>Gennaio26!$F$7</f>
        <v>F</v>
      </c>
      <c r="GH24" s="84">
        <f>Gennaio26!$F$8</f>
        <v>8</v>
      </c>
      <c r="GI24" s="84">
        <f>Gennaio26!$F$9</f>
        <v>8</v>
      </c>
      <c r="GJ24" s="84">
        <f>Gennaio26!$F$10</f>
        <v>8</v>
      </c>
      <c r="GK24" s="84">
        <f>Gennaio26!$F$11</f>
        <v>8</v>
      </c>
      <c r="GL24" s="84" t="str">
        <f>Gennaio26!$F$12</f>
        <v/>
      </c>
      <c r="GM24" s="85">
        <f>Gennaio26!$F$13</f>
        <v>8</v>
      </c>
      <c r="GN24" s="85">
        <f>Gennaio26!$F$14</f>
        <v>8</v>
      </c>
      <c r="GO24" s="84">
        <f>Gennaio26!$F$15</f>
        <v>8</v>
      </c>
      <c r="GP24" s="84">
        <f>Gennaio26!$F$16</f>
        <v>8</v>
      </c>
      <c r="GQ24" s="84">
        <f>Gennaio26!$F$17</f>
        <v>8</v>
      </c>
      <c r="GR24" s="84">
        <f>Gennaio26!$F$18</f>
        <v>8</v>
      </c>
      <c r="GS24" s="84" t="str">
        <f>Gennaio26!$F$19</f>
        <v/>
      </c>
      <c r="GT24" s="85">
        <f>Gennaio26!$F$20</f>
        <v>8</v>
      </c>
      <c r="GU24" s="85">
        <f>Gennaio26!$F$21</f>
        <v>8</v>
      </c>
      <c r="GV24" s="84">
        <f>Gennaio26!$F$22</f>
        <v>8</v>
      </c>
      <c r="GW24" s="84">
        <f>Gennaio26!$F$23</f>
        <v>8</v>
      </c>
      <c r="GX24" s="84">
        <f>Gennaio26!$F$24</f>
        <v>8</v>
      </c>
      <c r="GY24" s="84" t="str">
        <f>Gennaio26!$F$25</f>
        <v/>
      </c>
      <c r="GZ24" s="84" t="str">
        <f>Gennaio26!$F$26</f>
        <v/>
      </c>
      <c r="HA24" s="85">
        <f>Gennaio26!$F$27</f>
        <v>7</v>
      </c>
      <c r="HB24" s="85">
        <f>Gennaio26!$F$28</f>
        <v>8</v>
      </c>
      <c r="HC24" s="84">
        <f>Gennaio26!$F$29</f>
        <v>8</v>
      </c>
      <c r="HD24" s="84">
        <f>Gennaio26!$F$30</f>
        <v>8</v>
      </c>
      <c r="HE24" s="84">
        <f>Gennaio26!$F$31</f>
        <v>8</v>
      </c>
      <c r="HF24" s="86">
        <f>Gennaio26!$F$32</f>
        <v>8</v>
      </c>
      <c r="HG24" s="78"/>
      <c r="HH24" s="79">
        <f>SUM(GB24:HF24)</f>
        <v>167</v>
      </c>
      <c r="HI24" s="80"/>
      <c r="HJ24" s="78"/>
      <c r="HK24" s="81"/>
      <c r="HL24" s="81"/>
      <c r="HM24" s="81"/>
      <c r="HN24" s="81"/>
      <c r="HO24" s="81"/>
      <c r="HP24" s="81"/>
      <c r="HQ24" s="80"/>
      <c r="HR24" s="73"/>
      <c r="HS24" s="65"/>
      <c r="HT24" s="66"/>
      <c r="HU24" s="83" t="str">
        <f>Febbraio26!$F$2</f>
        <v/>
      </c>
      <c r="HV24" s="84">
        <f>Febbraio26!$F$3</f>
        <v>8</v>
      </c>
      <c r="HW24" s="84">
        <f>Febbraio26!$F$4</f>
        <v>8</v>
      </c>
      <c r="HX24" s="84">
        <f>Febbraio26!$F$5</f>
        <v>8</v>
      </c>
      <c r="HY24" s="85">
        <f>Febbraio26!$F$6</f>
        <v>8</v>
      </c>
      <c r="HZ24" s="85">
        <f>Febbraio26!$F$7</f>
        <v>8</v>
      </c>
      <c r="IA24" s="84">
        <f>Febbraio26!$F$8</f>
        <v>8</v>
      </c>
      <c r="IB24" s="84" t="str">
        <f>Febbraio26!$F$9</f>
        <v/>
      </c>
      <c r="IC24" s="84">
        <f>Febbraio26!$F$10</f>
        <v>8</v>
      </c>
      <c r="ID24" s="84">
        <f>Febbraio26!$F$11</f>
        <v>8</v>
      </c>
      <c r="IE24" s="84">
        <f>Febbraio26!$F$12</f>
        <v>8</v>
      </c>
      <c r="IF24" s="85">
        <f>Febbraio26!$F$13</f>
        <v>8</v>
      </c>
      <c r="IG24" s="85">
        <f>Febbraio26!$F$14</f>
        <v>8</v>
      </c>
      <c r="IH24" s="84">
        <f>Febbraio26!$F$15</f>
        <v>8</v>
      </c>
      <c r="II24" s="84" t="str">
        <f>Febbraio26!$F$16</f>
        <v/>
      </c>
      <c r="IJ24" s="84">
        <f>Febbraio26!$F$17</f>
        <v>8</v>
      </c>
      <c r="IK24" s="84">
        <f>Febbraio26!$F$18</f>
        <v>8</v>
      </c>
      <c r="IL24" s="84">
        <f>Febbraio26!$F$19</f>
        <v>7</v>
      </c>
      <c r="IM24" s="85">
        <f>Febbraio26!$F$20</f>
        <v>8</v>
      </c>
      <c r="IN24" s="85">
        <f>Febbraio26!$F$21</f>
        <v>8</v>
      </c>
      <c r="IO24" s="84">
        <f>Febbraio26!$F$22</f>
        <v>8</v>
      </c>
      <c r="IP24" s="84" t="str">
        <f>Febbraio26!$F$23</f>
        <v/>
      </c>
      <c r="IQ24" s="84">
        <f>Febbraio26!$F$24</f>
        <v>8</v>
      </c>
      <c r="IR24" s="84">
        <f>Febbraio26!$F$25</f>
        <v>8</v>
      </c>
      <c r="IS24" s="84">
        <f>Febbraio26!$F$26</f>
        <v>8</v>
      </c>
      <c r="IT24" s="85">
        <f>Febbraio26!$F$27</f>
        <v>8</v>
      </c>
      <c r="IU24" s="85">
        <f>Febbraio26!$F$28</f>
        <v>8</v>
      </c>
      <c r="IV24" s="84" t="str">
        <f>Febbraio26!$F$29</f>
        <v/>
      </c>
      <c r="IW24" s="84" t="str">
        <f>Febbraio26!$F$30</f>
        <v/>
      </c>
      <c r="IX24" s="84" t="str">
        <f>Febbraio26!$F$31</f>
        <v/>
      </c>
      <c r="IY24" s="86" t="str">
        <f>Febbraio26!$F$32</f>
        <v/>
      </c>
      <c r="IZ24" s="78"/>
      <c r="JA24" s="79">
        <f>SUM(HU24:IY24)</f>
        <v>183</v>
      </c>
      <c r="JB24" s="80"/>
      <c r="JC24" s="78"/>
      <c r="JD24" s="81"/>
      <c r="JE24" s="81"/>
      <c r="JF24" s="81"/>
      <c r="JG24" s="81"/>
      <c r="JH24" s="81"/>
      <c r="JI24" s="81"/>
      <c r="JJ24" s="80"/>
      <c r="JK24" s="73"/>
      <c r="JL24" s="65"/>
      <c r="JM24" s="66"/>
      <c r="JN24" s="83">
        <f>Marzo26!$F$2</f>
        <v>3</v>
      </c>
      <c r="JO24" s="84">
        <f>Marzo26!$F$3</f>
        <v>8</v>
      </c>
      <c r="JP24" s="84">
        <f>Marzo26!$F$4</f>
        <v>8</v>
      </c>
      <c r="JQ24" s="84">
        <f>Marzo26!$F$5</f>
        <v>8</v>
      </c>
      <c r="JR24" s="85">
        <f>Marzo26!$F$6</f>
        <v>8</v>
      </c>
      <c r="JS24" s="85">
        <f>Marzo26!$F$7</f>
        <v>8</v>
      </c>
      <c r="JT24" s="84">
        <f>Marzo26!$F$8</f>
        <v>8</v>
      </c>
      <c r="JU24" s="84" t="str">
        <f>Marzo26!$F$9</f>
        <v/>
      </c>
      <c r="JV24" s="84">
        <f>Marzo26!$F$10</f>
        <v>8</v>
      </c>
      <c r="JW24" s="84">
        <f>Marzo26!$F$11</f>
        <v>8</v>
      </c>
      <c r="JX24" s="84">
        <f>Marzo26!$F$12</f>
        <v>8</v>
      </c>
      <c r="JY24" s="85">
        <f>Marzo26!$F$13</f>
        <v>8</v>
      </c>
      <c r="JZ24" s="85">
        <f>Marzo26!$F$14</f>
        <v>8</v>
      </c>
      <c r="KA24" s="84" t="str">
        <f>Marzo26!$F$15</f>
        <v/>
      </c>
      <c r="KB24" s="84" t="str">
        <f>Marzo26!$F$16</f>
        <v/>
      </c>
      <c r="KC24" s="84">
        <f>Marzo26!$F$17</f>
        <v>8</v>
      </c>
      <c r="KD24" s="84">
        <f>Marzo26!$F$18</f>
        <v>8</v>
      </c>
      <c r="KE24" s="84">
        <f>Marzo26!$F$19</f>
        <v>8</v>
      </c>
      <c r="KF24" s="85">
        <f>Marzo26!$F$20</f>
        <v>8</v>
      </c>
      <c r="KG24" s="85">
        <f>Marzo26!$F$21</f>
        <v>4.5</v>
      </c>
      <c r="KH24" s="84">
        <f>Marzo26!$F$22</f>
        <v>8</v>
      </c>
      <c r="KI24" s="84" t="str">
        <f>Marzo26!$F$23</f>
        <v/>
      </c>
      <c r="KJ24" s="84">
        <f>Marzo26!$F$24</f>
        <v>8</v>
      </c>
      <c r="KK24" s="84">
        <f>Marzo26!$F$25</f>
        <v>5.5</v>
      </c>
      <c r="KL24" s="84">
        <f>Marzo26!$F$26</f>
        <v>8</v>
      </c>
      <c r="KM24" s="85">
        <f>Marzo26!$F$27</f>
        <v>8</v>
      </c>
      <c r="KN24" s="85">
        <f>Marzo26!$F$28</f>
        <v>8</v>
      </c>
      <c r="KO24" s="84">
        <f>Marzo26!$F$29</f>
        <v>8</v>
      </c>
      <c r="KP24" s="84" t="str">
        <f>Marzo26!$F$30</f>
        <v/>
      </c>
      <c r="KQ24" s="84">
        <f>Marzo26!$F$31</f>
        <v>8</v>
      </c>
      <c r="KR24" s="86">
        <f>Marzo26!$F$32</f>
        <v>8</v>
      </c>
      <c r="KS24" s="78"/>
      <c r="KT24" s="79">
        <f>SUM(JN24:KR24)</f>
        <v>197</v>
      </c>
      <c r="KU24" s="80"/>
      <c r="KV24" s="78"/>
      <c r="KW24" s="81"/>
      <c r="KX24" s="81"/>
      <c r="KY24" s="81"/>
      <c r="KZ24" s="81"/>
      <c r="LA24" s="81"/>
      <c r="LB24" s="81"/>
      <c r="LC24" s="80"/>
      <c r="LD24" s="73"/>
      <c r="LE24" s="65"/>
      <c r="LF24" s="66"/>
      <c r="LG24" s="83" t="str">
        <f>Aprile26!$F$2</f>
        <v/>
      </c>
      <c r="LH24" s="84" t="str">
        <f>Aprile26!$F$3</f>
        <v/>
      </c>
      <c r="LI24" s="84" t="str">
        <f>Aprile26!$F$4</f>
        <v/>
      </c>
      <c r="LJ24" s="84" t="str">
        <f>Aprile26!$F$5</f>
        <v/>
      </c>
      <c r="LK24" s="85" t="str">
        <f>Aprile26!$F$6</f>
        <v/>
      </c>
      <c r="LL24" s="85" t="str">
        <f>Aprile26!$F$7</f>
        <v/>
      </c>
      <c r="LM24" s="84" t="str">
        <f>Aprile26!$F$8</f>
        <v/>
      </c>
      <c r="LN24" s="84" t="str">
        <f>Aprile26!$F$9</f>
        <v/>
      </c>
      <c r="LO24" s="84" t="str">
        <f>Aprile26!$F$10</f>
        <v/>
      </c>
      <c r="LP24" s="84" t="str">
        <f>Aprile26!$F$11</f>
        <v/>
      </c>
      <c r="LQ24" s="84" t="str">
        <f>Aprile26!$F$12</f>
        <v/>
      </c>
      <c r="LR24" s="85" t="str">
        <f>Aprile26!$F$13</f>
        <v/>
      </c>
      <c r="LS24" s="85" t="str">
        <f>Aprile26!$F$14</f>
        <v/>
      </c>
      <c r="LT24" s="84" t="str">
        <f>Aprile26!$F$15</f>
        <v/>
      </c>
      <c r="LU24" s="84" t="str">
        <f>Aprile26!$F$16</f>
        <v/>
      </c>
      <c r="LV24" s="84" t="str">
        <f>Aprile26!$F$17</f>
        <v/>
      </c>
      <c r="LW24" s="84" t="str">
        <f>Aprile26!$F$18</f>
        <v/>
      </c>
      <c r="LX24" s="84" t="str">
        <f>Aprile26!$F$19</f>
        <v/>
      </c>
      <c r="LY24" s="85" t="str">
        <f>Aprile26!$F$20</f>
        <v/>
      </c>
      <c r="LZ24" s="85" t="str">
        <f>Aprile26!$F$21</f>
        <v/>
      </c>
      <c r="MA24" s="84" t="str">
        <f>Aprile26!$F$22</f>
        <v/>
      </c>
      <c r="MB24" s="84" t="str">
        <f>Aprile26!$F$23</f>
        <v/>
      </c>
      <c r="MC24" s="84" t="str">
        <f>Aprile26!$F$24</f>
        <v/>
      </c>
      <c r="MD24" s="84" t="str">
        <f>Aprile26!$F$25</f>
        <v/>
      </c>
      <c r="ME24" s="84" t="str">
        <f>Aprile26!$F$26</f>
        <v/>
      </c>
      <c r="MF24" s="85" t="str">
        <f>Aprile26!$F$27</f>
        <v/>
      </c>
      <c r="MG24" s="85" t="str">
        <f>Aprile26!$F$28</f>
        <v/>
      </c>
      <c r="MH24" s="84" t="str">
        <f>Aprile26!$F$29</f>
        <v/>
      </c>
      <c r="MI24" s="84" t="str">
        <f>Aprile26!$F$30</f>
        <v/>
      </c>
      <c r="MJ24" s="84" t="str">
        <f>Aprile26!$F$31</f>
        <v/>
      </c>
      <c r="MK24" s="86" t="str">
        <f>Aprile26!$F$32</f>
        <v/>
      </c>
      <c r="ML24" s="78"/>
      <c r="MM24" s="79">
        <f>SUM(LG24:MK24)</f>
        <v>0</v>
      </c>
      <c r="MN24" s="80"/>
      <c r="MO24" s="78"/>
      <c r="MP24" s="81"/>
      <c r="MQ24" s="81"/>
      <c r="MR24" s="81"/>
      <c r="MS24" s="81"/>
      <c r="MT24" s="81"/>
      <c r="MU24" s="81"/>
      <c r="MV24" s="82"/>
      <c r="MW24" s="73"/>
      <c r="MX24" s="65"/>
      <c r="MY24" s="66"/>
      <c r="MZ24" s="83" t="str">
        <f>Maggio26!$F$2</f>
        <v/>
      </c>
      <c r="NA24" s="84" t="str">
        <f>Maggio26!$F$3</f>
        <v/>
      </c>
      <c r="NB24" s="84" t="str">
        <f>Maggio26!$F$4</f>
        <v/>
      </c>
      <c r="NC24" s="84" t="str">
        <f>Maggio26!$F$5</f>
        <v/>
      </c>
      <c r="ND24" s="85" t="str">
        <f>Maggio26!$F$6</f>
        <v/>
      </c>
      <c r="NE24" s="85" t="str">
        <f>Maggio26!$F$7</f>
        <v/>
      </c>
      <c r="NF24" s="84" t="str">
        <f>Maggio26!$F$8</f>
        <v/>
      </c>
      <c r="NG24" s="84" t="str">
        <f>Maggio26!$F$9</f>
        <v/>
      </c>
      <c r="NH24" s="84" t="str">
        <f>Maggio26!$F$10</f>
        <v/>
      </c>
      <c r="NI24" s="84" t="str">
        <f>Maggio26!$F$11</f>
        <v/>
      </c>
      <c r="NJ24" s="84" t="str">
        <f>Maggio26!$F$12</f>
        <v/>
      </c>
      <c r="NK24" s="85" t="str">
        <f>Maggio26!$F$13</f>
        <v/>
      </c>
      <c r="NL24" s="85" t="str">
        <f>Maggio26!$F$14</f>
        <v/>
      </c>
      <c r="NM24" s="84" t="str">
        <f>Maggio26!$F$15</f>
        <v/>
      </c>
      <c r="NN24" s="84" t="str">
        <f>Maggio26!$F$16</f>
        <v/>
      </c>
      <c r="NO24" s="84" t="str">
        <f>Maggio26!$F$17</f>
        <v/>
      </c>
      <c r="NP24" s="84" t="str">
        <f>Maggio26!$F$18</f>
        <v/>
      </c>
      <c r="NQ24" s="84" t="str">
        <f>Maggio26!$F$19</f>
        <v/>
      </c>
      <c r="NR24" s="85" t="str">
        <f>Maggio26!$F$20</f>
        <v/>
      </c>
      <c r="NS24" s="85" t="str">
        <f>Maggio26!$F$21</f>
        <v/>
      </c>
      <c r="NT24" s="84" t="str">
        <f>Maggio26!$F$22</f>
        <v/>
      </c>
      <c r="NU24" s="84" t="str">
        <f>Maggio26!$F$23</f>
        <v/>
      </c>
      <c r="NV24" s="84" t="str">
        <f>Maggio26!$F$24</f>
        <v/>
      </c>
      <c r="NW24" s="84" t="str">
        <f>Maggio26!$F$25</f>
        <v/>
      </c>
      <c r="NX24" s="84" t="str">
        <f>Maggio26!$F$26</f>
        <v/>
      </c>
      <c r="NY24" s="85" t="str">
        <f>Maggio26!$F$27</f>
        <v/>
      </c>
      <c r="NZ24" s="85" t="str">
        <f>Maggio26!$F$28</f>
        <v/>
      </c>
      <c r="OA24" s="84" t="str">
        <f>Maggio26!$F$29</f>
        <v/>
      </c>
      <c r="OB24" s="84" t="str">
        <f>Maggio26!$F$30</f>
        <v/>
      </c>
      <c r="OC24" s="84" t="str">
        <f>Maggio26!$F$31</f>
        <v/>
      </c>
      <c r="OD24" s="86" t="str">
        <f>Maggio26!$F$32</f>
        <v/>
      </c>
      <c r="OE24" s="78"/>
      <c r="OF24" s="79">
        <f>SUM(MZ24:OD24)</f>
        <v>0</v>
      </c>
      <c r="OG24" s="80"/>
      <c r="OH24" s="78"/>
      <c r="OI24" s="81"/>
      <c r="OJ24" s="81"/>
      <c r="OK24" s="81"/>
      <c r="OL24" s="81"/>
      <c r="OM24" s="81"/>
      <c r="ON24" s="81"/>
      <c r="OO24" s="82"/>
      <c r="OP24" s="73"/>
      <c r="OQ24" s="65"/>
      <c r="OR24" s="66"/>
      <c r="OS24" s="83" t="str">
        <f>Giugno26!$F$2</f>
        <v/>
      </c>
      <c r="OT24" s="84" t="str">
        <f>Giugno26!$F$3</f>
        <v/>
      </c>
      <c r="OU24" s="84" t="str">
        <f>Giugno26!$F$4</f>
        <v/>
      </c>
      <c r="OV24" s="84" t="str">
        <f>Giugno26!$F$5</f>
        <v/>
      </c>
      <c r="OW24" s="85" t="str">
        <f>Giugno26!$F$6</f>
        <v/>
      </c>
      <c r="OX24" s="85" t="str">
        <f>Giugno26!$F$7</f>
        <v/>
      </c>
      <c r="OY24" s="84" t="str">
        <f>Giugno26!$F$8</f>
        <v/>
      </c>
      <c r="OZ24" s="84" t="str">
        <f>Giugno26!$F$9</f>
        <v/>
      </c>
      <c r="PA24" s="84" t="str">
        <f>Giugno26!$F$10</f>
        <v/>
      </c>
      <c r="PB24" s="84" t="str">
        <f>Giugno26!$F$11</f>
        <v/>
      </c>
      <c r="PC24" s="84" t="str">
        <f>Giugno26!$F$12</f>
        <v/>
      </c>
      <c r="PD24" s="85" t="str">
        <f>Giugno26!$F$13</f>
        <v/>
      </c>
      <c r="PE24" s="85" t="str">
        <f>Giugno26!$F$14</f>
        <v/>
      </c>
      <c r="PF24" s="84" t="str">
        <f>Giugno26!$F$15</f>
        <v/>
      </c>
      <c r="PG24" s="84" t="str">
        <f>Giugno26!$F$16</f>
        <v/>
      </c>
      <c r="PH24" s="84" t="str">
        <f>Giugno26!$F$17</f>
        <v/>
      </c>
      <c r="PI24" s="84" t="str">
        <f>Giugno26!$F$18</f>
        <v/>
      </c>
      <c r="PJ24" s="84" t="str">
        <f>Giugno26!$F$19</f>
        <v/>
      </c>
      <c r="PK24" s="85" t="str">
        <f>Giugno26!$F$20</f>
        <v/>
      </c>
      <c r="PL24" s="85" t="str">
        <f>Giugno26!$F$21</f>
        <v/>
      </c>
      <c r="PM24" s="84" t="str">
        <f>Giugno26!$F$22</f>
        <v/>
      </c>
      <c r="PN24" s="84" t="str">
        <f>Giugno26!$F$23</f>
        <v/>
      </c>
      <c r="PO24" s="84" t="str">
        <f>Giugno26!$F$24</f>
        <v/>
      </c>
      <c r="PP24" s="84" t="str">
        <f>Giugno26!$F$25</f>
        <v/>
      </c>
      <c r="PQ24" s="84" t="str">
        <f>Giugno26!$F$26</f>
        <v/>
      </c>
      <c r="PR24" s="85" t="str">
        <f>Giugno26!$F$27</f>
        <v/>
      </c>
      <c r="PS24" s="85" t="str">
        <f>Giugno26!$F$28</f>
        <v/>
      </c>
      <c r="PT24" s="84" t="str">
        <f>Giugno26!$F$29</f>
        <v/>
      </c>
      <c r="PU24" s="84" t="str">
        <f>Giugno26!$F$30</f>
        <v/>
      </c>
      <c r="PV24" s="84" t="str">
        <f>Giugno26!$F$31</f>
        <v/>
      </c>
      <c r="PW24" s="86" t="str">
        <f>Giugno26!$F$32</f>
        <v/>
      </c>
      <c r="PX24" s="78"/>
      <c r="PY24" s="79">
        <f>SUM(OS24:PW24)</f>
        <v>0</v>
      </c>
      <c r="PZ24" s="80"/>
      <c r="QA24" s="78"/>
      <c r="QB24" s="81"/>
      <c r="QC24" s="81"/>
      <c r="QD24" s="81"/>
      <c r="QE24" s="81"/>
      <c r="QF24" s="81"/>
      <c r="QG24" s="81"/>
      <c r="QH24" s="82"/>
      <c r="QI24" s="73"/>
      <c r="QJ24" s="65"/>
      <c r="QK24" s="66"/>
      <c r="QL24" s="83" t="str">
        <f>Luglio26!$F$2</f>
        <v/>
      </c>
      <c r="QM24" s="84" t="str">
        <f>Luglio26!$F$3</f>
        <v/>
      </c>
      <c r="QN24" s="84" t="str">
        <f>Luglio26!$F$4</f>
        <v/>
      </c>
      <c r="QO24" s="84" t="str">
        <f>Luglio26!$F$5</f>
        <v/>
      </c>
      <c r="QP24" s="85" t="str">
        <f>Luglio26!$F$6</f>
        <v/>
      </c>
      <c r="QQ24" s="85" t="str">
        <f>Luglio26!$F$7</f>
        <v/>
      </c>
      <c r="QR24" s="84" t="str">
        <f>Luglio26!$F$8</f>
        <v/>
      </c>
      <c r="QS24" s="84" t="str">
        <f>Luglio26!$F$9</f>
        <v/>
      </c>
      <c r="QT24" s="84" t="str">
        <f>Luglio26!$F$10</f>
        <v/>
      </c>
      <c r="QU24" s="84" t="str">
        <f>Luglio26!$F$11</f>
        <v/>
      </c>
      <c r="QV24" s="84" t="str">
        <f>Luglio26!$F$12</f>
        <v/>
      </c>
      <c r="QW24" s="85" t="str">
        <f>Luglio26!$F$13</f>
        <v/>
      </c>
      <c r="QX24" s="85" t="str">
        <f>Luglio26!$F$14</f>
        <v/>
      </c>
      <c r="QY24" s="84" t="str">
        <f>Luglio26!$F$15</f>
        <v/>
      </c>
      <c r="QZ24" s="84" t="str">
        <f>Luglio26!$F$16</f>
        <v/>
      </c>
      <c r="RA24" s="84" t="str">
        <f>Luglio26!$F$17</f>
        <v/>
      </c>
      <c r="RB24" s="84" t="str">
        <f>Luglio26!$F$18</f>
        <v/>
      </c>
      <c r="RC24" s="84" t="str">
        <f>Luglio26!$F$19</f>
        <v/>
      </c>
      <c r="RD24" s="85" t="str">
        <f>Luglio26!$F$20</f>
        <v/>
      </c>
      <c r="RE24" s="85" t="str">
        <f>Luglio26!$F$21</f>
        <v/>
      </c>
      <c r="RF24" s="84" t="str">
        <f>Luglio26!$F$22</f>
        <v/>
      </c>
      <c r="RG24" s="84" t="str">
        <f>Luglio26!$F$23</f>
        <v/>
      </c>
      <c r="RH24" s="84" t="str">
        <f>Luglio26!$F$24</f>
        <v/>
      </c>
      <c r="RI24" s="84" t="str">
        <f>Luglio26!$F$25</f>
        <v/>
      </c>
      <c r="RJ24" s="84" t="str">
        <f>Luglio26!$F$26</f>
        <v/>
      </c>
      <c r="RK24" s="85" t="str">
        <f>Luglio26!$F$27</f>
        <v/>
      </c>
      <c r="RL24" s="85" t="str">
        <f>Luglio26!$F$28</f>
        <v/>
      </c>
      <c r="RM24" s="84" t="str">
        <f>Luglio26!$F$29</f>
        <v/>
      </c>
      <c r="RN24" s="84" t="str">
        <f>Luglio26!$F$30</f>
        <v/>
      </c>
      <c r="RO24" s="84" t="str">
        <f>Luglio26!$F$31</f>
        <v/>
      </c>
      <c r="RP24" s="86" t="str">
        <f>Luglio26!$F$32</f>
        <v/>
      </c>
      <c r="RQ24" s="78"/>
      <c r="RR24" s="79">
        <f>SUM(QL24:RP24)</f>
        <v>0</v>
      </c>
      <c r="RS24" s="80"/>
      <c r="RT24" s="78"/>
      <c r="RU24" s="81"/>
      <c r="RV24" s="81"/>
      <c r="RW24" s="81"/>
      <c r="RX24" s="81"/>
      <c r="RY24" s="81"/>
      <c r="RZ24" s="81"/>
      <c r="SA24" s="82"/>
      <c r="SB24" s="73"/>
      <c r="SC24" s="65"/>
      <c r="SD24" s="66"/>
      <c r="SE24" s="83" t="str">
        <f>Agosto26!$F$2</f>
        <v/>
      </c>
      <c r="SF24" s="84" t="str">
        <f>Agosto26!$F$3</f>
        <v/>
      </c>
      <c r="SG24" s="84" t="str">
        <f>Agosto26!$F$4</f>
        <v/>
      </c>
      <c r="SH24" s="84" t="str">
        <f>Agosto26!$F$5</f>
        <v/>
      </c>
      <c r="SI24" s="85" t="str">
        <f>Agosto26!$F$6</f>
        <v/>
      </c>
      <c r="SJ24" s="85" t="str">
        <f>Agosto26!$F$7</f>
        <v/>
      </c>
      <c r="SK24" s="84" t="str">
        <f>Agosto26!$F$8</f>
        <v/>
      </c>
      <c r="SL24" s="84" t="str">
        <f>Agosto26!$F$9</f>
        <v/>
      </c>
      <c r="SM24" s="84" t="str">
        <f>Agosto26!$F$10</f>
        <v/>
      </c>
      <c r="SN24" s="84" t="str">
        <f>Agosto26!$F$11</f>
        <v/>
      </c>
      <c r="SO24" s="84" t="str">
        <f>Agosto26!$F$12</f>
        <v/>
      </c>
      <c r="SP24" s="85" t="str">
        <f>Agosto26!$F$13</f>
        <v/>
      </c>
      <c r="SQ24" s="85" t="str">
        <f>Agosto26!$F$14</f>
        <v/>
      </c>
      <c r="SR24" s="84" t="str">
        <f>Agosto26!$F$15</f>
        <v/>
      </c>
      <c r="SS24" s="84" t="str">
        <f>Agosto26!$F$16</f>
        <v/>
      </c>
      <c r="ST24" s="84" t="str">
        <f>Agosto26!$F$17</f>
        <v/>
      </c>
      <c r="SU24" s="84" t="str">
        <f>Agosto26!$F$18</f>
        <v/>
      </c>
      <c r="SV24" s="84" t="str">
        <f>Agosto26!$F$19</f>
        <v/>
      </c>
      <c r="SW24" s="85" t="str">
        <f>Agosto26!$F$20</f>
        <v/>
      </c>
      <c r="SX24" s="85" t="str">
        <f>Agosto26!$F$21</f>
        <v/>
      </c>
      <c r="SY24" s="84" t="str">
        <f>Agosto26!$F$22</f>
        <v/>
      </c>
      <c r="SZ24" s="84" t="str">
        <f>Agosto26!$F$23</f>
        <v/>
      </c>
      <c r="TA24" s="84" t="str">
        <f>Agosto26!$F$24</f>
        <v/>
      </c>
      <c r="TB24" s="84" t="str">
        <f>Agosto26!$F$25</f>
        <v/>
      </c>
      <c r="TC24" s="84" t="str">
        <f>Agosto26!$F$26</f>
        <v/>
      </c>
      <c r="TD24" s="85" t="str">
        <f>Agosto26!$F$27</f>
        <v/>
      </c>
      <c r="TE24" s="85" t="str">
        <f>Agosto26!$F$28</f>
        <v/>
      </c>
      <c r="TF24" s="84" t="str">
        <f>Agosto26!$F$29</f>
        <v/>
      </c>
      <c r="TG24" s="84" t="str">
        <f>Agosto26!$F$30</f>
        <v/>
      </c>
      <c r="TH24" s="84" t="str">
        <f>Agosto26!$F$31</f>
        <v/>
      </c>
      <c r="TI24" s="86" t="str">
        <f>Agosto26!$F$32</f>
        <v/>
      </c>
      <c r="TJ24" s="78"/>
      <c r="TK24" s="79">
        <f>SUM(SE24:TI24)</f>
        <v>0</v>
      </c>
      <c r="TL24" s="80"/>
      <c r="TM24" s="78"/>
      <c r="TN24" s="81"/>
      <c r="TO24" s="81"/>
      <c r="TP24" s="81"/>
      <c r="TQ24" s="81"/>
      <c r="TR24" s="81"/>
      <c r="TS24" s="81"/>
      <c r="TT24" s="80"/>
    </row>
    <row r="25" ht="24.75" customHeight="1">
      <c r="A25" s="91" t="s">
        <v>39</v>
      </c>
      <c r="B25" s="65"/>
      <c r="C25" s="66"/>
      <c r="D25" s="92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93"/>
      <c r="AI25" s="78"/>
      <c r="AJ25" s="81"/>
      <c r="AK25" s="94">
        <f>SUM(D25:AG25)</f>
        <v>0</v>
      </c>
      <c r="AL25" s="78"/>
      <c r="AM25" s="81"/>
      <c r="AN25" s="81"/>
      <c r="AO25" s="81"/>
      <c r="AP25" s="81"/>
      <c r="AQ25" s="81"/>
      <c r="AR25" s="81"/>
      <c r="AS25" s="82"/>
      <c r="AT25" s="91" t="s">
        <v>39</v>
      </c>
      <c r="AU25" s="65"/>
      <c r="AV25" s="66"/>
      <c r="AW25" s="92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95"/>
      <c r="CB25" s="78"/>
      <c r="CC25" s="81"/>
      <c r="CD25" s="94">
        <f>SUM(AW25:BZ25)</f>
        <v>0</v>
      </c>
      <c r="CE25" s="78"/>
      <c r="CF25" s="81"/>
      <c r="CG25" s="81"/>
      <c r="CH25" s="81"/>
      <c r="CI25" s="81"/>
      <c r="CJ25" s="81"/>
      <c r="CK25" s="81"/>
      <c r="CL25" s="82"/>
      <c r="CM25" s="91" t="s">
        <v>39</v>
      </c>
      <c r="CN25" s="65"/>
      <c r="CO25" s="66"/>
      <c r="CP25" s="92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95"/>
      <c r="DU25" s="78"/>
      <c r="DV25" s="81"/>
      <c r="DW25" s="94">
        <f>SUM(CP25:DS25)</f>
        <v>0</v>
      </c>
      <c r="DX25" s="78"/>
      <c r="DY25" s="81"/>
      <c r="DZ25" s="81"/>
      <c r="EA25" s="81"/>
      <c r="EB25" s="81"/>
      <c r="EC25" s="81"/>
      <c r="ED25" s="81"/>
      <c r="EE25" s="80"/>
      <c r="EF25" s="91" t="s">
        <v>39</v>
      </c>
      <c r="EG25" s="65"/>
      <c r="EH25" s="66"/>
      <c r="EI25" s="92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95"/>
      <c r="FN25" s="78"/>
      <c r="FO25" s="81"/>
      <c r="FP25" s="94">
        <f>SUM(EI25:FL25)</f>
        <v>0</v>
      </c>
      <c r="FQ25" s="78"/>
      <c r="FR25" s="81"/>
      <c r="FS25" s="81"/>
      <c r="FT25" s="81"/>
      <c r="FU25" s="81"/>
      <c r="FV25" s="81"/>
      <c r="FW25" s="81"/>
      <c r="FX25" s="80"/>
      <c r="FY25" s="91" t="s">
        <v>39</v>
      </c>
      <c r="FZ25" s="65"/>
      <c r="GA25" s="66"/>
      <c r="GB25" s="92"/>
      <c r="GC25" s="85"/>
      <c r="GD25" s="85"/>
      <c r="GE25" s="85"/>
      <c r="GF25" s="85"/>
      <c r="GG25" s="85"/>
      <c r="GH25" s="85"/>
      <c r="GI25" s="85"/>
      <c r="GJ25" s="85"/>
      <c r="GK25" s="85"/>
      <c r="GL25" s="85"/>
      <c r="GM25" s="85"/>
      <c r="GN25" s="85"/>
      <c r="GO25" s="85"/>
      <c r="GP25" s="85"/>
      <c r="GQ25" s="85"/>
      <c r="GR25" s="85"/>
      <c r="GS25" s="85"/>
      <c r="GT25" s="85"/>
      <c r="GU25" s="85"/>
      <c r="GV25" s="85"/>
      <c r="GW25" s="85"/>
      <c r="GX25" s="85"/>
      <c r="GY25" s="85"/>
      <c r="GZ25" s="85"/>
      <c r="HA25" s="85"/>
      <c r="HB25" s="85"/>
      <c r="HC25" s="85"/>
      <c r="HD25" s="85"/>
      <c r="HE25" s="85"/>
      <c r="HF25" s="95"/>
      <c r="HG25" s="78"/>
      <c r="HH25" s="81"/>
      <c r="HI25" s="94">
        <f>SUM(GB25:HE25)</f>
        <v>0</v>
      </c>
      <c r="HJ25" s="78"/>
      <c r="HK25" s="81"/>
      <c r="HL25" s="81"/>
      <c r="HM25" s="81"/>
      <c r="HN25" s="81"/>
      <c r="HO25" s="81"/>
      <c r="HP25" s="81"/>
      <c r="HQ25" s="80"/>
      <c r="HR25" s="91" t="s">
        <v>39</v>
      </c>
      <c r="HS25" s="65"/>
      <c r="HT25" s="66"/>
      <c r="HU25" s="92"/>
      <c r="HV25" s="85"/>
      <c r="HW25" s="85"/>
      <c r="HX25" s="85"/>
      <c r="HY25" s="85"/>
      <c r="HZ25" s="85"/>
      <c r="IA25" s="85"/>
      <c r="IB25" s="85"/>
      <c r="IC25" s="85"/>
      <c r="ID25" s="85"/>
      <c r="IE25" s="85"/>
      <c r="IF25" s="85"/>
      <c r="IG25" s="85"/>
      <c r="IH25" s="85"/>
      <c r="II25" s="85"/>
      <c r="IJ25" s="85"/>
      <c r="IK25" s="85"/>
      <c r="IL25" s="85"/>
      <c r="IM25" s="85"/>
      <c r="IN25" s="85"/>
      <c r="IO25" s="85"/>
      <c r="IP25" s="85"/>
      <c r="IQ25" s="85"/>
      <c r="IR25" s="85"/>
      <c r="IS25" s="85"/>
      <c r="IT25" s="85"/>
      <c r="IU25" s="85"/>
      <c r="IV25" s="85"/>
      <c r="IW25" s="85"/>
      <c r="IX25" s="85"/>
      <c r="IY25" s="95"/>
      <c r="IZ25" s="78"/>
      <c r="JA25" s="81"/>
      <c r="JB25" s="94">
        <f>SUM(HU25:IX25)</f>
        <v>0</v>
      </c>
      <c r="JC25" s="78"/>
      <c r="JD25" s="81"/>
      <c r="JE25" s="81"/>
      <c r="JF25" s="81"/>
      <c r="JG25" s="81"/>
      <c r="JH25" s="81"/>
      <c r="JI25" s="81"/>
      <c r="JJ25" s="80"/>
      <c r="JK25" s="91" t="s">
        <v>39</v>
      </c>
      <c r="JL25" s="65"/>
      <c r="JM25" s="66"/>
      <c r="JN25" s="92"/>
      <c r="JO25" s="85"/>
      <c r="JP25" s="85"/>
      <c r="JQ25" s="85"/>
      <c r="JR25" s="85"/>
      <c r="JS25" s="85"/>
      <c r="JT25" s="85"/>
      <c r="JU25" s="85"/>
      <c r="JV25" s="85"/>
      <c r="JW25" s="85"/>
      <c r="JX25" s="85"/>
      <c r="JY25" s="85"/>
      <c r="JZ25" s="85"/>
      <c r="KA25" s="85"/>
      <c r="KB25" s="85"/>
      <c r="KC25" s="85"/>
      <c r="KD25" s="85"/>
      <c r="KE25" s="85"/>
      <c r="KF25" s="85"/>
      <c r="KG25" s="85"/>
      <c r="KH25" s="85"/>
      <c r="KI25" s="85"/>
      <c r="KJ25" s="85"/>
      <c r="KK25" s="85"/>
      <c r="KL25" s="85"/>
      <c r="KM25" s="85"/>
      <c r="KN25" s="85"/>
      <c r="KO25" s="85"/>
      <c r="KP25" s="85"/>
      <c r="KQ25" s="85"/>
      <c r="KR25" s="95"/>
      <c r="KS25" s="78"/>
      <c r="KT25" s="81"/>
      <c r="KU25" s="94">
        <f>SUM(JN25:KQ25)</f>
        <v>0</v>
      </c>
      <c r="KV25" s="78"/>
      <c r="KW25" s="81"/>
      <c r="KX25" s="81"/>
      <c r="KY25" s="81"/>
      <c r="KZ25" s="81"/>
      <c r="LA25" s="81"/>
      <c r="LB25" s="81"/>
      <c r="LC25" s="80"/>
      <c r="LD25" s="91" t="s">
        <v>39</v>
      </c>
      <c r="LE25" s="65"/>
      <c r="LF25" s="66"/>
      <c r="LG25" s="92"/>
      <c r="LH25" s="85"/>
      <c r="LI25" s="85"/>
      <c r="LJ25" s="85"/>
      <c r="LK25" s="85"/>
      <c r="LL25" s="85"/>
      <c r="LM25" s="85"/>
      <c r="LN25" s="85"/>
      <c r="LO25" s="85"/>
      <c r="LP25" s="85"/>
      <c r="LQ25" s="85"/>
      <c r="LR25" s="85"/>
      <c r="LS25" s="85"/>
      <c r="LT25" s="85"/>
      <c r="LU25" s="85"/>
      <c r="LV25" s="85"/>
      <c r="LW25" s="85"/>
      <c r="LX25" s="85"/>
      <c r="LY25" s="85"/>
      <c r="LZ25" s="85"/>
      <c r="MA25" s="85"/>
      <c r="MB25" s="85"/>
      <c r="MC25" s="85"/>
      <c r="MD25" s="85"/>
      <c r="ME25" s="85"/>
      <c r="MF25" s="85"/>
      <c r="MG25" s="85"/>
      <c r="MH25" s="85"/>
      <c r="MI25" s="85"/>
      <c r="MJ25" s="85"/>
      <c r="MK25" s="95"/>
      <c r="ML25" s="78"/>
      <c r="MM25" s="81"/>
      <c r="MN25" s="94">
        <f>SUM(LG25:MJ25)</f>
        <v>0</v>
      </c>
      <c r="MO25" s="78"/>
      <c r="MP25" s="81"/>
      <c r="MQ25" s="81"/>
      <c r="MR25" s="81"/>
      <c r="MS25" s="81"/>
      <c r="MT25" s="81"/>
      <c r="MU25" s="81"/>
      <c r="MV25" s="82"/>
      <c r="MW25" s="91" t="s">
        <v>39</v>
      </c>
      <c r="MX25" s="65"/>
      <c r="MY25" s="66"/>
      <c r="MZ25" s="92"/>
      <c r="NA25" s="85"/>
      <c r="NB25" s="85"/>
      <c r="NC25" s="85"/>
      <c r="ND25" s="85"/>
      <c r="NE25" s="85"/>
      <c r="NF25" s="85"/>
      <c r="NG25" s="85"/>
      <c r="NH25" s="85"/>
      <c r="NI25" s="85"/>
      <c r="NJ25" s="85"/>
      <c r="NK25" s="85"/>
      <c r="NL25" s="85"/>
      <c r="NM25" s="85"/>
      <c r="NN25" s="85"/>
      <c r="NO25" s="85"/>
      <c r="NP25" s="85"/>
      <c r="NQ25" s="85"/>
      <c r="NR25" s="85"/>
      <c r="NS25" s="85"/>
      <c r="NT25" s="85"/>
      <c r="NU25" s="85"/>
      <c r="NV25" s="85"/>
      <c r="NW25" s="85"/>
      <c r="NX25" s="85"/>
      <c r="NY25" s="85"/>
      <c r="NZ25" s="85"/>
      <c r="OA25" s="85"/>
      <c r="OB25" s="85"/>
      <c r="OC25" s="85"/>
      <c r="OD25" s="95"/>
      <c r="OE25" s="78"/>
      <c r="OF25" s="81"/>
      <c r="OG25" s="94">
        <f>SUM(MZ25:OC25)</f>
        <v>0</v>
      </c>
      <c r="OH25" s="78"/>
      <c r="OI25" s="81"/>
      <c r="OJ25" s="81"/>
      <c r="OK25" s="81"/>
      <c r="OL25" s="81"/>
      <c r="OM25" s="81"/>
      <c r="ON25" s="81"/>
      <c r="OO25" s="82"/>
      <c r="OP25" s="91" t="s">
        <v>39</v>
      </c>
      <c r="OQ25" s="65"/>
      <c r="OR25" s="66"/>
      <c r="OS25" s="92"/>
      <c r="OT25" s="85"/>
      <c r="OU25" s="85"/>
      <c r="OV25" s="85"/>
      <c r="OW25" s="85"/>
      <c r="OX25" s="85"/>
      <c r="OY25" s="85"/>
      <c r="OZ25" s="85"/>
      <c r="PA25" s="85"/>
      <c r="PB25" s="85"/>
      <c r="PC25" s="85"/>
      <c r="PD25" s="85"/>
      <c r="PE25" s="85"/>
      <c r="PF25" s="85"/>
      <c r="PG25" s="85"/>
      <c r="PH25" s="85"/>
      <c r="PI25" s="85"/>
      <c r="PJ25" s="85"/>
      <c r="PK25" s="85"/>
      <c r="PL25" s="85"/>
      <c r="PM25" s="85"/>
      <c r="PN25" s="85"/>
      <c r="PO25" s="85"/>
      <c r="PP25" s="85"/>
      <c r="PQ25" s="85"/>
      <c r="PR25" s="85"/>
      <c r="PS25" s="85"/>
      <c r="PT25" s="85"/>
      <c r="PU25" s="85"/>
      <c r="PV25" s="85"/>
      <c r="PW25" s="95"/>
      <c r="PX25" s="78"/>
      <c r="PY25" s="81"/>
      <c r="PZ25" s="94">
        <f>SUM(OS25:PV25)</f>
        <v>0</v>
      </c>
      <c r="QA25" s="78"/>
      <c r="QB25" s="81"/>
      <c r="QC25" s="81"/>
      <c r="QD25" s="81"/>
      <c r="QE25" s="81"/>
      <c r="QF25" s="81"/>
      <c r="QG25" s="81"/>
      <c r="QH25" s="82"/>
      <c r="QI25" s="91" t="s">
        <v>39</v>
      </c>
      <c r="QJ25" s="65"/>
      <c r="QK25" s="66"/>
      <c r="QL25" s="92"/>
      <c r="QM25" s="85"/>
      <c r="QN25" s="85"/>
      <c r="QO25" s="85"/>
      <c r="QP25" s="85"/>
      <c r="QQ25" s="85"/>
      <c r="QR25" s="85"/>
      <c r="QS25" s="85"/>
      <c r="QT25" s="85"/>
      <c r="QU25" s="85"/>
      <c r="QV25" s="85"/>
      <c r="QW25" s="85"/>
      <c r="QX25" s="85"/>
      <c r="QY25" s="85"/>
      <c r="QZ25" s="85"/>
      <c r="RA25" s="85"/>
      <c r="RB25" s="85"/>
      <c r="RC25" s="85"/>
      <c r="RD25" s="85"/>
      <c r="RE25" s="85"/>
      <c r="RF25" s="85"/>
      <c r="RG25" s="85"/>
      <c r="RH25" s="85"/>
      <c r="RI25" s="85"/>
      <c r="RJ25" s="85"/>
      <c r="RK25" s="85"/>
      <c r="RL25" s="85"/>
      <c r="RM25" s="85"/>
      <c r="RN25" s="85"/>
      <c r="RO25" s="85"/>
      <c r="RP25" s="95"/>
      <c r="RQ25" s="78"/>
      <c r="RR25" s="81"/>
      <c r="RS25" s="94">
        <f>SUM(QL25:RO25)</f>
        <v>0</v>
      </c>
      <c r="RT25" s="78"/>
      <c r="RU25" s="81"/>
      <c r="RV25" s="81"/>
      <c r="RW25" s="81"/>
      <c r="RX25" s="81"/>
      <c r="RY25" s="81"/>
      <c r="RZ25" s="81"/>
      <c r="SA25" s="82"/>
      <c r="SB25" s="91" t="s">
        <v>39</v>
      </c>
      <c r="SC25" s="65"/>
      <c r="SD25" s="66"/>
      <c r="SE25" s="92"/>
      <c r="SF25" s="85"/>
      <c r="SG25" s="85"/>
      <c r="SH25" s="85"/>
      <c r="SI25" s="85"/>
      <c r="SJ25" s="85"/>
      <c r="SK25" s="85"/>
      <c r="SL25" s="85"/>
      <c r="SM25" s="85"/>
      <c r="SN25" s="85"/>
      <c r="SO25" s="85"/>
      <c r="SP25" s="85"/>
      <c r="SQ25" s="85"/>
      <c r="SR25" s="85"/>
      <c r="SS25" s="85"/>
      <c r="ST25" s="85"/>
      <c r="SU25" s="85"/>
      <c r="SV25" s="85"/>
      <c r="SW25" s="85"/>
      <c r="SX25" s="85"/>
      <c r="SY25" s="85"/>
      <c r="SZ25" s="85"/>
      <c r="TA25" s="85"/>
      <c r="TB25" s="85"/>
      <c r="TC25" s="85"/>
      <c r="TD25" s="85"/>
      <c r="TE25" s="85"/>
      <c r="TF25" s="85"/>
      <c r="TG25" s="85"/>
      <c r="TH25" s="85"/>
      <c r="TI25" s="95"/>
      <c r="TJ25" s="78"/>
      <c r="TK25" s="81"/>
      <c r="TL25" s="94">
        <f>SUM(SE25:TH25)</f>
        <v>0</v>
      </c>
      <c r="TM25" s="78"/>
      <c r="TN25" s="81"/>
      <c r="TO25" s="81"/>
      <c r="TP25" s="81"/>
      <c r="TQ25" s="81"/>
      <c r="TR25" s="81"/>
      <c r="TS25" s="81"/>
      <c r="TT25" s="80"/>
    </row>
    <row r="26" ht="24.75" customHeight="1">
      <c r="A26" s="96"/>
      <c r="B26" s="97"/>
      <c r="C26" s="98"/>
      <c r="D26" s="92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93"/>
      <c r="AI26" s="78"/>
      <c r="AJ26" s="81"/>
      <c r="AK26" s="80"/>
      <c r="AL26" s="78"/>
      <c r="AM26" s="81"/>
      <c r="AN26" s="81"/>
      <c r="AO26" s="81"/>
      <c r="AP26" s="81"/>
      <c r="AQ26" s="81"/>
      <c r="AR26" s="81"/>
      <c r="AS26" s="82"/>
      <c r="AT26" s="96"/>
      <c r="AU26" s="97"/>
      <c r="AV26" s="98"/>
      <c r="AW26" s="92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95"/>
      <c r="CB26" s="78"/>
      <c r="CC26" s="81"/>
      <c r="CD26" s="80"/>
      <c r="CE26" s="78"/>
      <c r="CF26" s="81"/>
      <c r="CG26" s="81"/>
      <c r="CH26" s="81"/>
      <c r="CI26" s="81"/>
      <c r="CJ26" s="81"/>
      <c r="CK26" s="81"/>
      <c r="CL26" s="82"/>
      <c r="CM26" s="96"/>
      <c r="CN26" s="97"/>
      <c r="CO26" s="98"/>
      <c r="CP26" s="92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95"/>
      <c r="DU26" s="78"/>
      <c r="DV26" s="81"/>
      <c r="DW26" s="80"/>
      <c r="DX26" s="78"/>
      <c r="DY26" s="81"/>
      <c r="DZ26" s="81"/>
      <c r="EA26" s="81"/>
      <c r="EB26" s="81"/>
      <c r="EC26" s="81"/>
      <c r="ED26" s="81"/>
      <c r="EE26" s="80"/>
      <c r="EF26" s="96"/>
      <c r="EG26" s="97"/>
      <c r="EH26" s="98"/>
      <c r="EI26" s="92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95"/>
      <c r="FN26" s="78"/>
      <c r="FO26" s="81"/>
      <c r="FP26" s="80"/>
      <c r="FQ26" s="78"/>
      <c r="FR26" s="81"/>
      <c r="FS26" s="81"/>
      <c r="FT26" s="81"/>
      <c r="FU26" s="81"/>
      <c r="FV26" s="81"/>
      <c r="FW26" s="81"/>
      <c r="FX26" s="80"/>
      <c r="FY26" s="96"/>
      <c r="FZ26" s="97"/>
      <c r="GA26" s="98"/>
      <c r="GB26" s="92"/>
      <c r="GC26" s="85"/>
      <c r="GD26" s="85"/>
      <c r="GE26" s="85"/>
      <c r="GF26" s="85"/>
      <c r="GG26" s="85"/>
      <c r="GH26" s="85"/>
      <c r="GI26" s="85"/>
      <c r="GJ26" s="85"/>
      <c r="GK26" s="85"/>
      <c r="GL26" s="85"/>
      <c r="GM26" s="85"/>
      <c r="GN26" s="85"/>
      <c r="GO26" s="85"/>
      <c r="GP26" s="85"/>
      <c r="GQ26" s="85"/>
      <c r="GR26" s="85"/>
      <c r="GS26" s="85"/>
      <c r="GT26" s="85"/>
      <c r="GU26" s="85"/>
      <c r="GV26" s="85"/>
      <c r="GW26" s="85"/>
      <c r="GX26" s="85"/>
      <c r="GY26" s="85"/>
      <c r="GZ26" s="85"/>
      <c r="HA26" s="85"/>
      <c r="HB26" s="85"/>
      <c r="HC26" s="85"/>
      <c r="HD26" s="85"/>
      <c r="HE26" s="85"/>
      <c r="HF26" s="95"/>
      <c r="HG26" s="78"/>
      <c r="HH26" s="81"/>
      <c r="HI26" s="80"/>
      <c r="HJ26" s="78"/>
      <c r="HK26" s="81"/>
      <c r="HL26" s="81"/>
      <c r="HM26" s="81"/>
      <c r="HN26" s="81"/>
      <c r="HO26" s="81"/>
      <c r="HP26" s="81"/>
      <c r="HQ26" s="80"/>
      <c r="HR26" s="96"/>
      <c r="HS26" s="97"/>
      <c r="HT26" s="98"/>
      <c r="HU26" s="92"/>
      <c r="HV26" s="85"/>
      <c r="HW26" s="85"/>
      <c r="HX26" s="85"/>
      <c r="HY26" s="85"/>
      <c r="HZ26" s="85"/>
      <c r="IA26" s="85"/>
      <c r="IB26" s="85"/>
      <c r="IC26" s="85"/>
      <c r="ID26" s="85"/>
      <c r="IE26" s="85"/>
      <c r="IF26" s="85"/>
      <c r="IG26" s="85"/>
      <c r="IH26" s="85"/>
      <c r="II26" s="85"/>
      <c r="IJ26" s="85"/>
      <c r="IK26" s="85"/>
      <c r="IL26" s="85"/>
      <c r="IM26" s="85"/>
      <c r="IN26" s="85"/>
      <c r="IO26" s="85"/>
      <c r="IP26" s="85"/>
      <c r="IQ26" s="85"/>
      <c r="IR26" s="85"/>
      <c r="IS26" s="85"/>
      <c r="IT26" s="85"/>
      <c r="IU26" s="85"/>
      <c r="IV26" s="85"/>
      <c r="IW26" s="85"/>
      <c r="IX26" s="85"/>
      <c r="IY26" s="95"/>
      <c r="IZ26" s="78"/>
      <c r="JA26" s="81"/>
      <c r="JB26" s="80"/>
      <c r="JC26" s="78"/>
      <c r="JD26" s="81"/>
      <c r="JE26" s="81"/>
      <c r="JF26" s="81"/>
      <c r="JG26" s="81"/>
      <c r="JH26" s="81"/>
      <c r="JI26" s="81"/>
      <c r="JJ26" s="80"/>
      <c r="JK26" s="96"/>
      <c r="JL26" s="97"/>
      <c r="JM26" s="98"/>
      <c r="JN26" s="92"/>
      <c r="JO26" s="85"/>
      <c r="JP26" s="85"/>
      <c r="JQ26" s="85"/>
      <c r="JR26" s="85"/>
      <c r="JS26" s="85"/>
      <c r="JT26" s="85"/>
      <c r="JU26" s="85"/>
      <c r="JV26" s="85"/>
      <c r="JW26" s="85"/>
      <c r="JX26" s="85"/>
      <c r="JY26" s="85"/>
      <c r="JZ26" s="85"/>
      <c r="KA26" s="85"/>
      <c r="KB26" s="85"/>
      <c r="KC26" s="85"/>
      <c r="KD26" s="85"/>
      <c r="KE26" s="85"/>
      <c r="KF26" s="85"/>
      <c r="KG26" s="85"/>
      <c r="KH26" s="85"/>
      <c r="KI26" s="85"/>
      <c r="KJ26" s="85"/>
      <c r="KK26" s="85"/>
      <c r="KL26" s="85"/>
      <c r="KM26" s="85"/>
      <c r="KN26" s="85"/>
      <c r="KO26" s="85"/>
      <c r="KP26" s="85"/>
      <c r="KQ26" s="85"/>
      <c r="KR26" s="95"/>
      <c r="KS26" s="78"/>
      <c r="KT26" s="81"/>
      <c r="KU26" s="80"/>
      <c r="KV26" s="78"/>
      <c r="KW26" s="81"/>
      <c r="KX26" s="81"/>
      <c r="KY26" s="81"/>
      <c r="KZ26" s="81"/>
      <c r="LA26" s="81"/>
      <c r="LB26" s="81"/>
      <c r="LC26" s="80"/>
      <c r="LD26" s="96"/>
      <c r="LE26" s="97"/>
      <c r="LF26" s="98"/>
      <c r="LG26" s="92"/>
      <c r="LH26" s="85"/>
      <c r="LI26" s="85"/>
      <c r="LJ26" s="85"/>
      <c r="LK26" s="85"/>
      <c r="LL26" s="85"/>
      <c r="LM26" s="85"/>
      <c r="LN26" s="85"/>
      <c r="LO26" s="85"/>
      <c r="LP26" s="85"/>
      <c r="LQ26" s="85"/>
      <c r="LR26" s="85"/>
      <c r="LS26" s="85"/>
      <c r="LT26" s="85"/>
      <c r="LU26" s="85"/>
      <c r="LV26" s="85"/>
      <c r="LW26" s="85"/>
      <c r="LX26" s="85"/>
      <c r="LY26" s="85"/>
      <c r="LZ26" s="85"/>
      <c r="MA26" s="85"/>
      <c r="MB26" s="85"/>
      <c r="MC26" s="85"/>
      <c r="MD26" s="85"/>
      <c r="ME26" s="85"/>
      <c r="MF26" s="85"/>
      <c r="MG26" s="85"/>
      <c r="MH26" s="85"/>
      <c r="MI26" s="85"/>
      <c r="MJ26" s="85"/>
      <c r="MK26" s="95"/>
      <c r="ML26" s="78"/>
      <c r="MM26" s="81"/>
      <c r="MN26" s="80"/>
      <c r="MO26" s="78"/>
      <c r="MP26" s="81"/>
      <c r="MQ26" s="81"/>
      <c r="MR26" s="81"/>
      <c r="MS26" s="81"/>
      <c r="MT26" s="81"/>
      <c r="MU26" s="81"/>
      <c r="MV26" s="80"/>
      <c r="MW26" s="96"/>
      <c r="MX26" s="97"/>
      <c r="MY26" s="98"/>
      <c r="MZ26" s="92"/>
      <c r="NA26" s="85"/>
      <c r="NB26" s="85"/>
      <c r="NC26" s="85"/>
      <c r="ND26" s="85"/>
      <c r="NE26" s="85"/>
      <c r="NF26" s="85"/>
      <c r="NG26" s="85"/>
      <c r="NH26" s="85"/>
      <c r="NI26" s="85"/>
      <c r="NJ26" s="85"/>
      <c r="NK26" s="85"/>
      <c r="NL26" s="85"/>
      <c r="NM26" s="85"/>
      <c r="NN26" s="85"/>
      <c r="NO26" s="85"/>
      <c r="NP26" s="85"/>
      <c r="NQ26" s="85"/>
      <c r="NR26" s="85"/>
      <c r="NS26" s="85"/>
      <c r="NT26" s="85"/>
      <c r="NU26" s="85"/>
      <c r="NV26" s="85"/>
      <c r="NW26" s="85"/>
      <c r="NX26" s="85"/>
      <c r="NY26" s="85"/>
      <c r="NZ26" s="85"/>
      <c r="OA26" s="85"/>
      <c r="OB26" s="85"/>
      <c r="OC26" s="85"/>
      <c r="OD26" s="95"/>
      <c r="OE26" s="78"/>
      <c r="OF26" s="81"/>
      <c r="OG26" s="80"/>
      <c r="OH26" s="78"/>
      <c r="OI26" s="81"/>
      <c r="OJ26" s="81"/>
      <c r="OK26" s="81"/>
      <c r="OL26" s="81"/>
      <c r="OM26" s="81"/>
      <c r="ON26" s="81"/>
      <c r="OO26" s="80"/>
      <c r="OP26" s="96"/>
      <c r="OQ26" s="97"/>
      <c r="OR26" s="98"/>
      <c r="OS26" s="92"/>
      <c r="OT26" s="85"/>
      <c r="OU26" s="85"/>
      <c r="OV26" s="85"/>
      <c r="OW26" s="85"/>
      <c r="OX26" s="85"/>
      <c r="OY26" s="85"/>
      <c r="OZ26" s="85"/>
      <c r="PA26" s="85"/>
      <c r="PB26" s="85"/>
      <c r="PC26" s="85"/>
      <c r="PD26" s="85"/>
      <c r="PE26" s="85"/>
      <c r="PF26" s="85"/>
      <c r="PG26" s="85"/>
      <c r="PH26" s="85"/>
      <c r="PI26" s="85"/>
      <c r="PJ26" s="85"/>
      <c r="PK26" s="85"/>
      <c r="PL26" s="85"/>
      <c r="PM26" s="85"/>
      <c r="PN26" s="85"/>
      <c r="PO26" s="85"/>
      <c r="PP26" s="85"/>
      <c r="PQ26" s="85"/>
      <c r="PR26" s="85"/>
      <c r="PS26" s="85"/>
      <c r="PT26" s="85"/>
      <c r="PU26" s="85"/>
      <c r="PV26" s="85"/>
      <c r="PW26" s="95"/>
      <c r="PX26" s="78"/>
      <c r="PY26" s="81"/>
      <c r="PZ26" s="80"/>
      <c r="QA26" s="78"/>
      <c r="QB26" s="81"/>
      <c r="QC26" s="81"/>
      <c r="QD26" s="81"/>
      <c r="QE26" s="81"/>
      <c r="QF26" s="81"/>
      <c r="QG26" s="81"/>
      <c r="QH26" s="80"/>
      <c r="QI26" s="96"/>
      <c r="QJ26" s="97"/>
      <c r="QK26" s="98"/>
      <c r="QL26" s="92"/>
      <c r="QM26" s="85"/>
      <c r="QN26" s="85"/>
      <c r="QO26" s="85"/>
      <c r="QP26" s="85"/>
      <c r="QQ26" s="85"/>
      <c r="QR26" s="85"/>
      <c r="QS26" s="85"/>
      <c r="QT26" s="85"/>
      <c r="QU26" s="85"/>
      <c r="QV26" s="85"/>
      <c r="QW26" s="85"/>
      <c r="QX26" s="85"/>
      <c r="QY26" s="85"/>
      <c r="QZ26" s="85"/>
      <c r="RA26" s="85"/>
      <c r="RB26" s="85"/>
      <c r="RC26" s="85"/>
      <c r="RD26" s="85"/>
      <c r="RE26" s="85"/>
      <c r="RF26" s="85"/>
      <c r="RG26" s="85"/>
      <c r="RH26" s="85"/>
      <c r="RI26" s="85"/>
      <c r="RJ26" s="85"/>
      <c r="RK26" s="85"/>
      <c r="RL26" s="85"/>
      <c r="RM26" s="85"/>
      <c r="RN26" s="85"/>
      <c r="RO26" s="85"/>
      <c r="RP26" s="95"/>
      <c r="RQ26" s="78"/>
      <c r="RR26" s="81"/>
      <c r="RS26" s="80"/>
      <c r="RT26" s="78"/>
      <c r="RU26" s="81"/>
      <c r="RV26" s="81"/>
      <c r="RW26" s="81"/>
      <c r="RX26" s="81"/>
      <c r="RY26" s="81"/>
      <c r="RZ26" s="81"/>
      <c r="SA26" s="80"/>
      <c r="SB26" s="96"/>
      <c r="SC26" s="97"/>
      <c r="SD26" s="98"/>
      <c r="SE26" s="92"/>
      <c r="SF26" s="85"/>
      <c r="SG26" s="85"/>
      <c r="SH26" s="85"/>
      <c r="SI26" s="85"/>
      <c r="SJ26" s="85"/>
      <c r="SK26" s="85"/>
      <c r="SL26" s="85"/>
      <c r="SM26" s="85"/>
      <c r="SN26" s="85"/>
      <c r="SO26" s="85"/>
      <c r="SP26" s="85"/>
      <c r="SQ26" s="85"/>
      <c r="SR26" s="85"/>
      <c r="SS26" s="85"/>
      <c r="ST26" s="85"/>
      <c r="SU26" s="85"/>
      <c r="SV26" s="85"/>
      <c r="SW26" s="85"/>
      <c r="SX26" s="85"/>
      <c r="SY26" s="85"/>
      <c r="SZ26" s="85"/>
      <c r="TA26" s="85"/>
      <c r="TB26" s="85"/>
      <c r="TC26" s="85"/>
      <c r="TD26" s="85"/>
      <c r="TE26" s="85"/>
      <c r="TF26" s="85"/>
      <c r="TG26" s="85"/>
      <c r="TH26" s="85"/>
      <c r="TI26" s="95"/>
      <c r="TJ26" s="78"/>
      <c r="TK26" s="81"/>
      <c r="TL26" s="80"/>
      <c r="TM26" s="78"/>
      <c r="TN26" s="81"/>
      <c r="TO26" s="81"/>
      <c r="TP26" s="81"/>
      <c r="TQ26" s="81"/>
      <c r="TR26" s="81"/>
      <c r="TS26" s="81"/>
      <c r="TT26" s="80"/>
    </row>
    <row r="27" ht="24.75" customHeight="1">
      <c r="A27" s="100" t="s">
        <v>27</v>
      </c>
      <c r="B27" s="101"/>
      <c r="C27" s="102"/>
      <c r="D27" s="103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4"/>
      <c r="AH27" s="105"/>
      <c r="AI27" s="103"/>
      <c r="AJ27" s="101"/>
      <c r="AK27" s="102"/>
      <c r="AL27" s="103"/>
      <c r="AM27" s="101"/>
      <c r="AN27" s="101"/>
      <c r="AO27" s="101"/>
      <c r="AP27" s="101"/>
      <c r="AQ27" s="101"/>
      <c r="AR27" s="101"/>
      <c r="AS27" s="102"/>
      <c r="AT27" s="100" t="s">
        <v>27</v>
      </c>
      <c r="AU27" s="101"/>
      <c r="AV27" s="102"/>
      <c r="AW27" s="103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4"/>
      <c r="CA27" s="106"/>
      <c r="CB27" s="103"/>
      <c r="CC27" s="101"/>
      <c r="CD27" s="102"/>
      <c r="CE27" s="103"/>
      <c r="CF27" s="101"/>
      <c r="CG27" s="101"/>
      <c r="CH27" s="101"/>
      <c r="CI27" s="101"/>
      <c r="CJ27" s="101"/>
      <c r="CK27" s="101"/>
      <c r="CL27" s="102"/>
      <c r="CM27" s="100" t="s">
        <v>27</v>
      </c>
      <c r="CN27" s="101"/>
      <c r="CO27" s="102"/>
      <c r="CP27" s="103"/>
      <c r="CQ27" s="101"/>
      <c r="CR27" s="101"/>
      <c r="CS27" s="101"/>
      <c r="CT27" s="101"/>
      <c r="CU27" s="101"/>
      <c r="CV27" s="101"/>
      <c r="CW27" s="101"/>
      <c r="CX27" s="101"/>
      <c r="CY27" s="101"/>
      <c r="CZ27" s="101"/>
      <c r="DA27" s="101"/>
      <c r="DB27" s="101"/>
      <c r="DC27" s="101"/>
      <c r="DD27" s="101"/>
      <c r="DE27" s="101"/>
      <c r="DF27" s="101"/>
      <c r="DG27" s="101"/>
      <c r="DH27" s="101"/>
      <c r="DI27" s="101"/>
      <c r="DJ27" s="101"/>
      <c r="DK27" s="101"/>
      <c r="DL27" s="101"/>
      <c r="DM27" s="101"/>
      <c r="DN27" s="101"/>
      <c r="DO27" s="101"/>
      <c r="DP27" s="101"/>
      <c r="DQ27" s="101"/>
      <c r="DR27" s="101"/>
      <c r="DS27" s="104"/>
      <c r="DT27" s="106"/>
      <c r="DU27" s="103"/>
      <c r="DV27" s="101"/>
      <c r="DW27" s="102"/>
      <c r="DX27" s="103"/>
      <c r="DY27" s="101"/>
      <c r="DZ27" s="101"/>
      <c r="EA27" s="101"/>
      <c r="EB27" s="101"/>
      <c r="EC27" s="101"/>
      <c r="ED27" s="101"/>
      <c r="EE27" s="102"/>
      <c r="EF27" s="100" t="s">
        <v>27</v>
      </c>
      <c r="EG27" s="101"/>
      <c r="EH27" s="102"/>
      <c r="EI27" s="103"/>
      <c r="EJ27" s="101"/>
      <c r="EK27" s="101"/>
      <c r="EL27" s="101"/>
      <c r="EM27" s="101"/>
      <c r="EN27" s="101"/>
      <c r="EO27" s="101"/>
      <c r="EP27" s="101"/>
      <c r="EQ27" s="101"/>
      <c r="ER27" s="101"/>
      <c r="ES27" s="101"/>
      <c r="ET27" s="101"/>
      <c r="EU27" s="101"/>
      <c r="EV27" s="101"/>
      <c r="EW27" s="101"/>
      <c r="EX27" s="101"/>
      <c r="EY27" s="101"/>
      <c r="EZ27" s="101"/>
      <c r="FA27" s="101"/>
      <c r="FB27" s="101"/>
      <c r="FC27" s="101"/>
      <c r="FD27" s="101"/>
      <c r="FE27" s="101"/>
      <c r="FF27" s="101"/>
      <c r="FG27" s="101"/>
      <c r="FH27" s="101"/>
      <c r="FI27" s="101"/>
      <c r="FJ27" s="101"/>
      <c r="FK27" s="101"/>
      <c r="FL27" s="104"/>
      <c r="FM27" s="106"/>
      <c r="FN27" s="103"/>
      <c r="FO27" s="101"/>
      <c r="FP27" s="102"/>
      <c r="FQ27" s="103"/>
      <c r="FR27" s="101"/>
      <c r="FS27" s="101"/>
      <c r="FT27" s="101"/>
      <c r="FU27" s="101"/>
      <c r="FV27" s="101"/>
      <c r="FW27" s="101"/>
      <c r="FX27" s="102"/>
      <c r="FY27" s="100" t="s">
        <v>27</v>
      </c>
      <c r="FZ27" s="101"/>
      <c r="GA27" s="102"/>
      <c r="GB27" s="103"/>
      <c r="GC27" s="101"/>
      <c r="GD27" s="101"/>
      <c r="GE27" s="101"/>
      <c r="GF27" s="101"/>
      <c r="GG27" s="101"/>
      <c r="GH27" s="101"/>
      <c r="GI27" s="101"/>
      <c r="GJ27" s="101"/>
      <c r="GK27" s="101"/>
      <c r="GL27" s="101"/>
      <c r="GM27" s="101"/>
      <c r="GN27" s="101"/>
      <c r="GO27" s="101"/>
      <c r="GP27" s="101"/>
      <c r="GQ27" s="101"/>
      <c r="GR27" s="101"/>
      <c r="GS27" s="101"/>
      <c r="GT27" s="101"/>
      <c r="GU27" s="101"/>
      <c r="GV27" s="101"/>
      <c r="GW27" s="101"/>
      <c r="GX27" s="101"/>
      <c r="GY27" s="101"/>
      <c r="GZ27" s="101"/>
      <c r="HA27" s="101"/>
      <c r="HB27" s="101"/>
      <c r="HC27" s="101"/>
      <c r="HD27" s="101"/>
      <c r="HE27" s="104"/>
      <c r="HF27" s="106"/>
      <c r="HG27" s="103"/>
      <c r="HH27" s="101"/>
      <c r="HI27" s="102"/>
      <c r="HJ27" s="103"/>
      <c r="HK27" s="101"/>
      <c r="HL27" s="101"/>
      <c r="HM27" s="101"/>
      <c r="HN27" s="101"/>
      <c r="HO27" s="101"/>
      <c r="HP27" s="101"/>
      <c r="HQ27" s="102"/>
      <c r="HR27" s="100" t="s">
        <v>27</v>
      </c>
      <c r="HS27" s="101"/>
      <c r="HT27" s="102"/>
      <c r="HU27" s="103"/>
      <c r="HV27" s="101"/>
      <c r="HW27" s="101"/>
      <c r="HX27" s="101"/>
      <c r="HY27" s="101"/>
      <c r="HZ27" s="101"/>
      <c r="IA27" s="101"/>
      <c r="IB27" s="101"/>
      <c r="IC27" s="101"/>
      <c r="ID27" s="101"/>
      <c r="IE27" s="101"/>
      <c r="IF27" s="101"/>
      <c r="IG27" s="101"/>
      <c r="IH27" s="101"/>
      <c r="II27" s="101"/>
      <c r="IJ27" s="101"/>
      <c r="IK27" s="101"/>
      <c r="IL27" s="101"/>
      <c r="IM27" s="101"/>
      <c r="IN27" s="101"/>
      <c r="IO27" s="101"/>
      <c r="IP27" s="101"/>
      <c r="IQ27" s="101"/>
      <c r="IR27" s="101"/>
      <c r="IS27" s="101"/>
      <c r="IT27" s="101"/>
      <c r="IU27" s="101"/>
      <c r="IV27" s="101"/>
      <c r="IW27" s="101"/>
      <c r="IX27" s="104"/>
      <c r="IY27" s="106"/>
      <c r="IZ27" s="103"/>
      <c r="JA27" s="101"/>
      <c r="JB27" s="102"/>
      <c r="JC27" s="103"/>
      <c r="JD27" s="101"/>
      <c r="JE27" s="101"/>
      <c r="JF27" s="101"/>
      <c r="JG27" s="101"/>
      <c r="JH27" s="101"/>
      <c r="JI27" s="101"/>
      <c r="JJ27" s="102"/>
      <c r="JK27" s="100" t="s">
        <v>27</v>
      </c>
      <c r="JL27" s="101"/>
      <c r="JM27" s="102"/>
      <c r="JN27" s="103"/>
      <c r="JO27" s="101"/>
      <c r="JP27" s="101"/>
      <c r="JQ27" s="101"/>
      <c r="JR27" s="101"/>
      <c r="JS27" s="101"/>
      <c r="JT27" s="101"/>
      <c r="JU27" s="101"/>
      <c r="JV27" s="101"/>
      <c r="JW27" s="101"/>
      <c r="JX27" s="101"/>
      <c r="JY27" s="101"/>
      <c r="JZ27" s="101"/>
      <c r="KA27" s="101"/>
      <c r="KB27" s="101"/>
      <c r="KC27" s="101"/>
      <c r="KD27" s="101"/>
      <c r="KE27" s="101"/>
      <c r="KF27" s="101"/>
      <c r="KG27" s="101"/>
      <c r="KH27" s="101"/>
      <c r="KI27" s="101"/>
      <c r="KJ27" s="101"/>
      <c r="KK27" s="101"/>
      <c r="KL27" s="101"/>
      <c r="KM27" s="101"/>
      <c r="KN27" s="101"/>
      <c r="KO27" s="101"/>
      <c r="KP27" s="101"/>
      <c r="KQ27" s="104"/>
      <c r="KR27" s="106"/>
      <c r="KS27" s="103"/>
      <c r="KT27" s="101"/>
      <c r="KU27" s="102"/>
      <c r="KV27" s="103"/>
      <c r="KW27" s="101"/>
      <c r="KX27" s="101"/>
      <c r="KY27" s="101"/>
      <c r="KZ27" s="101"/>
      <c r="LA27" s="101"/>
      <c r="LB27" s="101"/>
      <c r="LC27" s="102"/>
      <c r="LD27" s="100" t="s">
        <v>27</v>
      </c>
      <c r="LE27" s="101"/>
      <c r="LF27" s="102"/>
      <c r="LG27" s="103"/>
      <c r="LH27" s="101"/>
      <c r="LI27" s="101"/>
      <c r="LJ27" s="101"/>
      <c r="LK27" s="101"/>
      <c r="LL27" s="101"/>
      <c r="LM27" s="101"/>
      <c r="LN27" s="101"/>
      <c r="LO27" s="101"/>
      <c r="LP27" s="101"/>
      <c r="LQ27" s="101"/>
      <c r="LR27" s="101"/>
      <c r="LS27" s="101"/>
      <c r="LT27" s="101"/>
      <c r="LU27" s="101"/>
      <c r="LV27" s="101"/>
      <c r="LW27" s="101"/>
      <c r="LX27" s="101"/>
      <c r="LY27" s="101"/>
      <c r="LZ27" s="101"/>
      <c r="MA27" s="101"/>
      <c r="MB27" s="101"/>
      <c r="MC27" s="101"/>
      <c r="MD27" s="101"/>
      <c r="ME27" s="101"/>
      <c r="MF27" s="101"/>
      <c r="MG27" s="101"/>
      <c r="MH27" s="101"/>
      <c r="MI27" s="101"/>
      <c r="MJ27" s="104"/>
      <c r="MK27" s="106"/>
      <c r="ML27" s="103"/>
      <c r="MM27" s="101"/>
      <c r="MN27" s="102"/>
      <c r="MO27" s="103"/>
      <c r="MP27" s="101"/>
      <c r="MQ27" s="101"/>
      <c r="MR27" s="101"/>
      <c r="MS27" s="101"/>
      <c r="MT27" s="101"/>
      <c r="MU27" s="101"/>
      <c r="MV27" s="102"/>
      <c r="MW27" s="100" t="s">
        <v>27</v>
      </c>
      <c r="MX27" s="101"/>
      <c r="MY27" s="102"/>
      <c r="MZ27" s="103"/>
      <c r="NA27" s="101"/>
      <c r="NB27" s="101"/>
      <c r="NC27" s="101"/>
      <c r="ND27" s="101"/>
      <c r="NE27" s="101"/>
      <c r="NF27" s="101"/>
      <c r="NG27" s="101"/>
      <c r="NH27" s="101"/>
      <c r="NI27" s="101"/>
      <c r="NJ27" s="101"/>
      <c r="NK27" s="101"/>
      <c r="NL27" s="101"/>
      <c r="NM27" s="101"/>
      <c r="NN27" s="101"/>
      <c r="NO27" s="101"/>
      <c r="NP27" s="101"/>
      <c r="NQ27" s="101"/>
      <c r="NR27" s="101"/>
      <c r="NS27" s="101"/>
      <c r="NT27" s="101"/>
      <c r="NU27" s="101"/>
      <c r="NV27" s="101"/>
      <c r="NW27" s="101"/>
      <c r="NX27" s="101"/>
      <c r="NY27" s="101"/>
      <c r="NZ27" s="101"/>
      <c r="OA27" s="101"/>
      <c r="OB27" s="101"/>
      <c r="OC27" s="104"/>
      <c r="OD27" s="106"/>
      <c r="OE27" s="103"/>
      <c r="OF27" s="101"/>
      <c r="OG27" s="102"/>
      <c r="OH27" s="103"/>
      <c r="OI27" s="101"/>
      <c r="OJ27" s="101"/>
      <c r="OK27" s="101"/>
      <c r="OL27" s="101"/>
      <c r="OM27" s="101"/>
      <c r="ON27" s="101"/>
      <c r="OO27" s="102"/>
      <c r="OP27" s="100" t="s">
        <v>27</v>
      </c>
      <c r="OQ27" s="101"/>
      <c r="OR27" s="102"/>
      <c r="OS27" s="103"/>
      <c r="OT27" s="101"/>
      <c r="OU27" s="101"/>
      <c r="OV27" s="101"/>
      <c r="OW27" s="101"/>
      <c r="OX27" s="101"/>
      <c r="OY27" s="101"/>
      <c r="OZ27" s="101"/>
      <c r="PA27" s="101"/>
      <c r="PB27" s="101"/>
      <c r="PC27" s="101"/>
      <c r="PD27" s="101"/>
      <c r="PE27" s="101"/>
      <c r="PF27" s="101"/>
      <c r="PG27" s="101"/>
      <c r="PH27" s="101"/>
      <c r="PI27" s="101"/>
      <c r="PJ27" s="101"/>
      <c r="PK27" s="101"/>
      <c r="PL27" s="101"/>
      <c r="PM27" s="101"/>
      <c r="PN27" s="101"/>
      <c r="PO27" s="101"/>
      <c r="PP27" s="101"/>
      <c r="PQ27" s="101"/>
      <c r="PR27" s="101"/>
      <c r="PS27" s="101"/>
      <c r="PT27" s="101"/>
      <c r="PU27" s="101"/>
      <c r="PV27" s="104"/>
      <c r="PW27" s="106"/>
      <c r="PX27" s="103"/>
      <c r="PY27" s="101"/>
      <c r="PZ27" s="102"/>
      <c r="QA27" s="103"/>
      <c r="QB27" s="101"/>
      <c r="QC27" s="101"/>
      <c r="QD27" s="101"/>
      <c r="QE27" s="101"/>
      <c r="QF27" s="101"/>
      <c r="QG27" s="101"/>
      <c r="QH27" s="102"/>
      <c r="QI27" s="100" t="s">
        <v>27</v>
      </c>
      <c r="QJ27" s="101"/>
      <c r="QK27" s="102"/>
      <c r="QL27" s="103"/>
      <c r="QM27" s="101"/>
      <c r="QN27" s="101"/>
      <c r="QO27" s="101"/>
      <c r="QP27" s="101"/>
      <c r="QQ27" s="101"/>
      <c r="QR27" s="101"/>
      <c r="QS27" s="101"/>
      <c r="QT27" s="101"/>
      <c r="QU27" s="101"/>
      <c r="QV27" s="101"/>
      <c r="QW27" s="101"/>
      <c r="QX27" s="101"/>
      <c r="QY27" s="101"/>
      <c r="QZ27" s="101"/>
      <c r="RA27" s="101"/>
      <c r="RB27" s="101"/>
      <c r="RC27" s="101"/>
      <c r="RD27" s="101"/>
      <c r="RE27" s="101"/>
      <c r="RF27" s="101"/>
      <c r="RG27" s="101"/>
      <c r="RH27" s="101"/>
      <c r="RI27" s="101"/>
      <c r="RJ27" s="101"/>
      <c r="RK27" s="101"/>
      <c r="RL27" s="101"/>
      <c r="RM27" s="101"/>
      <c r="RN27" s="101"/>
      <c r="RO27" s="104"/>
      <c r="RP27" s="106"/>
      <c r="RQ27" s="103"/>
      <c r="RR27" s="101"/>
      <c r="RS27" s="102"/>
      <c r="RT27" s="103"/>
      <c r="RU27" s="101"/>
      <c r="RV27" s="101"/>
      <c r="RW27" s="101"/>
      <c r="RX27" s="101"/>
      <c r="RY27" s="101"/>
      <c r="RZ27" s="101"/>
      <c r="SA27" s="102"/>
      <c r="SB27" s="100" t="s">
        <v>27</v>
      </c>
      <c r="SC27" s="101"/>
      <c r="SD27" s="102"/>
      <c r="SE27" s="103"/>
      <c r="SF27" s="101"/>
      <c r="SG27" s="101"/>
      <c r="SH27" s="101"/>
      <c r="SI27" s="101"/>
      <c r="SJ27" s="101"/>
      <c r="SK27" s="101"/>
      <c r="SL27" s="101"/>
      <c r="SM27" s="101"/>
      <c r="SN27" s="101"/>
      <c r="SO27" s="101"/>
      <c r="SP27" s="101"/>
      <c r="SQ27" s="101"/>
      <c r="SR27" s="101"/>
      <c r="SS27" s="101"/>
      <c r="ST27" s="101"/>
      <c r="SU27" s="101"/>
      <c r="SV27" s="101"/>
      <c r="SW27" s="101"/>
      <c r="SX27" s="101"/>
      <c r="SY27" s="101"/>
      <c r="SZ27" s="101"/>
      <c r="TA27" s="101"/>
      <c r="TB27" s="101"/>
      <c r="TC27" s="101"/>
      <c r="TD27" s="101"/>
      <c r="TE27" s="101"/>
      <c r="TF27" s="101"/>
      <c r="TG27" s="101"/>
      <c r="TH27" s="104"/>
      <c r="TI27" s="106"/>
      <c r="TJ27" s="103"/>
      <c r="TK27" s="101"/>
      <c r="TL27" s="102"/>
      <c r="TM27" s="103"/>
      <c r="TN27" s="101"/>
      <c r="TO27" s="101"/>
      <c r="TP27" s="101"/>
      <c r="TQ27" s="101"/>
      <c r="TR27" s="101"/>
      <c r="TS27" s="101"/>
      <c r="TT27" s="102"/>
    </row>
    <row r="28" ht="24.75" customHeight="1">
      <c r="A28" s="108" t="str">
        <f>elenchi!$C6</f>
        <v>BONILLA KEVIN</v>
      </c>
      <c r="B28" s="109"/>
      <c r="C28" s="110"/>
      <c r="D28" s="67">
        <f t="shared" ref="D28:AH28" si="61">D$2</f>
        <v>45901</v>
      </c>
      <c r="E28" s="67">
        <f t="shared" si="61"/>
        <v>45902</v>
      </c>
      <c r="F28" s="67">
        <f t="shared" si="61"/>
        <v>45903</v>
      </c>
      <c r="G28" s="67">
        <f t="shared" si="61"/>
        <v>45904</v>
      </c>
      <c r="H28" s="67">
        <f t="shared" si="61"/>
        <v>45905</v>
      </c>
      <c r="I28" s="67">
        <f t="shared" si="61"/>
        <v>45906</v>
      </c>
      <c r="J28" s="67">
        <f t="shared" si="61"/>
        <v>45907</v>
      </c>
      <c r="K28" s="67">
        <f t="shared" si="61"/>
        <v>45908</v>
      </c>
      <c r="L28" s="67">
        <f t="shared" si="61"/>
        <v>45909</v>
      </c>
      <c r="M28" s="67">
        <f t="shared" si="61"/>
        <v>45910</v>
      </c>
      <c r="N28" s="67">
        <f t="shared" si="61"/>
        <v>45911</v>
      </c>
      <c r="O28" s="67">
        <f t="shared" si="61"/>
        <v>45912</v>
      </c>
      <c r="P28" s="67">
        <f t="shared" si="61"/>
        <v>45913</v>
      </c>
      <c r="Q28" s="67">
        <f t="shared" si="61"/>
        <v>45914</v>
      </c>
      <c r="R28" s="67">
        <f t="shared" si="61"/>
        <v>45915</v>
      </c>
      <c r="S28" s="67">
        <f t="shared" si="61"/>
        <v>45916</v>
      </c>
      <c r="T28" s="67">
        <f t="shared" si="61"/>
        <v>45917</v>
      </c>
      <c r="U28" s="67">
        <f t="shared" si="61"/>
        <v>45918</v>
      </c>
      <c r="V28" s="67">
        <f t="shared" si="61"/>
        <v>45919</v>
      </c>
      <c r="W28" s="67">
        <f t="shared" si="61"/>
        <v>45920</v>
      </c>
      <c r="X28" s="67">
        <f t="shared" si="61"/>
        <v>45921</v>
      </c>
      <c r="Y28" s="67">
        <f t="shared" si="61"/>
        <v>45922</v>
      </c>
      <c r="Z28" s="67">
        <f t="shared" si="61"/>
        <v>45923</v>
      </c>
      <c r="AA28" s="67">
        <f t="shared" si="61"/>
        <v>45924</v>
      </c>
      <c r="AB28" s="67">
        <f t="shared" si="61"/>
        <v>45925</v>
      </c>
      <c r="AC28" s="67">
        <f t="shared" si="61"/>
        <v>45926</v>
      </c>
      <c r="AD28" s="67">
        <f t="shared" si="61"/>
        <v>45927</v>
      </c>
      <c r="AE28" s="67">
        <f t="shared" si="61"/>
        <v>45928</v>
      </c>
      <c r="AF28" s="67">
        <f t="shared" si="61"/>
        <v>45929</v>
      </c>
      <c r="AG28" s="67">
        <f t="shared" si="61"/>
        <v>45930</v>
      </c>
      <c r="AH28" s="111" t="str">
        <f t="shared" si="61"/>
        <v/>
      </c>
      <c r="AI28" s="112" t="s">
        <v>33</v>
      </c>
      <c r="AJ28" s="113" t="s">
        <v>28</v>
      </c>
      <c r="AK28" s="114" t="s">
        <v>34</v>
      </c>
      <c r="AL28" s="112" t="s">
        <v>13</v>
      </c>
      <c r="AM28" s="113" t="s">
        <v>1</v>
      </c>
      <c r="AN28" s="113" t="s">
        <v>35</v>
      </c>
      <c r="AO28" s="113" t="s">
        <v>36</v>
      </c>
      <c r="AP28" s="113" t="s">
        <v>37</v>
      </c>
      <c r="AQ28" s="113" t="s">
        <v>0</v>
      </c>
      <c r="AR28" s="113" t="s">
        <v>38</v>
      </c>
      <c r="AS28" s="115" t="s">
        <v>11</v>
      </c>
      <c r="AT28" s="108" t="str">
        <f>elenchi!$C6</f>
        <v>BONILLA KEVIN</v>
      </c>
      <c r="AU28" s="109"/>
      <c r="AV28" s="110"/>
      <c r="AW28" s="67">
        <f t="shared" ref="AW28:CA28" si="62">AW$2</f>
        <v>45931</v>
      </c>
      <c r="AX28" s="67">
        <f t="shared" si="62"/>
        <v>45932</v>
      </c>
      <c r="AY28" s="67">
        <f t="shared" si="62"/>
        <v>45933</v>
      </c>
      <c r="AZ28" s="67">
        <f t="shared" si="62"/>
        <v>45934</v>
      </c>
      <c r="BA28" s="67">
        <f t="shared" si="62"/>
        <v>45935</v>
      </c>
      <c r="BB28" s="67">
        <f t="shared" si="62"/>
        <v>45936</v>
      </c>
      <c r="BC28" s="67">
        <f t="shared" si="62"/>
        <v>45937</v>
      </c>
      <c r="BD28" s="67">
        <f t="shared" si="62"/>
        <v>45938</v>
      </c>
      <c r="BE28" s="67">
        <f t="shared" si="62"/>
        <v>45939</v>
      </c>
      <c r="BF28" s="67">
        <f t="shared" si="62"/>
        <v>45940</v>
      </c>
      <c r="BG28" s="67">
        <f t="shared" si="62"/>
        <v>45941</v>
      </c>
      <c r="BH28" s="67">
        <f t="shared" si="62"/>
        <v>45942</v>
      </c>
      <c r="BI28" s="67">
        <f t="shared" si="62"/>
        <v>45943</v>
      </c>
      <c r="BJ28" s="67">
        <f t="shared" si="62"/>
        <v>45944</v>
      </c>
      <c r="BK28" s="67">
        <f t="shared" si="62"/>
        <v>45945</v>
      </c>
      <c r="BL28" s="67">
        <f t="shared" si="62"/>
        <v>45946</v>
      </c>
      <c r="BM28" s="67">
        <f t="shared" si="62"/>
        <v>45947</v>
      </c>
      <c r="BN28" s="67">
        <f t="shared" si="62"/>
        <v>45948</v>
      </c>
      <c r="BO28" s="67">
        <f t="shared" si="62"/>
        <v>45949</v>
      </c>
      <c r="BP28" s="67">
        <f t="shared" si="62"/>
        <v>45950</v>
      </c>
      <c r="BQ28" s="67">
        <f t="shared" si="62"/>
        <v>45951</v>
      </c>
      <c r="BR28" s="67">
        <f t="shared" si="62"/>
        <v>45952</v>
      </c>
      <c r="BS28" s="67">
        <f t="shared" si="62"/>
        <v>45953</v>
      </c>
      <c r="BT28" s="67">
        <f t="shared" si="62"/>
        <v>45954</v>
      </c>
      <c r="BU28" s="67">
        <f t="shared" si="62"/>
        <v>45955</v>
      </c>
      <c r="BV28" s="67">
        <f t="shared" si="62"/>
        <v>45956</v>
      </c>
      <c r="BW28" s="67">
        <f t="shared" si="62"/>
        <v>45957</v>
      </c>
      <c r="BX28" s="67">
        <f t="shared" si="62"/>
        <v>45958</v>
      </c>
      <c r="BY28" s="67">
        <f t="shared" si="62"/>
        <v>45959</v>
      </c>
      <c r="BZ28" s="67">
        <f t="shared" si="62"/>
        <v>45960</v>
      </c>
      <c r="CA28" s="67">
        <f t="shared" si="62"/>
        <v>45961</v>
      </c>
      <c r="CB28" s="112" t="s">
        <v>33</v>
      </c>
      <c r="CC28" s="113" t="s">
        <v>28</v>
      </c>
      <c r="CD28" s="114" t="s">
        <v>34</v>
      </c>
      <c r="CE28" s="112" t="s">
        <v>13</v>
      </c>
      <c r="CF28" s="113" t="s">
        <v>1</v>
      </c>
      <c r="CG28" s="113" t="s">
        <v>35</v>
      </c>
      <c r="CH28" s="113" t="s">
        <v>36</v>
      </c>
      <c r="CI28" s="113" t="s">
        <v>37</v>
      </c>
      <c r="CJ28" s="113" t="s">
        <v>0</v>
      </c>
      <c r="CK28" s="113" t="s">
        <v>38</v>
      </c>
      <c r="CL28" s="115" t="s">
        <v>11</v>
      </c>
      <c r="CM28" s="108" t="str">
        <f>elenchi!$C6</f>
        <v>BONILLA KEVIN</v>
      </c>
      <c r="CN28" s="109"/>
      <c r="CO28" s="110"/>
      <c r="CP28" s="67">
        <f t="shared" ref="CP28:DT28" si="63">CP$2</f>
        <v>45962</v>
      </c>
      <c r="CQ28" s="67">
        <f t="shared" si="63"/>
        <v>45963</v>
      </c>
      <c r="CR28" s="67">
        <f t="shared" si="63"/>
        <v>45964</v>
      </c>
      <c r="CS28" s="67">
        <f t="shared" si="63"/>
        <v>45965</v>
      </c>
      <c r="CT28" s="67">
        <f t="shared" si="63"/>
        <v>45966</v>
      </c>
      <c r="CU28" s="67">
        <f t="shared" si="63"/>
        <v>45967</v>
      </c>
      <c r="CV28" s="67">
        <f t="shared" si="63"/>
        <v>45968</v>
      </c>
      <c r="CW28" s="67">
        <f t="shared" si="63"/>
        <v>45969</v>
      </c>
      <c r="CX28" s="67">
        <f t="shared" si="63"/>
        <v>45970</v>
      </c>
      <c r="CY28" s="67">
        <f t="shared" si="63"/>
        <v>45971</v>
      </c>
      <c r="CZ28" s="67">
        <f t="shared" si="63"/>
        <v>45972</v>
      </c>
      <c r="DA28" s="67">
        <f t="shared" si="63"/>
        <v>45973</v>
      </c>
      <c r="DB28" s="67">
        <f t="shared" si="63"/>
        <v>45974</v>
      </c>
      <c r="DC28" s="67">
        <f t="shared" si="63"/>
        <v>45975</v>
      </c>
      <c r="DD28" s="67">
        <f t="shared" si="63"/>
        <v>45976</v>
      </c>
      <c r="DE28" s="67">
        <f t="shared" si="63"/>
        <v>45977</v>
      </c>
      <c r="DF28" s="67">
        <f t="shared" si="63"/>
        <v>45978</v>
      </c>
      <c r="DG28" s="67">
        <f t="shared" si="63"/>
        <v>45979</v>
      </c>
      <c r="DH28" s="67">
        <f t="shared" si="63"/>
        <v>45980</v>
      </c>
      <c r="DI28" s="67">
        <f t="shared" si="63"/>
        <v>45981</v>
      </c>
      <c r="DJ28" s="67">
        <f t="shared" si="63"/>
        <v>45982</v>
      </c>
      <c r="DK28" s="67">
        <f t="shared" si="63"/>
        <v>45983</v>
      </c>
      <c r="DL28" s="67">
        <f t="shared" si="63"/>
        <v>45984</v>
      </c>
      <c r="DM28" s="67">
        <f t="shared" si="63"/>
        <v>45985</v>
      </c>
      <c r="DN28" s="67">
        <f t="shared" si="63"/>
        <v>45986</v>
      </c>
      <c r="DO28" s="67">
        <f t="shared" si="63"/>
        <v>45987</v>
      </c>
      <c r="DP28" s="67">
        <f t="shared" si="63"/>
        <v>45988</v>
      </c>
      <c r="DQ28" s="67">
        <f t="shared" si="63"/>
        <v>45989</v>
      </c>
      <c r="DR28" s="67">
        <f t="shared" si="63"/>
        <v>45990</v>
      </c>
      <c r="DS28" s="67">
        <f t="shared" si="63"/>
        <v>45991</v>
      </c>
      <c r="DT28" s="67" t="str">
        <f t="shared" si="63"/>
        <v/>
      </c>
      <c r="DU28" s="112" t="s">
        <v>33</v>
      </c>
      <c r="DV28" s="113" t="s">
        <v>28</v>
      </c>
      <c r="DW28" s="114" t="s">
        <v>34</v>
      </c>
      <c r="DX28" s="112" t="s">
        <v>13</v>
      </c>
      <c r="DY28" s="113" t="s">
        <v>1</v>
      </c>
      <c r="DZ28" s="113" t="s">
        <v>35</v>
      </c>
      <c r="EA28" s="113" t="s">
        <v>36</v>
      </c>
      <c r="EB28" s="113" t="s">
        <v>37</v>
      </c>
      <c r="EC28" s="113" t="s">
        <v>0</v>
      </c>
      <c r="ED28" s="113" t="s">
        <v>38</v>
      </c>
      <c r="EE28" s="114" t="s">
        <v>11</v>
      </c>
      <c r="EF28" s="108" t="str">
        <f>elenchi!$C6</f>
        <v>BONILLA KEVIN</v>
      </c>
      <c r="EG28" s="109"/>
      <c r="EH28" s="110"/>
      <c r="EI28" s="67">
        <f t="shared" ref="EI28:FM28" si="64">EI$2</f>
        <v>45992</v>
      </c>
      <c r="EJ28" s="67">
        <f t="shared" si="64"/>
        <v>45993</v>
      </c>
      <c r="EK28" s="67">
        <f t="shared" si="64"/>
        <v>45994</v>
      </c>
      <c r="EL28" s="67">
        <f t="shared" si="64"/>
        <v>45995</v>
      </c>
      <c r="EM28" s="67">
        <f t="shared" si="64"/>
        <v>45996</v>
      </c>
      <c r="EN28" s="67">
        <f t="shared" si="64"/>
        <v>45997</v>
      </c>
      <c r="EO28" s="67">
        <f t="shared" si="64"/>
        <v>45998</v>
      </c>
      <c r="EP28" s="67">
        <f t="shared" si="64"/>
        <v>45999</v>
      </c>
      <c r="EQ28" s="67">
        <f t="shared" si="64"/>
        <v>46000</v>
      </c>
      <c r="ER28" s="67">
        <f t="shared" si="64"/>
        <v>46001</v>
      </c>
      <c r="ES28" s="67">
        <f t="shared" si="64"/>
        <v>46002</v>
      </c>
      <c r="ET28" s="67">
        <f t="shared" si="64"/>
        <v>46003</v>
      </c>
      <c r="EU28" s="67">
        <f t="shared" si="64"/>
        <v>46004</v>
      </c>
      <c r="EV28" s="67">
        <f t="shared" si="64"/>
        <v>46005</v>
      </c>
      <c r="EW28" s="67">
        <f t="shared" si="64"/>
        <v>46006</v>
      </c>
      <c r="EX28" s="67">
        <f t="shared" si="64"/>
        <v>46007</v>
      </c>
      <c r="EY28" s="67">
        <f t="shared" si="64"/>
        <v>46008</v>
      </c>
      <c r="EZ28" s="67">
        <f t="shared" si="64"/>
        <v>46009</v>
      </c>
      <c r="FA28" s="67">
        <f t="shared" si="64"/>
        <v>46010</v>
      </c>
      <c r="FB28" s="67">
        <f t="shared" si="64"/>
        <v>46011</v>
      </c>
      <c r="FC28" s="67">
        <f t="shared" si="64"/>
        <v>46012</v>
      </c>
      <c r="FD28" s="67">
        <f t="shared" si="64"/>
        <v>46013</v>
      </c>
      <c r="FE28" s="67">
        <f t="shared" si="64"/>
        <v>46014</v>
      </c>
      <c r="FF28" s="67">
        <f t="shared" si="64"/>
        <v>46015</v>
      </c>
      <c r="FG28" s="67">
        <f t="shared" si="64"/>
        <v>46016</v>
      </c>
      <c r="FH28" s="67">
        <f t="shared" si="64"/>
        <v>46017</v>
      </c>
      <c r="FI28" s="67">
        <f t="shared" si="64"/>
        <v>46018</v>
      </c>
      <c r="FJ28" s="67">
        <f t="shared" si="64"/>
        <v>46019</v>
      </c>
      <c r="FK28" s="67">
        <f t="shared" si="64"/>
        <v>46020</v>
      </c>
      <c r="FL28" s="67">
        <f t="shared" si="64"/>
        <v>46021</v>
      </c>
      <c r="FM28" s="67">
        <f t="shared" si="64"/>
        <v>46022</v>
      </c>
      <c r="FN28" s="112" t="s">
        <v>33</v>
      </c>
      <c r="FO28" s="113" t="s">
        <v>28</v>
      </c>
      <c r="FP28" s="114" t="s">
        <v>34</v>
      </c>
      <c r="FQ28" s="112" t="s">
        <v>13</v>
      </c>
      <c r="FR28" s="113" t="s">
        <v>1</v>
      </c>
      <c r="FS28" s="113" t="s">
        <v>35</v>
      </c>
      <c r="FT28" s="113" t="s">
        <v>36</v>
      </c>
      <c r="FU28" s="113" t="s">
        <v>37</v>
      </c>
      <c r="FV28" s="113" t="s">
        <v>0</v>
      </c>
      <c r="FW28" s="113" t="s">
        <v>38</v>
      </c>
      <c r="FX28" s="114" t="s">
        <v>11</v>
      </c>
      <c r="FY28" s="108" t="str">
        <f>elenchi!$C6</f>
        <v>BONILLA KEVIN</v>
      </c>
      <c r="FZ28" s="109"/>
      <c r="GA28" s="110"/>
      <c r="GB28" s="67">
        <f t="shared" ref="GB28:HF28" si="65">GB$2</f>
        <v>46023</v>
      </c>
      <c r="GC28" s="67">
        <f t="shared" si="65"/>
        <v>46024</v>
      </c>
      <c r="GD28" s="67">
        <f t="shared" si="65"/>
        <v>46025</v>
      </c>
      <c r="GE28" s="67">
        <f t="shared" si="65"/>
        <v>46026</v>
      </c>
      <c r="GF28" s="67">
        <f t="shared" si="65"/>
        <v>46027</v>
      </c>
      <c r="GG28" s="67">
        <f t="shared" si="65"/>
        <v>46028</v>
      </c>
      <c r="GH28" s="67">
        <f t="shared" si="65"/>
        <v>46029</v>
      </c>
      <c r="GI28" s="67">
        <f t="shared" si="65"/>
        <v>46030</v>
      </c>
      <c r="GJ28" s="67">
        <f t="shared" si="65"/>
        <v>46031</v>
      </c>
      <c r="GK28" s="67">
        <f t="shared" si="65"/>
        <v>46032</v>
      </c>
      <c r="GL28" s="67">
        <f t="shared" si="65"/>
        <v>46033</v>
      </c>
      <c r="GM28" s="67">
        <f t="shared" si="65"/>
        <v>46034</v>
      </c>
      <c r="GN28" s="67">
        <f t="shared" si="65"/>
        <v>46035</v>
      </c>
      <c r="GO28" s="67">
        <f t="shared" si="65"/>
        <v>46036</v>
      </c>
      <c r="GP28" s="67">
        <f t="shared" si="65"/>
        <v>46037</v>
      </c>
      <c r="GQ28" s="67">
        <f t="shared" si="65"/>
        <v>46038</v>
      </c>
      <c r="GR28" s="67">
        <f t="shared" si="65"/>
        <v>46039</v>
      </c>
      <c r="GS28" s="67">
        <f t="shared" si="65"/>
        <v>46040</v>
      </c>
      <c r="GT28" s="67">
        <f t="shared" si="65"/>
        <v>46041</v>
      </c>
      <c r="GU28" s="67">
        <f t="shared" si="65"/>
        <v>46042</v>
      </c>
      <c r="GV28" s="67">
        <f t="shared" si="65"/>
        <v>46043</v>
      </c>
      <c r="GW28" s="67">
        <f t="shared" si="65"/>
        <v>46044</v>
      </c>
      <c r="GX28" s="67">
        <f t="shared" si="65"/>
        <v>46045</v>
      </c>
      <c r="GY28" s="67">
        <f t="shared" si="65"/>
        <v>46046</v>
      </c>
      <c r="GZ28" s="67">
        <f t="shared" si="65"/>
        <v>46047</v>
      </c>
      <c r="HA28" s="67">
        <f t="shared" si="65"/>
        <v>46048</v>
      </c>
      <c r="HB28" s="67">
        <f t="shared" si="65"/>
        <v>46049</v>
      </c>
      <c r="HC28" s="67">
        <f t="shared" si="65"/>
        <v>46050</v>
      </c>
      <c r="HD28" s="67">
        <f t="shared" si="65"/>
        <v>46051</v>
      </c>
      <c r="HE28" s="67">
        <f t="shared" si="65"/>
        <v>46052</v>
      </c>
      <c r="HF28" s="67">
        <f t="shared" si="65"/>
        <v>46053</v>
      </c>
      <c r="HG28" s="112" t="s">
        <v>33</v>
      </c>
      <c r="HH28" s="113" t="s">
        <v>28</v>
      </c>
      <c r="HI28" s="114" t="s">
        <v>34</v>
      </c>
      <c r="HJ28" s="112" t="s">
        <v>13</v>
      </c>
      <c r="HK28" s="113" t="s">
        <v>1</v>
      </c>
      <c r="HL28" s="113" t="s">
        <v>35</v>
      </c>
      <c r="HM28" s="113" t="s">
        <v>36</v>
      </c>
      <c r="HN28" s="113" t="s">
        <v>37</v>
      </c>
      <c r="HO28" s="113" t="s">
        <v>0</v>
      </c>
      <c r="HP28" s="113" t="s">
        <v>38</v>
      </c>
      <c r="HQ28" s="114" t="s">
        <v>11</v>
      </c>
      <c r="HR28" s="108" t="str">
        <f>elenchi!$C6</f>
        <v>BONILLA KEVIN</v>
      </c>
      <c r="HS28" s="109"/>
      <c r="HT28" s="110"/>
      <c r="HU28" s="67">
        <f t="shared" ref="HU28:IY28" si="66">HU$2</f>
        <v>46054</v>
      </c>
      <c r="HV28" s="67">
        <f t="shared" si="66"/>
        <v>46055</v>
      </c>
      <c r="HW28" s="67">
        <f t="shared" si="66"/>
        <v>46056</v>
      </c>
      <c r="HX28" s="67">
        <f t="shared" si="66"/>
        <v>46057</v>
      </c>
      <c r="HY28" s="67">
        <f t="shared" si="66"/>
        <v>46058</v>
      </c>
      <c r="HZ28" s="67">
        <f t="shared" si="66"/>
        <v>46059</v>
      </c>
      <c r="IA28" s="67">
        <f t="shared" si="66"/>
        <v>46060</v>
      </c>
      <c r="IB28" s="67">
        <f t="shared" si="66"/>
        <v>46061</v>
      </c>
      <c r="IC28" s="67">
        <f t="shared" si="66"/>
        <v>46062</v>
      </c>
      <c r="ID28" s="67">
        <f t="shared" si="66"/>
        <v>46063</v>
      </c>
      <c r="IE28" s="67">
        <f t="shared" si="66"/>
        <v>46064</v>
      </c>
      <c r="IF28" s="67">
        <f t="shared" si="66"/>
        <v>46065</v>
      </c>
      <c r="IG28" s="67">
        <f t="shared" si="66"/>
        <v>46066</v>
      </c>
      <c r="IH28" s="67">
        <f t="shared" si="66"/>
        <v>46067</v>
      </c>
      <c r="II28" s="67">
        <f t="shared" si="66"/>
        <v>46068</v>
      </c>
      <c r="IJ28" s="67">
        <f t="shared" si="66"/>
        <v>46069</v>
      </c>
      <c r="IK28" s="67">
        <f t="shared" si="66"/>
        <v>46070</v>
      </c>
      <c r="IL28" s="67">
        <f t="shared" si="66"/>
        <v>46071</v>
      </c>
      <c r="IM28" s="67">
        <f t="shared" si="66"/>
        <v>46072</v>
      </c>
      <c r="IN28" s="67">
        <f t="shared" si="66"/>
        <v>46073</v>
      </c>
      <c r="IO28" s="67">
        <f t="shared" si="66"/>
        <v>46074</v>
      </c>
      <c r="IP28" s="67">
        <f t="shared" si="66"/>
        <v>46075</v>
      </c>
      <c r="IQ28" s="67">
        <f t="shared" si="66"/>
        <v>46076</v>
      </c>
      <c r="IR28" s="67">
        <f t="shared" si="66"/>
        <v>46077</v>
      </c>
      <c r="IS28" s="67">
        <f t="shared" si="66"/>
        <v>46078</v>
      </c>
      <c r="IT28" s="67">
        <f t="shared" si="66"/>
        <v>46079</v>
      </c>
      <c r="IU28" s="67">
        <f t="shared" si="66"/>
        <v>46080</v>
      </c>
      <c r="IV28" s="67">
        <f t="shared" si="66"/>
        <v>46081</v>
      </c>
      <c r="IW28" s="67" t="str">
        <f t="shared" si="66"/>
        <v/>
      </c>
      <c r="IX28" s="67" t="str">
        <f t="shared" si="66"/>
        <v/>
      </c>
      <c r="IY28" s="67" t="str">
        <f t="shared" si="66"/>
        <v/>
      </c>
      <c r="IZ28" s="112" t="s">
        <v>33</v>
      </c>
      <c r="JA28" s="113" t="s">
        <v>28</v>
      </c>
      <c r="JB28" s="114" t="s">
        <v>34</v>
      </c>
      <c r="JC28" s="112" t="s">
        <v>13</v>
      </c>
      <c r="JD28" s="113" t="s">
        <v>1</v>
      </c>
      <c r="JE28" s="113" t="s">
        <v>35</v>
      </c>
      <c r="JF28" s="113" t="s">
        <v>36</v>
      </c>
      <c r="JG28" s="113" t="s">
        <v>37</v>
      </c>
      <c r="JH28" s="113" t="s">
        <v>0</v>
      </c>
      <c r="JI28" s="113" t="s">
        <v>38</v>
      </c>
      <c r="JJ28" s="114" t="s">
        <v>11</v>
      </c>
      <c r="JK28" s="108" t="str">
        <f>elenchi!$C6</f>
        <v>BONILLA KEVIN</v>
      </c>
      <c r="JL28" s="109"/>
      <c r="JM28" s="110"/>
      <c r="JN28" s="67">
        <f t="shared" ref="JN28:KR28" si="67">JN$2</f>
        <v>46082</v>
      </c>
      <c r="JO28" s="67">
        <f t="shared" si="67"/>
        <v>46083</v>
      </c>
      <c r="JP28" s="67">
        <f t="shared" si="67"/>
        <v>46084</v>
      </c>
      <c r="JQ28" s="67">
        <f t="shared" si="67"/>
        <v>46085</v>
      </c>
      <c r="JR28" s="67">
        <f t="shared" si="67"/>
        <v>46086</v>
      </c>
      <c r="JS28" s="67">
        <f t="shared" si="67"/>
        <v>46087</v>
      </c>
      <c r="JT28" s="67">
        <f t="shared" si="67"/>
        <v>46088</v>
      </c>
      <c r="JU28" s="67">
        <f t="shared" si="67"/>
        <v>46089</v>
      </c>
      <c r="JV28" s="67">
        <f t="shared" si="67"/>
        <v>46090</v>
      </c>
      <c r="JW28" s="67">
        <f t="shared" si="67"/>
        <v>46091</v>
      </c>
      <c r="JX28" s="67">
        <f t="shared" si="67"/>
        <v>46092</v>
      </c>
      <c r="JY28" s="67">
        <f t="shared" si="67"/>
        <v>46093</v>
      </c>
      <c r="JZ28" s="67">
        <f t="shared" si="67"/>
        <v>46094</v>
      </c>
      <c r="KA28" s="67">
        <f t="shared" si="67"/>
        <v>46095</v>
      </c>
      <c r="KB28" s="67">
        <f t="shared" si="67"/>
        <v>46096</v>
      </c>
      <c r="KC28" s="67">
        <f t="shared" si="67"/>
        <v>46097</v>
      </c>
      <c r="KD28" s="67">
        <f t="shared" si="67"/>
        <v>46098</v>
      </c>
      <c r="KE28" s="67">
        <f t="shared" si="67"/>
        <v>46099</v>
      </c>
      <c r="KF28" s="67">
        <f t="shared" si="67"/>
        <v>46100</v>
      </c>
      <c r="KG28" s="67">
        <f t="shared" si="67"/>
        <v>46101</v>
      </c>
      <c r="KH28" s="67">
        <f t="shared" si="67"/>
        <v>46102</v>
      </c>
      <c r="KI28" s="67">
        <f t="shared" si="67"/>
        <v>46103</v>
      </c>
      <c r="KJ28" s="67">
        <f t="shared" si="67"/>
        <v>46104</v>
      </c>
      <c r="KK28" s="67">
        <f t="shared" si="67"/>
        <v>46105</v>
      </c>
      <c r="KL28" s="67">
        <f t="shared" si="67"/>
        <v>46106</v>
      </c>
      <c r="KM28" s="67">
        <f t="shared" si="67"/>
        <v>46107</v>
      </c>
      <c r="KN28" s="67">
        <f t="shared" si="67"/>
        <v>46108</v>
      </c>
      <c r="KO28" s="67">
        <f t="shared" si="67"/>
        <v>46109</v>
      </c>
      <c r="KP28" s="67">
        <f t="shared" si="67"/>
        <v>46110</v>
      </c>
      <c r="KQ28" s="67">
        <f t="shared" si="67"/>
        <v>46111</v>
      </c>
      <c r="KR28" s="67">
        <f t="shared" si="67"/>
        <v>46112</v>
      </c>
      <c r="KS28" s="112" t="s">
        <v>33</v>
      </c>
      <c r="KT28" s="113" t="s">
        <v>28</v>
      </c>
      <c r="KU28" s="114" t="s">
        <v>34</v>
      </c>
      <c r="KV28" s="112" t="s">
        <v>13</v>
      </c>
      <c r="KW28" s="113" t="s">
        <v>1</v>
      </c>
      <c r="KX28" s="113" t="s">
        <v>35</v>
      </c>
      <c r="KY28" s="113" t="s">
        <v>36</v>
      </c>
      <c r="KZ28" s="113" t="s">
        <v>37</v>
      </c>
      <c r="LA28" s="113" t="s">
        <v>0</v>
      </c>
      <c r="LB28" s="113" t="s">
        <v>38</v>
      </c>
      <c r="LC28" s="114" t="s">
        <v>11</v>
      </c>
      <c r="LD28" s="108" t="str">
        <f>elenchi!$C6</f>
        <v>BONILLA KEVIN</v>
      </c>
      <c r="LE28" s="109"/>
      <c r="LF28" s="110"/>
      <c r="LG28" s="67">
        <f t="shared" ref="LG28:MK28" si="68">LG$2</f>
        <v>46113</v>
      </c>
      <c r="LH28" s="67">
        <f t="shared" si="68"/>
        <v>46114</v>
      </c>
      <c r="LI28" s="67">
        <f t="shared" si="68"/>
        <v>46115</v>
      </c>
      <c r="LJ28" s="67">
        <f t="shared" si="68"/>
        <v>46116</v>
      </c>
      <c r="LK28" s="67">
        <f t="shared" si="68"/>
        <v>46117</v>
      </c>
      <c r="LL28" s="67">
        <f t="shared" si="68"/>
        <v>46118</v>
      </c>
      <c r="LM28" s="67">
        <f t="shared" si="68"/>
        <v>46119</v>
      </c>
      <c r="LN28" s="67">
        <f t="shared" si="68"/>
        <v>46120</v>
      </c>
      <c r="LO28" s="67">
        <f t="shared" si="68"/>
        <v>46121</v>
      </c>
      <c r="LP28" s="67">
        <f t="shared" si="68"/>
        <v>46122</v>
      </c>
      <c r="LQ28" s="67">
        <f t="shared" si="68"/>
        <v>46123</v>
      </c>
      <c r="LR28" s="67">
        <f t="shared" si="68"/>
        <v>46124</v>
      </c>
      <c r="LS28" s="67">
        <f t="shared" si="68"/>
        <v>46125</v>
      </c>
      <c r="LT28" s="67">
        <f t="shared" si="68"/>
        <v>46126</v>
      </c>
      <c r="LU28" s="67">
        <f t="shared" si="68"/>
        <v>46127</v>
      </c>
      <c r="LV28" s="67">
        <f t="shared" si="68"/>
        <v>46128</v>
      </c>
      <c r="LW28" s="67">
        <f t="shared" si="68"/>
        <v>46129</v>
      </c>
      <c r="LX28" s="67">
        <f t="shared" si="68"/>
        <v>46130</v>
      </c>
      <c r="LY28" s="67">
        <f t="shared" si="68"/>
        <v>46131</v>
      </c>
      <c r="LZ28" s="67">
        <f t="shared" si="68"/>
        <v>46132</v>
      </c>
      <c r="MA28" s="67">
        <f t="shared" si="68"/>
        <v>46133</v>
      </c>
      <c r="MB28" s="67">
        <f t="shared" si="68"/>
        <v>46134</v>
      </c>
      <c r="MC28" s="67">
        <f t="shared" si="68"/>
        <v>46135</v>
      </c>
      <c r="MD28" s="67">
        <f t="shared" si="68"/>
        <v>46136</v>
      </c>
      <c r="ME28" s="67">
        <f t="shared" si="68"/>
        <v>46137</v>
      </c>
      <c r="MF28" s="67">
        <f t="shared" si="68"/>
        <v>46138</v>
      </c>
      <c r="MG28" s="67">
        <f t="shared" si="68"/>
        <v>46139</v>
      </c>
      <c r="MH28" s="67">
        <f t="shared" si="68"/>
        <v>46140</v>
      </c>
      <c r="MI28" s="67">
        <f t="shared" si="68"/>
        <v>46141</v>
      </c>
      <c r="MJ28" s="67">
        <f t="shared" si="68"/>
        <v>46142</v>
      </c>
      <c r="MK28" s="67" t="str">
        <f t="shared" si="68"/>
        <v/>
      </c>
      <c r="ML28" s="112" t="s">
        <v>33</v>
      </c>
      <c r="MM28" s="113" t="s">
        <v>28</v>
      </c>
      <c r="MN28" s="114" t="s">
        <v>34</v>
      </c>
      <c r="MO28" s="112" t="s">
        <v>13</v>
      </c>
      <c r="MP28" s="113" t="s">
        <v>1</v>
      </c>
      <c r="MQ28" s="113" t="s">
        <v>35</v>
      </c>
      <c r="MR28" s="113" t="s">
        <v>36</v>
      </c>
      <c r="MS28" s="113" t="s">
        <v>37</v>
      </c>
      <c r="MT28" s="113" t="s">
        <v>0</v>
      </c>
      <c r="MU28" s="113" t="s">
        <v>38</v>
      </c>
      <c r="MV28" s="115" t="s">
        <v>11</v>
      </c>
      <c r="MW28" s="108" t="str">
        <f>elenchi!$C6</f>
        <v>BONILLA KEVIN</v>
      </c>
      <c r="MX28" s="109"/>
      <c r="MY28" s="110"/>
      <c r="MZ28" s="67">
        <f t="shared" ref="MZ28:OD28" si="69">MZ$2</f>
        <v>46143</v>
      </c>
      <c r="NA28" s="67">
        <f t="shared" si="69"/>
        <v>46144</v>
      </c>
      <c r="NB28" s="67">
        <f t="shared" si="69"/>
        <v>46145</v>
      </c>
      <c r="NC28" s="67">
        <f t="shared" si="69"/>
        <v>46146</v>
      </c>
      <c r="ND28" s="67">
        <f t="shared" si="69"/>
        <v>46147</v>
      </c>
      <c r="NE28" s="67">
        <f t="shared" si="69"/>
        <v>46148</v>
      </c>
      <c r="NF28" s="67">
        <f t="shared" si="69"/>
        <v>46149</v>
      </c>
      <c r="NG28" s="67">
        <f t="shared" si="69"/>
        <v>46150</v>
      </c>
      <c r="NH28" s="67">
        <f t="shared" si="69"/>
        <v>46151</v>
      </c>
      <c r="NI28" s="67">
        <f t="shared" si="69"/>
        <v>46152</v>
      </c>
      <c r="NJ28" s="67">
        <f t="shared" si="69"/>
        <v>46153</v>
      </c>
      <c r="NK28" s="67">
        <f t="shared" si="69"/>
        <v>46154</v>
      </c>
      <c r="NL28" s="67">
        <f t="shared" si="69"/>
        <v>46155</v>
      </c>
      <c r="NM28" s="67">
        <f t="shared" si="69"/>
        <v>46156</v>
      </c>
      <c r="NN28" s="67">
        <f t="shared" si="69"/>
        <v>46157</v>
      </c>
      <c r="NO28" s="67">
        <f t="shared" si="69"/>
        <v>46158</v>
      </c>
      <c r="NP28" s="67">
        <f t="shared" si="69"/>
        <v>46159</v>
      </c>
      <c r="NQ28" s="67">
        <f t="shared" si="69"/>
        <v>46160</v>
      </c>
      <c r="NR28" s="67">
        <f t="shared" si="69"/>
        <v>46161</v>
      </c>
      <c r="NS28" s="67">
        <f t="shared" si="69"/>
        <v>46162</v>
      </c>
      <c r="NT28" s="67">
        <f t="shared" si="69"/>
        <v>46163</v>
      </c>
      <c r="NU28" s="67">
        <f t="shared" si="69"/>
        <v>46164</v>
      </c>
      <c r="NV28" s="67">
        <f t="shared" si="69"/>
        <v>46165</v>
      </c>
      <c r="NW28" s="67">
        <f t="shared" si="69"/>
        <v>46166</v>
      </c>
      <c r="NX28" s="67">
        <f t="shared" si="69"/>
        <v>46167</v>
      </c>
      <c r="NY28" s="67">
        <f t="shared" si="69"/>
        <v>46168</v>
      </c>
      <c r="NZ28" s="67">
        <f t="shared" si="69"/>
        <v>46169</v>
      </c>
      <c r="OA28" s="67">
        <f t="shared" si="69"/>
        <v>46170</v>
      </c>
      <c r="OB28" s="67">
        <f t="shared" si="69"/>
        <v>46171</v>
      </c>
      <c r="OC28" s="67">
        <f t="shared" si="69"/>
        <v>46172</v>
      </c>
      <c r="OD28" s="67">
        <f t="shared" si="69"/>
        <v>46173</v>
      </c>
      <c r="OE28" s="112" t="s">
        <v>33</v>
      </c>
      <c r="OF28" s="113" t="s">
        <v>28</v>
      </c>
      <c r="OG28" s="114" t="s">
        <v>34</v>
      </c>
      <c r="OH28" s="112" t="s">
        <v>13</v>
      </c>
      <c r="OI28" s="113" t="s">
        <v>1</v>
      </c>
      <c r="OJ28" s="113" t="s">
        <v>35</v>
      </c>
      <c r="OK28" s="113" t="s">
        <v>36</v>
      </c>
      <c r="OL28" s="113" t="s">
        <v>37</v>
      </c>
      <c r="OM28" s="113" t="s">
        <v>0</v>
      </c>
      <c r="ON28" s="113" t="s">
        <v>38</v>
      </c>
      <c r="OO28" s="115" t="s">
        <v>11</v>
      </c>
      <c r="OP28" s="108" t="str">
        <f>elenchi!$C6</f>
        <v>BONILLA KEVIN</v>
      </c>
      <c r="OQ28" s="109"/>
      <c r="OR28" s="110"/>
      <c r="OS28" s="67">
        <f t="shared" ref="OS28:PW28" si="70">OS$2</f>
        <v>46174</v>
      </c>
      <c r="OT28" s="67">
        <f t="shared" si="70"/>
        <v>46175</v>
      </c>
      <c r="OU28" s="67">
        <f t="shared" si="70"/>
        <v>46176</v>
      </c>
      <c r="OV28" s="67">
        <f t="shared" si="70"/>
        <v>46177</v>
      </c>
      <c r="OW28" s="67">
        <f t="shared" si="70"/>
        <v>46178</v>
      </c>
      <c r="OX28" s="67">
        <f t="shared" si="70"/>
        <v>46179</v>
      </c>
      <c r="OY28" s="67">
        <f t="shared" si="70"/>
        <v>46180</v>
      </c>
      <c r="OZ28" s="67">
        <f t="shared" si="70"/>
        <v>46181</v>
      </c>
      <c r="PA28" s="67">
        <f t="shared" si="70"/>
        <v>46182</v>
      </c>
      <c r="PB28" s="67">
        <f t="shared" si="70"/>
        <v>46183</v>
      </c>
      <c r="PC28" s="67">
        <f t="shared" si="70"/>
        <v>46184</v>
      </c>
      <c r="PD28" s="67">
        <f t="shared" si="70"/>
        <v>46185</v>
      </c>
      <c r="PE28" s="67">
        <f t="shared" si="70"/>
        <v>46186</v>
      </c>
      <c r="PF28" s="67">
        <f t="shared" si="70"/>
        <v>46187</v>
      </c>
      <c r="PG28" s="67">
        <f t="shared" si="70"/>
        <v>46188</v>
      </c>
      <c r="PH28" s="67">
        <f t="shared" si="70"/>
        <v>46189</v>
      </c>
      <c r="PI28" s="67">
        <f t="shared" si="70"/>
        <v>46190</v>
      </c>
      <c r="PJ28" s="67">
        <f t="shared" si="70"/>
        <v>46191</v>
      </c>
      <c r="PK28" s="67">
        <f t="shared" si="70"/>
        <v>46192</v>
      </c>
      <c r="PL28" s="67">
        <f t="shared" si="70"/>
        <v>46193</v>
      </c>
      <c r="PM28" s="67">
        <f t="shared" si="70"/>
        <v>46194</v>
      </c>
      <c r="PN28" s="67">
        <f t="shared" si="70"/>
        <v>46195</v>
      </c>
      <c r="PO28" s="67">
        <f t="shared" si="70"/>
        <v>46196</v>
      </c>
      <c r="PP28" s="67">
        <f t="shared" si="70"/>
        <v>46197</v>
      </c>
      <c r="PQ28" s="67">
        <f t="shared" si="70"/>
        <v>46198</v>
      </c>
      <c r="PR28" s="67">
        <f t="shared" si="70"/>
        <v>46199</v>
      </c>
      <c r="PS28" s="67">
        <f t="shared" si="70"/>
        <v>46200</v>
      </c>
      <c r="PT28" s="67">
        <f t="shared" si="70"/>
        <v>46201</v>
      </c>
      <c r="PU28" s="67">
        <f t="shared" si="70"/>
        <v>46202</v>
      </c>
      <c r="PV28" s="67">
        <f t="shared" si="70"/>
        <v>46203</v>
      </c>
      <c r="PW28" s="67" t="str">
        <f t="shared" si="70"/>
        <v/>
      </c>
      <c r="PX28" s="112" t="s">
        <v>33</v>
      </c>
      <c r="PY28" s="113" t="s">
        <v>28</v>
      </c>
      <c r="PZ28" s="114" t="s">
        <v>34</v>
      </c>
      <c r="QA28" s="112" t="s">
        <v>13</v>
      </c>
      <c r="QB28" s="113" t="s">
        <v>1</v>
      </c>
      <c r="QC28" s="113" t="s">
        <v>35</v>
      </c>
      <c r="QD28" s="113" t="s">
        <v>36</v>
      </c>
      <c r="QE28" s="113" t="s">
        <v>37</v>
      </c>
      <c r="QF28" s="113" t="s">
        <v>0</v>
      </c>
      <c r="QG28" s="113" t="s">
        <v>38</v>
      </c>
      <c r="QH28" s="115" t="s">
        <v>11</v>
      </c>
      <c r="QI28" s="108" t="str">
        <f>elenchi!$C6</f>
        <v>BONILLA KEVIN</v>
      </c>
      <c r="QJ28" s="109"/>
      <c r="QK28" s="110"/>
      <c r="QL28" s="67">
        <f t="shared" ref="QL28:RP28" si="71">QL$2</f>
        <v>46204</v>
      </c>
      <c r="QM28" s="67">
        <f t="shared" si="71"/>
        <v>46205</v>
      </c>
      <c r="QN28" s="67">
        <f t="shared" si="71"/>
        <v>46206</v>
      </c>
      <c r="QO28" s="67">
        <f t="shared" si="71"/>
        <v>46207</v>
      </c>
      <c r="QP28" s="67">
        <f t="shared" si="71"/>
        <v>46208</v>
      </c>
      <c r="QQ28" s="67">
        <f t="shared" si="71"/>
        <v>46209</v>
      </c>
      <c r="QR28" s="67">
        <f t="shared" si="71"/>
        <v>46210</v>
      </c>
      <c r="QS28" s="67">
        <f t="shared" si="71"/>
        <v>46211</v>
      </c>
      <c r="QT28" s="67">
        <f t="shared" si="71"/>
        <v>46212</v>
      </c>
      <c r="QU28" s="67">
        <f t="shared" si="71"/>
        <v>46213</v>
      </c>
      <c r="QV28" s="67">
        <f t="shared" si="71"/>
        <v>46214</v>
      </c>
      <c r="QW28" s="67">
        <f t="shared" si="71"/>
        <v>46215</v>
      </c>
      <c r="QX28" s="67">
        <f t="shared" si="71"/>
        <v>46216</v>
      </c>
      <c r="QY28" s="67">
        <f t="shared" si="71"/>
        <v>46217</v>
      </c>
      <c r="QZ28" s="67">
        <f t="shared" si="71"/>
        <v>46218</v>
      </c>
      <c r="RA28" s="67">
        <f t="shared" si="71"/>
        <v>46219</v>
      </c>
      <c r="RB28" s="67">
        <f t="shared" si="71"/>
        <v>46220</v>
      </c>
      <c r="RC28" s="67">
        <f t="shared" si="71"/>
        <v>46221</v>
      </c>
      <c r="RD28" s="67">
        <f t="shared" si="71"/>
        <v>46222</v>
      </c>
      <c r="RE28" s="67">
        <f t="shared" si="71"/>
        <v>46223</v>
      </c>
      <c r="RF28" s="67">
        <f t="shared" si="71"/>
        <v>46224</v>
      </c>
      <c r="RG28" s="67">
        <f t="shared" si="71"/>
        <v>46225</v>
      </c>
      <c r="RH28" s="67">
        <f t="shared" si="71"/>
        <v>46226</v>
      </c>
      <c r="RI28" s="67">
        <f t="shared" si="71"/>
        <v>46227</v>
      </c>
      <c r="RJ28" s="67">
        <f t="shared" si="71"/>
        <v>46228</v>
      </c>
      <c r="RK28" s="67">
        <f t="shared" si="71"/>
        <v>46229</v>
      </c>
      <c r="RL28" s="67">
        <f t="shared" si="71"/>
        <v>46230</v>
      </c>
      <c r="RM28" s="67">
        <f t="shared" si="71"/>
        <v>46231</v>
      </c>
      <c r="RN28" s="67">
        <f t="shared" si="71"/>
        <v>46232</v>
      </c>
      <c r="RO28" s="67">
        <f t="shared" si="71"/>
        <v>46233</v>
      </c>
      <c r="RP28" s="67">
        <f t="shared" si="71"/>
        <v>46234</v>
      </c>
      <c r="RQ28" s="112" t="s">
        <v>33</v>
      </c>
      <c r="RR28" s="113" t="s">
        <v>28</v>
      </c>
      <c r="RS28" s="114" t="s">
        <v>34</v>
      </c>
      <c r="RT28" s="112" t="s">
        <v>13</v>
      </c>
      <c r="RU28" s="113" t="s">
        <v>1</v>
      </c>
      <c r="RV28" s="113" t="s">
        <v>35</v>
      </c>
      <c r="RW28" s="113" t="s">
        <v>36</v>
      </c>
      <c r="RX28" s="113" t="s">
        <v>37</v>
      </c>
      <c r="RY28" s="113" t="s">
        <v>0</v>
      </c>
      <c r="RZ28" s="113" t="s">
        <v>38</v>
      </c>
      <c r="SA28" s="115" t="s">
        <v>11</v>
      </c>
      <c r="SB28" s="108" t="str">
        <f>elenchi!$C6</f>
        <v>BONILLA KEVIN</v>
      </c>
      <c r="SC28" s="109"/>
      <c r="SD28" s="110"/>
      <c r="SE28" s="67">
        <f t="shared" ref="SE28:TI28" si="72">SE$2</f>
        <v>46235</v>
      </c>
      <c r="SF28" s="67">
        <f t="shared" si="72"/>
        <v>46236</v>
      </c>
      <c r="SG28" s="67">
        <f t="shared" si="72"/>
        <v>46237</v>
      </c>
      <c r="SH28" s="67">
        <f t="shared" si="72"/>
        <v>46238</v>
      </c>
      <c r="SI28" s="67">
        <f t="shared" si="72"/>
        <v>46239</v>
      </c>
      <c r="SJ28" s="67">
        <f t="shared" si="72"/>
        <v>46240</v>
      </c>
      <c r="SK28" s="67">
        <f t="shared" si="72"/>
        <v>46241</v>
      </c>
      <c r="SL28" s="67">
        <f t="shared" si="72"/>
        <v>46242</v>
      </c>
      <c r="SM28" s="67">
        <f t="shared" si="72"/>
        <v>46243</v>
      </c>
      <c r="SN28" s="67">
        <f t="shared" si="72"/>
        <v>46244</v>
      </c>
      <c r="SO28" s="67">
        <f t="shared" si="72"/>
        <v>46245</v>
      </c>
      <c r="SP28" s="67">
        <f t="shared" si="72"/>
        <v>46246</v>
      </c>
      <c r="SQ28" s="67">
        <f t="shared" si="72"/>
        <v>46247</v>
      </c>
      <c r="SR28" s="67">
        <f t="shared" si="72"/>
        <v>46248</v>
      </c>
      <c r="SS28" s="67">
        <f t="shared" si="72"/>
        <v>46249</v>
      </c>
      <c r="ST28" s="67">
        <f t="shared" si="72"/>
        <v>46250</v>
      </c>
      <c r="SU28" s="67">
        <f t="shared" si="72"/>
        <v>46251</v>
      </c>
      <c r="SV28" s="67">
        <f t="shared" si="72"/>
        <v>46252</v>
      </c>
      <c r="SW28" s="67">
        <f t="shared" si="72"/>
        <v>46253</v>
      </c>
      <c r="SX28" s="67">
        <f t="shared" si="72"/>
        <v>46254</v>
      </c>
      <c r="SY28" s="67">
        <f t="shared" si="72"/>
        <v>46255</v>
      </c>
      <c r="SZ28" s="67">
        <f t="shared" si="72"/>
        <v>46256</v>
      </c>
      <c r="TA28" s="67">
        <f t="shared" si="72"/>
        <v>46257</v>
      </c>
      <c r="TB28" s="67">
        <f t="shared" si="72"/>
        <v>46258</v>
      </c>
      <c r="TC28" s="67">
        <f t="shared" si="72"/>
        <v>46259</v>
      </c>
      <c r="TD28" s="67">
        <f t="shared" si="72"/>
        <v>46260</v>
      </c>
      <c r="TE28" s="67">
        <f t="shared" si="72"/>
        <v>46261</v>
      </c>
      <c r="TF28" s="67">
        <f t="shared" si="72"/>
        <v>46262</v>
      </c>
      <c r="TG28" s="67">
        <f t="shared" si="72"/>
        <v>46263</v>
      </c>
      <c r="TH28" s="67">
        <f t="shared" si="72"/>
        <v>46264</v>
      </c>
      <c r="TI28" s="67">
        <f t="shared" si="72"/>
        <v>46265</v>
      </c>
      <c r="TJ28" s="112" t="s">
        <v>33</v>
      </c>
      <c r="TK28" s="113" t="s">
        <v>28</v>
      </c>
      <c r="TL28" s="114" t="s">
        <v>34</v>
      </c>
      <c r="TM28" s="112" t="s">
        <v>13</v>
      </c>
      <c r="TN28" s="113" t="s">
        <v>1</v>
      </c>
      <c r="TO28" s="113" t="s">
        <v>35</v>
      </c>
      <c r="TP28" s="113" t="s">
        <v>36</v>
      </c>
      <c r="TQ28" s="113" t="s">
        <v>37</v>
      </c>
      <c r="TR28" s="113" t="s">
        <v>0</v>
      </c>
      <c r="TS28" s="113" t="s">
        <v>38</v>
      </c>
      <c r="TT28" s="114" t="s">
        <v>11</v>
      </c>
    </row>
    <row r="29" ht="24.75" customHeight="1">
      <c r="A29" s="73"/>
      <c r="B29" s="65"/>
      <c r="C29" s="66"/>
      <c r="D29" s="74">
        <f>Settembre25!$G$2</f>
        <v>8</v>
      </c>
      <c r="E29" s="75">
        <f>Settembre25!$G$3</f>
        <v>8</v>
      </c>
      <c r="F29" s="75">
        <f>Settembre25!$G$4</f>
        <v>8</v>
      </c>
      <c r="G29" s="75" t="str">
        <f>Settembre25!$G$5</f>
        <v>PE</v>
      </c>
      <c r="H29" s="76" t="str">
        <f>Settembre25!$G$6</f>
        <v>PE</v>
      </c>
      <c r="I29" s="76">
        <f>Settembre25!$G$7</f>
        <v>8</v>
      </c>
      <c r="J29" s="75" t="str">
        <f>Settembre25!$G$8</f>
        <v/>
      </c>
      <c r="K29" s="75">
        <f>Settembre25!$G$9</f>
        <v>8</v>
      </c>
      <c r="L29" s="75">
        <f>Settembre25!$G$10</f>
        <v>8</v>
      </c>
      <c r="M29" s="75">
        <f>Settembre25!$G$11</f>
        <v>8</v>
      </c>
      <c r="N29" s="75">
        <f>Settembre25!$G$12</f>
        <v>8</v>
      </c>
      <c r="O29" s="76">
        <f>Settembre25!$G$13</f>
        <v>8</v>
      </c>
      <c r="P29" s="75">
        <f>Settembre25!$G$14</f>
        <v>8</v>
      </c>
      <c r="Q29" s="75" t="str">
        <f>Settembre25!$G$15</f>
        <v/>
      </c>
      <c r="R29" s="75">
        <f>Settembre25!$G$16</f>
        <v>8</v>
      </c>
      <c r="S29" s="75">
        <f>Settembre25!$G$17</f>
        <v>8</v>
      </c>
      <c r="T29" s="75">
        <f>Settembre25!$G$18</f>
        <v>8</v>
      </c>
      <c r="U29" s="75">
        <f>Settembre25!$G$19</f>
        <v>8</v>
      </c>
      <c r="V29" s="76">
        <f>Settembre25!$G$20</f>
        <v>8</v>
      </c>
      <c r="W29" s="76">
        <f>Settembre25!$G$21</f>
        <v>8</v>
      </c>
      <c r="X29" s="75">
        <f>Settembre25!$G$22</f>
        <v>6.5</v>
      </c>
      <c r="Y29" s="75">
        <f>Settembre25!$G$23</f>
        <v>8</v>
      </c>
      <c r="Z29" s="75">
        <f>Settembre25!$G$24</f>
        <v>8</v>
      </c>
      <c r="AA29" s="75">
        <f>Settembre25!$G$25</f>
        <v>8</v>
      </c>
      <c r="AB29" s="75">
        <f>Settembre25!$G$26</f>
        <v>4</v>
      </c>
      <c r="AC29" s="76">
        <f>Settembre25!$G$27</f>
        <v>4</v>
      </c>
      <c r="AD29" s="76" t="str">
        <f>Settembre25!$G$28</f>
        <v/>
      </c>
      <c r="AE29" s="75" t="str">
        <f>Settembre25!$G$29</f>
        <v/>
      </c>
      <c r="AF29" s="75">
        <f>Settembre25!$G$30</f>
        <v>8</v>
      </c>
      <c r="AG29" s="75">
        <f>Settembre25!$G$31</f>
        <v>10</v>
      </c>
      <c r="AH29" s="77" t="str">
        <f>Settembre25!$G$32</f>
        <v/>
      </c>
      <c r="AI29" s="78"/>
      <c r="AJ29" s="79">
        <f>SUM(D29:AH29)</f>
        <v>184.5</v>
      </c>
      <c r="AK29" s="80"/>
      <c r="AL29" s="78"/>
      <c r="AM29" s="81"/>
      <c r="AN29" s="81"/>
      <c r="AO29" s="81"/>
      <c r="AP29" s="81"/>
      <c r="AQ29" s="81"/>
      <c r="AR29" s="81"/>
      <c r="AS29" s="82"/>
      <c r="AT29" s="73"/>
      <c r="AU29" s="65"/>
      <c r="AV29" s="66"/>
      <c r="AW29" s="83">
        <f>Ottobre25!$G$2</f>
        <v>8</v>
      </c>
      <c r="AX29" s="84">
        <f>Ottobre25!$G$3</f>
        <v>8</v>
      </c>
      <c r="AY29" s="84">
        <f>Ottobre25!$G$4</f>
        <v>8</v>
      </c>
      <c r="AZ29" s="84">
        <f>Ottobre25!$G$5</f>
        <v>8</v>
      </c>
      <c r="BA29" s="85" t="str">
        <f>Ottobre25!$G$6</f>
        <v/>
      </c>
      <c r="BB29" s="85">
        <f>Ottobre25!$G$7</f>
        <v>8</v>
      </c>
      <c r="BC29" s="84">
        <f>Ottobre25!$G$8</f>
        <v>8</v>
      </c>
      <c r="BD29" s="84">
        <f>Ottobre25!$G$9</f>
        <v>8</v>
      </c>
      <c r="BE29" s="84">
        <f>Ottobre25!$G$10</f>
        <v>8</v>
      </c>
      <c r="BF29" s="84">
        <f>Ottobre25!$G$11</f>
        <v>8</v>
      </c>
      <c r="BG29" s="84" t="str">
        <f>Ottobre25!$G$12</f>
        <v>Pe</v>
      </c>
      <c r="BH29" s="85" t="str">
        <f>Ottobre25!$G$13</f>
        <v/>
      </c>
      <c r="BI29" s="85">
        <f>Ottobre25!$G$14</f>
        <v>8</v>
      </c>
      <c r="BJ29" s="84">
        <f>Ottobre25!$G$15</f>
        <v>8</v>
      </c>
      <c r="BK29" s="84">
        <f>Ottobre25!$G$16</f>
        <v>8</v>
      </c>
      <c r="BL29" s="84">
        <f>Ottobre25!$G$17</f>
        <v>8</v>
      </c>
      <c r="BM29" s="84">
        <f>Ottobre25!$G$18</f>
        <v>8</v>
      </c>
      <c r="BN29" s="84">
        <f>Ottobre25!$G$19</f>
        <v>9</v>
      </c>
      <c r="BO29" s="85">
        <f>Ottobre25!$G$20</f>
        <v>8</v>
      </c>
      <c r="BP29" s="85">
        <f>Ottobre25!$G$21</f>
        <v>8</v>
      </c>
      <c r="BQ29" s="84">
        <f>Ottobre25!$G$22</f>
        <v>4.5</v>
      </c>
      <c r="BR29" s="84">
        <f>Ottobre25!$G$23</f>
        <v>8</v>
      </c>
      <c r="BS29" s="84">
        <f>Ottobre25!$G$24</f>
        <v>8</v>
      </c>
      <c r="BT29" s="84">
        <f>Ottobre25!$G$25</f>
        <v>8</v>
      </c>
      <c r="BU29" s="84">
        <f>Ottobre25!$G$26</f>
        <v>10</v>
      </c>
      <c r="BV29" s="85" t="str">
        <f>Ottobre25!$G$27</f>
        <v/>
      </c>
      <c r="BW29" s="85">
        <f>Ottobre25!$G$28</f>
        <v>8</v>
      </c>
      <c r="BX29" s="84">
        <f>Ottobre25!$G$29</f>
        <v>6</v>
      </c>
      <c r="BY29" s="84">
        <f>Ottobre25!$G$30</f>
        <v>8</v>
      </c>
      <c r="BZ29" s="84">
        <f>Ottobre25!$G$31</f>
        <v>8</v>
      </c>
      <c r="CA29" s="86" t="str">
        <f>Ottobre25!$G$32</f>
        <v>Pe</v>
      </c>
      <c r="CB29" s="78"/>
      <c r="CC29" s="79">
        <f>SUM(AW29:CA29)</f>
        <v>205.5</v>
      </c>
      <c r="CD29" s="80"/>
      <c r="CE29" s="78"/>
      <c r="CF29" s="81"/>
      <c r="CG29" s="81"/>
      <c r="CH29" s="81"/>
      <c r="CI29" s="81"/>
      <c r="CJ29" s="81"/>
      <c r="CK29" s="81"/>
      <c r="CL29" s="82"/>
      <c r="CM29" s="73"/>
      <c r="CN29" s="65"/>
      <c r="CO29" s="66"/>
      <c r="CP29" s="83" t="str">
        <f>Novembre25!$G$2</f>
        <v/>
      </c>
      <c r="CQ29" s="84" t="str">
        <f>Novembre25!$G$3</f>
        <v/>
      </c>
      <c r="CR29" s="84" t="str">
        <f>Novembre25!$G$4</f>
        <v>Pe</v>
      </c>
      <c r="CS29" s="84" t="str">
        <f>Novembre25!$G$5</f>
        <v>Pe</v>
      </c>
      <c r="CT29" s="85" t="str">
        <f>Novembre25!$G$6</f>
        <v>Pe</v>
      </c>
      <c r="CU29" s="85">
        <f>Novembre25!$G$7</f>
        <v>7</v>
      </c>
      <c r="CV29" s="84">
        <f>Novembre25!$G$8</f>
        <v>8</v>
      </c>
      <c r="CW29" s="84" t="str">
        <f>Novembre25!$G$9</f>
        <v>Pe</v>
      </c>
      <c r="CX29" s="84">
        <f>Novembre25!$G$10</f>
        <v>8</v>
      </c>
      <c r="CY29" s="84">
        <f>Novembre25!$G$11</f>
        <v>8</v>
      </c>
      <c r="CZ29" s="84">
        <f>Novembre25!$G$12</f>
        <v>6</v>
      </c>
      <c r="DA29" s="85">
        <f>Novembre25!$G$13</f>
        <v>8</v>
      </c>
      <c r="DB29" s="85" t="str">
        <f>Novembre25!$G$14</f>
        <v>Pe</v>
      </c>
      <c r="DC29" s="84" t="str">
        <f>Novembre25!$G$15</f>
        <v>Pe</v>
      </c>
      <c r="DD29" s="84" t="str">
        <f>Novembre25!$G$16</f>
        <v>Pe</v>
      </c>
      <c r="DE29" s="84" t="str">
        <f>Novembre25!$G$17</f>
        <v/>
      </c>
      <c r="DF29" s="84" t="str">
        <f>Novembre25!$G$18</f>
        <v>Pe</v>
      </c>
      <c r="DG29" s="84" t="str">
        <f>Novembre25!$G$19</f>
        <v>Pe</v>
      </c>
      <c r="DH29" s="85" t="str">
        <f>Novembre25!$G$20</f>
        <v>Pe</v>
      </c>
      <c r="DI29" s="85" t="str">
        <f>Novembre25!$G$21</f>
        <v>Pe</v>
      </c>
      <c r="DJ29" s="84" t="str">
        <f>Novembre25!$G$22</f>
        <v>Pe</v>
      </c>
      <c r="DK29" s="84" t="str">
        <f>Novembre25!$G$23</f>
        <v>Pe</v>
      </c>
      <c r="DL29" s="84">
        <f>Novembre25!$G$24</f>
        <v>5.5</v>
      </c>
      <c r="DM29" s="84">
        <f>Novembre25!$G$25</f>
        <v>8</v>
      </c>
      <c r="DN29" s="84">
        <f>Novembre25!$G$26</f>
        <v>6</v>
      </c>
      <c r="DO29" s="85">
        <f>Novembre25!$G$27</f>
        <v>8</v>
      </c>
      <c r="DP29" s="85" t="str">
        <f>Novembre25!$G$28</f>
        <v>Pe</v>
      </c>
      <c r="DQ29" s="84" t="str">
        <f>Novembre25!$G$29</f>
        <v>Pe</v>
      </c>
      <c r="DR29" s="84" t="str">
        <f>Novembre25!$G$30</f>
        <v>Pe</v>
      </c>
      <c r="DS29" s="84" t="str">
        <f>Novembre25!$G$31</f>
        <v/>
      </c>
      <c r="DT29" s="86" t="str">
        <f>Novembre25!$G$32</f>
        <v/>
      </c>
      <c r="DU29" s="78"/>
      <c r="DV29" s="79">
        <f>SUM(CP29:DT29)</f>
        <v>72.5</v>
      </c>
      <c r="DW29" s="80"/>
      <c r="DX29" s="78"/>
      <c r="DY29" s="81"/>
      <c r="DZ29" s="81"/>
      <c r="EA29" s="81"/>
      <c r="EB29" s="81"/>
      <c r="EC29" s="81"/>
      <c r="ED29" s="81"/>
      <c r="EE29" s="80"/>
      <c r="EF29" s="73"/>
      <c r="EG29" s="65"/>
      <c r="EH29" s="66"/>
      <c r="EI29" s="83">
        <f>Dicembre25!$G$2</f>
        <v>8</v>
      </c>
      <c r="EJ29" s="84">
        <f>Dicembre25!$G$3</f>
        <v>6</v>
      </c>
      <c r="EK29" s="84" t="str">
        <f>Dicembre25!$G$4</f>
        <v>Pe</v>
      </c>
      <c r="EL29" s="84" t="str">
        <f>Dicembre25!$G$5</f>
        <v>Pe</v>
      </c>
      <c r="EM29" s="85" t="str">
        <f>Dicembre25!$G$6</f>
        <v>Pe</v>
      </c>
      <c r="EN29" s="85" t="str">
        <f>Dicembre25!$G$7</f>
        <v>Pe</v>
      </c>
      <c r="EO29" s="84" t="str">
        <f>Dicembre25!$G$8</f>
        <v/>
      </c>
      <c r="EP29" s="84" t="str">
        <f>Dicembre25!$G$9</f>
        <v>F</v>
      </c>
      <c r="EQ29" s="84">
        <f>Dicembre25!$G$10</f>
        <v>8</v>
      </c>
      <c r="ER29" s="84">
        <f>Dicembre25!$G$11</f>
        <v>8</v>
      </c>
      <c r="ES29" s="84" t="str">
        <f>Dicembre25!$G$12</f>
        <v>Pe</v>
      </c>
      <c r="ET29" s="85" t="str">
        <f>Dicembre25!$G$13</f>
        <v>Pe</v>
      </c>
      <c r="EU29" s="85" t="str">
        <f>Dicembre25!$G$14</f>
        <v>Pe</v>
      </c>
      <c r="EV29" s="84" t="str">
        <f>Dicembre25!$G$15</f>
        <v/>
      </c>
      <c r="EW29" s="84">
        <f>Dicembre25!$G$16</f>
        <v>8</v>
      </c>
      <c r="EX29" s="84">
        <f>Dicembre25!$G$17</f>
        <v>6</v>
      </c>
      <c r="EY29" s="84">
        <f>Dicembre25!$G$18</f>
        <v>7.5</v>
      </c>
      <c r="EZ29" s="84">
        <f>Dicembre25!$G$19</f>
        <v>8</v>
      </c>
      <c r="FA29" s="85" t="str">
        <f>Dicembre25!$G$20</f>
        <v>Pe</v>
      </c>
      <c r="FB29" s="85" t="str">
        <f>Dicembre25!$G$21</f>
        <v>Pe</v>
      </c>
      <c r="FC29" s="84" t="str">
        <f>Dicembre25!$G$22</f>
        <v/>
      </c>
      <c r="FD29" s="84">
        <f>Dicembre25!$G$23</f>
        <v>8</v>
      </c>
      <c r="FE29" s="84">
        <f>Dicembre25!$G$24</f>
        <v>8</v>
      </c>
      <c r="FF29" s="84" t="str">
        <f>Dicembre25!$G$25</f>
        <v>Fe</v>
      </c>
      <c r="FG29" s="84" t="str">
        <f>Dicembre25!$G$26</f>
        <v>F</v>
      </c>
      <c r="FH29" s="85" t="str">
        <f>Dicembre25!$G$27</f>
        <v>F</v>
      </c>
      <c r="FI29" s="85" t="str">
        <f>Dicembre25!$G$28</f>
        <v/>
      </c>
      <c r="FJ29" s="84" t="str">
        <f>Dicembre25!$G$29</f>
        <v/>
      </c>
      <c r="FK29" s="84">
        <f>Dicembre25!$G$30</f>
        <v>8</v>
      </c>
      <c r="FL29" s="84">
        <f>Dicembre25!$G$31</f>
        <v>8</v>
      </c>
      <c r="FM29" s="86" t="str">
        <f>Dicembre25!$G$32</f>
        <v/>
      </c>
      <c r="FN29" s="78"/>
      <c r="FO29" s="79">
        <f>SUM(EI29:FM29)</f>
        <v>91.5</v>
      </c>
      <c r="FP29" s="80"/>
      <c r="FQ29" s="78"/>
      <c r="FR29" s="81"/>
      <c r="FS29" s="81"/>
      <c r="FT29" s="81"/>
      <c r="FU29" s="81"/>
      <c r="FV29" s="81"/>
      <c r="FW29" s="81"/>
      <c r="FX29" s="80"/>
      <c r="FY29" s="73"/>
      <c r="FZ29" s="65"/>
      <c r="GA29" s="66"/>
      <c r="GB29" s="83" t="str">
        <f>Gennaio26!$G$2</f>
        <v>F</v>
      </c>
      <c r="GC29" s="84" t="str">
        <f>Gennaio26!$G$3</f>
        <v>FE</v>
      </c>
      <c r="GD29" s="84" t="str">
        <f>Gennaio26!$G$4</f>
        <v/>
      </c>
      <c r="GE29" s="84" t="str">
        <f>Gennaio26!$G$5</f>
        <v/>
      </c>
      <c r="GF29" s="85" t="str">
        <f>Gennaio26!$G$6</f>
        <v>FE</v>
      </c>
      <c r="GG29" s="85" t="str">
        <f>Gennaio26!$G$7</f>
        <v>F</v>
      </c>
      <c r="GH29" s="84">
        <f>Gennaio26!$G$8</f>
        <v>8</v>
      </c>
      <c r="GI29" s="84">
        <f>Gennaio26!$G$9</f>
        <v>8</v>
      </c>
      <c r="GJ29" s="84">
        <f>Gennaio26!$G$10</f>
        <v>8</v>
      </c>
      <c r="GK29" s="84">
        <f>Gennaio26!$G$11</f>
        <v>8</v>
      </c>
      <c r="GL29" s="84" t="str">
        <f>Gennaio26!$G$12</f>
        <v/>
      </c>
      <c r="GM29" s="85">
        <f>Gennaio26!$G$13</f>
        <v>8</v>
      </c>
      <c r="GN29" s="85">
        <f>Gennaio26!$G$14</f>
        <v>6</v>
      </c>
      <c r="GO29" s="84">
        <f>Gennaio26!$G$15</f>
        <v>8</v>
      </c>
      <c r="GP29" s="84">
        <f>Gennaio26!$G$16</f>
        <v>8</v>
      </c>
      <c r="GQ29" s="84">
        <f>Gennaio26!$G$17</f>
        <v>8</v>
      </c>
      <c r="GR29" s="84">
        <f>Gennaio26!$G$18</f>
        <v>8</v>
      </c>
      <c r="GS29" s="84">
        <f>Gennaio26!$G$19</f>
        <v>8</v>
      </c>
      <c r="GT29" s="85">
        <f>Gennaio26!$G$20</f>
        <v>8</v>
      </c>
      <c r="GU29" s="85">
        <f>Gennaio26!$G$21</f>
        <v>5</v>
      </c>
      <c r="GV29" s="84">
        <f>Gennaio26!$G$22</f>
        <v>8</v>
      </c>
      <c r="GW29" s="84">
        <f>Gennaio26!$G$23</f>
        <v>8</v>
      </c>
      <c r="GX29" s="84">
        <f>Gennaio26!$G$24</f>
        <v>8</v>
      </c>
      <c r="GY29" s="84" t="str">
        <f>Gennaio26!$G$25</f>
        <v/>
      </c>
      <c r="GZ29" s="84" t="str">
        <f>Gennaio26!$G$26</f>
        <v/>
      </c>
      <c r="HA29" s="85">
        <f>Gennaio26!$G$27</f>
        <v>8</v>
      </c>
      <c r="HB29" s="85">
        <f>Gennaio26!$G$28</f>
        <v>6</v>
      </c>
      <c r="HC29" s="84">
        <f>Gennaio26!$G$29</f>
        <v>8</v>
      </c>
      <c r="HD29" s="84">
        <f>Gennaio26!$G$30</f>
        <v>8</v>
      </c>
      <c r="HE29" s="84">
        <f>Gennaio26!$G$31</f>
        <v>8</v>
      </c>
      <c r="HF29" s="86">
        <f>Gennaio26!$G$32</f>
        <v>8</v>
      </c>
      <c r="HG29" s="78"/>
      <c r="HH29" s="79">
        <f>SUM(GB29:HF29)</f>
        <v>169</v>
      </c>
      <c r="HI29" s="80"/>
      <c r="HJ29" s="78"/>
      <c r="HK29" s="81"/>
      <c r="HL29" s="81"/>
      <c r="HM29" s="81"/>
      <c r="HN29" s="81"/>
      <c r="HO29" s="81"/>
      <c r="HP29" s="81"/>
      <c r="HQ29" s="80"/>
      <c r="HR29" s="73"/>
      <c r="HS29" s="65"/>
      <c r="HT29" s="66"/>
      <c r="HU29" s="83" t="str">
        <f>Febbraio26!$G$2</f>
        <v/>
      </c>
      <c r="HV29" s="84">
        <f>Febbraio26!$G$3</f>
        <v>8</v>
      </c>
      <c r="HW29" s="84">
        <f>Febbraio26!$G$4</f>
        <v>5</v>
      </c>
      <c r="HX29" s="84">
        <f>Febbraio26!$G$5</f>
        <v>8</v>
      </c>
      <c r="HY29" s="85">
        <f>Febbraio26!$G$6</f>
        <v>8</v>
      </c>
      <c r="HZ29" s="85">
        <f>Febbraio26!$G$7</f>
        <v>8</v>
      </c>
      <c r="IA29" s="84">
        <f>Febbraio26!$G$8</f>
        <v>8</v>
      </c>
      <c r="IB29" s="84" t="str">
        <f>Febbraio26!$G$9</f>
        <v/>
      </c>
      <c r="IC29" s="84">
        <f>Febbraio26!$G$10</f>
        <v>8</v>
      </c>
      <c r="ID29" s="84">
        <f>Febbraio26!$G$11</f>
        <v>6</v>
      </c>
      <c r="IE29" s="84">
        <f>Febbraio26!$G$12</f>
        <v>8</v>
      </c>
      <c r="IF29" s="85">
        <f>Febbraio26!$G$13</f>
        <v>3</v>
      </c>
      <c r="IG29" s="85">
        <f>Febbraio26!$G$14</f>
        <v>8</v>
      </c>
      <c r="IH29" s="84" t="str">
        <f>Febbraio26!$G$15</f>
        <v/>
      </c>
      <c r="II29" s="84">
        <f>Febbraio26!$G$16</f>
        <v>8</v>
      </c>
      <c r="IJ29" s="84">
        <f>Febbraio26!$G$17</f>
        <v>8</v>
      </c>
      <c r="IK29" s="84">
        <f>Febbraio26!$G$18</f>
        <v>5.5</v>
      </c>
      <c r="IL29" s="84">
        <f>Febbraio26!$G$19</f>
        <v>8</v>
      </c>
      <c r="IM29" s="85">
        <f>Febbraio26!$G$20</f>
        <v>8</v>
      </c>
      <c r="IN29" s="85">
        <f>Febbraio26!$G$21</f>
        <v>7.5</v>
      </c>
      <c r="IO29" s="84">
        <f>Febbraio26!$G$22</f>
        <v>8</v>
      </c>
      <c r="IP29" s="84" t="str">
        <f>Febbraio26!$G$23</f>
        <v/>
      </c>
      <c r="IQ29" s="84">
        <f>Febbraio26!$G$24</f>
        <v>8</v>
      </c>
      <c r="IR29" s="84">
        <f>Febbraio26!$G$25</f>
        <v>6</v>
      </c>
      <c r="IS29" s="84">
        <f>Febbraio26!$G$26</f>
        <v>8</v>
      </c>
      <c r="IT29" s="85">
        <f>Febbraio26!$G$27</f>
        <v>8</v>
      </c>
      <c r="IU29" s="85">
        <f>Febbraio26!$G$28</f>
        <v>8</v>
      </c>
      <c r="IV29" s="84">
        <f>Febbraio26!$G$29</f>
        <v>9</v>
      </c>
      <c r="IW29" s="84" t="str">
        <f>Febbraio26!$G$30</f>
        <v/>
      </c>
      <c r="IX29" s="84" t="str">
        <f>Febbraio26!$G$31</f>
        <v/>
      </c>
      <c r="IY29" s="86" t="str">
        <f>Febbraio26!$G$32</f>
        <v/>
      </c>
      <c r="IZ29" s="78"/>
      <c r="JA29" s="79">
        <f>SUM(HU29:IY29)</f>
        <v>178</v>
      </c>
      <c r="JB29" s="80"/>
      <c r="JC29" s="78"/>
      <c r="JD29" s="81"/>
      <c r="JE29" s="81"/>
      <c r="JF29" s="81"/>
      <c r="JG29" s="81"/>
      <c r="JH29" s="81"/>
      <c r="JI29" s="81"/>
      <c r="JJ29" s="80"/>
      <c r="JK29" s="73"/>
      <c r="JL29" s="65"/>
      <c r="JM29" s="66"/>
      <c r="JN29" s="83">
        <f>Marzo26!$G$2</f>
        <v>3</v>
      </c>
      <c r="JO29" s="84">
        <f>Marzo26!$G$3</f>
        <v>8</v>
      </c>
      <c r="JP29" s="84">
        <f>Marzo26!$G$4</f>
        <v>6</v>
      </c>
      <c r="JQ29" s="84">
        <f>Marzo26!$G$5</f>
        <v>8</v>
      </c>
      <c r="JR29" s="85">
        <f>Marzo26!$G$6</f>
        <v>8</v>
      </c>
      <c r="JS29" s="85">
        <f>Marzo26!$G$7</f>
        <v>8</v>
      </c>
      <c r="JT29" s="84">
        <f>Marzo26!$G$8</f>
        <v>8</v>
      </c>
      <c r="JU29" s="84" t="str">
        <f>Marzo26!$G$9</f>
        <v/>
      </c>
      <c r="JV29" s="84">
        <f>Marzo26!$G$10</f>
        <v>8</v>
      </c>
      <c r="JW29" s="84">
        <f>Marzo26!$G$11</f>
        <v>6</v>
      </c>
      <c r="JX29" s="84">
        <f>Marzo26!$G$12</f>
        <v>8</v>
      </c>
      <c r="JY29" s="85">
        <f>Marzo26!$G$13</f>
        <v>8</v>
      </c>
      <c r="JZ29" s="85">
        <f>Marzo26!$G$14</f>
        <v>8</v>
      </c>
      <c r="KA29" s="84">
        <f>Marzo26!$G$15</f>
        <v>6.5</v>
      </c>
      <c r="KB29" s="84">
        <f>Marzo26!$G$16</f>
        <v>8.5</v>
      </c>
      <c r="KC29" s="84">
        <f>Marzo26!$G$17</f>
        <v>8</v>
      </c>
      <c r="KD29" s="84">
        <f>Marzo26!$G$18</f>
        <v>6</v>
      </c>
      <c r="KE29" s="84">
        <f>Marzo26!$G$19</f>
        <v>8</v>
      </c>
      <c r="KF29" s="85">
        <f>Marzo26!$G$20</f>
        <v>8</v>
      </c>
      <c r="KG29" s="85">
        <f>Marzo26!$G$21</f>
        <v>8</v>
      </c>
      <c r="KH29" s="84" t="str">
        <f>Marzo26!$G$22</f>
        <v/>
      </c>
      <c r="KI29" s="84" t="str">
        <f>Marzo26!$G$23</f>
        <v/>
      </c>
      <c r="KJ29" s="84">
        <f>Marzo26!$G$24</f>
        <v>8</v>
      </c>
      <c r="KK29" s="84">
        <f>Marzo26!$G$25</f>
        <v>6</v>
      </c>
      <c r="KL29" s="84">
        <f>Marzo26!$G$26</f>
        <v>8</v>
      </c>
      <c r="KM29" s="85">
        <f>Marzo26!$G$27</f>
        <v>8</v>
      </c>
      <c r="KN29" s="85">
        <f>Marzo26!$G$28</f>
        <v>8</v>
      </c>
      <c r="KO29" s="84" t="str">
        <f>Marzo26!$G$29</f>
        <v/>
      </c>
      <c r="KP29" s="84" t="str">
        <f>Marzo26!$G$30</f>
        <v/>
      </c>
      <c r="KQ29" s="84">
        <f>Marzo26!$G$31</f>
        <v>8</v>
      </c>
      <c r="KR29" s="86">
        <f>Marzo26!$G$32</f>
        <v>6</v>
      </c>
      <c r="KS29" s="78"/>
      <c r="KT29" s="79">
        <f>SUM(JN29:KR29)</f>
        <v>192</v>
      </c>
      <c r="KU29" s="80"/>
      <c r="KV29" s="78"/>
      <c r="KW29" s="81"/>
      <c r="KX29" s="81"/>
      <c r="KY29" s="81"/>
      <c r="KZ29" s="81"/>
      <c r="LA29" s="81"/>
      <c r="LB29" s="81"/>
      <c r="LC29" s="80"/>
      <c r="LD29" s="73"/>
      <c r="LE29" s="65"/>
      <c r="LF29" s="66"/>
      <c r="LG29" s="83" t="str">
        <f>Aprile26!$G$2</f>
        <v/>
      </c>
      <c r="LH29" s="84" t="str">
        <f>Aprile26!$G$3</f>
        <v/>
      </c>
      <c r="LI29" s="84" t="str">
        <f>Aprile26!$G$4</f>
        <v/>
      </c>
      <c r="LJ29" s="84" t="str">
        <f>Aprile26!$G$5</f>
        <v/>
      </c>
      <c r="LK29" s="85" t="str">
        <f>Aprile26!$G$6</f>
        <v/>
      </c>
      <c r="LL29" s="85" t="str">
        <f>Aprile26!$G$7</f>
        <v/>
      </c>
      <c r="LM29" s="84" t="str">
        <f>Aprile26!$G$8</f>
        <v/>
      </c>
      <c r="LN29" s="84" t="str">
        <f>Aprile26!$G$9</f>
        <v/>
      </c>
      <c r="LO29" s="84" t="str">
        <f>Aprile26!$G$10</f>
        <v/>
      </c>
      <c r="LP29" s="84" t="str">
        <f>Aprile26!$G$11</f>
        <v/>
      </c>
      <c r="LQ29" s="84" t="str">
        <f>Aprile26!$G$12</f>
        <v/>
      </c>
      <c r="LR29" s="85" t="str">
        <f>Aprile26!$G$13</f>
        <v/>
      </c>
      <c r="LS29" s="85" t="str">
        <f>Aprile26!$G$14</f>
        <v/>
      </c>
      <c r="LT29" s="84" t="str">
        <f>Aprile26!$G$15</f>
        <v/>
      </c>
      <c r="LU29" s="84" t="str">
        <f>Aprile26!$G$16</f>
        <v/>
      </c>
      <c r="LV29" s="84" t="str">
        <f>Aprile26!$G$17</f>
        <v/>
      </c>
      <c r="LW29" s="84" t="str">
        <f>Aprile26!$G$18</f>
        <v/>
      </c>
      <c r="LX29" s="84" t="str">
        <f>Aprile26!$G$19</f>
        <v/>
      </c>
      <c r="LY29" s="85" t="str">
        <f>Aprile26!$G$20</f>
        <v/>
      </c>
      <c r="LZ29" s="85" t="str">
        <f>Aprile26!$G$21</f>
        <v/>
      </c>
      <c r="MA29" s="84" t="str">
        <f>Aprile26!$G$22</f>
        <v/>
      </c>
      <c r="MB29" s="84" t="str">
        <f>Aprile26!$G$23</f>
        <v/>
      </c>
      <c r="MC29" s="84" t="str">
        <f>Aprile26!$G$24</f>
        <v/>
      </c>
      <c r="MD29" s="84" t="str">
        <f>Aprile26!$G$25</f>
        <v/>
      </c>
      <c r="ME29" s="84" t="str">
        <f>Aprile26!$G$26</f>
        <v/>
      </c>
      <c r="MF29" s="85" t="str">
        <f>Aprile26!$G$27</f>
        <v/>
      </c>
      <c r="MG29" s="85" t="str">
        <f>Aprile26!$G$28</f>
        <v/>
      </c>
      <c r="MH29" s="84" t="str">
        <f>Aprile26!$G$29</f>
        <v/>
      </c>
      <c r="MI29" s="84" t="str">
        <f>Aprile26!$G$30</f>
        <v/>
      </c>
      <c r="MJ29" s="84" t="str">
        <f>Aprile26!$G$31</f>
        <v/>
      </c>
      <c r="MK29" s="86" t="str">
        <f>Aprile26!$G$32</f>
        <v/>
      </c>
      <c r="ML29" s="78"/>
      <c r="MM29" s="79">
        <f>SUM(LG29:MK29)</f>
        <v>0</v>
      </c>
      <c r="MN29" s="80"/>
      <c r="MO29" s="78"/>
      <c r="MP29" s="81"/>
      <c r="MQ29" s="81"/>
      <c r="MR29" s="81"/>
      <c r="MS29" s="81"/>
      <c r="MT29" s="81"/>
      <c r="MU29" s="81"/>
      <c r="MV29" s="82"/>
      <c r="MW29" s="73"/>
      <c r="MX29" s="65"/>
      <c r="MY29" s="66"/>
      <c r="MZ29" s="83" t="str">
        <f>Maggio26!$G$2</f>
        <v/>
      </c>
      <c r="NA29" s="84" t="str">
        <f>Maggio26!$G$3</f>
        <v/>
      </c>
      <c r="NB29" s="84" t="str">
        <f>Maggio26!$G$4</f>
        <v/>
      </c>
      <c r="NC29" s="84" t="str">
        <f>Maggio26!$G$5</f>
        <v/>
      </c>
      <c r="ND29" s="85" t="str">
        <f>Maggio26!$G$6</f>
        <v/>
      </c>
      <c r="NE29" s="85" t="str">
        <f>Maggio26!$G$7</f>
        <v/>
      </c>
      <c r="NF29" s="84" t="str">
        <f>Maggio26!$G$8</f>
        <v/>
      </c>
      <c r="NG29" s="84" t="str">
        <f>Maggio26!$G$9</f>
        <v/>
      </c>
      <c r="NH29" s="84" t="str">
        <f>Maggio26!$G$10</f>
        <v/>
      </c>
      <c r="NI29" s="84" t="str">
        <f>Maggio26!$G$11</f>
        <v/>
      </c>
      <c r="NJ29" s="84" t="str">
        <f>Maggio26!$G$12</f>
        <v/>
      </c>
      <c r="NK29" s="85" t="str">
        <f>Maggio26!$G$13</f>
        <v/>
      </c>
      <c r="NL29" s="85" t="str">
        <f>Maggio26!$G$14</f>
        <v/>
      </c>
      <c r="NM29" s="84" t="str">
        <f>Maggio26!$G$15</f>
        <v/>
      </c>
      <c r="NN29" s="84" t="str">
        <f>Maggio26!$G$16</f>
        <v/>
      </c>
      <c r="NO29" s="84" t="str">
        <f>Maggio26!$G$17</f>
        <v/>
      </c>
      <c r="NP29" s="84" t="str">
        <f>Maggio26!$G$18</f>
        <v/>
      </c>
      <c r="NQ29" s="84" t="str">
        <f>Maggio26!$G$19</f>
        <v/>
      </c>
      <c r="NR29" s="85" t="str">
        <f>Maggio26!$G$20</f>
        <v/>
      </c>
      <c r="NS29" s="85" t="str">
        <f>Maggio26!$G$21</f>
        <v/>
      </c>
      <c r="NT29" s="84" t="str">
        <f>Maggio26!$G$22</f>
        <v/>
      </c>
      <c r="NU29" s="84" t="str">
        <f>Maggio26!$G$23</f>
        <v/>
      </c>
      <c r="NV29" s="84" t="str">
        <f>Maggio26!$G$24</f>
        <v/>
      </c>
      <c r="NW29" s="84" t="str">
        <f>Maggio26!$G$25</f>
        <v/>
      </c>
      <c r="NX29" s="84" t="str">
        <f>Maggio26!$G$26</f>
        <v/>
      </c>
      <c r="NY29" s="85" t="str">
        <f>Maggio26!$G$27</f>
        <v/>
      </c>
      <c r="NZ29" s="85" t="str">
        <f>Maggio26!$G$28</f>
        <v/>
      </c>
      <c r="OA29" s="84" t="str">
        <f>Maggio26!$G$29</f>
        <v/>
      </c>
      <c r="OB29" s="84" t="str">
        <f>Maggio26!$G$30</f>
        <v/>
      </c>
      <c r="OC29" s="84" t="str">
        <f>Maggio26!$G$31</f>
        <v/>
      </c>
      <c r="OD29" s="86" t="str">
        <f>Maggio26!$G$32</f>
        <v/>
      </c>
      <c r="OE29" s="78"/>
      <c r="OF29" s="79">
        <f>SUM(MZ29:OD29)</f>
        <v>0</v>
      </c>
      <c r="OG29" s="80"/>
      <c r="OH29" s="78"/>
      <c r="OI29" s="81"/>
      <c r="OJ29" s="81"/>
      <c r="OK29" s="81"/>
      <c r="OL29" s="81"/>
      <c r="OM29" s="81"/>
      <c r="ON29" s="81"/>
      <c r="OO29" s="82"/>
      <c r="OP29" s="73"/>
      <c r="OQ29" s="65"/>
      <c r="OR29" s="66"/>
      <c r="OS29" s="83" t="str">
        <f>Giugno26!$G$2</f>
        <v/>
      </c>
      <c r="OT29" s="84" t="str">
        <f>Giugno26!$G$3</f>
        <v/>
      </c>
      <c r="OU29" s="84" t="str">
        <f>Giugno26!$G$4</f>
        <v/>
      </c>
      <c r="OV29" s="84" t="str">
        <f>Giugno26!$G$5</f>
        <v/>
      </c>
      <c r="OW29" s="85" t="str">
        <f>Giugno26!$G$6</f>
        <v/>
      </c>
      <c r="OX29" s="85" t="str">
        <f>Giugno26!$G$7</f>
        <v/>
      </c>
      <c r="OY29" s="84" t="str">
        <f>Giugno26!$G$8</f>
        <v/>
      </c>
      <c r="OZ29" s="84" t="str">
        <f>Giugno26!$G$9</f>
        <v/>
      </c>
      <c r="PA29" s="84" t="str">
        <f>Giugno26!$G$10</f>
        <v/>
      </c>
      <c r="PB29" s="84" t="str">
        <f>Giugno26!$G$11</f>
        <v/>
      </c>
      <c r="PC29" s="84" t="str">
        <f>Giugno26!$G$12</f>
        <v/>
      </c>
      <c r="PD29" s="85" t="str">
        <f>Giugno26!$G$13</f>
        <v/>
      </c>
      <c r="PE29" s="85" t="str">
        <f>Giugno26!$G$14</f>
        <v/>
      </c>
      <c r="PF29" s="84" t="str">
        <f>Giugno26!$G$15</f>
        <v/>
      </c>
      <c r="PG29" s="84" t="str">
        <f>Giugno26!$G$16</f>
        <v/>
      </c>
      <c r="PH29" s="84" t="str">
        <f>Giugno26!$G$17</f>
        <v/>
      </c>
      <c r="PI29" s="84" t="str">
        <f>Giugno26!$G$18</f>
        <v/>
      </c>
      <c r="PJ29" s="84" t="str">
        <f>Giugno26!$G$19</f>
        <v/>
      </c>
      <c r="PK29" s="85" t="str">
        <f>Giugno26!$G$20</f>
        <v/>
      </c>
      <c r="PL29" s="85" t="str">
        <f>Giugno26!$G$21</f>
        <v/>
      </c>
      <c r="PM29" s="84" t="str">
        <f>Giugno26!$G$22</f>
        <v/>
      </c>
      <c r="PN29" s="84" t="str">
        <f>Giugno26!$G$23</f>
        <v/>
      </c>
      <c r="PO29" s="84" t="str">
        <f>Giugno26!$G$24</f>
        <v/>
      </c>
      <c r="PP29" s="84" t="str">
        <f>Giugno26!$G$25</f>
        <v/>
      </c>
      <c r="PQ29" s="84" t="str">
        <f>Giugno26!$G$26</f>
        <v/>
      </c>
      <c r="PR29" s="85" t="str">
        <f>Giugno26!$G$27</f>
        <v/>
      </c>
      <c r="PS29" s="85" t="str">
        <f>Giugno26!$G$28</f>
        <v/>
      </c>
      <c r="PT29" s="84" t="str">
        <f>Giugno26!$G$29</f>
        <v/>
      </c>
      <c r="PU29" s="84" t="str">
        <f>Giugno26!$G$30</f>
        <v/>
      </c>
      <c r="PV29" s="84" t="str">
        <f>Giugno26!$G$31</f>
        <v/>
      </c>
      <c r="PW29" s="86" t="str">
        <f>Giugno26!$G$32</f>
        <v/>
      </c>
      <c r="PX29" s="78"/>
      <c r="PY29" s="79">
        <f>SUM(OS29:PW29)</f>
        <v>0</v>
      </c>
      <c r="PZ29" s="80"/>
      <c r="QA29" s="78"/>
      <c r="QB29" s="81"/>
      <c r="QC29" s="81"/>
      <c r="QD29" s="81"/>
      <c r="QE29" s="81"/>
      <c r="QF29" s="81"/>
      <c r="QG29" s="81"/>
      <c r="QH29" s="82"/>
      <c r="QI29" s="73"/>
      <c r="QJ29" s="65"/>
      <c r="QK29" s="66"/>
      <c r="QL29" s="83" t="str">
        <f>Luglio26!$G$2</f>
        <v/>
      </c>
      <c r="QM29" s="84" t="str">
        <f>Luglio26!$G$3</f>
        <v/>
      </c>
      <c r="QN29" s="84" t="str">
        <f>Luglio26!$G$4</f>
        <v/>
      </c>
      <c r="QO29" s="84" t="str">
        <f>Luglio26!$G$5</f>
        <v/>
      </c>
      <c r="QP29" s="85" t="str">
        <f>Luglio26!$G$6</f>
        <v/>
      </c>
      <c r="QQ29" s="85" t="str">
        <f>Luglio26!$G$7</f>
        <v/>
      </c>
      <c r="QR29" s="84" t="str">
        <f>Luglio26!$G$8</f>
        <v/>
      </c>
      <c r="QS29" s="84" t="str">
        <f>Luglio26!$G$9</f>
        <v/>
      </c>
      <c r="QT29" s="84" t="str">
        <f>Luglio26!$G$10</f>
        <v/>
      </c>
      <c r="QU29" s="84" t="str">
        <f>Luglio26!$G$11</f>
        <v/>
      </c>
      <c r="QV29" s="84" t="str">
        <f>Luglio26!$G$12</f>
        <v/>
      </c>
      <c r="QW29" s="85" t="str">
        <f>Luglio26!$G$13</f>
        <v/>
      </c>
      <c r="QX29" s="85" t="str">
        <f>Luglio26!$G$14</f>
        <v/>
      </c>
      <c r="QY29" s="84" t="str">
        <f>Luglio26!$G$15</f>
        <v/>
      </c>
      <c r="QZ29" s="84" t="str">
        <f>Luglio26!$G$16</f>
        <v/>
      </c>
      <c r="RA29" s="84" t="str">
        <f>Luglio26!$G$17</f>
        <v/>
      </c>
      <c r="RB29" s="84" t="str">
        <f>Luglio26!$G$18</f>
        <v/>
      </c>
      <c r="RC29" s="84" t="str">
        <f>Luglio26!$G$19</f>
        <v/>
      </c>
      <c r="RD29" s="85" t="str">
        <f>Luglio26!$G$20</f>
        <v/>
      </c>
      <c r="RE29" s="85" t="str">
        <f>Luglio26!$G$21</f>
        <v/>
      </c>
      <c r="RF29" s="84" t="str">
        <f>Luglio26!$G$22</f>
        <v/>
      </c>
      <c r="RG29" s="84" t="str">
        <f>Luglio26!$G$23</f>
        <v/>
      </c>
      <c r="RH29" s="84" t="str">
        <f>Luglio26!$G$24</f>
        <v/>
      </c>
      <c r="RI29" s="84" t="str">
        <f>Luglio26!$G$25</f>
        <v/>
      </c>
      <c r="RJ29" s="84" t="str">
        <f>Luglio26!$G$26</f>
        <v/>
      </c>
      <c r="RK29" s="85" t="str">
        <f>Luglio26!$G$27</f>
        <v/>
      </c>
      <c r="RL29" s="85" t="str">
        <f>Luglio26!$G$28</f>
        <v/>
      </c>
      <c r="RM29" s="84" t="str">
        <f>Luglio26!$G$29</f>
        <v/>
      </c>
      <c r="RN29" s="84" t="str">
        <f>Luglio26!$G$30</f>
        <v/>
      </c>
      <c r="RO29" s="84" t="str">
        <f>Luglio26!$G$31</f>
        <v/>
      </c>
      <c r="RP29" s="86" t="str">
        <f>Luglio26!$G$32</f>
        <v/>
      </c>
      <c r="RQ29" s="78"/>
      <c r="RR29" s="79">
        <f>SUM(QL29:RP29)</f>
        <v>0</v>
      </c>
      <c r="RS29" s="80"/>
      <c r="RT29" s="78"/>
      <c r="RU29" s="81"/>
      <c r="RV29" s="81"/>
      <c r="RW29" s="81"/>
      <c r="RX29" s="81"/>
      <c r="RY29" s="81"/>
      <c r="RZ29" s="81"/>
      <c r="SA29" s="82"/>
      <c r="SB29" s="73"/>
      <c r="SC29" s="65"/>
      <c r="SD29" s="66"/>
      <c r="SE29" s="83" t="str">
        <f>Agosto26!$G$2</f>
        <v/>
      </c>
      <c r="SF29" s="84" t="str">
        <f>Agosto26!$G$3</f>
        <v/>
      </c>
      <c r="SG29" s="84" t="str">
        <f>Agosto26!$G$4</f>
        <v/>
      </c>
      <c r="SH29" s="84" t="str">
        <f>Agosto26!$G$5</f>
        <v/>
      </c>
      <c r="SI29" s="85" t="str">
        <f>Agosto26!$G$6</f>
        <v/>
      </c>
      <c r="SJ29" s="85" t="str">
        <f>Agosto26!$G$7</f>
        <v/>
      </c>
      <c r="SK29" s="84" t="str">
        <f>Agosto26!$G$8</f>
        <v/>
      </c>
      <c r="SL29" s="84" t="str">
        <f>Agosto26!$G$9</f>
        <v/>
      </c>
      <c r="SM29" s="84" t="str">
        <f>Agosto26!$G$10</f>
        <v/>
      </c>
      <c r="SN29" s="84" t="str">
        <f>Agosto26!$G$11</f>
        <v/>
      </c>
      <c r="SO29" s="84" t="str">
        <f>Agosto26!$G$12</f>
        <v/>
      </c>
      <c r="SP29" s="85" t="str">
        <f>Agosto26!$G$13</f>
        <v/>
      </c>
      <c r="SQ29" s="85" t="str">
        <f>Agosto26!$G$14</f>
        <v/>
      </c>
      <c r="SR29" s="84" t="str">
        <f>Agosto26!$G$15</f>
        <v/>
      </c>
      <c r="SS29" s="84" t="str">
        <f>Agosto26!$G$16</f>
        <v/>
      </c>
      <c r="ST29" s="84" t="str">
        <f>Agosto26!$G$17</f>
        <v/>
      </c>
      <c r="SU29" s="84" t="str">
        <f>Agosto26!$G$18</f>
        <v/>
      </c>
      <c r="SV29" s="84" t="str">
        <f>Agosto26!$G$19</f>
        <v/>
      </c>
      <c r="SW29" s="85" t="str">
        <f>Agosto26!$G$20</f>
        <v/>
      </c>
      <c r="SX29" s="85" t="str">
        <f>Agosto26!$G$21</f>
        <v/>
      </c>
      <c r="SY29" s="84" t="str">
        <f>Agosto26!$G$22</f>
        <v/>
      </c>
      <c r="SZ29" s="84" t="str">
        <f>Agosto26!$G$23</f>
        <v/>
      </c>
      <c r="TA29" s="84" t="str">
        <f>Agosto26!$G$24</f>
        <v/>
      </c>
      <c r="TB29" s="84" t="str">
        <f>Agosto26!$G$25</f>
        <v/>
      </c>
      <c r="TC29" s="84" t="str">
        <f>Agosto26!$G$26</f>
        <v/>
      </c>
      <c r="TD29" s="85" t="str">
        <f>Agosto26!$G$27</f>
        <v/>
      </c>
      <c r="TE29" s="85" t="str">
        <f>Agosto26!$G$28</f>
        <v/>
      </c>
      <c r="TF29" s="84" t="str">
        <f>Agosto26!$G$29</f>
        <v/>
      </c>
      <c r="TG29" s="84" t="str">
        <f>Agosto26!$G$30</f>
        <v/>
      </c>
      <c r="TH29" s="84" t="str">
        <f>Agosto26!$G$31</f>
        <v/>
      </c>
      <c r="TI29" s="86" t="str">
        <f>Agosto26!$G$32</f>
        <v/>
      </c>
      <c r="TJ29" s="78"/>
      <c r="TK29" s="79">
        <f>SUM(SE29:TI29)</f>
        <v>0</v>
      </c>
      <c r="TL29" s="80"/>
      <c r="TM29" s="78"/>
      <c r="TN29" s="81"/>
      <c r="TO29" s="81"/>
      <c r="TP29" s="81"/>
      <c r="TQ29" s="81"/>
      <c r="TR29" s="81"/>
      <c r="TS29" s="81"/>
      <c r="TT29" s="80"/>
    </row>
    <row r="30" ht="24.75" customHeight="1">
      <c r="A30" s="91" t="s">
        <v>39</v>
      </c>
      <c r="B30" s="65"/>
      <c r="C30" s="66"/>
      <c r="D30" s="92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93"/>
      <c r="AI30" s="78"/>
      <c r="AJ30" s="81"/>
      <c r="AK30" s="94">
        <f>SUM(D30:AG30)</f>
        <v>0</v>
      </c>
      <c r="AL30" s="78"/>
      <c r="AM30" s="81"/>
      <c r="AN30" s="81"/>
      <c r="AO30" s="81"/>
      <c r="AP30" s="81"/>
      <c r="AQ30" s="81"/>
      <c r="AR30" s="81"/>
      <c r="AS30" s="82"/>
      <c r="AT30" s="91" t="s">
        <v>39</v>
      </c>
      <c r="AU30" s="65"/>
      <c r="AV30" s="66"/>
      <c r="AW30" s="92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95"/>
      <c r="CB30" s="78"/>
      <c r="CC30" s="81"/>
      <c r="CD30" s="94">
        <f>SUM(AW30:BZ30)</f>
        <v>0</v>
      </c>
      <c r="CE30" s="78"/>
      <c r="CF30" s="81"/>
      <c r="CG30" s="81"/>
      <c r="CH30" s="81"/>
      <c r="CI30" s="81"/>
      <c r="CJ30" s="81"/>
      <c r="CK30" s="81"/>
      <c r="CL30" s="82"/>
      <c r="CM30" s="91" t="s">
        <v>39</v>
      </c>
      <c r="CN30" s="65"/>
      <c r="CO30" s="66"/>
      <c r="CP30" s="92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95"/>
      <c r="DU30" s="78"/>
      <c r="DV30" s="81"/>
      <c r="DW30" s="94">
        <f>SUM(CP30:DS30)</f>
        <v>0</v>
      </c>
      <c r="DX30" s="78"/>
      <c r="DY30" s="81"/>
      <c r="DZ30" s="81"/>
      <c r="EA30" s="81"/>
      <c r="EB30" s="81"/>
      <c r="EC30" s="81"/>
      <c r="ED30" s="81"/>
      <c r="EE30" s="80"/>
      <c r="EF30" s="91" t="s">
        <v>39</v>
      </c>
      <c r="EG30" s="65"/>
      <c r="EH30" s="66"/>
      <c r="EI30" s="92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95"/>
      <c r="FN30" s="78"/>
      <c r="FO30" s="81"/>
      <c r="FP30" s="94">
        <f>SUM(EI30:FL30)</f>
        <v>0</v>
      </c>
      <c r="FQ30" s="78"/>
      <c r="FR30" s="81"/>
      <c r="FS30" s="81"/>
      <c r="FT30" s="81"/>
      <c r="FU30" s="81"/>
      <c r="FV30" s="81"/>
      <c r="FW30" s="81"/>
      <c r="FX30" s="80"/>
      <c r="FY30" s="91" t="s">
        <v>39</v>
      </c>
      <c r="FZ30" s="65"/>
      <c r="GA30" s="66"/>
      <c r="GB30" s="92"/>
      <c r="GC30" s="85"/>
      <c r="GD30" s="85"/>
      <c r="GE30" s="85"/>
      <c r="GF30" s="85"/>
      <c r="GG30" s="85"/>
      <c r="GH30" s="85"/>
      <c r="GI30" s="85"/>
      <c r="GJ30" s="85"/>
      <c r="GK30" s="85"/>
      <c r="GL30" s="85"/>
      <c r="GM30" s="85"/>
      <c r="GN30" s="85"/>
      <c r="GO30" s="85"/>
      <c r="GP30" s="85"/>
      <c r="GQ30" s="85"/>
      <c r="GR30" s="85"/>
      <c r="GS30" s="85"/>
      <c r="GT30" s="85"/>
      <c r="GU30" s="85"/>
      <c r="GV30" s="85"/>
      <c r="GW30" s="85"/>
      <c r="GX30" s="85"/>
      <c r="GY30" s="85"/>
      <c r="GZ30" s="85"/>
      <c r="HA30" s="85"/>
      <c r="HB30" s="85"/>
      <c r="HC30" s="85"/>
      <c r="HD30" s="85"/>
      <c r="HE30" s="85"/>
      <c r="HF30" s="95"/>
      <c r="HG30" s="78"/>
      <c r="HH30" s="81"/>
      <c r="HI30" s="94">
        <f>SUM(GB30:HE30)</f>
        <v>0</v>
      </c>
      <c r="HJ30" s="78"/>
      <c r="HK30" s="81"/>
      <c r="HL30" s="81"/>
      <c r="HM30" s="81"/>
      <c r="HN30" s="81"/>
      <c r="HO30" s="81"/>
      <c r="HP30" s="81"/>
      <c r="HQ30" s="80"/>
      <c r="HR30" s="91" t="s">
        <v>39</v>
      </c>
      <c r="HS30" s="65"/>
      <c r="HT30" s="66"/>
      <c r="HU30" s="92"/>
      <c r="HV30" s="85"/>
      <c r="HW30" s="85"/>
      <c r="HX30" s="85"/>
      <c r="HY30" s="85"/>
      <c r="HZ30" s="85"/>
      <c r="IA30" s="85"/>
      <c r="IB30" s="85"/>
      <c r="IC30" s="85"/>
      <c r="ID30" s="85"/>
      <c r="IE30" s="85"/>
      <c r="IF30" s="85"/>
      <c r="IG30" s="85"/>
      <c r="IH30" s="85"/>
      <c r="II30" s="85"/>
      <c r="IJ30" s="85"/>
      <c r="IK30" s="85"/>
      <c r="IL30" s="85"/>
      <c r="IM30" s="85"/>
      <c r="IN30" s="85"/>
      <c r="IO30" s="85"/>
      <c r="IP30" s="85"/>
      <c r="IQ30" s="85"/>
      <c r="IR30" s="85"/>
      <c r="IS30" s="85"/>
      <c r="IT30" s="85"/>
      <c r="IU30" s="85"/>
      <c r="IV30" s="85"/>
      <c r="IW30" s="85"/>
      <c r="IX30" s="85"/>
      <c r="IY30" s="95"/>
      <c r="IZ30" s="78"/>
      <c r="JA30" s="81"/>
      <c r="JB30" s="94">
        <f>SUM(HU30:IX30)</f>
        <v>0</v>
      </c>
      <c r="JC30" s="78"/>
      <c r="JD30" s="81"/>
      <c r="JE30" s="81"/>
      <c r="JF30" s="81"/>
      <c r="JG30" s="81"/>
      <c r="JH30" s="81"/>
      <c r="JI30" s="81"/>
      <c r="JJ30" s="80"/>
      <c r="JK30" s="91" t="s">
        <v>39</v>
      </c>
      <c r="JL30" s="65"/>
      <c r="JM30" s="66"/>
      <c r="JN30" s="92"/>
      <c r="JO30" s="85"/>
      <c r="JP30" s="85"/>
      <c r="JQ30" s="85"/>
      <c r="JR30" s="85"/>
      <c r="JS30" s="85"/>
      <c r="JT30" s="85"/>
      <c r="JU30" s="85"/>
      <c r="JV30" s="85"/>
      <c r="JW30" s="85"/>
      <c r="JX30" s="85"/>
      <c r="JY30" s="85"/>
      <c r="JZ30" s="85"/>
      <c r="KA30" s="85"/>
      <c r="KB30" s="85"/>
      <c r="KC30" s="85"/>
      <c r="KD30" s="85"/>
      <c r="KE30" s="85"/>
      <c r="KF30" s="85"/>
      <c r="KG30" s="85"/>
      <c r="KH30" s="85"/>
      <c r="KI30" s="85"/>
      <c r="KJ30" s="85"/>
      <c r="KK30" s="85"/>
      <c r="KL30" s="85"/>
      <c r="KM30" s="85"/>
      <c r="KN30" s="85"/>
      <c r="KO30" s="85"/>
      <c r="KP30" s="85"/>
      <c r="KQ30" s="85"/>
      <c r="KR30" s="95"/>
      <c r="KS30" s="78"/>
      <c r="KT30" s="81"/>
      <c r="KU30" s="94">
        <f>SUM(JN30:KQ30)</f>
        <v>0</v>
      </c>
      <c r="KV30" s="78"/>
      <c r="KW30" s="81"/>
      <c r="KX30" s="81"/>
      <c r="KY30" s="81"/>
      <c r="KZ30" s="81"/>
      <c r="LA30" s="81"/>
      <c r="LB30" s="81"/>
      <c r="LC30" s="80"/>
      <c r="LD30" s="91" t="s">
        <v>39</v>
      </c>
      <c r="LE30" s="65"/>
      <c r="LF30" s="66"/>
      <c r="LG30" s="92"/>
      <c r="LH30" s="85"/>
      <c r="LI30" s="85"/>
      <c r="LJ30" s="85"/>
      <c r="LK30" s="85"/>
      <c r="LL30" s="85"/>
      <c r="LM30" s="85"/>
      <c r="LN30" s="85"/>
      <c r="LO30" s="85"/>
      <c r="LP30" s="85"/>
      <c r="LQ30" s="85"/>
      <c r="LR30" s="85"/>
      <c r="LS30" s="85"/>
      <c r="LT30" s="85"/>
      <c r="LU30" s="85"/>
      <c r="LV30" s="85"/>
      <c r="LW30" s="85"/>
      <c r="LX30" s="85"/>
      <c r="LY30" s="85"/>
      <c r="LZ30" s="85"/>
      <c r="MA30" s="85"/>
      <c r="MB30" s="85"/>
      <c r="MC30" s="85"/>
      <c r="MD30" s="85"/>
      <c r="ME30" s="85"/>
      <c r="MF30" s="85"/>
      <c r="MG30" s="85"/>
      <c r="MH30" s="85"/>
      <c r="MI30" s="85"/>
      <c r="MJ30" s="85"/>
      <c r="MK30" s="95"/>
      <c r="ML30" s="78"/>
      <c r="MM30" s="81"/>
      <c r="MN30" s="94">
        <f>SUM(LG30:MJ30)</f>
        <v>0</v>
      </c>
      <c r="MO30" s="78"/>
      <c r="MP30" s="81"/>
      <c r="MQ30" s="81"/>
      <c r="MR30" s="81"/>
      <c r="MS30" s="81"/>
      <c r="MT30" s="81"/>
      <c r="MU30" s="81"/>
      <c r="MV30" s="82"/>
      <c r="MW30" s="91" t="s">
        <v>39</v>
      </c>
      <c r="MX30" s="65"/>
      <c r="MY30" s="66"/>
      <c r="MZ30" s="92"/>
      <c r="NA30" s="85"/>
      <c r="NB30" s="85"/>
      <c r="NC30" s="85"/>
      <c r="ND30" s="85"/>
      <c r="NE30" s="85"/>
      <c r="NF30" s="85"/>
      <c r="NG30" s="85"/>
      <c r="NH30" s="85"/>
      <c r="NI30" s="85"/>
      <c r="NJ30" s="85"/>
      <c r="NK30" s="85"/>
      <c r="NL30" s="85"/>
      <c r="NM30" s="85"/>
      <c r="NN30" s="85"/>
      <c r="NO30" s="85"/>
      <c r="NP30" s="85"/>
      <c r="NQ30" s="85"/>
      <c r="NR30" s="85"/>
      <c r="NS30" s="85"/>
      <c r="NT30" s="85"/>
      <c r="NU30" s="85"/>
      <c r="NV30" s="85"/>
      <c r="NW30" s="85"/>
      <c r="NX30" s="85"/>
      <c r="NY30" s="85"/>
      <c r="NZ30" s="85"/>
      <c r="OA30" s="85"/>
      <c r="OB30" s="85"/>
      <c r="OC30" s="85"/>
      <c r="OD30" s="95"/>
      <c r="OE30" s="78"/>
      <c r="OF30" s="81"/>
      <c r="OG30" s="94">
        <f>SUM(MZ30:OC30)</f>
        <v>0</v>
      </c>
      <c r="OH30" s="78"/>
      <c r="OI30" s="81"/>
      <c r="OJ30" s="81"/>
      <c r="OK30" s="81"/>
      <c r="OL30" s="81"/>
      <c r="OM30" s="81"/>
      <c r="ON30" s="81"/>
      <c r="OO30" s="82"/>
      <c r="OP30" s="91" t="s">
        <v>39</v>
      </c>
      <c r="OQ30" s="65"/>
      <c r="OR30" s="66"/>
      <c r="OS30" s="92"/>
      <c r="OT30" s="85"/>
      <c r="OU30" s="85"/>
      <c r="OV30" s="85"/>
      <c r="OW30" s="85"/>
      <c r="OX30" s="85"/>
      <c r="OY30" s="85"/>
      <c r="OZ30" s="85"/>
      <c r="PA30" s="85"/>
      <c r="PB30" s="85"/>
      <c r="PC30" s="85"/>
      <c r="PD30" s="85"/>
      <c r="PE30" s="85"/>
      <c r="PF30" s="85"/>
      <c r="PG30" s="85"/>
      <c r="PH30" s="85"/>
      <c r="PI30" s="85"/>
      <c r="PJ30" s="85"/>
      <c r="PK30" s="85"/>
      <c r="PL30" s="85"/>
      <c r="PM30" s="85"/>
      <c r="PN30" s="85"/>
      <c r="PO30" s="85"/>
      <c r="PP30" s="85"/>
      <c r="PQ30" s="85"/>
      <c r="PR30" s="85"/>
      <c r="PS30" s="85"/>
      <c r="PT30" s="85"/>
      <c r="PU30" s="85"/>
      <c r="PV30" s="85"/>
      <c r="PW30" s="95"/>
      <c r="PX30" s="78"/>
      <c r="PY30" s="81"/>
      <c r="PZ30" s="94">
        <f>SUM(OS30:PV30)</f>
        <v>0</v>
      </c>
      <c r="QA30" s="78"/>
      <c r="QB30" s="81"/>
      <c r="QC30" s="81"/>
      <c r="QD30" s="81"/>
      <c r="QE30" s="81"/>
      <c r="QF30" s="81"/>
      <c r="QG30" s="81"/>
      <c r="QH30" s="82"/>
      <c r="QI30" s="91" t="s">
        <v>39</v>
      </c>
      <c r="QJ30" s="65"/>
      <c r="QK30" s="66"/>
      <c r="QL30" s="92"/>
      <c r="QM30" s="85"/>
      <c r="QN30" s="85"/>
      <c r="QO30" s="85"/>
      <c r="QP30" s="85"/>
      <c r="QQ30" s="85"/>
      <c r="QR30" s="85"/>
      <c r="QS30" s="85"/>
      <c r="QT30" s="85"/>
      <c r="QU30" s="85"/>
      <c r="QV30" s="85"/>
      <c r="QW30" s="85"/>
      <c r="QX30" s="85"/>
      <c r="QY30" s="85"/>
      <c r="QZ30" s="85"/>
      <c r="RA30" s="85"/>
      <c r="RB30" s="85"/>
      <c r="RC30" s="85"/>
      <c r="RD30" s="85"/>
      <c r="RE30" s="85"/>
      <c r="RF30" s="85"/>
      <c r="RG30" s="85"/>
      <c r="RH30" s="85"/>
      <c r="RI30" s="85"/>
      <c r="RJ30" s="85"/>
      <c r="RK30" s="85"/>
      <c r="RL30" s="85"/>
      <c r="RM30" s="85"/>
      <c r="RN30" s="85"/>
      <c r="RO30" s="85"/>
      <c r="RP30" s="95"/>
      <c r="RQ30" s="78"/>
      <c r="RR30" s="81"/>
      <c r="RS30" s="94">
        <f>SUM(QL30:RO30)</f>
        <v>0</v>
      </c>
      <c r="RT30" s="78"/>
      <c r="RU30" s="81"/>
      <c r="RV30" s="81"/>
      <c r="RW30" s="81"/>
      <c r="RX30" s="81"/>
      <c r="RY30" s="81"/>
      <c r="RZ30" s="81"/>
      <c r="SA30" s="82"/>
      <c r="SB30" s="91" t="s">
        <v>39</v>
      </c>
      <c r="SC30" s="65"/>
      <c r="SD30" s="66"/>
      <c r="SE30" s="92"/>
      <c r="SF30" s="85"/>
      <c r="SG30" s="85"/>
      <c r="SH30" s="85"/>
      <c r="SI30" s="85"/>
      <c r="SJ30" s="85"/>
      <c r="SK30" s="85"/>
      <c r="SL30" s="85"/>
      <c r="SM30" s="85"/>
      <c r="SN30" s="85"/>
      <c r="SO30" s="85"/>
      <c r="SP30" s="85"/>
      <c r="SQ30" s="85"/>
      <c r="SR30" s="85"/>
      <c r="SS30" s="85"/>
      <c r="ST30" s="85"/>
      <c r="SU30" s="85"/>
      <c r="SV30" s="85"/>
      <c r="SW30" s="85"/>
      <c r="SX30" s="85"/>
      <c r="SY30" s="85"/>
      <c r="SZ30" s="85"/>
      <c r="TA30" s="85"/>
      <c r="TB30" s="85"/>
      <c r="TC30" s="85"/>
      <c r="TD30" s="85"/>
      <c r="TE30" s="85"/>
      <c r="TF30" s="85"/>
      <c r="TG30" s="85"/>
      <c r="TH30" s="85"/>
      <c r="TI30" s="95"/>
      <c r="TJ30" s="78"/>
      <c r="TK30" s="81"/>
      <c r="TL30" s="94">
        <f>SUM(SE30:TH30)</f>
        <v>0</v>
      </c>
      <c r="TM30" s="78"/>
      <c r="TN30" s="81"/>
      <c r="TO30" s="81"/>
      <c r="TP30" s="81"/>
      <c r="TQ30" s="81"/>
      <c r="TR30" s="81"/>
      <c r="TS30" s="81"/>
      <c r="TT30" s="80"/>
    </row>
    <row r="31" ht="24.75" customHeight="1">
      <c r="A31" s="96"/>
      <c r="B31" s="97"/>
      <c r="C31" s="98"/>
      <c r="D31" s="92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93"/>
      <c r="AI31" s="78"/>
      <c r="AJ31" s="81"/>
      <c r="AK31" s="80"/>
      <c r="AL31" s="78"/>
      <c r="AM31" s="81"/>
      <c r="AN31" s="81"/>
      <c r="AO31" s="81"/>
      <c r="AP31" s="81"/>
      <c r="AQ31" s="81"/>
      <c r="AR31" s="81"/>
      <c r="AS31" s="82"/>
      <c r="AT31" s="96"/>
      <c r="AU31" s="97"/>
      <c r="AV31" s="98"/>
      <c r="AW31" s="92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95"/>
      <c r="CB31" s="78"/>
      <c r="CC31" s="81"/>
      <c r="CD31" s="80"/>
      <c r="CE31" s="78"/>
      <c r="CF31" s="81"/>
      <c r="CG31" s="81"/>
      <c r="CH31" s="81"/>
      <c r="CI31" s="81"/>
      <c r="CJ31" s="81"/>
      <c r="CK31" s="81"/>
      <c r="CL31" s="82"/>
      <c r="CM31" s="96"/>
      <c r="CN31" s="97"/>
      <c r="CO31" s="98"/>
      <c r="CP31" s="92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95"/>
      <c r="DU31" s="78"/>
      <c r="DV31" s="81"/>
      <c r="DW31" s="80"/>
      <c r="DX31" s="78"/>
      <c r="DY31" s="81"/>
      <c r="DZ31" s="81"/>
      <c r="EA31" s="81"/>
      <c r="EB31" s="81"/>
      <c r="EC31" s="81"/>
      <c r="ED31" s="81"/>
      <c r="EE31" s="80"/>
      <c r="EF31" s="96"/>
      <c r="EG31" s="97"/>
      <c r="EH31" s="98"/>
      <c r="EI31" s="92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95"/>
      <c r="FN31" s="78"/>
      <c r="FO31" s="81"/>
      <c r="FP31" s="80"/>
      <c r="FQ31" s="78"/>
      <c r="FR31" s="81"/>
      <c r="FS31" s="81"/>
      <c r="FT31" s="81"/>
      <c r="FU31" s="81"/>
      <c r="FV31" s="81"/>
      <c r="FW31" s="81"/>
      <c r="FX31" s="80"/>
      <c r="FY31" s="96"/>
      <c r="FZ31" s="97"/>
      <c r="GA31" s="98"/>
      <c r="GB31" s="92"/>
      <c r="GC31" s="85"/>
      <c r="GD31" s="85"/>
      <c r="GE31" s="85"/>
      <c r="GF31" s="85"/>
      <c r="GG31" s="85"/>
      <c r="GH31" s="85"/>
      <c r="GI31" s="85"/>
      <c r="GJ31" s="85"/>
      <c r="GK31" s="85"/>
      <c r="GL31" s="85"/>
      <c r="GM31" s="85"/>
      <c r="GN31" s="85"/>
      <c r="GO31" s="85"/>
      <c r="GP31" s="85"/>
      <c r="GQ31" s="85"/>
      <c r="GR31" s="85"/>
      <c r="GS31" s="85"/>
      <c r="GT31" s="85"/>
      <c r="GU31" s="85"/>
      <c r="GV31" s="85"/>
      <c r="GW31" s="85"/>
      <c r="GX31" s="85"/>
      <c r="GY31" s="85"/>
      <c r="GZ31" s="85"/>
      <c r="HA31" s="85"/>
      <c r="HB31" s="85"/>
      <c r="HC31" s="85"/>
      <c r="HD31" s="85"/>
      <c r="HE31" s="85"/>
      <c r="HF31" s="95"/>
      <c r="HG31" s="78"/>
      <c r="HH31" s="81"/>
      <c r="HI31" s="80"/>
      <c r="HJ31" s="78"/>
      <c r="HK31" s="81"/>
      <c r="HL31" s="81"/>
      <c r="HM31" s="81"/>
      <c r="HN31" s="81"/>
      <c r="HO31" s="81"/>
      <c r="HP31" s="81"/>
      <c r="HQ31" s="80"/>
      <c r="HR31" s="96"/>
      <c r="HS31" s="97"/>
      <c r="HT31" s="98"/>
      <c r="HU31" s="92"/>
      <c r="HV31" s="85"/>
      <c r="HW31" s="85"/>
      <c r="HX31" s="85"/>
      <c r="HY31" s="85"/>
      <c r="HZ31" s="85"/>
      <c r="IA31" s="85"/>
      <c r="IB31" s="85"/>
      <c r="IC31" s="85"/>
      <c r="ID31" s="85"/>
      <c r="IE31" s="85"/>
      <c r="IF31" s="85"/>
      <c r="IG31" s="85"/>
      <c r="IH31" s="85"/>
      <c r="II31" s="85"/>
      <c r="IJ31" s="85"/>
      <c r="IK31" s="85"/>
      <c r="IL31" s="85"/>
      <c r="IM31" s="85"/>
      <c r="IN31" s="85"/>
      <c r="IO31" s="85"/>
      <c r="IP31" s="85"/>
      <c r="IQ31" s="85"/>
      <c r="IR31" s="85"/>
      <c r="IS31" s="85"/>
      <c r="IT31" s="85"/>
      <c r="IU31" s="85"/>
      <c r="IV31" s="85"/>
      <c r="IW31" s="85"/>
      <c r="IX31" s="85"/>
      <c r="IY31" s="95"/>
      <c r="IZ31" s="78"/>
      <c r="JA31" s="81"/>
      <c r="JB31" s="80"/>
      <c r="JC31" s="78"/>
      <c r="JD31" s="81"/>
      <c r="JE31" s="81"/>
      <c r="JF31" s="81"/>
      <c r="JG31" s="81"/>
      <c r="JH31" s="81"/>
      <c r="JI31" s="81"/>
      <c r="JJ31" s="80"/>
      <c r="JK31" s="96"/>
      <c r="JL31" s="97"/>
      <c r="JM31" s="98"/>
      <c r="JN31" s="92"/>
      <c r="JO31" s="85"/>
      <c r="JP31" s="85"/>
      <c r="JQ31" s="85"/>
      <c r="JR31" s="85"/>
      <c r="JS31" s="85"/>
      <c r="JT31" s="85"/>
      <c r="JU31" s="85"/>
      <c r="JV31" s="85"/>
      <c r="JW31" s="85"/>
      <c r="JX31" s="85"/>
      <c r="JY31" s="85"/>
      <c r="JZ31" s="85"/>
      <c r="KA31" s="85"/>
      <c r="KB31" s="85"/>
      <c r="KC31" s="85"/>
      <c r="KD31" s="85"/>
      <c r="KE31" s="85"/>
      <c r="KF31" s="85"/>
      <c r="KG31" s="85"/>
      <c r="KH31" s="85"/>
      <c r="KI31" s="85"/>
      <c r="KJ31" s="85"/>
      <c r="KK31" s="85"/>
      <c r="KL31" s="85"/>
      <c r="KM31" s="85"/>
      <c r="KN31" s="85"/>
      <c r="KO31" s="85"/>
      <c r="KP31" s="85"/>
      <c r="KQ31" s="85"/>
      <c r="KR31" s="95"/>
      <c r="KS31" s="78"/>
      <c r="KT31" s="81"/>
      <c r="KU31" s="80"/>
      <c r="KV31" s="78"/>
      <c r="KW31" s="81"/>
      <c r="KX31" s="81"/>
      <c r="KY31" s="81"/>
      <c r="KZ31" s="81"/>
      <c r="LA31" s="81"/>
      <c r="LB31" s="81"/>
      <c r="LC31" s="80"/>
      <c r="LD31" s="96"/>
      <c r="LE31" s="97"/>
      <c r="LF31" s="98"/>
      <c r="LG31" s="92"/>
      <c r="LH31" s="85"/>
      <c r="LI31" s="85"/>
      <c r="LJ31" s="85"/>
      <c r="LK31" s="85"/>
      <c r="LL31" s="85"/>
      <c r="LM31" s="85"/>
      <c r="LN31" s="85"/>
      <c r="LO31" s="85"/>
      <c r="LP31" s="85"/>
      <c r="LQ31" s="85"/>
      <c r="LR31" s="85"/>
      <c r="LS31" s="85"/>
      <c r="LT31" s="85"/>
      <c r="LU31" s="85"/>
      <c r="LV31" s="85"/>
      <c r="LW31" s="85"/>
      <c r="LX31" s="85"/>
      <c r="LY31" s="85"/>
      <c r="LZ31" s="85"/>
      <c r="MA31" s="85"/>
      <c r="MB31" s="85"/>
      <c r="MC31" s="85"/>
      <c r="MD31" s="85"/>
      <c r="ME31" s="85"/>
      <c r="MF31" s="85"/>
      <c r="MG31" s="85"/>
      <c r="MH31" s="85"/>
      <c r="MI31" s="85"/>
      <c r="MJ31" s="85"/>
      <c r="MK31" s="95"/>
      <c r="ML31" s="78"/>
      <c r="MM31" s="81"/>
      <c r="MN31" s="80"/>
      <c r="MO31" s="78"/>
      <c r="MP31" s="81"/>
      <c r="MQ31" s="81"/>
      <c r="MR31" s="81"/>
      <c r="MS31" s="81"/>
      <c r="MT31" s="81"/>
      <c r="MU31" s="81"/>
      <c r="MV31" s="80"/>
      <c r="MW31" s="96"/>
      <c r="MX31" s="97"/>
      <c r="MY31" s="98"/>
      <c r="MZ31" s="92"/>
      <c r="NA31" s="85"/>
      <c r="NB31" s="85"/>
      <c r="NC31" s="85"/>
      <c r="ND31" s="85"/>
      <c r="NE31" s="85"/>
      <c r="NF31" s="85"/>
      <c r="NG31" s="85"/>
      <c r="NH31" s="85"/>
      <c r="NI31" s="85"/>
      <c r="NJ31" s="85"/>
      <c r="NK31" s="85"/>
      <c r="NL31" s="85"/>
      <c r="NM31" s="85"/>
      <c r="NN31" s="85"/>
      <c r="NO31" s="85"/>
      <c r="NP31" s="85"/>
      <c r="NQ31" s="85"/>
      <c r="NR31" s="85"/>
      <c r="NS31" s="85"/>
      <c r="NT31" s="85"/>
      <c r="NU31" s="85"/>
      <c r="NV31" s="85"/>
      <c r="NW31" s="85"/>
      <c r="NX31" s="85"/>
      <c r="NY31" s="85"/>
      <c r="NZ31" s="85"/>
      <c r="OA31" s="85"/>
      <c r="OB31" s="85"/>
      <c r="OC31" s="85"/>
      <c r="OD31" s="95"/>
      <c r="OE31" s="78"/>
      <c r="OF31" s="81"/>
      <c r="OG31" s="80"/>
      <c r="OH31" s="78"/>
      <c r="OI31" s="81"/>
      <c r="OJ31" s="81"/>
      <c r="OK31" s="81"/>
      <c r="OL31" s="81"/>
      <c r="OM31" s="81"/>
      <c r="ON31" s="81"/>
      <c r="OO31" s="80"/>
      <c r="OP31" s="96"/>
      <c r="OQ31" s="97"/>
      <c r="OR31" s="98"/>
      <c r="OS31" s="92"/>
      <c r="OT31" s="85"/>
      <c r="OU31" s="85"/>
      <c r="OV31" s="85"/>
      <c r="OW31" s="85"/>
      <c r="OX31" s="85"/>
      <c r="OY31" s="85"/>
      <c r="OZ31" s="85"/>
      <c r="PA31" s="85"/>
      <c r="PB31" s="85"/>
      <c r="PC31" s="85"/>
      <c r="PD31" s="85"/>
      <c r="PE31" s="85"/>
      <c r="PF31" s="85"/>
      <c r="PG31" s="85"/>
      <c r="PH31" s="85"/>
      <c r="PI31" s="85"/>
      <c r="PJ31" s="85"/>
      <c r="PK31" s="85"/>
      <c r="PL31" s="85"/>
      <c r="PM31" s="85"/>
      <c r="PN31" s="85"/>
      <c r="PO31" s="85"/>
      <c r="PP31" s="85"/>
      <c r="PQ31" s="85"/>
      <c r="PR31" s="85"/>
      <c r="PS31" s="85"/>
      <c r="PT31" s="85"/>
      <c r="PU31" s="85"/>
      <c r="PV31" s="85"/>
      <c r="PW31" s="95"/>
      <c r="PX31" s="78"/>
      <c r="PY31" s="81"/>
      <c r="PZ31" s="80"/>
      <c r="QA31" s="78"/>
      <c r="QB31" s="81"/>
      <c r="QC31" s="81"/>
      <c r="QD31" s="81"/>
      <c r="QE31" s="81"/>
      <c r="QF31" s="81"/>
      <c r="QG31" s="81"/>
      <c r="QH31" s="80"/>
      <c r="QI31" s="96"/>
      <c r="QJ31" s="97"/>
      <c r="QK31" s="98"/>
      <c r="QL31" s="92"/>
      <c r="QM31" s="85"/>
      <c r="QN31" s="85"/>
      <c r="QO31" s="85"/>
      <c r="QP31" s="85"/>
      <c r="QQ31" s="85"/>
      <c r="QR31" s="85"/>
      <c r="QS31" s="85"/>
      <c r="QT31" s="85"/>
      <c r="QU31" s="85"/>
      <c r="QV31" s="85"/>
      <c r="QW31" s="85"/>
      <c r="QX31" s="85"/>
      <c r="QY31" s="85"/>
      <c r="QZ31" s="85"/>
      <c r="RA31" s="85"/>
      <c r="RB31" s="85"/>
      <c r="RC31" s="85"/>
      <c r="RD31" s="85"/>
      <c r="RE31" s="85"/>
      <c r="RF31" s="85"/>
      <c r="RG31" s="85"/>
      <c r="RH31" s="85"/>
      <c r="RI31" s="85"/>
      <c r="RJ31" s="85"/>
      <c r="RK31" s="85"/>
      <c r="RL31" s="85"/>
      <c r="RM31" s="85"/>
      <c r="RN31" s="85"/>
      <c r="RO31" s="85"/>
      <c r="RP31" s="95"/>
      <c r="RQ31" s="78"/>
      <c r="RR31" s="81"/>
      <c r="RS31" s="80"/>
      <c r="RT31" s="78"/>
      <c r="RU31" s="81"/>
      <c r="RV31" s="81"/>
      <c r="RW31" s="81"/>
      <c r="RX31" s="81"/>
      <c r="RY31" s="81"/>
      <c r="RZ31" s="81"/>
      <c r="SA31" s="80"/>
      <c r="SB31" s="96"/>
      <c r="SC31" s="97"/>
      <c r="SD31" s="98"/>
      <c r="SE31" s="92"/>
      <c r="SF31" s="85"/>
      <c r="SG31" s="85"/>
      <c r="SH31" s="85"/>
      <c r="SI31" s="85"/>
      <c r="SJ31" s="85"/>
      <c r="SK31" s="85"/>
      <c r="SL31" s="85"/>
      <c r="SM31" s="85"/>
      <c r="SN31" s="85"/>
      <c r="SO31" s="85"/>
      <c r="SP31" s="85"/>
      <c r="SQ31" s="85"/>
      <c r="SR31" s="85"/>
      <c r="SS31" s="85"/>
      <c r="ST31" s="85"/>
      <c r="SU31" s="85"/>
      <c r="SV31" s="85"/>
      <c r="SW31" s="85"/>
      <c r="SX31" s="85"/>
      <c r="SY31" s="85"/>
      <c r="SZ31" s="85"/>
      <c r="TA31" s="85"/>
      <c r="TB31" s="85"/>
      <c r="TC31" s="85"/>
      <c r="TD31" s="85"/>
      <c r="TE31" s="85"/>
      <c r="TF31" s="85"/>
      <c r="TG31" s="85"/>
      <c r="TH31" s="85"/>
      <c r="TI31" s="95"/>
      <c r="TJ31" s="78"/>
      <c r="TK31" s="81"/>
      <c r="TL31" s="80"/>
      <c r="TM31" s="78"/>
      <c r="TN31" s="81"/>
      <c r="TO31" s="81"/>
      <c r="TP31" s="81"/>
      <c r="TQ31" s="81"/>
      <c r="TR31" s="81"/>
      <c r="TS31" s="81"/>
      <c r="TT31" s="80"/>
    </row>
    <row r="32" ht="24.75" customHeight="1" collapsed="1">
      <c r="A32" s="100" t="s">
        <v>27</v>
      </c>
      <c r="B32" s="101"/>
      <c r="C32" s="102"/>
      <c r="D32" s="103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4"/>
      <c r="AH32" s="105"/>
      <c r="AI32" s="103"/>
      <c r="AJ32" s="101"/>
      <c r="AK32" s="102"/>
      <c r="AL32" s="103"/>
      <c r="AM32" s="101"/>
      <c r="AN32" s="101"/>
      <c r="AO32" s="101"/>
      <c r="AP32" s="101"/>
      <c r="AQ32" s="101"/>
      <c r="AR32" s="101"/>
      <c r="AS32" s="102"/>
      <c r="AT32" s="100" t="s">
        <v>27</v>
      </c>
      <c r="AU32" s="101"/>
      <c r="AV32" s="102"/>
      <c r="AW32" s="103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4"/>
      <c r="CA32" s="106"/>
      <c r="CB32" s="103"/>
      <c r="CC32" s="101"/>
      <c r="CD32" s="102"/>
      <c r="CE32" s="103"/>
      <c r="CF32" s="101"/>
      <c r="CG32" s="101"/>
      <c r="CH32" s="101"/>
      <c r="CI32" s="101"/>
      <c r="CJ32" s="101"/>
      <c r="CK32" s="101"/>
      <c r="CL32" s="102"/>
      <c r="CM32" s="100" t="s">
        <v>27</v>
      </c>
      <c r="CN32" s="101"/>
      <c r="CO32" s="102"/>
      <c r="CP32" s="103"/>
      <c r="CQ32" s="101"/>
      <c r="CR32" s="101"/>
      <c r="CS32" s="101"/>
      <c r="CT32" s="101"/>
      <c r="CU32" s="101"/>
      <c r="CV32" s="101"/>
      <c r="CW32" s="101"/>
      <c r="CX32" s="101"/>
      <c r="CY32" s="101"/>
      <c r="CZ32" s="101"/>
      <c r="DA32" s="101"/>
      <c r="DB32" s="101"/>
      <c r="DC32" s="101"/>
      <c r="DD32" s="101"/>
      <c r="DE32" s="101"/>
      <c r="DF32" s="101"/>
      <c r="DG32" s="101"/>
      <c r="DH32" s="101"/>
      <c r="DI32" s="101"/>
      <c r="DJ32" s="101"/>
      <c r="DK32" s="101"/>
      <c r="DL32" s="101"/>
      <c r="DM32" s="101"/>
      <c r="DN32" s="101"/>
      <c r="DO32" s="101"/>
      <c r="DP32" s="101"/>
      <c r="DQ32" s="101"/>
      <c r="DR32" s="101"/>
      <c r="DS32" s="104"/>
      <c r="DT32" s="106"/>
      <c r="DU32" s="103"/>
      <c r="DV32" s="101"/>
      <c r="DW32" s="102"/>
      <c r="DX32" s="103"/>
      <c r="DY32" s="101"/>
      <c r="DZ32" s="101"/>
      <c r="EA32" s="101"/>
      <c r="EB32" s="101"/>
      <c r="EC32" s="101"/>
      <c r="ED32" s="101"/>
      <c r="EE32" s="102"/>
      <c r="EF32" s="100" t="s">
        <v>27</v>
      </c>
      <c r="EG32" s="101"/>
      <c r="EH32" s="102"/>
      <c r="EI32" s="103"/>
      <c r="EJ32" s="101"/>
      <c r="EK32" s="101"/>
      <c r="EL32" s="101"/>
      <c r="EM32" s="101"/>
      <c r="EN32" s="101"/>
      <c r="EO32" s="101"/>
      <c r="EP32" s="101"/>
      <c r="EQ32" s="101"/>
      <c r="ER32" s="101"/>
      <c r="ES32" s="101"/>
      <c r="ET32" s="101"/>
      <c r="EU32" s="101"/>
      <c r="EV32" s="101"/>
      <c r="EW32" s="101"/>
      <c r="EX32" s="101"/>
      <c r="EY32" s="101"/>
      <c r="EZ32" s="101"/>
      <c r="FA32" s="101"/>
      <c r="FB32" s="101"/>
      <c r="FC32" s="101"/>
      <c r="FD32" s="101"/>
      <c r="FE32" s="101"/>
      <c r="FF32" s="101"/>
      <c r="FG32" s="101"/>
      <c r="FH32" s="101"/>
      <c r="FI32" s="101"/>
      <c r="FJ32" s="101"/>
      <c r="FK32" s="101"/>
      <c r="FL32" s="104"/>
      <c r="FM32" s="106"/>
      <c r="FN32" s="103"/>
      <c r="FO32" s="101"/>
      <c r="FP32" s="102"/>
      <c r="FQ32" s="103"/>
      <c r="FR32" s="101"/>
      <c r="FS32" s="101"/>
      <c r="FT32" s="101"/>
      <c r="FU32" s="101"/>
      <c r="FV32" s="101"/>
      <c r="FW32" s="101"/>
      <c r="FX32" s="102"/>
      <c r="FY32" s="100" t="s">
        <v>27</v>
      </c>
      <c r="FZ32" s="101"/>
      <c r="GA32" s="102"/>
      <c r="GB32" s="103"/>
      <c r="GC32" s="101"/>
      <c r="GD32" s="101"/>
      <c r="GE32" s="101"/>
      <c r="GF32" s="101"/>
      <c r="GG32" s="101"/>
      <c r="GH32" s="101"/>
      <c r="GI32" s="101"/>
      <c r="GJ32" s="101"/>
      <c r="GK32" s="101"/>
      <c r="GL32" s="101"/>
      <c r="GM32" s="101"/>
      <c r="GN32" s="101"/>
      <c r="GO32" s="101"/>
      <c r="GP32" s="101"/>
      <c r="GQ32" s="101"/>
      <c r="GR32" s="101"/>
      <c r="GS32" s="101"/>
      <c r="GT32" s="101"/>
      <c r="GU32" s="101"/>
      <c r="GV32" s="101"/>
      <c r="GW32" s="101"/>
      <c r="GX32" s="101"/>
      <c r="GY32" s="101"/>
      <c r="GZ32" s="101"/>
      <c r="HA32" s="101"/>
      <c r="HB32" s="101"/>
      <c r="HC32" s="101"/>
      <c r="HD32" s="101"/>
      <c r="HE32" s="104"/>
      <c r="HF32" s="106"/>
      <c r="HG32" s="103"/>
      <c r="HH32" s="101"/>
      <c r="HI32" s="102"/>
      <c r="HJ32" s="103"/>
      <c r="HK32" s="101"/>
      <c r="HL32" s="101"/>
      <c r="HM32" s="101"/>
      <c r="HN32" s="101"/>
      <c r="HO32" s="101"/>
      <c r="HP32" s="101"/>
      <c r="HQ32" s="102"/>
      <c r="HR32" s="100" t="s">
        <v>27</v>
      </c>
      <c r="HS32" s="101"/>
      <c r="HT32" s="102"/>
      <c r="HU32" s="103"/>
      <c r="HV32" s="101"/>
      <c r="HW32" s="101"/>
      <c r="HX32" s="101"/>
      <c r="HY32" s="101"/>
      <c r="HZ32" s="101"/>
      <c r="IA32" s="101"/>
      <c r="IB32" s="101"/>
      <c r="IC32" s="101"/>
      <c r="ID32" s="101"/>
      <c r="IE32" s="101"/>
      <c r="IF32" s="101"/>
      <c r="IG32" s="101"/>
      <c r="IH32" s="101"/>
      <c r="II32" s="101"/>
      <c r="IJ32" s="101"/>
      <c r="IK32" s="101"/>
      <c r="IL32" s="101"/>
      <c r="IM32" s="101"/>
      <c r="IN32" s="101"/>
      <c r="IO32" s="101"/>
      <c r="IP32" s="101"/>
      <c r="IQ32" s="101"/>
      <c r="IR32" s="101"/>
      <c r="IS32" s="101"/>
      <c r="IT32" s="101"/>
      <c r="IU32" s="101"/>
      <c r="IV32" s="101"/>
      <c r="IW32" s="101"/>
      <c r="IX32" s="104"/>
      <c r="IY32" s="106"/>
      <c r="IZ32" s="103"/>
      <c r="JA32" s="101"/>
      <c r="JB32" s="102"/>
      <c r="JC32" s="103"/>
      <c r="JD32" s="101"/>
      <c r="JE32" s="101"/>
      <c r="JF32" s="101"/>
      <c r="JG32" s="101"/>
      <c r="JH32" s="101"/>
      <c r="JI32" s="101"/>
      <c r="JJ32" s="102"/>
      <c r="JK32" s="100" t="s">
        <v>27</v>
      </c>
      <c r="JL32" s="101"/>
      <c r="JM32" s="102"/>
      <c r="JN32" s="103"/>
      <c r="JO32" s="101"/>
      <c r="JP32" s="101"/>
      <c r="JQ32" s="101"/>
      <c r="JR32" s="101"/>
      <c r="JS32" s="101"/>
      <c r="JT32" s="101"/>
      <c r="JU32" s="101"/>
      <c r="JV32" s="101"/>
      <c r="JW32" s="101"/>
      <c r="JX32" s="101"/>
      <c r="JY32" s="101"/>
      <c r="JZ32" s="101"/>
      <c r="KA32" s="101"/>
      <c r="KB32" s="101"/>
      <c r="KC32" s="101"/>
      <c r="KD32" s="101"/>
      <c r="KE32" s="101"/>
      <c r="KF32" s="101"/>
      <c r="KG32" s="101"/>
      <c r="KH32" s="101"/>
      <c r="KI32" s="101"/>
      <c r="KJ32" s="101"/>
      <c r="KK32" s="101"/>
      <c r="KL32" s="101"/>
      <c r="KM32" s="101"/>
      <c r="KN32" s="101"/>
      <c r="KO32" s="101"/>
      <c r="KP32" s="101"/>
      <c r="KQ32" s="104"/>
      <c r="KR32" s="106"/>
      <c r="KS32" s="103"/>
      <c r="KT32" s="101"/>
      <c r="KU32" s="102"/>
      <c r="KV32" s="103"/>
      <c r="KW32" s="101"/>
      <c r="KX32" s="101"/>
      <c r="KY32" s="101"/>
      <c r="KZ32" s="101"/>
      <c r="LA32" s="101"/>
      <c r="LB32" s="101"/>
      <c r="LC32" s="102"/>
      <c r="LD32" s="100" t="s">
        <v>27</v>
      </c>
      <c r="LE32" s="101"/>
      <c r="LF32" s="102"/>
      <c r="LG32" s="103"/>
      <c r="LH32" s="101"/>
      <c r="LI32" s="101"/>
      <c r="LJ32" s="101"/>
      <c r="LK32" s="101"/>
      <c r="LL32" s="101"/>
      <c r="LM32" s="101"/>
      <c r="LN32" s="101"/>
      <c r="LO32" s="101"/>
      <c r="LP32" s="101"/>
      <c r="LQ32" s="101"/>
      <c r="LR32" s="101"/>
      <c r="LS32" s="101"/>
      <c r="LT32" s="101"/>
      <c r="LU32" s="101"/>
      <c r="LV32" s="101"/>
      <c r="LW32" s="101"/>
      <c r="LX32" s="101"/>
      <c r="LY32" s="101"/>
      <c r="LZ32" s="101"/>
      <c r="MA32" s="101"/>
      <c r="MB32" s="101"/>
      <c r="MC32" s="101"/>
      <c r="MD32" s="101"/>
      <c r="ME32" s="101"/>
      <c r="MF32" s="101"/>
      <c r="MG32" s="101"/>
      <c r="MH32" s="101"/>
      <c r="MI32" s="101"/>
      <c r="MJ32" s="104"/>
      <c r="MK32" s="106"/>
      <c r="ML32" s="103"/>
      <c r="MM32" s="101"/>
      <c r="MN32" s="102"/>
      <c r="MO32" s="103"/>
      <c r="MP32" s="101"/>
      <c r="MQ32" s="101"/>
      <c r="MR32" s="101"/>
      <c r="MS32" s="101"/>
      <c r="MT32" s="101"/>
      <c r="MU32" s="101"/>
      <c r="MV32" s="102"/>
      <c r="MW32" s="100" t="s">
        <v>27</v>
      </c>
      <c r="MX32" s="101"/>
      <c r="MY32" s="102"/>
      <c r="MZ32" s="103"/>
      <c r="NA32" s="101"/>
      <c r="NB32" s="101"/>
      <c r="NC32" s="101"/>
      <c r="ND32" s="101"/>
      <c r="NE32" s="101"/>
      <c r="NF32" s="101"/>
      <c r="NG32" s="101"/>
      <c r="NH32" s="101"/>
      <c r="NI32" s="101"/>
      <c r="NJ32" s="101"/>
      <c r="NK32" s="101"/>
      <c r="NL32" s="101"/>
      <c r="NM32" s="101"/>
      <c r="NN32" s="101"/>
      <c r="NO32" s="101"/>
      <c r="NP32" s="101"/>
      <c r="NQ32" s="101"/>
      <c r="NR32" s="101"/>
      <c r="NS32" s="101"/>
      <c r="NT32" s="101"/>
      <c r="NU32" s="101"/>
      <c r="NV32" s="101"/>
      <c r="NW32" s="101"/>
      <c r="NX32" s="101"/>
      <c r="NY32" s="101"/>
      <c r="NZ32" s="101"/>
      <c r="OA32" s="101"/>
      <c r="OB32" s="101"/>
      <c r="OC32" s="104"/>
      <c r="OD32" s="106"/>
      <c r="OE32" s="103"/>
      <c r="OF32" s="101"/>
      <c r="OG32" s="102"/>
      <c r="OH32" s="103"/>
      <c r="OI32" s="101"/>
      <c r="OJ32" s="101"/>
      <c r="OK32" s="101"/>
      <c r="OL32" s="101"/>
      <c r="OM32" s="101"/>
      <c r="ON32" s="101"/>
      <c r="OO32" s="102"/>
      <c r="OP32" s="100" t="s">
        <v>27</v>
      </c>
      <c r="OQ32" s="101"/>
      <c r="OR32" s="102"/>
      <c r="OS32" s="103"/>
      <c r="OT32" s="101"/>
      <c r="OU32" s="101"/>
      <c r="OV32" s="101"/>
      <c r="OW32" s="101"/>
      <c r="OX32" s="101"/>
      <c r="OY32" s="101"/>
      <c r="OZ32" s="101"/>
      <c r="PA32" s="101"/>
      <c r="PB32" s="101"/>
      <c r="PC32" s="101"/>
      <c r="PD32" s="101"/>
      <c r="PE32" s="101"/>
      <c r="PF32" s="101"/>
      <c r="PG32" s="101"/>
      <c r="PH32" s="101"/>
      <c r="PI32" s="101"/>
      <c r="PJ32" s="101"/>
      <c r="PK32" s="101"/>
      <c r="PL32" s="101"/>
      <c r="PM32" s="101"/>
      <c r="PN32" s="101"/>
      <c r="PO32" s="101"/>
      <c r="PP32" s="101"/>
      <c r="PQ32" s="101"/>
      <c r="PR32" s="101"/>
      <c r="PS32" s="101"/>
      <c r="PT32" s="101"/>
      <c r="PU32" s="101"/>
      <c r="PV32" s="104"/>
      <c r="PW32" s="106"/>
      <c r="PX32" s="103"/>
      <c r="PY32" s="101"/>
      <c r="PZ32" s="102"/>
      <c r="QA32" s="103"/>
      <c r="QB32" s="101"/>
      <c r="QC32" s="101"/>
      <c r="QD32" s="101"/>
      <c r="QE32" s="101"/>
      <c r="QF32" s="101"/>
      <c r="QG32" s="101"/>
      <c r="QH32" s="102"/>
      <c r="QI32" s="100" t="s">
        <v>27</v>
      </c>
      <c r="QJ32" s="101"/>
      <c r="QK32" s="102"/>
      <c r="QL32" s="103"/>
      <c r="QM32" s="101"/>
      <c r="QN32" s="101"/>
      <c r="QO32" s="101"/>
      <c r="QP32" s="101"/>
      <c r="QQ32" s="101"/>
      <c r="QR32" s="101"/>
      <c r="QS32" s="101"/>
      <c r="QT32" s="101"/>
      <c r="QU32" s="101"/>
      <c r="QV32" s="101"/>
      <c r="QW32" s="101"/>
      <c r="QX32" s="101"/>
      <c r="QY32" s="101"/>
      <c r="QZ32" s="101"/>
      <c r="RA32" s="101"/>
      <c r="RB32" s="101"/>
      <c r="RC32" s="101"/>
      <c r="RD32" s="101"/>
      <c r="RE32" s="101"/>
      <c r="RF32" s="101"/>
      <c r="RG32" s="101"/>
      <c r="RH32" s="101"/>
      <c r="RI32" s="101"/>
      <c r="RJ32" s="101"/>
      <c r="RK32" s="101"/>
      <c r="RL32" s="101"/>
      <c r="RM32" s="101"/>
      <c r="RN32" s="101"/>
      <c r="RO32" s="104"/>
      <c r="RP32" s="106"/>
      <c r="RQ32" s="103"/>
      <c r="RR32" s="101"/>
      <c r="RS32" s="102"/>
      <c r="RT32" s="103"/>
      <c r="RU32" s="101"/>
      <c r="RV32" s="101"/>
      <c r="RW32" s="101"/>
      <c r="RX32" s="101"/>
      <c r="RY32" s="101"/>
      <c r="RZ32" s="101"/>
      <c r="SA32" s="102"/>
      <c r="SB32" s="100" t="s">
        <v>27</v>
      </c>
      <c r="SC32" s="101"/>
      <c r="SD32" s="102"/>
      <c r="SE32" s="103"/>
      <c r="SF32" s="101"/>
      <c r="SG32" s="101"/>
      <c r="SH32" s="101"/>
      <c r="SI32" s="101"/>
      <c r="SJ32" s="101"/>
      <c r="SK32" s="101"/>
      <c r="SL32" s="101"/>
      <c r="SM32" s="101"/>
      <c r="SN32" s="101"/>
      <c r="SO32" s="101"/>
      <c r="SP32" s="101"/>
      <c r="SQ32" s="101"/>
      <c r="SR32" s="101"/>
      <c r="SS32" s="101"/>
      <c r="ST32" s="101"/>
      <c r="SU32" s="101"/>
      <c r="SV32" s="101"/>
      <c r="SW32" s="101"/>
      <c r="SX32" s="101"/>
      <c r="SY32" s="101"/>
      <c r="SZ32" s="101"/>
      <c r="TA32" s="101"/>
      <c r="TB32" s="101"/>
      <c r="TC32" s="101"/>
      <c r="TD32" s="101"/>
      <c r="TE32" s="101"/>
      <c r="TF32" s="101"/>
      <c r="TG32" s="101"/>
      <c r="TH32" s="104"/>
      <c r="TI32" s="106"/>
      <c r="TJ32" s="103"/>
      <c r="TK32" s="101"/>
      <c r="TL32" s="102"/>
      <c r="TM32" s="103"/>
      <c r="TN32" s="101"/>
      <c r="TO32" s="101"/>
      <c r="TP32" s="101"/>
      <c r="TQ32" s="101"/>
      <c r="TR32" s="101"/>
      <c r="TS32" s="101"/>
      <c r="TT32" s="102"/>
    </row>
    <row r="33" ht="24.75" hidden="1" customHeight="1" outlineLevel="1">
      <c r="A33" s="108" t="str">
        <f>elenchi!$C7</f>
        <v>vuoto</v>
      </c>
      <c r="B33" s="109"/>
      <c r="C33" s="110"/>
      <c r="D33" s="67">
        <f t="shared" ref="D33:AH33" si="73">D$2</f>
        <v>45901</v>
      </c>
      <c r="E33" s="67">
        <f t="shared" si="73"/>
        <v>45902</v>
      </c>
      <c r="F33" s="67">
        <f t="shared" si="73"/>
        <v>45903</v>
      </c>
      <c r="G33" s="67">
        <f t="shared" si="73"/>
        <v>45904</v>
      </c>
      <c r="H33" s="67">
        <f t="shared" si="73"/>
        <v>45905</v>
      </c>
      <c r="I33" s="67">
        <f t="shared" si="73"/>
        <v>45906</v>
      </c>
      <c r="J33" s="67">
        <f t="shared" si="73"/>
        <v>45907</v>
      </c>
      <c r="K33" s="67">
        <f t="shared" si="73"/>
        <v>45908</v>
      </c>
      <c r="L33" s="67">
        <f t="shared" si="73"/>
        <v>45909</v>
      </c>
      <c r="M33" s="67">
        <f t="shared" si="73"/>
        <v>45910</v>
      </c>
      <c r="N33" s="67">
        <f t="shared" si="73"/>
        <v>45911</v>
      </c>
      <c r="O33" s="67">
        <f t="shared" si="73"/>
        <v>45912</v>
      </c>
      <c r="P33" s="67">
        <f t="shared" si="73"/>
        <v>45913</v>
      </c>
      <c r="Q33" s="67">
        <f t="shared" si="73"/>
        <v>45914</v>
      </c>
      <c r="R33" s="67">
        <f t="shared" si="73"/>
        <v>45915</v>
      </c>
      <c r="S33" s="67">
        <f t="shared" si="73"/>
        <v>45916</v>
      </c>
      <c r="T33" s="67">
        <f t="shared" si="73"/>
        <v>45917</v>
      </c>
      <c r="U33" s="67">
        <f t="shared" si="73"/>
        <v>45918</v>
      </c>
      <c r="V33" s="67">
        <f t="shared" si="73"/>
        <v>45919</v>
      </c>
      <c r="W33" s="67">
        <f t="shared" si="73"/>
        <v>45920</v>
      </c>
      <c r="X33" s="67">
        <f t="shared" si="73"/>
        <v>45921</v>
      </c>
      <c r="Y33" s="67">
        <f t="shared" si="73"/>
        <v>45922</v>
      </c>
      <c r="Z33" s="67">
        <f t="shared" si="73"/>
        <v>45923</v>
      </c>
      <c r="AA33" s="67">
        <f t="shared" si="73"/>
        <v>45924</v>
      </c>
      <c r="AB33" s="67">
        <f t="shared" si="73"/>
        <v>45925</v>
      </c>
      <c r="AC33" s="67">
        <f t="shared" si="73"/>
        <v>45926</v>
      </c>
      <c r="AD33" s="67">
        <f t="shared" si="73"/>
        <v>45927</v>
      </c>
      <c r="AE33" s="67">
        <f t="shared" si="73"/>
        <v>45928</v>
      </c>
      <c r="AF33" s="67">
        <f t="shared" si="73"/>
        <v>45929</v>
      </c>
      <c r="AG33" s="67">
        <f t="shared" si="73"/>
        <v>45930</v>
      </c>
      <c r="AH33" s="111" t="str">
        <f t="shared" si="73"/>
        <v/>
      </c>
      <c r="AI33" s="112" t="s">
        <v>33</v>
      </c>
      <c r="AJ33" s="113" t="s">
        <v>28</v>
      </c>
      <c r="AK33" s="114" t="s">
        <v>34</v>
      </c>
      <c r="AL33" s="112" t="s">
        <v>13</v>
      </c>
      <c r="AM33" s="113" t="s">
        <v>1</v>
      </c>
      <c r="AN33" s="113" t="s">
        <v>35</v>
      </c>
      <c r="AO33" s="113" t="s">
        <v>36</v>
      </c>
      <c r="AP33" s="113" t="s">
        <v>37</v>
      </c>
      <c r="AQ33" s="113" t="s">
        <v>0</v>
      </c>
      <c r="AR33" s="113" t="s">
        <v>38</v>
      </c>
      <c r="AS33" s="115" t="s">
        <v>11</v>
      </c>
      <c r="AT33" s="108" t="str">
        <f>elenchi!$C7</f>
        <v>vuoto</v>
      </c>
      <c r="AU33" s="109"/>
      <c r="AV33" s="110"/>
      <c r="AW33" s="67">
        <f t="shared" ref="AW33:CA33" si="74">AW$2</f>
        <v>45931</v>
      </c>
      <c r="AX33" s="67">
        <f t="shared" si="74"/>
        <v>45932</v>
      </c>
      <c r="AY33" s="67">
        <f t="shared" si="74"/>
        <v>45933</v>
      </c>
      <c r="AZ33" s="67">
        <f t="shared" si="74"/>
        <v>45934</v>
      </c>
      <c r="BA33" s="67">
        <f t="shared" si="74"/>
        <v>45935</v>
      </c>
      <c r="BB33" s="67">
        <f t="shared" si="74"/>
        <v>45936</v>
      </c>
      <c r="BC33" s="67">
        <f t="shared" si="74"/>
        <v>45937</v>
      </c>
      <c r="BD33" s="67">
        <f t="shared" si="74"/>
        <v>45938</v>
      </c>
      <c r="BE33" s="67">
        <f t="shared" si="74"/>
        <v>45939</v>
      </c>
      <c r="BF33" s="67">
        <f t="shared" si="74"/>
        <v>45940</v>
      </c>
      <c r="BG33" s="67">
        <f t="shared" si="74"/>
        <v>45941</v>
      </c>
      <c r="BH33" s="67">
        <f t="shared" si="74"/>
        <v>45942</v>
      </c>
      <c r="BI33" s="67">
        <f t="shared" si="74"/>
        <v>45943</v>
      </c>
      <c r="BJ33" s="67">
        <f t="shared" si="74"/>
        <v>45944</v>
      </c>
      <c r="BK33" s="67">
        <f t="shared" si="74"/>
        <v>45945</v>
      </c>
      <c r="BL33" s="67">
        <f t="shared" si="74"/>
        <v>45946</v>
      </c>
      <c r="BM33" s="67">
        <f t="shared" si="74"/>
        <v>45947</v>
      </c>
      <c r="BN33" s="67">
        <f t="shared" si="74"/>
        <v>45948</v>
      </c>
      <c r="BO33" s="67">
        <f t="shared" si="74"/>
        <v>45949</v>
      </c>
      <c r="BP33" s="67">
        <f t="shared" si="74"/>
        <v>45950</v>
      </c>
      <c r="BQ33" s="67">
        <f t="shared" si="74"/>
        <v>45951</v>
      </c>
      <c r="BR33" s="67">
        <f t="shared" si="74"/>
        <v>45952</v>
      </c>
      <c r="BS33" s="67">
        <f t="shared" si="74"/>
        <v>45953</v>
      </c>
      <c r="BT33" s="67">
        <f t="shared" si="74"/>
        <v>45954</v>
      </c>
      <c r="BU33" s="67">
        <f t="shared" si="74"/>
        <v>45955</v>
      </c>
      <c r="BV33" s="67">
        <f t="shared" si="74"/>
        <v>45956</v>
      </c>
      <c r="BW33" s="67">
        <f t="shared" si="74"/>
        <v>45957</v>
      </c>
      <c r="BX33" s="67">
        <f t="shared" si="74"/>
        <v>45958</v>
      </c>
      <c r="BY33" s="67">
        <f t="shared" si="74"/>
        <v>45959</v>
      </c>
      <c r="BZ33" s="67">
        <f t="shared" si="74"/>
        <v>45960</v>
      </c>
      <c r="CA33" s="67">
        <f t="shared" si="74"/>
        <v>45961</v>
      </c>
      <c r="CB33" s="112" t="s">
        <v>33</v>
      </c>
      <c r="CC33" s="113" t="s">
        <v>28</v>
      </c>
      <c r="CD33" s="114" t="s">
        <v>34</v>
      </c>
      <c r="CE33" s="112" t="s">
        <v>13</v>
      </c>
      <c r="CF33" s="113" t="s">
        <v>1</v>
      </c>
      <c r="CG33" s="113" t="s">
        <v>35</v>
      </c>
      <c r="CH33" s="113" t="s">
        <v>36</v>
      </c>
      <c r="CI33" s="113" t="s">
        <v>37</v>
      </c>
      <c r="CJ33" s="113" t="s">
        <v>0</v>
      </c>
      <c r="CK33" s="113" t="s">
        <v>38</v>
      </c>
      <c r="CL33" s="115" t="s">
        <v>11</v>
      </c>
      <c r="CM33" s="108" t="str">
        <f>elenchi!$C7</f>
        <v>vuoto</v>
      </c>
      <c r="CN33" s="109"/>
      <c r="CO33" s="110"/>
      <c r="CP33" s="67">
        <f t="shared" ref="CP33:DT33" si="75">CP$2</f>
        <v>45962</v>
      </c>
      <c r="CQ33" s="67">
        <f t="shared" si="75"/>
        <v>45963</v>
      </c>
      <c r="CR33" s="67">
        <f t="shared" si="75"/>
        <v>45964</v>
      </c>
      <c r="CS33" s="67">
        <f t="shared" si="75"/>
        <v>45965</v>
      </c>
      <c r="CT33" s="67">
        <f t="shared" si="75"/>
        <v>45966</v>
      </c>
      <c r="CU33" s="67">
        <f t="shared" si="75"/>
        <v>45967</v>
      </c>
      <c r="CV33" s="67">
        <f t="shared" si="75"/>
        <v>45968</v>
      </c>
      <c r="CW33" s="67">
        <f t="shared" si="75"/>
        <v>45969</v>
      </c>
      <c r="CX33" s="67">
        <f t="shared" si="75"/>
        <v>45970</v>
      </c>
      <c r="CY33" s="67">
        <f t="shared" si="75"/>
        <v>45971</v>
      </c>
      <c r="CZ33" s="67">
        <f t="shared" si="75"/>
        <v>45972</v>
      </c>
      <c r="DA33" s="67">
        <f t="shared" si="75"/>
        <v>45973</v>
      </c>
      <c r="DB33" s="67">
        <f t="shared" si="75"/>
        <v>45974</v>
      </c>
      <c r="DC33" s="67">
        <f t="shared" si="75"/>
        <v>45975</v>
      </c>
      <c r="DD33" s="67">
        <f t="shared" si="75"/>
        <v>45976</v>
      </c>
      <c r="DE33" s="67">
        <f t="shared" si="75"/>
        <v>45977</v>
      </c>
      <c r="DF33" s="67">
        <f t="shared" si="75"/>
        <v>45978</v>
      </c>
      <c r="DG33" s="67">
        <f t="shared" si="75"/>
        <v>45979</v>
      </c>
      <c r="DH33" s="67">
        <f t="shared" si="75"/>
        <v>45980</v>
      </c>
      <c r="DI33" s="67">
        <f t="shared" si="75"/>
        <v>45981</v>
      </c>
      <c r="DJ33" s="67">
        <f t="shared" si="75"/>
        <v>45982</v>
      </c>
      <c r="DK33" s="67">
        <f t="shared" si="75"/>
        <v>45983</v>
      </c>
      <c r="DL33" s="67">
        <f t="shared" si="75"/>
        <v>45984</v>
      </c>
      <c r="DM33" s="67">
        <f t="shared" si="75"/>
        <v>45985</v>
      </c>
      <c r="DN33" s="67">
        <f t="shared" si="75"/>
        <v>45986</v>
      </c>
      <c r="DO33" s="67">
        <f t="shared" si="75"/>
        <v>45987</v>
      </c>
      <c r="DP33" s="67">
        <f t="shared" si="75"/>
        <v>45988</v>
      </c>
      <c r="DQ33" s="67">
        <f t="shared" si="75"/>
        <v>45989</v>
      </c>
      <c r="DR33" s="67">
        <f t="shared" si="75"/>
        <v>45990</v>
      </c>
      <c r="DS33" s="67">
        <f t="shared" si="75"/>
        <v>45991</v>
      </c>
      <c r="DT33" s="67" t="str">
        <f t="shared" si="75"/>
        <v/>
      </c>
      <c r="DU33" s="112" t="s">
        <v>33</v>
      </c>
      <c r="DV33" s="113" t="s">
        <v>28</v>
      </c>
      <c r="DW33" s="114" t="s">
        <v>34</v>
      </c>
      <c r="DX33" s="112" t="s">
        <v>13</v>
      </c>
      <c r="DY33" s="113" t="s">
        <v>1</v>
      </c>
      <c r="DZ33" s="113" t="s">
        <v>35</v>
      </c>
      <c r="EA33" s="113" t="s">
        <v>36</v>
      </c>
      <c r="EB33" s="113" t="s">
        <v>37</v>
      </c>
      <c r="EC33" s="113" t="s">
        <v>0</v>
      </c>
      <c r="ED33" s="113" t="s">
        <v>38</v>
      </c>
      <c r="EE33" s="114" t="s">
        <v>11</v>
      </c>
      <c r="EF33" s="108" t="str">
        <f>elenchi!$C7</f>
        <v>vuoto</v>
      </c>
      <c r="EG33" s="109"/>
      <c r="EH33" s="110"/>
      <c r="EI33" s="67">
        <f t="shared" ref="EI33:FM33" si="76">EI$2</f>
        <v>45992</v>
      </c>
      <c r="EJ33" s="67">
        <f t="shared" si="76"/>
        <v>45993</v>
      </c>
      <c r="EK33" s="67">
        <f t="shared" si="76"/>
        <v>45994</v>
      </c>
      <c r="EL33" s="67">
        <f t="shared" si="76"/>
        <v>45995</v>
      </c>
      <c r="EM33" s="67">
        <f t="shared" si="76"/>
        <v>45996</v>
      </c>
      <c r="EN33" s="67">
        <f t="shared" si="76"/>
        <v>45997</v>
      </c>
      <c r="EO33" s="67">
        <f t="shared" si="76"/>
        <v>45998</v>
      </c>
      <c r="EP33" s="67">
        <f t="shared" si="76"/>
        <v>45999</v>
      </c>
      <c r="EQ33" s="67">
        <f t="shared" si="76"/>
        <v>46000</v>
      </c>
      <c r="ER33" s="67">
        <f t="shared" si="76"/>
        <v>46001</v>
      </c>
      <c r="ES33" s="67">
        <f t="shared" si="76"/>
        <v>46002</v>
      </c>
      <c r="ET33" s="67">
        <f t="shared" si="76"/>
        <v>46003</v>
      </c>
      <c r="EU33" s="67">
        <f t="shared" si="76"/>
        <v>46004</v>
      </c>
      <c r="EV33" s="67">
        <f t="shared" si="76"/>
        <v>46005</v>
      </c>
      <c r="EW33" s="67">
        <f t="shared" si="76"/>
        <v>46006</v>
      </c>
      <c r="EX33" s="67">
        <f t="shared" si="76"/>
        <v>46007</v>
      </c>
      <c r="EY33" s="67">
        <f t="shared" si="76"/>
        <v>46008</v>
      </c>
      <c r="EZ33" s="67">
        <f t="shared" si="76"/>
        <v>46009</v>
      </c>
      <c r="FA33" s="67">
        <f t="shared" si="76"/>
        <v>46010</v>
      </c>
      <c r="FB33" s="67">
        <f t="shared" si="76"/>
        <v>46011</v>
      </c>
      <c r="FC33" s="67">
        <f t="shared" si="76"/>
        <v>46012</v>
      </c>
      <c r="FD33" s="67">
        <f t="shared" si="76"/>
        <v>46013</v>
      </c>
      <c r="FE33" s="67">
        <f t="shared" si="76"/>
        <v>46014</v>
      </c>
      <c r="FF33" s="67">
        <f t="shared" si="76"/>
        <v>46015</v>
      </c>
      <c r="FG33" s="67">
        <f t="shared" si="76"/>
        <v>46016</v>
      </c>
      <c r="FH33" s="67">
        <f t="shared" si="76"/>
        <v>46017</v>
      </c>
      <c r="FI33" s="67">
        <f t="shared" si="76"/>
        <v>46018</v>
      </c>
      <c r="FJ33" s="67">
        <f t="shared" si="76"/>
        <v>46019</v>
      </c>
      <c r="FK33" s="67">
        <f t="shared" si="76"/>
        <v>46020</v>
      </c>
      <c r="FL33" s="67">
        <f t="shared" si="76"/>
        <v>46021</v>
      </c>
      <c r="FM33" s="67">
        <f t="shared" si="76"/>
        <v>46022</v>
      </c>
      <c r="FN33" s="112" t="s">
        <v>33</v>
      </c>
      <c r="FO33" s="113" t="s">
        <v>28</v>
      </c>
      <c r="FP33" s="114" t="s">
        <v>34</v>
      </c>
      <c r="FQ33" s="112" t="s">
        <v>13</v>
      </c>
      <c r="FR33" s="113" t="s">
        <v>1</v>
      </c>
      <c r="FS33" s="113" t="s">
        <v>35</v>
      </c>
      <c r="FT33" s="113" t="s">
        <v>36</v>
      </c>
      <c r="FU33" s="113" t="s">
        <v>37</v>
      </c>
      <c r="FV33" s="113" t="s">
        <v>0</v>
      </c>
      <c r="FW33" s="113" t="s">
        <v>38</v>
      </c>
      <c r="FX33" s="114" t="s">
        <v>11</v>
      </c>
      <c r="FY33" s="108" t="str">
        <f>elenchi!$C7</f>
        <v>vuoto</v>
      </c>
      <c r="FZ33" s="109"/>
      <c r="GA33" s="110"/>
      <c r="GB33" s="67">
        <f t="shared" ref="GB33:HF33" si="77">GB$2</f>
        <v>46023</v>
      </c>
      <c r="GC33" s="67">
        <f t="shared" si="77"/>
        <v>46024</v>
      </c>
      <c r="GD33" s="67">
        <f t="shared" si="77"/>
        <v>46025</v>
      </c>
      <c r="GE33" s="67">
        <f t="shared" si="77"/>
        <v>46026</v>
      </c>
      <c r="GF33" s="67">
        <f t="shared" si="77"/>
        <v>46027</v>
      </c>
      <c r="GG33" s="67">
        <f t="shared" si="77"/>
        <v>46028</v>
      </c>
      <c r="GH33" s="67">
        <f t="shared" si="77"/>
        <v>46029</v>
      </c>
      <c r="GI33" s="67">
        <f t="shared" si="77"/>
        <v>46030</v>
      </c>
      <c r="GJ33" s="67">
        <f t="shared" si="77"/>
        <v>46031</v>
      </c>
      <c r="GK33" s="67">
        <f t="shared" si="77"/>
        <v>46032</v>
      </c>
      <c r="GL33" s="67">
        <f t="shared" si="77"/>
        <v>46033</v>
      </c>
      <c r="GM33" s="67">
        <f t="shared" si="77"/>
        <v>46034</v>
      </c>
      <c r="GN33" s="67">
        <f t="shared" si="77"/>
        <v>46035</v>
      </c>
      <c r="GO33" s="67">
        <f t="shared" si="77"/>
        <v>46036</v>
      </c>
      <c r="GP33" s="67">
        <f t="shared" si="77"/>
        <v>46037</v>
      </c>
      <c r="GQ33" s="67">
        <f t="shared" si="77"/>
        <v>46038</v>
      </c>
      <c r="GR33" s="67">
        <f t="shared" si="77"/>
        <v>46039</v>
      </c>
      <c r="GS33" s="67">
        <f t="shared" si="77"/>
        <v>46040</v>
      </c>
      <c r="GT33" s="67">
        <f t="shared" si="77"/>
        <v>46041</v>
      </c>
      <c r="GU33" s="67">
        <f t="shared" si="77"/>
        <v>46042</v>
      </c>
      <c r="GV33" s="67">
        <f t="shared" si="77"/>
        <v>46043</v>
      </c>
      <c r="GW33" s="67">
        <f t="shared" si="77"/>
        <v>46044</v>
      </c>
      <c r="GX33" s="67">
        <f t="shared" si="77"/>
        <v>46045</v>
      </c>
      <c r="GY33" s="67">
        <f t="shared" si="77"/>
        <v>46046</v>
      </c>
      <c r="GZ33" s="67">
        <f t="shared" si="77"/>
        <v>46047</v>
      </c>
      <c r="HA33" s="67">
        <f t="shared" si="77"/>
        <v>46048</v>
      </c>
      <c r="HB33" s="67">
        <f t="shared" si="77"/>
        <v>46049</v>
      </c>
      <c r="HC33" s="67">
        <f t="shared" si="77"/>
        <v>46050</v>
      </c>
      <c r="HD33" s="67">
        <f t="shared" si="77"/>
        <v>46051</v>
      </c>
      <c r="HE33" s="67">
        <f t="shared" si="77"/>
        <v>46052</v>
      </c>
      <c r="HF33" s="67">
        <f t="shared" si="77"/>
        <v>46053</v>
      </c>
      <c r="HG33" s="112" t="s">
        <v>33</v>
      </c>
      <c r="HH33" s="113" t="s">
        <v>28</v>
      </c>
      <c r="HI33" s="114" t="s">
        <v>34</v>
      </c>
      <c r="HJ33" s="112" t="s">
        <v>13</v>
      </c>
      <c r="HK33" s="113" t="s">
        <v>1</v>
      </c>
      <c r="HL33" s="113" t="s">
        <v>35</v>
      </c>
      <c r="HM33" s="113" t="s">
        <v>36</v>
      </c>
      <c r="HN33" s="113" t="s">
        <v>37</v>
      </c>
      <c r="HO33" s="113" t="s">
        <v>0</v>
      </c>
      <c r="HP33" s="113" t="s">
        <v>38</v>
      </c>
      <c r="HQ33" s="114" t="s">
        <v>11</v>
      </c>
      <c r="HR33" s="108" t="str">
        <f>elenchi!$C7</f>
        <v>vuoto</v>
      </c>
      <c r="HS33" s="109"/>
      <c r="HT33" s="110"/>
      <c r="HU33" s="67">
        <f t="shared" ref="HU33:IY33" si="78">HU$2</f>
        <v>46054</v>
      </c>
      <c r="HV33" s="67">
        <f t="shared" si="78"/>
        <v>46055</v>
      </c>
      <c r="HW33" s="67">
        <f t="shared" si="78"/>
        <v>46056</v>
      </c>
      <c r="HX33" s="67">
        <f t="shared" si="78"/>
        <v>46057</v>
      </c>
      <c r="HY33" s="67">
        <f t="shared" si="78"/>
        <v>46058</v>
      </c>
      <c r="HZ33" s="67">
        <f t="shared" si="78"/>
        <v>46059</v>
      </c>
      <c r="IA33" s="67">
        <f t="shared" si="78"/>
        <v>46060</v>
      </c>
      <c r="IB33" s="67">
        <f t="shared" si="78"/>
        <v>46061</v>
      </c>
      <c r="IC33" s="67">
        <f t="shared" si="78"/>
        <v>46062</v>
      </c>
      <c r="ID33" s="67">
        <f t="shared" si="78"/>
        <v>46063</v>
      </c>
      <c r="IE33" s="67">
        <f t="shared" si="78"/>
        <v>46064</v>
      </c>
      <c r="IF33" s="67">
        <f t="shared" si="78"/>
        <v>46065</v>
      </c>
      <c r="IG33" s="67">
        <f t="shared" si="78"/>
        <v>46066</v>
      </c>
      <c r="IH33" s="67">
        <f t="shared" si="78"/>
        <v>46067</v>
      </c>
      <c r="II33" s="67">
        <f t="shared" si="78"/>
        <v>46068</v>
      </c>
      <c r="IJ33" s="67">
        <f t="shared" si="78"/>
        <v>46069</v>
      </c>
      <c r="IK33" s="67">
        <f t="shared" si="78"/>
        <v>46070</v>
      </c>
      <c r="IL33" s="67">
        <f t="shared" si="78"/>
        <v>46071</v>
      </c>
      <c r="IM33" s="67">
        <f t="shared" si="78"/>
        <v>46072</v>
      </c>
      <c r="IN33" s="67">
        <f t="shared" si="78"/>
        <v>46073</v>
      </c>
      <c r="IO33" s="67">
        <f t="shared" si="78"/>
        <v>46074</v>
      </c>
      <c r="IP33" s="67">
        <f t="shared" si="78"/>
        <v>46075</v>
      </c>
      <c r="IQ33" s="67">
        <f t="shared" si="78"/>
        <v>46076</v>
      </c>
      <c r="IR33" s="67">
        <f t="shared" si="78"/>
        <v>46077</v>
      </c>
      <c r="IS33" s="67">
        <f t="shared" si="78"/>
        <v>46078</v>
      </c>
      <c r="IT33" s="67">
        <f t="shared" si="78"/>
        <v>46079</v>
      </c>
      <c r="IU33" s="67">
        <f t="shared" si="78"/>
        <v>46080</v>
      </c>
      <c r="IV33" s="67">
        <f t="shared" si="78"/>
        <v>46081</v>
      </c>
      <c r="IW33" s="67" t="str">
        <f t="shared" si="78"/>
        <v/>
      </c>
      <c r="IX33" s="67" t="str">
        <f t="shared" si="78"/>
        <v/>
      </c>
      <c r="IY33" s="67" t="str">
        <f t="shared" si="78"/>
        <v/>
      </c>
      <c r="IZ33" s="112" t="s">
        <v>33</v>
      </c>
      <c r="JA33" s="113" t="s">
        <v>28</v>
      </c>
      <c r="JB33" s="114" t="s">
        <v>34</v>
      </c>
      <c r="JC33" s="112" t="s">
        <v>13</v>
      </c>
      <c r="JD33" s="113" t="s">
        <v>1</v>
      </c>
      <c r="JE33" s="113" t="s">
        <v>35</v>
      </c>
      <c r="JF33" s="113" t="s">
        <v>36</v>
      </c>
      <c r="JG33" s="113" t="s">
        <v>37</v>
      </c>
      <c r="JH33" s="113" t="s">
        <v>0</v>
      </c>
      <c r="JI33" s="113" t="s">
        <v>38</v>
      </c>
      <c r="JJ33" s="114" t="s">
        <v>11</v>
      </c>
      <c r="JK33" s="108" t="str">
        <f>elenchi!$C7</f>
        <v>vuoto</v>
      </c>
      <c r="JL33" s="109"/>
      <c r="JM33" s="110"/>
      <c r="JN33" s="67">
        <f t="shared" ref="JN33:KR33" si="79">JN$2</f>
        <v>46082</v>
      </c>
      <c r="JO33" s="67">
        <f t="shared" si="79"/>
        <v>46083</v>
      </c>
      <c r="JP33" s="67">
        <f t="shared" si="79"/>
        <v>46084</v>
      </c>
      <c r="JQ33" s="67">
        <f t="shared" si="79"/>
        <v>46085</v>
      </c>
      <c r="JR33" s="67">
        <f t="shared" si="79"/>
        <v>46086</v>
      </c>
      <c r="JS33" s="67">
        <f t="shared" si="79"/>
        <v>46087</v>
      </c>
      <c r="JT33" s="67">
        <f t="shared" si="79"/>
        <v>46088</v>
      </c>
      <c r="JU33" s="67">
        <f t="shared" si="79"/>
        <v>46089</v>
      </c>
      <c r="JV33" s="67">
        <f t="shared" si="79"/>
        <v>46090</v>
      </c>
      <c r="JW33" s="67">
        <f t="shared" si="79"/>
        <v>46091</v>
      </c>
      <c r="JX33" s="67">
        <f t="shared" si="79"/>
        <v>46092</v>
      </c>
      <c r="JY33" s="67">
        <f t="shared" si="79"/>
        <v>46093</v>
      </c>
      <c r="JZ33" s="67">
        <f t="shared" si="79"/>
        <v>46094</v>
      </c>
      <c r="KA33" s="67">
        <f t="shared" si="79"/>
        <v>46095</v>
      </c>
      <c r="KB33" s="67">
        <f t="shared" si="79"/>
        <v>46096</v>
      </c>
      <c r="KC33" s="67">
        <f t="shared" si="79"/>
        <v>46097</v>
      </c>
      <c r="KD33" s="67">
        <f t="shared" si="79"/>
        <v>46098</v>
      </c>
      <c r="KE33" s="67">
        <f t="shared" si="79"/>
        <v>46099</v>
      </c>
      <c r="KF33" s="67">
        <f t="shared" si="79"/>
        <v>46100</v>
      </c>
      <c r="KG33" s="67">
        <f t="shared" si="79"/>
        <v>46101</v>
      </c>
      <c r="KH33" s="67">
        <f t="shared" si="79"/>
        <v>46102</v>
      </c>
      <c r="KI33" s="67">
        <f t="shared" si="79"/>
        <v>46103</v>
      </c>
      <c r="KJ33" s="67">
        <f t="shared" si="79"/>
        <v>46104</v>
      </c>
      <c r="KK33" s="67">
        <f t="shared" si="79"/>
        <v>46105</v>
      </c>
      <c r="KL33" s="67">
        <f t="shared" si="79"/>
        <v>46106</v>
      </c>
      <c r="KM33" s="67">
        <f t="shared" si="79"/>
        <v>46107</v>
      </c>
      <c r="KN33" s="67">
        <f t="shared" si="79"/>
        <v>46108</v>
      </c>
      <c r="KO33" s="67">
        <f t="shared" si="79"/>
        <v>46109</v>
      </c>
      <c r="KP33" s="67">
        <f t="shared" si="79"/>
        <v>46110</v>
      </c>
      <c r="KQ33" s="67">
        <f t="shared" si="79"/>
        <v>46111</v>
      </c>
      <c r="KR33" s="67">
        <f t="shared" si="79"/>
        <v>46112</v>
      </c>
      <c r="KS33" s="112" t="s">
        <v>33</v>
      </c>
      <c r="KT33" s="113" t="s">
        <v>28</v>
      </c>
      <c r="KU33" s="114" t="s">
        <v>34</v>
      </c>
      <c r="KV33" s="112" t="s">
        <v>13</v>
      </c>
      <c r="KW33" s="113" t="s">
        <v>1</v>
      </c>
      <c r="KX33" s="113" t="s">
        <v>35</v>
      </c>
      <c r="KY33" s="113" t="s">
        <v>36</v>
      </c>
      <c r="KZ33" s="113" t="s">
        <v>37</v>
      </c>
      <c r="LA33" s="113" t="s">
        <v>0</v>
      </c>
      <c r="LB33" s="113" t="s">
        <v>38</v>
      </c>
      <c r="LC33" s="114" t="s">
        <v>11</v>
      </c>
      <c r="LD33" s="108" t="str">
        <f>elenchi!$C7</f>
        <v>vuoto</v>
      </c>
      <c r="LE33" s="109"/>
      <c r="LF33" s="110"/>
      <c r="LG33" s="67">
        <f t="shared" ref="LG33:MK33" si="80">LG$2</f>
        <v>46113</v>
      </c>
      <c r="LH33" s="67">
        <f t="shared" si="80"/>
        <v>46114</v>
      </c>
      <c r="LI33" s="67">
        <f t="shared" si="80"/>
        <v>46115</v>
      </c>
      <c r="LJ33" s="67">
        <f t="shared" si="80"/>
        <v>46116</v>
      </c>
      <c r="LK33" s="67">
        <f t="shared" si="80"/>
        <v>46117</v>
      </c>
      <c r="LL33" s="67">
        <f t="shared" si="80"/>
        <v>46118</v>
      </c>
      <c r="LM33" s="67">
        <f t="shared" si="80"/>
        <v>46119</v>
      </c>
      <c r="LN33" s="67">
        <f t="shared" si="80"/>
        <v>46120</v>
      </c>
      <c r="LO33" s="67">
        <f t="shared" si="80"/>
        <v>46121</v>
      </c>
      <c r="LP33" s="67">
        <f t="shared" si="80"/>
        <v>46122</v>
      </c>
      <c r="LQ33" s="67">
        <f t="shared" si="80"/>
        <v>46123</v>
      </c>
      <c r="LR33" s="67">
        <f t="shared" si="80"/>
        <v>46124</v>
      </c>
      <c r="LS33" s="67">
        <f t="shared" si="80"/>
        <v>46125</v>
      </c>
      <c r="LT33" s="67">
        <f t="shared" si="80"/>
        <v>46126</v>
      </c>
      <c r="LU33" s="67">
        <f t="shared" si="80"/>
        <v>46127</v>
      </c>
      <c r="LV33" s="67">
        <f t="shared" si="80"/>
        <v>46128</v>
      </c>
      <c r="LW33" s="67">
        <f t="shared" si="80"/>
        <v>46129</v>
      </c>
      <c r="LX33" s="67">
        <f t="shared" si="80"/>
        <v>46130</v>
      </c>
      <c r="LY33" s="67">
        <f t="shared" si="80"/>
        <v>46131</v>
      </c>
      <c r="LZ33" s="67">
        <f t="shared" si="80"/>
        <v>46132</v>
      </c>
      <c r="MA33" s="67">
        <f t="shared" si="80"/>
        <v>46133</v>
      </c>
      <c r="MB33" s="67">
        <f t="shared" si="80"/>
        <v>46134</v>
      </c>
      <c r="MC33" s="67">
        <f t="shared" si="80"/>
        <v>46135</v>
      </c>
      <c r="MD33" s="67">
        <f t="shared" si="80"/>
        <v>46136</v>
      </c>
      <c r="ME33" s="67">
        <f t="shared" si="80"/>
        <v>46137</v>
      </c>
      <c r="MF33" s="67">
        <f t="shared" si="80"/>
        <v>46138</v>
      </c>
      <c r="MG33" s="67">
        <f t="shared" si="80"/>
        <v>46139</v>
      </c>
      <c r="MH33" s="67">
        <f t="shared" si="80"/>
        <v>46140</v>
      </c>
      <c r="MI33" s="67">
        <f t="shared" si="80"/>
        <v>46141</v>
      </c>
      <c r="MJ33" s="67">
        <f t="shared" si="80"/>
        <v>46142</v>
      </c>
      <c r="MK33" s="67" t="str">
        <f t="shared" si="80"/>
        <v/>
      </c>
      <c r="ML33" s="112" t="s">
        <v>33</v>
      </c>
      <c r="MM33" s="113" t="s">
        <v>28</v>
      </c>
      <c r="MN33" s="114" t="s">
        <v>34</v>
      </c>
      <c r="MO33" s="112" t="s">
        <v>13</v>
      </c>
      <c r="MP33" s="113" t="s">
        <v>1</v>
      </c>
      <c r="MQ33" s="113" t="s">
        <v>35</v>
      </c>
      <c r="MR33" s="113" t="s">
        <v>36</v>
      </c>
      <c r="MS33" s="113" t="s">
        <v>37</v>
      </c>
      <c r="MT33" s="113" t="s">
        <v>0</v>
      </c>
      <c r="MU33" s="113" t="s">
        <v>38</v>
      </c>
      <c r="MV33" s="115" t="s">
        <v>11</v>
      </c>
      <c r="MW33" s="108" t="str">
        <f>elenchi!$C7</f>
        <v>vuoto</v>
      </c>
      <c r="MX33" s="109"/>
      <c r="MY33" s="110"/>
      <c r="MZ33" s="67">
        <f t="shared" ref="MZ33:OD33" si="81">MZ$2</f>
        <v>46143</v>
      </c>
      <c r="NA33" s="67">
        <f t="shared" si="81"/>
        <v>46144</v>
      </c>
      <c r="NB33" s="67">
        <f t="shared" si="81"/>
        <v>46145</v>
      </c>
      <c r="NC33" s="67">
        <f t="shared" si="81"/>
        <v>46146</v>
      </c>
      <c r="ND33" s="67">
        <f t="shared" si="81"/>
        <v>46147</v>
      </c>
      <c r="NE33" s="67">
        <f t="shared" si="81"/>
        <v>46148</v>
      </c>
      <c r="NF33" s="67">
        <f t="shared" si="81"/>
        <v>46149</v>
      </c>
      <c r="NG33" s="67">
        <f t="shared" si="81"/>
        <v>46150</v>
      </c>
      <c r="NH33" s="67">
        <f t="shared" si="81"/>
        <v>46151</v>
      </c>
      <c r="NI33" s="67">
        <f t="shared" si="81"/>
        <v>46152</v>
      </c>
      <c r="NJ33" s="67">
        <f t="shared" si="81"/>
        <v>46153</v>
      </c>
      <c r="NK33" s="67">
        <f t="shared" si="81"/>
        <v>46154</v>
      </c>
      <c r="NL33" s="67">
        <f t="shared" si="81"/>
        <v>46155</v>
      </c>
      <c r="NM33" s="67">
        <f t="shared" si="81"/>
        <v>46156</v>
      </c>
      <c r="NN33" s="67">
        <f t="shared" si="81"/>
        <v>46157</v>
      </c>
      <c r="NO33" s="67">
        <f t="shared" si="81"/>
        <v>46158</v>
      </c>
      <c r="NP33" s="67">
        <f t="shared" si="81"/>
        <v>46159</v>
      </c>
      <c r="NQ33" s="67">
        <f t="shared" si="81"/>
        <v>46160</v>
      </c>
      <c r="NR33" s="67">
        <f t="shared" si="81"/>
        <v>46161</v>
      </c>
      <c r="NS33" s="67">
        <f t="shared" si="81"/>
        <v>46162</v>
      </c>
      <c r="NT33" s="67">
        <f t="shared" si="81"/>
        <v>46163</v>
      </c>
      <c r="NU33" s="67">
        <f t="shared" si="81"/>
        <v>46164</v>
      </c>
      <c r="NV33" s="67">
        <f t="shared" si="81"/>
        <v>46165</v>
      </c>
      <c r="NW33" s="67">
        <f t="shared" si="81"/>
        <v>46166</v>
      </c>
      <c r="NX33" s="67">
        <f t="shared" si="81"/>
        <v>46167</v>
      </c>
      <c r="NY33" s="67">
        <f t="shared" si="81"/>
        <v>46168</v>
      </c>
      <c r="NZ33" s="67">
        <f t="shared" si="81"/>
        <v>46169</v>
      </c>
      <c r="OA33" s="67">
        <f t="shared" si="81"/>
        <v>46170</v>
      </c>
      <c r="OB33" s="67">
        <f t="shared" si="81"/>
        <v>46171</v>
      </c>
      <c r="OC33" s="67">
        <f t="shared" si="81"/>
        <v>46172</v>
      </c>
      <c r="OD33" s="67">
        <f t="shared" si="81"/>
        <v>46173</v>
      </c>
      <c r="OE33" s="112" t="s">
        <v>33</v>
      </c>
      <c r="OF33" s="113" t="s">
        <v>28</v>
      </c>
      <c r="OG33" s="114" t="s">
        <v>34</v>
      </c>
      <c r="OH33" s="112" t="s">
        <v>13</v>
      </c>
      <c r="OI33" s="113" t="s">
        <v>1</v>
      </c>
      <c r="OJ33" s="113" t="s">
        <v>35</v>
      </c>
      <c r="OK33" s="113" t="s">
        <v>36</v>
      </c>
      <c r="OL33" s="113" t="s">
        <v>37</v>
      </c>
      <c r="OM33" s="113" t="s">
        <v>0</v>
      </c>
      <c r="ON33" s="113" t="s">
        <v>38</v>
      </c>
      <c r="OO33" s="115" t="s">
        <v>11</v>
      </c>
      <c r="OP33" s="108" t="str">
        <f>elenchi!$C7</f>
        <v>vuoto</v>
      </c>
      <c r="OQ33" s="109"/>
      <c r="OR33" s="110"/>
      <c r="OS33" s="67">
        <f t="shared" ref="OS33:PW33" si="82">OS$2</f>
        <v>46174</v>
      </c>
      <c r="OT33" s="67">
        <f t="shared" si="82"/>
        <v>46175</v>
      </c>
      <c r="OU33" s="67">
        <f t="shared" si="82"/>
        <v>46176</v>
      </c>
      <c r="OV33" s="67">
        <f t="shared" si="82"/>
        <v>46177</v>
      </c>
      <c r="OW33" s="67">
        <f t="shared" si="82"/>
        <v>46178</v>
      </c>
      <c r="OX33" s="67">
        <f t="shared" si="82"/>
        <v>46179</v>
      </c>
      <c r="OY33" s="67">
        <f t="shared" si="82"/>
        <v>46180</v>
      </c>
      <c r="OZ33" s="67">
        <f t="shared" si="82"/>
        <v>46181</v>
      </c>
      <c r="PA33" s="67">
        <f t="shared" si="82"/>
        <v>46182</v>
      </c>
      <c r="PB33" s="67">
        <f t="shared" si="82"/>
        <v>46183</v>
      </c>
      <c r="PC33" s="67">
        <f t="shared" si="82"/>
        <v>46184</v>
      </c>
      <c r="PD33" s="67">
        <f t="shared" si="82"/>
        <v>46185</v>
      </c>
      <c r="PE33" s="67">
        <f t="shared" si="82"/>
        <v>46186</v>
      </c>
      <c r="PF33" s="67">
        <f t="shared" si="82"/>
        <v>46187</v>
      </c>
      <c r="PG33" s="67">
        <f t="shared" si="82"/>
        <v>46188</v>
      </c>
      <c r="PH33" s="67">
        <f t="shared" si="82"/>
        <v>46189</v>
      </c>
      <c r="PI33" s="67">
        <f t="shared" si="82"/>
        <v>46190</v>
      </c>
      <c r="PJ33" s="67">
        <f t="shared" si="82"/>
        <v>46191</v>
      </c>
      <c r="PK33" s="67">
        <f t="shared" si="82"/>
        <v>46192</v>
      </c>
      <c r="PL33" s="67">
        <f t="shared" si="82"/>
        <v>46193</v>
      </c>
      <c r="PM33" s="67">
        <f t="shared" si="82"/>
        <v>46194</v>
      </c>
      <c r="PN33" s="67">
        <f t="shared" si="82"/>
        <v>46195</v>
      </c>
      <c r="PO33" s="67">
        <f t="shared" si="82"/>
        <v>46196</v>
      </c>
      <c r="PP33" s="67">
        <f t="shared" si="82"/>
        <v>46197</v>
      </c>
      <c r="PQ33" s="67">
        <f t="shared" si="82"/>
        <v>46198</v>
      </c>
      <c r="PR33" s="67">
        <f t="shared" si="82"/>
        <v>46199</v>
      </c>
      <c r="PS33" s="67">
        <f t="shared" si="82"/>
        <v>46200</v>
      </c>
      <c r="PT33" s="67">
        <f t="shared" si="82"/>
        <v>46201</v>
      </c>
      <c r="PU33" s="67">
        <f t="shared" si="82"/>
        <v>46202</v>
      </c>
      <c r="PV33" s="67">
        <f t="shared" si="82"/>
        <v>46203</v>
      </c>
      <c r="PW33" s="67" t="str">
        <f t="shared" si="82"/>
        <v/>
      </c>
      <c r="PX33" s="112" t="s">
        <v>33</v>
      </c>
      <c r="PY33" s="113" t="s">
        <v>28</v>
      </c>
      <c r="PZ33" s="114" t="s">
        <v>34</v>
      </c>
      <c r="QA33" s="112" t="s">
        <v>13</v>
      </c>
      <c r="QB33" s="113" t="s">
        <v>1</v>
      </c>
      <c r="QC33" s="113" t="s">
        <v>35</v>
      </c>
      <c r="QD33" s="113" t="s">
        <v>36</v>
      </c>
      <c r="QE33" s="113" t="s">
        <v>37</v>
      </c>
      <c r="QF33" s="113" t="s">
        <v>0</v>
      </c>
      <c r="QG33" s="113" t="s">
        <v>38</v>
      </c>
      <c r="QH33" s="115" t="s">
        <v>11</v>
      </c>
      <c r="QI33" s="108" t="str">
        <f>elenchi!$C7</f>
        <v>vuoto</v>
      </c>
      <c r="QJ33" s="109"/>
      <c r="QK33" s="110"/>
      <c r="QL33" s="67">
        <f t="shared" ref="QL33:RP33" si="83">QL$2</f>
        <v>46204</v>
      </c>
      <c r="QM33" s="67">
        <f t="shared" si="83"/>
        <v>46205</v>
      </c>
      <c r="QN33" s="67">
        <f t="shared" si="83"/>
        <v>46206</v>
      </c>
      <c r="QO33" s="67">
        <f t="shared" si="83"/>
        <v>46207</v>
      </c>
      <c r="QP33" s="67">
        <f t="shared" si="83"/>
        <v>46208</v>
      </c>
      <c r="QQ33" s="67">
        <f t="shared" si="83"/>
        <v>46209</v>
      </c>
      <c r="QR33" s="67">
        <f t="shared" si="83"/>
        <v>46210</v>
      </c>
      <c r="QS33" s="67">
        <f t="shared" si="83"/>
        <v>46211</v>
      </c>
      <c r="QT33" s="67">
        <f t="shared" si="83"/>
        <v>46212</v>
      </c>
      <c r="QU33" s="67">
        <f t="shared" si="83"/>
        <v>46213</v>
      </c>
      <c r="QV33" s="67">
        <f t="shared" si="83"/>
        <v>46214</v>
      </c>
      <c r="QW33" s="67">
        <f t="shared" si="83"/>
        <v>46215</v>
      </c>
      <c r="QX33" s="67">
        <f t="shared" si="83"/>
        <v>46216</v>
      </c>
      <c r="QY33" s="67">
        <f t="shared" si="83"/>
        <v>46217</v>
      </c>
      <c r="QZ33" s="67">
        <f t="shared" si="83"/>
        <v>46218</v>
      </c>
      <c r="RA33" s="67">
        <f t="shared" si="83"/>
        <v>46219</v>
      </c>
      <c r="RB33" s="67">
        <f t="shared" si="83"/>
        <v>46220</v>
      </c>
      <c r="RC33" s="67">
        <f t="shared" si="83"/>
        <v>46221</v>
      </c>
      <c r="RD33" s="67">
        <f t="shared" si="83"/>
        <v>46222</v>
      </c>
      <c r="RE33" s="67">
        <f t="shared" si="83"/>
        <v>46223</v>
      </c>
      <c r="RF33" s="67">
        <f t="shared" si="83"/>
        <v>46224</v>
      </c>
      <c r="RG33" s="67">
        <f t="shared" si="83"/>
        <v>46225</v>
      </c>
      <c r="RH33" s="67">
        <f t="shared" si="83"/>
        <v>46226</v>
      </c>
      <c r="RI33" s="67">
        <f t="shared" si="83"/>
        <v>46227</v>
      </c>
      <c r="RJ33" s="67">
        <f t="shared" si="83"/>
        <v>46228</v>
      </c>
      <c r="RK33" s="67">
        <f t="shared" si="83"/>
        <v>46229</v>
      </c>
      <c r="RL33" s="67">
        <f t="shared" si="83"/>
        <v>46230</v>
      </c>
      <c r="RM33" s="67">
        <f t="shared" si="83"/>
        <v>46231</v>
      </c>
      <c r="RN33" s="67">
        <f t="shared" si="83"/>
        <v>46232</v>
      </c>
      <c r="RO33" s="67">
        <f t="shared" si="83"/>
        <v>46233</v>
      </c>
      <c r="RP33" s="67">
        <f t="shared" si="83"/>
        <v>46234</v>
      </c>
      <c r="RQ33" s="112" t="s">
        <v>33</v>
      </c>
      <c r="RR33" s="113" t="s">
        <v>28</v>
      </c>
      <c r="RS33" s="114" t="s">
        <v>34</v>
      </c>
      <c r="RT33" s="112" t="s">
        <v>13</v>
      </c>
      <c r="RU33" s="113" t="s">
        <v>1</v>
      </c>
      <c r="RV33" s="113" t="s">
        <v>35</v>
      </c>
      <c r="RW33" s="113" t="s">
        <v>36</v>
      </c>
      <c r="RX33" s="113" t="s">
        <v>37</v>
      </c>
      <c r="RY33" s="113" t="s">
        <v>0</v>
      </c>
      <c r="RZ33" s="113" t="s">
        <v>38</v>
      </c>
      <c r="SA33" s="115" t="s">
        <v>11</v>
      </c>
      <c r="SB33" s="108" t="str">
        <f>elenchi!$C7</f>
        <v>vuoto</v>
      </c>
      <c r="SC33" s="109"/>
      <c r="SD33" s="110"/>
      <c r="SE33" s="67">
        <f t="shared" ref="SE33:TI33" si="84">SE$2</f>
        <v>46235</v>
      </c>
      <c r="SF33" s="67">
        <f t="shared" si="84"/>
        <v>46236</v>
      </c>
      <c r="SG33" s="67">
        <f t="shared" si="84"/>
        <v>46237</v>
      </c>
      <c r="SH33" s="67">
        <f t="shared" si="84"/>
        <v>46238</v>
      </c>
      <c r="SI33" s="67">
        <f t="shared" si="84"/>
        <v>46239</v>
      </c>
      <c r="SJ33" s="67">
        <f t="shared" si="84"/>
        <v>46240</v>
      </c>
      <c r="SK33" s="67">
        <f t="shared" si="84"/>
        <v>46241</v>
      </c>
      <c r="SL33" s="67">
        <f t="shared" si="84"/>
        <v>46242</v>
      </c>
      <c r="SM33" s="67">
        <f t="shared" si="84"/>
        <v>46243</v>
      </c>
      <c r="SN33" s="67">
        <f t="shared" si="84"/>
        <v>46244</v>
      </c>
      <c r="SO33" s="67">
        <f t="shared" si="84"/>
        <v>46245</v>
      </c>
      <c r="SP33" s="67">
        <f t="shared" si="84"/>
        <v>46246</v>
      </c>
      <c r="SQ33" s="67">
        <f t="shared" si="84"/>
        <v>46247</v>
      </c>
      <c r="SR33" s="67">
        <f t="shared" si="84"/>
        <v>46248</v>
      </c>
      <c r="SS33" s="67">
        <f t="shared" si="84"/>
        <v>46249</v>
      </c>
      <c r="ST33" s="67">
        <f t="shared" si="84"/>
        <v>46250</v>
      </c>
      <c r="SU33" s="67">
        <f t="shared" si="84"/>
        <v>46251</v>
      </c>
      <c r="SV33" s="67">
        <f t="shared" si="84"/>
        <v>46252</v>
      </c>
      <c r="SW33" s="67">
        <f t="shared" si="84"/>
        <v>46253</v>
      </c>
      <c r="SX33" s="67">
        <f t="shared" si="84"/>
        <v>46254</v>
      </c>
      <c r="SY33" s="67">
        <f t="shared" si="84"/>
        <v>46255</v>
      </c>
      <c r="SZ33" s="67">
        <f t="shared" si="84"/>
        <v>46256</v>
      </c>
      <c r="TA33" s="67">
        <f t="shared" si="84"/>
        <v>46257</v>
      </c>
      <c r="TB33" s="67">
        <f t="shared" si="84"/>
        <v>46258</v>
      </c>
      <c r="TC33" s="67">
        <f t="shared" si="84"/>
        <v>46259</v>
      </c>
      <c r="TD33" s="67">
        <f t="shared" si="84"/>
        <v>46260</v>
      </c>
      <c r="TE33" s="67">
        <f t="shared" si="84"/>
        <v>46261</v>
      </c>
      <c r="TF33" s="67">
        <f t="shared" si="84"/>
        <v>46262</v>
      </c>
      <c r="TG33" s="67">
        <f t="shared" si="84"/>
        <v>46263</v>
      </c>
      <c r="TH33" s="67">
        <f t="shared" si="84"/>
        <v>46264</v>
      </c>
      <c r="TI33" s="67">
        <f t="shared" si="84"/>
        <v>46265</v>
      </c>
      <c r="TJ33" s="112" t="s">
        <v>33</v>
      </c>
      <c r="TK33" s="113" t="s">
        <v>28</v>
      </c>
      <c r="TL33" s="114" t="s">
        <v>34</v>
      </c>
      <c r="TM33" s="112" t="s">
        <v>13</v>
      </c>
      <c r="TN33" s="113" t="s">
        <v>1</v>
      </c>
      <c r="TO33" s="113" t="s">
        <v>35</v>
      </c>
      <c r="TP33" s="113" t="s">
        <v>36</v>
      </c>
      <c r="TQ33" s="113" t="s">
        <v>37</v>
      </c>
      <c r="TR33" s="113" t="s">
        <v>0</v>
      </c>
      <c r="TS33" s="113" t="s">
        <v>38</v>
      </c>
      <c r="TT33" s="114" t="s">
        <v>11</v>
      </c>
    </row>
    <row r="34" ht="24.75" hidden="1" customHeight="1" outlineLevel="1">
      <c r="A34" s="117"/>
      <c r="B34" s="65"/>
      <c r="C34" s="66"/>
      <c r="D34" s="74">
        <f>Settembre25!$H$2</f>
        <v>8</v>
      </c>
      <c r="E34" s="75">
        <f>Settembre25!$H$3</f>
        <v>8</v>
      </c>
      <c r="F34" s="75">
        <f>Settembre25!$H$4</f>
        <v>8</v>
      </c>
      <c r="G34" s="75">
        <f>Settembre25!$H$5</f>
        <v>8</v>
      </c>
      <c r="H34" s="76">
        <f>Settembre25!$H$6</f>
        <v>8</v>
      </c>
      <c r="I34" s="76">
        <f>Settembre25!$H$7</f>
        <v>8</v>
      </c>
      <c r="J34" s="75" t="str">
        <f>Settembre25!$H$8</f>
        <v/>
      </c>
      <c r="K34" s="75">
        <f>Settembre25!$H$9</f>
        <v>8</v>
      </c>
      <c r="L34" s="75">
        <f>Settembre25!$H$10</f>
        <v>8</v>
      </c>
      <c r="M34" s="75">
        <f>Settembre25!$H$11</f>
        <v>8</v>
      </c>
      <c r="N34" s="75">
        <f>Settembre25!$H$12</f>
        <v>8</v>
      </c>
      <c r="O34" s="76">
        <f>Settembre25!$H$13</f>
        <v>8</v>
      </c>
      <c r="P34" s="75">
        <f>Settembre25!$H$14</f>
        <v>8</v>
      </c>
      <c r="Q34" s="75" t="str">
        <f>Settembre25!$H$15</f>
        <v/>
      </c>
      <c r="R34" s="75">
        <f>Settembre25!$H$16</f>
        <v>8</v>
      </c>
      <c r="S34" s="75">
        <f>Settembre25!$H$17</f>
        <v>8</v>
      </c>
      <c r="T34" s="75">
        <f>Settembre25!$H$18</f>
        <v>8</v>
      </c>
      <c r="U34" s="75">
        <f>Settembre25!$H$19</f>
        <v>8</v>
      </c>
      <c r="V34" s="76">
        <f>Settembre25!$H$20</f>
        <v>8</v>
      </c>
      <c r="W34" s="76" t="str">
        <f>Settembre25!$H$21</f>
        <v/>
      </c>
      <c r="X34" s="75" t="str">
        <f>Settembre25!$H$22</f>
        <v/>
      </c>
      <c r="Y34" s="75">
        <f>Settembre25!$H$23</f>
        <v>8</v>
      </c>
      <c r="Z34" s="75">
        <f>Settembre25!$H$24</f>
        <v>8</v>
      </c>
      <c r="AA34" s="75">
        <f>Settembre25!$H$25</f>
        <v>8</v>
      </c>
      <c r="AB34" s="75">
        <f>Settembre25!$H$26</f>
        <v>8</v>
      </c>
      <c r="AC34" s="76">
        <f>Settembre25!$H$27</f>
        <v>8</v>
      </c>
      <c r="AD34" s="76">
        <f>Settembre25!$H$28</f>
        <v>8</v>
      </c>
      <c r="AE34" s="75" t="str">
        <f>Settembre25!$H$29</f>
        <v/>
      </c>
      <c r="AF34" s="75">
        <f>Settembre25!$H$30</f>
        <v>8</v>
      </c>
      <c r="AG34" s="75">
        <f>Settembre25!$H$31</f>
        <v>8</v>
      </c>
      <c r="AH34" s="77" t="str">
        <f>Settembre25!$H$32</f>
        <v/>
      </c>
      <c r="AI34" s="78"/>
      <c r="AJ34" s="79">
        <f>SUM(D34:AH34)</f>
        <v>200</v>
      </c>
      <c r="AK34" s="80"/>
      <c r="AL34" s="78"/>
      <c r="AM34" s="81"/>
      <c r="AN34" s="81"/>
      <c r="AO34" s="81"/>
      <c r="AP34" s="81"/>
      <c r="AQ34" s="81"/>
      <c r="AR34" s="81"/>
      <c r="AS34" s="82"/>
      <c r="AT34" s="117"/>
      <c r="AU34" s="65"/>
      <c r="AV34" s="66"/>
      <c r="AW34" s="83">
        <f>Ottobre25!$H$2</f>
        <v>8</v>
      </c>
      <c r="AX34" s="84">
        <f>Ottobre25!$H$3</f>
        <v>8</v>
      </c>
      <c r="AY34" s="84" t="str">
        <f>Ottobre25!$H$4</f>
        <v>Pe</v>
      </c>
      <c r="AZ34" s="84">
        <f>Ottobre25!$H$5</f>
        <v>8</v>
      </c>
      <c r="BA34" s="85" t="str">
        <f>Ottobre25!$H$6</f>
        <v/>
      </c>
      <c r="BB34" s="85">
        <f>Ottobre25!$H$7</f>
        <v>8</v>
      </c>
      <c r="BC34" s="84">
        <f>Ottobre25!$H$8</f>
        <v>8</v>
      </c>
      <c r="BD34" s="84">
        <f>Ottobre25!$H$9</f>
        <v>8</v>
      </c>
      <c r="BE34" s="84">
        <f>Ottobre25!$H$10</f>
        <v>8</v>
      </c>
      <c r="BF34" s="84">
        <f>Ottobre25!$H$11</f>
        <v>8</v>
      </c>
      <c r="BG34" s="84">
        <f>Ottobre25!$H$12</f>
        <v>7</v>
      </c>
      <c r="BH34" s="85" t="str">
        <f>Ottobre25!$H$13</f>
        <v/>
      </c>
      <c r="BI34" s="85">
        <f>Ottobre25!$H$14</f>
        <v>8</v>
      </c>
      <c r="BJ34" s="84" t="str">
        <f>Ottobre25!$H$15</f>
        <v>Pe</v>
      </c>
      <c r="BK34" s="84">
        <f>Ottobre25!$H$16</f>
        <v>8</v>
      </c>
      <c r="BL34" s="84">
        <f>Ottobre25!$H$17</f>
        <v>5.5</v>
      </c>
      <c r="BM34" s="84" t="str">
        <f>Ottobre25!$H$18</f>
        <v>No</v>
      </c>
      <c r="BN34" s="84" t="str">
        <f>Ottobre25!$H$19</f>
        <v>No</v>
      </c>
      <c r="BO34" s="85" t="str">
        <f>Ottobre25!$H$20</f>
        <v/>
      </c>
      <c r="BP34" s="84">
        <f>Ottobre25!$H$21</f>
        <v>8</v>
      </c>
      <c r="BQ34" s="84">
        <f>Ottobre25!$H$22</f>
        <v>8</v>
      </c>
      <c r="BR34" s="84">
        <f>Ottobre25!$H$23</f>
        <v>8</v>
      </c>
      <c r="BS34" s="84">
        <f>Ottobre25!$H$24</f>
        <v>8</v>
      </c>
      <c r="BT34" s="84">
        <f>Ottobre25!$H$25</f>
        <v>8</v>
      </c>
      <c r="BU34" s="84" t="str">
        <f>Ottobre25!$H$26</f>
        <v>No</v>
      </c>
      <c r="BV34" s="85">
        <f>Ottobre25!$H$27</f>
        <v>8.5</v>
      </c>
      <c r="BW34" s="85">
        <f>Ottobre25!$H$28</f>
        <v>8</v>
      </c>
      <c r="BX34" s="84">
        <f>Ottobre25!$H$29</f>
        <v>8</v>
      </c>
      <c r="BY34" s="84">
        <f>Ottobre25!$H$30</f>
        <v>8</v>
      </c>
      <c r="BZ34" s="84">
        <f>Ottobre25!$H$31</f>
        <v>8</v>
      </c>
      <c r="CA34" s="86">
        <f>Ottobre25!$H$32</f>
        <v>8</v>
      </c>
      <c r="CB34" s="78"/>
      <c r="CC34" s="79">
        <f>SUM(AW34:CA34)</f>
        <v>181</v>
      </c>
      <c r="CD34" s="80"/>
      <c r="CE34" s="78"/>
      <c r="CF34" s="81"/>
      <c r="CG34" s="81"/>
      <c r="CH34" s="81"/>
      <c r="CI34" s="81"/>
      <c r="CJ34" s="81"/>
      <c r="CK34" s="81"/>
      <c r="CL34" s="82"/>
      <c r="CM34" s="117"/>
      <c r="CN34" s="65"/>
      <c r="CO34" s="66"/>
      <c r="CP34" s="83" t="str">
        <f>Novembre25!$H$2</f>
        <v/>
      </c>
      <c r="CQ34" s="84" t="str">
        <f>Novembre25!$H$3</f>
        <v/>
      </c>
      <c r="CR34" s="84">
        <f>Novembre25!$H$4</f>
        <v>8</v>
      </c>
      <c r="CS34" s="84">
        <f>Novembre25!$H$5</f>
        <v>8</v>
      </c>
      <c r="CT34" s="85">
        <f>Novembre25!$H$6</f>
        <v>8</v>
      </c>
      <c r="CU34" s="85">
        <f>Novembre25!$H$7</f>
        <v>7</v>
      </c>
      <c r="CV34" s="84" t="str">
        <f>Novembre25!$H$8</f>
        <v>Pe</v>
      </c>
      <c r="CW34" s="84">
        <f>Novembre25!$H$9</f>
        <v>9</v>
      </c>
      <c r="CX34" s="84" t="str">
        <f>Novembre25!$H$10</f>
        <v/>
      </c>
      <c r="CY34" s="84">
        <f>Novembre25!$H$11</f>
        <v>8</v>
      </c>
      <c r="CZ34" s="84">
        <f>Novembre25!$H$12</f>
        <v>8</v>
      </c>
      <c r="DA34" s="85">
        <f>Novembre25!$H$13</f>
        <v>8</v>
      </c>
      <c r="DB34" s="85">
        <f>Novembre25!$H$14</f>
        <v>8</v>
      </c>
      <c r="DC34" s="84">
        <f>Novembre25!$H$15</f>
        <v>8</v>
      </c>
      <c r="DD34" s="84">
        <f>Novembre25!$H$16</f>
        <v>8</v>
      </c>
      <c r="DE34" s="84" t="str">
        <f>Novembre25!$H$17</f>
        <v/>
      </c>
      <c r="DF34" s="84">
        <f>Novembre25!$H$18</f>
        <v>8</v>
      </c>
      <c r="DG34" s="84">
        <f>Novembre25!$H$19</f>
        <v>8</v>
      </c>
      <c r="DH34" s="85">
        <f>Novembre25!$H$20</f>
        <v>8</v>
      </c>
      <c r="DI34" s="84">
        <f>Novembre25!$H$21</f>
        <v>8</v>
      </c>
      <c r="DJ34" s="84">
        <f>Novembre25!$H$22</f>
        <v>8</v>
      </c>
      <c r="DK34" s="84">
        <f>Novembre25!$H$23</f>
        <v>7</v>
      </c>
      <c r="DL34" s="84" t="str">
        <f>Novembre25!$H$24</f>
        <v/>
      </c>
      <c r="DM34" s="84">
        <f>Novembre25!$H$25</f>
        <v>8</v>
      </c>
      <c r="DN34" s="84">
        <f>Novembre25!$H$26</f>
        <v>8</v>
      </c>
      <c r="DO34" s="85">
        <f>Novembre25!$H$27</f>
        <v>8</v>
      </c>
      <c r="DP34" s="85">
        <f>Novembre25!$H$28</f>
        <v>8</v>
      </c>
      <c r="DQ34" s="84">
        <f>Novembre25!$H$29</f>
        <v>8</v>
      </c>
      <c r="DR34" s="84">
        <f>Novembre25!$H$30</f>
        <v>8</v>
      </c>
      <c r="DS34" s="84" t="str">
        <f>Novembre25!$H$31</f>
        <v/>
      </c>
      <c r="DT34" s="86" t="str">
        <f>Novembre25!$H$32</f>
        <v/>
      </c>
      <c r="DU34" s="78"/>
      <c r="DV34" s="79">
        <f>SUM(CP34:DT34)</f>
        <v>183</v>
      </c>
      <c r="DW34" s="80"/>
      <c r="DX34" s="78"/>
      <c r="DY34" s="81"/>
      <c r="DZ34" s="81"/>
      <c r="EA34" s="81"/>
      <c r="EB34" s="81"/>
      <c r="EC34" s="81"/>
      <c r="ED34" s="81"/>
      <c r="EE34" s="80"/>
      <c r="EF34" s="117"/>
      <c r="EG34" s="65"/>
      <c r="EH34" s="66"/>
      <c r="EI34" s="83">
        <f>Dicembre25!$H$2</f>
        <v>8</v>
      </c>
      <c r="EJ34" s="84">
        <f>Dicembre25!$H$3</f>
        <v>8</v>
      </c>
      <c r="EK34" s="84">
        <f>Dicembre25!$H$4</f>
        <v>8</v>
      </c>
      <c r="EL34" s="84">
        <f>Dicembre25!$H$5</f>
        <v>8</v>
      </c>
      <c r="EM34" s="85">
        <f>Dicembre25!$H$6</f>
        <v>8</v>
      </c>
      <c r="EN34" s="85" t="str">
        <f>Dicembre25!$H$7</f>
        <v>Pe</v>
      </c>
      <c r="EO34" s="84" t="str">
        <f>Dicembre25!$H$8</f>
        <v/>
      </c>
      <c r="EP34" s="84" t="str">
        <f>Dicembre25!$H$9</f>
        <v>F</v>
      </c>
      <c r="EQ34" s="84">
        <f>Dicembre25!$H$10</f>
        <v>8</v>
      </c>
      <c r="ER34" s="84">
        <f>Dicembre25!$H$11</f>
        <v>8</v>
      </c>
      <c r="ES34" s="84">
        <f>Dicembre25!$H$12</f>
        <v>8</v>
      </c>
      <c r="ET34" s="85">
        <f>Dicembre25!$H$13</f>
        <v>8</v>
      </c>
      <c r="EU34" s="85">
        <f>Dicembre25!$H$14</f>
        <v>8</v>
      </c>
      <c r="EV34" s="84" t="str">
        <f>Dicembre25!$H$15</f>
        <v/>
      </c>
      <c r="EW34" s="84">
        <f>Dicembre25!$H$16</f>
        <v>6</v>
      </c>
      <c r="EX34" s="84">
        <f>Dicembre25!$H$17</f>
        <v>8</v>
      </c>
      <c r="EY34" s="84">
        <f>Dicembre25!$H$18</f>
        <v>8</v>
      </c>
      <c r="EZ34" s="84">
        <f>Dicembre25!$H$19</f>
        <v>7.5</v>
      </c>
      <c r="FA34" s="85">
        <f>Dicembre25!$H$20</f>
        <v>8</v>
      </c>
      <c r="FB34" s="84">
        <f>Dicembre25!$H$21</f>
        <v>4</v>
      </c>
      <c r="FC34" s="84" t="str">
        <f>Dicembre25!$H$22</f>
        <v/>
      </c>
      <c r="FD34" s="84">
        <f>Dicembre25!$H$23</f>
        <v>8</v>
      </c>
      <c r="FE34" s="84">
        <f>Dicembre25!$H$24</f>
        <v>8</v>
      </c>
      <c r="FF34" s="84" t="str">
        <f>Dicembre25!$H$25</f>
        <v>Fe</v>
      </c>
      <c r="FG34" s="84" t="str">
        <f>Dicembre25!$H$26</f>
        <v>F</v>
      </c>
      <c r="FH34" s="85" t="str">
        <f>Dicembre25!$H$27</f>
        <v>F</v>
      </c>
      <c r="FI34" s="85" t="str">
        <f>Dicembre25!$H$28</f>
        <v/>
      </c>
      <c r="FJ34" s="84" t="str">
        <f>Dicembre25!$H$29</f>
        <v/>
      </c>
      <c r="FK34" s="84">
        <f>Dicembre25!$H$30</f>
        <v>8</v>
      </c>
      <c r="FL34" s="84">
        <f>Dicembre25!$H$31</f>
        <v>8</v>
      </c>
      <c r="FM34" s="86" t="str">
        <f>Dicembre25!$H$32</f>
        <v/>
      </c>
      <c r="FN34" s="78"/>
      <c r="FO34" s="79">
        <f>SUM(EI34:FM34)</f>
        <v>153.5</v>
      </c>
      <c r="FP34" s="80"/>
      <c r="FQ34" s="78"/>
      <c r="FR34" s="81"/>
      <c r="FS34" s="81"/>
      <c r="FT34" s="81"/>
      <c r="FU34" s="81"/>
      <c r="FV34" s="81"/>
      <c r="FW34" s="81"/>
      <c r="FX34" s="80"/>
      <c r="FY34" s="117"/>
      <c r="FZ34" s="65"/>
      <c r="GA34" s="66"/>
      <c r="GB34" s="83" t="str">
        <f>Gennaio26!$H$2</f>
        <v>F</v>
      </c>
      <c r="GC34" s="84" t="str">
        <f>Gennaio26!$H$3</f>
        <v>FE</v>
      </c>
      <c r="GD34" s="84" t="str">
        <f>Gennaio26!$H$4</f>
        <v/>
      </c>
      <c r="GE34" s="84" t="str">
        <f>Gennaio26!$H$5</f>
        <v/>
      </c>
      <c r="GF34" s="85" t="str">
        <f>Gennaio26!$H$6</f>
        <v>FE</v>
      </c>
      <c r="GG34" s="85" t="str">
        <f>Gennaio26!$H$7</f>
        <v>F</v>
      </c>
      <c r="GH34" s="84">
        <f>Gennaio26!$H$8</f>
        <v>8</v>
      </c>
      <c r="GI34" s="84">
        <f>Gennaio26!$H$9</f>
        <v>8</v>
      </c>
      <c r="GJ34" s="84">
        <f>Gennaio26!$H$10</f>
        <v>8</v>
      </c>
      <c r="GK34" s="84">
        <f>Gennaio26!$H$11</f>
        <v>8</v>
      </c>
      <c r="GL34" s="84" t="str">
        <f>Gennaio26!$H$12</f>
        <v/>
      </c>
      <c r="GM34" s="85">
        <f>Gennaio26!$H$13</f>
        <v>8</v>
      </c>
      <c r="GN34" s="85">
        <f>Gennaio26!$H$14</f>
        <v>8</v>
      </c>
      <c r="GO34" s="84">
        <f>Gennaio26!$H$15</f>
        <v>8</v>
      </c>
      <c r="GP34" s="84">
        <f>Gennaio26!$H$16</f>
        <v>8</v>
      </c>
      <c r="GQ34" s="84">
        <f>Gennaio26!$H$17</f>
        <v>8</v>
      </c>
      <c r="GR34" s="84" t="str">
        <f>Gennaio26!$H$18</f>
        <v/>
      </c>
      <c r="GS34" s="84" t="str">
        <f>Gennaio26!$H$19</f>
        <v/>
      </c>
      <c r="GT34" s="85">
        <f>Gennaio26!$H$20</f>
        <v>8</v>
      </c>
      <c r="GU34" s="84">
        <f>Gennaio26!$H$21</f>
        <v>8</v>
      </c>
      <c r="GV34" s="84">
        <f>Gennaio26!$H$22</f>
        <v>7</v>
      </c>
      <c r="GW34" s="84">
        <f>Gennaio26!$H$23</f>
        <v>8</v>
      </c>
      <c r="GX34" s="84">
        <f>Gennaio26!$H$24</f>
        <v>8</v>
      </c>
      <c r="GY34" s="84">
        <f>Gennaio26!$H$25</f>
        <v>8</v>
      </c>
      <c r="GZ34" s="84">
        <f>Gennaio26!$H$26</f>
        <v>4.5</v>
      </c>
      <c r="HA34" s="85" t="str">
        <f>Gennaio26!$H$27</f>
        <v>Pe</v>
      </c>
      <c r="HB34" s="85">
        <f>Gennaio26!$H$28</f>
        <v>8</v>
      </c>
      <c r="HC34" s="84">
        <f>Gennaio26!$H$29</f>
        <v>7.5</v>
      </c>
      <c r="HD34" s="84" t="str">
        <f>Gennaio26!$H$30</f>
        <v>Pe</v>
      </c>
      <c r="HE34" s="84">
        <f>Gennaio26!$H$31</f>
        <v>8</v>
      </c>
      <c r="HF34" s="86">
        <f>Gennaio26!$H$32</f>
        <v>8</v>
      </c>
      <c r="HG34" s="78"/>
      <c r="HH34" s="79">
        <f>SUM(GB34:HF34)</f>
        <v>155</v>
      </c>
      <c r="HI34" s="80"/>
      <c r="HJ34" s="78"/>
      <c r="HK34" s="81"/>
      <c r="HL34" s="81"/>
      <c r="HM34" s="81"/>
      <c r="HN34" s="81"/>
      <c r="HO34" s="81"/>
      <c r="HP34" s="81"/>
      <c r="HQ34" s="80"/>
      <c r="HR34" s="117"/>
      <c r="HS34" s="65"/>
      <c r="HT34" s="66"/>
      <c r="HU34" s="83" t="str">
        <f>Febbraio26!$H$2</f>
        <v/>
      </c>
      <c r="HV34" s="84">
        <f>Febbraio26!$H$3</f>
        <v>6</v>
      </c>
      <c r="HW34" s="84">
        <f>Febbraio26!$H$4</f>
        <v>6</v>
      </c>
      <c r="HX34" s="84">
        <f>Febbraio26!$H$5</f>
        <v>6</v>
      </c>
      <c r="HY34" s="85">
        <f>Febbraio26!$H$6</f>
        <v>0</v>
      </c>
      <c r="HZ34" s="85">
        <f>Febbraio26!$H$7</f>
        <v>5.5</v>
      </c>
      <c r="IA34" s="84" t="str">
        <f>Febbraio26!$H$8</f>
        <v/>
      </c>
      <c r="IB34" s="84" t="str">
        <f>Febbraio26!$H$9</f>
        <v/>
      </c>
      <c r="IC34" s="84">
        <f>Febbraio26!$H$10</f>
        <v>6</v>
      </c>
      <c r="ID34" s="84">
        <f>Febbraio26!$H$11</f>
        <v>6</v>
      </c>
      <c r="IE34" s="84">
        <f>Febbraio26!$H$12</f>
        <v>6</v>
      </c>
      <c r="IF34" s="85">
        <f>Febbraio26!$H$13</f>
        <v>6</v>
      </c>
      <c r="IG34" s="85">
        <f>Febbraio26!$H$14</f>
        <v>0</v>
      </c>
      <c r="IH34" s="84" t="str">
        <f>Febbraio26!$H$15</f>
        <v/>
      </c>
      <c r="II34" s="84" t="str">
        <f>Febbraio26!$H$16</f>
        <v/>
      </c>
      <c r="IJ34" s="84">
        <f>Febbraio26!$H$17</f>
        <v>6</v>
      </c>
      <c r="IK34" s="84">
        <f>Febbraio26!$H$18</f>
        <v>6</v>
      </c>
      <c r="IL34" s="84">
        <f>Febbraio26!$H$19</f>
        <v>6</v>
      </c>
      <c r="IM34" s="85">
        <f>Febbraio26!$H$20</f>
        <v>0</v>
      </c>
      <c r="IN34" s="84">
        <f>Febbraio26!$H$21</f>
        <v>5.5</v>
      </c>
      <c r="IO34" s="84" t="str">
        <f>Febbraio26!$H$22</f>
        <v/>
      </c>
      <c r="IP34" s="84">
        <f>Febbraio26!$H$23</f>
        <v>8.5</v>
      </c>
      <c r="IQ34" s="84" t="str">
        <f>Febbraio26!$H$24</f>
        <v/>
      </c>
      <c r="IR34" s="84">
        <f>Febbraio26!$H$25</f>
        <v>6</v>
      </c>
      <c r="IS34" s="84">
        <f>Febbraio26!$H$26</f>
        <v>6</v>
      </c>
      <c r="IT34" s="85">
        <f>Febbraio26!$H$27</f>
        <v>6</v>
      </c>
      <c r="IU34" s="85" t="str">
        <f>Febbraio26!$H$28</f>
        <v/>
      </c>
      <c r="IV34" s="84" t="str">
        <f>Febbraio26!$H$29</f>
        <v/>
      </c>
      <c r="IW34" s="84" t="str">
        <f>Febbraio26!$H$30</f>
        <v/>
      </c>
      <c r="IX34" s="84" t="str">
        <f>Febbraio26!$H$31</f>
        <v/>
      </c>
      <c r="IY34" s="86" t="str">
        <f>Febbraio26!$H$32</f>
        <v/>
      </c>
      <c r="IZ34" s="78"/>
      <c r="JA34" s="79">
        <f>SUM(HU34:IY34)</f>
        <v>97.5</v>
      </c>
      <c r="JB34" s="80"/>
      <c r="JC34" s="78"/>
      <c r="JD34" s="81"/>
      <c r="JE34" s="81"/>
      <c r="JF34" s="81"/>
      <c r="JG34" s="81"/>
      <c r="JH34" s="81"/>
      <c r="JI34" s="81"/>
      <c r="JJ34" s="80"/>
      <c r="JK34" s="117"/>
      <c r="JL34" s="65"/>
      <c r="JM34" s="66"/>
      <c r="JN34" s="83" t="str">
        <f>Marzo26!$H$2</f>
        <v/>
      </c>
      <c r="JO34" s="84" t="str">
        <f>Marzo26!$H$3</f>
        <v/>
      </c>
      <c r="JP34" s="84" t="str">
        <f>Marzo26!$H$4</f>
        <v/>
      </c>
      <c r="JQ34" s="84" t="str">
        <f>Marzo26!$H$5</f>
        <v/>
      </c>
      <c r="JR34" s="85" t="str">
        <f>Marzo26!$H$6</f>
        <v/>
      </c>
      <c r="JS34" s="85" t="str">
        <f>Marzo26!$H$7</f>
        <v/>
      </c>
      <c r="JT34" s="84" t="str">
        <f>Marzo26!$H$8</f>
        <v/>
      </c>
      <c r="JU34" s="84" t="str">
        <f>Marzo26!$H$9</f>
        <v/>
      </c>
      <c r="JV34" s="84" t="str">
        <f>Marzo26!$H$10</f>
        <v/>
      </c>
      <c r="JW34" s="84" t="str">
        <f>Marzo26!$H$11</f>
        <v/>
      </c>
      <c r="JX34" s="84" t="str">
        <f>Marzo26!$H$12</f>
        <v/>
      </c>
      <c r="JY34" s="85" t="str">
        <f>Marzo26!$H$13</f>
        <v/>
      </c>
      <c r="JZ34" s="85" t="str">
        <f>Marzo26!$H$14</f>
        <v/>
      </c>
      <c r="KA34" s="84" t="str">
        <f>Marzo26!$H$15</f>
        <v/>
      </c>
      <c r="KB34" s="84" t="str">
        <f>Marzo26!$H$16</f>
        <v/>
      </c>
      <c r="KC34" s="84" t="str">
        <f>Marzo26!$H$17</f>
        <v/>
      </c>
      <c r="KD34" s="84" t="str">
        <f>Marzo26!$H$18</f>
        <v/>
      </c>
      <c r="KE34" s="84" t="str">
        <f>Marzo26!$H$19</f>
        <v/>
      </c>
      <c r="KF34" s="85" t="str">
        <f>Marzo26!$H$20</f>
        <v/>
      </c>
      <c r="KG34" s="84" t="str">
        <f>Marzo26!$H$21</f>
        <v/>
      </c>
      <c r="KH34" s="84" t="str">
        <f>Marzo26!$H$22</f>
        <v/>
      </c>
      <c r="KI34" s="84" t="str">
        <f>Marzo26!$H$23</f>
        <v/>
      </c>
      <c r="KJ34" s="84" t="str">
        <f>Marzo26!$H$24</f>
        <v/>
      </c>
      <c r="KK34" s="84" t="str">
        <f>Marzo26!$H$25</f>
        <v/>
      </c>
      <c r="KL34" s="84" t="str">
        <f>Marzo26!$H$26</f>
        <v/>
      </c>
      <c r="KM34" s="85" t="str">
        <f>Marzo26!$H$27</f>
        <v/>
      </c>
      <c r="KN34" s="85" t="str">
        <f>Marzo26!$H$28</f>
        <v/>
      </c>
      <c r="KO34" s="84" t="str">
        <f>Marzo26!$H$29</f>
        <v/>
      </c>
      <c r="KP34" s="84" t="str">
        <f>Marzo26!$H$30</f>
        <v/>
      </c>
      <c r="KQ34" s="84" t="str">
        <f>Marzo26!$H$31</f>
        <v/>
      </c>
      <c r="KR34" s="86" t="str">
        <f>Marzo26!$H$32</f>
        <v/>
      </c>
      <c r="KS34" s="78"/>
      <c r="KT34" s="79">
        <f>SUM(JN34:KR34)</f>
        <v>0</v>
      </c>
      <c r="KU34" s="80"/>
      <c r="KV34" s="78"/>
      <c r="KW34" s="81"/>
      <c r="KX34" s="81"/>
      <c r="KY34" s="81"/>
      <c r="KZ34" s="81"/>
      <c r="LA34" s="81"/>
      <c r="LB34" s="81"/>
      <c r="LC34" s="80"/>
      <c r="LD34" s="117"/>
      <c r="LE34" s="65"/>
      <c r="LF34" s="66"/>
      <c r="LG34" s="83" t="str">
        <f>Aprile26!$H$2</f>
        <v/>
      </c>
      <c r="LH34" s="84" t="str">
        <f>Aprile26!$H$3</f>
        <v/>
      </c>
      <c r="LI34" s="84" t="str">
        <f>Aprile26!$H$4</f>
        <v/>
      </c>
      <c r="LJ34" s="84" t="str">
        <f>Aprile26!$H$5</f>
        <v/>
      </c>
      <c r="LK34" s="85" t="str">
        <f>Aprile26!$H$6</f>
        <v/>
      </c>
      <c r="LL34" s="85" t="str">
        <f>Aprile26!$H$7</f>
        <v/>
      </c>
      <c r="LM34" s="84" t="str">
        <f>Aprile26!$H$8</f>
        <v/>
      </c>
      <c r="LN34" s="84" t="str">
        <f>Aprile26!$H$9</f>
        <v/>
      </c>
      <c r="LO34" s="84" t="str">
        <f>Aprile26!$H$10</f>
        <v/>
      </c>
      <c r="LP34" s="84" t="str">
        <f>Aprile26!$H$11</f>
        <v/>
      </c>
      <c r="LQ34" s="84" t="str">
        <f>Aprile26!$H$12</f>
        <v/>
      </c>
      <c r="LR34" s="85" t="str">
        <f>Aprile26!$H$13</f>
        <v/>
      </c>
      <c r="LS34" s="85" t="str">
        <f>Aprile26!$H$14</f>
        <v/>
      </c>
      <c r="LT34" s="84" t="str">
        <f>Aprile26!$H$15</f>
        <v/>
      </c>
      <c r="LU34" s="84" t="str">
        <f>Aprile26!$H$16</f>
        <v/>
      </c>
      <c r="LV34" s="84" t="str">
        <f>Aprile26!$H$17</f>
        <v/>
      </c>
      <c r="LW34" s="84" t="str">
        <f>Aprile26!$H$18</f>
        <v/>
      </c>
      <c r="LX34" s="84" t="str">
        <f>Aprile26!$H$19</f>
        <v/>
      </c>
      <c r="LY34" s="85" t="str">
        <f>Aprile26!$H$20</f>
        <v/>
      </c>
      <c r="LZ34" s="84" t="str">
        <f>Aprile26!$H$21</f>
        <v/>
      </c>
      <c r="MA34" s="84" t="str">
        <f>Aprile26!$H$22</f>
        <v/>
      </c>
      <c r="MB34" s="84" t="str">
        <f>Aprile26!$H$23</f>
        <v/>
      </c>
      <c r="MC34" s="84" t="str">
        <f>Aprile26!$H$24</f>
        <v/>
      </c>
      <c r="MD34" s="84" t="str">
        <f>Aprile26!$H$25</f>
        <v/>
      </c>
      <c r="ME34" s="84" t="str">
        <f>Aprile26!$H$26</f>
        <v/>
      </c>
      <c r="MF34" s="85" t="str">
        <f>Aprile26!$H$27</f>
        <v/>
      </c>
      <c r="MG34" s="85" t="str">
        <f>Aprile26!$H$28</f>
        <v/>
      </c>
      <c r="MH34" s="84" t="str">
        <f>Aprile26!$H$29</f>
        <v/>
      </c>
      <c r="MI34" s="84" t="str">
        <f>Aprile26!$H$30</f>
        <v/>
      </c>
      <c r="MJ34" s="84" t="str">
        <f>Aprile26!$H$31</f>
        <v/>
      </c>
      <c r="MK34" s="86" t="str">
        <f>Aprile26!$H$32</f>
        <v/>
      </c>
      <c r="ML34" s="78"/>
      <c r="MM34" s="79">
        <f>SUM(LG34:MK34)</f>
        <v>0</v>
      </c>
      <c r="MN34" s="80"/>
      <c r="MO34" s="78"/>
      <c r="MP34" s="81"/>
      <c r="MQ34" s="81"/>
      <c r="MR34" s="81"/>
      <c r="MS34" s="81"/>
      <c r="MT34" s="81"/>
      <c r="MU34" s="81"/>
      <c r="MV34" s="82"/>
      <c r="MW34" s="117"/>
      <c r="MX34" s="65"/>
      <c r="MY34" s="66"/>
      <c r="MZ34" s="83" t="str">
        <f>Maggio26!$H$2</f>
        <v/>
      </c>
      <c r="NA34" s="84" t="str">
        <f>Maggio26!$H$3</f>
        <v/>
      </c>
      <c r="NB34" s="84" t="str">
        <f>Maggio26!$H$4</f>
        <v/>
      </c>
      <c r="NC34" s="84" t="str">
        <f>Maggio26!$H$5</f>
        <v/>
      </c>
      <c r="ND34" s="85" t="str">
        <f>Maggio26!$H$6</f>
        <v/>
      </c>
      <c r="NE34" s="85" t="str">
        <f>Maggio26!$H$7</f>
        <v/>
      </c>
      <c r="NF34" s="84" t="str">
        <f>Maggio26!$H$8</f>
        <v/>
      </c>
      <c r="NG34" s="84" t="str">
        <f>Maggio26!$H$9</f>
        <v/>
      </c>
      <c r="NH34" s="84" t="str">
        <f>Maggio26!$H$10</f>
        <v/>
      </c>
      <c r="NI34" s="84" t="str">
        <f>Maggio26!$H$11</f>
        <v/>
      </c>
      <c r="NJ34" s="84" t="str">
        <f>Maggio26!$H$12</f>
        <v/>
      </c>
      <c r="NK34" s="85" t="str">
        <f>Maggio26!$H$13</f>
        <v/>
      </c>
      <c r="NL34" s="85" t="str">
        <f>Maggio26!$H$14</f>
        <v/>
      </c>
      <c r="NM34" s="84" t="str">
        <f>Maggio26!$H$15</f>
        <v/>
      </c>
      <c r="NN34" s="84" t="str">
        <f>Maggio26!$H$16</f>
        <v/>
      </c>
      <c r="NO34" s="84" t="str">
        <f>Maggio26!$H$17</f>
        <v/>
      </c>
      <c r="NP34" s="84" t="str">
        <f>Maggio26!$H$18</f>
        <v/>
      </c>
      <c r="NQ34" s="84" t="str">
        <f>Maggio26!$H$19</f>
        <v/>
      </c>
      <c r="NR34" s="85" t="str">
        <f>Maggio26!$H$20</f>
        <v/>
      </c>
      <c r="NS34" s="84" t="str">
        <f>Maggio26!$H$21</f>
        <v/>
      </c>
      <c r="NT34" s="84" t="str">
        <f>Maggio26!$H$22</f>
        <v/>
      </c>
      <c r="NU34" s="84" t="str">
        <f>Maggio26!$H$23</f>
        <v/>
      </c>
      <c r="NV34" s="84" t="str">
        <f>Maggio26!$H$24</f>
        <v/>
      </c>
      <c r="NW34" s="84" t="str">
        <f>Maggio26!$H$25</f>
        <v/>
      </c>
      <c r="NX34" s="84" t="str">
        <f>Maggio26!$H$26</f>
        <v/>
      </c>
      <c r="NY34" s="85" t="str">
        <f>Maggio26!$H$27</f>
        <v/>
      </c>
      <c r="NZ34" s="85" t="str">
        <f>Maggio26!$H$28</f>
        <v/>
      </c>
      <c r="OA34" s="84" t="str">
        <f>Maggio26!$H$29</f>
        <v/>
      </c>
      <c r="OB34" s="84" t="str">
        <f>Maggio26!$H$30</f>
        <v/>
      </c>
      <c r="OC34" s="84" t="str">
        <f>Maggio26!$H$31</f>
        <v/>
      </c>
      <c r="OD34" s="86" t="str">
        <f>Maggio26!$H$32</f>
        <v/>
      </c>
      <c r="OE34" s="78"/>
      <c r="OF34" s="79">
        <f>SUM(MZ34:OD34)</f>
        <v>0</v>
      </c>
      <c r="OG34" s="80"/>
      <c r="OH34" s="78"/>
      <c r="OI34" s="81"/>
      <c r="OJ34" s="81"/>
      <c r="OK34" s="81"/>
      <c r="OL34" s="81"/>
      <c r="OM34" s="81"/>
      <c r="ON34" s="81"/>
      <c r="OO34" s="82"/>
      <c r="OP34" s="117"/>
      <c r="OQ34" s="65"/>
      <c r="OR34" s="66"/>
      <c r="OS34" s="83" t="str">
        <f>Giugno26!$H$2</f>
        <v/>
      </c>
      <c r="OT34" s="84" t="str">
        <f>Giugno26!$H$3</f>
        <v/>
      </c>
      <c r="OU34" s="84" t="str">
        <f>Giugno26!$H$4</f>
        <v/>
      </c>
      <c r="OV34" s="84" t="str">
        <f>Giugno26!$H$5</f>
        <v/>
      </c>
      <c r="OW34" s="85" t="str">
        <f>Giugno26!$H$6</f>
        <v/>
      </c>
      <c r="OX34" s="85" t="str">
        <f>Giugno26!$H$7</f>
        <v/>
      </c>
      <c r="OY34" s="84" t="str">
        <f>Giugno26!$H$8</f>
        <v/>
      </c>
      <c r="OZ34" s="84" t="str">
        <f>Giugno26!$H$9</f>
        <v/>
      </c>
      <c r="PA34" s="84" t="str">
        <f>Giugno26!$H$10</f>
        <v/>
      </c>
      <c r="PB34" s="84" t="str">
        <f>Giugno26!$H$11</f>
        <v/>
      </c>
      <c r="PC34" s="84" t="str">
        <f>Giugno26!$H$12</f>
        <v/>
      </c>
      <c r="PD34" s="85" t="str">
        <f>Giugno26!$H$13</f>
        <v/>
      </c>
      <c r="PE34" s="85" t="str">
        <f>Giugno26!$H$14</f>
        <v/>
      </c>
      <c r="PF34" s="84" t="str">
        <f>Giugno26!$H$15</f>
        <v/>
      </c>
      <c r="PG34" s="84" t="str">
        <f>Giugno26!$H$16</f>
        <v/>
      </c>
      <c r="PH34" s="84" t="str">
        <f>Giugno26!$H$17</f>
        <v/>
      </c>
      <c r="PI34" s="84" t="str">
        <f>Giugno26!$H$18</f>
        <v/>
      </c>
      <c r="PJ34" s="84" t="str">
        <f>Giugno26!$H$19</f>
        <v/>
      </c>
      <c r="PK34" s="85" t="str">
        <f>Giugno26!$H$20</f>
        <v/>
      </c>
      <c r="PL34" s="84" t="str">
        <f>Giugno26!$H$21</f>
        <v/>
      </c>
      <c r="PM34" s="84" t="str">
        <f>Giugno26!$H$22</f>
        <v/>
      </c>
      <c r="PN34" s="84" t="str">
        <f>Giugno26!$H$23</f>
        <v/>
      </c>
      <c r="PO34" s="84" t="str">
        <f>Giugno26!$H$24</f>
        <v/>
      </c>
      <c r="PP34" s="84" t="str">
        <f>Giugno26!$H$25</f>
        <v/>
      </c>
      <c r="PQ34" s="84" t="str">
        <f>Giugno26!$H$26</f>
        <v/>
      </c>
      <c r="PR34" s="85" t="str">
        <f>Giugno26!$H$27</f>
        <v/>
      </c>
      <c r="PS34" s="85" t="str">
        <f>Giugno26!$H$28</f>
        <v/>
      </c>
      <c r="PT34" s="84" t="str">
        <f>Giugno26!$H$29</f>
        <v/>
      </c>
      <c r="PU34" s="84" t="str">
        <f>Giugno26!$H$30</f>
        <v/>
      </c>
      <c r="PV34" s="84" t="str">
        <f>Giugno26!$H$31</f>
        <v/>
      </c>
      <c r="PW34" s="86" t="str">
        <f>Giugno26!$H$32</f>
        <v/>
      </c>
      <c r="PX34" s="78"/>
      <c r="PY34" s="79">
        <f>SUM(OS34:PW34)</f>
        <v>0</v>
      </c>
      <c r="PZ34" s="80"/>
      <c r="QA34" s="78"/>
      <c r="QB34" s="81"/>
      <c r="QC34" s="81"/>
      <c r="QD34" s="81"/>
      <c r="QE34" s="81"/>
      <c r="QF34" s="81"/>
      <c r="QG34" s="81"/>
      <c r="QH34" s="82"/>
      <c r="QI34" s="117"/>
      <c r="QJ34" s="65"/>
      <c r="QK34" s="66"/>
      <c r="QL34" s="83" t="str">
        <f>Luglio26!$H$2</f>
        <v/>
      </c>
      <c r="QM34" s="84" t="str">
        <f>Luglio26!$H$3</f>
        <v/>
      </c>
      <c r="QN34" s="84" t="str">
        <f>Luglio26!$H$4</f>
        <v/>
      </c>
      <c r="QO34" s="84" t="str">
        <f>Luglio26!$H$5</f>
        <v/>
      </c>
      <c r="QP34" s="85" t="str">
        <f>Luglio26!$H$6</f>
        <v/>
      </c>
      <c r="QQ34" s="85" t="str">
        <f>Luglio26!$H$7</f>
        <v/>
      </c>
      <c r="QR34" s="84" t="str">
        <f>Luglio26!$H$8</f>
        <v/>
      </c>
      <c r="QS34" s="84" t="str">
        <f>Luglio26!$H$9</f>
        <v/>
      </c>
      <c r="QT34" s="84" t="str">
        <f>Luglio26!$H$10</f>
        <v/>
      </c>
      <c r="QU34" s="84" t="str">
        <f>Luglio26!$H$11</f>
        <v/>
      </c>
      <c r="QV34" s="84" t="str">
        <f>Luglio26!$H$12</f>
        <v/>
      </c>
      <c r="QW34" s="85" t="str">
        <f>Luglio26!$H$13</f>
        <v/>
      </c>
      <c r="QX34" s="85" t="str">
        <f>Luglio26!$H$14</f>
        <v/>
      </c>
      <c r="QY34" s="84" t="str">
        <f>Luglio26!$H$15</f>
        <v/>
      </c>
      <c r="QZ34" s="84" t="str">
        <f>Luglio26!$H$16</f>
        <v/>
      </c>
      <c r="RA34" s="84" t="str">
        <f>Luglio26!$H$17</f>
        <v/>
      </c>
      <c r="RB34" s="84" t="str">
        <f>Luglio26!$H$18</f>
        <v/>
      </c>
      <c r="RC34" s="84" t="str">
        <f>Luglio26!$H$19</f>
        <v/>
      </c>
      <c r="RD34" s="85" t="str">
        <f>Luglio26!$H$20</f>
        <v/>
      </c>
      <c r="RE34" s="84" t="str">
        <f>Luglio26!$H$21</f>
        <v/>
      </c>
      <c r="RF34" s="84" t="str">
        <f>Luglio26!$H$22</f>
        <v/>
      </c>
      <c r="RG34" s="84" t="str">
        <f>Luglio26!$H$23</f>
        <v/>
      </c>
      <c r="RH34" s="84" t="str">
        <f>Luglio26!$H$24</f>
        <v/>
      </c>
      <c r="RI34" s="84" t="str">
        <f>Luglio26!$H$25</f>
        <v/>
      </c>
      <c r="RJ34" s="84" t="str">
        <f>Luglio26!$H$26</f>
        <v/>
      </c>
      <c r="RK34" s="85" t="str">
        <f>Luglio26!$H$27</f>
        <v/>
      </c>
      <c r="RL34" s="85" t="str">
        <f>Luglio26!$H$28</f>
        <v/>
      </c>
      <c r="RM34" s="84" t="str">
        <f>Luglio26!$H$29</f>
        <v/>
      </c>
      <c r="RN34" s="84" t="str">
        <f>Luglio26!$H$30</f>
        <v/>
      </c>
      <c r="RO34" s="84" t="str">
        <f>Luglio26!$H$31</f>
        <v/>
      </c>
      <c r="RP34" s="86" t="str">
        <f>Luglio26!$H$32</f>
        <v/>
      </c>
      <c r="RQ34" s="78"/>
      <c r="RR34" s="79">
        <f>SUM(QL34:RP34)</f>
        <v>0</v>
      </c>
      <c r="RS34" s="80"/>
      <c r="RT34" s="78"/>
      <c r="RU34" s="81"/>
      <c r="RV34" s="81"/>
      <c r="RW34" s="81"/>
      <c r="RX34" s="81"/>
      <c r="RY34" s="81"/>
      <c r="RZ34" s="81"/>
      <c r="SA34" s="82"/>
      <c r="SB34" s="117"/>
      <c r="SC34" s="65"/>
      <c r="SD34" s="66"/>
      <c r="SE34" s="83" t="str">
        <f>Agosto26!$H$2</f>
        <v/>
      </c>
      <c r="SF34" s="84" t="str">
        <f>Agosto26!$H$3</f>
        <v/>
      </c>
      <c r="SG34" s="84" t="str">
        <f>Agosto26!$H$4</f>
        <v/>
      </c>
      <c r="SH34" s="84" t="str">
        <f>Agosto26!$H$5</f>
        <v/>
      </c>
      <c r="SI34" s="85" t="str">
        <f>Agosto26!$H$6</f>
        <v/>
      </c>
      <c r="SJ34" s="85" t="str">
        <f>Agosto26!$H$7</f>
        <v/>
      </c>
      <c r="SK34" s="84" t="str">
        <f>Agosto26!$H$8</f>
        <v/>
      </c>
      <c r="SL34" s="84" t="str">
        <f>Agosto26!$H$9</f>
        <v/>
      </c>
      <c r="SM34" s="84" t="str">
        <f>Agosto26!$H$10</f>
        <v/>
      </c>
      <c r="SN34" s="84" t="str">
        <f>Agosto26!$H$11</f>
        <v/>
      </c>
      <c r="SO34" s="84" t="str">
        <f>Agosto26!$H$12</f>
        <v/>
      </c>
      <c r="SP34" s="85" t="str">
        <f>Agosto26!$H$13</f>
        <v/>
      </c>
      <c r="SQ34" s="85" t="str">
        <f>Agosto26!$H$14</f>
        <v/>
      </c>
      <c r="SR34" s="84" t="str">
        <f>Agosto26!$H$15</f>
        <v/>
      </c>
      <c r="SS34" s="84" t="str">
        <f>Agosto26!$H$16</f>
        <v/>
      </c>
      <c r="ST34" s="84" t="str">
        <f>Agosto26!$H$17</f>
        <v/>
      </c>
      <c r="SU34" s="84" t="str">
        <f>Agosto26!$H$18</f>
        <v/>
      </c>
      <c r="SV34" s="84" t="str">
        <f>Agosto26!$H$19</f>
        <v/>
      </c>
      <c r="SW34" s="85" t="str">
        <f>Agosto26!$H$20</f>
        <v/>
      </c>
      <c r="SX34" s="84" t="str">
        <f>Agosto26!$H$21</f>
        <v/>
      </c>
      <c r="SY34" s="84" t="str">
        <f>Agosto26!$H$22</f>
        <v/>
      </c>
      <c r="SZ34" s="84" t="str">
        <f>Agosto26!$H$23</f>
        <v/>
      </c>
      <c r="TA34" s="84" t="str">
        <f>Agosto26!$H$24</f>
        <v/>
      </c>
      <c r="TB34" s="84" t="str">
        <f>Agosto26!$H$25</f>
        <v/>
      </c>
      <c r="TC34" s="84" t="str">
        <f>Agosto26!$H$26</f>
        <v/>
      </c>
      <c r="TD34" s="85" t="str">
        <f>Agosto26!$H$27</f>
        <v/>
      </c>
      <c r="TE34" s="85" t="str">
        <f>Agosto26!$H$28</f>
        <v/>
      </c>
      <c r="TF34" s="84" t="str">
        <f>Agosto26!$H$29</f>
        <v/>
      </c>
      <c r="TG34" s="84" t="str">
        <f>Agosto26!$H$30</f>
        <v/>
      </c>
      <c r="TH34" s="84" t="str">
        <f>Agosto26!$H$31</f>
        <v/>
      </c>
      <c r="TI34" s="86" t="str">
        <f>Agosto26!$H$32</f>
        <v/>
      </c>
      <c r="TJ34" s="78"/>
      <c r="TK34" s="79">
        <f>SUM(SE34:TI34)</f>
        <v>0</v>
      </c>
      <c r="TL34" s="80"/>
      <c r="TM34" s="78"/>
      <c r="TN34" s="81"/>
      <c r="TO34" s="81"/>
      <c r="TP34" s="81"/>
      <c r="TQ34" s="81"/>
      <c r="TR34" s="81"/>
      <c r="TS34" s="81"/>
      <c r="TT34" s="80"/>
    </row>
    <row r="35" ht="24.75" hidden="1" customHeight="1" outlineLevel="1">
      <c r="A35" s="91" t="s">
        <v>39</v>
      </c>
      <c r="B35" s="65"/>
      <c r="C35" s="66"/>
      <c r="D35" s="92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118"/>
      <c r="AI35" s="78"/>
      <c r="AJ35" s="81"/>
      <c r="AK35" s="94">
        <f>SUM(D35:AG35)</f>
        <v>0</v>
      </c>
      <c r="AL35" s="78"/>
      <c r="AM35" s="81"/>
      <c r="AN35" s="81"/>
      <c r="AO35" s="81"/>
      <c r="AP35" s="81"/>
      <c r="AQ35" s="81"/>
      <c r="AR35" s="81"/>
      <c r="AS35" s="82"/>
      <c r="AT35" s="91" t="s">
        <v>39</v>
      </c>
      <c r="AU35" s="65"/>
      <c r="AV35" s="66"/>
      <c r="AW35" s="92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119"/>
      <c r="CB35" s="78"/>
      <c r="CC35" s="81"/>
      <c r="CD35" s="94">
        <f>SUM(AW35:BZ35)</f>
        <v>0</v>
      </c>
      <c r="CE35" s="78"/>
      <c r="CF35" s="81"/>
      <c r="CG35" s="81"/>
      <c r="CH35" s="81"/>
      <c r="CI35" s="81"/>
      <c r="CJ35" s="81"/>
      <c r="CK35" s="81"/>
      <c r="CL35" s="82"/>
      <c r="CM35" s="91" t="s">
        <v>39</v>
      </c>
      <c r="CN35" s="65"/>
      <c r="CO35" s="66"/>
      <c r="CP35" s="92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119"/>
      <c r="DU35" s="78"/>
      <c r="DV35" s="81"/>
      <c r="DW35" s="94">
        <f>SUM(CP35:DS35)</f>
        <v>0</v>
      </c>
      <c r="DX35" s="78"/>
      <c r="DY35" s="81"/>
      <c r="DZ35" s="81"/>
      <c r="EA35" s="81"/>
      <c r="EB35" s="81"/>
      <c r="EC35" s="81"/>
      <c r="ED35" s="81"/>
      <c r="EE35" s="80"/>
      <c r="EF35" s="91" t="s">
        <v>39</v>
      </c>
      <c r="EG35" s="65"/>
      <c r="EH35" s="66"/>
      <c r="EI35" s="92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119"/>
      <c r="FN35" s="78"/>
      <c r="FO35" s="81"/>
      <c r="FP35" s="94">
        <f>SUM(EI35:FL35)</f>
        <v>0</v>
      </c>
      <c r="FQ35" s="78"/>
      <c r="FR35" s="81"/>
      <c r="FS35" s="81"/>
      <c r="FT35" s="81"/>
      <c r="FU35" s="81"/>
      <c r="FV35" s="81"/>
      <c r="FW35" s="81"/>
      <c r="FX35" s="80"/>
      <c r="FY35" s="91" t="s">
        <v>39</v>
      </c>
      <c r="FZ35" s="65"/>
      <c r="GA35" s="66"/>
      <c r="GB35" s="92"/>
      <c r="GC35" s="85"/>
      <c r="GD35" s="85"/>
      <c r="GE35" s="85"/>
      <c r="GF35" s="85"/>
      <c r="GG35" s="85"/>
      <c r="GH35" s="85"/>
      <c r="GI35" s="85"/>
      <c r="GJ35" s="85"/>
      <c r="GK35" s="85"/>
      <c r="GL35" s="85"/>
      <c r="GM35" s="85"/>
      <c r="GN35" s="85"/>
      <c r="GO35" s="85"/>
      <c r="GP35" s="85"/>
      <c r="GQ35" s="85"/>
      <c r="GR35" s="85"/>
      <c r="GS35" s="85"/>
      <c r="GT35" s="85"/>
      <c r="GU35" s="85"/>
      <c r="GV35" s="85"/>
      <c r="GW35" s="85"/>
      <c r="GX35" s="85"/>
      <c r="GY35" s="85"/>
      <c r="GZ35" s="85"/>
      <c r="HA35" s="85"/>
      <c r="HB35" s="85"/>
      <c r="HC35" s="85"/>
      <c r="HD35" s="85"/>
      <c r="HE35" s="85"/>
      <c r="HF35" s="119"/>
      <c r="HG35" s="78"/>
      <c r="HH35" s="81"/>
      <c r="HI35" s="94">
        <f>SUM(GB35:HE35)</f>
        <v>0</v>
      </c>
      <c r="HJ35" s="78"/>
      <c r="HK35" s="81"/>
      <c r="HL35" s="81"/>
      <c r="HM35" s="81"/>
      <c r="HN35" s="81"/>
      <c r="HO35" s="81"/>
      <c r="HP35" s="81"/>
      <c r="HQ35" s="80"/>
      <c r="HR35" s="91" t="s">
        <v>39</v>
      </c>
      <c r="HS35" s="65"/>
      <c r="HT35" s="66"/>
      <c r="HU35" s="92"/>
      <c r="HV35" s="85"/>
      <c r="HW35" s="85"/>
      <c r="HX35" s="85"/>
      <c r="HY35" s="85"/>
      <c r="HZ35" s="85"/>
      <c r="IA35" s="85"/>
      <c r="IB35" s="85"/>
      <c r="IC35" s="85"/>
      <c r="ID35" s="85"/>
      <c r="IE35" s="85"/>
      <c r="IF35" s="85"/>
      <c r="IG35" s="85"/>
      <c r="IH35" s="85"/>
      <c r="II35" s="85"/>
      <c r="IJ35" s="85"/>
      <c r="IK35" s="85"/>
      <c r="IL35" s="85"/>
      <c r="IM35" s="85"/>
      <c r="IN35" s="85"/>
      <c r="IO35" s="85"/>
      <c r="IP35" s="85"/>
      <c r="IQ35" s="85"/>
      <c r="IR35" s="85"/>
      <c r="IS35" s="85"/>
      <c r="IT35" s="85"/>
      <c r="IU35" s="85"/>
      <c r="IV35" s="85"/>
      <c r="IW35" s="85"/>
      <c r="IX35" s="85"/>
      <c r="IY35" s="119"/>
      <c r="IZ35" s="78"/>
      <c r="JA35" s="81"/>
      <c r="JB35" s="94">
        <f>SUM(HU35:IX35)</f>
        <v>0</v>
      </c>
      <c r="JC35" s="78"/>
      <c r="JD35" s="81"/>
      <c r="JE35" s="81"/>
      <c r="JF35" s="81"/>
      <c r="JG35" s="81"/>
      <c r="JH35" s="81"/>
      <c r="JI35" s="81"/>
      <c r="JJ35" s="80"/>
      <c r="JK35" s="91" t="s">
        <v>39</v>
      </c>
      <c r="JL35" s="65"/>
      <c r="JM35" s="66"/>
      <c r="JN35" s="92"/>
      <c r="JO35" s="85"/>
      <c r="JP35" s="85"/>
      <c r="JQ35" s="85"/>
      <c r="JR35" s="85"/>
      <c r="JS35" s="85"/>
      <c r="JT35" s="85"/>
      <c r="JU35" s="85"/>
      <c r="JV35" s="85"/>
      <c r="JW35" s="85"/>
      <c r="JX35" s="85"/>
      <c r="JY35" s="85"/>
      <c r="JZ35" s="85"/>
      <c r="KA35" s="85"/>
      <c r="KB35" s="85"/>
      <c r="KC35" s="85"/>
      <c r="KD35" s="85"/>
      <c r="KE35" s="85"/>
      <c r="KF35" s="85"/>
      <c r="KG35" s="85"/>
      <c r="KH35" s="85"/>
      <c r="KI35" s="85"/>
      <c r="KJ35" s="85"/>
      <c r="KK35" s="85"/>
      <c r="KL35" s="85"/>
      <c r="KM35" s="85"/>
      <c r="KN35" s="85"/>
      <c r="KO35" s="85"/>
      <c r="KP35" s="85"/>
      <c r="KQ35" s="85"/>
      <c r="KR35" s="119"/>
      <c r="KS35" s="78"/>
      <c r="KT35" s="81"/>
      <c r="KU35" s="94">
        <f>SUM(JN35:KQ35)</f>
        <v>0</v>
      </c>
      <c r="KV35" s="78"/>
      <c r="KW35" s="81"/>
      <c r="KX35" s="81"/>
      <c r="KY35" s="81"/>
      <c r="KZ35" s="81"/>
      <c r="LA35" s="81"/>
      <c r="LB35" s="81"/>
      <c r="LC35" s="80"/>
      <c r="LD35" s="91" t="s">
        <v>39</v>
      </c>
      <c r="LE35" s="65"/>
      <c r="LF35" s="66"/>
      <c r="LG35" s="92"/>
      <c r="LH35" s="85"/>
      <c r="LI35" s="85"/>
      <c r="LJ35" s="85"/>
      <c r="LK35" s="85"/>
      <c r="LL35" s="85"/>
      <c r="LM35" s="85"/>
      <c r="LN35" s="85"/>
      <c r="LO35" s="85"/>
      <c r="LP35" s="85"/>
      <c r="LQ35" s="85"/>
      <c r="LR35" s="85"/>
      <c r="LS35" s="85"/>
      <c r="LT35" s="85"/>
      <c r="LU35" s="85"/>
      <c r="LV35" s="85"/>
      <c r="LW35" s="85"/>
      <c r="LX35" s="85"/>
      <c r="LY35" s="85"/>
      <c r="LZ35" s="85"/>
      <c r="MA35" s="85"/>
      <c r="MB35" s="85"/>
      <c r="MC35" s="85"/>
      <c r="MD35" s="85"/>
      <c r="ME35" s="85"/>
      <c r="MF35" s="85"/>
      <c r="MG35" s="85"/>
      <c r="MH35" s="85"/>
      <c r="MI35" s="85"/>
      <c r="MJ35" s="85"/>
      <c r="MK35" s="119"/>
      <c r="ML35" s="78"/>
      <c r="MM35" s="81"/>
      <c r="MN35" s="94">
        <f>SUM(LG35:MJ35)</f>
        <v>0</v>
      </c>
      <c r="MO35" s="78"/>
      <c r="MP35" s="81"/>
      <c r="MQ35" s="81"/>
      <c r="MR35" s="81"/>
      <c r="MS35" s="81"/>
      <c r="MT35" s="81"/>
      <c r="MU35" s="81"/>
      <c r="MV35" s="82"/>
      <c r="MW35" s="91" t="s">
        <v>39</v>
      </c>
      <c r="MX35" s="65"/>
      <c r="MY35" s="66"/>
      <c r="MZ35" s="92"/>
      <c r="NA35" s="85"/>
      <c r="NB35" s="85"/>
      <c r="NC35" s="85"/>
      <c r="ND35" s="85"/>
      <c r="NE35" s="85"/>
      <c r="NF35" s="85"/>
      <c r="NG35" s="85"/>
      <c r="NH35" s="85"/>
      <c r="NI35" s="85"/>
      <c r="NJ35" s="85"/>
      <c r="NK35" s="85"/>
      <c r="NL35" s="85"/>
      <c r="NM35" s="85"/>
      <c r="NN35" s="85"/>
      <c r="NO35" s="85"/>
      <c r="NP35" s="85"/>
      <c r="NQ35" s="85"/>
      <c r="NR35" s="85"/>
      <c r="NS35" s="85"/>
      <c r="NT35" s="85"/>
      <c r="NU35" s="85"/>
      <c r="NV35" s="85"/>
      <c r="NW35" s="85"/>
      <c r="NX35" s="85"/>
      <c r="NY35" s="85"/>
      <c r="NZ35" s="85"/>
      <c r="OA35" s="85"/>
      <c r="OB35" s="85"/>
      <c r="OC35" s="85"/>
      <c r="OD35" s="119"/>
      <c r="OE35" s="78"/>
      <c r="OF35" s="81"/>
      <c r="OG35" s="94">
        <f>SUM(MZ35:OC35)</f>
        <v>0</v>
      </c>
      <c r="OH35" s="78"/>
      <c r="OI35" s="81"/>
      <c r="OJ35" s="81"/>
      <c r="OK35" s="81"/>
      <c r="OL35" s="81"/>
      <c r="OM35" s="81"/>
      <c r="ON35" s="81"/>
      <c r="OO35" s="82"/>
      <c r="OP35" s="91" t="s">
        <v>39</v>
      </c>
      <c r="OQ35" s="65"/>
      <c r="OR35" s="66"/>
      <c r="OS35" s="92"/>
      <c r="OT35" s="85"/>
      <c r="OU35" s="85"/>
      <c r="OV35" s="85"/>
      <c r="OW35" s="85"/>
      <c r="OX35" s="85"/>
      <c r="OY35" s="85"/>
      <c r="OZ35" s="85"/>
      <c r="PA35" s="85"/>
      <c r="PB35" s="85"/>
      <c r="PC35" s="85"/>
      <c r="PD35" s="85"/>
      <c r="PE35" s="85"/>
      <c r="PF35" s="85"/>
      <c r="PG35" s="85"/>
      <c r="PH35" s="85"/>
      <c r="PI35" s="85"/>
      <c r="PJ35" s="85"/>
      <c r="PK35" s="85"/>
      <c r="PL35" s="85"/>
      <c r="PM35" s="85"/>
      <c r="PN35" s="85"/>
      <c r="PO35" s="85"/>
      <c r="PP35" s="85"/>
      <c r="PQ35" s="85"/>
      <c r="PR35" s="85"/>
      <c r="PS35" s="85"/>
      <c r="PT35" s="85"/>
      <c r="PU35" s="85"/>
      <c r="PV35" s="85"/>
      <c r="PW35" s="119"/>
      <c r="PX35" s="78"/>
      <c r="PY35" s="81"/>
      <c r="PZ35" s="94">
        <f>SUM(OS35:PV35)</f>
        <v>0</v>
      </c>
      <c r="QA35" s="78"/>
      <c r="QB35" s="81"/>
      <c r="QC35" s="81"/>
      <c r="QD35" s="81"/>
      <c r="QE35" s="81"/>
      <c r="QF35" s="81"/>
      <c r="QG35" s="81"/>
      <c r="QH35" s="82"/>
      <c r="QI35" s="91" t="s">
        <v>39</v>
      </c>
      <c r="QJ35" s="65"/>
      <c r="QK35" s="66"/>
      <c r="QL35" s="92"/>
      <c r="QM35" s="85"/>
      <c r="QN35" s="85"/>
      <c r="QO35" s="85"/>
      <c r="QP35" s="85"/>
      <c r="QQ35" s="85"/>
      <c r="QR35" s="85"/>
      <c r="QS35" s="85"/>
      <c r="QT35" s="85"/>
      <c r="QU35" s="85"/>
      <c r="QV35" s="85"/>
      <c r="QW35" s="85"/>
      <c r="QX35" s="85"/>
      <c r="QY35" s="85"/>
      <c r="QZ35" s="85"/>
      <c r="RA35" s="85"/>
      <c r="RB35" s="85"/>
      <c r="RC35" s="85"/>
      <c r="RD35" s="85"/>
      <c r="RE35" s="85"/>
      <c r="RF35" s="85"/>
      <c r="RG35" s="85"/>
      <c r="RH35" s="85"/>
      <c r="RI35" s="85"/>
      <c r="RJ35" s="85"/>
      <c r="RK35" s="85"/>
      <c r="RL35" s="85"/>
      <c r="RM35" s="85"/>
      <c r="RN35" s="85"/>
      <c r="RO35" s="85"/>
      <c r="RP35" s="119"/>
      <c r="RQ35" s="78"/>
      <c r="RR35" s="81"/>
      <c r="RS35" s="94">
        <f>SUM(QL35:RO35)</f>
        <v>0</v>
      </c>
      <c r="RT35" s="78"/>
      <c r="RU35" s="81"/>
      <c r="RV35" s="81"/>
      <c r="RW35" s="81"/>
      <c r="RX35" s="81"/>
      <c r="RY35" s="81"/>
      <c r="RZ35" s="81"/>
      <c r="SA35" s="82"/>
      <c r="SB35" s="91" t="s">
        <v>39</v>
      </c>
      <c r="SC35" s="65"/>
      <c r="SD35" s="66"/>
      <c r="SE35" s="92"/>
      <c r="SF35" s="85"/>
      <c r="SG35" s="85"/>
      <c r="SH35" s="85"/>
      <c r="SI35" s="85"/>
      <c r="SJ35" s="85"/>
      <c r="SK35" s="85"/>
      <c r="SL35" s="85"/>
      <c r="SM35" s="85"/>
      <c r="SN35" s="85"/>
      <c r="SO35" s="85"/>
      <c r="SP35" s="85"/>
      <c r="SQ35" s="85"/>
      <c r="SR35" s="85"/>
      <c r="SS35" s="85"/>
      <c r="ST35" s="85"/>
      <c r="SU35" s="85"/>
      <c r="SV35" s="85"/>
      <c r="SW35" s="85"/>
      <c r="SX35" s="85"/>
      <c r="SY35" s="85"/>
      <c r="SZ35" s="85"/>
      <c r="TA35" s="85"/>
      <c r="TB35" s="85"/>
      <c r="TC35" s="85"/>
      <c r="TD35" s="85"/>
      <c r="TE35" s="85"/>
      <c r="TF35" s="85"/>
      <c r="TG35" s="85"/>
      <c r="TH35" s="85"/>
      <c r="TI35" s="119"/>
      <c r="TJ35" s="78"/>
      <c r="TK35" s="81"/>
      <c r="TL35" s="94">
        <f>SUM(SE35:TH35)</f>
        <v>0</v>
      </c>
      <c r="TM35" s="78"/>
      <c r="TN35" s="81"/>
      <c r="TO35" s="81"/>
      <c r="TP35" s="81"/>
      <c r="TQ35" s="81"/>
      <c r="TR35" s="81"/>
      <c r="TS35" s="81"/>
      <c r="TT35" s="80"/>
    </row>
    <row r="36" ht="24.75" hidden="1" customHeight="1" outlineLevel="1">
      <c r="A36" s="96"/>
      <c r="B36" s="97"/>
      <c r="C36" s="98"/>
      <c r="D36" s="92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118"/>
      <c r="AI36" s="78"/>
      <c r="AJ36" s="81"/>
      <c r="AK36" s="80"/>
      <c r="AL36" s="78"/>
      <c r="AM36" s="81"/>
      <c r="AN36" s="81"/>
      <c r="AO36" s="81"/>
      <c r="AP36" s="81"/>
      <c r="AQ36" s="81"/>
      <c r="AR36" s="81"/>
      <c r="AS36" s="82"/>
      <c r="AT36" s="96"/>
      <c r="AU36" s="97"/>
      <c r="AV36" s="98"/>
      <c r="AW36" s="92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119"/>
      <c r="CB36" s="78"/>
      <c r="CC36" s="81"/>
      <c r="CD36" s="80"/>
      <c r="CE36" s="78"/>
      <c r="CF36" s="81"/>
      <c r="CG36" s="81"/>
      <c r="CH36" s="81"/>
      <c r="CI36" s="81"/>
      <c r="CJ36" s="81"/>
      <c r="CK36" s="81"/>
      <c r="CL36" s="82"/>
      <c r="CM36" s="96"/>
      <c r="CN36" s="97"/>
      <c r="CO36" s="98"/>
      <c r="CP36" s="92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119"/>
      <c r="DU36" s="78"/>
      <c r="DV36" s="81"/>
      <c r="DW36" s="80"/>
      <c r="DX36" s="78"/>
      <c r="DY36" s="81"/>
      <c r="DZ36" s="81"/>
      <c r="EA36" s="81"/>
      <c r="EB36" s="81"/>
      <c r="EC36" s="81"/>
      <c r="ED36" s="81"/>
      <c r="EE36" s="80"/>
      <c r="EF36" s="96"/>
      <c r="EG36" s="97"/>
      <c r="EH36" s="98"/>
      <c r="EI36" s="92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119"/>
      <c r="FN36" s="78"/>
      <c r="FO36" s="81"/>
      <c r="FP36" s="80"/>
      <c r="FQ36" s="78"/>
      <c r="FR36" s="81"/>
      <c r="FS36" s="81"/>
      <c r="FT36" s="81"/>
      <c r="FU36" s="81"/>
      <c r="FV36" s="81"/>
      <c r="FW36" s="81"/>
      <c r="FX36" s="80"/>
      <c r="FY36" s="96"/>
      <c r="FZ36" s="97"/>
      <c r="GA36" s="98"/>
      <c r="GB36" s="92"/>
      <c r="GC36" s="85"/>
      <c r="GD36" s="85"/>
      <c r="GE36" s="85"/>
      <c r="GF36" s="85"/>
      <c r="GG36" s="85"/>
      <c r="GH36" s="85"/>
      <c r="GI36" s="85"/>
      <c r="GJ36" s="85"/>
      <c r="GK36" s="85"/>
      <c r="GL36" s="85"/>
      <c r="GM36" s="85"/>
      <c r="GN36" s="85"/>
      <c r="GO36" s="85"/>
      <c r="GP36" s="85"/>
      <c r="GQ36" s="85"/>
      <c r="GR36" s="85"/>
      <c r="GS36" s="85"/>
      <c r="GT36" s="85"/>
      <c r="GU36" s="85"/>
      <c r="GV36" s="85"/>
      <c r="GW36" s="85"/>
      <c r="GX36" s="85"/>
      <c r="GY36" s="85"/>
      <c r="GZ36" s="85"/>
      <c r="HA36" s="85"/>
      <c r="HB36" s="85"/>
      <c r="HC36" s="85"/>
      <c r="HD36" s="85"/>
      <c r="HE36" s="85"/>
      <c r="HF36" s="119"/>
      <c r="HG36" s="78"/>
      <c r="HH36" s="81"/>
      <c r="HI36" s="80"/>
      <c r="HJ36" s="78"/>
      <c r="HK36" s="81"/>
      <c r="HL36" s="81"/>
      <c r="HM36" s="81"/>
      <c r="HN36" s="81"/>
      <c r="HO36" s="81"/>
      <c r="HP36" s="81"/>
      <c r="HQ36" s="80"/>
      <c r="HR36" s="96"/>
      <c r="HS36" s="97"/>
      <c r="HT36" s="98"/>
      <c r="HU36" s="92"/>
      <c r="HV36" s="85"/>
      <c r="HW36" s="85"/>
      <c r="HX36" s="85"/>
      <c r="HY36" s="85"/>
      <c r="HZ36" s="85"/>
      <c r="IA36" s="85"/>
      <c r="IB36" s="85"/>
      <c r="IC36" s="85"/>
      <c r="ID36" s="85"/>
      <c r="IE36" s="85"/>
      <c r="IF36" s="85"/>
      <c r="IG36" s="85"/>
      <c r="IH36" s="85"/>
      <c r="II36" s="85"/>
      <c r="IJ36" s="85"/>
      <c r="IK36" s="85"/>
      <c r="IL36" s="85"/>
      <c r="IM36" s="85"/>
      <c r="IN36" s="85"/>
      <c r="IO36" s="85"/>
      <c r="IP36" s="85"/>
      <c r="IQ36" s="85"/>
      <c r="IR36" s="85"/>
      <c r="IS36" s="85"/>
      <c r="IT36" s="85"/>
      <c r="IU36" s="85"/>
      <c r="IV36" s="85"/>
      <c r="IW36" s="85"/>
      <c r="IX36" s="85"/>
      <c r="IY36" s="119"/>
      <c r="IZ36" s="78"/>
      <c r="JA36" s="81"/>
      <c r="JB36" s="80"/>
      <c r="JC36" s="78"/>
      <c r="JD36" s="81"/>
      <c r="JE36" s="81"/>
      <c r="JF36" s="81"/>
      <c r="JG36" s="81"/>
      <c r="JH36" s="81"/>
      <c r="JI36" s="81"/>
      <c r="JJ36" s="80"/>
      <c r="JK36" s="96"/>
      <c r="JL36" s="97"/>
      <c r="JM36" s="98"/>
      <c r="JN36" s="92"/>
      <c r="JO36" s="85"/>
      <c r="JP36" s="85"/>
      <c r="JQ36" s="85"/>
      <c r="JR36" s="85"/>
      <c r="JS36" s="85"/>
      <c r="JT36" s="85"/>
      <c r="JU36" s="85"/>
      <c r="JV36" s="85"/>
      <c r="JW36" s="85"/>
      <c r="JX36" s="85"/>
      <c r="JY36" s="85"/>
      <c r="JZ36" s="85"/>
      <c r="KA36" s="85"/>
      <c r="KB36" s="85"/>
      <c r="KC36" s="85"/>
      <c r="KD36" s="85"/>
      <c r="KE36" s="85"/>
      <c r="KF36" s="85"/>
      <c r="KG36" s="85"/>
      <c r="KH36" s="85"/>
      <c r="KI36" s="85"/>
      <c r="KJ36" s="85"/>
      <c r="KK36" s="85"/>
      <c r="KL36" s="85"/>
      <c r="KM36" s="85"/>
      <c r="KN36" s="85"/>
      <c r="KO36" s="85"/>
      <c r="KP36" s="85"/>
      <c r="KQ36" s="85"/>
      <c r="KR36" s="119"/>
      <c r="KS36" s="78"/>
      <c r="KT36" s="81"/>
      <c r="KU36" s="80"/>
      <c r="KV36" s="78"/>
      <c r="KW36" s="81"/>
      <c r="KX36" s="81"/>
      <c r="KY36" s="81"/>
      <c r="KZ36" s="81"/>
      <c r="LA36" s="81"/>
      <c r="LB36" s="81"/>
      <c r="LC36" s="80"/>
      <c r="LD36" s="96"/>
      <c r="LE36" s="97"/>
      <c r="LF36" s="98"/>
      <c r="LG36" s="92"/>
      <c r="LH36" s="85"/>
      <c r="LI36" s="85"/>
      <c r="LJ36" s="85"/>
      <c r="LK36" s="85"/>
      <c r="LL36" s="85"/>
      <c r="LM36" s="85"/>
      <c r="LN36" s="85"/>
      <c r="LO36" s="85"/>
      <c r="LP36" s="85"/>
      <c r="LQ36" s="85"/>
      <c r="LR36" s="85"/>
      <c r="LS36" s="85"/>
      <c r="LT36" s="85"/>
      <c r="LU36" s="85"/>
      <c r="LV36" s="85"/>
      <c r="LW36" s="85"/>
      <c r="LX36" s="85"/>
      <c r="LY36" s="85"/>
      <c r="LZ36" s="85"/>
      <c r="MA36" s="85"/>
      <c r="MB36" s="85"/>
      <c r="MC36" s="85"/>
      <c r="MD36" s="85"/>
      <c r="ME36" s="85"/>
      <c r="MF36" s="85"/>
      <c r="MG36" s="85"/>
      <c r="MH36" s="85"/>
      <c r="MI36" s="85"/>
      <c r="MJ36" s="85"/>
      <c r="MK36" s="119"/>
      <c r="ML36" s="78"/>
      <c r="MM36" s="81"/>
      <c r="MN36" s="80"/>
      <c r="MO36" s="78"/>
      <c r="MP36" s="81"/>
      <c r="MQ36" s="81"/>
      <c r="MR36" s="81"/>
      <c r="MS36" s="81"/>
      <c r="MT36" s="81"/>
      <c r="MU36" s="81"/>
      <c r="MV36" s="80"/>
      <c r="MW36" s="96"/>
      <c r="MX36" s="97"/>
      <c r="MY36" s="98"/>
      <c r="MZ36" s="92"/>
      <c r="NA36" s="85"/>
      <c r="NB36" s="85"/>
      <c r="NC36" s="85"/>
      <c r="ND36" s="85"/>
      <c r="NE36" s="85"/>
      <c r="NF36" s="85"/>
      <c r="NG36" s="85"/>
      <c r="NH36" s="85"/>
      <c r="NI36" s="85"/>
      <c r="NJ36" s="85"/>
      <c r="NK36" s="85"/>
      <c r="NL36" s="85"/>
      <c r="NM36" s="85"/>
      <c r="NN36" s="85"/>
      <c r="NO36" s="85"/>
      <c r="NP36" s="85"/>
      <c r="NQ36" s="85"/>
      <c r="NR36" s="85"/>
      <c r="NS36" s="85"/>
      <c r="NT36" s="85"/>
      <c r="NU36" s="85"/>
      <c r="NV36" s="85"/>
      <c r="NW36" s="85"/>
      <c r="NX36" s="85"/>
      <c r="NY36" s="85"/>
      <c r="NZ36" s="85"/>
      <c r="OA36" s="85"/>
      <c r="OB36" s="85"/>
      <c r="OC36" s="85"/>
      <c r="OD36" s="119"/>
      <c r="OE36" s="78"/>
      <c r="OF36" s="81"/>
      <c r="OG36" s="80"/>
      <c r="OH36" s="78"/>
      <c r="OI36" s="81"/>
      <c r="OJ36" s="81"/>
      <c r="OK36" s="81"/>
      <c r="OL36" s="81"/>
      <c r="OM36" s="81"/>
      <c r="ON36" s="81"/>
      <c r="OO36" s="80"/>
      <c r="OP36" s="96"/>
      <c r="OQ36" s="97"/>
      <c r="OR36" s="98"/>
      <c r="OS36" s="92"/>
      <c r="OT36" s="85"/>
      <c r="OU36" s="85"/>
      <c r="OV36" s="85"/>
      <c r="OW36" s="85"/>
      <c r="OX36" s="85"/>
      <c r="OY36" s="85"/>
      <c r="OZ36" s="85"/>
      <c r="PA36" s="85"/>
      <c r="PB36" s="85"/>
      <c r="PC36" s="85"/>
      <c r="PD36" s="85"/>
      <c r="PE36" s="85"/>
      <c r="PF36" s="85"/>
      <c r="PG36" s="85"/>
      <c r="PH36" s="85"/>
      <c r="PI36" s="85"/>
      <c r="PJ36" s="85"/>
      <c r="PK36" s="85"/>
      <c r="PL36" s="85"/>
      <c r="PM36" s="85"/>
      <c r="PN36" s="85"/>
      <c r="PO36" s="85"/>
      <c r="PP36" s="85"/>
      <c r="PQ36" s="85"/>
      <c r="PR36" s="85"/>
      <c r="PS36" s="85"/>
      <c r="PT36" s="85"/>
      <c r="PU36" s="85"/>
      <c r="PV36" s="85"/>
      <c r="PW36" s="119"/>
      <c r="PX36" s="78"/>
      <c r="PY36" s="81"/>
      <c r="PZ36" s="80"/>
      <c r="QA36" s="78"/>
      <c r="QB36" s="81"/>
      <c r="QC36" s="81"/>
      <c r="QD36" s="81"/>
      <c r="QE36" s="81"/>
      <c r="QF36" s="81"/>
      <c r="QG36" s="81"/>
      <c r="QH36" s="80"/>
      <c r="QI36" s="96"/>
      <c r="QJ36" s="97"/>
      <c r="QK36" s="98"/>
      <c r="QL36" s="92"/>
      <c r="QM36" s="85"/>
      <c r="QN36" s="85"/>
      <c r="QO36" s="85"/>
      <c r="QP36" s="85"/>
      <c r="QQ36" s="85"/>
      <c r="QR36" s="85"/>
      <c r="QS36" s="85"/>
      <c r="QT36" s="85"/>
      <c r="QU36" s="85"/>
      <c r="QV36" s="85"/>
      <c r="QW36" s="85"/>
      <c r="QX36" s="85"/>
      <c r="QY36" s="85"/>
      <c r="QZ36" s="85"/>
      <c r="RA36" s="85"/>
      <c r="RB36" s="85"/>
      <c r="RC36" s="85"/>
      <c r="RD36" s="85"/>
      <c r="RE36" s="85"/>
      <c r="RF36" s="85"/>
      <c r="RG36" s="85"/>
      <c r="RH36" s="85"/>
      <c r="RI36" s="85"/>
      <c r="RJ36" s="85"/>
      <c r="RK36" s="85"/>
      <c r="RL36" s="85"/>
      <c r="RM36" s="85"/>
      <c r="RN36" s="85"/>
      <c r="RO36" s="85"/>
      <c r="RP36" s="119"/>
      <c r="RQ36" s="78"/>
      <c r="RR36" s="81"/>
      <c r="RS36" s="80"/>
      <c r="RT36" s="78"/>
      <c r="RU36" s="81"/>
      <c r="RV36" s="81"/>
      <c r="RW36" s="81"/>
      <c r="RX36" s="81"/>
      <c r="RY36" s="81"/>
      <c r="RZ36" s="81"/>
      <c r="SA36" s="80"/>
      <c r="SB36" s="96"/>
      <c r="SC36" s="97"/>
      <c r="SD36" s="98"/>
      <c r="SE36" s="92"/>
      <c r="SF36" s="85"/>
      <c r="SG36" s="85"/>
      <c r="SH36" s="85"/>
      <c r="SI36" s="85"/>
      <c r="SJ36" s="85"/>
      <c r="SK36" s="85"/>
      <c r="SL36" s="85"/>
      <c r="SM36" s="85"/>
      <c r="SN36" s="85"/>
      <c r="SO36" s="85"/>
      <c r="SP36" s="85"/>
      <c r="SQ36" s="85"/>
      <c r="SR36" s="85"/>
      <c r="SS36" s="85"/>
      <c r="ST36" s="85"/>
      <c r="SU36" s="85"/>
      <c r="SV36" s="85"/>
      <c r="SW36" s="85"/>
      <c r="SX36" s="85"/>
      <c r="SY36" s="85"/>
      <c r="SZ36" s="85"/>
      <c r="TA36" s="85"/>
      <c r="TB36" s="85"/>
      <c r="TC36" s="85"/>
      <c r="TD36" s="85"/>
      <c r="TE36" s="85"/>
      <c r="TF36" s="85"/>
      <c r="TG36" s="85"/>
      <c r="TH36" s="85"/>
      <c r="TI36" s="119"/>
      <c r="TJ36" s="78"/>
      <c r="TK36" s="81"/>
      <c r="TL36" s="80"/>
      <c r="TM36" s="78"/>
      <c r="TN36" s="81"/>
      <c r="TO36" s="81"/>
      <c r="TP36" s="81"/>
      <c r="TQ36" s="81"/>
      <c r="TR36" s="81"/>
      <c r="TS36" s="81"/>
      <c r="TT36" s="80"/>
    </row>
    <row r="37" ht="24.75" hidden="1" customHeight="1" outlineLevel="1">
      <c r="A37" s="100" t="s">
        <v>27</v>
      </c>
      <c r="B37" s="101"/>
      <c r="C37" s="102"/>
      <c r="D37" s="12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4"/>
      <c r="AH37" s="105"/>
      <c r="AI37" s="103"/>
      <c r="AJ37" s="101"/>
      <c r="AK37" s="102"/>
      <c r="AL37" s="103"/>
      <c r="AM37" s="101"/>
      <c r="AN37" s="101"/>
      <c r="AO37" s="101"/>
      <c r="AP37" s="101"/>
      <c r="AQ37" s="101"/>
      <c r="AR37" s="101"/>
      <c r="AS37" s="102"/>
      <c r="AT37" s="100" t="s">
        <v>27</v>
      </c>
      <c r="AU37" s="101"/>
      <c r="AV37" s="102"/>
      <c r="AW37" s="120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4"/>
      <c r="CA37" s="106"/>
      <c r="CB37" s="103"/>
      <c r="CC37" s="101"/>
      <c r="CD37" s="102"/>
      <c r="CE37" s="103"/>
      <c r="CF37" s="101"/>
      <c r="CG37" s="101"/>
      <c r="CH37" s="101"/>
      <c r="CI37" s="101"/>
      <c r="CJ37" s="101"/>
      <c r="CK37" s="101"/>
      <c r="CL37" s="102"/>
      <c r="CM37" s="100" t="s">
        <v>27</v>
      </c>
      <c r="CN37" s="101"/>
      <c r="CO37" s="102"/>
      <c r="CP37" s="120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4"/>
      <c r="DT37" s="106"/>
      <c r="DU37" s="103"/>
      <c r="DV37" s="101"/>
      <c r="DW37" s="102"/>
      <c r="DX37" s="103"/>
      <c r="DY37" s="101"/>
      <c r="DZ37" s="101"/>
      <c r="EA37" s="101"/>
      <c r="EB37" s="101"/>
      <c r="EC37" s="101"/>
      <c r="ED37" s="101"/>
      <c r="EE37" s="102"/>
      <c r="EF37" s="100" t="s">
        <v>27</v>
      </c>
      <c r="EG37" s="101"/>
      <c r="EH37" s="102"/>
      <c r="EI37" s="120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4"/>
      <c r="FM37" s="106"/>
      <c r="FN37" s="103"/>
      <c r="FO37" s="101"/>
      <c r="FP37" s="102"/>
      <c r="FQ37" s="103"/>
      <c r="FR37" s="101"/>
      <c r="FS37" s="101"/>
      <c r="FT37" s="101"/>
      <c r="FU37" s="101"/>
      <c r="FV37" s="101"/>
      <c r="FW37" s="101"/>
      <c r="FX37" s="102"/>
      <c r="FY37" s="100" t="s">
        <v>27</v>
      </c>
      <c r="FZ37" s="101"/>
      <c r="GA37" s="102"/>
      <c r="GB37" s="120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  <c r="HD37" s="101"/>
      <c r="HE37" s="104"/>
      <c r="HF37" s="106"/>
      <c r="HG37" s="103"/>
      <c r="HH37" s="101"/>
      <c r="HI37" s="102"/>
      <c r="HJ37" s="103"/>
      <c r="HK37" s="101"/>
      <c r="HL37" s="101"/>
      <c r="HM37" s="101"/>
      <c r="HN37" s="101"/>
      <c r="HO37" s="101"/>
      <c r="HP37" s="101"/>
      <c r="HQ37" s="102"/>
      <c r="HR37" s="100" t="s">
        <v>27</v>
      </c>
      <c r="HS37" s="101"/>
      <c r="HT37" s="102"/>
      <c r="HU37" s="120"/>
      <c r="HV37" s="101"/>
      <c r="HW37" s="101"/>
      <c r="HX37" s="101"/>
      <c r="HY37" s="101"/>
      <c r="HZ37" s="101"/>
      <c r="IA37" s="101"/>
      <c r="IB37" s="101"/>
      <c r="IC37" s="101"/>
      <c r="ID37" s="101"/>
      <c r="IE37" s="101"/>
      <c r="IF37" s="101"/>
      <c r="IG37" s="101"/>
      <c r="IH37" s="101"/>
      <c r="II37" s="101"/>
      <c r="IJ37" s="101"/>
      <c r="IK37" s="101"/>
      <c r="IL37" s="101"/>
      <c r="IM37" s="101"/>
      <c r="IN37" s="101"/>
      <c r="IO37" s="101"/>
      <c r="IP37" s="101"/>
      <c r="IQ37" s="101"/>
      <c r="IR37" s="101"/>
      <c r="IS37" s="101"/>
      <c r="IT37" s="101"/>
      <c r="IU37" s="101"/>
      <c r="IV37" s="101"/>
      <c r="IW37" s="101"/>
      <c r="IX37" s="104"/>
      <c r="IY37" s="106"/>
      <c r="IZ37" s="103"/>
      <c r="JA37" s="101"/>
      <c r="JB37" s="102"/>
      <c r="JC37" s="103"/>
      <c r="JD37" s="101"/>
      <c r="JE37" s="101"/>
      <c r="JF37" s="101"/>
      <c r="JG37" s="101"/>
      <c r="JH37" s="101"/>
      <c r="JI37" s="101"/>
      <c r="JJ37" s="102"/>
      <c r="JK37" s="100" t="s">
        <v>27</v>
      </c>
      <c r="JL37" s="101"/>
      <c r="JM37" s="102"/>
      <c r="JN37" s="120"/>
      <c r="JO37" s="101"/>
      <c r="JP37" s="101"/>
      <c r="JQ37" s="101"/>
      <c r="JR37" s="101"/>
      <c r="JS37" s="101"/>
      <c r="JT37" s="101"/>
      <c r="JU37" s="101"/>
      <c r="JV37" s="101"/>
      <c r="JW37" s="101"/>
      <c r="JX37" s="101"/>
      <c r="JY37" s="101"/>
      <c r="JZ37" s="101"/>
      <c r="KA37" s="101"/>
      <c r="KB37" s="101"/>
      <c r="KC37" s="101"/>
      <c r="KD37" s="101"/>
      <c r="KE37" s="101"/>
      <c r="KF37" s="101"/>
      <c r="KG37" s="101"/>
      <c r="KH37" s="101"/>
      <c r="KI37" s="101"/>
      <c r="KJ37" s="101"/>
      <c r="KK37" s="101"/>
      <c r="KL37" s="101"/>
      <c r="KM37" s="101"/>
      <c r="KN37" s="101"/>
      <c r="KO37" s="101"/>
      <c r="KP37" s="101"/>
      <c r="KQ37" s="104"/>
      <c r="KR37" s="106"/>
      <c r="KS37" s="103"/>
      <c r="KT37" s="101"/>
      <c r="KU37" s="102"/>
      <c r="KV37" s="103"/>
      <c r="KW37" s="101"/>
      <c r="KX37" s="101"/>
      <c r="KY37" s="101"/>
      <c r="KZ37" s="101"/>
      <c r="LA37" s="101"/>
      <c r="LB37" s="101"/>
      <c r="LC37" s="102"/>
      <c r="LD37" s="100" t="s">
        <v>27</v>
      </c>
      <c r="LE37" s="101"/>
      <c r="LF37" s="102"/>
      <c r="LG37" s="120"/>
      <c r="LH37" s="101"/>
      <c r="LI37" s="101"/>
      <c r="LJ37" s="101"/>
      <c r="LK37" s="101"/>
      <c r="LL37" s="101"/>
      <c r="LM37" s="101"/>
      <c r="LN37" s="101"/>
      <c r="LO37" s="101"/>
      <c r="LP37" s="101"/>
      <c r="LQ37" s="101"/>
      <c r="LR37" s="101"/>
      <c r="LS37" s="101"/>
      <c r="LT37" s="101"/>
      <c r="LU37" s="101"/>
      <c r="LV37" s="101"/>
      <c r="LW37" s="101"/>
      <c r="LX37" s="101"/>
      <c r="LY37" s="101"/>
      <c r="LZ37" s="101"/>
      <c r="MA37" s="101"/>
      <c r="MB37" s="101"/>
      <c r="MC37" s="101"/>
      <c r="MD37" s="101"/>
      <c r="ME37" s="101"/>
      <c r="MF37" s="101"/>
      <c r="MG37" s="101"/>
      <c r="MH37" s="101"/>
      <c r="MI37" s="101"/>
      <c r="MJ37" s="104"/>
      <c r="MK37" s="106"/>
      <c r="ML37" s="103"/>
      <c r="MM37" s="101"/>
      <c r="MN37" s="102"/>
      <c r="MO37" s="103"/>
      <c r="MP37" s="101"/>
      <c r="MQ37" s="101"/>
      <c r="MR37" s="101"/>
      <c r="MS37" s="101"/>
      <c r="MT37" s="101"/>
      <c r="MU37" s="101"/>
      <c r="MV37" s="102"/>
      <c r="MW37" s="100" t="s">
        <v>27</v>
      </c>
      <c r="MX37" s="101"/>
      <c r="MY37" s="102"/>
      <c r="MZ37" s="120"/>
      <c r="NA37" s="101"/>
      <c r="NB37" s="101"/>
      <c r="NC37" s="101"/>
      <c r="ND37" s="101"/>
      <c r="NE37" s="101"/>
      <c r="NF37" s="101"/>
      <c r="NG37" s="101"/>
      <c r="NH37" s="101"/>
      <c r="NI37" s="101"/>
      <c r="NJ37" s="101"/>
      <c r="NK37" s="101"/>
      <c r="NL37" s="101"/>
      <c r="NM37" s="101"/>
      <c r="NN37" s="101"/>
      <c r="NO37" s="101"/>
      <c r="NP37" s="101"/>
      <c r="NQ37" s="101"/>
      <c r="NR37" s="101"/>
      <c r="NS37" s="101"/>
      <c r="NT37" s="101"/>
      <c r="NU37" s="101"/>
      <c r="NV37" s="101"/>
      <c r="NW37" s="101"/>
      <c r="NX37" s="101"/>
      <c r="NY37" s="101"/>
      <c r="NZ37" s="101"/>
      <c r="OA37" s="101"/>
      <c r="OB37" s="101"/>
      <c r="OC37" s="104"/>
      <c r="OD37" s="106"/>
      <c r="OE37" s="103"/>
      <c r="OF37" s="101"/>
      <c r="OG37" s="102"/>
      <c r="OH37" s="103"/>
      <c r="OI37" s="101"/>
      <c r="OJ37" s="101"/>
      <c r="OK37" s="101"/>
      <c r="OL37" s="101"/>
      <c r="OM37" s="101"/>
      <c r="ON37" s="101"/>
      <c r="OO37" s="102"/>
      <c r="OP37" s="100" t="s">
        <v>27</v>
      </c>
      <c r="OQ37" s="101"/>
      <c r="OR37" s="102"/>
      <c r="OS37" s="120"/>
      <c r="OT37" s="101"/>
      <c r="OU37" s="101"/>
      <c r="OV37" s="101"/>
      <c r="OW37" s="101"/>
      <c r="OX37" s="101"/>
      <c r="OY37" s="101"/>
      <c r="OZ37" s="101"/>
      <c r="PA37" s="101"/>
      <c r="PB37" s="101"/>
      <c r="PC37" s="101"/>
      <c r="PD37" s="101"/>
      <c r="PE37" s="101"/>
      <c r="PF37" s="101"/>
      <c r="PG37" s="101"/>
      <c r="PH37" s="101"/>
      <c r="PI37" s="101"/>
      <c r="PJ37" s="101"/>
      <c r="PK37" s="101"/>
      <c r="PL37" s="101"/>
      <c r="PM37" s="101"/>
      <c r="PN37" s="101"/>
      <c r="PO37" s="101"/>
      <c r="PP37" s="101"/>
      <c r="PQ37" s="101"/>
      <c r="PR37" s="101"/>
      <c r="PS37" s="101"/>
      <c r="PT37" s="101"/>
      <c r="PU37" s="101"/>
      <c r="PV37" s="104"/>
      <c r="PW37" s="106"/>
      <c r="PX37" s="103"/>
      <c r="PY37" s="101"/>
      <c r="PZ37" s="102"/>
      <c r="QA37" s="103"/>
      <c r="QB37" s="101"/>
      <c r="QC37" s="101"/>
      <c r="QD37" s="101"/>
      <c r="QE37" s="101"/>
      <c r="QF37" s="101"/>
      <c r="QG37" s="101"/>
      <c r="QH37" s="102"/>
      <c r="QI37" s="100" t="s">
        <v>27</v>
      </c>
      <c r="QJ37" s="101"/>
      <c r="QK37" s="102"/>
      <c r="QL37" s="120"/>
      <c r="QM37" s="101"/>
      <c r="QN37" s="101"/>
      <c r="QO37" s="101"/>
      <c r="QP37" s="101"/>
      <c r="QQ37" s="101"/>
      <c r="QR37" s="101"/>
      <c r="QS37" s="101"/>
      <c r="QT37" s="101"/>
      <c r="QU37" s="101"/>
      <c r="QV37" s="101"/>
      <c r="QW37" s="101"/>
      <c r="QX37" s="101"/>
      <c r="QY37" s="101"/>
      <c r="QZ37" s="101"/>
      <c r="RA37" s="101"/>
      <c r="RB37" s="101"/>
      <c r="RC37" s="101"/>
      <c r="RD37" s="101"/>
      <c r="RE37" s="101"/>
      <c r="RF37" s="101"/>
      <c r="RG37" s="101"/>
      <c r="RH37" s="101"/>
      <c r="RI37" s="101"/>
      <c r="RJ37" s="101"/>
      <c r="RK37" s="101"/>
      <c r="RL37" s="101"/>
      <c r="RM37" s="101"/>
      <c r="RN37" s="101"/>
      <c r="RO37" s="104"/>
      <c r="RP37" s="106"/>
      <c r="RQ37" s="103"/>
      <c r="RR37" s="101"/>
      <c r="RS37" s="102"/>
      <c r="RT37" s="103"/>
      <c r="RU37" s="101"/>
      <c r="RV37" s="101"/>
      <c r="RW37" s="101"/>
      <c r="RX37" s="101"/>
      <c r="RY37" s="101"/>
      <c r="RZ37" s="101"/>
      <c r="SA37" s="102"/>
      <c r="SB37" s="100" t="s">
        <v>27</v>
      </c>
      <c r="SC37" s="101"/>
      <c r="SD37" s="102"/>
      <c r="SE37" s="120"/>
      <c r="SF37" s="101"/>
      <c r="SG37" s="101"/>
      <c r="SH37" s="101"/>
      <c r="SI37" s="101"/>
      <c r="SJ37" s="101"/>
      <c r="SK37" s="101"/>
      <c r="SL37" s="101"/>
      <c r="SM37" s="101"/>
      <c r="SN37" s="101"/>
      <c r="SO37" s="101"/>
      <c r="SP37" s="101"/>
      <c r="SQ37" s="101"/>
      <c r="SR37" s="101"/>
      <c r="SS37" s="101"/>
      <c r="ST37" s="101"/>
      <c r="SU37" s="101"/>
      <c r="SV37" s="101"/>
      <c r="SW37" s="101"/>
      <c r="SX37" s="101"/>
      <c r="SY37" s="101"/>
      <c r="SZ37" s="101"/>
      <c r="TA37" s="101"/>
      <c r="TB37" s="101"/>
      <c r="TC37" s="101"/>
      <c r="TD37" s="101"/>
      <c r="TE37" s="101"/>
      <c r="TF37" s="101"/>
      <c r="TG37" s="101"/>
      <c r="TH37" s="104"/>
      <c r="TI37" s="106"/>
      <c r="TJ37" s="103"/>
      <c r="TK37" s="101"/>
      <c r="TL37" s="102"/>
      <c r="TM37" s="103"/>
      <c r="TN37" s="101"/>
      <c r="TO37" s="101"/>
      <c r="TP37" s="101"/>
      <c r="TQ37" s="101"/>
      <c r="TR37" s="101"/>
      <c r="TS37" s="101"/>
      <c r="TT37" s="102"/>
    </row>
    <row r="38" ht="24.75" hidden="1" customHeight="1" outlineLevel="1">
      <c r="A38" s="108" t="str">
        <f>elenchi!$C8</f>
        <v>vuoto</v>
      </c>
      <c r="B38" s="109"/>
      <c r="C38" s="110"/>
      <c r="D38" s="67">
        <f t="shared" ref="D38:AH38" si="85">D$2</f>
        <v>45901</v>
      </c>
      <c r="E38" s="67">
        <f t="shared" si="85"/>
        <v>45902</v>
      </c>
      <c r="F38" s="67">
        <f t="shared" si="85"/>
        <v>45903</v>
      </c>
      <c r="G38" s="67">
        <f t="shared" si="85"/>
        <v>45904</v>
      </c>
      <c r="H38" s="67">
        <f t="shared" si="85"/>
        <v>45905</v>
      </c>
      <c r="I38" s="67">
        <f t="shared" si="85"/>
        <v>45906</v>
      </c>
      <c r="J38" s="67">
        <f t="shared" si="85"/>
        <v>45907</v>
      </c>
      <c r="K38" s="67">
        <f t="shared" si="85"/>
        <v>45908</v>
      </c>
      <c r="L38" s="67">
        <f t="shared" si="85"/>
        <v>45909</v>
      </c>
      <c r="M38" s="67">
        <f t="shared" si="85"/>
        <v>45910</v>
      </c>
      <c r="N38" s="67">
        <f t="shared" si="85"/>
        <v>45911</v>
      </c>
      <c r="O38" s="67">
        <f t="shared" si="85"/>
        <v>45912</v>
      </c>
      <c r="P38" s="67">
        <f t="shared" si="85"/>
        <v>45913</v>
      </c>
      <c r="Q38" s="67">
        <f t="shared" si="85"/>
        <v>45914</v>
      </c>
      <c r="R38" s="67">
        <f t="shared" si="85"/>
        <v>45915</v>
      </c>
      <c r="S38" s="67">
        <f t="shared" si="85"/>
        <v>45916</v>
      </c>
      <c r="T38" s="67">
        <f t="shared" si="85"/>
        <v>45917</v>
      </c>
      <c r="U38" s="67">
        <f t="shared" si="85"/>
        <v>45918</v>
      </c>
      <c r="V38" s="67">
        <f t="shared" si="85"/>
        <v>45919</v>
      </c>
      <c r="W38" s="67">
        <f t="shared" si="85"/>
        <v>45920</v>
      </c>
      <c r="X38" s="67">
        <f t="shared" si="85"/>
        <v>45921</v>
      </c>
      <c r="Y38" s="67">
        <f t="shared" si="85"/>
        <v>45922</v>
      </c>
      <c r="Z38" s="67">
        <f t="shared" si="85"/>
        <v>45923</v>
      </c>
      <c r="AA38" s="67">
        <f t="shared" si="85"/>
        <v>45924</v>
      </c>
      <c r="AB38" s="67">
        <f t="shared" si="85"/>
        <v>45925</v>
      </c>
      <c r="AC38" s="67">
        <f t="shared" si="85"/>
        <v>45926</v>
      </c>
      <c r="AD38" s="67">
        <f t="shared" si="85"/>
        <v>45927</v>
      </c>
      <c r="AE38" s="67">
        <f t="shared" si="85"/>
        <v>45928</v>
      </c>
      <c r="AF38" s="67">
        <f t="shared" si="85"/>
        <v>45929</v>
      </c>
      <c r="AG38" s="67">
        <f t="shared" si="85"/>
        <v>45930</v>
      </c>
      <c r="AH38" s="111" t="str">
        <f t="shared" si="85"/>
        <v/>
      </c>
      <c r="AI38" s="112" t="s">
        <v>33</v>
      </c>
      <c r="AJ38" s="113" t="s">
        <v>28</v>
      </c>
      <c r="AK38" s="114" t="s">
        <v>34</v>
      </c>
      <c r="AL38" s="112" t="s">
        <v>13</v>
      </c>
      <c r="AM38" s="113" t="s">
        <v>1</v>
      </c>
      <c r="AN38" s="113" t="s">
        <v>35</v>
      </c>
      <c r="AO38" s="113" t="s">
        <v>36</v>
      </c>
      <c r="AP38" s="113" t="s">
        <v>37</v>
      </c>
      <c r="AQ38" s="113" t="s">
        <v>0</v>
      </c>
      <c r="AR38" s="113" t="s">
        <v>38</v>
      </c>
      <c r="AS38" s="115" t="s">
        <v>11</v>
      </c>
      <c r="AT38" s="108" t="str">
        <f>elenchi!$C8</f>
        <v>vuoto</v>
      </c>
      <c r="AU38" s="109"/>
      <c r="AV38" s="110"/>
      <c r="AW38" s="67">
        <f t="shared" ref="AW38:CA38" si="86">AW$2</f>
        <v>45931</v>
      </c>
      <c r="AX38" s="67">
        <f t="shared" si="86"/>
        <v>45932</v>
      </c>
      <c r="AY38" s="67">
        <f t="shared" si="86"/>
        <v>45933</v>
      </c>
      <c r="AZ38" s="67">
        <f t="shared" si="86"/>
        <v>45934</v>
      </c>
      <c r="BA38" s="67">
        <f t="shared" si="86"/>
        <v>45935</v>
      </c>
      <c r="BB38" s="67">
        <f t="shared" si="86"/>
        <v>45936</v>
      </c>
      <c r="BC38" s="67">
        <f t="shared" si="86"/>
        <v>45937</v>
      </c>
      <c r="BD38" s="67">
        <f t="shared" si="86"/>
        <v>45938</v>
      </c>
      <c r="BE38" s="67">
        <f t="shared" si="86"/>
        <v>45939</v>
      </c>
      <c r="BF38" s="67">
        <f t="shared" si="86"/>
        <v>45940</v>
      </c>
      <c r="BG38" s="67">
        <f t="shared" si="86"/>
        <v>45941</v>
      </c>
      <c r="BH38" s="67">
        <f t="shared" si="86"/>
        <v>45942</v>
      </c>
      <c r="BI38" s="67">
        <f t="shared" si="86"/>
        <v>45943</v>
      </c>
      <c r="BJ38" s="67">
        <f t="shared" si="86"/>
        <v>45944</v>
      </c>
      <c r="BK38" s="67">
        <f t="shared" si="86"/>
        <v>45945</v>
      </c>
      <c r="BL38" s="67">
        <f t="shared" si="86"/>
        <v>45946</v>
      </c>
      <c r="BM38" s="67">
        <f t="shared" si="86"/>
        <v>45947</v>
      </c>
      <c r="BN38" s="67">
        <f t="shared" si="86"/>
        <v>45948</v>
      </c>
      <c r="BO38" s="67">
        <f t="shared" si="86"/>
        <v>45949</v>
      </c>
      <c r="BP38" s="67">
        <f t="shared" si="86"/>
        <v>45950</v>
      </c>
      <c r="BQ38" s="67">
        <f t="shared" si="86"/>
        <v>45951</v>
      </c>
      <c r="BR38" s="67">
        <f t="shared" si="86"/>
        <v>45952</v>
      </c>
      <c r="BS38" s="67">
        <f t="shared" si="86"/>
        <v>45953</v>
      </c>
      <c r="BT38" s="67">
        <f t="shared" si="86"/>
        <v>45954</v>
      </c>
      <c r="BU38" s="67">
        <f t="shared" si="86"/>
        <v>45955</v>
      </c>
      <c r="BV38" s="67">
        <f t="shared" si="86"/>
        <v>45956</v>
      </c>
      <c r="BW38" s="67">
        <f t="shared" si="86"/>
        <v>45957</v>
      </c>
      <c r="BX38" s="67">
        <f t="shared" si="86"/>
        <v>45958</v>
      </c>
      <c r="BY38" s="67">
        <f t="shared" si="86"/>
        <v>45959</v>
      </c>
      <c r="BZ38" s="67">
        <f t="shared" si="86"/>
        <v>45960</v>
      </c>
      <c r="CA38" s="67">
        <f t="shared" si="86"/>
        <v>45961</v>
      </c>
      <c r="CB38" s="112" t="s">
        <v>33</v>
      </c>
      <c r="CC38" s="113" t="s">
        <v>28</v>
      </c>
      <c r="CD38" s="114" t="s">
        <v>34</v>
      </c>
      <c r="CE38" s="112" t="s">
        <v>13</v>
      </c>
      <c r="CF38" s="113" t="s">
        <v>1</v>
      </c>
      <c r="CG38" s="113" t="s">
        <v>35</v>
      </c>
      <c r="CH38" s="113" t="s">
        <v>36</v>
      </c>
      <c r="CI38" s="113" t="s">
        <v>37</v>
      </c>
      <c r="CJ38" s="113" t="s">
        <v>0</v>
      </c>
      <c r="CK38" s="113" t="s">
        <v>38</v>
      </c>
      <c r="CL38" s="115" t="s">
        <v>11</v>
      </c>
      <c r="CM38" s="108" t="str">
        <f>elenchi!$C8</f>
        <v>vuoto</v>
      </c>
      <c r="CN38" s="109"/>
      <c r="CO38" s="110"/>
      <c r="CP38" s="67">
        <f t="shared" ref="CP38:DT38" si="87">CP$2</f>
        <v>45962</v>
      </c>
      <c r="CQ38" s="67">
        <f t="shared" si="87"/>
        <v>45963</v>
      </c>
      <c r="CR38" s="67">
        <f t="shared" si="87"/>
        <v>45964</v>
      </c>
      <c r="CS38" s="67">
        <f t="shared" si="87"/>
        <v>45965</v>
      </c>
      <c r="CT38" s="67">
        <f t="shared" si="87"/>
        <v>45966</v>
      </c>
      <c r="CU38" s="67">
        <f t="shared" si="87"/>
        <v>45967</v>
      </c>
      <c r="CV38" s="67">
        <f t="shared" si="87"/>
        <v>45968</v>
      </c>
      <c r="CW38" s="67">
        <f t="shared" si="87"/>
        <v>45969</v>
      </c>
      <c r="CX38" s="67">
        <f t="shared" si="87"/>
        <v>45970</v>
      </c>
      <c r="CY38" s="67">
        <f t="shared" si="87"/>
        <v>45971</v>
      </c>
      <c r="CZ38" s="67">
        <f t="shared" si="87"/>
        <v>45972</v>
      </c>
      <c r="DA38" s="67">
        <f t="shared" si="87"/>
        <v>45973</v>
      </c>
      <c r="DB38" s="67">
        <f t="shared" si="87"/>
        <v>45974</v>
      </c>
      <c r="DC38" s="67">
        <f t="shared" si="87"/>
        <v>45975</v>
      </c>
      <c r="DD38" s="67">
        <f t="shared" si="87"/>
        <v>45976</v>
      </c>
      <c r="DE38" s="67">
        <f t="shared" si="87"/>
        <v>45977</v>
      </c>
      <c r="DF38" s="67">
        <f t="shared" si="87"/>
        <v>45978</v>
      </c>
      <c r="DG38" s="67">
        <f t="shared" si="87"/>
        <v>45979</v>
      </c>
      <c r="DH38" s="67">
        <f t="shared" si="87"/>
        <v>45980</v>
      </c>
      <c r="DI38" s="67">
        <f t="shared" si="87"/>
        <v>45981</v>
      </c>
      <c r="DJ38" s="67">
        <f t="shared" si="87"/>
        <v>45982</v>
      </c>
      <c r="DK38" s="67">
        <f t="shared" si="87"/>
        <v>45983</v>
      </c>
      <c r="DL38" s="67">
        <f t="shared" si="87"/>
        <v>45984</v>
      </c>
      <c r="DM38" s="67">
        <f t="shared" si="87"/>
        <v>45985</v>
      </c>
      <c r="DN38" s="67">
        <f t="shared" si="87"/>
        <v>45986</v>
      </c>
      <c r="DO38" s="67">
        <f t="shared" si="87"/>
        <v>45987</v>
      </c>
      <c r="DP38" s="67">
        <f t="shared" si="87"/>
        <v>45988</v>
      </c>
      <c r="DQ38" s="67">
        <f t="shared" si="87"/>
        <v>45989</v>
      </c>
      <c r="DR38" s="67">
        <f t="shared" si="87"/>
        <v>45990</v>
      </c>
      <c r="DS38" s="67">
        <f t="shared" si="87"/>
        <v>45991</v>
      </c>
      <c r="DT38" s="67" t="str">
        <f t="shared" si="87"/>
        <v/>
      </c>
      <c r="DU38" s="112" t="s">
        <v>33</v>
      </c>
      <c r="DV38" s="113" t="s">
        <v>28</v>
      </c>
      <c r="DW38" s="114" t="s">
        <v>34</v>
      </c>
      <c r="DX38" s="112" t="s">
        <v>13</v>
      </c>
      <c r="DY38" s="113" t="s">
        <v>1</v>
      </c>
      <c r="DZ38" s="113" t="s">
        <v>35</v>
      </c>
      <c r="EA38" s="113" t="s">
        <v>36</v>
      </c>
      <c r="EB38" s="113" t="s">
        <v>37</v>
      </c>
      <c r="EC38" s="113" t="s">
        <v>0</v>
      </c>
      <c r="ED38" s="113" t="s">
        <v>38</v>
      </c>
      <c r="EE38" s="114" t="s">
        <v>11</v>
      </c>
      <c r="EF38" s="108" t="str">
        <f>elenchi!$C8</f>
        <v>vuoto</v>
      </c>
      <c r="EG38" s="109"/>
      <c r="EH38" s="110"/>
      <c r="EI38" s="67">
        <f t="shared" ref="EI38:FM38" si="88">EI$2</f>
        <v>45992</v>
      </c>
      <c r="EJ38" s="67">
        <f t="shared" si="88"/>
        <v>45993</v>
      </c>
      <c r="EK38" s="67">
        <f t="shared" si="88"/>
        <v>45994</v>
      </c>
      <c r="EL38" s="67">
        <f t="shared" si="88"/>
        <v>45995</v>
      </c>
      <c r="EM38" s="67">
        <f t="shared" si="88"/>
        <v>45996</v>
      </c>
      <c r="EN38" s="67">
        <f t="shared" si="88"/>
        <v>45997</v>
      </c>
      <c r="EO38" s="67">
        <f t="shared" si="88"/>
        <v>45998</v>
      </c>
      <c r="EP38" s="67">
        <f t="shared" si="88"/>
        <v>45999</v>
      </c>
      <c r="EQ38" s="67">
        <f t="shared" si="88"/>
        <v>46000</v>
      </c>
      <c r="ER38" s="67">
        <f t="shared" si="88"/>
        <v>46001</v>
      </c>
      <c r="ES38" s="67">
        <f t="shared" si="88"/>
        <v>46002</v>
      </c>
      <c r="ET38" s="67">
        <f t="shared" si="88"/>
        <v>46003</v>
      </c>
      <c r="EU38" s="67">
        <f t="shared" si="88"/>
        <v>46004</v>
      </c>
      <c r="EV38" s="67">
        <f t="shared" si="88"/>
        <v>46005</v>
      </c>
      <c r="EW38" s="67">
        <f t="shared" si="88"/>
        <v>46006</v>
      </c>
      <c r="EX38" s="67">
        <f t="shared" si="88"/>
        <v>46007</v>
      </c>
      <c r="EY38" s="67">
        <f t="shared" si="88"/>
        <v>46008</v>
      </c>
      <c r="EZ38" s="67">
        <f t="shared" si="88"/>
        <v>46009</v>
      </c>
      <c r="FA38" s="67">
        <f t="shared" si="88"/>
        <v>46010</v>
      </c>
      <c r="FB38" s="67">
        <f t="shared" si="88"/>
        <v>46011</v>
      </c>
      <c r="FC38" s="67">
        <f t="shared" si="88"/>
        <v>46012</v>
      </c>
      <c r="FD38" s="67">
        <f t="shared" si="88"/>
        <v>46013</v>
      </c>
      <c r="FE38" s="67">
        <f t="shared" si="88"/>
        <v>46014</v>
      </c>
      <c r="FF38" s="67">
        <f t="shared" si="88"/>
        <v>46015</v>
      </c>
      <c r="FG38" s="67">
        <f t="shared" si="88"/>
        <v>46016</v>
      </c>
      <c r="FH38" s="67">
        <f t="shared" si="88"/>
        <v>46017</v>
      </c>
      <c r="FI38" s="67">
        <f t="shared" si="88"/>
        <v>46018</v>
      </c>
      <c r="FJ38" s="67">
        <f t="shared" si="88"/>
        <v>46019</v>
      </c>
      <c r="FK38" s="67">
        <f t="shared" si="88"/>
        <v>46020</v>
      </c>
      <c r="FL38" s="67">
        <f t="shared" si="88"/>
        <v>46021</v>
      </c>
      <c r="FM38" s="67">
        <f t="shared" si="88"/>
        <v>46022</v>
      </c>
      <c r="FN38" s="112" t="s">
        <v>33</v>
      </c>
      <c r="FO38" s="113" t="s">
        <v>28</v>
      </c>
      <c r="FP38" s="114" t="s">
        <v>34</v>
      </c>
      <c r="FQ38" s="112" t="s">
        <v>13</v>
      </c>
      <c r="FR38" s="113" t="s">
        <v>1</v>
      </c>
      <c r="FS38" s="113" t="s">
        <v>35</v>
      </c>
      <c r="FT38" s="113" t="s">
        <v>36</v>
      </c>
      <c r="FU38" s="113" t="s">
        <v>37</v>
      </c>
      <c r="FV38" s="113" t="s">
        <v>0</v>
      </c>
      <c r="FW38" s="113" t="s">
        <v>38</v>
      </c>
      <c r="FX38" s="114" t="s">
        <v>11</v>
      </c>
      <c r="FY38" s="108" t="str">
        <f>elenchi!$C8</f>
        <v>vuoto</v>
      </c>
      <c r="FZ38" s="109"/>
      <c r="GA38" s="110"/>
      <c r="GB38" s="67">
        <f t="shared" ref="GB38:HF38" si="89">GB$2</f>
        <v>46023</v>
      </c>
      <c r="GC38" s="67">
        <f t="shared" si="89"/>
        <v>46024</v>
      </c>
      <c r="GD38" s="67">
        <f t="shared" si="89"/>
        <v>46025</v>
      </c>
      <c r="GE38" s="67">
        <f t="shared" si="89"/>
        <v>46026</v>
      </c>
      <c r="GF38" s="67">
        <f t="shared" si="89"/>
        <v>46027</v>
      </c>
      <c r="GG38" s="67">
        <f t="shared" si="89"/>
        <v>46028</v>
      </c>
      <c r="GH38" s="67">
        <f t="shared" si="89"/>
        <v>46029</v>
      </c>
      <c r="GI38" s="67">
        <f t="shared" si="89"/>
        <v>46030</v>
      </c>
      <c r="GJ38" s="67">
        <f t="shared" si="89"/>
        <v>46031</v>
      </c>
      <c r="GK38" s="67">
        <f t="shared" si="89"/>
        <v>46032</v>
      </c>
      <c r="GL38" s="67">
        <f t="shared" si="89"/>
        <v>46033</v>
      </c>
      <c r="GM38" s="67">
        <f t="shared" si="89"/>
        <v>46034</v>
      </c>
      <c r="GN38" s="67">
        <f t="shared" si="89"/>
        <v>46035</v>
      </c>
      <c r="GO38" s="67">
        <f t="shared" si="89"/>
        <v>46036</v>
      </c>
      <c r="GP38" s="67">
        <f t="shared" si="89"/>
        <v>46037</v>
      </c>
      <c r="GQ38" s="67">
        <f t="shared" si="89"/>
        <v>46038</v>
      </c>
      <c r="GR38" s="67">
        <f t="shared" si="89"/>
        <v>46039</v>
      </c>
      <c r="GS38" s="67">
        <f t="shared" si="89"/>
        <v>46040</v>
      </c>
      <c r="GT38" s="67">
        <f t="shared" si="89"/>
        <v>46041</v>
      </c>
      <c r="GU38" s="67">
        <f t="shared" si="89"/>
        <v>46042</v>
      </c>
      <c r="GV38" s="67">
        <f t="shared" si="89"/>
        <v>46043</v>
      </c>
      <c r="GW38" s="67">
        <f t="shared" si="89"/>
        <v>46044</v>
      </c>
      <c r="GX38" s="67">
        <f t="shared" si="89"/>
        <v>46045</v>
      </c>
      <c r="GY38" s="67">
        <f t="shared" si="89"/>
        <v>46046</v>
      </c>
      <c r="GZ38" s="67">
        <f t="shared" si="89"/>
        <v>46047</v>
      </c>
      <c r="HA38" s="67">
        <f t="shared" si="89"/>
        <v>46048</v>
      </c>
      <c r="HB38" s="67">
        <f t="shared" si="89"/>
        <v>46049</v>
      </c>
      <c r="HC38" s="67">
        <f t="shared" si="89"/>
        <v>46050</v>
      </c>
      <c r="HD38" s="67">
        <f t="shared" si="89"/>
        <v>46051</v>
      </c>
      <c r="HE38" s="67">
        <f t="shared" si="89"/>
        <v>46052</v>
      </c>
      <c r="HF38" s="67">
        <f t="shared" si="89"/>
        <v>46053</v>
      </c>
      <c r="HG38" s="112" t="s">
        <v>33</v>
      </c>
      <c r="HH38" s="113" t="s">
        <v>28</v>
      </c>
      <c r="HI38" s="114" t="s">
        <v>34</v>
      </c>
      <c r="HJ38" s="112" t="s">
        <v>13</v>
      </c>
      <c r="HK38" s="113" t="s">
        <v>1</v>
      </c>
      <c r="HL38" s="113" t="s">
        <v>35</v>
      </c>
      <c r="HM38" s="113" t="s">
        <v>36</v>
      </c>
      <c r="HN38" s="113" t="s">
        <v>37</v>
      </c>
      <c r="HO38" s="113" t="s">
        <v>0</v>
      </c>
      <c r="HP38" s="113" t="s">
        <v>38</v>
      </c>
      <c r="HQ38" s="114" t="s">
        <v>11</v>
      </c>
      <c r="HR38" s="108" t="str">
        <f>elenchi!$C8</f>
        <v>vuoto</v>
      </c>
      <c r="HS38" s="109"/>
      <c r="HT38" s="110"/>
      <c r="HU38" s="67">
        <f t="shared" ref="HU38:IY38" si="90">HU$2</f>
        <v>46054</v>
      </c>
      <c r="HV38" s="67">
        <f t="shared" si="90"/>
        <v>46055</v>
      </c>
      <c r="HW38" s="67">
        <f t="shared" si="90"/>
        <v>46056</v>
      </c>
      <c r="HX38" s="67">
        <f t="shared" si="90"/>
        <v>46057</v>
      </c>
      <c r="HY38" s="67">
        <f t="shared" si="90"/>
        <v>46058</v>
      </c>
      <c r="HZ38" s="67">
        <f t="shared" si="90"/>
        <v>46059</v>
      </c>
      <c r="IA38" s="67">
        <f t="shared" si="90"/>
        <v>46060</v>
      </c>
      <c r="IB38" s="67">
        <f t="shared" si="90"/>
        <v>46061</v>
      </c>
      <c r="IC38" s="67">
        <f t="shared" si="90"/>
        <v>46062</v>
      </c>
      <c r="ID38" s="67">
        <f t="shared" si="90"/>
        <v>46063</v>
      </c>
      <c r="IE38" s="67">
        <f t="shared" si="90"/>
        <v>46064</v>
      </c>
      <c r="IF38" s="67">
        <f t="shared" si="90"/>
        <v>46065</v>
      </c>
      <c r="IG38" s="67">
        <f t="shared" si="90"/>
        <v>46066</v>
      </c>
      <c r="IH38" s="67">
        <f t="shared" si="90"/>
        <v>46067</v>
      </c>
      <c r="II38" s="67">
        <f t="shared" si="90"/>
        <v>46068</v>
      </c>
      <c r="IJ38" s="67">
        <f t="shared" si="90"/>
        <v>46069</v>
      </c>
      <c r="IK38" s="67">
        <f t="shared" si="90"/>
        <v>46070</v>
      </c>
      <c r="IL38" s="67">
        <f t="shared" si="90"/>
        <v>46071</v>
      </c>
      <c r="IM38" s="67">
        <f t="shared" si="90"/>
        <v>46072</v>
      </c>
      <c r="IN38" s="67">
        <f t="shared" si="90"/>
        <v>46073</v>
      </c>
      <c r="IO38" s="67">
        <f t="shared" si="90"/>
        <v>46074</v>
      </c>
      <c r="IP38" s="67">
        <f t="shared" si="90"/>
        <v>46075</v>
      </c>
      <c r="IQ38" s="67">
        <f t="shared" si="90"/>
        <v>46076</v>
      </c>
      <c r="IR38" s="67">
        <f t="shared" si="90"/>
        <v>46077</v>
      </c>
      <c r="IS38" s="67">
        <f t="shared" si="90"/>
        <v>46078</v>
      </c>
      <c r="IT38" s="67">
        <f t="shared" si="90"/>
        <v>46079</v>
      </c>
      <c r="IU38" s="67">
        <f t="shared" si="90"/>
        <v>46080</v>
      </c>
      <c r="IV38" s="67">
        <f t="shared" si="90"/>
        <v>46081</v>
      </c>
      <c r="IW38" s="67" t="str">
        <f t="shared" si="90"/>
        <v/>
      </c>
      <c r="IX38" s="67" t="str">
        <f t="shared" si="90"/>
        <v/>
      </c>
      <c r="IY38" s="67" t="str">
        <f t="shared" si="90"/>
        <v/>
      </c>
      <c r="IZ38" s="112" t="s">
        <v>33</v>
      </c>
      <c r="JA38" s="113" t="s">
        <v>28</v>
      </c>
      <c r="JB38" s="114" t="s">
        <v>34</v>
      </c>
      <c r="JC38" s="112" t="s">
        <v>13</v>
      </c>
      <c r="JD38" s="113" t="s">
        <v>1</v>
      </c>
      <c r="JE38" s="113" t="s">
        <v>35</v>
      </c>
      <c r="JF38" s="113" t="s">
        <v>36</v>
      </c>
      <c r="JG38" s="113" t="s">
        <v>37</v>
      </c>
      <c r="JH38" s="113" t="s">
        <v>0</v>
      </c>
      <c r="JI38" s="113" t="s">
        <v>38</v>
      </c>
      <c r="JJ38" s="114" t="s">
        <v>11</v>
      </c>
      <c r="JK38" s="108" t="str">
        <f>elenchi!$C8</f>
        <v>vuoto</v>
      </c>
      <c r="JL38" s="109"/>
      <c r="JM38" s="110"/>
      <c r="JN38" s="67">
        <f t="shared" ref="JN38:KR38" si="91">JN$2</f>
        <v>46082</v>
      </c>
      <c r="JO38" s="67">
        <f t="shared" si="91"/>
        <v>46083</v>
      </c>
      <c r="JP38" s="67">
        <f t="shared" si="91"/>
        <v>46084</v>
      </c>
      <c r="JQ38" s="67">
        <f t="shared" si="91"/>
        <v>46085</v>
      </c>
      <c r="JR38" s="67">
        <f t="shared" si="91"/>
        <v>46086</v>
      </c>
      <c r="JS38" s="67">
        <f t="shared" si="91"/>
        <v>46087</v>
      </c>
      <c r="JT38" s="67">
        <f t="shared" si="91"/>
        <v>46088</v>
      </c>
      <c r="JU38" s="67">
        <f t="shared" si="91"/>
        <v>46089</v>
      </c>
      <c r="JV38" s="67">
        <f t="shared" si="91"/>
        <v>46090</v>
      </c>
      <c r="JW38" s="67">
        <f t="shared" si="91"/>
        <v>46091</v>
      </c>
      <c r="JX38" s="67">
        <f t="shared" si="91"/>
        <v>46092</v>
      </c>
      <c r="JY38" s="67">
        <f t="shared" si="91"/>
        <v>46093</v>
      </c>
      <c r="JZ38" s="67">
        <f t="shared" si="91"/>
        <v>46094</v>
      </c>
      <c r="KA38" s="67">
        <f t="shared" si="91"/>
        <v>46095</v>
      </c>
      <c r="KB38" s="67">
        <f t="shared" si="91"/>
        <v>46096</v>
      </c>
      <c r="KC38" s="67">
        <f t="shared" si="91"/>
        <v>46097</v>
      </c>
      <c r="KD38" s="67">
        <f t="shared" si="91"/>
        <v>46098</v>
      </c>
      <c r="KE38" s="67">
        <f t="shared" si="91"/>
        <v>46099</v>
      </c>
      <c r="KF38" s="67">
        <f t="shared" si="91"/>
        <v>46100</v>
      </c>
      <c r="KG38" s="67">
        <f t="shared" si="91"/>
        <v>46101</v>
      </c>
      <c r="KH38" s="67">
        <f t="shared" si="91"/>
        <v>46102</v>
      </c>
      <c r="KI38" s="67">
        <f t="shared" si="91"/>
        <v>46103</v>
      </c>
      <c r="KJ38" s="67">
        <f t="shared" si="91"/>
        <v>46104</v>
      </c>
      <c r="KK38" s="67">
        <f t="shared" si="91"/>
        <v>46105</v>
      </c>
      <c r="KL38" s="67">
        <f t="shared" si="91"/>
        <v>46106</v>
      </c>
      <c r="KM38" s="67">
        <f t="shared" si="91"/>
        <v>46107</v>
      </c>
      <c r="KN38" s="67">
        <f t="shared" si="91"/>
        <v>46108</v>
      </c>
      <c r="KO38" s="67">
        <f t="shared" si="91"/>
        <v>46109</v>
      </c>
      <c r="KP38" s="67">
        <f t="shared" si="91"/>
        <v>46110</v>
      </c>
      <c r="KQ38" s="67">
        <f t="shared" si="91"/>
        <v>46111</v>
      </c>
      <c r="KR38" s="67">
        <f t="shared" si="91"/>
        <v>46112</v>
      </c>
      <c r="KS38" s="112" t="s">
        <v>33</v>
      </c>
      <c r="KT38" s="113" t="s">
        <v>28</v>
      </c>
      <c r="KU38" s="114" t="s">
        <v>34</v>
      </c>
      <c r="KV38" s="112" t="s">
        <v>13</v>
      </c>
      <c r="KW38" s="113" t="s">
        <v>1</v>
      </c>
      <c r="KX38" s="113" t="s">
        <v>35</v>
      </c>
      <c r="KY38" s="113" t="s">
        <v>36</v>
      </c>
      <c r="KZ38" s="113" t="s">
        <v>37</v>
      </c>
      <c r="LA38" s="113" t="s">
        <v>0</v>
      </c>
      <c r="LB38" s="113" t="s">
        <v>38</v>
      </c>
      <c r="LC38" s="114" t="s">
        <v>11</v>
      </c>
      <c r="LD38" s="108" t="str">
        <f>elenchi!$C8</f>
        <v>vuoto</v>
      </c>
      <c r="LE38" s="109"/>
      <c r="LF38" s="110"/>
      <c r="LG38" s="67">
        <f t="shared" ref="LG38:MK38" si="92">LG$2</f>
        <v>46113</v>
      </c>
      <c r="LH38" s="67">
        <f t="shared" si="92"/>
        <v>46114</v>
      </c>
      <c r="LI38" s="67">
        <f t="shared" si="92"/>
        <v>46115</v>
      </c>
      <c r="LJ38" s="67">
        <f t="shared" si="92"/>
        <v>46116</v>
      </c>
      <c r="LK38" s="67">
        <f t="shared" si="92"/>
        <v>46117</v>
      </c>
      <c r="LL38" s="67">
        <f t="shared" si="92"/>
        <v>46118</v>
      </c>
      <c r="LM38" s="67">
        <f t="shared" si="92"/>
        <v>46119</v>
      </c>
      <c r="LN38" s="67">
        <f t="shared" si="92"/>
        <v>46120</v>
      </c>
      <c r="LO38" s="67">
        <f t="shared" si="92"/>
        <v>46121</v>
      </c>
      <c r="LP38" s="67">
        <f t="shared" si="92"/>
        <v>46122</v>
      </c>
      <c r="LQ38" s="67">
        <f t="shared" si="92"/>
        <v>46123</v>
      </c>
      <c r="LR38" s="67">
        <f t="shared" si="92"/>
        <v>46124</v>
      </c>
      <c r="LS38" s="67">
        <f t="shared" si="92"/>
        <v>46125</v>
      </c>
      <c r="LT38" s="67">
        <f t="shared" si="92"/>
        <v>46126</v>
      </c>
      <c r="LU38" s="67">
        <f t="shared" si="92"/>
        <v>46127</v>
      </c>
      <c r="LV38" s="67">
        <f t="shared" si="92"/>
        <v>46128</v>
      </c>
      <c r="LW38" s="67">
        <f t="shared" si="92"/>
        <v>46129</v>
      </c>
      <c r="LX38" s="67">
        <f t="shared" si="92"/>
        <v>46130</v>
      </c>
      <c r="LY38" s="67">
        <f t="shared" si="92"/>
        <v>46131</v>
      </c>
      <c r="LZ38" s="67">
        <f t="shared" si="92"/>
        <v>46132</v>
      </c>
      <c r="MA38" s="67">
        <f t="shared" si="92"/>
        <v>46133</v>
      </c>
      <c r="MB38" s="67">
        <f t="shared" si="92"/>
        <v>46134</v>
      </c>
      <c r="MC38" s="67">
        <f t="shared" si="92"/>
        <v>46135</v>
      </c>
      <c r="MD38" s="67">
        <f t="shared" si="92"/>
        <v>46136</v>
      </c>
      <c r="ME38" s="67">
        <f t="shared" si="92"/>
        <v>46137</v>
      </c>
      <c r="MF38" s="67">
        <f t="shared" si="92"/>
        <v>46138</v>
      </c>
      <c r="MG38" s="67">
        <f t="shared" si="92"/>
        <v>46139</v>
      </c>
      <c r="MH38" s="67">
        <f t="shared" si="92"/>
        <v>46140</v>
      </c>
      <c r="MI38" s="67">
        <f t="shared" si="92"/>
        <v>46141</v>
      </c>
      <c r="MJ38" s="67">
        <f t="shared" si="92"/>
        <v>46142</v>
      </c>
      <c r="MK38" s="67" t="str">
        <f t="shared" si="92"/>
        <v/>
      </c>
      <c r="ML38" s="112" t="s">
        <v>33</v>
      </c>
      <c r="MM38" s="113" t="s">
        <v>28</v>
      </c>
      <c r="MN38" s="114" t="s">
        <v>34</v>
      </c>
      <c r="MO38" s="112" t="s">
        <v>13</v>
      </c>
      <c r="MP38" s="113" t="s">
        <v>1</v>
      </c>
      <c r="MQ38" s="113" t="s">
        <v>35</v>
      </c>
      <c r="MR38" s="113" t="s">
        <v>36</v>
      </c>
      <c r="MS38" s="113" t="s">
        <v>37</v>
      </c>
      <c r="MT38" s="113" t="s">
        <v>0</v>
      </c>
      <c r="MU38" s="113" t="s">
        <v>38</v>
      </c>
      <c r="MV38" s="115" t="s">
        <v>11</v>
      </c>
      <c r="MW38" s="108" t="str">
        <f>elenchi!$C8</f>
        <v>vuoto</v>
      </c>
      <c r="MX38" s="109"/>
      <c r="MY38" s="110"/>
      <c r="MZ38" s="67">
        <f t="shared" ref="MZ38:OD38" si="93">MZ$2</f>
        <v>46143</v>
      </c>
      <c r="NA38" s="67">
        <f t="shared" si="93"/>
        <v>46144</v>
      </c>
      <c r="NB38" s="67">
        <f t="shared" si="93"/>
        <v>46145</v>
      </c>
      <c r="NC38" s="67">
        <f t="shared" si="93"/>
        <v>46146</v>
      </c>
      <c r="ND38" s="67">
        <f t="shared" si="93"/>
        <v>46147</v>
      </c>
      <c r="NE38" s="67">
        <f t="shared" si="93"/>
        <v>46148</v>
      </c>
      <c r="NF38" s="67">
        <f t="shared" si="93"/>
        <v>46149</v>
      </c>
      <c r="NG38" s="67">
        <f t="shared" si="93"/>
        <v>46150</v>
      </c>
      <c r="NH38" s="67">
        <f t="shared" si="93"/>
        <v>46151</v>
      </c>
      <c r="NI38" s="67">
        <f t="shared" si="93"/>
        <v>46152</v>
      </c>
      <c r="NJ38" s="67">
        <f t="shared" si="93"/>
        <v>46153</v>
      </c>
      <c r="NK38" s="67">
        <f t="shared" si="93"/>
        <v>46154</v>
      </c>
      <c r="NL38" s="67">
        <f t="shared" si="93"/>
        <v>46155</v>
      </c>
      <c r="NM38" s="67">
        <f t="shared" si="93"/>
        <v>46156</v>
      </c>
      <c r="NN38" s="67">
        <f t="shared" si="93"/>
        <v>46157</v>
      </c>
      <c r="NO38" s="67">
        <f t="shared" si="93"/>
        <v>46158</v>
      </c>
      <c r="NP38" s="67">
        <f t="shared" si="93"/>
        <v>46159</v>
      </c>
      <c r="NQ38" s="67">
        <f t="shared" si="93"/>
        <v>46160</v>
      </c>
      <c r="NR38" s="67">
        <f t="shared" si="93"/>
        <v>46161</v>
      </c>
      <c r="NS38" s="67">
        <f t="shared" si="93"/>
        <v>46162</v>
      </c>
      <c r="NT38" s="67">
        <f t="shared" si="93"/>
        <v>46163</v>
      </c>
      <c r="NU38" s="67">
        <f t="shared" si="93"/>
        <v>46164</v>
      </c>
      <c r="NV38" s="67">
        <f t="shared" si="93"/>
        <v>46165</v>
      </c>
      <c r="NW38" s="67">
        <f t="shared" si="93"/>
        <v>46166</v>
      </c>
      <c r="NX38" s="67">
        <f t="shared" si="93"/>
        <v>46167</v>
      </c>
      <c r="NY38" s="67">
        <f t="shared" si="93"/>
        <v>46168</v>
      </c>
      <c r="NZ38" s="67">
        <f t="shared" si="93"/>
        <v>46169</v>
      </c>
      <c r="OA38" s="67">
        <f t="shared" si="93"/>
        <v>46170</v>
      </c>
      <c r="OB38" s="67">
        <f t="shared" si="93"/>
        <v>46171</v>
      </c>
      <c r="OC38" s="67">
        <f t="shared" si="93"/>
        <v>46172</v>
      </c>
      <c r="OD38" s="67">
        <f t="shared" si="93"/>
        <v>46173</v>
      </c>
      <c r="OE38" s="112" t="s">
        <v>33</v>
      </c>
      <c r="OF38" s="113" t="s">
        <v>28</v>
      </c>
      <c r="OG38" s="114" t="s">
        <v>34</v>
      </c>
      <c r="OH38" s="112" t="s">
        <v>13</v>
      </c>
      <c r="OI38" s="113" t="s">
        <v>1</v>
      </c>
      <c r="OJ38" s="113" t="s">
        <v>35</v>
      </c>
      <c r="OK38" s="113" t="s">
        <v>36</v>
      </c>
      <c r="OL38" s="113" t="s">
        <v>37</v>
      </c>
      <c r="OM38" s="113" t="s">
        <v>0</v>
      </c>
      <c r="ON38" s="113" t="s">
        <v>38</v>
      </c>
      <c r="OO38" s="115" t="s">
        <v>11</v>
      </c>
      <c r="OP38" s="108" t="str">
        <f>elenchi!$C8</f>
        <v>vuoto</v>
      </c>
      <c r="OQ38" s="109"/>
      <c r="OR38" s="110"/>
      <c r="OS38" s="67">
        <f t="shared" ref="OS38:PW38" si="94">OS$2</f>
        <v>46174</v>
      </c>
      <c r="OT38" s="67">
        <f t="shared" si="94"/>
        <v>46175</v>
      </c>
      <c r="OU38" s="67">
        <f t="shared" si="94"/>
        <v>46176</v>
      </c>
      <c r="OV38" s="67">
        <f t="shared" si="94"/>
        <v>46177</v>
      </c>
      <c r="OW38" s="67">
        <f t="shared" si="94"/>
        <v>46178</v>
      </c>
      <c r="OX38" s="67">
        <f t="shared" si="94"/>
        <v>46179</v>
      </c>
      <c r="OY38" s="67">
        <f t="shared" si="94"/>
        <v>46180</v>
      </c>
      <c r="OZ38" s="67">
        <f t="shared" si="94"/>
        <v>46181</v>
      </c>
      <c r="PA38" s="67">
        <f t="shared" si="94"/>
        <v>46182</v>
      </c>
      <c r="PB38" s="67">
        <f t="shared" si="94"/>
        <v>46183</v>
      </c>
      <c r="PC38" s="67">
        <f t="shared" si="94"/>
        <v>46184</v>
      </c>
      <c r="PD38" s="67">
        <f t="shared" si="94"/>
        <v>46185</v>
      </c>
      <c r="PE38" s="67">
        <f t="shared" si="94"/>
        <v>46186</v>
      </c>
      <c r="PF38" s="67">
        <f t="shared" si="94"/>
        <v>46187</v>
      </c>
      <c r="PG38" s="67">
        <f t="shared" si="94"/>
        <v>46188</v>
      </c>
      <c r="PH38" s="67">
        <f t="shared" si="94"/>
        <v>46189</v>
      </c>
      <c r="PI38" s="67">
        <f t="shared" si="94"/>
        <v>46190</v>
      </c>
      <c r="PJ38" s="67">
        <f t="shared" si="94"/>
        <v>46191</v>
      </c>
      <c r="PK38" s="67">
        <f t="shared" si="94"/>
        <v>46192</v>
      </c>
      <c r="PL38" s="67">
        <f t="shared" si="94"/>
        <v>46193</v>
      </c>
      <c r="PM38" s="67">
        <f t="shared" si="94"/>
        <v>46194</v>
      </c>
      <c r="PN38" s="67">
        <f t="shared" si="94"/>
        <v>46195</v>
      </c>
      <c r="PO38" s="67">
        <f t="shared" si="94"/>
        <v>46196</v>
      </c>
      <c r="PP38" s="67">
        <f t="shared" si="94"/>
        <v>46197</v>
      </c>
      <c r="PQ38" s="67">
        <f t="shared" si="94"/>
        <v>46198</v>
      </c>
      <c r="PR38" s="67">
        <f t="shared" si="94"/>
        <v>46199</v>
      </c>
      <c r="PS38" s="67">
        <f t="shared" si="94"/>
        <v>46200</v>
      </c>
      <c r="PT38" s="67">
        <f t="shared" si="94"/>
        <v>46201</v>
      </c>
      <c r="PU38" s="67">
        <f t="shared" si="94"/>
        <v>46202</v>
      </c>
      <c r="PV38" s="67">
        <f t="shared" si="94"/>
        <v>46203</v>
      </c>
      <c r="PW38" s="67" t="str">
        <f t="shared" si="94"/>
        <v/>
      </c>
      <c r="PX38" s="112" t="s">
        <v>33</v>
      </c>
      <c r="PY38" s="113" t="s">
        <v>28</v>
      </c>
      <c r="PZ38" s="114" t="s">
        <v>34</v>
      </c>
      <c r="QA38" s="112" t="s">
        <v>13</v>
      </c>
      <c r="QB38" s="113" t="s">
        <v>1</v>
      </c>
      <c r="QC38" s="113" t="s">
        <v>35</v>
      </c>
      <c r="QD38" s="113" t="s">
        <v>36</v>
      </c>
      <c r="QE38" s="113" t="s">
        <v>37</v>
      </c>
      <c r="QF38" s="113" t="s">
        <v>0</v>
      </c>
      <c r="QG38" s="113" t="s">
        <v>38</v>
      </c>
      <c r="QH38" s="115" t="s">
        <v>11</v>
      </c>
      <c r="QI38" s="108" t="str">
        <f>elenchi!$C8</f>
        <v>vuoto</v>
      </c>
      <c r="QJ38" s="109"/>
      <c r="QK38" s="110"/>
      <c r="QL38" s="67">
        <f t="shared" ref="QL38:RP38" si="95">QL$2</f>
        <v>46204</v>
      </c>
      <c r="QM38" s="67">
        <f t="shared" si="95"/>
        <v>46205</v>
      </c>
      <c r="QN38" s="67">
        <f t="shared" si="95"/>
        <v>46206</v>
      </c>
      <c r="QO38" s="67">
        <f t="shared" si="95"/>
        <v>46207</v>
      </c>
      <c r="QP38" s="67">
        <f t="shared" si="95"/>
        <v>46208</v>
      </c>
      <c r="QQ38" s="67">
        <f t="shared" si="95"/>
        <v>46209</v>
      </c>
      <c r="QR38" s="67">
        <f t="shared" si="95"/>
        <v>46210</v>
      </c>
      <c r="QS38" s="67">
        <f t="shared" si="95"/>
        <v>46211</v>
      </c>
      <c r="QT38" s="67">
        <f t="shared" si="95"/>
        <v>46212</v>
      </c>
      <c r="QU38" s="67">
        <f t="shared" si="95"/>
        <v>46213</v>
      </c>
      <c r="QV38" s="67">
        <f t="shared" si="95"/>
        <v>46214</v>
      </c>
      <c r="QW38" s="67">
        <f t="shared" si="95"/>
        <v>46215</v>
      </c>
      <c r="QX38" s="67">
        <f t="shared" si="95"/>
        <v>46216</v>
      </c>
      <c r="QY38" s="67">
        <f t="shared" si="95"/>
        <v>46217</v>
      </c>
      <c r="QZ38" s="67">
        <f t="shared" si="95"/>
        <v>46218</v>
      </c>
      <c r="RA38" s="67">
        <f t="shared" si="95"/>
        <v>46219</v>
      </c>
      <c r="RB38" s="67">
        <f t="shared" si="95"/>
        <v>46220</v>
      </c>
      <c r="RC38" s="67">
        <f t="shared" si="95"/>
        <v>46221</v>
      </c>
      <c r="RD38" s="67">
        <f t="shared" si="95"/>
        <v>46222</v>
      </c>
      <c r="RE38" s="67">
        <f t="shared" si="95"/>
        <v>46223</v>
      </c>
      <c r="RF38" s="67">
        <f t="shared" si="95"/>
        <v>46224</v>
      </c>
      <c r="RG38" s="67">
        <f t="shared" si="95"/>
        <v>46225</v>
      </c>
      <c r="RH38" s="67">
        <f t="shared" si="95"/>
        <v>46226</v>
      </c>
      <c r="RI38" s="67">
        <f t="shared" si="95"/>
        <v>46227</v>
      </c>
      <c r="RJ38" s="67">
        <f t="shared" si="95"/>
        <v>46228</v>
      </c>
      <c r="RK38" s="67">
        <f t="shared" si="95"/>
        <v>46229</v>
      </c>
      <c r="RL38" s="67">
        <f t="shared" si="95"/>
        <v>46230</v>
      </c>
      <c r="RM38" s="67">
        <f t="shared" si="95"/>
        <v>46231</v>
      </c>
      <c r="RN38" s="67">
        <f t="shared" si="95"/>
        <v>46232</v>
      </c>
      <c r="RO38" s="67">
        <f t="shared" si="95"/>
        <v>46233</v>
      </c>
      <c r="RP38" s="67">
        <f t="shared" si="95"/>
        <v>46234</v>
      </c>
      <c r="RQ38" s="112" t="s">
        <v>33</v>
      </c>
      <c r="RR38" s="113" t="s">
        <v>28</v>
      </c>
      <c r="RS38" s="114" t="s">
        <v>34</v>
      </c>
      <c r="RT38" s="112" t="s">
        <v>13</v>
      </c>
      <c r="RU38" s="113" t="s">
        <v>1</v>
      </c>
      <c r="RV38" s="113" t="s">
        <v>35</v>
      </c>
      <c r="RW38" s="113" t="s">
        <v>36</v>
      </c>
      <c r="RX38" s="113" t="s">
        <v>37</v>
      </c>
      <c r="RY38" s="113" t="s">
        <v>0</v>
      </c>
      <c r="RZ38" s="113" t="s">
        <v>38</v>
      </c>
      <c r="SA38" s="115" t="s">
        <v>11</v>
      </c>
      <c r="SB38" s="108" t="str">
        <f>elenchi!$C8</f>
        <v>vuoto</v>
      </c>
      <c r="SC38" s="109"/>
      <c r="SD38" s="110"/>
      <c r="SE38" s="67">
        <f t="shared" ref="SE38:TI38" si="96">SE$2</f>
        <v>46235</v>
      </c>
      <c r="SF38" s="67">
        <f t="shared" si="96"/>
        <v>46236</v>
      </c>
      <c r="SG38" s="67">
        <f t="shared" si="96"/>
        <v>46237</v>
      </c>
      <c r="SH38" s="67">
        <f t="shared" si="96"/>
        <v>46238</v>
      </c>
      <c r="SI38" s="67">
        <f t="shared" si="96"/>
        <v>46239</v>
      </c>
      <c r="SJ38" s="67">
        <f t="shared" si="96"/>
        <v>46240</v>
      </c>
      <c r="SK38" s="67">
        <f t="shared" si="96"/>
        <v>46241</v>
      </c>
      <c r="SL38" s="67">
        <f t="shared" si="96"/>
        <v>46242</v>
      </c>
      <c r="SM38" s="67">
        <f t="shared" si="96"/>
        <v>46243</v>
      </c>
      <c r="SN38" s="67">
        <f t="shared" si="96"/>
        <v>46244</v>
      </c>
      <c r="SO38" s="67">
        <f t="shared" si="96"/>
        <v>46245</v>
      </c>
      <c r="SP38" s="67">
        <f t="shared" si="96"/>
        <v>46246</v>
      </c>
      <c r="SQ38" s="67">
        <f t="shared" si="96"/>
        <v>46247</v>
      </c>
      <c r="SR38" s="67">
        <f t="shared" si="96"/>
        <v>46248</v>
      </c>
      <c r="SS38" s="67">
        <f t="shared" si="96"/>
        <v>46249</v>
      </c>
      <c r="ST38" s="67">
        <f t="shared" si="96"/>
        <v>46250</v>
      </c>
      <c r="SU38" s="67">
        <f t="shared" si="96"/>
        <v>46251</v>
      </c>
      <c r="SV38" s="67">
        <f t="shared" si="96"/>
        <v>46252</v>
      </c>
      <c r="SW38" s="67">
        <f t="shared" si="96"/>
        <v>46253</v>
      </c>
      <c r="SX38" s="67">
        <f t="shared" si="96"/>
        <v>46254</v>
      </c>
      <c r="SY38" s="67">
        <f t="shared" si="96"/>
        <v>46255</v>
      </c>
      <c r="SZ38" s="67">
        <f t="shared" si="96"/>
        <v>46256</v>
      </c>
      <c r="TA38" s="67">
        <f t="shared" si="96"/>
        <v>46257</v>
      </c>
      <c r="TB38" s="67">
        <f t="shared" si="96"/>
        <v>46258</v>
      </c>
      <c r="TC38" s="67">
        <f t="shared" si="96"/>
        <v>46259</v>
      </c>
      <c r="TD38" s="67">
        <f t="shared" si="96"/>
        <v>46260</v>
      </c>
      <c r="TE38" s="67">
        <f t="shared" si="96"/>
        <v>46261</v>
      </c>
      <c r="TF38" s="67">
        <f t="shared" si="96"/>
        <v>46262</v>
      </c>
      <c r="TG38" s="67">
        <f t="shared" si="96"/>
        <v>46263</v>
      </c>
      <c r="TH38" s="67">
        <f t="shared" si="96"/>
        <v>46264</v>
      </c>
      <c r="TI38" s="67">
        <f t="shared" si="96"/>
        <v>46265</v>
      </c>
      <c r="TJ38" s="112" t="s">
        <v>33</v>
      </c>
      <c r="TK38" s="113" t="s">
        <v>28</v>
      </c>
      <c r="TL38" s="114" t="s">
        <v>34</v>
      </c>
      <c r="TM38" s="112" t="s">
        <v>13</v>
      </c>
      <c r="TN38" s="113" t="s">
        <v>1</v>
      </c>
      <c r="TO38" s="113" t="s">
        <v>35</v>
      </c>
      <c r="TP38" s="113" t="s">
        <v>36</v>
      </c>
      <c r="TQ38" s="113" t="s">
        <v>37</v>
      </c>
      <c r="TR38" s="113" t="s">
        <v>0</v>
      </c>
      <c r="TS38" s="113" t="s">
        <v>38</v>
      </c>
      <c r="TT38" s="114" t="s">
        <v>11</v>
      </c>
    </row>
    <row r="39" ht="24.75" hidden="1" customHeight="1" outlineLevel="1">
      <c r="A39" s="117"/>
      <c r="B39" s="65"/>
      <c r="C39" s="66"/>
      <c r="D39" s="74">
        <f>Settembre25!$I$2</f>
        <v>7.5</v>
      </c>
      <c r="E39" s="75">
        <f>Settembre25!$I$3</f>
        <v>8</v>
      </c>
      <c r="F39" s="75">
        <f>Settembre25!$I$4</f>
        <v>8</v>
      </c>
      <c r="G39" s="75">
        <f>Settembre25!$I$5</f>
        <v>8</v>
      </c>
      <c r="H39" s="76">
        <f>Settembre25!$I$6</f>
        <v>8</v>
      </c>
      <c r="I39" s="76">
        <f>Settembre25!$I$7</f>
        <v>8</v>
      </c>
      <c r="J39" s="75" t="str">
        <f>Settembre25!$I$8</f>
        <v/>
      </c>
      <c r="K39" s="75">
        <f>Settembre25!$I$9</f>
        <v>8</v>
      </c>
      <c r="L39" s="75">
        <f>Settembre25!$I$10</f>
        <v>8</v>
      </c>
      <c r="M39" s="75">
        <f>Settembre25!$I$11</f>
        <v>8</v>
      </c>
      <c r="N39" s="75">
        <f>Settembre25!$I$12</f>
        <v>8</v>
      </c>
      <c r="O39" s="76">
        <f>Settembre25!$I$13</f>
        <v>8</v>
      </c>
      <c r="P39" s="75">
        <f>Settembre25!$I$14</f>
        <v>8</v>
      </c>
      <c r="Q39" s="75" t="str">
        <f>Settembre25!$I$15</f>
        <v/>
      </c>
      <c r="R39" s="75">
        <f>Settembre25!$I$16</f>
        <v>8</v>
      </c>
      <c r="S39" s="75">
        <f>Settembre25!$I$17</f>
        <v>8</v>
      </c>
      <c r="T39" s="75">
        <f>Settembre25!$I$18</f>
        <v>8</v>
      </c>
      <c r="U39" s="75">
        <f>Settembre25!$I$19</f>
        <v>8</v>
      </c>
      <c r="V39" s="76">
        <f>Settembre25!$I$20</f>
        <v>8</v>
      </c>
      <c r="W39" s="76">
        <f>Settembre25!$I$21</f>
        <v>8</v>
      </c>
      <c r="X39" s="75" t="str">
        <f>Settembre25!$I$22</f>
        <v/>
      </c>
      <c r="Y39" s="75">
        <f>Settembre25!$I$23</f>
        <v>8</v>
      </c>
      <c r="Z39" s="75" t="str">
        <f>Settembre25!$I$24</f>
        <v/>
      </c>
      <c r="AA39" s="75">
        <f>Settembre25!$I$25</f>
        <v>7.5</v>
      </c>
      <c r="AB39" s="75">
        <f>Settembre25!$I$26</f>
        <v>7.5</v>
      </c>
      <c r="AC39" s="76">
        <f>Settembre25!$I$27</f>
        <v>7.5</v>
      </c>
      <c r="AD39" s="76">
        <f>Settembre25!$I$28</f>
        <v>8</v>
      </c>
      <c r="AE39" s="75" t="str">
        <f>Settembre25!$I$29</f>
        <v/>
      </c>
      <c r="AF39" s="75">
        <f>Settembre25!$I$30</f>
        <v>8</v>
      </c>
      <c r="AG39" s="75">
        <f>Settembre25!$I$31</f>
        <v>8</v>
      </c>
      <c r="AH39" s="77" t="str">
        <f>Settembre25!$I$32</f>
        <v/>
      </c>
      <c r="AI39" s="78"/>
      <c r="AJ39" s="79">
        <f>SUM(D39:AH39)</f>
        <v>198</v>
      </c>
      <c r="AK39" s="80"/>
      <c r="AL39" s="78"/>
      <c r="AM39" s="81"/>
      <c r="AN39" s="81"/>
      <c r="AO39" s="81"/>
      <c r="AP39" s="81"/>
      <c r="AQ39" s="81"/>
      <c r="AR39" s="81"/>
      <c r="AS39" s="82"/>
      <c r="AT39" s="117"/>
      <c r="AU39" s="65"/>
      <c r="AV39" s="66"/>
      <c r="AW39" s="83">
        <f>Ottobre25!$I$2</f>
        <v>8</v>
      </c>
      <c r="AX39" s="84">
        <f>Ottobre25!$I$3</f>
        <v>8</v>
      </c>
      <c r="AY39" s="84">
        <f>Ottobre25!$I$4</f>
        <v>8</v>
      </c>
      <c r="AZ39" s="84">
        <f>Ottobre25!$I$5</f>
        <v>8</v>
      </c>
      <c r="BA39" s="84" t="str">
        <f>Ottobre25!$I$6</f>
        <v/>
      </c>
      <c r="BB39" s="85">
        <f>Ottobre25!$I$7</f>
        <v>8</v>
      </c>
      <c r="BC39" s="84">
        <f>Ottobre25!$I$8</f>
        <v>8</v>
      </c>
      <c r="BD39" s="84">
        <f>Ottobre25!$I$9</f>
        <v>8</v>
      </c>
      <c r="BE39" s="84">
        <f>Ottobre25!$I$10</f>
        <v>8</v>
      </c>
      <c r="BF39" s="84">
        <f>Ottobre25!$I$11</f>
        <v>8</v>
      </c>
      <c r="BG39" s="84">
        <f>Ottobre25!$I$12</f>
        <v>8</v>
      </c>
      <c r="BH39" s="84" t="str">
        <f>Ottobre25!$I$13</f>
        <v/>
      </c>
      <c r="BI39" s="85">
        <f>Ottobre25!$I$14</f>
        <v>8</v>
      </c>
      <c r="BJ39" s="84">
        <f>Ottobre25!$I$15</f>
        <v>8</v>
      </c>
      <c r="BK39" s="84">
        <f>Ottobre25!$I$16</f>
        <v>8</v>
      </c>
      <c r="BL39" s="84">
        <f>Ottobre25!$I$17</f>
        <v>8</v>
      </c>
      <c r="BM39" s="84">
        <f>Ottobre25!$I$18</f>
        <v>8</v>
      </c>
      <c r="BN39" s="84" t="str">
        <f>Ottobre25!$I$19</f>
        <v>No</v>
      </c>
      <c r="BO39" s="85" t="str">
        <f>Ottobre25!$I$20</f>
        <v/>
      </c>
      <c r="BP39" s="84">
        <f>Ottobre25!$I$21</f>
        <v>8</v>
      </c>
      <c r="BQ39" s="84">
        <f>Ottobre25!$I$22</f>
        <v>8</v>
      </c>
      <c r="BR39" s="84">
        <f>Ottobre25!$I$23</f>
        <v>8</v>
      </c>
      <c r="BS39" s="84">
        <f>Ottobre25!$I$24</f>
        <v>8</v>
      </c>
      <c r="BT39" s="84">
        <f>Ottobre25!$I$25</f>
        <v>8</v>
      </c>
      <c r="BU39" s="84">
        <f>Ottobre25!$I$26</f>
        <v>8</v>
      </c>
      <c r="BV39" s="84" t="str">
        <f>Ottobre25!$I$27</f>
        <v/>
      </c>
      <c r="BW39" s="85">
        <f>Ottobre25!$I$28</f>
        <v>8</v>
      </c>
      <c r="BX39" s="84">
        <f>Ottobre25!$I$29</f>
        <v>8</v>
      </c>
      <c r="BY39" s="84">
        <f>Ottobre25!$I$30</f>
        <v>8</v>
      </c>
      <c r="BZ39" s="84">
        <f>Ottobre25!$I$31</f>
        <v>8</v>
      </c>
      <c r="CA39" s="86">
        <f>Ottobre25!$I$32</f>
        <v>8</v>
      </c>
      <c r="CB39" s="78"/>
      <c r="CC39" s="79">
        <f>SUM(AW39:CA39)</f>
        <v>208</v>
      </c>
      <c r="CD39" s="80"/>
      <c r="CE39" s="78"/>
      <c r="CF39" s="81"/>
      <c r="CG39" s="81"/>
      <c r="CH39" s="81"/>
      <c r="CI39" s="81"/>
      <c r="CJ39" s="81"/>
      <c r="CK39" s="81"/>
      <c r="CL39" s="82"/>
      <c r="CM39" s="117"/>
      <c r="CN39" s="65"/>
      <c r="CO39" s="66"/>
      <c r="CP39" s="83" t="str">
        <f>Novembre25!$I$2</f>
        <v/>
      </c>
      <c r="CQ39" s="84" t="str">
        <f>Novembre25!$I$3</f>
        <v/>
      </c>
      <c r="CR39" s="84">
        <f>Novembre25!$I$4</f>
        <v>8</v>
      </c>
      <c r="CS39" s="84">
        <f>Novembre25!$I$5</f>
        <v>8</v>
      </c>
      <c r="CT39" s="84">
        <f>Novembre25!$I$6</f>
        <v>8</v>
      </c>
      <c r="CU39" s="85">
        <f>Novembre25!$I$7</f>
        <v>8</v>
      </c>
      <c r="CV39" s="84">
        <f>Novembre25!$I$8</f>
        <v>8</v>
      </c>
      <c r="CW39" s="84">
        <f>Novembre25!$I$9</f>
        <v>8</v>
      </c>
      <c r="CX39" s="84" t="str">
        <f>Novembre25!$I$10</f>
        <v/>
      </c>
      <c r="CY39" s="84">
        <f>Novembre25!$I$11</f>
        <v>8</v>
      </c>
      <c r="CZ39" s="84">
        <f>Novembre25!$I$12</f>
        <v>8</v>
      </c>
      <c r="DA39" s="84">
        <f>Novembre25!$I$13</f>
        <v>8</v>
      </c>
      <c r="DB39" s="85">
        <f>Novembre25!$I$14</f>
        <v>8</v>
      </c>
      <c r="DC39" s="84">
        <f>Novembre25!$I$15</f>
        <v>8</v>
      </c>
      <c r="DD39" s="84">
        <f>Novembre25!$I$16</f>
        <v>6</v>
      </c>
      <c r="DE39" s="84" t="str">
        <f>Novembre25!$I$17</f>
        <v/>
      </c>
      <c r="DF39" s="84">
        <f>Novembre25!$I$18</f>
        <v>8</v>
      </c>
      <c r="DG39" s="84">
        <f>Novembre25!$I$19</f>
        <v>8</v>
      </c>
      <c r="DH39" s="85">
        <f>Novembre25!$I$20</f>
        <v>8</v>
      </c>
      <c r="DI39" s="84">
        <f>Novembre25!$I$21</f>
        <v>8</v>
      </c>
      <c r="DJ39" s="84">
        <f>Novembre25!$I$22</f>
        <v>8</v>
      </c>
      <c r="DK39" s="84">
        <f>Novembre25!$I$23</f>
        <v>8</v>
      </c>
      <c r="DL39" s="84" t="str">
        <f>Novembre25!$I$24</f>
        <v/>
      </c>
      <c r="DM39" s="84">
        <f>Novembre25!$I$25</f>
        <v>8</v>
      </c>
      <c r="DN39" s="84">
        <f>Novembre25!$I$26</f>
        <v>8</v>
      </c>
      <c r="DO39" s="84">
        <f>Novembre25!$I$27</f>
        <v>8</v>
      </c>
      <c r="DP39" s="85">
        <f>Novembre25!$I$28</f>
        <v>8</v>
      </c>
      <c r="DQ39" s="84">
        <f>Novembre25!$I$29</f>
        <v>8</v>
      </c>
      <c r="DR39" s="84">
        <f>Novembre25!$I$30</f>
        <v>8</v>
      </c>
      <c r="DS39" s="84" t="str">
        <f>Novembre25!$I$31</f>
        <v/>
      </c>
      <c r="DT39" s="86" t="str">
        <f>Novembre25!$I$32</f>
        <v/>
      </c>
      <c r="DU39" s="78"/>
      <c r="DV39" s="79">
        <f>SUM(CP39:DT39)</f>
        <v>190</v>
      </c>
      <c r="DW39" s="80"/>
      <c r="DX39" s="78"/>
      <c r="DY39" s="81"/>
      <c r="DZ39" s="81"/>
      <c r="EA39" s="81"/>
      <c r="EB39" s="81"/>
      <c r="EC39" s="81"/>
      <c r="ED39" s="81"/>
      <c r="EE39" s="80"/>
      <c r="EF39" s="117"/>
      <c r="EG39" s="65"/>
      <c r="EH39" s="66"/>
      <c r="EI39" s="83">
        <f>Dicembre25!$I$2</f>
        <v>8</v>
      </c>
      <c r="EJ39" s="84">
        <f>Dicembre25!$I$3</f>
        <v>8</v>
      </c>
      <c r="EK39" s="84">
        <f>Dicembre25!$I$4</f>
        <v>8</v>
      </c>
      <c r="EL39" s="84">
        <f>Dicembre25!$I$5</f>
        <v>8</v>
      </c>
      <c r="EM39" s="84">
        <f>Dicembre25!$I$6</f>
        <v>8</v>
      </c>
      <c r="EN39" s="85">
        <f>Dicembre25!$I$7</f>
        <v>9</v>
      </c>
      <c r="EO39" s="84" t="str">
        <f>Dicembre25!$I$8</f>
        <v/>
      </c>
      <c r="EP39" s="84" t="str">
        <f>Dicembre25!$I$9</f>
        <v>F</v>
      </c>
      <c r="EQ39" s="84" t="str">
        <f>Dicembre25!$I$10</f>
        <v>Pe</v>
      </c>
      <c r="ER39" s="84">
        <f>Dicembre25!$I$11</f>
        <v>8</v>
      </c>
      <c r="ES39" s="84">
        <f>Dicembre25!$I$12</f>
        <v>8</v>
      </c>
      <c r="ET39" s="84">
        <f>Dicembre25!$I$13</f>
        <v>8</v>
      </c>
      <c r="EU39" s="85">
        <f>Dicembre25!$I$14</f>
        <v>5</v>
      </c>
      <c r="EV39" s="84" t="str">
        <f>Dicembre25!$I$15</f>
        <v/>
      </c>
      <c r="EW39" s="84">
        <f>Dicembre25!$I$16</f>
        <v>8</v>
      </c>
      <c r="EX39" s="84">
        <f>Dicembre25!$I$17</f>
        <v>8</v>
      </c>
      <c r="EY39" s="84">
        <f>Dicembre25!$I$18</f>
        <v>8</v>
      </c>
      <c r="EZ39" s="84">
        <f>Dicembre25!$I$19</f>
        <v>8</v>
      </c>
      <c r="FA39" s="85">
        <f>Dicembre25!$I$20</f>
        <v>8</v>
      </c>
      <c r="FB39" s="84">
        <f>Dicembre25!$I$21</f>
        <v>8</v>
      </c>
      <c r="FC39" s="84" t="str">
        <f>Dicembre25!$I$22</f>
        <v/>
      </c>
      <c r="FD39" s="84">
        <f>Dicembre25!$I$23</f>
        <v>8</v>
      </c>
      <c r="FE39" s="84">
        <f>Dicembre25!$I$24</f>
        <v>8</v>
      </c>
      <c r="FF39" s="84" t="str">
        <f>Dicembre25!$I$25</f>
        <v>Fe</v>
      </c>
      <c r="FG39" s="84" t="str">
        <f>Dicembre25!$I$26</f>
        <v>F</v>
      </c>
      <c r="FH39" s="84" t="str">
        <f>Dicembre25!$I$27</f>
        <v>F</v>
      </c>
      <c r="FI39" s="85" t="str">
        <f>Dicembre25!$I$28</f>
        <v/>
      </c>
      <c r="FJ39" s="84" t="str">
        <f>Dicembre25!$I$29</f>
        <v/>
      </c>
      <c r="FK39" s="84">
        <f>Dicembre25!$I$30</f>
        <v>8</v>
      </c>
      <c r="FL39" s="84">
        <f>Dicembre25!$I$31</f>
        <v>8</v>
      </c>
      <c r="FM39" s="86" t="str">
        <f>Dicembre25!$I$32</f>
        <v/>
      </c>
      <c r="FN39" s="78"/>
      <c r="FO39" s="79">
        <f>SUM(EI39:FM39)</f>
        <v>158</v>
      </c>
      <c r="FP39" s="80"/>
      <c r="FQ39" s="78"/>
      <c r="FR39" s="81"/>
      <c r="FS39" s="81"/>
      <c r="FT39" s="81"/>
      <c r="FU39" s="81"/>
      <c r="FV39" s="81"/>
      <c r="FW39" s="81"/>
      <c r="FX39" s="80"/>
      <c r="FY39" s="117"/>
      <c r="FZ39" s="65"/>
      <c r="GA39" s="66"/>
      <c r="GB39" s="83" t="str">
        <f>Gennaio26!$I$2</f>
        <v>F</v>
      </c>
      <c r="GC39" s="84" t="str">
        <f>Gennaio26!$I$3</f>
        <v>FE</v>
      </c>
      <c r="GD39" s="84" t="str">
        <f>Gennaio26!$I$4</f>
        <v/>
      </c>
      <c r="GE39" s="84" t="str">
        <f>Gennaio26!$I$5</f>
        <v/>
      </c>
      <c r="GF39" s="84" t="str">
        <f>Gennaio26!$I$6</f>
        <v>FE</v>
      </c>
      <c r="GG39" s="85" t="str">
        <f>Gennaio26!$I$7</f>
        <v>F</v>
      </c>
      <c r="GH39" s="84">
        <f>Gennaio26!$I$8</f>
        <v>8</v>
      </c>
      <c r="GI39" s="84">
        <f>Gennaio26!$I$9</f>
        <v>8</v>
      </c>
      <c r="GJ39" s="84">
        <f>Gennaio26!$I$10</f>
        <v>8</v>
      </c>
      <c r="GK39" s="84" t="str">
        <f>Gennaio26!$I$11</f>
        <v/>
      </c>
      <c r="GL39" s="84" t="str">
        <f>Gennaio26!$I$12</f>
        <v/>
      </c>
      <c r="GM39" s="84">
        <f>Gennaio26!$I$13</f>
        <v>8</v>
      </c>
      <c r="GN39" s="85">
        <f>Gennaio26!$I$14</f>
        <v>8</v>
      </c>
      <c r="GO39" s="84">
        <f>Gennaio26!$I$15</f>
        <v>8</v>
      </c>
      <c r="GP39" s="84">
        <f>Gennaio26!$I$16</f>
        <v>8</v>
      </c>
      <c r="GQ39" s="84">
        <f>Gennaio26!$I$17</f>
        <v>8</v>
      </c>
      <c r="GR39" s="84">
        <f>Gennaio26!$I$18</f>
        <v>8</v>
      </c>
      <c r="GS39" s="84" t="str">
        <f>Gennaio26!$I$19</f>
        <v/>
      </c>
      <c r="GT39" s="85">
        <f>Gennaio26!$I$20</f>
        <v>8</v>
      </c>
      <c r="GU39" s="84">
        <f>Gennaio26!$I$21</f>
        <v>8</v>
      </c>
      <c r="GV39" s="84">
        <f>Gennaio26!$I$22</f>
        <v>8</v>
      </c>
      <c r="GW39" s="84">
        <f>Gennaio26!$I$23</f>
        <v>8</v>
      </c>
      <c r="GX39" s="84">
        <f>Gennaio26!$I$24</f>
        <v>8</v>
      </c>
      <c r="GY39" s="84">
        <f>Gennaio26!$I$25</f>
        <v>8</v>
      </c>
      <c r="GZ39" s="84" t="str">
        <f>Gennaio26!$I$26</f>
        <v/>
      </c>
      <c r="HA39" s="84">
        <f>Gennaio26!$I$27</f>
        <v>8</v>
      </c>
      <c r="HB39" s="85">
        <f>Gennaio26!$I$28</f>
        <v>8</v>
      </c>
      <c r="HC39" s="84">
        <f>Gennaio26!$I$29</f>
        <v>8</v>
      </c>
      <c r="HD39" s="84">
        <f>Gennaio26!$I$30</f>
        <v>8</v>
      </c>
      <c r="HE39" s="84">
        <f>Gennaio26!$I$31</f>
        <v>8</v>
      </c>
      <c r="HF39" s="86" t="str">
        <f>Gennaio26!$I$32</f>
        <v/>
      </c>
      <c r="HG39" s="78"/>
      <c r="HH39" s="79">
        <f>SUM(GB39:HF39)</f>
        <v>160</v>
      </c>
      <c r="HI39" s="80"/>
      <c r="HJ39" s="78"/>
      <c r="HK39" s="81"/>
      <c r="HL39" s="81"/>
      <c r="HM39" s="81"/>
      <c r="HN39" s="81"/>
      <c r="HO39" s="81"/>
      <c r="HP39" s="81"/>
      <c r="HQ39" s="80"/>
      <c r="HR39" s="117"/>
      <c r="HS39" s="65"/>
      <c r="HT39" s="66"/>
      <c r="HU39" s="83">
        <f>Febbraio26!$I$2</f>
        <v>3</v>
      </c>
      <c r="HV39" s="84">
        <f>Febbraio26!$I$3</f>
        <v>0</v>
      </c>
      <c r="HW39" s="84">
        <f>Febbraio26!$I$4</f>
        <v>8</v>
      </c>
      <c r="HX39" s="84">
        <f>Febbraio26!$I$5</f>
        <v>8</v>
      </c>
      <c r="HY39" s="84">
        <f>Febbraio26!$I$6</f>
        <v>8</v>
      </c>
      <c r="HZ39" s="85">
        <f>Febbraio26!$I$7</f>
        <v>8</v>
      </c>
      <c r="IA39" s="84">
        <f>Febbraio26!$I$8</f>
        <v>8</v>
      </c>
      <c r="IB39" s="84" t="str">
        <f>Febbraio26!$I$9</f>
        <v/>
      </c>
      <c r="IC39" s="84">
        <f>Febbraio26!$I$10</f>
        <v>8</v>
      </c>
      <c r="ID39" s="84">
        <f>Febbraio26!$I$11</f>
        <v>8</v>
      </c>
      <c r="IE39" s="84">
        <f>Febbraio26!$I$12</f>
        <v>8</v>
      </c>
      <c r="IF39" s="84">
        <f>Febbraio26!$I$13</f>
        <v>8</v>
      </c>
      <c r="IG39" s="85">
        <f>Febbraio26!$I$14</f>
        <v>8</v>
      </c>
      <c r="IH39" s="84">
        <f>Febbraio26!$I$15</f>
        <v>9</v>
      </c>
      <c r="II39" s="84" t="str">
        <f>Febbraio26!$I$16</f>
        <v/>
      </c>
      <c r="IJ39" s="84">
        <f>Febbraio26!$I$17</f>
        <v>8</v>
      </c>
      <c r="IK39" s="84">
        <f>Febbraio26!$I$18</f>
        <v>8</v>
      </c>
      <c r="IL39" s="84">
        <f>Febbraio26!$I$19</f>
        <v>8</v>
      </c>
      <c r="IM39" s="85">
        <f>Febbraio26!$I$20</f>
        <v>8</v>
      </c>
      <c r="IN39" s="84">
        <f>Febbraio26!$I$21</f>
        <v>8</v>
      </c>
      <c r="IO39" s="84">
        <f>Febbraio26!$I$22</f>
        <v>4</v>
      </c>
      <c r="IP39" s="84" t="str">
        <f>Febbraio26!$I$23</f>
        <v/>
      </c>
      <c r="IQ39" s="84">
        <f>Febbraio26!$I$24</f>
        <v>8</v>
      </c>
      <c r="IR39" s="84">
        <f>Febbraio26!$I$25</f>
        <v>8</v>
      </c>
      <c r="IS39" s="84">
        <f>Febbraio26!$I$26</f>
        <v>8</v>
      </c>
      <c r="IT39" s="84">
        <f>Febbraio26!$I$27</f>
        <v>8</v>
      </c>
      <c r="IU39" s="85">
        <f>Febbraio26!$I$28</f>
        <v>8</v>
      </c>
      <c r="IV39" s="84" t="str">
        <f>Febbraio26!$I$29</f>
        <v/>
      </c>
      <c r="IW39" s="84" t="str">
        <f>Febbraio26!$I$30</f>
        <v/>
      </c>
      <c r="IX39" s="84" t="str">
        <f>Febbraio26!$I$31</f>
        <v/>
      </c>
      <c r="IY39" s="86" t="str">
        <f>Febbraio26!$I$32</f>
        <v/>
      </c>
      <c r="IZ39" s="78"/>
      <c r="JA39" s="79">
        <f>SUM(HU39:IY39)</f>
        <v>176</v>
      </c>
      <c r="JB39" s="80"/>
      <c r="JC39" s="78"/>
      <c r="JD39" s="81"/>
      <c r="JE39" s="81"/>
      <c r="JF39" s="81"/>
      <c r="JG39" s="81"/>
      <c r="JH39" s="81"/>
      <c r="JI39" s="81"/>
      <c r="JJ39" s="80"/>
      <c r="JK39" s="117"/>
      <c r="JL39" s="65"/>
      <c r="JM39" s="66"/>
      <c r="JN39" s="83" t="str">
        <f>Marzo26!$I$2</f>
        <v/>
      </c>
      <c r="JO39" s="84">
        <f>Marzo26!$I$3</f>
        <v>8</v>
      </c>
      <c r="JP39" s="84">
        <f>Marzo26!$I$4</f>
        <v>8</v>
      </c>
      <c r="JQ39" s="84">
        <f>Marzo26!$I$5</f>
        <v>8</v>
      </c>
      <c r="JR39" s="84">
        <f>Marzo26!$I$6</f>
        <v>8</v>
      </c>
      <c r="JS39" s="85">
        <f>Marzo26!$I$7</f>
        <v>8</v>
      </c>
      <c r="JT39" s="84">
        <f>Marzo26!$I$8</f>
        <v>8</v>
      </c>
      <c r="JU39" s="84" t="str">
        <f>Marzo26!$I$9</f>
        <v/>
      </c>
      <c r="JV39" s="84">
        <f>Marzo26!$I$10</f>
        <v>8</v>
      </c>
      <c r="JW39" s="84">
        <f>Marzo26!$I$11</f>
        <v>8</v>
      </c>
      <c r="JX39" s="84">
        <f>Marzo26!$I$12</f>
        <v>7</v>
      </c>
      <c r="JY39" s="84">
        <f>Marzo26!$I$13</f>
        <v>8</v>
      </c>
      <c r="JZ39" s="85">
        <f>Marzo26!$I$14</f>
        <v>8</v>
      </c>
      <c r="KA39" s="84">
        <f>Marzo26!$I$15</f>
        <v>4</v>
      </c>
      <c r="KB39" s="84" t="str">
        <f>Marzo26!$I$16</f>
        <v/>
      </c>
      <c r="KC39" s="84">
        <f>Marzo26!$I$17</f>
        <v>8</v>
      </c>
      <c r="KD39" s="84">
        <f>Marzo26!$I$18</f>
        <v>8</v>
      </c>
      <c r="KE39" s="84">
        <f>Marzo26!$I$19</f>
        <v>7</v>
      </c>
      <c r="KF39" s="85">
        <f>Marzo26!$I$20</f>
        <v>8</v>
      </c>
      <c r="KG39" s="84">
        <f>Marzo26!$I$21</f>
        <v>8</v>
      </c>
      <c r="KH39" s="84">
        <f>Marzo26!$I$22</f>
        <v>8</v>
      </c>
      <c r="KI39" s="84" t="str">
        <f>Marzo26!$I$23</f>
        <v/>
      </c>
      <c r="KJ39" s="84">
        <f>Marzo26!$I$24</f>
        <v>8</v>
      </c>
      <c r="KK39" s="84">
        <f>Marzo26!$I$25</f>
        <v>8</v>
      </c>
      <c r="KL39" s="84">
        <f>Marzo26!$I$26</f>
        <v>8</v>
      </c>
      <c r="KM39" s="84">
        <f>Marzo26!$I$27</f>
        <v>8</v>
      </c>
      <c r="KN39" s="85">
        <f>Marzo26!$I$28</f>
        <v>8</v>
      </c>
      <c r="KO39" s="84">
        <f>Marzo26!$I$29</f>
        <v>8</v>
      </c>
      <c r="KP39" s="84" t="str">
        <f>Marzo26!$I$30</f>
        <v/>
      </c>
      <c r="KQ39" s="84" t="str">
        <f>Marzo26!$I$31</f>
        <v/>
      </c>
      <c r="KR39" s="86">
        <f>Marzo26!$I$32</f>
        <v>8</v>
      </c>
      <c r="KS39" s="78"/>
      <c r="KT39" s="79">
        <f>SUM(JN39:KR39)</f>
        <v>194</v>
      </c>
      <c r="KU39" s="80"/>
      <c r="KV39" s="78"/>
      <c r="KW39" s="81"/>
      <c r="KX39" s="81"/>
      <c r="KY39" s="81"/>
      <c r="KZ39" s="81"/>
      <c r="LA39" s="81"/>
      <c r="LB39" s="81"/>
      <c r="LC39" s="80"/>
      <c r="LD39" s="117"/>
      <c r="LE39" s="65"/>
      <c r="LF39" s="66"/>
      <c r="LG39" s="83" t="str">
        <f>Aprile26!$I$2</f>
        <v/>
      </c>
      <c r="LH39" s="84" t="str">
        <f>Aprile26!$I$3</f>
        <v/>
      </c>
      <c r="LI39" s="84" t="str">
        <f>Aprile26!$I$4</f>
        <v/>
      </c>
      <c r="LJ39" s="84" t="str">
        <f>Aprile26!$I$5</f>
        <v/>
      </c>
      <c r="LK39" s="84" t="str">
        <f>Aprile26!$I$6</f>
        <v/>
      </c>
      <c r="LL39" s="85" t="str">
        <f>Aprile26!$I$7</f>
        <v/>
      </c>
      <c r="LM39" s="84" t="str">
        <f>Aprile26!$I$8</f>
        <v/>
      </c>
      <c r="LN39" s="84" t="str">
        <f>Aprile26!$I$9</f>
        <v/>
      </c>
      <c r="LO39" s="84" t="str">
        <f>Aprile26!$I$10</f>
        <v/>
      </c>
      <c r="LP39" s="84" t="str">
        <f>Aprile26!$I$11</f>
        <v/>
      </c>
      <c r="LQ39" s="84" t="str">
        <f>Aprile26!$I$12</f>
        <v/>
      </c>
      <c r="LR39" s="84" t="str">
        <f>Aprile26!$I$13</f>
        <v/>
      </c>
      <c r="LS39" s="85" t="str">
        <f>Aprile26!$I$14</f>
        <v/>
      </c>
      <c r="LT39" s="84" t="str">
        <f>Aprile26!$I$15</f>
        <v/>
      </c>
      <c r="LU39" s="84" t="str">
        <f>Aprile26!$I$16</f>
        <v/>
      </c>
      <c r="LV39" s="84" t="str">
        <f>Aprile26!$I$17</f>
        <v/>
      </c>
      <c r="LW39" s="84" t="str">
        <f>Aprile26!$I$18</f>
        <v/>
      </c>
      <c r="LX39" s="84" t="str">
        <f>Aprile26!$I$19</f>
        <v/>
      </c>
      <c r="LY39" s="85" t="str">
        <f>Aprile26!$I$20</f>
        <v/>
      </c>
      <c r="LZ39" s="84" t="str">
        <f>Aprile26!$I$21</f>
        <v/>
      </c>
      <c r="MA39" s="84" t="str">
        <f>Aprile26!$I$22</f>
        <v/>
      </c>
      <c r="MB39" s="84" t="str">
        <f>Aprile26!$I$23</f>
        <v/>
      </c>
      <c r="MC39" s="84" t="str">
        <f>Aprile26!$I$24</f>
        <v/>
      </c>
      <c r="MD39" s="84" t="str">
        <f>Aprile26!$I$25</f>
        <v/>
      </c>
      <c r="ME39" s="84" t="str">
        <f>Aprile26!$I$26</f>
        <v/>
      </c>
      <c r="MF39" s="84" t="str">
        <f>Aprile26!$I$27</f>
        <v/>
      </c>
      <c r="MG39" s="85" t="str">
        <f>Aprile26!$I$28</f>
        <v/>
      </c>
      <c r="MH39" s="84" t="str">
        <f>Aprile26!$I$29</f>
        <v/>
      </c>
      <c r="MI39" s="84" t="str">
        <f>Aprile26!$I$30</f>
        <v/>
      </c>
      <c r="MJ39" s="84" t="str">
        <f>Aprile26!$I$31</f>
        <v/>
      </c>
      <c r="MK39" s="86" t="str">
        <f>Aprile26!$I$32</f>
        <v/>
      </c>
      <c r="ML39" s="78"/>
      <c r="MM39" s="79">
        <f>SUM(LG39:MK39)</f>
        <v>0</v>
      </c>
      <c r="MN39" s="80"/>
      <c r="MO39" s="78"/>
      <c r="MP39" s="81"/>
      <c r="MQ39" s="81"/>
      <c r="MR39" s="81"/>
      <c r="MS39" s="81"/>
      <c r="MT39" s="81"/>
      <c r="MU39" s="81"/>
      <c r="MV39" s="82"/>
      <c r="MW39" s="117"/>
      <c r="MX39" s="65"/>
      <c r="MY39" s="66"/>
      <c r="MZ39" s="83" t="str">
        <f>Maggio26!$I$2</f>
        <v/>
      </c>
      <c r="NA39" s="84" t="str">
        <f>Maggio26!$I$3</f>
        <v/>
      </c>
      <c r="NB39" s="84" t="str">
        <f>Maggio26!$I$4</f>
        <v/>
      </c>
      <c r="NC39" s="84" t="str">
        <f>Maggio26!$I$5</f>
        <v/>
      </c>
      <c r="ND39" s="84" t="str">
        <f>Maggio26!$I$6</f>
        <v/>
      </c>
      <c r="NE39" s="85" t="str">
        <f>Maggio26!$I$7</f>
        <v/>
      </c>
      <c r="NF39" s="84" t="str">
        <f>Maggio26!$I$8</f>
        <v/>
      </c>
      <c r="NG39" s="84" t="str">
        <f>Maggio26!$I$9</f>
        <v/>
      </c>
      <c r="NH39" s="84" t="str">
        <f>Maggio26!$I$10</f>
        <v/>
      </c>
      <c r="NI39" s="84" t="str">
        <f>Maggio26!$I$11</f>
        <v/>
      </c>
      <c r="NJ39" s="84" t="str">
        <f>Maggio26!$I$12</f>
        <v/>
      </c>
      <c r="NK39" s="84" t="str">
        <f>Maggio26!$I$13</f>
        <v/>
      </c>
      <c r="NL39" s="85" t="str">
        <f>Maggio26!$I$14</f>
        <v/>
      </c>
      <c r="NM39" s="84" t="str">
        <f>Maggio26!$I$15</f>
        <v/>
      </c>
      <c r="NN39" s="84" t="str">
        <f>Maggio26!$I$16</f>
        <v/>
      </c>
      <c r="NO39" s="84" t="str">
        <f>Maggio26!$I$17</f>
        <v/>
      </c>
      <c r="NP39" s="84" t="str">
        <f>Maggio26!$I$18</f>
        <v/>
      </c>
      <c r="NQ39" s="84" t="str">
        <f>Maggio26!$I$19</f>
        <v/>
      </c>
      <c r="NR39" s="85" t="str">
        <f>Maggio26!$I$20</f>
        <v/>
      </c>
      <c r="NS39" s="84" t="str">
        <f>Maggio26!$I$21</f>
        <v/>
      </c>
      <c r="NT39" s="84" t="str">
        <f>Maggio26!$I$22</f>
        <v/>
      </c>
      <c r="NU39" s="84" t="str">
        <f>Maggio26!$I$23</f>
        <v/>
      </c>
      <c r="NV39" s="84" t="str">
        <f>Maggio26!$I$24</f>
        <v/>
      </c>
      <c r="NW39" s="84" t="str">
        <f>Maggio26!$I$25</f>
        <v/>
      </c>
      <c r="NX39" s="84" t="str">
        <f>Maggio26!$I$26</f>
        <v/>
      </c>
      <c r="NY39" s="84" t="str">
        <f>Maggio26!$I$27</f>
        <v/>
      </c>
      <c r="NZ39" s="85" t="str">
        <f>Maggio26!$I$28</f>
        <v/>
      </c>
      <c r="OA39" s="84" t="str">
        <f>Maggio26!$I$29</f>
        <v/>
      </c>
      <c r="OB39" s="84" t="str">
        <f>Maggio26!$I$30</f>
        <v/>
      </c>
      <c r="OC39" s="84" t="str">
        <f>Maggio26!$I$31</f>
        <v/>
      </c>
      <c r="OD39" s="86" t="str">
        <f>Maggio26!$I$32</f>
        <v/>
      </c>
      <c r="OE39" s="78"/>
      <c r="OF39" s="79">
        <f>SUM(MZ39:OD39)</f>
        <v>0</v>
      </c>
      <c r="OG39" s="80"/>
      <c r="OH39" s="78"/>
      <c r="OI39" s="81"/>
      <c r="OJ39" s="81"/>
      <c r="OK39" s="81"/>
      <c r="OL39" s="81"/>
      <c r="OM39" s="81"/>
      <c r="ON39" s="81"/>
      <c r="OO39" s="82"/>
      <c r="OP39" s="117"/>
      <c r="OQ39" s="65"/>
      <c r="OR39" s="66"/>
      <c r="OS39" s="83" t="str">
        <f>Giugno26!$I$2</f>
        <v/>
      </c>
      <c r="OT39" s="84" t="str">
        <f>Giugno26!$I$3</f>
        <v/>
      </c>
      <c r="OU39" s="84" t="str">
        <f>Giugno26!$I$4</f>
        <v/>
      </c>
      <c r="OV39" s="84" t="str">
        <f>Giugno26!$I$5</f>
        <v/>
      </c>
      <c r="OW39" s="84" t="str">
        <f>Giugno26!$I$6</f>
        <v/>
      </c>
      <c r="OX39" s="85" t="str">
        <f>Giugno26!$I$7</f>
        <v/>
      </c>
      <c r="OY39" s="84" t="str">
        <f>Giugno26!$I$8</f>
        <v/>
      </c>
      <c r="OZ39" s="84" t="str">
        <f>Giugno26!$I$9</f>
        <v/>
      </c>
      <c r="PA39" s="84" t="str">
        <f>Giugno26!$I$10</f>
        <v/>
      </c>
      <c r="PB39" s="84" t="str">
        <f>Giugno26!$I$11</f>
        <v/>
      </c>
      <c r="PC39" s="84" t="str">
        <f>Giugno26!$I$12</f>
        <v/>
      </c>
      <c r="PD39" s="84" t="str">
        <f>Giugno26!$I$13</f>
        <v/>
      </c>
      <c r="PE39" s="85" t="str">
        <f>Giugno26!$I$14</f>
        <v/>
      </c>
      <c r="PF39" s="84" t="str">
        <f>Giugno26!$I$15</f>
        <v/>
      </c>
      <c r="PG39" s="84" t="str">
        <f>Giugno26!$I$16</f>
        <v/>
      </c>
      <c r="PH39" s="84" t="str">
        <f>Giugno26!$I$17</f>
        <v/>
      </c>
      <c r="PI39" s="84" t="str">
        <f>Giugno26!$I$18</f>
        <v/>
      </c>
      <c r="PJ39" s="84" t="str">
        <f>Giugno26!$I$19</f>
        <v/>
      </c>
      <c r="PK39" s="85" t="str">
        <f>Giugno26!$I$20</f>
        <v/>
      </c>
      <c r="PL39" s="84" t="str">
        <f>Giugno26!$I$21</f>
        <v/>
      </c>
      <c r="PM39" s="84" t="str">
        <f>Giugno26!$I$22</f>
        <v/>
      </c>
      <c r="PN39" s="84" t="str">
        <f>Giugno26!$I$23</f>
        <v/>
      </c>
      <c r="PO39" s="84" t="str">
        <f>Giugno26!$I$24</f>
        <v/>
      </c>
      <c r="PP39" s="84" t="str">
        <f>Giugno26!$I$25</f>
        <v/>
      </c>
      <c r="PQ39" s="84" t="str">
        <f>Giugno26!$I$26</f>
        <v/>
      </c>
      <c r="PR39" s="84" t="str">
        <f>Giugno26!$I$27</f>
        <v/>
      </c>
      <c r="PS39" s="85" t="str">
        <f>Giugno26!$I$28</f>
        <v/>
      </c>
      <c r="PT39" s="84" t="str">
        <f>Giugno26!$I$29</f>
        <v/>
      </c>
      <c r="PU39" s="84" t="str">
        <f>Giugno26!$I$30</f>
        <v/>
      </c>
      <c r="PV39" s="84" t="str">
        <f>Giugno26!$I$31</f>
        <v/>
      </c>
      <c r="PW39" s="86" t="str">
        <f>Giugno26!$I$32</f>
        <v/>
      </c>
      <c r="PX39" s="78"/>
      <c r="PY39" s="79">
        <f>SUM(OS39:PW39)</f>
        <v>0</v>
      </c>
      <c r="PZ39" s="80"/>
      <c r="QA39" s="78"/>
      <c r="QB39" s="81"/>
      <c r="QC39" s="81"/>
      <c r="QD39" s="81"/>
      <c r="QE39" s="81"/>
      <c r="QF39" s="81"/>
      <c r="QG39" s="81"/>
      <c r="QH39" s="82"/>
      <c r="QI39" s="117"/>
      <c r="QJ39" s="65"/>
      <c r="QK39" s="66"/>
      <c r="QL39" s="83" t="str">
        <f>Luglio26!$I$2</f>
        <v/>
      </c>
      <c r="QM39" s="84" t="str">
        <f>Luglio26!$I$3</f>
        <v/>
      </c>
      <c r="QN39" s="84" t="str">
        <f>Luglio26!$I$4</f>
        <v/>
      </c>
      <c r="QO39" s="84" t="str">
        <f>Luglio26!$I$5</f>
        <v/>
      </c>
      <c r="QP39" s="84" t="str">
        <f>Luglio26!$I$6</f>
        <v/>
      </c>
      <c r="QQ39" s="85" t="str">
        <f>Luglio26!$I$7</f>
        <v/>
      </c>
      <c r="QR39" s="84" t="str">
        <f>Luglio26!$I$8</f>
        <v/>
      </c>
      <c r="QS39" s="84" t="str">
        <f>Luglio26!$I$9</f>
        <v/>
      </c>
      <c r="QT39" s="84" t="str">
        <f>Luglio26!$I$10</f>
        <v/>
      </c>
      <c r="QU39" s="84" t="str">
        <f>Luglio26!$I$11</f>
        <v/>
      </c>
      <c r="QV39" s="84" t="str">
        <f>Luglio26!$I$12</f>
        <v/>
      </c>
      <c r="QW39" s="84" t="str">
        <f>Luglio26!$I$13</f>
        <v/>
      </c>
      <c r="QX39" s="85" t="str">
        <f>Luglio26!$I$14</f>
        <v/>
      </c>
      <c r="QY39" s="84" t="str">
        <f>Luglio26!$I$15</f>
        <v/>
      </c>
      <c r="QZ39" s="84" t="str">
        <f>Luglio26!$I$16</f>
        <v/>
      </c>
      <c r="RA39" s="84" t="str">
        <f>Luglio26!$I$17</f>
        <v/>
      </c>
      <c r="RB39" s="84" t="str">
        <f>Luglio26!$I$18</f>
        <v/>
      </c>
      <c r="RC39" s="84" t="str">
        <f>Luglio26!$I$19</f>
        <v/>
      </c>
      <c r="RD39" s="85" t="str">
        <f>Luglio26!$I$20</f>
        <v/>
      </c>
      <c r="RE39" s="84" t="str">
        <f>Luglio26!$I$21</f>
        <v/>
      </c>
      <c r="RF39" s="84" t="str">
        <f>Luglio26!$I$22</f>
        <v/>
      </c>
      <c r="RG39" s="84" t="str">
        <f>Luglio26!$I$23</f>
        <v/>
      </c>
      <c r="RH39" s="84" t="str">
        <f>Luglio26!$I$24</f>
        <v/>
      </c>
      <c r="RI39" s="84" t="str">
        <f>Luglio26!$I$25</f>
        <v/>
      </c>
      <c r="RJ39" s="84" t="str">
        <f>Luglio26!$I$26</f>
        <v/>
      </c>
      <c r="RK39" s="84" t="str">
        <f>Luglio26!$I$27</f>
        <v/>
      </c>
      <c r="RL39" s="85" t="str">
        <f>Luglio26!$I$28</f>
        <v/>
      </c>
      <c r="RM39" s="84" t="str">
        <f>Luglio26!$I$29</f>
        <v/>
      </c>
      <c r="RN39" s="84" t="str">
        <f>Luglio26!$I$30</f>
        <v/>
      </c>
      <c r="RO39" s="84" t="str">
        <f>Luglio26!$I$31</f>
        <v/>
      </c>
      <c r="RP39" s="86" t="str">
        <f>Luglio26!$I$32</f>
        <v/>
      </c>
      <c r="RQ39" s="78"/>
      <c r="RR39" s="79">
        <f>SUM(QL39:RP39)</f>
        <v>0</v>
      </c>
      <c r="RS39" s="80"/>
      <c r="RT39" s="78"/>
      <c r="RU39" s="81"/>
      <c r="RV39" s="81"/>
      <c r="RW39" s="81"/>
      <c r="RX39" s="81"/>
      <c r="RY39" s="81"/>
      <c r="RZ39" s="81"/>
      <c r="SA39" s="82"/>
      <c r="SB39" s="117"/>
      <c r="SC39" s="65"/>
      <c r="SD39" s="66"/>
      <c r="SE39" s="83" t="str">
        <f>Agosto26!$I$2</f>
        <v/>
      </c>
      <c r="SF39" s="84" t="str">
        <f>Agosto26!$I$3</f>
        <v/>
      </c>
      <c r="SG39" s="84" t="str">
        <f>Agosto26!$I$4</f>
        <v/>
      </c>
      <c r="SH39" s="84" t="str">
        <f>Agosto26!$I$5</f>
        <v/>
      </c>
      <c r="SI39" s="84" t="str">
        <f>Agosto26!$I$6</f>
        <v/>
      </c>
      <c r="SJ39" s="85" t="str">
        <f>Agosto26!$I$7</f>
        <v/>
      </c>
      <c r="SK39" s="84" t="str">
        <f>Agosto26!$I$8</f>
        <v/>
      </c>
      <c r="SL39" s="84" t="str">
        <f>Agosto26!$I$9</f>
        <v/>
      </c>
      <c r="SM39" s="84" t="str">
        <f>Agosto26!$I$10</f>
        <v/>
      </c>
      <c r="SN39" s="84" t="str">
        <f>Agosto26!$I$11</f>
        <v/>
      </c>
      <c r="SO39" s="84" t="str">
        <f>Agosto26!$I$12</f>
        <v/>
      </c>
      <c r="SP39" s="84" t="str">
        <f>Agosto26!$I$13</f>
        <v/>
      </c>
      <c r="SQ39" s="85" t="str">
        <f>Agosto26!$I$14</f>
        <v/>
      </c>
      <c r="SR39" s="84" t="str">
        <f>Agosto26!$I$15</f>
        <v/>
      </c>
      <c r="SS39" s="84" t="str">
        <f>Agosto26!$I$16</f>
        <v/>
      </c>
      <c r="ST39" s="84" t="str">
        <f>Agosto26!$I$17</f>
        <v/>
      </c>
      <c r="SU39" s="84" t="str">
        <f>Agosto26!$I$18</f>
        <v/>
      </c>
      <c r="SV39" s="84" t="str">
        <f>Agosto26!$I$19</f>
        <v/>
      </c>
      <c r="SW39" s="85" t="str">
        <f>Agosto26!$I$20</f>
        <v/>
      </c>
      <c r="SX39" s="84" t="str">
        <f>Agosto26!$I$21</f>
        <v/>
      </c>
      <c r="SY39" s="84" t="str">
        <f>Agosto26!$I$22</f>
        <v/>
      </c>
      <c r="SZ39" s="84" t="str">
        <f>Agosto26!$I$23</f>
        <v/>
      </c>
      <c r="TA39" s="84" t="str">
        <f>Agosto26!$I$24</f>
        <v/>
      </c>
      <c r="TB39" s="84" t="str">
        <f>Agosto26!$I$25</f>
        <v/>
      </c>
      <c r="TC39" s="84" t="str">
        <f>Agosto26!$I$26</f>
        <v/>
      </c>
      <c r="TD39" s="84" t="str">
        <f>Agosto26!$I$27</f>
        <v/>
      </c>
      <c r="TE39" s="85" t="str">
        <f>Agosto26!$I$28</f>
        <v/>
      </c>
      <c r="TF39" s="84" t="str">
        <f>Agosto26!$I$29</f>
        <v/>
      </c>
      <c r="TG39" s="84" t="str">
        <f>Agosto26!$I$30</f>
        <v/>
      </c>
      <c r="TH39" s="84" t="str">
        <f>Agosto26!$I$31</f>
        <v/>
      </c>
      <c r="TI39" s="86" t="str">
        <f>Agosto26!$I$32</f>
        <v/>
      </c>
      <c r="TJ39" s="78"/>
      <c r="TK39" s="79">
        <f>SUM(SE39:TI39)</f>
        <v>0</v>
      </c>
      <c r="TL39" s="80"/>
      <c r="TM39" s="78"/>
      <c r="TN39" s="81"/>
      <c r="TO39" s="81"/>
      <c r="TP39" s="81"/>
      <c r="TQ39" s="81"/>
      <c r="TR39" s="81"/>
      <c r="TS39" s="81"/>
      <c r="TT39" s="80"/>
    </row>
    <row r="40" ht="24.75" hidden="1" customHeight="1" outlineLevel="1">
      <c r="A40" s="91" t="s">
        <v>39</v>
      </c>
      <c r="B40" s="65"/>
      <c r="C40" s="66"/>
      <c r="D40" s="92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118"/>
      <c r="AI40" s="78"/>
      <c r="AJ40" s="81"/>
      <c r="AK40" s="94">
        <f>SUM(D40:AG40)</f>
        <v>0</v>
      </c>
      <c r="AL40" s="78"/>
      <c r="AM40" s="81"/>
      <c r="AN40" s="81"/>
      <c r="AO40" s="81"/>
      <c r="AP40" s="81"/>
      <c r="AQ40" s="81"/>
      <c r="AR40" s="81"/>
      <c r="AS40" s="82"/>
      <c r="AT40" s="91" t="s">
        <v>39</v>
      </c>
      <c r="AU40" s="65"/>
      <c r="AV40" s="66"/>
      <c r="AW40" s="92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119"/>
      <c r="CB40" s="78"/>
      <c r="CC40" s="81"/>
      <c r="CD40" s="94">
        <f>SUM(AW40:BZ40)</f>
        <v>0</v>
      </c>
      <c r="CE40" s="78"/>
      <c r="CF40" s="81"/>
      <c r="CG40" s="81"/>
      <c r="CH40" s="81"/>
      <c r="CI40" s="81"/>
      <c r="CJ40" s="81"/>
      <c r="CK40" s="81"/>
      <c r="CL40" s="82"/>
      <c r="CM40" s="91" t="s">
        <v>39</v>
      </c>
      <c r="CN40" s="65"/>
      <c r="CO40" s="66"/>
      <c r="CP40" s="92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119"/>
      <c r="DU40" s="78"/>
      <c r="DV40" s="81"/>
      <c r="DW40" s="94">
        <f>SUM(CP40:DS40)</f>
        <v>0</v>
      </c>
      <c r="DX40" s="78"/>
      <c r="DY40" s="81"/>
      <c r="DZ40" s="81"/>
      <c r="EA40" s="81"/>
      <c r="EB40" s="81"/>
      <c r="EC40" s="81"/>
      <c r="ED40" s="81"/>
      <c r="EE40" s="80"/>
      <c r="EF40" s="91" t="s">
        <v>39</v>
      </c>
      <c r="EG40" s="65"/>
      <c r="EH40" s="66"/>
      <c r="EI40" s="92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119"/>
      <c r="FN40" s="78"/>
      <c r="FO40" s="81"/>
      <c r="FP40" s="94">
        <f>SUM(EI40:FL40)</f>
        <v>0</v>
      </c>
      <c r="FQ40" s="78"/>
      <c r="FR40" s="81"/>
      <c r="FS40" s="81"/>
      <c r="FT40" s="81"/>
      <c r="FU40" s="81"/>
      <c r="FV40" s="81"/>
      <c r="FW40" s="81"/>
      <c r="FX40" s="80"/>
      <c r="FY40" s="91" t="s">
        <v>39</v>
      </c>
      <c r="FZ40" s="65"/>
      <c r="GA40" s="66"/>
      <c r="GB40" s="92"/>
      <c r="GC40" s="85"/>
      <c r="GD40" s="85"/>
      <c r="GE40" s="85"/>
      <c r="GF40" s="85"/>
      <c r="GG40" s="85"/>
      <c r="GH40" s="85"/>
      <c r="GI40" s="85"/>
      <c r="GJ40" s="85"/>
      <c r="GK40" s="85"/>
      <c r="GL40" s="85"/>
      <c r="GM40" s="85"/>
      <c r="GN40" s="85"/>
      <c r="GO40" s="85"/>
      <c r="GP40" s="85"/>
      <c r="GQ40" s="85"/>
      <c r="GR40" s="85"/>
      <c r="GS40" s="85"/>
      <c r="GT40" s="85"/>
      <c r="GU40" s="85"/>
      <c r="GV40" s="85"/>
      <c r="GW40" s="85"/>
      <c r="GX40" s="85"/>
      <c r="GY40" s="85"/>
      <c r="GZ40" s="85"/>
      <c r="HA40" s="85"/>
      <c r="HB40" s="85"/>
      <c r="HC40" s="85"/>
      <c r="HD40" s="85"/>
      <c r="HE40" s="85"/>
      <c r="HF40" s="119"/>
      <c r="HG40" s="78"/>
      <c r="HH40" s="81"/>
      <c r="HI40" s="94">
        <f>SUM(GB40:HE40)</f>
        <v>0</v>
      </c>
      <c r="HJ40" s="78"/>
      <c r="HK40" s="81"/>
      <c r="HL40" s="81"/>
      <c r="HM40" s="81"/>
      <c r="HN40" s="81"/>
      <c r="HO40" s="81"/>
      <c r="HP40" s="81"/>
      <c r="HQ40" s="80"/>
      <c r="HR40" s="91" t="s">
        <v>39</v>
      </c>
      <c r="HS40" s="65"/>
      <c r="HT40" s="66"/>
      <c r="HU40" s="92"/>
      <c r="HV40" s="85"/>
      <c r="HW40" s="85"/>
      <c r="HX40" s="85"/>
      <c r="HY40" s="85"/>
      <c r="HZ40" s="85"/>
      <c r="IA40" s="85"/>
      <c r="IB40" s="85"/>
      <c r="IC40" s="85"/>
      <c r="ID40" s="85"/>
      <c r="IE40" s="85"/>
      <c r="IF40" s="85"/>
      <c r="IG40" s="85"/>
      <c r="IH40" s="85"/>
      <c r="II40" s="85"/>
      <c r="IJ40" s="85"/>
      <c r="IK40" s="85"/>
      <c r="IL40" s="85"/>
      <c r="IM40" s="85"/>
      <c r="IN40" s="85"/>
      <c r="IO40" s="85"/>
      <c r="IP40" s="85"/>
      <c r="IQ40" s="85"/>
      <c r="IR40" s="85"/>
      <c r="IS40" s="85"/>
      <c r="IT40" s="85"/>
      <c r="IU40" s="85"/>
      <c r="IV40" s="85"/>
      <c r="IW40" s="85"/>
      <c r="IX40" s="85"/>
      <c r="IY40" s="119"/>
      <c r="IZ40" s="78"/>
      <c r="JA40" s="81"/>
      <c r="JB40" s="94">
        <f>SUM(HU40:IX40)</f>
        <v>0</v>
      </c>
      <c r="JC40" s="78"/>
      <c r="JD40" s="81"/>
      <c r="JE40" s="81"/>
      <c r="JF40" s="81"/>
      <c r="JG40" s="81"/>
      <c r="JH40" s="81"/>
      <c r="JI40" s="81"/>
      <c r="JJ40" s="80"/>
      <c r="JK40" s="91" t="s">
        <v>39</v>
      </c>
      <c r="JL40" s="65"/>
      <c r="JM40" s="66"/>
      <c r="JN40" s="92"/>
      <c r="JO40" s="85"/>
      <c r="JP40" s="85"/>
      <c r="JQ40" s="85"/>
      <c r="JR40" s="85"/>
      <c r="JS40" s="85"/>
      <c r="JT40" s="85"/>
      <c r="JU40" s="85"/>
      <c r="JV40" s="85"/>
      <c r="JW40" s="85"/>
      <c r="JX40" s="85"/>
      <c r="JY40" s="85"/>
      <c r="JZ40" s="85"/>
      <c r="KA40" s="85"/>
      <c r="KB40" s="85"/>
      <c r="KC40" s="85"/>
      <c r="KD40" s="85"/>
      <c r="KE40" s="85"/>
      <c r="KF40" s="85"/>
      <c r="KG40" s="85"/>
      <c r="KH40" s="85"/>
      <c r="KI40" s="85"/>
      <c r="KJ40" s="85"/>
      <c r="KK40" s="85"/>
      <c r="KL40" s="85"/>
      <c r="KM40" s="85"/>
      <c r="KN40" s="85"/>
      <c r="KO40" s="85"/>
      <c r="KP40" s="85"/>
      <c r="KQ40" s="85"/>
      <c r="KR40" s="119"/>
      <c r="KS40" s="78"/>
      <c r="KT40" s="81"/>
      <c r="KU40" s="94">
        <f>SUM(JN40:KQ40)</f>
        <v>0</v>
      </c>
      <c r="KV40" s="78"/>
      <c r="KW40" s="81"/>
      <c r="KX40" s="81"/>
      <c r="KY40" s="81"/>
      <c r="KZ40" s="81"/>
      <c r="LA40" s="81"/>
      <c r="LB40" s="81"/>
      <c r="LC40" s="80"/>
      <c r="LD40" s="91" t="s">
        <v>39</v>
      </c>
      <c r="LE40" s="65"/>
      <c r="LF40" s="66"/>
      <c r="LG40" s="92"/>
      <c r="LH40" s="85"/>
      <c r="LI40" s="85"/>
      <c r="LJ40" s="85"/>
      <c r="LK40" s="85"/>
      <c r="LL40" s="85"/>
      <c r="LM40" s="85"/>
      <c r="LN40" s="85"/>
      <c r="LO40" s="85"/>
      <c r="LP40" s="85"/>
      <c r="LQ40" s="85"/>
      <c r="LR40" s="85"/>
      <c r="LS40" s="85"/>
      <c r="LT40" s="85"/>
      <c r="LU40" s="85"/>
      <c r="LV40" s="85"/>
      <c r="LW40" s="85"/>
      <c r="LX40" s="85"/>
      <c r="LY40" s="85"/>
      <c r="LZ40" s="85"/>
      <c r="MA40" s="85"/>
      <c r="MB40" s="85"/>
      <c r="MC40" s="85"/>
      <c r="MD40" s="85"/>
      <c r="ME40" s="85"/>
      <c r="MF40" s="85"/>
      <c r="MG40" s="85"/>
      <c r="MH40" s="85"/>
      <c r="MI40" s="85"/>
      <c r="MJ40" s="85"/>
      <c r="MK40" s="119"/>
      <c r="ML40" s="78"/>
      <c r="MM40" s="81"/>
      <c r="MN40" s="94">
        <f>SUM(LG40:MJ40)</f>
        <v>0</v>
      </c>
      <c r="MO40" s="78"/>
      <c r="MP40" s="81"/>
      <c r="MQ40" s="81"/>
      <c r="MR40" s="81"/>
      <c r="MS40" s="81"/>
      <c r="MT40" s="81"/>
      <c r="MU40" s="81"/>
      <c r="MV40" s="82"/>
      <c r="MW40" s="91" t="s">
        <v>39</v>
      </c>
      <c r="MX40" s="65"/>
      <c r="MY40" s="66"/>
      <c r="MZ40" s="92"/>
      <c r="NA40" s="85"/>
      <c r="NB40" s="85"/>
      <c r="NC40" s="85"/>
      <c r="ND40" s="85"/>
      <c r="NE40" s="85"/>
      <c r="NF40" s="85"/>
      <c r="NG40" s="85"/>
      <c r="NH40" s="85"/>
      <c r="NI40" s="85"/>
      <c r="NJ40" s="85"/>
      <c r="NK40" s="85"/>
      <c r="NL40" s="85"/>
      <c r="NM40" s="85"/>
      <c r="NN40" s="85"/>
      <c r="NO40" s="85"/>
      <c r="NP40" s="85"/>
      <c r="NQ40" s="85"/>
      <c r="NR40" s="85"/>
      <c r="NS40" s="85"/>
      <c r="NT40" s="85"/>
      <c r="NU40" s="85"/>
      <c r="NV40" s="85"/>
      <c r="NW40" s="85"/>
      <c r="NX40" s="85"/>
      <c r="NY40" s="85"/>
      <c r="NZ40" s="85"/>
      <c r="OA40" s="85"/>
      <c r="OB40" s="85"/>
      <c r="OC40" s="85"/>
      <c r="OD40" s="119"/>
      <c r="OE40" s="78"/>
      <c r="OF40" s="81"/>
      <c r="OG40" s="94">
        <f>SUM(MZ40:OC40)</f>
        <v>0</v>
      </c>
      <c r="OH40" s="78"/>
      <c r="OI40" s="81"/>
      <c r="OJ40" s="81"/>
      <c r="OK40" s="81"/>
      <c r="OL40" s="81"/>
      <c r="OM40" s="81"/>
      <c r="ON40" s="81"/>
      <c r="OO40" s="82"/>
      <c r="OP40" s="91" t="s">
        <v>39</v>
      </c>
      <c r="OQ40" s="65"/>
      <c r="OR40" s="66"/>
      <c r="OS40" s="92"/>
      <c r="OT40" s="85"/>
      <c r="OU40" s="85"/>
      <c r="OV40" s="85"/>
      <c r="OW40" s="85"/>
      <c r="OX40" s="85"/>
      <c r="OY40" s="85"/>
      <c r="OZ40" s="85"/>
      <c r="PA40" s="85"/>
      <c r="PB40" s="85"/>
      <c r="PC40" s="85"/>
      <c r="PD40" s="85"/>
      <c r="PE40" s="85"/>
      <c r="PF40" s="85"/>
      <c r="PG40" s="85"/>
      <c r="PH40" s="85"/>
      <c r="PI40" s="85"/>
      <c r="PJ40" s="85"/>
      <c r="PK40" s="85"/>
      <c r="PL40" s="85"/>
      <c r="PM40" s="85"/>
      <c r="PN40" s="85"/>
      <c r="PO40" s="85"/>
      <c r="PP40" s="85"/>
      <c r="PQ40" s="85"/>
      <c r="PR40" s="85"/>
      <c r="PS40" s="85"/>
      <c r="PT40" s="85"/>
      <c r="PU40" s="85"/>
      <c r="PV40" s="85"/>
      <c r="PW40" s="119"/>
      <c r="PX40" s="78"/>
      <c r="PY40" s="81"/>
      <c r="PZ40" s="94">
        <f>SUM(OS40:PV40)</f>
        <v>0</v>
      </c>
      <c r="QA40" s="78"/>
      <c r="QB40" s="81"/>
      <c r="QC40" s="81"/>
      <c r="QD40" s="81"/>
      <c r="QE40" s="81"/>
      <c r="QF40" s="81"/>
      <c r="QG40" s="81"/>
      <c r="QH40" s="82"/>
      <c r="QI40" s="91" t="s">
        <v>39</v>
      </c>
      <c r="QJ40" s="65"/>
      <c r="QK40" s="66"/>
      <c r="QL40" s="92"/>
      <c r="QM40" s="85"/>
      <c r="QN40" s="85"/>
      <c r="QO40" s="85"/>
      <c r="QP40" s="85"/>
      <c r="QQ40" s="85"/>
      <c r="QR40" s="85"/>
      <c r="QS40" s="85"/>
      <c r="QT40" s="85"/>
      <c r="QU40" s="85"/>
      <c r="QV40" s="85"/>
      <c r="QW40" s="85"/>
      <c r="QX40" s="85"/>
      <c r="QY40" s="85"/>
      <c r="QZ40" s="85"/>
      <c r="RA40" s="85"/>
      <c r="RB40" s="85"/>
      <c r="RC40" s="85"/>
      <c r="RD40" s="85"/>
      <c r="RE40" s="85"/>
      <c r="RF40" s="85"/>
      <c r="RG40" s="85"/>
      <c r="RH40" s="85"/>
      <c r="RI40" s="85"/>
      <c r="RJ40" s="85"/>
      <c r="RK40" s="85"/>
      <c r="RL40" s="85"/>
      <c r="RM40" s="85"/>
      <c r="RN40" s="85"/>
      <c r="RO40" s="85"/>
      <c r="RP40" s="119"/>
      <c r="RQ40" s="78"/>
      <c r="RR40" s="81"/>
      <c r="RS40" s="94">
        <f>SUM(QL40:RO40)</f>
        <v>0</v>
      </c>
      <c r="RT40" s="78"/>
      <c r="RU40" s="81"/>
      <c r="RV40" s="81"/>
      <c r="RW40" s="81"/>
      <c r="RX40" s="81"/>
      <c r="RY40" s="81"/>
      <c r="RZ40" s="81"/>
      <c r="SA40" s="82"/>
      <c r="SB40" s="91" t="s">
        <v>39</v>
      </c>
      <c r="SC40" s="65"/>
      <c r="SD40" s="66"/>
      <c r="SE40" s="92"/>
      <c r="SF40" s="85"/>
      <c r="SG40" s="85"/>
      <c r="SH40" s="85"/>
      <c r="SI40" s="85"/>
      <c r="SJ40" s="85"/>
      <c r="SK40" s="85"/>
      <c r="SL40" s="85"/>
      <c r="SM40" s="85"/>
      <c r="SN40" s="85"/>
      <c r="SO40" s="85"/>
      <c r="SP40" s="85"/>
      <c r="SQ40" s="85"/>
      <c r="SR40" s="85"/>
      <c r="SS40" s="85"/>
      <c r="ST40" s="85"/>
      <c r="SU40" s="85"/>
      <c r="SV40" s="85"/>
      <c r="SW40" s="85"/>
      <c r="SX40" s="85"/>
      <c r="SY40" s="85"/>
      <c r="SZ40" s="85"/>
      <c r="TA40" s="85"/>
      <c r="TB40" s="85"/>
      <c r="TC40" s="85"/>
      <c r="TD40" s="85"/>
      <c r="TE40" s="85"/>
      <c r="TF40" s="85"/>
      <c r="TG40" s="85"/>
      <c r="TH40" s="85"/>
      <c r="TI40" s="119"/>
      <c r="TJ40" s="78"/>
      <c r="TK40" s="81"/>
      <c r="TL40" s="94">
        <f>SUM(SE40:TH40)</f>
        <v>0</v>
      </c>
      <c r="TM40" s="78"/>
      <c r="TN40" s="81"/>
      <c r="TO40" s="81"/>
      <c r="TP40" s="81"/>
      <c r="TQ40" s="81"/>
      <c r="TR40" s="81"/>
      <c r="TS40" s="81"/>
      <c r="TT40" s="80"/>
    </row>
    <row r="41" ht="24.75" hidden="1" customHeight="1" outlineLevel="1">
      <c r="A41" s="96"/>
      <c r="B41" s="97"/>
      <c r="C41" s="98"/>
      <c r="D41" s="92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118"/>
      <c r="AI41" s="78"/>
      <c r="AJ41" s="81"/>
      <c r="AK41" s="80"/>
      <c r="AL41" s="78"/>
      <c r="AM41" s="81"/>
      <c r="AN41" s="81"/>
      <c r="AO41" s="81"/>
      <c r="AP41" s="81"/>
      <c r="AQ41" s="81"/>
      <c r="AR41" s="81"/>
      <c r="AS41" s="82"/>
      <c r="AT41" s="96"/>
      <c r="AU41" s="97"/>
      <c r="AV41" s="98"/>
      <c r="AW41" s="92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119"/>
      <c r="CB41" s="78"/>
      <c r="CC41" s="81"/>
      <c r="CD41" s="80"/>
      <c r="CE41" s="78"/>
      <c r="CF41" s="81"/>
      <c r="CG41" s="81"/>
      <c r="CH41" s="81"/>
      <c r="CI41" s="81"/>
      <c r="CJ41" s="81"/>
      <c r="CK41" s="81"/>
      <c r="CL41" s="82"/>
      <c r="CM41" s="96"/>
      <c r="CN41" s="97"/>
      <c r="CO41" s="98"/>
      <c r="CP41" s="92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119"/>
      <c r="DU41" s="78"/>
      <c r="DV41" s="81"/>
      <c r="DW41" s="80"/>
      <c r="DX41" s="78"/>
      <c r="DY41" s="81"/>
      <c r="DZ41" s="81"/>
      <c r="EA41" s="81"/>
      <c r="EB41" s="81"/>
      <c r="EC41" s="81"/>
      <c r="ED41" s="81"/>
      <c r="EE41" s="80"/>
      <c r="EF41" s="96"/>
      <c r="EG41" s="97"/>
      <c r="EH41" s="98"/>
      <c r="EI41" s="92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119"/>
      <c r="FN41" s="78"/>
      <c r="FO41" s="81"/>
      <c r="FP41" s="80"/>
      <c r="FQ41" s="78"/>
      <c r="FR41" s="81"/>
      <c r="FS41" s="81"/>
      <c r="FT41" s="81"/>
      <c r="FU41" s="81"/>
      <c r="FV41" s="81"/>
      <c r="FW41" s="81"/>
      <c r="FX41" s="80"/>
      <c r="FY41" s="96"/>
      <c r="FZ41" s="97"/>
      <c r="GA41" s="98"/>
      <c r="GB41" s="92"/>
      <c r="GC41" s="85"/>
      <c r="GD41" s="85"/>
      <c r="GE41" s="85"/>
      <c r="GF41" s="85"/>
      <c r="GG41" s="85"/>
      <c r="GH41" s="85"/>
      <c r="GI41" s="85"/>
      <c r="GJ41" s="85"/>
      <c r="GK41" s="85"/>
      <c r="GL41" s="85"/>
      <c r="GM41" s="85"/>
      <c r="GN41" s="85"/>
      <c r="GO41" s="85"/>
      <c r="GP41" s="85"/>
      <c r="GQ41" s="85"/>
      <c r="GR41" s="85"/>
      <c r="GS41" s="85"/>
      <c r="GT41" s="85"/>
      <c r="GU41" s="85"/>
      <c r="GV41" s="85"/>
      <c r="GW41" s="85"/>
      <c r="GX41" s="85"/>
      <c r="GY41" s="85"/>
      <c r="GZ41" s="85"/>
      <c r="HA41" s="85"/>
      <c r="HB41" s="85"/>
      <c r="HC41" s="85"/>
      <c r="HD41" s="85"/>
      <c r="HE41" s="85"/>
      <c r="HF41" s="119"/>
      <c r="HG41" s="78"/>
      <c r="HH41" s="81"/>
      <c r="HI41" s="80"/>
      <c r="HJ41" s="78"/>
      <c r="HK41" s="81"/>
      <c r="HL41" s="81"/>
      <c r="HM41" s="81"/>
      <c r="HN41" s="81"/>
      <c r="HO41" s="81"/>
      <c r="HP41" s="81"/>
      <c r="HQ41" s="80"/>
      <c r="HR41" s="96"/>
      <c r="HS41" s="97"/>
      <c r="HT41" s="98"/>
      <c r="HU41" s="92"/>
      <c r="HV41" s="85"/>
      <c r="HW41" s="85"/>
      <c r="HX41" s="85"/>
      <c r="HY41" s="85"/>
      <c r="HZ41" s="85"/>
      <c r="IA41" s="85"/>
      <c r="IB41" s="85"/>
      <c r="IC41" s="85"/>
      <c r="ID41" s="85"/>
      <c r="IE41" s="85"/>
      <c r="IF41" s="85"/>
      <c r="IG41" s="85"/>
      <c r="IH41" s="85"/>
      <c r="II41" s="85"/>
      <c r="IJ41" s="85"/>
      <c r="IK41" s="85"/>
      <c r="IL41" s="85"/>
      <c r="IM41" s="85"/>
      <c r="IN41" s="85"/>
      <c r="IO41" s="85"/>
      <c r="IP41" s="85"/>
      <c r="IQ41" s="85"/>
      <c r="IR41" s="85"/>
      <c r="IS41" s="85"/>
      <c r="IT41" s="85"/>
      <c r="IU41" s="85"/>
      <c r="IV41" s="85"/>
      <c r="IW41" s="85"/>
      <c r="IX41" s="85"/>
      <c r="IY41" s="119"/>
      <c r="IZ41" s="78"/>
      <c r="JA41" s="81"/>
      <c r="JB41" s="80"/>
      <c r="JC41" s="78"/>
      <c r="JD41" s="81"/>
      <c r="JE41" s="81"/>
      <c r="JF41" s="81"/>
      <c r="JG41" s="81"/>
      <c r="JH41" s="81"/>
      <c r="JI41" s="81"/>
      <c r="JJ41" s="80"/>
      <c r="JK41" s="96"/>
      <c r="JL41" s="97"/>
      <c r="JM41" s="98"/>
      <c r="JN41" s="92"/>
      <c r="JO41" s="85"/>
      <c r="JP41" s="85"/>
      <c r="JQ41" s="85"/>
      <c r="JR41" s="85"/>
      <c r="JS41" s="85"/>
      <c r="JT41" s="85"/>
      <c r="JU41" s="85"/>
      <c r="JV41" s="85"/>
      <c r="JW41" s="85"/>
      <c r="JX41" s="85"/>
      <c r="JY41" s="85"/>
      <c r="JZ41" s="85"/>
      <c r="KA41" s="85"/>
      <c r="KB41" s="85"/>
      <c r="KC41" s="85"/>
      <c r="KD41" s="85"/>
      <c r="KE41" s="85"/>
      <c r="KF41" s="85"/>
      <c r="KG41" s="85"/>
      <c r="KH41" s="85"/>
      <c r="KI41" s="85"/>
      <c r="KJ41" s="85"/>
      <c r="KK41" s="85"/>
      <c r="KL41" s="85"/>
      <c r="KM41" s="85"/>
      <c r="KN41" s="85"/>
      <c r="KO41" s="85"/>
      <c r="KP41" s="85"/>
      <c r="KQ41" s="85"/>
      <c r="KR41" s="119"/>
      <c r="KS41" s="78"/>
      <c r="KT41" s="81"/>
      <c r="KU41" s="80"/>
      <c r="KV41" s="78"/>
      <c r="KW41" s="81"/>
      <c r="KX41" s="81"/>
      <c r="KY41" s="81"/>
      <c r="KZ41" s="81"/>
      <c r="LA41" s="81"/>
      <c r="LB41" s="81"/>
      <c r="LC41" s="80"/>
      <c r="LD41" s="96"/>
      <c r="LE41" s="97"/>
      <c r="LF41" s="98"/>
      <c r="LG41" s="92"/>
      <c r="LH41" s="85"/>
      <c r="LI41" s="85"/>
      <c r="LJ41" s="85"/>
      <c r="LK41" s="85"/>
      <c r="LL41" s="85"/>
      <c r="LM41" s="85"/>
      <c r="LN41" s="85"/>
      <c r="LO41" s="85"/>
      <c r="LP41" s="85"/>
      <c r="LQ41" s="85"/>
      <c r="LR41" s="85"/>
      <c r="LS41" s="85"/>
      <c r="LT41" s="85"/>
      <c r="LU41" s="85"/>
      <c r="LV41" s="85"/>
      <c r="LW41" s="85"/>
      <c r="LX41" s="85"/>
      <c r="LY41" s="85"/>
      <c r="LZ41" s="85"/>
      <c r="MA41" s="85"/>
      <c r="MB41" s="85"/>
      <c r="MC41" s="85"/>
      <c r="MD41" s="85"/>
      <c r="ME41" s="85"/>
      <c r="MF41" s="85"/>
      <c r="MG41" s="85"/>
      <c r="MH41" s="85"/>
      <c r="MI41" s="85"/>
      <c r="MJ41" s="85"/>
      <c r="MK41" s="119"/>
      <c r="ML41" s="78"/>
      <c r="MM41" s="81"/>
      <c r="MN41" s="80"/>
      <c r="MO41" s="78"/>
      <c r="MP41" s="81"/>
      <c r="MQ41" s="81"/>
      <c r="MR41" s="81"/>
      <c r="MS41" s="81"/>
      <c r="MT41" s="81"/>
      <c r="MU41" s="81"/>
      <c r="MV41" s="80"/>
      <c r="MW41" s="96"/>
      <c r="MX41" s="97"/>
      <c r="MY41" s="98"/>
      <c r="MZ41" s="92"/>
      <c r="NA41" s="85"/>
      <c r="NB41" s="85"/>
      <c r="NC41" s="85"/>
      <c r="ND41" s="85"/>
      <c r="NE41" s="85"/>
      <c r="NF41" s="85"/>
      <c r="NG41" s="85"/>
      <c r="NH41" s="85"/>
      <c r="NI41" s="85"/>
      <c r="NJ41" s="85"/>
      <c r="NK41" s="85"/>
      <c r="NL41" s="85"/>
      <c r="NM41" s="85"/>
      <c r="NN41" s="85"/>
      <c r="NO41" s="85"/>
      <c r="NP41" s="85"/>
      <c r="NQ41" s="85"/>
      <c r="NR41" s="85"/>
      <c r="NS41" s="85"/>
      <c r="NT41" s="85"/>
      <c r="NU41" s="85"/>
      <c r="NV41" s="85"/>
      <c r="NW41" s="85"/>
      <c r="NX41" s="85"/>
      <c r="NY41" s="85"/>
      <c r="NZ41" s="85"/>
      <c r="OA41" s="85"/>
      <c r="OB41" s="85"/>
      <c r="OC41" s="85"/>
      <c r="OD41" s="119"/>
      <c r="OE41" s="78"/>
      <c r="OF41" s="81"/>
      <c r="OG41" s="80"/>
      <c r="OH41" s="78"/>
      <c r="OI41" s="81"/>
      <c r="OJ41" s="81"/>
      <c r="OK41" s="81"/>
      <c r="OL41" s="81"/>
      <c r="OM41" s="81"/>
      <c r="ON41" s="81"/>
      <c r="OO41" s="80"/>
      <c r="OP41" s="96"/>
      <c r="OQ41" s="97"/>
      <c r="OR41" s="98"/>
      <c r="OS41" s="92"/>
      <c r="OT41" s="85"/>
      <c r="OU41" s="85"/>
      <c r="OV41" s="85"/>
      <c r="OW41" s="85"/>
      <c r="OX41" s="85"/>
      <c r="OY41" s="85"/>
      <c r="OZ41" s="85"/>
      <c r="PA41" s="85"/>
      <c r="PB41" s="85"/>
      <c r="PC41" s="85"/>
      <c r="PD41" s="85"/>
      <c r="PE41" s="85"/>
      <c r="PF41" s="85"/>
      <c r="PG41" s="85"/>
      <c r="PH41" s="85"/>
      <c r="PI41" s="85"/>
      <c r="PJ41" s="85"/>
      <c r="PK41" s="85"/>
      <c r="PL41" s="85"/>
      <c r="PM41" s="85"/>
      <c r="PN41" s="85"/>
      <c r="PO41" s="85"/>
      <c r="PP41" s="85"/>
      <c r="PQ41" s="85"/>
      <c r="PR41" s="85"/>
      <c r="PS41" s="85"/>
      <c r="PT41" s="85"/>
      <c r="PU41" s="85"/>
      <c r="PV41" s="85"/>
      <c r="PW41" s="119"/>
      <c r="PX41" s="78"/>
      <c r="PY41" s="81"/>
      <c r="PZ41" s="80"/>
      <c r="QA41" s="78"/>
      <c r="QB41" s="81"/>
      <c r="QC41" s="81"/>
      <c r="QD41" s="81"/>
      <c r="QE41" s="81"/>
      <c r="QF41" s="81"/>
      <c r="QG41" s="81"/>
      <c r="QH41" s="80"/>
      <c r="QI41" s="96"/>
      <c r="QJ41" s="97"/>
      <c r="QK41" s="98"/>
      <c r="QL41" s="92"/>
      <c r="QM41" s="85"/>
      <c r="QN41" s="85"/>
      <c r="QO41" s="85"/>
      <c r="QP41" s="85"/>
      <c r="QQ41" s="85"/>
      <c r="QR41" s="85"/>
      <c r="QS41" s="85"/>
      <c r="QT41" s="85"/>
      <c r="QU41" s="85"/>
      <c r="QV41" s="85"/>
      <c r="QW41" s="85"/>
      <c r="QX41" s="85"/>
      <c r="QY41" s="85"/>
      <c r="QZ41" s="85"/>
      <c r="RA41" s="85"/>
      <c r="RB41" s="85"/>
      <c r="RC41" s="85"/>
      <c r="RD41" s="85"/>
      <c r="RE41" s="85"/>
      <c r="RF41" s="85"/>
      <c r="RG41" s="85"/>
      <c r="RH41" s="85"/>
      <c r="RI41" s="85"/>
      <c r="RJ41" s="85"/>
      <c r="RK41" s="85"/>
      <c r="RL41" s="85"/>
      <c r="RM41" s="85"/>
      <c r="RN41" s="85"/>
      <c r="RO41" s="85"/>
      <c r="RP41" s="119"/>
      <c r="RQ41" s="78"/>
      <c r="RR41" s="81"/>
      <c r="RS41" s="80"/>
      <c r="RT41" s="78"/>
      <c r="RU41" s="81"/>
      <c r="RV41" s="81"/>
      <c r="RW41" s="81"/>
      <c r="RX41" s="81"/>
      <c r="RY41" s="81"/>
      <c r="RZ41" s="81"/>
      <c r="SA41" s="80"/>
      <c r="SB41" s="96"/>
      <c r="SC41" s="97"/>
      <c r="SD41" s="98"/>
      <c r="SE41" s="92"/>
      <c r="SF41" s="85"/>
      <c r="SG41" s="85"/>
      <c r="SH41" s="85"/>
      <c r="SI41" s="85"/>
      <c r="SJ41" s="85"/>
      <c r="SK41" s="85"/>
      <c r="SL41" s="85"/>
      <c r="SM41" s="85"/>
      <c r="SN41" s="85"/>
      <c r="SO41" s="85"/>
      <c r="SP41" s="85"/>
      <c r="SQ41" s="85"/>
      <c r="SR41" s="85"/>
      <c r="SS41" s="85"/>
      <c r="ST41" s="85"/>
      <c r="SU41" s="85"/>
      <c r="SV41" s="85"/>
      <c r="SW41" s="85"/>
      <c r="SX41" s="85"/>
      <c r="SY41" s="85"/>
      <c r="SZ41" s="85"/>
      <c r="TA41" s="85"/>
      <c r="TB41" s="85"/>
      <c r="TC41" s="85"/>
      <c r="TD41" s="85"/>
      <c r="TE41" s="85"/>
      <c r="TF41" s="85"/>
      <c r="TG41" s="85"/>
      <c r="TH41" s="85"/>
      <c r="TI41" s="119"/>
      <c r="TJ41" s="78"/>
      <c r="TK41" s="81"/>
      <c r="TL41" s="80"/>
      <c r="TM41" s="78"/>
      <c r="TN41" s="81"/>
      <c r="TO41" s="81"/>
      <c r="TP41" s="81"/>
      <c r="TQ41" s="81"/>
      <c r="TR41" s="81"/>
      <c r="TS41" s="81"/>
      <c r="TT41" s="80"/>
    </row>
    <row r="42" ht="24.75" hidden="1" customHeight="1" outlineLevel="1">
      <c r="A42" s="100" t="s">
        <v>27</v>
      </c>
      <c r="B42" s="101"/>
      <c r="C42" s="102"/>
      <c r="D42" s="103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4"/>
      <c r="AH42" s="105"/>
      <c r="AI42" s="103"/>
      <c r="AJ42" s="101"/>
      <c r="AK42" s="102"/>
      <c r="AL42" s="103"/>
      <c r="AM42" s="101"/>
      <c r="AN42" s="101"/>
      <c r="AO42" s="101"/>
      <c r="AP42" s="101"/>
      <c r="AQ42" s="101"/>
      <c r="AR42" s="101"/>
      <c r="AS42" s="102"/>
      <c r="AT42" s="100" t="s">
        <v>27</v>
      </c>
      <c r="AU42" s="101"/>
      <c r="AV42" s="102"/>
      <c r="AW42" s="103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4"/>
      <c r="CA42" s="106"/>
      <c r="CB42" s="103"/>
      <c r="CC42" s="101"/>
      <c r="CD42" s="102"/>
      <c r="CE42" s="103"/>
      <c r="CF42" s="101"/>
      <c r="CG42" s="101"/>
      <c r="CH42" s="101"/>
      <c r="CI42" s="101"/>
      <c r="CJ42" s="101"/>
      <c r="CK42" s="101"/>
      <c r="CL42" s="102"/>
      <c r="CM42" s="100" t="s">
        <v>27</v>
      </c>
      <c r="CN42" s="101"/>
      <c r="CO42" s="102"/>
      <c r="CP42" s="103"/>
      <c r="CQ42" s="101"/>
      <c r="CR42" s="101"/>
      <c r="CS42" s="101"/>
      <c r="CT42" s="101"/>
      <c r="CU42" s="101"/>
      <c r="CV42" s="101"/>
      <c r="CW42" s="101"/>
      <c r="CX42" s="101"/>
      <c r="CY42" s="101"/>
      <c r="CZ42" s="101"/>
      <c r="DA42" s="101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4"/>
      <c r="DT42" s="106"/>
      <c r="DU42" s="103"/>
      <c r="DV42" s="101"/>
      <c r="DW42" s="102"/>
      <c r="DX42" s="103"/>
      <c r="DY42" s="101"/>
      <c r="DZ42" s="101"/>
      <c r="EA42" s="101"/>
      <c r="EB42" s="101"/>
      <c r="EC42" s="101"/>
      <c r="ED42" s="101"/>
      <c r="EE42" s="102"/>
      <c r="EF42" s="100" t="s">
        <v>27</v>
      </c>
      <c r="EG42" s="101"/>
      <c r="EH42" s="102"/>
      <c r="EI42" s="103"/>
      <c r="EJ42" s="101"/>
      <c r="EK42" s="101"/>
      <c r="EL42" s="101"/>
      <c r="EM42" s="101"/>
      <c r="EN42" s="101"/>
      <c r="EO42" s="101"/>
      <c r="EP42" s="101"/>
      <c r="EQ42" s="101"/>
      <c r="ER42" s="101"/>
      <c r="ES42" s="101"/>
      <c r="ET42" s="101"/>
      <c r="EU42" s="101"/>
      <c r="EV42" s="101"/>
      <c r="EW42" s="101"/>
      <c r="EX42" s="101"/>
      <c r="EY42" s="101"/>
      <c r="EZ42" s="101"/>
      <c r="FA42" s="101"/>
      <c r="FB42" s="101"/>
      <c r="FC42" s="101"/>
      <c r="FD42" s="101"/>
      <c r="FE42" s="101"/>
      <c r="FF42" s="101"/>
      <c r="FG42" s="101"/>
      <c r="FH42" s="101"/>
      <c r="FI42" s="101"/>
      <c r="FJ42" s="101"/>
      <c r="FK42" s="101"/>
      <c r="FL42" s="104"/>
      <c r="FM42" s="106"/>
      <c r="FN42" s="103"/>
      <c r="FO42" s="101"/>
      <c r="FP42" s="102"/>
      <c r="FQ42" s="103"/>
      <c r="FR42" s="101"/>
      <c r="FS42" s="101"/>
      <c r="FT42" s="101"/>
      <c r="FU42" s="101"/>
      <c r="FV42" s="101"/>
      <c r="FW42" s="101"/>
      <c r="FX42" s="102"/>
      <c r="FY42" s="100" t="s">
        <v>27</v>
      </c>
      <c r="FZ42" s="101"/>
      <c r="GA42" s="102"/>
      <c r="GB42" s="103"/>
      <c r="GC42" s="101"/>
      <c r="GD42" s="101"/>
      <c r="GE42" s="101"/>
      <c r="GF42" s="101"/>
      <c r="GG42" s="101"/>
      <c r="GH42" s="101"/>
      <c r="GI42" s="101"/>
      <c r="GJ42" s="101"/>
      <c r="GK42" s="101"/>
      <c r="GL42" s="101"/>
      <c r="GM42" s="101"/>
      <c r="GN42" s="101"/>
      <c r="GO42" s="101"/>
      <c r="GP42" s="101"/>
      <c r="GQ42" s="101"/>
      <c r="GR42" s="101"/>
      <c r="GS42" s="101"/>
      <c r="GT42" s="101"/>
      <c r="GU42" s="101"/>
      <c r="GV42" s="101"/>
      <c r="GW42" s="101"/>
      <c r="GX42" s="101"/>
      <c r="GY42" s="101"/>
      <c r="GZ42" s="101"/>
      <c r="HA42" s="101"/>
      <c r="HB42" s="101"/>
      <c r="HC42" s="101"/>
      <c r="HD42" s="101"/>
      <c r="HE42" s="104"/>
      <c r="HF42" s="106"/>
      <c r="HG42" s="103"/>
      <c r="HH42" s="101"/>
      <c r="HI42" s="102"/>
      <c r="HJ42" s="103"/>
      <c r="HK42" s="101"/>
      <c r="HL42" s="101"/>
      <c r="HM42" s="101"/>
      <c r="HN42" s="101"/>
      <c r="HO42" s="101"/>
      <c r="HP42" s="101"/>
      <c r="HQ42" s="102"/>
      <c r="HR42" s="100" t="s">
        <v>27</v>
      </c>
      <c r="HS42" s="101"/>
      <c r="HT42" s="102"/>
      <c r="HU42" s="103"/>
      <c r="HV42" s="101"/>
      <c r="HW42" s="101"/>
      <c r="HX42" s="101"/>
      <c r="HY42" s="101"/>
      <c r="HZ42" s="101"/>
      <c r="IA42" s="101"/>
      <c r="IB42" s="101"/>
      <c r="IC42" s="101"/>
      <c r="ID42" s="101"/>
      <c r="IE42" s="101"/>
      <c r="IF42" s="101"/>
      <c r="IG42" s="101"/>
      <c r="IH42" s="101"/>
      <c r="II42" s="101"/>
      <c r="IJ42" s="101"/>
      <c r="IK42" s="101"/>
      <c r="IL42" s="101"/>
      <c r="IM42" s="101"/>
      <c r="IN42" s="101"/>
      <c r="IO42" s="101"/>
      <c r="IP42" s="101"/>
      <c r="IQ42" s="101"/>
      <c r="IR42" s="101"/>
      <c r="IS42" s="101"/>
      <c r="IT42" s="101"/>
      <c r="IU42" s="101"/>
      <c r="IV42" s="101"/>
      <c r="IW42" s="101"/>
      <c r="IX42" s="104"/>
      <c r="IY42" s="106"/>
      <c r="IZ42" s="103"/>
      <c r="JA42" s="101"/>
      <c r="JB42" s="102"/>
      <c r="JC42" s="103"/>
      <c r="JD42" s="101"/>
      <c r="JE42" s="101"/>
      <c r="JF42" s="101"/>
      <c r="JG42" s="101"/>
      <c r="JH42" s="101"/>
      <c r="JI42" s="101"/>
      <c r="JJ42" s="102"/>
      <c r="JK42" s="100" t="s">
        <v>27</v>
      </c>
      <c r="JL42" s="101"/>
      <c r="JM42" s="102"/>
      <c r="JN42" s="103"/>
      <c r="JO42" s="101"/>
      <c r="JP42" s="101"/>
      <c r="JQ42" s="101"/>
      <c r="JR42" s="101"/>
      <c r="JS42" s="101"/>
      <c r="JT42" s="101"/>
      <c r="JU42" s="101"/>
      <c r="JV42" s="101"/>
      <c r="JW42" s="101"/>
      <c r="JX42" s="101"/>
      <c r="JY42" s="101"/>
      <c r="JZ42" s="101"/>
      <c r="KA42" s="101"/>
      <c r="KB42" s="101"/>
      <c r="KC42" s="101"/>
      <c r="KD42" s="101"/>
      <c r="KE42" s="101"/>
      <c r="KF42" s="101"/>
      <c r="KG42" s="101"/>
      <c r="KH42" s="101"/>
      <c r="KI42" s="101"/>
      <c r="KJ42" s="101"/>
      <c r="KK42" s="101"/>
      <c r="KL42" s="101"/>
      <c r="KM42" s="101"/>
      <c r="KN42" s="101"/>
      <c r="KO42" s="101"/>
      <c r="KP42" s="101"/>
      <c r="KQ42" s="104"/>
      <c r="KR42" s="106"/>
      <c r="KS42" s="103"/>
      <c r="KT42" s="101"/>
      <c r="KU42" s="102"/>
      <c r="KV42" s="103"/>
      <c r="KW42" s="101"/>
      <c r="KX42" s="101"/>
      <c r="KY42" s="101"/>
      <c r="KZ42" s="101"/>
      <c r="LA42" s="101"/>
      <c r="LB42" s="101"/>
      <c r="LC42" s="102"/>
      <c r="LD42" s="100" t="s">
        <v>27</v>
      </c>
      <c r="LE42" s="101"/>
      <c r="LF42" s="102"/>
      <c r="LG42" s="103"/>
      <c r="LH42" s="101"/>
      <c r="LI42" s="101"/>
      <c r="LJ42" s="101"/>
      <c r="LK42" s="101"/>
      <c r="LL42" s="101"/>
      <c r="LM42" s="101"/>
      <c r="LN42" s="101"/>
      <c r="LO42" s="101"/>
      <c r="LP42" s="101"/>
      <c r="LQ42" s="101"/>
      <c r="LR42" s="101"/>
      <c r="LS42" s="101"/>
      <c r="LT42" s="101"/>
      <c r="LU42" s="101"/>
      <c r="LV42" s="101"/>
      <c r="LW42" s="101"/>
      <c r="LX42" s="101"/>
      <c r="LY42" s="101"/>
      <c r="LZ42" s="101"/>
      <c r="MA42" s="101"/>
      <c r="MB42" s="101"/>
      <c r="MC42" s="101"/>
      <c r="MD42" s="101"/>
      <c r="ME42" s="101"/>
      <c r="MF42" s="101"/>
      <c r="MG42" s="101"/>
      <c r="MH42" s="101"/>
      <c r="MI42" s="101"/>
      <c r="MJ42" s="104"/>
      <c r="MK42" s="106"/>
      <c r="ML42" s="103"/>
      <c r="MM42" s="101"/>
      <c r="MN42" s="102"/>
      <c r="MO42" s="103"/>
      <c r="MP42" s="101"/>
      <c r="MQ42" s="101"/>
      <c r="MR42" s="101"/>
      <c r="MS42" s="101"/>
      <c r="MT42" s="101"/>
      <c r="MU42" s="101"/>
      <c r="MV42" s="102"/>
      <c r="MW42" s="100" t="s">
        <v>27</v>
      </c>
      <c r="MX42" s="101"/>
      <c r="MY42" s="102"/>
      <c r="MZ42" s="103"/>
      <c r="NA42" s="101"/>
      <c r="NB42" s="101"/>
      <c r="NC42" s="101"/>
      <c r="ND42" s="101"/>
      <c r="NE42" s="101"/>
      <c r="NF42" s="101"/>
      <c r="NG42" s="101"/>
      <c r="NH42" s="101"/>
      <c r="NI42" s="101"/>
      <c r="NJ42" s="101"/>
      <c r="NK42" s="101"/>
      <c r="NL42" s="101"/>
      <c r="NM42" s="101"/>
      <c r="NN42" s="101"/>
      <c r="NO42" s="101"/>
      <c r="NP42" s="101"/>
      <c r="NQ42" s="101"/>
      <c r="NR42" s="101"/>
      <c r="NS42" s="101"/>
      <c r="NT42" s="101"/>
      <c r="NU42" s="101"/>
      <c r="NV42" s="101"/>
      <c r="NW42" s="101"/>
      <c r="NX42" s="101"/>
      <c r="NY42" s="101"/>
      <c r="NZ42" s="101"/>
      <c r="OA42" s="101"/>
      <c r="OB42" s="101"/>
      <c r="OC42" s="104"/>
      <c r="OD42" s="106"/>
      <c r="OE42" s="103"/>
      <c r="OF42" s="101"/>
      <c r="OG42" s="102"/>
      <c r="OH42" s="103"/>
      <c r="OI42" s="101"/>
      <c r="OJ42" s="101"/>
      <c r="OK42" s="101"/>
      <c r="OL42" s="101"/>
      <c r="OM42" s="101"/>
      <c r="ON42" s="101"/>
      <c r="OO42" s="102"/>
      <c r="OP42" s="100" t="s">
        <v>27</v>
      </c>
      <c r="OQ42" s="101"/>
      <c r="OR42" s="102"/>
      <c r="OS42" s="103"/>
      <c r="OT42" s="101"/>
      <c r="OU42" s="101"/>
      <c r="OV42" s="101"/>
      <c r="OW42" s="101"/>
      <c r="OX42" s="101"/>
      <c r="OY42" s="101"/>
      <c r="OZ42" s="101"/>
      <c r="PA42" s="101"/>
      <c r="PB42" s="101"/>
      <c r="PC42" s="101"/>
      <c r="PD42" s="101"/>
      <c r="PE42" s="101"/>
      <c r="PF42" s="101"/>
      <c r="PG42" s="101"/>
      <c r="PH42" s="101"/>
      <c r="PI42" s="101"/>
      <c r="PJ42" s="101"/>
      <c r="PK42" s="101"/>
      <c r="PL42" s="101"/>
      <c r="PM42" s="101"/>
      <c r="PN42" s="101"/>
      <c r="PO42" s="101"/>
      <c r="PP42" s="101"/>
      <c r="PQ42" s="101"/>
      <c r="PR42" s="101"/>
      <c r="PS42" s="101"/>
      <c r="PT42" s="101"/>
      <c r="PU42" s="101"/>
      <c r="PV42" s="104"/>
      <c r="PW42" s="106"/>
      <c r="PX42" s="103"/>
      <c r="PY42" s="101"/>
      <c r="PZ42" s="102"/>
      <c r="QA42" s="103"/>
      <c r="QB42" s="101"/>
      <c r="QC42" s="101"/>
      <c r="QD42" s="101"/>
      <c r="QE42" s="101"/>
      <c r="QF42" s="101"/>
      <c r="QG42" s="101"/>
      <c r="QH42" s="102"/>
      <c r="QI42" s="100" t="s">
        <v>27</v>
      </c>
      <c r="QJ42" s="101"/>
      <c r="QK42" s="102"/>
      <c r="QL42" s="103"/>
      <c r="QM42" s="101"/>
      <c r="QN42" s="101"/>
      <c r="QO42" s="101"/>
      <c r="QP42" s="101"/>
      <c r="QQ42" s="101"/>
      <c r="QR42" s="101"/>
      <c r="QS42" s="101"/>
      <c r="QT42" s="101"/>
      <c r="QU42" s="101"/>
      <c r="QV42" s="101"/>
      <c r="QW42" s="101"/>
      <c r="QX42" s="101"/>
      <c r="QY42" s="101"/>
      <c r="QZ42" s="101"/>
      <c r="RA42" s="101"/>
      <c r="RB42" s="101"/>
      <c r="RC42" s="101"/>
      <c r="RD42" s="101"/>
      <c r="RE42" s="101"/>
      <c r="RF42" s="101"/>
      <c r="RG42" s="101"/>
      <c r="RH42" s="101"/>
      <c r="RI42" s="101"/>
      <c r="RJ42" s="101"/>
      <c r="RK42" s="101"/>
      <c r="RL42" s="101"/>
      <c r="RM42" s="101"/>
      <c r="RN42" s="101"/>
      <c r="RO42" s="104"/>
      <c r="RP42" s="106"/>
      <c r="RQ42" s="103"/>
      <c r="RR42" s="101"/>
      <c r="RS42" s="102"/>
      <c r="RT42" s="103"/>
      <c r="RU42" s="101"/>
      <c r="RV42" s="101"/>
      <c r="RW42" s="101"/>
      <c r="RX42" s="101"/>
      <c r="RY42" s="101"/>
      <c r="RZ42" s="101"/>
      <c r="SA42" s="102"/>
      <c r="SB42" s="100" t="s">
        <v>27</v>
      </c>
      <c r="SC42" s="101"/>
      <c r="SD42" s="102"/>
      <c r="SE42" s="103"/>
      <c r="SF42" s="101"/>
      <c r="SG42" s="101"/>
      <c r="SH42" s="101"/>
      <c r="SI42" s="101"/>
      <c r="SJ42" s="101"/>
      <c r="SK42" s="101"/>
      <c r="SL42" s="101"/>
      <c r="SM42" s="101"/>
      <c r="SN42" s="101"/>
      <c r="SO42" s="101"/>
      <c r="SP42" s="101"/>
      <c r="SQ42" s="101"/>
      <c r="SR42" s="101"/>
      <c r="SS42" s="101"/>
      <c r="ST42" s="101"/>
      <c r="SU42" s="101"/>
      <c r="SV42" s="101"/>
      <c r="SW42" s="101"/>
      <c r="SX42" s="101"/>
      <c r="SY42" s="101"/>
      <c r="SZ42" s="101"/>
      <c r="TA42" s="101"/>
      <c r="TB42" s="101"/>
      <c r="TC42" s="101"/>
      <c r="TD42" s="101"/>
      <c r="TE42" s="101"/>
      <c r="TF42" s="101"/>
      <c r="TG42" s="101"/>
      <c r="TH42" s="104"/>
      <c r="TI42" s="106"/>
      <c r="TJ42" s="103"/>
      <c r="TK42" s="101"/>
      <c r="TL42" s="102"/>
      <c r="TM42" s="103"/>
      <c r="TN42" s="101"/>
      <c r="TO42" s="101"/>
      <c r="TP42" s="101"/>
      <c r="TQ42" s="101"/>
      <c r="TR42" s="101"/>
      <c r="TS42" s="101"/>
      <c r="TT42" s="102"/>
    </row>
    <row r="43" ht="24.75" customHeight="1">
      <c r="A43" s="108" t="str">
        <f>elenchi!$C9</f>
        <v>JANNELLI SARA</v>
      </c>
      <c r="B43" s="109"/>
      <c r="C43" s="110"/>
      <c r="D43" s="67">
        <f t="shared" ref="D43:AH43" si="97">D$2</f>
        <v>45901</v>
      </c>
      <c r="E43" s="67">
        <f t="shared" si="97"/>
        <v>45902</v>
      </c>
      <c r="F43" s="67">
        <f t="shared" si="97"/>
        <v>45903</v>
      </c>
      <c r="G43" s="67">
        <f t="shared" si="97"/>
        <v>45904</v>
      </c>
      <c r="H43" s="67">
        <f t="shared" si="97"/>
        <v>45905</v>
      </c>
      <c r="I43" s="67">
        <f t="shared" si="97"/>
        <v>45906</v>
      </c>
      <c r="J43" s="67">
        <f t="shared" si="97"/>
        <v>45907</v>
      </c>
      <c r="K43" s="67">
        <f t="shared" si="97"/>
        <v>45908</v>
      </c>
      <c r="L43" s="67">
        <f t="shared" si="97"/>
        <v>45909</v>
      </c>
      <c r="M43" s="67">
        <f t="shared" si="97"/>
        <v>45910</v>
      </c>
      <c r="N43" s="67">
        <f t="shared" si="97"/>
        <v>45911</v>
      </c>
      <c r="O43" s="67">
        <f t="shared" si="97"/>
        <v>45912</v>
      </c>
      <c r="P43" s="67">
        <f t="shared" si="97"/>
        <v>45913</v>
      </c>
      <c r="Q43" s="67">
        <f t="shared" si="97"/>
        <v>45914</v>
      </c>
      <c r="R43" s="67">
        <f t="shared" si="97"/>
        <v>45915</v>
      </c>
      <c r="S43" s="67">
        <f t="shared" si="97"/>
        <v>45916</v>
      </c>
      <c r="T43" s="67">
        <f t="shared" si="97"/>
        <v>45917</v>
      </c>
      <c r="U43" s="67">
        <f t="shared" si="97"/>
        <v>45918</v>
      </c>
      <c r="V43" s="67">
        <f t="shared" si="97"/>
        <v>45919</v>
      </c>
      <c r="W43" s="67">
        <f t="shared" si="97"/>
        <v>45920</v>
      </c>
      <c r="X43" s="67">
        <f t="shared" si="97"/>
        <v>45921</v>
      </c>
      <c r="Y43" s="67">
        <f t="shared" si="97"/>
        <v>45922</v>
      </c>
      <c r="Z43" s="67">
        <f t="shared" si="97"/>
        <v>45923</v>
      </c>
      <c r="AA43" s="67">
        <f t="shared" si="97"/>
        <v>45924</v>
      </c>
      <c r="AB43" s="67">
        <f t="shared" si="97"/>
        <v>45925</v>
      </c>
      <c r="AC43" s="67">
        <f t="shared" si="97"/>
        <v>45926</v>
      </c>
      <c r="AD43" s="67">
        <f t="shared" si="97"/>
        <v>45927</v>
      </c>
      <c r="AE43" s="67">
        <f t="shared" si="97"/>
        <v>45928</v>
      </c>
      <c r="AF43" s="67">
        <f t="shared" si="97"/>
        <v>45929</v>
      </c>
      <c r="AG43" s="67">
        <f t="shared" si="97"/>
        <v>45930</v>
      </c>
      <c r="AH43" s="111" t="str">
        <f t="shared" si="97"/>
        <v/>
      </c>
      <c r="AI43" s="112" t="s">
        <v>33</v>
      </c>
      <c r="AJ43" s="113" t="s">
        <v>28</v>
      </c>
      <c r="AK43" s="114" t="s">
        <v>34</v>
      </c>
      <c r="AL43" s="112" t="s">
        <v>13</v>
      </c>
      <c r="AM43" s="113" t="s">
        <v>1</v>
      </c>
      <c r="AN43" s="113" t="s">
        <v>35</v>
      </c>
      <c r="AO43" s="113" t="s">
        <v>36</v>
      </c>
      <c r="AP43" s="113" t="s">
        <v>37</v>
      </c>
      <c r="AQ43" s="113" t="s">
        <v>0</v>
      </c>
      <c r="AR43" s="113" t="s">
        <v>38</v>
      </c>
      <c r="AS43" s="115" t="s">
        <v>11</v>
      </c>
      <c r="AT43" s="108" t="str">
        <f>elenchi!$C9</f>
        <v>JANNELLI SARA</v>
      </c>
      <c r="AU43" s="109"/>
      <c r="AV43" s="110"/>
      <c r="AW43" s="67">
        <f t="shared" ref="AW43:CA43" si="98">AW$2</f>
        <v>45931</v>
      </c>
      <c r="AX43" s="67">
        <f t="shared" si="98"/>
        <v>45932</v>
      </c>
      <c r="AY43" s="67">
        <f t="shared" si="98"/>
        <v>45933</v>
      </c>
      <c r="AZ43" s="67">
        <f t="shared" si="98"/>
        <v>45934</v>
      </c>
      <c r="BA43" s="67">
        <f t="shared" si="98"/>
        <v>45935</v>
      </c>
      <c r="BB43" s="67">
        <f t="shared" si="98"/>
        <v>45936</v>
      </c>
      <c r="BC43" s="67">
        <f t="shared" si="98"/>
        <v>45937</v>
      </c>
      <c r="BD43" s="67">
        <f t="shared" si="98"/>
        <v>45938</v>
      </c>
      <c r="BE43" s="67">
        <f t="shared" si="98"/>
        <v>45939</v>
      </c>
      <c r="BF43" s="67">
        <f t="shared" si="98"/>
        <v>45940</v>
      </c>
      <c r="BG43" s="67">
        <f t="shared" si="98"/>
        <v>45941</v>
      </c>
      <c r="BH43" s="67">
        <f t="shared" si="98"/>
        <v>45942</v>
      </c>
      <c r="BI43" s="67">
        <f t="shared" si="98"/>
        <v>45943</v>
      </c>
      <c r="BJ43" s="67">
        <f t="shared" si="98"/>
        <v>45944</v>
      </c>
      <c r="BK43" s="67">
        <f t="shared" si="98"/>
        <v>45945</v>
      </c>
      <c r="BL43" s="67">
        <f t="shared" si="98"/>
        <v>45946</v>
      </c>
      <c r="BM43" s="67">
        <f t="shared" si="98"/>
        <v>45947</v>
      </c>
      <c r="BN43" s="67">
        <f t="shared" si="98"/>
        <v>45948</v>
      </c>
      <c r="BO43" s="67">
        <f t="shared" si="98"/>
        <v>45949</v>
      </c>
      <c r="BP43" s="67">
        <f t="shared" si="98"/>
        <v>45950</v>
      </c>
      <c r="BQ43" s="67">
        <f t="shared" si="98"/>
        <v>45951</v>
      </c>
      <c r="BR43" s="67">
        <f t="shared" si="98"/>
        <v>45952</v>
      </c>
      <c r="BS43" s="67">
        <f t="shared" si="98"/>
        <v>45953</v>
      </c>
      <c r="BT43" s="67">
        <f t="shared" si="98"/>
        <v>45954</v>
      </c>
      <c r="BU43" s="67">
        <f t="shared" si="98"/>
        <v>45955</v>
      </c>
      <c r="BV43" s="67">
        <f t="shared" si="98"/>
        <v>45956</v>
      </c>
      <c r="BW43" s="67">
        <f t="shared" si="98"/>
        <v>45957</v>
      </c>
      <c r="BX43" s="67">
        <f t="shared" si="98"/>
        <v>45958</v>
      </c>
      <c r="BY43" s="67">
        <f t="shared" si="98"/>
        <v>45959</v>
      </c>
      <c r="BZ43" s="67">
        <f t="shared" si="98"/>
        <v>45960</v>
      </c>
      <c r="CA43" s="67">
        <f t="shared" si="98"/>
        <v>45961</v>
      </c>
      <c r="CB43" s="112" t="s">
        <v>33</v>
      </c>
      <c r="CC43" s="113" t="s">
        <v>28</v>
      </c>
      <c r="CD43" s="114" t="s">
        <v>34</v>
      </c>
      <c r="CE43" s="112" t="s">
        <v>13</v>
      </c>
      <c r="CF43" s="113" t="s">
        <v>1</v>
      </c>
      <c r="CG43" s="113" t="s">
        <v>35</v>
      </c>
      <c r="CH43" s="113" t="s">
        <v>36</v>
      </c>
      <c r="CI43" s="113" t="s">
        <v>37</v>
      </c>
      <c r="CJ43" s="113" t="s">
        <v>0</v>
      </c>
      <c r="CK43" s="113" t="s">
        <v>38</v>
      </c>
      <c r="CL43" s="115" t="s">
        <v>11</v>
      </c>
      <c r="CM43" s="108" t="str">
        <f>elenchi!$C9</f>
        <v>JANNELLI SARA</v>
      </c>
      <c r="CN43" s="109"/>
      <c r="CO43" s="110"/>
      <c r="CP43" s="67">
        <f t="shared" ref="CP43:DT43" si="99">CP$2</f>
        <v>45962</v>
      </c>
      <c r="CQ43" s="67">
        <f t="shared" si="99"/>
        <v>45963</v>
      </c>
      <c r="CR43" s="67">
        <f t="shared" si="99"/>
        <v>45964</v>
      </c>
      <c r="CS43" s="67">
        <f t="shared" si="99"/>
        <v>45965</v>
      </c>
      <c r="CT43" s="67">
        <f t="shared" si="99"/>
        <v>45966</v>
      </c>
      <c r="CU43" s="67">
        <f t="shared" si="99"/>
        <v>45967</v>
      </c>
      <c r="CV43" s="67">
        <f t="shared" si="99"/>
        <v>45968</v>
      </c>
      <c r="CW43" s="67">
        <f t="shared" si="99"/>
        <v>45969</v>
      </c>
      <c r="CX43" s="67">
        <f t="shared" si="99"/>
        <v>45970</v>
      </c>
      <c r="CY43" s="67">
        <f t="shared" si="99"/>
        <v>45971</v>
      </c>
      <c r="CZ43" s="67">
        <f t="shared" si="99"/>
        <v>45972</v>
      </c>
      <c r="DA43" s="67">
        <f t="shared" si="99"/>
        <v>45973</v>
      </c>
      <c r="DB43" s="67">
        <f t="shared" si="99"/>
        <v>45974</v>
      </c>
      <c r="DC43" s="67">
        <f t="shared" si="99"/>
        <v>45975</v>
      </c>
      <c r="DD43" s="67">
        <f t="shared" si="99"/>
        <v>45976</v>
      </c>
      <c r="DE43" s="67">
        <f t="shared" si="99"/>
        <v>45977</v>
      </c>
      <c r="DF43" s="67">
        <f t="shared" si="99"/>
        <v>45978</v>
      </c>
      <c r="DG43" s="67">
        <f t="shared" si="99"/>
        <v>45979</v>
      </c>
      <c r="DH43" s="67">
        <f t="shared" si="99"/>
        <v>45980</v>
      </c>
      <c r="DI43" s="67">
        <f t="shared" si="99"/>
        <v>45981</v>
      </c>
      <c r="DJ43" s="67">
        <f t="shared" si="99"/>
        <v>45982</v>
      </c>
      <c r="DK43" s="67">
        <f t="shared" si="99"/>
        <v>45983</v>
      </c>
      <c r="DL43" s="67">
        <f t="shared" si="99"/>
        <v>45984</v>
      </c>
      <c r="DM43" s="67">
        <f t="shared" si="99"/>
        <v>45985</v>
      </c>
      <c r="DN43" s="67">
        <f t="shared" si="99"/>
        <v>45986</v>
      </c>
      <c r="DO43" s="67">
        <f t="shared" si="99"/>
        <v>45987</v>
      </c>
      <c r="DP43" s="67">
        <f t="shared" si="99"/>
        <v>45988</v>
      </c>
      <c r="DQ43" s="67">
        <f t="shared" si="99"/>
        <v>45989</v>
      </c>
      <c r="DR43" s="67">
        <f t="shared" si="99"/>
        <v>45990</v>
      </c>
      <c r="DS43" s="67">
        <f t="shared" si="99"/>
        <v>45991</v>
      </c>
      <c r="DT43" s="67" t="str">
        <f t="shared" si="99"/>
        <v/>
      </c>
      <c r="DU43" s="112" t="s">
        <v>33</v>
      </c>
      <c r="DV43" s="113" t="s">
        <v>28</v>
      </c>
      <c r="DW43" s="114" t="s">
        <v>34</v>
      </c>
      <c r="DX43" s="112" t="s">
        <v>13</v>
      </c>
      <c r="DY43" s="113" t="s">
        <v>1</v>
      </c>
      <c r="DZ43" s="113" t="s">
        <v>35</v>
      </c>
      <c r="EA43" s="113" t="s">
        <v>36</v>
      </c>
      <c r="EB43" s="113" t="s">
        <v>37</v>
      </c>
      <c r="EC43" s="113" t="s">
        <v>0</v>
      </c>
      <c r="ED43" s="113" t="s">
        <v>38</v>
      </c>
      <c r="EE43" s="114" t="s">
        <v>11</v>
      </c>
      <c r="EF43" s="108" t="str">
        <f>elenchi!$C9</f>
        <v>JANNELLI SARA</v>
      </c>
      <c r="EG43" s="109"/>
      <c r="EH43" s="110"/>
      <c r="EI43" s="67">
        <f t="shared" ref="EI43:FM43" si="100">EI$2</f>
        <v>45992</v>
      </c>
      <c r="EJ43" s="67">
        <f t="shared" si="100"/>
        <v>45993</v>
      </c>
      <c r="EK43" s="67">
        <f t="shared" si="100"/>
        <v>45994</v>
      </c>
      <c r="EL43" s="67">
        <f t="shared" si="100"/>
        <v>45995</v>
      </c>
      <c r="EM43" s="67">
        <f t="shared" si="100"/>
        <v>45996</v>
      </c>
      <c r="EN43" s="67">
        <f t="shared" si="100"/>
        <v>45997</v>
      </c>
      <c r="EO43" s="67">
        <f t="shared" si="100"/>
        <v>45998</v>
      </c>
      <c r="EP43" s="67">
        <f t="shared" si="100"/>
        <v>45999</v>
      </c>
      <c r="EQ43" s="67">
        <f t="shared" si="100"/>
        <v>46000</v>
      </c>
      <c r="ER43" s="67">
        <f t="shared" si="100"/>
        <v>46001</v>
      </c>
      <c r="ES43" s="67">
        <f t="shared" si="100"/>
        <v>46002</v>
      </c>
      <c r="ET43" s="67">
        <f t="shared" si="100"/>
        <v>46003</v>
      </c>
      <c r="EU43" s="67">
        <f t="shared" si="100"/>
        <v>46004</v>
      </c>
      <c r="EV43" s="67">
        <f t="shared" si="100"/>
        <v>46005</v>
      </c>
      <c r="EW43" s="67">
        <f t="shared" si="100"/>
        <v>46006</v>
      </c>
      <c r="EX43" s="67">
        <f t="shared" si="100"/>
        <v>46007</v>
      </c>
      <c r="EY43" s="67">
        <f t="shared" si="100"/>
        <v>46008</v>
      </c>
      <c r="EZ43" s="67">
        <f t="shared" si="100"/>
        <v>46009</v>
      </c>
      <c r="FA43" s="67">
        <f t="shared" si="100"/>
        <v>46010</v>
      </c>
      <c r="FB43" s="67">
        <f t="shared" si="100"/>
        <v>46011</v>
      </c>
      <c r="FC43" s="67">
        <f t="shared" si="100"/>
        <v>46012</v>
      </c>
      <c r="FD43" s="67">
        <f t="shared" si="100"/>
        <v>46013</v>
      </c>
      <c r="FE43" s="67">
        <f t="shared" si="100"/>
        <v>46014</v>
      </c>
      <c r="FF43" s="67">
        <f t="shared" si="100"/>
        <v>46015</v>
      </c>
      <c r="FG43" s="67">
        <f t="shared" si="100"/>
        <v>46016</v>
      </c>
      <c r="FH43" s="67">
        <f t="shared" si="100"/>
        <v>46017</v>
      </c>
      <c r="FI43" s="67">
        <f t="shared" si="100"/>
        <v>46018</v>
      </c>
      <c r="FJ43" s="67">
        <f t="shared" si="100"/>
        <v>46019</v>
      </c>
      <c r="FK43" s="67">
        <f t="shared" si="100"/>
        <v>46020</v>
      </c>
      <c r="FL43" s="67">
        <f t="shared" si="100"/>
        <v>46021</v>
      </c>
      <c r="FM43" s="67">
        <f t="shared" si="100"/>
        <v>46022</v>
      </c>
      <c r="FN43" s="112" t="s">
        <v>33</v>
      </c>
      <c r="FO43" s="113" t="s">
        <v>28</v>
      </c>
      <c r="FP43" s="114" t="s">
        <v>34</v>
      </c>
      <c r="FQ43" s="112" t="s">
        <v>13</v>
      </c>
      <c r="FR43" s="113" t="s">
        <v>1</v>
      </c>
      <c r="FS43" s="113" t="s">
        <v>35</v>
      </c>
      <c r="FT43" s="113" t="s">
        <v>36</v>
      </c>
      <c r="FU43" s="113" t="s">
        <v>37</v>
      </c>
      <c r="FV43" s="113" t="s">
        <v>0</v>
      </c>
      <c r="FW43" s="113" t="s">
        <v>38</v>
      </c>
      <c r="FX43" s="114" t="s">
        <v>11</v>
      </c>
      <c r="FY43" s="108" t="str">
        <f>elenchi!$C9</f>
        <v>JANNELLI SARA</v>
      </c>
      <c r="FZ43" s="109"/>
      <c r="GA43" s="110"/>
      <c r="GB43" s="67">
        <f t="shared" ref="GB43:HF43" si="101">GB$2</f>
        <v>46023</v>
      </c>
      <c r="GC43" s="67">
        <f t="shared" si="101"/>
        <v>46024</v>
      </c>
      <c r="GD43" s="67">
        <f t="shared" si="101"/>
        <v>46025</v>
      </c>
      <c r="GE43" s="67">
        <f t="shared" si="101"/>
        <v>46026</v>
      </c>
      <c r="GF43" s="67">
        <f t="shared" si="101"/>
        <v>46027</v>
      </c>
      <c r="GG43" s="67">
        <f t="shared" si="101"/>
        <v>46028</v>
      </c>
      <c r="GH43" s="67">
        <f t="shared" si="101"/>
        <v>46029</v>
      </c>
      <c r="GI43" s="67">
        <f t="shared" si="101"/>
        <v>46030</v>
      </c>
      <c r="GJ43" s="67">
        <f t="shared" si="101"/>
        <v>46031</v>
      </c>
      <c r="GK43" s="67">
        <f t="shared" si="101"/>
        <v>46032</v>
      </c>
      <c r="GL43" s="67">
        <f t="shared" si="101"/>
        <v>46033</v>
      </c>
      <c r="GM43" s="67">
        <f t="shared" si="101"/>
        <v>46034</v>
      </c>
      <c r="GN43" s="67">
        <f t="shared" si="101"/>
        <v>46035</v>
      </c>
      <c r="GO43" s="67">
        <f t="shared" si="101"/>
        <v>46036</v>
      </c>
      <c r="GP43" s="67">
        <f t="shared" si="101"/>
        <v>46037</v>
      </c>
      <c r="GQ43" s="67">
        <f t="shared" si="101"/>
        <v>46038</v>
      </c>
      <c r="GR43" s="67">
        <f t="shared" si="101"/>
        <v>46039</v>
      </c>
      <c r="GS43" s="67">
        <f t="shared" si="101"/>
        <v>46040</v>
      </c>
      <c r="GT43" s="67">
        <f t="shared" si="101"/>
        <v>46041</v>
      </c>
      <c r="GU43" s="67">
        <f t="shared" si="101"/>
        <v>46042</v>
      </c>
      <c r="GV43" s="67">
        <f t="shared" si="101"/>
        <v>46043</v>
      </c>
      <c r="GW43" s="67">
        <f t="shared" si="101"/>
        <v>46044</v>
      </c>
      <c r="GX43" s="67">
        <f t="shared" si="101"/>
        <v>46045</v>
      </c>
      <c r="GY43" s="67">
        <f t="shared" si="101"/>
        <v>46046</v>
      </c>
      <c r="GZ43" s="67">
        <f t="shared" si="101"/>
        <v>46047</v>
      </c>
      <c r="HA43" s="67">
        <f t="shared" si="101"/>
        <v>46048</v>
      </c>
      <c r="HB43" s="67">
        <f t="shared" si="101"/>
        <v>46049</v>
      </c>
      <c r="HC43" s="67">
        <f t="shared" si="101"/>
        <v>46050</v>
      </c>
      <c r="HD43" s="67">
        <f t="shared" si="101"/>
        <v>46051</v>
      </c>
      <c r="HE43" s="67">
        <f t="shared" si="101"/>
        <v>46052</v>
      </c>
      <c r="HF43" s="67">
        <f t="shared" si="101"/>
        <v>46053</v>
      </c>
      <c r="HG43" s="112" t="s">
        <v>33</v>
      </c>
      <c r="HH43" s="113" t="s">
        <v>28</v>
      </c>
      <c r="HI43" s="114" t="s">
        <v>34</v>
      </c>
      <c r="HJ43" s="112" t="s">
        <v>13</v>
      </c>
      <c r="HK43" s="113" t="s">
        <v>1</v>
      </c>
      <c r="HL43" s="113" t="s">
        <v>35</v>
      </c>
      <c r="HM43" s="113" t="s">
        <v>36</v>
      </c>
      <c r="HN43" s="113" t="s">
        <v>37</v>
      </c>
      <c r="HO43" s="113" t="s">
        <v>0</v>
      </c>
      <c r="HP43" s="113" t="s">
        <v>38</v>
      </c>
      <c r="HQ43" s="114" t="s">
        <v>11</v>
      </c>
      <c r="HR43" s="108" t="str">
        <f>elenchi!$C9</f>
        <v>JANNELLI SARA</v>
      </c>
      <c r="HS43" s="109"/>
      <c r="HT43" s="110"/>
      <c r="HU43" s="67">
        <f t="shared" ref="HU43:IY43" si="102">HU$2</f>
        <v>46054</v>
      </c>
      <c r="HV43" s="67">
        <f t="shared" si="102"/>
        <v>46055</v>
      </c>
      <c r="HW43" s="67">
        <f t="shared" si="102"/>
        <v>46056</v>
      </c>
      <c r="HX43" s="67">
        <f t="shared" si="102"/>
        <v>46057</v>
      </c>
      <c r="HY43" s="67">
        <f t="shared" si="102"/>
        <v>46058</v>
      </c>
      <c r="HZ43" s="67">
        <f t="shared" si="102"/>
        <v>46059</v>
      </c>
      <c r="IA43" s="67">
        <f t="shared" si="102"/>
        <v>46060</v>
      </c>
      <c r="IB43" s="67">
        <f t="shared" si="102"/>
        <v>46061</v>
      </c>
      <c r="IC43" s="67">
        <f t="shared" si="102"/>
        <v>46062</v>
      </c>
      <c r="ID43" s="67">
        <f t="shared" si="102"/>
        <v>46063</v>
      </c>
      <c r="IE43" s="67">
        <f t="shared" si="102"/>
        <v>46064</v>
      </c>
      <c r="IF43" s="67">
        <f t="shared" si="102"/>
        <v>46065</v>
      </c>
      <c r="IG43" s="67">
        <f t="shared" si="102"/>
        <v>46066</v>
      </c>
      <c r="IH43" s="67">
        <f t="shared" si="102"/>
        <v>46067</v>
      </c>
      <c r="II43" s="67">
        <f t="shared" si="102"/>
        <v>46068</v>
      </c>
      <c r="IJ43" s="67">
        <f t="shared" si="102"/>
        <v>46069</v>
      </c>
      <c r="IK43" s="67">
        <f t="shared" si="102"/>
        <v>46070</v>
      </c>
      <c r="IL43" s="67">
        <f t="shared" si="102"/>
        <v>46071</v>
      </c>
      <c r="IM43" s="67">
        <f t="shared" si="102"/>
        <v>46072</v>
      </c>
      <c r="IN43" s="67">
        <f t="shared" si="102"/>
        <v>46073</v>
      </c>
      <c r="IO43" s="67">
        <f t="shared" si="102"/>
        <v>46074</v>
      </c>
      <c r="IP43" s="67">
        <f t="shared" si="102"/>
        <v>46075</v>
      </c>
      <c r="IQ43" s="67">
        <f t="shared" si="102"/>
        <v>46076</v>
      </c>
      <c r="IR43" s="67">
        <f t="shared" si="102"/>
        <v>46077</v>
      </c>
      <c r="IS43" s="67">
        <f t="shared" si="102"/>
        <v>46078</v>
      </c>
      <c r="IT43" s="67">
        <f t="shared" si="102"/>
        <v>46079</v>
      </c>
      <c r="IU43" s="67">
        <f t="shared" si="102"/>
        <v>46080</v>
      </c>
      <c r="IV43" s="67">
        <f t="shared" si="102"/>
        <v>46081</v>
      </c>
      <c r="IW43" s="67" t="str">
        <f t="shared" si="102"/>
        <v/>
      </c>
      <c r="IX43" s="67" t="str">
        <f t="shared" si="102"/>
        <v/>
      </c>
      <c r="IY43" s="67" t="str">
        <f t="shared" si="102"/>
        <v/>
      </c>
      <c r="IZ43" s="112" t="s">
        <v>33</v>
      </c>
      <c r="JA43" s="113" t="s">
        <v>28</v>
      </c>
      <c r="JB43" s="114" t="s">
        <v>34</v>
      </c>
      <c r="JC43" s="112" t="s">
        <v>13</v>
      </c>
      <c r="JD43" s="113" t="s">
        <v>1</v>
      </c>
      <c r="JE43" s="113" t="s">
        <v>35</v>
      </c>
      <c r="JF43" s="113" t="s">
        <v>36</v>
      </c>
      <c r="JG43" s="113" t="s">
        <v>37</v>
      </c>
      <c r="JH43" s="113" t="s">
        <v>0</v>
      </c>
      <c r="JI43" s="113" t="s">
        <v>38</v>
      </c>
      <c r="JJ43" s="114" t="s">
        <v>11</v>
      </c>
      <c r="JK43" s="108" t="str">
        <f>elenchi!$C9</f>
        <v>JANNELLI SARA</v>
      </c>
      <c r="JL43" s="109"/>
      <c r="JM43" s="110"/>
      <c r="JN43" s="67">
        <f t="shared" ref="JN43:KR43" si="103">JN$2</f>
        <v>46082</v>
      </c>
      <c r="JO43" s="67">
        <f t="shared" si="103"/>
        <v>46083</v>
      </c>
      <c r="JP43" s="67">
        <f t="shared" si="103"/>
        <v>46084</v>
      </c>
      <c r="JQ43" s="67">
        <f t="shared" si="103"/>
        <v>46085</v>
      </c>
      <c r="JR43" s="67">
        <f t="shared" si="103"/>
        <v>46086</v>
      </c>
      <c r="JS43" s="67">
        <f t="shared" si="103"/>
        <v>46087</v>
      </c>
      <c r="JT43" s="67">
        <f t="shared" si="103"/>
        <v>46088</v>
      </c>
      <c r="JU43" s="67">
        <f t="shared" si="103"/>
        <v>46089</v>
      </c>
      <c r="JV43" s="67">
        <f t="shared" si="103"/>
        <v>46090</v>
      </c>
      <c r="JW43" s="67">
        <f t="shared" si="103"/>
        <v>46091</v>
      </c>
      <c r="JX43" s="67">
        <f t="shared" si="103"/>
        <v>46092</v>
      </c>
      <c r="JY43" s="67">
        <f t="shared" si="103"/>
        <v>46093</v>
      </c>
      <c r="JZ43" s="67">
        <f t="shared" si="103"/>
        <v>46094</v>
      </c>
      <c r="KA43" s="67">
        <f t="shared" si="103"/>
        <v>46095</v>
      </c>
      <c r="KB43" s="67">
        <f t="shared" si="103"/>
        <v>46096</v>
      </c>
      <c r="KC43" s="67">
        <f t="shared" si="103"/>
        <v>46097</v>
      </c>
      <c r="KD43" s="67">
        <f t="shared" si="103"/>
        <v>46098</v>
      </c>
      <c r="KE43" s="67">
        <f t="shared" si="103"/>
        <v>46099</v>
      </c>
      <c r="KF43" s="67">
        <f t="shared" si="103"/>
        <v>46100</v>
      </c>
      <c r="KG43" s="67">
        <f t="shared" si="103"/>
        <v>46101</v>
      </c>
      <c r="KH43" s="67">
        <f t="shared" si="103"/>
        <v>46102</v>
      </c>
      <c r="KI43" s="67">
        <f t="shared" si="103"/>
        <v>46103</v>
      </c>
      <c r="KJ43" s="67">
        <f t="shared" si="103"/>
        <v>46104</v>
      </c>
      <c r="KK43" s="67">
        <f t="shared" si="103"/>
        <v>46105</v>
      </c>
      <c r="KL43" s="67">
        <f t="shared" si="103"/>
        <v>46106</v>
      </c>
      <c r="KM43" s="67">
        <f t="shared" si="103"/>
        <v>46107</v>
      </c>
      <c r="KN43" s="67">
        <f t="shared" si="103"/>
        <v>46108</v>
      </c>
      <c r="KO43" s="67">
        <f t="shared" si="103"/>
        <v>46109</v>
      </c>
      <c r="KP43" s="67">
        <f t="shared" si="103"/>
        <v>46110</v>
      </c>
      <c r="KQ43" s="67">
        <f t="shared" si="103"/>
        <v>46111</v>
      </c>
      <c r="KR43" s="67">
        <f t="shared" si="103"/>
        <v>46112</v>
      </c>
      <c r="KS43" s="112" t="s">
        <v>33</v>
      </c>
      <c r="KT43" s="113" t="s">
        <v>28</v>
      </c>
      <c r="KU43" s="114" t="s">
        <v>34</v>
      </c>
      <c r="KV43" s="112" t="s">
        <v>13</v>
      </c>
      <c r="KW43" s="113" t="s">
        <v>1</v>
      </c>
      <c r="KX43" s="113" t="s">
        <v>35</v>
      </c>
      <c r="KY43" s="113" t="s">
        <v>36</v>
      </c>
      <c r="KZ43" s="113" t="s">
        <v>37</v>
      </c>
      <c r="LA43" s="113" t="s">
        <v>0</v>
      </c>
      <c r="LB43" s="113" t="s">
        <v>38</v>
      </c>
      <c r="LC43" s="114" t="s">
        <v>11</v>
      </c>
      <c r="LD43" s="108" t="str">
        <f>elenchi!$C9</f>
        <v>JANNELLI SARA</v>
      </c>
      <c r="LE43" s="109"/>
      <c r="LF43" s="110"/>
      <c r="LG43" s="67">
        <f t="shared" ref="LG43:MK43" si="104">LG$2</f>
        <v>46113</v>
      </c>
      <c r="LH43" s="67">
        <f t="shared" si="104"/>
        <v>46114</v>
      </c>
      <c r="LI43" s="67">
        <f t="shared" si="104"/>
        <v>46115</v>
      </c>
      <c r="LJ43" s="67">
        <f t="shared" si="104"/>
        <v>46116</v>
      </c>
      <c r="LK43" s="67">
        <f t="shared" si="104"/>
        <v>46117</v>
      </c>
      <c r="LL43" s="67">
        <f t="shared" si="104"/>
        <v>46118</v>
      </c>
      <c r="LM43" s="67">
        <f t="shared" si="104"/>
        <v>46119</v>
      </c>
      <c r="LN43" s="67">
        <f t="shared" si="104"/>
        <v>46120</v>
      </c>
      <c r="LO43" s="67">
        <f t="shared" si="104"/>
        <v>46121</v>
      </c>
      <c r="LP43" s="67">
        <f t="shared" si="104"/>
        <v>46122</v>
      </c>
      <c r="LQ43" s="67">
        <f t="shared" si="104"/>
        <v>46123</v>
      </c>
      <c r="LR43" s="67">
        <f t="shared" si="104"/>
        <v>46124</v>
      </c>
      <c r="LS43" s="67">
        <f t="shared" si="104"/>
        <v>46125</v>
      </c>
      <c r="LT43" s="67">
        <f t="shared" si="104"/>
        <v>46126</v>
      </c>
      <c r="LU43" s="67">
        <f t="shared" si="104"/>
        <v>46127</v>
      </c>
      <c r="LV43" s="67">
        <f t="shared" si="104"/>
        <v>46128</v>
      </c>
      <c r="LW43" s="67">
        <f t="shared" si="104"/>
        <v>46129</v>
      </c>
      <c r="LX43" s="67">
        <f t="shared" si="104"/>
        <v>46130</v>
      </c>
      <c r="LY43" s="67">
        <f t="shared" si="104"/>
        <v>46131</v>
      </c>
      <c r="LZ43" s="67">
        <f t="shared" si="104"/>
        <v>46132</v>
      </c>
      <c r="MA43" s="67">
        <f t="shared" si="104"/>
        <v>46133</v>
      </c>
      <c r="MB43" s="67">
        <f t="shared" si="104"/>
        <v>46134</v>
      </c>
      <c r="MC43" s="67">
        <f t="shared" si="104"/>
        <v>46135</v>
      </c>
      <c r="MD43" s="67">
        <f t="shared" si="104"/>
        <v>46136</v>
      </c>
      <c r="ME43" s="67">
        <f t="shared" si="104"/>
        <v>46137</v>
      </c>
      <c r="MF43" s="67">
        <f t="shared" si="104"/>
        <v>46138</v>
      </c>
      <c r="MG43" s="67">
        <f t="shared" si="104"/>
        <v>46139</v>
      </c>
      <c r="MH43" s="67">
        <f t="shared" si="104"/>
        <v>46140</v>
      </c>
      <c r="MI43" s="67">
        <f t="shared" si="104"/>
        <v>46141</v>
      </c>
      <c r="MJ43" s="67">
        <f t="shared" si="104"/>
        <v>46142</v>
      </c>
      <c r="MK43" s="67" t="str">
        <f t="shared" si="104"/>
        <v/>
      </c>
      <c r="ML43" s="112" t="s">
        <v>33</v>
      </c>
      <c r="MM43" s="113" t="s">
        <v>28</v>
      </c>
      <c r="MN43" s="114" t="s">
        <v>34</v>
      </c>
      <c r="MO43" s="112" t="s">
        <v>13</v>
      </c>
      <c r="MP43" s="113" t="s">
        <v>1</v>
      </c>
      <c r="MQ43" s="113" t="s">
        <v>35</v>
      </c>
      <c r="MR43" s="113" t="s">
        <v>36</v>
      </c>
      <c r="MS43" s="113" t="s">
        <v>37</v>
      </c>
      <c r="MT43" s="113" t="s">
        <v>0</v>
      </c>
      <c r="MU43" s="113" t="s">
        <v>38</v>
      </c>
      <c r="MV43" s="115" t="s">
        <v>11</v>
      </c>
      <c r="MW43" s="108" t="str">
        <f>elenchi!$C9</f>
        <v>JANNELLI SARA</v>
      </c>
      <c r="MX43" s="109"/>
      <c r="MY43" s="110"/>
      <c r="MZ43" s="67">
        <f t="shared" ref="MZ43:OD43" si="105">MZ$2</f>
        <v>46143</v>
      </c>
      <c r="NA43" s="67">
        <f t="shared" si="105"/>
        <v>46144</v>
      </c>
      <c r="NB43" s="67">
        <f t="shared" si="105"/>
        <v>46145</v>
      </c>
      <c r="NC43" s="67">
        <f t="shared" si="105"/>
        <v>46146</v>
      </c>
      <c r="ND43" s="67">
        <f t="shared" si="105"/>
        <v>46147</v>
      </c>
      <c r="NE43" s="67">
        <f t="shared" si="105"/>
        <v>46148</v>
      </c>
      <c r="NF43" s="67">
        <f t="shared" si="105"/>
        <v>46149</v>
      </c>
      <c r="NG43" s="67">
        <f t="shared" si="105"/>
        <v>46150</v>
      </c>
      <c r="NH43" s="67">
        <f t="shared" si="105"/>
        <v>46151</v>
      </c>
      <c r="NI43" s="67">
        <f t="shared" si="105"/>
        <v>46152</v>
      </c>
      <c r="NJ43" s="67">
        <f t="shared" si="105"/>
        <v>46153</v>
      </c>
      <c r="NK43" s="67">
        <f t="shared" si="105"/>
        <v>46154</v>
      </c>
      <c r="NL43" s="67">
        <f t="shared" si="105"/>
        <v>46155</v>
      </c>
      <c r="NM43" s="67">
        <f t="shared" si="105"/>
        <v>46156</v>
      </c>
      <c r="NN43" s="67">
        <f t="shared" si="105"/>
        <v>46157</v>
      </c>
      <c r="NO43" s="67">
        <f t="shared" si="105"/>
        <v>46158</v>
      </c>
      <c r="NP43" s="67">
        <f t="shared" si="105"/>
        <v>46159</v>
      </c>
      <c r="NQ43" s="67">
        <f t="shared" si="105"/>
        <v>46160</v>
      </c>
      <c r="NR43" s="67">
        <f t="shared" si="105"/>
        <v>46161</v>
      </c>
      <c r="NS43" s="67">
        <f t="shared" si="105"/>
        <v>46162</v>
      </c>
      <c r="NT43" s="67">
        <f t="shared" si="105"/>
        <v>46163</v>
      </c>
      <c r="NU43" s="67">
        <f t="shared" si="105"/>
        <v>46164</v>
      </c>
      <c r="NV43" s="67">
        <f t="shared" si="105"/>
        <v>46165</v>
      </c>
      <c r="NW43" s="67">
        <f t="shared" si="105"/>
        <v>46166</v>
      </c>
      <c r="NX43" s="67">
        <f t="shared" si="105"/>
        <v>46167</v>
      </c>
      <c r="NY43" s="67">
        <f t="shared" si="105"/>
        <v>46168</v>
      </c>
      <c r="NZ43" s="67">
        <f t="shared" si="105"/>
        <v>46169</v>
      </c>
      <c r="OA43" s="67">
        <f t="shared" si="105"/>
        <v>46170</v>
      </c>
      <c r="OB43" s="67">
        <f t="shared" si="105"/>
        <v>46171</v>
      </c>
      <c r="OC43" s="67">
        <f t="shared" si="105"/>
        <v>46172</v>
      </c>
      <c r="OD43" s="67">
        <f t="shared" si="105"/>
        <v>46173</v>
      </c>
      <c r="OE43" s="112" t="s">
        <v>33</v>
      </c>
      <c r="OF43" s="113" t="s">
        <v>28</v>
      </c>
      <c r="OG43" s="114" t="s">
        <v>34</v>
      </c>
      <c r="OH43" s="112" t="s">
        <v>13</v>
      </c>
      <c r="OI43" s="113" t="s">
        <v>1</v>
      </c>
      <c r="OJ43" s="113" t="s">
        <v>35</v>
      </c>
      <c r="OK43" s="113" t="s">
        <v>36</v>
      </c>
      <c r="OL43" s="113" t="s">
        <v>37</v>
      </c>
      <c r="OM43" s="113" t="s">
        <v>0</v>
      </c>
      <c r="ON43" s="113" t="s">
        <v>38</v>
      </c>
      <c r="OO43" s="115" t="s">
        <v>11</v>
      </c>
      <c r="OP43" s="108" t="str">
        <f>elenchi!$C9</f>
        <v>JANNELLI SARA</v>
      </c>
      <c r="OQ43" s="109"/>
      <c r="OR43" s="110"/>
      <c r="OS43" s="67">
        <f t="shared" ref="OS43:PW43" si="106">OS$2</f>
        <v>46174</v>
      </c>
      <c r="OT43" s="67">
        <f t="shared" si="106"/>
        <v>46175</v>
      </c>
      <c r="OU43" s="67">
        <f t="shared" si="106"/>
        <v>46176</v>
      </c>
      <c r="OV43" s="67">
        <f t="shared" si="106"/>
        <v>46177</v>
      </c>
      <c r="OW43" s="67">
        <f t="shared" si="106"/>
        <v>46178</v>
      </c>
      <c r="OX43" s="67">
        <f t="shared" si="106"/>
        <v>46179</v>
      </c>
      <c r="OY43" s="67">
        <f t="shared" si="106"/>
        <v>46180</v>
      </c>
      <c r="OZ43" s="67">
        <f t="shared" si="106"/>
        <v>46181</v>
      </c>
      <c r="PA43" s="67">
        <f t="shared" si="106"/>
        <v>46182</v>
      </c>
      <c r="PB43" s="67">
        <f t="shared" si="106"/>
        <v>46183</v>
      </c>
      <c r="PC43" s="67">
        <f t="shared" si="106"/>
        <v>46184</v>
      </c>
      <c r="PD43" s="67">
        <f t="shared" si="106"/>
        <v>46185</v>
      </c>
      <c r="PE43" s="67">
        <f t="shared" si="106"/>
        <v>46186</v>
      </c>
      <c r="PF43" s="67">
        <f t="shared" si="106"/>
        <v>46187</v>
      </c>
      <c r="PG43" s="67">
        <f t="shared" si="106"/>
        <v>46188</v>
      </c>
      <c r="PH43" s="67">
        <f t="shared" si="106"/>
        <v>46189</v>
      </c>
      <c r="PI43" s="67">
        <f t="shared" si="106"/>
        <v>46190</v>
      </c>
      <c r="PJ43" s="67">
        <f t="shared" si="106"/>
        <v>46191</v>
      </c>
      <c r="PK43" s="67">
        <f t="shared" si="106"/>
        <v>46192</v>
      </c>
      <c r="PL43" s="67">
        <f t="shared" si="106"/>
        <v>46193</v>
      </c>
      <c r="PM43" s="67">
        <f t="shared" si="106"/>
        <v>46194</v>
      </c>
      <c r="PN43" s="67">
        <f t="shared" si="106"/>
        <v>46195</v>
      </c>
      <c r="PO43" s="67">
        <f t="shared" si="106"/>
        <v>46196</v>
      </c>
      <c r="PP43" s="67">
        <f t="shared" si="106"/>
        <v>46197</v>
      </c>
      <c r="PQ43" s="67">
        <f t="shared" si="106"/>
        <v>46198</v>
      </c>
      <c r="PR43" s="67">
        <f t="shared" si="106"/>
        <v>46199</v>
      </c>
      <c r="PS43" s="67">
        <f t="shared" si="106"/>
        <v>46200</v>
      </c>
      <c r="PT43" s="67">
        <f t="shared" si="106"/>
        <v>46201</v>
      </c>
      <c r="PU43" s="67">
        <f t="shared" si="106"/>
        <v>46202</v>
      </c>
      <c r="PV43" s="67">
        <f t="shared" si="106"/>
        <v>46203</v>
      </c>
      <c r="PW43" s="67" t="str">
        <f t="shared" si="106"/>
        <v/>
      </c>
      <c r="PX43" s="112" t="s">
        <v>33</v>
      </c>
      <c r="PY43" s="113" t="s">
        <v>28</v>
      </c>
      <c r="PZ43" s="114" t="s">
        <v>34</v>
      </c>
      <c r="QA43" s="112" t="s">
        <v>13</v>
      </c>
      <c r="QB43" s="113" t="s">
        <v>1</v>
      </c>
      <c r="QC43" s="113" t="s">
        <v>35</v>
      </c>
      <c r="QD43" s="113" t="s">
        <v>36</v>
      </c>
      <c r="QE43" s="113" t="s">
        <v>37</v>
      </c>
      <c r="QF43" s="113" t="s">
        <v>0</v>
      </c>
      <c r="QG43" s="113" t="s">
        <v>38</v>
      </c>
      <c r="QH43" s="115" t="s">
        <v>11</v>
      </c>
      <c r="QI43" s="108" t="str">
        <f>elenchi!$C9</f>
        <v>JANNELLI SARA</v>
      </c>
      <c r="QJ43" s="109"/>
      <c r="QK43" s="110"/>
      <c r="QL43" s="67">
        <f t="shared" ref="QL43:RP43" si="107">QL$2</f>
        <v>46204</v>
      </c>
      <c r="QM43" s="67">
        <f t="shared" si="107"/>
        <v>46205</v>
      </c>
      <c r="QN43" s="67">
        <f t="shared" si="107"/>
        <v>46206</v>
      </c>
      <c r="QO43" s="67">
        <f t="shared" si="107"/>
        <v>46207</v>
      </c>
      <c r="QP43" s="67">
        <f t="shared" si="107"/>
        <v>46208</v>
      </c>
      <c r="QQ43" s="67">
        <f t="shared" si="107"/>
        <v>46209</v>
      </c>
      <c r="QR43" s="67">
        <f t="shared" si="107"/>
        <v>46210</v>
      </c>
      <c r="QS43" s="67">
        <f t="shared" si="107"/>
        <v>46211</v>
      </c>
      <c r="QT43" s="67">
        <f t="shared" si="107"/>
        <v>46212</v>
      </c>
      <c r="QU43" s="67">
        <f t="shared" si="107"/>
        <v>46213</v>
      </c>
      <c r="QV43" s="67">
        <f t="shared" si="107"/>
        <v>46214</v>
      </c>
      <c r="QW43" s="67">
        <f t="shared" si="107"/>
        <v>46215</v>
      </c>
      <c r="QX43" s="67">
        <f t="shared" si="107"/>
        <v>46216</v>
      </c>
      <c r="QY43" s="67">
        <f t="shared" si="107"/>
        <v>46217</v>
      </c>
      <c r="QZ43" s="67">
        <f t="shared" si="107"/>
        <v>46218</v>
      </c>
      <c r="RA43" s="67">
        <f t="shared" si="107"/>
        <v>46219</v>
      </c>
      <c r="RB43" s="67">
        <f t="shared" si="107"/>
        <v>46220</v>
      </c>
      <c r="RC43" s="67">
        <f t="shared" si="107"/>
        <v>46221</v>
      </c>
      <c r="RD43" s="67">
        <f t="shared" si="107"/>
        <v>46222</v>
      </c>
      <c r="RE43" s="67">
        <f t="shared" si="107"/>
        <v>46223</v>
      </c>
      <c r="RF43" s="67">
        <f t="shared" si="107"/>
        <v>46224</v>
      </c>
      <c r="RG43" s="67">
        <f t="shared" si="107"/>
        <v>46225</v>
      </c>
      <c r="RH43" s="67">
        <f t="shared" si="107"/>
        <v>46226</v>
      </c>
      <c r="RI43" s="67">
        <f t="shared" si="107"/>
        <v>46227</v>
      </c>
      <c r="RJ43" s="67">
        <f t="shared" si="107"/>
        <v>46228</v>
      </c>
      <c r="RK43" s="67">
        <f t="shared" si="107"/>
        <v>46229</v>
      </c>
      <c r="RL43" s="67">
        <f t="shared" si="107"/>
        <v>46230</v>
      </c>
      <c r="RM43" s="67">
        <f t="shared" si="107"/>
        <v>46231</v>
      </c>
      <c r="RN43" s="67">
        <f t="shared" si="107"/>
        <v>46232</v>
      </c>
      <c r="RO43" s="67">
        <f t="shared" si="107"/>
        <v>46233</v>
      </c>
      <c r="RP43" s="67">
        <f t="shared" si="107"/>
        <v>46234</v>
      </c>
      <c r="RQ43" s="112" t="s">
        <v>33</v>
      </c>
      <c r="RR43" s="113" t="s">
        <v>28</v>
      </c>
      <c r="RS43" s="114" t="s">
        <v>34</v>
      </c>
      <c r="RT43" s="112" t="s">
        <v>13</v>
      </c>
      <c r="RU43" s="113" t="s">
        <v>1</v>
      </c>
      <c r="RV43" s="113" t="s">
        <v>35</v>
      </c>
      <c r="RW43" s="113" t="s">
        <v>36</v>
      </c>
      <c r="RX43" s="113" t="s">
        <v>37</v>
      </c>
      <c r="RY43" s="113" t="s">
        <v>0</v>
      </c>
      <c r="RZ43" s="113" t="s">
        <v>38</v>
      </c>
      <c r="SA43" s="115" t="s">
        <v>11</v>
      </c>
      <c r="SB43" s="108" t="str">
        <f>elenchi!$C9</f>
        <v>JANNELLI SARA</v>
      </c>
      <c r="SC43" s="109"/>
      <c r="SD43" s="110"/>
      <c r="SE43" s="67">
        <f t="shared" ref="SE43:TI43" si="108">SE$2</f>
        <v>46235</v>
      </c>
      <c r="SF43" s="67">
        <f t="shared" si="108"/>
        <v>46236</v>
      </c>
      <c r="SG43" s="67">
        <f t="shared" si="108"/>
        <v>46237</v>
      </c>
      <c r="SH43" s="67">
        <f t="shared" si="108"/>
        <v>46238</v>
      </c>
      <c r="SI43" s="67">
        <f t="shared" si="108"/>
        <v>46239</v>
      </c>
      <c r="SJ43" s="67">
        <f t="shared" si="108"/>
        <v>46240</v>
      </c>
      <c r="SK43" s="67">
        <f t="shared" si="108"/>
        <v>46241</v>
      </c>
      <c r="SL43" s="67">
        <f t="shared" si="108"/>
        <v>46242</v>
      </c>
      <c r="SM43" s="67">
        <f t="shared" si="108"/>
        <v>46243</v>
      </c>
      <c r="SN43" s="67">
        <f t="shared" si="108"/>
        <v>46244</v>
      </c>
      <c r="SO43" s="67">
        <f t="shared" si="108"/>
        <v>46245</v>
      </c>
      <c r="SP43" s="67">
        <f t="shared" si="108"/>
        <v>46246</v>
      </c>
      <c r="SQ43" s="67">
        <f t="shared" si="108"/>
        <v>46247</v>
      </c>
      <c r="SR43" s="67">
        <f t="shared" si="108"/>
        <v>46248</v>
      </c>
      <c r="SS43" s="67">
        <f t="shared" si="108"/>
        <v>46249</v>
      </c>
      <c r="ST43" s="67">
        <f t="shared" si="108"/>
        <v>46250</v>
      </c>
      <c r="SU43" s="67">
        <f t="shared" si="108"/>
        <v>46251</v>
      </c>
      <c r="SV43" s="67">
        <f t="shared" si="108"/>
        <v>46252</v>
      </c>
      <c r="SW43" s="67">
        <f t="shared" si="108"/>
        <v>46253</v>
      </c>
      <c r="SX43" s="67">
        <f t="shared" si="108"/>
        <v>46254</v>
      </c>
      <c r="SY43" s="67">
        <f t="shared" si="108"/>
        <v>46255</v>
      </c>
      <c r="SZ43" s="67">
        <f t="shared" si="108"/>
        <v>46256</v>
      </c>
      <c r="TA43" s="67">
        <f t="shared" si="108"/>
        <v>46257</v>
      </c>
      <c r="TB43" s="67">
        <f t="shared" si="108"/>
        <v>46258</v>
      </c>
      <c r="TC43" s="67">
        <f t="shared" si="108"/>
        <v>46259</v>
      </c>
      <c r="TD43" s="67">
        <f t="shared" si="108"/>
        <v>46260</v>
      </c>
      <c r="TE43" s="67">
        <f t="shared" si="108"/>
        <v>46261</v>
      </c>
      <c r="TF43" s="67">
        <f t="shared" si="108"/>
        <v>46262</v>
      </c>
      <c r="TG43" s="67">
        <f t="shared" si="108"/>
        <v>46263</v>
      </c>
      <c r="TH43" s="67">
        <f t="shared" si="108"/>
        <v>46264</v>
      </c>
      <c r="TI43" s="67">
        <f t="shared" si="108"/>
        <v>46265</v>
      </c>
      <c r="TJ43" s="112" t="s">
        <v>33</v>
      </c>
      <c r="TK43" s="113" t="s">
        <v>28</v>
      </c>
      <c r="TL43" s="114" t="s">
        <v>34</v>
      </c>
      <c r="TM43" s="112" t="s">
        <v>13</v>
      </c>
      <c r="TN43" s="113" t="s">
        <v>1</v>
      </c>
      <c r="TO43" s="113" t="s">
        <v>35</v>
      </c>
      <c r="TP43" s="113" t="s">
        <v>36</v>
      </c>
      <c r="TQ43" s="113" t="s">
        <v>37</v>
      </c>
      <c r="TR43" s="113" t="s">
        <v>0</v>
      </c>
      <c r="TS43" s="113" t="s">
        <v>38</v>
      </c>
      <c r="TT43" s="114" t="s">
        <v>11</v>
      </c>
    </row>
    <row r="44" ht="24.75" customHeight="1">
      <c r="A44" s="117"/>
      <c r="B44" s="65"/>
      <c r="C44" s="66"/>
      <c r="D44" s="74">
        <f>Settembre25!$J$2</f>
        <v>8</v>
      </c>
      <c r="E44" s="75">
        <f>Settembre25!$J$3</f>
        <v>8</v>
      </c>
      <c r="F44" s="75">
        <f>Settembre25!$J$4</f>
        <v>8</v>
      </c>
      <c r="G44" s="75">
        <f>Settembre25!$J$5</f>
        <v>9</v>
      </c>
      <c r="H44" s="76">
        <f>Settembre25!$J$6</f>
        <v>8</v>
      </c>
      <c r="I44" s="76">
        <f>Settembre25!$J$7</f>
        <v>2</v>
      </c>
      <c r="J44" s="75">
        <f>Settembre25!$J$8</f>
        <v>10</v>
      </c>
      <c r="K44" s="75">
        <f>Settembre25!$J$9</f>
        <v>8</v>
      </c>
      <c r="L44" s="75">
        <f>Settembre25!$J$10</f>
        <v>8</v>
      </c>
      <c r="M44" s="75">
        <f>Settembre25!$J$11</f>
        <v>8</v>
      </c>
      <c r="N44" s="75">
        <f>Settembre25!$J$12</f>
        <v>11.5</v>
      </c>
      <c r="O44" s="76">
        <f>Settembre25!$J$13</f>
        <v>8</v>
      </c>
      <c r="P44" s="75" t="str">
        <f>Settembre25!$J$14</f>
        <v/>
      </c>
      <c r="Q44" s="75" t="str">
        <f>Settembre25!$J$15</f>
        <v/>
      </c>
      <c r="R44" s="75">
        <f>Settembre25!$J$16</f>
        <v>8</v>
      </c>
      <c r="S44" s="75">
        <f>Settembre25!$J$17</f>
        <v>11.5</v>
      </c>
      <c r="T44" s="75">
        <f>Settembre25!$J$18</f>
        <v>11.5</v>
      </c>
      <c r="U44" s="75">
        <f>Settembre25!$J$19</f>
        <v>11.5</v>
      </c>
      <c r="V44" s="76">
        <f>Settembre25!$J$20</f>
        <v>8</v>
      </c>
      <c r="W44" s="76" t="str">
        <f>Settembre25!$J$21</f>
        <v/>
      </c>
      <c r="X44" s="75" t="str">
        <f>Settembre25!$J$22</f>
        <v/>
      </c>
      <c r="Y44" s="75">
        <f>Settembre25!$J$23</f>
        <v>7</v>
      </c>
      <c r="Z44" s="75">
        <f>Settembre25!$J$24</f>
        <v>11.5</v>
      </c>
      <c r="AA44" s="75">
        <f>Settembre25!$J$25</f>
        <v>11.5</v>
      </c>
      <c r="AB44" s="75">
        <f>Settembre25!$J$26</f>
        <v>8</v>
      </c>
      <c r="AC44" s="76">
        <f>Settembre25!$J$27</f>
        <v>8</v>
      </c>
      <c r="AD44" s="76" t="str">
        <f>Settembre25!$J$28</f>
        <v/>
      </c>
      <c r="AE44" s="75" t="str">
        <f>Settembre25!$J$29</f>
        <v/>
      </c>
      <c r="AF44" s="75">
        <f>Settembre25!$J$30</f>
        <v>8</v>
      </c>
      <c r="AG44" s="75">
        <f>Settembre25!$J$31</f>
        <v>8</v>
      </c>
      <c r="AH44" s="77" t="str">
        <f>Settembre25!$J$32</f>
        <v/>
      </c>
      <c r="AI44" s="78"/>
      <c r="AJ44" s="79">
        <f>SUM(D44:AH44)</f>
        <v>209</v>
      </c>
      <c r="AK44" s="80"/>
      <c r="AL44" s="78"/>
      <c r="AM44" s="81"/>
      <c r="AN44" s="81"/>
      <c r="AO44" s="81"/>
      <c r="AP44" s="81"/>
      <c r="AQ44" s="81"/>
      <c r="AR44" s="81"/>
      <c r="AS44" s="82"/>
      <c r="AT44" s="117"/>
      <c r="AU44" s="65"/>
      <c r="AV44" s="66"/>
      <c r="AW44" s="83">
        <f>Ottobre25!$J$2</f>
        <v>8</v>
      </c>
      <c r="AX44" s="84">
        <f>Ottobre25!$J$3</f>
        <v>8</v>
      </c>
      <c r="AY44" s="84">
        <f>Ottobre25!$J$4</f>
        <v>8</v>
      </c>
      <c r="AZ44" s="84" t="str">
        <f>Ottobre25!$J$5</f>
        <v/>
      </c>
      <c r="BA44" s="84" t="str">
        <f>Ottobre25!$J$6</f>
        <v/>
      </c>
      <c r="BB44" s="85" t="str">
        <f>Ottobre25!$J$7</f>
        <v>Pe</v>
      </c>
      <c r="BC44" s="84" t="str">
        <f>Ottobre25!$J$8</f>
        <v>Pe</v>
      </c>
      <c r="BD44" s="84" t="str">
        <f>Ottobre25!$J$9</f>
        <v>Pe</v>
      </c>
      <c r="BE44" s="84">
        <f>Ottobre25!$J$10</f>
        <v>8</v>
      </c>
      <c r="BF44" s="84">
        <f>Ottobre25!$J$11</f>
        <v>8</v>
      </c>
      <c r="BG44" s="84" t="str">
        <f>Ottobre25!$J$12</f>
        <v/>
      </c>
      <c r="BH44" s="84" t="str">
        <f>Ottobre25!$J$13</f>
        <v/>
      </c>
      <c r="BI44" s="85">
        <f>Ottobre25!$J$14</f>
        <v>8</v>
      </c>
      <c r="BJ44" s="84">
        <f>Ottobre25!$J$15</f>
        <v>8</v>
      </c>
      <c r="BK44" s="84">
        <f>Ottobre25!$J$16</f>
        <v>8</v>
      </c>
      <c r="BL44" s="84">
        <f>Ottobre25!$J$17</f>
        <v>8</v>
      </c>
      <c r="BM44" s="84">
        <f>Ottobre25!$J$18</f>
        <v>8</v>
      </c>
      <c r="BN44" s="84" t="str">
        <f>Ottobre25!$J$19</f>
        <v/>
      </c>
      <c r="BO44" s="85">
        <f>Ottobre25!$J$20</f>
        <v>3.5</v>
      </c>
      <c r="BP44" s="84">
        <f>Ottobre25!$J$21</f>
        <v>8</v>
      </c>
      <c r="BQ44" s="84">
        <f>Ottobre25!$J$22</f>
        <v>8</v>
      </c>
      <c r="BR44" s="84">
        <f>Ottobre25!$J$23</f>
        <v>8</v>
      </c>
      <c r="BS44" s="84">
        <f>Ottobre25!$J$24</f>
        <v>8</v>
      </c>
      <c r="BT44" s="84">
        <f>Ottobre25!$J$25</f>
        <v>8</v>
      </c>
      <c r="BU44" s="84" t="str">
        <f>Ottobre25!$J$26</f>
        <v/>
      </c>
      <c r="BV44" s="84">
        <f>Ottobre25!$J$27</f>
        <v>4</v>
      </c>
      <c r="BW44" s="85" t="str">
        <f>Ottobre25!$J$28</f>
        <v>ML</v>
      </c>
      <c r="BX44" s="84">
        <f>Ottobre25!$J$29</f>
        <v>8</v>
      </c>
      <c r="BY44" s="84">
        <f>Ottobre25!$J$30</f>
        <v>8</v>
      </c>
      <c r="BZ44" s="84">
        <f>Ottobre25!$J$31</f>
        <v>8</v>
      </c>
      <c r="CA44" s="86">
        <f>Ottobre25!$J$32</f>
        <v>8</v>
      </c>
      <c r="CB44" s="78"/>
      <c r="CC44" s="79">
        <f>SUM(AW44:CA44)</f>
        <v>159.5</v>
      </c>
      <c r="CD44" s="80"/>
      <c r="CE44" s="78"/>
      <c r="CF44" s="81"/>
      <c r="CG44" s="81"/>
      <c r="CH44" s="81"/>
      <c r="CI44" s="81"/>
      <c r="CJ44" s="81"/>
      <c r="CK44" s="81"/>
      <c r="CL44" s="82"/>
      <c r="CM44" s="117"/>
      <c r="CN44" s="65"/>
      <c r="CO44" s="66"/>
      <c r="CP44" s="83" t="str">
        <f>Novembre25!$J$2</f>
        <v/>
      </c>
      <c r="CQ44" s="84" t="str">
        <f>Novembre25!$J$3</f>
        <v/>
      </c>
      <c r="CR44" s="84">
        <f>Novembre25!$J$4</f>
        <v>8</v>
      </c>
      <c r="CS44" s="84">
        <f>Novembre25!$J$5</f>
        <v>8</v>
      </c>
      <c r="CT44" s="84">
        <f>Novembre25!$J$6</f>
        <v>8</v>
      </c>
      <c r="CU44" s="85">
        <f>Novembre25!$J$7</f>
        <v>8</v>
      </c>
      <c r="CV44" s="84">
        <f>Novembre25!$J$8</f>
        <v>8</v>
      </c>
      <c r="CW44" s="84" t="str">
        <f>Novembre25!$J$9</f>
        <v/>
      </c>
      <c r="CX44" s="84">
        <f>Novembre25!$J$10</f>
        <v>3.5</v>
      </c>
      <c r="CY44" s="84">
        <f>Novembre25!$J$11</f>
        <v>8</v>
      </c>
      <c r="CZ44" s="84">
        <f>Novembre25!$J$12</f>
        <v>8</v>
      </c>
      <c r="DA44" s="84">
        <f>Novembre25!$J$13</f>
        <v>8</v>
      </c>
      <c r="DB44" s="85">
        <f>Novembre25!$J$14</f>
        <v>8</v>
      </c>
      <c r="DC44" s="84">
        <f>Novembre25!$J$15</f>
        <v>8</v>
      </c>
      <c r="DD44" s="84" t="str">
        <f>Novembre25!$J$16</f>
        <v/>
      </c>
      <c r="DE44" s="84">
        <f>Novembre25!$J$17</f>
        <v>3</v>
      </c>
      <c r="DF44" s="84">
        <f>Novembre25!$J$18</f>
        <v>8</v>
      </c>
      <c r="DG44" s="84">
        <f>Novembre25!$J$19</f>
        <v>8</v>
      </c>
      <c r="DH44" s="85">
        <f>Novembre25!$J$20</f>
        <v>8</v>
      </c>
      <c r="DI44" s="84">
        <f>Novembre25!$J$21</f>
        <v>8</v>
      </c>
      <c r="DJ44" s="84">
        <f>Novembre25!$J$22</f>
        <v>8</v>
      </c>
      <c r="DK44" s="84" t="str">
        <f>Novembre25!$J$23</f>
        <v/>
      </c>
      <c r="DL44" s="84" t="str">
        <f>Novembre25!$J$24</f>
        <v/>
      </c>
      <c r="DM44" s="84">
        <f>Novembre25!$J$25</f>
        <v>8</v>
      </c>
      <c r="DN44" s="84">
        <f>Novembre25!$J$26</f>
        <v>8</v>
      </c>
      <c r="DO44" s="84">
        <f>Novembre25!$J$27</f>
        <v>8</v>
      </c>
      <c r="DP44" s="85">
        <f>Novembre25!$J$28</f>
        <v>8</v>
      </c>
      <c r="DQ44" s="84">
        <f>Novembre25!$J$29</f>
        <v>8</v>
      </c>
      <c r="DR44" s="84" t="str">
        <f>Novembre25!$J$30</f>
        <v/>
      </c>
      <c r="DS44" s="84" t="str">
        <f>Novembre25!$J$31</f>
        <v/>
      </c>
      <c r="DT44" s="86" t="str">
        <f>Novembre25!$J$32</f>
        <v/>
      </c>
      <c r="DU44" s="78"/>
      <c r="DV44" s="79">
        <f>SUM(CP44:DT44)</f>
        <v>166.5</v>
      </c>
      <c r="DW44" s="80"/>
      <c r="DX44" s="78"/>
      <c r="DY44" s="81"/>
      <c r="DZ44" s="81"/>
      <c r="EA44" s="81"/>
      <c r="EB44" s="81"/>
      <c r="EC44" s="81"/>
      <c r="ED44" s="81"/>
      <c r="EE44" s="80"/>
      <c r="EF44" s="117"/>
      <c r="EG44" s="65"/>
      <c r="EH44" s="66"/>
      <c r="EI44" s="83">
        <f>Dicembre25!$J$2</f>
        <v>8</v>
      </c>
      <c r="EJ44" s="84">
        <f>Dicembre25!$J$3</f>
        <v>8</v>
      </c>
      <c r="EK44" s="84">
        <f>Dicembre25!$J$4</f>
        <v>8</v>
      </c>
      <c r="EL44" s="84">
        <f>Dicembre25!$J$5</f>
        <v>8</v>
      </c>
      <c r="EM44" s="84">
        <f>Dicembre25!$J$6</f>
        <v>8</v>
      </c>
      <c r="EN44" s="85" t="str">
        <f>Dicembre25!$J$7</f>
        <v/>
      </c>
      <c r="EO44" s="84" t="str">
        <f>Dicembre25!$J$8</f>
        <v/>
      </c>
      <c r="EP44" s="84" t="str">
        <f>Dicembre25!$J$9</f>
        <v>F</v>
      </c>
      <c r="EQ44" s="84">
        <f>Dicembre25!$J$10</f>
        <v>8</v>
      </c>
      <c r="ER44" s="84">
        <f>Dicembre25!$J$11</f>
        <v>8</v>
      </c>
      <c r="ES44" s="84">
        <f>Dicembre25!$J$12</f>
        <v>8</v>
      </c>
      <c r="ET44" s="84" t="str">
        <f>Dicembre25!$J$13</f>
        <v>Pe</v>
      </c>
      <c r="EU44" s="85" t="str">
        <f>Dicembre25!$J$14</f>
        <v/>
      </c>
      <c r="EV44" s="84" t="str">
        <f>Dicembre25!$J$15</f>
        <v/>
      </c>
      <c r="EW44" s="84">
        <f>Dicembre25!$J$16</f>
        <v>8</v>
      </c>
      <c r="EX44" s="84">
        <f>Dicembre25!$J$17</f>
        <v>8</v>
      </c>
      <c r="EY44" s="84">
        <f>Dicembre25!$J$18</f>
        <v>8</v>
      </c>
      <c r="EZ44" s="84">
        <f>Dicembre25!$J$19</f>
        <v>8</v>
      </c>
      <c r="FA44" s="85">
        <f>Dicembre25!$J$20</f>
        <v>8</v>
      </c>
      <c r="FB44" s="84" t="str">
        <f>Dicembre25!$J$21</f>
        <v/>
      </c>
      <c r="FC44" s="84" t="str">
        <f>Dicembre25!$J$22</f>
        <v/>
      </c>
      <c r="FD44" s="84">
        <f>Dicembre25!$J$23</f>
        <v>8</v>
      </c>
      <c r="FE44" s="84">
        <f>Dicembre25!$J$24</f>
        <v>8</v>
      </c>
      <c r="FF44" s="84" t="str">
        <f>Dicembre25!$J$25</f>
        <v>Fe</v>
      </c>
      <c r="FG44" s="84" t="str">
        <f>Dicembre25!$J$26</f>
        <v>F</v>
      </c>
      <c r="FH44" s="84" t="str">
        <f>Dicembre25!$J$27</f>
        <v>F</v>
      </c>
      <c r="FI44" s="85" t="str">
        <f>Dicembre25!$J$28</f>
        <v/>
      </c>
      <c r="FJ44" s="84" t="str">
        <f>Dicembre25!$J$29</f>
        <v/>
      </c>
      <c r="FK44" s="84" t="str">
        <f>Dicembre25!$J$30</f>
        <v>Pe</v>
      </c>
      <c r="FL44" s="84" t="str">
        <f>Dicembre25!$J$31</f>
        <v>Pe</v>
      </c>
      <c r="FM44" s="86" t="str">
        <f>Dicembre25!$J$32</f>
        <v/>
      </c>
      <c r="FN44" s="78"/>
      <c r="FO44" s="79">
        <f>SUM(EI44:FM44)</f>
        <v>120</v>
      </c>
      <c r="FP44" s="80"/>
      <c r="FQ44" s="78"/>
      <c r="FR44" s="81"/>
      <c r="FS44" s="81"/>
      <c r="FT44" s="81"/>
      <c r="FU44" s="81"/>
      <c r="FV44" s="81"/>
      <c r="FW44" s="81"/>
      <c r="FX44" s="80"/>
      <c r="FY44" s="117"/>
      <c r="FZ44" s="65"/>
      <c r="GA44" s="66"/>
      <c r="GB44" s="83" t="str">
        <f>Gennaio26!$J$2</f>
        <v>F</v>
      </c>
      <c r="GC44" s="84" t="str">
        <f>Gennaio26!$J$3</f>
        <v>FE</v>
      </c>
      <c r="GD44" s="84" t="str">
        <f>Gennaio26!$J$4</f>
        <v/>
      </c>
      <c r="GE44" s="84" t="str">
        <f>Gennaio26!$J$5</f>
        <v/>
      </c>
      <c r="GF44" s="84" t="str">
        <f>Gennaio26!$J$6</f>
        <v>FE</v>
      </c>
      <c r="GG44" s="85" t="str">
        <f>Gennaio26!$J$7</f>
        <v>F</v>
      </c>
      <c r="GH44" s="84" t="str">
        <f>Gennaio26!$J$8</f>
        <v>Pe</v>
      </c>
      <c r="GI44" s="84">
        <f>Gennaio26!$J$9</f>
        <v>8</v>
      </c>
      <c r="GJ44" s="84">
        <f>Gennaio26!$J$10</f>
        <v>5.5</v>
      </c>
      <c r="GK44" s="84" t="str">
        <f>Gennaio26!$J$11</f>
        <v/>
      </c>
      <c r="GL44" s="84" t="str">
        <f>Gennaio26!$J$12</f>
        <v/>
      </c>
      <c r="GM44" s="84">
        <f>Gennaio26!$J$13</f>
        <v>8</v>
      </c>
      <c r="GN44" s="85">
        <f>Gennaio26!$J$14</f>
        <v>8</v>
      </c>
      <c r="GO44" s="84">
        <f>Gennaio26!$J$15</f>
        <v>8</v>
      </c>
      <c r="GP44" s="84">
        <f>Gennaio26!$J$16</f>
        <v>8</v>
      </c>
      <c r="GQ44" s="84">
        <f>Gennaio26!$J$17</f>
        <v>8</v>
      </c>
      <c r="GR44" s="84" t="str">
        <f>Gennaio26!$J$18</f>
        <v/>
      </c>
      <c r="GS44" s="84" t="str">
        <f>Gennaio26!$J$19</f>
        <v/>
      </c>
      <c r="GT44" s="85">
        <f>Gennaio26!$J$20</f>
        <v>8</v>
      </c>
      <c r="GU44" s="84">
        <f>Gennaio26!$J$21</f>
        <v>8</v>
      </c>
      <c r="GV44" s="84">
        <f>Gennaio26!$J$22</f>
        <v>8</v>
      </c>
      <c r="GW44" s="84">
        <f>Gennaio26!$J$23</f>
        <v>8</v>
      </c>
      <c r="GX44" s="84">
        <f>Gennaio26!$J$24</f>
        <v>8</v>
      </c>
      <c r="GY44" s="84" t="str">
        <f>Gennaio26!$J$25</f>
        <v/>
      </c>
      <c r="GZ44" s="84" t="str">
        <f>Gennaio26!$J$26</f>
        <v/>
      </c>
      <c r="HA44" s="84">
        <f>Gennaio26!$J$27</f>
        <v>8</v>
      </c>
      <c r="HB44" s="85">
        <f>Gennaio26!$J$28</f>
        <v>8</v>
      </c>
      <c r="HC44" s="84">
        <f>Gennaio26!$J$29</f>
        <v>8</v>
      </c>
      <c r="HD44" s="84">
        <f>Gennaio26!$J$30</f>
        <v>8</v>
      </c>
      <c r="HE44" s="84">
        <f>Gennaio26!$J$31</f>
        <v>8</v>
      </c>
      <c r="HF44" s="86" t="str">
        <f>Gennaio26!$J$32</f>
        <v/>
      </c>
      <c r="HG44" s="78"/>
      <c r="HH44" s="79">
        <f>SUM(GB44:HF44)</f>
        <v>133.5</v>
      </c>
      <c r="HI44" s="80"/>
      <c r="HJ44" s="78"/>
      <c r="HK44" s="81"/>
      <c r="HL44" s="81"/>
      <c r="HM44" s="81"/>
      <c r="HN44" s="81"/>
      <c r="HO44" s="81"/>
      <c r="HP44" s="81"/>
      <c r="HQ44" s="80"/>
      <c r="HR44" s="117"/>
      <c r="HS44" s="65"/>
      <c r="HT44" s="66"/>
      <c r="HU44" s="83" t="str">
        <f>Febbraio26!$J$2</f>
        <v/>
      </c>
      <c r="HV44" s="84">
        <f>Febbraio26!$J$3</f>
        <v>8</v>
      </c>
      <c r="HW44" s="84">
        <f>Febbraio26!$J$4</f>
        <v>8</v>
      </c>
      <c r="HX44" s="84">
        <f>Febbraio26!$J$5</f>
        <v>8</v>
      </c>
      <c r="HY44" s="84">
        <f>Febbraio26!$J$6</f>
        <v>8</v>
      </c>
      <c r="HZ44" s="85">
        <f>Febbraio26!$J$7</f>
        <v>8</v>
      </c>
      <c r="IA44" s="84" t="str">
        <f>Febbraio26!$J$8</f>
        <v/>
      </c>
      <c r="IB44" s="84" t="str">
        <f>Febbraio26!$J$9</f>
        <v/>
      </c>
      <c r="IC44" s="84">
        <f>Febbraio26!$J$10</f>
        <v>8</v>
      </c>
      <c r="ID44" s="84">
        <f>Febbraio26!$J$11</f>
        <v>8</v>
      </c>
      <c r="IE44" s="84">
        <f>Febbraio26!$J$12</f>
        <v>8</v>
      </c>
      <c r="IF44" s="84">
        <f>Febbraio26!$J$13</f>
        <v>8</v>
      </c>
      <c r="IG44" s="85">
        <f>Febbraio26!$J$14</f>
        <v>8</v>
      </c>
      <c r="IH44" s="84" t="str">
        <f>Febbraio26!$J$15</f>
        <v/>
      </c>
      <c r="II44" s="84" t="str">
        <f>Febbraio26!$J$16</f>
        <v/>
      </c>
      <c r="IJ44" s="84">
        <f>Febbraio26!$J$17</f>
        <v>8</v>
      </c>
      <c r="IK44" s="84">
        <f>Febbraio26!$J$18</f>
        <v>8</v>
      </c>
      <c r="IL44" s="84">
        <f>Febbraio26!$J$19</f>
        <v>8</v>
      </c>
      <c r="IM44" s="85">
        <f>Febbraio26!$J$20</f>
        <v>8</v>
      </c>
      <c r="IN44" s="84">
        <f>Febbraio26!$J$21</f>
        <v>8</v>
      </c>
      <c r="IO44" s="84" t="str">
        <f>Febbraio26!$J$22</f>
        <v/>
      </c>
      <c r="IP44" s="84">
        <f>Febbraio26!$J$23</f>
        <v>5.5</v>
      </c>
      <c r="IQ44" s="84" t="str">
        <f>Febbraio26!$J$24</f>
        <v>ML</v>
      </c>
      <c r="IR44" s="84" t="str">
        <f>Febbraio26!$J$25</f>
        <v>ML</v>
      </c>
      <c r="IS44" s="84" t="str">
        <f>Febbraio26!$J$26</f>
        <v>ML</v>
      </c>
      <c r="IT44" s="84">
        <f>Febbraio26!$J$27</f>
        <v>8</v>
      </c>
      <c r="IU44" s="85">
        <f>Febbraio26!$J$28</f>
        <v>8</v>
      </c>
      <c r="IV44" s="84" t="str">
        <f>Febbraio26!$J$29</f>
        <v/>
      </c>
      <c r="IW44" s="84" t="str">
        <f>Febbraio26!$J$30</f>
        <v/>
      </c>
      <c r="IX44" s="84" t="str">
        <f>Febbraio26!$J$31</f>
        <v/>
      </c>
      <c r="IY44" s="86" t="str">
        <f>Febbraio26!$J$32</f>
        <v/>
      </c>
      <c r="IZ44" s="78"/>
      <c r="JA44" s="79">
        <f>SUM(HU44:IY44)</f>
        <v>141.5</v>
      </c>
      <c r="JB44" s="80"/>
      <c r="JC44" s="78"/>
      <c r="JD44" s="81"/>
      <c r="JE44" s="81"/>
      <c r="JF44" s="81"/>
      <c r="JG44" s="81"/>
      <c r="JH44" s="81"/>
      <c r="JI44" s="81"/>
      <c r="JJ44" s="80"/>
      <c r="JK44" s="117"/>
      <c r="JL44" s="65"/>
      <c r="JM44" s="66"/>
      <c r="JN44" s="83">
        <f>Marzo26!$J$2</f>
        <v>2.5</v>
      </c>
      <c r="JO44" s="84">
        <f>Marzo26!$J$3</f>
        <v>8</v>
      </c>
      <c r="JP44" s="84">
        <f>Marzo26!$J$4</f>
        <v>8</v>
      </c>
      <c r="JQ44" s="84">
        <f>Marzo26!$J$5</f>
        <v>8</v>
      </c>
      <c r="JR44" s="84">
        <f>Marzo26!$J$6</f>
        <v>8</v>
      </c>
      <c r="JS44" s="85">
        <f>Marzo26!$J$7</f>
        <v>8</v>
      </c>
      <c r="JT44" s="84" t="str">
        <f>Marzo26!$J$8</f>
        <v/>
      </c>
      <c r="JU44" s="84" t="str">
        <f>Marzo26!$J$9</f>
        <v/>
      </c>
      <c r="JV44" s="84">
        <f>Marzo26!$J$10</f>
        <v>8</v>
      </c>
      <c r="JW44" s="84">
        <f>Marzo26!$J$11</f>
        <v>8</v>
      </c>
      <c r="JX44" s="84">
        <f>Marzo26!$J$12</f>
        <v>8</v>
      </c>
      <c r="JY44" s="84">
        <f>Marzo26!$J$13</f>
        <v>8</v>
      </c>
      <c r="JZ44" s="85">
        <f>Marzo26!$J$14</f>
        <v>8</v>
      </c>
      <c r="KA44" s="84" t="str">
        <f>Marzo26!$J$15</f>
        <v/>
      </c>
      <c r="KB44" s="84">
        <f>Marzo26!$J$16</f>
        <v>3</v>
      </c>
      <c r="KC44" s="84">
        <f>Marzo26!$J$17</f>
        <v>8</v>
      </c>
      <c r="KD44" s="84">
        <f>Marzo26!$J$18</f>
        <v>8</v>
      </c>
      <c r="KE44" s="84">
        <f>Marzo26!$J$19</f>
        <v>8</v>
      </c>
      <c r="KF44" s="85">
        <f>Marzo26!$J$20</f>
        <v>8</v>
      </c>
      <c r="KG44" s="84">
        <f>Marzo26!$J$21</f>
        <v>8</v>
      </c>
      <c r="KH44" s="84" t="str">
        <f>Marzo26!$J$22</f>
        <v/>
      </c>
      <c r="KI44" s="84" t="str">
        <f>Marzo26!$J$23</f>
        <v/>
      </c>
      <c r="KJ44" s="84">
        <f>Marzo26!$J$24</f>
        <v>8</v>
      </c>
      <c r="KK44" s="84">
        <f>Marzo26!$J$25</f>
        <v>8</v>
      </c>
      <c r="KL44" s="84">
        <f>Marzo26!$J$26</f>
        <v>8</v>
      </c>
      <c r="KM44" s="84">
        <f>Marzo26!$J$27</f>
        <v>8</v>
      </c>
      <c r="KN44" s="85">
        <f>Marzo26!$J$28</f>
        <v>8</v>
      </c>
      <c r="KO44" s="84" t="str">
        <f>Marzo26!$J$29</f>
        <v/>
      </c>
      <c r="KP44" s="84" t="str">
        <f>Marzo26!$J$30</f>
        <v/>
      </c>
      <c r="KQ44" s="84">
        <f>Marzo26!$J$31</f>
        <v>8</v>
      </c>
      <c r="KR44" s="86">
        <f>Marzo26!$J$32</f>
        <v>8</v>
      </c>
      <c r="KS44" s="78"/>
      <c r="KT44" s="79">
        <f>SUM(JN44:KR44)</f>
        <v>181.5</v>
      </c>
      <c r="KU44" s="80"/>
      <c r="KV44" s="78"/>
      <c r="KW44" s="81"/>
      <c r="KX44" s="81"/>
      <c r="KY44" s="81"/>
      <c r="KZ44" s="81"/>
      <c r="LA44" s="81"/>
      <c r="LB44" s="81"/>
      <c r="LC44" s="80"/>
      <c r="LD44" s="117"/>
      <c r="LE44" s="65"/>
      <c r="LF44" s="66"/>
      <c r="LG44" s="83" t="str">
        <f>Aprile26!$J$2</f>
        <v/>
      </c>
      <c r="LH44" s="84" t="str">
        <f>Aprile26!$J$3</f>
        <v/>
      </c>
      <c r="LI44" s="84" t="str">
        <f>Aprile26!$J$4</f>
        <v/>
      </c>
      <c r="LJ44" s="84" t="str">
        <f>Aprile26!$J$5</f>
        <v/>
      </c>
      <c r="LK44" s="84" t="str">
        <f>Aprile26!$J$6</f>
        <v/>
      </c>
      <c r="LL44" s="85" t="str">
        <f>Aprile26!$J$7</f>
        <v/>
      </c>
      <c r="LM44" s="84" t="str">
        <f>Aprile26!$J$8</f>
        <v/>
      </c>
      <c r="LN44" s="84" t="str">
        <f>Aprile26!$J$9</f>
        <v/>
      </c>
      <c r="LO44" s="84" t="str">
        <f>Aprile26!$J$10</f>
        <v/>
      </c>
      <c r="LP44" s="84" t="str">
        <f>Aprile26!$J$11</f>
        <v/>
      </c>
      <c r="LQ44" s="84" t="str">
        <f>Aprile26!$J$12</f>
        <v/>
      </c>
      <c r="LR44" s="84" t="str">
        <f>Aprile26!$J$13</f>
        <v/>
      </c>
      <c r="LS44" s="85" t="str">
        <f>Aprile26!$J$14</f>
        <v/>
      </c>
      <c r="LT44" s="84" t="str">
        <f>Aprile26!$J$15</f>
        <v/>
      </c>
      <c r="LU44" s="84" t="str">
        <f>Aprile26!$J$16</f>
        <v/>
      </c>
      <c r="LV44" s="84" t="str">
        <f>Aprile26!$J$17</f>
        <v/>
      </c>
      <c r="LW44" s="84" t="str">
        <f>Aprile26!$J$18</f>
        <v/>
      </c>
      <c r="LX44" s="84" t="str">
        <f>Aprile26!$J$19</f>
        <v/>
      </c>
      <c r="LY44" s="85" t="str">
        <f>Aprile26!$J$20</f>
        <v/>
      </c>
      <c r="LZ44" s="84" t="str">
        <f>Aprile26!$J$21</f>
        <v/>
      </c>
      <c r="MA44" s="84" t="str">
        <f>Aprile26!$J$22</f>
        <v/>
      </c>
      <c r="MB44" s="84" t="str">
        <f>Aprile26!$J$23</f>
        <v/>
      </c>
      <c r="MC44" s="84" t="str">
        <f>Aprile26!$J$24</f>
        <v/>
      </c>
      <c r="MD44" s="84" t="str">
        <f>Aprile26!$J$25</f>
        <v/>
      </c>
      <c r="ME44" s="84" t="str">
        <f>Aprile26!$J$26</f>
        <v/>
      </c>
      <c r="MF44" s="84" t="str">
        <f>Aprile26!$J$27</f>
        <v/>
      </c>
      <c r="MG44" s="85" t="str">
        <f>Aprile26!$J$28</f>
        <v/>
      </c>
      <c r="MH44" s="84" t="str">
        <f>Aprile26!$J$29</f>
        <v/>
      </c>
      <c r="MI44" s="84" t="str">
        <f>Aprile26!$J$30</f>
        <v/>
      </c>
      <c r="MJ44" s="84" t="str">
        <f>Aprile26!$J$31</f>
        <v/>
      </c>
      <c r="MK44" s="86" t="str">
        <f>Aprile26!$J$32</f>
        <v/>
      </c>
      <c r="ML44" s="78"/>
      <c r="MM44" s="79">
        <f>SUM(LG44:MK44)</f>
        <v>0</v>
      </c>
      <c r="MN44" s="80"/>
      <c r="MO44" s="78"/>
      <c r="MP44" s="81"/>
      <c r="MQ44" s="81"/>
      <c r="MR44" s="81"/>
      <c r="MS44" s="81"/>
      <c r="MT44" s="81"/>
      <c r="MU44" s="81"/>
      <c r="MV44" s="82"/>
      <c r="MW44" s="117"/>
      <c r="MX44" s="65"/>
      <c r="MY44" s="66"/>
      <c r="MZ44" s="83" t="str">
        <f>Maggio26!$J$2</f>
        <v/>
      </c>
      <c r="NA44" s="84" t="str">
        <f>Maggio26!$J$3</f>
        <v/>
      </c>
      <c r="NB44" s="84" t="str">
        <f>Maggio26!$J$4</f>
        <v/>
      </c>
      <c r="NC44" s="84" t="str">
        <f>Maggio26!$J$5</f>
        <v/>
      </c>
      <c r="ND44" s="84" t="str">
        <f>Maggio26!$J$6</f>
        <v/>
      </c>
      <c r="NE44" s="85" t="str">
        <f>Maggio26!$J$7</f>
        <v/>
      </c>
      <c r="NF44" s="84" t="str">
        <f>Maggio26!$J$8</f>
        <v/>
      </c>
      <c r="NG44" s="84" t="str">
        <f>Maggio26!$J$9</f>
        <v/>
      </c>
      <c r="NH44" s="84" t="str">
        <f>Maggio26!$J$10</f>
        <v/>
      </c>
      <c r="NI44" s="84" t="str">
        <f>Maggio26!$J$11</f>
        <v/>
      </c>
      <c r="NJ44" s="84" t="str">
        <f>Maggio26!$J$12</f>
        <v/>
      </c>
      <c r="NK44" s="84" t="str">
        <f>Maggio26!$J$13</f>
        <v/>
      </c>
      <c r="NL44" s="85" t="str">
        <f>Maggio26!$J$14</f>
        <v/>
      </c>
      <c r="NM44" s="84" t="str">
        <f>Maggio26!$J$15</f>
        <v/>
      </c>
      <c r="NN44" s="84" t="str">
        <f>Maggio26!$J$16</f>
        <v/>
      </c>
      <c r="NO44" s="84" t="str">
        <f>Maggio26!$J$17</f>
        <v/>
      </c>
      <c r="NP44" s="84" t="str">
        <f>Maggio26!$J$18</f>
        <v/>
      </c>
      <c r="NQ44" s="84" t="str">
        <f>Maggio26!$J$19</f>
        <v/>
      </c>
      <c r="NR44" s="85" t="str">
        <f>Maggio26!$J$20</f>
        <v/>
      </c>
      <c r="NS44" s="84" t="str">
        <f>Maggio26!$J$21</f>
        <v/>
      </c>
      <c r="NT44" s="84" t="str">
        <f>Maggio26!$J$22</f>
        <v/>
      </c>
      <c r="NU44" s="84" t="str">
        <f>Maggio26!$J$23</f>
        <v/>
      </c>
      <c r="NV44" s="84" t="str">
        <f>Maggio26!$J$24</f>
        <v/>
      </c>
      <c r="NW44" s="84" t="str">
        <f>Maggio26!$J$25</f>
        <v/>
      </c>
      <c r="NX44" s="84" t="str">
        <f>Maggio26!$J$26</f>
        <v/>
      </c>
      <c r="NY44" s="84" t="str">
        <f>Maggio26!$J$27</f>
        <v/>
      </c>
      <c r="NZ44" s="85" t="str">
        <f>Maggio26!$J$28</f>
        <v/>
      </c>
      <c r="OA44" s="84" t="str">
        <f>Maggio26!$J$29</f>
        <v/>
      </c>
      <c r="OB44" s="84" t="str">
        <f>Maggio26!$J$30</f>
        <v/>
      </c>
      <c r="OC44" s="84" t="str">
        <f>Maggio26!$J$31</f>
        <v/>
      </c>
      <c r="OD44" s="86" t="str">
        <f>Maggio26!$J$32</f>
        <v/>
      </c>
      <c r="OE44" s="78"/>
      <c r="OF44" s="79">
        <f>SUM(MZ44:OD44)</f>
        <v>0</v>
      </c>
      <c r="OG44" s="80"/>
      <c r="OH44" s="78"/>
      <c r="OI44" s="81"/>
      <c r="OJ44" s="81"/>
      <c r="OK44" s="81"/>
      <c r="OL44" s="81"/>
      <c r="OM44" s="81"/>
      <c r="ON44" s="81"/>
      <c r="OO44" s="82"/>
      <c r="OP44" s="117"/>
      <c r="OQ44" s="65"/>
      <c r="OR44" s="66"/>
      <c r="OS44" s="83" t="str">
        <f>Giugno26!$J$2</f>
        <v/>
      </c>
      <c r="OT44" s="84" t="str">
        <f>Giugno26!$J$3</f>
        <v/>
      </c>
      <c r="OU44" s="84" t="str">
        <f>Giugno26!$J$4</f>
        <v/>
      </c>
      <c r="OV44" s="84" t="str">
        <f>Giugno26!$J$5</f>
        <v/>
      </c>
      <c r="OW44" s="84" t="str">
        <f>Giugno26!$J$6</f>
        <v/>
      </c>
      <c r="OX44" s="85" t="str">
        <f>Giugno26!$J$7</f>
        <v/>
      </c>
      <c r="OY44" s="84" t="str">
        <f>Giugno26!$J$8</f>
        <v/>
      </c>
      <c r="OZ44" s="84" t="str">
        <f>Giugno26!$J$9</f>
        <v/>
      </c>
      <c r="PA44" s="84" t="str">
        <f>Giugno26!$J$10</f>
        <v/>
      </c>
      <c r="PB44" s="84" t="str">
        <f>Giugno26!$J$11</f>
        <v/>
      </c>
      <c r="PC44" s="84" t="str">
        <f>Giugno26!$J$12</f>
        <v/>
      </c>
      <c r="PD44" s="84" t="str">
        <f>Giugno26!$J$13</f>
        <v/>
      </c>
      <c r="PE44" s="85" t="str">
        <f>Giugno26!$J$14</f>
        <v/>
      </c>
      <c r="PF44" s="84" t="str">
        <f>Giugno26!$J$15</f>
        <v/>
      </c>
      <c r="PG44" s="84" t="str">
        <f>Giugno26!$J$16</f>
        <v/>
      </c>
      <c r="PH44" s="84" t="str">
        <f>Giugno26!$J$17</f>
        <v/>
      </c>
      <c r="PI44" s="84" t="str">
        <f>Giugno26!$J$18</f>
        <v/>
      </c>
      <c r="PJ44" s="84" t="str">
        <f>Giugno26!$J$19</f>
        <v/>
      </c>
      <c r="PK44" s="85" t="str">
        <f>Giugno26!$J$20</f>
        <v/>
      </c>
      <c r="PL44" s="84" t="str">
        <f>Giugno26!$J$21</f>
        <v/>
      </c>
      <c r="PM44" s="84" t="str">
        <f>Giugno26!$J$22</f>
        <v/>
      </c>
      <c r="PN44" s="84" t="str">
        <f>Giugno26!$J$23</f>
        <v/>
      </c>
      <c r="PO44" s="84" t="str">
        <f>Giugno26!$J$24</f>
        <v/>
      </c>
      <c r="PP44" s="84" t="str">
        <f>Giugno26!$J$25</f>
        <v/>
      </c>
      <c r="PQ44" s="84" t="str">
        <f>Giugno26!$J$26</f>
        <v/>
      </c>
      <c r="PR44" s="84" t="str">
        <f>Giugno26!$J$27</f>
        <v/>
      </c>
      <c r="PS44" s="85" t="str">
        <f>Giugno26!$J$28</f>
        <v/>
      </c>
      <c r="PT44" s="84" t="str">
        <f>Giugno26!$J$29</f>
        <v/>
      </c>
      <c r="PU44" s="84" t="str">
        <f>Giugno26!$J$30</f>
        <v/>
      </c>
      <c r="PV44" s="84" t="str">
        <f>Giugno26!$J$31</f>
        <v/>
      </c>
      <c r="PW44" s="86" t="str">
        <f>Giugno26!$J$32</f>
        <v/>
      </c>
      <c r="PX44" s="78"/>
      <c r="PY44" s="79">
        <f>SUM(OS44:PW44)</f>
        <v>0</v>
      </c>
      <c r="PZ44" s="80"/>
      <c r="QA44" s="78"/>
      <c r="QB44" s="81"/>
      <c r="QC44" s="81"/>
      <c r="QD44" s="81"/>
      <c r="QE44" s="81"/>
      <c r="QF44" s="81"/>
      <c r="QG44" s="81"/>
      <c r="QH44" s="82"/>
      <c r="QI44" s="117"/>
      <c r="QJ44" s="65"/>
      <c r="QK44" s="66"/>
      <c r="QL44" s="83" t="str">
        <f>Luglio26!$J$2</f>
        <v/>
      </c>
      <c r="QM44" s="84" t="str">
        <f>Luglio26!$J$3</f>
        <v/>
      </c>
      <c r="QN44" s="84" t="str">
        <f>Luglio26!$J$4</f>
        <v/>
      </c>
      <c r="QO44" s="84" t="str">
        <f>Luglio26!$J$5</f>
        <v/>
      </c>
      <c r="QP44" s="84" t="str">
        <f>Luglio26!$J$6</f>
        <v/>
      </c>
      <c r="QQ44" s="85" t="str">
        <f>Luglio26!$J$7</f>
        <v/>
      </c>
      <c r="QR44" s="84" t="str">
        <f>Luglio26!$J$8</f>
        <v/>
      </c>
      <c r="QS44" s="84" t="str">
        <f>Luglio26!$J$9</f>
        <v/>
      </c>
      <c r="QT44" s="84" t="str">
        <f>Luglio26!$J$10</f>
        <v/>
      </c>
      <c r="QU44" s="84" t="str">
        <f>Luglio26!$J$11</f>
        <v/>
      </c>
      <c r="QV44" s="84" t="str">
        <f>Luglio26!$J$12</f>
        <v/>
      </c>
      <c r="QW44" s="84" t="str">
        <f>Luglio26!$J$13</f>
        <v/>
      </c>
      <c r="QX44" s="85" t="str">
        <f>Luglio26!$J$14</f>
        <v/>
      </c>
      <c r="QY44" s="84" t="str">
        <f>Luglio26!$J$15</f>
        <v/>
      </c>
      <c r="QZ44" s="84" t="str">
        <f>Luglio26!$J$16</f>
        <v/>
      </c>
      <c r="RA44" s="84" t="str">
        <f>Luglio26!$J$17</f>
        <v/>
      </c>
      <c r="RB44" s="84" t="str">
        <f>Luglio26!$J$18</f>
        <v/>
      </c>
      <c r="RC44" s="84" t="str">
        <f>Luglio26!$J$19</f>
        <v/>
      </c>
      <c r="RD44" s="85" t="str">
        <f>Luglio26!$J$20</f>
        <v/>
      </c>
      <c r="RE44" s="84" t="str">
        <f>Luglio26!$J$21</f>
        <v/>
      </c>
      <c r="RF44" s="84" t="str">
        <f>Luglio26!$J$22</f>
        <v/>
      </c>
      <c r="RG44" s="84" t="str">
        <f>Luglio26!$J$23</f>
        <v/>
      </c>
      <c r="RH44" s="84" t="str">
        <f>Luglio26!$J$24</f>
        <v/>
      </c>
      <c r="RI44" s="84" t="str">
        <f>Luglio26!$J$25</f>
        <v/>
      </c>
      <c r="RJ44" s="84" t="str">
        <f>Luglio26!$J$26</f>
        <v/>
      </c>
      <c r="RK44" s="84" t="str">
        <f>Luglio26!$J$27</f>
        <v/>
      </c>
      <c r="RL44" s="85" t="str">
        <f>Luglio26!$J$28</f>
        <v/>
      </c>
      <c r="RM44" s="84" t="str">
        <f>Luglio26!$J$29</f>
        <v/>
      </c>
      <c r="RN44" s="84" t="str">
        <f>Luglio26!$J$30</f>
        <v/>
      </c>
      <c r="RO44" s="84" t="str">
        <f>Luglio26!$J$31</f>
        <v/>
      </c>
      <c r="RP44" s="86" t="str">
        <f>Luglio26!$J$32</f>
        <v/>
      </c>
      <c r="RQ44" s="78"/>
      <c r="RR44" s="79">
        <f>SUM(QL44:RP44)</f>
        <v>0</v>
      </c>
      <c r="RS44" s="80"/>
      <c r="RT44" s="78"/>
      <c r="RU44" s="81"/>
      <c r="RV44" s="81"/>
      <c r="RW44" s="81"/>
      <c r="RX44" s="81"/>
      <c r="RY44" s="81"/>
      <c r="RZ44" s="81"/>
      <c r="SA44" s="82"/>
      <c r="SB44" s="117"/>
      <c r="SC44" s="65"/>
      <c r="SD44" s="66"/>
      <c r="SE44" s="83" t="str">
        <f>Agosto26!$J$2</f>
        <v/>
      </c>
      <c r="SF44" s="84" t="str">
        <f>Agosto26!$J$3</f>
        <v/>
      </c>
      <c r="SG44" s="84" t="str">
        <f>Agosto26!$J$4</f>
        <v/>
      </c>
      <c r="SH44" s="84" t="str">
        <f>Agosto26!$J$5</f>
        <v/>
      </c>
      <c r="SI44" s="84" t="str">
        <f>Agosto26!$J$6</f>
        <v/>
      </c>
      <c r="SJ44" s="85" t="str">
        <f>Agosto26!$J$7</f>
        <v/>
      </c>
      <c r="SK44" s="84" t="str">
        <f>Agosto26!$J$8</f>
        <v/>
      </c>
      <c r="SL44" s="84" t="str">
        <f>Agosto26!$J$9</f>
        <v/>
      </c>
      <c r="SM44" s="84" t="str">
        <f>Agosto26!$J$10</f>
        <v/>
      </c>
      <c r="SN44" s="84" t="str">
        <f>Agosto26!$J$11</f>
        <v/>
      </c>
      <c r="SO44" s="84" t="str">
        <f>Agosto26!$J$12</f>
        <v/>
      </c>
      <c r="SP44" s="84" t="str">
        <f>Agosto26!$J$13</f>
        <v/>
      </c>
      <c r="SQ44" s="85" t="str">
        <f>Agosto26!$J$14</f>
        <v/>
      </c>
      <c r="SR44" s="84" t="str">
        <f>Agosto26!$J$15</f>
        <v/>
      </c>
      <c r="SS44" s="84" t="str">
        <f>Agosto26!$J$16</f>
        <v/>
      </c>
      <c r="ST44" s="84" t="str">
        <f>Agosto26!$J$17</f>
        <v/>
      </c>
      <c r="SU44" s="84" t="str">
        <f>Agosto26!$J$18</f>
        <v/>
      </c>
      <c r="SV44" s="84" t="str">
        <f>Agosto26!$J$19</f>
        <v/>
      </c>
      <c r="SW44" s="85" t="str">
        <f>Agosto26!$J$20</f>
        <v/>
      </c>
      <c r="SX44" s="84" t="str">
        <f>Agosto26!$J$21</f>
        <v/>
      </c>
      <c r="SY44" s="84" t="str">
        <f>Agosto26!$J$22</f>
        <v/>
      </c>
      <c r="SZ44" s="84" t="str">
        <f>Agosto26!$J$23</f>
        <v/>
      </c>
      <c r="TA44" s="84" t="str">
        <f>Agosto26!$J$24</f>
        <v/>
      </c>
      <c r="TB44" s="84" t="str">
        <f>Agosto26!$J$25</f>
        <v/>
      </c>
      <c r="TC44" s="84" t="str">
        <f>Agosto26!$J$26</f>
        <v/>
      </c>
      <c r="TD44" s="84" t="str">
        <f>Agosto26!$J$27</f>
        <v/>
      </c>
      <c r="TE44" s="85" t="str">
        <f>Agosto26!$J$28</f>
        <v/>
      </c>
      <c r="TF44" s="84" t="str">
        <f>Agosto26!$J$29</f>
        <v/>
      </c>
      <c r="TG44" s="84" t="str">
        <f>Agosto26!$J$30</f>
        <v/>
      </c>
      <c r="TH44" s="84" t="str">
        <f>Agosto26!$J$31</f>
        <v/>
      </c>
      <c r="TI44" s="86" t="str">
        <f>Agosto26!$J$32</f>
        <v/>
      </c>
      <c r="TJ44" s="78"/>
      <c r="TK44" s="79">
        <f>SUM(SE44:TI44)</f>
        <v>0</v>
      </c>
      <c r="TL44" s="80"/>
      <c r="TM44" s="78"/>
      <c r="TN44" s="81"/>
      <c r="TO44" s="81"/>
      <c r="TP44" s="81"/>
      <c r="TQ44" s="81"/>
      <c r="TR44" s="81"/>
      <c r="TS44" s="81"/>
      <c r="TT44" s="80"/>
    </row>
    <row r="45" ht="24.75" customHeight="1">
      <c r="A45" s="91" t="s">
        <v>39</v>
      </c>
      <c r="B45" s="65"/>
      <c r="C45" s="66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118"/>
      <c r="AI45" s="78"/>
      <c r="AJ45" s="81"/>
      <c r="AK45" s="94">
        <f>SUM(D45:AG45)</f>
        <v>0</v>
      </c>
      <c r="AL45" s="78"/>
      <c r="AM45" s="81"/>
      <c r="AN45" s="81"/>
      <c r="AO45" s="81"/>
      <c r="AP45" s="81"/>
      <c r="AQ45" s="81"/>
      <c r="AR45" s="81"/>
      <c r="AS45" s="82"/>
      <c r="AT45" s="91" t="s">
        <v>39</v>
      </c>
      <c r="AU45" s="65"/>
      <c r="AV45" s="66"/>
      <c r="AW45" s="92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119"/>
      <c r="CB45" s="78"/>
      <c r="CC45" s="81"/>
      <c r="CD45" s="94">
        <f>SUM(AW45:BZ45)</f>
        <v>0</v>
      </c>
      <c r="CE45" s="78"/>
      <c r="CF45" s="81"/>
      <c r="CG45" s="81"/>
      <c r="CH45" s="81"/>
      <c r="CI45" s="81"/>
      <c r="CJ45" s="81"/>
      <c r="CK45" s="81"/>
      <c r="CL45" s="82"/>
      <c r="CM45" s="91" t="s">
        <v>39</v>
      </c>
      <c r="CN45" s="65"/>
      <c r="CO45" s="66"/>
      <c r="CP45" s="92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119"/>
      <c r="DU45" s="78"/>
      <c r="DV45" s="81"/>
      <c r="DW45" s="94">
        <f>SUM(CP45:DS45)</f>
        <v>0</v>
      </c>
      <c r="DX45" s="78"/>
      <c r="DY45" s="81"/>
      <c r="DZ45" s="81"/>
      <c r="EA45" s="81"/>
      <c r="EB45" s="81"/>
      <c r="EC45" s="81"/>
      <c r="ED45" s="81"/>
      <c r="EE45" s="80"/>
      <c r="EF45" s="91" t="s">
        <v>39</v>
      </c>
      <c r="EG45" s="65"/>
      <c r="EH45" s="66"/>
      <c r="EI45" s="92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119"/>
      <c r="FN45" s="78"/>
      <c r="FO45" s="81"/>
      <c r="FP45" s="94">
        <f>SUM(EI45:FL45)</f>
        <v>0</v>
      </c>
      <c r="FQ45" s="78"/>
      <c r="FR45" s="81"/>
      <c r="FS45" s="81"/>
      <c r="FT45" s="81"/>
      <c r="FU45" s="81"/>
      <c r="FV45" s="81"/>
      <c r="FW45" s="81"/>
      <c r="FX45" s="80"/>
      <c r="FY45" s="91" t="s">
        <v>39</v>
      </c>
      <c r="FZ45" s="65"/>
      <c r="GA45" s="66"/>
      <c r="GB45" s="92"/>
      <c r="GC45" s="85"/>
      <c r="GD45" s="85"/>
      <c r="GE45" s="85"/>
      <c r="GF45" s="85"/>
      <c r="GG45" s="85"/>
      <c r="GH45" s="85"/>
      <c r="GI45" s="85"/>
      <c r="GJ45" s="85"/>
      <c r="GK45" s="85"/>
      <c r="GL45" s="85"/>
      <c r="GM45" s="85"/>
      <c r="GN45" s="85"/>
      <c r="GO45" s="85"/>
      <c r="GP45" s="85"/>
      <c r="GQ45" s="85"/>
      <c r="GR45" s="85"/>
      <c r="GS45" s="85"/>
      <c r="GT45" s="85"/>
      <c r="GU45" s="85"/>
      <c r="GV45" s="85"/>
      <c r="GW45" s="85"/>
      <c r="GX45" s="85"/>
      <c r="GY45" s="85"/>
      <c r="GZ45" s="85"/>
      <c r="HA45" s="85"/>
      <c r="HB45" s="85"/>
      <c r="HC45" s="85"/>
      <c r="HD45" s="85"/>
      <c r="HE45" s="85"/>
      <c r="HF45" s="119"/>
      <c r="HG45" s="78"/>
      <c r="HH45" s="81"/>
      <c r="HI45" s="94">
        <f>SUM(GB45:HE45)</f>
        <v>0</v>
      </c>
      <c r="HJ45" s="78"/>
      <c r="HK45" s="81"/>
      <c r="HL45" s="81"/>
      <c r="HM45" s="81"/>
      <c r="HN45" s="81"/>
      <c r="HO45" s="81"/>
      <c r="HP45" s="81"/>
      <c r="HQ45" s="80"/>
      <c r="HR45" s="91" t="s">
        <v>39</v>
      </c>
      <c r="HS45" s="65"/>
      <c r="HT45" s="66"/>
      <c r="HU45" s="92"/>
      <c r="HV45" s="85"/>
      <c r="HW45" s="85"/>
      <c r="HX45" s="85"/>
      <c r="HY45" s="85"/>
      <c r="HZ45" s="85"/>
      <c r="IA45" s="85"/>
      <c r="IB45" s="85"/>
      <c r="IC45" s="85"/>
      <c r="ID45" s="85"/>
      <c r="IE45" s="85"/>
      <c r="IF45" s="85"/>
      <c r="IG45" s="85"/>
      <c r="IH45" s="85"/>
      <c r="II45" s="85"/>
      <c r="IJ45" s="85"/>
      <c r="IK45" s="85"/>
      <c r="IL45" s="85"/>
      <c r="IM45" s="85"/>
      <c r="IN45" s="85"/>
      <c r="IO45" s="85"/>
      <c r="IP45" s="85"/>
      <c r="IQ45" s="85"/>
      <c r="IR45" s="85"/>
      <c r="IS45" s="85"/>
      <c r="IT45" s="85"/>
      <c r="IU45" s="85"/>
      <c r="IV45" s="85"/>
      <c r="IW45" s="85"/>
      <c r="IX45" s="85"/>
      <c r="IY45" s="119"/>
      <c r="IZ45" s="78"/>
      <c r="JA45" s="81"/>
      <c r="JB45" s="94">
        <f>SUM(HU45:IX45)</f>
        <v>0</v>
      </c>
      <c r="JC45" s="78"/>
      <c r="JD45" s="81"/>
      <c r="JE45" s="81"/>
      <c r="JF45" s="81"/>
      <c r="JG45" s="81"/>
      <c r="JH45" s="81"/>
      <c r="JI45" s="81"/>
      <c r="JJ45" s="80"/>
      <c r="JK45" s="91" t="s">
        <v>39</v>
      </c>
      <c r="JL45" s="65"/>
      <c r="JM45" s="66"/>
      <c r="JN45" s="92"/>
      <c r="JO45" s="85"/>
      <c r="JP45" s="85"/>
      <c r="JQ45" s="85"/>
      <c r="JR45" s="85"/>
      <c r="JS45" s="85"/>
      <c r="JT45" s="85"/>
      <c r="JU45" s="85"/>
      <c r="JV45" s="85"/>
      <c r="JW45" s="85"/>
      <c r="JX45" s="85"/>
      <c r="JY45" s="85"/>
      <c r="JZ45" s="85"/>
      <c r="KA45" s="85"/>
      <c r="KB45" s="85"/>
      <c r="KC45" s="85"/>
      <c r="KD45" s="85"/>
      <c r="KE45" s="85"/>
      <c r="KF45" s="85"/>
      <c r="KG45" s="85"/>
      <c r="KH45" s="85"/>
      <c r="KI45" s="85"/>
      <c r="KJ45" s="85"/>
      <c r="KK45" s="85"/>
      <c r="KL45" s="85"/>
      <c r="KM45" s="85"/>
      <c r="KN45" s="85"/>
      <c r="KO45" s="85"/>
      <c r="KP45" s="85"/>
      <c r="KQ45" s="85"/>
      <c r="KR45" s="119"/>
      <c r="KS45" s="78"/>
      <c r="KT45" s="81"/>
      <c r="KU45" s="94">
        <f>SUM(JN45:KQ45)</f>
        <v>0</v>
      </c>
      <c r="KV45" s="78"/>
      <c r="KW45" s="81"/>
      <c r="KX45" s="81"/>
      <c r="KY45" s="81"/>
      <c r="KZ45" s="81"/>
      <c r="LA45" s="81"/>
      <c r="LB45" s="81"/>
      <c r="LC45" s="80"/>
      <c r="LD45" s="91" t="s">
        <v>39</v>
      </c>
      <c r="LE45" s="65"/>
      <c r="LF45" s="66"/>
      <c r="LG45" s="92"/>
      <c r="LH45" s="85"/>
      <c r="LI45" s="85"/>
      <c r="LJ45" s="85"/>
      <c r="LK45" s="85"/>
      <c r="LL45" s="85"/>
      <c r="LM45" s="85"/>
      <c r="LN45" s="85"/>
      <c r="LO45" s="85"/>
      <c r="LP45" s="85"/>
      <c r="LQ45" s="85"/>
      <c r="LR45" s="85"/>
      <c r="LS45" s="85"/>
      <c r="LT45" s="85"/>
      <c r="LU45" s="85"/>
      <c r="LV45" s="85"/>
      <c r="LW45" s="85"/>
      <c r="LX45" s="85"/>
      <c r="LY45" s="85"/>
      <c r="LZ45" s="85"/>
      <c r="MA45" s="85"/>
      <c r="MB45" s="85"/>
      <c r="MC45" s="85"/>
      <c r="MD45" s="85"/>
      <c r="ME45" s="85"/>
      <c r="MF45" s="85"/>
      <c r="MG45" s="85"/>
      <c r="MH45" s="85"/>
      <c r="MI45" s="85"/>
      <c r="MJ45" s="85"/>
      <c r="MK45" s="119"/>
      <c r="ML45" s="78"/>
      <c r="MM45" s="81"/>
      <c r="MN45" s="94">
        <f>SUM(LG45:MJ45)</f>
        <v>0</v>
      </c>
      <c r="MO45" s="78"/>
      <c r="MP45" s="81"/>
      <c r="MQ45" s="81"/>
      <c r="MR45" s="81"/>
      <c r="MS45" s="81"/>
      <c r="MT45" s="81"/>
      <c r="MU45" s="81"/>
      <c r="MV45" s="82"/>
      <c r="MW45" s="91" t="s">
        <v>39</v>
      </c>
      <c r="MX45" s="65"/>
      <c r="MY45" s="66"/>
      <c r="MZ45" s="92"/>
      <c r="NA45" s="85"/>
      <c r="NB45" s="85"/>
      <c r="NC45" s="85"/>
      <c r="ND45" s="85"/>
      <c r="NE45" s="85"/>
      <c r="NF45" s="85"/>
      <c r="NG45" s="85"/>
      <c r="NH45" s="85"/>
      <c r="NI45" s="85"/>
      <c r="NJ45" s="85"/>
      <c r="NK45" s="85"/>
      <c r="NL45" s="85"/>
      <c r="NM45" s="85"/>
      <c r="NN45" s="85"/>
      <c r="NO45" s="85"/>
      <c r="NP45" s="85"/>
      <c r="NQ45" s="85"/>
      <c r="NR45" s="85"/>
      <c r="NS45" s="85"/>
      <c r="NT45" s="85"/>
      <c r="NU45" s="85"/>
      <c r="NV45" s="85"/>
      <c r="NW45" s="85"/>
      <c r="NX45" s="85"/>
      <c r="NY45" s="85"/>
      <c r="NZ45" s="85"/>
      <c r="OA45" s="85"/>
      <c r="OB45" s="85"/>
      <c r="OC45" s="85"/>
      <c r="OD45" s="119"/>
      <c r="OE45" s="78"/>
      <c r="OF45" s="81"/>
      <c r="OG45" s="94">
        <f>SUM(MZ45:OC45)</f>
        <v>0</v>
      </c>
      <c r="OH45" s="78"/>
      <c r="OI45" s="81"/>
      <c r="OJ45" s="81"/>
      <c r="OK45" s="81"/>
      <c r="OL45" s="81"/>
      <c r="OM45" s="81"/>
      <c r="ON45" s="81"/>
      <c r="OO45" s="82"/>
      <c r="OP45" s="91" t="s">
        <v>39</v>
      </c>
      <c r="OQ45" s="65"/>
      <c r="OR45" s="66"/>
      <c r="OS45" s="92"/>
      <c r="OT45" s="85"/>
      <c r="OU45" s="85"/>
      <c r="OV45" s="85"/>
      <c r="OW45" s="85"/>
      <c r="OX45" s="85"/>
      <c r="OY45" s="85"/>
      <c r="OZ45" s="85"/>
      <c r="PA45" s="85"/>
      <c r="PB45" s="85"/>
      <c r="PC45" s="85"/>
      <c r="PD45" s="85"/>
      <c r="PE45" s="85"/>
      <c r="PF45" s="85"/>
      <c r="PG45" s="85"/>
      <c r="PH45" s="85"/>
      <c r="PI45" s="85"/>
      <c r="PJ45" s="85"/>
      <c r="PK45" s="85"/>
      <c r="PL45" s="85"/>
      <c r="PM45" s="85"/>
      <c r="PN45" s="85"/>
      <c r="PO45" s="85"/>
      <c r="PP45" s="85"/>
      <c r="PQ45" s="85"/>
      <c r="PR45" s="85"/>
      <c r="PS45" s="85"/>
      <c r="PT45" s="85"/>
      <c r="PU45" s="85"/>
      <c r="PV45" s="85"/>
      <c r="PW45" s="119"/>
      <c r="PX45" s="78"/>
      <c r="PY45" s="81"/>
      <c r="PZ45" s="94">
        <f>SUM(OS45:PV45)</f>
        <v>0</v>
      </c>
      <c r="QA45" s="78"/>
      <c r="QB45" s="81"/>
      <c r="QC45" s="81"/>
      <c r="QD45" s="81"/>
      <c r="QE45" s="81"/>
      <c r="QF45" s="81"/>
      <c r="QG45" s="81"/>
      <c r="QH45" s="82"/>
      <c r="QI45" s="91" t="s">
        <v>39</v>
      </c>
      <c r="QJ45" s="65"/>
      <c r="QK45" s="66"/>
      <c r="QL45" s="92"/>
      <c r="QM45" s="85"/>
      <c r="QN45" s="85"/>
      <c r="QO45" s="85"/>
      <c r="QP45" s="85"/>
      <c r="QQ45" s="85"/>
      <c r="QR45" s="85"/>
      <c r="QS45" s="85"/>
      <c r="QT45" s="85"/>
      <c r="QU45" s="85"/>
      <c r="QV45" s="85"/>
      <c r="QW45" s="85"/>
      <c r="QX45" s="85"/>
      <c r="QY45" s="85"/>
      <c r="QZ45" s="85"/>
      <c r="RA45" s="85"/>
      <c r="RB45" s="85"/>
      <c r="RC45" s="85"/>
      <c r="RD45" s="85"/>
      <c r="RE45" s="85"/>
      <c r="RF45" s="85"/>
      <c r="RG45" s="85"/>
      <c r="RH45" s="85"/>
      <c r="RI45" s="85"/>
      <c r="RJ45" s="85"/>
      <c r="RK45" s="85"/>
      <c r="RL45" s="85"/>
      <c r="RM45" s="85"/>
      <c r="RN45" s="85"/>
      <c r="RO45" s="85"/>
      <c r="RP45" s="119"/>
      <c r="RQ45" s="78"/>
      <c r="RR45" s="81"/>
      <c r="RS45" s="94">
        <f>SUM(QL45:RO45)</f>
        <v>0</v>
      </c>
      <c r="RT45" s="78"/>
      <c r="RU45" s="81"/>
      <c r="RV45" s="81"/>
      <c r="RW45" s="81"/>
      <c r="RX45" s="81"/>
      <c r="RY45" s="81"/>
      <c r="RZ45" s="81"/>
      <c r="SA45" s="82"/>
      <c r="SB45" s="91" t="s">
        <v>39</v>
      </c>
      <c r="SC45" s="65"/>
      <c r="SD45" s="66"/>
      <c r="SE45" s="92"/>
      <c r="SF45" s="85"/>
      <c r="SG45" s="85"/>
      <c r="SH45" s="85"/>
      <c r="SI45" s="85"/>
      <c r="SJ45" s="85"/>
      <c r="SK45" s="85"/>
      <c r="SL45" s="85"/>
      <c r="SM45" s="85"/>
      <c r="SN45" s="85"/>
      <c r="SO45" s="85"/>
      <c r="SP45" s="85"/>
      <c r="SQ45" s="85"/>
      <c r="SR45" s="85"/>
      <c r="SS45" s="85"/>
      <c r="ST45" s="85"/>
      <c r="SU45" s="85"/>
      <c r="SV45" s="85"/>
      <c r="SW45" s="85"/>
      <c r="SX45" s="85"/>
      <c r="SY45" s="85"/>
      <c r="SZ45" s="85"/>
      <c r="TA45" s="85"/>
      <c r="TB45" s="85"/>
      <c r="TC45" s="85"/>
      <c r="TD45" s="85"/>
      <c r="TE45" s="85"/>
      <c r="TF45" s="85"/>
      <c r="TG45" s="85"/>
      <c r="TH45" s="85"/>
      <c r="TI45" s="119"/>
      <c r="TJ45" s="78"/>
      <c r="TK45" s="81"/>
      <c r="TL45" s="94">
        <f>SUM(SE45:TH45)</f>
        <v>0</v>
      </c>
      <c r="TM45" s="78"/>
      <c r="TN45" s="81"/>
      <c r="TO45" s="81"/>
      <c r="TP45" s="81"/>
      <c r="TQ45" s="81"/>
      <c r="TR45" s="81"/>
      <c r="TS45" s="81"/>
      <c r="TT45" s="80"/>
    </row>
    <row r="46" ht="24.75" customHeight="1">
      <c r="A46" s="96"/>
      <c r="B46" s="97"/>
      <c r="C46" s="98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118"/>
      <c r="AI46" s="78"/>
      <c r="AJ46" s="81"/>
      <c r="AK46" s="80"/>
      <c r="AL46" s="78"/>
      <c r="AM46" s="81"/>
      <c r="AN46" s="81"/>
      <c r="AO46" s="81"/>
      <c r="AP46" s="81"/>
      <c r="AQ46" s="81"/>
      <c r="AR46" s="81"/>
      <c r="AS46" s="82"/>
      <c r="AT46" s="96"/>
      <c r="AU46" s="97"/>
      <c r="AV46" s="98"/>
      <c r="AW46" s="92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119"/>
      <c r="CB46" s="78"/>
      <c r="CC46" s="81"/>
      <c r="CD46" s="80"/>
      <c r="CE46" s="78"/>
      <c r="CF46" s="81"/>
      <c r="CG46" s="81"/>
      <c r="CH46" s="81"/>
      <c r="CI46" s="81"/>
      <c r="CJ46" s="81"/>
      <c r="CK46" s="81"/>
      <c r="CL46" s="82"/>
      <c r="CM46" s="96"/>
      <c r="CN46" s="97"/>
      <c r="CO46" s="98"/>
      <c r="CP46" s="92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119"/>
      <c r="DU46" s="78"/>
      <c r="DV46" s="81"/>
      <c r="DW46" s="80"/>
      <c r="DX46" s="78"/>
      <c r="DY46" s="81"/>
      <c r="DZ46" s="81"/>
      <c r="EA46" s="81"/>
      <c r="EB46" s="81"/>
      <c r="EC46" s="81"/>
      <c r="ED46" s="81"/>
      <c r="EE46" s="80"/>
      <c r="EF46" s="96"/>
      <c r="EG46" s="97"/>
      <c r="EH46" s="98"/>
      <c r="EI46" s="92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119"/>
      <c r="FN46" s="78"/>
      <c r="FO46" s="81"/>
      <c r="FP46" s="80"/>
      <c r="FQ46" s="78"/>
      <c r="FR46" s="81"/>
      <c r="FS46" s="81"/>
      <c r="FT46" s="81"/>
      <c r="FU46" s="81"/>
      <c r="FV46" s="81"/>
      <c r="FW46" s="81"/>
      <c r="FX46" s="80"/>
      <c r="FY46" s="96"/>
      <c r="FZ46" s="97"/>
      <c r="GA46" s="98"/>
      <c r="GB46" s="92"/>
      <c r="GC46" s="85"/>
      <c r="GD46" s="85"/>
      <c r="GE46" s="85"/>
      <c r="GF46" s="85"/>
      <c r="GG46" s="85"/>
      <c r="GH46" s="85"/>
      <c r="GI46" s="85"/>
      <c r="GJ46" s="85"/>
      <c r="GK46" s="85"/>
      <c r="GL46" s="85"/>
      <c r="GM46" s="85"/>
      <c r="GN46" s="85"/>
      <c r="GO46" s="85"/>
      <c r="GP46" s="85"/>
      <c r="GQ46" s="85"/>
      <c r="GR46" s="85"/>
      <c r="GS46" s="85"/>
      <c r="GT46" s="85"/>
      <c r="GU46" s="85"/>
      <c r="GV46" s="85"/>
      <c r="GW46" s="85"/>
      <c r="GX46" s="85"/>
      <c r="GY46" s="85"/>
      <c r="GZ46" s="85"/>
      <c r="HA46" s="85"/>
      <c r="HB46" s="85"/>
      <c r="HC46" s="85"/>
      <c r="HD46" s="85"/>
      <c r="HE46" s="85"/>
      <c r="HF46" s="119"/>
      <c r="HG46" s="78"/>
      <c r="HH46" s="81"/>
      <c r="HI46" s="80"/>
      <c r="HJ46" s="78"/>
      <c r="HK46" s="81"/>
      <c r="HL46" s="81"/>
      <c r="HM46" s="81"/>
      <c r="HN46" s="81"/>
      <c r="HO46" s="81"/>
      <c r="HP46" s="81"/>
      <c r="HQ46" s="80"/>
      <c r="HR46" s="96"/>
      <c r="HS46" s="97"/>
      <c r="HT46" s="98"/>
      <c r="HU46" s="92"/>
      <c r="HV46" s="85"/>
      <c r="HW46" s="85"/>
      <c r="HX46" s="85"/>
      <c r="HY46" s="85"/>
      <c r="HZ46" s="85"/>
      <c r="IA46" s="85"/>
      <c r="IB46" s="85"/>
      <c r="IC46" s="85"/>
      <c r="ID46" s="85"/>
      <c r="IE46" s="85"/>
      <c r="IF46" s="85"/>
      <c r="IG46" s="85"/>
      <c r="IH46" s="85"/>
      <c r="II46" s="85"/>
      <c r="IJ46" s="85"/>
      <c r="IK46" s="85"/>
      <c r="IL46" s="85"/>
      <c r="IM46" s="85"/>
      <c r="IN46" s="85"/>
      <c r="IO46" s="85"/>
      <c r="IP46" s="85"/>
      <c r="IQ46" s="85"/>
      <c r="IR46" s="85"/>
      <c r="IS46" s="85"/>
      <c r="IT46" s="85"/>
      <c r="IU46" s="85"/>
      <c r="IV46" s="85"/>
      <c r="IW46" s="85"/>
      <c r="IX46" s="85"/>
      <c r="IY46" s="119"/>
      <c r="IZ46" s="78"/>
      <c r="JA46" s="81"/>
      <c r="JB46" s="80"/>
      <c r="JC46" s="78"/>
      <c r="JD46" s="81"/>
      <c r="JE46" s="81"/>
      <c r="JF46" s="81"/>
      <c r="JG46" s="81"/>
      <c r="JH46" s="81"/>
      <c r="JI46" s="81"/>
      <c r="JJ46" s="80"/>
      <c r="JK46" s="96"/>
      <c r="JL46" s="97"/>
      <c r="JM46" s="98"/>
      <c r="JN46" s="92"/>
      <c r="JO46" s="85"/>
      <c r="JP46" s="85"/>
      <c r="JQ46" s="85"/>
      <c r="JR46" s="85"/>
      <c r="JS46" s="85"/>
      <c r="JT46" s="85"/>
      <c r="JU46" s="85"/>
      <c r="JV46" s="85"/>
      <c r="JW46" s="85"/>
      <c r="JX46" s="85"/>
      <c r="JY46" s="85"/>
      <c r="JZ46" s="85"/>
      <c r="KA46" s="85"/>
      <c r="KB46" s="85"/>
      <c r="KC46" s="85"/>
      <c r="KD46" s="85"/>
      <c r="KE46" s="85"/>
      <c r="KF46" s="85"/>
      <c r="KG46" s="85"/>
      <c r="KH46" s="85"/>
      <c r="KI46" s="85"/>
      <c r="KJ46" s="85"/>
      <c r="KK46" s="85"/>
      <c r="KL46" s="85"/>
      <c r="KM46" s="85"/>
      <c r="KN46" s="85"/>
      <c r="KO46" s="85"/>
      <c r="KP46" s="85"/>
      <c r="KQ46" s="85"/>
      <c r="KR46" s="119"/>
      <c r="KS46" s="78"/>
      <c r="KT46" s="81"/>
      <c r="KU46" s="80"/>
      <c r="KV46" s="78"/>
      <c r="KW46" s="81"/>
      <c r="KX46" s="81"/>
      <c r="KY46" s="81"/>
      <c r="KZ46" s="81"/>
      <c r="LA46" s="81"/>
      <c r="LB46" s="81"/>
      <c r="LC46" s="80"/>
      <c r="LD46" s="96"/>
      <c r="LE46" s="97"/>
      <c r="LF46" s="98"/>
      <c r="LG46" s="92"/>
      <c r="LH46" s="85"/>
      <c r="LI46" s="85"/>
      <c r="LJ46" s="85"/>
      <c r="LK46" s="85"/>
      <c r="LL46" s="85"/>
      <c r="LM46" s="85"/>
      <c r="LN46" s="85"/>
      <c r="LO46" s="85"/>
      <c r="LP46" s="85"/>
      <c r="LQ46" s="85"/>
      <c r="LR46" s="85"/>
      <c r="LS46" s="85"/>
      <c r="LT46" s="85"/>
      <c r="LU46" s="85"/>
      <c r="LV46" s="85"/>
      <c r="LW46" s="85"/>
      <c r="LX46" s="85"/>
      <c r="LY46" s="85"/>
      <c r="LZ46" s="85"/>
      <c r="MA46" s="85"/>
      <c r="MB46" s="85"/>
      <c r="MC46" s="85"/>
      <c r="MD46" s="85"/>
      <c r="ME46" s="85"/>
      <c r="MF46" s="85"/>
      <c r="MG46" s="85"/>
      <c r="MH46" s="85"/>
      <c r="MI46" s="85"/>
      <c r="MJ46" s="85"/>
      <c r="MK46" s="119"/>
      <c r="ML46" s="78"/>
      <c r="MM46" s="81"/>
      <c r="MN46" s="80"/>
      <c r="MO46" s="78"/>
      <c r="MP46" s="81"/>
      <c r="MQ46" s="81"/>
      <c r="MR46" s="81"/>
      <c r="MS46" s="81"/>
      <c r="MT46" s="81"/>
      <c r="MU46" s="81"/>
      <c r="MV46" s="80"/>
      <c r="MW46" s="96"/>
      <c r="MX46" s="97"/>
      <c r="MY46" s="98"/>
      <c r="MZ46" s="92"/>
      <c r="NA46" s="85"/>
      <c r="NB46" s="85"/>
      <c r="NC46" s="85"/>
      <c r="ND46" s="85"/>
      <c r="NE46" s="85"/>
      <c r="NF46" s="85"/>
      <c r="NG46" s="85"/>
      <c r="NH46" s="85"/>
      <c r="NI46" s="85"/>
      <c r="NJ46" s="85"/>
      <c r="NK46" s="85"/>
      <c r="NL46" s="85"/>
      <c r="NM46" s="85"/>
      <c r="NN46" s="85"/>
      <c r="NO46" s="85"/>
      <c r="NP46" s="85"/>
      <c r="NQ46" s="85"/>
      <c r="NR46" s="85"/>
      <c r="NS46" s="85"/>
      <c r="NT46" s="85"/>
      <c r="NU46" s="85"/>
      <c r="NV46" s="85"/>
      <c r="NW46" s="85"/>
      <c r="NX46" s="85"/>
      <c r="NY46" s="85"/>
      <c r="NZ46" s="85"/>
      <c r="OA46" s="85"/>
      <c r="OB46" s="85"/>
      <c r="OC46" s="85"/>
      <c r="OD46" s="119"/>
      <c r="OE46" s="78"/>
      <c r="OF46" s="81"/>
      <c r="OG46" s="80"/>
      <c r="OH46" s="78"/>
      <c r="OI46" s="81"/>
      <c r="OJ46" s="81"/>
      <c r="OK46" s="81"/>
      <c r="OL46" s="81"/>
      <c r="OM46" s="81"/>
      <c r="ON46" s="81"/>
      <c r="OO46" s="80"/>
      <c r="OP46" s="96"/>
      <c r="OQ46" s="97"/>
      <c r="OR46" s="98"/>
      <c r="OS46" s="92"/>
      <c r="OT46" s="85"/>
      <c r="OU46" s="85"/>
      <c r="OV46" s="85"/>
      <c r="OW46" s="85"/>
      <c r="OX46" s="85"/>
      <c r="OY46" s="85"/>
      <c r="OZ46" s="85"/>
      <c r="PA46" s="85"/>
      <c r="PB46" s="85"/>
      <c r="PC46" s="85"/>
      <c r="PD46" s="85"/>
      <c r="PE46" s="85"/>
      <c r="PF46" s="85"/>
      <c r="PG46" s="85"/>
      <c r="PH46" s="85"/>
      <c r="PI46" s="85"/>
      <c r="PJ46" s="85"/>
      <c r="PK46" s="85"/>
      <c r="PL46" s="85"/>
      <c r="PM46" s="85"/>
      <c r="PN46" s="85"/>
      <c r="PO46" s="85"/>
      <c r="PP46" s="85"/>
      <c r="PQ46" s="85"/>
      <c r="PR46" s="85"/>
      <c r="PS46" s="85"/>
      <c r="PT46" s="85"/>
      <c r="PU46" s="85"/>
      <c r="PV46" s="85"/>
      <c r="PW46" s="119"/>
      <c r="PX46" s="78"/>
      <c r="PY46" s="81"/>
      <c r="PZ46" s="80"/>
      <c r="QA46" s="78"/>
      <c r="QB46" s="81"/>
      <c r="QC46" s="81"/>
      <c r="QD46" s="81"/>
      <c r="QE46" s="81"/>
      <c r="QF46" s="81"/>
      <c r="QG46" s="81"/>
      <c r="QH46" s="80"/>
      <c r="QI46" s="96"/>
      <c r="QJ46" s="97"/>
      <c r="QK46" s="98"/>
      <c r="QL46" s="92"/>
      <c r="QM46" s="85"/>
      <c r="QN46" s="85"/>
      <c r="QO46" s="85"/>
      <c r="QP46" s="85"/>
      <c r="QQ46" s="85"/>
      <c r="QR46" s="85"/>
      <c r="QS46" s="85"/>
      <c r="QT46" s="85"/>
      <c r="QU46" s="85"/>
      <c r="QV46" s="85"/>
      <c r="QW46" s="85"/>
      <c r="QX46" s="85"/>
      <c r="QY46" s="85"/>
      <c r="QZ46" s="85"/>
      <c r="RA46" s="85"/>
      <c r="RB46" s="85"/>
      <c r="RC46" s="85"/>
      <c r="RD46" s="85"/>
      <c r="RE46" s="85"/>
      <c r="RF46" s="85"/>
      <c r="RG46" s="85"/>
      <c r="RH46" s="85"/>
      <c r="RI46" s="85"/>
      <c r="RJ46" s="85"/>
      <c r="RK46" s="85"/>
      <c r="RL46" s="85"/>
      <c r="RM46" s="85"/>
      <c r="RN46" s="85"/>
      <c r="RO46" s="85"/>
      <c r="RP46" s="119"/>
      <c r="RQ46" s="78"/>
      <c r="RR46" s="81"/>
      <c r="RS46" s="80"/>
      <c r="RT46" s="78"/>
      <c r="RU46" s="81"/>
      <c r="RV46" s="81"/>
      <c r="RW46" s="81"/>
      <c r="RX46" s="81"/>
      <c r="RY46" s="81"/>
      <c r="RZ46" s="81"/>
      <c r="SA46" s="80"/>
      <c r="SB46" s="96"/>
      <c r="SC46" s="97"/>
      <c r="SD46" s="98"/>
      <c r="SE46" s="92"/>
      <c r="SF46" s="85"/>
      <c r="SG46" s="85"/>
      <c r="SH46" s="85"/>
      <c r="SI46" s="85"/>
      <c r="SJ46" s="85"/>
      <c r="SK46" s="85"/>
      <c r="SL46" s="85"/>
      <c r="SM46" s="85"/>
      <c r="SN46" s="85"/>
      <c r="SO46" s="85"/>
      <c r="SP46" s="85"/>
      <c r="SQ46" s="85"/>
      <c r="SR46" s="85"/>
      <c r="SS46" s="85"/>
      <c r="ST46" s="85"/>
      <c r="SU46" s="85"/>
      <c r="SV46" s="85"/>
      <c r="SW46" s="85"/>
      <c r="SX46" s="85"/>
      <c r="SY46" s="85"/>
      <c r="SZ46" s="85"/>
      <c r="TA46" s="85"/>
      <c r="TB46" s="85"/>
      <c r="TC46" s="85"/>
      <c r="TD46" s="85"/>
      <c r="TE46" s="85"/>
      <c r="TF46" s="85"/>
      <c r="TG46" s="85"/>
      <c r="TH46" s="85"/>
      <c r="TI46" s="119"/>
      <c r="TJ46" s="78"/>
      <c r="TK46" s="81"/>
      <c r="TL46" s="80"/>
      <c r="TM46" s="78"/>
      <c r="TN46" s="81"/>
      <c r="TO46" s="81"/>
      <c r="TP46" s="81"/>
      <c r="TQ46" s="81"/>
      <c r="TR46" s="81"/>
      <c r="TS46" s="81"/>
      <c r="TT46" s="80"/>
    </row>
    <row r="47" ht="24.75" customHeight="1">
      <c r="A47" s="100" t="s">
        <v>27</v>
      </c>
      <c r="B47" s="101"/>
      <c r="C47" s="102"/>
      <c r="D47" s="103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4"/>
      <c r="AH47" s="105"/>
      <c r="AI47" s="103"/>
      <c r="AJ47" s="101"/>
      <c r="AK47" s="102"/>
      <c r="AL47" s="103"/>
      <c r="AM47" s="101"/>
      <c r="AN47" s="101"/>
      <c r="AO47" s="101"/>
      <c r="AP47" s="101"/>
      <c r="AQ47" s="101"/>
      <c r="AR47" s="101"/>
      <c r="AS47" s="102"/>
      <c r="AT47" s="100" t="s">
        <v>27</v>
      </c>
      <c r="AU47" s="101"/>
      <c r="AV47" s="102"/>
      <c r="AW47" s="103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1"/>
      <c r="BO47" s="101"/>
      <c r="BP47" s="101"/>
      <c r="BQ47" s="101"/>
      <c r="BR47" s="101"/>
      <c r="BS47" s="101"/>
      <c r="BT47" s="101"/>
      <c r="BU47" s="101"/>
      <c r="BV47" s="101"/>
      <c r="BW47" s="101"/>
      <c r="BX47" s="101"/>
      <c r="BY47" s="101"/>
      <c r="BZ47" s="104"/>
      <c r="CA47" s="106"/>
      <c r="CB47" s="103"/>
      <c r="CC47" s="101"/>
      <c r="CD47" s="102"/>
      <c r="CE47" s="103"/>
      <c r="CF47" s="101"/>
      <c r="CG47" s="101"/>
      <c r="CH47" s="101"/>
      <c r="CI47" s="101"/>
      <c r="CJ47" s="101"/>
      <c r="CK47" s="101"/>
      <c r="CL47" s="102"/>
      <c r="CM47" s="100" t="s">
        <v>27</v>
      </c>
      <c r="CN47" s="101"/>
      <c r="CO47" s="102"/>
      <c r="CP47" s="103"/>
      <c r="CQ47" s="101"/>
      <c r="CR47" s="101"/>
      <c r="CS47" s="101"/>
      <c r="CT47" s="101"/>
      <c r="CU47" s="101"/>
      <c r="CV47" s="101"/>
      <c r="CW47" s="101"/>
      <c r="CX47" s="101"/>
      <c r="CY47" s="101"/>
      <c r="CZ47" s="101"/>
      <c r="DA47" s="101"/>
      <c r="DB47" s="101"/>
      <c r="DC47" s="101"/>
      <c r="DD47" s="101"/>
      <c r="DE47" s="101"/>
      <c r="DF47" s="101"/>
      <c r="DG47" s="101"/>
      <c r="DH47" s="101"/>
      <c r="DI47" s="101"/>
      <c r="DJ47" s="101"/>
      <c r="DK47" s="101"/>
      <c r="DL47" s="101"/>
      <c r="DM47" s="101"/>
      <c r="DN47" s="101"/>
      <c r="DO47" s="101"/>
      <c r="DP47" s="101"/>
      <c r="DQ47" s="101"/>
      <c r="DR47" s="101"/>
      <c r="DS47" s="104"/>
      <c r="DT47" s="106"/>
      <c r="DU47" s="103"/>
      <c r="DV47" s="101"/>
      <c r="DW47" s="102"/>
      <c r="DX47" s="103"/>
      <c r="DY47" s="101"/>
      <c r="DZ47" s="101"/>
      <c r="EA47" s="101"/>
      <c r="EB47" s="101"/>
      <c r="EC47" s="101"/>
      <c r="ED47" s="101"/>
      <c r="EE47" s="102"/>
      <c r="EF47" s="100" t="s">
        <v>27</v>
      </c>
      <c r="EG47" s="101"/>
      <c r="EH47" s="102"/>
      <c r="EI47" s="103"/>
      <c r="EJ47" s="101"/>
      <c r="EK47" s="101"/>
      <c r="EL47" s="101"/>
      <c r="EM47" s="101"/>
      <c r="EN47" s="101"/>
      <c r="EO47" s="101"/>
      <c r="EP47" s="101"/>
      <c r="EQ47" s="101"/>
      <c r="ER47" s="101"/>
      <c r="ES47" s="101"/>
      <c r="ET47" s="101"/>
      <c r="EU47" s="101"/>
      <c r="EV47" s="101"/>
      <c r="EW47" s="101"/>
      <c r="EX47" s="101"/>
      <c r="EY47" s="101"/>
      <c r="EZ47" s="101"/>
      <c r="FA47" s="101"/>
      <c r="FB47" s="101"/>
      <c r="FC47" s="101"/>
      <c r="FD47" s="101"/>
      <c r="FE47" s="101"/>
      <c r="FF47" s="101"/>
      <c r="FG47" s="101"/>
      <c r="FH47" s="101"/>
      <c r="FI47" s="101"/>
      <c r="FJ47" s="101"/>
      <c r="FK47" s="101"/>
      <c r="FL47" s="104"/>
      <c r="FM47" s="106"/>
      <c r="FN47" s="103"/>
      <c r="FO47" s="101"/>
      <c r="FP47" s="102"/>
      <c r="FQ47" s="103"/>
      <c r="FR47" s="101"/>
      <c r="FS47" s="101"/>
      <c r="FT47" s="101"/>
      <c r="FU47" s="101"/>
      <c r="FV47" s="101"/>
      <c r="FW47" s="101"/>
      <c r="FX47" s="102"/>
      <c r="FY47" s="100" t="s">
        <v>27</v>
      </c>
      <c r="FZ47" s="101"/>
      <c r="GA47" s="102"/>
      <c r="GB47" s="103"/>
      <c r="GC47" s="101"/>
      <c r="GD47" s="101"/>
      <c r="GE47" s="101"/>
      <c r="GF47" s="101"/>
      <c r="GG47" s="101"/>
      <c r="GH47" s="101"/>
      <c r="GI47" s="101"/>
      <c r="GJ47" s="101"/>
      <c r="GK47" s="101"/>
      <c r="GL47" s="101"/>
      <c r="GM47" s="101"/>
      <c r="GN47" s="101"/>
      <c r="GO47" s="101"/>
      <c r="GP47" s="101"/>
      <c r="GQ47" s="101"/>
      <c r="GR47" s="101"/>
      <c r="GS47" s="101"/>
      <c r="GT47" s="101"/>
      <c r="GU47" s="101"/>
      <c r="GV47" s="101"/>
      <c r="GW47" s="101"/>
      <c r="GX47" s="101"/>
      <c r="GY47" s="101"/>
      <c r="GZ47" s="101"/>
      <c r="HA47" s="101"/>
      <c r="HB47" s="101"/>
      <c r="HC47" s="101"/>
      <c r="HD47" s="101"/>
      <c r="HE47" s="104"/>
      <c r="HF47" s="106"/>
      <c r="HG47" s="103"/>
      <c r="HH47" s="101"/>
      <c r="HI47" s="102"/>
      <c r="HJ47" s="103"/>
      <c r="HK47" s="101"/>
      <c r="HL47" s="101"/>
      <c r="HM47" s="101"/>
      <c r="HN47" s="101"/>
      <c r="HO47" s="101"/>
      <c r="HP47" s="101"/>
      <c r="HQ47" s="102"/>
      <c r="HR47" s="100" t="s">
        <v>27</v>
      </c>
      <c r="HS47" s="101"/>
      <c r="HT47" s="102"/>
      <c r="HU47" s="103"/>
      <c r="HV47" s="101"/>
      <c r="HW47" s="101"/>
      <c r="HX47" s="101"/>
      <c r="HY47" s="101"/>
      <c r="HZ47" s="101"/>
      <c r="IA47" s="101"/>
      <c r="IB47" s="101"/>
      <c r="IC47" s="101"/>
      <c r="ID47" s="101"/>
      <c r="IE47" s="101"/>
      <c r="IF47" s="101"/>
      <c r="IG47" s="101"/>
      <c r="IH47" s="101"/>
      <c r="II47" s="101"/>
      <c r="IJ47" s="101"/>
      <c r="IK47" s="101"/>
      <c r="IL47" s="101"/>
      <c r="IM47" s="101"/>
      <c r="IN47" s="101"/>
      <c r="IO47" s="101"/>
      <c r="IP47" s="101"/>
      <c r="IQ47" s="101"/>
      <c r="IR47" s="101"/>
      <c r="IS47" s="101"/>
      <c r="IT47" s="101"/>
      <c r="IU47" s="101"/>
      <c r="IV47" s="101"/>
      <c r="IW47" s="101"/>
      <c r="IX47" s="104"/>
      <c r="IY47" s="106"/>
      <c r="IZ47" s="103"/>
      <c r="JA47" s="101"/>
      <c r="JB47" s="102"/>
      <c r="JC47" s="103"/>
      <c r="JD47" s="101"/>
      <c r="JE47" s="101"/>
      <c r="JF47" s="101"/>
      <c r="JG47" s="101"/>
      <c r="JH47" s="101"/>
      <c r="JI47" s="101"/>
      <c r="JJ47" s="102"/>
      <c r="JK47" s="100" t="s">
        <v>27</v>
      </c>
      <c r="JL47" s="101"/>
      <c r="JM47" s="102"/>
      <c r="JN47" s="103"/>
      <c r="JO47" s="101"/>
      <c r="JP47" s="101"/>
      <c r="JQ47" s="101"/>
      <c r="JR47" s="101"/>
      <c r="JS47" s="101"/>
      <c r="JT47" s="101"/>
      <c r="JU47" s="101"/>
      <c r="JV47" s="101"/>
      <c r="JW47" s="101"/>
      <c r="JX47" s="101"/>
      <c r="JY47" s="101"/>
      <c r="JZ47" s="101"/>
      <c r="KA47" s="101"/>
      <c r="KB47" s="101"/>
      <c r="KC47" s="101"/>
      <c r="KD47" s="101"/>
      <c r="KE47" s="101"/>
      <c r="KF47" s="101"/>
      <c r="KG47" s="101"/>
      <c r="KH47" s="101"/>
      <c r="KI47" s="101"/>
      <c r="KJ47" s="101"/>
      <c r="KK47" s="101"/>
      <c r="KL47" s="101"/>
      <c r="KM47" s="101"/>
      <c r="KN47" s="101"/>
      <c r="KO47" s="101"/>
      <c r="KP47" s="101"/>
      <c r="KQ47" s="104"/>
      <c r="KR47" s="106"/>
      <c r="KS47" s="103"/>
      <c r="KT47" s="101"/>
      <c r="KU47" s="102"/>
      <c r="KV47" s="103"/>
      <c r="KW47" s="101"/>
      <c r="KX47" s="101"/>
      <c r="KY47" s="101"/>
      <c r="KZ47" s="101"/>
      <c r="LA47" s="101"/>
      <c r="LB47" s="101"/>
      <c r="LC47" s="102"/>
      <c r="LD47" s="100" t="s">
        <v>27</v>
      </c>
      <c r="LE47" s="101"/>
      <c r="LF47" s="102"/>
      <c r="LG47" s="103"/>
      <c r="LH47" s="101"/>
      <c r="LI47" s="101"/>
      <c r="LJ47" s="101"/>
      <c r="LK47" s="101"/>
      <c r="LL47" s="101"/>
      <c r="LM47" s="101"/>
      <c r="LN47" s="101"/>
      <c r="LO47" s="101"/>
      <c r="LP47" s="101"/>
      <c r="LQ47" s="101"/>
      <c r="LR47" s="101"/>
      <c r="LS47" s="101"/>
      <c r="LT47" s="101"/>
      <c r="LU47" s="101"/>
      <c r="LV47" s="101"/>
      <c r="LW47" s="101"/>
      <c r="LX47" s="101"/>
      <c r="LY47" s="101"/>
      <c r="LZ47" s="101"/>
      <c r="MA47" s="101"/>
      <c r="MB47" s="101"/>
      <c r="MC47" s="101"/>
      <c r="MD47" s="101"/>
      <c r="ME47" s="101"/>
      <c r="MF47" s="101"/>
      <c r="MG47" s="101"/>
      <c r="MH47" s="101"/>
      <c r="MI47" s="101"/>
      <c r="MJ47" s="104"/>
      <c r="MK47" s="106"/>
      <c r="ML47" s="103"/>
      <c r="MM47" s="101"/>
      <c r="MN47" s="102"/>
      <c r="MO47" s="103"/>
      <c r="MP47" s="101"/>
      <c r="MQ47" s="101"/>
      <c r="MR47" s="101"/>
      <c r="MS47" s="101"/>
      <c r="MT47" s="101"/>
      <c r="MU47" s="101"/>
      <c r="MV47" s="102"/>
      <c r="MW47" s="100" t="s">
        <v>27</v>
      </c>
      <c r="MX47" s="101"/>
      <c r="MY47" s="102"/>
      <c r="MZ47" s="103"/>
      <c r="NA47" s="101"/>
      <c r="NB47" s="101"/>
      <c r="NC47" s="101"/>
      <c r="ND47" s="101"/>
      <c r="NE47" s="101"/>
      <c r="NF47" s="101"/>
      <c r="NG47" s="101"/>
      <c r="NH47" s="101"/>
      <c r="NI47" s="101"/>
      <c r="NJ47" s="101"/>
      <c r="NK47" s="101"/>
      <c r="NL47" s="101"/>
      <c r="NM47" s="101"/>
      <c r="NN47" s="101"/>
      <c r="NO47" s="101"/>
      <c r="NP47" s="101"/>
      <c r="NQ47" s="101"/>
      <c r="NR47" s="101"/>
      <c r="NS47" s="101"/>
      <c r="NT47" s="101"/>
      <c r="NU47" s="101"/>
      <c r="NV47" s="101"/>
      <c r="NW47" s="101"/>
      <c r="NX47" s="101"/>
      <c r="NY47" s="101"/>
      <c r="NZ47" s="101"/>
      <c r="OA47" s="101"/>
      <c r="OB47" s="101"/>
      <c r="OC47" s="104"/>
      <c r="OD47" s="106"/>
      <c r="OE47" s="103"/>
      <c r="OF47" s="101"/>
      <c r="OG47" s="102"/>
      <c r="OH47" s="103"/>
      <c r="OI47" s="101"/>
      <c r="OJ47" s="101"/>
      <c r="OK47" s="101"/>
      <c r="OL47" s="101"/>
      <c r="OM47" s="101"/>
      <c r="ON47" s="101"/>
      <c r="OO47" s="102"/>
      <c r="OP47" s="100" t="s">
        <v>27</v>
      </c>
      <c r="OQ47" s="101"/>
      <c r="OR47" s="102"/>
      <c r="OS47" s="103"/>
      <c r="OT47" s="101"/>
      <c r="OU47" s="101"/>
      <c r="OV47" s="101"/>
      <c r="OW47" s="101"/>
      <c r="OX47" s="101"/>
      <c r="OY47" s="101"/>
      <c r="OZ47" s="101"/>
      <c r="PA47" s="101"/>
      <c r="PB47" s="101"/>
      <c r="PC47" s="101"/>
      <c r="PD47" s="101"/>
      <c r="PE47" s="101"/>
      <c r="PF47" s="101"/>
      <c r="PG47" s="101"/>
      <c r="PH47" s="101"/>
      <c r="PI47" s="101"/>
      <c r="PJ47" s="101"/>
      <c r="PK47" s="101"/>
      <c r="PL47" s="101"/>
      <c r="PM47" s="101"/>
      <c r="PN47" s="101"/>
      <c r="PO47" s="101"/>
      <c r="PP47" s="101"/>
      <c r="PQ47" s="101"/>
      <c r="PR47" s="101"/>
      <c r="PS47" s="101"/>
      <c r="PT47" s="101"/>
      <c r="PU47" s="101"/>
      <c r="PV47" s="104"/>
      <c r="PW47" s="106"/>
      <c r="PX47" s="103"/>
      <c r="PY47" s="101"/>
      <c r="PZ47" s="102"/>
      <c r="QA47" s="103"/>
      <c r="QB47" s="101"/>
      <c r="QC47" s="101"/>
      <c r="QD47" s="101"/>
      <c r="QE47" s="101"/>
      <c r="QF47" s="101"/>
      <c r="QG47" s="101"/>
      <c r="QH47" s="102"/>
      <c r="QI47" s="100" t="s">
        <v>27</v>
      </c>
      <c r="QJ47" s="101"/>
      <c r="QK47" s="102"/>
      <c r="QL47" s="103"/>
      <c r="QM47" s="101"/>
      <c r="QN47" s="101"/>
      <c r="QO47" s="101"/>
      <c r="QP47" s="101"/>
      <c r="QQ47" s="101"/>
      <c r="QR47" s="101"/>
      <c r="QS47" s="101"/>
      <c r="QT47" s="101"/>
      <c r="QU47" s="101"/>
      <c r="QV47" s="101"/>
      <c r="QW47" s="101"/>
      <c r="QX47" s="101"/>
      <c r="QY47" s="101"/>
      <c r="QZ47" s="101"/>
      <c r="RA47" s="101"/>
      <c r="RB47" s="101"/>
      <c r="RC47" s="101"/>
      <c r="RD47" s="101"/>
      <c r="RE47" s="101"/>
      <c r="RF47" s="101"/>
      <c r="RG47" s="101"/>
      <c r="RH47" s="101"/>
      <c r="RI47" s="101"/>
      <c r="RJ47" s="101"/>
      <c r="RK47" s="101"/>
      <c r="RL47" s="101"/>
      <c r="RM47" s="101"/>
      <c r="RN47" s="101"/>
      <c r="RO47" s="104"/>
      <c r="RP47" s="106"/>
      <c r="RQ47" s="103"/>
      <c r="RR47" s="101"/>
      <c r="RS47" s="102"/>
      <c r="RT47" s="103"/>
      <c r="RU47" s="101"/>
      <c r="RV47" s="101"/>
      <c r="RW47" s="101"/>
      <c r="RX47" s="101"/>
      <c r="RY47" s="101"/>
      <c r="RZ47" s="101"/>
      <c r="SA47" s="102"/>
      <c r="SB47" s="100" t="s">
        <v>27</v>
      </c>
      <c r="SC47" s="101"/>
      <c r="SD47" s="102"/>
      <c r="SE47" s="103"/>
      <c r="SF47" s="101"/>
      <c r="SG47" s="101"/>
      <c r="SH47" s="101"/>
      <c r="SI47" s="101"/>
      <c r="SJ47" s="101"/>
      <c r="SK47" s="101"/>
      <c r="SL47" s="101"/>
      <c r="SM47" s="101"/>
      <c r="SN47" s="101"/>
      <c r="SO47" s="101"/>
      <c r="SP47" s="101"/>
      <c r="SQ47" s="101"/>
      <c r="SR47" s="101"/>
      <c r="SS47" s="101"/>
      <c r="ST47" s="101"/>
      <c r="SU47" s="101"/>
      <c r="SV47" s="101"/>
      <c r="SW47" s="101"/>
      <c r="SX47" s="101"/>
      <c r="SY47" s="101"/>
      <c r="SZ47" s="101"/>
      <c r="TA47" s="101"/>
      <c r="TB47" s="101"/>
      <c r="TC47" s="101"/>
      <c r="TD47" s="101"/>
      <c r="TE47" s="101"/>
      <c r="TF47" s="101"/>
      <c r="TG47" s="101"/>
      <c r="TH47" s="104"/>
      <c r="TI47" s="106"/>
      <c r="TJ47" s="103"/>
      <c r="TK47" s="101"/>
      <c r="TL47" s="102"/>
      <c r="TM47" s="103"/>
      <c r="TN47" s="101"/>
      <c r="TO47" s="101"/>
      <c r="TP47" s="101"/>
      <c r="TQ47" s="101"/>
      <c r="TR47" s="101"/>
      <c r="TS47" s="101"/>
      <c r="TT47" s="102"/>
    </row>
    <row r="48" ht="24.75" customHeight="1">
      <c r="A48" s="108" t="str">
        <f>elenchi!$C10</f>
        <v>MANTICE SANTO</v>
      </c>
      <c r="B48" s="109"/>
      <c r="C48" s="110"/>
      <c r="D48" s="67">
        <f t="shared" ref="D48:AH48" si="109">D$2</f>
        <v>45901</v>
      </c>
      <c r="E48" s="67">
        <f t="shared" si="109"/>
        <v>45902</v>
      </c>
      <c r="F48" s="67">
        <f t="shared" si="109"/>
        <v>45903</v>
      </c>
      <c r="G48" s="67">
        <f t="shared" si="109"/>
        <v>45904</v>
      </c>
      <c r="H48" s="67">
        <f t="shared" si="109"/>
        <v>45905</v>
      </c>
      <c r="I48" s="67">
        <f t="shared" si="109"/>
        <v>45906</v>
      </c>
      <c r="J48" s="67">
        <f t="shared" si="109"/>
        <v>45907</v>
      </c>
      <c r="K48" s="67">
        <f t="shared" si="109"/>
        <v>45908</v>
      </c>
      <c r="L48" s="67">
        <f t="shared" si="109"/>
        <v>45909</v>
      </c>
      <c r="M48" s="67">
        <f t="shared" si="109"/>
        <v>45910</v>
      </c>
      <c r="N48" s="67">
        <f t="shared" si="109"/>
        <v>45911</v>
      </c>
      <c r="O48" s="67">
        <f t="shared" si="109"/>
        <v>45912</v>
      </c>
      <c r="P48" s="67">
        <f t="shared" si="109"/>
        <v>45913</v>
      </c>
      <c r="Q48" s="67">
        <f t="shared" si="109"/>
        <v>45914</v>
      </c>
      <c r="R48" s="67">
        <f t="shared" si="109"/>
        <v>45915</v>
      </c>
      <c r="S48" s="67">
        <f t="shared" si="109"/>
        <v>45916</v>
      </c>
      <c r="T48" s="67">
        <f t="shared" si="109"/>
        <v>45917</v>
      </c>
      <c r="U48" s="67">
        <f t="shared" si="109"/>
        <v>45918</v>
      </c>
      <c r="V48" s="67">
        <f t="shared" si="109"/>
        <v>45919</v>
      </c>
      <c r="W48" s="67">
        <f t="shared" si="109"/>
        <v>45920</v>
      </c>
      <c r="X48" s="67">
        <f t="shared" si="109"/>
        <v>45921</v>
      </c>
      <c r="Y48" s="67">
        <f t="shared" si="109"/>
        <v>45922</v>
      </c>
      <c r="Z48" s="67">
        <f t="shared" si="109"/>
        <v>45923</v>
      </c>
      <c r="AA48" s="67">
        <f t="shared" si="109"/>
        <v>45924</v>
      </c>
      <c r="AB48" s="67">
        <f t="shared" si="109"/>
        <v>45925</v>
      </c>
      <c r="AC48" s="67">
        <f t="shared" si="109"/>
        <v>45926</v>
      </c>
      <c r="AD48" s="67">
        <f t="shared" si="109"/>
        <v>45927</v>
      </c>
      <c r="AE48" s="67">
        <f t="shared" si="109"/>
        <v>45928</v>
      </c>
      <c r="AF48" s="67">
        <f t="shared" si="109"/>
        <v>45929</v>
      </c>
      <c r="AG48" s="67">
        <f t="shared" si="109"/>
        <v>45930</v>
      </c>
      <c r="AH48" s="111" t="str">
        <f t="shared" si="109"/>
        <v/>
      </c>
      <c r="AI48" s="112" t="s">
        <v>33</v>
      </c>
      <c r="AJ48" s="113" t="s">
        <v>28</v>
      </c>
      <c r="AK48" s="114" t="s">
        <v>34</v>
      </c>
      <c r="AL48" s="112" t="s">
        <v>13</v>
      </c>
      <c r="AM48" s="113" t="s">
        <v>1</v>
      </c>
      <c r="AN48" s="113" t="s">
        <v>35</v>
      </c>
      <c r="AO48" s="113" t="s">
        <v>36</v>
      </c>
      <c r="AP48" s="113" t="s">
        <v>37</v>
      </c>
      <c r="AQ48" s="113" t="s">
        <v>0</v>
      </c>
      <c r="AR48" s="113" t="s">
        <v>38</v>
      </c>
      <c r="AS48" s="115" t="s">
        <v>11</v>
      </c>
      <c r="AT48" s="108" t="str">
        <f>elenchi!$C10</f>
        <v>MANTICE SANTO</v>
      </c>
      <c r="AU48" s="109"/>
      <c r="AV48" s="110"/>
      <c r="AW48" s="67">
        <f t="shared" ref="AW48:CA48" si="110">AW$2</f>
        <v>45931</v>
      </c>
      <c r="AX48" s="67">
        <f t="shared" si="110"/>
        <v>45932</v>
      </c>
      <c r="AY48" s="67">
        <f t="shared" si="110"/>
        <v>45933</v>
      </c>
      <c r="AZ48" s="67">
        <f t="shared" si="110"/>
        <v>45934</v>
      </c>
      <c r="BA48" s="67">
        <f t="shared" si="110"/>
        <v>45935</v>
      </c>
      <c r="BB48" s="67">
        <f t="shared" si="110"/>
        <v>45936</v>
      </c>
      <c r="BC48" s="67">
        <f t="shared" si="110"/>
        <v>45937</v>
      </c>
      <c r="BD48" s="67">
        <f t="shared" si="110"/>
        <v>45938</v>
      </c>
      <c r="BE48" s="67">
        <f t="shared" si="110"/>
        <v>45939</v>
      </c>
      <c r="BF48" s="67">
        <f t="shared" si="110"/>
        <v>45940</v>
      </c>
      <c r="BG48" s="67">
        <f t="shared" si="110"/>
        <v>45941</v>
      </c>
      <c r="BH48" s="67">
        <f t="shared" si="110"/>
        <v>45942</v>
      </c>
      <c r="BI48" s="67">
        <f t="shared" si="110"/>
        <v>45943</v>
      </c>
      <c r="BJ48" s="67">
        <f t="shared" si="110"/>
        <v>45944</v>
      </c>
      <c r="BK48" s="67">
        <f t="shared" si="110"/>
        <v>45945</v>
      </c>
      <c r="BL48" s="67">
        <f t="shared" si="110"/>
        <v>45946</v>
      </c>
      <c r="BM48" s="67">
        <f t="shared" si="110"/>
        <v>45947</v>
      </c>
      <c r="BN48" s="67">
        <f t="shared" si="110"/>
        <v>45948</v>
      </c>
      <c r="BO48" s="67">
        <f t="shared" si="110"/>
        <v>45949</v>
      </c>
      <c r="BP48" s="67">
        <f t="shared" si="110"/>
        <v>45950</v>
      </c>
      <c r="BQ48" s="67">
        <f t="shared" si="110"/>
        <v>45951</v>
      </c>
      <c r="BR48" s="67">
        <f t="shared" si="110"/>
        <v>45952</v>
      </c>
      <c r="BS48" s="67">
        <f t="shared" si="110"/>
        <v>45953</v>
      </c>
      <c r="BT48" s="67">
        <f t="shared" si="110"/>
        <v>45954</v>
      </c>
      <c r="BU48" s="67">
        <f t="shared" si="110"/>
        <v>45955</v>
      </c>
      <c r="BV48" s="67">
        <f t="shared" si="110"/>
        <v>45956</v>
      </c>
      <c r="BW48" s="67">
        <f t="shared" si="110"/>
        <v>45957</v>
      </c>
      <c r="BX48" s="67">
        <f t="shared" si="110"/>
        <v>45958</v>
      </c>
      <c r="BY48" s="67">
        <f t="shared" si="110"/>
        <v>45959</v>
      </c>
      <c r="BZ48" s="67">
        <f t="shared" si="110"/>
        <v>45960</v>
      </c>
      <c r="CA48" s="67">
        <f t="shared" si="110"/>
        <v>45961</v>
      </c>
      <c r="CB48" s="112" t="s">
        <v>33</v>
      </c>
      <c r="CC48" s="113" t="s">
        <v>28</v>
      </c>
      <c r="CD48" s="114" t="s">
        <v>34</v>
      </c>
      <c r="CE48" s="112" t="s">
        <v>13</v>
      </c>
      <c r="CF48" s="113" t="s">
        <v>1</v>
      </c>
      <c r="CG48" s="113" t="s">
        <v>35</v>
      </c>
      <c r="CH48" s="113" t="s">
        <v>36</v>
      </c>
      <c r="CI48" s="113" t="s">
        <v>37</v>
      </c>
      <c r="CJ48" s="113" t="s">
        <v>0</v>
      </c>
      <c r="CK48" s="113" t="s">
        <v>38</v>
      </c>
      <c r="CL48" s="115" t="s">
        <v>11</v>
      </c>
      <c r="CM48" s="108" t="str">
        <f>elenchi!$C10</f>
        <v>MANTICE SANTO</v>
      </c>
      <c r="CN48" s="109"/>
      <c r="CO48" s="110"/>
      <c r="CP48" s="67">
        <f t="shared" ref="CP48:DT48" si="111">CP$2</f>
        <v>45962</v>
      </c>
      <c r="CQ48" s="67">
        <f t="shared" si="111"/>
        <v>45963</v>
      </c>
      <c r="CR48" s="67">
        <f t="shared" si="111"/>
        <v>45964</v>
      </c>
      <c r="CS48" s="67">
        <f t="shared" si="111"/>
        <v>45965</v>
      </c>
      <c r="CT48" s="67">
        <f t="shared" si="111"/>
        <v>45966</v>
      </c>
      <c r="CU48" s="67">
        <f t="shared" si="111"/>
        <v>45967</v>
      </c>
      <c r="CV48" s="67">
        <f t="shared" si="111"/>
        <v>45968</v>
      </c>
      <c r="CW48" s="67">
        <f t="shared" si="111"/>
        <v>45969</v>
      </c>
      <c r="CX48" s="67">
        <f t="shared" si="111"/>
        <v>45970</v>
      </c>
      <c r="CY48" s="67">
        <f t="shared" si="111"/>
        <v>45971</v>
      </c>
      <c r="CZ48" s="67">
        <f t="shared" si="111"/>
        <v>45972</v>
      </c>
      <c r="DA48" s="67">
        <f t="shared" si="111"/>
        <v>45973</v>
      </c>
      <c r="DB48" s="67">
        <f t="shared" si="111"/>
        <v>45974</v>
      </c>
      <c r="DC48" s="67">
        <f t="shared" si="111"/>
        <v>45975</v>
      </c>
      <c r="DD48" s="67">
        <f t="shared" si="111"/>
        <v>45976</v>
      </c>
      <c r="DE48" s="67">
        <f t="shared" si="111"/>
        <v>45977</v>
      </c>
      <c r="DF48" s="67">
        <f t="shared" si="111"/>
        <v>45978</v>
      </c>
      <c r="DG48" s="67">
        <f t="shared" si="111"/>
        <v>45979</v>
      </c>
      <c r="DH48" s="67">
        <f t="shared" si="111"/>
        <v>45980</v>
      </c>
      <c r="DI48" s="67">
        <f t="shared" si="111"/>
        <v>45981</v>
      </c>
      <c r="DJ48" s="67">
        <f t="shared" si="111"/>
        <v>45982</v>
      </c>
      <c r="DK48" s="67">
        <f t="shared" si="111"/>
        <v>45983</v>
      </c>
      <c r="DL48" s="67">
        <f t="shared" si="111"/>
        <v>45984</v>
      </c>
      <c r="DM48" s="67">
        <f t="shared" si="111"/>
        <v>45985</v>
      </c>
      <c r="DN48" s="67">
        <f t="shared" si="111"/>
        <v>45986</v>
      </c>
      <c r="DO48" s="67">
        <f t="shared" si="111"/>
        <v>45987</v>
      </c>
      <c r="DP48" s="67">
        <f t="shared" si="111"/>
        <v>45988</v>
      </c>
      <c r="DQ48" s="67">
        <f t="shared" si="111"/>
        <v>45989</v>
      </c>
      <c r="DR48" s="67">
        <f t="shared" si="111"/>
        <v>45990</v>
      </c>
      <c r="DS48" s="67">
        <f t="shared" si="111"/>
        <v>45991</v>
      </c>
      <c r="DT48" s="67" t="str">
        <f t="shared" si="111"/>
        <v/>
      </c>
      <c r="DU48" s="112" t="s">
        <v>33</v>
      </c>
      <c r="DV48" s="113" t="s">
        <v>28</v>
      </c>
      <c r="DW48" s="114" t="s">
        <v>34</v>
      </c>
      <c r="DX48" s="112" t="s">
        <v>13</v>
      </c>
      <c r="DY48" s="113" t="s">
        <v>1</v>
      </c>
      <c r="DZ48" s="113" t="s">
        <v>35</v>
      </c>
      <c r="EA48" s="113" t="s">
        <v>36</v>
      </c>
      <c r="EB48" s="113" t="s">
        <v>37</v>
      </c>
      <c r="EC48" s="113" t="s">
        <v>0</v>
      </c>
      <c r="ED48" s="113" t="s">
        <v>38</v>
      </c>
      <c r="EE48" s="114" t="s">
        <v>11</v>
      </c>
      <c r="EF48" s="108" t="str">
        <f>elenchi!$C10</f>
        <v>MANTICE SANTO</v>
      </c>
      <c r="EG48" s="109"/>
      <c r="EH48" s="110"/>
      <c r="EI48" s="67">
        <f t="shared" ref="EI48:FM48" si="112">EI$2</f>
        <v>45992</v>
      </c>
      <c r="EJ48" s="67">
        <f t="shared" si="112"/>
        <v>45993</v>
      </c>
      <c r="EK48" s="67">
        <f t="shared" si="112"/>
        <v>45994</v>
      </c>
      <c r="EL48" s="67">
        <f t="shared" si="112"/>
        <v>45995</v>
      </c>
      <c r="EM48" s="67">
        <f t="shared" si="112"/>
        <v>45996</v>
      </c>
      <c r="EN48" s="67">
        <f t="shared" si="112"/>
        <v>45997</v>
      </c>
      <c r="EO48" s="67">
        <f t="shared" si="112"/>
        <v>45998</v>
      </c>
      <c r="EP48" s="67">
        <f t="shared" si="112"/>
        <v>45999</v>
      </c>
      <c r="EQ48" s="67">
        <f t="shared" si="112"/>
        <v>46000</v>
      </c>
      <c r="ER48" s="67">
        <f t="shared" si="112"/>
        <v>46001</v>
      </c>
      <c r="ES48" s="67">
        <f t="shared" si="112"/>
        <v>46002</v>
      </c>
      <c r="ET48" s="67">
        <f t="shared" si="112"/>
        <v>46003</v>
      </c>
      <c r="EU48" s="67">
        <f t="shared" si="112"/>
        <v>46004</v>
      </c>
      <c r="EV48" s="67">
        <f t="shared" si="112"/>
        <v>46005</v>
      </c>
      <c r="EW48" s="67">
        <f t="shared" si="112"/>
        <v>46006</v>
      </c>
      <c r="EX48" s="67">
        <f t="shared" si="112"/>
        <v>46007</v>
      </c>
      <c r="EY48" s="67">
        <f t="shared" si="112"/>
        <v>46008</v>
      </c>
      <c r="EZ48" s="67">
        <f t="shared" si="112"/>
        <v>46009</v>
      </c>
      <c r="FA48" s="67">
        <f t="shared" si="112"/>
        <v>46010</v>
      </c>
      <c r="FB48" s="67">
        <f t="shared" si="112"/>
        <v>46011</v>
      </c>
      <c r="FC48" s="67">
        <f t="shared" si="112"/>
        <v>46012</v>
      </c>
      <c r="FD48" s="67">
        <f t="shared" si="112"/>
        <v>46013</v>
      </c>
      <c r="FE48" s="67">
        <f t="shared" si="112"/>
        <v>46014</v>
      </c>
      <c r="FF48" s="67">
        <f t="shared" si="112"/>
        <v>46015</v>
      </c>
      <c r="FG48" s="67">
        <f t="shared" si="112"/>
        <v>46016</v>
      </c>
      <c r="FH48" s="67">
        <f t="shared" si="112"/>
        <v>46017</v>
      </c>
      <c r="FI48" s="67">
        <f t="shared" si="112"/>
        <v>46018</v>
      </c>
      <c r="FJ48" s="67">
        <f t="shared" si="112"/>
        <v>46019</v>
      </c>
      <c r="FK48" s="67">
        <f t="shared" si="112"/>
        <v>46020</v>
      </c>
      <c r="FL48" s="67">
        <f t="shared" si="112"/>
        <v>46021</v>
      </c>
      <c r="FM48" s="67">
        <f t="shared" si="112"/>
        <v>46022</v>
      </c>
      <c r="FN48" s="112" t="s">
        <v>33</v>
      </c>
      <c r="FO48" s="113" t="s">
        <v>28</v>
      </c>
      <c r="FP48" s="114" t="s">
        <v>34</v>
      </c>
      <c r="FQ48" s="112" t="s">
        <v>13</v>
      </c>
      <c r="FR48" s="113" t="s">
        <v>1</v>
      </c>
      <c r="FS48" s="113" t="s">
        <v>35</v>
      </c>
      <c r="FT48" s="113" t="s">
        <v>36</v>
      </c>
      <c r="FU48" s="113" t="s">
        <v>37</v>
      </c>
      <c r="FV48" s="113" t="s">
        <v>0</v>
      </c>
      <c r="FW48" s="113" t="s">
        <v>38</v>
      </c>
      <c r="FX48" s="114" t="s">
        <v>11</v>
      </c>
      <c r="FY48" s="108" t="str">
        <f>elenchi!$C10</f>
        <v>MANTICE SANTO</v>
      </c>
      <c r="FZ48" s="109"/>
      <c r="GA48" s="110"/>
      <c r="GB48" s="67">
        <f t="shared" ref="GB48:HF48" si="113">GB$2</f>
        <v>46023</v>
      </c>
      <c r="GC48" s="67">
        <f t="shared" si="113"/>
        <v>46024</v>
      </c>
      <c r="GD48" s="67">
        <f t="shared" si="113"/>
        <v>46025</v>
      </c>
      <c r="GE48" s="67">
        <f t="shared" si="113"/>
        <v>46026</v>
      </c>
      <c r="GF48" s="67">
        <f t="shared" si="113"/>
        <v>46027</v>
      </c>
      <c r="GG48" s="67">
        <f t="shared" si="113"/>
        <v>46028</v>
      </c>
      <c r="GH48" s="67">
        <f t="shared" si="113"/>
        <v>46029</v>
      </c>
      <c r="GI48" s="67">
        <f t="shared" si="113"/>
        <v>46030</v>
      </c>
      <c r="GJ48" s="67">
        <f t="shared" si="113"/>
        <v>46031</v>
      </c>
      <c r="GK48" s="67">
        <f t="shared" si="113"/>
        <v>46032</v>
      </c>
      <c r="GL48" s="67">
        <f t="shared" si="113"/>
        <v>46033</v>
      </c>
      <c r="GM48" s="67">
        <f t="shared" si="113"/>
        <v>46034</v>
      </c>
      <c r="GN48" s="67">
        <f t="shared" si="113"/>
        <v>46035</v>
      </c>
      <c r="GO48" s="67">
        <f t="shared" si="113"/>
        <v>46036</v>
      </c>
      <c r="GP48" s="67">
        <f t="shared" si="113"/>
        <v>46037</v>
      </c>
      <c r="GQ48" s="67">
        <f t="shared" si="113"/>
        <v>46038</v>
      </c>
      <c r="GR48" s="67">
        <f t="shared" si="113"/>
        <v>46039</v>
      </c>
      <c r="GS48" s="67">
        <f t="shared" si="113"/>
        <v>46040</v>
      </c>
      <c r="GT48" s="67">
        <f t="shared" si="113"/>
        <v>46041</v>
      </c>
      <c r="GU48" s="67">
        <f t="shared" si="113"/>
        <v>46042</v>
      </c>
      <c r="GV48" s="67">
        <f t="shared" si="113"/>
        <v>46043</v>
      </c>
      <c r="GW48" s="67">
        <f t="shared" si="113"/>
        <v>46044</v>
      </c>
      <c r="GX48" s="67">
        <f t="shared" si="113"/>
        <v>46045</v>
      </c>
      <c r="GY48" s="67">
        <f t="shared" si="113"/>
        <v>46046</v>
      </c>
      <c r="GZ48" s="67">
        <f t="shared" si="113"/>
        <v>46047</v>
      </c>
      <c r="HA48" s="67">
        <f t="shared" si="113"/>
        <v>46048</v>
      </c>
      <c r="HB48" s="67">
        <f t="shared" si="113"/>
        <v>46049</v>
      </c>
      <c r="HC48" s="67">
        <f t="shared" si="113"/>
        <v>46050</v>
      </c>
      <c r="HD48" s="67">
        <f t="shared" si="113"/>
        <v>46051</v>
      </c>
      <c r="HE48" s="67">
        <f t="shared" si="113"/>
        <v>46052</v>
      </c>
      <c r="HF48" s="67">
        <f t="shared" si="113"/>
        <v>46053</v>
      </c>
      <c r="HG48" s="112" t="s">
        <v>33</v>
      </c>
      <c r="HH48" s="113" t="s">
        <v>28</v>
      </c>
      <c r="HI48" s="114" t="s">
        <v>34</v>
      </c>
      <c r="HJ48" s="112" t="s">
        <v>13</v>
      </c>
      <c r="HK48" s="113" t="s">
        <v>1</v>
      </c>
      <c r="HL48" s="113" t="s">
        <v>35</v>
      </c>
      <c r="HM48" s="113" t="s">
        <v>36</v>
      </c>
      <c r="HN48" s="113" t="s">
        <v>37</v>
      </c>
      <c r="HO48" s="113" t="s">
        <v>0</v>
      </c>
      <c r="HP48" s="113" t="s">
        <v>38</v>
      </c>
      <c r="HQ48" s="114" t="s">
        <v>11</v>
      </c>
      <c r="HR48" s="108" t="str">
        <f>elenchi!$C10</f>
        <v>MANTICE SANTO</v>
      </c>
      <c r="HS48" s="109"/>
      <c r="HT48" s="110"/>
      <c r="HU48" s="67">
        <f t="shared" ref="HU48:IY48" si="114">HU$2</f>
        <v>46054</v>
      </c>
      <c r="HV48" s="67">
        <f t="shared" si="114"/>
        <v>46055</v>
      </c>
      <c r="HW48" s="67">
        <f t="shared" si="114"/>
        <v>46056</v>
      </c>
      <c r="HX48" s="67">
        <f t="shared" si="114"/>
        <v>46057</v>
      </c>
      <c r="HY48" s="67">
        <f t="shared" si="114"/>
        <v>46058</v>
      </c>
      <c r="HZ48" s="67">
        <f t="shared" si="114"/>
        <v>46059</v>
      </c>
      <c r="IA48" s="67">
        <f t="shared" si="114"/>
        <v>46060</v>
      </c>
      <c r="IB48" s="67">
        <f t="shared" si="114"/>
        <v>46061</v>
      </c>
      <c r="IC48" s="67">
        <f t="shared" si="114"/>
        <v>46062</v>
      </c>
      <c r="ID48" s="67">
        <f t="shared" si="114"/>
        <v>46063</v>
      </c>
      <c r="IE48" s="67">
        <f t="shared" si="114"/>
        <v>46064</v>
      </c>
      <c r="IF48" s="67">
        <f t="shared" si="114"/>
        <v>46065</v>
      </c>
      <c r="IG48" s="67">
        <f t="shared" si="114"/>
        <v>46066</v>
      </c>
      <c r="IH48" s="67">
        <f t="shared" si="114"/>
        <v>46067</v>
      </c>
      <c r="II48" s="67">
        <f t="shared" si="114"/>
        <v>46068</v>
      </c>
      <c r="IJ48" s="67">
        <f t="shared" si="114"/>
        <v>46069</v>
      </c>
      <c r="IK48" s="67">
        <f t="shared" si="114"/>
        <v>46070</v>
      </c>
      <c r="IL48" s="67">
        <f t="shared" si="114"/>
        <v>46071</v>
      </c>
      <c r="IM48" s="67">
        <f t="shared" si="114"/>
        <v>46072</v>
      </c>
      <c r="IN48" s="67">
        <f t="shared" si="114"/>
        <v>46073</v>
      </c>
      <c r="IO48" s="67">
        <f t="shared" si="114"/>
        <v>46074</v>
      </c>
      <c r="IP48" s="67">
        <f t="shared" si="114"/>
        <v>46075</v>
      </c>
      <c r="IQ48" s="67">
        <f t="shared" si="114"/>
        <v>46076</v>
      </c>
      <c r="IR48" s="67">
        <f t="shared" si="114"/>
        <v>46077</v>
      </c>
      <c r="IS48" s="67">
        <f t="shared" si="114"/>
        <v>46078</v>
      </c>
      <c r="IT48" s="67">
        <f t="shared" si="114"/>
        <v>46079</v>
      </c>
      <c r="IU48" s="67">
        <f t="shared" si="114"/>
        <v>46080</v>
      </c>
      <c r="IV48" s="67">
        <f t="shared" si="114"/>
        <v>46081</v>
      </c>
      <c r="IW48" s="67" t="str">
        <f t="shared" si="114"/>
        <v/>
      </c>
      <c r="IX48" s="67" t="str">
        <f t="shared" si="114"/>
        <v/>
      </c>
      <c r="IY48" s="67" t="str">
        <f t="shared" si="114"/>
        <v/>
      </c>
      <c r="IZ48" s="112" t="s">
        <v>33</v>
      </c>
      <c r="JA48" s="113" t="s">
        <v>28</v>
      </c>
      <c r="JB48" s="114" t="s">
        <v>34</v>
      </c>
      <c r="JC48" s="112" t="s">
        <v>13</v>
      </c>
      <c r="JD48" s="113" t="s">
        <v>1</v>
      </c>
      <c r="JE48" s="113" t="s">
        <v>35</v>
      </c>
      <c r="JF48" s="113" t="s">
        <v>36</v>
      </c>
      <c r="JG48" s="113" t="s">
        <v>37</v>
      </c>
      <c r="JH48" s="113" t="s">
        <v>0</v>
      </c>
      <c r="JI48" s="113" t="s">
        <v>38</v>
      </c>
      <c r="JJ48" s="114" t="s">
        <v>11</v>
      </c>
      <c r="JK48" s="108" t="str">
        <f>elenchi!$C10</f>
        <v>MANTICE SANTO</v>
      </c>
      <c r="JL48" s="109"/>
      <c r="JM48" s="110"/>
      <c r="JN48" s="67">
        <f t="shared" ref="JN48:KR48" si="115">JN$2</f>
        <v>46082</v>
      </c>
      <c r="JO48" s="67">
        <f t="shared" si="115"/>
        <v>46083</v>
      </c>
      <c r="JP48" s="67">
        <f t="shared" si="115"/>
        <v>46084</v>
      </c>
      <c r="JQ48" s="67">
        <f t="shared" si="115"/>
        <v>46085</v>
      </c>
      <c r="JR48" s="67">
        <f t="shared" si="115"/>
        <v>46086</v>
      </c>
      <c r="JS48" s="67">
        <f t="shared" si="115"/>
        <v>46087</v>
      </c>
      <c r="JT48" s="67">
        <f t="shared" si="115"/>
        <v>46088</v>
      </c>
      <c r="JU48" s="67">
        <f t="shared" si="115"/>
        <v>46089</v>
      </c>
      <c r="JV48" s="67">
        <f t="shared" si="115"/>
        <v>46090</v>
      </c>
      <c r="JW48" s="67">
        <f t="shared" si="115"/>
        <v>46091</v>
      </c>
      <c r="JX48" s="67">
        <f t="shared" si="115"/>
        <v>46092</v>
      </c>
      <c r="JY48" s="67">
        <f t="shared" si="115"/>
        <v>46093</v>
      </c>
      <c r="JZ48" s="67">
        <f t="shared" si="115"/>
        <v>46094</v>
      </c>
      <c r="KA48" s="67">
        <f t="shared" si="115"/>
        <v>46095</v>
      </c>
      <c r="KB48" s="67">
        <f t="shared" si="115"/>
        <v>46096</v>
      </c>
      <c r="KC48" s="67">
        <f t="shared" si="115"/>
        <v>46097</v>
      </c>
      <c r="KD48" s="67">
        <f t="shared" si="115"/>
        <v>46098</v>
      </c>
      <c r="KE48" s="67">
        <f t="shared" si="115"/>
        <v>46099</v>
      </c>
      <c r="KF48" s="67">
        <f t="shared" si="115"/>
        <v>46100</v>
      </c>
      <c r="KG48" s="67">
        <f t="shared" si="115"/>
        <v>46101</v>
      </c>
      <c r="KH48" s="67">
        <f t="shared" si="115"/>
        <v>46102</v>
      </c>
      <c r="KI48" s="67">
        <f t="shared" si="115"/>
        <v>46103</v>
      </c>
      <c r="KJ48" s="67">
        <f t="shared" si="115"/>
        <v>46104</v>
      </c>
      <c r="KK48" s="67">
        <f t="shared" si="115"/>
        <v>46105</v>
      </c>
      <c r="KL48" s="67">
        <f t="shared" si="115"/>
        <v>46106</v>
      </c>
      <c r="KM48" s="67">
        <f t="shared" si="115"/>
        <v>46107</v>
      </c>
      <c r="KN48" s="67">
        <f t="shared" si="115"/>
        <v>46108</v>
      </c>
      <c r="KO48" s="67">
        <f t="shared" si="115"/>
        <v>46109</v>
      </c>
      <c r="KP48" s="67">
        <f t="shared" si="115"/>
        <v>46110</v>
      </c>
      <c r="KQ48" s="67">
        <f t="shared" si="115"/>
        <v>46111</v>
      </c>
      <c r="KR48" s="67">
        <f t="shared" si="115"/>
        <v>46112</v>
      </c>
      <c r="KS48" s="112" t="s">
        <v>33</v>
      </c>
      <c r="KT48" s="113" t="s">
        <v>28</v>
      </c>
      <c r="KU48" s="114" t="s">
        <v>34</v>
      </c>
      <c r="KV48" s="112" t="s">
        <v>13</v>
      </c>
      <c r="KW48" s="113" t="s">
        <v>1</v>
      </c>
      <c r="KX48" s="113" t="s">
        <v>35</v>
      </c>
      <c r="KY48" s="113" t="s">
        <v>36</v>
      </c>
      <c r="KZ48" s="113" t="s">
        <v>37</v>
      </c>
      <c r="LA48" s="113" t="s">
        <v>0</v>
      </c>
      <c r="LB48" s="113" t="s">
        <v>38</v>
      </c>
      <c r="LC48" s="114" t="s">
        <v>11</v>
      </c>
      <c r="LD48" s="108" t="str">
        <f>elenchi!$C10</f>
        <v>MANTICE SANTO</v>
      </c>
      <c r="LE48" s="109"/>
      <c r="LF48" s="110"/>
      <c r="LG48" s="67">
        <f t="shared" ref="LG48:MK48" si="116">LG$2</f>
        <v>46113</v>
      </c>
      <c r="LH48" s="67">
        <f t="shared" si="116"/>
        <v>46114</v>
      </c>
      <c r="LI48" s="67">
        <f t="shared" si="116"/>
        <v>46115</v>
      </c>
      <c r="LJ48" s="67">
        <f t="shared" si="116"/>
        <v>46116</v>
      </c>
      <c r="LK48" s="67">
        <f t="shared" si="116"/>
        <v>46117</v>
      </c>
      <c r="LL48" s="67">
        <f t="shared" si="116"/>
        <v>46118</v>
      </c>
      <c r="LM48" s="67">
        <f t="shared" si="116"/>
        <v>46119</v>
      </c>
      <c r="LN48" s="67">
        <f t="shared" si="116"/>
        <v>46120</v>
      </c>
      <c r="LO48" s="67">
        <f t="shared" si="116"/>
        <v>46121</v>
      </c>
      <c r="LP48" s="67">
        <f t="shared" si="116"/>
        <v>46122</v>
      </c>
      <c r="LQ48" s="67">
        <f t="shared" si="116"/>
        <v>46123</v>
      </c>
      <c r="LR48" s="67">
        <f t="shared" si="116"/>
        <v>46124</v>
      </c>
      <c r="LS48" s="67">
        <f t="shared" si="116"/>
        <v>46125</v>
      </c>
      <c r="LT48" s="67">
        <f t="shared" si="116"/>
        <v>46126</v>
      </c>
      <c r="LU48" s="67">
        <f t="shared" si="116"/>
        <v>46127</v>
      </c>
      <c r="LV48" s="67">
        <f t="shared" si="116"/>
        <v>46128</v>
      </c>
      <c r="LW48" s="67">
        <f t="shared" si="116"/>
        <v>46129</v>
      </c>
      <c r="LX48" s="67">
        <f t="shared" si="116"/>
        <v>46130</v>
      </c>
      <c r="LY48" s="67">
        <f t="shared" si="116"/>
        <v>46131</v>
      </c>
      <c r="LZ48" s="67">
        <f t="shared" si="116"/>
        <v>46132</v>
      </c>
      <c r="MA48" s="67">
        <f t="shared" si="116"/>
        <v>46133</v>
      </c>
      <c r="MB48" s="67">
        <f t="shared" si="116"/>
        <v>46134</v>
      </c>
      <c r="MC48" s="67">
        <f t="shared" si="116"/>
        <v>46135</v>
      </c>
      <c r="MD48" s="67">
        <f t="shared" si="116"/>
        <v>46136</v>
      </c>
      <c r="ME48" s="67">
        <f t="shared" si="116"/>
        <v>46137</v>
      </c>
      <c r="MF48" s="67">
        <f t="shared" si="116"/>
        <v>46138</v>
      </c>
      <c r="MG48" s="67">
        <f t="shared" si="116"/>
        <v>46139</v>
      </c>
      <c r="MH48" s="67">
        <f t="shared" si="116"/>
        <v>46140</v>
      </c>
      <c r="MI48" s="67">
        <f t="shared" si="116"/>
        <v>46141</v>
      </c>
      <c r="MJ48" s="67">
        <f t="shared" si="116"/>
        <v>46142</v>
      </c>
      <c r="MK48" s="67" t="str">
        <f t="shared" si="116"/>
        <v/>
      </c>
      <c r="ML48" s="112" t="s">
        <v>33</v>
      </c>
      <c r="MM48" s="113" t="s">
        <v>28</v>
      </c>
      <c r="MN48" s="114" t="s">
        <v>34</v>
      </c>
      <c r="MO48" s="112" t="s">
        <v>13</v>
      </c>
      <c r="MP48" s="113" t="s">
        <v>1</v>
      </c>
      <c r="MQ48" s="113" t="s">
        <v>35</v>
      </c>
      <c r="MR48" s="113" t="s">
        <v>36</v>
      </c>
      <c r="MS48" s="113" t="s">
        <v>37</v>
      </c>
      <c r="MT48" s="113" t="s">
        <v>0</v>
      </c>
      <c r="MU48" s="113" t="s">
        <v>38</v>
      </c>
      <c r="MV48" s="115" t="s">
        <v>11</v>
      </c>
      <c r="MW48" s="108" t="str">
        <f>elenchi!$C10</f>
        <v>MANTICE SANTO</v>
      </c>
      <c r="MX48" s="109"/>
      <c r="MY48" s="110"/>
      <c r="MZ48" s="67">
        <f t="shared" ref="MZ48:OD48" si="117">MZ$2</f>
        <v>46143</v>
      </c>
      <c r="NA48" s="67">
        <f t="shared" si="117"/>
        <v>46144</v>
      </c>
      <c r="NB48" s="67">
        <f t="shared" si="117"/>
        <v>46145</v>
      </c>
      <c r="NC48" s="67">
        <f t="shared" si="117"/>
        <v>46146</v>
      </c>
      <c r="ND48" s="67">
        <f t="shared" si="117"/>
        <v>46147</v>
      </c>
      <c r="NE48" s="67">
        <f t="shared" si="117"/>
        <v>46148</v>
      </c>
      <c r="NF48" s="67">
        <f t="shared" si="117"/>
        <v>46149</v>
      </c>
      <c r="NG48" s="67">
        <f t="shared" si="117"/>
        <v>46150</v>
      </c>
      <c r="NH48" s="67">
        <f t="shared" si="117"/>
        <v>46151</v>
      </c>
      <c r="NI48" s="67">
        <f t="shared" si="117"/>
        <v>46152</v>
      </c>
      <c r="NJ48" s="67">
        <f t="shared" si="117"/>
        <v>46153</v>
      </c>
      <c r="NK48" s="67">
        <f t="shared" si="117"/>
        <v>46154</v>
      </c>
      <c r="NL48" s="67">
        <f t="shared" si="117"/>
        <v>46155</v>
      </c>
      <c r="NM48" s="67">
        <f t="shared" si="117"/>
        <v>46156</v>
      </c>
      <c r="NN48" s="67">
        <f t="shared" si="117"/>
        <v>46157</v>
      </c>
      <c r="NO48" s="67">
        <f t="shared" si="117"/>
        <v>46158</v>
      </c>
      <c r="NP48" s="67">
        <f t="shared" si="117"/>
        <v>46159</v>
      </c>
      <c r="NQ48" s="67">
        <f t="shared" si="117"/>
        <v>46160</v>
      </c>
      <c r="NR48" s="67">
        <f t="shared" si="117"/>
        <v>46161</v>
      </c>
      <c r="NS48" s="67">
        <f t="shared" si="117"/>
        <v>46162</v>
      </c>
      <c r="NT48" s="67">
        <f t="shared" si="117"/>
        <v>46163</v>
      </c>
      <c r="NU48" s="67">
        <f t="shared" si="117"/>
        <v>46164</v>
      </c>
      <c r="NV48" s="67">
        <f t="shared" si="117"/>
        <v>46165</v>
      </c>
      <c r="NW48" s="67">
        <f t="shared" si="117"/>
        <v>46166</v>
      </c>
      <c r="NX48" s="67">
        <f t="shared" si="117"/>
        <v>46167</v>
      </c>
      <c r="NY48" s="67">
        <f t="shared" si="117"/>
        <v>46168</v>
      </c>
      <c r="NZ48" s="67">
        <f t="shared" si="117"/>
        <v>46169</v>
      </c>
      <c r="OA48" s="67">
        <f t="shared" si="117"/>
        <v>46170</v>
      </c>
      <c r="OB48" s="67">
        <f t="shared" si="117"/>
        <v>46171</v>
      </c>
      <c r="OC48" s="67">
        <f t="shared" si="117"/>
        <v>46172</v>
      </c>
      <c r="OD48" s="67">
        <f t="shared" si="117"/>
        <v>46173</v>
      </c>
      <c r="OE48" s="112" t="s">
        <v>33</v>
      </c>
      <c r="OF48" s="113" t="s">
        <v>28</v>
      </c>
      <c r="OG48" s="114" t="s">
        <v>34</v>
      </c>
      <c r="OH48" s="112" t="s">
        <v>13</v>
      </c>
      <c r="OI48" s="113" t="s">
        <v>1</v>
      </c>
      <c r="OJ48" s="113" t="s">
        <v>35</v>
      </c>
      <c r="OK48" s="113" t="s">
        <v>36</v>
      </c>
      <c r="OL48" s="113" t="s">
        <v>37</v>
      </c>
      <c r="OM48" s="113" t="s">
        <v>0</v>
      </c>
      <c r="ON48" s="113" t="s">
        <v>38</v>
      </c>
      <c r="OO48" s="115" t="s">
        <v>11</v>
      </c>
      <c r="OP48" s="108" t="str">
        <f>elenchi!$C10</f>
        <v>MANTICE SANTO</v>
      </c>
      <c r="OQ48" s="109"/>
      <c r="OR48" s="110"/>
      <c r="OS48" s="67">
        <f t="shared" ref="OS48:PW48" si="118">OS$2</f>
        <v>46174</v>
      </c>
      <c r="OT48" s="67">
        <f t="shared" si="118"/>
        <v>46175</v>
      </c>
      <c r="OU48" s="67">
        <f t="shared" si="118"/>
        <v>46176</v>
      </c>
      <c r="OV48" s="67">
        <f t="shared" si="118"/>
        <v>46177</v>
      </c>
      <c r="OW48" s="67">
        <f t="shared" si="118"/>
        <v>46178</v>
      </c>
      <c r="OX48" s="67">
        <f t="shared" si="118"/>
        <v>46179</v>
      </c>
      <c r="OY48" s="67">
        <f t="shared" si="118"/>
        <v>46180</v>
      </c>
      <c r="OZ48" s="67">
        <f t="shared" si="118"/>
        <v>46181</v>
      </c>
      <c r="PA48" s="67">
        <f t="shared" si="118"/>
        <v>46182</v>
      </c>
      <c r="PB48" s="67">
        <f t="shared" si="118"/>
        <v>46183</v>
      </c>
      <c r="PC48" s="67">
        <f t="shared" si="118"/>
        <v>46184</v>
      </c>
      <c r="PD48" s="67">
        <f t="shared" si="118"/>
        <v>46185</v>
      </c>
      <c r="PE48" s="67">
        <f t="shared" si="118"/>
        <v>46186</v>
      </c>
      <c r="PF48" s="67">
        <f t="shared" si="118"/>
        <v>46187</v>
      </c>
      <c r="PG48" s="67">
        <f t="shared" si="118"/>
        <v>46188</v>
      </c>
      <c r="PH48" s="67">
        <f t="shared" si="118"/>
        <v>46189</v>
      </c>
      <c r="PI48" s="67">
        <f t="shared" si="118"/>
        <v>46190</v>
      </c>
      <c r="PJ48" s="67">
        <f t="shared" si="118"/>
        <v>46191</v>
      </c>
      <c r="PK48" s="67">
        <f t="shared" si="118"/>
        <v>46192</v>
      </c>
      <c r="PL48" s="67">
        <f t="shared" si="118"/>
        <v>46193</v>
      </c>
      <c r="PM48" s="67">
        <f t="shared" si="118"/>
        <v>46194</v>
      </c>
      <c r="PN48" s="67">
        <f t="shared" si="118"/>
        <v>46195</v>
      </c>
      <c r="PO48" s="67">
        <f t="shared" si="118"/>
        <v>46196</v>
      </c>
      <c r="PP48" s="67">
        <f t="shared" si="118"/>
        <v>46197</v>
      </c>
      <c r="PQ48" s="67">
        <f t="shared" si="118"/>
        <v>46198</v>
      </c>
      <c r="PR48" s="67">
        <f t="shared" si="118"/>
        <v>46199</v>
      </c>
      <c r="PS48" s="67">
        <f t="shared" si="118"/>
        <v>46200</v>
      </c>
      <c r="PT48" s="67">
        <f t="shared" si="118"/>
        <v>46201</v>
      </c>
      <c r="PU48" s="67">
        <f t="shared" si="118"/>
        <v>46202</v>
      </c>
      <c r="PV48" s="67">
        <f t="shared" si="118"/>
        <v>46203</v>
      </c>
      <c r="PW48" s="67" t="str">
        <f t="shared" si="118"/>
        <v/>
      </c>
      <c r="PX48" s="112" t="s">
        <v>33</v>
      </c>
      <c r="PY48" s="113" t="s">
        <v>28</v>
      </c>
      <c r="PZ48" s="114" t="s">
        <v>34</v>
      </c>
      <c r="QA48" s="112" t="s">
        <v>13</v>
      </c>
      <c r="QB48" s="113" t="s">
        <v>1</v>
      </c>
      <c r="QC48" s="113" t="s">
        <v>35</v>
      </c>
      <c r="QD48" s="113" t="s">
        <v>36</v>
      </c>
      <c r="QE48" s="113" t="s">
        <v>37</v>
      </c>
      <c r="QF48" s="113" t="s">
        <v>0</v>
      </c>
      <c r="QG48" s="113" t="s">
        <v>38</v>
      </c>
      <c r="QH48" s="115" t="s">
        <v>11</v>
      </c>
      <c r="QI48" s="108" t="str">
        <f>elenchi!$C10</f>
        <v>MANTICE SANTO</v>
      </c>
      <c r="QJ48" s="109"/>
      <c r="QK48" s="110"/>
      <c r="QL48" s="67">
        <f t="shared" ref="QL48:RP48" si="119">QL$2</f>
        <v>46204</v>
      </c>
      <c r="QM48" s="67">
        <f t="shared" si="119"/>
        <v>46205</v>
      </c>
      <c r="QN48" s="67">
        <f t="shared" si="119"/>
        <v>46206</v>
      </c>
      <c r="QO48" s="67">
        <f t="shared" si="119"/>
        <v>46207</v>
      </c>
      <c r="QP48" s="67">
        <f t="shared" si="119"/>
        <v>46208</v>
      </c>
      <c r="QQ48" s="67">
        <f t="shared" si="119"/>
        <v>46209</v>
      </c>
      <c r="QR48" s="67">
        <f t="shared" si="119"/>
        <v>46210</v>
      </c>
      <c r="QS48" s="67">
        <f t="shared" si="119"/>
        <v>46211</v>
      </c>
      <c r="QT48" s="67">
        <f t="shared" si="119"/>
        <v>46212</v>
      </c>
      <c r="QU48" s="67">
        <f t="shared" si="119"/>
        <v>46213</v>
      </c>
      <c r="QV48" s="67">
        <f t="shared" si="119"/>
        <v>46214</v>
      </c>
      <c r="QW48" s="67">
        <f t="shared" si="119"/>
        <v>46215</v>
      </c>
      <c r="QX48" s="67">
        <f t="shared" si="119"/>
        <v>46216</v>
      </c>
      <c r="QY48" s="67">
        <f t="shared" si="119"/>
        <v>46217</v>
      </c>
      <c r="QZ48" s="67">
        <f t="shared" si="119"/>
        <v>46218</v>
      </c>
      <c r="RA48" s="67">
        <f t="shared" si="119"/>
        <v>46219</v>
      </c>
      <c r="RB48" s="67">
        <f t="shared" si="119"/>
        <v>46220</v>
      </c>
      <c r="RC48" s="67">
        <f t="shared" si="119"/>
        <v>46221</v>
      </c>
      <c r="RD48" s="67">
        <f t="shared" si="119"/>
        <v>46222</v>
      </c>
      <c r="RE48" s="67">
        <f t="shared" si="119"/>
        <v>46223</v>
      </c>
      <c r="RF48" s="67">
        <f t="shared" si="119"/>
        <v>46224</v>
      </c>
      <c r="RG48" s="67">
        <f t="shared" si="119"/>
        <v>46225</v>
      </c>
      <c r="RH48" s="67">
        <f t="shared" si="119"/>
        <v>46226</v>
      </c>
      <c r="RI48" s="67">
        <f t="shared" si="119"/>
        <v>46227</v>
      </c>
      <c r="RJ48" s="67">
        <f t="shared" si="119"/>
        <v>46228</v>
      </c>
      <c r="RK48" s="67">
        <f t="shared" si="119"/>
        <v>46229</v>
      </c>
      <c r="RL48" s="67">
        <f t="shared" si="119"/>
        <v>46230</v>
      </c>
      <c r="RM48" s="67">
        <f t="shared" si="119"/>
        <v>46231</v>
      </c>
      <c r="RN48" s="67">
        <f t="shared" si="119"/>
        <v>46232</v>
      </c>
      <c r="RO48" s="67">
        <f t="shared" si="119"/>
        <v>46233</v>
      </c>
      <c r="RP48" s="67">
        <f t="shared" si="119"/>
        <v>46234</v>
      </c>
      <c r="RQ48" s="112" t="s">
        <v>33</v>
      </c>
      <c r="RR48" s="113" t="s">
        <v>28</v>
      </c>
      <c r="RS48" s="114" t="s">
        <v>34</v>
      </c>
      <c r="RT48" s="112" t="s">
        <v>13</v>
      </c>
      <c r="RU48" s="113" t="s">
        <v>1</v>
      </c>
      <c r="RV48" s="113" t="s">
        <v>35</v>
      </c>
      <c r="RW48" s="113" t="s">
        <v>36</v>
      </c>
      <c r="RX48" s="113" t="s">
        <v>37</v>
      </c>
      <c r="RY48" s="113" t="s">
        <v>0</v>
      </c>
      <c r="RZ48" s="113" t="s">
        <v>38</v>
      </c>
      <c r="SA48" s="115" t="s">
        <v>11</v>
      </c>
      <c r="SB48" s="108" t="str">
        <f>elenchi!$C10</f>
        <v>MANTICE SANTO</v>
      </c>
      <c r="SC48" s="109"/>
      <c r="SD48" s="110"/>
      <c r="SE48" s="67">
        <f t="shared" ref="SE48:TI48" si="120">SE$2</f>
        <v>46235</v>
      </c>
      <c r="SF48" s="67">
        <f t="shared" si="120"/>
        <v>46236</v>
      </c>
      <c r="SG48" s="67">
        <f t="shared" si="120"/>
        <v>46237</v>
      </c>
      <c r="SH48" s="67">
        <f t="shared" si="120"/>
        <v>46238</v>
      </c>
      <c r="SI48" s="67">
        <f t="shared" si="120"/>
        <v>46239</v>
      </c>
      <c r="SJ48" s="67">
        <f t="shared" si="120"/>
        <v>46240</v>
      </c>
      <c r="SK48" s="67">
        <f t="shared" si="120"/>
        <v>46241</v>
      </c>
      <c r="SL48" s="67">
        <f t="shared" si="120"/>
        <v>46242</v>
      </c>
      <c r="SM48" s="67">
        <f t="shared" si="120"/>
        <v>46243</v>
      </c>
      <c r="SN48" s="67">
        <f t="shared" si="120"/>
        <v>46244</v>
      </c>
      <c r="SO48" s="67">
        <f t="shared" si="120"/>
        <v>46245</v>
      </c>
      <c r="SP48" s="67">
        <f t="shared" si="120"/>
        <v>46246</v>
      </c>
      <c r="SQ48" s="67">
        <f t="shared" si="120"/>
        <v>46247</v>
      </c>
      <c r="SR48" s="67">
        <f t="shared" si="120"/>
        <v>46248</v>
      </c>
      <c r="SS48" s="67">
        <f t="shared" si="120"/>
        <v>46249</v>
      </c>
      <c r="ST48" s="67">
        <f t="shared" si="120"/>
        <v>46250</v>
      </c>
      <c r="SU48" s="67">
        <f t="shared" si="120"/>
        <v>46251</v>
      </c>
      <c r="SV48" s="67">
        <f t="shared" si="120"/>
        <v>46252</v>
      </c>
      <c r="SW48" s="67">
        <f t="shared" si="120"/>
        <v>46253</v>
      </c>
      <c r="SX48" s="67">
        <f t="shared" si="120"/>
        <v>46254</v>
      </c>
      <c r="SY48" s="67">
        <f t="shared" si="120"/>
        <v>46255</v>
      </c>
      <c r="SZ48" s="67">
        <f t="shared" si="120"/>
        <v>46256</v>
      </c>
      <c r="TA48" s="67">
        <f t="shared" si="120"/>
        <v>46257</v>
      </c>
      <c r="TB48" s="67">
        <f t="shared" si="120"/>
        <v>46258</v>
      </c>
      <c r="TC48" s="67">
        <f t="shared" si="120"/>
        <v>46259</v>
      </c>
      <c r="TD48" s="67">
        <f t="shared" si="120"/>
        <v>46260</v>
      </c>
      <c r="TE48" s="67">
        <f t="shared" si="120"/>
        <v>46261</v>
      </c>
      <c r="TF48" s="67">
        <f t="shared" si="120"/>
        <v>46262</v>
      </c>
      <c r="TG48" s="67">
        <f t="shared" si="120"/>
        <v>46263</v>
      </c>
      <c r="TH48" s="67">
        <f t="shared" si="120"/>
        <v>46264</v>
      </c>
      <c r="TI48" s="67">
        <f t="shared" si="120"/>
        <v>46265</v>
      </c>
      <c r="TJ48" s="112" t="s">
        <v>33</v>
      </c>
      <c r="TK48" s="113" t="s">
        <v>28</v>
      </c>
      <c r="TL48" s="114" t="s">
        <v>34</v>
      </c>
      <c r="TM48" s="112" t="s">
        <v>13</v>
      </c>
      <c r="TN48" s="113" t="s">
        <v>1</v>
      </c>
      <c r="TO48" s="113" t="s">
        <v>35</v>
      </c>
      <c r="TP48" s="113" t="s">
        <v>36</v>
      </c>
      <c r="TQ48" s="113" t="s">
        <v>37</v>
      </c>
      <c r="TR48" s="113" t="s">
        <v>0</v>
      </c>
      <c r="TS48" s="113" t="s">
        <v>38</v>
      </c>
      <c r="TT48" s="114" t="s">
        <v>11</v>
      </c>
    </row>
    <row r="49" ht="24.75" customHeight="1">
      <c r="A49" s="117"/>
      <c r="B49" s="65"/>
      <c r="C49" s="66"/>
      <c r="D49" s="74">
        <f>Settembre25!$K$2</f>
        <v>8</v>
      </c>
      <c r="E49" s="75">
        <f>Settembre25!$K$3</f>
        <v>8</v>
      </c>
      <c r="F49" s="75">
        <f>Settembre25!$K$4</f>
        <v>8</v>
      </c>
      <c r="G49" s="75">
        <f>Settembre25!$K$5</f>
        <v>8</v>
      </c>
      <c r="H49" s="76">
        <f>Settembre25!$K$6</f>
        <v>8</v>
      </c>
      <c r="I49" s="76" t="str">
        <f>Settembre25!$K$7</f>
        <v/>
      </c>
      <c r="J49" s="75" t="str">
        <f>Settembre25!$K$8</f>
        <v/>
      </c>
      <c r="K49" s="75">
        <f>Settembre25!$K$9</f>
        <v>9</v>
      </c>
      <c r="L49" s="75">
        <f>Settembre25!$K$10</f>
        <v>9</v>
      </c>
      <c r="M49" s="75">
        <f>Settembre25!$K$11</f>
        <v>9</v>
      </c>
      <c r="N49" s="75">
        <f>Settembre25!$K$12</f>
        <v>9</v>
      </c>
      <c r="O49" s="76">
        <f>Settembre25!$K$13</f>
        <v>9</v>
      </c>
      <c r="P49" s="75" t="str">
        <f>Settembre25!$K$14</f>
        <v/>
      </c>
      <c r="Q49" s="75" t="str">
        <f>Settembre25!$K$15</f>
        <v/>
      </c>
      <c r="R49" s="75">
        <f>Settembre25!$K$16</f>
        <v>8</v>
      </c>
      <c r="S49" s="75">
        <f>Settembre25!$K$17</f>
        <v>8</v>
      </c>
      <c r="T49" s="75">
        <f>Settembre25!$K$18</f>
        <v>8</v>
      </c>
      <c r="U49" s="75">
        <f>Settembre25!$K$19</f>
        <v>8</v>
      </c>
      <c r="V49" s="76">
        <f>Settembre25!$K$20</f>
        <v>8</v>
      </c>
      <c r="W49" s="76" t="str">
        <f>Settembre25!$K$21</f>
        <v/>
      </c>
      <c r="X49" s="75" t="str">
        <f>Settembre25!$K$22</f>
        <v/>
      </c>
      <c r="Y49" s="75">
        <f>Settembre25!$K$23</f>
        <v>8</v>
      </c>
      <c r="Z49" s="75">
        <f>Settembre25!$K$24</f>
        <v>8</v>
      </c>
      <c r="AA49" s="75">
        <f>Settembre25!$K$25</f>
        <v>8</v>
      </c>
      <c r="AB49" s="75">
        <f>Settembre25!$K$26</f>
        <v>8</v>
      </c>
      <c r="AC49" s="76">
        <f>Settembre25!$K$27</f>
        <v>8</v>
      </c>
      <c r="AD49" s="76" t="str">
        <f>Settembre25!$K$28</f>
        <v/>
      </c>
      <c r="AE49" s="75" t="str">
        <f>Settembre25!$K$29</f>
        <v/>
      </c>
      <c r="AF49" s="75">
        <f>Settembre25!$K$30</f>
        <v>8</v>
      </c>
      <c r="AG49" s="75">
        <f>Settembre25!$K$31</f>
        <v>8</v>
      </c>
      <c r="AH49" s="77" t="str">
        <f>Settembre25!$K$32</f>
        <v/>
      </c>
      <c r="AI49" s="78"/>
      <c r="AJ49" s="79">
        <f>SUM(D49:AH49)</f>
        <v>181</v>
      </c>
      <c r="AK49" s="80"/>
      <c r="AL49" s="78"/>
      <c r="AM49" s="81"/>
      <c r="AN49" s="81"/>
      <c r="AO49" s="81"/>
      <c r="AP49" s="81"/>
      <c r="AQ49" s="81"/>
      <c r="AR49" s="81"/>
      <c r="AS49" s="82"/>
      <c r="AT49" s="117"/>
      <c r="AU49" s="65"/>
      <c r="AV49" s="66"/>
      <c r="AW49" s="83">
        <f>Ottobre25!$K$2</f>
        <v>8</v>
      </c>
      <c r="AX49" s="84">
        <f>Ottobre25!$K$3</f>
        <v>8</v>
      </c>
      <c r="AY49" s="84">
        <f>Ottobre25!$K$4</f>
        <v>8</v>
      </c>
      <c r="AZ49" s="84" t="str">
        <f>Ottobre25!$K$5</f>
        <v/>
      </c>
      <c r="BA49" s="84" t="str">
        <f>Ottobre25!$K$6</f>
        <v/>
      </c>
      <c r="BB49" s="85">
        <f>Ottobre25!$K$7</f>
        <v>8</v>
      </c>
      <c r="BC49" s="84">
        <f>Ottobre25!$K$8</f>
        <v>8</v>
      </c>
      <c r="BD49" s="84">
        <f>Ottobre25!$K$9</f>
        <v>8</v>
      </c>
      <c r="BE49" s="84">
        <f>Ottobre25!$K$10</f>
        <v>8</v>
      </c>
      <c r="BF49" s="84">
        <f>Ottobre25!$K$11</f>
        <v>8</v>
      </c>
      <c r="BG49" s="84" t="str">
        <f>Ottobre25!$K$12</f>
        <v/>
      </c>
      <c r="BH49" s="84" t="str">
        <f>Ottobre25!$K$13</f>
        <v/>
      </c>
      <c r="BI49" s="85">
        <f>Ottobre25!$K$14</f>
        <v>8</v>
      </c>
      <c r="BJ49" s="84">
        <f>Ottobre25!$K$15</f>
        <v>8</v>
      </c>
      <c r="BK49" s="84">
        <f>Ottobre25!$K$16</f>
        <v>8</v>
      </c>
      <c r="BL49" s="84">
        <f>Ottobre25!$K$17</f>
        <v>8</v>
      </c>
      <c r="BM49" s="84">
        <f>Ottobre25!$K$18</f>
        <v>8</v>
      </c>
      <c r="BN49" s="84" t="str">
        <f>Ottobre25!$K$19</f>
        <v/>
      </c>
      <c r="BO49" s="85" t="str">
        <f>Ottobre25!$K$20</f>
        <v/>
      </c>
      <c r="BP49" s="84">
        <f>Ottobre25!$K$21</f>
        <v>8</v>
      </c>
      <c r="BQ49" s="84">
        <f>Ottobre25!$K$22</f>
        <v>8</v>
      </c>
      <c r="BR49" s="84">
        <f>Ottobre25!$K$23</f>
        <v>8</v>
      </c>
      <c r="BS49" s="84">
        <f>Ottobre25!$K$24</f>
        <v>8</v>
      </c>
      <c r="BT49" s="84">
        <f>Ottobre25!$K$25</f>
        <v>8</v>
      </c>
      <c r="BU49" s="84" t="str">
        <f>Ottobre25!$K$26</f>
        <v/>
      </c>
      <c r="BV49" s="84" t="str">
        <f>Ottobre25!$K$27</f>
        <v/>
      </c>
      <c r="BW49" s="85">
        <f>Ottobre25!$K$28</f>
        <v>8</v>
      </c>
      <c r="BX49" s="84">
        <f>Ottobre25!$K$29</f>
        <v>8</v>
      </c>
      <c r="BY49" s="84">
        <f>Ottobre25!$K$30</f>
        <v>8</v>
      </c>
      <c r="BZ49" s="84">
        <f>Ottobre25!$K$31</f>
        <v>8</v>
      </c>
      <c r="CA49" s="86">
        <f>Ottobre25!$K$32</f>
        <v>8</v>
      </c>
      <c r="CB49" s="78"/>
      <c r="CC49" s="79">
        <f>SUM(AW49:CA49)</f>
        <v>184</v>
      </c>
      <c r="CD49" s="80"/>
      <c r="CE49" s="78"/>
      <c r="CF49" s="81"/>
      <c r="CG49" s="81"/>
      <c r="CH49" s="81"/>
      <c r="CI49" s="81"/>
      <c r="CJ49" s="81"/>
      <c r="CK49" s="81"/>
      <c r="CL49" s="82"/>
      <c r="CM49" s="117"/>
      <c r="CN49" s="65"/>
      <c r="CO49" s="66"/>
      <c r="CP49" s="83" t="str">
        <f>Novembre25!$K$2</f>
        <v/>
      </c>
      <c r="CQ49" s="84" t="str">
        <f>Novembre25!$K$3</f>
        <v/>
      </c>
      <c r="CR49" s="84">
        <f>Novembre25!$K$4</f>
        <v>8</v>
      </c>
      <c r="CS49" s="84">
        <f>Novembre25!$K$5</f>
        <v>8</v>
      </c>
      <c r="CT49" s="84">
        <f>Novembre25!$K$6</f>
        <v>8</v>
      </c>
      <c r="CU49" s="85">
        <f>Novembre25!$K$7</f>
        <v>8</v>
      </c>
      <c r="CV49" s="84">
        <f>Novembre25!$K$8</f>
        <v>8</v>
      </c>
      <c r="CW49" s="84" t="str">
        <f>Novembre25!$K$9</f>
        <v/>
      </c>
      <c r="CX49" s="84" t="str">
        <f>Novembre25!$K$10</f>
        <v/>
      </c>
      <c r="CY49" s="84">
        <f>Novembre25!$K$11</f>
        <v>8</v>
      </c>
      <c r="CZ49" s="84">
        <f>Novembre25!$K$12</f>
        <v>8</v>
      </c>
      <c r="DA49" s="84">
        <f>Novembre25!$K$13</f>
        <v>8</v>
      </c>
      <c r="DB49" s="85">
        <f>Novembre25!$K$14</f>
        <v>8</v>
      </c>
      <c r="DC49" s="84">
        <f>Novembre25!$K$15</f>
        <v>8</v>
      </c>
      <c r="DD49" s="84" t="str">
        <f>Novembre25!$K$16</f>
        <v/>
      </c>
      <c r="DE49" s="84" t="str">
        <f>Novembre25!$K$17</f>
        <v/>
      </c>
      <c r="DF49" s="84">
        <f>Novembre25!$K$18</f>
        <v>8</v>
      </c>
      <c r="DG49" s="84">
        <f>Novembre25!$K$19</f>
        <v>8</v>
      </c>
      <c r="DH49" s="85">
        <f>Novembre25!$K$20</f>
        <v>8</v>
      </c>
      <c r="DI49" s="84">
        <f>Novembre25!$K$21</f>
        <v>8</v>
      </c>
      <c r="DJ49" s="84">
        <f>Novembre25!$K$22</f>
        <v>8</v>
      </c>
      <c r="DK49" s="84" t="str">
        <f>Novembre25!$K$23</f>
        <v/>
      </c>
      <c r="DL49" s="84" t="str">
        <f>Novembre25!$K$24</f>
        <v/>
      </c>
      <c r="DM49" s="84">
        <f>Novembre25!$K$25</f>
        <v>8</v>
      </c>
      <c r="DN49" s="84">
        <f>Novembre25!$K$26</f>
        <v>8</v>
      </c>
      <c r="DO49" s="84">
        <f>Novembre25!$K$27</f>
        <v>8</v>
      </c>
      <c r="DP49" s="85">
        <f>Novembre25!$K$28</f>
        <v>8</v>
      </c>
      <c r="DQ49" s="84">
        <f>Novembre25!$K$29</f>
        <v>8</v>
      </c>
      <c r="DR49" s="84" t="str">
        <f>Novembre25!$K$30</f>
        <v/>
      </c>
      <c r="DS49" s="84" t="str">
        <f>Novembre25!$K$31</f>
        <v/>
      </c>
      <c r="DT49" s="86" t="str">
        <f>Novembre25!$K$32</f>
        <v/>
      </c>
      <c r="DU49" s="78"/>
      <c r="DV49" s="79">
        <f>SUM(CP49:DT49)</f>
        <v>160</v>
      </c>
      <c r="DW49" s="80"/>
      <c r="DX49" s="78"/>
      <c r="DY49" s="81"/>
      <c r="DZ49" s="81"/>
      <c r="EA49" s="81"/>
      <c r="EB49" s="81"/>
      <c r="EC49" s="81"/>
      <c r="ED49" s="81"/>
      <c r="EE49" s="80"/>
      <c r="EF49" s="117"/>
      <c r="EG49" s="65"/>
      <c r="EH49" s="66"/>
      <c r="EI49" s="83">
        <f>Dicembre25!$K$2</f>
        <v>8</v>
      </c>
      <c r="EJ49" s="84">
        <f>Dicembre25!$K$3</f>
        <v>8</v>
      </c>
      <c r="EK49" s="84">
        <f>Dicembre25!$K$4</f>
        <v>8</v>
      </c>
      <c r="EL49" s="84">
        <f>Dicembre25!$K$5</f>
        <v>8</v>
      </c>
      <c r="EM49" s="84">
        <f>Dicembre25!$K$6</f>
        <v>8</v>
      </c>
      <c r="EN49" s="85" t="str">
        <f>Dicembre25!$K$7</f>
        <v/>
      </c>
      <c r="EO49" s="84" t="str">
        <f>Dicembre25!$K$8</f>
        <v/>
      </c>
      <c r="EP49" s="84" t="str">
        <f>Dicembre25!$K$9</f>
        <v>F</v>
      </c>
      <c r="EQ49" s="84">
        <f>Dicembre25!$K$10</f>
        <v>8</v>
      </c>
      <c r="ER49" s="84">
        <f>Dicembre25!$K$11</f>
        <v>8</v>
      </c>
      <c r="ES49" s="84">
        <f>Dicembre25!$K$12</f>
        <v>8</v>
      </c>
      <c r="ET49" s="84">
        <f>Dicembre25!$K$13</f>
        <v>8</v>
      </c>
      <c r="EU49" s="85" t="str">
        <f>Dicembre25!$K$14</f>
        <v/>
      </c>
      <c r="EV49" s="84" t="str">
        <f>Dicembre25!$K$15</f>
        <v/>
      </c>
      <c r="EW49" s="84">
        <f>Dicembre25!$K$16</f>
        <v>8</v>
      </c>
      <c r="EX49" s="84">
        <f>Dicembre25!$K$17</f>
        <v>8</v>
      </c>
      <c r="EY49" s="84">
        <f>Dicembre25!$K$18</f>
        <v>8</v>
      </c>
      <c r="EZ49" s="84">
        <f>Dicembre25!$K$19</f>
        <v>8</v>
      </c>
      <c r="FA49" s="85">
        <f>Dicembre25!$K$20</f>
        <v>8</v>
      </c>
      <c r="FB49" s="84" t="str">
        <f>Dicembre25!$K$21</f>
        <v/>
      </c>
      <c r="FC49" s="84" t="str">
        <f>Dicembre25!$K$22</f>
        <v/>
      </c>
      <c r="FD49" s="84">
        <f>Dicembre25!$K$23</f>
        <v>8</v>
      </c>
      <c r="FE49" s="84">
        <f>Dicembre25!$K$24</f>
        <v>8</v>
      </c>
      <c r="FF49" s="84" t="str">
        <f>Dicembre25!$K$25</f>
        <v>Fe</v>
      </c>
      <c r="FG49" s="84" t="str">
        <f>Dicembre25!$K$26</f>
        <v>F</v>
      </c>
      <c r="FH49" s="84" t="str">
        <f>Dicembre25!$K$27</f>
        <v>F</v>
      </c>
      <c r="FI49" s="85" t="str">
        <f>Dicembre25!$K$28</f>
        <v/>
      </c>
      <c r="FJ49" s="84" t="str">
        <f>Dicembre25!$K$29</f>
        <v/>
      </c>
      <c r="FK49" s="84">
        <f>Dicembre25!$K$30</f>
        <v>8</v>
      </c>
      <c r="FL49" s="84">
        <f>Dicembre25!$K$31</f>
        <v>8</v>
      </c>
      <c r="FM49" s="86" t="str">
        <f>Dicembre25!$K$32</f>
        <v/>
      </c>
      <c r="FN49" s="78"/>
      <c r="FO49" s="79">
        <f>SUM(EI49:FM49)</f>
        <v>144</v>
      </c>
      <c r="FP49" s="80"/>
      <c r="FQ49" s="78"/>
      <c r="FR49" s="81"/>
      <c r="FS49" s="81"/>
      <c r="FT49" s="81"/>
      <c r="FU49" s="81"/>
      <c r="FV49" s="81"/>
      <c r="FW49" s="81"/>
      <c r="FX49" s="80"/>
      <c r="FY49" s="117"/>
      <c r="FZ49" s="65"/>
      <c r="GA49" s="66"/>
      <c r="GB49" s="83" t="str">
        <f>Gennaio26!$K$2</f>
        <v>F</v>
      </c>
      <c r="GC49" s="84" t="str">
        <f>Gennaio26!$K$3</f>
        <v>FE</v>
      </c>
      <c r="GD49" s="84" t="str">
        <f>Gennaio26!$K$4</f>
        <v/>
      </c>
      <c r="GE49" s="84" t="str">
        <f>Gennaio26!$K$5</f>
        <v/>
      </c>
      <c r="GF49" s="84" t="str">
        <f>Gennaio26!$K$6</f>
        <v>FE</v>
      </c>
      <c r="GG49" s="85" t="str">
        <f>Gennaio26!$K$7</f>
        <v>F</v>
      </c>
      <c r="GH49" s="84">
        <f>Gennaio26!$K$8</f>
        <v>8</v>
      </c>
      <c r="GI49" s="84">
        <f>Gennaio26!$K$9</f>
        <v>8</v>
      </c>
      <c r="GJ49" s="84">
        <f>Gennaio26!$K$10</f>
        <v>8</v>
      </c>
      <c r="GK49" s="84" t="str">
        <f>Gennaio26!$K$11</f>
        <v/>
      </c>
      <c r="GL49" s="84" t="str">
        <f>Gennaio26!$K$12</f>
        <v/>
      </c>
      <c r="GM49" s="84">
        <f>Gennaio26!$K$13</f>
        <v>8</v>
      </c>
      <c r="GN49" s="85">
        <f>Gennaio26!$K$14</f>
        <v>8</v>
      </c>
      <c r="GO49" s="84">
        <f>Gennaio26!$K$15</f>
        <v>8</v>
      </c>
      <c r="GP49" s="84">
        <f>Gennaio26!$K$16</f>
        <v>8</v>
      </c>
      <c r="GQ49" s="84">
        <f>Gennaio26!$K$17</f>
        <v>8</v>
      </c>
      <c r="GR49" s="84" t="str">
        <f>Gennaio26!$K$18</f>
        <v/>
      </c>
      <c r="GS49" s="84" t="str">
        <f>Gennaio26!$K$19</f>
        <v/>
      </c>
      <c r="GT49" s="85">
        <f>Gennaio26!$K$20</f>
        <v>8</v>
      </c>
      <c r="GU49" s="84">
        <f>Gennaio26!$K$21</f>
        <v>8</v>
      </c>
      <c r="GV49" s="84">
        <f>Gennaio26!$K$22</f>
        <v>8</v>
      </c>
      <c r="GW49" s="84">
        <f>Gennaio26!$K$23</f>
        <v>8</v>
      </c>
      <c r="GX49" s="84">
        <f>Gennaio26!$K$24</f>
        <v>8</v>
      </c>
      <c r="GY49" s="84" t="str">
        <f>Gennaio26!$K$25</f>
        <v/>
      </c>
      <c r="GZ49" s="84" t="str">
        <f>Gennaio26!$K$26</f>
        <v/>
      </c>
      <c r="HA49" s="84">
        <f>Gennaio26!$K$27</f>
        <v>8</v>
      </c>
      <c r="HB49" s="85">
        <f>Gennaio26!$K$28</f>
        <v>8</v>
      </c>
      <c r="HC49" s="84">
        <f>Gennaio26!$K$29</f>
        <v>8</v>
      </c>
      <c r="HD49" s="84">
        <f>Gennaio26!$K$30</f>
        <v>8</v>
      </c>
      <c r="HE49" s="84">
        <f>Gennaio26!$K$31</f>
        <v>8</v>
      </c>
      <c r="HF49" s="86" t="str">
        <f>Gennaio26!$K$32</f>
        <v/>
      </c>
      <c r="HG49" s="78"/>
      <c r="HH49" s="79">
        <f>SUM(GB49:HF49)</f>
        <v>144</v>
      </c>
      <c r="HI49" s="80"/>
      <c r="HJ49" s="78"/>
      <c r="HK49" s="81"/>
      <c r="HL49" s="81"/>
      <c r="HM49" s="81"/>
      <c r="HN49" s="81"/>
      <c r="HO49" s="81"/>
      <c r="HP49" s="81"/>
      <c r="HQ49" s="80"/>
      <c r="HR49" s="117"/>
      <c r="HS49" s="65"/>
      <c r="HT49" s="66"/>
      <c r="HU49" s="83" t="str">
        <f>Febbraio26!$K$2</f>
        <v/>
      </c>
      <c r="HV49" s="84">
        <f>Febbraio26!$K$3</f>
        <v>8</v>
      </c>
      <c r="HW49" s="84">
        <f>Febbraio26!$K$4</f>
        <v>8</v>
      </c>
      <c r="HX49" s="84">
        <f>Febbraio26!$K$5</f>
        <v>8</v>
      </c>
      <c r="HY49" s="84">
        <f>Febbraio26!$K$6</f>
        <v>8</v>
      </c>
      <c r="HZ49" s="85">
        <f>Febbraio26!$K$7</f>
        <v>8</v>
      </c>
      <c r="IA49" s="84" t="str">
        <f>Febbraio26!$K$8</f>
        <v/>
      </c>
      <c r="IB49" s="84" t="str">
        <f>Febbraio26!$K$9</f>
        <v/>
      </c>
      <c r="IC49" s="84">
        <f>Febbraio26!$K$10</f>
        <v>8</v>
      </c>
      <c r="ID49" s="84">
        <f>Febbraio26!$K$11</f>
        <v>8</v>
      </c>
      <c r="IE49" s="84">
        <f>Febbraio26!$K$12</f>
        <v>8</v>
      </c>
      <c r="IF49" s="84">
        <f>Febbraio26!$K$13</f>
        <v>8</v>
      </c>
      <c r="IG49" s="85">
        <f>Febbraio26!$K$14</f>
        <v>8</v>
      </c>
      <c r="IH49" s="84" t="str">
        <f>Febbraio26!$K$15</f>
        <v/>
      </c>
      <c r="II49" s="84" t="str">
        <f>Febbraio26!$K$16</f>
        <v/>
      </c>
      <c r="IJ49" s="84">
        <f>Febbraio26!$K$17</f>
        <v>8</v>
      </c>
      <c r="IK49" s="84">
        <f>Febbraio26!$K$18</f>
        <v>8</v>
      </c>
      <c r="IL49" s="84">
        <f>Febbraio26!$K$19</f>
        <v>8</v>
      </c>
      <c r="IM49" s="85">
        <f>Febbraio26!$K$20</f>
        <v>8</v>
      </c>
      <c r="IN49" s="84">
        <f>Febbraio26!$K$21</f>
        <v>8</v>
      </c>
      <c r="IO49" s="84" t="str">
        <f>Febbraio26!$K$22</f>
        <v/>
      </c>
      <c r="IP49" s="84" t="str">
        <f>Febbraio26!$K$23</f>
        <v/>
      </c>
      <c r="IQ49" s="84">
        <f>Febbraio26!$K$24</f>
        <v>8</v>
      </c>
      <c r="IR49" s="84">
        <f>Febbraio26!$K$25</f>
        <v>8</v>
      </c>
      <c r="IS49" s="84">
        <f>Febbraio26!$K$26</f>
        <v>8</v>
      </c>
      <c r="IT49" s="84">
        <f>Febbraio26!$K$27</f>
        <v>8</v>
      </c>
      <c r="IU49" s="85">
        <f>Febbraio26!$K$28</f>
        <v>8</v>
      </c>
      <c r="IV49" s="84" t="str">
        <f>Febbraio26!$K$29</f>
        <v/>
      </c>
      <c r="IW49" s="84" t="str">
        <f>Febbraio26!$K$30</f>
        <v/>
      </c>
      <c r="IX49" s="84" t="str">
        <f>Febbraio26!$K$31</f>
        <v/>
      </c>
      <c r="IY49" s="86" t="str">
        <f>Febbraio26!$K$32</f>
        <v/>
      </c>
      <c r="IZ49" s="78"/>
      <c r="JA49" s="79">
        <f>SUM(HU49:IY49)</f>
        <v>160</v>
      </c>
      <c r="JB49" s="80"/>
      <c r="JC49" s="78"/>
      <c r="JD49" s="81"/>
      <c r="JE49" s="81"/>
      <c r="JF49" s="81"/>
      <c r="JG49" s="81"/>
      <c r="JH49" s="81"/>
      <c r="JI49" s="81"/>
      <c r="JJ49" s="80"/>
      <c r="JK49" s="117"/>
      <c r="JL49" s="65"/>
      <c r="JM49" s="66"/>
      <c r="JN49" s="83" t="str">
        <f>Marzo26!$K$2</f>
        <v/>
      </c>
      <c r="JO49" s="84">
        <f>Marzo26!$K$3</f>
        <v>8</v>
      </c>
      <c r="JP49" s="84">
        <f>Marzo26!$K$4</f>
        <v>8</v>
      </c>
      <c r="JQ49" s="84">
        <f>Marzo26!$K$5</f>
        <v>8</v>
      </c>
      <c r="JR49" s="84">
        <f>Marzo26!$K$6</f>
        <v>8</v>
      </c>
      <c r="JS49" s="85">
        <f>Marzo26!$K$7</f>
        <v>8</v>
      </c>
      <c r="JT49" s="84" t="str">
        <f>Marzo26!$K$8</f>
        <v/>
      </c>
      <c r="JU49" s="84" t="str">
        <f>Marzo26!$K$9</f>
        <v/>
      </c>
      <c r="JV49" s="84">
        <f>Marzo26!$K$10</f>
        <v>8</v>
      </c>
      <c r="JW49" s="84">
        <f>Marzo26!$K$11</f>
        <v>8</v>
      </c>
      <c r="JX49" s="84">
        <f>Marzo26!$K$12</f>
        <v>8</v>
      </c>
      <c r="JY49" s="84">
        <f>Marzo26!$K$13</f>
        <v>8</v>
      </c>
      <c r="JZ49" s="85">
        <f>Marzo26!$K$14</f>
        <v>8</v>
      </c>
      <c r="KA49" s="84" t="str">
        <f>Marzo26!$K$15</f>
        <v/>
      </c>
      <c r="KB49" s="84" t="str">
        <f>Marzo26!$K$16</f>
        <v/>
      </c>
      <c r="KC49" s="84">
        <f>Marzo26!$K$17</f>
        <v>8</v>
      </c>
      <c r="KD49" s="84">
        <f>Marzo26!$K$18</f>
        <v>8</v>
      </c>
      <c r="KE49" s="84">
        <f>Marzo26!$K$19</f>
        <v>8</v>
      </c>
      <c r="KF49" s="85">
        <f>Marzo26!$K$20</f>
        <v>8</v>
      </c>
      <c r="KG49" s="84">
        <f>Marzo26!$K$21</f>
        <v>8</v>
      </c>
      <c r="KH49" s="84" t="str">
        <f>Marzo26!$K$22</f>
        <v/>
      </c>
      <c r="KI49" s="84" t="str">
        <f>Marzo26!$K$23</f>
        <v/>
      </c>
      <c r="KJ49" s="84">
        <f>Marzo26!$K$24</f>
        <v>8</v>
      </c>
      <c r="KK49" s="84">
        <f>Marzo26!$K$25</f>
        <v>8</v>
      </c>
      <c r="KL49" s="84">
        <f>Marzo26!$K$26</f>
        <v>8</v>
      </c>
      <c r="KM49" s="84">
        <f>Marzo26!$K$27</f>
        <v>8</v>
      </c>
      <c r="KN49" s="85">
        <f>Marzo26!$K$28</f>
        <v>8</v>
      </c>
      <c r="KO49" s="84" t="str">
        <f>Marzo26!$K$29</f>
        <v/>
      </c>
      <c r="KP49" s="84" t="str">
        <f>Marzo26!$K$30</f>
        <v/>
      </c>
      <c r="KQ49" s="84">
        <f>Marzo26!$K$31</f>
        <v>8</v>
      </c>
      <c r="KR49" s="86">
        <f>Marzo26!$K$32</f>
        <v>8</v>
      </c>
      <c r="KS49" s="78"/>
      <c r="KT49" s="79">
        <f>SUM(JN49:KR49)</f>
        <v>176</v>
      </c>
      <c r="KU49" s="80"/>
      <c r="KV49" s="78"/>
      <c r="KW49" s="81"/>
      <c r="KX49" s="81"/>
      <c r="KY49" s="81"/>
      <c r="KZ49" s="81"/>
      <c r="LA49" s="81"/>
      <c r="LB49" s="81"/>
      <c r="LC49" s="80"/>
      <c r="LD49" s="117"/>
      <c r="LE49" s="65"/>
      <c r="LF49" s="66"/>
      <c r="LG49" s="83" t="str">
        <f>Aprile26!$K$2</f>
        <v/>
      </c>
      <c r="LH49" s="84" t="str">
        <f>Aprile26!$K$3</f>
        <v/>
      </c>
      <c r="LI49" s="84" t="str">
        <f>Aprile26!$K$4</f>
        <v/>
      </c>
      <c r="LJ49" s="84" t="str">
        <f>Aprile26!$K$5</f>
        <v/>
      </c>
      <c r="LK49" s="84" t="str">
        <f>Aprile26!$K$6</f>
        <v/>
      </c>
      <c r="LL49" s="85" t="str">
        <f>Aprile26!$K$7</f>
        <v/>
      </c>
      <c r="LM49" s="84" t="str">
        <f>Aprile26!$K$8</f>
        <v/>
      </c>
      <c r="LN49" s="84" t="str">
        <f>Aprile26!$K$9</f>
        <v/>
      </c>
      <c r="LO49" s="84" t="str">
        <f>Aprile26!$K$10</f>
        <v/>
      </c>
      <c r="LP49" s="84" t="str">
        <f>Aprile26!$K$11</f>
        <v/>
      </c>
      <c r="LQ49" s="84" t="str">
        <f>Aprile26!$K$12</f>
        <v/>
      </c>
      <c r="LR49" s="84" t="str">
        <f>Aprile26!$K$13</f>
        <v/>
      </c>
      <c r="LS49" s="85" t="str">
        <f>Aprile26!$K$14</f>
        <v/>
      </c>
      <c r="LT49" s="84" t="str">
        <f>Aprile26!$K$15</f>
        <v/>
      </c>
      <c r="LU49" s="84" t="str">
        <f>Aprile26!$K$16</f>
        <v/>
      </c>
      <c r="LV49" s="84" t="str">
        <f>Aprile26!$K$17</f>
        <v/>
      </c>
      <c r="LW49" s="84" t="str">
        <f>Aprile26!$K$18</f>
        <v/>
      </c>
      <c r="LX49" s="84" t="str">
        <f>Aprile26!$K$19</f>
        <v/>
      </c>
      <c r="LY49" s="85" t="str">
        <f>Aprile26!$K$20</f>
        <v/>
      </c>
      <c r="LZ49" s="84" t="str">
        <f>Aprile26!$K$21</f>
        <v/>
      </c>
      <c r="MA49" s="84" t="str">
        <f>Aprile26!$K$22</f>
        <v/>
      </c>
      <c r="MB49" s="84" t="str">
        <f>Aprile26!$K$23</f>
        <v/>
      </c>
      <c r="MC49" s="84" t="str">
        <f>Aprile26!$K$24</f>
        <v/>
      </c>
      <c r="MD49" s="84" t="str">
        <f>Aprile26!$K$25</f>
        <v/>
      </c>
      <c r="ME49" s="84" t="str">
        <f>Aprile26!$K$26</f>
        <v/>
      </c>
      <c r="MF49" s="84" t="str">
        <f>Aprile26!$K$27</f>
        <v/>
      </c>
      <c r="MG49" s="85" t="str">
        <f>Aprile26!$K$28</f>
        <v/>
      </c>
      <c r="MH49" s="84" t="str">
        <f>Aprile26!$K$29</f>
        <v/>
      </c>
      <c r="MI49" s="84" t="str">
        <f>Aprile26!$K$30</f>
        <v/>
      </c>
      <c r="MJ49" s="84" t="str">
        <f>Aprile26!$K$31</f>
        <v/>
      </c>
      <c r="MK49" s="86" t="str">
        <f>Aprile26!$K$32</f>
        <v/>
      </c>
      <c r="ML49" s="78"/>
      <c r="MM49" s="79">
        <f>SUM(LG49:MK49)</f>
        <v>0</v>
      </c>
      <c r="MN49" s="80"/>
      <c r="MO49" s="78"/>
      <c r="MP49" s="81"/>
      <c r="MQ49" s="81"/>
      <c r="MR49" s="81"/>
      <c r="MS49" s="81"/>
      <c r="MT49" s="81"/>
      <c r="MU49" s="81"/>
      <c r="MV49" s="82"/>
      <c r="MW49" s="117"/>
      <c r="MX49" s="65"/>
      <c r="MY49" s="66"/>
      <c r="MZ49" s="83" t="str">
        <f>Maggio26!$K$2</f>
        <v/>
      </c>
      <c r="NA49" s="84" t="str">
        <f>Maggio26!$K$3</f>
        <v/>
      </c>
      <c r="NB49" s="84" t="str">
        <f>Maggio26!$K$4</f>
        <v/>
      </c>
      <c r="NC49" s="84" t="str">
        <f>Maggio26!$K$5</f>
        <v/>
      </c>
      <c r="ND49" s="84" t="str">
        <f>Maggio26!$K$6</f>
        <v/>
      </c>
      <c r="NE49" s="85" t="str">
        <f>Maggio26!$K$7</f>
        <v/>
      </c>
      <c r="NF49" s="84" t="str">
        <f>Maggio26!$K$8</f>
        <v/>
      </c>
      <c r="NG49" s="84" t="str">
        <f>Maggio26!$K$9</f>
        <v/>
      </c>
      <c r="NH49" s="84" t="str">
        <f>Maggio26!$K$10</f>
        <v/>
      </c>
      <c r="NI49" s="84" t="str">
        <f>Maggio26!$K$11</f>
        <v/>
      </c>
      <c r="NJ49" s="84" t="str">
        <f>Maggio26!$K$12</f>
        <v/>
      </c>
      <c r="NK49" s="84" t="str">
        <f>Maggio26!$K$13</f>
        <v/>
      </c>
      <c r="NL49" s="85" t="str">
        <f>Maggio26!$K$14</f>
        <v/>
      </c>
      <c r="NM49" s="84" t="str">
        <f>Maggio26!$K$15</f>
        <v/>
      </c>
      <c r="NN49" s="84" t="str">
        <f>Maggio26!$K$16</f>
        <v/>
      </c>
      <c r="NO49" s="84" t="str">
        <f>Maggio26!$K$17</f>
        <v/>
      </c>
      <c r="NP49" s="84" t="str">
        <f>Maggio26!$K$18</f>
        <v/>
      </c>
      <c r="NQ49" s="84" t="str">
        <f>Maggio26!$K$19</f>
        <v/>
      </c>
      <c r="NR49" s="85" t="str">
        <f>Maggio26!$K$20</f>
        <v/>
      </c>
      <c r="NS49" s="84" t="str">
        <f>Maggio26!$K$21</f>
        <v/>
      </c>
      <c r="NT49" s="84" t="str">
        <f>Maggio26!$K$22</f>
        <v/>
      </c>
      <c r="NU49" s="84" t="str">
        <f>Maggio26!$K$23</f>
        <v/>
      </c>
      <c r="NV49" s="84" t="str">
        <f>Maggio26!$K$24</f>
        <v/>
      </c>
      <c r="NW49" s="84" t="str">
        <f>Maggio26!$K$25</f>
        <v/>
      </c>
      <c r="NX49" s="84" t="str">
        <f>Maggio26!$K$26</f>
        <v/>
      </c>
      <c r="NY49" s="84" t="str">
        <f>Maggio26!$K$27</f>
        <v/>
      </c>
      <c r="NZ49" s="85" t="str">
        <f>Maggio26!$K$28</f>
        <v/>
      </c>
      <c r="OA49" s="84" t="str">
        <f>Maggio26!$K$29</f>
        <v/>
      </c>
      <c r="OB49" s="84" t="str">
        <f>Maggio26!$K$30</f>
        <v/>
      </c>
      <c r="OC49" s="84" t="str">
        <f>Maggio26!$K$31</f>
        <v/>
      </c>
      <c r="OD49" s="86" t="str">
        <f>Maggio26!$K$32</f>
        <v/>
      </c>
      <c r="OE49" s="78"/>
      <c r="OF49" s="79">
        <f>SUM(MZ49:OD49)</f>
        <v>0</v>
      </c>
      <c r="OG49" s="80"/>
      <c r="OH49" s="78"/>
      <c r="OI49" s="81"/>
      <c r="OJ49" s="81"/>
      <c r="OK49" s="81"/>
      <c r="OL49" s="81"/>
      <c r="OM49" s="81"/>
      <c r="ON49" s="81"/>
      <c r="OO49" s="82"/>
      <c r="OP49" s="117"/>
      <c r="OQ49" s="65"/>
      <c r="OR49" s="66"/>
      <c r="OS49" s="83" t="str">
        <f>Giugno26!$K$2</f>
        <v/>
      </c>
      <c r="OT49" s="84" t="str">
        <f>Giugno26!$K$3</f>
        <v/>
      </c>
      <c r="OU49" s="84" t="str">
        <f>Giugno26!$K$4</f>
        <v/>
      </c>
      <c r="OV49" s="84" t="str">
        <f>Giugno26!$K$5</f>
        <v/>
      </c>
      <c r="OW49" s="84" t="str">
        <f>Giugno26!$K$6</f>
        <v/>
      </c>
      <c r="OX49" s="85" t="str">
        <f>Giugno26!$K$7</f>
        <v/>
      </c>
      <c r="OY49" s="84" t="str">
        <f>Giugno26!$K$8</f>
        <v/>
      </c>
      <c r="OZ49" s="84" t="str">
        <f>Giugno26!$K$9</f>
        <v/>
      </c>
      <c r="PA49" s="84" t="str">
        <f>Giugno26!$K$10</f>
        <v/>
      </c>
      <c r="PB49" s="84" t="str">
        <f>Giugno26!$K$11</f>
        <v/>
      </c>
      <c r="PC49" s="84" t="str">
        <f>Giugno26!$K$12</f>
        <v/>
      </c>
      <c r="PD49" s="84" t="str">
        <f>Giugno26!$K$13</f>
        <v/>
      </c>
      <c r="PE49" s="85" t="str">
        <f>Giugno26!$K$14</f>
        <v/>
      </c>
      <c r="PF49" s="84" t="str">
        <f>Giugno26!$K$15</f>
        <v/>
      </c>
      <c r="PG49" s="84" t="str">
        <f>Giugno26!$K$16</f>
        <v/>
      </c>
      <c r="PH49" s="84" t="str">
        <f>Giugno26!$K$17</f>
        <v/>
      </c>
      <c r="PI49" s="84" t="str">
        <f>Giugno26!$K$18</f>
        <v/>
      </c>
      <c r="PJ49" s="84" t="str">
        <f>Giugno26!$K$19</f>
        <v/>
      </c>
      <c r="PK49" s="85" t="str">
        <f>Giugno26!$K$20</f>
        <v/>
      </c>
      <c r="PL49" s="84" t="str">
        <f>Giugno26!$K$21</f>
        <v/>
      </c>
      <c r="PM49" s="84" t="str">
        <f>Giugno26!$K$22</f>
        <v/>
      </c>
      <c r="PN49" s="84" t="str">
        <f>Giugno26!$K$23</f>
        <v/>
      </c>
      <c r="PO49" s="84" t="str">
        <f>Giugno26!$K$24</f>
        <v/>
      </c>
      <c r="PP49" s="84" t="str">
        <f>Giugno26!$K$25</f>
        <v/>
      </c>
      <c r="PQ49" s="84" t="str">
        <f>Giugno26!$K$26</f>
        <v/>
      </c>
      <c r="PR49" s="84" t="str">
        <f>Giugno26!$K$27</f>
        <v/>
      </c>
      <c r="PS49" s="85" t="str">
        <f>Giugno26!$K$28</f>
        <v/>
      </c>
      <c r="PT49" s="84" t="str">
        <f>Giugno26!$K$29</f>
        <v/>
      </c>
      <c r="PU49" s="84" t="str">
        <f>Giugno26!$K$30</f>
        <v/>
      </c>
      <c r="PV49" s="84" t="str">
        <f>Giugno26!$K$31</f>
        <v/>
      </c>
      <c r="PW49" s="86" t="str">
        <f>Giugno26!$K$32</f>
        <v/>
      </c>
      <c r="PX49" s="78"/>
      <c r="PY49" s="79">
        <f>SUM(OS49:PW49)</f>
        <v>0</v>
      </c>
      <c r="PZ49" s="80"/>
      <c r="QA49" s="78"/>
      <c r="QB49" s="81"/>
      <c r="QC49" s="81"/>
      <c r="QD49" s="81"/>
      <c r="QE49" s="81"/>
      <c r="QF49" s="81"/>
      <c r="QG49" s="81"/>
      <c r="QH49" s="82"/>
      <c r="QI49" s="117"/>
      <c r="QJ49" s="65"/>
      <c r="QK49" s="66"/>
      <c r="QL49" s="83" t="str">
        <f>Luglio26!$K$2</f>
        <v/>
      </c>
      <c r="QM49" s="84" t="str">
        <f>Luglio26!$K$3</f>
        <v/>
      </c>
      <c r="QN49" s="84" t="str">
        <f>Luglio26!$K$4</f>
        <v/>
      </c>
      <c r="QO49" s="84" t="str">
        <f>Luglio26!$K$5</f>
        <v/>
      </c>
      <c r="QP49" s="84" t="str">
        <f>Luglio26!$K$6</f>
        <v/>
      </c>
      <c r="QQ49" s="85" t="str">
        <f>Luglio26!$K$7</f>
        <v/>
      </c>
      <c r="QR49" s="84" t="str">
        <f>Luglio26!$K$8</f>
        <v/>
      </c>
      <c r="QS49" s="84" t="str">
        <f>Luglio26!$K$9</f>
        <v/>
      </c>
      <c r="QT49" s="84" t="str">
        <f>Luglio26!$K$10</f>
        <v/>
      </c>
      <c r="QU49" s="84" t="str">
        <f>Luglio26!$K$11</f>
        <v/>
      </c>
      <c r="QV49" s="84" t="str">
        <f>Luglio26!$K$12</f>
        <v/>
      </c>
      <c r="QW49" s="84" t="str">
        <f>Luglio26!$K$13</f>
        <v/>
      </c>
      <c r="QX49" s="85" t="str">
        <f>Luglio26!$K$14</f>
        <v/>
      </c>
      <c r="QY49" s="84" t="str">
        <f>Luglio26!$K$15</f>
        <v/>
      </c>
      <c r="QZ49" s="84" t="str">
        <f>Luglio26!$K$16</f>
        <v/>
      </c>
      <c r="RA49" s="84" t="str">
        <f>Luglio26!$K$17</f>
        <v/>
      </c>
      <c r="RB49" s="84" t="str">
        <f>Luglio26!$K$18</f>
        <v/>
      </c>
      <c r="RC49" s="84" t="str">
        <f>Luglio26!$K$19</f>
        <v/>
      </c>
      <c r="RD49" s="85" t="str">
        <f>Luglio26!$K$20</f>
        <v/>
      </c>
      <c r="RE49" s="84" t="str">
        <f>Luglio26!$K$21</f>
        <v/>
      </c>
      <c r="RF49" s="84" t="str">
        <f>Luglio26!$K$22</f>
        <v/>
      </c>
      <c r="RG49" s="84" t="str">
        <f>Luglio26!$K$23</f>
        <v/>
      </c>
      <c r="RH49" s="84" t="str">
        <f>Luglio26!$K$24</f>
        <v/>
      </c>
      <c r="RI49" s="84" t="str">
        <f>Luglio26!$K$25</f>
        <v/>
      </c>
      <c r="RJ49" s="84" t="str">
        <f>Luglio26!$K$26</f>
        <v/>
      </c>
      <c r="RK49" s="84" t="str">
        <f>Luglio26!$K$27</f>
        <v/>
      </c>
      <c r="RL49" s="85" t="str">
        <f>Luglio26!$K$28</f>
        <v/>
      </c>
      <c r="RM49" s="84" t="str">
        <f>Luglio26!$K$29</f>
        <v/>
      </c>
      <c r="RN49" s="84" t="str">
        <f>Luglio26!$K$30</f>
        <v/>
      </c>
      <c r="RO49" s="84" t="str">
        <f>Luglio26!$K$31</f>
        <v/>
      </c>
      <c r="RP49" s="86" t="str">
        <f>Luglio26!$K$32</f>
        <v/>
      </c>
      <c r="RQ49" s="78"/>
      <c r="RR49" s="79">
        <f>SUM(QL49:RP49)</f>
        <v>0</v>
      </c>
      <c r="RS49" s="80"/>
      <c r="RT49" s="78"/>
      <c r="RU49" s="81"/>
      <c r="RV49" s="81"/>
      <c r="RW49" s="81"/>
      <c r="RX49" s="81"/>
      <c r="RY49" s="81"/>
      <c r="RZ49" s="81"/>
      <c r="SA49" s="82"/>
      <c r="SB49" s="117"/>
      <c r="SC49" s="65"/>
      <c r="SD49" s="66"/>
      <c r="SE49" s="83" t="str">
        <f>Agosto26!$K$2</f>
        <v/>
      </c>
      <c r="SF49" s="84" t="str">
        <f>Agosto26!$K$3</f>
        <v/>
      </c>
      <c r="SG49" s="84" t="str">
        <f>Agosto26!$K$4</f>
        <v/>
      </c>
      <c r="SH49" s="84" t="str">
        <f>Agosto26!$K$5</f>
        <v/>
      </c>
      <c r="SI49" s="84" t="str">
        <f>Agosto26!$K$6</f>
        <v/>
      </c>
      <c r="SJ49" s="85" t="str">
        <f>Agosto26!$K$7</f>
        <v/>
      </c>
      <c r="SK49" s="84" t="str">
        <f>Agosto26!$K$8</f>
        <v/>
      </c>
      <c r="SL49" s="84" t="str">
        <f>Agosto26!$K$9</f>
        <v/>
      </c>
      <c r="SM49" s="84" t="str">
        <f>Agosto26!$K$10</f>
        <v/>
      </c>
      <c r="SN49" s="84" t="str">
        <f>Agosto26!$K$11</f>
        <v/>
      </c>
      <c r="SO49" s="84" t="str">
        <f>Agosto26!$K$12</f>
        <v/>
      </c>
      <c r="SP49" s="84" t="str">
        <f>Agosto26!$K$13</f>
        <v/>
      </c>
      <c r="SQ49" s="85" t="str">
        <f>Agosto26!$K$14</f>
        <v/>
      </c>
      <c r="SR49" s="84" t="str">
        <f>Agosto26!$K$15</f>
        <v/>
      </c>
      <c r="SS49" s="84" t="str">
        <f>Agosto26!$K$16</f>
        <v/>
      </c>
      <c r="ST49" s="84" t="str">
        <f>Agosto26!$K$17</f>
        <v/>
      </c>
      <c r="SU49" s="84" t="str">
        <f>Agosto26!$K$18</f>
        <v/>
      </c>
      <c r="SV49" s="84" t="str">
        <f>Agosto26!$K$19</f>
        <v/>
      </c>
      <c r="SW49" s="85" t="str">
        <f>Agosto26!$K$20</f>
        <v/>
      </c>
      <c r="SX49" s="84" t="str">
        <f>Agosto26!$K$21</f>
        <v/>
      </c>
      <c r="SY49" s="84" t="str">
        <f>Agosto26!$K$22</f>
        <v/>
      </c>
      <c r="SZ49" s="84" t="str">
        <f>Agosto26!$K$23</f>
        <v/>
      </c>
      <c r="TA49" s="84" t="str">
        <f>Agosto26!$K$24</f>
        <v/>
      </c>
      <c r="TB49" s="84" t="str">
        <f>Agosto26!$K$25</f>
        <v/>
      </c>
      <c r="TC49" s="84" t="str">
        <f>Agosto26!$K$26</f>
        <v/>
      </c>
      <c r="TD49" s="84" t="str">
        <f>Agosto26!$K$27</f>
        <v/>
      </c>
      <c r="TE49" s="85" t="str">
        <f>Agosto26!$K$28</f>
        <v/>
      </c>
      <c r="TF49" s="84" t="str">
        <f>Agosto26!$K$29</f>
        <v/>
      </c>
      <c r="TG49" s="84" t="str">
        <f>Agosto26!$K$30</f>
        <v/>
      </c>
      <c r="TH49" s="84" t="str">
        <f>Agosto26!$K$31</f>
        <v/>
      </c>
      <c r="TI49" s="86" t="str">
        <f>Agosto26!$K$32</f>
        <v/>
      </c>
      <c r="TJ49" s="78"/>
      <c r="TK49" s="79">
        <f>SUM(SE49:TI49)</f>
        <v>0</v>
      </c>
      <c r="TL49" s="80"/>
      <c r="TM49" s="78"/>
      <c r="TN49" s="81"/>
      <c r="TO49" s="81"/>
      <c r="TP49" s="81"/>
      <c r="TQ49" s="81"/>
      <c r="TR49" s="81"/>
      <c r="TS49" s="81"/>
      <c r="TT49" s="80"/>
    </row>
    <row r="50" ht="24.75" customHeight="1">
      <c r="A50" s="91" t="s">
        <v>39</v>
      </c>
      <c r="B50" s="65"/>
      <c r="C50" s="66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118"/>
      <c r="AI50" s="78"/>
      <c r="AJ50" s="81"/>
      <c r="AK50" s="94">
        <f>SUM(D50:AG50)</f>
        <v>0</v>
      </c>
      <c r="AL50" s="78"/>
      <c r="AM50" s="81"/>
      <c r="AN50" s="81"/>
      <c r="AO50" s="81"/>
      <c r="AP50" s="81"/>
      <c r="AQ50" s="81"/>
      <c r="AR50" s="81"/>
      <c r="AS50" s="82"/>
      <c r="AT50" s="91" t="s">
        <v>39</v>
      </c>
      <c r="AU50" s="65"/>
      <c r="AV50" s="66"/>
      <c r="AW50" s="92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119"/>
      <c r="CB50" s="78"/>
      <c r="CC50" s="81"/>
      <c r="CD50" s="94">
        <f>SUM(AW50:BZ50)</f>
        <v>0</v>
      </c>
      <c r="CE50" s="78"/>
      <c r="CF50" s="81"/>
      <c r="CG50" s="81"/>
      <c r="CH50" s="81"/>
      <c r="CI50" s="81"/>
      <c r="CJ50" s="81"/>
      <c r="CK50" s="81"/>
      <c r="CL50" s="82"/>
      <c r="CM50" s="91" t="s">
        <v>39</v>
      </c>
      <c r="CN50" s="65"/>
      <c r="CO50" s="66"/>
      <c r="CP50" s="92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119"/>
      <c r="DU50" s="78"/>
      <c r="DV50" s="81"/>
      <c r="DW50" s="94">
        <f>SUM(CP50:DS50)</f>
        <v>0</v>
      </c>
      <c r="DX50" s="78"/>
      <c r="DY50" s="81"/>
      <c r="DZ50" s="81"/>
      <c r="EA50" s="81"/>
      <c r="EB50" s="81"/>
      <c r="EC50" s="81"/>
      <c r="ED50" s="81"/>
      <c r="EE50" s="80"/>
      <c r="EF50" s="91" t="s">
        <v>39</v>
      </c>
      <c r="EG50" s="65"/>
      <c r="EH50" s="66"/>
      <c r="EI50" s="92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119"/>
      <c r="FN50" s="78"/>
      <c r="FO50" s="81"/>
      <c r="FP50" s="94">
        <f>SUM(EI50:FL50)</f>
        <v>0</v>
      </c>
      <c r="FQ50" s="78"/>
      <c r="FR50" s="81"/>
      <c r="FS50" s="81"/>
      <c r="FT50" s="81"/>
      <c r="FU50" s="81"/>
      <c r="FV50" s="81"/>
      <c r="FW50" s="81"/>
      <c r="FX50" s="80"/>
      <c r="FY50" s="91" t="s">
        <v>39</v>
      </c>
      <c r="FZ50" s="65"/>
      <c r="GA50" s="66"/>
      <c r="GB50" s="92"/>
      <c r="GC50" s="85"/>
      <c r="GD50" s="85"/>
      <c r="GE50" s="85"/>
      <c r="GF50" s="85"/>
      <c r="GG50" s="85"/>
      <c r="GH50" s="85"/>
      <c r="GI50" s="85"/>
      <c r="GJ50" s="85"/>
      <c r="GK50" s="85"/>
      <c r="GL50" s="85"/>
      <c r="GM50" s="85"/>
      <c r="GN50" s="85"/>
      <c r="GO50" s="85"/>
      <c r="GP50" s="85"/>
      <c r="GQ50" s="85"/>
      <c r="GR50" s="85"/>
      <c r="GS50" s="85"/>
      <c r="GT50" s="85"/>
      <c r="GU50" s="85"/>
      <c r="GV50" s="85"/>
      <c r="GW50" s="85"/>
      <c r="GX50" s="85"/>
      <c r="GY50" s="85"/>
      <c r="GZ50" s="85"/>
      <c r="HA50" s="85"/>
      <c r="HB50" s="85"/>
      <c r="HC50" s="85"/>
      <c r="HD50" s="85"/>
      <c r="HE50" s="85"/>
      <c r="HF50" s="119"/>
      <c r="HG50" s="78"/>
      <c r="HH50" s="81"/>
      <c r="HI50" s="94">
        <f>SUM(GB50:HE50)</f>
        <v>0</v>
      </c>
      <c r="HJ50" s="78"/>
      <c r="HK50" s="81"/>
      <c r="HL50" s="81"/>
      <c r="HM50" s="81"/>
      <c r="HN50" s="81"/>
      <c r="HO50" s="81"/>
      <c r="HP50" s="81"/>
      <c r="HQ50" s="80"/>
      <c r="HR50" s="91" t="s">
        <v>39</v>
      </c>
      <c r="HS50" s="65"/>
      <c r="HT50" s="66"/>
      <c r="HU50" s="92"/>
      <c r="HV50" s="85"/>
      <c r="HW50" s="85"/>
      <c r="HX50" s="85"/>
      <c r="HY50" s="85"/>
      <c r="HZ50" s="85"/>
      <c r="IA50" s="85"/>
      <c r="IB50" s="85"/>
      <c r="IC50" s="85"/>
      <c r="ID50" s="85"/>
      <c r="IE50" s="85"/>
      <c r="IF50" s="85"/>
      <c r="IG50" s="85"/>
      <c r="IH50" s="85"/>
      <c r="II50" s="85"/>
      <c r="IJ50" s="85"/>
      <c r="IK50" s="85"/>
      <c r="IL50" s="85"/>
      <c r="IM50" s="85"/>
      <c r="IN50" s="85"/>
      <c r="IO50" s="85"/>
      <c r="IP50" s="85"/>
      <c r="IQ50" s="85"/>
      <c r="IR50" s="85"/>
      <c r="IS50" s="85"/>
      <c r="IT50" s="85"/>
      <c r="IU50" s="85"/>
      <c r="IV50" s="85"/>
      <c r="IW50" s="85"/>
      <c r="IX50" s="85"/>
      <c r="IY50" s="119"/>
      <c r="IZ50" s="78"/>
      <c r="JA50" s="81"/>
      <c r="JB50" s="94">
        <f>SUM(HU50:IX50)</f>
        <v>0</v>
      </c>
      <c r="JC50" s="78"/>
      <c r="JD50" s="81"/>
      <c r="JE50" s="81"/>
      <c r="JF50" s="81"/>
      <c r="JG50" s="81"/>
      <c r="JH50" s="81"/>
      <c r="JI50" s="81"/>
      <c r="JJ50" s="80"/>
      <c r="JK50" s="91" t="s">
        <v>39</v>
      </c>
      <c r="JL50" s="65"/>
      <c r="JM50" s="66"/>
      <c r="JN50" s="92"/>
      <c r="JO50" s="85"/>
      <c r="JP50" s="85"/>
      <c r="JQ50" s="85"/>
      <c r="JR50" s="85"/>
      <c r="JS50" s="85"/>
      <c r="JT50" s="85"/>
      <c r="JU50" s="85"/>
      <c r="JV50" s="85"/>
      <c r="JW50" s="85"/>
      <c r="JX50" s="85"/>
      <c r="JY50" s="85"/>
      <c r="JZ50" s="85"/>
      <c r="KA50" s="85"/>
      <c r="KB50" s="85"/>
      <c r="KC50" s="85"/>
      <c r="KD50" s="85"/>
      <c r="KE50" s="85"/>
      <c r="KF50" s="85"/>
      <c r="KG50" s="85"/>
      <c r="KH50" s="85"/>
      <c r="KI50" s="85"/>
      <c r="KJ50" s="85"/>
      <c r="KK50" s="85"/>
      <c r="KL50" s="85"/>
      <c r="KM50" s="85"/>
      <c r="KN50" s="85"/>
      <c r="KO50" s="85"/>
      <c r="KP50" s="85"/>
      <c r="KQ50" s="85"/>
      <c r="KR50" s="119"/>
      <c r="KS50" s="78"/>
      <c r="KT50" s="81"/>
      <c r="KU50" s="94">
        <f>SUM(JN50:KQ50)</f>
        <v>0</v>
      </c>
      <c r="KV50" s="78"/>
      <c r="KW50" s="81"/>
      <c r="KX50" s="81"/>
      <c r="KY50" s="81"/>
      <c r="KZ50" s="81"/>
      <c r="LA50" s="81"/>
      <c r="LB50" s="81"/>
      <c r="LC50" s="80"/>
      <c r="LD50" s="91" t="s">
        <v>39</v>
      </c>
      <c r="LE50" s="65"/>
      <c r="LF50" s="66"/>
      <c r="LG50" s="92"/>
      <c r="LH50" s="85"/>
      <c r="LI50" s="85"/>
      <c r="LJ50" s="85"/>
      <c r="LK50" s="85"/>
      <c r="LL50" s="85"/>
      <c r="LM50" s="85"/>
      <c r="LN50" s="85"/>
      <c r="LO50" s="85"/>
      <c r="LP50" s="85"/>
      <c r="LQ50" s="85"/>
      <c r="LR50" s="85"/>
      <c r="LS50" s="85"/>
      <c r="LT50" s="85"/>
      <c r="LU50" s="85"/>
      <c r="LV50" s="85"/>
      <c r="LW50" s="85"/>
      <c r="LX50" s="85"/>
      <c r="LY50" s="85"/>
      <c r="LZ50" s="85"/>
      <c r="MA50" s="85"/>
      <c r="MB50" s="85"/>
      <c r="MC50" s="85"/>
      <c r="MD50" s="85"/>
      <c r="ME50" s="85"/>
      <c r="MF50" s="85"/>
      <c r="MG50" s="85"/>
      <c r="MH50" s="85"/>
      <c r="MI50" s="85"/>
      <c r="MJ50" s="85"/>
      <c r="MK50" s="119"/>
      <c r="ML50" s="78"/>
      <c r="MM50" s="81"/>
      <c r="MN50" s="94">
        <f>SUM(LG50:MJ50)</f>
        <v>0</v>
      </c>
      <c r="MO50" s="78"/>
      <c r="MP50" s="81"/>
      <c r="MQ50" s="81"/>
      <c r="MR50" s="81"/>
      <c r="MS50" s="81"/>
      <c r="MT50" s="81"/>
      <c r="MU50" s="81"/>
      <c r="MV50" s="82"/>
      <c r="MW50" s="91" t="s">
        <v>39</v>
      </c>
      <c r="MX50" s="65"/>
      <c r="MY50" s="66"/>
      <c r="MZ50" s="92"/>
      <c r="NA50" s="85"/>
      <c r="NB50" s="85"/>
      <c r="NC50" s="85"/>
      <c r="ND50" s="85"/>
      <c r="NE50" s="85"/>
      <c r="NF50" s="85"/>
      <c r="NG50" s="85"/>
      <c r="NH50" s="85"/>
      <c r="NI50" s="85"/>
      <c r="NJ50" s="85"/>
      <c r="NK50" s="85"/>
      <c r="NL50" s="85"/>
      <c r="NM50" s="85"/>
      <c r="NN50" s="85"/>
      <c r="NO50" s="85"/>
      <c r="NP50" s="85"/>
      <c r="NQ50" s="85"/>
      <c r="NR50" s="85"/>
      <c r="NS50" s="85"/>
      <c r="NT50" s="85"/>
      <c r="NU50" s="85"/>
      <c r="NV50" s="85"/>
      <c r="NW50" s="85"/>
      <c r="NX50" s="85"/>
      <c r="NY50" s="85"/>
      <c r="NZ50" s="85"/>
      <c r="OA50" s="85"/>
      <c r="OB50" s="85"/>
      <c r="OC50" s="85"/>
      <c r="OD50" s="119"/>
      <c r="OE50" s="78"/>
      <c r="OF50" s="81"/>
      <c r="OG50" s="94">
        <f>SUM(MZ50:OC50)</f>
        <v>0</v>
      </c>
      <c r="OH50" s="78"/>
      <c r="OI50" s="81"/>
      <c r="OJ50" s="81"/>
      <c r="OK50" s="81"/>
      <c r="OL50" s="81"/>
      <c r="OM50" s="81"/>
      <c r="ON50" s="81"/>
      <c r="OO50" s="82"/>
      <c r="OP50" s="91" t="s">
        <v>39</v>
      </c>
      <c r="OQ50" s="65"/>
      <c r="OR50" s="66"/>
      <c r="OS50" s="92"/>
      <c r="OT50" s="85"/>
      <c r="OU50" s="85"/>
      <c r="OV50" s="85"/>
      <c r="OW50" s="85"/>
      <c r="OX50" s="85"/>
      <c r="OY50" s="85"/>
      <c r="OZ50" s="85"/>
      <c r="PA50" s="85"/>
      <c r="PB50" s="85"/>
      <c r="PC50" s="85"/>
      <c r="PD50" s="85"/>
      <c r="PE50" s="85"/>
      <c r="PF50" s="85"/>
      <c r="PG50" s="85"/>
      <c r="PH50" s="85"/>
      <c r="PI50" s="85"/>
      <c r="PJ50" s="85"/>
      <c r="PK50" s="85"/>
      <c r="PL50" s="85"/>
      <c r="PM50" s="85"/>
      <c r="PN50" s="85"/>
      <c r="PO50" s="85"/>
      <c r="PP50" s="85"/>
      <c r="PQ50" s="85"/>
      <c r="PR50" s="85"/>
      <c r="PS50" s="85"/>
      <c r="PT50" s="85"/>
      <c r="PU50" s="85"/>
      <c r="PV50" s="85"/>
      <c r="PW50" s="119"/>
      <c r="PX50" s="78"/>
      <c r="PY50" s="81"/>
      <c r="PZ50" s="94">
        <f>SUM(OS50:PV50)</f>
        <v>0</v>
      </c>
      <c r="QA50" s="78"/>
      <c r="QB50" s="81"/>
      <c r="QC50" s="81"/>
      <c r="QD50" s="81"/>
      <c r="QE50" s="81"/>
      <c r="QF50" s="81"/>
      <c r="QG50" s="81"/>
      <c r="QH50" s="82"/>
      <c r="QI50" s="91" t="s">
        <v>39</v>
      </c>
      <c r="QJ50" s="65"/>
      <c r="QK50" s="66"/>
      <c r="QL50" s="92"/>
      <c r="QM50" s="85"/>
      <c r="QN50" s="85"/>
      <c r="QO50" s="85"/>
      <c r="QP50" s="85"/>
      <c r="QQ50" s="85"/>
      <c r="QR50" s="85"/>
      <c r="QS50" s="85"/>
      <c r="QT50" s="85"/>
      <c r="QU50" s="85"/>
      <c r="QV50" s="85"/>
      <c r="QW50" s="85"/>
      <c r="QX50" s="85"/>
      <c r="QY50" s="85"/>
      <c r="QZ50" s="85"/>
      <c r="RA50" s="85"/>
      <c r="RB50" s="85"/>
      <c r="RC50" s="85"/>
      <c r="RD50" s="85"/>
      <c r="RE50" s="85"/>
      <c r="RF50" s="85"/>
      <c r="RG50" s="85"/>
      <c r="RH50" s="85"/>
      <c r="RI50" s="85"/>
      <c r="RJ50" s="85"/>
      <c r="RK50" s="85"/>
      <c r="RL50" s="85"/>
      <c r="RM50" s="85"/>
      <c r="RN50" s="85"/>
      <c r="RO50" s="85"/>
      <c r="RP50" s="119"/>
      <c r="RQ50" s="78"/>
      <c r="RR50" s="81"/>
      <c r="RS50" s="94">
        <f>SUM(QL50:RO50)</f>
        <v>0</v>
      </c>
      <c r="RT50" s="78"/>
      <c r="RU50" s="81"/>
      <c r="RV50" s="81"/>
      <c r="RW50" s="81"/>
      <c r="RX50" s="81"/>
      <c r="RY50" s="81"/>
      <c r="RZ50" s="81"/>
      <c r="SA50" s="82"/>
      <c r="SB50" s="91" t="s">
        <v>39</v>
      </c>
      <c r="SC50" s="65"/>
      <c r="SD50" s="66"/>
      <c r="SE50" s="92"/>
      <c r="SF50" s="85"/>
      <c r="SG50" s="85"/>
      <c r="SH50" s="85"/>
      <c r="SI50" s="85"/>
      <c r="SJ50" s="85"/>
      <c r="SK50" s="85"/>
      <c r="SL50" s="85"/>
      <c r="SM50" s="85"/>
      <c r="SN50" s="85"/>
      <c r="SO50" s="85"/>
      <c r="SP50" s="85"/>
      <c r="SQ50" s="85"/>
      <c r="SR50" s="85"/>
      <c r="SS50" s="85"/>
      <c r="ST50" s="85"/>
      <c r="SU50" s="85"/>
      <c r="SV50" s="85"/>
      <c r="SW50" s="85"/>
      <c r="SX50" s="85"/>
      <c r="SY50" s="85"/>
      <c r="SZ50" s="85"/>
      <c r="TA50" s="85"/>
      <c r="TB50" s="85"/>
      <c r="TC50" s="85"/>
      <c r="TD50" s="85"/>
      <c r="TE50" s="85"/>
      <c r="TF50" s="85"/>
      <c r="TG50" s="85"/>
      <c r="TH50" s="85"/>
      <c r="TI50" s="119"/>
      <c r="TJ50" s="78"/>
      <c r="TK50" s="81"/>
      <c r="TL50" s="94">
        <f>SUM(SE50:TH50)</f>
        <v>0</v>
      </c>
      <c r="TM50" s="78"/>
      <c r="TN50" s="81"/>
      <c r="TO50" s="81"/>
      <c r="TP50" s="81"/>
      <c r="TQ50" s="81"/>
      <c r="TR50" s="81"/>
      <c r="TS50" s="81"/>
      <c r="TT50" s="80"/>
    </row>
    <row r="51" ht="24.75" customHeight="1">
      <c r="A51" s="96"/>
      <c r="B51" s="97"/>
      <c r="C51" s="98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118"/>
      <c r="AI51" s="78"/>
      <c r="AJ51" s="81"/>
      <c r="AK51" s="80"/>
      <c r="AL51" s="78"/>
      <c r="AM51" s="81"/>
      <c r="AN51" s="81"/>
      <c r="AO51" s="81"/>
      <c r="AP51" s="81"/>
      <c r="AQ51" s="81"/>
      <c r="AR51" s="81"/>
      <c r="AS51" s="82"/>
      <c r="AT51" s="96"/>
      <c r="AU51" s="97"/>
      <c r="AV51" s="98"/>
      <c r="AW51" s="92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119"/>
      <c r="CB51" s="78"/>
      <c r="CC51" s="81"/>
      <c r="CD51" s="80"/>
      <c r="CE51" s="78"/>
      <c r="CF51" s="81"/>
      <c r="CG51" s="81"/>
      <c r="CH51" s="81"/>
      <c r="CI51" s="81"/>
      <c r="CJ51" s="81"/>
      <c r="CK51" s="81"/>
      <c r="CL51" s="82"/>
      <c r="CM51" s="96"/>
      <c r="CN51" s="97"/>
      <c r="CO51" s="98"/>
      <c r="CP51" s="92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119"/>
      <c r="DU51" s="78"/>
      <c r="DV51" s="81"/>
      <c r="DW51" s="80"/>
      <c r="DX51" s="78"/>
      <c r="DY51" s="81"/>
      <c r="DZ51" s="81"/>
      <c r="EA51" s="81"/>
      <c r="EB51" s="81"/>
      <c r="EC51" s="81"/>
      <c r="ED51" s="81"/>
      <c r="EE51" s="80"/>
      <c r="EF51" s="96"/>
      <c r="EG51" s="97"/>
      <c r="EH51" s="98"/>
      <c r="EI51" s="92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119"/>
      <c r="FN51" s="78"/>
      <c r="FO51" s="81"/>
      <c r="FP51" s="80"/>
      <c r="FQ51" s="78"/>
      <c r="FR51" s="81"/>
      <c r="FS51" s="81"/>
      <c r="FT51" s="81"/>
      <c r="FU51" s="81"/>
      <c r="FV51" s="81"/>
      <c r="FW51" s="81"/>
      <c r="FX51" s="80"/>
      <c r="FY51" s="96"/>
      <c r="FZ51" s="97"/>
      <c r="GA51" s="98"/>
      <c r="GB51" s="92"/>
      <c r="GC51" s="85"/>
      <c r="GD51" s="85"/>
      <c r="GE51" s="85"/>
      <c r="GF51" s="85"/>
      <c r="GG51" s="85"/>
      <c r="GH51" s="85"/>
      <c r="GI51" s="85"/>
      <c r="GJ51" s="85"/>
      <c r="GK51" s="85"/>
      <c r="GL51" s="85"/>
      <c r="GM51" s="85"/>
      <c r="GN51" s="85"/>
      <c r="GO51" s="85"/>
      <c r="GP51" s="85"/>
      <c r="GQ51" s="85"/>
      <c r="GR51" s="85"/>
      <c r="GS51" s="85"/>
      <c r="GT51" s="85"/>
      <c r="GU51" s="85"/>
      <c r="GV51" s="85"/>
      <c r="GW51" s="85"/>
      <c r="GX51" s="85"/>
      <c r="GY51" s="85"/>
      <c r="GZ51" s="85"/>
      <c r="HA51" s="85"/>
      <c r="HB51" s="85"/>
      <c r="HC51" s="85"/>
      <c r="HD51" s="85"/>
      <c r="HE51" s="85"/>
      <c r="HF51" s="119"/>
      <c r="HG51" s="78"/>
      <c r="HH51" s="81"/>
      <c r="HI51" s="80"/>
      <c r="HJ51" s="78"/>
      <c r="HK51" s="81"/>
      <c r="HL51" s="81"/>
      <c r="HM51" s="81"/>
      <c r="HN51" s="81"/>
      <c r="HO51" s="81"/>
      <c r="HP51" s="81"/>
      <c r="HQ51" s="80"/>
      <c r="HR51" s="96"/>
      <c r="HS51" s="97"/>
      <c r="HT51" s="98"/>
      <c r="HU51" s="92"/>
      <c r="HV51" s="85"/>
      <c r="HW51" s="85"/>
      <c r="HX51" s="85"/>
      <c r="HY51" s="85"/>
      <c r="HZ51" s="85"/>
      <c r="IA51" s="85"/>
      <c r="IB51" s="85"/>
      <c r="IC51" s="85"/>
      <c r="ID51" s="85"/>
      <c r="IE51" s="85"/>
      <c r="IF51" s="85"/>
      <c r="IG51" s="85"/>
      <c r="IH51" s="85"/>
      <c r="II51" s="85"/>
      <c r="IJ51" s="85"/>
      <c r="IK51" s="85"/>
      <c r="IL51" s="85"/>
      <c r="IM51" s="85"/>
      <c r="IN51" s="85"/>
      <c r="IO51" s="85"/>
      <c r="IP51" s="85"/>
      <c r="IQ51" s="85"/>
      <c r="IR51" s="85"/>
      <c r="IS51" s="85"/>
      <c r="IT51" s="85"/>
      <c r="IU51" s="85"/>
      <c r="IV51" s="85"/>
      <c r="IW51" s="85"/>
      <c r="IX51" s="85"/>
      <c r="IY51" s="119"/>
      <c r="IZ51" s="78"/>
      <c r="JA51" s="81"/>
      <c r="JB51" s="80"/>
      <c r="JC51" s="78"/>
      <c r="JD51" s="81"/>
      <c r="JE51" s="81"/>
      <c r="JF51" s="81"/>
      <c r="JG51" s="81"/>
      <c r="JH51" s="81"/>
      <c r="JI51" s="81"/>
      <c r="JJ51" s="80"/>
      <c r="JK51" s="96"/>
      <c r="JL51" s="97"/>
      <c r="JM51" s="98"/>
      <c r="JN51" s="92"/>
      <c r="JO51" s="85"/>
      <c r="JP51" s="85"/>
      <c r="JQ51" s="85"/>
      <c r="JR51" s="85"/>
      <c r="JS51" s="85"/>
      <c r="JT51" s="85"/>
      <c r="JU51" s="85"/>
      <c r="JV51" s="85"/>
      <c r="JW51" s="85"/>
      <c r="JX51" s="85"/>
      <c r="JY51" s="85"/>
      <c r="JZ51" s="85"/>
      <c r="KA51" s="85"/>
      <c r="KB51" s="85"/>
      <c r="KC51" s="85"/>
      <c r="KD51" s="85"/>
      <c r="KE51" s="85"/>
      <c r="KF51" s="85"/>
      <c r="KG51" s="85"/>
      <c r="KH51" s="85"/>
      <c r="KI51" s="85"/>
      <c r="KJ51" s="85"/>
      <c r="KK51" s="85"/>
      <c r="KL51" s="85"/>
      <c r="KM51" s="85"/>
      <c r="KN51" s="85"/>
      <c r="KO51" s="85"/>
      <c r="KP51" s="85"/>
      <c r="KQ51" s="85"/>
      <c r="KR51" s="119"/>
      <c r="KS51" s="78"/>
      <c r="KT51" s="81"/>
      <c r="KU51" s="80"/>
      <c r="KV51" s="78"/>
      <c r="KW51" s="81"/>
      <c r="KX51" s="81"/>
      <c r="KY51" s="81"/>
      <c r="KZ51" s="81"/>
      <c r="LA51" s="81"/>
      <c r="LB51" s="81"/>
      <c r="LC51" s="80"/>
      <c r="LD51" s="96"/>
      <c r="LE51" s="97"/>
      <c r="LF51" s="98"/>
      <c r="LG51" s="92"/>
      <c r="LH51" s="85"/>
      <c r="LI51" s="85"/>
      <c r="LJ51" s="85"/>
      <c r="LK51" s="85"/>
      <c r="LL51" s="85"/>
      <c r="LM51" s="85"/>
      <c r="LN51" s="85"/>
      <c r="LO51" s="85"/>
      <c r="LP51" s="85"/>
      <c r="LQ51" s="85"/>
      <c r="LR51" s="85"/>
      <c r="LS51" s="85"/>
      <c r="LT51" s="85"/>
      <c r="LU51" s="85"/>
      <c r="LV51" s="85"/>
      <c r="LW51" s="85"/>
      <c r="LX51" s="85"/>
      <c r="LY51" s="85"/>
      <c r="LZ51" s="85"/>
      <c r="MA51" s="85"/>
      <c r="MB51" s="85"/>
      <c r="MC51" s="85"/>
      <c r="MD51" s="85"/>
      <c r="ME51" s="85"/>
      <c r="MF51" s="85"/>
      <c r="MG51" s="85"/>
      <c r="MH51" s="85"/>
      <c r="MI51" s="85"/>
      <c r="MJ51" s="85"/>
      <c r="MK51" s="119"/>
      <c r="ML51" s="78"/>
      <c r="MM51" s="81"/>
      <c r="MN51" s="80"/>
      <c r="MO51" s="78"/>
      <c r="MP51" s="81"/>
      <c r="MQ51" s="81"/>
      <c r="MR51" s="81"/>
      <c r="MS51" s="81"/>
      <c r="MT51" s="81"/>
      <c r="MU51" s="81"/>
      <c r="MV51" s="80"/>
      <c r="MW51" s="96"/>
      <c r="MX51" s="97"/>
      <c r="MY51" s="98"/>
      <c r="MZ51" s="92"/>
      <c r="NA51" s="85"/>
      <c r="NB51" s="85"/>
      <c r="NC51" s="85"/>
      <c r="ND51" s="85"/>
      <c r="NE51" s="85"/>
      <c r="NF51" s="85"/>
      <c r="NG51" s="85"/>
      <c r="NH51" s="85"/>
      <c r="NI51" s="85"/>
      <c r="NJ51" s="85"/>
      <c r="NK51" s="85"/>
      <c r="NL51" s="85"/>
      <c r="NM51" s="85"/>
      <c r="NN51" s="85"/>
      <c r="NO51" s="85"/>
      <c r="NP51" s="85"/>
      <c r="NQ51" s="85"/>
      <c r="NR51" s="85"/>
      <c r="NS51" s="85"/>
      <c r="NT51" s="85"/>
      <c r="NU51" s="85"/>
      <c r="NV51" s="85"/>
      <c r="NW51" s="85"/>
      <c r="NX51" s="85"/>
      <c r="NY51" s="85"/>
      <c r="NZ51" s="85"/>
      <c r="OA51" s="85"/>
      <c r="OB51" s="85"/>
      <c r="OC51" s="85"/>
      <c r="OD51" s="119"/>
      <c r="OE51" s="78"/>
      <c r="OF51" s="81"/>
      <c r="OG51" s="80"/>
      <c r="OH51" s="78"/>
      <c r="OI51" s="81"/>
      <c r="OJ51" s="81"/>
      <c r="OK51" s="81"/>
      <c r="OL51" s="81"/>
      <c r="OM51" s="81"/>
      <c r="ON51" s="81"/>
      <c r="OO51" s="80"/>
      <c r="OP51" s="96"/>
      <c r="OQ51" s="97"/>
      <c r="OR51" s="98"/>
      <c r="OS51" s="92"/>
      <c r="OT51" s="85"/>
      <c r="OU51" s="85"/>
      <c r="OV51" s="85"/>
      <c r="OW51" s="85"/>
      <c r="OX51" s="85"/>
      <c r="OY51" s="85"/>
      <c r="OZ51" s="85"/>
      <c r="PA51" s="85"/>
      <c r="PB51" s="85"/>
      <c r="PC51" s="85"/>
      <c r="PD51" s="85"/>
      <c r="PE51" s="85"/>
      <c r="PF51" s="85"/>
      <c r="PG51" s="85"/>
      <c r="PH51" s="85"/>
      <c r="PI51" s="85"/>
      <c r="PJ51" s="85"/>
      <c r="PK51" s="85"/>
      <c r="PL51" s="85"/>
      <c r="PM51" s="85"/>
      <c r="PN51" s="85"/>
      <c r="PO51" s="85"/>
      <c r="PP51" s="85"/>
      <c r="PQ51" s="85"/>
      <c r="PR51" s="85"/>
      <c r="PS51" s="85"/>
      <c r="PT51" s="85"/>
      <c r="PU51" s="85"/>
      <c r="PV51" s="85"/>
      <c r="PW51" s="119"/>
      <c r="PX51" s="78"/>
      <c r="PY51" s="81"/>
      <c r="PZ51" s="80"/>
      <c r="QA51" s="78"/>
      <c r="QB51" s="81"/>
      <c r="QC51" s="81"/>
      <c r="QD51" s="81"/>
      <c r="QE51" s="81"/>
      <c r="QF51" s="81"/>
      <c r="QG51" s="81"/>
      <c r="QH51" s="80"/>
      <c r="QI51" s="96"/>
      <c r="QJ51" s="97"/>
      <c r="QK51" s="98"/>
      <c r="QL51" s="92"/>
      <c r="QM51" s="85"/>
      <c r="QN51" s="85"/>
      <c r="QO51" s="85"/>
      <c r="QP51" s="85"/>
      <c r="QQ51" s="85"/>
      <c r="QR51" s="85"/>
      <c r="QS51" s="85"/>
      <c r="QT51" s="85"/>
      <c r="QU51" s="85"/>
      <c r="QV51" s="85"/>
      <c r="QW51" s="85"/>
      <c r="QX51" s="85"/>
      <c r="QY51" s="85"/>
      <c r="QZ51" s="85"/>
      <c r="RA51" s="85"/>
      <c r="RB51" s="85"/>
      <c r="RC51" s="85"/>
      <c r="RD51" s="85"/>
      <c r="RE51" s="85"/>
      <c r="RF51" s="85"/>
      <c r="RG51" s="85"/>
      <c r="RH51" s="85"/>
      <c r="RI51" s="85"/>
      <c r="RJ51" s="85"/>
      <c r="RK51" s="85"/>
      <c r="RL51" s="85"/>
      <c r="RM51" s="85"/>
      <c r="RN51" s="85"/>
      <c r="RO51" s="85"/>
      <c r="RP51" s="119"/>
      <c r="RQ51" s="78"/>
      <c r="RR51" s="81"/>
      <c r="RS51" s="80"/>
      <c r="RT51" s="78"/>
      <c r="RU51" s="81"/>
      <c r="RV51" s="81"/>
      <c r="RW51" s="81"/>
      <c r="RX51" s="81"/>
      <c r="RY51" s="81"/>
      <c r="RZ51" s="81"/>
      <c r="SA51" s="80"/>
      <c r="SB51" s="96"/>
      <c r="SC51" s="97"/>
      <c r="SD51" s="98"/>
      <c r="SE51" s="92"/>
      <c r="SF51" s="85"/>
      <c r="SG51" s="85"/>
      <c r="SH51" s="85"/>
      <c r="SI51" s="85"/>
      <c r="SJ51" s="85"/>
      <c r="SK51" s="85"/>
      <c r="SL51" s="85"/>
      <c r="SM51" s="85"/>
      <c r="SN51" s="85"/>
      <c r="SO51" s="85"/>
      <c r="SP51" s="85"/>
      <c r="SQ51" s="85"/>
      <c r="SR51" s="85"/>
      <c r="SS51" s="85"/>
      <c r="ST51" s="85"/>
      <c r="SU51" s="85"/>
      <c r="SV51" s="85"/>
      <c r="SW51" s="85"/>
      <c r="SX51" s="85"/>
      <c r="SY51" s="85"/>
      <c r="SZ51" s="85"/>
      <c r="TA51" s="85"/>
      <c r="TB51" s="85"/>
      <c r="TC51" s="85"/>
      <c r="TD51" s="85"/>
      <c r="TE51" s="85"/>
      <c r="TF51" s="85"/>
      <c r="TG51" s="85"/>
      <c r="TH51" s="85"/>
      <c r="TI51" s="119"/>
      <c r="TJ51" s="78"/>
      <c r="TK51" s="81"/>
      <c r="TL51" s="80"/>
      <c r="TM51" s="78"/>
      <c r="TN51" s="81"/>
      <c r="TO51" s="81"/>
      <c r="TP51" s="81"/>
      <c r="TQ51" s="81"/>
      <c r="TR51" s="81"/>
      <c r="TS51" s="81"/>
      <c r="TT51" s="80"/>
    </row>
    <row r="52" ht="24.75" customHeight="1" collapsed="1">
      <c r="A52" s="100" t="s">
        <v>27</v>
      </c>
      <c r="B52" s="101"/>
      <c r="C52" s="102"/>
      <c r="D52" s="103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4"/>
      <c r="AH52" s="105"/>
      <c r="AI52" s="103"/>
      <c r="AJ52" s="101"/>
      <c r="AK52" s="102"/>
      <c r="AL52" s="103"/>
      <c r="AM52" s="101"/>
      <c r="AN52" s="101"/>
      <c r="AO52" s="101"/>
      <c r="AP52" s="101"/>
      <c r="AQ52" s="101"/>
      <c r="AR52" s="101"/>
      <c r="AS52" s="102"/>
      <c r="AT52" s="100" t="s">
        <v>27</v>
      </c>
      <c r="AU52" s="101"/>
      <c r="AV52" s="102"/>
      <c r="AW52" s="103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  <c r="BO52" s="101"/>
      <c r="BP52" s="101"/>
      <c r="BQ52" s="101"/>
      <c r="BR52" s="101"/>
      <c r="BS52" s="101"/>
      <c r="BT52" s="101"/>
      <c r="BU52" s="101"/>
      <c r="BV52" s="101"/>
      <c r="BW52" s="101"/>
      <c r="BX52" s="101"/>
      <c r="BY52" s="101"/>
      <c r="BZ52" s="104"/>
      <c r="CA52" s="106"/>
      <c r="CB52" s="103"/>
      <c r="CC52" s="101"/>
      <c r="CD52" s="102"/>
      <c r="CE52" s="103"/>
      <c r="CF52" s="101"/>
      <c r="CG52" s="101"/>
      <c r="CH52" s="101"/>
      <c r="CI52" s="101"/>
      <c r="CJ52" s="101"/>
      <c r="CK52" s="101"/>
      <c r="CL52" s="102"/>
      <c r="CM52" s="100" t="s">
        <v>27</v>
      </c>
      <c r="CN52" s="101"/>
      <c r="CO52" s="102"/>
      <c r="CP52" s="103"/>
      <c r="CQ52" s="101"/>
      <c r="CR52" s="101"/>
      <c r="CS52" s="101"/>
      <c r="CT52" s="101"/>
      <c r="CU52" s="101"/>
      <c r="CV52" s="101"/>
      <c r="CW52" s="101"/>
      <c r="CX52" s="101"/>
      <c r="CY52" s="101"/>
      <c r="CZ52" s="101"/>
      <c r="DA52" s="101"/>
      <c r="DB52" s="101"/>
      <c r="DC52" s="101"/>
      <c r="DD52" s="101"/>
      <c r="DE52" s="101"/>
      <c r="DF52" s="101"/>
      <c r="DG52" s="101"/>
      <c r="DH52" s="101"/>
      <c r="DI52" s="101"/>
      <c r="DJ52" s="101"/>
      <c r="DK52" s="101"/>
      <c r="DL52" s="101"/>
      <c r="DM52" s="101"/>
      <c r="DN52" s="101"/>
      <c r="DO52" s="101"/>
      <c r="DP52" s="101"/>
      <c r="DQ52" s="101"/>
      <c r="DR52" s="101"/>
      <c r="DS52" s="104"/>
      <c r="DT52" s="106"/>
      <c r="DU52" s="103"/>
      <c r="DV52" s="101"/>
      <c r="DW52" s="102"/>
      <c r="DX52" s="103"/>
      <c r="DY52" s="101"/>
      <c r="DZ52" s="101"/>
      <c r="EA52" s="101"/>
      <c r="EB52" s="101"/>
      <c r="EC52" s="101"/>
      <c r="ED52" s="101"/>
      <c r="EE52" s="102"/>
      <c r="EF52" s="100" t="s">
        <v>27</v>
      </c>
      <c r="EG52" s="101"/>
      <c r="EH52" s="102"/>
      <c r="EI52" s="103"/>
      <c r="EJ52" s="101"/>
      <c r="EK52" s="101"/>
      <c r="EL52" s="101"/>
      <c r="EM52" s="101"/>
      <c r="EN52" s="101"/>
      <c r="EO52" s="101"/>
      <c r="EP52" s="101"/>
      <c r="EQ52" s="101"/>
      <c r="ER52" s="101"/>
      <c r="ES52" s="101"/>
      <c r="ET52" s="101"/>
      <c r="EU52" s="101"/>
      <c r="EV52" s="101"/>
      <c r="EW52" s="101"/>
      <c r="EX52" s="101"/>
      <c r="EY52" s="101"/>
      <c r="EZ52" s="101"/>
      <c r="FA52" s="101"/>
      <c r="FB52" s="101"/>
      <c r="FC52" s="101"/>
      <c r="FD52" s="101"/>
      <c r="FE52" s="101"/>
      <c r="FF52" s="101"/>
      <c r="FG52" s="101"/>
      <c r="FH52" s="101"/>
      <c r="FI52" s="101"/>
      <c r="FJ52" s="101"/>
      <c r="FK52" s="101"/>
      <c r="FL52" s="104"/>
      <c r="FM52" s="106"/>
      <c r="FN52" s="103"/>
      <c r="FO52" s="101"/>
      <c r="FP52" s="102"/>
      <c r="FQ52" s="103"/>
      <c r="FR52" s="101"/>
      <c r="FS52" s="101"/>
      <c r="FT52" s="101"/>
      <c r="FU52" s="101"/>
      <c r="FV52" s="101"/>
      <c r="FW52" s="101"/>
      <c r="FX52" s="102"/>
      <c r="FY52" s="100" t="s">
        <v>27</v>
      </c>
      <c r="FZ52" s="101"/>
      <c r="GA52" s="102"/>
      <c r="GB52" s="103"/>
      <c r="GC52" s="101"/>
      <c r="GD52" s="101"/>
      <c r="GE52" s="101"/>
      <c r="GF52" s="101"/>
      <c r="GG52" s="101"/>
      <c r="GH52" s="101"/>
      <c r="GI52" s="101"/>
      <c r="GJ52" s="101"/>
      <c r="GK52" s="101"/>
      <c r="GL52" s="101"/>
      <c r="GM52" s="101"/>
      <c r="GN52" s="101"/>
      <c r="GO52" s="101"/>
      <c r="GP52" s="101"/>
      <c r="GQ52" s="101"/>
      <c r="GR52" s="101"/>
      <c r="GS52" s="101"/>
      <c r="GT52" s="101"/>
      <c r="GU52" s="101"/>
      <c r="GV52" s="101"/>
      <c r="GW52" s="101"/>
      <c r="GX52" s="101"/>
      <c r="GY52" s="101"/>
      <c r="GZ52" s="101"/>
      <c r="HA52" s="101"/>
      <c r="HB52" s="101"/>
      <c r="HC52" s="101"/>
      <c r="HD52" s="101"/>
      <c r="HE52" s="104"/>
      <c r="HF52" s="106"/>
      <c r="HG52" s="103"/>
      <c r="HH52" s="101"/>
      <c r="HI52" s="102"/>
      <c r="HJ52" s="103"/>
      <c r="HK52" s="101"/>
      <c r="HL52" s="101"/>
      <c r="HM52" s="101"/>
      <c r="HN52" s="101"/>
      <c r="HO52" s="101"/>
      <c r="HP52" s="101"/>
      <c r="HQ52" s="102"/>
      <c r="HR52" s="100" t="s">
        <v>27</v>
      </c>
      <c r="HS52" s="101"/>
      <c r="HT52" s="102"/>
      <c r="HU52" s="103"/>
      <c r="HV52" s="101"/>
      <c r="HW52" s="101"/>
      <c r="HX52" s="101"/>
      <c r="HY52" s="101"/>
      <c r="HZ52" s="101"/>
      <c r="IA52" s="101"/>
      <c r="IB52" s="101"/>
      <c r="IC52" s="101"/>
      <c r="ID52" s="101"/>
      <c r="IE52" s="101"/>
      <c r="IF52" s="101"/>
      <c r="IG52" s="101"/>
      <c r="IH52" s="101"/>
      <c r="II52" s="101"/>
      <c r="IJ52" s="101"/>
      <c r="IK52" s="101"/>
      <c r="IL52" s="101"/>
      <c r="IM52" s="101"/>
      <c r="IN52" s="101"/>
      <c r="IO52" s="101"/>
      <c r="IP52" s="101"/>
      <c r="IQ52" s="101"/>
      <c r="IR52" s="101"/>
      <c r="IS52" s="101"/>
      <c r="IT52" s="101"/>
      <c r="IU52" s="101"/>
      <c r="IV52" s="101"/>
      <c r="IW52" s="101"/>
      <c r="IX52" s="104"/>
      <c r="IY52" s="106"/>
      <c r="IZ52" s="103"/>
      <c r="JA52" s="101"/>
      <c r="JB52" s="102"/>
      <c r="JC52" s="103"/>
      <c r="JD52" s="101"/>
      <c r="JE52" s="101"/>
      <c r="JF52" s="101"/>
      <c r="JG52" s="101"/>
      <c r="JH52" s="101"/>
      <c r="JI52" s="101"/>
      <c r="JJ52" s="102"/>
      <c r="JK52" s="100" t="s">
        <v>27</v>
      </c>
      <c r="JL52" s="101"/>
      <c r="JM52" s="102"/>
      <c r="JN52" s="103"/>
      <c r="JO52" s="101"/>
      <c r="JP52" s="101"/>
      <c r="JQ52" s="101"/>
      <c r="JR52" s="101"/>
      <c r="JS52" s="101"/>
      <c r="JT52" s="101"/>
      <c r="JU52" s="101"/>
      <c r="JV52" s="101"/>
      <c r="JW52" s="101"/>
      <c r="JX52" s="101"/>
      <c r="JY52" s="101"/>
      <c r="JZ52" s="101"/>
      <c r="KA52" s="101"/>
      <c r="KB52" s="101"/>
      <c r="KC52" s="101"/>
      <c r="KD52" s="101"/>
      <c r="KE52" s="101"/>
      <c r="KF52" s="101"/>
      <c r="KG52" s="101"/>
      <c r="KH52" s="101"/>
      <c r="KI52" s="101"/>
      <c r="KJ52" s="101"/>
      <c r="KK52" s="101"/>
      <c r="KL52" s="101"/>
      <c r="KM52" s="101"/>
      <c r="KN52" s="101"/>
      <c r="KO52" s="101"/>
      <c r="KP52" s="101"/>
      <c r="KQ52" s="104"/>
      <c r="KR52" s="106"/>
      <c r="KS52" s="103"/>
      <c r="KT52" s="101"/>
      <c r="KU52" s="102"/>
      <c r="KV52" s="103"/>
      <c r="KW52" s="101"/>
      <c r="KX52" s="101"/>
      <c r="KY52" s="101"/>
      <c r="KZ52" s="101"/>
      <c r="LA52" s="101"/>
      <c r="LB52" s="101"/>
      <c r="LC52" s="102"/>
      <c r="LD52" s="100" t="s">
        <v>27</v>
      </c>
      <c r="LE52" s="101"/>
      <c r="LF52" s="102"/>
      <c r="LG52" s="103"/>
      <c r="LH52" s="101"/>
      <c r="LI52" s="101"/>
      <c r="LJ52" s="101"/>
      <c r="LK52" s="101"/>
      <c r="LL52" s="101"/>
      <c r="LM52" s="101"/>
      <c r="LN52" s="101"/>
      <c r="LO52" s="101"/>
      <c r="LP52" s="101"/>
      <c r="LQ52" s="101"/>
      <c r="LR52" s="101"/>
      <c r="LS52" s="101"/>
      <c r="LT52" s="101"/>
      <c r="LU52" s="101"/>
      <c r="LV52" s="101"/>
      <c r="LW52" s="101"/>
      <c r="LX52" s="101"/>
      <c r="LY52" s="101"/>
      <c r="LZ52" s="101"/>
      <c r="MA52" s="101"/>
      <c r="MB52" s="101"/>
      <c r="MC52" s="101"/>
      <c r="MD52" s="101"/>
      <c r="ME52" s="101"/>
      <c r="MF52" s="101"/>
      <c r="MG52" s="101"/>
      <c r="MH52" s="101"/>
      <c r="MI52" s="101"/>
      <c r="MJ52" s="104"/>
      <c r="MK52" s="106"/>
      <c r="ML52" s="103"/>
      <c r="MM52" s="101"/>
      <c r="MN52" s="102"/>
      <c r="MO52" s="103"/>
      <c r="MP52" s="101"/>
      <c r="MQ52" s="101"/>
      <c r="MR52" s="101"/>
      <c r="MS52" s="101"/>
      <c r="MT52" s="101"/>
      <c r="MU52" s="101"/>
      <c r="MV52" s="102"/>
      <c r="MW52" s="100" t="s">
        <v>27</v>
      </c>
      <c r="MX52" s="101"/>
      <c r="MY52" s="102"/>
      <c r="MZ52" s="103"/>
      <c r="NA52" s="101"/>
      <c r="NB52" s="101"/>
      <c r="NC52" s="101"/>
      <c r="ND52" s="101"/>
      <c r="NE52" s="101"/>
      <c r="NF52" s="101"/>
      <c r="NG52" s="101"/>
      <c r="NH52" s="101"/>
      <c r="NI52" s="101"/>
      <c r="NJ52" s="101"/>
      <c r="NK52" s="101"/>
      <c r="NL52" s="101"/>
      <c r="NM52" s="101"/>
      <c r="NN52" s="101"/>
      <c r="NO52" s="101"/>
      <c r="NP52" s="101"/>
      <c r="NQ52" s="101"/>
      <c r="NR52" s="101"/>
      <c r="NS52" s="101"/>
      <c r="NT52" s="101"/>
      <c r="NU52" s="101"/>
      <c r="NV52" s="101"/>
      <c r="NW52" s="101"/>
      <c r="NX52" s="101"/>
      <c r="NY52" s="101"/>
      <c r="NZ52" s="101"/>
      <c r="OA52" s="101"/>
      <c r="OB52" s="101"/>
      <c r="OC52" s="104"/>
      <c r="OD52" s="106"/>
      <c r="OE52" s="103"/>
      <c r="OF52" s="101"/>
      <c r="OG52" s="102"/>
      <c r="OH52" s="103"/>
      <c r="OI52" s="101"/>
      <c r="OJ52" s="101"/>
      <c r="OK52" s="101"/>
      <c r="OL52" s="101"/>
      <c r="OM52" s="101"/>
      <c r="ON52" s="101"/>
      <c r="OO52" s="102"/>
      <c r="OP52" s="100" t="s">
        <v>27</v>
      </c>
      <c r="OQ52" s="101"/>
      <c r="OR52" s="102"/>
      <c r="OS52" s="103"/>
      <c r="OT52" s="101"/>
      <c r="OU52" s="101"/>
      <c r="OV52" s="101"/>
      <c r="OW52" s="101"/>
      <c r="OX52" s="101"/>
      <c r="OY52" s="101"/>
      <c r="OZ52" s="101"/>
      <c r="PA52" s="101"/>
      <c r="PB52" s="101"/>
      <c r="PC52" s="101"/>
      <c r="PD52" s="101"/>
      <c r="PE52" s="101"/>
      <c r="PF52" s="101"/>
      <c r="PG52" s="101"/>
      <c r="PH52" s="101"/>
      <c r="PI52" s="101"/>
      <c r="PJ52" s="101"/>
      <c r="PK52" s="101"/>
      <c r="PL52" s="101"/>
      <c r="PM52" s="101"/>
      <c r="PN52" s="101"/>
      <c r="PO52" s="101"/>
      <c r="PP52" s="101"/>
      <c r="PQ52" s="101"/>
      <c r="PR52" s="101"/>
      <c r="PS52" s="101"/>
      <c r="PT52" s="101"/>
      <c r="PU52" s="101"/>
      <c r="PV52" s="104"/>
      <c r="PW52" s="106"/>
      <c r="PX52" s="103"/>
      <c r="PY52" s="101"/>
      <c r="PZ52" s="102"/>
      <c r="QA52" s="103"/>
      <c r="QB52" s="101"/>
      <c r="QC52" s="101"/>
      <c r="QD52" s="101"/>
      <c r="QE52" s="101"/>
      <c r="QF52" s="101"/>
      <c r="QG52" s="101"/>
      <c r="QH52" s="102"/>
      <c r="QI52" s="100" t="s">
        <v>27</v>
      </c>
      <c r="QJ52" s="101"/>
      <c r="QK52" s="102"/>
      <c r="QL52" s="103"/>
      <c r="QM52" s="101"/>
      <c r="QN52" s="101"/>
      <c r="QO52" s="101"/>
      <c r="QP52" s="101"/>
      <c r="QQ52" s="101"/>
      <c r="QR52" s="101"/>
      <c r="QS52" s="101"/>
      <c r="QT52" s="101"/>
      <c r="QU52" s="101"/>
      <c r="QV52" s="101"/>
      <c r="QW52" s="101"/>
      <c r="QX52" s="101"/>
      <c r="QY52" s="101"/>
      <c r="QZ52" s="101"/>
      <c r="RA52" s="101"/>
      <c r="RB52" s="101"/>
      <c r="RC52" s="101"/>
      <c r="RD52" s="101"/>
      <c r="RE52" s="101"/>
      <c r="RF52" s="101"/>
      <c r="RG52" s="101"/>
      <c r="RH52" s="101"/>
      <c r="RI52" s="101"/>
      <c r="RJ52" s="101"/>
      <c r="RK52" s="101"/>
      <c r="RL52" s="101"/>
      <c r="RM52" s="101"/>
      <c r="RN52" s="101"/>
      <c r="RO52" s="104"/>
      <c r="RP52" s="106"/>
      <c r="RQ52" s="103"/>
      <c r="RR52" s="101"/>
      <c r="RS52" s="102"/>
      <c r="RT52" s="103"/>
      <c r="RU52" s="101"/>
      <c r="RV52" s="101"/>
      <c r="RW52" s="101"/>
      <c r="RX52" s="101"/>
      <c r="RY52" s="101"/>
      <c r="RZ52" s="101"/>
      <c r="SA52" s="102"/>
      <c r="SB52" s="100" t="s">
        <v>27</v>
      </c>
      <c r="SC52" s="101"/>
      <c r="SD52" s="102"/>
      <c r="SE52" s="103"/>
      <c r="SF52" s="101"/>
      <c r="SG52" s="101"/>
      <c r="SH52" s="101"/>
      <c r="SI52" s="101"/>
      <c r="SJ52" s="101"/>
      <c r="SK52" s="101"/>
      <c r="SL52" s="101"/>
      <c r="SM52" s="101"/>
      <c r="SN52" s="101"/>
      <c r="SO52" s="101"/>
      <c r="SP52" s="101"/>
      <c r="SQ52" s="101"/>
      <c r="SR52" s="101"/>
      <c r="SS52" s="101"/>
      <c r="ST52" s="101"/>
      <c r="SU52" s="101"/>
      <c r="SV52" s="101"/>
      <c r="SW52" s="101"/>
      <c r="SX52" s="101"/>
      <c r="SY52" s="101"/>
      <c r="SZ52" s="101"/>
      <c r="TA52" s="101"/>
      <c r="TB52" s="101"/>
      <c r="TC52" s="101"/>
      <c r="TD52" s="101"/>
      <c r="TE52" s="101"/>
      <c r="TF52" s="101"/>
      <c r="TG52" s="101"/>
      <c r="TH52" s="104"/>
      <c r="TI52" s="106"/>
      <c r="TJ52" s="103"/>
      <c r="TK52" s="101"/>
      <c r="TL52" s="102"/>
      <c r="TM52" s="103"/>
      <c r="TN52" s="101"/>
      <c r="TO52" s="101"/>
      <c r="TP52" s="101"/>
      <c r="TQ52" s="101"/>
      <c r="TR52" s="101"/>
      <c r="TS52" s="101"/>
      <c r="TT52" s="102"/>
    </row>
    <row r="53" ht="24.75" hidden="1" customHeight="1" outlineLevel="1">
      <c r="A53" s="108" t="str">
        <f>elenchi!$C11</f>
        <v>vuoto</v>
      </c>
      <c r="B53" s="109"/>
      <c r="C53" s="110"/>
      <c r="D53" s="67">
        <f t="shared" ref="D53:AH53" si="121">D$2</f>
        <v>45901</v>
      </c>
      <c r="E53" s="67">
        <f t="shared" si="121"/>
        <v>45902</v>
      </c>
      <c r="F53" s="67">
        <f t="shared" si="121"/>
        <v>45903</v>
      </c>
      <c r="G53" s="67">
        <f t="shared" si="121"/>
        <v>45904</v>
      </c>
      <c r="H53" s="67">
        <f t="shared" si="121"/>
        <v>45905</v>
      </c>
      <c r="I53" s="67">
        <f t="shared" si="121"/>
        <v>45906</v>
      </c>
      <c r="J53" s="67">
        <f t="shared" si="121"/>
        <v>45907</v>
      </c>
      <c r="K53" s="67">
        <f t="shared" si="121"/>
        <v>45908</v>
      </c>
      <c r="L53" s="67">
        <f t="shared" si="121"/>
        <v>45909</v>
      </c>
      <c r="M53" s="67">
        <f t="shared" si="121"/>
        <v>45910</v>
      </c>
      <c r="N53" s="67">
        <f t="shared" si="121"/>
        <v>45911</v>
      </c>
      <c r="O53" s="67">
        <f t="shared" si="121"/>
        <v>45912</v>
      </c>
      <c r="P53" s="67">
        <f t="shared" si="121"/>
        <v>45913</v>
      </c>
      <c r="Q53" s="67">
        <f t="shared" si="121"/>
        <v>45914</v>
      </c>
      <c r="R53" s="67">
        <f t="shared" si="121"/>
        <v>45915</v>
      </c>
      <c r="S53" s="67">
        <f t="shared" si="121"/>
        <v>45916</v>
      </c>
      <c r="T53" s="67">
        <f t="shared" si="121"/>
        <v>45917</v>
      </c>
      <c r="U53" s="67">
        <f t="shared" si="121"/>
        <v>45918</v>
      </c>
      <c r="V53" s="67">
        <f t="shared" si="121"/>
        <v>45919</v>
      </c>
      <c r="W53" s="67">
        <f t="shared" si="121"/>
        <v>45920</v>
      </c>
      <c r="X53" s="67">
        <f t="shared" si="121"/>
        <v>45921</v>
      </c>
      <c r="Y53" s="67">
        <f t="shared" si="121"/>
        <v>45922</v>
      </c>
      <c r="Z53" s="67">
        <f t="shared" si="121"/>
        <v>45923</v>
      </c>
      <c r="AA53" s="67">
        <f t="shared" si="121"/>
        <v>45924</v>
      </c>
      <c r="AB53" s="67">
        <f t="shared" si="121"/>
        <v>45925</v>
      </c>
      <c r="AC53" s="67">
        <f t="shared" si="121"/>
        <v>45926</v>
      </c>
      <c r="AD53" s="67">
        <f t="shared" si="121"/>
        <v>45927</v>
      </c>
      <c r="AE53" s="67">
        <f t="shared" si="121"/>
        <v>45928</v>
      </c>
      <c r="AF53" s="67">
        <f t="shared" si="121"/>
        <v>45929</v>
      </c>
      <c r="AG53" s="67">
        <f t="shared" si="121"/>
        <v>45930</v>
      </c>
      <c r="AH53" s="111" t="str">
        <f t="shared" si="121"/>
        <v/>
      </c>
      <c r="AI53" s="112" t="s">
        <v>33</v>
      </c>
      <c r="AJ53" s="113" t="s">
        <v>28</v>
      </c>
      <c r="AK53" s="114" t="s">
        <v>34</v>
      </c>
      <c r="AL53" s="112" t="s">
        <v>13</v>
      </c>
      <c r="AM53" s="113" t="s">
        <v>1</v>
      </c>
      <c r="AN53" s="113" t="s">
        <v>35</v>
      </c>
      <c r="AO53" s="113" t="s">
        <v>36</v>
      </c>
      <c r="AP53" s="113" t="s">
        <v>37</v>
      </c>
      <c r="AQ53" s="113" t="s">
        <v>0</v>
      </c>
      <c r="AR53" s="113" t="s">
        <v>38</v>
      </c>
      <c r="AS53" s="115" t="s">
        <v>11</v>
      </c>
      <c r="AT53" s="108" t="str">
        <f>elenchi!$C11</f>
        <v>vuoto</v>
      </c>
      <c r="AU53" s="109"/>
      <c r="AV53" s="110"/>
      <c r="AW53" s="67">
        <f t="shared" ref="AW53:CA53" si="122">AW$2</f>
        <v>45931</v>
      </c>
      <c r="AX53" s="67">
        <f t="shared" si="122"/>
        <v>45932</v>
      </c>
      <c r="AY53" s="67">
        <f t="shared" si="122"/>
        <v>45933</v>
      </c>
      <c r="AZ53" s="67">
        <f t="shared" si="122"/>
        <v>45934</v>
      </c>
      <c r="BA53" s="67">
        <f t="shared" si="122"/>
        <v>45935</v>
      </c>
      <c r="BB53" s="67">
        <f t="shared" si="122"/>
        <v>45936</v>
      </c>
      <c r="BC53" s="67">
        <f t="shared" si="122"/>
        <v>45937</v>
      </c>
      <c r="BD53" s="67">
        <f t="shared" si="122"/>
        <v>45938</v>
      </c>
      <c r="BE53" s="67">
        <f t="shared" si="122"/>
        <v>45939</v>
      </c>
      <c r="BF53" s="67">
        <f t="shared" si="122"/>
        <v>45940</v>
      </c>
      <c r="BG53" s="67">
        <f t="shared" si="122"/>
        <v>45941</v>
      </c>
      <c r="BH53" s="67">
        <f t="shared" si="122"/>
        <v>45942</v>
      </c>
      <c r="BI53" s="67">
        <f t="shared" si="122"/>
        <v>45943</v>
      </c>
      <c r="BJ53" s="67">
        <f t="shared" si="122"/>
        <v>45944</v>
      </c>
      <c r="BK53" s="67">
        <f t="shared" si="122"/>
        <v>45945</v>
      </c>
      <c r="BL53" s="67">
        <f t="shared" si="122"/>
        <v>45946</v>
      </c>
      <c r="BM53" s="67">
        <f t="shared" si="122"/>
        <v>45947</v>
      </c>
      <c r="BN53" s="67">
        <f t="shared" si="122"/>
        <v>45948</v>
      </c>
      <c r="BO53" s="67">
        <f t="shared" si="122"/>
        <v>45949</v>
      </c>
      <c r="BP53" s="67">
        <f t="shared" si="122"/>
        <v>45950</v>
      </c>
      <c r="BQ53" s="67">
        <f t="shared" si="122"/>
        <v>45951</v>
      </c>
      <c r="BR53" s="67">
        <f t="shared" si="122"/>
        <v>45952</v>
      </c>
      <c r="BS53" s="67">
        <f t="shared" si="122"/>
        <v>45953</v>
      </c>
      <c r="BT53" s="67">
        <f t="shared" si="122"/>
        <v>45954</v>
      </c>
      <c r="BU53" s="67">
        <f t="shared" si="122"/>
        <v>45955</v>
      </c>
      <c r="BV53" s="67">
        <f t="shared" si="122"/>
        <v>45956</v>
      </c>
      <c r="BW53" s="67">
        <f t="shared" si="122"/>
        <v>45957</v>
      </c>
      <c r="BX53" s="67">
        <f t="shared" si="122"/>
        <v>45958</v>
      </c>
      <c r="BY53" s="67">
        <f t="shared" si="122"/>
        <v>45959</v>
      </c>
      <c r="BZ53" s="67">
        <f t="shared" si="122"/>
        <v>45960</v>
      </c>
      <c r="CA53" s="67">
        <f t="shared" si="122"/>
        <v>45961</v>
      </c>
      <c r="CB53" s="112" t="s">
        <v>33</v>
      </c>
      <c r="CC53" s="113" t="s">
        <v>28</v>
      </c>
      <c r="CD53" s="114" t="s">
        <v>34</v>
      </c>
      <c r="CE53" s="112" t="s">
        <v>13</v>
      </c>
      <c r="CF53" s="113" t="s">
        <v>1</v>
      </c>
      <c r="CG53" s="113" t="s">
        <v>35</v>
      </c>
      <c r="CH53" s="113" t="s">
        <v>36</v>
      </c>
      <c r="CI53" s="113" t="s">
        <v>37</v>
      </c>
      <c r="CJ53" s="113" t="s">
        <v>0</v>
      </c>
      <c r="CK53" s="113" t="s">
        <v>38</v>
      </c>
      <c r="CL53" s="115" t="s">
        <v>11</v>
      </c>
      <c r="CM53" s="108" t="str">
        <f>elenchi!$C11</f>
        <v>vuoto</v>
      </c>
      <c r="CN53" s="109"/>
      <c r="CO53" s="110"/>
      <c r="CP53" s="67">
        <f t="shared" ref="CP53:DT53" si="123">CP$2</f>
        <v>45962</v>
      </c>
      <c r="CQ53" s="67">
        <f t="shared" si="123"/>
        <v>45963</v>
      </c>
      <c r="CR53" s="67">
        <f t="shared" si="123"/>
        <v>45964</v>
      </c>
      <c r="CS53" s="67">
        <f t="shared" si="123"/>
        <v>45965</v>
      </c>
      <c r="CT53" s="67">
        <f t="shared" si="123"/>
        <v>45966</v>
      </c>
      <c r="CU53" s="67">
        <f t="shared" si="123"/>
        <v>45967</v>
      </c>
      <c r="CV53" s="67">
        <f t="shared" si="123"/>
        <v>45968</v>
      </c>
      <c r="CW53" s="67">
        <f t="shared" si="123"/>
        <v>45969</v>
      </c>
      <c r="CX53" s="67">
        <f t="shared" si="123"/>
        <v>45970</v>
      </c>
      <c r="CY53" s="67">
        <f t="shared" si="123"/>
        <v>45971</v>
      </c>
      <c r="CZ53" s="67">
        <f t="shared" si="123"/>
        <v>45972</v>
      </c>
      <c r="DA53" s="67">
        <f t="shared" si="123"/>
        <v>45973</v>
      </c>
      <c r="DB53" s="67">
        <f t="shared" si="123"/>
        <v>45974</v>
      </c>
      <c r="DC53" s="67">
        <f t="shared" si="123"/>
        <v>45975</v>
      </c>
      <c r="DD53" s="67">
        <f t="shared" si="123"/>
        <v>45976</v>
      </c>
      <c r="DE53" s="67">
        <f t="shared" si="123"/>
        <v>45977</v>
      </c>
      <c r="DF53" s="67">
        <f t="shared" si="123"/>
        <v>45978</v>
      </c>
      <c r="DG53" s="67">
        <f t="shared" si="123"/>
        <v>45979</v>
      </c>
      <c r="DH53" s="67">
        <f t="shared" si="123"/>
        <v>45980</v>
      </c>
      <c r="DI53" s="67">
        <f t="shared" si="123"/>
        <v>45981</v>
      </c>
      <c r="DJ53" s="67">
        <f t="shared" si="123"/>
        <v>45982</v>
      </c>
      <c r="DK53" s="67">
        <f t="shared" si="123"/>
        <v>45983</v>
      </c>
      <c r="DL53" s="67">
        <f t="shared" si="123"/>
        <v>45984</v>
      </c>
      <c r="DM53" s="67">
        <f t="shared" si="123"/>
        <v>45985</v>
      </c>
      <c r="DN53" s="67">
        <f t="shared" si="123"/>
        <v>45986</v>
      </c>
      <c r="DO53" s="67">
        <f t="shared" si="123"/>
        <v>45987</v>
      </c>
      <c r="DP53" s="67">
        <f t="shared" si="123"/>
        <v>45988</v>
      </c>
      <c r="DQ53" s="67">
        <f t="shared" si="123"/>
        <v>45989</v>
      </c>
      <c r="DR53" s="67">
        <f t="shared" si="123"/>
        <v>45990</v>
      </c>
      <c r="DS53" s="67">
        <f t="shared" si="123"/>
        <v>45991</v>
      </c>
      <c r="DT53" s="67" t="str">
        <f t="shared" si="123"/>
        <v/>
      </c>
      <c r="DU53" s="112" t="s">
        <v>33</v>
      </c>
      <c r="DV53" s="113" t="s">
        <v>28</v>
      </c>
      <c r="DW53" s="114" t="s">
        <v>34</v>
      </c>
      <c r="DX53" s="112" t="s">
        <v>13</v>
      </c>
      <c r="DY53" s="113" t="s">
        <v>1</v>
      </c>
      <c r="DZ53" s="113" t="s">
        <v>35</v>
      </c>
      <c r="EA53" s="113" t="s">
        <v>36</v>
      </c>
      <c r="EB53" s="113" t="s">
        <v>37</v>
      </c>
      <c r="EC53" s="113" t="s">
        <v>0</v>
      </c>
      <c r="ED53" s="113" t="s">
        <v>38</v>
      </c>
      <c r="EE53" s="114" t="s">
        <v>11</v>
      </c>
      <c r="EF53" s="108" t="str">
        <f>elenchi!$C11</f>
        <v>vuoto</v>
      </c>
      <c r="EG53" s="109"/>
      <c r="EH53" s="110"/>
      <c r="EI53" s="67">
        <f t="shared" ref="EI53:FM53" si="124">EI$2</f>
        <v>45992</v>
      </c>
      <c r="EJ53" s="67">
        <f t="shared" si="124"/>
        <v>45993</v>
      </c>
      <c r="EK53" s="67">
        <f t="shared" si="124"/>
        <v>45994</v>
      </c>
      <c r="EL53" s="67">
        <f t="shared" si="124"/>
        <v>45995</v>
      </c>
      <c r="EM53" s="67">
        <f t="shared" si="124"/>
        <v>45996</v>
      </c>
      <c r="EN53" s="67">
        <f t="shared" si="124"/>
        <v>45997</v>
      </c>
      <c r="EO53" s="67">
        <f t="shared" si="124"/>
        <v>45998</v>
      </c>
      <c r="EP53" s="67">
        <f t="shared" si="124"/>
        <v>45999</v>
      </c>
      <c r="EQ53" s="67">
        <f t="shared" si="124"/>
        <v>46000</v>
      </c>
      <c r="ER53" s="67">
        <f t="shared" si="124"/>
        <v>46001</v>
      </c>
      <c r="ES53" s="67">
        <f t="shared" si="124"/>
        <v>46002</v>
      </c>
      <c r="ET53" s="67">
        <f t="shared" si="124"/>
        <v>46003</v>
      </c>
      <c r="EU53" s="67">
        <f t="shared" si="124"/>
        <v>46004</v>
      </c>
      <c r="EV53" s="67">
        <f t="shared" si="124"/>
        <v>46005</v>
      </c>
      <c r="EW53" s="67">
        <f t="shared" si="124"/>
        <v>46006</v>
      </c>
      <c r="EX53" s="67">
        <f t="shared" si="124"/>
        <v>46007</v>
      </c>
      <c r="EY53" s="67">
        <f t="shared" si="124"/>
        <v>46008</v>
      </c>
      <c r="EZ53" s="67">
        <f t="shared" si="124"/>
        <v>46009</v>
      </c>
      <c r="FA53" s="67">
        <f t="shared" si="124"/>
        <v>46010</v>
      </c>
      <c r="FB53" s="67">
        <f t="shared" si="124"/>
        <v>46011</v>
      </c>
      <c r="FC53" s="67">
        <f t="shared" si="124"/>
        <v>46012</v>
      </c>
      <c r="FD53" s="67">
        <f t="shared" si="124"/>
        <v>46013</v>
      </c>
      <c r="FE53" s="67">
        <f t="shared" si="124"/>
        <v>46014</v>
      </c>
      <c r="FF53" s="67">
        <f t="shared" si="124"/>
        <v>46015</v>
      </c>
      <c r="FG53" s="67">
        <f t="shared" si="124"/>
        <v>46016</v>
      </c>
      <c r="FH53" s="67">
        <f t="shared" si="124"/>
        <v>46017</v>
      </c>
      <c r="FI53" s="67">
        <f t="shared" si="124"/>
        <v>46018</v>
      </c>
      <c r="FJ53" s="67">
        <f t="shared" si="124"/>
        <v>46019</v>
      </c>
      <c r="FK53" s="67">
        <f t="shared" si="124"/>
        <v>46020</v>
      </c>
      <c r="FL53" s="67">
        <f t="shared" si="124"/>
        <v>46021</v>
      </c>
      <c r="FM53" s="67">
        <f t="shared" si="124"/>
        <v>46022</v>
      </c>
      <c r="FN53" s="112" t="s">
        <v>33</v>
      </c>
      <c r="FO53" s="113" t="s">
        <v>28</v>
      </c>
      <c r="FP53" s="114" t="s">
        <v>34</v>
      </c>
      <c r="FQ53" s="112" t="s">
        <v>13</v>
      </c>
      <c r="FR53" s="113" t="s">
        <v>1</v>
      </c>
      <c r="FS53" s="113" t="s">
        <v>35</v>
      </c>
      <c r="FT53" s="113" t="s">
        <v>36</v>
      </c>
      <c r="FU53" s="113" t="s">
        <v>37</v>
      </c>
      <c r="FV53" s="113" t="s">
        <v>0</v>
      </c>
      <c r="FW53" s="113" t="s">
        <v>38</v>
      </c>
      <c r="FX53" s="114" t="s">
        <v>11</v>
      </c>
      <c r="FY53" s="108" t="str">
        <f>elenchi!$C11</f>
        <v>vuoto</v>
      </c>
      <c r="FZ53" s="109"/>
      <c r="GA53" s="110"/>
      <c r="GB53" s="67">
        <f t="shared" ref="GB53:HF53" si="125">GB$2</f>
        <v>46023</v>
      </c>
      <c r="GC53" s="67">
        <f t="shared" si="125"/>
        <v>46024</v>
      </c>
      <c r="GD53" s="67">
        <f t="shared" si="125"/>
        <v>46025</v>
      </c>
      <c r="GE53" s="67">
        <f t="shared" si="125"/>
        <v>46026</v>
      </c>
      <c r="GF53" s="67">
        <f t="shared" si="125"/>
        <v>46027</v>
      </c>
      <c r="GG53" s="67">
        <f t="shared" si="125"/>
        <v>46028</v>
      </c>
      <c r="GH53" s="67">
        <f t="shared" si="125"/>
        <v>46029</v>
      </c>
      <c r="GI53" s="67">
        <f t="shared" si="125"/>
        <v>46030</v>
      </c>
      <c r="GJ53" s="67">
        <f t="shared" si="125"/>
        <v>46031</v>
      </c>
      <c r="GK53" s="67">
        <f t="shared" si="125"/>
        <v>46032</v>
      </c>
      <c r="GL53" s="67">
        <f t="shared" si="125"/>
        <v>46033</v>
      </c>
      <c r="GM53" s="67">
        <f t="shared" si="125"/>
        <v>46034</v>
      </c>
      <c r="GN53" s="67">
        <f t="shared" si="125"/>
        <v>46035</v>
      </c>
      <c r="GO53" s="67">
        <f t="shared" si="125"/>
        <v>46036</v>
      </c>
      <c r="GP53" s="67">
        <f t="shared" si="125"/>
        <v>46037</v>
      </c>
      <c r="GQ53" s="67">
        <f t="shared" si="125"/>
        <v>46038</v>
      </c>
      <c r="GR53" s="67">
        <f t="shared" si="125"/>
        <v>46039</v>
      </c>
      <c r="GS53" s="67">
        <f t="shared" si="125"/>
        <v>46040</v>
      </c>
      <c r="GT53" s="67">
        <f t="shared" si="125"/>
        <v>46041</v>
      </c>
      <c r="GU53" s="67">
        <f t="shared" si="125"/>
        <v>46042</v>
      </c>
      <c r="GV53" s="67">
        <f t="shared" si="125"/>
        <v>46043</v>
      </c>
      <c r="GW53" s="67">
        <f t="shared" si="125"/>
        <v>46044</v>
      </c>
      <c r="GX53" s="67">
        <f t="shared" si="125"/>
        <v>46045</v>
      </c>
      <c r="GY53" s="67">
        <f t="shared" si="125"/>
        <v>46046</v>
      </c>
      <c r="GZ53" s="67">
        <f t="shared" si="125"/>
        <v>46047</v>
      </c>
      <c r="HA53" s="67">
        <f t="shared" si="125"/>
        <v>46048</v>
      </c>
      <c r="HB53" s="67">
        <f t="shared" si="125"/>
        <v>46049</v>
      </c>
      <c r="HC53" s="67">
        <f t="shared" si="125"/>
        <v>46050</v>
      </c>
      <c r="HD53" s="67">
        <f t="shared" si="125"/>
        <v>46051</v>
      </c>
      <c r="HE53" s="67">
        <f t="shared" si="125"/>
        <v>46052</v>
      </c>
      <c r="HF53" s="67">
        <f t="shared" si="125"/>
        <v>46053</v>
      </c>
      <c r="HG53" s="112" t="s">
        <v>33</v>
      </c>
      <c r="HH53" s="113" t="s">
        <v>28</v>
      </c>
      <c r="HI53" s="114" t="s">
        <v>34</v>
      </c>
      <c r="HJ53" s="112" t="s">
        <v>13</v>
      </c>
      <c r="HK53" s="113" t="s">
        <v>1</v>
      </c>
      <c r="HL53" s="113" t="s">
        <v>35</v>
      </c>
      <c r="HM53" s="113" t="s">
        <v>36</v>
      </c>
      <c r="HN53" s="113" t="s">
        <v>37</v>
      </c>
      <c r="HO53" s="113" t="s">
        <v>0</v>
      </c>
      <c r="HP53" s="113" t="s">
        <v>38</v>
      </c>
      <c r="HQ53" s="114" t="s">
        <v>11</v>
      </c>
      <c r="HR53" s="108" t="str">
        <f>elenchi!$C11</f>
        <v>vuoto</v>
      </c>
      <c r="HS53" s="109"/>
      <c r="HT53" s="110"/>
      <c r="HU53" s="67">
        <f t="shared" ref="HU53:IY53" si="126">HU$2</f>
        <v>46054</v>
      </c>
      <c r="HV53" s="67">
        <f t="shared" si="126"/>
        <v>46055</v>
      </c>
      <c r="HW53" s="67">
        <f t="shared" si="126"/>
        <v>46056</v>
      </c>
      <c r="HX53" s="67">
        <f t="shared" si="126"/>
        <v>46057</v>
      </c>
      <c r="HY53" s="67">
        <f t="shared" si="126"/>
        <v>46058</v>
      </c>
      <c r="HZ53" s="67">
        <f t="shared" si="126"/>
        <v>46059</v>
      </c>
      <c r="IA53" s="67">
        <f t="shared" si="126"/>
        <v>46060</v>
      </c>
      <c r="IB53" s="67">
        <f t="shared" si="126"/>
        <v>46061</v>
      </c>
      <c r="IC53" s="67">
        <f t="shared" si="126"/>
        <v>46062</v>
      </c>
      <c r="ID53" s="67">
        <f t="shared" si="126"/>
        <v>46063</v>
      </c>
      <c r="IE53" s="67">
        <f t="shared" si="126"/>
        <v>46064</v>
      </c>
      <c r="IF53" s="67">
        <f t="shared" si="126"/>
        <v>46065</v>
      </c>
      <c r="IG53" s="67">
        <f t="shared" si="126"/>
        <v>46066</v>
      </c>
      <c r="IH53" s="67">
        <f t="shared" si="126"/>
        <v>46067</v>
      </c>
      <c r="II53" s="67">
        <f t="shared" si="126"/>
        <v>46068</v>
      </c>
      <c r="IJ53" s="67">
        <f t="shared" si="126"/>
        <v>46069</v>
      </c>
      <c r="IK53" s="67">
        <f t="shared" si="126"/>
        <v>46070</v>
      </c>
      <c r="IL53" s="67">
        <f t="shared" si="126"/>
        <v>46071</v>
      </c>
      <c r="IM53" s="67">
        <f t="shared" si="126"/>
        <v>46072</v>
      </c>
      <c r="IN53" s="67">
        <f t="shared" si="126"/>
        <v>46073</v>
      </c>
      <c r="IO53" s="67">
        <f t="shared" si="126"/>
        <v>46074</v>
      </c>
      <c r="IP53" s="67">
        <f t="shared" si="126"/>
        <v>46075</v>
      </c>
      <c r="IQ53" s="67">
        <f t="shared" si="126"/>
        <v>46076</v>
      </c>
      <c r="IR53" s="67">
        <f t="shared" si="126"/>
        <v>46077</v>
      </c>
      <c r="IS53" s="67">
        <f t="shared" si="126"/>
        <v>46078</v>
      </c>
      <c r="IT53" s="67">
        <f t="shared" si="126"/>
        <v>46079</v>
      </c>
      <c r="IU53" s="67">
        <f t="shared" si="126"/>
        <v>46080</v>
      </c>
      <c r="IV53" s="67">
        <f t="shared" si="126"/>
        <v>46081</v>
      </c>
      <c r="IW53" s="67" t="str">
        <f t="shared" si="126"/>
        <v/>
      </c>
      <c r="IX53" s="67" t="str">
        <f t="shared" si="126"/>
        <v/>
      </c>
      <c r="IY53" s="67" t="str">
        <f t="shared" si="126"/>
        <v/>
      </c>
      <c r="IZ53" s="112" t="s">
        <v>33</v>
      </c>
      <c r="JA53" s="113" t="s">
        <v>28</v>
      </c>
      <c r="JB53" s="114" t="s">
        <v>34</v>
      </c>
      <c r="JC53" s="112" t="s">
        <v>13</v>
      </c>
      <c r="JD53" s="113" t="s">
        <v>1</v>
      </c>
      <c r="JE53" s="113" t="s">
        <v>35</v>
      </c>
      <c r="JF53" s="113" t="s">
        <v>36</v>
      </c>
      <c r="JG53" s="113" t="s">
        <v>37</v>
      </c>
      <c r="JH53" s="113" t="s">
        <v>0</v>
      </c>
      <c r="JI53" s="113" t="s">
        <v>38</v>
      </c>
      <c r="JJ53" s="114" t="s">
        <v>11</v>
      </c>
      <c r="JK53" s="108" t="str">
        <f>elenchi!$C11</f>
        <v>vuoto</v>
      </c>
      <c r="JL53" s="109"/>
      <c r="JM53" s="110"/>
      <c r="JN53" s="67">
        <f t="shared" ref="JN53:KR53" si="127">JN$2</f>
        <v>46082</v>
      </c>
      <c r="JO53" s="67">
        <f t="shared" si="127"/>
        <v>46083</v>
      </c>
      <c r="JP53" s="67">
        <f t="shared" si="127"/>
        <v>46084</v>
      </c>
      <c r="JQ53" s="67">
        <f t="shared" si="127"/>
        <v>46085</v>
      </c>
      <c r="JR53" s="67">
        <f t="shared" si="127"/>
        <v>46086</v>
      </c>
      <c r="JS53" s="67">
        <f t="shared" si="127"/>
        <v>46087</v>
      </c>
      <c r="JT53" s="67">
        <f t="shared" si="127"/>
        <v>46088</v>
      </c>
      <c r="JU53" s="67">
        <f t="shared" si="127"/>
        <v>46089</v>
      </c>
      <c r="JV53" s="67">
        <f t="shared" si="127"/>
        <v>46090</v>
      </c>
      <c r="JW53" s="67">
        <f t="shared" si="127"/>
        <v>46091</v>
      </c>
      <c r="JX53" s="67">
        <f t="shared" si="127"/>
        <v>46092</v>
      </c>
      <c r="JY53" s="67">
        <f t="shared" si="127"/>
        <v>46093</v>
      </c>
      <c r="JZ53" s="67">
        <f t="shared" si="127"/>
        <v>46094</v>
      </c>
      <c r="KA53" s="67">
        <f t="shared" si="127"/>
        <v>46095</v>
      </c>
      <c r="KB53" s="67">
        <f t="shared" si="127"/>
        <v>46096</v>
      </c>
      <c r="KC53" s="67">
        <f t="shared" si="127"/>
        <v>46097</v>
      </c>
      <c r="KD53" s="67">
        <f t="shared" si="127"/>
        <v>46098</v>
      </c>
      <c r="KE53" s="67">
        <f t="shared" si="127"/>
        <v>46099</v>
      </c>
      <c r="KF53" s="67">
        <f t="shared" si="127"/>
        <v>46100</v>
      </c>
      <c r="KG53" s="67">
        <f t="shared" si="127"/>
        <v>46101</v>
      </c>
      <c r="KH53" s="67">
        <f t="shared" si="127"/>
        <v>46102</v>
      </c>
      <c r="KI53" s="67">
        <f t="shared" si="127"/>
        <v>46103</v>
      </c>
      <c r="KJ53" s="67">
        <f t="shared" si="127"/>
        <v>46104</v>
      </c>
      <c r="KK53" s="67">
        <f t="shared" si="127"/>
        <v>46105</v>
      </c>
      <c r="KL53" s="67">
        <f t="shared" si="127"/>
        <v>46106</v>
      </c>
      <c r="KM53" s="67">
        <f t="shared" si="127"/>
        <v>46107</v>
      </c>
      <c r="KN53" s="67">
        <f t="shared" si="127"/>
        <v>46108</v>
      </c>
      <c r="KO53" s="67">
        <f t="shared" si="127"/>
        <v>46109</v>
      </c>
      <c r="KP53" s="67">
        <f t="shared" si="127"/>
        <v>46110</v>
      </c>
      <c r="KQ53" s="67">
        <f t="shared" si="127"/>
        <v>46111</v>
      </c>
      <c r="KR53" s="67">
        <f t="shared" si="127"/>
        <v>46112</v>
      </c>
      <c r="KS53" s="112" t="s">
        <v>33</v>
      </c>
      <c r="KT53" s="113" t="s">
        <v>28</v>
      </c>
      <c r="KU53" s="114" t="s">
        <v>34</v>
      </c>
      <c r="KV53" s="112" t="s">
        <v>13</v>
      </c>
      <c r="KW53" s="113" t="s">
        <v>1</v>
      </c>
      <c r="KX53" s="113" t="s">
        <v>35</v>
      </c>
      <c r="KY53" s="113" t="s">
        <v>36</v>
      </c>
      <c r="KZ53" s="113" t="s">
        <v>37</v>
      </c>
      <c r="LA53" s="113" t="s">
        <v>0</v>
      </c>
      <c r="LB53" s="113" t="s">
        <v>38</v>
      </c>
      <c r="LC53" s="114" t="s">
        <v>11</v>
      </c>
      <c r="LD53" s="108" t="str">
        <f>elenchi!$C11</f>
        <v>vuoto</v>
      </c>
      <c r="LE53" s="109"/>
      <c r="LF53" s="110"/>
      <c r="LG53" s="67">
        <f t="shared" ref="LG53:MK53" si="128">LG$2</f>
        <v>46113</v>
      </c>
      <c r="LH53" s="67">
        <f t="shared" si="128"/>
        <v>46114</v>
      </c>
      <c r="LI53" s="67">
        <f t="shared" si="128"/>
        <v>46115</v>
      </c>
      <c r="LJ53" s="67">
        <f t="shared" si="128"/>
        <v>46116</v>
      </c>
      <c r="LK53" s="67">
        <f t="shared" si="128"/>
        <v>46117</v>
      </c>
      <c r="LL53" s="67">
        <f t="shared" si="128"/>
        <v>46118</v>
      </c>
      <c r="LM53" s="67">
        <f t="shared" si="128"/>
        <v>46119</v>
      </c>
      <c r="LN53" s="67">
        <f t="shared" si="128"/>
        <v>46120</v>
      </c>
      <c r="LO53" s="67">
        <f t="shared" si="128"/>
        <v>46121</v>
      </c>
      <c r="LP53" s="67">
        <f t="shared" si="128"/>
        <v>46122</v>
      </c>
      <c r="LQ53" s="67">
        <f t="shared" si="128"/>
        <v>46123</v>
      </c>
      <c r="LR53" s="67">
        <f t="shared" si="128"/>
        <v>46124</v>
      </c>
      <c r="LS53" s="67">
        <f t="shared" si="128"/>
        <v>46125</v>
      </c>
      <c r="LT53" s="67">
        <f t="shared" si="128"/>
        <v>46126</v>
      </c>
      <c r="LU53" s="67">
        <f t="shared" si="128"/>
        <v>46127</v>
      </c>
      <c r="LV53" s="67">
        <f t="shared" si="128"/>
        <v>46128</v>
      </c>
      <c r="LW53" s="67">
        <f t="shared" si="128"/>
        <v>46129</v>
      </c>
      <c r="LX53" s="67">
        <f t="shared" si="128"/>
        <v>46130</v>
      </c>
      <c r="LY53" s="67">
        <f t="shared" si="128"/>
        <v>46131</v>
      </c>
      <c r="LZ53" s="67">
        <f t="shared" si="128"/>
        <v>46132</v>
      </c>
      <c r="MA53" s="67">
        <f t="shared" si="128"/>
        <v>46133</v>
      </c>
      <c r="MB53" s="67">
        <f t="shared" si="128"/>
        <v>46134</v>
      </c>
      <c r="MC53" s="67">
        <f t="shared" si="128"/>
        <v>46135</v>
      </c>
      <c r="MD53" s="67">
        <f t="shared" si="128"/>
        <v>46136</v>
      </c>
      <c r="ME53" s="67">
        <f t="shared" si="128"/>
        <v>46137</v>
      </c>
      <c r="MF53" s="67">
        <f t="shared" si="128"/>
        <v>46138</v>
      </c>
      <c r="MG53" s="67">
        <f t="shared" si="128"/>
        <v>46139</v>
      </c>
      <c r="MH53" s="67">
        <f t="shared" si="128"/>
        <v>46140</v>
      </c>
      <c r="MI53" s="67">
        <f t="shared" si="128"/>
        <v>46141</v>
      </c>
      <c r="MJ53" s="67">
        <f t="shared" si="128"/>
        <v>46142</v>
      </c>
      <c r="MK53" s="67" t="str">
        <f t="shared" si="128"/>
        <v/>
      </c>
      <c r="ML53" s="112" t="s">
        <v>33</v>
      </c>
      <c r="MM53" s="113" t="s">
        <v>28</v>
      </c>
      <c r="MN53" s="114" t="s">
        <v>34</v>
      </c>
      <c r="MO53" s="112" t="s">
        <v>13</v>
      </c>
      <c r="MP53" s="113" t="s">
        <v>1</v>
      </c>
      <c r="MQ53" s="113" t="s">
        <v>35</v>
      </c>
      <c r="MR53" s="113" t="s">
        <v>36</v>
      </c>
      <c r="MS53" s="113" t="s">
        <v>37</v>
      </c>
      <c r="MT53" s="113" t="s">
        <v>0</v>
      </c>
      <c r="MU53" s="113" t="s">
        <v>38</v>
      </c>
      <c r="MV53" s="115" t="s">
        <v>11</v>
      </c>
      <c r="MW53" s="108" t="str">
        <f>elenchi!$C11</f>
        <v>vuoto</v>
      </c>
      <c r="MX53" s="109"/>
      <c r="MY53" s="110"/>
      <c r="MZ53" s="67">
        <f t="shared" ref="MZ53:OD53" si="129">MZ$2</f>
        <v>46143</v>
      </c>
      <c r="NA53" s="67">
        <f t="shared" si="129"/>
        <v>46144</v>
      </c>
      <c r="NB53" s="67">
        <f t="shared" si="129"/>
        <v>46145</v>
      </c>
      <c r="NC53" s="67">
        <f t="shared" si="129"/>
        <v>46146</v>
      </c>
      <c r="ND53" s="67">
        <f t="shared" si="129"/>
        <v>46147</v>
      </c>
      <c r="NE53" s="67">
        <f t="shared" si="129"/>
        <v>46148</v>
      </c>
      <c r="NF53" s="67">
        <f t="shared" si="129"/>
        <v>46149</v>
      </c>
      <c r="NG53" s="67">
        <f t="shared" si="129"/>
        <v>46150</v>
      </c>
      <c r="NH53" s="67">
        <f t="shared" si="129"/>
        <v>46151</v>
      </c>
      <c r="NI53" s="67">
        <f t="shared" si="129"/>
        <v>46152</v>
      </c>
      <c r="NJ53" s="67">
        <f t="shared" si="129"/>
        <v>46153</v>
      </c>
      <c r="NK53" s="67">
        <f t="shared" si="129"/>
        <v>46154</v>
      </c>
      <c r="NL53" s="67">
        <f t="shared" si="129"/>
        <v>46155</v>
      </c>
      <c r="NM53" s="67">
        <f t="shared" si="129"/>
        <v>46156</v>
      </c>
      <c r="NN53" s="67">
        <f t="shared" si="129"/>
        <v>46157</v>
      </c>
      <c r="NO53" s="67">
        <f t="shared" si="129"/>
        <v>46158</v>
      </c>
      <c r="NP53" s="67">
        <f t="shared" si="129"/>
        <v>46159</v>
      </c>
      <c r="NQ53" s="67">
        <f t="shared" si="129"/>
        <v>46160</v>
      </c>
      <c r="NR53" s="67">
        <f t="shared" si="129"/>
        <v>46161</v>
      </c>
      <c r="NS53" s="67">
        <f t="shared" si="129"/>
        <v>46162</v>
      </c>
      <c r="NT53" s="67">
        <f t="shared" si="129"/>
        <v>46163</v>
      </c>
      <c r="NU53" s="67">
        <f t="shared" si="129"/>
        <v>46164</v>
      </c>
      <c r="NV53" s="67">
        <f t="shared" si="129"/>
        <v>46165</v>
      </c>
      <c r="NW53" s="67">
        <f t="shared" si="129"/>
        <v>46166</v>
      </c>
      <c r="NX53" s="67">
        <f t="shared" si="129"/>
        <v>46167</v>
      </c>
      <c r="NY53" s="67">
        <f t="shared" si="129"/>
        <v>46168</v>
      </c>
      <c r="NZ53" s="67">
        <f t="shared" si="129"/>
        <v>46169</v>
      </c>
      <c r="OA53" s="67">
        <f t="shared" si="129"/>
        <v>46170</v>
      </c>
      <c r="OB53" s="67">
        <f t="shared" si="129"/>
        <v>46171</v>
      </c>
      <c r="OC53" s="67">
        <f t="shared" si="129"/>
        <v>46172</v>
      </c>
      <c r="OD53" s="67">
        <f t="shared" si="129"/>
        <v>46173</v>
      </c>
      <c r="OE53" s="112" t="s">
        <v>33</v>
      </c>
      <c r="OF53" s="113" t="s">
        <v>28</v>
      </c>
      <c r="OG53" s="114" t="s">
        <v>34</v>
      </c>
      <c r="OH53" s="112" t="s">
        <v>13</v>
      </c>
      <c r="OI53" s="113" t="s">
        <v>1</v>
      </c>
      <c r="OJ53" s="113" t="s">
        <v>35</v>
      </c>
      <c r="OK53" s="113" t="s">
        <v>36</v>
      </c>
      <c r="OL53" s="113" t="s">
        <v>37</v>
      </c>
      <c r="OM53" s="113" t="s">
        <v>0</v>
      </c>
      <c r="ON53" s="113" t="s">
        <v>38</v>
      </c>
      <c r="OO53" s="115" t="s">
        <v>11</v>
      </c>
      <c r="OP53" s="108" t="str">
        <f>elenchi!$C11</f>
        <v>vuoto</v>
      </c>
      <c r="OQ53" s="109"/>
      <c r="OR53" s="110"/>
      <c r="OS53" s="67">
        <f t="shared" ref="OS53:PW53" si="130">OS$2</f>
        <v>46174</v>
      </c>
      <c r="OT53" s="67">
        <f t="shared" si="130"/>
        <v>46175</v>
      </c>
      <c r="OU53" s="67">
        <f t="shared" si="130"/>
        <v>46176</v>
      </c>
      <c r="OV53" s="67">
        <f t="shared" si="130"/>
        <v>46177</v>
      </c>
      <c r="OW53" s="67">
        <f t="shared" si="130"/>
        <v>46178</v>
      </c>
      <c r="OX53" s="67">
        <f t="shared" si="130"/>
        <v>46179</v>
      </c>
      <c r="OY53" s="67">
        <f t="shared" si="130"/>
        <v>46180</v>
      </c>
      <c r="OZ53" s="67">
        <f t="shared" si="130"/>
        <v>46181</v>
      </c>
      <c r="PA53" s="67">
        <f t="shared" si="130"/>
        <v>46182</v>
      </c>
      <c r="PB53" s="67">
        <f t="shared" si="130"/>
        <v>46183</v>
      </c>
      <c r="PC53" s="67">
        <f t="shared" si="130"/>
        <v>46184</v>
      </c>
      <c r="PD53" s="67">
        <f t="shared" si="130"/>
        <v>46185</v>
      </c>
      <c r="PE53" s="67">
        <f t="shared" si="130"/>
        <v>46186</v>
      </c>
      <c r="PF53" s="67">
        <f t="shared" si="130"/>
        <v>46187</v>
      </c>
      <c r="PG53" s="67">
        <f t="shared" si="130"/>
        <v>46188</v>
      </c>
      <c r="PH53" s="67">
        <f t="shared" si="130"/>
        <v>46189</v>
      </c>
      <c r="PI53" s="67">
        <f t="shared" si="130"/>
        <v>46190</v>
      </c>
      <c r="PJ53" s="67">
        <f t="shared" si="130"/>
        <v>46191</v>
      </c>
      <c r="PK53" s="67">
        <f t="shared" si="130"/>
        <v>46192</v>
      </c>
      <c r="PL53" s="67">
        <f t="shared" si="130"/>
        <v>46193</v>
      </c>
      <c r="PM53" s="67">
        <f t="shared" si="130"/>
        <v>46194</v>
      </c>
      <c r="PN53" s="67">
        <f t="shared" si="130"/>
        <v>46195</v>
      </c>
      <c r="PO53" s="67">
        <f t="shared" si="130"/>
        <v>46196</v>
      </c>
      <c r="PP53" s="67">
        <f t="shared" si="130"/>
        <v>46197</v>
      </c>
      <c r="PQ53" s="67">
        <f t="shared" si="130"/>
        <v>46198</v>
      </c>
      <c r="PR53" s="67">
        <f t="shared" si="130"/>
        <v>46199</v>
      </c>
      <c r="PS53" s="67">
        <f t="shared" si="130"/>
        <v>46200</v>
      </c>
      <c r="PT53" s="67">
        <f t="shared" si="130"/>
        <v>46201</v>
      </c>
      <c r="PU53" s="67">
        <f t="shared" si="130"/>
        <v>46202</v>
      </c>
      <c r="PV53" s="67">
        <f t="shared" si="130"/>
        <v>46203</v>
      </c>
      <c r="PW53" s="67" t="str">
        <f t="shared" si="130"/>
        <v/>
      </c>
      <c r="PX53" s="112" t="s">
        <v>33</v>
      </c>
      <c r="PY53" s="113" t="s">
        <v>28</v>
      </c>
      <c r="PZ53" s="114" t="s">
        <v>34</v>
      </c>
      <c r="QA53" s="112" t="s">
        <v>13</v>
      </c>
      <c r="QB53" s="113" t="s">
        <v>1</v>
      </c>
      <c r="QC53" s="113" t="s">
        <v>35</v>
      </c>
      <c r="QD53" s="113" t="s">
        <v>36</v>
      </c>
      <c r="QE53" s="113" t="s">
        <v>37</v>
      </c>
      <c r="QF53" s="113" t="s">
        <v>0</v>
      </c>
      <c r="QG53" s="113" t="s">
        <v>38</v>
      </c>
      <c r="QH53" s="115" t="s">
        <v>11</v>
      </c>
      <c r="QI53" s="108" t="str">
        <f>elenchi!$C11</f>
        <v>vuoto</v>
      </c>
      <c r="QJ53" s="109"/>
      <c r="QK53" s="110"/>
      <c r="QL53" s="67">
        <f t="shared" ref="QL53:RP53" si="131">QL$2</f>
        <v>46204</v>
      </c>
      <c r="QM53" s="67">
        <f t="shared" si="131"/>
        <v>46205</v>
      </c>
      <c r="QN53" s="67">
        <f t="shared" si="131"/>
        <v>46206</v>
      </c>
      <c r="QO53" s="67">
        <f t="shared" si="131"/>
        <v>46207</v>
      </c>
      <c r="QP53" s="67">
        <f t="shared" si="131"/>
        <v>46208</v>
      </c>
      <c r="QQ53" s="67">
        <f t="shared" si="131"/>
        <v>46209</v>
      </c>
      <c r="QR53" s="67">
        <f t="shared" si="131"/>
        <v>46210</v>
      </c>
      <c r="QS53" s="67">
        <f t="shared" si="131"/>
        <v>46211</v>
      </c>
      <c r="QT53" s="67">
        <f t="shared" si="131"/>
        <v>46212</v>
      </c>
      <c r="QU53" s="67">
        <f t="shared" si="131"/>
        <v>46213</v>
      </c>
      <c r="QV53" s="67">
        <f t="shared" si="131"/>
        <v>46214</v>
      </c>
      <c r="QW53" s="67">
        <f t="shared" si="131"/>
        <v>46215</v>
      </c>
      <c r="QX53" s="67">
        <f t="shared" si="131"/>
        <v>46216</v>
      </c>
      <c r="QY53" s="67">
        <f t="shared" si="131"/>
        <v>46217</v>
      </c>
      <c r="QZ53" s="67">
        <f t="shared" si="131"/>
        <v>46218</v>
      </c>
      <c r="RA53" s="67">
        <f t="shared" si="131"/>
        <v>46219</v>
      </c>
      <c r="RB53" s="67">
        <f t="shared" si="131"/>
        <v>46220</v>
      </c>
      <c r="RC53" s="67">
        <f t="shared" si="131"/>
        <v>46221</v>
      </c>
      <c r="RD53" s="67">
        <f t="shared" si="131"/>
        <v>46222</v>
      </c>
      <c r="RE53" s="67">
        <f t="shared" si="131"/>
        <v>46223</v>
      </c>
      <c r="RF53" s="67">
        <f t="shared" si="131"/>
        <v>46224</v>
      </c>
      <c r="RG53" s="67">
        <f t="shared" si="131"/>
        <v>46225</v>
      </c>
      <c r="RH53" s="67">
        <f t="shared" si="131"/>
        <v>46226</v>
      </c>
      <c r="RI53" s="67">
        <f t="shared" si="131"/>
        <v>46227</v>
      </c>
      <c r="RJ53" s="67">
        <f t="shared" si="131"/>
        <v>46228</v>
      </c>
      <c r="RK53" s="67">
        <f t="shared" si="131"/>
        <v>46229</v>
      </c>
      <c r="RL53" s="67">
        <f t="shared" si="131"/>
        <v>46230</v>
      </c>
      <c r="RM53" s="67">
        <f t="shared" si="131"/>
        <v>46231</v>
      </c>
      <c r="RN53" s="67">
        <f t="shared" si="131"/>
        <v>46232</v>
      </c>
      <c r="RO53" s="67">
        <f t="shared" si="131"/>
        <v>46233</v>
      </c>
      <c r="RP53" s="67">
        <f t="shared" si="131"/>
        <v>46234</v>
      </c>
      <c r="RQ53" s="112" t="s">
        <v>33</v>
      </c>
      <c r="RR53" s="113" t="s">
        <v>28</v>
      </c>
      <c r="RS53" s="114" t="s">
        <v>34</v>
      </c>
      <c r="RT53" s="112" t="s">
        <v>13</v>
      </c>
      <c r="RU53" s="113" t="s">
        <v>1</v>
      </c>
      <c r="RV53" s="113" t="s">
        <v>35</v>
      </c>
      <c r="RW53" s="113" t="s">
        <v>36</v>
      </c>
      <c r="RX53" s="113" t="s">
        <v>37</v>
      </c>
      <c r="RY53" s="113" t="s">
        <v>0</v>
      </c>
      <c r="RZ53" s="113" t="s">
        <v>38</v>
      </c>
      <c r="SA53" s="115" t="s">
        <v>11</v>
      </c>
      <c r="SB53" s="108" t="str">
        <f>elenchi!$C11</f>
        <v>vuoto</v>
      </c>
      <c r="SC53" s="109"/>
      <c r="SD53" s="110"/>
      <c r="SE53" s="67">
        <f t="shared" ref="SE53:TI53" si="132">SE$2</f>
        <v>46235</v>
      </c>
      <c r="SF53" s="67">
        <f t="shared" si="132"/>
        <v>46236</v>
      </c>
      <c r="SG53" s="67">
        <f t="shared" si="132"/>
        <v>46237</v>
      </c>
      <c r="SH53" s="67">
        <f t="shared" si="132"/>
        <v>46238</v>
      </c>
      <c r="SI53" s="67">
        <f t="shared" si="132"/>
        <v>46239</v>
      </c>
      <c r="SJ53" s="67">
        <f t="shared" si="132"/>
        <v>46240</v>
      </c>
      <c r="SK53" s="67">
        <f t="shared" si="132"/>
        <v>46241</v>
      </c>
      <c r="SL53" s="67">
        <f t="shared" si="132"/>
        <v>46242</v>
      </c>
      <c r="SM53" s="67">
        <f t="shared" si="132"/>
        <v>46243</v>
      </c>
      <c r="SN53" s="67">
        <f t="shared" si="132"/>
        <v>46244</v>
      </c>
      <c r="SO53" s="67">
        <f t="shared" si="132"/>
        <v>46245</v>
      </c>
      <c r="SP53" s="67">
        <f t="shared" si="132"/>
        <v>46246</v>
      </c>
      <c r="SQ53" s="67">
        <f t="shared" si="132"/>
        <v>46247</v>
      </c>
      <c r="SR53" s="67">
        <f t="shared" si="132"/>
        <v>46248</v>
      </c>
      <c r="SS53" s="67">
        <f t="shared" si="132"/>
        <v>46249</v>
      </c>
      <c r="ST53" s="67">
        <f t="shared" si="132"/>
        <v>46250</v>
      </c>
      <c r="SU53" s="67">
        <f t="shared" si="132"/>
        <v>46251</v>
      </c>
      <c r="SV53" s="67">
        <f t="shared" si="132"/>
        <v>46252</v>
      </c>
      <c r="SW53" s="67">
        <f t="shared" si="132"/>
        <v>46253</v>
      </c>
      <c r="SX53" s="67">
        <f t="shared" si="132"/>
        <v>46254</v>
      </c>
      <c r="SY53" s="67">
        <f t="shared" si="132"/>
        <v>46255</v>
      </c>
      <c r="SZ53" s="67">
        <f t="shared" si="132"/>
        <v>46256</v>
      </c>
      <c r="TA53" s="67">
        <f t="shared" si="132"/>
        <v>46257</v>
      </c>
      <c r="TB53" s="67">
        <f t="shared" si="132"/>
        <v>46258</v>
      </c>
      <c r="TC53" s="67">
        <f t="shared" si="132"/>
        <v>46259</v>
      </c>
      <c r="TD53" s="67">
        <f t="shared" si="132"/>
        <v>46260</v>
      </c>
      <c r="TE53" s="67">
        <f t="shared" si="132"/>
        <v>46261</v>
      </c>
      <c r="TF53" s="67">
        <f t="shared" si="132"/>
        <v>46262</v>
      </c>
      <c r="TG53" s="67">
        <f t="shared" si="132"/>
        <v>46263</v>
      </c>
      <c r="TH53" s="67">
        <f t="shared" si="132"/>
        <v>46264</v>
      </c>
      <c r="TI53" s="67">
        <f t="shared" si="132"/>
        <v>46265</v>
      </c>
      <c r="TJ53" s="112" t="s">
        <v>33</v>
      </c>
      <c r="TK53" s="113" t="s">
        <v>28</v>
      </c>
      <c r="TL53" s="114" t="s">
        <v>34</v>
      </c>
      <c r="TM53" s="112" t="s">
        <v>13</v>
      </c>
      <c r="TN53" s="113" t="s">
        <v>1</v>
      </c>
      <c r="TO53" s="113" t="s">
        <v>35</v>
      </c>
      <c r="TP53" s="113" t="s">
        <v>36</v>
      </c>
      <c r="TQ53" s="113" t="s">
        <v>37</v>
      </c>
      <c r="TR53" s="113" t="s">
        <v>0</v>
      </c>
      <c r="TS53" s="113" t="s">
        <v>38</v>
      </c>
      <c r="TT53" s="114" t="s">
        <v>11</v>
      </c>
    </row>
    <row r="54" ht="24.75" hidden="1" customHeight="1" outlineLevel="1">
      <c r="A54" s="117"/>
      <c r="B54" s="65"/>
      <c r="C54" s="66"/>
      <c r="D54" s="74">
        <f>Settembre25!$L$2</f>
        <v>8</v>
      </c>
      <c r="E54" s="75">
        <f>Settembre25!$L$3</f>
        <v>8</v>
      </c>
      <c r="F54" s="75">
        <f>Settembre25!$L$4</f>
        <v>9</v>
      </c>
      <c r="G54" s="75">
        <f>Settembre25!$L$5</f>
        <v>8</v>
      </c>
      <c r="H54" s="76">
        <f>Settembre25!$L$6</f>
        <v>9</v>
      </c>
      <c r="I54" s="76" t="str">
        <f>Settembre25!$L$7</f>
        <v/>
      </c>
      <c r="J54" s="75" t="str">
        <f>Settembre25!$L$8</f>
        <v/>
      </c>
      <c r="K54" s="75">
        <f>Settembre25!$L$9</f>
        <v>8</v>
      </c>
      <c r="L54" s="75">
        <f>Settembre25!$L$10</f>
        <v>8</v>
      </c>
      <c r="M54" s="75">
        <f>Settembre25!$L$11</f>
        <v>9</v>
      </c>
      <c r="N54" s="75">
        <f>Settembre25!$L$12</f>
        <v>8</v>
      </c>
      <c r="O54" s="76">
        <f>Settembre25!$L$13</f>
        <v>9</v>
      </c>
      <c r="P54" s="75" t="str">
        <f>Settembre25!$L$14</f>
        <v/>
      </c>
      <c r="Q54" s="75" t="str">
        <f>Settembre25!$L$15</f>
        <v/>
      </c>
      <c r="R54" s="75">
        <f>Settembre25!$L$16</f>
        <v>8</v>
      </c>
      <c r="S54" s="75">
        <f>Settembre25!$L$17</f>
        <v>8</v>
      </c>
      <c r="T54" s="75">
        <f>Settembre25!$L$18</f>
        <v>9</v>
      </c>
      <c r="U54" s="75">
        <f>Settembre25!$L$19</f>
        <v>8</v>
      </c>
      <c r="V54" s="76">
        <f>Settembre25!$L$20</f>
        <v>9</v>
      </c>
      <c r="W54" s="76" t="str">
        <f>Settembre25!$L$21</f>
        <v/>
      </c>
      <c r="X54" s="75" t="str">
        <f>Settembre25!$L$22</f>
        <v/>
      </c>
      <c r="Y54" s="75">
        <f>Settembre25!$L$23</f>
        <v>8</v>
      </c>
      <c r="Z54" s="75">
        <f>Settembre25!$L$24</f>
        <v>8</v>
      </c>
      <c r="AA54" s="75">
        <f>Settembre25!$L$25</f>
        <v>9</v>
      </c>
      <c r="AB54" s="75">
        <f>Settembre25!$L$26</f>
        <v>8</v>
      </c>
      <c r="AC54" s="76">
        <f>Settembre25!$L$27</f>
        <v>9</v>
      </c>
      <c r="AD54" s="76" t="str">
        <f>Settembre25!$L$28</f>
        <v/>
      </c>
      <c r="AE54" s="75" t="str">
        <f>Settembre25!$L$29</f>
        <v/>
      </c>
      <c r="AF54" s="75">
        <f>Settembre25!$L$30</f>
        <v>8</v>
      </c>
      <c r="AG54" s="75">
        <f>Settembre25!$L$31</f>
        <v>8</v>
      </c>
      <c r="AH54" s="77" t="str">
        <f>Settembre25!$L$32</f>
        <v/>
      </c>
      <c r="AI54" s="78"/>
      <c r="AJ54" s="79">
        <f>SUM(D54:AH54)</f>
        <v>184</v>
      </c>
      <c r="AK54" s="80"/>
      <c r="AL54" s="78"/>
      <c r="AM54" s="81"/>
      <c r="AN54" s="81"/>
      <c r="AO54" s="81"/>
      <c r="AP54" s="81"/>
      <c r="AQ54" s="81"/>
      <c r="AR54" s="81"/>
      <c r="AS54" s="82"/>
      <c r="AT54" s="117"/>
      <c r="AU54" s="65"/>
      <c r="AV54" s="66"/>
      <c r="AW54" s="83">
        <f>Ottobre25!$L$2</f>
        <v>9</v>
      </c>
      <c r="AX54" s="84">
        <f>Ottobre25!$L$3</f>
        <v>8</v>
      </c>
      <c r="AY54" s="84">
        <f>Ottobre25!$L$4</f>
        <v>9</v>
      </c>
      <c r="AZ54" s="84" t="str">
        <f>Ottobre25!$L$5</f>
        <v/>
      </c>
      <c r="BA54" s="85" t="str">
        <f>Ottobre25!$L$6</f>
        <v/>
      </c>
      <c r="BB54" s="85">
        <f>Ottobre25!$L$7</f>
        <v>8</v>
      </c>
      <c r="BC54" s="84">
        <f>Ottobre25!$L$8</f>
        <v>8</v>
      </c>
      <c r="BD54" s="84">
        <f>Ottobre25!$L$9</f>
        <v>9</v>
      </c>
      <c r="BE54" s="84">
        <f>Ottobre25!$L$10</f>
        <v>8</v>
      </c>
      <c r="BF54" s="84">
        <f>Ottobre25!$L$11</f>
        <v>9</v>
      </c>
      <c r="BG54" s="84" t="str">
        <f>Ottobre25!$L$12</f>
        <v/>
      </c>
      <c r="BH54" s="85" t="str">
        <f>Ottobre25!$L$13</f>
        <v/>
      </c>
      <c r="BI54" s="85">
        <f>Ottobre25!$L$14</f>
        <v>9</v>
      </c>
      <c r="BJ54" s="84">
        <f>Ottobre25!$L$15</f>
        <v>8</v>
      </c>
      <c r="BK54" s="84">
        <f>Ottobre25!$L$16</f>
        <v>9</v>
      </c>
      <c r="BL54" s="84">
        <f>Ottobre25!$L$17</f>
        <v>8</v>
      </c>
      <c r="BM54" s="84">
        <f>Ottobre25!$L$18</f>
        <v>9</v>
      </c>
      <c r="BN54" s="84" t="str">
        <f>Ottobre25!$L$19</f>
        <v/>
      </c>
      <c r="BO54" s="85" t="str">
        <f>Ottobre25!$L$20</f>
        <v/>
      </c>
      <c r="BP54" s="85">
        <f>Ottobre25!$L$21</f>
        <v>9</v>
      </c>
      <c r="BQ54" s="84">
        <f>Ottobre25!$L$22</f>
        <v>8</v>
      </c>
      <c r="BR54" s="84">
        <f>Ottobre25!$L$23</f>
        <v>8</v>
      </c>
      <c r="BS54" s="84">
        <f>Ottobre25!$L$24</f>
        <v>8</v>
      </c>
      <c r="BT54" s="84">
        <f>Ottobre25!$L$25</f>
        <v>9</v>
      </c>
      <c r="BU54" s="84" t="str">
        <f>Ottobre25!$L$26</f>
        <v/>
      </c>
      <c r="BV54" s="85" t="str">
        <f>Ottobre25!$L$27</f>
        <v/>
      </c>
      <c r="BW54" s="85">
        <f>Ottobre25!$L$28</f>
        <v>9</v>
      </c>
      <c r="BX54" s="84">
        <f>Ottobre25!$L$29</f>
        <v>8</v>
      </c>
      <c r="BY54" s="84">
        <f>Ottobre25!$L$30</f>
        <v>8</v>
      </c>
      <c r="BZ54" s="84">
        <f>Ottobre25!$L$31</f>
        <v>8</v>
      </c>
      <c r="CA54" s="86">
        <f>Ottobre25!$L$32</f>
        <v>9</v>
      </c>
      <c r="CB54" s="78"/>
      <c r="CC54" s="79">
        <f>SUM(AW54:CA54)</f>
        <v>195</v>
      </c>
      <c r="CD54" s="80"/>
      <c r="CE54" s="78"/>
      <c r="CF54" s="81"/>
      <c r="CG54" s="81"/>
      <c r="CH54" s="81"/>
      <c r="CI54" s="81"/>
      <c r="CJ54" s="81"/>
      <c r="CK54" s="81"/>
      <c r="CL54" s="82"/>
      <c r="CM54" s="117"/>
      <c r="CN54" s="65"/>
      <c r="CO54" s="66"/>
      <c r="CP54" s="83" t="str">
        <f>Novembre25!$L$2</f>
        <v/>
      </c>
      <c r="CQ54" s="84" t="str">
        <f>Novembre25!$L$3</f>
        <v/>
      </c>
      <c r="CR54" s="84">
        <f>Novembre25!$L$4</f>
        <v>8</v>
      </c>
      <c r="CS54" s="84">
        <f>Novembre25!$L$5</f>
        <v>8</v>
      </c>
      <c r="CT54" s="85">
        <f>Novembre25!$L$6</f>
        <v>9</v>
      </c>
      <c r="CU54" s="85">
        <f>Novembre25!$L$7</f>
        <v>8</v>
      </c>
      <c r="CV54" s="84">
        <f>Novembre25!$L$8</f>
        <v>9</v>
      </c>
      <c r="CW54" s="84" t="str">
        <f>Novembre25!$L$9</f>
        <v/>
      </c>
      <c r="CX54" s="84" t="str">
        <f>Novembre25!$L$10</f>
        <v/>
      </c>
      <c r="CY54" s="84">
        <f>Novembre25!$L$11</f>
        <v>8</v>
      </c>
      <c r="CZ54" s="84">
        <f>Novembre25!$L$12</f>
        <v>8</v>
      </c>
      <c r="DA54" s="85">
        <f>Novembre25!$L$13</f>
        <v>9</v>
      </c>
      <c r="DB54" s="85">
        <f>Novembre25!$L$14</f>
        <v>8</v>
      </c>
      <c r="DC54" s="84">
        <f>Novembre25!$L$15</f>
        <v>9</v>
      </c>
      <c r="DD54" s="84" t="str">
        <f>Novembre25!$L$16</f>
        <v/>
      </c>
      <c r="DE54" s="84" t="str">
        <f>Novembre25!$L$17</f>
        <v/>
      </c>
      <c r="DF54" s="84">
        <f>Novembre25!$L$18</f>
        <v>8</v>
      </c>
      <c r="DG54" s="84">
        <f>Novembre25!$L$19</f>
        <v>8</v>
      </c>
      <c r="DH54" s="85">
        <f>Novembre25!$L$20</f>
        <v>9</v>
      </c>
      <c r="DI54" s="85">
        <f>Novembre25!$L$21</f>
        <v>8</v>
      </c>
      <c r="DJ54" s="84">
        <f>Novembre25!$L$22</f>
        <v>9</v>
      </c>
      <c r="DK54" s="84" t="str">
        <f>Novembre25!$L$23</f>
        <v/>
      </c>
      <c r="DL54" s="84" t="str">
        <f>Novembre25!$L$24</f>
        <v/>
      </c>
      <c r="DM54" s="84">
        <f>Novembre25!$L$25</f>
        <v>8</v>
      </c>
      <c r="DN54" s="84">
        <f>Novembre25!$L$26</f>
        <v>8</v>
      </c>
      <c r="DO54" s="85">
        <f>Novembre25!$L$27</f>
        <v>9</v>
      </c>
      <c r="DP54" s="85">
        <f>Novembre25!$L$28</f>
        <v>8</v>
      </c>
      <c r="DQ54" s="84">
        <f>Novembre25!$L$29</f>
        <v>9</v>
      </c>
      <c r="DR54" s="84" t="str">
        <f>Novembre25!$L$30</f>
        <v/>
      </c>
      <c r="DS54" s="84" t="str">
        <f>Novembre25!$L$31</f>
        <v/>
      </c>
      <c r="DT54" s="86" t="str">
        <f>Novembre25!$L$32</f>
        <v/>
      </c>
      <c r="DU54" s="78"/>
      <c r="DV54" s="79">
        <f>SUM(CP54:DT54)</f>
        <v>168</v>
      </c>
      <c r="DW54" s="80"/>
      <c r="DX54" s="78"/>
      <c r="DY54" s="81"/>
      <c r="DZ54" s="81"/>
      <c r="EA54" s="81"/>
      <c r="EB54" s="81"/>
      <c r="EC54" s="81"/>
      <c r="ED54" s="81"/>
      <c r="EE54" s="80"/>
      <c r="EF54" s="117"/>
      <c r="EG54" s="65"/>
      <c r="EH54" s="66"/>
      <c r="EI54" s="83">
        <f>Dicembre25!$L$2</f>
        <v>8</v>
      </c>
      <c r="EJ54" s="84">
        <f>Dicembre25!$L$3</f>
        <v>8</v>
      </c>
      <c r="EK54" s="84">
        <f>Dicembre25!$L$4</f>
        <v>9</v>
      </c>
      <c r="EL54" s="84">
        <f>Dicembre25!$L$5</f>
        <v>8</v>
      </c>
      <c r="EM54" s="85">
        <f>Dicembre25!$L$6</f>
        <v>9</v>
      </c>
      <c r="EN54" s="85" t="str">
        <f>Dicembre25!$L$7</f>
        <v/>
      </c>
      <c r="EO54" s="84" t="str">
        <f>Dicembre25!$L$8</f>
        <v/>
      </c>
      <c r="EP54" s="84" t="str">
        <f>Dicembre25!$L$9</f>
        <v>F</v>
      </c>
      <c r="EQ54" s="84">
        <f>Dicembre25!$L$10</f>
        <v>8</v>
      </c>
      <c r="ER54" s="84">
        <f>Dicembre25!$L$11</f>
        <v>9</v>
      </c>
      <c r="ES54" s="84">
        <f>Dicembre25!$L$12</f>
        <v>8</v>
      </c>
      <c r="ET54" s="85">
        <f>Dicembre25!$L$13</f>
        <v>9</v>
      </c>
      <c r="EU54" s="85" t="str">
        <f>Dicembre25!$L$14</f>
        <v/>
      </c>
      <c r="EV54" s="84" t="str">
        <f>Dicembre25!$L$15</f>
        <v/>
      </c>
      <c r="EW54" s="84">
        <f>Dicembre25!$L$16</f>
        <v>8</v>
      </c>
      <c r="EX54" s="84">
        <f>Dicembre25!$L$17</f>
        <v>8</v>
      </c>
      <c r="EY54" s="84">
        <f>Dicembre25!$L$18</f>
        <v>9</v>
      </c>
      <c r="EZ54" s="84">
        <f>Dicembre25!$L$19</f>
        <v>8</v>
      </c>
      <c r="FA54" s="85">
        <f>Dicembre25!$L$20</f>
        <v>9</v>
      </c>
      <c r="FB54" s="85" t="str">
        <f>Dicembre25!$L$21</f>
        <v/>
      </c>
      <c r="FC54" s="84" t="str">
        <f>Dicembre25!$L$22</f>
        <v/>
      </c>
      <c r="FD54" s="84">
        <f>Dicembre25!$L$23</f>
        <v>8</v>
      </c>
      <c r="FE54" s="84">
        <f>Dicembre25!$L$24</f>
        <v>8</v>
      </c>
      <c r="FF54" s="84" t="str">
        <f>Dicembre25!$L$25</f>
        <v>Fe</v>
      </c>
      <c r="FG54" s="84" t="str">
        <f>Dicembre25!$L$26</f>
        <v>F</v>
      </c>
      <c r="FH54" s="85" t="str">
        <f>Dicembre25!$L$27</f>
        <v>F</v>
      </c>
      <c r="FI54" s="85" t="str">
        <f>Dicembre25!$L$28</f>
        <v/>
      </c>
      <c r="FJ54" s="84" t="str">
        <f>Dicembre25!$L$29</f>
        <v/>
      </c>
      <c r="FK54" s="84">
        <f>Dicembre25!$L$30</f>
        <v>8</v>
      </c>
      <c r="FL54" s="84">
        <f>Dicembre25!$L$31</f>
        <v>8</v>
      </c>
      <c r="FM54" s="86" t="str">
        <f>Dicembre25!$L$32</f>
        <v/>
      </c>
      <c r="FN54" s="78"/>
      <c r="FO54" s="79">
        <f>SUM(EI54:FM54)</f>
        <v>150</v>
      </c>
      <c r="FP54" s="80"/>
      <c r="FQ54" s="78"/>
      <c r="FR54" s="81"/>
      <c r="FS54" s="81"/>
      <c r="FT54" s="81"/>
      <c r="FU54" s="81"/>
      <c r="FV54" s="81"/>
      <c r="FW54" s="81"/>
      <c r="FX54" s="80"/>
      <c r="FY54" s="117"/>
      <c r="FZ54" s="65"/>
      <c r="GA54" s="66"/>
      <c r="GB54" s="83" t="str">
        <f>Gennaio26!$L$2</f>
        <v>F</v>
      </c>
      <c r="GC54" s="84" t="str">
        <f>Gennaio26!$L$3</f>
        <v>FE</v>
      </c>
      <c r="GD54" s="84" t="str">
        <f>Gennaio26!$L$4</f>
        <v/>
      </c>
      <c r="GE54" s="84" t="str">
        <f>Gennaio26!$L$5</f>
        <v/>
      </c>
      <c r="GF54" s="85" t="str">
        <f>Gennaio26!$L$6</f>
        <v>FE</v>
      </c>
      <c r="GG54" s="85" t="str">
        <f>Gennaio26!$L$7</f>
        <v>F</v>
      </c>
      <c r="GH54" s="84">
        <f>Gennaio26!$L$8</f>
        <v>9</v>
      </c>
      <c r="GI54" s="84">
        <f>Gennaio26!$L$9</f>
        <v>8</v>
      </c>
      <c r="GJ54" s="84">
        <f>Gennaio26!$L$10</f>
        <v>9</v>
      </c>
      <c r="GK54" s="84" t="str">
        <f>Gennaio26!$L$11</f>
        <v/>
      </c>
      <c r="GL54" s="84" t="str">
        <f>Gennaio26!$L$12</f>
        <v/>
      </c>
      <c r="GM54" s="85">
        <f>Gennaio26!$L$13</f>
        <v>8</v>
      </c>
      <c r="GN54" s="85">
        <f>Gennaio26!$L$14</f>
        <v>8</v>
      </c>
      <c r="GO54" s="84">
        <f>Gennaio26!$L$15</f>
        <v>9</v>
      </c>
      <c r="GP54" s="84">
        <f>Gennaio26!$L$16</f>
        <v>8</v>
      </c>
      <c r="GQ54" s="84">
        <f>Gennaio26!$L$17</f>
        <v>9</v>
      </c>
      <c r="GR54" s="84" t="str">
        <f>Gennaio26!$L$18</f>
        <v/>
      </c>
      <c r="GS54" s="84" t="str">
        <f>Gennaio26!$L$19</f>
        <v/>
      </c>
      <c r="GT54" s="85">
        <f>Gennaio26!$L$20</f>
        <v>8</v>
      </c>
      <c r="GU54" s="85">
        <f>Gennaio26!$L$21</f>
        <v>8</v>
      </c>
      <c r="GV54" s="84">
        <f>Gennaio26!$L$22</f>
        <v>9</v>
      </c>
      <c r="GW54" s="84">
        <f>Gennaio26!$L$23</f>
        <v>8</v>
      </c>
      <c r="GX54" s="84">
        <f>Gennaio26!$L$24</f>
        <v>9</v>
      </c>
      <c r="GY54" s="84" t="str">
        <f>Gennaio26!$L$25</f>
        <v/>
      </c>
      <c r="GZ54" s="84" t="str">
        <f>Gennaio26!$L$26</f>
        <v/>
      </c>
      <c r="HA54" s="85">
        <f>Gennaio26!$L$27</f>
        <v>8</v>
      </c>
      <c r="HB54" s="85">
        <f>Gennaio26!$L$28</f>
        <v>8</v>
      </c>
      <c r="HC54" s="84">
        <f>Gennaio26!$L$29</f>
        <v>9</v>
      </c>
      <c r="HD54" s="84">
        <f>Gennaio26!$L$30</f>
        <v>8</v>
      </c>
      <c r="HE54" s="84">
        <f>Gennaio26!$L$31</f>
        <v>9</v>
      </c>
      <c r="HF54" s="86" t="str">
        <f>Gennaio26!$L$32</f>
        <v/>
      </c>
      <c r="HG54" s="78"/>
      <c r="HH54" s="79">
        <f>SUM(GB54:HF54)</f>
        <v>152</v>
      </c>
      <c r="HI54" s="80"/>
      <c r="HJ54" s="78"/>
      <c r="HK54" s="81"/>
      <c r="HL54" s="81"/>
      <c r="HM54" s="81"/>
      <c r="HN54" s="81"/>
      <c r="HO54" s="81"/>
      <c r="HP54" s="81"/>
      <c r="HQ54" s="80"/>
      <c r="HR54" s="117"/>
      <c r="HS54" s="65"/>
      <c r="HT54" s="66"/>
      <c r="HU54" s="83" t="str">
        <f>Febbraio26!$L$2</f>
        <v/>
      </c>
      <c r="HV54" s="84">
        <f>Febbraio26!$L$3</f>
        <v>8</v>
      </c>
      <c r="HW54" s="84">
        <f>Febbraio26!$L$4</f>
        <v>8</v>
      </c>
      <c r="HX54" s="84">
        <f>Febbraio26!$L$5</f>
        <v>9</v>
      </c>
      <c r="HY54" s="85">
        <f>Febbraio26!$L$6</f>
        <v>8</v>
      </c>
      <c r="HZ54" s="85">
        <f>Febbraio26!$L$7</f>
        <v>9</v>
      </c>
      <c r="IA54" s="84" t="str">
        <f>Febbraio26!$L$8</f>
        <v/>
      </c>
      <c r="IB54" s="84" t="str">
        <f>Febbraio26!$L$9</f>
        <v/>
      </c>
      <c r="IC54" s="84">
        <f>Febbraio26!$L$10</f>
        <v>8</v>
      </c>
      <c r="ID54" s="84">
        <f>Febbraio26!$L$11</f>
        <v>8</v>
      </c>
      <c r="IE54" s="84">
        <f>Febbraio26!$L$12</f>
        <v>9</v>
      </c>
      <c r="IF54" s="85">
        <f>Febbraio26!$L$13</f>
        <v>8</v>
      </c>
      <c r="IG54" s="85">
        <f>Febbraio26!$L$14</f>
        <v>9</v>
      </c>
      <c r="IH54" s="84" t="str">
        <f>Febbraio26!$L$15</f>
        <v/>
      </c>
      <c r="II54" s="84" t="str">
        <f>Febbraio26!$L$16</f>
        <v/>
      </c>
      <c r="IJ54" s="84">
        <f>Febbraio26!$L$17</f>
        <v>8</v>
      </c>
      <c r="IK54" s="84">
        <f>Febbraio26!$L$18</f>
        <v>8</v>
      </c>
      <c r="IL54" s="84">
        <f>Febbraio26!$L$19</f>
        <v>9</v>
      </c>
      <c r="IM54" s="85">
        <f>Febbraio26!$L$20</f>
        <v>8</v>
      </c>
      <c r="IN54" s="85">
        <f>Febbraio26!$L$21</f>
        <v>9</v>
      </c>
      <c r="IO54" s="84" t="str">
        <f>Febbraio26!$L$22</f>
        <v/>
      </c>
      <c r="IP54" s="84" t="str">
        <f>Febbraio26!$L$23</f>
        <v/>
      </c>
      <c r="IQ54" s="84">
        <f>Febbraio26!$L$24</f>
        <v>8</v>
      </c>
      <c r="IR54" s="84">
        <f>Febbraio26!$L$25</f>
        <v>8</v>
      </c>
      <c r="IS54" s="84">
        <f>Febbraio26!$L$26</f>
        <v>9</v>
      </c>
      <c r="IT54" s="85">
        <f>Febbraio26!$L$27</f>
        <v>8</v>
      </c>
      <c r="IU54" s="85">
        <f>Febbraio26!$L$28</f>
        <v>8</v>
      </c>
      <c r="IV54" s="84" t="str">
        <f>Febbraio26!$L$29</f>
        <v/>
      </c>
      <c r="IW54" s="84" t="str">
        <f>Febbraio26!$L$30</f>
        <v/>
      </c>
      <c r="IX54" s="84" t="str">
        <f>Febbraio26!$L$31</f>
        <v/>
      </c>
      <c r="IY54" s="86" t="str">
        <f>Febbraio26!$L$32</f>
        <v/>
      </c>
      <c r="IZ54" s="78"/>
      <c r="JA54" s="79">
        <f>SUM(HU54:IY54)</f>
        <v>167</v>
      </c>
      <c r="JB54" s="80"/>
      <c r="JC54" s="78"/>
      <c r="JD54" s="81"/>
      <c r="JE54" s="81"/>
      <c r="JF54" s="81"/>
      <c r="JG54" s="81"/>
      <c r="JH54" s="81"/>
      <c r="JI54" s="81"/>
      <c r="JJ54" s="80"/>
      <c r="JK54" s="117"/>
      <c r="JL54" s="65"/>
      <c r="JM54" s="66"/>
      <c r="JN54" s="83" t="str">
        <f>Marzo26!$L$2</f>
        <v/>
      </c>
      <c r="JO54" s="84">
        <f>Marzo26!$L$3</f>
        <v>8</v>
      </c>
      <c r="JP54" s="84">
        <f>Marzo26!$L$4</f>
        <v>8</v>
      </c>
      <c r="JQ54" s="84">
        <f>Marzo26!$L$5</f>
        <v>9</v>
      </c>
      <c r="JR54" s="85">
        <f>Marzo26!$L$6</f>
        <v>8</v>
      </c>
      <c r="JS54" s="85">
        <f>Marzo26!$L$7</f>
        <v>9</v>
      </c>
      <c r="JT54" s="84" t="str">
        <f>Marzo26!$L$8</f>
        <v/>
      </c>
      <c r="JU54" s="84" t="str">
        <f>Marzo26!$L$9</f>
        <v/>
      </c>
      <c r="JV54" s="84">
        <f>Marzo26!$L$10</f>
        <v>8</v>
      </c>
      <c r="JW54" s="84">
        <f>Marzo26!$L$11</f>
        <v>8</v>
      </c>
      <c r="JX54" s="84">
        <f>Marzo26!$L$12</f>
        <v>9</v>
      </c>
      <c r="JY54" s="85">
        <f>Marzo26!$L$13</f>
        <v>8</v>
      </c>
      <c r="JZ54" s="85">
        <f>Marzo26!$L$14</f>
        <v>9</v>
      </c>
      <c r="KA54" s="84" t="str">
        <f>Marzo26!$L$15</f>
        <v/>
      </c>
      <c r="KB54" s="84" t="str">
        <f>Marzo26!$L$16</f>
        <v/>
      </c>
      <c r="KC54" s="84">
        <f>Marzo26!$L$17</f>
        <v>8</v>
      </c>
      <c r="KD54" s="84">
        <f>Marzo26!$L$18</f>
        <v>8</v>
      </c>
      <c r="KE54" s="84">
        <f>Marzo26!$L$19</f>
        <v>9</v>
      </c>
      <c r="KF54" s="85">
        <f>Marzo26!$L$20</f>
        <v>8</v>
      </c>
      <c r="KG54" s="85">
        <f>Marzo26!$L$21</f>
        <v>9</v>
      </c>
      <c r="KH54" s="84" t="str">
        <f>Marzo26!$L$22</f>
        <v/>
      </c>
      <c r="KI54" s="84" t="str">
        <f>Marzo26!$L$23</f>
        <v/>
      </c>
      <c r="KJ54" s="84">
        <f>Marzo26!$L$24</f>
        <v>8</v>
      </c>
      <c r="KK54" s="84">
        <f>Marzo26!$L$25</f>
        <v>8</v>
      </c>
      <c r="KL54" s="84">
        <f>Marzo26!$L$26</f>
        <v>9</v>
      </c>
      <c r="KM54" s="85">
        <f>Marzo26!$L$27</f>
        <v>8</v>
      </c>
      <c r="KN54" s="85">
        <f>Marzo26!$L$28</f>
        <v>9</v>
      </c>
      <c r="KO54" s="84" t="str">
        <f>Marzo26!$L$29</f>
        <v/>
      </c>
      <c r="KP54" s="84" t="str">
        <f>Marzo26!$L$30</f>
        <v/>
      </c>
      <c r="KQ54" s="84">
        <f>Marzo26!$L$31</f>
        <v>8</v>
      </c>
      <c r="KR54" s="86">
        <f>Marzo26!$L$32</f>
        <v>8</v>
      </c>
      <c r="KS54" s="78"/>
      <c r="KT54" s="79">
        <f>SUM(JN54:KR54)</f>
        <v>184</v>
      </c>
      <c r="KU54" s="80"/>
      <c r="KV54" s="78"/>
      <c r="KW54" s="81"/>
      <c r="KX54" s="81"/>
      <c r="KY54" s="81"/>
      <c r="KZ54" s="81"/>
      <c r="LA54" s="81"/>
      <c r="LB54" s="81"/>
      <c r="LC54" s="80"/>
      <c r="LD54" s="117"/>
      <c r="LE54" s="65"/>
      <c r="LF54" s="66"/>
      <c r="LG54" s="83" t="str">
        <f>Aprile26!$L$2</f>
        <v/>
      </c>
      <c r="LH54" s="84" t="str">
        <f>Aprile26!$L$3</f>
        <v/>
      </c>
      <c r="LI54" s="84" t="str">
        <f>Aprile26!$L$4</f>
        <v/>
      </c>
      <c r="LJ54" s="84" t="str">
        <f>Aprile26!$L$5</f>
        <v/>
      </c>
      <c r="LK54" s="85" t="str">
        <f>Aprile26!$L$6</f>
        <v/>
      </c>
      <c r="LL54" s="85" t="str">
        <f>Aprile26!$L$7</f>
        <v/>
      </c>
      <c r="LM54" s="84" t="str">
        <f>Aprile26!$L$8</f>
        <v/>
      </c>
      <c r="LN54" s="84" t="str">
        <f>Aprile26!$L$9</f>
        <v/>
      </c>
      <c r="LO54" s="84" t="str">
        <f>Aprile26!$L$10</f>
        <v/>
      </c>
      <c r="LP54" s="84" t="str">
        <f>Aprile26!$L$11</f>
        <v/>
      </c>
      <c r="LQ54" s="84" t="str">
        <f>Aprile26!$L$12</f>
        <v/>
      </c>
      <c r="LR54" s="85" t="str">
        <f>Aprile26!$L$13</f>
        <v/>
      </c>
      <c r="LS54" s="85" t="str">
        <f>Aprile26!$L$14</f>
        <v/>
      </c>
      <c r="LT54" s="84" t="str">
        <f>Aprile26!$L$15</f>
        <v/>
      </c>
      <c r="LU54" s="84" t="str">
        <f>Aprile26!$L$16</f>
        <v/>
      </c>
      <c r="LV54" s="84" t="str">
        <f>Aprile26!$L$17</f>
        <v/>
      </c>
      <c r="LW54" s="84" t="str">
        <f>Aprile26!$L$18</f>
        <v/>
      </c>
      <c r="LX54" s="84" t="str">
        <f>Aprile26!$L$19</f>
        <v/>
      </c>
      <c r="LY54" s="85" t="str">
        <f>Aprile26!$L$20</f>
        <v/>
      </c>
      <c r="LZ54" s="85" t="str">
        <f>Aprile26!$L$21</f>
        <v/>
      </c>
      <c r="MA54" s="84" t="str">
        <f>Aprile26!$L$22</f>
        <v/>
      </c>
      <c r="MB54" s="84" t="str">
        <f>Aprile26!$L$23</f>
        <v/>
      </c>
      <c r="MC54" s="84" t="str">
        <f>Aprile26!$L$24</f>
        <v/>
      </c>
      <c r="MD54" s="84" t="str">
        <f>Aprile26!$L$25</f>
        <v/>
      </c>
      <c r="ME54" s="84" t="str">
        <f>Aprile26!$L$26</f>
        <v/>
      </c>
      <c r="MF54" s="85" t="str">
        <f>Aprile26!$L$27</f>
        <v/>
      </c>
      <c r="MG54" s="85" t="str">
        <f>Aprile26!$L$28</f>
        <v/>
      </c>
      <c r="MH54" s="84" t="str">
        <f>Aprile26!$L$29</f>
        <v/>
      </c>
      <c r="MI54" s="84" t="str">
        <f>Aprile26!$L$30</f>
        <v/>
      </c>
      <c r="MJ54" s="84" t="str">
        <f>Aprile26!$L$31</f>
        <v/>
      </c>
      <c r="MK54" s="86" t="str">
        <f>Aprile26!$L$32</f>
        <v/>
      </c>
      <c r="ML54" s="78"/>
      <c r="MM54" s="79">
        <f>SUM(LG54:MK54)</f>
        <v>0</v>
      </c>
      <c r="MN54" s="80"/>
      <c r="MO54" s="78"/>
      <c r="MP54" s="81"/>
      <c r="MQ54" s="81"/>
      <c r="MR54" s="81"/>
      <c r="MS54" s="81"/>
      <c r="MT54" s="81"/>
      <c r="MU54" s="81"/>
      <c r="MV54" s="82"/>
      <c r="MW54" s="117"/>
      <c r="MX54" s="65"/>
      <c r="MY54" s="66"/>
      <c r="MZ54" s="83" t="str">
        <f>Maggio26!$L$2</f>
        <v/>
      </c>
      <c r="NA54" s="84" t="str">
        <f>Maggio26!$L$3</f>
        <v/>
      </c>
      <c r="NB54" s="84" t="str">
        <f>Maggio26!$L$4</f>
        <v/>
      </c>
      <c r="NC54" s="84" t="str">
        <f>Maggio26!$L$5</f>
        <v/>
      </c>
      <c r="ND54" s="85" t="str">
        <f>Maggio26!$L$6</f>
        <v/>
      </c>
      <c r="NE54" s="85" t="str">
        <f>Maggio26!$L$7</f>
        <v/>
      </c>
      <c r="NF54" s="84" t="str">
        <f>Maggio26!$L$8</f>
        <v/>
      </c>
      <c r="NG54" s="84" t="str">
        <f>Maggio26!$L$9</f>
        <v/>
      </c>
      <c r="NH54" s="84" t="str">
        <f>Maggio26!$L$10</f>
        <v/>
      </c>
      <c r="NI54" s="84" t="str">
        <f>Maggio26!$L$11</f>
        <v/>
      </c>
      <c r="NJ54" s="84" t="str">
        <f>Maggio26!$L$12</f>
        <v/>
      </c>
      <c r="NK54" s="85" t="str">
        <f>Maggio26!$L$13</f>
        <v/>
      </c>
      <c r="NL54" s="85" t="str">
        <f>Maggio26!$L$14</f>
        <v/>
      </c>
      <c r="NM54" s="84" t="str">
        <f>Maggio26!$L$15</f>
        <v/>
      </c>
      <c r="NN54" s="84" t="str">
        <f>Maggio26!$L$16</f>
        <v/>
      </c>
      <c r="NO54" s="84" t="str">
        <f>Maggio26!$L$17</f>
        <v/>
      </c>
      <c r="NP54" s="84" t="str">
        <f>Maggio26!$L$18</f>
        <v/>
      </c>
      <c r="NQ54" s="84" t="str">
        <f>Maggio26!$L$19</f>
        <v/>
      </c>
      <c r="NR54" s="85" t="str">
        <f>Maggio26!$L$20</f>
        <v/>
      </c>
      <c r="NS54" s="85" t="str">
        <f>Maggio26!$L$21</f>
        <v/>
      </c>
      <c r="NT54" s="84" t="str">
        <f>Maggio26!$L$22</f>
        <v/>
      </c>
      <c r="NU54" s="84" t="str">
        <f>Maggio26!$L$23</f>
        <v/>
      </c>
      <c r="NV54" s="84" t="str">
        <f>Maggio26!$L$24</f>
        <v/>
      </c>
      <c r="NW54" s="84" t="str">
        <f>Maggio26!$L$25</f>
        <v/>
      </c>
      <c r="NX54" s="84" t="str">
        <f>Maggio26!$L$26</f>
        <v/>
      </c>
      <c r="NY54" s="85" t="str">
        <f>Maggio26!$L$27</f>
        <v/>
      </c>
      <c r="NZ54" s="85" t="str">
        <f>Maggio26!$L$28</f>
        <v/>
      </c>
      <c r="OA54" s="84" t="str">
        <f>Maggio26!$L$29</f>
        <v/>
      </c>
      <c r="OB54" s="84" t="str">
        <f>Maggio26!$L$30</f>
        <v/>
      </c>
      <c r="OC54" s="84" t="str">
        <f>Maggio26!$L$31</f>
        <v/>
      </c>
      <c r="OD54" s="86" t="str">
        <f>Maggio26!$L$32</f>
        <v/>
      </c>
      <c r="OE54" s="78"/>
      <c r="OF54" s="79">
        <f>SUM(MZ54:OD54)</f>
        <v>0</v>
      </c>
      <c r="OG54" s="80"/>
      <c r="OH54" s="78"/>
      <c r="OI54" s="81"/>
      <c r="OJ54" s="81"/>
      <c r="OK54" s="81"/>
      <c r="OL54" s="81"/>
      <c r="OM54" s="81"/>
      <c r="ON54" s="81"/>
      <c r="OO54" s="82"/>
      <c r="OP54" s="117"/>
      <c r="OQ54" s="65"/>
      <c r="OR54" s="66"/>
      <c r="OS54" s="83" t="str">
        <f>Giugno26!$L$2</f>
        <v/>
      </c>
      <c r="OT54" s="84" t="str">
        <f>Giugno26!$L$3</f>
        <v/>
      </c>
      <c r="OU54" s="84" t="str">
        <f>Giugno26!$L$4</f>
        <v/>
      </c>
      <c r="OV54" s="84" t="str">
        <f>Giugno26!$L$5</f>
        <v/>
      </c>
      <c r="OW54" s="85" t="str">
        <f>Giugno26!$L$6</f>
        <v/>
      </c>
      <c r="OX54" s="85" t="str">
        <f>Giugno26!$L$7</f>
        <v/>
      </c>
      <c r="OY54" s="84" t="str">
        <f>Giugno26!$L$8</f>
        <v/>
      </c>
      <c r="OZ54" s="84" t="str">
        <f>Giugno26!$L$9</f>
        <v/>
      </c>
      <c r="PA54" s="84" t="str">
        <f>Giugno26!$L$10</f>
        <v/>
      </c>
      <c r="PB54" s="84" t="str">
        <f>Giugno26!$L$11</f>
        <v/>
      </c>
      <c r="PC54" s="84" t="str">
        <f>Giugno26!$L$12</f>
        <v/>
      </c>
      <c r="PD54" s="85" t="str">
        <f>Giugno26!$L$13</f>
        <v/>
      </c>
      <c r="PE54" s="85" t="str">
        <f>Giugno26!$L$14</f>
        <v/>
      </c>
      <c r="PF54" s="84" t="str">
        <f>Giugno26!$L$15</f>
        <v/>
      </c>
      <c r="PG54" s="84" t="str">
        <f>Giugno26!$L$16</f>
        <v/>
      </c>
      <c r="PH54" s="84" t="str">
        <f>Giugno26!$L$17</f>
        <v/>
      </c>
      <c r="PI54" s="84" t="str">
        <f>Giugno26!$L$18</f>
        <v/>
      </c>
      <c r="PJ54" s="84" t="str">
        <f>Giugno26!$L$19</f>
        <v/>
      </c>
      <c r="PK54" s="85" t="str">
        <f>Giugno26!$L$20</f>
        <v/>
      </c>
      <c r="PL54" s="85" t="str">
        <f>Giugno26!$L$21</f>
        <v/>
      </c>
      <c r="PM54" s="84" t="str">
        <f>Giugno26!$L$22</f>
        <v/>
      </c>
      <c r="PN54" s="84" t="str">
        <f>Giugno26!$L$23</f>
        <v/>
      </c>
      <c r="PO54" s="84" t="str">
        <f>Giugno26!$L$24</f>
        <v/>
      </c>
      <c r="PP54" s="84" t="str">
        <f>Giugno26!$L$25</f>
        <v/>
      </c>
      <c r="PQ54" s="84" t="str">
        <f>Giugno26!$L$26</f>
        <v/>
      </c>
      <c r="PR54" s="85" t="str">
        <f>Giugno26!$L$27</f>
        <v/>
      </c>
      <c r="PS54" s="85" t="str">
        <f>Giugno26!$L$28</f>
        <v/>
      </c>
      <c r="PT54" s="84" t="str">
        <f>Giugno26!$L$29</f>
        <v/>
      </c>
      <c r="PU54" s="84" t="str">
        <f>Giugno26!$L$30</f>
        <v/>
      </c>
      <c r="PV54" s="84" t="str">
        <f>Giugno26!$L$31</f>
        <v/>
      </c>
      <c r="PW54" s="86" t="str">
        <f>Giugno26!$L$32</f>
        <v/>
      </c>
      <c r="PX54" s="78"/>
      <c r="PY54" s="79">
        <f>SUM(OS54:PW54)</f>
        <v>0</v>
      </c>
      <c r="PZ54" s="80"/>
      <c r="QA54" s="78"/>
      <c r="QB54" s="81"/>
      <c r="QC54" s="81"/>
      <c r="QD54" s="81"/>
      <c r="QE54" s="81"/>
      <c r="QF54" s="81"/>
      <c r="QG54" s="81"/>
      <c r="QH54" s="82"/>
      <c r="QI54" s="117"/>
      <c r="QJ54" s="65"/>
      <c r="QK54" s="66"/>
      <c r="QL54" s="83" t="str">
        <f>Luglio26!$L$2</f>
        <v/>
      </c>
      <c r="QM54" s="84" t="str">
        <f>Luglio26!$L$3</f>
        <v/>
      </c>
      <c r="QN54" s="84" t="str">
        <f>Luglio26!$L$4</f>
        <v/>
      </c>
      <c r="QO54" s="84" t="str">
        <f>Luglio26!$L$5</f>
        <v/>
      </c>
      <c r="QP54" s="85" t="str">
        <f>Luglio26!$L$6</f>
        <v/>
      </c>
      <c r="QQ54" s="85" t="str">
        <f>Luglio26!$L$7</f>
        <v/>
      </c>
      <c r="QR54" s="84" t="str">
        <f>Luglio26!$L$8</f>
        <v/>
      </c>
      <c r="QS54" s="84" t="str">
        <f>Luglio26!$L$9</f>
        <v/>
      </c>
      <c r="QT54" s="84" t="str">
        <f>Luglio26!$L$10</f>
        <v/>
      </c>
      <c r="QU54" s="84" t="str">
        <f>Luglio26!$L$11</f>
        <v/>
      </c>
      <c r="QV54" s="84" t="str">
        <f>Luglio26!$L$12</f>
        <v/>
      </c>
      <c r="QW54" s="85" t="str">
        <f>Luglio26!$L$13</f>
        <v/>
      </c>
      <c r="QX54" s="85" t="str">
        <f>Luglio26!$L$14</f>
        <v/>
      </c>
      <c r="QY54" s="84" t="str">
        <f>Luglio26!$L$15</f>
        <v/>
      </c>
      <c r="QZ54" s="84" t="str">
        <f>Luglio26!$L$16</f>
        <v/>
      </c>
      <c r="RA54" s="84" t="str">
        <f>Luglio26!$L$17</f>
        <v/>
      </c>
      <c r="RB54" s="84" t="str">
        <f>Luglio26!$L$18</f>
        <v/>
      </c>
      <c r="RC54" s="84" t="str">
        <f>Luglio26!$L$19</f>
        <v/>
      </c>
      <c r="RD54" s="85" t="str">
        <f>Luglio26!$L$20</f>
        <v/>
      </c>
      <c r="RE54" s="85" t="str">
        <f>Luglio26!$L$21</f>
        <v/>
      </c>
      <c r="RF54" s="84" t="str">
        <f>Luglio26!$L$22</f>
        <v/>
      </c>
      <c r="RG54" s="84" t="str">
        <f>Luglio26!$L$23</f>
        <v/>
      </c>
      <c r="RH54" s="84" t="str">
        <f>Luglio26!$L$24</f>
        <v/>
      </c>
      <c r="RI54" s="84" t="str">
        <f>Luglio26!$L$25</f>
        <v/>
      </c>
      <c r="RJ54" s="84" t="str">
        <f>Luglio26!$L$26</f>
        <v/>
      </c>
      <c r="RK54" s="85" t="str">
        <f>Luglio26!$L$27</f>
        <v/>
      </c>
      <c r="RL54" s="85" t="str">
        <f>Luglio26!$L$28</f>
        <v/>
      </c>
      <c r="RM54" s="84" t="str">
        <f>Luglio26!$L$29</f>
        <v/>
      </c>
      <c r="RN54" s="84" t="str">
        <f>Luglio26!$L$30</f>
        <v/>
      </c>
      <c r="RO54" s="84" t="str">
        <f>Luglio26!$L$31</f>
        <v/>
      </c>
      <c r="RP54" s="86" t="str">
        <f>Luglio26!$L$32</f>
        <v/>
      </c>
      <c r="RQ54" s="78"/>
      <c r="RR54" s="79">
        <f>SUM(QL54:RP54)</f>
        <v>0</v>
      </c>
      <c r="RS54" s="80"/>
      <c r="RT54" s="78"/>
      <c r="RU54" s="81"/>
      <c r="RV54" s="81"/>
      <c r="RW54" s="81"/>
      <c r="RX54" s="81"/>
      <c r="RY54" s="81"/>
      <c r="RZ54" s="81"/>
      <c r="SA54" s="82"/>
      <c r="SB54" s="117"/>
      <c r="SC54" s="65"/>
      <c r="SD54" s="66"/>
      <c r="SE54" s="83" t="str">
        <f>Agosto26!$L$2</f>
        <v/>
      </c>
      <c r="SF54" s="84" t="str">
        <f>Agosto26!$L$3</f>
        <v/>
      </c>
      <c r="SG54" s="84" t="str">
        <f>Agosto26!$L$4</f>
        <v/>
      </c>
      <c r="SH54" s="84" t="str">
        <f>Agosto26!$L$5</f>
        <v/>
      </c>
      <c r="SI54" s="85" t="str">
        <f>Agosto26!$L$6</f>
        <v/>
      </c>
      <c r="SJ54" s="85" t="str">
        <f>Agosto26!$L$7</f>
        <v/>
      </c>
      <c r="SK54" s="84" t="str">
        <f>Agosto26!$L$8</f>
        <v/>
      </c>
      <c r="SL54" s="84" t="str">
        <f>Agosto26!$L$9</f>
        <v/>
      </c>
      <c r="SM54" s="84" t="str">
        <f>Agosto26!$L$10</f>
        <v/>
      </c>
      <c r="SN54" s="84" t="str">
        <f>Agosto26!$L$11</f>
        <v/>
      </c>
      <c r="SO54" s="84" t="str">
        <f>Agosto26!$L$12</f>
        <v/>
      </c>
      <c r="SP54" s="85" t="str">
        <f>Agosto26!$L$13</f>
        <v/>
      </c>
      <c r="SQ54" s="85" t="str">
        <f>Agosto26!$L$14</f>
        <v/>
      </c>
      <c r="SR54" s="84" t="str">
        <f>Agosto26!$L$15</f>
        <v/>
      </c>
      <c r="SS54" s="84" t="str">
        <f>Agosto26!$L$16</f>
        <v/>
      </c>
      <c r="ST54" s="84" t="str">
        <f>Agosto26!$L$17</f>
        <v/>
      </c>
      <c r="SU54" s="84" t="str">
        <f>Agosto26!$L$18</f>
        <v/>
      </c>
      <c r="SV54" s="84" t="str">
        <f>Agosto26!$L$19</f>
        <v/>
      </c>
      <c r="SW54" s="85" t="str">
        <f>Agosto26!$L$20</f>
        <v/>
      </c>
      <c r="SX54" s="85" t="str">
        <f>Agosto26!$L$21</f>
        <v/>
      </c>
      <c r="SY54" s="84" t="str">
        <f>Agosto26!$L$22</f>
        <v/>
      </c>
      <c r="SZ54" s="84" t="str">
        <f>Agosto26!$L$23</f>
        <v/>
      </c>
      <c r="TA54" s="84" t="str">
        <f>Agosto26!$L$24</f>
        <v/>
      </c>
      <c r="TB54" s="84" t="str">
        <f>Agosto26!$L$25</f>
        <v/>
      </c>
      <c r="TC54" s="84" t="str">
        <f>Agosto26!$L$26</f>
        <v/>
      </c>
      <c r="TD54" s="85" t="str">
        <f>Agosto26!$L$27</f>
        <v/>
      </c>
      <c r="TE54" s="85" t="str">
        <f>Agosto26!$L$28</f>
        <v/>
      </c>
      <c r="TF54" s="84" t="str">
        <f>Agosto26!$L$29</f>
        <v/>
      </c>
      <c r="TG54" s="84" t="str">
        <f>Agosto26!$L$30</f>
        <v/>
      </c>
      <c r="TH54" s="84" t="str">
        <f>Agosto26!$L$31</f>
        <v/>
      </c>
      <c r="TI54" s="86" t="str">
        <f>Agosto26!$L$32</f>
        <v/>
      </c>
      <c r="TJ54" s="78"/>
      <c r="TK54" s="79">
        <f>SUM(SE54:TI54)</f>
        <v>0</v>
      </c>
      <c r="TL54" s="80"/>
      <c r="TM54" s="78"/>
      <c r="TN54" s="81"/>
      <c r="TO54" s="81"/>
      <c r="TP54" s="81"/>
      <c r="TQ54" s="81"/>
      <c r="TR54" s="81"/>
      <c r="TS54" s="81"/>
      <c r="TT54" s="80"/>
    </row>
    <row r="55" ht="24.75" hidden="1" customHeight="1" outlineLevel="1">
      <c r="A55" s="91" t="s">
        <v>39</v>
      </c>
      <c r="B55" s="65"/>
      <c r="C55" s="66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118"/>
      <c r="AI55" s="78"/>
      <c r="AJ55" s="81"/>
      <c r="AK55" s="94">
        <f>SUM(D55:AG55)</f>
        <v>0</v>
      </c>
      <c r="AL55" s="78"/>
      <c r="AM55" s="81"/>
      <c r="AN55" s="81"/>
      <c r="AO55" s="81"/>
      <c r="AP55" s="81"/>
      <c r="AQ55" s="81"/>
      <c r="AR55" s="81"/>
      <c r="AS55" s="82"/>
      <c r="AT55" s="91" t="s">
        <v>39</v>
      </c>
      <c r="AU55" s="65"/>
      <c r="AV55" s="66"/>
      <c r="AW55" s="92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119"/>
      <c r="CB55" s="78"/>
      <c r="CC55" s="81"/>
      <c r="CD55" s="94">
        <f>SUM(AW55:BZ55)</f>
        <v>0</v>
      </c>
      <c r="CE55" s="78"/>
      <c r="CF55" s="81"/>
      <c r="CG55" s="81"/>
      <c r="CH55" s="81"/>
      <c r="CI55" s="81"/>
      <c r="CJ55" s="81"/>
      <c r="CK55" s="81"/>
      <c r="CL55" s="82"/>
      <c r="CM55" s="91" t="s">
        <v>39</v>
      </c>
      <c r="CN55" s="65"/>
      <c r="CO55" s="66"/>
      <c r="CP55" s="92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119"/>
      <c r="DU55" s="78"/>
      <c r="DV55" s="81"/>
      <c r="DW55" s="94">
        <f>SUM(CP55:DS55)</f>
        <v>0</v>
      </c>
      <c r="DX55" s="78"/>
      <c r="DY55" s="81"/>
      <c r="DZ55" s="81"/>
      <c r="EA55" s="81"/>
      <c r="EB55" s="81"/>
      <c r="EC55" s="81"/>
      <c r="ED55" s="81"/>
      <c r="EE55" s="80"/>
      <c r="EF55" s="91" t="s">
        <v>39</v>
      </c>
      <c r="EG55" s="65"/>
      <c r="EH55" s="66"/>
      <c r="EI55" s="92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119"/>
      <c r="FN55" s="78"/>
      <c r="FO55" s="81"/>
      <c r="FP55" s="94">
        <f>SUM(EI55:FL55)</f>
        <v>0</v>
      </c>
      <c r="FQ55" s="78"/>
      <c r="FR55" s="81"/>
      <c r="FS55" s="81"/>
      <c r="FT55" s="81"/>
      <c r="FU55" s="81"/>
      <c r="FV55" s="81"/>
      <c r="FW55" s="81"/>
      <c r="FX55" s="80"/>
      <c r="FY55" s="91" t="s">
        <v>39</v>
      </c>
      <c r="FZ55" s="65"/>
      <c r="GA55" s="66"/>
      <c r="GB55" s="92"/>
      <c r="GC55" s="85"/>
      <c r="GD55" s="85"/>
      <c r="GE55" s="85"/>
      <c r="GF55" s="85"/>
      <c r="GG55" s="85"/>
      <c r="GH55" s="85"/>
      <c r="GI55" s="85"/>
      <c r="GJ55" s="85"/>
      <c r="GK55" s="85"/>
      <c r="GL55" s="85"/>
      <c r="GM55" s="85"/>
      <c r="GN55" s="85"/>
      <c r="GO55" s="85"/>
      <c r="GP55" s="85"/>
      <c r="GQ55" s="85"/>
      <c r="GR55" s="85"/>
      <c r="GS55" s="85"/>
      <c r="GT55" s="85"/>
      <c r="GU55" s="85"/>
      <c r="GV55" s="85"/>
      <c r="GW55" s="85"/>
      <c r="GX55" s="85"/>
      <c r="GY55" s="85"/>
      <c r="GZ55" s="85"/>
      <c r="HA55" s="85"/>
      <c r="HB55" s="85"/>
      <c r="HC55" s="85"/>
      <c r="HD55" s="85"/>
      <c r="HE55" s="85"/>
      <c r="HF55" s="119"/>
      <c r="HG55" s="78"/>
      <c r="HH55" s="81"/>
      <c r="HI55" s="94">
        <f>SUM(GB55:HE55)</f>
        <v>0</v>
      </c>
      <c r="HJ55" s="78"/>
      <c r="HK55" s="81"/>
      <c r="HL55" s="81"/>
      <c r="HM55" s="81"/>
      <c r="HN55" s="81"/>
      <c r="HO55" s="81"/>
      <c r="HP55" s="81"/>
      <c r="HQ55" s="80"/>
      <c r="HR55" s="91" t="s">
        <v>39</v>
      </c>
      <c r="HS55" s="65"/>
      <c r="HT55" s="66"/>
      <c r="HU55" s="92"/>
      <c r="HV55" s="85"/>
      <c r="HW55" s="85"/>
      <c r="HX55" s="85"/>
      <c r="HY55" s="85"/>
      <c r="HZ55" s="85"/>
      <c r="IA55" s="85"/>
      <c r="IB55" s="85"/>
      <c r="IC55" s="85"/>
      <c r="ID55" s="85"/>
      <c r="IE55" s="85"/>
      <c r="IF55" s="85"/>
      <c r="IG55" s="85"/>
      <c r="IH55" s="85"/>
      <c r="II55" s="85"/>
      <c r="IJ55" s="85"/>
      <c r="IK55" s="85"/>
      <c r="IL55" s="85"/>
      <c r="IM55" s="85"/>
      <c r="IN55" s="85"/>
      <c r="IO55" s="85"/>
      <c r="IP55" s="85"/>
      <c r="IQ55" s="85"/>
      <c r="IR55" s="85"/>
      <c r="IS55" s="85"/>
      <c r="IT55" s="85"/>
      <c r="IU55" s="85"/>
      <c r="IV55" s="85"/>
      <c r="IW55" s="85"/>
      <c r="IX55" s="85"/>
      <c r="IY55" s="119"/>
      <c r="IZ55" s="78"/>
      <c r="JA55" s="81"/>
      <c r="JB55" s="94">
        <f>SUM(HU55:IX55)</f>
        <v>0</v>
      </c>
      <c r="JC55" s="78"/>
      <c r="JD55" s="81"/>
      <c r="JE55" s="81"/>
      <c r="JF55" s="81"/>
      <c r="JG55" s="81"/>
      <c r="JH55" s="81"/>
      <c r="JI55" s="81"/>
      <c r="JJ55" s="80"/>
      <c r="JK55" s="91" t="s">
        <v>39</v>
      </c>
      <c r="JL55" s="65"/>
      <c r="JM55" s="66"/>
      <c r="JN55" s="92"/>
      <c r="JO55" s="85"/>
      <c r="JP55" s="85"/>
      <c r="JQ55" s="85"/>
      <c r="JR55" s="85"/>
      <c r="JS55" s="85"/>
      <c r="JT55" s="85"/>
      <c r="JU55" s="85"/>
      <c r="JV55" s="85"/>
      <c r="JW55" s="85"/>
      <c r="JX55" s="85"/>
      <c r="JY55" s="85"/>
      <c r="JZ55" s="85"/>
      <c r="KA55" s="85"/>
      <c r="KB55" s="85"/>
      <c r="KC55" s="85"/>
      <c r="KD55" s="85"/>
      <c r="KE55" s="85"/>
      <c r="KF55" s="85"/>
      <c r="KG55" s="85"/>
      <c r="KH55" s="85"/>
      <c r="KI55" s="85"/>
      <c r="KJ55" s="85"/>
      <c r="KK55" s="85"/>
      <c r="KL55" s="85"/>
      <c r="KM55" s="85"/>
      <c r="KN55" s="85"/>
      <c r="KO55" s="85"/>
      <c r="KP55" s="85"/>
      <c r="KQ55" s="85"/>
      <c r="KR55" s="119"/>
      <c r="KS55" s="78"/>
      <c r="KT55" s="81"/>
      <c r="KU55" s="94">
        <f>SUM(JN55:KQ55)</f>
        <v>0</v>
      </c>
      <c r="KV55" s="78"/>
      <c r="KW55" s="81"/>
      <c r="KX55" s="81"/>
      <c r="KY55" s="81"/>
      <c r="KZ55" s="81"/>
      <c r="LA55" s="81"/>
      <c r="LB55" s="81"/>
      <c r="LC55" s="80"/>
      <c r="LD55" s="91" t="s">
        <v>39</v>
      </c>
      <c r="LE55" s="65"/>
      <c r="LF55" s="66"/>
      <c r="LG55" s="92"/>
      <c r="LH55" s="85"/>
      <c r="LI55" s="85"/>
      <c r="LJ55" s="85"/>
      <c r="LK55" s="85"/>
      <c r="LL55" s="85"/>
      <c r="LM55" s="85"/>
      <c r="LN55" s="85"/>
      <c r="LO55" s="85"/>
      <c r="LP55" s="85"/>
      <c r="LQ55" s="85"/>
      <c r="LR55" s="85"/>
      <c r="LS55" s="85"/>
      <c r="LT55" s="85"/>
      <c r="LU55" s="85"/>
      <c r="LV55" s="85"/>
      <c r="LW55" s="85"/>
      <c r="LX55" s="85"/>
      <c r="LY55" s="85"/>
      <c r="LZ55" s="85"/>
      <c r="MA55" s="85"/>
      <c r="MB55" s="85"/>
      <c r="MC55" s="85"/>
      <c r="MD55" s="85"/>
      <c r="ME55" s="85"/>
      <c r="MF55" s="85"/>
      <c r="MG55" s="85"/>
      <c r="MH55" s="85"/>
      <c r="MI55" s="85"/>
      <c r="MJ55" s="85"/>
      <c r="MK55" s="119"/>
      <c r="ML55" s="78"/>
      <c r="MM55" s="81"/>
      <c r="MN55" s="94">
        <f>SUM(LG55:MJ55)</f>
        <v>0</v>
      </c>
      <c r="MO55" s="78"/>
      <c r="MP55" s="81"/>
      <c r="MQ55" s="81"/>
      <c r="MR55" s="81"/>
      <c r="MS55" s="81"/>
      <c r="MT55" s="81"/>
      <c r="MU55" s="81"/>
      <c r="MV55" s="82"/>
      <c r="MW55" s="91" t="s">
        <v>39</v>
      </c>
      <c r="MX55" s="65"/>
      <c r="MY55" s="66"/>
      <c r="MZ55" s="92"/>
      <c r="NA55" s="85"/>
      <c r="NB55" s="85"/>
      <c r="NC55" s="85"/>
      <c r="ND55" s="85"/>
      <c r="NE55" s="85"/>
      <c r="NF55" s="85"/>
      <c r="NG55" s="85"/>
      <c r="NH55" s="85"/>
      <c r="NI55" s="85"/>
      <c r="NJ55" s="85"/>
      <c r="NK55" s="85"/>
      <c r="NL55" s="85"/>
      <c r="NM55" s="85"/>
      <c r="NN55" s="85"/>
      <c r="NO55" s="85"/>
      <c r="NP55" s="85"/>
      <c r="NQ55" s="85"/>
      <c r="NR55" s="85"/>
      <c r="NS55" s="85"/>
      <c r="NT55" s="85"/>
      <c r="NU55" s="85"/>
      <c r="NV55" s="85"/>
      <c r="NW55" s="85"/>
      <c r="NX55" s="85"/>
      <c r="NY55" s="85"/>
      <c r="NZ55" s="85"/>
      <c r="OA55" s="85"/>
      <c r="OB55" s="85"/>
      <c r="OC55" s="85"/>
      <c r="OD55" s="119"/>
      <c r="OE55" s="78"/>
      <c r="OF55" s="81"/>
      <c r="OG55" s="94">
        <f>SUM(MZ55:OC55)</f>
        <v>0</v>
      </c>
      <c r="OH55" s="78"/>
      <c r="OI55" s="81"/>
      <c r="OJ55" s="81"/>
      <c r="OK55" s="81"/>
      <c r="OL55" s="81"/>
      <c r="OM55" s="81"/>
      <c r="ON55" s="81"/>
      <c r="OO55" s="82"/>
      <c r="OP55" s="91" t="s">
        <v>39</v>
      </c>
      <c r="OQ55" s="65"/>
      <c r="OR55" s="66"/>
      <c r="OS55" s="92"/>
      <c r="OT55" s="85"/>
      <c r="OU55" s="85"/>
      <c r="OV55" s="85"/>
      <c r="OW55" s="85"/>
      <c r="OX55" s="85"/>
      <c r="OY55" s="85"/>
      <c r="OZ55" s="85"/>
      <c r="PA55" s="85"/>
      <c r="PB55" s="85"/>
      <c r="PC55" s="85"/>
      <c r="PD55" s="85"/>
      <c r="PE55" s="85"/>
      <c r="PF55" s="85"/>
      <c r="PG55" s="85"/>
      <c r="PH55" s="85"/>
      <c r="PI55" s="85"/>
      <c r="PJ55" s="85"/>
      <c r="PK55" s="85"/>
      <c r="PL55" s="85"/>
      <c r="PM55" s="85"/>
      <c r="PN55" s="85"/>
      <c r="PO55" s="85"/>
      <c r="PP55" s="85"/>
      <c r="PQ55" s="85"/>
      <c r="PR55" s="85"/>
      <c r="PS55" s="85"/>
      <c r="PT55" s="85"/>
      <c r="PU55" s="85"/>
      <c r="PV55" s="85"/>
      <c r="PW55" s="119"/>
      <c r="PX55" s="78"/>
      <c r="PY55" s="81"/>
      <c r="PZ55" s="94">
        <f>SUM(OS55:PV55)</f>
        <v>0</v>
      </c>
      <c r="QA55" s="78"/>
      <c r="QB55" s="81"/>
      <c r="QC55" s="81"/>
      <c r="QD55" s="81"/>
      <c r="QE55" s="81"/>
      <c r="QF55" s="81"/>
      <c r="QG55" s="81"/>
      <c r="QH55" s="82"/>
      <c r="QI55" s="91" t="s">
        <v>39</v>
      </c>
      <c r="QJ55" s="65"/>
      <c r="QK55" s="66"/>
      <c r="QL55" s="92"/>
      <c r="QM55" s="85"/>
      <c r="QN55" s="85"/>
      <c r="QO55" s="85"/>
      <c r="QP55" s="85"/>
      <c r="QQ55" s="85"/>
      <c r="QR55" s="85"/>
      <c r="QS55" s="85"/>
      <c r="QT55" s="85"/>
      <c r="QU55" s="85"/>
      <c r="QV55" s="85"/>
      <c r="QW55" s="85"/>
      <c r="QX55" s="85"/>
      <c r="QY55" s="85"/>
      <c r="QZ55" s="85"/>
      <c r="RA55" s="85"/>
      <c r="RB55" s="85"/>
      <c r="RC55" s="85"/>
      <c r="RD55" s="85"/>
      <c r="RE55" s="85"/>
      <c r="RF55" s="85"/>
      <c r="RG55" s="85"/>
      <c r="RH55" s="85"/>
      <c r="RI55" s="85"/>
      <c r="RJ55" s="85"/>
      <c r="RK55" s="85"/>
      <c r="RL55" s="85"/>
      <c r="RM55" s="85"/>
      <c r="RN55" s="85"/>
      <c r="RO55" s="85"/>
      <c r="RP55" s="119"/>
      <c r="RQ55" s="78"/>
      <c r="RR55" s="81"/>
      <c r="RS55" s="94">
        <f>SUM(QL55:RO55)</f>
        <v>0</v>
      </c>
      <c r="RT55" s="78"/>
      <c r="RU55" s="81"/>
      <c r="RV55" s="81"/>
      <c r="RW55" s="81"/>
      <c r="RX55" s="81"/>
      <c r="RY55" s="81"/>
      <c r="RZ55" s="81"/>
      <c r="SA55" s="82"/>
      <c r="SB55" s="91" t="s">
        <v>39</v>
      </c>
      <c r="SC55" s="65"/>
      <c r="SD55" s="66"/>
      <c r="SE55" s="92"/>
      <c r="SF55" s="85"/>
      <c r="SG55" s="85"/>
      <c r="SH55" s="85"/>
      <c r="SI55" s="85"/>
      <c r="SJ55" s="85"/>
      <c r="SK55" s="85"/>
      <c r="SL55" s="85"/>
      <c r="SM55" s="85"/>
      <c r="SN55" s="85"/>
      <c r="SO55" s="85"/>
      <c r="SP55" s="85"/>
      <c r="SQ55" s="85"/>
      <c r="SR55" s="85"/>
      <c r="SS55" s="85"/>
      <c r="ST55" s="85"/>
      <c r="SU55" s="85"/>
      <c r="SV55" s="85"/>
      <c r="SW55" s="85"/>
      <c r="SX55" s="85"/>
      <c r="SY55" s="85"/>
      <c r="SZ55" s="85"/>
      <c r="TA55" s="85"/>
      <c r="TB55" s="85"/>
      <c r="TC55" s="85"/>
      <c r="TD55" s="85"/>
      <c r="TE55" s="85"/>
      <c r="TF55" s="85"/>
      <c r="TG55" s="85"/>
      <c r="TH55" s="85"/>
      <c r="TI55" s="119"/>
      <c r="TJ55" s="78"/>
      <c r="TK55" s="81"/>
      <c r="TL55" s="94">
        <f>SUM(SE55:TH55)</f>
        <v>0</v>
      </c>
      <c r="TM55" s="78"/>
      <c r="TN55" s="81"/>
      <c r="TO55" s="81"/>
      <c r="TP55" s="81"/>
      <c r="TQ55" s="81"/>
      <c r="TR55" s="81"/>
      <c r="TS55" s="81"/>
      <c r="TT55" s="80"/>
    </row>
    <row r="56" ht="24.75" hidden="1" customHeight="1" outlineLevel="1">
      <c r="A56" s="96"/>
      <c r="B56" s="97"/>
      <c r="C56" s="98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118"/>
      <c r="AI56" s="78"/>
      <c r="AJ56" s="81"/>
      <c r="AK56" s="80"/>
      <c r="AL56" s="78"/>
      <c r="AM56" s="81"/>
      <c r="AN56" s="81"/>
      <c r="AO56" s="81"/>
      <c r="AP56" s="81"/>
      <c r="AQ56" s="81"/>
      <c r="AR56" s="81"/>
      <c r="AS56" s="82"/>
      <c r="AT56" s="96"/>
      <c r="AU56" s="97"/>
      <c r="AV56" s="98"/>
      <c r="AW56" s="92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119"/>
      <c r="CB56" s="78"/>
      <c r="CC56" s="81"/>
      <c r="CD56" s="80"/>
      <c r="CE56" s="78"/>
      <c r="CF56" s="81"/>
      <c r="CG56" s="81"/>
      <c r="CH56" s="81"/>
      <c r="CI56" s="81"/>
      <c r="CJ56" s="81"/>
      <c r="CK56" s="81"/>
      <c r="CL56" s="82"/>
      <c r="CM56" s="96"/>
      <c r="CN56" s="97"/>
      <c r="CO56" s="98"/>
      <c r="CP56" s="92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119"/>
      <c r="DU56" s="78"/>
      <c r="DV56" s="81"/>
      <c r="DW56" s="80"/>
      <c r="DX56" s="78"/>
      <c r="DY56" s="81"/>
      <c r="DZ56" s="81"/>
      <c r="EA56" s="81"/>
      <c r="EB56" s="81"/>
      <c r="EC56" s="81"/>
      <c r="ED56" s="81"/>
      <c r="EE56" s="80"/>
      <c r="EF56" s="96"/>
      <c r="EG56" s="97"/>
      <c r="EH56" s="98"/>
      <c r="EI56" s="92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119"/>
      <c r="FN56" s="78"/>
      <c r="FO56" s="81"/>
      <c r="FP56" s="80"/>
      <c r="FQ56" s="78"/>
      <c r="FR56" s="81"/>
      <c r="FS56" s="81"/>
      <c r="FT56" s="81"/>
      <c r="FU56" s="81"/>
      <c r="FV56" s="81"/>
      <c r="FW56" s="81"/>
      <c r="FX56" s="80"/>
      <c r="FY56" s="96"/>
      <c r="FZ56" s="97"/>
      <c r="GA56" s="98"/>
      <c r="GB56" s="92"/>
      <c r="GC56" s="85"/>
      <c r="GD56" s="85"/>
      <c r="GE56" s="85"/>
      <c r="GF56" s="85"/>
      <c r="GG56" s="85"/>
      <c r="GH56" s="85"/>
      <c r="GI56" s="85"/>
      <c r="GJ56" s="85"/>
      <c r="GK56" s="85"/>
      <c r="GL56" s="85"/>
      <c r="GM56" s="85"/>
      <c r="GN56" s="85"/>
      <c r="GO56" s="85"/>
      <c r="GP56" s="85"/>
      <c r="GQ56" s="85"/>
      <c r="GR56" s="85"/>
      <c r="GS56" s="85"/>
      <c r="GT56" s="85"/>
      <c r="GU56" s="85"/>
      <c r="GV56" s="85"/>
      <c r="GW56" s="85"/>
      <c r="GX56" s="85"/>
      <c r="GY56" s="85"/>
      <c r="GZ56" s="85"/>
      <c r="HA56" s="85"/>
      <c r="HB56" s="85"/>
      <c r="HC56" s="85"/>
      <c r="HD56" s="85"/>
      <c r="HE56" s="85"/>
      <c r="HF56" s="119"/>
      <c r="HG56" s="78"/>
      <c r="HH56" s="81"/>
      <c r="HI56" s="80"/>
      <c r="HJ56" s="78"/>
      <c r="HK56" s="81"/>
      <c r="HL56" s="81"/>
      <c r="HM56" s="81"/>
      <c r="HN56" s="81"/>
      <c r="HO56" s="81"/>
      <c r="HP56" s="81"/>
      <c r="HQ56" s="80"/>
      <c r="HR56" s="96"/>
      <c r="HS56" s="97"/>
      <c r="HT56" s="98"/>
      <c r="HU56" s="92"/>
      <c r="HV56" s="85"/>
      <c r="HW56" s="85"/>
      <c r="HX56" s="85"/>
      <c r="HY56" s="85"/>
      <c r="HZ56" s="85"/>
      <c r="IA56" s="85"/>
      <c r="IB56" s="85"/>
      <c r="IC56" s="85"/>
      <c r="ID56" s="85"/>
      <c r="IE56" s="85"/>
      <c r="IF56" s="85"/>
      <c r="IG56" s="85"/>
      <c r="IH56" s="85"/>
      <c r="II56" s="85"/>
      <c r="IJ56" s="85"/>
      <c r="IK56" s="85"/>
      <c r="IL56" s="85"/>
      <c r="IM56" s="85"/>
      <c r="IN56" s="85"/>
      <c r="IO56" s="85"/>
      <c r="IP56" s="85"/>
      <c r="IQ56" s="85"/>
      <c r="IR56" s="85"/>
      <c r="IS56" s="85"/>
      <c r="IT56" s="85"/>
      <c r="IU56" s="85"/>
      <c r="IV56" s="85"/>
      <c r="IW56" s="85"/>
      <c r="IX56" s="85"/>
      <c r="IY56" s="119"/>
      <c r="IZ56" s="78"/>
      <c r="JA56" s="81"/>
      <c r="JB56" s="80"/>
      <c r="JC56" s="78"/>
      <c r="JD56" s="81"/>
      <c r="JE56" s="81"/>
      <c r="JF56" s="81"/>
      <c r="JG56" s="81"/>
      <c r="JH56" s="81"/>
      <c r="JI56" s="81"/>
      <c r="JJ56" s="80"/>
      <c r="JK56" s="96"/>
      <c r="JL56" s="97"/>
      <c r="JM56" s="98"/>
      <c r="JN56" s="92"/>
      <c r="JO56" s="85"/>
      <c r="JP56" s="85"/>
      <c r="JQ56" s="85"/>
      <c r="JR56" s="85"/>
      <c r="JS56" s="85"/>
      <c r="JT56" s="85"/>
      <c r="JU56" s="85"/>
      <c r="JV56" s="85"/>
      <c r="JW56" s="85"/>
      <c r="JX56" s="85"/>
      <c r="JY56" s="85"/>
      <c r="JZ56" s="85"/>
      <c r="KA56" s="85"/>
      <c r="KB56" s="85"/>
      <c r="KC56" s="85"/>
      <c r="KD56" s="85"/>
      <c r="KE56" s="85"/>
      <c r="KF56" s="85"/>
      <c r="KG56" s="85"/>
      <c r="KH56" s="85"/>
      <c r="KI56" s="85"/>
      <c r="KJ56" s="85"/>
      <c r="KK56" s="85"/>
      <c r="KL56" s="85"/>
      <c r="KM56" s="85"/>
      <c r="KN56" s="85"/>
      <c r="KO56" s="85"/>
      <c r="KP56" s="85"/>
      <c r="KQ56" s="85"/>
      <c r="KR56" s="119"/>
      <c r="KS56" s="78"/>
      <c r="KT56" s="81"/>
      <c r="KU56" s="80"/>
      <c r="KV56" s="78"/>
      <c r="KW56" s="81"/>
      <c r="KX56" s="81"/>
      <c r="KY56" s="81"/>
      <c r="KZ56" s="81"/>
      <c r="LA56" s="81"/>
      <c r="LB56" s="81"/>
      <c r="LC56" s="80"/>
      <c r="LD56" s="96"/>
      <c r="LE56" s="97"/>
      <c r="LF56" s="98"/>
      <c r="LG56" s="92"/>
      <c r="LH56" s="85"/>
      <c r="LI56" s="85"/>
      <c r="LJ56" s="85"/>
      <c r="LK56" s="85"/>
      <c r="LL56" s="85"/>
      <c r="LM56" s="85"/>
      <c r="LN56" s="85"/>
      <c r="LO56" s="85"/>
      <c r="LP56" s="85"/>
      <c r="LQ56" s="85"/>
      <c r="LR56" s="85"/>
      <c r="LS56" s="85"/>
      <c r="LT56" s="85"/>
      <c r="LU56" s="85"/>
      <c r="LV56" s="85"/>
      <c r="LW56" s="85"/>
      <c r="LX56" s="85"/>
      <c r="LY56" s="85"/>
      <c r="LZ56" s="85"/>
      <c r="MA56" s="85"/>
      <c r="MB56" s="85"/>
      <c r="MC56" s="85"/>
      <c r="MD56" s="85"/>
      <c r="ME56" s="85"/>
      <c r="MF56" s="85"/>
      <c r="MG56" s="85"/>
      <c r="MH56" s="85"/>
      <c r="MI56" s="85"/>
      <c r="MJ56" s="85"/>
      <c r="MK56" s="119"/>
      <c r="ML56" s="78"/>
      <c r="MM56" s="81"/>
      <c r="MN56" s="80"/>
      <c r="MO56" s="78"/>
      <c r="MP56" s="81"/>
      <c r="MQ56" s="81"/>
      <c r="MR56" s="81"/>
      <c r="MS56" s="81"/>
      <c r="MT56" s="81"/>
      <c r="MU56" s="81"/>
      <c r="MV56" s="80"/>
      <c r="MW56" s="96"/>
      <c r="MX56" s="97"/>
      <c r="MY56" s="98"/>
      <c r="MZ56" s="92"/>
      <c r="NA56" s="85"/>
      <c r="NB56" s="85"/>
      <c r="NC56" s="85"/>
      <c r="ND56" s="85"/>
      <c r="NE56" s="85"/>
      <c r="NF56" s="85"/>
      <c r="NG56" s="85"/>
      <c r="NH56" s="85"/>
      <c r="NI56" s="85"/>
      <c r="NJ56" s="85"/>
      <c r="NK56" s="85"/>
      <c r="NL56" s="85"/>
      <c r="NM56" s="85"/>
      <c r="NN56" s="85"/>
      <c r="NO56" s="85"/>
      <c r="NP56" s="85"/>
      <c r="NQ56" s="85"/>
      <c r="NR56" s="85"/>
      <c r="NS56" s="85"/>
      <c r="NT56" s="85"/>
      <c r="NU56" s="85"/>
      <c r="NV56" s="85"/>
      <c r="NW56" s="85"/>
      <c r="NX56" s="85"/>
      <c r="NY56" s="85"/>
      <c r="NZ56" s="85"/>
      <c r="OA56" s="85"/>
      <c r="OB56" s="85"/>
      <c r="OC56" s="85"/>
      <c r="OD56" s="119"/>
      <c r="OE56" s="78"/>
      <c r="OF56" s="81"/>
      <c r="OG56" s="80"/>
      <c r="OH56" s="78"/>
      <c r="OI56" s="81"/>
      <c r="OJ56" s="81"/>
      <c r="OK56" s="81"/>
      <c r="OL56" s="81"/>
      <c r="OM56" s="81"/>
      <c r="ON56" s="81"/>
      <c r="OO56" s="80"/>
      <c r="OP56" s="96"/>
      <c r="OQ56" s="97"/>
      <c r="OR56" s="98"/>
      <c r="OS56" s="92"/>
      <c r="OT56" s="85"/>
      <c r="OU56" s="85"/>
      <c r="OV56" s="85"/>
      <c r="OW56" s="85"/>
      <c r="OX56" s="85"/>
      <c r="OY56" s="85"/>
      <c r="OZ56" s="85"/>
      <c r="PA56" s="85"/>
      <c r="PB56" s="85"/>
      <c r="PC56" s="85"/>
      <c r="PD56" s="85"/>
      <c r="PE56" s="85"/>
      <c r="PF56" s="85"/>
      <c r="PG56" s="85"/>
      <c r="PH56" s="85"/>
      <c r="PI56" s="85"/>
      <c r="PJ56" s="85"/>
      <c r="PK56" s="85"/>
      <c r="PL56" s="85"/>
      <c r="PM56" s="85"/>
      <c r="PN56" s="85"/>
      <c r="PO56" s="85"/>
      <c r="PP56" s="85"/>
      <c r="PQ56" s="85"/>
      <c r="PR56" s="85"/>
      <c r="PS56" s="85"/>
      <c r="PT56" s="85"/>
      <c r="PU56" s="85"/>
      <c r="PV56" s="85"/>
      <c r="PW56" s="119"/>
      <c r="PX56" s="78"/>
      <c r="PY56" s="81"/>
      <c r="PZ56" s="80"/>
      <c r="QA56" s="78"/>
      <c r="QB56" s="81"/>
      <c r="QC56" s="81"/>
      <c r="QD56" s="81"/>
      <c r="QE56" s="81"/>
      <c r="QF56" s="81"/>
      <c r="QG56" s="81"/>
      <c r="QH56" s="80"/>
      <c r="QI56" s="96"/>
      <c r="QJ56" s="97"/>
      <c r="QK56" s="98"/>
      <c r="QL56" s="92"/>
      <c r="QM56" s="85"/>
      <c r="QN56" s="85"/>
      <c r="QO56" s="85"/>
      <c r="QP56" s="85"/>
      <c r="QQ56" s="85"/>
      <c r="QR56" s="85"/>
      <c r="QS56" s="85"/>
      <c r="QT56" s="85"/>
      <c r="QU56" s="85"/>
      <c r="QV56" s="85"/>
      <c r="QW56" s="85"/>
      <c r="QX56" s="85"/>
      <c r="QY56" s="85"/>
      <c r="QZ56" s="85"/>
      <c r="RA56" s="85"/>
      <c r="RB56" s="85"/>
      <c r="RC56" s="85"/>
      <c r="RD56" s="85"/>
      <c r="RE56" s="85"/>
      <c r="RF56" s="85"/>
      <c r="RG56" s="85"/>
      <c r="RH56" s="85"/>
      <c r="RI56" s="85"/>
      <c r="RJ56" s="85"/>
      <c r="RK56" s="85"/>
      <c r="RL56" s="85"/>
      <c r="RM56" s="85"/>
      <c r="RN56" s="85"/>
      <c r="RO56" s="85"/>
      <c r="RP56" s="119"/>
      <c r="RQ56" s="78"/>
      <c r="RR56" s="81"/>
      <c r="RS56" s="80"/>
      <c r="RT56" s="78"/>
      <c r="RU56" s="81"/>
      <c r="RV56" s="81"/>
      <c r="RW56" s="81"/>
      <c r="RX56" s="81"/>
      <c r="RY56" s="81"/>
      <c r="RZ56" s="81"/>
      <c r="SA56" s="80"/>
      <c r="SB56" s="96"/>
      <c r="SC56" s="97"/>
      <c r="SD56" s="98"/>
      <c r="SE56" s="92"/>
      <c r="SF56" s="85"/>
      <c r="SG56" s="85"/>
      <c r="SH56" s="85"/>
      <c r="SI56" s="85"/>
      <c r="SJ56" s="85"/>
      <c r="SK56" s="85"/>
      <c r="SL56" s="85"/>
      <c r="SM56" s="85"/>
      <c r="SN56" s="85"/>
      <c r="SO56" s="85"/>
      <c r="SP56" s="85"/>
      <c r="SQ56" s="85"/>
      <c r="SR56" s="85"/>
      <c r="SS56" s="85"/>
      <c r="ST56" s="85"/>
      <c r="SU56" s="85"/>
      <c r="SV56" s="85"/>
      <c r="SW56" s="85"/>
      <c r="SX56" s="85"/>
      <c r="SY56" s="85"/>
      <c r="SZ56" s="85"/>
      <c r="TA56" s="85"/>
      <c r="TB56" s="85"/>
      <c r="TC56" s="85"/>
      <c r="TD56" s="85"/>
      <c r="TE56" s="85"/>
      <c r="TF56" s="85"/>
      <c r="TG56" s="85"/>
      <c r="TH56" s="85"/>
      <c r="TI56" s="119"/>
      <c r="TJ56" s="78"/>
      <c r="TK56" s="81"/>
      <c r="TL56" s="80"/>
      <c r="TM56" s="78"/>
      <c r="TN56" s="81"/>
      <c r="TO56" s="81"/>
      <c r="TP56" s="81"/>
      <c r="TQ56" s="81"/>
      <c r="TR56" s="81"/>
      <c r="TS56" s="81"/>
      <c r="TT56" s="80"/>
    </row>
    <row r="57" ht="24.75" hidden="1" customHeight="1" outlineLevel="1">
      <c r="A57" s="100" t="s">
        <v>27</v>
      </c>
      <c r="B57" s="101"/>
      <c r="C57" s="102"/>
      <c r="D57" s="103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4"/>
      <c r="AH57" s="105"/>
      <c r="AI57" s="103"/>
      <c r="AJ57" s="101"/>
      <c r="AK57" s="102"/>
      <c r="AL57" s="103"/>
      <c r="AM57" s="101"/>
      <c r="AN57" s="101"/>
      <c r="AO57" s="101"/>
      <c r="AP57" s="101"/>
      <c r="AQ57" s="101"/>
      <c r="AR57" s="101"/>
      <c r="AS57" s="102"/>
      <c r="AT57" s="100" t="s">
        <v>27</v>
      </c>
      <c r="AU57" s="101"/>
      <c r="AV57" s="102"/>
      <c r="AW57" s="103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1"/>
      <c r="BV57" s="101"/>
      <c r="BW57" s="101"/>
      <c r="BX57" s="101"/>
      <c r="BY57" s="101"/>
      <c r="BZ57" s="104"/>
      <c r="CA57" s="106"/>
      <c r="CB57" s="103"/>
      <c r="CC57" s="101"/>
      <c r="CD57" s="102"/>
      <c r="CE57" s="103"/>
      <c r="CF57" s="101"/>
      <c r="CG57" s="101"/>
      <c r="CH57" s="101"/>
      <c r="CI57" s="101"/>
      <c r="CJ57" s="101"/>
      <c r="CK57" s="101"/>
      <c r="CL57" s="102"/>
      <c r="CM57" s="100" t="s">
        <v>27</v>
      </c>
      <c r="CN57" s="101"/>
      <c r="CO57" s="102"/>
      <c r="CP57" s="103"/>
      <c r="CQ57" s="101"/>
      <c r="CR57" s="101"/>
      <c r="CS57" s="101"/>
      <c r="CT57" s="101"/>
      <c r="CU57" s="101"/>
      <c r="CV57" s="101"/>
      <c r="CW57" s="101"/>
      <c r="CX57" s="101"/>
      <c r="CY57" s="101"/>
      <c r="CZ57" s="101"/>
      <c r="DA57" s="101"/>
      <c r="DB57" s="101"/>
      <c r="DC57" s="101"/>
      <c r="DD57" s="101"/>
      <c r="DE57" s="101"/>
      <c r="DF57" s="101"/>
      <c r="DG57" s="101"/>
      <c r="DH57" s="101"/>
      <c r="DI57" s="101"/>
      <c r="DJ57" s="101"/>
      <c r="DK57" s="101"/>
      <c r="DL57" s="101"/>
      <c r="DM57" s="101"/>
      <c r="DN57" s="101"/>
      <c r="DO57" s="101"/>
      <c r="DP57" s="101"/>
      <c r="DQ57" s="101"/>
      <c r="DR57" s="101"/>
      <c r="DS57" s="104"/>
      <c r="DT57" s="106"/>
      <c r="DU57" s="103"/>
      <c r="DV57" s="101"/>
      <c r="DW57" s="102"/>
      <c r="DX57" s="103"/>
      <c r="DY57" s="101"/>
      <c r="DZ57" s="101"/>
      <c r="EA57" s="101"/>
      <c r="EB57" s="101"/>
      <c r="EC57" s="101"/>
      <c r="ED57" s="101"/>
      <c r="EE57" s="102"/>
      <c r="EF57" s="100" t="s">
        <v>27</v>
      </c>
      <c r="EG57" s="101"/>
      <c r="EH57" s="102"/>
      <c r="EI57" s="103"/>
      <c r="EJ57" s="101"/>
      <c r="EK57" s="101"/>
      <c r="EL57" s="101"/>
      <c r="EM57" s="101"/>
      <c r="EN57" s="101"/>
      <c r="EO57" s="101"/>
      <c r="EP57" s="101"/>
      <c r="EQ57" s="101"/>
      <c r="ER57" s="101"/>
      <c r="ES57" s="101"/>
      <c r="ET57" s="101"/>
      <c r="EU57" s="101"/>
      <c r="EV57" s="101"/>
      <c r="EW57" s="101"/>
      <c r="EX57" s="101"/>
      <c r="EY57" s="101"/>
      <c r="EZ57" s="101"/>
      <c r="FA57" s="101"/>
      <c r="FB57" s="101"/>
      <c r="FC57" s="101"/>
      <c r="FD57" s="101"/>
      <c r="FE57" s="101"/>
      <c r="FF57" s="101"/>
      <c r="FG57" s="101"/>
      <c r="FH57" s="101"/>
      <c r="FI57" s="101"/>
      <c r="FJ57" s="101"/>
      <c r="FK57" s="101"/>
      <c r="FL57" s="104"/>
      <c r="FM57" s="106"/>
      <c r="FN57" s="103"/>
      <c r="FO57" s="101"/>
      <c r="FP57" s="102"/>
      <c r="FQ57" s="103"/>
      <c r="FR57" s="101"/>
      <c r="FS57" s="101"/>
      <c r="FT57" s="101"/>
      <c r="FU57" s="101"/>
      <c r="FV57" s="101"/>
      <c r="FW57" s="101"/>
      <c r="FX57" s="102"/>
      <c r="FY57" s="100" t="s">
        <v>27</v>
      </c>
      <c r="FZ57" s="101"/>
      <c r="GA57" s="102"/>
      <c r="GB57" s="103"/>
      <c r="GC57" s="101"/>
      <c r="GD57" s="101"/>
      <c r="GE57" s="101"/>
      <c r="GF57" s="101"/>
      <c r="GG57" s="101"/>
      <c r="GH57" s="101"/>
      <c r="GI57" s="101"/>
      <c r="GJ57" s="101"/>
      <c r="GK57" s="101"/>
      <c r="GL57" s="101"/>
      <c r="GM57" s="101"/>
      <c r="GN57" s="101"/>
      <c r="GO57" s="101"/>
      <c r="GP57" s="101"/>
      <c r="GQ57" s="101"/>
      <c r="GR57" s="101"/>
      <c r="GS57" s="101"/>
      <c r="GT57" s="101"/>
      <c r="GU57" s="101"/>
      <c r="GV57" s="101"/>
      <c r="GW57" s="101"/>
      <c r="GX57" s="101"/>
      <c r="GY57" s="101"/>
      <c r="GZ57" s="101"/>
      <c r="HA57" s="101"/>
      <c r="HB57" s="101"/>
      <c r="HC57" s="101"/>
      <c r="HD57" s="101"/>
      <c r="HE57" s="104"/>
      <c r="HF57" s="106"/>
      <c r="HG57" s="103"/>
      <c r="HH57" s="101"/>
      <c r="HI57" s="102"/>
      <c r="HJ57" s="103"/>
      <c r="HK57" s="101"/>
      <c r="HL57" s="101"/>
      <c r="HM57" s="101"/>
      <c r="HN57" s="101"/>
      <c r="HO57" s="101"/>
      <c r="HP57" s="101"/>
      <c r="HQ57" s="102"/>
      <c r="HR57" s="100" t="s">
        <v>27</v>
      </c>
      <c r="HS57" s="101"/>
      <c r="HT57" s="102"/>
      <c r="HU57" s="103"/>
      <c r="HV57" s="101"/>
      <c r="HW57" s="101"/>
      <c r="HX57" s="101"/>
      <c r="HY57" s="101"/>
      <c r="HZ57" s="101"/>
      <c r="IA57" s="101"/>
      <c r="IB57" s="101"/>
      <c r="IC57" s="101"/>
      <c r="ID57" s="101"/>
      <c r="IE57" s="101"/>
      <c r="IF57" s="101"/>
      <c r="IG57" s="101"/>
      <c r="IH57" s="101"/>
      <c r="II57" s="101"/>
      <c r="IJ57" s="101"/>
      <c r="IK57" s="101"/>
      <c r="IL57" s="101"/>
      <c r="IM57" s="101"/>
      <c r="IN57" s="101"/>
      <c r="IO57" s="101"/>
      <c r="IP57" s="101"/>
      <c r="IQ57" s="101"/>
      <c r="IR57" s="101"/>
      <c r="IS57" s="101"/>
      <c r="IT57" s="101"/>
      <c r="IU57" s="101"/>
      <c r="IV57" s="101"/>
      <c r="IW57" s="101"/>
      <c r="IX57" s="104"/>
      <c r="IY57" s="106"/>
      <c r="IZ57" s="103"/>
      <c r="JA57" s="101"/>
      <c r="JB57" s="102"/>
      <c r="JC57" s="103"/>
      <c r="JD57" s="101"/>
      <c r="JE57" s="101"/>
      <c r="JF57" s="101"/>
      <c r="JG57" s="101"/>
      <c r="JH57" s="101"/>
      <c r="JI57" s="101"/>
      <c r="JJ57" s="102"/>
      <c r="JK57" s="100" t="s">
        <v>27</v>
      </c>
      <c r="JL57" s="101"/>
      <c r="JM57" s="102"/>
      <c r="JN57" s="103"/>
      <c r="JO57" s="101"/>
      <c r="JP57" s="101"/>
      <c r="JQ57" s="101"/>
      <c r="JR57" s="101"/>
      <c r="JS57" s="101"/>
      <c r="JT57" s="101"/>
      <c r="JU57" s="101"/>
      <c r="JV57" s="101"/>
      <c r="JW57" s="101"/>
      <c r="JX57" s="101"/>
      <c r="JY57" s="101"/>
      <c r="JZ57" s="101"/>
      <c r="KA57" s="101"/>
      <c r="KB57" s="101"/>
      <c r="KC57" s="101"/>
      <c r="KD57" s="101"/>
      <c r="KE57" s="101"/>
      <c r="KF57" s="101"/>
      <c r="KG57" s="101"/>
      <c r="KH57" s="101"/>
      <c r="KI57" s="101"/>
      <c r="KJ57" s="101"/>
      <c r="KK57" s="101"/>
      <c r="KL57" s="101"/>
      <c r="KM57" s="101"/>
      <c r="KN57" s="101"/>
      <c r="KO57" s="101"/>
      <c r="KP57" s="101"/>
      <c r="KQ57" s="104"/>
      <c r="KR57" s="106"/>
      <c r="KS57" s="103"/>
      <c r="KT57" s="101"/>
      <c r="KU57" s="102"/>
      <c r="KV57" s="103"/>
      <c r="KW57" s="101"/>
      <c r="KX57" s="101"/>
      <c r="KY57" s="101"/>
      <c r="KZ57" s="101"/>
      <c r="LA57" s="101"/>
      <c r="LB57" s="101"/>
      <c r="LC57" s="102"/>
      <c r="LD57" s="100" t="s">
        <v>27</v>
      </c>
      <c r="LE57" s="101"/>
      <c r="LF57" s="102"/>
      <c r="LG57" s="103"/>
      <c r="LH57" s="101"/>
      <c r="LI57" s="101"/>
      <c r="LJ57" s="101"/>
      <c r="LK57" s="101"/>
      <c r="LL57" s="101"/>
      <c r="LM57" s="101"/>
      <c r="LN57" s="101"/>
      <c r="LO57" s="101"/>
      <c r="LP57" s="101"/>
      <c r="LQ57" s="101"/>
      <c r="LR57" s="101"/>
      <c r="LS57" s="101"/>
      <c r="LT57" s="101"/>
      <c r="LU57" s="101"/>
      <c r="LV57" s="101"/>
      <c r="LW57" s="101"/>
      <c r="LX57" s="101"/>
      <c r="LY57" s="101"/>
      <c r="LZ57" s="101"/>
      <c r="MA57" s="101"/>
      <c r="MB57" s="101"/>
      <c r="MC57" s="101"/>
      <c r="MD57" s="101"/>
      <c r="ME57" s="101"/>
      <c r="MF57" s="101"/>
      <c r="MG57" s="101"/>
      <c r="MH57" s="101"/>
      <c r="MI57" s="101"/>
      <c r="MJ57" s="104"/>
      <c r="MK57" s="106"/>
      <c r="ML57" s="103"/>
      <c r="MM57" s="101"/>
      <c r="MN57" s="102"/>
      <c r="MO57" s="103"/>
      <c r="MP57" s="101"/>
      <c r="MQ57" s="101"/>
      <c r="MR57" s="101"/>
      <c r="MS57" s="101"/>
      <c r="MT57" s="101"/>
      <c r="MU57" s="101"/>
      <c r="MV57" s="102"/>
      <c r="MW57" s="100" t="s">
        <v>27</v>
      </c>
      <c r="MX57" s="101"/>
      <c r="MY57" s="102"/>
      <c r="MZ57" s="103"/>
      <c r="NA57" s="101"/>
      <c r="NB57" s="101"/>
      <c r="NC57" s="101"/>
      <c r="ND57" s="101"/>
      <c r="NE57" s="101"/>
      <c r="NF57" s="101"/>
      <c r="NG57" s="101"/>
      <c r="NH57" s="101"/>
      <c r="NI57" s="101"/>
      <c r="NJ57" s="101"/>
      <c r="NK57" s="101"/>
      <c r="NL57" s="101"/>
      <c r="NM57" s="101"/>
      <c r="NN57" s="101"/>
      <c r="NO57" s="101"/>
      <c r="NP57" s="101"/>
      <c r="NQ57" s="101"/>
      <c r="NR57" s="101"/>
      <c r="NS57" s="101"/>
      <c r="NT57" s="101"/>
      <c r="NU57" s="101"/>
      <c r="NV57" s="101"/>
      <c r="NW57" s="101"/>
      <c r="NX57" s="101"/>
      <c r="NY57" s="101"/>
      <c r="NZ57" s="101"/>
      <c r="OA57" s="101"/>
      <c r="OB57" s="101"/>
      <c r="OC57" s="104"/>
      <c r="OD57" s="106"/>
      <c r="OE57" s="103"/>
      <c r="OF57" s="101"/>
      <c r="OG57" s="102"/>
      <c r="OH57" s="103"/>
      <c r="OI57" s="101"/>
      <c r="OJ57" s="101"/>
      <c r="OK57" s="101"/>
      <c r="OL57" s="101"/>
      <c r="OM57" s="101"/>
      <c r="ON57" s="101"/>
      <c r="OO57" s="102"/>
      <c r="OP57" s="100" t="s">
        <v>27</v>
      </c>
      <c r="OQ57" s="101"/>
      <c r="OR57" s="102"/>
      <c r="OS57" s="103"/>
      <c r="OT57" s="101"/>
      <c r="OU57" s="101"/>
      <c r="OV57" s="101"/>
      <c r="OW57" s="101"/>
      <c r="OX57" s="101"/>
      <c r="OY57" s="101"/>
      <c r="OZ57" s="101"/>
      <c r="PA57" s="101"/>
      <c r="PB57" s="101"/>
      <c r="PC57" s="101"/>
      <c r="PD57" s="101"/>
      <c r="PE57" s="101"/>
      <c r="PF57" s="101"/>
      <c r="PG57" s="101"/>
      <c r="PH57" s="101"/>
      <c r="PI57" s="101"/>
      <c r="PJ57" s="101"/>
      <c r="PK57" s="101"/>
      <c r="PL57" s="101"/>
      <c r="PM57" s="101"/>
      <c r="PN57" s="101"/>
      <c r="PO57" s="101"/>
      <c r="PP57" s="101"/>
      <c r="PQ57" s="101"/>
      <c r="PR57" s="101"/>
      <c r="PS57" s="101"/>
      <c r="PT57" s="101"/>
      <c r="PU57" s="101"/>
      <c r="PV57" s="104"/>
      <c r="PW57" s="106"/>
      <c r="PX57" s="103"/>
      <c r="PY57" s="101"/>
      <c r="PZ57" s="102"/>
      <c r="QA57" s="103"/>
      <c r="QB57" s="101"/>
      <c r="QC57" s="101"/>
      <c r="QD57" s="101"/>
      <c r="QE57" s="101"/>
      <c r="QF57" s="101"/>
      <c r="QG57" s="101"/>
      <c r="QH57" s="102"/>
      <c r="QI57" s="100" t="s">
        <v>27</v>
      </c>
      <c r="QJ57" s="101"/>
      <c r="QK57" s="102"/>
      <c r="QL57" s="103"/>
      <c r="QM57" s="101"/>
      <c r="QN57" s="101"/>
      <c r="QO57" s="101"/>
      <c r="QP57" s="101"/>
      <c r="QQ57" s="101"/>
      <c r="QR57" s="101"/>
      <c r="QS57" s="101"/>
      <c r="QT57" s="101"/>
      <c r="QU57" s="101"/>
      <c r="QV57" s="101"/>
      <c r="QW57" s="101"/>
      <c r="QX57" s="101"/>
      <c r="QY57" s="101"/>
      <c r="QZ57" s="101"/>
      <c r="RA57" s="101"/>
      <c r="RB57" s="101"/>
      <c r="RC57" s="101"/>
      <c r="RD57" s="101"/>
      <c r="RE57" s="101"/>
      <c r="RF57" s="101"/>
      <c r="RG57" s="101"/>
      <c r="RH57" s="101"/>
      <c r="RI57" s="101"/>
      <c r="RJ57" s="101"/>
      <c r="RK57" s="101"/>
      <c r="RL57" s="101"/>
      <c r="RM57" s="101"/>
      <c r="RN57" s="101"/>
      <c r="RO57" s="104"/>
      <c r="RP57" s="106"/>
      <c r="RQ57" s="103"/>
      <c r="RR57" s="101"/>
      <c r="RS57" s="102"/>
      <c r="RT57" s="103"/>
      <c r="RU57" s="101"/>
      <c r="RV57" s="101"/>
      <c r="RW57" s="101"/>
      <c r="RX57" s="101"/>
      <c r="RY57" s="101"/>
      <c r="RZ57" s="101"/>
      <c r="SA57" s="102"/>
      <c r="SB57" s="100" t="s">
        <v>27</v>
      </c>
      <c r="SC57" s="101"/>
      <c r="SD57" s="102"/>
      <c r="SE57" s="103"/>
      <c r="SF57" s="101"/>
      <c r="SG57" s="101"/>
      <c r="SH57" s="101"/>
      <c r="SI57" s="101"/>
      <c r="SJ57" s="101"/>
      <c r="SK57" s="101"/>
      <c r="SL57" s="101"/>
      <c r="SM57" s="101"/>
      <c r="SN57" s="101"/>
      <c r="SO57" s="101"/>
      <c r="SP57" s="101"/>
      <c r="SQ57" s="101"/>
      <c r="SR57" s="101"/>
      <c r="SS57" s="101"/>
      <c r="ST57" s="101"/>
      <c r="SU57" s="101"/>
      <c r="SV57" s="101"/>
      <c r="SW57" s="101"/>
      <c r="SX57" s="101"/>
      <c r="SY57" s="101"/>
      <c r="SZ57" s="101"/>
      <c r="TA57" s="101"/>
      <c r="TB57" s="101"/>
      <c r="TC57" s="101"/>
      <c r="TD57" s="101"/>
      <c r="TE57" s="101"/>
      <c r="TF57" s="101"/>
      <c r="TG57" s="101"/>
      <c r="TH57" s="104"/>
      <c r="TI57" s="106"/>
      <c r="TJ57" s="103"/>
      <c r="TK57" s="101"/>
      <c r="TL57" s="102"/>
      <c r="TM57" s="103"/>
      <c r="TN57" s="101"/>
      <c r="TO57" s="101"/>
      <c r="TP57" s="101"/>
      <c r="TQ57" s="101"/>
      <c r="TR57" s="101"/>
      <c r="TS57" s="101"/>
      <c r="TT57" s="102"/>
    </row>
    <row r="58" ht="24.75" hidden="1" customHeight="1" outlineLevel="1">
      <c r="A58" s="108" t="str">
        <f>elenchi!$C12</f>
        <v>vuoto</v>
      </c>
      <c r="B58" s="109"/>
      <c r="C58" s="110"/>
      <c r="D58" s="67">
        <f t="shared" ref="D58:AH58" si="133">D$2</f>
        <v>45901</v>
      </c>
      <c r="E58" s="67">
        <f t="shared" si="133"/>
        <v>45902</v>
      </c>
      <c r="F58" s="67">
        <f t="shared" si="133"/>
        <v>45903</v>
      </c>
      <c r="G58" s="67">
        <f t="shared" si="133"/>
        <v>45904</v>
      </c>
      <c r="H58" s="67">
        <f t="shared" si="133"/>
        <v>45905</v>
      </c>
      <c r="I58" s="67">
        <f t="shared" si="133"/>
        <v>45906</v>
      </c>
      <c r="J58" s="67">
        <f t="shared" si="133"/>
        <v>45907</v>
      </c>
      <c r="K58" s="67">
        <f t="shared" si="133"/>
        <v>45908</v>
      </c>
      <c r="L58" s="67">
        <f t="shared" si="133"/>
        <v>45909</v>
      </c>
      <c r="M58" s="67">
        <f t="shared" si="133"/>
        <v>45910</v>
      </c>
      <c r="N58" s="67">
        <f t="shared" si="133"/>
        <v>45911</v>
      </c>
      <c r="O58" s="67">
        <f t="shared" si="133"/>
        <v>45912</v>
      </c>
      <c r="P58" s="67">
        <f t="shared" si="133"/>
        <v>45913</v>
      </c>
      <c r="Q58" s="67">
        <f t="shared" si="133"/>
        <v>45914</v>
      </c>
      <c r="R58" s="67">
        <f t="shared" si="133"/>
        <v>45915</v>
      </c>
      <c r="S58" s="67">
        <f t="shared" si="133"/>
        <v>45916</v>
      </c>
      <c r="T58" s="67">
        <f t="shared" si="133"/>
        <v>45917</v>
      </c>
      <c r="U58" s="67">
        <f t="shared" si="133"/>
        <v>45918</v>
      </c>
      <c r="V58" s="67">
        <f t="shared" si="133"/>
        <v>45919</v>
      </c>
      <c r="W58" s="67">
        <f t="shared" si="133"/>
        <v>45920</v>
      </c>
      <c r="X58" s="67">
        <f t="shared" si="133"/>
        <v>45921</v>
      </c>
      <c r="Y58" s="67">
        <f t="shared" si="133"/>
        <v>45922</v>
      </c>
      <c r="Z58" s="67">
        <f t="shared" si="133"/>
        <v>45923</v>
      </c>
      <c r="AA58" s="67">
        <f t="shared" si="133"/>
        <v>45924</v>
      </c>
      <c r="AB58" s="67">
        <f t="shared" si="133"/>
        <v>45925</v>
      </c>
      <c r="AC58" s="67">
        <f t="shared" si="133"/>
        <v>45926</v>
      </c>
      <c r="AD58" s="67">
        <f t="shared" si="133"/>
        <v>45927</v>
      </c>
      <c r="AE58" s="67">
        <f t="shared" si="133"/>
        <v>45928</v>
      </c>
      <c r="AF58" s="67">
        <f t="shared" si="133"/>
        <v>45929</v>
      </c>
      <c r="AG58" s="67">
        <f t="shared" si="133"/>
        <v>45930</v>
      </c>
      <c r="AH58" s="111" t="str">
        <f t="shared" si="133"/>
        <v/>
      </c>
      <c r="AI58" s="112" t="s">
        <v>33</v>
      </c>
      <c r="AJ58" s="113" t="s">
        <v>28</v>
      </c>
      <c r="AK58" s="114" t="s">
        <v>34</v>
      </c>
      <c r="AL58" s="112" t="s">
        <v>13</v>
      </c>
      <c r="AM58" s="113" t="s">
        <v>1</v>
      </c>
      <c r="AN58" s="113" t="s">
        <v>35</v>
      </c>
      <c r="AO58" s="113" t="s">
        <v>36</v>
      </c>
      <c r="AP58" s="113" t="s">
        <v>37</v>
      </c>
      <c r="AQ58" s="113" t="s">
        <v>0</v>
      </c>
      <c r="AR58" s="113" t="s">
        <v>38</v>
      </c>
      <c r="AS58" s="115" t="s">
        <v>11</v>
      </c>
      <c r="AT58" s="108" t="str">
        <f>elenchi!$C12</f>
        <v>vuoto</v>
      </c>
      <c r="AU58" s="109"/>
      <c r="AV58" s="110"/>
      <c r="AW58" s="67">
        <f t="shared" ref="AW58:CA58" si="134">AW$2</f>
        <v>45931</v>
      </c>
      <c r="AX58" s="67">
        <f t="shared" si="134"/>
        <v>45932</v>
      </c>
      <c r="AY58" s="67">
        <f t="shared" si="134"/>
        <v>45933</v>
      </c>
      <c r="AZ58" s="67">
        <f t="shared" si="134"/>
        <v>45934</v>
      </c>
      <c r="BA58" s="67">
        <f t="shared" si="134"/>
        <v>45935</v>
      </c>
      <c r="BB58" s="67">
        <f t="shared" si="134"/>
        <v>45936</v>
      </c>
      <c r="BC58" s="67">
        <f t="shared" si="134"/>
        <v>45937</v>
      </c>
      <c r="BD58" s="67">
        <f t="shared" si="134"/>
        <v>45938</v>
      </c>
      <c r="BE58" s="67">
        <f t="shared" si="134"/>
        <v>45939</v>
      </c>
      <c r="BF58" s="67">
        <f t="shared" si="134"/>
        <v>45940</v>
      </c>
      <c r="BG58" s="67">
        <f t="shared" si="134"/>
        <v>45941</v>
      </c>
      <c r="BH58" s="67">
        <f t="shared" si="134"/>
        <v>45942</v>
      </c>
      <c r="BI58" s="67">
        <f t="shared" si="134"/>
        <v>45943</v>
      </c>
      <c r="BJ58" s="67">
        <f t="shared" si="134"/>
        <v>45944</v>
      </c>
      <c r="BK58" s="67">
        <f t="shared" si="134"/>
        <v>45945</v>
      </c>
      <c r="BL58" s="67">
        <f t="shared" si="134"/>
        <v>45946</v>
      </c>
      <c r="BM58" s="67">
        <f t="shared" si="134"/>
        <v>45947</v>
      </c>
      <c r="BN58" s="67">
        <f t="shared" si="134"/>
        <v>45948</v>
      </c>
      <c r="BO58" s="67">
        <f t="shared" si="134"/>
        <v>45949</v>
      </c>
      <c r="BP58" s="67">
        <f t="shared" si="134"/>
        <v>45950</v>
      </c>
      <c r="BQ58" s="67">
        <f t="shared" si="134"/>
        <v>45951</v>
      </c>
      <c r="BR58" s="67">
        <f t="shared" si="134"/>
        <v>45952</v>
      </c>
      <c r="BS58" s="67">
        <f t="shared" si="134"/>
        <v>45953</v>
      </c>
      <c r="BT58" s="67">
        <f t="shared" si="134"/>
        <v>45954</v>
      </c>
      <c r="BU58" s="67">
        <f t="shared" si="134"/>
        <v>45955</v>
      </c>
      <c r="BV58" s="67">
        <f t="shared" si="134"/>
        <v>45956</v>
      </c>
      <c r="BW58" s="67">
        <f t="shared" si="134"/>
        <v>45957</v>
      </c>
      <c r="BX58" s="67">
        <f t="shared" si="134"/>
        <v>45958</v>
      </c>
      <c r="BY58" s="67">
        <f t="shared" si="134"/>
        <v>45959</v>
      </c>
      <c r="BZ58" s="67">
        <f t="shared" si="134"/>
        <v>45960</v>
      </c>
      <c r="CA58" s="67">
        <f t="shared" si="134"/>
        <v>45961</v>
      </c>
      <c r="CB58" s="112" t="s">
        <v>33</v>
      </c>
      <c r="CC58" s="113" t="s">
        <v>28</v>
      </c>
      <c r="CD58" s="114" t="s">
        <v>34</v>
      </c>
      <c r="CE58" s="112" t="s">
        <v>13</v>
      </c>
      <c r="CF58" s="113" t="s">
        <v>1</v>
      </c>
      <c r="CG58" s="113" t="s">
        <v>35</v>
      </c>
      <c r="CH58" s="113" t="s">
        <v>36</v>
      </c>
      <c r="CI58" s="113" t="s">
        <v>37</v>
      </c>
      <c r="CJ58" s="113" t="s">
        <v>0</v>
      </c>
      <c r="CK58" s="113" t="s">
        <v>38</v>
      </c>
      <c r="CL58" s="115" t="s">
        <v>11</v>
      </c>
      <c r="CM58" s="108" t="str">
        <f>elenchi!$C12</f>
        <v>vuoto</v>
      </c>
      <c r="CN58" s="109"/>
      <c r="CO58" s="110"/>
      <c r="CP58" s="67">
        <f t="shared" ref="CP58:DT58" si="135">CP$2</f>
        <v>45962</v>
      </c>
      <c r="CQ58" s="67">
        <f t="shared" si="135"/>
        <v>45963</v>
      </c>
      <c r="CR58" s="67">
        <f t="shared" si="135"/>
        <v>45964</v>
      </c>
      <c r="CS58" s="67">
        <f t="shared" si="135"/>
        <v>45965</v>
      </c>
      <c r="CT58" s="67">
        <f t="shared" si="135"/>
        <v>45966</v>
      </c>
      <c r="CU58" s="67">
        <f t="shared" si="135"/>
        <v>45967</v>
      </c>
      <c r="CV58" s="67">
        <f t="shared" si="135"/>
        <v>45968</v>
      </c>
      <c r="CW58" s="67">
        <f t="shared" si="135"/>
        <v>45969</v>
      </c>
      <c r="CX58" s="67">
        <f t="shared" si="135"/>
        <v>45970</v>
      </c>
      <c r="CY58" s="67">
        <f t="shared" si="135"/>
        <v>45971</v>
      </c>
      <c r="CZ58" s="67">
        <f t="shared" si="135"/>
        <v>45972</v>
      </c>
      <c r="DA58" s="67">
        <f t="shared" si="135"/>
        <v>45973</v>
      </c>
      <c r="DB58" s="67">
        <f t="shared" si="135"/>
        <v>45974</v>
      </c>
      <c r="DC58" s="67">
        <f t="shared" si="135"/>
        <v>45975</v>
      </c>
      <c r="DD58" s="67">
        <f t="shared" si="135"/>
        <v>45976</v>
      </c>
      <c r="DE58" s="67">
        <f t="shared" si="135"/>
        <v>45977</v>
      </c>
      <c r="DF58" s="67">
        <f t="shared" si="135"/>
        <v>45978</v>
      </c>
      <c r="DG58" s="67">
        <f t="shared" si="135"/>
        <v>45979</v>
      </c>
      <c r="DH58" s="67">
        <f t="shared" si="135"/>
        <v>45980</v>
      </c>
      <c r="DI58" s="67">
        <f t="shared" si="135"/>
        <v>45981</v>
      </c>
      <c r="DJ58" s="67">
        <f t="shared" si="135"/>
        <v>45982</v>
      </c>
      <c r="DK58" s="67">
        <f t="shared" si="135"/>
        <v>45983</v>
      </c>
      <c r="DL58" s="67">
        <f t="shared" si="135"/>
        <v>45984</v>
      </c>
      <c r="DM58" s="67">
        <f t="shared" si="135"/>
        <v>45985</v>
      </c>
      <c r="DN58" s="67">
        <f t="shared" si="135"/>
        <v>45986</v>
      </c>
      <c r="DO58" s="67">
        <f t="shared" si="135"/>
        <v>45987</v>
      </c>
      <c r="DP58" s="67">
        <f t="shared" si="135"/>
        <v>45988</v>
      </c>
      <c r="DQ58" s="67">
        <f t="shared" si="135"/>
        <v>45989</v>
      </c>
      <c r="DR58" s="67">
        <f t="shared" si="135"/>
        <v>45990</v>
      </c>
      <c r="DS58" s="67">
        <f t="shared" si="135"/>
        <v>45991</v>
      </c>
      <c r="DT58" s="67" t="str">
        <f t="shared" si="135"/>
        <v/>
      </c>
      <c r="DU58" s="112" t="s">
        <v>33</v>
      </c>
      <c r="DV58" s="113" t="s">
        <v>28</v>
      </c>
      <c r="DW58" s="114" t="s">
        <v>34</v>
      </c>
      <c r="DX58" s="112" t="s">
        <v>13</v>
      </c>
      <c r="DY58" s="113" t="s">
        <v>1</v>
      </c>
      <c r="DZ58" s="113" t="s">
        <v>35</v>
      </c>
      <c r="EA58" s="113" t="s">
        <v>36</v>
      </c>
      <c r="EB58" s="113" t="s">
        <v>37</v>
      </c>
      <c r="EC58" s="113" t="s">
        <v>0</v>
      </c>
      <c r="ED58" s="113" t="s">
        <v>38</v>
      </c>
      <c r="EE58" s="114" t="s">
        <v>11</v>
      </c>
      <c r="EF58" s="108" t="str">
        <f>elenchi!$C12</f>
        <v>vuoto</v>
      </c>
      <c r="EG58" s="109"/>
      <c r="EH58" s="110"/>
      <c r="EI58" s="67">
        <f t="shared" ref="EI58:FM58" si="136">EI$2</f>
        <v>45992</v>
      </c>
      <c r="EJ58" s="67">
        <f t="shared" si="136"/>
        <v>45993</v>
      </c>
      <c r="EK58" s="67">
        <f t="shared" si="136"/>
        <v>45994</v>
      </c>
      <c r="EL58" s="67">
        <f t="shared" si="136"/>
        <v>45995</v>
      </c>
      <c r="EM58" s="67">
        <f t="shared" si="136"/>
        <v>45996</v>
      </c>
      <c r="EN58" s="67">
        <f t="shared" si="136"/>
        <v>45997</v>
      </c>
      <c r="EO58" s="67">
        <f t="shared" si="136"/>
        <v>45998</v>
      </c>
      <c r="EP58" s="67">
        <f t="shared" si="136"/>
        <v>45999</v>
      </c>
      <c r="EQ58" s="67">
        <f t="shared" si="136"/>
        <v>46000</v>
      </c>
      <c r="ER58" s="67">
        <f t="shared" si="136"/>
        <v>46001</v>
      </c>
      <c r="ES58" s="67">
        <f t="shared" si="136"/>
        <v>46002</v>
      </c>
      <c r="ET58" s="67">
        <f t="shared" si="136"/>
        <v>46003</v>
      </c>
      <c r="EU58" s="67">
        <f t="shared" si="136"/>
        <v>46004</v>
      </c>
      <c r="EV58" s="67">
        <f t="shared" si="136"/>
        <v>46005</v>
      </c>
      <c r="EW58" s="67">
        <f t="shared" si="136"/>
        <v>46006</v>
      </c>
      <c r="EX58" s="67">
        <f t="shared" si="136"/>
        <v>46007</v>
      </c>
      <c r="EY58" s="67">
        <f t="shared" si="136"/>
        <v>46008</v>
      </c>
      <c r="EZ58" s="67">
        <f t="shared" si="136"/>
        <v>46009</v>
      </c>
      <c r="FA58" s="67">
        <f t="shared" si="136"/>
        <v>46010</v>
      </c>
      <c r="FB58" s="67">
        <f t="shared" si="136"/>
        <v>46011</v>
      </c>
      <c r="FC58" s="67">
        <f t="shared" si="136"/>
        <v>46012</v>
      </c>
      <c r="FD58" s="67">
        <f t="shared" si="136"/>
        <v>46013</v>
      </c>
      <c r="FE58" s="67">
        <f t="shared" si="136"/>
        <v>46014</v>
      </c>
      <c r="FF58" s="67">
        <f t="shared" si="136"/>
        <v>46015</v>
      </c>
      <c r="FG58" s="67">
        <f t="shared" si="136"/>
        <v>46016</v>
      </c>
      <c r="FH58" s="67">
        <f t="shared" si="136"/>
        <v>46017</v>
      </c>
      <c r="FI58" s="67">
        <f t="shared" si="136"/>
        <v>46018</v>
      </c>
      <c r="FJ58" s="67">
        <f t="shared" si="136"/>
        <v>46019</v>
      </c>
      <c r="FK58" s="67">
        <f t="shared" si="136"/>
        <v>46020</v>
      </c>
      <c r="FL58" s="67">
        <f t="shared" si="136"/>
        <v>46021</v>
      </c>
      <c r="FM58" s="67">
        <f t="shared" si="136"/>
        <v>46022</v>
      </c>
      <c r="FN58" s="112" t="s">
        <v>33</v>
      </c>
      <c r="FO58" s="113" t="s">
        <v>28</v>
      </c>
      <c r="FP58" s="114" t="s">
        <v>34</v>
      </c>
      <c r="FQ58" s="112" t="s">
        <v>13</v>
      </c>
      <c r="FR58" s="113" t="s">
        <v>1</v>
      </c>
      <c r="FS58" s="113" t="s">
        <v>35</v>
      </c>
      <c r="FT58" s="113" t="s">
        <v>36</v>
      </c>
      <c r="FU58" s="113" t="s">
        <v>37</v>
      </c>
      <c r="FV58" s="113" t="s">
        <v>0</v>
      </c>
      <c r="FW58" s="113" t="s">
        <v>38</v>
      </c>
      <c r="FX58" s="114" t="s">
        <v>11</v>
      </c>
      <c r="FY58" s="108" t="str">
        <f>elenchi!$C12</f>
        <v>vuoto</v>
      </c>
      <c r="FZ58" s="109"/>
      <c r="GA58" s="110"/>
      <c r="GB58" s="67">
        <f t="shared" ref="GB58:HF58" si="137">GB$2</f>
        <v>46023</v>
      </c>
      <c r="GC58" s="67">
        <f t="shared" si="137"/>
        <v>46024</v>
      </c>
      <c r="GD58" s="67">
        <f t="shared" si="137"/>
        <v>46025</v>
      </c>
      <c r="GE58" s="67">
        <f t="shared" si="137"/>
        <v>46026</v>
      </c>
      <c r="GF58" s="67">
        <f t="shared" si="137"/>
        <v>46027</v>
      </c>
      <c r="GG58" s="67">
        <f t="shared" si="137"/>
        <v>46028</v>
      </c>
      <c r="GH58" s="67">
        <f t="shared" si="137"/>
        <v>46029</v>
      </c>
      <c r="GI58" s="67">
        <f t="shared" si="137"/>
        <v>46030</v>
      </c>
      <c r="GJ58" s="67">
        <f t="shared" si="137"/>
        <v>46031</v>
      </c>
      <c r="GK58" s="67">
        <f t="shared" si="137"/>
        <v>46032</v>
      </c>
      <c r="GL58" s="67">
        <f t="shared" si="137"/>
        <v>46033</v>
      </c>
      <c r="GM58" s="67">
        <f t="shared" si="137"/>
        <v>46034</v>
      </c>
      <c r="GN58" s="67">
        <f t="shared" si="137"/>
        <v>46035</v>
      </c>
      <c r="GO58" s="67">
        <f t="shared" si="137"/>
        <v>46036</v>
      </c>
      <c r="GP58" s="67">
        <f t="shared" si="137"/>
        <v>46037</v>
      </c>
      <c r="GQ58" s="67">
        <f t="shared" si="137"/>
        <v>46038</v>
      </c>
      <c r="GR58" s="67">
        <f t="shared" si="137"/>
        <v>46039</v>
      </c>
      <c r="GS58" s="67">
        <f t="shared" si="137"/>
        <v>46040</v>
      </c>
      <c r="GT58" s="67">
        <f t="shared" si="137"/>
        <v>46041</v>
      </c>
      <c r="GU58" s="67">
        <f t="shared" si="137"/>
        <v>46042</v>
      </c>
      <c r="GV58" s="67">
        <f t="shared" si="137"/>
        <v>46043</v>
      </c>
      <c r="GW58" s="67">
        <f t="shared" si="137"/>
        <v>46044</v>
      </c>
      <c r="GX58" s="67">
        <f t="shared" si="137"/>
        <v>46045</v>
      </c>
      <c r="GY58" s="67">
        <f t="shared" si="137"/>
        <v>46046</v>
      </c>
      <c r="GZ58" s="67">
        <f t="shared" si="137"/>
        <v>46047</v>
      </c>
      <c r="HA58" s="67">
        <f t="shared" si="137"/>
        <v>46048</v>
      </c>
      <c r="HB58" s="67">
        <f t="shared" si="137"/>
        <v>46049</v>
      </c>
      <c r="HC58" s="67">
        <f t="shared" si="137"/>
        <v>46050</v>
      </c>
      <c r="HD58" s="67">
        <f t="shared" si="137"/>
        <v>46051</v>
      </c>
      <c r="HE58" s="67">
        <f t="shared" si="137"/>
        <v>46052</v>
      </c>
      <c r="HF58" s="67">
        <f t="shared" si="137"/>
        <v>46053</v>
      </c>
      <c r="HG58" s="112" t="s">
        <v>33</v>
      </c>
      <c r="HH58" s="113" t="s">
        <v>28</v>
      </c>
      <c r="HI58" s="114" t="s">
        <v>34</v>
      </c>
      <c r="HJ58" s="112" t="s">
        <v>13</v>
      </c>
      <c r="HK58" s="113" t="s">
        <v>1</v>
      </c>
      <c r="HL58" s="113" t="s">
        <v>35</v>
      </c>
      <c r="HM58" s="113" t="s">
        <v>36</v>
      </c>
      <c r="HN58" s="113" t="s">
        <v>37</v>
      </c>
      <c r="HO58" s="113" t="s">
        <v>0</v>
      </c>
      <c r="HP58" s="113" t="s">
        <v>38</v>
      </c>
      <c r="HQ58" s="114" t="s">
        <v>11</v>
      </c>
      <c r="HR58" s="108" t="str">
        <f>elenchi!$C12</f>
        <v>vuoto</v>
      </c>
      <c r="HS58" s="109"/>
      <c r="HT58" s="110"/>
      <c r="HU58" s="67">
        <f t="shared" ref="HU58:IY58" si="138">HU$2</f>
        <v>46054</v>
      </c>
      <c r="HV58" s="67">
        <f t="shared" si="138"/>
        <v>46055</v>
      </c>
      <c r="HW58" s="67">
        <f t="shared" si="138"/>
        <v>46056</v>
      </c>
      <c r="HX58" s="67">
        <f t="shared" si="138"/>
        <v>46057</v>
      </c>
      <c r="HY58" s="67">
        <f t="shared" si="138"/>
        <v>46058</v>
      </c>
      <c r="HZ58" s="67">
        <f t="shared" si="138"/>
        <v>46059</v>
      </c>
      <c r="IA58" s="67">
        <f t="shared" si="138"/>
        <v>46060</v>
      </c>
      <c r="IB58" s="67">
        <f t="shared" si="138"/>
        <v>46061</v>
      </c>
      <c r="IC58" s="67">
        <f t="shared" si="138"/>
        <v>46062</v>
      </c>
      <c r="ID58" s="67">
        <f t="shared" si="138"/>
        <v>46063</v>
      </c>
      <c r="IE58" s="67">
        <f t="shared" si="138"/>
        <v>46064</v>
      </c>
      <c r="IF58" s="67">
        <f t="shared" si="138"/>
        <v>46065</v>
      </c>
      <c r="IG58" s="67">
        <f t="shared" si="138"/>
        <v>46066</v>
      </c>
      <c r="IH58" s="67">
        <f t="shared" si="138"/>
        <v>46067</v>
      </c>
      <c r="II58" s="67">
        <f t="shared" si="138"/>
        <v>46068</v>
      </c>
      <c r="IJ58" s="67">
        <f t="shared" si="138"/>
        <v>46069</v>
      </c>
      <c r="IK58" s="67">
        <f t="shared" si="138"/>
        <v>46070</v>
      </c>
      <c r="IL58" s="67">
        <f t="shared" si="138"/>
        <v>46071</v>
      </c>
      <c r="IM58" s="67">
        <f t="shared" si="138"/>
        <v>46072</v>
      </c>
      <c r="IN58" s="67">
        <f t="shared" si="138"/>
        <v>46073</v>
      </c>
      <c r="IO58" s="67">
        <f t="shared" si="138"/>
        <v>46074</v>
      </c>
      <c r="IP58" s="67">
        <f t="shared" si="138"/>
        <v>46075</v>
      </c>
      <c r="IQ58" s="67">
        <f t="shared" si="138"/>
        <v>46076</v>
      </c>
      <c r="IR58" s="67">
        <f t="shared" si="138"/>
        <v>46077</v>
      </c>
      <c r="IS58" s="67">
        <f t="shared" si="138"/>
        <v>46078</v>
      </c>
      <c r="IT58" s="67">
        <f t="shared" si="138"/>
        <v>46079</v>
      </c>
      <c r="IU58" s="67">
        <f t="shared" si="138"/>
        <v>46080</v>
      </c>
      <c r="IV58" s="67">
        <f t="shared" si="138"/>
        <v>46081</v>
      </c>
      <c r="IW58" s="67" t="str">
        <f t="shared" si="138"/>
        <v/>
      </c>
      <c r="IX58" s="67" t="str">
        <f t="shared" si="138"/>
        <v/>
      </c>
      <c r="IY58" s="67" t="str">
        <f t="shared" si="138"/>
        <v/>
      </c>
      <c r="IZ58" s="112" t="s">
        <v>33</v>
      </c>
      <c r="JA58" s="113" t="s">
        <v>28</v>
      </c>
      <c r="JB58" s="114" t="s">
        <v>34</v>
      </c>
      <c r="JC58" s="112" t="s">
        <v>13</v>
      </c>
      <c r="JD58" s="113" t="s">
        <v>1</v>
      </c>
      <c r="JE58" s="113" t="s">
        <v>35</v>
      </c>
      <c r="JF58" s="113" t="s">
        <v>36</v>
      </c>
      <c r="JG58" s="113" t="s">
        <v>37</v>
      </c>
      <c r="JH58" s="113" t="s">
        <v>0</v>
      </c>
      <c r="JI58" s="113" t="s">
        <v>38</v>
      </c>
      <c r="JJ58" s="114" t="s">
        <v>11</v>
      </c>
      <c r="JK58" s="108" t="str">
        <f>elenchi!$C12</f>
        <v>vuoto</v>
      </c>
      <c r="JL58" s="109"/>
      <c r="JM58" s="110"/>
      <c r="JN58" s="67">
        <f t="shared" ref="JN58:KR58" si="139">JN$2</f>
        <v>46082</v>
      </c>
      <c r="JO58" s="67">
        <f t="shared" si="139"/>
        <v>46083</v>
      </c>
      <c r="JP58" s="67">
        <f t="shared" si="139"/>
        <v>46084</v>
      </c>
      <c r="JQ58" s="67">
        <f t="shared" si="139"/>
        <v>46085</v>
      </c>
      <c r="JR58" s="67">
        <f t="shared" si="139"/>
        <v>46086</v>
      </c>
      <c r="JS58" s="67">
        <f t="shared" si="139"/>
        <v>46087</v>
      </c>
      <c r="JT58" s="67">
        <f t="shared" si="139"/>
        <v>46088</v>
      </c>
      <c r="JU58" s="67">
        <f t="shared" si="139"/>
        <v>46089</v>
      </c>
      <c r="JV58" s="67">
        <f t="shared" si="139"/>
        <v>46090</v>
      </c>
      <c r="JW58" s="67">
        <f t="shared" si="139"/>
        <v>46091</v>
      </c>
      <c r="JX58" s="67">
        <f t="shared" si="139"/>
        <v>46092</v>
      </c>
      <c r="JY58" s="67">
        <f t="shared" si="139"/>
        <v>46093</v>
      </c>
      <c r="JZ58" s="67">
        <f t="shared" si="139"/>
        <v>46094</v>
      </c>
      <c r="KA58" s="67">
        <f t="shared" si="139"/>
        <v>46095</v>
      </c>
      <c r="KB58" s="67">
        <f t="shared" si="139"/>
        <v>46096</v>
      </c>
      <c r="KC58" s="67">
        <f t="shared" si="139"/>
        <v>46097</v>
      </c>
      <c r="KD58" s="67">
        <f t="shared" si="139"/>
        <v>46098</v>
      </c>
      <c r="KE58" s="67">
        <f t="shared" si="139"/>
        <v>46099</v>
      </c>
      <c r="KF58" s="67">
        <f t="shared" si="139"/>
        <v>46100</v>
      </c>
      <c r="KG58" s="67">
        <f t="shared" si="139"/>
        <v>46101</v>
      </c>
      <c r="KH58" s="67">
        <f t="shared" si="139"/>
        <v>46102</v>
      </c>
      <c r="KI58" s="67">
        <f t="shared" si="139"/>
        <v>46103</v>
      </c>
      <c r="KJ58" s="67">
        <f t="shared" si="139"/>
        <v>46104</v>
      </c>
      <c r="KK58" s="67">
        <f t="shared" si="139"/>
        <v>46105</v>
      </c>
      <c r="KL58" s="67">
        <f t="shared" si="139"/>
        <v>46106</v>
      </c>
      <c r="KM58" s="67">
        <f t="shared" si="139"/>
        <v>46107</v>
      </c>
      <c r="KN58" s="67">
        <f t="shared" si="139"/>
        <v>46108</v>
      </c>
      <c r="KO58" s="67">
        <f t="shared" si="139"/>
        <v>46109</v>
      </c>
      <c r="KP58" s="67">
        <f t="shared" si="139"/>
        <v>46110</v>
      </c>
      <c r="KQ58" s="67">
        <f t="shared" si="139"/>
        <v>46111</v>
      </c>
      <c r="KR58" s="67">
        <f t="shared" si="139"/>
        <v>46112</v>
      </c>
      <c r="KS58" s="112" t="s">
        <v>33</v>
      </c>
      <c r="KT58" s="113" t="s">
        <v>28</v>
      </c>
      <c r="KU58" s="114" t="s">
        <v>34</v>
      </c>
      <c r="KV58" s="112" t="s">
        <v>13</v>
      </c>
      <c r="KW58" s="113" t="s">
        <v>1</v>
      </c>
      <c r="KX58" s="113" t="s">
        <v>35</v>
      </c>
      <c r="KY58" s="113" t="s">
        <v>36</v>
      </c>
      <c r="KZ58" s="113" t="s">
        <v>37</v>
      </c>
      <c r="LA58" s="113" t="s">
        <v>0</v>
      </c>
      <c r="LB58" s="113" t="s">
        <v>38</v>
      </c>
      <c r="LC58" s="114" t="s">
        <v>11</v>
      </c>
      <c r="LD58" s="108" t="str">
        <f>elenchi!$C12</f>
        <v>vuoto</v>
      </c>
      <c r="LE58" s="109"/>
      <c r="LF58" s="110"/>
      <c r="LG58" s="67">
        <f t="shared" ref="LG58:MK58" si="140">LG$2</f>
        <v>46113</v>
      </c>
      <c r="LH58" s="67">
        <f t="shared" si="140"/>
        <v>46114</v>
      </c>
      <c r="LI58" s="67">
        <f t="shared" si="140"/>
        <v>46115</v>
      </c>
      <c r="LJ58" s="67">
        <f t="shared" si="140"/>
        <v>46116</v>
      </c>
      <c r="LK58" s="67">
        <f t="shared" si="140"/>
        <v>46117</v>
      </c>
      <c r="LL58" s="67">
        <f t="shared" si="140"/>
        <v>46118</v>
      </c>
      <c r="LM58" s="67">
        <f t="shared" si="140"/>
        <v>46119</v>
      </c>
      <c r="LN58" s="67">
        <f t="shared" si="140"/>
        <v>46120</v>
      </c>
      <c r="LO58" s="67">
        <f t="shared" si="140"/>
        <v>46121</v>
      </c>
      <c r="LP58" s="67">
        <f t="shared" si="140"/>
        <v>46122</v>
      </c>
      <c r="LQ58" s="67">
        <f t="shared" si="140"/>
        <v>46123</v>
      </c>
      <c r="LR58" s="67">
        <f t="shared" si="140"/>
        <v>46124</v>
      </c>
      <c r="LS58" s="67">
        <f t="shared" si="140"/>
        <v>46125</v>
      </c>
      <c r="LT58" s="67">
        <f t="shared" si="140"/>
        <v>46126</v>
      </c>
      <c r="LU58" s="67">
        <f t="shared" si="140"/>
        <v>46127</v>
      </c>
      <c r="LV58" s="67">
        <f t="shared" si="140"/>
        <v>46128</v>
      </c>
      <c r="LW58" s="67">
        <f t="shared" si="140"/>
        <v>46129</v>
      </c>
      <c r="LX58" s="67">
        <f t="shared" si="140"/>
        <v>46130</v>
      </c>
      <c r="LY58" s="67">
        <f t="shared" si="140"/>
        <v>46131</v>
      </c>
      <c r="LZ58" s="67">
        <f t="shared" si="140"/>
        <v>46132</v>
      </c>
      <c r="MA58" s="67">
        <f t="shared" si="140"/>
        <v>46133</v>
      </c>
      <c r="MB58" s="67">
        <f t="shared" si="140"/>
        <v>46134</v>
      </c>
      <c r="MC58" s="67">
        <f t="shared" si="140"/>
        <v>46135</v>
      </c>
      <c r="MD58" s="67">
        <f t="shared" si="140"/>
        <v>46136</v>
      </c>
      <c r="ME58" s="67">
        <f t="shared" si="140"/>
        <v>46137</v>
      </c>
      <c r="MF58" s="67">
        <f t="shared" si="140"/>
        <v>46138</v>
      </c>
      <c r="MG58" s="67">
        <f t="shared" si="140"/>
        <v>46139</v>
      </c>
      <c r="MH58" s="67">
        <f t="shared" si="140"/>
        <v>46140</v>
      </c>
      <c r="MI58" s="67">
        <f t="shared" si="140"/>
        <v>46141</v>
      </c>
      <c r="MJ58" s="67">
        <f t="shared" si="140"/>
        <v>46142</v>
      </c>
      <c r="MK58" s="67" t="str">
        <f t="shared" si="140"/>
        <v/>
      </c>
      <c r="ML58" s="112" t="s">
        <v>33</v>
      </c>
      <c r="MM58" s="113" t="s">
        <v>28</v>
      </c>
      <c r="MN58" s="114" t="s">
        <v>34</v>
      </c>
      <c r="MO58" s="112" t="s">
        <v>13</v>
      </c>
      <c r="MP58" s="113" t="s">
        <v>1</v>
      </c>
      <c r="MQ58" s="113" t="s">
        <v>35</v>
      </c>
      <c r="MR58" s="113" t="s">
        <v>36</v>
      </c>
      <c r="MS58" s="113" t="s">
        <v>37</v>
      </c>
      <c r="MT58" s="113" t="s">
        <v>0</v>
      </c>
      <c r="MU58" s="113" t="s">
        <v>38</v>
      </c>
      <c r="MV58" s="115" t="s">
        <v>11</v>
      </c>
      <c r="MW58" s="108" t="str">
        <f>elenchi!$C12</f>
        <v>vuoto</v>
      </c>
      <c r="MX58" s="109"/>
      <c r="MY58" s="110"/>
      <c r="MZ58" s="67">
        <f t="shared" ref="MZ58:OD58" si="141">MZ$2</f>
        <v>46143</v>
      </c>
      <c r="NA58" s="67">
        <f t="shared" si="141"/>
        <v>46144</v>
      </c>
      <c r="NB58" s="67">
        <f t="shared" si="141"/>
        <v>46145</v>
      </c>
      <c r="NC58" s="67">
        <f t="shared" si="141"/>
        <v>46146</v>
      </c>
      <c r="ND58" s="67">
        <f t="shared" si="141"/>
        <v>46147</v>
      </c>
      <c r="NE58" s="67">
        <f t="shared" si="141"/>
        <v>46148</v>
      </c>
      <c r="NF58" s="67">
        <f t="shared" si="141"/>
        <v>46149</v>
      </c>
      <c r="NG58" s="67">
        <f t="shared" si="141"/>
        <v>46150</v>
      </c>
      <c r="NH58" s="67">
        <f t="shared" si="141"/>
        <v>46151</v>
      </c>
      <c r="NI58" s="67">
        <f t="shared" si="141"/>
        <v>46152</v>
      </c>
      <c r="NJ58" s="67">
        <f t="shared" si="141"/>
        <v>46153</v>
      </c>
      <c r="NK58" s="67">
        <f t="shared" si="141"/>
        <v>46154</v>
      </c>
      <c r="NL58" s="67">
        <f t="shared" si="141"/>
        <v>46155</v>
      </c>
      <c r="NM58" s="67">
        <f t="shared" si="141"/>
        <v>46156</v>
      </c>
      <c r="NN58" s="67">
        <f t="shared" si="141"/>
        <v>46157</v>
      </c>
      <c r="NO58" s="67">
        <f t="shared" si="141"/>
        <v>46158</v>
      </c>
      <c r="NP58" s="67">
        <f t="shared" si="141"/>
        <v>46159</v>
      </c>
      <c r="NQ58" s="67">
        <f t="shared" si="141"/>
        <v>46160</v>
      </c>
      <c r="NR58" s="67">
        <f t="shared" si="141"/>
        <v>46161</v>
      </c>
      <c r="NS58" s="67">
        <f t="shared" si="141"/>
        <v>46162</v>
      </c>
      <c r="NT58" s="67">
        <f t="shared" si="141"/>
        <v>46163</v>
      </c>
      <c r="NU58" s="67">
        <f t="shared" si="141"/>
        <v>46164</v>
      </c>
      <c r="NV58" s="67">
        <f t="shared" si="141"/>
        <v>46165</v>
      </c>
      <c r="NW58" s="67">
        <f t="shared" si="141"/>
        <v>46166</v>
      </c>
      <c r="NX58" s="67">
        <f t="shared" si="141"/>
        <v>46167</v>
      </c>
      <c r="NY58" s="67">
        <f t="shared" si="141"/>
        <v>46168</v>
      </c>
      <c r="NZ58" s="67">
        <f t="shared" si="141"/>
        <v>46169</v>
      </c>
      <c r="OA58" s="67">
        <f t="shared" si="141"/>
        <v>46170</v>
      </c>
      <c r="OB58" s="67">
        <f t="shared" si="141"/>
        <v>46171</v>
      </c>
      <c r="OC58" s="67">
        <f t="shared" si="141"/>
        <v>46172</v>
      </c>
      <c r="OD58" s="67">
        <f t="shared" si="141"/>
        <v>46173</v>
      </c>
      <c r="OE58" s="112" t="s">
        <v>33</v>
      </c>
      <c r="OF58" s="113" t="s">
        <v>28</v>
      </c>
      <c r="OG58" s="114" t="s">
        <v>34</v>
      </c>
      <c r="OH58" s="112" t="s">
        <v>13</v>
      </c>
      <c r="OI58" s="113" t="s">
        <v>1</v>
      </c>
      <c r="OJ58" s="113" t="s">
        <v>35</v>
      </c>
      <c r="OK58" s="113" t="s">
        <v>36</v>
      </c>
      <c r="OL58" s="113" t="s">
        <v>37</v>
      </c>
      <c r="OM58" s="113" t="s">
        <v>0</v>
      </c>
      <c r="ON58" s="113" t="s">
        <v>38</v>
      </c>
      <c r="OO58" s="115" t="s">
        <v>11</v>
      </c>
      <c r="OP58" s="108" t="str">
        <f>elenchi!$C12</f>
        <v>vuoto</v>
      </c>
      <c r="OQ58" s="109"/>
      <c r="OR58" s="110"/>
      <c r="OS58" s="67">
        <f t="shared" ref="OS58:PW58" si="142">OS$2</f>
        <v>46174</v>
      </c>
      <c r="OT58" s="67">
        <f t="shared" si="142"/>
        <v>46175</v>
      </c>
      <c r="OU58" s="67">
        <f t="shared" si="142"/>
        <v>46176</v>
      </c>
      <c r="OV58" s="67">
        <f t="shared" si="142"/>
        <v>46177</v>
      </c>
      <c r="OW58" s="67">
        <f t="shared" si="142"/>
        <v>46178</v>
      </c>
      <c r="OX58" s="67">
        <f t="shared" si="142"/>
        <v>46179</v>
      </c>
      <c r="OY58" s="67">
        <f t="shared" si="142"/>
        <v>46180</v>
      </c>
      <c r="OZ58" s="67">
        <f t="shared" si="142"/>
        <v>46181</v>
      </c>
      <c r="PA58" s="67">
        <f t="shared" si="142"/>
        <v>46182</v>
      </c>
      <c r="PB58" s="67">
        <f t="shared" si="142"/>
        <v>46183</v>
      </c>
      <c r="PC58" s="67">
        <f t="shared" si="142"/>
        <v>46184</v>
      </c>
      <c r="PD58" s="67">
        <f t="shared" si="142"/>
        <v>46185</v>
      </c>
      <c r="PE58" s="67">
        <f t="shared" si="142"/>
        <v>46186</v>
      </c>
      <c r="PF58" s="67">
        <f t="shared" si="142"/>
        <v>46187</v>
      </c>
      <c r="PG58" s="67">
        <f t="shared" si="142"/>
        <v>46188</v>
      </c>
      <c r="PH58" s="67">
        <f t="shared" si="142"/>
        <v>46189</v>
      </c>
      <c r="PI58" s="67">
        <f t="shared" si="142"/>
        <v>46190</v>
      </c>
      <c r="PJ58" s="67">
        <f t="shared" si="142"/>
        <v>46191</v>
      </c>
      <c r="PK58" s="67">
        <f t="shared" si="142"/>
        <v>46192</v>
      </c>
      <c r="PL58" s="67">
        <f t="shared" si="142"/>
        <v>46193</v>
      </c>
      <c r="PM58" s="67">
        <f t="shared" si="142"/>
        <v>46194</v>
      </c>
      <c r="PN58" s="67">
        <f t="shared" si="142"/>
        <v>46195</v>
      </c>
      <c r="PO58" s="67">
        <f t="shared" si="142"/>
        <v>46196</v>
      </c>
      <c r="PP58" s="67">
        <f t="shared" si="142"/>
        <v>46197</v>
      </c>
      <c r="PQ58" s="67">
        <f t="shared" si="142"/>
        <v>46198</v>
      </c>
      <c r="PR58" s="67">
        <f t="shared" si="142"/>
        <v>46199</v>
      </c>
      <c r="PS58" s="67">
        <f t="shared" si="142"/>
        <v>46200</v>
      </c>
      <c r="PT58" s="67">
        <f t="shared" si="142"/>
        <v>46201</v>
      </c>
      <c r="PU58" s="67">
        <f t="shared" si="142"/>
        <v>46202</v>
      </c>
      <c r="PV58" s="67">
        <f t="shared" si="142"/>
        <v>46203</v>
      </c>
      <c r="PW58" s="67" t="str">
        <f t="shared" si="142"/>
        <v/>
      </c>
      <c r="PX58" s="112" t="s">
        <v>33</v>
      </c>
      <c r="PY58" s="113" t="s">
        <v>28</v>
      </c>
      <c r="PZ58" s="114" t="s">
        <v>34</v>
      </c>
      <c r="QA58" s="112" t="s">
        <v>13</v>
      </c>
      <c r="QB58" s="113" t="s">
        <v>1</v>
      </c>
      <c r="QC58" s="113" t="s">
        <v>35</v>
      </c>
      <c r="QD58" s="113" t="s">
        <v>36</v>
      </c>
      <c r="QE58" s="113" t="s">
        <v>37</v>
      </c>
      <c r="QF58" s="113" t="s">
        <v>0</v>
      </c>
      <c r="QG58" s="113" t="s">
        <v>38</v>
      </c>
      <c r="QH58" s="115" t="s">
        <v>11</v>
      </c>
      <c r="QI58" s="108" t="str">
        <f>elenchi!$C12</f>
        <v>vuoto</v>
      </c>
      <c r="QJ58" s="109"/>
      <c r="QK58" s="110"/>
      <c r="QL58" s="67">
        <f t="shared" ref="QL58:RP58" si="143">QL$2</f>
        <v>46204</v>
      </c>
      <c r="QM58" s="67">
        <f t="shared" si="143"/>
        <v>46205</v>
      </c>
      <c r="QN58" s="67">
        <f t="shared" si="143"/>
        <v>46206</v>
      </c>
      <c r="QO58" s="67">
        <f t="shared" si="143"/>
        <v>46207</v>
      </c>
      <c r="QP58" s="67">
        <f t="shared" si="143"/>
        <v>46208</v>
      </c>
      <c r="QQ58" s="67">
        <f t="shared" si="143"/>
        <v>46209</v>
      </c>
      <c r="QR58" s="67">
        <f t="shared" si="143"/>
        <v>46210</v>
      </c>
      <c r="QS58" s="67">
        <f t="shared" si="143"/>
        <v>46211</v>
      </c>
      <c r="QT58" s="67">
        <f t="shared" si="143"/>
        <v>46212</v>
      </c>
      <c r="QU58" s="67">
        <f t="shared" si="143"/>
        <v>46213</v>
      </c>
      <c r="QV58" s="67">
        <f t="shared" si="143"/>
        <v>46214</v>
      </c>
      <c r="QW58" s="67">
        <f t="shared" si="143"/>
        <v>46215</v>
      </c>
      <c r="QX58" s="67">
        <f t="shared" si="143"/>
        <v>46216</v>
      </c>
      <c r="QY58" s="67">
        <f t="shared" si="143"/>
        <v>46217</v>
      </c>
      <c r="QZ58" s="67">
        <f t="shared" si="143"/>
        <v>46218</v>
      </c>
      <c r="RA58" s="67">
        <f t="shared" si="143"/>
        <v>46219</v>
      </c>
      <c r="RB58" s="67">
        <f t="shared" si="143"/>
        <v>46220</v>
      </c>
      <c r="RC58" s="67">
        <f t="shared" si="143"/>
        <v>46221</v>
      </c>
      <c r="RD58" s="67">
        <f t="shared" si="143"/>
        <v>46222</v>
      </c>
      <c r="RE58" s="67">
        <f t="shared" si="143"/>
        <v>46223</v>
      </c>
      <c r="RF58" s="67">
        <f t="shared" si="143"/>
        <v>46224</v>
      </c>
      <c r="RG58" s="67">
        <f t="shared" si="143"/>
        <v>46225</v>
      </c>
      <c r="RH58" s="67">
        <f t="shared" si="143"/>
        <v>46226</v>
      </c>
      <c r="RI58" s="67">
        <f t="shared" si="143"/>
        <v>46227</v>
      </c>
      <c r="RJ58" s="67">
        <f t="shared" si="143"/>
        <v>46228</v>
      </c>
      <c r="RK58" s="67">
        <f t="shared" si="143"/>
        <v>46229</v>
      </c>
      <c r="RL58" s="67">
        <f t="shared" si="143"/>
        <v>46230</v>
      </c>
      <c r="RM58" s="67">
        <f t="shared" si="143"/>
        <v>46231</v>
      </c>
      <c r="RN58" s="67">
        <f t="shared" si="143"/>
        <v>46232</v>
      </c>
      <c r="RO58" s="67">
        <f t="shared" si="143"/>
        <v>46233</v>
      </c>
      <c r="RP58" s="67">
        <f t="shared" si="143"/>
        <v>46234</v>
      </c>
      <c r="RQ58" s="112" t="s">
        <v>33</v>
      </c>
      <c r="RR58" s="113" t="s">
        <v>28</v>
      </c>
      <c r="RS58" s="114" t="s">
        <v>34</v>
      </c>
      <c r="RT58" s="112" t="s">
        <v>13</v>
      </c>
      <c r="RU58" s="113" t="s">
        <v>1</v>
      </c>
      <c r="RV58" s="113" t="s">
        <v>35</v>
      </c>
      <c r="RW58" s="113" t="s">
        <v>36</v>
      </c>
      <c r="RX58" s="113" t="s">
        <v>37</v>
      </c>
      <c r="RY58" s="113" t="s">
        <v>0</v>
      </c>
      <c r="RZ58" s="113" t="s">
        <v>38</v>
      </c>
      <c r="SA58" s="115" t="s">
        <v>11</v>
      </c>
      <c r="SB58" s="108" t="str">
        <f>elenchi!$C12</f>
        <v>vuoto</v>
      </c>
      <c r="SC58" s="109"/>
      <c r="SD58" s="110"/>
      <c r="SE58" s="67">
        <f t="shared" ref="SE58:TI58" si="144">SE$2</f>
        <v>46235</v>
      </c>
      <c r="SF58" s="67">
        <f t="shared" si="144"/>
        <v>46236</v>
      </c>
      <c r="SG58" s="67">
        <f t="shared" si="144"/>
        <v>46237</v>
      </c>
      <c r="SH58" s="67">
        <f t="shared" si="144"/>
        <v>46238</v>
      </c>
      <c r="SI58" s="67">
        <f t="shared" si="144"/>
        <v>46239</v>
      </c>
      <c r="SJ58" s="67">
        <f t="shared" si="144"/>
        <v>46240</v>
      </c>
      <c r="SK58" s="67">
        <f t="shared" si="144"/>
        <v>46241</v>
      </c>
      <c r="SL58" s="67">
        <f t="shared" si="144"/>
        <v>46242</v>
      </c>
      <c r="SM58" s="67">
        <f t="shared" si="144"/>
        <v>46243</v>
      </c>
      <c r="SN58" s="67">
        <f t="shared" si="144"/>
        <v>46244</v>
      </c>
      <c r="SO58" s="67">
        <f t="shared" si="144"/>
        <v>46245</v>
      </c>
      <c r="SP58" s="67">
        <f t="shared" si="144"/>
        <v>46246</v>
      </c>
      <c r="SQ58" s="67">
        <f t="shared" si="144"/>
        <v>46247</v>
      </c>
      <c r="SR58" s="67">
        <f t="shared" si="144"/>
        <v>46248</v>
      </c>
      <c r="SS58" s="67">
        <f t="shared" si="144"/>
        <v>46249</v>
      </c>
      <c r="ST58" s="67">
        <f t="shared" si="144"/>
        <v>46250</v>
      </c>
      <c r="SU58" s="67">
        <f t="shared" si="144"/>
        <v>46251</v>
      </c>
      <c r="SV58" s="67">
        <f t="shared" si="144"/>
        <v>46252</v>
      </c>
      <c r="SW58" s="67">
        <f t="shared" si="144"/>
        <v>46253</v>
      </c>
      <c r="SX58" s="67">
        <f t="shared" si="144"/>
        <v>46254</v>
      </c>
      <c r="SY58" s="67">
        <f t="shared" si="144"/>
        <v>46255</v>
      </c>
      <c r="SZ58" s="67">
        <f t="shared" si="144"/>
        <v>46256</v>
      </c>
      <c r="TA58" s="67">
        <f t="shared" si="144"/>
        <v>46257</v>
      </c>
      <c r="TB58" s="67">
        <f t="shared" si="144"/>
        <v>46258</v>
      </c>
      <c r="TC58" s="67">
        <f t="shared" si="144"/>
        <v>46259</v>
      </c>
      <c r="TD58" s="67">
        <f t="shared" si="144"/>
        <v>46260</v>
      </c>
      <c r="TE58" s="67">
        <f t="shared" si="144"/>
        <v>46261</v>
      </c>
      <c r="TF58" s="67">
        <f t="shared" si="144"/>
        <v>46262</v>
      </c>
      <c r="TG58" s="67">
        <f t="shared" si="144"/>
        <v>46263</v>
      </c>
      <c r="TH58" s="67">
        <f t="shared" si="144"/>
        <v>46264</v>
      </c>
      <c r="TI58" s="67">
        <f t="shared" si="144"/>
        <v>46265</v>
      </c>
      <c r="TJ58" s="112" t="s">
        <v>33</v>
      </c>
      <c r="TK58" s="113" t="s">
        <v>28</v>
      </c>
      <c r="TL58" s="114" t="s">
        <v>34</v>
      </c>
      <c r="TM58" s="112" t="s">
        <v>13</v>
      </c>
      <c r="TN58" s="113" t="s">
        <v>1</v>
      </c>
      <c r="TO58" s="113" t="s">
        <v>35</v>
      </c>
      <c r="TP58" s="113" t="s">
        <v>36</v>
      </c>
      <c r="TQ58" s="113" t="s">
        <v>37</v>
      </c>
      <c r="TR58" s="113" t="s">
        <v>0</v>
      </c>
      <c r="TS58" s="113" t="s">
        <v>38</v>
      </c>
      <c r="TT58" s="114" t="s">
        <v>11</v>
      </c>
    </row>
    <row r="59" ht="24.75" hidden="1" customHeight="1" outlineLevel="1">
      <c r="A59" s="73"/>
      <c r="B59" s="65"/>
      <c r="C59" s="66"/>
      <c r="D59" s="74" t="str">
        <f>Settembre25!$M$2</f>
        <v/>
      </c>
      <c r="E59" s="75" t="str">
        <f>Settembre25!$M$3</f>
        <v/>
      </c>
      <c r="F59" s="75" t="str">
        <f>Settembre25!$M$4</f>
        <v/>
      </c>
      <c r="G59" s="75" t="str">
        <f>Settembre25!$M$5</f>
        <v/>
      </c>
      <c r="H59" s="76" t="str">
        <f>Settembre25!$M$6</f>
        <v/>
      </c>
      <c r="I59" s="76" t="str">
        <f>Settembre25!$M$7</f>
        <v/>
      </c>
      <c r="J59" s="75" t="str">
        <f>Settembre25!$M$8</f>
        <v/>
      </c>
      <c r="K59" s="75" t="str">
        <f>Settembre25!$M$9</f>
        <v/>
      </c>
      <c r="L59" s="75" t="str">
        <f>Settembre25!$M$10</f>
        <v/>
      </c>
      <c r="M59" s="75" t="str">
        <f>Settembre25!$M$11</f>
        <v/>
      </c>
      <c r="N59" s="75" t="str">
        <f>Settembre25!$M$12</f>
        <v/>
      </c>
      <c r="O59" s="76" t="str">
        <f>Settembre25!$M$13</f>
        <v/>
      </c>
      <c r="P59" s="75" t="str">
        <f>Settembre25!$M$14</f>
        <v/>
      </c>
      <c r="Q59" s="75" t="str">
        <f>Settembre25!$M$15</f>
        <v/>
      </c>
      <c r="R59" s="75">
        <f>Settembre25!$M$16</f>
        <v>8</v>
      </c>
      <c r="S59" s="75">
        <f>Settembre25!$M$17</f>
        <v>8</v>
      </c>
      <c r="T59" s="75">
        <f>Settembre25!$M$18</f>
        <v>8</v>
      </c>
      <c r="U59" s="75">
        <f>Settembre25!$M$19</f>
        <v>8</v>
      </c>
      <c r="V59" s="76">
        <f>Settembre25!$M$20</f>
        <v>8</v>
      </c>
      <c r="W59" s="76">
        <f>Settembre25!$M$21</f>
        <v>5</v>
      </c>
      <c r="X59" s="75" t="str">
        <f>Settembre25!$M$22</f>
        <v/>
      </c>
      <c r="Y59" s="75">
        <f>Settembre25!$M$23</f>
        <v>8</v>
      </c>
      <c r="Z59" s="75">
        <f>Settembre25!$M$24</f>
        <v>8</v>
      </c>
      <c r="AA59" s="75">
        <f>Settembre25!$M$25</f>
        <v>8</v>
      </c>
      <c r="AB59" s="75">
        <f>Settembre25!$M$26</f>
        <v>8</v>
      </c>
      <c r="AC59" s="76">
        <f>Settembre25!$M$27</f>
        <v>7</v>
      </c>
      <c r="AD59" s="76">
        <f>Settembre25!$M$28</f>
        <v>5</v>
      </c>
      <c r="AE59" s="75" t="str">
        <f>Settembre25!$M$29</f>
        <v/>
      </c>
      <c r="AF59" s="75">
        <f>Settembre25!$M$30</f>
        <v>8</v>
      </c>
      <c r="AG59" s="75">
        <f>Settembre25!$M$31</f>
        <v>8</v>
      </c>
      <c r="AH59" s="77" t="str">
        <f>Settembre25!$M$32</f>
        <v/>
      </c>
      <c r="AI59" s="78"/>
      <c r="AJ59" s="79">
        <f>SUM(D59:AH59)</f>
        <v>105</v>
      </c>
      <c r="AK59" s="80"/>
      <c r="AL59" s="78"/>
      <c r="AM59" s="81"/>
      <c r="AN59" s="81"/>
      <c r="AO59" s="81"/>
      <c r="AP59" s="81"/>
      <c r="AQ59" s="81"/>
      <c r="AR59" s="81"/>
      <c r="AS59" s="82"/>
      <c r="AT59" s="73"/>
      <c r="AU59" s="65"/>
      <c r="AV59" s="66"/>
      <c r="AW59" s="83" t="str">
        <f>Ottobre25!$M$2</f>
        <v>Pe</v>
      </c>
      <c r="AX59" s="84">
        <f>Ottobre25!$M$3</f>
        <v>8</v>
      </c>
      <c r="AY59" s="84">
        <f>Ottobre25!$M$4</f>
        <v>8</v>
      </c>
      <c r="AZ59" s="84">
        <f>Ottobre25!$M$5</f>
        <v>5</v>
      </c>
      <c r="BA59" s="85" t="str">
        <f>Ottobre25!$M$6</f>
        <v/>
      </c>
      <c r="BB59" s="85">
        <f>Ottobre25!$M$7</f>
        <v>8</v>
      </c>
      <c r="BC59" s="84">
        <f>Ottobre25!$M$8</f>
        <v>8</v>
      </c>
      <c r="BD59" s="84">
        <f>Ottobre25!$M$9</f>
        <v>8</v>
      </c>
      <c r="BE59" s="84">
        <f>Ottobre25!$M$10</f>
        <v>8</v>
      </c>
      <c r="BF59" s="84">
        <f>Ottobre25!$M$11</f>
        <v>8</v>
      </c>
      <c r="BG59" s="84">
        <f>Ottobre25!$M$12</f>
        <v>5</v>
      </c>
      <c r="BH59" s="84" t="str">
        <f>Ottobre25!$M$13</f>
        <v/>
      </c>
      <c r="BI59" s="85">
        <f>Ottobre25!$M$14</f>
        <v>8</v>
      </c>
      <c r="BJ59" s="84">
        <f>Ottobre25!$M$15</f>
        <v>8</v>
      </c>
      <c r="BK59" s="84">
        <f>Ottobre25!$M$16</f>
        <v>8</v>
      </c>
      <c r="BL59" s="84">
        <f>Ottobre25!$M$17</f>
        <v>8</v>
      </c>
      <c r="BM59" s="84">
        <f>Ottobre25!$M$18</f>
        <v>8</v>
      </c>
      <c r="BN59" s="84">
        <f>Ottobre25!$M$19</f>
        <v>5</v>
      </c>
      <c r="BO59" s="84" t="str">
        <f>Ottobre25!$M$20</f>
        <v/>
      </c>
      <c r="BP59" s="85">
        <f>Ottobre25!$M$21</f>
        <v>8</v>
      </c>
      <c r="BQ59" s="84">
        <f>Ottobre25!$M$22</f>
        <v>8</v>
      </c>
      <c r="BR59" s="84" t="str">
        <f>Ottobre25!$M$23</f>
        <v>Pe</v>
      </c>
      <c r="BS59" s="84">
        <f>Ottobre25!$M$24</f>
        <v>8</v>
      </c>
      <c r="BT59" s="84">
        <f>Ottobre25!$M$25</f>
        <v>8</v>
      </c>
      <c r="BU59" s="84" t="str">
        <f>Ottobre25!$M$26</f>
        <v/>
      </c>
      <c r="BV59" s="85" t="str">
        <f>Ottobre25!$M$27</f>
        <v/>
      </c>
      <c r="BW59" s="85" t="str">
        <f>Ottobre25!$M$28</f>
        <v>ML</v>
      </c>
      <c r="BX59" s="84" t="str">
        <f>Ottobre25!$M$29</f>
        <v>ML</v>
      </c>
      <c r="BY59" s="84" t="str">
        <f>Ottobre25!$M$30</f>
        <v>ML</v>
      </c>
      <c r="BZ59" s="84" t="str">
        <f>Ottobre25!$M$31</f>
        <v>ML</v>
      </c>
      <c r="CA59" s="86" t="str">
        <f>Ottobre25!$M$32</f>
        <v>ML</v>
      </c>
      <c r="CB59" s="78"/>
      <c r="CC59" s="79">
        <f>SUM(AW59:CA59)</f>
        <v>143</v>
      </c>
      <c r="CD59" s="80"/>
      <c r="CE59" s="78"/>
      <c r="CF59" s="81"/>
      <c r="CG59" s="81"/>
      <c r="CH59" s="81"/>
      <c r="CI59" s="81"/>
      <c r="CJ59" s="81"/>
      <c r="CK59" s="81"/>
      <c r="CL59" s="82"/>
      <c r="CM59" s="73"/>
      <c r="CN59" s="65"/>
      <c r="CO59" s="66"/>
      <c r="CP59" s="83" t="str">
        <f>Novembre25!$M$2</f>
        <v/>
      </c>
      <c r="CQ59" s="84" t="str">
        <f>Novembre25!$M$3</f>
        <v/>
      </c>
      <c r="CR59" s="84">
        <f>Novembre25!$M$4</f>
        <v>8</v>
      </c>
      <c r="CS59" s="84">
        <f>Novembre25!$M$5</f>
        <v>8</v>
      </c>
      <c r="CT59" s="85">
        <f>Novembre25!$M$6</f>
        <v>8</v>
      </c>
      <c r="CU59" s="85">
        <f>Novembre25!$M$7</f>
        <v>8</v>
      </c>
      <c r="CV59" s="84">
        <f>Novembre25!$M$8</f>
        <v>8</v>
      </c>
      <c r="CW59" s="84">
        <f>Novembre25!$M$9</f>
        <v>5</v>
      </c>
      <c r="CX59" s="84" t="str">
        <f>Novembre25!$M$10</f>
        <v/>
      </c>
      <c r="CY59" s="84">
        <f>Novembre25!$M$11</f>
        <v>8</v>
      </c>
      <c r="CZ59" s="84">
        <f>Novembre25!$M$12</f>
        <v>8</v>
      </c>
      <c r="DA59" s="84" t="str">
        <f>Novembre25!$M$13</f>
        <v/>
      </c>
      <c r="DB59" s="85">
        <f>Novembre25!$M$14</f>
        <v>8</v>
      </c>
      <c r="DC59" s="84">
        <f>Novembre25!$M$15</f>
        <v>8</v>
      </c>
      <c r="DD59" s="84">
        <f>Novembre25!$M$16</f>
        <v>5</v>
      </c>
      <c r="DE59" s="84" t="str">
        <f>Novembre25!$M$17</f>
        <v/>
      </c>
      <c r="DF59" s="84">
        <f>Novembre25!$M$18</f>
        <v>8</v>
      </c>
      <c r="DG59" s="84">
        <f>Novembre25!$M$19</f>
        <v>8</v>
      </c>
      <c r="DH59" s="84">
        <f>Novembre25!$M$20</f>
        <v>8</v>
      </c>
      <c r="DI59" s="85" t="str">
        <f>Novembre25!$M$21</f>
        <v/>
      </c>
      <c r="DJ59" s="84">
        <f>Novembre25!$M$22</f>
        <v>8</v>
      </c>
      <c r="DK59" s="84" t="str">
        <f>Novembre25!$M$23</f>
        <v/>
      </c>
      <c r="DL59" s="84" t="str">
        <f>Novembre25!$M$24</f>
        <v/>
      </c>
      <c r="DM59" s="84">
        <f>Novembre25!$M$25</f>
        <v>8</v>
      </c>
      <c r="DN59" s="84" t="str">
        <f>Novembre25!$M$26</f>
        <v/>
      </c>
      <c r="DO59" s="85" t="str">
        <f>Novembre25!$M$27</f>
        <v/>
      </c>
      <c r="DP59" s="85" t="str">
        <f>Novembre25!$M$28</f>
        <v/>
      </c>
      <c r="DQ59" s="84" t="str">
        <f>Novembre25!$M$29</f>
        <v/>
      </c>
      <c r="DR59" s="84" t="str">
        <f>Novembre25!$M$30</f>
        <v/>
      </c>
      <c r="DS59" s="84" t="str">
        <f>Novembre25!$M$31</f>
        <v/>
      </c>
      <c r="DT59" s="86" t="str">
        <f>Novembre25!$M$32</f>
        <v/>
      </c>
      <c r="DU59" s="78"/>
      <c r="DV59" s="79">
        <f>SUM(CP59:DT59)</f>
        <v>122</v>
      </c>
      <c r="DW59" s="80"/>
      <c r="DX59" s="78"/>
      <c r="DY59" s="81"/>
      <c r="DZ59" s="81"/>
      <c r="EA59" s="81"/>
      <c r="EB59" s="81"/>
      <c r="EC59" s="81"/>
      <c r="ED59" s="81"/>
      <c r="EE59" s="80"/>
      <c r="EF59" s="73"/>
      <c r="EG59" s="65"/>
      <c r="EH59" s="66"/>
      <c r="EI59" s="83" t="str">
        <f>Dicembre25!$M$2</f>
        <v/>
      </c>
      <c r="EJ59" s="84" t="str">
        <f>Dicembre25!$M$3</f>
        <v/>
      </c>
      <c r="EK59" s="84" t="str">
        <f>Dicembre25!$M$4</f>
        <v/>
      </c>
      <c r="EL59" s="84" t="str">
        <f>Dicembre25!$M$5</f>
        <v/>
      </c>
      <c r="EM59" s="85" t="str">
        <f>Dicembre25!$M$6</f>
        <v/>
      </c>
      <c r="EN59" s="85" t="str">
        <f>Dicembre25!$M$7</f>
        <v/>
      </c>
      <c r="EO59" s="84" t="str">
        <f>Dicembre25!$M$8</f>
        <v/>
      </c>
      <c r="EP59" s="84" t="str">
        <f>Dicembre25!$M$9</f>
        <v/>
      </c>
      <c r="EQ59" s="84" t="str">
        <f>Dicembre25!$M$10</f>
        <v/>
      </c>
      <c r="ER59" s="84" t="str">
        <f>Dicembre25!$M$11</f>
        <v/>
      </c>
      <c r="ES59" s="84" t="str">
        <f>Dicembre25!$M$12</f>
        <v/>
      </c>
      <c r="ET59" s="84" t="str">
        <f>Dicembre25!$M$13</f>
        <v/>
      </c>
      <c r="EU59" s="85" t="str">
        <f>Dicembre25!$M$14</f>
        <v/>
      </c>
      <c r="EV59" s="84" t="str">
        <f>Dicembre25!$M$15</f>
        <v/>
      </c>
      <c r="EW59" s="84" t="str">
        <f>Dicembre25!$M$16</f>
        <v/>
      </c>
      <c r="EX59" s="84" t="str">
        <f>Dicembre25!$M$17</f>
        <v/>
      </c>
      <c r="EY59" s="84" t="str">
        <f>Dicembre25!$M$18</f>
        <v/>
      </c>
      <c r="EZ59" s="84" t="str">
        <f>Dicembre25!$M$19</f>
        <v/>
      </c>
      <c r="FA59" s="84" t="str">
        <f>Dicembre25!$M$20</f>
        <v/>
      </c>
      <c r="FB59" s="85" t="str">
        <f>Dicembre25!$M$21</f>
        <v/>
      </c>
      <c r="FC59" s="84" t="str">
        <f>Dicembre25!$M$22</f>
        <v/>
      </c>
      <c r="FD59" s="84" t="str">
        <f>Dicembre25!$M$23</f>
        <v/>
      </c>
      <c r="FE59" s="84" t="str">
        <f>Dicembre25!$M$24</f>
        <v/>
      </c>
      <c r="FF59" s="84" t="str">
        <f>Dicembre25!$M$25</f>
        <v/>
      </c>
      <c r="FG59" s="84" t="str">
        <f>Dicembre25!$M$26</f>
        <v/>
      </c>
      <c r="FH59" s="85" t="str">
        <f>Dicembre25!$M$27</f>
        <v/>
      </c>
      <c r="FI59" s="85" t="str">
        <f>Dicembre25!$M$28</f>
        <v/>
      </c>
      <c r="FJ59" s="84" t="str">
        <f>Dicembre25!$M$29</f>
        <v/>
      </c>
      <c r="FK59" s="84" t="str">
        <f>Dicembre25!$M$30</f>
        <v/>
      </c>
      <c r="FL59" s="84" t="str">
        <f>Dicembre25!$M$31</f>
        <v/>
      </c>
      <c r="FM59" s="86" t="str">
        <f>Dicembre25!$M$32</f>
        <v/>
      </c>
      <c r="FN59" s="78"/>
      <c r="FO59" s="79">
        <f>SUM(EI59:FM59)</f>
        <v>0</v>
      </c>
      <c r="FP59" s="80"/>
      <c r="FQ59" s="78"/>
      <c r="FR59" s="81"/>
      <c r="FS59" s="81"/>
      <c r="FT59" s="81"/>
      <c r="FU59" s="81"/>
      <c r="FV59" s="81"/>
      <c r="FW59" s="81"/>
      <c r="FX59" s="80"/>
      <c r="FY59" s="73"/>
      <c r="FZ59" s="65"/>
      <c r="GA59" s="66"/>
      <c r="GB59" s="83" t="str">
        <f>Gennaio26!$M$2</f>
        <v/>
      </c>
      <c r="GC59" s="84" t="str">
        <f>Gennaio26!$M$3</f>
        <v/>
      </c>
      <c r="GD59" s="84" t="str">
        <f>Gennaio26!$M$4</f>
        <v/>
      </c>
      <c r="GE59" s="84" t="str">
        <f>Gennaio26!$M$5</f>
        <v/>
      </c>
      <c r="GF59" s="85" t="str">
        <f>Gennaio26!$M$6</f>
        <v/>
      </c>
      <c r="GG59" s="85" t="str">
        <f>Gennaio26!$M$7</f>
        <v/>
      </c>
      <c r="GH59" s="84">
        <f>Gennaio26!$M$8</f>
        <v>8</v>
      </c>
      <c r="GI59" s="84">
        <f>Gennaio26!$M$9</f>
        <v>8</v>
      </c>
      <c r="GJ59" s="84">
        <f>Gennaio26!$M$10</f>
        <v>8</v>
      </c>
      <c r="GK59" s="84">
        <f>Gennaio26!$M$11</f>
        <v>4</v>
      </c>
      <c r="GL59" s="84" t="str">
        <f>Gennaio26!$M$12</f>
        <v/>
      </c>
      <c r="GM59" s="84">
        <f>Gennaio26!$M$13</f>
        <v>8</v>
      </c>
      <c r="GN59" s="85">
        <f>Gennaio26!$M$14</f>
        <v>8</v>
      </c>
      <c r="GO59" s="84">
        <f>Gennaio26!$M$15</f>
        <v>8</v>
      </c>
      <c r="GP59" s="84">
        <f>Gennaio26!$M$16</f>
        <v>8</v>
      </c>
      <c r="GQ59" s="84">
        <f>Gennaio26!$M$17</f>
        <v>8</v>
      </c>
      <c r="GR59" s="84">
        <f>Gennaio26!$M$18</f>
        <v>4</v>
      </c>
      <c r="GS59" s="84" t="str">
        <f>Gennaio26!$M$19</f>
        <v/>
      </c>
      <c r="GT59" s="84" t="str">
        <f>Gennaio26!$M$20</f>
        <v/>
      </c>
      <c r="GU59" s="85" t="str">
        <f>Gennaio26!$M$21</f>
        <v/>
      </c>
      <c r="GV59" s="84" t="str">
        <f>Gennaio26!$M$22</f>
        <v/>
      </c>
      <c r="GW59" s="84" t="str">
        <f>Gennaio26!$M$23</f>
        <v/>
      </c>
      <c r="GX59" s="84" t="str">
        <f>Gennaio26!$M$24</f>
        <v/>
      </c>
      <c r="GY59" s="84" t="str">
        <f>Gennaio26!$M$25</f>
        <v/>
      </c>
      <c r="GZ59" s="84" t="str">
        <f>Gennaio26!$M$26</f>
        <v/>
      </c>
      <c r="HA59" s="85" t="str">
        <f>Gennaio26!$M$27</f>
        <v/>
      </c>
      <c r="HB59" s="85" t="str">
        <f>Gennaio26!$M$28</f>
        <v/>
      </c>
      <c r="HC59" s="84" t="str">
        <f>Gennaio26!$M$29</f>
        <v/>
      </c>
      <c r="HD59" s="84" t="str">
        <f>Gennaio26!$M$30</f>
        <v/>
      </c>
      <c r="HE59" s="84" t="str">
        <f>Gennaio26!$M$31</f>
        <v/>
      </c>
      <c r="HF59" s="86" t="str">
        <f>Gennaio26!$M$32</f>
        <v/>
      </c>
      <c r="HG59" s="78"/>
      <c r="HH59" s="79">
        <f>SUM(GB59:HF59)</f>
        <v>72</v>
      </c>
      <c r="HI59" s="80"/>
      <c r="HJ59" s="78"/>
      <c r="HK59" s="81"/>
      <c r="HL59" s="81"/>
      <c r="HM59" s="81"/>
      <c r="HN59" s="81"/>
      <c r="HO59" s="81"/>
      <c r="HP59" s="81"/>
      <c r="HQ59" s="80"/>
      <c r="HR59" s="73"/>
      <c r="HS59" s="65"/>
      <c r="HT59" s="66"/>
      <c r="HU59" s="83" t="str">
        <f>Febbraio26!$M$2</f>
        <v/>
      </c>
      <c r="HV59" s="84" t="str">
        <f>Febbraio26!$M$3</f>
        <v/>
      </c>
      <c r="HW59" s="84" t="str">
        <f>Febbraio26!$M$4</f>
        <v/>
      </c>
      <c r="HX59" s="84" t="str">
        <f>Febbraio26!$M$5</f>
        <v/>
      </c>
      <c r="HY59" s="85" t="str">
        <f>Febbraio26!$M$6</f>
        <v/>
      </c>
      <c r="HZ59" s="85" t="str">
        <f>Febbraio26!$M$7</f>
        <v/>
      </c>
      <c r="IA59" s="84" t="str">
        <f>Febbraio26!$M$8</f>
        <v/>
      </c>
      <c r="IB59" s="84" t="str">
        <f>Febbraio26!$M$9</f>
        <v/>
      </c>
      <c r="IC59" s="84" t="str">
        <f>Febbraio26!$M$10</f>
        <v/>
      </c>
      <c r="ID59" s="84" t="str">
        <f>Febbraio26!$M$11</f>
        <v/>
      </c>
      <c r="IE59" s="84" t="str">
        <f>Febbraio26!$M$12</f>
        <v/>
      </c>
      <c r="IF59" s="84" t="str">
        <f>Febbraio26!$M$13</f>
        <v/>
      </c>
      <c r="IG59" s="85" t="str">
        <f>Febbraio26!$M$14</f>
        <v/>
      </c>
      <c r="IH59" s="84" t="str">
        <f>Febbraio26!$M$15</f>
        <v/>
      </c>
      <c r="II59" s="84" t="str">
        <f>Febbraio26!$M$16</f>
        <v/>
      </c>
      <c r="IJ59" s="84" t="str">
        <f>Febbraio26!$M$17</f>
        <v/>
      </c>
      <c r="IK59" s="84" t="str">
        <f>Febbraio26!$M$18</f>
        <v/>
      </c>
      <c r="IL59" s="84" t="str">
        <f>Febbraio26!$M$19</f>
        <v/>
      </c>
      <c r="IM59" s="84" t="str">
        <f>Febbraio26!$M$20</f>
        <v/>
      </c>
      <c r="IN59" s="85" t="str">
        <f>Febbraio26!$M$21</f>
        <v/>
      </c>
      <c r="IO59" s="84" t="str">
        <f>Febbraio26!$M$22</f>
        <v/>
      </c>
      <c r="IP59" s="84" t="str">
        <f>Febbraio26!$M$23</f>
        <v/>
      </c>
      <c r="IQ59" s="84" t="str">
        <f>Febbraio26!$M$24</f>
        <v/>
      </c>
      <c r="IR59" s="84" t="str">
        <f>Febbraio26!$M$25</f>
        <v/>
      </c>
      <c r="IS59" s="84" t="str">
        <f>Febbraio26!$M$26</f>
        <v/>
      </c>
      <c r="IT59" s="85" t="str">
        <f>Febbraio26!$M$27</f>
        <v/>
      </c>
      <c r="IU59" s="85" t="str">
        <f>Febbraio26!$M$28</f>
        <v/>
      </c>
      <c r="IV59" s="84" t="str">
        <f>Febbraio26!$M$29</f>
        <v/>
      </c>
      <c r="IW59" s="84" t="str">
        <f>Febbraio26!$M$30</f>
        <v/>
      </c>
      <c r="IX59" s="84" t="str">
        <f>Febbraio26!$M$31</f>
        <v/>
      </c>
      <c r="IY59" s="86" t="str">
        <f>Febbraio26!$M$32</f>
        <v/>
      </c>
      <c r="IZ59" s="78"/>
      <c r="JA59" s="79">
        <f>SUM(HU59:IY59)</f>
        <v>0</v>
      </c>
      <c r="JB59" s="80"/>
      <c r="JC59" s="78"/>
      <c r="JD59" s="81"/>
      <c r="JE59" s="81"/>
      <c r="JF59" s="81"/>
      <c r="JG59" s="81"/>
      <c r="JH59" s="81"/>
      <c r="JI59" s="81"/>
      <c r="JJ59" s="80"/>
      <c r="JK59" s="73"/>
      <c r="JL59" s="65"/>
      <c r="JM59" s="66"/>
      <c r="JN59" s="83" t="str">
        <f>Marzo26!$M$2</f>
        <v/>
      </c>
      <c r="JO59" s="84">
        <f>Marzo26!$M$3</f>
        <v>8</v>
      </c>
      <c r="JP59" s="84">
        <f>Marzo26!$M$4</f>
        <v>8</v>
      </c>
      <c r="JQ59" s="84">
        <f>Marzo26!$M$5</f>
        <v>8</v>
      </c>
      <c r="JR59" s="85" t="str">
        <f>Marzo26!$M$6</f>
        <v/>
      </c>
      <c r="JS59" s="85">
        <f>Marzo26!$M$7</f>
        <v>8</v>
      </c>
      <c r="JT59" s="84">
        <f>Marzo26!$M$8</f>
        <v>4</v>
      </c>
      <c r="JU59" s="84" t="str">
        <f>Marzo26!$M$9</f>
        <v/>
      </c>
      <c r="JV59" s="84" t="str">
        <f>Marzo26!$M$10</f>
        <v/>
      </c>
      <c r="JW59" s="84" t="str">
        <f>Marzo26!$M$11</f>
        <v/>
      </c>
      <c r="JX59" s="84" t="str">
        <f>Marzo26!$M$12</f>
        <v/>
      </c>
      <c r="JY59" s="84" t="str">
        <f>Marzo26!$M$13</f>
        <v/>
      </c>
      <c r="JZ59" s="85" t="str">
        <f>Marzo26!$M$14</f>
        <v/>
      </c>
      <c r="KA59" s="84" t="str">
        <f>Marzo26!$M$15</f>
        <v/>
      </c>
      <c r="KB59" s="84" t="str">
        <f>Marzo26!$M$16</f>
        <v/>
      </c>
      <c r="KC59" s="84" t="str">
        <f>Marzo26!$M$17</f>
        <v/>
      </c>
      <c r="KD59" s="84" t="str">
        <f>Marzo26!$M$18</f>
        <v/>
      </c>
      <c r="KE59" s="84" t="str">
        <f>Marzo26!$M$19</f>
        <v/>
      </c>
      <c r="KF59" s="84" t="str">
        <f>Marzo26!$M$20</f>
        <v/>
      </c>
      <c r="KG59" s="85" t="str">
        <f>Marzo26!$M$21</f>
        <v/>
      </c>
      <c r="KH59" s="84" t="str">
        <f>Marzo26!$M$22</f>
        <v/>
      </c>
      <c r="KI59" s="84" t="str">
        <f>Marzo26!$M$23</f>
        <v/>
      </c>
      <c r="KJ59" s="84" t="str">
        <f>Marzo26!$M$24</f>
        <v/>
      </c>
      <c r="KK59" s="84" t="str">
        <f>Marzo26!$M$25</f>
        <v/>
      </c>
      <c r="KL59" s="84" t="str">
        <f>Marzo26!$M$26</f>
        <v/>
      </c>
      <c r="KM59" s="85" t="str">
        <f>Marzo26!$M$27</f>
        <v/>
      </c>
      <c r="KN59" s="85" t="str">
        <f>Marzo26!$M$28</f>
        <v/>
      </c>
      <c r="KO59" s="84" t="str">
        <f>Marzo26!$M$29</f>
        <v/>
      </c>
      <c r="KP59" s="84" t="str">
        <f>Marzo26!$M$30</f>
        <v/>
      </c>
      <c r="KQ59" s="84" t="str">
        <f>Marzo26!$M$31</f>
        <v/>
      </c>
      <c r="KR59" s="86" t="str">
        <f>Marzo26!$M$32</f>
        <v/>
      </c>
      <c r="KS59" s="78"/>
      <c r="KT59" s="79">
        <f>SUM(JN59:KR59)</f>
        <v>36</v>
      </c>
      <c r="KU59" s="80"/>
      <c r="KV59" s="78"/>
      <c r="KW59" s="81"/>
      <c r="KX59" s="81"/>
      <c r="KY59" s="81"/>
      <c r="KZ59" s="81"/>
      <c r="LA59" s="81"/>
      <c r="LB59" s="81"/>
      <c r="LC59" s="80"/>
      <c r="LD59" s="73"/>
      <c r="LE59" s="65"/>
      <c r="LF59" s="66"/>
      <c r="LG59" s="83" t="str">
        <f>Aprile26!$M$2</f>
        <v/>
      </c>
      <c r="LH59" s="84" t="str">
        <f>Aprile26!$M$3</f>
        <v/>
      </c>
      <c r="LI59" s="84" t="str">
        <f>Aprile26!$M$4</f>
        <v/>
      </c>
      <c r="LJ59" s="84" t="str">
        <f>Aprile26!$M$5</f>
        <v/>
      </c>
      <c r="LK59" s="85" t="str">
        <f>Aprile26!$M$6</f>
        <v/>
      </c>
      <c r="LL59" s="85" t="str">
        <f>Aprile26!$M$7</f>
        <v/>
      </c>
      <c r="LM59" s="84" t="str">
        <f>Aprile26!$M$8</f>
        <v/>
      </c>
      <c r="LN59" s="84" t="str">
        <f>Aprile26!$M$9</f>
        <v/>
      </c>
      <c r="LO59" s="84" t="str">
        <f>Aprile26!$M$10</f>
        <v/>
      </c>
      <c r="LP59" s="84" t="str">
        <f>Aprile26!$M$11</f>
        <v/>
      </c>
      <c r="LQ59" s="84" t="str">
        <f>Aprile26!$M$12</f>
        <v/>
      </c>
      <c r="LR59" s="84" t="str">
        <f>Aprile26!$M$13</f>
        <v/>
      </c>
      <c r="LS59" s="85" t="str">
        <f>Aprile26!$M$14</f>
        <v/>
      </c>
      <c r="LT59" s="84" t="str">
        <f>Aprile26!$M$15</f>
        <v/>
      </c>
      <c r="LU59" s="84" t="str">
        <f>Aprile26!$M$16</f>
        <v/>
      </c>
      <c r="LV59" s="84" t="str">
        <f>Aprile26!$M$17</f>
        <v/>
      </c>
      <c r="LW59" s="84" t="str">
        <f>Aprile26!$M$18</f>
        <v/>
      </c>
      <c r="LX59" s="84" t="str">
        <f>Aprile26!$M$19</f>
        <v/>
      </c>
      <c r="LY59" s="84" t="str">
        <f>Aprile26!$M$20</f>
        <v/>
      </c>
      <c r="LZ59" s="85" t="str">
        <f>Aprile26!$M$21</f>
        <v/>
      </c>
      <c r="MA59" s="84" t="str">
        <f>Aprile26!$M$22</f>
        <v/>
      </c>
      <c r="MB59" s="84" t="str">
        <f>Aprile26!$M$23</f>
        <v/>
      </c>
      <c r="MC59" s="84" t="str">
        <f>Aprile26!$M$24</f>
        <v/>
      </c>
      <c r="MD59" s="84" t="str">
        <f>Aprile26!$M$25</f>
        <v/>
      </c>
      <c r="ME59" s="84" t="str">
        <f>Aprile26!$M$26</f>
        <v/>
      </c>
      <c r="MF59" s="85" t="str">
        <f>Aprile26!$M$27</f>
        <v/>
      </c>
      <c r="MG59" s="85" t="str">
        <f>Aprile26!$M$28</f>
        <v/>
      </c>
      <c r="MH59" s="84" t="str">
        <f>Aprile26!$M$29</f>
        <v/>
      </c>
      <c r="MI59" s="84" t="str">
        <f>Aprile26!$M$30</f>
        <v/>
      </c>
      <c r="MJ59" s="84" t="str">
        <f>Aprile26!$M$31</f>
        <v/>
      </c>
      <c r="MK59" s="86" t="str">
        <f>Aprile26!$M$32</f>
        <v/>
      </c>
      <c r="ML59" s="78"/>
      <c r="MM59" s="79">
        <f>SUM(LG59:MK59)</f>
        <v>0</v>
      </c>
      <c r="MN59" s="80"/>
      <c r="MO59" s="78"/>
      <c r="MP59" s="81"/>
      <c r="MQ59" s="81"/>
      <c r="MR59" s="81"/>
      <c r="MS59" s="81"/>
      <c r="MT59" s="81"/>
      <c r="MU59" s="81"/>
      <c r="MV59" s="82"/>
      <c r="MW59" s="73"/>
      <c r="MX59" s="65"/>
      <c r="MY59" s="66"/>
      <c r="MZ59" s="83" t="str">
        <f>Maggio26!$M$2</f>
        <v/>
      </c>
      <c r="NA59" s="84" t="str">
        <f>Maggio26!$M$3</f>
        <v/>
      </c>
      <c r="NB59" s="84" t="str">
        <f>Maggio26!$M$4</f>
        <v/>
      </c>
      <c r="NC59" s="84" t="str">
        <f>Maggio26!$M$5</f>
        <v/>
      </c>
      <c r="ND59" s="85" t="str">
        <f>Maggio26!$M$6</f>
        <v/>
      </c>
      <c r="NE59" s="85" t="str">
        <f>Maggio26!$M$7</f>
        <v/>
      </c>
      <c r="NF59" s="84" t="str">
        <f>Maggio26!$M$8</f>
        <v/>
      </c>
      <c r="NG59" s="84" t="str">
        <f>Maggio26!$M$9</f>
        <v/>
      </c>
      <c r="NH59" s="84" t="str">
        <f>Maggio26!$M$10</f>
        <v/>
      </c>
      <c r="NI59" s="84" t="str">
        <f>Maggio26!$M$11</f>
        <v/>
      </c>
      <c r="NJ59" s="84" t="str">
        <f>Maggio26!$M$12</f>
        <v/>
      </c>
      <c r="NK59" s="84" t="str">
        <f>Maggio26!$M$13</f>
        <v/>
      </c>
      <c r="NL59" s="85" t="str">
        <f>Maggio26!$M$14</f>
        <v/>
      </c>
      <c r="NM59" s="84" t="str">
        <f>Maggio26!$M$15</f>
        <v/>
      </c>
      <c r="NN59" s="84" t="str">
        <f>Maggio26!$M$16</f>
        <v/>
      </c>
      <c r="NO59" s="84" t="str">
        <f>Maggio26!$M$17</f>
        <v/>
      </c>
      <c r="NP59" s="84" t="str">
        <f>Maggio26!$M$18</f>
        <v/>
      </c>
      <c r="NQ59" s="84" t="str">
        <f>Maggio26!$M$19</f>
        <v/>
      </c>
      <c r="NR59" s="84" t="str">
        <f>Maggio26!$M$20</f>
        <v/>
      </c>
      <c r="NS59" s="85" t="str">
        <f>Maggio26!$M$21</f>
        <v/>
      </c>
      <c r="NT59" s="84" t="str">
        <f>Maggio26!$M$22</f>
        <v/>
      </c>
      <c r="NU59" s="84" t="str">
        <f>Maggio26!$M$23</f>
        <v/>
      </c>
      <c r="NV59" s="84" t="str">
        <f>Maggio26!$M$24</f>
        <v/>
      </c>
      <c r="NW59" s="84" t="str">
        <f>Maggio26!$M$25</f>
        <v/>
      </c>
      <c r="NX59" s="84" t="str">
        <f>Maggio26!$M$26</f>
        <v/>
      </c>
      <c r="NY59" s="85" t="str">
        <f>Maggio26!$M$27</f>
        <v/>
      </c>
      <c r="NZ59" s="85" t="str">
        <f>Maggio26!$M$28</f>
        <v/>
      </c>
      <c r="OA59" s="84" t="str">
        <f>Maggio26!$M$29</f>
        <v/>
      </c>
      <c r="OB59" s="84" t="str">
        <f>Maggio26!$M$30</f>
        <v/>
      </c>
      <c r="OC59" s="84" t="str">
        <f>Maggio26!$M$31</f>
        <v/>
      </c>
      <c r="OD59" s="86" t="str">
        <f>Maggio26!$M$32</f>
        <v/>
      </c>
      <c r="OE59" s="78"/>
      <c r="OF59" s="79">
        <f>SUM(MZ59:OD59)</f>
        <v>0</v>
      </c>
      <c r="OG59" s="80"/>
      <c r="OH59" s="78"/>
      <c r="OI59" s="81"/>
      <c r="OJ59" s="81"/>
      <c r="OK59" s="81"/>
      <c r="OL59" s="81"/>
      <c r="OM59" s="81"/>
      <c r="ON59" s="81"/>
      <c r="OO59" s="82"/>
      <c r="OP59" s="73"/>
      <c r="OQ59" s="65"/>
      <c r="OR59" s="66"/>
      <c r="OS59" s="83" t="str">
        <f>Giugno26!$M$2</f>
        <v/>
      </c>
      <c r="OT59" s="84" t="str">
        <f>Giugno26!$M$3</f>
        <v/>
      </c>
      <c r="OU59" s="84" t="str">
        <f>Giugno26!$M$4</f>
        <v/>
      </c>
      <c r="OV59" s="84" t="str">
        <f>Giugno26!$M$5</f>
        <v/>
      </c>
      <c r="OW59" s="85" t="str">
        <f>Giugno26!$M$6</f>
        <v/>
      </c>
      <c r="OX59" s="85" t="str">
        <f>Giugno26!$M$7</f>
        <v/>
      </c>
      <c r="OY59" s="84" t="str">
        <f>Giugno26!$M$8</f>
        <v/>
      </c>
      <c r="OZ59" s="84" t="str">
        <f>Giugno26!$M$9</f>
        <v/>
      </c>
      <c r="PA59" s="84" t="str">
        <f>Giugno26!$M$10</f>
        <v/>
      </c>
      <c r="PB59" s="84" t="str">
        <f>Giugno26!$M$11</f>
        <v/>
      </c>
      <c r="PC59" s="84" t="str">
        <f>Giugno26!$M$12</f>
        <v/>
      </c>
      <c r="PD59" s="84" t="str">
        <f>Giugno26!$M$13</f>
        <v/>
      </c>
      <c r="PE59" s="85" t="str">
        <f>Giugno26!$M$14</f>
        <v/>
      </c>
      <c r="PF59" s="84" t="str">
        <f>Giugno26!$M$15</f>
        <v/>
      </c>
      <c r="PG59" s="84" t="str">
        <f>Giugno26!$M$16</f>
        <v/>
      </c>
      <c r="PH59" s="84" t="str">
        <f>Giugno26!$M$17</f>
        <v/>
      </c>
      <c r="PI59" s="84" t="str">
        <f>Giugno26!$M$18</f>
        <v/>
      </c>
      <c r="PJ59" s="84" t="str">
        <f>Giugno26!$M$19</f>
        <v/>
      </c>
      <c r="PK59" s="84" t="str">
        <f>Giugno26!$M$20</f>
        <v/>
      </c>
      <c r="PL59" s="85" t="str">
        <f>Giugno26!$M$21</f>
        <v/>
      </c>
      <c r="PM59" s="84" t="str">
        <f>Giugno26!$M$22</f>
        <v/>
      </c>
      <c r="PN59" s="84" t="str">
        <f>Giugno26!$M$23</f>
        <v/>
      </c>
      <c r="PO59" s="84" t="str">
        <f>Giugno26!$M$24</f>
        <v/>
      </c>
      <c r="PP59" s="84" t="str">
        <f>Giugno26!$M$25</f>
        <v/>
      </c>
      <c r="PQ59" s="84" t="str">
        <f>Giugno26!$M$26</f>
        <v/>
      </c>
      <c r="PR59" s="85" t="str">
        <f>Giugno26!$M$27</f>
        <v/>
      </c>
      <c r="PS59" s="85" t="str">
        <f>Giugno26!$M$28</f>
        <v/>
      </c>
      <c r="PT59" s="84" t="str">
        <f>Giugno26!$M$29</f>
        <v/>
      </c>
      <c r="PU59" s="84" t="str">
        <f>Giugno26!$M$30</f>
        <v/>
      </c>
      <c r="PV59" s="84" t="str">
        <f>Giugno26!$M$31</f>
        <v/>
      </c>
      <c r="PW59" s="86" t="str">
        <f>Giugno26!$M$32</f>
        <v/>
      </c>
      <c r="PX59" s="78"/>
      <c r="PY59" s="79">
        <f>SUM(OS59:PW59)</f>
        <v>0</v>
      </c>
      <c r="PZ59" s="80"/>
      <c r="QA59" s="78"/>
      <c r="QB59" s="81"/>
      <c r="QC59" s="81"/>
      <c r="QD59" s="81"/>
      <c r="QE59" s="81"/>
      <c r="QF59" s="81"/>
      <c r="QG59" s="81"/>
      <c r="QH59" s="82"/>
      <c r="QI59" s="73"/>
      <c r="QJ59" s="65"/>
      <c r="QK59" s="66"/>
      <c r="QL59" s="83" t="str">
        <f>Luglio26!$M$2</f>
        <v/>
      </c>
      <c r="QM59" s="84" t="str">
        <f>Luglio26!$M$3</f>
        <v/>
      </c>
      <c r="QN59" s="84" t="str">
        <f>Luglio26!$M$4</f>
        <v/>
      </c>
      <c r="QO59" s="84" t="str">
        <f>Luglio26!$M$5</f>
        <v/>
      </c>
      <c r="QP59" s="85" t="str">
        <f>Luglio26!$M$6</f>
        <v/>
      </c>
      <c r="QQ59" s="85" t="str">
        <f>Luglio26!$M$7</f>
        <v/>
      </c>
      <c r="QR59" s="84" t="str">
        <f>Luglio26!$M$8</f>
        <v/>
      </c>
      <c r="QS59" s="84" t="str">
        <f>Luglio26!$M$9</f>
        <v/>
      </c>
      <c r="QT59" s="84" t="str">
        <f>Luglio26!$M$10</f>
        <v/>
      </c>
      <c r="QU59" s="84" t="str">
        <f>Luglio26!$M$11</f>
        <v/>
      </c>
      <c r="QV59" s="84" t="str">
        <f>Luglio26!$M$12</f>
        <v/>
      </c>
      <c r="QW59" s="84" t="str">
        <f>Luglio26!$M$13</f>
        <v/>
      </c>
      <c r="QX59" s="85" t="str">
        <f>Luglio26!$M$14</f>
        <v/>
      </c>
      <c r="QY59" s="84" t="str">
        <f>Luglio26!$M$15</f>
        <v/>
      </c>
      <c r="QZ59" s="84" t="str">
        <f>Luglio26!$M$16</f>
        <v/>
      </c>
      <c r="RA59" s="84" t="str">
        <f>Luglio26!$M$17</f>
        <v/>
      </c>
      <c r="RB59" s="84" t="str">
        <f>Luglio26!$M$18</f>
        <v/>
      </c>
      <c r="RC59" s="84" t="str">
        <f>Luglio26!$M$19</f>
        <v/>
      </c>
      <c r="RD59" s="84" t="str">
        <f>Luglio26!$M$20</f>
        <v/>
      </c>
      <c r="RE59" s="85" t="str">
        <f>Luglio26!$M$21</f>
        <v/>
      </c>
      <c r="RF59" s="84" t="str">
        <f>Luglio26!$M$22</f>
        <v/>
      </c>
      <c r="RG59" s="84" t="str">
        <f>Luglio26!$M$23</f>
        <v/>
      </c>
      <c r="RH59" s="84" t="str">
        <f>Luglio26!$M$24</f>
        <v/>
      </c>
      <c r="RI59" s="84" t="str">
        <f>Luglio26!$M$25</f>
        <v/>
      </c>
      <c r="RJ59" s="84" t="str">
        <f>Luglio26!$M$26</f>
        <v/>
      </c>
      <c r="RK59" s="85" t="str">
        <f>Luglio26!$M$27</f>
        <v/>
      </c>
      <c r="RL59" s="85" t="str">
        <f>Luglio26!$M$28</f>
        <v/>
      </c>
      <c r="RM59" s="84" t="str">
        <f>Luglio26!$M$29</f>
        <v/>
      </c>
      <c r="RN59" s="84" t="str">
        <f>Luglio26!$M$30</f>
        <v/>
      </c>
      <c r="RO59" s="84" t="str">
        <f>Luglio26!$M$31</f>
        <v/>
      </c>
      <c r="RP59" s="86" t="str">
        <f>Luglio26!$M$32</f>
        <v/>
      </c>
      <c r="RQ59" s="78"/>
      <c r="RR59" s="79">
        <f>SUM(QL59:RP59)</f>
        <v>0</v>
      </c>
      <c r="RS59" s="80"/>
      <c r="RT59" s="78"/>
      <c r="RU59" s="81"/>
      <c r="RV59" s="81"/>
      <c r="RW59" s="81"/>
      <c r="RX59" s="81"/>
      <c r="RY59" s="81"/>
      <c r="RZ59" s="81"/>
      <c r="SA59" s="82"/>
      <c r="SB59" s="73"/>
      <c r="SC59" s="65"/>
      <c r="SD59" s="66"/>
      <c r="SE59" s="83" t="str">
        <f>Agosto26!$M$2</f>
        <v/>
      </c>
      <c r="SF59" s="84" t="str">
        <f>Agosto26!$M$3</f>
        <v/>
      </c>
      <c r="SG59" s="84" t="str">
        <f>Agosto26!$M$4</f>
        <v/>
      </c>
      <c r="SH59" s="84" t="str">
        <f>Agosto26!$M$5</f>
        <v/>
      </c>
      <c r="SI59" s="85" t="str">
        <f>Agosto26!$M$6</f>
        <v/>
      </c>
      <c r="SJ59" s="85" t="str">
        <f>Agosto26!$M$7</f>
        <v/>
      </c>
      <c r="SK59" s="84" t="str">
        <f>Agosto26!$M$8</f>
        <v/>
      </c>
      <c r="SL59" s="84" t="str">
        <f>Agosto26!$M$9</f>
        <v/>
      </c>
      <c r="SM59" s="84" t="str">
        <f>Agosto26!$M$10</f>
        <v/>
      </c>
      <c r="SN59" s="84" t="str">
        <f>Agosto26!$M$11</f>
        <v/>
      </c>
      <c r="SO59" s="84" t="str">
        <f>Agosto26!$M$12</f>
        <v/>
      </c>
      <c r="SP59" s="84" t="str">
        <f>Agosto26!$M$13</f>
        <v/>
      </c>
      <c r="SQ59" s="85" t="str">
        <f>Agosto26!$M$14</f>
        <v/>
      </c>
      <c r="SR59" s="84" t="str">
        <f>Agosto26!$M$15</f>
        <v/>
      </c>
      <c r="SS59" s="84" t="str">
        <f>Agosto26!$M$16</f>
        <v/>
      </c>
      <c r="ST59" s="84" t="str">
        <f>Agosto26!$M$17</f>
        <v/>
      </c>
      <c r="SU59" s="84" t="str">
        <f>Agosto26!$M$18</f>
        <v/>
      </c>
      <c r="SV59" s="84" t="str">
        <f>Agosto26!$M$19</f>
        <v/>
      </c>
      <c r="SW59" s="84" t="str">
        <f>Agosto26!$M$20</f>
        <v/>
      </c>
      <c r="SX59" s="85" t="str">
        <f>Agosto26!$M$21</f>
        <v/>
      </c>
      <c r="SY59" s="84" t="str">
        <f>Agosto26!$M$22</f>
        <v/>
      </c>
      <c r="SZ59" s="84" t="str">
        <f>Agosto26!$M$23</f>
        <v/>
      </c>
      <c r="TA59" s="84" t="str">
        <f>Agosto26!$M$24</f>
        <v/>
      </c>
      <c r="TB59" s="84" t="str">
        <f>Agosto26!$M$25</f>
        <v/>
      </c>
      <c r="TC59" s="84" t="str">
        <f>Agosto26!$M$26</f>
        <v/>
      </c>
      <c r="TD59" s="85" t="str">
        <f>Agosto26!$M$27</f>
        <v/>
      </c>
      <c r="TE59" s="85" t="str">
        <f>Agosto26!$M$28</f>
        <v/>
      </c>
      <c r="TF59" s="84" t="str">
        <f>Agosto26!$M$29</f>
        <v/>
      </c>
      <c r="TG59" s="84" t="str">
        <f>Agosto26!$M$30</f>
        <v/>
      </c>
      <c r="TH59" s="84" t="str">
        <f>Agosto26!$M$31</f>
        <v/>
      </c>
      <c r="TI59" s="86" t="str">
        <f>Agosto26!$M$32</f>
        <v/>
      </c>
      <c r="TJ59" s="78"/>
      <c r="TK59" s="79">
        <f>SUM(SE59:TI59)</f>
        <v>0</v>
      </c>
      <c r="TL59" s="80"/>
      <c r="TM59" s="78"/>
      <c r="TN59" s="81"/>
      <c r="TO59" s="81"/>
      <c r="TP59" s="81"/>
      <c r="TQ59" s="81"/>
      <c r="TR59" s="81"/>
      <c r="TS59" s="81"/>
      <c r="TT59" s="80"/>
    </row>
    <row r="60" ht="24.75" hidden="1" customHeight="1" outlineLevel="1">
      <c r="A60" s="91" t="s">
        <v>39</v>
      </c>
      <c r="B60" s="65"/>
      <c r="C60" s="66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93"/>
      <c r="AI60" s="78"/>
      <c r="AJ60" s="81"/>
      <c r="AK60" s="94">
        <f>SUM(D60:AG60)</f>
        <v>0</v>
      </c>
      <c r="AL60" s="78"/>
      <c r="AM60" s="81"/>
      <c r="AN60" s="81"/>
      <c r="AO60" s="81"/>
      <c r="AP60" s="81"/>
      <c r="AQ60" s="81"/>
      <c r="AR60" s="81"/>
      <c r="AS60" s="82"/>
      <c r="AT60" s="91" t="s">
        <v>39</v>
      </c>
      <c r="AU60" s="65"/>
      <c r="AV60" s="66"/>
      <c r="AW60" s="92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95"/>
      <c r="CB60" s="78"/>
      <c r="CC60" s="81"/>
      <c r="CD60" s="94">
        <f>SUM(AW60:BZ60)</f>
        <v>0</v>
      </c>
      <c r="CE60" s="78"/>
      <c r="CF60" s="81"/>
      <c r="CG60" s="81"/>
      <c r="CH60" s="81"/>
      <c r="CI60" s="81"/>
      <c r="CJ60" s="81"/>
      <c r="CK60" s="81"/>
      <c r="CL60" s="82"/>
      <c r="CM60" s="91" t="s">
        <v>39</v>
      </c>
      <c r="CN60" s="65"/>
      <c r="CO60" s="66"/>
      <c r="CP60" s="92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95"/>
      <c r="DU60" s="78"/>
      <c r="DV60" s="81"/>
      <c r="DW60" s="94">
        <f>SUM(CP60:DS60)</f>
        <v>0</v>
      </c>
      <c r="DX60" s="78"/>
      <c r="DY60" s="81"/>
      <c r="DZ60" s="81"/>
      <c r="EA60" s="81"/>
      <c r="EB60" s="81"/>
      <c r="EC60" s="81"/>
      <c r="ED60" s="81"/>
      <c r="EE60" s="80"/>
      <c r="EF60" s="91" t="s">
        <v>39</v>
      </c>
      <c r="EG60" s="65"/>
      <c r="EH60" s="66"/>
      <c r="EI60" s="92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95"/>
      <c r="FN60" s="78"/>
      <c r="FO60" s="81"/>
      <c r="FP60" s="94">
        <f>SUM(EI60:FL60)</f>
        <v>0</v>
      </c>
      <c r="FQ60" s="78"/>
      <c r="FR60" s="81"/>
      <c r="FS60" s="81"/>
      <c r="FT60" s="81"/>
      <c r="FU60" s="81"/>
      <c r="FV60" s="81"/>
      <c r="FW60" s="81"/>
      <c r="FX60" s="80"/>
      <c r="FY60" s="91" t="s">
        <v>39</v>
      </c>
      <c r="FZ60" s="65"/>
      <c r="GA60" s="66"/>
      <c r="GB60" s="92"/>
      <c r="GC60" s="85"/>
      <c r="GD60" s="85"/>
      <c r="GE60" s="85"/>
      <c r="GF60" s="85"/>
      <c r="GG60" s="85"/>
      <c r="GH60" s="85"/>
      <c r="GI60" s="85"/>
      <c r="GJ60" s="85"/>
      <c r="GK60" s="85"/>
      <c r="GL60" s="85"/>
      <c r="GM60" s="85"/>
      <c r="GN60" s="85"/>
      <c r="GO60" s="85"/>
      <c r="GP60" s="85"/>
      <c r="GQ60" s="85"/>
      <c r="GR60" s="85"/>
      <c r="GS60" s="85"/>
      <c r="GT60" s="85"/>
      <c r="GU60" s="85"/>
      <c r="GV60" s="85"/>
      <c r="GW60" s="85"/>
      <c r="GX60" s="85"/>
      <c r="GY60" s="85"/>
      <c r="GZ60" s="85"/>
      <c r="HA60" s="85"/>
      <c r="HB60" s="85"/>
      <c r="HC60" s="85"/>
      <c r="HD60" s="85"/>
      <c r="HE60" s="85"/>
      <c r="HF60" s="95"/>
      <c r="HG60" s="78"/>
      <c r="HH60" s="81"/>
      <c r="HI60" s="94">
        <f>SUM(GB60:HE60)</f>
        <v>0</v>
      </c>
      <c r="HJ60" s="78"/>
      <c r="HK60" s="81"/>
      <c r="HL60" s="81"/>
      <c r="HM60" s="81"/>
      <c r="HN60" s="81"/>
      <c r="HO60" s="81"/>
      <c r="HP60" s="81"/>
      <c r="HQ60" s="80"/>
      <c r="HR60" s="91" t="s">
        <v>39</v>
      </c>
      <c r="HS60" s="65"/>
      <c r="HT60" s="66"/>
      <c r="HU60" s="92"/>
      <c r="HV60" s="85"/>
      <c r="HW60" s="85"/>
      <c r="HX60" s="85"/>
      <c r="HY60" s="85"/>
      <c r="HZ60" s="85"/>
      <c r="IA60" s="85"/>
      <c r="IB60" s="85"/>
      <c r="IC60" s="85"/>
      <c r="ID60" s="85"/>
      <c r="IE60" s="85"/>
      <c r="IF60" s="85"/>
      <c r="IG60" s="85"/>
      <c r="IH60" s="85"/>
      <c r="II60" s="85"/>
      <c r="IJ60" s="85"/>
      <c r="IK60" s="85"/>
      <c r="IL60" s="85"/>
      <c r="IM60" s="85"/>
      <c r="IN60" s="85"/>
      <c r="IO60" s="85"/>
      <c r="IP60" s="85"/>
      <c r="IQ60" s="85"/>
      <c r="IR60" s="85"/>
      <c r="IS60" s="85"/>
      <c r="IT60" s="85"/>
      <c r="IU60" s="85"/>
      <c r="IV60" s="85"/>
      <c r="IW60" s="85"/>
      <c r="IX60" s="85"/>
      <c r="IY60" s="95"/>
      <c r="IZ60" s="78"/>
      <c r="JA60" s="81"/>
      <c r="JB60" s="94">
        <f>SUM(HU60:IX60)</f>
        <v>0</v>
      </c>
      <c r="JC60" s="78"/>
      <c r="JD60" s="81"/>
      <c r="JE60" s="81"/>
      <c r="JF60" s="81"/>
      <c r="JG60" s="81"/>
      <c r="JH60" s="81"/>
      <c r="JI60" s="81"/>
      <c r="JJ60" s="80"/>
      <c r="JK60" s="91" t="s">
        <v>39</v>
      </c>
      <c r="JL60" s="65"/>
      <c r="JM60" s="66"/>
      <c r="JN60" s="92"/>
      <c r="JO60" s="85"/>
      <c r="JP60" s="85"/>
      <c r="JQ60" s="85"/>
      <c r="JR60" s="85"/>
      <c r="JS60" s="85"/>
      <c r="JT60" s="85"/>
      <c r="JU60" s="85"/>
      <c r="JV60" s="85"/>
      <c r="JW60" s="85"/>
      <c r="JX60" s="85"/>
      <c r="JY60" s="85"/>
      <c r="JZ60" s="85"/>
      <c r="KA60" s="85"/>
      <c r="KB60" s="85"/>
      <c r="KC60" s="85"/>
      <c r="KD60" s="85"/>
      <c r="KE60" s="85"/>
      <c r="KF60" s="85"/>
      <c r="KG60" s="85"/>
      <c r="KH60" s="85"/>
      <c r="KI60" s="85"/>
      <c r="KJ60" s="85"/>
      <c r="KK60" s="85"/>
      <c r="KL60" s="85"/>
      <c r="KM60" s="85"/>
      <c r="KN60" s="85"/>
      <c r="KO60" s="85"/>
      <c r="KP60" s="85"/>
      <c r="KQ60" s="85"/>
      <c r="KR60" s="95"/>
      <c r="KS60" s="78"/>
      <c r="KT60" s="81"/>
      <c r="KU60" s="94">
        <f>SUM(JN60:KQ60)</f>
        <v>0</v>
      </c>
      <c r="KV60" s="78"/>
      <c r="KW60" s="81"/>
      <c r="KX60" s="81"/>
      <c r="KY60" s="81"/>
      <c r="KZ60" s="81"/>
      <c r="LA60" s="81"/>
      <c r="LB60" s="81"/>
      <c r="LC60" s="80"/>
      <c r="LD60" s="91" t="s">
        <v>39</v>
      </c>
      <c r="LE60" s="65"/>
      <c r="LF60" s="66"/>
      <c r="LG60" s="92"/>
      <c r="LH60" s="85"/>
      <c r="LI60" s="85"/>
      <c r="LJ60" s="85"/>
      <c r="LK60" s="85"/>
      <c r="LL60" s="85"/>
      <c r="LM60" s="85"/>
      <c r="LN60" s="85"/>
      <c r="LO60" s="85"/>
      <c r="LP60" s="85"/>
      <c r="LQ60" s="85"/>
      <c r="LR60" s="85"/>
      <c r="LS60" s="85"/>
      <c r="LT60" s="85"/>
      <c r="LU60" s="85"/>
      <c r="LV60" s="85"/>
      <c r="LW60" s="85"/>
      <c r="LX60" s="85"/>
      <c r="LY60" s="85"/>
      <c r="LZ60" s="85"/>
      <c r="MA60" s="85"/>
      <c r="MB60" s="85"/>
      <c r="MC60" s="85"/>
      <c r="MD60" s="85"/>
      <c r="ME60" s="85"/>
      <c r="MF60" s="85"/>
      <c r="MG60" s="85"/>
      <c r="MH60" s="85"/>
      <c r="MI60" s="85"/>
      <c r="MJ60" s="85"/>
      <c r="MK60" s="95"/>
      <c r="ML60" s="78"/>
      <c r="MM60" s="81"/>
      <c r="MN60" s="94">
        <f>SUM(LG60:MJ60)</f>
        <v>0</v>
      </c>
      <c r="MO60" s="78"/>
      <c r="MP60" s="81"/>
      <c r="MQ60" s="81"/>
      <c r="MR60" s="81"/>
      <c r="MS60" s="81"/>
      <c r="MT60" s="81"/>
      <c r="MU60" s="81"/>
      <c r="MV60" s="82"/>
      <c r="MW60" s="91" t="s">
        <v>39</v>
      </c>
      <c r="MX60" s="65"/>
      <c r="MY60" s="66"/>
      <c r="MZ60" s="92"/>
      <c r="NA60" s="85"/>
      <c r="NB60" s="85"/>
      <c r="NC60" s="85"/>
      <c r="ND60" s="85"/>
      <c r="NE60" s="85"/>
      <c r="NF60" s="85"/>
      <c r="NG60" s="85"/>
      <c r="NH60" s="85"/>
      <c r="NI60" s="85"/>
      <c r="NJ60" s="85"/>
      <c r="NK60" s="85"/>
      <c r="NL60" s="85"/>
      <c r="NM60" s="85"/>
      <c r="NN60" s="85"/>
      <c r="NO60" s="85"/>
      <c r="NP60" s="85"/>
      <c r="NQ60" s="85"/>
      <c r="NR60" s="85"/>
      <c r="NS60" s="85"/>
      <c r="NT60" s="85"/>
      <c r="NU60" s="85"/>
      <c r="NV60" s="85"/>
      <c r="NW60" s="85"/>
      <c r="NX60" s="85"/>
      <c r="NY60" s="85"/>
      <c r="NZ60" s="85"/>
      <c r="OA60" s="85"/>
      <c r="OB60" s="85"/>
      <c r="OC60" s="85"/>
      <c r="OD60" s="95"/>
      <c r="OE60" s="78"/>
      <c r="OF60" s="81"/>
      <c r="OG60" s="94">
        <f>SUM(MZ60:OC60)</f>
        <v>0</v>
      </c>
      <c r="OH60" s="78"/>
      <c r="OI60" s="81"/>
      <c r="OJ60" s="81"/>
      <c r="OK60" s="81"/>
      <c r="OL60" s="81"/>
      <c r="OM60" s="81"/>
      <c r="ON60" s="81"/>
      <c r="OO60" s="82"/>
      <c r="OP60" s="91" t="s">
        <v>39</v>
      </c>
      <c r="OQ60" s="65"/>
      <c r="OR60" s="66"/>
      <c r="OS60" s="92"/>
      <c r="OT60" s="85"/>
      <c r="OU60" s="85"/>
      <c r="OV60" s="85"/>
      <c r="OW60" s="85"/>
      <c r="OX60" s="85"/>
      <c r="OY60" s="85"/>
      <c r="OZ60" s="85"/>
      <c r="PA60" s="85"/>
      <c r="PB60" s="85"/>
      <c r="PC60" s="85"/>
      <c r="PD60" s="85"/>
      <c r="PE60" s="85"/>
      <c r="PF60" s="85"/>
      <c r="PG60" s="85"/>
      <c r="PH60" s="85"/>
      <c r="PI60" s="85"/>
      <c r="PJ60" s="85"/>
      <c r="PK60" s="85"/>
      <c r="PL60" s="85"/>
      <c r="PM60" s="85"/>
      <c r="PN60" s="85"/>
      <c r="PO60" s="85"/>
      <c r="PP60" s="85"/>
      <c r="PQ60" s="85"/>
      <c r="PR60" s="85"/>
      <c r="PS60" s="85"/>
      <c r="PT60" s="85"/>
      <c r="PU60" s="85"/>
      <c r="PV60" s="85"/>
      <c r="PW60" s="95"/>
      <c r="PX60" s="78"/>
      <c r="PY60" s="81"/>
      <c r="PZ60" s="94">
        <f>SUM(OS60:PV60)</f>
        <v>0</v>
      </c>
      <c r="QA60" s="78"/>
      <c r="QB60" s="81"/>
      <c r="QC60" s="81"/>
      <c r="QD60" s="81"/>
      <c r="QE60" s="81"/>
      <c r="QF60" s="81"/>
      <c r="QG60" s="81"/>
      <c r="QH60" s="82"/>
      <c r="QI60" s="91" t="s">
        <v>39</v>
      </c>
      <c r="QJ60" s="65"/>
      <c r="QK60" s="66"/>
      <c r="QL60" s="92"/>
      <c r="QM60" s="85"/>
      <c r="QN60" s="85"/>
      <c r="QO60" s="85"/>
      <c r="QP60" s="85"/>
      <c r="QQ60" s="85"/>
      <c r="QR60" s="85"/>
      <c r="QS60" s="85"/>
      <c r="QT60" s="85"/>
      <c r="QU60" s="85"/>
      <c r="QV60" s="85"/>
      <c r="QW60" s="85"/>
      <c r="QX60" s="85"/>
      <c r="QY60" s="85"/>
      <c r="QZ60" s="85"/>
      <c r="RA60" s="85"/>
      <c r="RB60" s="85"/>
      <c r="RC60" s="85"/>
      <c r="RD60" s="85"/>
      <c r="RE60" s="85"/>
      <c r="RF60" s="85"/>
      <c r="RG60" s="85"/>
      <c r="RH60" s="85"/>
      <c r="RI60" s="85"/>
      <c r="RJ60" s="85"/>
      <c r="RK60" s="85"/>
      <c r="RL60" s="85"/>
      <c r="RM60" s="85"/>
      <c r="RN60" s="85"/>
      <c r="RO60" s="85"/>
      <c r="RP60" s="95"/>
      <c r="RQ60" s="78"/>
      <c r="RR60" s="81"/>
      <c r="RS60" s="94">
        <f>SUM(QL60:RO60)</f>
        <v>0</v>
      </c>
      <c r="RT60" s="78"/>
      <c r="RU60" s="81"/>
      <c r="RV60" s="81"/>
      <c r="RW60" s="81"/>
      <c r="RX60" s="81"/>
      <c r="RY60" s="81"/>
      <c r="RZ60" s="81"/>
      <c r="SA60" s="82"/>
      <c r="SB60" s="91" t="s">
        <v>39</v>
      </c>
      <c r="SC60" s="65"/>
      <c r="SD60" s="66"/>
      <c r="SE60" s="92"/>
      <c r="SF60" s="85"/>
      <c r="SG60" s="85"/>
      <c r="SH60" s="85"/>
      <c r="SI60" s="85"/>
      <c r="SJ60" s="85"/>
      <c r="SK60" s="85"/>
      <c r="SL60" s="85"/>
      <c r="SM60" s="85"/>
      <c r="SN60" s="85"/>
      <c r="SO60" s="85"/>
      <c r="SP60" s="85"/>
      <c r="SQ60" s="85"/>
      <c r="SR60" s="85"/>
      <c r="SS60" s="85"/>
      <c r="ST60" s="85"/>
      <c r="SU60" s="85"/>
      <c r="SV60" s="85"/>
      <c r="SW60" s="85"/>
      <c r="SX60" s="85"/>
      <c r="SY60" s="85"/>
      <c r="SZ60" s="85"/>
      <c r="TA60" s="85"/>
      <c r="TB60" s="85"/>
      <c r="TC60" s="85"/>
      <c r="TD60" s="85"/>
      <c r="TE60" s="85"/>
      <c r="TF60" s="85"/>
      <c r="TG60" s="85"/>
      <c r="TH60" s="85"/>
      <c r="TI60" s="95"/>
      <c r="TJ60" s="78"/>
      <c r="TK60" s="81"/>
      <c r="TL60" s="94">
        <f>SUM(SE60:TH60)</f>
        <v>0</v>
      </c>
      <c r="TM60" s="78"/>
      <c r="TN60" s="81"/>
      <c r="TO60" s="81"/>
      <c r="TP60" s="81"/>
      <c r="TQ60" s="81"/>
      <c r="TR60" s="81"/>
      <c r="TS60" s="81"/>
      <c r="TT60" s="80"/>
    </row>
    <row r="61" ht="24.75" hidden="1" customHeight="1" outlineLevel="1">
      <c r="A61" s="96"/>
      <c r="B61" s="97"/>
      <c r="C61" s="98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93"/>
      <c r="AI61" s="78"/>
      <c r="AJ61" s="81"/>
      <c r="AK61" s="80"/>
      <c r="AL61" s="78"/>
      <c r="AM61" s="81"/>
      <c r="AN61" s="81"/>
      <c r="AO61" s="81"/>
      <c r="AP61" s="81"/>
      <c r="AQ61" s="81"/>
      <c r="AR61" s="81"/>
      <c r="AS61" s="82"/>
      <c r="AT61" s="96"/>
      <c r="AU61" s="97"/>
      <c r="AV61" s="98"/>
      <c r="AW61" s="92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95"/>
      <c r="CB61" s="78"/>
      <c r="CC61" s="81"/>
      <c r="CD61" s="80"/>
      <c r="CE61" s="78"/>
      <c r="CF61" s="81"/>
      <c r="CG61" s="81"/>
      <c r="CH61" s="81"/>
      <c r="CI61" s="81"/>
      <c r="CJ61" s="81"/>
      <c r="CK61" s="81"/>
      <c r="CL61" s="82"/>
      <c r="CM61" s="96"/>
      <c r="CN61" s="97"/>
      <c r="CO61" s="98"/>
      <c r="CP61" s="92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95"/>
      <c r="DU61" s="78"/>
      <c r="DV61" s="81"/>
      <c r="DW61" s="80"/>
      <c r="DX61" s="78"/>
      <c r="DY61" s="81"/>
      <c r="DZ61" s="81"/>
      <c r="EA61" s="81"/>
      <c r="EB61" s="81"/>
      <c r="EC61" s="81"/>
      <c r="ED61" s="81"/>
      <c r="EE61" s="80"/>
      <c r="EF61" s="96"/>
      <c r="EG61" s="97"/>
      <c r="EH61" s="98"/>
      <c r="EI61" s="92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95"/>
      <c r="FN61" s="78"/>
      <c r="FO61" s="81"/>
      <c r="FP61" s="80"/>
      <c r="FQ61" s="78"/>
      <c r="FR61" s="81"/>
      <c r="FS61" s="81"/>
      <c r="FT61" s="81"/>
      <c r="FU61" s="81"/>
      <c r="FV61" s="81"/>
      <c r="FW61" s="81"/>
      <c r="FX61" s="80"/>
      <c r="FY61" s="96"/>
      <c r="FZ61" s="97"/>
      <c r="GA61" s="98"/>
      <c r="GB61" s="92"/>
      <c r="GC61" s="85"/>
      <c r="GD61" s="85"/>
      <c r="GE61" s="85"/>
      <c r="GF61" s="85"/>
      <c r="GG61" s="85"/>
      <c r="GH61" s="85"/>
      <c r="GI61" s="85"/>
      <c r="GJ61" s="85"/>
      <c r="GK61" s="85"/>
      <c r="GL61" s="85"/>
      <c r="GM61" s="85"/>
      <c r="GN61" s="85"/>
      <c r="GO61" s="85"/>
      <c r="GP61" s="85"/>
      <c r="GQ61" s="85"/>
      <c r="GR61" s="85"/>
      <c r="GS61" s="85"/>
      <c r="GT61" s="85"/>
      <c r="GU61" s="85"/>
      <c r="GV61" s="85"/>
      <c r="GW61" s="85"/>
      <c r="GX61" s="85"/>
      <c r="GY61" s="85"/>
      <c r="GZ61" s="85"/>
      <c r="HA61" s="85"/>
      <c r="HB61" s="85"/>
      <c r="HC61" s="85"/>
      <c r="HD61" s="85"/>
      <c r="HE61" s="85"/>
      <c r="HF61" s="95"/>
      <c r="HG61" s="78"/>
      <c r="HH61" s="81"/>
      <c r="HI61" s="80"/>
      <c r="HJ61" s="78"/>
      <c r="HK61" s="81"/>
      <c r="HL61" s="81"/>
      <c r="HM61" s="81"/>
      <c r="HN61" s="81"/>
      <c r="HO61" s="81"/>
      <c r="HP61" s="81"/>
      <c r="HQ61" s="80"/>
      <c r="HR61" s="96"/>
      <c r="HS61" s="97"/>
      <c r="HT61" s="98"/>
      <c r="HU61" s="92"/>
      <c r="HV61" s="85"/>
      <c r="HW61" s="85"/>
      <c r="HX61" s="85"/>
      <c r="HY61" s="85"/>
      <c r="HZ61" s="85"/>
      <c r="IA61" s="85"/>
      <c r="IB61" s="85"/>
      <c r="IC61" s="85"/>
      <c r="ID61" s="85"/>
      <c r="IE61" s="85"/>
      <c r="IF61" s="85"/>
      <c r="IG61" s="85"/>
      <c r="IH61" s="85"/>
      <c r="II61" s="85"/>
      <c r="IJ61" s="85"/>
      <c r="IK61" s="85"/>
      <c r="IL61" s="85"/>
      <c r="IM61" s="85"/>
      <c r="IN61" s="85"/>
      <c r="IO61" s="85"/>
      <c r="IP61" s="85"/>
      <c r="IQ61" s="85"/>
      <c r="IR61" s="85"/>
      <c r="IS61" s="85"/>
      <c r="IT61" s="85"/>
      <c r="IU61" s="85"/>
      <c r="IV61" s="85"/>
      <c r="IW61" s="85"/>
      <c r="IX61" s="85"/>
      <c r="IY61" s="95"/>
      <c r="IZ61" s="78"/>
      <c r="JA61" s="81"/>
      <c r="JB61" s="80"/>
      <c r="JC61" s="78"/>
      <c r="JD61" s="81"/>
      <c r="JE61" s="81"/>
      <c r="JF61" s="81"/>
      <c r="JG61" s="81"/>
      <c r="JH61" s="81"/>
      <c r="JI61" s="81"/>
      <c r="JJ61" s="80"/>
      <c r="JK61" s="96"/>
      <c r="JL61" s="97"/>
      <c r="JM61" s="98"/>
      <c r="JN61" s="92"/>
      <c r="JO61" s="85"/>
      <c r="JP61" s="85"/>
      <c r="JQ61" s="85"/>
      <c r="JR61" s="85"/>
      <c r="JS61" s="85"/>
      <c r="JT61" s="85"/>
      <c r="JU61" s="85"/>
      <c r="JV61" s="85"/>
      <c r="JW61" s="85"/>
      <c r="JX61" s="85"/>
      <c r="JY61" s="85"/>
      <c r="JZ61" s="85"/>
      <c r="KA61" s="85"/>
      <c r="KB61" s="85"/>
      <c r="KC61" s="85"/>
      <c r="KD61" s="85"/>
      <c r="KE61" s="85"/>
      <c r="KF61" s="85"/>
      <c r="KG61" s="85"/>
      <c r="KH61" s="85"/>
      <c r="KI61" s="85"/>
      <c r="KJ61" s="85"/>
      <c r="KK61" s="85"/>
      <c r="KL61" s="85"/>
      <c r="KM61" s="85"/>
      <c r="KN61" s="85"/>
      <c r="KO61" s="85"/>
      <c r="KP61" s="85"/>
      <c r="KQ61" s="85"/>
      <c r="KR61" s="95"/>
      <c r="KS61" s="78"/>
      <c r="KT61" s="81"/>
      <c r="KU61" s="80"/>
      <c r="KV61" s="78"/>
      <c r="KW61" s="81"/>
      <c r="KX61" s="81"/>
      <c r="KY61" s="81"/>
      <c r="KZ61" s="81"/>
      <c r="LA61" s="81"/>
      <c r="LB61" s="81"/>
      <c r="LC61" s="80"/>
      <c r="LD61" s="96"/>
      <c r="LE61" s="97"/>
      <c r="LF61" s="98"/>
      <c r="LG61" s="92"/>
      <c r="LH61" s="85"/>
      <c r="LI61" s="85"/>
      <c r="LJ61" s="85"/>
      <c r="LK61" s="85"/>
      <c r="LL61" s="85"/>
      <c r="LM61" s="85"/>
      <c r="LN61" s="85"/>
      <c r="LO61" s="85"/>
      <c r="LP61" s="85"/>
      <c r="LQ61" s="85"/>
      <c r="LR61" s="85"/>
      <c r="LS61" s="85"/>
      <c r="LT61" s="85"/>
      <c r="LU61" s="85"/>
      <c r="LV61" s="85"/>
      <c r="LW61" s="85"/>
      <c r="LX61" s="85"/>
      <c r="LY61" s="85"/>
      <c r="LZ61" s="85"/>
      <c r="MA61" s="85"/>
      <c r="MB61" s="85"/>
      <c r="MC61" s="85"/>
      <c r="MD61" s="85"/>
      <c r="ME61" s="85"/>
      <c r="MF61" s="85"/>
      <c r="MG61" s="85"/>
      <c r="MH61" s="85"/>
      <c r="MI61" s="85"/>
      <c r="MJ61" s="85"/>
      <c r="MK61" s="95"/>
      <c r="ML61" s="78"/>
      <c r="MM61" s="81"/>
      <c r="MN61" s="80"/>
      <c r="MO61" s="78"/>
      <c r="MP61" s="81"/>
      <c r="MQ61" s="81"/>
      <c r="MR61" s="81"/>
      <c r="MS61" s="81"/>
      <c r="MT61" s="81"/>
      <c r="MU61" s="81"/>
      <c r="MV61" s="80"/>
      <c r="MW61" s="96"/>
      <c r="MX61" s="97"/>
      <c r="MY61" s="98"/>
      <c r="MZ61" s="92"/>
      <c r="NA61" s="85"/>
      <c r="NB61" s="85"/>
      <c r="NC61" s="85"/>
      <c r="ND61" s="85"/>
      <c r="NE61" s="85"/>
      <c r="NF61" s="85"/>
      <c r="NG61" s="85"/>
      <c r="NH61" s="85"/>
      <c r="NI61" s="85"/>
      <c r="NJ61" s="85"/>
      <c r="NK61" s="85"/>
      <c r="NL61" s="85"/>
      <c r="NM61" s="85"/>
      <c r="NN61" s="85"/>
      <c r="NO61" s="85"/>
      <c r="NP61" s="85"/>
      <c r="NQ61" s="85"/>
      <c r="NR61" s="85"/>
      <c r="NS61" s="85"/>
      <c r="NT61" s="85"/>
      <c r="NU61" s="85"/>
      <c r="NV61" s="85"/>
      <c r="NW61" s="85"/>
      <c r="NX61" s="85"/>
      <c r="NY61" s="85"/>
      <c r="NZ61" s="85"/>
      <c r="OA61" s="85"/>
      <c r="OB61" s="85"/>
      <c r="OC61" s="85"/>
      <c r="OD61" s="95"/>
      <c r="OE61" s="78"/>
      <c r="OF61" s="81"/>
      <c r="OG61" s="80"/>
      <c r="OH61" s="78"/>
      <c r="OI61" s="81"/>
      <c r="OJ61" s="81"/>
      <c r="OK61" s="81"/>
      <c r="OL61" s="81"/>
      <c r="OM61" s="81"/>
      <c r="ON61" s="81"/>
      <c r="OO61" s="80"/>
      <c r="OP61" s="96"/>
      <c r="OQ61" s="97"/>
      <c r="OR61" s="98"/>
      <c r="OS61" s="92"/>
      <c r="OT61" s="85"/>
      <c r="OU61" s="85"/>
      <c r="OV61" s="85"/>
      <c r="OW61" s="85"/>
      <c r="OX61" s="85"/>
      <c r="OY61" s="85"/>
      <c r="OZ61" s="85"/>
      <c r="PA61" s="85"/>
      <c r="PB61" s="85"/>
      <c r="PC61" s="85"/>
      <c r="PD61" s="85"/>
      <c r="PE61" s="85"/>
      <c r="PF61" s="85"/>
      <c r="PG61" s="85"/>
      <c r="PH61" s="85"/>
      <c r="PI61" s="85"/>
      <c r="PJ61" s="85"/>
      <c r="PK61" s="85"/>
      <c r="PL61" s="85"/>
      <c r="PM61" s="85"/>
      <c r="PN61" s="85"/>
      <c r="PO61" s="85"/>
      <c r="PP61" s="85"/>
      <c r="PQ61" s="85"/>
      <c r="PR61" s="85"/>
      <c r="PS61" s="85"/>
      <c r="PT61" s="85"/>
      <c r="PU61" s="85"/>
      <c r="PV61" s="85"/>
      <c r="PW61" s="95"/>
      <c r="PX61" s="78"/>
      <c r="PY61" s="81"/>
      <c r="PZ61" s="80"/>
      <c r="QA61" s="78"/>
      <c r="QB61" s="81"/>
      <c r="QC61" s="81"/>
      <c r="QD61" s="81"/>
      <c r="QE61" s="81"/>
      <c r="QF61" s="81"/>
      <c r="QG61" s="81"/>
      <c r="QH61" s="80"/>
      <c r="QI61" s="96"/>
      <c r="QJ61" s="97"/>
      <c r="QK61" s="98"/>
      <c r="QL61" s="92"/>
      <c r="QM61" s="85"/>
      <c r="QN61" s="85"/>
      <c r="QO61" s="85"/>
      <c r="QP61" s="85"/>
      <c r="QQ61" s="85"/>
      <c r="QR61" s="85"/>
      <c r="QS61" s="85"/>
      <c r="QT61" s="85"/>
      <c r="QU61" s="85"/>
      <c r="QV61" s="85"/>
      <c r="QW61" s="85"/>
      <c r="QX61" s="85"/>
      <c r="QY61" s="85"/>
      <c r="QZ61" s="85"/>
      <c r="RA61" s="85"/>
      <c r="RB61" s="85"/>
      <c r="RC61" s="85"/>
      <c r="RD61" s="85"/>
      <c r="RE61" s="85"/>
      <c r="RF61" s="85"/>
      <c r="RG61" s="85"/>
      <c r="RH61" s="85"/>
      <c r="RI61" s="85"/>
      <c r="RJ61" s="85"/>
      <c r="RK61" s="85"/>
      <c r="RL61" s="85"/>
      <c r="RM61" s="85"/>
      <c r="RN61" s="85"/>
      <c r="RO61" s="85"/>
      <c r="RP61" s="95"/>
      <c r="RQ61" s="78"/>
      <c r="RR61" s="81"/>
      <c r="RS61" s="80"/>
      <c r="RT61" s="78"/>
      <c r="RU61" s="81"/>
      <c r="RV61" s="81"/>
      <c r="RW61" s="81"/>
      <c r="RX61" s="81"/>
      <c r="RY61" s="81"/>
      <c r="RZ61" s="81"/>
      <c r="SA61" s="80"/>
      <c r="SB61" s="96"/>
      <c r="SC61" s="97"/>
      <c r="SD61" s="98"/>
      <c r="SE61" s="92"/>
      <c r="SF61" s="85"/>
      <c r="SG61" s="85"/>
      <c r="SH61" s="85"/>
      <c r="SI61" s="85"/>
      <c r="SJ61" s="85"/>
      <c r="SK61" s="85"/>
      <c r="SL61" s="85"/>
      <c r="SM61" s="85"/>
      <c r="SN61" s="85"/>
      <c r="SO61" s="85"/>
      <c r="SP61" s="85"/>
      <c r="SQ61" s="85"/>
      <c r="SR61" s="85"/>
      <c r="SS61" s="85"/>
      <c r="ST61" s="85"/>
      <c r="SU61" s="85"/>
      <c r="SV61" s="85"/>
      <c r="SW61" s="85"/>
      <c r="SX61" s="85"/>
      <c r="SY61" s="85"/>
      <c r="SZ61" s="85"/>
      <c r="TA61" s="85"/>
      <c r="TB61" s="85"/>
      <c r="TC61" s="85"/>
      <c r="TD61" s="85"/>
      <c r="TE61" s="85"/>
      <c r="TF61" s="85"/>
      <c r="TG61" s="85"/>
      <c r="TH61" s="85"/>
      <c r="TI61" s="95"/>
      <c r="TJ61" s="78"/>
      <c r="TK61" s="81"/>
      <c r="TL61" s="80"/>
      <c r="TM61" s="78"/>
      <c r="TN61" s="81"/>
      <c r="TO61" s="81"/>
      <c r="TP61" s="81"/>
      <c r="TQ61" s="81"/>
      <c r="TR61" s="81"/>
      <c r="TS61" s="81"/>
      <c r="TT61" s="80"/>
    </row>
    <row r="62" ht="24.75" hidden="1" customHeight="1" outlineLevel="1">
      <c r="A62" s="100" t="s">
        <v>27</v>
      </c>
      <c r="B62" s="101"/>
      <c r="C62" s="102"/>
      <c r="D62" s="103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4"/>
      <c r="AH62" s="105"/>
      <c r="AI62" s="103"/>
      <c r="AJ62" s="101"/>
      <c r="AK62" s="102"/>
      <c r="AL62" s="103"/>
      <c r="AM62" s="101"/>
      <c r="AN62" s="101"/>
      <c r="AO62" s="101"/>
      <c r="AP62" s="101"/>
      <c r="AQ62" s="101"/>
      <c r="AR62" s="101"/>
      <c r="AS62" s="102"/>
      <c r="AT62" s="100" t="s">
        <v>27</v>
      </c>
      <c r="AU62" s="101"/>
      <c r="AV62" s="102"/>
      <c r="AW62" s="103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4"/>
      <c r="CA62" s="106"/>
      <c r="CB62" s="103"/>
      <c r="CC62" s="101"/>
      <c r="CD62" s="102"/>
      <c r="CE62" s="103"/>
      <c r="CF62" s="101"/>
      <c r="CG62" s="101"/>
      <c r="CH62" s="101"/>
      <c r="CI62" s="101"/>
      <c r="CJ62" s="101"/>
      <c r="CK62" s="101"/>
      <c r="CL62" s="102"/>
      <c r="CM62" s="100" t="s">
        <v>27</v>
      </c>
      <c r="CN62" s="101"/>
      <c r="CO62" s="102"/>
      <c r="CP62" s="103"/>
      <c r="CQ62" s="101"/>
      <c r="CR62" s="101"/>
      <c r="CS62" s="101"/>
      <c r="CT62" s="101"/>
      <c r="CU62" s="101"/>
      <c r="CV62" s="101"/>
      <c r="CW62" s="101"/>
      <c r="CX62" s="101"/>
      <c r="CY62" s="101"/>
      <c r="CZ62" s="101"/>
      <c r="DA62" s="101"/>
      <c r="DB62" s="101"/>
      <c r="DC62" s="101"/>
      <c r="DD62" s="101"/>
      <c r="DE62" s="101"/>
      <c r="DF62" s="101"/>
      <c r="DG62" s="101"/>
      <c r="DH62" s="101"/>
      <c r="DI62" s="101"/>
      <c r="DJ62" s="101"/>
      <c r="DK62" s="101"/>
      <c r="DL62" s="101"/>
      <c r="DM62" s="101"/>
      <c r="DN62" s="101"/>
      <c r="DO62" s="101"/>
      <c r="DP62" s="101"/>
      <c r="DQ62" s="101"/>
      <c r="DR62" s="101"/>
      <c r="DS62" s="104"/>
      <c r="DT62" s="106"/>
      <c r="DU62" s="103"/>
      <c r="DV62" s="101"/>
      <c r="DW62" s="102"/>
      <c r="DX62" s="103"/>
      <c r="DY62" s="101"/>
      <c r="DZ62" s="101"/>
      <c r="EA62" s="101"/>
      <c r="EB62" s="101"/>
      <c r="EC62" s="101"/>
      <c r="ED62" s="101"/>
      <c r="EE62" s="102"/>
      <c r="EF62" s="100" t="s">
        <v>27</v>
      </c>
      <c r="EG62" s="101"/>
      <c r="EH62" s="102"/>
      <c r="EI62" s="103"/>
      <c r="EJ62" s="101"/>
      <c r="EK62" s="101"/>
      <c r="EL62" s="101"/>
      <c r="EM62" s="101"/>
      <c r="EN62" s="101"/>
      <c r="EO62" s="101"/>
      <c r="EP62" s="101"/>
      <c r="EQ62" s="101"/>
      <c r="ER62" s="101"/>
      <c r="ES62" s="101"/>
      <c r="ET62" s="101"/>
      <c r="EU62" s="101"/>
      <c r="EV62" s="101"/>
      <c r="EW62" s="101"/>
      <c r="EX62" s="101"/>
      <c r="EY62" s="101"/>
      <c r="EZ62" s="101"/>
      <c r="FA62" s="101"/>
      <c r="FB62" s="101"/>
      <c r="FC62" s="101"/>
      <c r="FD62" s="101"/>
      <c r="FE62" s="101"/>
      <c r="FF62" s="101"/>
      <c r="FG62" s="101"/>
      <c r="FH62" s="101"/>
      <c r="FI62" s="101"/>
      <c r="FJ62" s="101"/>
      <c r="FK62" s="101"/>
      <c r="FL62" s="104"/>
      <c r="FM62" s="106"/>
      <c r="FN62" s="103"/>
      <c r="FO62" s="101"/>
      <c r="FP62" s="102"/>
      <c r="FQ62" s="103"/>
      <c r="FR62" s="101"/>
      <c r="FS62" s="101"/>
      <c r="FT62" s="101"/>
      <c r="FU62" s="101"/>
      <c r="FV62" s="101"/>
      <c r="FW62" s="101"/>
      <c r="FX62" s="102"/>
      <c r="FY62" s="100" t="s">
        <v>27</v>
      </c>
      <c r="FZ62" s="101"/>
      <c r="GA62" s="102"/>
      <c r="GB62" s="103"/>
      <c r="GC62" s="101"/>
      <c r="GD62" s="101"/>
      <c r="GE62" s="101"/>
      <c r="GF62" s="101"/>
      <c r="GG62" s="101"/>
      <c r="GH62" s="101"/>
      <c r="GI62" s="101"/>
      <c r="GJ62" s="101"/>
      <c r="GK62" s="101"/>
      <c r="GL62" s="101"/>
      <c r="GM62" s="101"/>
      <c r="GN62" s="101"/>
      <c r="GO62" s="101"/>
      <c r="GP62" s="101"/>
      <c r="GQ62" s="101"/>
      <c r="GR62" s="101"/>
      <c r="GS62" s="101"/>
      <c r="GT62" s="101"/>
      <c r="GU62" s="101"/>
      <c r="GV62" s="101"/>
      <c r="GW62" s="101"/>
      <c r="GX62" s="101"/>
      <c r="GY62" s="101"/>
      <c r="GZ62" s="101"/>
      <c r="HA62" s="101"/>
      <c r="HB62" s="101"/>
      <c r="HC62" s="101"/>
      <c r="HD62" s="101"/>
      <c r="HE62" s="104"/>
      <c r="HF62" s="106"/>
      <c r="HG62" s="103"/>
      <c r="HH62" s="101"/>
      <c r="HI62" s="102"/>
      <c r="HJ62" s="103"/>
      <c r="HK62" s="101"/>
      <c r="HL62" s="101"/>
      <c r="HM62" s="101"/>
      <c r="HN62" s="101"/>
      <c r="HO62" s="101"/>
      <c r="HP62" s="101"/>
      <c r="HQ62" s="102"/>
      <c r="HR62" s="100" t="s">
        <v>27</v>
      </c>
      <c r="HS62" s="101"/>
      <c r="HT62" s="102"/>
      <c r="HU62" s="103"/>
      <c r="HV62" s="101"/>
      <c r="HW62" s="101"/>
      <c r="HX62" s="101"/>
      <c r="HY62" s="101"/>
      <c r="HZ62" s="101"/>
      <c r="IA62" s="101"/>
      <c r="IB62" s="101"/>
      <c r="IC62" s="101"/>
      <c r="ID62" s="101"/>
      <c r="IE62" s="101"/>
      <c r="IF62" s="101"/>
      <c r="IG62" s="101"/>
      <c r="IH62" s="101"/>
      <c r="II62" s="101"/>
      <c r="IJ62" s="101"/>
      <c r="IK62" s="101"/>
      <c r="IL62" s="101"/>
      <c r="IM62" s="101"/>
      <c r="IN62" s="101"/>
      <c r="IO62" s="101"/>
      <c r="IP62" s="101"/>
      <c r="IQ62" s="101"/>
      <c r="IR62" s="101"/>
      <c r="IS62" s="101"/>
      <c r="IT62" s="101"/>
      <c r="IU62" s="101"/>
      <c r="IV62" s="101"/>
      <c r="IW62" s="101"/>
      <c r="IX62" s="104"/>
      <c r="IY62" s="106"/>
      <c r="IZ62" s="103"/>
      <c r="JA62" s="101"/>
      <c r="JB62" s="102"/>
      <c r="JC62" s="103"/>
      <c r="JD62" s="101"/>
      <c r="JE62" s="101"/>
      <c r="JF62" s="101"/>
      <c r="JG62" s="101"/>
      <c r="JH62" s="101"/>
      <c r="JI62" s="101"/>
      <c r="JJ62" s="102"/>
      <c r="JK62" s="100" t="s">
        <v>27</v>
      </c>
      <c r="JL62" s="101"/>
      <c r="JM62" s="102"/>
      <c r="JN62" s="103"/>
      <c r="JO62" s="101"/>
      <c r="JP62" s="101"/>
      <c r="JQ62" s="101"/>
      <c r="JR62" s="101"/>
      <c r="JS62" s="101"/>
      <c r="JT62" s="101"/>
      <c r="JU62" s="101"/>
      <c r="JV62" s="101"/>
      <c r="JW62" s="101"/>
      <c r="JX62" s="101"/>
      <c r="JY62" s="101"/>
      <c r="JZ62" s="101"/>
      <c r="KA62" s="101"/>
      <c r="KB62" s="101"/>
      <c r="KC62" s="101"/>
      <c r="KD62" s="101"/>
      <c r="KE62" s="101"/>
      <c r="KF62" s="101"/>
      <c r="KG62" s="101"/>
      <c r="KH62" s="101"/>
      <c r="KI62" s="101"/>
      <c r="KJ62" s="101"/>
      <c r="KK62" s="101"/>
      <c r="KL62" s="101"/>
      <c r="KM62" s="101"/>
      <c r="KN62" s="101"/>
      <c r="KO62" s="101"/>
      <c r="KP62" s="101"/>
      <c r="KQ62" s="104"/>
      <c r="KR62" s="106"/>
      <c r="KS62" s="103"/>
      <c r="KT62" s="101"/>
      <c r="KU62" s="102"/>
      <c r="KV62" s="103"/>
      <c r="KW62" s="101"/>
      <c r="KX62" s="101"/>
      <c r="KY62" s="101"/>
      <c r="KZ62" s="101"/>
      <c r="LA62" s="101"/>
      <c r="LB62" s="101"/>
      <c r="LC62" s="102"/>
      <c r="LD62" s="100" t="s">
        <v>27</v>
      </c>
      <c r="LE62" s="101"/>
      <c r="LF62" s="102"/>
      <c r="LG62" s="103"/>
      <c r="LH62" s="101"/>
      <c r="LI62" s="101"/>
      <c r="LJ62" s="101"/>
      <c r="LK62" s="101"/>
      <c r="LL62" s="101"/>
      <c r="LM62" s="101"/>
      <c r="LN62" s="101"/>
      <c r="LO62" s="101"/>
      <c r="LP62" s="101"/>
      <c r="LQ62" s="101"/>
      <c r="LR62" s="101"/>
      <c r="LS62" s="101"/>
      <c r="LT62" s="101"/>
      <c r="LU62" s="101"/>
      <c r="LV62" s="101"/>
      <c r="LW62" s="101"/>
      <c r="LX62" s="101"/>
      <c r="LY62" s="101"/>
      <c r="LZ62" s="101"/>
      <c r="MA62" s="101"/>
      <c r="MB62" s="101"/>
      <c r="MC62" s="101"/>
      <c r="MD62" s="101"/>
      <c r="ME62" s="101"/>
      <c r="MF62" s="101"/>
      <c r="MG62" s="101"/>
      <c r="MH62" s="101"/>
      <c r="MI62" s="101"/>
      <c r="MJ62" s="104"/>
      <c r="MK62" s="106"/>
      <c r="ML62" s="103"/>
      <c r="MM62" s="101"/>
      <c r="MN62" s="102"/>
      <c r="MO62" s="103"/>
      <c r="MP62" s="101"/>
      <c r="MQ62" s="101"/>
      <c r="MR62" s="101"/>
      <c r="MS62" s="101"/>
      <c r="MT62" s="101"/>
      <c r="MU62" s="101"/>
      <c r="MV62" s="102"/>
      <c r="MW62" s="100" t="s">
        <v>27</v>
      </c>
      <c r="MX62" s="101"/>
      <c r="MY62" s="102"/>
      <c r="MZ62" s="103"/>
      <c r="NA62" s="101"/>
      <c r="NB62" s="101"/>
      <c r="NC62" s="101"/>
      <c r="ND62" s="101"/>
      <c r="NE62" s="101"/>
      <c r="NF62" s="101"/>
      <c r="NG62" s="101"/>
      <c r="NH62" s="101"/>
      <c r="NI62" s="101"/>
      <c r="NJ62" s="101"/>
      <c r="NK62" s="101"/>
      <c r="NL62" s="101"/>
      <c r="NM62" s="101"/>
      <c r="NN62" s="101"/>
      <c r="NO62" s="101"/>
      <c r="NP62" s="101"/>
      <c r="NQ62" s="101"/>
      <c r="NR62" s="101"/>
      <c r="NS62" s="101"/>
      <c r="NT62" s="101"/>
      <c r="NU62" s="101"/>
      <c r="NV62" s="101"/>
      <c r="NW62" s="101"/>
      <c r="NX62" s="101"/>
      <c r="NY62" s="101"/>
      <c r="NZ62" s="101"/>
      <c r="OA62" s="101"/>
      <c r="OB62" s="101"/>
      <c r="OC62" s="104"/>
      <c r="OD62" s="106"/>
      <c r="OE62" s="103"/>
      <c r="OF62" s="101"/>
      <c r="OG62" s="102"/>
      <c r="OH62" s="103"/>
      <c r="OI62" s="101"/>
      <c r="OJ62" s="101"/>
      <c r="OK62" s="101"/>
      <c r="OL62" s="101"/>
      <c r="OM62" s="101"/>
      <c r="ON62" s="101"/>
      <c r="OO62" s="102"/>
      <c r="OP62" s="100" t="s">
        <v>27</v>
      </c>
      <c r="OQ62" s="101"/>
      <c r="OR62" s="102"/>
      <c r="OS62" s="103"/>
      <c r="OT62" s="101"/>
      <c r="OU62" s="101"/>
      <c r="OV62" s="101"/>
      <c r="OW62" s="101"/>
      <c r="OX62" s="101"/>
      <c r="OY62" s="101"/>
      <c r="OZ62" s="101"/>
      <c r="PA62" s="101"/>
      <c r="PB62" s="101"/>
      <c r="PC62" s="101"/>
      <c r="PD62" s="101"/>
      <c r="PE62" s="101"/>
      <c r="PF62" s="101"/>
      <c r="PG62" s="101"/>
      <c r="PH62" s="101"/>
      <c r="PI62" s="101"/>
      <c r="PJ62" s="101"/>
      <c r="PK62" s="101"/>
      <c r="PL62" s="101"/>
      <c r="PM62" s="101"/>
      <c r="PN62" s="101"/>
      <c r="PO62" s="101"/>
      <c r="PP62" s="101"/>
      <c r="PQ62" s="101"/>
      <c r="PR62" s="101"/>
      <c r="PS62" s="101"/>
      <c r="PT62" s="101"/>
      <c r="PU62" s="101"/>
      <c r="PV62" s="104"/>
      <c r="PW62" s="106"/>
      <c r="PX62" s="103"/>
      <c r="PY62" s="101"/>
      <c r="PZ62" s="102"/>
      <c r="QA62" s="103"/>
      <c r="QB62" s="101"/>
      <c r="QC62" s="101"/>
      <c r="QD62" s="101"/>
      <c r="QE62" s="101"/>
      <c r="QF62" s="101"/>
      <c r="QG62" s="101"/>
      <c r="QH62" s="102"/>
      <c r="QI62" s="100" t="s">
        <v>27</v>
      </c>
      <c r="QJ62" s="101"/>
      <c r="QK62" s="102"/>
      <c r="QL62" s="103"/>
      <c r="QM62" s="101"/>
      <c r="QN62" s="101"/>
      <c r="QO62" s="101"/>
      <c r="QP62" s="101"/>
      <c r="QQ62" s="101"/>
      <c r="QR62" s="101"/>
      <c r="QS62" s="101"/>
      <c r="QT62" s="101"/>
      <c r="QU62" s="101"/>
      <c r="QV62" s="101"/>
      <c r="QW62" s="101"/>
      <c r="QX62" s="101"/>
      <c r="QY62" s="101"/>
      <c r="QZ62" s="101"/>
      <c r="RA62" s="101"/>
      <c r="RB62" s="101"/>
      <c r="RC62" s="101"/>
      <c r="RD62" s="101"/>
      <c r="RE62" s="101"/>
      <c r="RF62" s="101"/>
      <c r="RG62" s="101"/>
      <c r="RH62" s="101"/>
      <c r="RI62" s="101"/>
      <c r="RJ62" s="101"/>
      <c r="RK62" s="101"/>
      <c r="RL62" s="101"/>
      <c r="RM62" s="101"/>
      <c r="RN62" s="101"/>
      <c r="RO62" s="104"/>
      <c r="RP62" s="106"/>
      <c r="RQ62" s="103"/>
      <c r="RR62" s="101"/>
      <c r="RS62" s="102"/>
      <c r="RT62" s="103"/>
      <c r="RU62" s="101"/>
      <c r="RV62" s="101"/>
      <c r="RW62" s="101"/>
      <c r="RX62" s="101"/>
      <c r="RY62" s="101"/>
      <c r="RZ62" s="101"/>
      <c r="SA62" s="102"/>
      <c r="SB62" s="100" t="s">
        <v>27</v>
      </c>
      <c r="SC62" s="101"/>
      <c r="SD62" s="102"/>
      <c r="SE62" s="103"/>
      <c r="SF62" s="101"/>
      <c r="SG62" s="101"/>
      <c r="SH62" s="101"/>
      <c r="SI62" s="101"/>
      <c r="SJ62" s="101"/>
      <c r="SK62" s="101"/>
      <c r="SL62" s="101"/>
      <c r="SM62" s="101"/>
      <c r="SN62" s="101"/>
      <c r="SO62" s="101"/>
      <c r="SP62" s="101"/>
      <c r="SQ62" s="101"/>
      <c r="SR62" s="101"/>
      <c r="SS62" s="101"/>
      <c r="ST62" s="101"/>
      <c r="SU62" s="101"/>
      <c r="SV62" s="101"/>
      <c r="SW62" s="101"/>
      <c r="SX62" s="101"/>
      <c r="SY62" s="101"/>
      <c r="SZ62" s="101"/>
      <c r="TA62" s="101"/>
      <c r="TB62" s="101"/>
      <c r="TC62" s="101"/>
      <c r="TD62" s="101"/>
      <c r="TE62" s="101"/>
      <c r="TF62" s="101"/>
      <c r="TG62" s="101"/>
      <c r="TH62" s="104"/>
      <c r="TI62" s="106"/>
      <c r="TJ62" s="103"/>
      <c r="TK62" s="101"/>
      <c r="TL62" s="102"/>
      <c r="TM62" s="103"/>
      <c r="TN62" s="101"/>
      <c r="TO62" s="101"/>
      <c r="TP62" s="101"/>
      <c r="TQ62" s="101"/>
      <c r="TR62" s="101"/>
      <c r="TS62" s="101"/>
      <c r="TT62" s="102"/>
    </row>
    <row r="63" ht="24.75" hidden="1" customHeight="1" outlineLevel="1">
      <c r="A63" s="108" t="str">
        <f>elenchi!$C13</f>
        <v>vuoto</v>
      </c>
      <c r="B63" s="109"/>
      <c r="C63" s="110"/>
      <c r="D63" s="67">
        <f t="shared" ref="D63:AH63" si="145">D$2</f>
        <v>45901</v>
      </c>
      <c r="E63" s="67">
        <f t="shared" si="145"/>
        <v>45902</v>
      </c>
      <c r="F63" s="67">
        <f t="shared" si="145"/>
        <v>45903</v>
      </c>
      <c r="G63" s="67">
        <f t="shared" si="145"/>
        <v>45904</v>
      </c>
      <c r="H63" s="67">
        <f t="shared" si="145"/>
        <v>45905</v>
      </c>
      <c r="I63" s="67">
        <f t="shared" si="145"/>
        <v>45906</v>
      </c>
      <c r="J63" s="67">
        <f t="shared" si="145"/>
        <v>45907</v>
      </c>
      <c r="K63" s="67">
        <f t="shared" si="145"/>
        <v>45908</v>
      </c>
      <c r="L63" s="67">
        <f t="shared" si="145"/>
        <v>45909</v>
      </c>
      <c r="M63" s="67">
        <f t="shared" si="145"/>
        <v>45910</v>
      </c>
      <c r="N63" s="67">
        <f t="shared" si="145"/>
        <v>45911</v>
      </c>
      <c r="O63" s="67">
        <f t="shared" si="145"/>
        <v>45912</v>
      </c>
      <c r="P63" s="67">
        <f t="shared" si="145"/>
        <v>45913</v>
      </c>
      <c r="Q63" s="67">
        <f t="shared" si="145"/>
        <v>45914</v>
      </c>
      <c r="R63" s="67">
        <f t="shared" si="145"/>
        <v>45915</v>
      </c>
      <c r="S63" s="67">
        <f t="shared" si="145"/>
        <v>45916</v>
      </c>
      <c r="T63" s="67">
        <f t="shared" si="145"/>
        <v>45917</v>
      </c>
      <c r="U63" s="67">
        <f t="shared" si="145"/>
        <v>45918</v>
      </c>
      <c r="V63" s="67">
        <f t="shared" si="145"/>
        <v>45919</v>
      </c>
      <c r="W63" s="67">
        <f t="shared" si="145"/>
        <v>45920</v>
      </c>
      <c r="X63" s="67">
        <f t="shared" si="145"/>
        <v>45921</v>
      </c>
      <c r="Y63" s="67">
        <f t="shared" si="145"/>
        <v>45922</v>
      </c>
      <c r="Z63" s="67">
        <f t="shared" si="145"/>
        <v>45923</v>
      </c>
      <c r="AA63" s="67">
        <f t="shared" si="145"/>
        <v>45924</v>
      </c>
      <c r="AB63" s="67">
        <f t="shared" si="145"/>
        <v>45925</v>
      </c>
      <c r="AC63" s="67">
        <f t="shared" si="145"/>
        <v>45926</v>
      </c>
      <c r="AD63" s="67">
        <f t="shared" si="145"/>
        <v>45927</v>
      </c>
      <c r="AE63" s="67">
        <f t="shared" si="145"/>
        <v>45928</v>
      </c>
      <c r="AF63" s="67">
        <f t="shared" si="145"/>
        <v>45929</v>
      </c>
      <c r="AG63" s="67">
        <f t="shared" si="145"/>
        <v>45930</v>
      </c>
      <c r="AH63" s="111" t="str">
        <f t="shared" si="145"/>
        <v/>
      </c>
      <c r="AI63" s="112" t="s">
        <v>33</v>
      </c>
      <c r="AJ63" s="113" t="s">
        <v>28</v>
      </c>
      <c r="AK63" s="114" t="s">
        <v>34</v>
      </c>
      <c r="AL63" s="112" t="s">
        <v>13</v>
      </c>
      <c r="AM63" s="113" t="s">
        <v>1</v>
      </c>
      <c r="AN63" s="113" t="s">
        <v>35</v>
      </c>
      <c r="AO63" s="113" t="s">
        <v>36</v>
      </c>
      <c r="AP63" s="113" t="s">
        <v>37</v>
      </c>
      <c r="AQ63" s="113" t="s">
        <v>0</v>
      </c>
      <c r="AR63" s="113" t="s">
        <v>38</v>
      </c>
      <c r="AS63" s="115" t="s">
        <v>11</v>
      </c>
      <c r="AT63" s="108" t="str">
        <f>elenchi!$C13</f>
        <v>vuoto</v>
      </c>
      <c r="AU63" s="109"/>
      <c r="AV63" s="110"/>
      <c r="AW63" s="67">
        <f t="shared" ref="AW63:CA63" si="146">AW$2</f>
        <v>45931</v>
      </c>
      <c r="AX63" s="67">
        <f t="shared" si="146"/>
        <v>45932</v>
      </c>
      <c r="AY63" s="67">
        <f t="shared" si="146"/>
        <v>45933</v>
      </c>
      <c r="AZ63" s="67">
        <f t="shared" si="146"/>
        <v>45934</v>
      </c>
      <c r="BA63" s="67">
        <f t="shared" si="146"/>
        <v>45935</v>
      </c>
      <c r="BB63" s="67">
        <f t="shared" si="146"/>
        <v>45936</v>
      </c>
      <c r="BC63" s="67">
        <f t="shared" si="146"/>
        <v>45937</v>
      </c>
      <c r="BD63" s="67">
        <f t="shared" si="146"/>
        <v>45938</v>
      </c>
      <c r="BE63" s="67">
        <f t="shared" si="146"/>
        <v>45939</v>
      </c>
      <c r="BF63" s="67">
        <f t="shared" si="146"/>
        <v>45940</v>
      </c>
      <c r="BG63" s="67">
        <f t="shared" si="146"/>
        <v>45941</v>
      </c>
      <c r="BH63" s="67">
        <f t="shared" si="146"/>
        <v>45942</v>
      </c>
      <c r="BI63" s="67">
        <f t="shared" si="146"/>
        <v>45943</v>
      </c>
      <c r="BJ63" s="67">
        <f t="shared" si="146"/>
        <v>45944</v>
      </c>
      <c r="BK63" s="67">
        <f t="shared" si="146"/>
        <v>45945</v>
      </c>
      <c r="BL63" s="67">
        <f t="shared" si="146"/>
        <v>45946</v>
      </c>
      <c r="BM63" s="67">
        <f t="shared" si="146"/>
        <v>45947</v>
      </c>
      <c r="BN63" s="67">
        <f t="shared" si="146"/>
        <v>45948</v>
      </c>
      <c r="BO63" s="67">
        <f t="shared" si="146"/>
        <v>45949</v>
      </c>
      <c r="BP63" s="67">
        <f t="shared" si="146"/>
        <v>45950</v>
      </c>
      <c r="BQ63" s="67">
        <f t="shared" si="146"/>
        <v>45951</v>
      </c>
      <c r="BR63" s="67">
        <f t="shared" si="146"/>
        <v>45952</v>
      </c>
      <c r="BS63" s="67">
        <f t="shared" si="146"/>
        <v>45953</v>
      </c>
      <c r="BT63" s="67">
        <f t="shared" si="146"/>
        <v>45954</v>
      </c>
      <c r="BU63" s="67">
        <f t="shared" si="146"/>
        <v>45955</v>
      </c>
      <c r="BV63" s="67">
        <f t="shared" si="146"/>
        <v>45956</v>
      </c>
      <c r="BW63" s="67">
        <f t="shared" si="146"/>
        <v>45957</v>
      </c>
      <c r="BX63" s="67">
        <f t="shared" si="146"/>
        <v>45958</v>
      </c>
      <c r="BY63" s="67">
        <f t="shared" si="146"/>
        <v>45959</v>
      </c>
      <c r="BZ63" s="67">
        <f t="shared" si="146"/>
        <v>45960</v>
      </c>
      <c r="CA63" s="67">
        <f t="shared" si="146"/>
        <v>45961</v>
      </c>
      <c r="CB63" s="112" t="s">
        <v>33</v>
      </c>
      <c r="CC63" s="113" t="s">
        <v>28</v>
      </c>
      <c r="CD63" s="114" t="s">
        <v>34</v>
      </c>
      <c r="CE63" s="112" t="s">
        <v>13</v>
      </c>
      <c r="CF63" s="113" t="s">
        <v>1</v>
      </c>
      <c r="CG63" s="113" t="s">
        <v>35</v>
      </c>
      <c r="CH63" s="113" t="s">
        <v>36</v>
      </c>
      <c r="CI63" s="113" t="s">
        <v>37</v>
      </c>
      <c r="CJ63" s="113" t="s">
        <v>0</v>
      </c>
      <c r="CK63" s="113" t="s">
        <v>38</v>
      </c>
      <c r="CL63" s="115" t="s">
        <v>11</v>
      </c>
      <c r="CM63" s="108" t="str">
        <f>elenchi!$C13</f>
        <v>vuoto</v>
      </c>
      <c r="CN63" s="109"/>
      <c r="CO63" s="110"/>
      <c r="CP63" s="67">
        <f t="shared" ref="CP63:DT63" si="147">CP$2</f>
        <v>45962</v>
      </c>
      <c r="CQ63" s="67">
        <f t="shared" si="147"/>
        <v>45963</v>
      </c>
      <c r="CR63" s="67">
        <f t="shared" si="147"/>
        <v>45964</v>
      </c>
      <c r="CS63" s="67">
        <f t="shared" si="147"/>
        <v>45965</v>
      </c>
      <c r="CT63" s="67">
        <f t="shared" si="147"/>
        <v>45966</v>
      </c>
      <c r="CU63" s="67">
        <f t="shared" si="147"/>
        <v>45967</v>
      </c>
      <c r="CV63" s="67">
        <f t="shared" si="147"/>
        <v>45968</v>
      </c>
      <c r="CW63" s="67">
        <f t="shared" si="147"/>
        <v>45969</v>
      </c>
      <c r="CX63" s="67">
        <f t="shared" si="147"/>
        <v>45970</v>
      </c>
      <c r="CY63" s="67">
        <f t="shared" si="147"/>
        <v>45971</v>
      </c>
      <c r="CZ63" s="67">
        <f t="shared" si="147"/>
        <v>45972</v>
      </c>
      <c r="DA63" s="67">
        <f t="shared" si="147"/>
        <v>45973</v>
      </c>
      <c r="DB63" s="67">
        <f t="shared" si="147"/>
        <v>45974</v>
      </c>
      <c r="DC63" s="67">
        <f t="shared" si="147"/>
        <v>45975</v>
      </c>
      <c r="DD63" s="67">
        <f t="shared" si="147"/>
        <v>45976</v>
      </c>
      <c r="DE63" s="67">
        <f t="shared" si="147"/>
        <v>45977</v>
      </c>
      <c r="DF63" s="67">
        <f t="shared" si="147"/>
        <v>45978</v>
      </c>
      <c r="DG63" s="67">
        <f t="shared" si="147"/>
        <v>45979</v>
      </c>
      <c r="DH63" s="67">
        <f t="shared" si="147"/>
        <v>45980</v>
      </c>
      <c r="DI63" s="67">
        <f t="shared" si="147"/>
        <v>45981</v>
      </c>
      <c r="DJ63" s="67">
        <f t="shared" si="147"/>
        <v>45982</v>
      </c>
      <c r="DK63" s="67">
        <f t="shared" si="147"/>
        <v>45983</v>
      </c>
      <c r="DL63" s="67">
        <f t="shared" si="147"/>
        <v>45984</v>
      </c>
      <c r="DM63" s="67">
        <f t="shared" si="147"/>
        <v>45985</v>
      </c>
      <c r="DN63" s="67">
        <f t="shared" si="147"/>
        <v>45986</v>
      </c>
      <c r="DO63" s="67">
        <f t="shared" si="147"/>
        <v>45987</v>
      </c>
      <c r="DP63" s="67">
        <f t="shared" si="147"/>
        <v>45988</v>
      </c>
      <c r="DQ63" s="67">
        <f t="shared" si="147"/>
        <v>45989</v>
      </c>
      <c r="DR63" s="67">
        <f t="shared" si="147"/>
        <v>45990</v>
      </c>
      <c r="DS63" s="67">
        <f t="shared" si="147"/>
        <v>45991</v>
      </c>
      <c r="DT63" s="67" t="str">
        <f t="shared" si="147"/>
        <v/>
      </c>
      <c r="DU63" s="112" t="s">
        <v>33</v>
      </c>
      <c r="DV63" s="113" t="s">
        <v>28</v>
      </c>
      <c r="DW63" s="114" t="s">
        <v>34</v>
      </c>
      <c r="DX63" s="112" t="s">
        <v>13</v>
      </c>
      <c r="DY63" s="113" t="s">
        <v>1</v>
      </c>
      <c r="DZ63" s="113" t="s">
        <v>35</v>
      </c>
      <c r="EA63" s="113" t="s">
        <v>36</v>
      </c>
      <c r="EB63" s="113" t="s">
        <v>37</v>
      </c>
      <c r="EC63" s="113" t="s">
        <v>0</v>
      </c>
      <c r="ED63" s="113" t="s">
        <v>38</v>
      </c>
      <c r="EE63" s="114" t="s">
        <v>11</v>
      </c>
      <c r="EF63" s="108" t="str">
        <f>elenchi!$C13</f>
        <v>vuoto</v>
      </c>
      <c r="EG63" s="109"/>
      <c r="EH63" s="110"/>
      <c r="EI63" s="67">
        <f t="shared" ref="EI63:FM63" si="148">EI$2</f>
        <v>45992</v>
      </c>
      <c r="EJ63" s="67">
        <f t="shared" si="148"/>
        <v>45993</v>
      </c>
      <c r="EK63" s="67">
        <f t="shared" si="148"/>
        <v>45994</v>
      </c>
      <c r="EL63" s="67">
        <f t="shared" si="148"/>
        <v>45995</v>
      </c>
      <c r="EM63" s="67">
        <f t="shared" si="148"/>
        <v>45996</v>
      </c>
      <c r="EN63" s="67">
        <f t="shared" si="148"/>
        <v>45997</v>
      </c>
      <c r="EO63" s="67">
        <f t="shared" si="148"/>
        <v>45998</v>
      </c>
      <c r="EP63" s="67">
        <f t="shared" si="148"/>
        <v>45999</v>
      </c>
      <c r="EQ63" s="67">
        <f t="shared" si="148"/>
        <v>46000</v>
      </c>
      <c r="ER63" s="67">
        <f t="shared" si="148"/>
        <v>46001</v>
      </c>
      <c r="ES63" s="67">
        <f t="shared" si="148"/>
        <v>46002</v>
      </c>
      <c r="ET63" s="67">
        <f t="shared" si="148"/>
        <v>46003</v>
      </c>
      <c r="EU63" s="67">
        <f t="shared" si="148"/>
        <v>46004</v>
      </c>
      <c r="EV63" s="67">
        <f t="shared" si="148"/>
        <v>46005</v>
      </c>
      <c r="EW63" s="67">
        <f t="shared" si="148"/>
        <v>46006</v>
      </c>
      <c r="EX63" s="67">
        <f t="shared" si="148"/>
        <v>46007</v>
      </c>
      <c r="EY63" s="67">
        <f t="shared" si="148"/>
        <v>46008</v>
      </c>
      <c r="EZ63" s="67">
        <f t="shared" si="148"/>
        <v>46009</v>
      </c>
      <c r="FA63" s="67">
        <f t="shared" si="148"/>
        <v>46010</v>
      </c>
      <c r="FB63" s="67">
        <f t="shared" si="148"/>
        <v>46011</v>
      </c>
      <c r="FC63" s="67">
        <f t="shared" si="148"/>
        <v>46012</v>
      </c>
      <c r="FD63" s="67">
        <f t="shared" si="148"/>
        <v>46013</v>
      </c>
      <c r="FE63" s="67">
        <f t="shared" si="148"/>
        <v>46014</v>
      </c>
      <c r="FF63" s="67">
        <f t="shared" si="148"/>
        <v>46015</v>
      </c>
      <c r="FG63" s="67">
        <f t="shared" si="148"/>
        <v>46016</v>
      </c>
      <c r="FH63" s="67">
        <f t="shared" si="148"/>
        <v>46017</v>
      </c>
      <c r="FI63" s="67">
        <f t="shared" si="148"/>
        <v>46018</v>
      </c>
      <c r="FJ63" s="67">
        <f t="shared" si="148"/>
        <v>46019</v>
      </c>
      <c r="FK63" s="67">
        <f t="shared" si="148"/>
        <v>46020</v>
      </c>
      <c r="FL63" s="67">
        <f t="shared" si="148"/>
        <v>46021</v>
      </c>
      <c r="FM63" s="67">
        <f t="shared" si="148"/>
        <v>46022</v>
      </c>
      <c r="FN63" s="112" t="s">
        <v>33</v>
      </c>
      <c r="FO63" s="113" t="s">
        <v>28</v>
      </c>
      <c r="FP63" s="114" t="s">
        <v>34</v>
      </c>
      <c r="FQ63" s="112" t="s">
        <v>13</v>
      </c>
      <c r="FR63" s="113" t="s">
        <v>1</v>
      </c>
      <c r="FS63" s="113" t="s">
        <v>35</v>
      </c>
      <c r="FT63" s="113" t="s">
        <v>36</v>
      </c>
      <c r="FU63" s="113" t="s">
        <v>37</v>
      </c>
      <c r="FV63" s="113" t="s">
        <v>0</v>
      </c>
      <c r="FW63" s="113" t="s">
        <v>38</v>
      </c>
      <c r="FX63" s="114" t="s">
        <v>11</v>
      </c>
      <c r="FY63" s="108" t="str">
        <f>elenchi!$C13</f>
        <v>vuoto</v>
      </c>
      <c r="FZ63" s="109"/>
      <c r="GA63" s="110"/>
      <c r="GB63" s="67">
        <f t="shared" ref="GB63:HF63" si="149">GB$2</f>
        <v>46023</v>
      </c>
      <c r="GC63" s="67">
        <f t="shared" si="149"/>
        <v>46024</v>
      </c>
      <c r="GD63" s="67">
        <f t="shared" si="149"/>
        <v>46025</v>
      </c>
      <c r="GE63" s="67">
        <f t="shared" si="149"/>
        <v>46026</v>
      </c>
      <c r="GF63" s="67">
        <f t="shared" si="149"/>
        <v>46027</v>
      </c>
      <c r="GG63" s="67">
        <f t="shared" si="149"/>
        <v>46028</v>
      </c>
      <c r="GH63" s="67">
        <f t="shared" si="149"/>
        <v>46029</v>
      </c>
      <c r="GI63" s="67">
        <f t="shared" si="149"/>
        <v>46030</v>
      </c>
      <c r="GJ63" s="67">
        <f t="shared" si="149"/>
        <v>46031</v>
      </c>
      <c r="GK63" s="67">
        <f t="shared" si="149"/>
        <v>46032</v>
      </c>
      <c r="GL63" s="67">
        <f t="shared" si="149"/>
        <v>46033</v>
      </c>
      <c r="GM63" s="67">
        <f t="shared" si="149"/>
        <v>46034</v>
      </c>
      <c r="GN63" s="67">
        <f t="shared" si="149"/>
        <v>46035</v>
      </c>
      <c r="GO63" s="67">
        <f t="shared" si="149"/>
        <v>46036</v>
      </c>
      <c r="GP63" s="67">
        <f t="shared" si="149"/>
        <v>46037</v>
      </c>
      <c r="GQ63" s="67">
        <f t="shared" si="149"/>
        <v>46038</v>
      </c>
      <c r="GR63" s="67">
        <f t="shared" si="149"/>
        <v>46039</v>
      </c>
      <c r="GS63" s="67">
        <f t="shared" si="149"/>
        <v>46040</v>
      </c>
      <c r="GT63" s="67">
        <f t="shared" si="149"/>
        <v>46041</v>
      </c>
      <c r="GU63" s="67">
        <f t="shared" si="149"/>
        <v>46042</v>
      </c>
      <c r="GV63" s="67">
        <f t="shared" si="149"/>
        <v>46043</v>
      </c>
      <c r="GW63" s="67">
        <f t="shared" si="149"/>
        <v>46044</v>
      </c>
      <c r="GX63" s="67">
        <f t="shared" si="149"/>
        <v>46045</v>
      </c>
      <c r="GY63" s="67">
        <f t="shared" si="149"/>
        <v>46046</v>
      </c>
      <c r="GZ63" s="67">
        <f t="shared" si="149"/>
        <v>46047</v>
      </c>
      <c r="HA63" s="67">
        <f t="shared" si="149"/>
        <v>46048</v>
      </c>
      <c r="HB63" s="67">
        <f t="shared" si="149"/>
        <v>46049</v>
      </c>
      <c r="HC63" s="67">
        <f t="shared" si="149"/>
        <v>46050</v>
      </c>
      <c r="HD63" s="67">
        <f t="shared" si="149"/>
        <v>46051</v>
      </c>
      <c r="HE63" s="67">
        <f t="shared" si="149"/>
        <v>46052</v>
      </c>
      <c r="HF63" s="67">
        <f t="shared" si="149"/>
        <v>46053</v>
      </c>
      <c r="HG63" s="112" t="s">
        <v>33</v>
      </c>
      <c r="HH63" s="113" t="s">
        <v>28</v>
      </c>
      <c r="HI63" s="114" t="s">
        <v>34</v>
      </c>
      <c r="HJ63" s="112" t="s">
        <v>13</v>
      </c>
      <c r="HK63" s="113" t="s">
        <v>1</v>
      </c>
      <c r="HL63" s="113" t="s">
        <v>35</v>
      </c>
      <c r="HM63" s="113" t="s">
        <v>36</v>
      </c>
      <c r="HN63" s="113" t="s">
        <v>37</v>
      </c>
      <c r="HO63" s="113" t="s">
        <v>0</v>
      </c>
      <c r="HP63" s="113" t="s">
        <v>38</v>
      </c>
      <c r="HQ63" s="114" t="s">
        <v>11</v>
      </c>
      <c r="HR63" s="108" t="str">
        <f>elenchi!$C13</f>
        <v>vuoto</v>
      </c>
      <c r="HS63" s="109"/>
      <c r="HT63" s="110"/>
      <c r="HU63" s="67">
        <f t="shared" ref="HU63:IY63" si="150">HU$2</f>
        <v>46054</v>
      </c>
      <c r="HV63" s="67">
        <f t="shared" si="150"/>
        <v>46055</v>
      </c>
      <c r="HW63" s="67">
        <f t="shared" si="150"/>
        <v>46056</v>
      </c>
      <c r="HX63" s="67">
        <f t="shared" si="150"/>
        <v>46057</v>
      </c>
      <c r="HY63" s="67">
        <f t="shared" si="150"/>
        <v>46058</v>
      </c>
      <c r="HZ63" s="67">
        <f t="shared" si="150"/>
        <v>46059</v>
      </c>
      <c r="IA63" s="67">
        <f t="shared" si="150"/>
        <v>46060</v>
      </c>
      <c r="IB63" s="67">
        <f t="shared" si="150"/>
        <v>46061</v>
      </c>
      <c r="IC63" s="67">
        <f t="shared" si="150"/>
        <v>46062</v>
      </c>
      <c r="ID63" s="67">
        <f t="shared" si="150"/>
        <v>46063</v>
      </c>
      <c r="IE63" s="67">
        <f t="shared" si="150"/>
        <v>46064</v>
      </c>
      <c r="IF63" s="67">
        <f t="shared" si="150"/>
        <v>46065</v>
      </c>
      <c r="IG63" s="67">
        <f t="shared" si="150"/>
        <v>46066</v>
      </c>
      <c r="IH63" s="67">
        <f t="shared" si="150"/>
        <v>46067</v>
      </c>
      <c r="II63" s="67">
        <f t="shared" si="150"/>
        <v>46068</v>
      </c>
      <c r="IJ63" s="67">
        <f t="shared" si="150"/>
        <v>46069</v>
      </c>
      <c r="IK63" s="67">
        <f t="shared" si="150"/>
        <v>46070</v>
      </c>
      <c r="IL63" s="67">
        <f t="shared" si="150"/>
        <v>46071</v>
      </c>
      <c r="IM63" s="67">
        <f t="shared" si="150"/>
        <v>46072</v>
      </c>
      <c r="IN63" s="67">
        <f t="shared" si="150"/>
        <v>46073</v>
      </c>
      <c r="IO63" s="67">
        <f t="shared" si="150"/>
        <v>46074</v>
      </c>
      <c r="IP63" s="67">
        <f t="shared" si="150"/>
        <v>46075</v>
      </c>
      <c r="IQ63" s="67">
        <f t="shared" si="150"/>
        <v>46076</v>
      </c>
      <c r="IR63" s="67">
        <f t="shared" si="150"/>
        <v>46077</v>
      </c>
      <c r="IS63" s="67">
        <f t="shared" si="150"/>
        <v>46078</v>
      </c>
      <c r="IT63" s="67">
        <f t="shared" si="150"/>
        <v>46079</v>
      </c>
      <c r="IU63" s="67">
        <f t="shared" si="150"/>
        <v>46080</v>
      </c>
      <c r="IV63" s="67">
        <f t="shared" si="150"/>
        <v>46081</v>
      </c>
      <c r="IW63" s="67" t="str">
        <f t="shared" si="150"/>
        <v/>
      </c>
      <c r="IX63" s="67" t="str">
        <f t="shared" si="150"/>
        <v/>
      </c>
      <c r="IY63" s="67" t="str">
        <f t="shared" si="150"/>
        <v/>
      </c>
      <c r="IZ63" s="112" t="s">
        <v>33</v>
      </c>
      <c r="JA63" s="113" t="s">
        <v>28</v>
      </c>
      <c r="JB63" s="114" t="s">
        <v>34</v>
      </c>
      <c r="JC63" s="112" t="s">
        <v>13</v>
      </c>
      <c r="JD63" s="113" t="s">
        <v>1</v>
      </c>
      <c r="JE63" s="113" t="s">
        <v>35</v>
      </c>
      <c r="JF63" s="113" t="s">
        <v>36</v>
      </c>
      <c r="JG63" s="113" t="s">
        <v>37</v>
      </c>
      <c r="JH63" s="113" t="s">
        <v>0</v>
      </c>
      <c r="JI63" s="113" t="s">
        <v>38</v>
      </c>
      <c r="JJ63" s="114" t="s">
        <v>11</v>
      </c>
      <c r="JK63" s="108" t="str">
        <f>elenchi!$C13</f>
        <v>vuoto</v>
      </c>
      <c r="JL63" s="109"/>
      <c r="JM63" s="110"/>
      <c r="JN63" s="67">
        <f t="shared" ref="JN63:KR63" si="151">JN$2</f>
        <v>46082</v>
      </c>
      <c r="JO63" s="67">
        <f t="shared" si="151"/>
        <v>46083</v>
      </c>
      <c r="JP63" s="67">
        <f t="shared" si="151"/>
        <v>46084</v>
      </c>
      <c r="JQ63" s="67">
        <f t="shared" si="151"/>
        <v>46085</v>
      </c>
      <c r="JR63" s="67">
        <f t="shared" si="151"/>
        <v>46086</v>
      </c>
      <c r="JS63" s="67">
        <f t="shared" si="151"/>
        <v>46087</v>
      </c>
      <c r="JT63" s="67">
        <f t="shared" si="151"/>
        <v>46088</v>
      </c>
      <c r="JU63" s="67">
        <f t="shared" si="151"/>
        <v>46089</v>
      </c>
      <c r="JV63" s="67">
        <f t="shared" si="151"/>
        <v>46090</v>
      </c>
      <c r="JW63" s="67">
        <f t="shared" si="151"/>
        <v>46091</v>
      </c>
      <c r="JX63" s="67">
        <f t="shared" si="151"/>
        <v>46092</v>
      </c>
      <c r="JY63" s="67">
        <f t="shared" si="151"/>
        <v>46093</v>
      </c>
      <c r="JZ63" s="67">
        <f t="shared" si="151"/>
        <v>46094</v>
      </c>
      <c r="KA63" s="67">
        <f t="shared" si="151"/>
        <v>46095</v>
      </c>
      <c r="KB63" s="67">
        <f t="shared" si="151"/>
        <v>46096</v>
      </c>
      <c r="KC63" s="67">
        <f t="shared" si="151"/>
        <v>46097</v>
      </c>
      <c r="KD63" s="67">
        <f t="shared" si="151"/>
        <v>46098</v>
      </c>
      <c r="KE63" s="67">
        <f t="shared" si="151"/>
        <v>46099</v>
      </c>
      <c r="KF63" s="67">
        <f t="shared" si="151"/>
        <v>46100</v>
      </c>
      <c r="KG63" s="67">
        <f t="shared" si="151"/>
        <v>46101</v>
      </c>
      <c r="KH63" s="67">
        <f t="shared" si="151"/>
        <v>46102</v>
      </c>
      <c r="KI63" s="67">
        <f t="shared" si="151"/>
        <v>46103</v>
      </c>
      <c r="KJ63" s="67">
        <f t="shared" si="151"/>
        <v>46104</v>
      </c>
      <c r="KK63" s="67">
        <f t="shared" si="151"/>
        <v>46105</v>
      </c>
      <c r="KL63" s="67">
        <f t="shared" si="151"/>
        <v>46106</v>
      </c>
      <c r="KM63" s="67">
        <f t="shared" si="151"/>
        <v>46107</v>
      </c>
      <c r="KN63" s="67">
        <f t="shared" si="151"/>
        <v>46108</v>
      </c>
      <c r="KO63" s="67">
        <f t="shared" si="151"/>
        <v>46109</v>
      </c>
      <c r="KP63" s="67">
        <f t="shared" si="151"/>
        <v>46110</v>
      </c>
      <c r="KQ63" s="67">
        <f t="shared" si="151"/>
        <v>46111</v>
      </c>
      <c r="KR63" s="67">
        <f t="shared" si="151"/>
        <v>46112</v>
      </c>
      <c r="KS63" s="112" t="s">
        <v>33</v>
      </c>
      <c r="KT63" s="113" t="s">
        <v>28</v>
      </c>
      <c r="KU63" s="114" t="s">
        <v>34</v>
      </c>
      <c r="KV63" s="112" t="s">
        <v>13</v>
      </c>
      <c r="KW63" s="113" t="s">
        <v>1</v>
      </c>
      <c r="KX63" s="113" t="s">
        <v>35</v>
      </c>
      <c r="KY63" s="113" t="s">
        <v>36</v>
      </c>
      <c r="KZ63" s="113" t="s">
        <v>37</v>
      </c>
      <c r="LA63" s="113" t="s">
        <v>0</v>
      </c>
      <c r="LB63" s="113" t="s">
        <v>38</v>
      </c>
      <c r="LC63" s="114" t="s">
        <v>11</v>
      </c>
      <c r="LD63" s="108" t="str">
        <f>elenchi!$C13</f>
        <v>vuoto</v>
      </c>
      <c r="LE63" s="109"/>
      <c r="LF63" s="110"/>
      <c r="LG63" s="67">
        <f t="shared" ref="LG63:MK63" si="152">LG$2</f>
        <v>46113</v>
      </c>
      <c r="LH63" s="67">
        <f t="shared" si="152"/>
        <v>46114</v>
      </c>
      <c r="LI63" s="67">
        <f t="shared" si="152"/>
        <v>46115</v>
      </c>
      <c r="LJ63" s="67">
        <f t="shared" si="152"/>
        <v>46116</v>
      </c>
      <c r="LK63" s="67">
        <f t="shared" si="152"/>
        <v>46117</v>
      </c>
      <c r="LL63" s="67">
        <f t="shared" si="152"/>
        <v>46118</v>
      </c>
      <c r="LM63" s="67">
        <f t="shared" si="152"/>
        <v>46119</v>
      </c>
      <c r="LN63" s="67">
        <f t="shared" si="152"/>
        <v>46120</v>
      </c>
      <c r="LO63" s="67">
        <f t="shared" si="152"/>
        <v>46121</v>
      </c>
      <c r="LP63" s="67">
        <f t="shared" si="152"/>
        <v>46122</v>
      </c>
      <c r="LQ63" s="67">
        <f t="shared" si="152"/>
        <v>46123</v>
      </c>
      <c r="LR63" s="67">
        <f t="shared" si="152"/>
        <v>46124</v>
      </c>
      <c r="LS63" s="67">
        <f t="shared" si="152"/>
        <v>46125</v>
      </c>
      <c r="LT63" s="67">
        <f t="shared" si="152"/>
        <v>46126</v>
      </c>
      <c r="LU63" s="67">
        <f t="shared" si="152"/>
        <v>46127</v>
      </c>
      <c r="LV63" s="67">
        <f t="shared" si="152"/>
        <v>46128</v>
      </c>
      <c r="LW63" s="67">
        <f t="shared" si="152"/>
        <v>46129</v>
      </c>
      <c r="LX63" s="67">
        <f t="shared" si="152"/>
        <v>46130</v>
      </c>
      <c r="LY63" s="67">
        <f t="shared" si="152"/>
        <v>46131</v>
      </c>
      <c r="LZ63" s="67">
        <f t="shared" si="152"/>
        <v>46132</v>
      </c>
      <c r="MA63" s="67">
        <f t="shared" si="152"/>
        <v>46133</v>
      </c>
      <c r="MB63" s="67">
        <f t="shared" si="152"/>
        <v>46134</v>
      </c>
      <c r="MC63" s="67">
        <f t="shared" si="152"/>
        <v>46135</v>
      </c>
      <c r="MD63" s="67">
        <f t="shared" si="152"/>
        <v>46136</v>
      </c>
      <c r="ME63" s="67">
        <f t="shared" si="152"/>
        <v>46137</v>
      </c>
      <c r="MF63" s="67">
        <f t="shared" si="152"/>
        <v>46138</v>
      </c>
      <c r="MG63" s="67">
        <f t="shared" si="152"/>
        <v>46139</v>
      </c>
      <c r="MH63" s="67">
        <f t="shared" si="152"/>
        <v>46140</v>
      </c>
      <c r="MI63" s="67">
        <f t="shared" si="152"/>
        <v>46141</v>
      </c>
      <c r="MJ63" s="67">
        <f t="shared" si="152"/>
        <v>46142</v>
      </c>
      <c r="MK63" s="67" t="str">
        <f t="shared" si="152"/>
        <v/>
      </c>
      <c r="ML63" s="112" t="s">
        <v>33</v>
      </c>
      <c r="MM63" s="113" t="s">
        <v>28</v>
      </c>
      <c r="MN63" s="114" t="s">
        <v>34</v>
      </c>
      <c r="MO63" s="112" t="s">
        <v>13</v>
      </c>
      <c r="MP63" s="113" t="s">
        <v>1</v>
      </c>
      <c r="MQ63" s="113" t="s">
        <v>35</v>
      </c>
      <c r="MR63" s="113" t="s">
        <v>36</v>
      </c>
      <c r="MS63" s="113" t="s">
        <v>37</v>
      </c>
      <c r="MT63" s="113" t="s">
        <v>0</v>
      </c>
      <c r="MU63" s="113" t="s">
        <v>38</v>
      </c>
      <c r="MV63" s="115" t="s">
        <v>11</v>
      </c>
      <c r="MW63" s="108" t="str">
        <f>elenchi!$C13</f>
        <v>vuoto</v>
      </c>
      <c r="MX63" s="109"/>
      <c r="MY63" s="110"/>
      <c r="MZ63" s="67">
        <f t="shared" ref="MZ63:OD63" si="153">MZ$2</f>
        <v>46143</v>
      </c>
      <c r="NA63" s="67">
        <f t="shared" si="153"/>
        <v>46144</v>
      </c>
      <c r="NB63" s="67">
        <f t="shared" si="153"/>
        <v>46145</v>
      </c>
      <c r="NC63" s="67">
        <f t="shared" si="153"/>
        <v>46146</v>
      </c>
      <c r="ND63" s="67">
        <f t="shared" si="153"/>
        <v>46147</v>
      </c>
      <c r="NE63" s="67">
        <f t="shared" si="153"/>
        <v>46148</v>
      </c>
      <c r="NF63" s="67">
        <f t="shared" si="153"/>
        <v>46149</v>
      </c>
      <c r="NG63" s="67">
        <f t="shared" si="153"/>
        <v>46150</v>
      </c>
      <c r="NH63" s="67">
        <f t="shared" si="153"/>
        <v>46151</v>
      </c>
      <c r="NI63" s="67">
        <f t="shared" si="153"/>
        <v>46152</v>
      </c>
      <c r="NJ63" s="67">
        <f t="shared" si="153"/>
        <v>46153</v>
      </c>
      <c r="NK63" s="67">
        <f t="shared" si="153"/>
        <v>46154</v>
      </c>
      <c r="NL63" s="67">
        <f t="shared" si="153"/>
        <v>46155</v>
      </c>
      <c r="NM63" s="67">
        <f t="shared" si="153"/>
        <v>46156</v>
      </c>
      <c r="NN63" s="67">
        <f t="shared" si="153"/>
        <v>46157</v>
      </c>
      <c r="NO63" s="67">
        <f t="shared" si="153"/>
        <v>46158</v>
      </c>
      <c r="NP63" s="67">
        <f t="shared" si="153"/>
        <v>46159</v>
      </c>
      <c r="NQ63" s="67">
        <f t="shared" si="153"/>
        <v>46160</v>
      </c>
      <c r="NR63" s="67">
        <f t="shared" si="153"/>
        <v>46161</v>
      </c>
      <c r="NS63" s="67">
        <f t="shared" si="153"/>
        <v>46162</v>
      </c>
      <c r="NT63" s="67">
        <f t="shared" si="153"/>
        <v>46163</v>
      </c>
      <c r="NU63" s="67">
        <f t="shared" si="153"/>
        <v>46164</v>
      </c>
      <c r="NV63" s="67">
        <f t="shared" si="153"/>
        <v>46165</v>
      </c>
      <c r="NW63" s="67">
        <f t="shared" si="153"/>
        <v>46166</v>
      </c>
      <c r="NX63" s="67">
        <f t="shared" si="153"/>
        <v>46167</v>
      </c>
      <c r="NY63" s="67">
        <f t="shared" si="153"/>
        <v>46168</v>
      </c>
      <c r="NZ63" s="67">
        <f t="shared" si="153"/>
        <v>46169</v>
      </c>
      <c r="OA63" s="67">
        <f t="shared" si="153"/>
        <v>46170</v>
      </c>
      <c r="OB63" s="67">
        <f t="shared" si="153"/>
        <v>46171</v>
      </c>
      <c r="OC63" s="67">
        <f t="shared" si="153"/>
        <v>46172</v>
      </c>
      <c r="OD63" s="67">
        <f t="shared" si="153"/>
        <v>46173</v>
      </c>
      <c r="OE63" s="112" t="s">
        <v>33</v>
      </c>
      <c r="OF63" s="113" t="s">
        <v>28</v>
      </c>
      <c r="OG63" s="114" t="s">
        <v>34</v>
      </c>
      <c r="OH63" s="112" t="s">
        <v>13</v>
      </c>
      <c r="OI63" s="113" t="s">
        <v>1</v>
      </c>
      <c r="OJ63" s="113" t="s">
        <v>35</v>
      </c>
      <c r="OK63" s="113" t="s">
        <v>36</v>
      </c>
      <c r="OL63" s="113" t="s">
        <v>37</v>
      </c>
      <c r="OM63" s="113" t="s">
        <v>0</v>
      </c>
      <c r="ON63" s="113" t="s">
        <v>38</v>
      </c>
      <c r="OO63" s="115" t="s">
        <v>11</v>
      </c>
      <c r="OP63" s="108" t="str">
        <f>elenchi!$C13</f>
        <v>vuoto</v>
      </c>
      <c r="OQ63" s="109"/>
      <c r="OR63" s="110"/>
      <c r="OS63" s="67">
        <f t="shared" ref="OS63:PW63" si="154">OS$2</f>
        <v>46174</v>
      </c>
      <c r="OT63" s="67">
        <f t="shared" si="154"/>
        <v>46175</v>
      </c>
      <c r="OU63" s="67">
        <f t="shared" si="154"/>
        <v>46176</v>
      </c>
      <c r="OV63" s="67">
        <f t="shared" si="154"/>
        <v>46177</v>
      </c>
      <c r="OW63" s="67">
        <f t="shared" si="154"/>
        <v>46178</v>
      </c>
      <c r="OX63" s="67">
        <f t="shared" si="154"/>
        <v>46179</v>
      </c>
      <c r="OY63" s="67">
        <f t="shared" si="154"/>
        <v>46180</v>
      </c>
      <c r="OZ63" s="67">
        <f t="shared" si="154"/>
        <v>46181</v>
      </c>
      <c r="PA63" s="67">
        <f t="shared" si="154"/>
        <v>46182</v>
      </c>
      <c r="PB63" s="67">
        <f t="shared" si="154"/>
        <v>46183</v>
      </c>
      <c r="PC63" s="67">
        <f t="shared" si="154"/>
        <v>46184</v>
      </c>
      <c r="PD63" s="67">
        <f t="shared" si="154"/>
        <v>46185</v>
      </c>
      <c r="PE63" s="67">
        <f t="shared" si="154"/>
        <v>46186</v>
      </c>
      <c r="PF63" s="67">
        <f t="shared" si="154"/>
        <v>46187</v>
      </c>
      <c r="PG63" s="67">
        <f t="shared" si="154"/>
        <v>46188</v>
      </c>
      <c r="PH63" s="67">
        <f t="shared" si="154"/>
        <v>46189</v>
      </c>
      <c r="PI63" s="67">
        <f t="shared" si="154"/>
        <v>46190</v>
      </c>
      <c r="PJ63" s="67">
        <f t="shared" si="154"/>
        <v>46191</v>
      </c>
      <c r="PK63" s="67">
        <f t="shared" si="154"/>
        <v>46192</v>
      </c>
      <c r="PL63" s="67">
        <f t="shared" si="154"/>
        <v>46193</v>
      </c>
      <c r="PM63" s="67">
        <f t="shared" si="154"/>
        <v>46194</v>
      </c>
      <c r="PN63" s="67">
        <f t="shared" si="154"/>
        <v>46195</v>
      </c>
      <c r="PO63" s="67">
        <f t="shared" si="154"/>
        <v>46196</v>
      </c>
      <c r="PP63" s="67">
        <f t="shared" si="154"/>
        <v>46197</v>
      </c>
      <c r="PQ63" s="67">
        <f t="shared" si="154"/>
        <v>46198</v>
      </c>
      <c r="PR63" s="67">
        <f t="shared" si="154"/>
        <v>46199</v>
      </c>
      <c r="PS63" s="67">
        <f t="shared" si="154"/>
        <v>46200</v>
      </c>
      <c r="PT63" s="67">
        <f t="shared" si="154"/>
        <v>46201</v>
      </c>
      <c r="PU63" s="67">
        <f t="shared" si="154"/>
        <v>46202</v>
      </c>
      <c r="PV63" s="67">
        <f t="shared" si="154"/>
        <v>46203</v>
      </c>
      <c r="PW63" s="67" t="str">
        <f t="shared" si="154"/>
        <v/>
      </c>
      <c r="PX63" s="112" t="s">
        <v>33</v>
      </c>
      <c r="PY63" s="113" t="s">
        <v>28</v>
      </c>
      <c r="PZ63" s="114" t="s">
        <v>34</v>
      </c>
      <c r="QA63" s="112" t="s">
        <v>13</v>
      </c>
      <c r="QB63" s="113" t="s">
        <v>1</v>
      </c>
      <c r="QC63" s="113" t="s">
        <v>35</v>
      </c>
      <c r="QD63" s="113" t="s">
        <v>36</v>
      </c>
      <c r="QE63" s="113" t="s">
        <v>37</v>
      </c>
      <c r="QF63" s="113" t="s">
        <v>0</v>
      </c>
      <c r="QG63" s="113" t="s">
        <v>38</v>
      </c>
      <c r="QH63" s="115" t="s">
        <v>11</v>
      </c>
      <c r="QI63" s="108" t="str">
        <f>elenchi!$C13</f>
        <v>vuoto</v>
      </c>
      <c r="QJ63" s="109"/>
      <c r="QK63" s="110"/>
      <c r="QL63" s="67">
        <f t="shared" ref="QL63:RP63" si="155">QL$2</f>
        <v>46204</v>
      </c>
      <c r="QM63" s="67">
        <f t="shared" si="155"/>
        <v>46205</v>
      </c>
      <c r="QN63" s="67">
        <f t="shared" si="155"/>
        <v>46206</v>
      </c>
      <c r="QO63" s="67">
        <f t="shared" si="155"/>
        <v>46207</v>
      </c>
      <c r="QP63" s="67">
        <f t="shared" si="155"/>
        <v>46208</v>
      </c>
      <c r="QQ63" s="67">
        <f t="shared" si="155"/>
        <v>46209</v>
      </c>
      <c r="QR63" s="67">
        <f t="shared" si="155"/>
        <v>46210</v>
      </c>
      <c r="QS63" s="67">
        <f t="shared" si="155"/>
        <v>46211</v>
      </c>
      <c r="QT63" s="67">
        <f t="shared" si="155"/>
        <v>46212</v>
      </c>
      <c r="QU63" s="67">
        <f t="shared" si="155"/>
        <v>46213</v>
      </c>
      <c r="QV63" s="67">
        <f t="shared" si="155"/>
        <v>46214</v>
      </c>
      <c r="QW63" s="67">
        <f t="shared" si="155"/>
        <v>46215</v>
      </c>
      <c r="QX63" s="67">
        <f t="shared" si="155"/>
        <v>46216</v>
      </c>
      <c r="QY63" s="67">
        <f t="shared" si="155"/>
        <v>46217</v>
      </c>
      <c r="QZ63" s="67">
        <f t="shared" si="155"/>
        <v>46218</v>
      </c>
      <c r="RA63" s="67">
        <f t="shared" si="155"/>
        <v>46219</v>
      </c>
      <c r="RB63" s="67">
        <f t="shared" si="155"/>
        <v>46220</v>
      </c>
      <c r="RC63" s="67">
        <f t="shared" si="155"/>
        <v>46221</v>
      </c>
      <c r="RD63" s="67">
        <f t="shared" si="155"/>
        <v>46222</v>
      </c>
      <c r="RE63" s="67">
        <f t="shared" si="155"/>
        <v>46223</v>
      </c>
      <c r="RF63" s="67">
        <f t="shared" si="155"/>
        <v>46224</v>
      </c>
      <c r="RG63" s="67">
        <f t="shared" si="155"/>
        <v>46225</v>
      </c>
      <c r="RH63" s="67">
        <f t="shared" si="155"/>
        <v>46226</v>
      </c>
      <c r="RI63" s="67">
        <f t="shared" si="155"/>
        <v>46227</v>
      </c>
      <c r="RJ63" s="67">
        <f t="shared" si="155"/>
        <v>46228</v>
      </c>
      <c r="RK63" s="67">
        <f t="shared" si="155"/>
        <v>46229</v>
      </c>
      <c r="RL63" s="67">
        <f t="shared" si="155"/>
        <v>46230</v>
      </c>
      <c r="RM63" s="67">
        <f t="shared" si="155"/>
        <v>46231</v>
      </c>
      <c r="RN63" s="67">
        <f t="shared" si="155"/>
        <v>46232</v>
      </c>
      <c r="RO63" s="67">
        <f t="shared" si="155"/>
        <v>46233</v>
      </c>
      <c r="RP63" s="67">
        <f t="shared" si="155"/>
        <v>46234</v>
      </c>
      <c r="RQ63" s="112" t="s">
        <v>33</v>
      </c>
      <c r="RR63" s="113" t="s">
        <v>28</v>
      </c>
      <c r="RS63" s="114" t="s">
        <v>34</v>
      </c>
      <c r="RT63" s="112" t="s">
        <v>13</v>
      </c>
      <c r="RU63" s="113" t="s">
        <v>1</v>
      </c>
      <c r="RV63" s="113" t="s">
        <v>35</v>
      </c>
      <c r="RW63" s="113" t="s">
        <v>36</v>
      </c>
      <c r="RX63" s="113" t="s">
        <v>37</v>
      </c>
      <c r="RY63" s="113" t="s">
        <v>0</v>
      </c>
      <c r="RZ63" s="113" t="s">
        <v>38</v>
      </c>
      <c r="SA63" s="115" t="s">
        <v>11</v>
      </c>
      <c r="SB63" s="108" t="str">
        <f>elenchi!$C13</f>
        <v>vuoto</v>
      </c>
      <c r="SC63" s="109"/>
      <c r="SD63" s="110"/>
      <c r="SE63" s="67">
        <f t="shared" ref="SE63:TI63" si="156">SE$2</f>
        <v>46235</v>
      </c>
      <c r="SF63" s="67">
        <f t="shared" si="156"/>
        <v>46236</v>
      </c>
      <c r="SG63" s="67">
        <f t="shared" si="156"/>
        <v>46237</v>
      </c>
      <c r="SH63" s="67">
        <f t="shared" si="156"/>
        <v>46238</v>
      </c>
      <c r="SI63" s="67">
        <f t="shared" si="156"/>
        <v>46239</v>
      </c>
      <c r="SJ63" s="67">
        <f t="shared" si="156"/>
        <v>46240</v>
      </c>
      <c r="SK63" s="67">
        <f t="shared" si="156"/>
        <v>46241</v>
      </c>
      <c r="SL63" s="67">
        <f t="shared" si="156"/>
        <v>46242</v>
      </c>
      <c r="SM63" s="67">
        <f t="shared" si="156"/>
        <v>46243</v>
      </c>
      <c r="SN63" s="67">
        <f t="shared" si="156"/>
        <v>46244</v>
      </c>
      <c r="SO63" s="67">
        <f t="shared" si="156"/>
        <v>46245</v>
      </c>
      <c r="SP63" s="67">
        <f t="shared" si="156"/>
        <v>46246</v>
      </c>
      <c r="SQ63" s="67">
        <f t="shared" si="156"/>
        <v>46247</v>
      </c>
      <c r="SR63" s="67">
        <f t="shared" si="156"/>
        <v>46248</v>
      </c>
      <c r="SS63" s="67">
        <f t="shared" si="156"/>
        <v>46249</v>
      </c>
      <c r="ST63" s="67">
        <f t="shared" si="156"/>
        <v>46250</v>
      </c>
      <c r="SU63" s="67">
        <f t="shared" si="156"/>
        <v>46251</v>
      </c>
      <c r="SV63" s="67">
        <f t="shared" si="156"/>
        <v>46252</v>
      </c>
      <c r="SW63" s="67">
        <f t="shared" si="156"/>
        <v>46253</v>
      </c>
      <c r="SX63" s="67">
        <f t="shared" si="156"/>
        <v>46254</v>
      </c>
      <c r="SY63" s="67">
        <f t="shared" si="156"/>
        <v>46255</v>
      </c>
      <c r="SZ63" s="67">
        <f t="shared" si="156"/>
        <v>46256</v>
      </c>
      <c r="TA63" s="67">
        <f t="shared" si="156"/>
        <v>46257</v>
      </c>
      <c r="TB63" s="67">
        <f t="shared" si="156"/>
        <v>46258</v>
      </c>
      <c r="TC63" s="67">
        <f t="shared" si="156"/>
        <v>46259</v>
      </c>
      <c r="TD63" s="67">
        <f t="shared" si="156"/>
        <v>46260</v>
      </c>
      <c r="TE63" s="67">
        <f t="shared" si="156"/>
        <v>46261</v>
      </c>
      <c r="TF63" s="67">
        <f t="shared" si="156"/>
        <v>46262</v>
      </c>
      <c r="TG63" s="67">
        <f t="shared" si="156"/>
        <v>46263</v>
      </c>
      <c r="TH63" s="67">
        <f t="shared" si="156"/>
        <v>46264</v>
      </c>
      <c r="TI63" s="67">
        <f t="shared" si="156"/>
        <v>46265</v>
      </c>
      <c r="TJ63" s="112" t="s">
        <v>33</v>
      </c>
      <c r="TK63" s="113" t="s">
        <v>28</v>
      </c>
      <c r="TL63" s="114" t="s">
        <v>34</v>
      </c>
      <c r="TM63" s="112" t="s">
        <v>13</v>
      </c>
      <c r="TN63" s="113" t="s">
        <v>1</v>
      </c>
      <c r="TO63" s="113" t="s">
        <v>35</v>
      </c>
      <c r="TP63" s="113" t="s">
        <v>36</v>
      </c>
      <c r="TQ63" s="113" t="s">
        <v>37</v>
      </c>
      <c r="TR63" s="113" t="s">
        <v>0</v>
      </c>
      <c r="TS63" s="113" t="s">
        <v>38</v>
      </c>
      <c r="TT63" s="114" t="s">
        <v>11</v>
      </c>
    </row>
    <row r="64" ht="24.75" hidden="1" customHeight="1" outlineLevel="1">
      <c r="A64" s="73"/>
      <c r="B64" s="65"/>
      <c r="C64" s="66"/>
      <c r="D64" s="74" t="str">
        <f>Settembre25!$N$2</f>
        <v/>
      </c>
      <c r="E64" s="75" t="str">
        <f>Settembre25!$N$3</f>
        <v/>
      </c>
      <c r="F64" s="75" t="str">
        <f>Settembre25!$N$4</f>
        <v/>
      </c>
      <c r="G64" s="75" t="str">
        <f>Settembre25!$N$5</f>
        <v/>
      </c>
      <c r="H64" s="76" t="str">
        <f>Settembre25!$N$6</f>
        <v/>
      </c>
      <c r="I64" s="76" t="str">
        <f>Settembre25!$N$7</f>
        <v/>
      </c>
      <c r="J64" s="75" t="str">
        <f>Settembre25!$N$8</f>
        <v/>
      </c>
      <c r="K64" s="75" t="str">
        <f>Settembre25!$N$9</f>
        <v/>
      </c>
      <c r="L64" s="75" t="str">
        <f>Settembre25!$N$10</f>
        <v/>
      </c>
      <c r="M64" s="75" t="str">
        <f>Settembre25!$N$11</f>
        <v/>
      </c>
      <c r="N64" s="75" t="str">
        <f>Settembre25!$N$12</f>
        <v/>
      </c>
      <c r="O64" s="76" t="str">
        <f>Settembre25!$N$13</f>
        <v/>
      </c>
      <c r="P64" s="75" t="str">
        <f>Settembre25!$N$14</f>
        <v/>
      </c>
      <c r="Q64" s="75" t="str">
        <f>Settembre25!$N$15</f>
        <v/>
      </c>
      <c r="R64" s="75" t="str">
        <f>Settembre25!$N$16</f>
        <v/>
      </c>
      <c r="S64" s="75" t="str">
        <f>Settembre25!$N$17</f>
        <v/>
      </c>
      <c r="T64" s="75" t="str">
        <f>Settembre25!$N$18</f>
        <v/>
      </c>
      <c r="U64" s="75" t="str">
        <f>Settembre25!$N$19</f>
        <v/>
      </c>
      <c r="V64" s="76" t="str">
        <f>Settembre25!$N$20</f>
        <v/>
      </c>
      <c r="W64" s="76" t="str">
        <f>Settembre25!$N$21</f>
        <v/>
      </c>
      <c r="X64" s="75" t="str">
        <f>Settembre25!$N$22</f>
        <v/>
      </c>
      <c r="Y64" s="75" t="str">
        <f>Settembre25!$N$23</f>
        <v/>
      </c>
      <c r="Z64" s="75" t="str">
        <f>Settembre25!$N$24</f>
        <v/>
      </c>
      <c r="AA64" s="75" t="str">
        <f>Settembre25!$N$25</f>
        <v/>
      </c>
      <c r="AB64" s="75" t="str">
        <f>Settembre25!$N$26</f>
        <v/>
      </c>
      <c r="AC64" s="76" t="str">
        <f>Settembre25!$N$27</f>
        <v/>
      </c>
      <c r="AD64" s="76" t="str">
        <f>Settembre25!$N$28</f>
        <v/>
      </c>
      <c r="AE64" s="75" t="str">
        <f>Settembre25!$N$29</f>
        <v/>
      </c>
      <c r="AF64" s="75" t="str">
        <f>Settembre25!$N$30</f>
        <v/>
      </c>
      <c r="AG64" s="75" t="str">
        <f>Settembre25!$N$31</f>
        <v/>
      </c>
      <c r="AH64" s="77" t="str">
        <f>Settembre25!$N$32</f>
        <v/>
      </c>
      <c r="AI64" s="78"/>
      <c r="AJ64" s="79">
        <f>SUM(D64:AH64)</f>
        <v>0</v>
      </c>
      <c r="AK64" s="80"/>
      <c r="AL64" s="78"/>
      <c r="AM64" s="81"/>
      <c r="AN64" s="81"/>
      <c r="AO64" s="81"/>
      <c r="AP64" s="81"/>
      <c r="AQ64" s="81"/>
      <c r="AR64" s="81"/>
      <c r="AS64" s="82"/>
      <c r="AT64" s="73"/>
      <c r="AU64" s="65"/>
      <c r="AV64" s="66"/>
      <c r="AW64" s="83" t="str">
        <f>Ottobre25!$N$2</f>
        <v/>
      </c>
      <c r="AX64" s="84" t="str">
        <f>Ottobre25!$N$3</f>
        <v/>
      </c>
      <c r="AY64" s="84" t="str">
        <f>Ottobre25!$N$4</f>
        <v/>
      </c>
      <c r="AZ64" s="84" t="str">
        <f>Ottobre25!$N$5</f>
        <v/>
      </c>
      <c r="BA64" s="85" t="str">
        <f>Ottobre25!$N$6</f>
        <v/>
      </c>
      <c r="BB64" s="85" t="str">
        <f>Ottobre25!$N$7</f>
        <v/>
      </c>
      <c r="BC64" s="84" t="str">
        <f>Ottobre25!$N$8</f>
        <v/>
      </c>
      <c r="BD64" s="84" t="str">
        <f>Ottobre25!$N$9</f>
        <v/>
      </c>
      <c r="BE64" s="84" t="str">
        <f>Ottobre25!$N$10</f>
        <v/>
      </c>
      <c r="BF64" s="84" t="str">
        <f>Ottobre25!$N$11</f>
        <v/>
      </c>
      <c r="BG64" s="84" t="str">
        <f>Ottobre25!$N$12</f>
        <v/>
      </c>
      <c r="BH64" s="84" t="str">
        <f>Ottobre25!$N$13</f>
        <v/>
      </c>
      <c r="BI64" s="85" t="str">
        <f>Ottobre25!$N$14</f>
        <v/>
      </c>
      <c r="BJ64" s="84" t="str">
        <f>Ottobre25!$N$15</f>
        <v/>
      </c>
      <c r="BK64" s="84" t="str">
        <f>Ottobre25!$N$16</f>
        <v/>
      </c>
      <c r="BL64" s="84" t="str">
        <f>Ottobre25!$N$17</f>
        <v/>
      </c>
      <c r="BM64" s="84" t="str">
        <f>Ottobre25!$N$18</f>
        <v/>
      </c>
      <c r="BN64" s="84" t="str">
        <f>Ottobre25!$N$19</f>
        <v/>
      </c>
      <c r="BO64" s="84" t="str">
        <f>Ottobre25!$N$20</f>
        <v/>
      </c>
      <c r="BP64" s="85" t="str">
        <f>Ottobre25!$N$21</f>
        <v/>
      </c>
      <c r="BQ64" s="84" t="str">
        <f>Ottobre25!$N$22</f>
        <v/>
      </c>
      <c r="BR64" s="84" t="str">
        <f>Ottobre25!$N$23</f>
        <v/>
      </c>
      <c r="BS64" s="84" t="str">
        <f>Ottobre25!$N$24</f>
        <v/>
      </c>
      <c r="BT64" s="84" t="str">
        <f>Ottobre25!$N$25</f>
        <v/>
      </c>
      <c r="BU64" s="84" t="str">
        <f>Ottobre25!$N$26</f>
        <v/>
      </c>
      <c r="BV64" s="85" t="str">
        <f>Ottobre25!$N$27</f>
        <v/>
      </c>
      <c r="BW64" s="85" t="str">
        <f>Ottobre25!$N$28</f>
        <v/>
      </c>
      <c r="BX64" s="84" t="str">
        <f>Ottobre25!$N$29</f>
        <v/>
      </c>
      <c r="BY64" s="84" t="str">
        <f>Ottobre25!$N$30</f>
        <v/>
      </c>
      <c r="BZ64" s="84" t="str">
        <f>Ottobre25!$N$31</f>
        <v/>
      </c>
      <c r="CA64" s="86" t="str">
        <f>Ottobre25!$N$32</f>
        <v/>
      </c>
      <c r="CB64" s="78"/>
      <c r="CC64" s="79">
        <f>SUM(AW64:CA64)</f>
        <v>0</v>
      </c>
      <c r="CD64" s="80"/>
      <c r="CE64" s="78"/>
      <c r="CF64" s="81"/>
      <c r="CG64" s="81"/>
      <c r="CH64" s="81"/>
      <c r="CI64" s="81"/>
      <c r="CJ64" s="81"/>
      <c r="CK64" s="81"/>
      <c r="CL64" s="82"/>
      <c r="CM64" s="73"/>
      <c r="CN64" s="65"/>
      <c r="CO64" s="66"/>
      <c r="CP64" s="83" t="str">
        <f>Novembre25!$N$2</f>
        <v/>
      </c>
      <c r="CQ64" s="84" t="str">
        <f>Novembre25!$N$3</f>
        <v/>
      </c>
      <c r="CR64" s="84" t="str">
        <f>Novembre25!$N$4</f>
        <v/>
      </c>
      <c r="CS64" s="84" t="str">
        <f>Novembre25!$N$5</f>
        <v/>
      </c>
      <c r="CT64" s="85" t="str">
        <f>Novembre25!$N$6</f>
        <v/>
      </c>
      <c r="CU64" s="85" t="str">
        <f>Novembre25!$N$7</f>
        <v/>
      </c>
      <c r="CV64" s="84" t="str">
        <f>Novembre25!$N$8</f>
        <v/>
      </c>
      <c r="CW64" s="84" t="str">
        <f>Novembre25!$N$9</f>
        <v/>
      </c>
      <c r="CX64" s="84" t="str">
        <f>Novembre25!$N$10</f>
        <v/>
      </c>
      <c r="CY64" s="84" t="str">
        <f>Novembre25!$N$11</f>
        <v/>
      </c>
      <c r="CZ64" s="84" t="str">
        <f>Novembre25!$N$12</f>
        <v/>
      </c>
      <c r="DA64" s="84" t="str">
        <f>Novembre25!$N$13</f>
        <v/>
      </c>
      <c r="DB64" s="85" t="str">
        <f>Novembre25!$N$14</f>
        <v/>
      </c>
      <c r="DC64" s="84" t="str">
        <f>Novembre25!$N$15</f>
        <v/>
      </c>
      <c r="DD64" s="84" t="str">
        <f>Novembre25!$N$16</f>
        <v/>
      </c>
      <c r="DE64" s="84" t="str">
        <f>Novembre25!$N$17</f>
        <v/>
      </c>
      <c r="DF64" s="84" t="str">
        <f>Novembre25!$N$18</f>
        <v/>
      </c>
      <c r="DG64" s="84" t="str">
        <f>Novembre25!$N$19</f>
        <v/>
      </c>
      <c r="DH64" s="84" t="str">
        <f>Novembre25!$N$20</f>
        <v/>
      </c>
      <c r="DI64" s="85" t="str">
        <f>Novembre25!$N$21</f>
        <v/>
      </c>
      <c r="DJ64" s="84" t="str">
        <f>Novembre25!$N$22</f>
        <v/>
      </c>
      <c r="DK64" s="84" t="str">
        <f>Novembre25!$N$23</f>
        <v/>
      </c>
      <c r="DL64" s="84" t="str">
        <f>Novembre25!$N$24</f>
        <v/>
      </c>
      <c r="DM64" s="84" t="str">
        <f>Novembre25!$N$25</f>
        <v/>
      </c>
      <c r="DN64" s="84" t="str">
        <f>Novembre25!$N$26</f>
        <v/>
      </c>
      <c r="DO64" s="85" t="str">
        <f>Novembre25!$N$27</f>
        <v/>
      </c>
      <c r="DP64" s="85" t="str">
        <f>Novembre25!$N$28</f>
        <v/>
      </c>
      <c r="DQ64" s="84" t="str">
        <f>Novembre25!$N$29</f>
        <v/>
      </c>
      <c r="DR64" s="84" t="str">
        <f>Novembre25!$N$30</f>
        <v/>
      </c>
      <c r="DS64" s="84" t="str">
        <f>Novembre25!$N$31</f>
        <v/>
      </c>
      <c r="DT64" s="86" t="str">
        <f>Novembre25!$N$32</f>
        <v/>
      </c>
      <c r="DU64" s="78"/>
      <c r="DV64" s="79">
        <f>SUM(CP64:DT64)</f>
        <v>0</v>
      </c>
      <c r="DW64" s="80"/>
      <c r="DX64" s="78"/>
      <c r="DY64" s="81"/>
      <c r="DZ64" s="81"/>
      <c r="EA64" s="81"/>
      <c r="EB64" s="81"/>
      <c r="EC64" s="81"/>
      <c r="ED64" s="81"/>
      <c r="EE64" s="80"/>
      <c r="EF64" s="73"/>
      <c r="EG64" s="65"/>
      <c r="EH64" s="66"/>
      <c r="EI64" s="83" t="str">
        <f>Dicembre25!$N$2</f>
        <v/>
      </c>
      <c r="EJ64" s="84" t="str">
        <f>Dicembre25!$N$3</f>
        <v/>
      </c>
      <c r="EK64" s="84" t="str">
        <f>Dicembre25!$N$4</f>
        <v/>
      </c>
      <c r="EL64" s="84" t="str">
        <f>Dicembre25!$N$5</f>
        <v/>
      </c>
      <c r="EM64" s="85" t="str">
        <f>Dicembre25!$N$6</f>
        <v/>
      </c>
      <c r="EN64" s="85" t="str">
        <f>Dicembre25!$N$7</f>
        <v/>
      </c>
      <c r="EO64" s="84" t="str">
        <f>Dicembre25!$N$8</f>
        <v/>
      </c>
      <c r="EP64" s="84" t="str">
        <f>Dicembre25!$N$9</f>
        <v/>
      </c>
      <c r="EQ64" s="84" t="str">
        <f>Dicembre25!$N$10</f>
        <v/>
      </c>
      <c r="ER64" s="84" t="str">
        <f>Dicembre25!$N$11</f>
        <v/>
      </c>
      <c r="ES64" s="84" t="str">
        <f>Dicembre25!$N$12</f>
        <v/>
      </c>
      <c r="ET64" s="84" t="str">
        <f>Dicembre25!$N$13</f>
        <v/>
      </c>
      <c r="EU64" s="85" t="str">
        <f>Dicembre25!$N$14</f>
        <v/>
      </c>
      <c r="EV64" s="84" t="str">
        <f>Dicembre25!$N$15</f>
        <v/>
      </c>
      <c r="EW64" s="84" t="str">
        <f>Dicembre25!$N$16</f>
        <v/>
      </c>
      <c r="EX64" s="84" t="str">
        <f>Dicembre25!$N$17</f>
        <v/>
      </c>
      <c r="EY64" s="84" t="str">
        <f>Dicembre25!$N$18</f>
        <v/>
      </c>
      <c r="EZ64" s="84" t="str">
        <f>Dicembre25!$N$19</f>
        <v/>
      </c>
      <c r="FA64" s="84" t="str">
        <f>Dicembre25!$N$20</f>
        <v/>
      </c>
      <c r="FB64" s="85" t="str">
        <f>Dicembre25!$N$21</f>
        <v/>
      </c>
      <c r="FC64" s="84" t="str">
        <f>Dicembre25!$N$22</f>
        <v/>
      </c>
      <c r="FD64" s="84" t="str">
        <f>Dicembre25!$N$23</f>
        <v/>
      </c>
      <c r="FE64" s="84" t="str">
        <f>Dicembre25!$N$24</f>
        <v/>
      </c>
      <c r="FF64" s="84" t="str">
        <f>Dicembre25!$N$25</f>
        <v/>
      </c>
      <c r="FG64" s="84" t="str">
        <f>Dicembre25!$N$26</f>
        <v/>
      </c>
      <c r="FH64" s="85" t="str">
        <f>Dicembre25!$N$27</f>
        <v/>
      </c>
      <c r="FI64" s="85" t="str">
        <f>Dicembre25!$N$28</f>
        <v/>
      </c>
      <c r="FJ64" s="84" t="str">
        <f>Dicembre25!$N$29</f>
        <v/>
      </c>
      <c r="FK64" s="84" t="str">
        <f>Dicembre25!$N$30</f>
        <v/>
      </c>
      <c r="FL64" s="84" t="str">
        <f>Dicembre25!$N$31</f>
        <v/>
      </c>
      <c r="FM64" s="86" t="str">
        <f>Dicembre25!$N$32</f>
        <v/>
      </c>
      <c r="FN64" s="78"/>
      <c r="FO64" s="79">
        <f>SUM(EI64:FM64)</f>
        <v>0</v>
      </c>
      <c r="FP64" s="80"/>
      <c r="FQ64" s="78"/>
      <c r="FR64" s="81"/>
      <c r="FS64" s="81"/>
      <c r="FT64" s="81"/>
      <c r="FU64" s="81"/>
      <c r="FV64" s="81"/>
      <c r="FW64" s="81"/>
      <c r="FX64" s="80"/>
      <c r="FY64" s="73"/>
      <c r="FZ64" s="65"/>
      <c r="GA64" s="66"/>
      <c r="GB64" s="83" t="str">
        <f>Gennaio26!$N$2</f>
        <v/>
      </c>
      <c r="GC64" s="84" t="str">
        <f>Gennaio26!$N$3</f>
        <v/>
      </c>
      <c r="GD64" s="84" t="str">
        <f>Gennaio26!$N$4</f>
        <v/>
      </c>
      <c r="GE64" s="84" t="str">
        <f>Gennaio26!$N$5</f>
        <v/>
      </c>
      <c r="GF64" s="85" t="str">
        <f>Gennaio26!$N$6</f>
        <v/>
      </c>
      <c r="GG64" s="85" t="str">
        <f>Gennaio26!$N$7</f>
        <v/>
      </c>
      <c r="GH64" s="84" t="str">
        <f>Gennaio26!$N$8</f>
        <v/>
      </c>
      <c r="GI64" s="84" t="str">
        <f>Gennaio26!$N$9</f>
        <v/>
      </c>
      <c r="GJ64" s="84" t="str">
        <f>Gennaio26!$N$10</f>
        <v/>
      </c>
      <c r="GK64" s="84" t="str">
        <f>Gennaio26!$N$11</f>
        <v/>
      </c>
      <c r="GL64" s="84" t="str">
        <f>Gennaio26!$N$12</f>
        <v/>
      </c>
      <c r="GM64" s="84" t="str">
        <f>Gennaio26!$N$13</f>
        <v/>
      </c>
      <c r="GN64" s="85" t="str">
        <f>Gennaio26!$N$14</f>
        <v/>
      </c>
      <c r="GO64" s="84" t="str">
        <f>Gennaio26!$N$15</f>
        <v/>
      </c>
      <c r="GP64" s="84" t="str">
        <f>Gennaio26!$N$16</f>
        <v/>
      </c>
      <c r="GQ64" s="84" t="str">
        <f>Gennaio26!$N$17</f>
        <v/>
      </c>
      <c r="GR64" s="84" t="str">
        <f>Gennaio26!$N$18</f>
        <v/>
      </c>
      <c r="GS64" s="84" t="str">
        <f>Gennaio26!$N$19</f>
        <v/>
      </c>
      <c r="GT64" s="84" t="str">
        <f>Gennaio26!$N$20</f>
        <v/>
      </c>
      <c r="GU64" s="85" t="str">
        <f>Gennaio26!$N$21</f>
        <v/>
      </c>
      <c r="GV64" s="84" t="str">
        <f>Gennaio26!$N$22</f>
        <v/>
      </c>
      <c r="GW64" s="84" t="str">
        <f>Gennaio26!$N$23</f>
        <v/>
      </c>
      <c r="GX64" s="84" t="str">
        <f>Gennaio26!$N$24</f>
        <v/>
      </c>
      <c r="GY64" s="84" t="str">
        <f>Gennaio26!$N$25</f>
        <v/>
      </c>
      <c r="GZ64" s="84" t="str">
        <f>Gennaio26!$N$26</f>
        <v/>
      </c>
      <c r="HA64" s="85" t="str">
        <f>Gennaio26!$N$27</f>
        <v/>
      </c>
      <c r="HB64" s="85" t="str">
        <f>Gennaio26!$N$28</f>
        <v/>
      </c>
      <c r="HC64" s="84" t="str">
        <f>Gennaio26!$N$29</f>
        <v/>
      </c>
      <c r="HD64" s="84" t="str">
        <f>Gennaio26!$N$30</f>
        <v/>
      </c>
      <c r="HE64" s="84" t="str">
        <f>Gennaio26!$N$31</f>
        <v/>
      </c>
      <c r="HF64" s="86" t="str">
        <f>Gennaio26!$N$32</f>
        <v/>
      </c>
      <c r="HG64" s="78"/>
      <c r="HH64" s="79">
        <f>SUM(GB64:HF64)</f>
        <v>0</v>
      </c>
      <c r="HI64" s="80"/>
      <c r="HJ64" s="78"/>
      <c r="HK64" s="81"/>
      <c r="HL64" s="81"/>
      <c r="HM64" s="81"/>
      <c r="HN64" s="81"/>
      <c r="HO64" s="81"/>
      <c r="HP64" s="81"/>
      <c r="HQ64" s="80"/>
      <c r="HR64" s="73"/>
      <c r="HS64" s="65"/>
      <c r="HT64" s="66"/>
      <c r="HU64" s="83" t="str">
        <f>Febbraio26!$N$2</f>
        <v/>
      </c>
      <c r="HV64" s="84" t="str">
        <f>Febbraio26!$N$3</f>
        <v/>
      </c>
      <c r="HW64" s="84" t="str">
        <f>Febbraio26!$N$4</f>
        <v/>
      </c>
      <c r="HX64" s="84" t="str">
        <f>Febbraio26!$N$5</f>
        <v/>
      </c>
      <c r="HY64" s="85" t="str">
        <f>Febbraio26!$N$6</f>
        <v/>
      </c>
      <c r="HZ64" s="85" t="str">
        <f>Febbraio26!$N$7</f>
        <v/>
      </c>
      <c r="IA64" s="84" t="str">
        <f>Febbraio26!$N$8</f>
        <v/>
      </c>
      <c r="IB64" s="84" t="str">
        <f>Febbraio26!$N$9</f>
        <v/>
      </c>
      <c r="IC64" s="84" t="str">
        <f>Febbraio26!$N$10</f>
        <v/>
      </c>
      <c r="ID64" s="84" t="str">
        <f>Febbraio26!$N$11</f>
        <v/>
      </c>
      <c r="IE64" s="84" t="str">
        <f>Febbraio26!$N$12</f>
        <v/>
      </c>
      <c r="IF64" s="84" t="str">
        <f>Febbraio26!$N$13</f>
        <v/>
      </c>
      <c r="IG64" s="85" t="str">
        <f>Febbraio26!$N$14</f>
        <v/>
      </c>
      <c r="IH64" s="84" t="str">
        <f>Febbraio26!$N$15</f>
        <v/>
      </c>
      <c r="II64" s="84" t="str">
        <f>Febbraio26!$N$16</f>
        <v/>
      </c>
      <c r="IJ64" s="84" t="str">
        <f>Febbraio26!$N$17</f>
        <v/>
      </c>
      <c r="IK64" s="84" t="str">
        <f>Febbraio26!$N$18</f>
        <v/>
      </c>
      <c r="IL64" s="84" t="str">
        <f>Febbraio26!$N$19</f>
        <v/>
      </c>
      <c r="IM64" s="84" t="str">
        <f>Febbraio26!$N$20</f>
        <v/>
      </c>
      <c r="IN64" s="85" t="str">
        <f>Febbraio26!$N$21</f>
        <v/>
      </c>
      <c r="IO64" s="84" t="str">
        <f>Febbraio26!$N$22</f>
        <v/>
      </c>
      <c r="IP64" s="84" t="str">
        <f>Febbraio26!$N$23</f>
        <v/>
      </c>
      <c r="IQ64" s="84" t="str">
        <f>Febbraio26!$N$24</f>
        <v/>
      </c>
      <c r="IR64" s="84" t="str">
        <f>Febbraio26!$N$25</f>
        <v/>
      </c>
      <c r="IS64" s="84" t="str">
        <f>Febbraio26!$N$26</f>
        <v/>
      </c>
      <c r="IT64" s="85" t="str">
        <f>Febbraio26!$N$27</f>
        <v/>
      </c>
      <c r="IU64" s="85" t="str">
        <f>Febbraio26!$N$28</f>
        <v/>
      </c>
      <c r="IV64" s="84" t="str">
        <f>Febbraio26!$N$29</f>
        <v/>
      </c>
      <c r="IW64" s="84" t="str">
        <f>Febbraio26!$N$30</f>
        <v/>
      </c>
      <c r="IX64" s="84" t="str">
        <f>Febbraio26!$N$31</f>
        <v/>
      </c>
      <c r="IY64" s="86" t="str">
        <f>Febbraio26!$N$32</f>
        <v/>
      </c>
      <c r="IZ64" s="78"/>
      <c r="JA64" s="79">
        <f>SUM(HU64:IY64)</f>
        <v>0</v>
      </c>
      <c r="JB64" s="80"/>
      <c r="JC64" s="78"/>
      <c r="JD64" s="81"/>
      <c r="JE64" s="81"/>
      <c r="JF64" s="81"/>
      <c r="JG64" s="81"/>
      <c r="JH64" s="81"/>
      <c r="JI64" s="81"/>
      <c r="JJ64" s="80"/>
      <c r="JK64" s="73"/>
      <c r="JL64" s="65"/>
      <c r="JM64" s="66"/>
      <c r="JN64" s="83" t="str">
        <f>Marzo26!$N$2</f>
        <v/>
      </c>
      <c r="JO64" s="84">
        <f>Marzo26!$N$3</f>
        <v>8</v>
      </c>
      <c r="JP64" s="84">
        <f>Marzo26!$N$4</f>
        <v>8</v>
      </c>
      <c r="JQ64" s="84">
        <f>Marzo26!$N$5</f>
        <v>8</v>
      </c>
      <c r="JR64" s="85">
        <f>Marzo26!$N$6</f>
        <v>8</v>
      </c>
      <c r="JS64" s="85">
        <f>Marzo26!$N$7</f>
        <v>8</v>
      </c>
      <c r="JT64" s="84" t="str">
        <f>Marzo26!$N$8</f>
        <v/>
      </c>
      <c r="JU64" s="84" t="str">
        <f>Marzo26!$N$9</f>
        <v/>
      </c>
      <c r="JV64" s="84">
        <f>Marzo26!$N$10</f>
        <v>8</v>
      </c>
      <c r="JW64" s="84">
        <f>Marzo26!$N$11</f>
        <v>8</v>
      </c>
      <c r="JX64" s="84">
        <f>Marzo26!$N$12</f>
        <v>8</v>
      </c>
      <c r="JY64" s="84">
        <f>Marzo26!$N$13</f>
        <v>8</v>
      </c>
      <c r="JZ64" s="85">
        <f>Marzo26!$N$14</f>
        <v>8</v>
      </c>
      <c r="KA64" s="84" t="str">
        <f>Marzo26!$N$15</f>
        <v/>
      </c>
      <c r="KB64" s="84">
        <f>Marzo26!$N$16</f>
        <v>8</v>
      </c>
      <c r="KC64" s="84">
        <f>Marzo26!$N$17</f>
        <v>8</v>
      </c>
      <c r="KD64" s="84">
        <f>Marzo26!$N$18</f>
        <v>8</v>
      </c>
      <c r="KE64" s="84">
        <f>Marzo26!$N$19</f>
        <v>8</v>
      </c>
      <c r="KF64" s="84">
        <f>Marzo26!$N$20</f>
        <v>8</v>
      </c>
      <c r="KG64" s="85">
        <f>Marzo26!$N$21</f>
        <v>8</v>
      </c>
      <c r="KH64" s="84">
        <f>Marzo26!$N$22</f>
        <v>8</v>
      </c>
      <c r="KI64" s="84" t="str">
        <f>Marzo26!$N$23</f>
        <v/>
      </c>
      <c r="KJ64" s="84">
        <f>Marzo26!$N$24</f>
        <v>8</v>
      </c>
      <c r="KK64" s="84">
        <f>Marzo26!$N$25</f>
        <v>8</v>
      </c>
      <c r="KL64" s="84">
        <f>Marzo26!$N$26</f>
        <v>8</v>
      </c>
      <c r="KM64" s="85">
        <f>Marzo26!$N$27</f>
        <v>8</v>
      </c>
      <c r="KN64" s="85">
        <f>Marzo26!$N$28</f>
        <v>8</v>
      </c>
      <c r="KO64" s="84">
        <f>Marzo26!$N$29</f>
        <v>8</v>
      </c>
      <c r="KP64" s="84" t="str">
        <f>Marzo26!$N$30</f>
        <v/>
      </c>
      <c r="KQ64" s="84">
        <f>Marzo26!$N$31</f>
        <v>8</v>
      </c>
      <c r="KR64" s="86">
        <f>Marzo26!$N$32</f>
        <v>8</v>
      </c>
      <c r="KS64" s="78"/>
      <c r="KT64" s="79">
        <f>SUM(JN64:KR64)</f>
        <v>200</v>
      </c>
      <c r="KU64" s="80"/>
      <c r="KV64" s="78"/>
      <c r="KW64" s="81"/>
      <c r="KX64" s="81"/>
      <c r="KY64" s="81"/>
      <c r="KZ64" s="81"/>
      <c r="LA64" s="81"/>
      <c r="LB64" s="81"/>
      <c r="LC64" s="80"/>
      <c r="LD64" s="73"/>
      <c r="LE64" s="65"/>
      <c r="LF64" s="66"/>
      <c r="LG64" s="83" t="str">
        <f>Aprile26!$N$2</f>
        <v/>
      </c>
      <c r="LH64" s="84" t="str">
        <f>Aprile26!$N$3</f>
        <v/>
      </c>
      <c r="LI64" s="84" t="str">
        <f>Aprile26!$N$4</f>
        <v/>
      </c>
      <c r="LJ64" s="84" t="str">
        <f>Aprile26!$N$5</f>
        <v/>
      </c>
      <c r="LK64" s="85" t="str">
        <f>Aprile26!$N$6</f>
        <v/>
      </c>
      <c r="LL64" s="85" t="str">
        <f>Aprile26!$N$7</f>
        <v/>
      </c>
      <c r="LM64" s="84" t="str">
        <f>Aprile26!$N$8</f>
        <v/>
      </c>
      <c r="LN64" s="84" t="str">
        <f>Aprile26!$N$9</f>
        <v/>
      </c>
      <c r="LO64" s="84" t="str">
        <f>Aprile26!$N$10</f>
        <v/>
      </c>
      <c r="LP64" s="84" t="str">
        <f>Aprile26!$N$11</f>
        <v/>
      </c>
      <c r="LQ64" s="84" t="str">
        <f>Aprile26!$N$12</f>
        <v/>
      </c>
      <c r="LR64" s="84" t="str">
        <f>Aprile26!$N$13</f>
        <v/>
      </c>
      <c r="LS64" s="85" t="str">
        <f>Aprile26!$N$14</f>
        <v/>
      </c>
      <c r="LT64" s="84" t="str">
        <f>Aprile26!$N$15</f>
        <v/>
      </c>
      <c r="LU64" s="84" t="str">
        <f>Aprile26!$N$16</f>
        <v/>
      </c>
      <c r="LV64" s="84" t="str">
        <f>Aprile26!$N$17</f>
        <v/>
      </c>
      <c r="LW64" s="84" t="str">
        <f>Aprile26!$N$18</f>
        <v/>
      </c>
      <c r="LX64" s="84" t="str">
        <f>Aprile26!$N$19</f>
        <v/>
      </c>
      <c r="LY64" s="84" t="str">
        <f>Aprile26!$N$20</f>
        <v/>
      </c>
      <c r="LZ64" s="85" t="str">
        <f>Aprile26!$N$21</f>
        <v/>
      </c>
      <c r="MA64" s="84" t="str">
        <f>Aprile26!$N$22</f>
        <v/>
      </c>
      <c r="MB64" s="84" t="str">
        <f>Aprile26!$N$23</f>
        <v/>
      </c>
      <c r="MC64" s="84" t="str">
        <f>Aprile26!$N$24</f>
        <v/>
      </c>
      <c r="MD64" s="84" t="str">
        <f>Aprile26!$N$25</f>
        <v/>
      </c>
      <c r="ME64" s="84" t="str">
        <f>Aprile26!$N$26</f>
        <v/>
      </c>
      <c r="MF64" s="85" t="str">
        <f>Aprile26!$N$27</f>
        <v/>
      </c>
      <c r="MG64" s="85" t="str">
        <f>Aprile26!$N$28</f>
        <v/>
      </c>
      <c r="MH64" s="84" t="str">
        <f>Aprile26!$N$29</f>
        <v/>
      </c>
      <c r="MI64" s="84" t="str">
        <f>Aprile26!$N$30</f>
        <v/>
      </c>
      <c r="MJ64" s="84" t="str">
        <f>Aprile26!$N$31</f>
        <v/>
      </c>
      <c r="MK64" s="86" t="str">
        <f>Aprile26!$N$32</f>
        <v/>
      </c>
      <c r="ML64" s="78"/>
      <c r="MM64" s="79">
        <f>SUM(LG64:MK64)</f>
        <v>0</v>
      </c>
      <c r="MN64" s="80"/>
      <c r="MO64" s="78"/>
      <c r="MP64" s="81"/>
      <c r="MQ64" s="81"/>
      <c r="MR64" s="81"/>
      <c r="MS64" s="81"/>
      <c r="MT64" s="81"/>
      <c r="MU64" s="81"/>
      <c r="MV64" s="82"/>
      <c r="MW64" s="73"/>
      <c r="MX64" s="65"/>
      <c r="MY64" s="66"/>
      <c r="MZ64" s="83" t="str">
        <f>Maggio26!$N$2</f>
        <v/>
      </c>
      <c r="NA64" s="84" t="str">
        <f>Maggio26!$N$3</f>
        <v/>
      </c>
      <c r="NB64" s="84" t="str">
        <f>Maggio26!$N$4</f>
        <v/>
      </c>
      <c r="NC64" s="84" t="str">
        <f>Maggio26!$N$5</f>
        <v/>
      </c>
      <c r="ND64" s="85" t="str">
        <f>Maggio26!$N$6</f>
        <v/>
      </c>
      <c r="NE64" s="85" t="str">
        <f>Maggio26!$N$7</f>
        <v/>
      </c>
      <c r="NF64" s="84" t="str">
        <f>Maggio26!$N$8</f>
        <v/>
      </c>
      <c r="NG64" s="84" t="str">
        <f>Maggio26!$N$9</f>
        <v/>
      </c>
      <c r="NH64" s="84" t="str">
        <f>Maggio26!$N$10</f>
        <v/>
      </c>
      <c r="NI64" s="84" t="str">
        <f>Maggio26!$N$11</f>
        <v/>
      </c>
      <c r="NJ64" s="84" t="str">
        <f>Maggio26!$N$12</f>
        <v/>
      </c>
      <c r="NK64" s="84" t="str">
        <f>Maggio26!$N$13</f>
        <v/>
      </c>
      <c r="NL64" s="85" t="str">
        <f>Maggio26!$N$14</f>
        <v/>
      </c>
      <c r="NM64" s="84" t="str">
        <f>Maggio26!$N$15</f>
        <v/>
      </c>
      <c r="NN64" s="84" t="str">
        <f>Maggio26!$N$16</f>
        <v/>
      </c>
      <c r="NO64" s="84" t="str">
        <f>Maggio26!$N$17</f>
        <v/>
      </c>
      <c r="NP64" s="84" t="str">
        <f>Maggio26!$N$18</f>
        <v/>
      </c>
      <c r="NQ64" s="84" t="str">
        <f>Maggio26!$N$19</f>
        <v/>
      </c>
      <c r="NR64" s="84" t="str">
        <f>Maggio26!$N$20</f>
        <v/>
      </c>
      <c r="NS64" s="85" t="str">
        <f>Maggio26!$N$21</f>
        <v/>
      </c>
      <c r="NT64" s="84" t="str">
        <f>Maggio26!$N$22</f>
        <v/>
      </c>
      <c r="NU64" s="84" t="str">
        <f>Maggio26!$N$23</f>
        <v/>
      </c>
      <c r="NV64" s="84" t="str">
        <f>Maggio26!$N$24</f>
        <v/>
      </c>
      <c r="NW64" s="84" t="str">
        <f>Maggio26!$N$25</f>
        <v/>
      </c>
      <c r="NX64" s="84" t="str">
        <f>Maggio26!$N$26</f>
        <v/>
      </c>
      <c r="NY64" s="85" t="str">
        <f>Maggio26!$N$27</f>
        <v/>
      </c>
      <c r="NZ64" s="85" t="str">
        <f>Maggio26!$N$28</f>
        <v/>
      </c>
      <c r="OA64" s="84" t="str">
        <f>Maggio26!$N$29</f>
        <v/>
      </c>
      <c r="OB64" s="84" t="str">
        <f>Maggio26!$N$30</f>
        <v/>
      </c>
      <c r="OC64" s="84" t="str">
        <f>Maggio26!$N$31</f>
        <v/>
      </c>
      <c r="OD64" s="86" t="str">
        <f>Maggio26!$N$32</f>
        <v/>
      </c>
      <c r="OE64" s="78"/>
      <c r="OF64" s="79">
        <f>SUM(MZ64:OD64)</f>
        <v>0</v>
      </c>
      <c r="OG64" s="80"/>
      <c r="OH64" s="78"/>
      <c r="OI64" s="81"/>
      <c r="OJ64" s="81"/>
      <c r="OK64" s="81"/>
      <c r="OL64" s="81"/>
      <c r="OM64" s="81"/>
      <c r="ON64" s="81"/>
      <c r="OO64" s="82"/>
      <c r="OP64" s="73"/>
      <c r="OQ64" s="65"/>
      <c r="OR64" s="66"/>
      <c r="OS64" s="83" t="str">
        <f>Giugno26!$N$2</f>
        <v/>
      </c>
      <c r="OT64" s="84" t="str">
        <f>Giugno26!$N$3</f>
        <v/>
      </c>
      <c r="OU64" s="84" t="str">
        <f>Giugno26!$N$4</f>
        <v/>
      </c>
      <c r="OV64" s="84" t="str">
        <f>Giugno26!$N$5</f>
        <v/>
      </c>
      <c r="OW64" s="85" t="str">
        <f>Giugno26!$N$6</f>
        <v/>
      </c>
      <c r="OX64" s="85" t="str">
        <f>Giugno26!$N$7</f>
        <v/>
      </c>
      <c r="OY64" s="84" t="str">
        <f>Giugno26!$N$8</f>
        <v/>
      </c>
      <c r="OZ64" s="84" t="str">
        <f>Giugno26!$N$9</f>
        <v/>
      </c>
      <c r="PA64" s="84" t="str">
        <f>Giugno26!$N$10</f>
        <v/>
      </c>
      <c r="PB64" s="84" t="str">
        <f>Giugno26!$N$11</f>
        <v/>
      </c>
      <c r="PC64" s="84" t="str">
        <f>Giugno26!$N$12</f>
        <v/>
      </c>
      <c r="PD64" s="84" t="str">
        <f>Giugno26!$N$13</f>
        <v/>
      </c>
      <c r="PE64" s="85" t="str">
        <f>Giugno26!$N$14</f>
        <v/>
      </c>
      <c r="PF64" s="84" t="str">
        <f>Giugno26!$N$15</f>
        <v/>
      </c>
      <c r="PG64" s="84" t="str">
        <f>Giugno26!$N$16</f>
        <v/>
      </c>
      <c r="PH64" s="84" t="str">
        <f>Giugno26!$N$17</f>
        <v/>
      </c>
      <c r="PI64" s="84" t="str">
        <f>Giugno26!$N$18</f>
        <v/>
      </c>
      <c r="PJ64" s="84" t="str">
        <f>Giugno26!$N$19</f>
        <v/>
      </c>
      <c r="PK64" s="84" t="str">
        <f>Giugno26!$N$20</f>
        <v/>
      </c>
      <c r="PL64" s="85" t="str">
        <f>Giugno26!$N$21</f>
        <v/>
      </c>
      <c r="PM64" s="84" t="str">
        <f>Giugno26!$N$22</f>
        <v/>
      </c>
      <c r="PN64" s="84" t="str">
        <f>Giugno26!$N$23</f>
        <v/>
      </c>
      <c r="PO64" s="84" t="str">
        <f>Giugno26!$N$24</f>
        <v/>
      </c>
      <c r="PP64" s="84" t="str">
        <f>Giugno26!$N$25</f>
        <v/>
      </c>
      <c r="PQ64" s="84" t="str">
        <f>Giugno26!$N$26</f>
        <v/>
      </c>
      <c r="PR64" s="85" t="str">
        <f>Giugno26!$N$27</f>
        <v/>
      </c>
      <c r="PS64" s="85" t="str">
        <f>Giugno26!$N$28</f>
        <v/>
      </c>
      <c r="PT64" s="84" t="str">
        <f>Giugno26!$N$29</f>
        <v/>
      </c>
      <c r="PU64" s="84" t="str">
        <f>Giugno26!$N$30</f>
        <v/>
      </c>
      <c r="PV64" s="84" t="str">
        <f>Giugno26!$N$31</f>
        <v/>
      </c>
      <c r="PW64" s="86" t="str">
        <f>Giugno26!$N$32</f>
        <v/>
      </c>
      <c r="PX64" s="78"/>
      <c r="PY64" s="79">
        <f>SUM(OS64:PW64)</f>
        <v>0</v>
      </c>
      <c r="PZ64" s="80"/>
      <c r="QA64" s="78"/>
      <c r="QB64" s="81"/>
      <c r="QC64" s="81"/>
      <c r="QD64" s="81"/>
      <c r="QE64" s="81"/>
      <c r="QF64" s="81"/>
      <c r="QG64" s="81"/>
      <c r="QH64" s="82"/>
      <c r="QI64" s="73"/>
      <c r="QJ64" s="65"/>
      <c r="QK64" s="66"/>
      <c r="QL64" s="83" t="str">
        <f>Luglio26!$N$2</f>
        <v/>
      </c>
      <c r="QM64" s="84" t="str">
        <f>Luglio26!$N$3</f>
        <v/>
      </c>
      <c r="QN64" s="84" t="str">
        <f>Luglio26!$N$4</f>
        <v/>
      </c>
      <c r="QO64" s="84" t="str">
        <f>Luglio26!$N$5</f>
        <v/>
      </c>
      <c r="QP64" s="85" t="str">
        <f>Luglio26!$N$6</f>
        <v/>
      </c>
      <c r="QQ64" s="85" t="str">
        <f>Luglio26!$N$7</f>
        <v/>
      </c>
      <c r="QR64" s="84" t="str">
        <f>Luglio26!$N$8</f>
        <v/>
      </c>
      <c r="QS64" s="84" t="str">
        <f>Luglio26!$N$9</f>
        <v/>
      </c>
      <c r="QT64" s="84" t="str">
        <f>Luglio26!$N$10</f>
        <v/>
      </c>
      <c r="QU64" s="84" t="str">
        <f>Luglio26!$N$11</f>
        <v/>
      </c>
      <c r="QV64" s="84" t="str">
        <f>Luglio26!$N$12</f>
        <v/>
      </c>
      <c r="QW64" s="84" t="str">
        <f>Luglio26!$N$13</f>
        <v/>
      </c>
      <c r="QX64" s="85" t="str">
        <f>Luglio26!$N$14</f>
        <v/>
      </c>
      <c r="QY64" s="84" t="str">
        <f>Luglio26!$N$15</f>
        <v/>
      </c>
      <c r="QZ64" s="84" t="str">
        <f>Luglio26!$N$16</f>
        <v/>
      </c>
      <c r="RA64" s="84" t="str">
        <f>Luglio26!$N$17</f>
        <v/>
      </c>
      <c r="RB64" s="84" t="str">
        <f>Luglio26!$N$18</f>
        <v/>
      </c>
      <c r="RC64" s="84" t="str">
        <f>Luglio26!$N$19</f>
        <v/>
      </c>
      <c r="RD64" s="84" t="str">
        <f>Luglio26!$N$20</f>
        <v/>
      </c>
      <c r="RE64" s="85" t="str">
        <f>Luglio26!$N$21</f>
        <v/>
      </c>
      <c r="RF64" s="84" t="str">
        <f>Luglio26!$N$22</f>
        <v/>
      </c>
      <c r="RG64" s="84" t="str">
        <f>Luglio26!$N$23</f>
        <v/>
      </c>
      <c r="RH64" s="84" t="str">
        <f>Luglio26!$N$24</f>
        <v/>
      </c>
      <c r="RI64" s="84" t="str">
        <f>Luglio26!$N$25</f>
        <v/>
      </c>
      <c r="RJ64" s="84" t="str">
        <f>Luglio26!$N$26</f>
        <v/>
      </c>
      <c r="RK64" s="85" t="str">
        <f>Luglio26!$N$27</f>
        <v/>
      </c>
      <c r="RL64" s="85" t="str">
        <f>Luglio26!$N$28</f>
        <v/>
      </c>
      <c r="RM64" s="84" t="str">
        <f>Luglio26!$N$29</f>
        <v/>
      </c>
      <c r="RN64" s="84" t="str">
        <f>Luglio26!$N$30</f>
        <v/>
      </c>
      <c r="RO64" s="84" t="str">
        <f>Luglio26!$N$31</f>
        <v/>
      </c>
      <c r="RP64" s="86" t="str">
        <f>Luglio26!$N$32</f>
        <v/>
      </c>
      <c r="RQ64" s="78"/>
      <c r="RR64" s="79">
        <f>SUM(QL64:RP64)</f>
        <v>0</v>
      </c>
      <c r="RS64" s="80"/>
      <c r="RT64" s="78"/>
      <c r="RU64" s="81"/>
      <c r="RV64" s="81"/>
      <c r="RW64" s="81"/>
      <c r="RX64" s="81"/>
      <c r="RY64" s="81"/>
      <c r="RZ64" s="81"/>
      <c r="SA64" s="82"/>
      <c r="SB64" s="73"/>
      <c r="SC64" s="65"/>
      <c r="SD64" s="66"/>
      <c r="SE64" s="83" t="str">
        <f>Agosto26!$N$2</f>
        <v/>
      </c>
      <c r="SF64" s="84" t="str">
        <f>Agosto26!$N$3</f>
        <v/>
      </c>
      <c r="SG64" s="84" t="str">
        <f>Agosto26!$N$4</f>
        <v/>
      </c>
      <c r="SH64" s="84" t="str">
        <f>Agosto26!$N$5</f>
        <v/>
      </c>
      <c r="SI64" s="85" t="str">
        <f>Agosto26!$N$6</f>
        <v/>
      </c>
      <c r="SJ64" s="85" t="str">
        <f>Agosto26!$N$7</f>
        <v/>
      </c>
      <c r="SK64" s="84" t="str">
        <f>Agosto26!$N$8</f>
        <v/>
      </c>
      <c r="SL64" s="84" t="str">
        <f>Agosto26!$N$9</f>
        <v/>
      </c>
      <c r="SM64" s="84" t="str">
        <f>Agosto26!$N$10</f>
        <v/>
      </c>
      <c r="SN64" s="84" t="str">
        <f>Agosto26!$N$11</f>
        <v/>
      </c>
      <c r="SO64" s="84" t="str">
        <f>Agosto26!$N$12</f>
        <v/>
      </c>
      <c r="SP64" s="84" t="str">
        <f>Agosto26!$N$13</f>
        <v/>
      </c>
      <c r="SQ64" s="85" t="str">
        <f>Agosto26!$N$14</f>
        <v/>
      </c>
      <c r="SR64" s="84" t="str">
        <f>Agosto26!$N$15</f>
        <v/>
      </c>
      <c r="SS64" s="84" t="str">
        <f>Agosto26!$N$16</f>
        <v/>
      </c>
      <c r="ST64" s="84" t="str">
        <f>Agosto26!$N$17</f>
        <v/>
      </c>
      <c r="SU64" s="84" t="str">
        <f>Agosto26!$N$18</f>
        <v/>
      </c>
      <c r="SV64" s="84" t="str">
        <f>Agosto26!$N$19</f>
        <v/>
      </c>
      <c r="SW64" s="84" t="str">
        <f>Agosto26!$N$20</f>
        <v/>
      </c>
      <c r="SX64" s="85" t="str">
        <f>Agosto26!$N$21</f>
        <v/>
      </c>
      <c r="SY64" s="84" t="str">
        <f>Agosto26!$N$22</f>
        <v/>
      </c>
      <c r="SZ64" s="84" t="str">
        <f>Agosto26!$N$23</f>
        <v/>
      </c>
      <c r="TA64" s="84" t="str">
        <f>Agosto26!$N$24</f>
        <v/>
      </c>
      <c r="TB64" s="84" t="str">
        <f>Agosto26!$N$25</f>
        <v/>
      </c>
      <c r="TC64" s="84" t="str">
        <f>Agosto26!$N$26</f>
        <v/>
      </c>
      <c r="TD64" s="85" t="str">
        <f>Agosto26!$N$27</f>
        <v/>
      </c>
      <c r="TE64" s="85" t="str">
        <f>Agosto26!$N$28</f>
        <v/>
      </c>
      <c r="TF64" s="84" t="str">
        <f>Agosto26!$N$29</f>
        <v/>
      </c>
      <c r="TG64" s="84" t="str">
        <f>Agosto26!$N$30</f>
        <v/>
      </c>
      <c r="TH64" s="84" t="str">
        <f>Agosto26!$N$31</f>
        <v/>
      </c>
      <c r="TI64" s="86" t="str">
        <f>Agosto26!$N$32</f>
        <v/>
      </c>
      <c r="TJ64" s="78"/>
      <c r="TK64" s="79">
        <f>SUM(SE64:TI64)</f>
        <v>0</v>
      </c>
      <c r="TL64" s="80"/>
      <c r="TM64" s="78"/>
      <c r="TN64" s="81"/>
      <c r="TO64" s="81"/>
      <c r="TP64" s="81"/>
      <c r="TQ64" s="81"/>
      <c r="TR64" s="81"/>
      <c r="TS64" s="81"/>
      <c r="TT64" s="80"/>
    </row>
    <row r="65" ht="24.75" hidden="1" customHeight="1" outlineLevel="1">
      <c r="A65" s="91" t="s">
        <v>39</v>
      </c>
      <c r="B65" s="65"/>
      <c r="C65" s="66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93"/>
      <c r="AI65" s="78"/>
      <c r="AJ65" s="81"/>
      <c r="AK65" s="94">
        <f>SUM(D65:AG65)</f>
        <v>0</v>
      </c>
      <c r="AL65" s="78"/>
      <c r="AM65" s="81"/>
      <c r="AN65" s="81"/>
      <c r="AO65" s="81"/>
      <c r="AP65" s="81"/>
      <c r="AQ65" s="81"/>
      <c r="AR65" s="81"/>
      <c r="AS65" s="82"/>
      <c r="AT65" s="91" t="s">
        <v>39</v>
      </c>
      <c r="AU65" s="65"/>
      <c r="AV65" s="66"/>
      <c r="AW65" s="92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95"/>
      <c r="CB65" s="78"/>
      <c r="CC65" s="81"/>
      <c r="CD65" s="94">
        <f>SUM(AW65:BZ65)</f>
        <v>0</v>
      </c>
      <c r="CE65" s="78"/>
      <c r="CF65" s="81"/>
      <c r="CG65" s="81"/>
      <c r="CH65" s="81"/>
      <c r="CI65" s="81"/>
      <c r="CJ65" s="81"/>
      <c r="CK65" s="81"/>
      <c r="CL65" s="82"/>
      <c r="CM65" s="91" t="s">
        <v>39</v>
      </c>
      <c r="CN65" s="65"/>
      <c r="CO65" s="66"/>
      <c r="CP65" s="92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95"/>
      <c r="DU65" s="78"/>
      <c r="DV65" s="81"/>
      <c r="DW65" s="94">
        <f>SUM(CP65:DS65)</f>
        <v>0</v>
      </c>
      <c r="DX65" s="78"/>
      <c r="DY65" s="81"/>
      <c r="DZ65" s="81"/>
      <c r="EA65" s="81"/>
      <c r="EB65" s="81"/>
      <c r="EC65" s="81"/>
      <c r="ED65" s="81"/>
      <c r="EE65" s="80"/>
      <c r="EF65" s="91" t="s">
        <v>39</v>
      </c>
      <c r="EG65" s="65"/>
      <c r="EH65" s="66"/>
      <c r="EI65" s="92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95"/>
      <c r="FN65" s="78"/>
      <c r="FO65" s="81"/>
      <c r="FP65" s="94">
        <f>SUM(EI65:FL65)</f>
        <v>0</v>
      </c>
      <c r="FQ65" s="78"/>
      <c r="FR65" s="81"/>
      <c r="FS65" s="81"/>
      <c r="FT65" s="81"/>
      <c r="FU65" s="81"/>
      <c r="FV65" s="81"/>
      <c r="FW65" s="81"/>
      <c r="FX65" s="80"/>
      <c r="FY65" s="91" t="s">
        <v>39</v>
      </c>
      <c r="FZ65" s="65"/>
      <c r="GA65" s="66"/>
      <c r="GB65" s="92"/>
      <c r="GC65" s="85"/>
      <c r="GD65" s="85"/>
      <c r="GE65" s="85"/>
      <c r="GF65" s="85"/>
      <c r="GG65" s="85"/>
      <c r="GH65" s="85"/>
      <c r="GI65" s="85"/>
      <c r="GJ65" s="85"/>
      <c r="GK65" s="85"/>
      <c r="GL65" s="85"/>
      <c r="GM65" s="85"/>
      <c r="GN65" s="85"/>
      <c r="GO65" s="85"/>
      <c r="GP65" s="85"/>
      <c r="GQ65" s="85"/>
      <c r="GR65" s="85"/>
      <c r="GS65" s="85"/>
      <c r="GT65" s="85"/>
      <c r="GU65" s="85"/>
      <c r="GV65" s="85"/>
      <c r="GW65" s="85"/>
      <c r="GX65" s="85"/>
      <c r="GY65" s="85"/>
      <c r="GZ65" s="85"/>
      <c r="HA65" s="85"/>
      <c r="HB65" s="85"/>
      <c r="HC65" s="85"/>
      <c r="HD65" s="85"/>
      <c r="HE65" s="85"/>
      <c r="HF65" s="95"/>
      <c r="HG65" s="78"/>
      <c r="HH65" s="81"/>
      <c r="HI65" s="94">
        <f>SUM(GB65:HE65)</f>
        <v>0</v>
      </c>
      <c r="HJ65" s="78"/>
      <c r="HK65" s="81"/>
      <c r="HL65" s="81"/>
      <c r="HM65" s="81"/>
      <c r="HN65" s="81"/>
      <c r="HO65" s="81"/>
      <c r="HP65" s="81"/>
      <c r="HQ65" s="80"/>
      <c r="HR65" s="91" t="s">
        <v>39</v>
      </c>
      <c r="HS65" s="65"/>
      <c r="HT65" s="66"/>
      <c r="HU65" s="92"/>
      <c r="HV65" s="85"/>
      <c r="HW65" s="85"/>
      <c r="HX65" s="85"/>
      <c r="HY65" s="85"/>
      <c r="HZ65" s="85"/>
      <c r="IA65" s="85"/>
      <c r="IB65" s="85"/>
      <c r="IC65" s="85"/>
      <c r="ID65" s="85"/>
      <c r="IE65" s="85"/>
      <c r="IF65" s="85"/>
      <c r="IG65" s="85"/>
      <c r="IH65" s="85"/>
      <c r="II65" s="85"/>
      <c r="IJ65" s="85"/>
      <c r="IK65" s="85"/>
      <c r="IL65" s="85"/>
      <c r="IM65" s="85"/>
      <c r="IN65" s="85"/>
      <c r="IO65" s="85"/>
      <c r="IP65" s="85"/>
      <c r="IQ65" s="85"/>
      <c r="IR65" s="85"/>
      <c r="IS65" s="85"/>
      <c r="IT65" s="85"/>
      <c r="IU65" s="85"/>
      <c r="IV65" s="85"/>
      <c r="IW65" s="85"/>
      <c r="IX65" s="85"/>
      <c r="IY65" s="95"/>
      <c r="IZ65" s="78"/>
      <c r="JA65" s="81"/>
      <c r="JB65" s="94">
        <f>SUM(HU65:IX65)</f>
        <v>0</v>
      </c>
      <c r="JC65" s="78"/>
      <c r="JD65" s="81"/>
      <c r="JE65" s="81"/>
      <c r="JF65" s="81"/>
      <c r="JG65" s="81"/>
      <c r="JH65" s="81"/>
      <c r="JI65" s="81"/>
      <c r="JJ65" s="80"/>
      <c r="JK65" s="91" t="s">
        <v>39</v>
      </c>
      <c r="JL65" s="65"/>
      <c r="JM65" s="66"/>
      <c r="JN65" s="92"/>
      <c r="JO65" s="85"/>
      <c r="JP65" s="85"/>
      <c r="JQ65" s="85"/>
      <c r="JR65" s="85"/>
      <c r="JS65" s="85"/>
      <c r="JT65" s="85"/>
      <c r="JU65" s="85"/>
      <c r="JV65" s="85"/>
      <c r="JW65" s="85"/>
      <c r="JX65" s="85"/>
      <c r="JY65" s="85"/>
      <c r="JZ65" s="85"/>
      <c r="KA65" s="85"/>
      <c r="KB65" s="85"/>
      <c r="KC65" s="85"/>
      <c r="KD65" s="85"/>
      <c r="KE65" s="85"/>
      <c r="KF65" s="85"/>
      <c r="KG65" s="85"/>
      <c r="KH65" s="85"/>
      <c r="KI65" s="85"/>
      <c r="KJ65" s="85"/>
      <c r="KK65" s="85"/>
      <c r="KL65" s="85"/>
      <c r="KM65" s="85"/>
      <c r="KN65" s="85"/>
      <c r="KO65" s="85"/>
      <c r="KP65" s="85"/>
      <c r="KQ65" s="85"/>
      <c r="KR65" s="95"/>
      <c r="KS65" s="78"/>
      <c r="KT65" s="81"/>
      <c r="KU65" s="94">
        <f>SUM(JN65:KQ65)</f>
        <v>0</v>
      </c>
      <c r="KV65" s="78"/>
      <c r="KW65" s="81"/>
      <c r="KX65" s="81"/>
      <c r="KY65" s="81"/>
      <c r="KZ65" s="81"/>
      <c r="LA65" s="81"/>
      <c r="LB65" s="81"/>
      <c r="LC65" s="80"/>
      <c r="LD65" s="91" t="s">
        <v>39</v>
      </c>
      <c r="LE65" s="65"/>
      <c r="LF65" s="66"/>
      <c r="LG65" s="92"/>
      <c r="LH65" s="85"/>
      <c r="LI65" s="85"/>
      <c r="LJ65" s="85"/>
      <c r="LK65" s="85"/>
      <c r="LL65" s="85"/>
      <c r="LM65" s="85"/>
      <c r="LN65" s="85"/>
      <c r="LO65" s="85"/>
      <c r="LP65" s="85"/>
      <c r="LQ65" s="85"/>
      <c r="LR65" s="85"/>
      <c r="LS65" s="85"/>
      <c r="LT65" s="85"/>
      <c r="LU65" s="85"/>
      <c r="LV65" s="85"/>
      <c r="LW65" s="85"/>
      <c r="LX65" s="85"/>
      <c r="LY65" s="85"/>
      <c r="LZ65" s="85"/>
      <c r="MA65" s="85"/>
      <c r="MB65" s="85"/>
      <c r="MC65" s="85"/>
      <c r="MD65" s="85"/>
      <c r="ME65" s="85"/>
      <c r="MF65" s="85"/>
      <c r="MG65" s="85"/>
      <c r="MH65" s="85"/>
      <c r="MI65" s="85"/>
      <c r="MJ65" s="85"/>
      <c r="MK65" s="95"/>
      <c r="ML65" s="78"/>
      <c r="MM65" s="81"/>
      <c r="MN65" s="94">
        <f>SUM(LG65:MJ65)</f>
        <v>0</v>
      </c>
      <c r="MO65" s="78"/>
      <c r="MP65" s="81"/>
      <c r="MQ65" s="81"/>
      <c r="MR65" s="81"/>
      <c r="MS65" s="81"/>
      <c r="MT65" s="81"/>
      <c r="MU65" s="81"/>
      <c r="MV65" s="82"/>
      <c r="MW65" s="91" t="s">
        <v>39</v>
      </c>
      <c r="MX65" s="65"/>
      <c r="MY65" s="66"/>
      <c r="MZ65" s="92"/>
      <c r="NA65" s="85"/>
      <c r="NB65" s="85"/>
      <c r="NC65" s="85"/>
      <c r="ND65" s="85"/>
      <c r="NE65" s="85"/>
      <c r="NF65" s="85"/>
      <c r="NG65" s="85"/>
      <c r="NH65" s="85"/>
      <c r="NI65" s="85"/>
      <c r="NJ65" s="85"/>
      <c r="NK65" s="85"/>
      <c r="NL65" s="85"/>
      <c r="NM65" s="85"/>
      <c r="NN65" s="85"/>
      <c r="NO65" s="85"/>
      <c r="NP65" s="85"/>
      <c r="NQ65" s="85"/>
      <c r="NR65" s="85"/>
      <c r="NS65" s="85"/>
      <c r="NT65" s="85"/>
      <c r="NU65" s="85"/>
      <c r="NV65" s="85"/>
      <c r="NW65" s="85"/>
      <c r="NX65" s="85"/>
      <c r="NY65" s="85"/>
      <c r="NZ65" s="85"/>
      <c r="OA65" s="85"/>
      <c r="OB65" s="85"/>
      <c r="OC65" s="85"/>
      <c r="OD65" s="95"/>
      <c r="OE65" s="78"/>
      <c r="OF65" s="81"/>
      <c r="OG65" s="94">
        <f>SUM(MZ65:OC65)</f>
        <v>0</v>
      </c>
      <c r="OH65" s="78"/>
      <c r="OI65" s="81"/>
      <c r="OJ65" s="81"/>
      <c r="OK65" s="81"/>
      <c r="OL65" s="81"/>
      <c r="OM65" s="81"/>
      <c r="ON65" s="81"/>
      <c r="OO65" s="82"/>
      <c r="OP65" s="91" t="s">
        <v>39</v>
      </c>
      <c r="OQ65" s="65"/>
      <c r="OR65" s="66"/>
      <c r="OS65" s="92"/>
      <c r="OT65" s="85"/>
      <c r="OU65" s="85"/>
      <c r="OV65" s="85"/>
      <c r="OW65" s="85"/>
      <c r="OX65" s="85"/>
      <c r="OY65" s="85"/>
      <c r="OZ65" s="85"/>
      <c r="PA65" s="85"/>
      <c r="PB65" s="85"/>
      <c r="PC65" s="85"/>
      <c r="PD65" s="85"/>
      <c r="PE65" s="85"/>
      <c r="PF65" s="85"/>
      <c r="PG65" s="85"/>
      <c r="PH65" s="85"/>
      <c r="PI65" s="85"/>
      <c r="PJ65" s="85"/>
      <c r="PK65" s="85"/>
      <c r="PL65" s="85"/>
      <c r="PM65" s="85"/>
      <c r="PN65" s="85"/>
      <c r="PO65" s="85"/>
      <c r="PP65" s="85"/>
      <c r="PQ65" s="85"/>
      <c r="PR65" s="85"/>
      <c r="PS65" s="85"/>
      <c r="PT65" s="85"/>
      <c r="PU65" s="85"/>
      <c r="PV65" s="85"/>
      <c r="PW65" s="95"/>
      <c r="PX65" s="78"/>
      <c r="PY65" s="81"/>
      <c r="PZ65" s="94">
        <f>SUM(OS65:PV65)</f>
        <v>0</v>
      </c>
      <c r="QA65" s="78"/>
      <c r="QB65" s="81"/>
      <c r="QC65" s="81"/>
      <c r="QD65" s="81"/>
      <c r="QE65" s="81"/>
      <c r="QF65" s="81"/>
      <c r="QG65" s="81"/>
      <c r="QH65" s="82"/>
      <c r="QI65" s="91" t="s">
        <v>39</v>
      </c>
      <c r="QJ65" s="65"/>
      <c r="QK65" s="66"/>
      <c r="QL65" s="92"/>
      <c r="QM65" s="85"/>
      <c r="QN65" s="85"/>
      <c r="QO65" s="85"/>
      <c r="QP65" s="85"/>
      <c r="QQ65" s="85"/>
      <c r="QR65" s="85"/>
      <c r="QS65" s="85"/>
      <c r="QT65" s="85"/>
      <c r="QU65" s="85"/>
      <c r="QV65" s="85"/>
      <c r="QW65" s="85"/>
      <c r="QX65" s="85"/>
      <c r="QY65" s="85"/>
      <c r="QZ65" s="85"/>
      <c r="RA65" s="85"/>
      <c r="RB65" s="85"/>
      <c r="RC65" s="85"/>
      <c r="RD65" s="85"/>
      <c r="RE65" s="85"/>
      <c r="RF65" s="85"/>
      <c r="RG65" s="85"/>
      <c r="RH65" s="85"/>
      <c r="RI65" s="85"/>
      <c r="RJ65" s="85"/>
      <c r="RK65" s="85"/>
      <c r="RL65" s="85"/>
      <c r="RM65" s="85"/>
      <c r="RN65" s="85"/>
      <c r="RO65" s="85"/>
      <c r="RP65" s="95"/>
      <c r="RQ65" s="78"/>
      <c r="RR65" s="81"/>
      <c r="RS65" s="94">
        <f>SUM(QL65:RO65)</f>
        <v>0</v>
      </c>
      <c r="RT65" s="78"/>
      <c r="RU65" s="81"/>
      <c r="RV65" s="81"/>
      <c r="RW65" s="81"/>
      <c r="RX65" s="81"/>
      <c r="RY65" s="81"/>
      <c r="RZ65" s="81"/>
      <c r="SA65" s="82"/>
      <c r="SB65" s="91" t="s">
        <v>39</v>
      </c>
      <c r="SC65" s="65"/>
      <c r="SD65" s="66"/>
      <c r="SE65" s="92"/>
      <c r="SF65" s="85"/>
      <c r="SG65" s="85"/>
      <c r="SH65" s="85"/>
      <c r="SI65" s="85"/>
      <c r="SJ65" s="85"/>
      <c r="SK65" s="85"/>
      <c r="SL65" s="85"/>
      <c r="SM65" s="85"/>
      <c r="SN65" s="85"/>
      <c r="SO65" s="85"/>
      <c r="SP65" s="85"/>
      <c r="SQ65" s="85"/>
      <c r="SR65" s="85"/>
      <c r="SS65" s="85"/>
      <c r="ST65" s="85"/>
      <c r="SU65" s="85"/>
      <c r="SV65" s="85"/>
      <c r="SW65" s="85"/>
      <c r="SX65" s="85"/>
      <c r="SY65" s="85"/>
      <c r="SZ65" s="85"/>
      <c r="TA65" s="85"/>
      <c r="TB65" s="85"/>
      <c r="TC65" s="85"/>
      <c r="TD65" s="85"/>
      <c r="TE65" s="85"/>
      <c r="TF65" s="85"/>
      <c r="TG65" s="85"/>
      <c r="TH65" s="85"/>
      <c r="TI65" s="95"/>
      <c r="TJ65" s="78"/>
      <c r="TK65" s="81"/>
      <c r="TL65" s="94">
        <f>SUM(SE65:TH65)</f>
        <v>0</v>
      </c>
      <c r="TM65" s="78"/>
      <c r="TN65" s="81"/>
      <c r="TO65" s="81"/>
      <c r="TP65" s="81"/>
      <c r="TQ65" s="81"/>
      <c r="TR65" s="81"/>
      <c r="TS65" s="81"/>
      <c r="TT65" s="80"/>
    </row>
    <row r="66" ht="24.75" hidden="1" customHeight="1" outlineLevel="1">
      <c r="A66" s="96"/>
      <c r="B66" s="97"/>
      <c r="C66" s="98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93"/>
      <c r="AI66" s="78"/>
      <c r="AJ66" s="81"/>
      <c r="AK66" s="80"/>
      <c r="AL66" s="78"/>
      <c r="AM66" s="81"/>
      <c r="AN66" s="81"/>
      <c r="AO66" s="81"/>
      <c r="AP66" s="81"/>
      <c r="AQ66" s="81"/>
      <c r="AR66" s="81"/>
      <c r="AS66" s="82"/>
      <c r="AT66" s="96"/>
      <c r="AU66" s="97"/>
      <c r="AV66" s="98"/>
      <c r="AW66" s="92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95"/>
      <c r="CB66" s="78"/>
      <c r="CC66" s="81"/>
      <c r="CD66" s="80"/>
      <c r="CE66" s="78"/>
      <c r="CF66" s="81"/>
      <c r="CG66" s="81"/>
      <c r="CH66" s="81"/>
      <c r="CI66" s="81"/>
      <c r="CJ66" s="81"/>
      <c r="CK66" s="81"/>
      <c r="CL66" s="82"/>
      <c r="CM66" s="96"/>
      <c r="CN66" s="97"/>
      <c r="CO66" s="98"/>
      <c r="CP66" s="92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95"/>
      <c r="DU66" s="78"/>
      <c r="DV66" s="81"/>
      <c r="DW66" s="80"/>
      <c r="DX66" s="78"/>
      <c r="DY66" s="81"/>
      <c r="DZ66" s="81"/>
      <c r="EA66" s="81"/>
      <c r="EB66" s="81"/>
      <c r="EC66" s="81"/>
      <c r="ED66" s="81"/>
      <c r="EE66" s="80"/>
      <c r="EF66" s="96"/>
      <c r="EG66" s="97"/>
      <c r="EH66" s="98"/>
      <c r="EI66" s="92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95"/>
      <c r="FN66" s="78"/>
      <c r="FO66" s="81"/>
      <c r="FP66" s="80"/>
      <c r="FQ66" s="78"/>
      <c r="FR66" s="81"/>
      <c r="FS66" s="81"/>
      <c r="FT66" s="81"/>
      <c r="FU66" s="81"/>
      <c r="FV66" s="81"/>
      <c r="FW66" s="81"/>
      <c r="FX66" s="80"/>
      <c r="FY66" s="96"/>
      <c r="FZ66" s="97"/>
      <c r="GA66" s="98"/>
      <c r="GB66" s="92"/>
      <c r="GC66" s="85"/>
      <c r="GD66" s="85"/>
      <c r="GE66" s="85"/>
      <c r="GF66" s="85"/>
      <c r="GG66" s="85"/>
      <c r="GH66" s="85"/>
      <c r="GI66" s="85"/>
      <c r="GJ66" s="85"/>
      <c r="GK66" s="85"/>
      <c r="GL66" s="85"/>
      <c r="GM66" s="85"/>
      <c r="GN66" s="85"/>
      <c r="GO66" s="85"/>
      <c r="GP66" s="85"/>
      <c r="GQ66" s="85"/>
      <c r="GR66" s="85"/>
      <c r="GS66" s="85"/>
      <c r="GT66" s="85"/>
      <c r="GU66" s="85"/>
      <c r="GV66" s="85"/>
      <c r="GW66" s="85"/>
      <c r="GX66" s="85"/>
      <c r="GY66" s="85"/>
      <c r="GZ66" s="85"/>
      <c r="HA66" s="85"/>
      <c r="HB66" s="85"/>
      <c r="HC66" s="85"/>
      <c r="HD66" s="85"/>
      <c r="HE66" s="85"/>
      <c r="HF66" s="95"/>
      <c r="HG66" s="78"/>
      <c r="HH66" s="81"/>
      <c r="HI66" s="80"/>
      <c r="HJ66" s="78"/>
      <c r="HK66" s="81"/>
      <c r="HL66" s="81"/>
      <c r="HM66" s="81"/>
      <c r="HN66" s="81"/>
      <c r="HO66" s="81"/>
      <c r="HP66" s="81"/>
      <c r="HQ66" s="80"/>
      <c r="HR66" s="96"/>
      <c r="HS66" s="97"/>
      <c r="HT66" s="98"/>
      <c r="HU66" s="92"/>
      <c r="HV66" s="85"/>
      <c r="HW66" s="85"/>
      <c r="HX66" s="85"/>
      <c r="HY66" s="85"/>
      <c r="HZ66" s="85"/>
      <c r="IA66" s="85"/>
      <c r="IB66" s="85"/>
      <c r="IC66" s="85"/>
      <c r="ID66" s="85"/>
      <c r="IE66" s="85"/>
      <c r="IF66" s="85"/>
      <c r="IG66" s="85"/>
      <c r="IH66" s="85"/>
      <c r="II66" s="85"/>
      <c r="IJ66" s="85"/>
      <c r="IK66" s="85"/>
      <c r="IL66" s="85"/>
      <c r="IM66" s="85"/>
      <c r="IN66" s="85"/>
      <c r="IO66" s="85"/>
      <c r="IP66" s="85"/>
      <c r="IQ66" s="85"/>
      <c r="IR66" s="85"/>
      <c r="IS66" s="85"/>
      <c r="IT66" s="85"/>
      <c r="IU66" s="85"/>
      <c r="IV66" s="85"/>
      <c r="IW66" s="85"/>
      <c r="IX66" s="85"/>
      <c r="IY66" s="95"/>
      <c r="IZ66" s="78"/>
      <c r="JA66" s="81"/>
      <c r="JB66" s="80"/>
      <c r="JC66" s="78"/>
      <c r="JD66" s="81"/>
      <c r="JE66" s="81"/>
      <c r="JF66" s="81"/>
      <c r="JG66" s="81"/>
      <c r="JH66" s="81"/>
      <c r="JI66" s="81"/>
      <c r="JJ66" s="80"/>
      <c r="JK66" s="96"/>
      <c r="JL66" s="97"/>
      <c r="JM66" s="98"/>
      <c r="JN66" s="92"/>
      <c r="JO66" s="85"/>
      <c r="JP66" s="85"/>
      <c r="JQ66" s="85"/>
      <c r="JR66" s="85"/>
      <c r="JS66" s="85"/>
      <c r="JT66" s="85"/>
      <c r="JU66" s="85"/>
      <c r="JV66" s="85"/>
      <c r="JW66" s="85"/>
      <c r="JX66" s="85"/>
      <c r="JY66" s="85"/>
      <c r="JZ66" s="85"/>
      <c r="KA66" s="85"/>
      <c r="KB66" s="85"/>
      <c r="KC66" s="85"/>
      <c r="KD66" s="85"/>
      <c r="KE66" s="85"/>
      <c r="KF66" s="85"/>
      <c r="KG66" s="85"/>
      <c r="KH66" s="85"/>
      <c r="KI66" s="85"/>
      <c r="KJ66" s="85"/>
      <c r="KK66" s="85"/>
      <c r="KL66" s="85"/>
      <c r="KM66" s="85"/>
      <c r="KN66" s="85"/>
      <c r="KO66" s="85"/>
      <c r="KP66" s="85"/>
      <c r="KQ66" s="85"/>
      <c r="KR66" s="95"/>
      <c r="KS66" s="78"/>
      <c r="KT66" s="81"/>
      <c r="KU66" s="80"/>
      <c r="KV66" s="78"/>
      <c r="KW66" s="81"/>
      <c r="KX66" s="81"/>
      <c r="KY66" s="81"/>
      <c r="KZ66" s="81"/>
      <c r="LA66" s="81"/>
      <c r="LB66" s="81"/>
      <c r="LC66" s="80"/>
      <c r="LD66" s="96"/>
      <c r="LE66" s="97"/>
      <c r="LF66" s="98"/>
      <c r="LG66" s="92"/>
      <c r="LH66" s="85"/>
      <c r="LI66" s="85"/>
      <c r="LJ66" s="85"/>
      <c r="LK66" s="85"/>
      <c r="LL66" s="85"/>
      <c r="LM66" s="85"/>
      <c r="LN66" s="85"/>
      <c r="LO66" s="85"/>
      <c r="LP66" s="85"/>
      <c r="LQ66" s="85"/>
      <c r="LR66" s="85"/>
      <c r="LS66" s="85"/>
      <c r="LT66" s="85"/>
      <c r="LU66" s="85"/>
      <c r="LV66" s="85"/>
      <c r="LW66" s="85"/>
      <c r="LX66" s="85"/>
      <c r="LY66" s="85"/>
      <c r="LZ66" s="85"/>
      <c r="MA66" s="85"/>
      <c r="MB66" s="85"/>
      <c r="MC66" s="85"/>
      <c r="MD66" s="85"/>
      <c r="ME66" s="85"/>
      <c r="MF66" s="85"/>
      <c r="MG66" s="85"/>
      <c r="MH66" s="85"/>
      <c r="MI66" s="85"/>
      <c r="MJ66" s="85"/>
      <c r="MK66" s="95"/>
      <c r="ML66" s="78"/>
      <c r="MM66" s="81"/>
      <c r="MN66" s="80"/>
      <c r="MO66" s="78"/>
      <c r="MP66" s="81"/>
      <c r="MQ66" s="81"/>
      <c r="MR66" s="81"/>
      <c r="MS66" s="81"/>
      <c r="MT66" s="81"/>
      <c r="MU66" s="81"/>
      <c r="MV66" s="80"/>
      <c r="MW66" s="96"/>
      <c r="MX66" s="97"/>
      <c r="MY66" s="98"/>
      <c r="MZ66" s="92"/>
      <c r="NA66" s="85"/>
      <c r="NB66" s="85"/>
      <c r="NC66" s="85"/>
      <c r="ND66" s="85"/>
      <c r="NE66" s="85"/>
      <c r="NF66" s="85"/>
      <c r="NG66" s="85"/>
      <c r="NH66" s="85"/>
      <c r="NI66" s="85"/>
      <c r="NJ66" s="85"/>
      <c r="NK66" s="85"/>
      <c r="NL66" s="85"/>
      <c r="NM66" s="85"/>
      <c r="NN66" s="85"/>
      <c r="NO66" s="85"/>
      <c r="NP66" s="85"/>
      <c r="NQ66" s="85"/>
      <c r="NR66" s="85"/>
      <c r="NS66" s="85"/>
      <c r="NT66" s="85"/>
      <c r="NU66" s="85"/>
      <c r="NV66" s="85"/>
      <c r="NW66" s="85"/>
      <c r="NX66" s="85"/>
      <c r="NY66" s="85"/>
      <c r="NZ66" s="85"/>
      <c r="OA66" s="85"/>
      <c r="OB66" s="85"/>
      <c r="OC66" s="85"/>
      <c r="OD66" s="95"/>
      <c r="OE66" s="78"/>
      <c r="OF66" s="81"/>
      <c r="OG66" s="80"/>
      <c r="OH66" s="78"/>
      <c r="OI66" s="81"/>
      <c r="OJ66" s="81"/>
      <c r="OK66" s="81"/>
      <c r="OL66" s="81"/>
      <c r="OM66" s="81"/>
      <c r="ON66" s="81"/>
      <c r="OO66" s="80"/>
      <c r="OP66" s="96"/>
      <c r="OQ66" s="97"/>
      <c r="OR66" s="98"/>
      <c r="OS66" s="92"/>
      <c r="OT66" s="85"/>
      <c r="OU66" s="85"/>
      <c r="OV66" s="85"/>
      <c r="OW66" s="85"/>
      <c r="OX66" s="85"/>
      <c r="OY66" s="85"/>
      <c r="OZ66" s="85"/>
      <c r="PA66" s="85"/>
      <c r="PB66" s="85"/>
      <c r="PC66" s="85"/>
      <c r="PD66" s="85"/>
      <c r="PE66" s="85"/>
      <c r="PF66" s="85"/>
      <c r="PG66" s="85"/>
      <c r="PH66" s="85"/>
      <c r="PI66" s="85"/>
      <c r="PJ66" s="85"/>
      <c r="PK66" s="85"/>
      <c r="PL66" s="85"/>
      <c r="PM66" s="85"/>
      <c r="PN66" s="85"/>
      <c r="PO66" s="85"/>
      <c r="PP66" s="85"/>
      <c r="PQ66" s="85"/>
      <c r="PR66" s="85"/>
      <c r="PS66" s="85"/>
      <c r="PT66" s="85"/>
      <c r="PU66" s="85"/>
      <c r="PV66" s="85"/>
      <c r="PW66" s="95"/>
      <c r="PX66" s="78"/>
      <c r="PY66" s="81"/>
      <c r="PZ66" s="80"/>
      <c r="QA66" s="78"/>
      <c r="QB66" s="81"/>
      <c r="QC66" s="81"/>
      <c r="QD66" s="81"/>
      <c r="QE66" s="81"/>
      <c r="QF66" s="81"/>
      <c r="QG66" s="81"/>
      <c r="QH66" s="80"/>
      <c r="QI66" s="96"/>
      <c r="QJ66" s="97"/>
      <c r="QK66" s="98"/>
      <c r="QL66" s="92"/>
      <c r="QM66" s="85"/>
      <c r="QN66" s="85"/>
      <c r="QO66" s="85"/>
      <c r="QP66" s="85"/>
      <c r="QQ66" s="85"/>
      <c r="QR66" s="85"/>
      <c r="QS66" s="85"/>
      <c r="QT66" s="85"/>
      <c r="QU66" s="85"/>
      <c r="QV66" s="85"/>
      <c r="QW66" s="85"/>
      <c r="QX66" s="85"/>
      <c r="QY66" s="85"/>
      <c r="QZ66" s="85"/>
      <c r="RA66" s="85"/>
      <c r="RB66" s="85"/>
      <c r="RC66" s="85"/>
      <c r="RD66" s="85"/>
      <c r="RE66" s="85"/>
      <c r="RF66" s="85"/>
      <c r="RG66" s="85"/>
      <c r="RH66" s="85"/>
      <c r="RI66" s="85"/>
      <c r="RJ66" s="85"/>
      <c r="RK66" s="85"/>
      <c r="RL66" s="85"/>
      <c r="RM66" s="85"/>
      <c r="RN66" s="85"/>
      <c r="RO66" s="85"/>
      <c r="RP66" s="95"/>
      <c r="RQ66" s="78"/>
      <c r="RR66" s="81"/>
      <c r="RS66" s="80"/>
      <c r="RT66" s="78"/>
      <c r="RU66" s="81"/>
      <c r="RV66" s="81"/>
      <c r="RW66" s="81"/>
      <c r="RX66" s="81"/>
      <c r="RY66" s="81"/>
      <c r="RZ66" s="81"/>
      <c r="SA66" s="80"/>
      <c r="SB66" s="96"/>
      <c r="SC66" s="97"/>
      <c r="SD66" s="98"/>
      <c r="SE66" s="92"/>
      <c r="SF66" s="85"/>
      <c r="SG66" s="85"/>
      <c r="SH66" s="85"/>
      <c r="SI66" s="85"/>
      <c r="SJ66" s="85"/>
      <c r="SK66" s="85"/>
      <c r="SL66" s="85"/>
      <c r="SM66" s="85"/>
      <c r="SN66" s="85"/>
      <c r="SO66" s="85"/>
      <c r="SP66" s="85"/>
      <c r="SQ66" s="85"/>
      <c r="SR66" s="85"/>
      <c r="SS66" s="85"/>
      <c r="ST66" s="85"/>
      <c r="SU66" s="85"/>
      <c r="SV66" s="85"/>
      <c r="SW66" s="85"/>
      <c r="SX66" s="85"/>
      <c r="SY66" s="85"/>
      <c r="SZ66" s="85"/>
      <c r="TA66" s="85"/>
      <c r="TB66" s="85"/>
      <c r="TC66" s="85"/>
      <c r="TD66" s="85"/>
      <c r="TE66" s="85"/>
      <c r="TF66" s="85"/>
      <c r="TG66" s="85"/>
      <c r="TH66" s="85"/>
      <c r="TI66" s="95"/>
      <c r="TJ66" s="78"/>
      <c r="TK66" s="81"/>
      <c r="TL66" s="80"/>
      <c r="TM66" s="78"/>
      <c r="TN66" s="81"/>
      <c r="TO66" s="81"/>
      <c r="TP66" s="81"/>
      <c r="TQ66" s="81"/>
      <c r="TR66" s="81"/>
      <c r="TS66" s="81"/>
      <c r="TT66" s="80"/>
    </row>
    <row r="67" ht="24.75" hidden="1" customHeight="1" outlineLevel="1">
      <c r="A67" s="100" t="s">
        <v>27</v>
      </c>
      <c r="B67" s="101"/>
      <c r="C67" s="102"/>
      <c r="D67" s="103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4"/>
      <c r="AH67" s="105"/>
      <c r="AI67" s="103"/>
      <c r="AJ67" s="101"/>
      <c r="AK67" s="102"/>
      <c r="AL67" s="103"/>
      <c r="AM67" s="101"/>
      <c r="AN67" s="101"/>
      <c r="AO67" s="101"/>
      <c r="AP67" s="101"/>
      <c r="AQ67" s="101"/>
      <c r="AR67" s="101"/>
      <c r="AS67" s="102"/>
      <c r="AT67" s="100" t="s">
        <v>27</v>
      </c>
      <c r="AU67" s="101"/>
      <c r="AV67" s="102"/>
      <c r="AW67" s="103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4"/>
      <c r="CA67" s="106"/>
      <c r="CB67" s="103"/>
      <c r="CC67" s="101"/>
      <c r="CD67" s="102"/>
      <c r="CE67" s="103"/>
      <c r="CF67" s="101"/>
      <c r="CG67" s="101"/>
      <c r="CH67" s="101"/>
      <c r="CI67" s="101"/>
      <c r="CJ67" s="101"/>
      <c r="CK67" s="101"/>
      <c r="CL67" s="102"/>
      <c r="CM67" s="100" t="s">
        <v>27</v>
      </c>
      <c r="CN67" s="101"/>
      <c r="CO67" s="102"/>
      <c r="CP67" s="103"/>
      <c r="CQ67" s="101"/>
      <c r="CR67" s="101"/>
      <c r="CS67" s="101"/>
      <c r="CT67" s="101"/>
      <c r="CU67" s="101"/>
      <c r="CV67" s="101"/>
      <c r="CW67" s="101"/>
      <c r="CX67" s="101"/>
      <c r="CY67" s="101"/>
      <c r="CZ67" s="101"/>
      <c r="DA67" s="101"/>
      <c r="DB67" s="101"/>
      <c r="DC67" s="101"/>
      <c r="DD67" s="101"/>
      <c r="DE67" s="101"/>
      <c r="DF67" s="101"/>
      <c r="DG67" s="101"/>
      <c r="DH67" s="101"/>
      <c r="DI67" s="101"/>
      <c r="DJ67" s="101"/>
      <c r="DK67" s="101"/>
      <c r="DL67" s="101"/>
      <c r="DM67" s="101"/>
      <c r="DN67" s="101"/>
      <c r="DO67" s="101"/>
      <c r="DP67" s="101"/>
      <c r="DQ67" s="101"/>
      <c r="DR67" s="101"/>
      <c r="DS67" s="104"/>
      <c r="DT67" s="106"/>
      <c r="DU67" s="103"/>
      <c r="DV67" s="101"/>
      <c r="DW67" s="102"/>
      <c r="DX67" s="103"/>
      <c r="DY67" s="101"/>
      <c r="DZ67" s="101"/>
      <c r="EA67" s="101"/>
      <c r="EB67" s="101"/>
      <c r="EC67" s="101"/>
      <c r="ED67" s="101"/>
      <c r="EE67" s="102"/>
      <c r="EF67" s="100" t="s">
        <v>27</v>
      </c>
      <c r="EG67" s="101"/>
      <c r="EH67" s="102"/>
      <c r="EI67" s="103"/>
      <c r="EJ67" s="101"/>
      <c r="EK67" s="101"/>
      <c r="EL67" s="101"/>
      <c r="EM67" s="101"/>
      <c r="EN67" s="101"/>
      <c r="EO67" s="101"/>
      <c r="EP67" s="101"/>
      <c r="EQ67" s="101"/>
      <c r="ER67" s="101"/>
      <c r="ES67" s="101"/>
      <c r="ET67" s="101"/>
      <c r="EU67" s="101"/>
      <c r="EV67" s="101"/>
      <c r="EW67" s="101"/>
      <c r="EX67" s="101"/>
      <c r="EY67" s="101"/>
      <c r="EZ67" s="101"/>
      <c r="FA67" s="101"/>
      <c r="FB67" s="101"/>
      <c r="FC67" s="101"/>
      <c r="FD67" s="101"/>
      <c r="FE67" s="101"/>
      <c r="FF67" s="101"/>
      <c r="FG67" s="101"/>
      <c r="FH67" s="101"/>
      <c r="FI67" s="101"/>
      <c r="FJ67" s="101"/>
      <c r="FK67" s="101"/>
      <c r="FL67" s="104"/>
      <c r="FM67" s="106"/>
      <c r="FN67" s="103"/>
      <c r="FO67" s="101"/>
      <c r="FP67" s="102"/>
      <c r="FQ67" s="103"/>
      <c r="FR67" s="101"/>
      <c r="FS67" s="101"/>
      <c r="FT67" s="101"/>
      <c r="FU67" s="101"/>
      <c r="FV67" s="101"/>
      <c r="FW67" s="101"/>
      <c r="FX67" s="102"/>
      <c r="FY67" s="100" t="s">
        <v>27</v>
      </c>
      <c r="FZ67" s="101"/>
      <c r="GA67" s="102"/>
      <c r="GB67" s="103"/>
      <c r="GC67" s="101"/>
      <c r="GD67" s="101"/>
      <c r="GE67" s="101"/>
      <c r="GF67" s="101"/>
      <c r="GG67" s="101"/>
      <c r="GH67" s="101"/>
      <c r="GI67" s="101"/>
      <c r="GJ67" s="101"/>
      <c r="GK67" s="101"/>
      <c r="GL67" s="101"/>
      <c r="GM67" s="101"/>
      <c r="GN67" s="101"/>
      <c r="GO67" s="101"/>
      <c r="GP67" s="101"/>
      <c r="GQ67" s="101"/>
      <c r="GR67" s="101"/>
      <c r="GS67" s="101"/>
      <c r="GT67" s="101"/>
      <c r="GU67" s="101"/>
      <c r="GV67" s="101"/>
      <c r="GW67" s="101"/>
      <c r="GX67" s="101"/>
      <c r="GY67" s="101"/>
      <c r="GZ67" s="101"/>
      <c r="HA67" s="101"/>
      <c r="HB67" s="101"/>
      <c r="HC67" s="101"/>
      <c r="HD67" s="101"/>
      <c r="HE67" s="104"/>
      <c r="HF67" s="106"/>
      <c r="HG67" s="103"/>
      <c r="HH67" s="101"/>
      <c r="HI67" s="102"/>
      <c r="HJ67" s="103"/>
      <c r="HK67" s="101"/>
      <c r="HL67" s="101"/>
      <c r="HM67" s="101"/>
      <c r="HN67" s="101"/>
      <c r="HO67" s="101"/>
      <c r="HP67" s="101"/>
      <c r="HQ67" s="102"/>
      <c r="HR67" s="100" t="s">
        <v>27</v>
      </c>
      <c r="HS67" s="101"/>
      <c r="HT67" s="102"/>
      <c r="HU67" s="103"/>
      <c r="HV67" s="101"/>
      <c r="HW67" s="101"/>
      <c r="HX67" s="101"/>
      <c r="HY67" s="101"/>
      <c r="HZ67" s="101"/>
      <c r="IA67" s="101"/>
      <c r="IB67" s="101"/>
      <c r="IC67" s="101"/>
      <c r="ID67" s="101"/>
      <c r="IE67" s="101"/>
      <c r="IF67" s="101"/>
      <c r="IG67" s="101"/>
      <c r="IH67" s="101"/>
      <c r="II67" s="101"/>
      <c r="IJ67" s="101"/>
      <c r="IK67" s="101"/>
      <c r="IL67" s="101"/>
      <c r="IM67" s="101"/>
      <c r="IN67" s="101"/>
      <c r="IO67" s="101"/>
      <c r="IP67" s="101"/>
      <c r="IQ67" s="101"/>
      <c r="IR67" s="101"/>
      <c r="IS67" s="101"/>
      <c r="IT67" s="101"/>
      <c r="IU67" s="101"/>
      <c r="IV67" s="101"/>
      <c r="IW67" s="101"/>
      <c r="IX67" s="104"/>
      <c r="IY67" s="106"/>
      <c r="IZ67" s="103"/>
      <c r="JA67" s="101"/>
      <c r="JB67" s="102"/>
      <c r="JC67" s="103"/>
      <c r="JD67" s="101"/>
      <c r="JE67" s="101"/>
      <c r="JF67" s="101"/>
      <c r="JG67" s="101"/>
      <c r="JH67" s="101"/>
      <c r="JI67" s="101"/>
      <c r="JJ67" s="102"/>
      <c r="JK67" s="100" t="s">
        <v>27</v>
      </c>
      <c r="JL67" s="101"/>
      <c r="JM67" s="102"/>
      <c r="JN67" s="103"/>
      <c r="JO67" s="101"/>
      <c r="JP67" s="101"/>
      <c r="JQ67" s="101"/>
      <c r="JR67" s="101"/>
      <c r="JS67" s="101"/>
      <c r="JT67" s="101"/>
      <c r="JU67" s="101"/>
      <c r="JV67" s="101"/>
      <c r="JW67" s="101"/>
      <c r="JX67" s="101"/>
      <c r="JY67" s="101"/>
      <c r="JZ67" s="101"/>
      <c r="KA67" s="101"/>
      <c r="KB67" s="101"/>
      <c r="KC67" s="101"/>
      <c r="KD67" s="101"/>
      <c r="KE67" s="101"/>
      <c r="KF67" s="101"/>
      <c r="KG67" s="101"/>
      <c r="KH67" s="101"/>
      <c r="KI67" s="101"/>
      <c r="KJ67" s="101"/>
      <c r="KK67" s="101"/>
      <c r="KL67" s="101"/>
      <c r="KM67" s="101"/>
      <c r="KN67" s="101"/>
      <c r="KO67" s="101"/>
      <c r="KP67" s="101"/>
      <c r="KQ67" s="104"/>
      <c r="KR67" s="106"/>
      <c r="KS67" s="103"/>
      <c r="KT67" s="101"/>
      <c r="KU67" s="102"/>
      <c r="KV67" s="103"/>
      <c r="KW67" s="101"/>
      <c r="KX67" s="101"/>
      <c r="KY67" s="101"/>
      <c r="KZ67" s="101"/>
      <c r="LA67" s="101"/>
      <c r="LB67" s="101"/>
      <c r="LC67" s="102"/>
      <c r="LD67" s="100" t="s">
        <v>27</v>
      </c>
      <c r="LE67" s="101"/>
      <c r="LF67" s="102"/>
      <c r="LG67" s="103"/>
      <c r="LH67" s="101"/>
      <c r="LI67" s="101"/>
      <c r="LJ67" s="101"/>
      <c r="LK67" s="101"/>
      <c r="LL67" s="101"/>
      <c r="LM67" s="101"/>
      <c r="LN67" s="101"/>
      <c r="LO67" s="101"/>
      <c r="LP67" s="101"/>
      <c r="LQ67" s="101"/>
      <c r="LR67" s="101"/>
      <c r="LS67" s="101"/>
      <c r="LT67" s="101"/>
      <c r="LU67" s="101"/>
      <c r="LV67" s="101"/>
      <c r="LW67" s="101"/>
      <c r="LX67" s="101"/>
      <c r="LY67" s="101"/>
      <c r="LZ67" s="101"/>
      <c r="MA67" s="101"/>
      <c r="MB67" s="101"/>
      <c r="MC67" s="101"/>
      <c r="MD67" s="101"/>
      <c r="ME67" s="101"/>
      <c r="MF67" s="101"/>
      <c r="MG67" s="101"/>
      <c r="MH67" s="101"/>
      <c r="MI67" s="101"/>
      <c r="MJ67" s="104"/>
      <c r="MK67" s="106"/>
      <c r="ML67" s="103"/>
      <c r="MM67" s="101"/>
      <c r="MN67" s="102"/>
      <c r="MO67" s="103"/>
      <c r="MP67" s="101"/>
      <c r="MQ67" s="101"/>
      <c r="MR67" s="101"/>
      <c r="MS67" s="101"/>
      <c r="MT67" s="101"/>
      <c r="MU67" s="101"/>
      <c r="MV67" s="102"/>
      <c r="MW67" s="100" t="s">
        <v>27</v>
      </c>
      <c r="MX67" s="101"/>
      <c r="MY67" s="102"/>
      <c r="MZ67" s="103"/>
      <c r="NA67" s="101"/>
      <c r="NB67" s="101"/>
      <c r="NC67" s="101"/>
      <c r="ND67" s="101"/>
      <c r="NE67" s="101"/>
      <c r="NF67" s="101"/>
      <c r="NG67" s="101"/>
      <c r="NH67" s="101"/>
      <c r="NI67" s="101"/>
      <c r="NJ67" s="101"/>
      <c r="NK67" s="101"/>
      <c r="NL67" s="101"/>
      <c r="NM67" s="101"/>
      <c r="NN67" s="101"/>
      <c r="NO67" s="101"/>
      <c r="NP67" s="101"/>
      <c r="NQ67" s="101"/>
      <c r="NR67" s="101"/>
      <c r="NS67" s="101"/>
      <c r="NT67" s="101"/>
      <c r="NU67" s="101"/>
      <c r="NV67" s="101"/>
      <c r="NW67" s="101"/>
      <c r="NX67" s="101"/>
      <c r="NY67" s="101"/>
      <c r="NZ67" s="101"/>
      <c r="OA67" s="101"/>
      <c r="OB67" s="101"/>
      <c r="OC67" s="104"/>
      <c r="OD67" s="106"/>
      <c r="OE67" s="103"/>
      <c r="OF67" s="101"/>
      <c r="OG67" s="102"/>
      <c r="OH67" s="103"/>
      <c r="OI67" s="101"/>
      <c r="OJ67" s="101"/>
      <c r="OK67" s="101"/>
      <c r="OL67" s="101"/>
      <c r="OM67" s="101"/>
      <c r="ON67" s="101"/>
      <c r="OO67" s="102"/>
      <c r="OP67" s="100" t="s">
        <v>27</v>
      </c>
      <c r="OQ67" s="101"/>
      <c r="OR67" s="102"/>
      <c r="OS67" s="103"/>
      <c r="OT67" s="101"/>
      <c r="OU67" s="101"/>
      <c r="OV67" s="101"/>
      <c r="OW67" s="101"/>
      <c r="OX67" s="101"/>
      <c r="OY67" s="101"/>
      <c r="OZ67" s="101"/>
      <c r="PA67" s="101"/>
      <c r="PB67" s="101"/>
      <c r="PC67" s="101"/>
      <c r="PD67" s="101"/>
      <c r="PE67" s="101"/>
      <c r="PF67" s="101"/>
      <c r="PG67" s="101"/>
      <c r="PH67" s="101"/>
      <c r="PI67" s="101"/>
      <c r="PJ67" s="101"/>
      <c r="PK67" s="101"/>
      <c r="PL67" s="101"/>
      <c r="PM67" s="101"/>
      <c r="PN67" s="101"/>
      <c r="PO67" s="101"/>
      <c r="PP67" s="101"/>
      <c r="PQ67" s="101"/>
      <c r="PR67" s="101"/>
      <c r="PS67" s="101"/>
      <c r="PT67" s="101"/>
      <c r="PU67" s="101"/>
      <c r="PV67" s="104"/>
      <c r="PW67" s="106"/>
      <c r="PX67" s="103"/>
      <c r="PY67" s="101"/>
      <c r="PZ67" s="102"/>
      <c r="QA67" s="103"/>
      <c r="QB67" s="101"/>
      <c r="QC67" s="101"/>
      <c r="QD67" s="101"/>
      <c r="QE67" s="101"/>
      <c r="QF67" s="101"/>
      <c r="QG67" s="101"/>
      <c r="QH67" s="102"/>
      <c r="QI67" s="100" t="s">
        <v>27</v>
      </c>
      <c r="QJ67" s="101"/>
      <c r="QK67" s="102"/>
      <c r="QL67" s="103"/>
      <c r="QM67" s="101"/>
      <c r="QN67" s="101"/>
      <c r="QO67" s="101"/>
      <c r="QP67" s="101"/>
      <c r="QQ67" s="101"/>
      <c r="QR67" s="101"/>
      <c r="QS67" s="101"/>
      <c r="QT67" s="101"/>
      <c r="QU67" s="101"/>
      <c r="QV67" s="101"/>
      <c r="QW67" s="101"/>
      <c r="QX67" s="101"/>
      <c r="QY67" s="101"/>
      <c r="QZ67" s="101"/>
      <c r="RA67" s="101"/>
      <c r="RB67" s="101"/>
      <c r="RC67" s="101"/>
      <c r="RD67" s="101"/>
      <c r="RE67" s="101"/>
      <c r="RF67" s="101"/>
      <c r="RG67" s="101"/>
      <c r="RH67" s="101"/>
      <c r="RI67" s="101"/>
      <c r="RJ67" s="101"/>
      <c r="RK67" s="101"/>
      <c r="RL67" s="101"/>
      <c r="RM67" s="101"/>
      <c r="RN67" s="101"/>
      <c r="RO67" s="104"/>
      <c r="RP67" s="106"/>
      <c r="RQ67" s="103"/>
      <c r="RR67" s="101"/>
      <c r="RS67" s="102"/>
      <c r="RT67" s="103"/>
      <c r="RU67" s="101"/>
      <c r="RV67" s="101"/>
      <c r="RW67" s="101"/>
      <c r="RX67" s="101"/>
      <c r="RY67" s="101"/>
      <c r="RZ67" s="101"/>
      <c r="SA67" s="102"/>
      <c r="SB67" s="100" t="s">
        <v>27</v>
      </c>
      <c r="SC67" s="101"/>
      <c r="SD67" s="102"/>
      <c r="SE67" s="103"/>
      <c r="SF67" s="101"/>
      <c r="SG67" s="101"/>
      <c r="SH67" s="101"/>
      <c r="SI67" s="101"/>
      <c r="SJ67" s="101"/>
      <c r="SK67" s="101"/>
      <c r="SL67" s="101"/>
      <c r="SM67" s="101"/>
      <c r="SN67" s="101"/>
      <c r="SO67" s="101"/>
      <c r="SP67" s="101"/>
      <c r="SQ67" s="101"/>
      <c r="SR67" s="101"/>
      <c r="SS67" s="101"/>
      <c r="ST67" s="101"/>
      <c r="SU67" s="101"/>
      <c r="SV67" s="101"/>
      <c r="SW67" s="101"/>
      <c r="SX67" s="101"/>
      <c r="SY67" s="101"/>
      <c r="SZ67" s="101"/>
      <c r="TA67" s="101"/>
      <c r="TB67" s="101"/>
      <c r="TC67" s="101"/>
      <c r="TD67" s="101"/>
      <c r="TE67" s="101"/>
      <c r="TF67" s="101"/>
      <c r="TG67" s="101"/>
      <c r="TH67" s="104"/>
      <c r="TI67" s="106"/>
      <c r="TJ67" s="103"/>
      <c r="TK67" s="101"/>
      <c r="TL67" s="102"/>
      <c r="TM67" s="103"/>
      <c r="TN67" s="101"/>
      <c r="TO67" s="101"/>
      <c r="TP67" s="101"/>
      <c r="TQ67" s="101"/>
      <c r="TR67" s="101"/>
      <c r="TS67" s="101"/>
      <c r="TT67" s="102"/>
    </row>
    <row r="68" ht="24.75" customHeight="1">
      <c r="A68" s="108" t="str">
        <f>elenchi!$C14</f>
        <v>ARRIVABENE ELISA</v>
      </c>
      <c r="B68" s="109"/>
      <c r="C68" s="110"/>
      <c r="D68" s="67">
        <f t="shared" ref="D68:AH68" si="157">D$2</f>
        <v>45901</v>
      </c>
      <c r="E68" s="67">
        <f t="shared" si="157"/>
        <v>45902</v>
      </c>
      <c r="F68" s="67">
        <f t="shared" si="157"/>
        <v>45903</v>
      </c>
      <c r="G68" s="67">
        <f t="shared" si="157"/>
        <v>45904</v>
      </c>
      <c r="H68" s="67">
        <f t="shared" si="157"/>
        <v>45905</v>
      </c>
      <c r="I68" s="67">
        <f t="shared" si="157"/>
        <v>45906</v>
      </c>
      <c r="J68" s="67">
        <f t="shared" si="157"/>
        <v>45907</v>
      </c>
      <c r="K68" s="67">
        <f t="shared" si="157"/>
        <v>45908</v>
      </c>
      <c r="L68" s="67">
        <f t="shared" si="157"/>
        <v>45909</v>
      </c>
      <c r="M68" s="67">
        <f t="shared" si="157"/>
        <v>45910</v>
      </c>
      <c r="N68" s="67">
        <f t="shared" si="157"/>
        <v>45911</v>
      </c>
      <c r="O68" s="67">
        <f t="shared" si="157"/>
        <v>45912</v>
      </c>
      <c r="P68" s="67">
        <f t="shared" si="157"/>
        <v>45913</v>
      </c>
      <c r="Q68" s="67">
        <f t="shared" si="157"/>
        <v>45914</v>
      </c>
      <c r="R68" s="67">
        <f t="shared" si="157"/>
        <v>45915</v>
      </c>
      <c r="S68" s="67">
        <f t="shared" si="157"/>
        <v>45916</v>
      </c>
      <c r="T68" s="67">
        <f t="shared" si="157"/>
        <v>45917</v>
      </c>
      <c r="U68" s="67">
        <f t="shared" si="157"/>
        <v>45918</v>
      </c>
      <c r="V68" s="67">
        <f t="shared" si="157"/>
        <v>45919</v>
      </c>
      <c r="W68" s="67">
        <f t="shared" si="157"/>
        <v>45920</v>
      </c>
      <c r="X68" s="67">
        <f t="shared" si="157"/>
        <v>45921</v>
      </c>
      <c r="Y68" s="67">
        <f t="shared" si="157"/>
        <v>45922</v>
      </c>
      <c r="Z68" s="67">
        <f t="shared" si="157"/>
        <v>45923</v>
      </c>
      <c r="AA68" s="67">
        <f t="shared" si="157"/>
        <v>45924</v>
      </c>
      <c r="AB68" s="67">
        <f t="shared" si="157"/>
        <v>45925</v>
      </c>
      <c r="AC68" s="67">
        <f t="shared" si="157"/>
        <v>45926</v>
      </c>
      <c r="AD68" s="67">
        <f t="shared" si="157"/>
        <v>45927</v>
      </c>
      <c r="AE68" s="67">
        <f t="shared" si="157"/>
        <v>45928</v>
      </c>
      <c r="AF68" s="67">
        <f t="shared" si="157"/>
        <v>45929</v>
      </c>
      <c r="AG68" s="67">
        <f t="shared" si="157"/>
        <v>45930</v>
      </c>
      <c r="AH68" s="111" t="str">
        <f t="shared" si="157"/>
        <v/>
      </c>
      <c r="AI68" s="112" t="s">
        <v>33</v>
      </c>
      <c r="AJ68" s="113" t="s">
        <v>28</v>
      </c>
      <c r="AK68" s="114" t="s">
        <v>34</v>
      </c>
      <c r="AL68" s="112" t="s">
        <v>13</v>
      </c>
      <c r="AM68" s="113" t="s">
        <v>1</v>
      </c>
      <c r="AN68" s="113" t="s">
        <v>35</v>
      </c>
      <c r="AO68" s="113" t="s">
        <v>36</v>
      </c>
      <c r="AP68" s="113" t="s">
        <v>37</v>
      </c>
      <c r="AQ68" s="113" t="s">
        <v>0</v>
      </c>
      <c r="AR68" s="113" t="s">
        <v>38</v>
      </c>
      <c r="AS68" s="115" t="s">
        <v>11</v>
      </c>
      <c r="AT68" s="108" t="str">
        <f>elenchi!$C14</f>
        <v>ARRIVABENE ELISA</v>
      </c>
      <c r="AU68" s="109"/>
      <c r="AV68" s="110"/>
      <c r="AW68" s="67">
        <f t="shared" ref="AW68:CA68" si="158">AW$2</f>
        <v>45931</v>
      </c>
      <c r="AX68" s="67">
        <f t="shared" si="158"/>
        <v>45932</v>
      </c>
      <c r="AY68" s="67">
        <f t="shared" si="158"/>
        <v>45933</v>
      </c>
      <c r="AZ68" s="67">
        <f t="shared" si="158"/>
        <v>45934</v>
      </c>
      <c r="BA68" s="67">
        <f t="shared" si="158"/>
        <v>45935</v>
      </c>
      <c r="BB68" s="67">
        <f t="shared" si="158"/>
        <v>45936</v>
      </c>
      <c r="BC68" s="67">
        <f t="shared" si="158"/>
        <v>45937</v>
      </c>
      <c r="BD68" s="67">
        <f t="shared" si="158"/>
        <v>45938</v>
      </c>
      <c r="BE68" s="67">
        <f t="shared" si="158"/>
        <v>45939</v>
      </c>
      <c r="BF68" s="67">
        <f t="shared" si="158"/>
        <v>45940</v>
      </c>
      <c r="BG68" s="67">
        <f t="shared" si="158"/>
        <v>45941</v>
      </c>
      <c r="BH68" s="67">
        <f t="shared" si="158"/>
        <v>45942</v>
      </c>
      <c r="BI68" s="67">
        <f t="shared" si="158"/>
        <v>45943</v>
      </c>
      <c r="BJ68" s="67">
        <f t="shared" si="158"/>
        <v>45944</v>
      </c>
      <c r="BK68" s="67">
        <f t="shared" si="158"/>
        <v>45945</v>
      </c>
      <c r="BL68" s="67">
        <f t="shared" si="158"/>
        <v>45946</v>
      </c>
      <c r="BM68" s="67">
        <f t="shared" si="158"/>
        <v>45947</v>
      </c>
      <c r="BN68" s="67">
        <f t="shared" si="158"/>
        <v>45948</v>
      </c>
      <c r="BO68" s="67">
        <f t="shared" si="158"/>
        <v>45949</v>
      </c>
      <c r="BP68" s="67">
        <f t="shared" si="158"/>
        <v>45950</v>
      </c>
      <c r="BQ68" s="67">
        <f t="shared" si="158"/>
        <v>45951</v>
      </c>
      <c r="BR68" s="67">
        <f t="shared" si="158"/>
        <v>45952</v>
      </c>
      <c r="BS68" s="67">
        <f t="shared" si="158"/>
        <v>45953</v>
      </c>
      <c r="BT68" s="67">
        <f t="shared" si="158"/>
        <v>45954</v>
      </c>
      <c r="BU68" s="67">
        <f t="shared" si="158"/>
        <v>45955</v>
      </c>
      <c r="BV68" s="67">
        <f t="shared" si="158"/>
        <v>45956</v>
      </c>
      <c r="BW68" s="67">
        <f t="shared" si="158"/>
        <v>45957</v>
      </c>
      <c r="BX68" s="67">
        <f t="shared" si="158"/>
        <v>45958</v>
      </c>
      <c r="BY68" s="67">
        <f t="shared" si="158"/>
        <v>45959</v>
      </c>
      <c r="BZ68" s="67">
        <f t="shared" si="158"/>
        <v>45960</v>
      </c>
      <c r="CA68" s="67">
        <f t="shared" si="158"/>
        <v>45961</v>
      </c>
      <c r="CB68" s="112" t="s">
        <v>33</v>
      </c>
      <c r="CC68" s="113" t="s">
        <v>28</v>
      </c>
      <c r="CD68" s="114" t="s">
        <v>34</v>
      </c>
      <c r="CE68" s="112" t="s">
        <v>13</v>
      </c>
      <c r="CF68" s="113" t="s">
        <v>1</v>
      </c>
      <c r="CG68" s="113" t="s">
        <v>35</v>
      </c>
      <c r="CH68" s="113" t="s">
        <v>36</v>
      </c>
      <c r="CI68" s="113" t="s">
        <v>37</v>
      </c>
      <c r="CJ68" s="113" t="s">
        <v>0</v>
      </c>
      <c r="CK68" s="113" t="s">
        <v>38</v>
      </c>
      <c r="CL68" s="115" t="s">
        <v>11</v>
      </c>
      <c r="CM68" s="108" t="str">
        <f>elenchi!$C14</f>
        <v>ARRIVABENE ELISA</v>
      </c>
      <c r="CN68" s="109"/>
      <c r="CO68" s="110"/>
      <c r="CP68" s="67">
        <f t="shared" ref="CP68:DT68" si="159">CP$2</f>
        <v>45962</v>
      </c>
      <c r="CQ68" s="67">
        <f t="shared" si="159"/>
        <v>45963</v>
      </c>
      <c r="CR68" s="67">
        <f t="shared" si="159"/>
        <v>45964</v>
      </c>
      <c r="CS68" s="67">
        <f t="shared" si="159"/>
        <v>45965</v>
      </c>
      <c r="CT68" s="67">
        <f t="shared" si="159"/>
        <v>45966</v>
      </c>
      <c r="CU68" s="67">
        <f t="shared" si="159"/>
        <v>45967</v>
      </c>
      <c r="CV68" s="67">
        <f t="shared" si="159"/>
        <v>45968</v>
      </c>
      <c r="CW68" s="67">
        <f t="shared" si="159"/>
        <v>45969</v>
      </c>
      <c r="CX68" s="67">
        <f t="shared" si="159"/>
        <v>45970</v>
      </c>
      <c r="CY68" s="67">
        <f t="shared" si="159"/>
        <v>45971</v>
      </c>
      <c r="CZ68" s="67">
        <f t="shared" si="159"/>
        <v>45972</v>
      </c>
      <c r="DA68" s="67">
        <f t="shared" si="159"/>
        <v>45973</v>
      </c>
      <c r="DB68" s="67">
        <f t="shared" si="159"/>
        <v>45974</v>
      </c>
      <c r="DC68" s="67">
        <f t="shared" si="159"/>
        <v>45975</v>
      </c>
      <c r="DD68" s="67">
        <f t="shared" si="159"/>
        <v>45976</v>
      </c>
      <c r="DE68" s="67">
        <f t="shared" si="159"/>
        <v>45977</v>
      </c>
      <c r="DF68" s="67">
        <f t="shared" si="159"/>
        <v>45978</v>
      </c>
      <c r="DG68" s="67">
        <f t="shared" si="159"/>
        <v>45979</v>
      </c>
      <c r="DH68" s="67">
        <f t="shared" si="159"/>
        <v>45980</v>
      </c>
      <c r="DI68" s="67">
        <f t="shared" si="159"/>
        <v>45981</v>
      </c>
      <c r="DJ68" s="67">
        <f t="shared" si="159"/>
        <v>45982</v>
      </c>
      <c r="DK68" s="67">
        <f t="shared" si="159"/>
        <v>45983</v>
      </c>
      <c r="DL68" s="67">
        <f t="shared" si="159"/>
        <v>45984</v>
      </c>
      <c r="DM68" s="67">
        <f t="shared" si="159"/>
        <v>45985</v>
      </c>
      <c r="DN68" s="67">
        <f t="shared" si="159"/>
        <v>45986</v>
      </c>
      <c r="DO68" s="67">
        <f t="shared" si="159"/>
        <v>45987</v>
      </c>
      <c r="DP68" s="67">
        <f t="shared" si="159"/>
        <v>45988</v>
      </c>
      <c r="DQ68" s="67">
        <f t="shared" si="159"/>
        <v>45989</v>
      </c>
      <c r="DR68" s="67">
        <f t="shared" si="159"/>
        <v>45990</v>
      </c>
      <c r="DS68" s="67">
        <f t="shared" si="159"/>
        <v>45991</v>
      </c>
      <c r="DT68" s="67" t="str">
        <f t="shared" si="159"/>
        <v/>
      </c>
      <c r="DU68" s="112" t="s">
        <v>33</v>
      </c>
      <c r="DV68" s="113" t="s">
        <v>28</v>
      </c>
      <c r="DW68" s="114" t="s">
        <v>34</v>
      </c>
      <c r="DX68" s="112" t="s">
        <v>13</v>
      </c>
      <c r="DY68" s="113" t="s">
        <v>1</v>
      </c>
      <c r="DZ68" s="113" t="s">
        <v>35</v>
      </c>
      <c r="EA68" s="113" t="s">
        <v>36</v>
      </c>
      <c r="EB68" s="113" t="s">
        <v>37</v>
      </c>
      <c r="EC68" s="113" t="s">
        <v>0</v>
      </c>
      <c r="ED68" s="113" t="s">
        <v>38</v>
      </c>
      <c r="EE68" s="114" t="s">
        <v>11</v>
      </c>
      <c r="EF68" s="108" t="str">
        <f>elenchi!$C14</f>
        <v>ARRIVABENE ELISA</v>
      </c>
      <c r="EG68" s="109"/>
      <c r="EH68" s="110"/>
      <c r="EI68" s="67">
        <f t="shared" ref="EI68:FM68" si="160">EI$2</f>
        <v>45992</v>
      </c>
      <c r="EJ68" s="67">
        <f t="shared" si="160"/>
        <v>45993</v>
      </c>
      <c r="EK68" s="67">
        <f t="shared" si="160"/>
        <v>45994</v>
      </c>
      <c r="EL68" s="67">
        <f t="shared" si="160"/>
        <v>45995</v>
      </c>
      <c r="EM68" s="67">
        <f t="shared" si="160"/>
        <v>45996</v>
      </c>
      <c r="EN68" s="67">
        <f t="shared" si="160"/>
        <v>45997</v>
      </c>
      <c r="EO68" s="67">
        <f t="shared" si="160"/>
        <v>45998</v>
      </c>
      <c r="EP68" s="67">
        <f t="shared" si="160"/>
        <v>45999</v>
      </c>
      <c r="EQ68" s="67">
        <f t="shared" si="160"/>
        <v>46000</v>
      </c>
      <c r="ER68" s="67">
        <f t="shared" si="160"/>
        <v>46001</v>
      </c>
      <c r="ES68" s="67">
        <f t="shared" si="160"/>
        <v>46002</v>
      </c>
      <c r="ET68" s="67">
        <f t="shared" si="160"/>
        <v>46003</v>
      </c>
      <c r="EU68" s="67">
        <f t="shared" si="160"/>
        <v>46004</v>
      </c>
      <c r="EV68" s="67">
        <f t="shared" si="160"/>
        <v>46005</v>
      </c>
      <c r="EW68" s="67">
        <f t="shared" si="160"/>
        <v>46006</v>
      </c>
      <c r="EX68" s="67">
        <f t="shared" si="160"/>
        <v>46007</v>
      </c>
      <c r="EY68" s="67">
        <f t="shared" si="160"/>
        <v>46008</v>
      </c>
      <c r="EZ68" s="67">
        <f t="shared" si="160"/>
        <v>46009</v>
      </c>
      <c r="FA68" s="67">
        <f t="shared" si="160"/>
        <v>46010</v>
      </c>
      <c r="FB68" s="67">
        <f t="shared" si="160"/>
        <v>46011</v>
      </c>
      <c r="FC68" s="67">
        <f t="shared" si="160"/>
        <v>46012</v>
      </c>
      <c r="FD68" s="67">
        <f t="shared" si="160"/>
        <v>46013</v>
      </c>
      <c r="FE68" s="67">
        <f t="shared" si="160"/>
        <v>46014</v>
      </c>
      <c r="FF68" s="67">
        <f t="shared" si="160"/>
        <v>46015</v>
      </c>
      <c r="FG68" s="67">
        <f t="shared" si="160"/>
        <v>46016</v>
      </c>
      <c r="FH68" s="67">
        <f t="shared" si="160"/>
        <v>46017</v>
      </c>
      <c r="FI68" s="67">
        <f t="shared" si="160"/>
        <v>46018</v>
      </c>
      <c r="FJ68" s="67">
        <f t="shared" si="160"/>
        <v>46019</v>
      </c>
      <c r="FK68" s="67">
        <f t="shared" si="160"/>
        <v>46020</v>
      </c>
      <c r="FL68" s="67">
        <f t="shared" si="160"/>
        <v>46021</v>
      </c>
      <c r="FM68" s="67">
        <f t="shared" si="160"/>
        <v>46022</v>
      </c>
      <c r="FN68" s="112" t="s">
        <v>33</v>
      </c>
      <c r="FO68" s="113" t="s">
        <v>28</v>
      </c>
      <c r="FP68" s="114" t="s">
        <v>34</v>
      </c>
      <c r="FQ68" s="112" t="s">
        <v>13</v>
      </c>
      <c r="FR68" s="113" t="s">
        <v>1</v>
      </c>
      <c r="FS68" s="113" t="s">
        <v>35</v>
      </c>
      <c r="FT68" s="113" t="s">
        <v>36</v>
      </c>
      <c r="FU68" s="113" t="s">
        <v>37</v>
      </c>
      <c r="FV68" s="113" t="s">
        <v>0</v>
      </c>
      <c r="FW68" s="113" t="s">
        <v>38</v>
      </c>
      <c r="FX68" s="114" t="s">
        <v>11</v>
      </c>
      <c r="FY68" s="108" t="str">
        <f>elenchi!$C14</f>
        <v>ARRIVABENE ELISA</v>
      </c>
      <c r="FZ68" s="109"/>
      <c r="GA68" s="110"/>
      <c r="GB68" s="67">
        <f t="shared" ref="GB68:HF68" si="161">GB$2</f>
        <v>46023</v>
      </c>
      <c r="GC68" s="67">
        <f t="shared" si="161"/>
        <v>46024</v>
      </c>
      <c r="GD68" s="67">
        <f t="shared" si="161"/>
        <v>46025</v>
      </c>
      <c r="GE68" s="67">
        <f t="shared" si="161"/>
        <v>46026</v>
      </c>
      <c r="GF68" s="67">
        <f t="shared" si="161"/>
        <v>46027</v>
      </c>
      <c r="GG68" s="67">
        <f t="shared" si="161"/>
        <v>46028</v>
      </c>
      <c r="GH68" s="67">
        <f t="shared" si="161"/>
        <v>46029</v>
      </c>
      <c r="GI68" s="67">
        <f t="shared" si="161"/>
        <v>46030</v>
      </c>
      <c r="GJ68" s="67">
        <f t="shared" si="161"/>
        <v>46031</v>
      </c>
      <c r="GK68" s="67">
        <f t="shared" si="161"/>
        <v>46032</v>
      </c>
      <c r="GL68" s="67">
        <f t="shared" si="161"/>
        <v>46033</v>
      </c>
      <c r="GM68" s="67">
        <f t="shared" si="161"/>
        <v>46034</v>
      </c>
      <c r="GN68" s="67">
        <f t="shared" si="161"/>
        <v>46035</v>
      </c>
      <c r="GO68" s="67">
        <f t="shared" si="161"/>
        <v>46036</v>
      </c>
      <c r="GP68" s="67">
        <f t="shared" si="161"/>
        <v>46037</v>
      </c>
      <c r="GQ68" s="67">
        <f t="shared" si="161"/>
        <v>46038</v>
      </c>
      <c r="GR68" s="67">
        <f t="shared" si="161"/>
        <v>46039</v>
      </c>
      <c r="GS68" s="67">
        <f t="shared" si="161"/>
        <v>46040</v>
      </c>
      <c r="GT68" s="67">
        <f t="shared" si="161"/>
        <v>46041</v>
      </c>
      <c r="GU68" s="67">
        <f t="shared" si="161"/>
        <v>46042</v>
      </c>
      <c r="GV68" s="67">
        <f t="shared" si="161"/>
        <v>46043</v>
      </c>
      <c r="GW68" s="67">
        <f t="shared" si="161"/>
        <v>46044</v>
      </c>
      <c r="GX68" s="67">
        <f t="shared" si="161"/>
        <v>46045</v>
      </c>
      <c r="GY68" s="67">
        <f t="shared" si="161"/>
        <v>46046</v>
      </c>
      <c r="GZ68" s="67">
        <f t="shared" si="161"/>
        <v>46047</v>
      </c>
      <c r="HA68" s="67">
        <f t="shared" si="161"/>
        <v>46048</v>
      </c>
      <c r="HB68" s="67">
        <f t="shared" si="161"/>
        <v>46049</v>
      </c>
      <c r="HC68" s="67">
        <f t="shared" si="161"/>
        <v>46050</v>
      </c>
      <c r="HD68" s="67">
        <f t="shared" si="161"/>
        <v>46051</v>
      </c>
      <c r="HE68" s="67">
        <f t="shared" si="161"/>
        <v>46052</v>
      </c>
      <c r="HF68" s="67">
        <f t="shared" si="161"/>
        <v>46053</v>
      </c>
      <c r="HG68" s="112" t="s">
        <v>33</v>
      </c>
      <c r="HH68" s="113" t="s">
        <v>28</v>
      </c>
      <c r="HI68" s="114" t="s">
        <v>34</v>
      </c>
      <c r="HJ68" s="112" t="s">
        <v>13</v>
      </c>
      <c r="HK68" s="113" t="s">
        <v>1</v>
      </c>
      <c r="HL68" s="113" t="s">
        <v>35</v>
      </c>
      <c r="HM68" s="113" t="s">
        <v>36</v>
      </c>
      <c r="HN68" s="113" t="s">
        <v>37</v>
      </c>
      <c r="HO68" s="113" t="s">
        <v>0</v>
      </c>
      <c r="HP68" s="113" t="s">
        <v>38</v>
      </c>
      <c r="HQ68" s="114" t="s">
        <v>11</v>
      </c>
      <c r="HR68" s="108" t="str">
        <f>elenchi!$C14</f>
        <v>ARRIVABENE ELISA</v>
      </c>
      <c r="HS68" s="109"/>
      <c r="HT68" s="110"/>
      <c r="HU68" s="67">
        <f t="shared" ref="HU68:IY68" si="162">HU$2</f>
        <v>46054</v>
      </c>
      <c r="HV68" s="67">
        <f t="shared" si="162"/>
        <v>46055</v>
      </c>
      <c r="HW68" s="67">
        <f t="shared" si="162"/>
        <v>46056</v>
      </c>
      <c r="HX68" s="67">
        <f t="shared" si="162"/>
        <v>46057</v>
      </c>
      <c r="HY68" s="67">
        <f t="shared" si="162"/>
        <v>46058</v>
      </c>
      <c r="HZ68" s="67">
        <f t="shared" si="162"/>
        <v>46059</v>
      </c>
      <c r="IA68" s="67">
        <f t="shared" si="162"/>
        <v>46060</v>
      </c>
      <c r="IB68" s="67">
        <f t="shared" si="162"/>
        <v>46061</v>
      </c>
      <c r="IC68" s="67">
        <f t="shared" si="162"/>
        <v>46062</v>
      </c>
      <c r="ID68" s="67">
        <f t="shared" si="162"/>
        <v>46063</v>
      </c>
      <c r="IE68" s="67">
        <f t="shared" si="162"/>
        <v>46064</v>
      </c>
      <c r="IF68" s="67">
        <f t="shared" si="162"/>
        <v>46065</v>
      </c>
      <c r="IG68" s="67">
        <f t="shared" si="162"/>
        <v>46066</v>
      </c>
      <c r="IH68" s="67">
        <f t="shared" si="162"/>
        <v>46067</v>
      </c>
      <c r="II68" s="67">
        <f t="shared" si="162"/>
        <v>46068</v>
      </c>
      <c r="IJ68" s="67">
        <f t="shared" si="162"/>
        <v>46069</v>
      </c>
      <c r="IK68" s="67">
        <f t="shared" si="162"/>
        <v>46070</v>
      </c>
      <c r="IL68" s="67">
        <f t="shared" si="162"/>
        <v>46071</v>
      </c>
      <c r="IM68" s="67">
        <f t="shared" si="162"/>
        <v>46072</v>
      </c>
      <c r="IN68" s="67">
        <f t="shared" si="162"/>
        <v>46073</v>
      </c>
      <c r="IO68" s="67">
        <f t="shared" si="162"/>
        <v>46074</v>
      </c>
      <c r="IP68" s="67">
        <f t="shared" si="162"/>
        <v>46075</v>
      </c>
      <c r="IQ68" s="67">
        <f t="shared" si="162"/>
        <v>46076</v>
      </c>
      <c r="IR68" s="67">
        <f t="shared" si="162"/>
        <v>46077</v>
      </c>
      <c r="IS68" s="67">
        <f t="shared" si="162"/>
        <v>46078</v>
      </c>
      <c r="IT68" s="67">
        <f t="shared" si="162"/>
        <v>46079</v>
      </c>
      <c r="IU68" s="67">
        <f t="shared" si="162"/>
        <v>46080</v>
      </c>
      <c r="IV68" s="67">
        <f t="shared" si="162"/>
        <v>46081</v>
      </c>
      <c r="IW68" s="67" t="str">
        <f t="shared" si="162"/>
        <v/>
      </c>
      <c r="IX68" s="67" t="str">
        <f t="shared" si="162"/>
        <v/>
      </c>
      <c r="IY68" s="67" t="str">
        <f t="shared" si="162"/>
        <v/>
      </c>
      <c r="IZ68" s="112" t="s">
        <v>33</v>
      </c>
      <c r="JA68" s="113" t="s">
        <v>28</v>
      </c>
      <c r="JB68" s="114" t="s">
        <v>34</v>
      </c>
      <c r="JC68" s="112" t="s">
        <v>13</v>
      </c>
      <c r="JD68" s="113" t="s">
        <v>1</v>
      </c>
      <c r="JE68" s="113" t="s">
        <v>35</v>
      </c>
      <c r="JF68" s="113" t="s">
        <v>36</v>
      </c>
      <c r="JG68" s="113" t="s">
        <v>37</v>
      </c>
      <c r="JH68" s="113" t="s">
        <v>0</v>
      </c>
      <c r="JI68" s="113" t="s">
        <v>38</v>
      </c>
      <c r="JJ68" s="114" t="s">
        <v>11</v>
      </c>
      <c r="JK68" s="108" t="str">
        <f>elenchi!$C14</f>
        <v>ARRIVABENE ELISA</v>
      </c>
      <c r="JL68" s="109"/>
      <c r="JM68" s="110"/>
      <c r="JN68" s="67">
        <f t="shared" ref="JN68:KR68" si="163">JN$2</f>
        <v>46082</v>
      </c>
      <c r="JO68" s="67">
        <f t="shared" si="163"/>
        <v>46083</v>
      </c>
      <c r="JP68" s="67">
        <f t="shared" si="163"/>
        <v>46084</v>
      </c>
      <c r="JQ68" s="67">
        <f t="shared" si="163"/>
        <v>46085</v>
      </c>
      <c r="JR68" s="67">
        <f t="shared" si="163"/>
        <v>46086</v>
      </c>
      <c r="JS68" s="67">
        <f t="shared" si="163"/>
        <v>46087</v>
      </c>
      <c r="JT68" s="67">
        <f t="shared" si="163"/>
        <v>46088</v>
      </c>
      <c r="JU68" s="67">
        <f t="shared" si="163"/>
        <v>46089</v>
      </c>
      <c r="JV68" s="67">
        <f t="shared" si="163"/>
        <v>46090</v>
      </c>
      <c r="JW68" s="67">
        <f t="shared" si="163"/>
        <v>46091</v>
      </c>
      <c r="JX68" s="67">
        <f t="shared" si="163"/>
        <v>46092</v>
      </c>
      <c r="JY68" s="67">
        <f t="shared" si="163"/>
        <v>46093</v>
      </c>
      <c r="JZ68" s="67">
        <f t="shared" si="163"/>
        <v>46094</v>
      </c>
      <c r="KA68" s="67">
        <f t="shared" si="163"/>
        <v>46095</v>
      </c>
      <c r="KB68" s="67">
        <f t="shared" si="163"/>
        <v>46096</v>
      </c>
      <c r="KC68" s="67">
        <f t="shared" si="163"/>
        <v>46097</v>
      </c>
      <c r="KD68" s="67">
        <f t="shared" si="163"/>
        <v>46098</v>
      </c>
      <c r="KE68" s="67">
        <f t="shared" si="163"/>
        <v>46099</v>
      </c>
      <c r="KF68" s="67">
        <f t="shared" si="163"/>
        <v>46100</v>
      </c>
      <c r="KG68" s="67">
        <f t="shared" si="163"/>
        <v>46101</v>
      </c>
      <c r="KH68" s="67">
        <f t="shared" si="163"/>
        <v>46102</v>
      </c>
      <c r="KI68" s="67">
        <f t="shared" si="163"/>
        <v>46103</v>
      </c>
      <c r="KJ68" s="67">
        <f t="shared" si="163"/>
        <v>46104</v>
      </c>
      <c r="KK68" s="67">
        <f t="shared" si="163"/>
        <v>46105</v>
      </c>
      <c r="KL68" s="67">
        <f t="shared" si="163"/>
        <v>46106</v>
      </c>
      <c r="KM68" s="67">
        <f t="shared" si="163"/>
        <v>46107</v>
      </c>
      <c r="KN68" s="67">
        <f t="shared" si="163"/>
        <v>46108</v>
      </c>
      <c r="KO68" s="67">
        <f t="shared" si="163"/>
        <v>46109</v>
      </c>
      <c r="KP68" s="67">
        <f t="shared" si="163"/>
        <v>46110</v>
      </c>
      <c r="KQ68" s="67">
        <f t="shared" si="163"/>
        <v>46111</v>
      </c>
      <c r="KR68" s="67">
        <f t="shared" si="163"/>
        <v>46112</v>
      </c>
      <c r="KS68" s="112" t="s">
        <v>33</v>
      </c>
      <c r="KT68" s="113" t="s">
        <v>28</v>
      </c>
      <c r="KU68" s="114" t="s">
        <v>34</v>
      </c>
      <c r="KV68" s="112" t="s">
        <v>13</v>
      </c>
      <c r="KW68" s="113" t="s">
        <v>1</v>
      </c>
      <c r="KX68" s="113" t="s">
        <v>35</v>
      </c>
      <c r="KY68" s="113" t="s">
        <v>36</v>
      </c>
      <c r="KZ68" s="113" t="s">
        <v>37</v>
      </c>
      <c r="LA68" s="113" t="s">
        <v>0</v>
      </c>
      <c r="LB68" s="113" t="s">
        <v>38</v>
      </c>
      <c r="LC68" s="114" t="s">
        <v>11</v>
      </c>
      <c r="LD68" s="108" t="str">
        <f>elenchi!$C14</f>
        <v>ARRIVABENE ELISA</v>
      </c>
      <c r="LE68" s="109"/>
      <c r="LF68" s="110"/>
      <c r="LG68" s="67">
        <f t="shared" ref="LG68:MK68" si="164">LG$2</f>
        <v>46113</v>
      </c>
      <c r="LH68" s="67">
        <f t="shared" si="164"/>
        <v>46114</v>
      </c>
      <c r="LI68" s="67">
        <f t="shared" si="164"/>
        <v>46115</v>
      </c>
      <c r="LJ68" s="67">
        <f t="shared" si="164"/>
        <v>46116</v>
      </c>
      <c r="LK68" s="67">
        <f t="shared" si="164"/>
        <v>46117</v>
      </c>
      <c r="LL68" s="67">
        <f t="shared" si="164"/>
        <v>46118</v>
      </c>
      <c r="LM68" s="67">
        <f t="shared" si="164"/>
        <v>46119</v>
      </c>
      <c r="LN68" s="67">
        <f t="shared" si="164"/>
        <v>46120</v>
      </c>
      <c r="LO68" s="67">
        <f t="shared" si="164"/>
        <v>46121</v>
      </c>
      <c r="LP68" s="67">
        <f t="shared" si="164"/>
        <v>46122</v>
      </c>
      <c r="LQ68" s="67">
        <f t="shared" si="164"/>
        <v>46123</v>
      </c>
      <c r="LR68" s="67">
        <f t="shared" si="164"/>
        <v>46124</v>
      </c>
      <c r="LS68" s="67">
        <f t="shared" si="164"/>
        <v>46125</v>
      </c>
      <c r="LT68" s="67">
        <f t="shared" si="164"/>
        <v>46126</v>
      </c>
      <c r="LU68" s="67">
        <f t="shared" si="164"/>
        <v>46127</v>
      </c>
      <c r="LV68" s="67">
        <f t="shared" si="164"/>
        <v>46128</v>
      </c>
      <c r="LW68" s="67">
        <f t="shared" si="164"/>
        <v>46129</v>
      </c>
      <c r="LX68" s="67">
        <f t="shared" si="164"/>
        <v>46130</v>
      </c>
      <c r="LY68" s="67">
        <f t="shared" si="164"/>
        <v>46131</v>
      </c>
      <c r="LZ68" s="67">
        <f t="shared" si="164"/>
        <v>46132</v>
      </c>
      <c r="MA68" s="67">
        <f t="shared" si="164"/>
        <v>46133</v>
      </c>
      <c r="MB68" s="67">
        <f t="shared" si="164"/>
        <v>46134</v>
      </c>
      <c r="MC68" s="67">
        <f t="shared" si="164"/>
        <v>46135</v>
      </c>
      <c r="MD68" s="67">
        <f t="shared" si="164"/>
        <v>46136</v>
      </c>
      <c r="ME68" s="67">
        <f t="shared" si="164"/>
        <v>46137</v>
      </c>
      <c r="MF68" s="67">
        <f t="shared" si="164"/>
        <v>46138</v>
      </c>
      <c r="MG68" s="67">
        <f t="shared" si="164"/>
        <v>46139</v>
      </c>
      <c r="MH68" s="67">
        <f t="shared" si="164"/>
        <v>46140</v>
      </c>
      <c r="MI68" s="67">
        <f t="shared" si="164"/>
        <v>46141</v>
      </c>
      <c r="MJ68" s="67">
        <f t="shared" si="164"/>
        <v>46142</v>
      </c>
      <c r="MK68" s="67" t="str">
        <f t="shared" si="164"/>
        <v/>
      </c>
      <c r="ML68" s="112" t="s">
        <v>33</v>
      </c>
      <c r="MM68" s="113" t="s">
        <v>28</v>
      </c>
      <c r="MN68" s="114" t="s">
        <v>34</v>
      </c>
      <c r="MO68" s="112" t="s">
        <v>13</v>
      </c>
      <c r="MP68" s="113" t="s">
        <v>1</v>
      </c>
      <c r="MQ68" s="113" t="s">
        <v>35</v>
      </c>
      <c r="MR68" s="113" t="s">
        <v>36</v>
      </c>
      <c r="MS68" s="113" t="s">
        <v>37</v>
      </c>
      <c r="MT68" s="113" t="s">
        <v>0</v>
      </c>
      <c r="MU68" s="113" t="s">
        <v>38</v>
      </c>
      <c r="MV68" s="115" t="s">
        <v>11</v>
      </c>
      <c r="MW68" s="108" t="str">
        <f>elenchi!$C14</f>
        <v>ARRIVABENE ELISA</v>
      </c>
      <c r="MX68" s="109"/>
      <c r="MY68" s="110"/>
      <c r="MZ68" s="67">
        <f t="shared" ref="MZ68:OD68" si="165">MZ$2</f>
        <v>46143</v>
      </c>
      <c r="NA68" s="67">
        <f t="shared" si="165"/>
        <v>46144</v>
      </c>
      <c r="NB68" s="67">
        <f t="shared" si="165"/>
        <v>46145</v>
      </c>
      <c r="NC68" s="67">
        <f t="shared" si="165"/>
        <v>46146</v>
      </c>
      <c r="ND68" s="67">
        <f t="shared" si="165"/>
        <v>46147</v>
      </c>
      <c r="NE68" s="67">
        <f t="shared" si="165"/>
        <v>46148</v>
      </c>
      <c r="NF68" s="67">
        <f t="shared" si="165"/>
        <v>46149</v>
      </c>
      <c r="NG68" s="67">
        <f t="shared" si="165"/>
        <v>46150</v>
      </c>
      <c r="NH68" s="67">
        <f t="shared" si="165"/>
        <v>46151</v>
      </c>
      <c r="NI68" s="67">
        <f t="shared" si="165"/>
        <v>46152</v>
      </c>
      <c r="NJ68" s="67">
        <f t="shared" si="165"/>
        <v>46153</v>
      </c>
      <c r="NK68" s="67">
        <f t="shared" si="165"/>
        <v>46154</v>
      </c>
      <c r="NL68" s="67">
        <f t="shared" si="165"/>
        <v>46155</v>
      </c>
      <c r="NM68" s="67">
        <f t="shared" si="165"/>
        <v>46156</v>
      </c>
      <c r="NN68" s="67">
        <f t="shared" si="165"/>
        <v>46157</v>
      </c>
      <c r="NO68" s="67">
        <f t="shared" si="165"/>
        <v>46158</v>
      </c>
      <c r="NP68" s="67">
        <f t="shared" si="165"/>
        <v>46159</v>
      </c>
      <c r="NQ68" s="67">
        <f t="shared" si="165"/>
        <v>46160</v>
      </c>
      <c r="NR68" s="67">
        <f t="shared" si="165"/>
        <v>46161</v>
      </c>
      <c r="NS68" s="67">
        <f t="shared" si="165"/>
        <v>46162</v>
      </c>
      <c r="NT68" s="67">
        <f t="shared" si="165"/>
        <v>46163</v>
      </c>
      <c r="NU68" s="67">
        <f t="shared" si="165"/>
        <v>46164</v>
      </c>
      <c r="NV68" s="67">
        <f t="shared" si="165"/>
        <v>46165</v>
      </c>
      <c r="NW68" s="67">
        <f t="shared" si="165"/>
        <v>46166</v>
      </c>
      <c r="NX68" s="67">
        <f t="shared" si="165"/>
        <v>46167</v>
      </c>
      <c r="NY68" s="67">
        <f t="shared" si="165"/>
        <v>46168</v>
      </c>
      <c r="NZ68" s="67">
        <f t="shared" si="165"/>
        <v>46169</v>
      </c>
      <c r="OA68" s="67">
        <f t="shared" si="165"/>
        <v>46170</v>
      </c>
      <c r="OB68" s="67">
        <f t="shared" si="165"/>
        <v>46171</v>
      </c>
      <c r="OC68" s="67">
        <f t="shared" si="165"/>
        <v>46172</v>
      </c>
      <c r="OD68" s="67">
        <f t="shared" si="165"/>
        <v>46173</v>
      </c>
      <c r="OE68" s="112" t="s">
        <v>33</v>
      </c>
      <c r="OF68" s="113" t="s">
        <v>28</v>
      </c>
      <c r="OG68" s="114" t="s">
        <v>34</v>
      </c>
      <c r="OH68" s="112" t="s">
        <v>13</v>
      </c>
      <c r="OI68" s="113" t="s">
        <v>1</v>
      </c>
      <c r="OJ68" s="113" t="s">
        <v>35</v>
      </c>
      <c r="OK68" s="113" t="s">
        <v>36</v>
      </c>
      <c r="OL68" s="113" t="s">
        <v>37</v>
      </c>
      <c r="OM68" s="113" t="s">
        <v>0</v>
      </c>
      <c r="ON68" s="113" t="s">
        <v>38</v>
      </c>
      <c r="OO68" s="115" t="s">
        <v>11</v>
      </c>
      <c r="OP68" s="108" t="str">
        <f>elenchi!$C14</f>
        <v>ARRIVABENE ELISA</v>
      </c>
      <c r="OQ68" s="109"/>
      <c r="OR68" s="110"/>
      <c r="OS68" s="67">
        <f t="shared" ref="OS68:PW68" si="166">OS$2</f>
        <v>46174</v>
      </c>
      <c r="OT68" s="67">
        <f t="shared" si="166"/>
        <v>46175</v>
      </c>
      <c r="OU68" s="67">
        <f t="shared" si="166"/>
        <v>46176</v>
      </c>
      <c r="OV68" s="67">
        <f t="shared" si="166"/>
        <v>46177</v>
      </c>
      <c r="OW68" s="67">
        <f t="shared" si="166"/>
        <v>46178</v>
      </c>
      <c r="OX68" s="67">
        <f t="shared" si="166"/>
        <v>46179</v>
      </c>
      <c r="OY68" s="67">
        <f t="shared" si="166"/>
        <v>46180</v>
      </c>
      <c r="OZ68" s="67">
        <f t="shared" si="166"/>
        <v>46181</v>
      </c>
      <c r="PA68" s="67">
        <f t="shared" si="166"/>
        <v>46182</v>
      </c>
      <c r="PB68" s="67">
        <f t="shared" si="166"/>
        <v>46183</v>
      </c>
      <c r="PC68" s="67">
        <f t="shared" si="166"/>
        <v>46184</v>
      </c>
      <c r="PD68" s="67">
        <f t="shared" si="166"/>
        <v>46185</v>
      </c>
      <c r="PE68" s="67">
        <f t="shared" si="166"/>
        <v>46186</v>
      </c>
      <c r="PF68" s="67">
        <f t="shared" si="166"/>
        <v>46187</v>
      </c>
      <c r="PG68" s="67">
        <f t="shared" si="166"/>
        <v>46188</v>
      </c>
      <c r="PH68" s="67">
        <f t="shared" si="166"/>
        <v>46189</v>
      </c>
      <c r="PI68" s="67">
        <f t="shared" si="166"/>
        <v>46190</v>
      </c>
      <c r="PJ68" s="67">
        <f t="shared" si="166"/>
        <v>46191</v>
      </c>
      <c r="PK68" s="67">
        <f t="shared" si="166"/>
        <v>46192</v>
      </c>
      <c r="PL68" s="67">
        <f t="shared" si="166"/>
        <v>46193</v>
      </c>
      <c r="PM68" s="67">
        <f t="shared" si="166"/>
        <v>46194</v>
      </c>
      <c r="PN68" s="67">
        <f t="shared" si="166"/>
        <v>46195</v>
      </c>
      <c r="PO68" s="67">
        <f t="shared" si="166"/>
        <v>46196</v>
      </c>
      <c r="PP68" s="67">
        <f t="shared" si="166"/>
        <v>46197</v>
      </c>
      <c r="PQ68" s="67">
        <f t="shared" si="166"/>
        <v>46198</v>
      </c>
      <c r="PR68" s="67">
        <f t="shared" si="166"/>
        <v>46199</v>
      </c>
      <c r="PS68" s="67">
        <f t="shared" si="166"/>
        <v>46200</v>
      </c>
      <c r="PT68" s="67">
        <f t="shared" si="166"/>
        <v>46201</v>
      </c>
      <c r="PU68" s="67">
        <f t="shared" si="166"/>
        <v>46202</v>
      </c>
      <c r="PV68" s="67">
        <f t="shared" si="166"/>
        <v>46203</v>
      </c>
      <c r="PW68" s="67" t="str">
        <f t="shared" si="166"/>
        <v/>
      </c>
      <c r="PX68" s="112" t="s">
        <v>33</v>
      </c>
      <c r="PY68" s="113" t="s">
        <v>28</v>
      </c>
      <c r="PZ68" s="114" t="s">
        <v>34</v>
      </c>
      <c r="QA68" s="112" t="s">
        <v>13</v>
      </c>
      <c r="QB68" s="113" t="s">
        <v>1</v>
      </c>
      <c r="QC68" s="113" t="s">
        <v>35</v>
      </c>
      <c r="QD68" s="113" t="s">
        <v>36</v>
      </c>
      <c r="QE68" s="113" t="s">
        <v>37</v>
      </c>
      <c r="QF68" s="113" t="s">
        <v>0</v>
      </c>
      <c r="QG68" s="113" t="s">
        <v>38</v>
      </c>
      <c r="QH68" s="115" t="s">
        <v>11</v>
      </c>
      <c r="QI68" s="108" t="str">
        <f>elenchi!$C14</f>
        <v>ARRIVABENE ELISA</v>
      </c>
      <c r="QJ68" s="109"/>
      <c r="QK68" s="110"/>
      <c r="QL68" s="67">
        <f t="shared" ref="QL68:RP68" si="167">QL$2</f>
        <v>46204</v>
      </c>
      <c r="QM68" s="67">
        <f t="shared" si="167"/>
        <v>46205</v>
      </c>
      <c r="QN68" s="67">
        <f t="shared" si="167"/>
        <v>46206</v>
      </c>
      <c r="QO68" s="67">
        <f t="shared" si="167"/>
        <v>46207</v>
      </c>
      <c r="QP68" s="67">
        <f t="shared" si="167"/>
        <v>46208</v>
      </c>
      <c r="QQ68" s="67">
        <f t="shared" si="167"/>
        <v>46209</v>
      </c>
      <c r="QR68" s="67">
        <f t="shared" si="167"/>
        <v>46210</v>
      </c>
      <c r="QS68" s="67">
        <f t="shared" si="167"/>
        <v>46211</v>
      </c>
      <c r="QT68" s="67">
        <f t="shared" si="167"/>
        <v>46212</v>
      </c>
      <c r="QU68" s="67">
        <f t="shared" si="167"/>
        <v>46213</v>
      </c>
      <c r="QV68" s="67">
        <f t="shared" si="167"/>
        <v>46214</v>
      </c>
      <c r="QW68" s="67">
        <f t="shared" si="167"/>
        <v>46215</v>
      </c>
      <c r="QX68" s="67">
        <f t="shared" si="167"/>
        <v>46216</v>
      </c>
      <c r="QY68" s="67">
        <f t="shared" si="167"/>
        <v>46217</v>
      </c>
      <c r="QZ68" s="67">
        <f t="shared" si="167"/>
        <v>46218</v>
      </c>
      <c r="RA68" s="67">
        <f t="shared" si="167"/>
        <v>46219</v>
      </c>
      <c r="RB68" s="67">
        <f t="shared" si="167"/>
        <v>46220</v>
      </c>
      <c r="RC68" s="67">
        <f t="shared" si="167"/>
        <v>46221</v>
      </c>
      <c r="RD68" s="67">
        <f t="shared" si="167"/>
        <v>46222</v>
      </c>
      <c r="RE68" s="67">
        <f t="shared" si="167"/>
        <v>46223</v>
      </c>
      <c r="RF68" s="67">
        <f t="shared" si="167"/>
        <v>46224</v>
      </c>
      <c r="RG68" s="67">
        <f t="shared" si="167"/>
        <v>46225</v>
      </c>
      <c r="RH68" s="67">
        <f t="shared" si="167"/>
        <v>46226</v>
      </c>
      <c r="RI68" s="67">
        <f t="shared" si="167"/>
        <v>46227</v>
      </c>
      <c r="RJ68" s="67">
        <f t="shared" si="167"/>
        <v>46228</v>
      </c>
      <c r="RK68" s="67">
        <f t="shared" si="167"/>
        <v>46229</v>
      </c>
      <c r="RL68" s="67">
        <f t="shared" si="167"/>
        <v>46230</v>
      </c>
      <c r="RM68" s="67">
        <f t="shared" si="167"/>
        <v>46231</v>
      </c>
      <c r="RN68" s="67">
        <f t="shared" si="167"/>
        <v>46232</v>
      </c>
      <c r="RO68" s="67">
        <f t="shared" si="167"/>
        <v>46233</v>
      </c>
      <c r="RP68" s="67">
        <f t="shared" si="167"/>
        <v>46234</v>
      </c>
      <c r="RQ68" s="112" t="s">
        <v>33</v>
      </c>
      <c r="RR68" s="113" t="s">
        <v>28</v>
      </c>
      <c r="RS68" s="114" t="s">
        <v>34</v>
      </c>
      <c r="RT68" s="112" t="s">
        <v>13</v>
      </c>
      <c r="RU68" s="113" t="s">
        <v>1</v>
      </c>
      <c r="RV68" s="113" t="s">
        <v>35</v>
      </c>
      <c r="RW68" s="113" t="s">
        <v>36</v>
      </c>
      <c r="RX68" s="113" t="s">
        <v>37</v>
      </c>
      <c r="RY68" s="113" t="s">
        <v>0</v>
      </c>
      <c r="RZ68" s="113" t="s">
        <v>38</v>
      </c>
      <c r="SA68" s="115" t="s">
        <v>11</v>
      </c>
      <c r="SB68" s="108" t="str">
        <f>elenchi!$C14</f>
        <v>ARRIVABENE ELISA</v>
      </c>
      <c r="SC68" s="109"/>
      <c r="SD68" s="110"/>
      <c r="SE68" s="67">
        <f t="shared" ref="SE68:TI68" si="168">SE$2</f>
        <v>46235</v>
      </c>
      <c r="SF68" s="67">
        <f t="shared" si="168"/>
        <v>46236</v>
      </c>
      <c r="SG68" s="67">
        <f t="shared" si="168"/>
        <v>46237</v>
      </c>
      <c r="SH68" s="67">
        <f t="shared" si="168"/>
        <v>46238</v>
      </c>
      <c r="SI68" s="67">
        <f t="shared" si="168"/>
        <v>46239</v>
      </c>
      <c r="SJ68" s="67">
        <f t="shared" si="168"/>
        <v>46240</v>
      </c>
      <c r="SK68" s="67">
        <f t="shared" si="168"/>
        <v>46241</v>
      </c>
      <c r="SL68" s="67">
        <f t="shared" si="168"/>
        <v>46242</v>
      </c>
      <c r="SM68" s="67">
        <f t="shared" si="168"/>
        <v>46243</v>
      </c>
      <c r="SN68" s="67">
        <f t="shared" si="168"/>
        <v>46244</v>
      </c>
      <c r="SO68" s="67">
        <f t="shared" si="168"/>
        <v>46245</v>
      </c>
      <c r="SP68" s="67">
        <f t="shared" si="168"/>
        <v>46246</v>
      </c>
      <c r="SQ68" s="67">
        <f t="shared" si="168"/>
        <v>46247</v>
      </c>
      <c r="SR68" s="67">
        <f t="shared" si="168"/>
        <v>46248</v>
      </c>
      <c r="SS68" s="67">
        <f t="shared" si="168"/>
        <v>46249</v>
      </c>
      <c r="ST68" s="67">
        <f t="shared" si="168"/>
        <v>46250</v>
      </c>
      <c r="SU68" s="67">
        <f t="shared" si="168"/>
        <v>46251</v>
      </c>
      <c r="SV68" s="67">
        <f t="shared" si="168"/>
        <v>46252</v>
      </c>
      <c r="SW68" s="67">
        <f t="shared" si="168"/>
        <v>46253</v>
      </c>
      <c r="SX68" s="67">
        <f t="shared" si="168"/>
        <v>46254</v>
      </c>
      <c r="SY68" s="67">
        <f t="shared" si="168"/>
        <v>46255</v>
      </c>
      <c r="SZ68" s="67">
        <f t="shared" si="168"/>
        <v>46256</v>
      </c>
      <c r="TA68" s="67">
        <f t="shared" si="168"/>
        <v>46257</v>
      </c>
      <c r="TB68" s="67">
        <f t="shared" si="168"/>
        <v>46258</v>
      </c>
      <c r="TC68" s="67">
        <f t="shared" si="168"/>
        <v>46259</v>
      </c>
      <c r="TD68" s="67">
        <f t="shared" si="168"/>
        <v>46260</v>
      </c>
      <c r="TE68" s="67">
        <f t="shared" si="168"/>
        <v>46261</v>
      </c>
      <c r="TF68" s="67">
        <f t="shared" si="168"/>
        <v>46262</v>
      </c>
      <c r="TG68" s="67">
        <f t="shared" si="168"/>
        <v>46263</v>
      </c>
      <c r="TH68" s="67">
        <f t="shared" si="168"/>
        <v>46264</v>
      </c>
      <c r="TI68" s="67">
        <f t="shared" si="168"/>
        <v>46265</v>
      </c>
      <c r="TJ68" s="112" t="s">
        <v>33</v>
      </c>
      <c r="TK68" s="113" t="s">
        <v>28</v>
      </c>
      <c r="TL68" s="114" t="s">
        <v>34</v>
      </c>
      <c r="TM68" s="112" t="s">
        <v>13</v>
      </c>
      <c r="TN68" s="113" t="s">
        <v>1</v>
      </c>
      <c r="TO68" s="113" t="s">
        <v>35</v>
      </c>
      <c r="TP68" s="113" t="s">
        <v>36</v>
      </c>
      <c r="TQ68" s="113" t="s">
        <v>37</v>
      </c>
      <c r="TR68" s="113" t="s">
        <v>0</v>
      </c>
      <c r="TS68" s="113" t="s">
        <v>38</v>
      </c>
      <c r="TT68" s="114" t="s">
        <v>11</v>
      </c>
    </row>
    <row r="69" ht="24.75" customHeight="1">
      <c r="A69" s="73"/>
      <c r="B69" s="65"/>
      <c r="C69" s="66"/>
      <c r="D69" s="74">
        <f>Settembre25!$O$2</f>
        <v>8</v>
      </c>
      <c r="E69" s="75">
        <f>Settembre25!$O$3</f>
        <v>8</v>
      </c>
      <c r="F69" s="75">
        <f>Settembre25!$O$4</f>
        <v>8</v>
      </c>
      <c r="G69" s="75">
        <f>Settembre25!$O$5</f>
        <v>8</v>
      </c>
      <c r="H69" s="76">
        <f>Settembre25!$O$6</f>
        <v>8</v>
      </c>
      <c r="I69" s="76" t="str">
        <f>Settembre25!$O$7</f>
        <v/>
      </c>
      <c r="J69" s="75" t="str">
        <f>Settembre25!$O$8</f>
        <v/>
      </c>
      <c r="K69" s="75">
        <f>Settembre25!$O$9</f>
        <v>8</v>
      </c>
      <c r="L69" s="75">
        <f>Settembre25!$O$10</f>
        <v>8</v>
      </c>
      <c r="M69" s="75">
        <f>Settembre25!$O$11</f>
        <v>8</v>
      </c>
      <c r="N69" s="75">
        <f>Settembre25!$O$12</f>
        <v>8</v>
      </c>
      <c r="O69" s="76">
        <f>Settembre25!$O$13</f>
        <v>8</v>
      </c>
      <c r="P69" s="75" t="str">
        <f>Settembre25!$O$14</f>
        <v/>
      </c>
      <c r="Q69" s="75" t="str">
        <f>Settembre25!$O$15</f>
        <v/>
      </c>
      <c r="R69" s="75">
        <f>Settembre25!$O$16</f>
        <v>8</v>
      </c>
      <c r="S69" s="75">
        <f>Settembre25!$O$17</f>
        <v>8</v>
      </c>
      <c r="T69" s="75">
        <f>Settembre25!$O$18</f>
        <v>8</v>
      </c>
      <c r="U69" s="75">
        <f>Settembre25!$O$19</f>
        <v>8</v>
      </c>
      <c r="V69" s="76">
        <f>Settembre25!$O$20</f>
        <v>8</v>
      </c>
      <c r="W69" s="76" t="str">
        <f>Settembre25!$O$21</f>
        <v/>
      </c>
      <c r="X69" s="75" t="str">
        <f>Settembre25!$O$22</f>
        <v/>
      </c>
      <c r="Y69" s="75">
        <f>Settembre25!$O$23</f>
        <v>8</v>
      </c>
      <c r="Z69" s="75">
        <f>Settembre25!$O$24</f>
        <v>8</v>
      </c>
      <c r="AA69" s="75">
        <f>Settembre25!$O$25</f>
        <v>8</v>
      </c>
      <c r="AB69" s="75">
        <f>Settembre25!$O$26</f>
        <v>8</v>
      </c>
      <c r="AC69" s="76">
        <f>Settembre25!$O$27</f>
        <v>8</v>
      </c>
      <c r="AD69" s="76" t="str">
        <f>Settembre25!$O$28</f>
        <v/>
      </c>
      <c r="AE69" s="75" t="str">
        <f>Settembre25!$O$29</f>
        <v/>
      </c>
      <c r="AF69" s="75">
        <f>Settembre25!$O$30</f>
        <v>8</v>
      </c>
      <c r="AG69" s="75">
        <f>Settembre25!$O$31</f>
        <v>8</v>
      </c>
      <c r="AH69" s="77" t="str">
        <f>Settembre25!$O$32</f>
        <v/>
      </c>
      <c r="AI69" s="78"/>
      <c r="AJ69" s="79">
        <f>SUM(D69:AH69)</f>
        <v>176</v>
      </c>
      <c r="AK69" s="80"/>
      <c r="AL69" s="78"/>
      <c r="AM69" s="81"/>
      <c r="AN69" s="81"/>
      <c r="AO69" s="81"/>
      <c r="AP69" s="81"/>
      <c r="AQ69" s="81"/>
      <c r="AR69" s="81"/>
      <c r="AS69" s="82"/>
      <c r="AT69" s="73"/>
      <c r="AU69" s="65"/>
      <c r="AV69" s="66"/>
      <c r="AW69" s="83">
        <f>Ottobre25!$O$2</f>
        <v>8</v>
      </c>
      <c r="AX69" s="84">
        <f>Ottobre25!$O$3</f>
        <v>8</v>
      </c>
      <c r="AY69" s="84">
        <f>Ottobre25!$O$4</f>
        <v>8</v>
      </c>
      <c r="AZ69" s="84" t="str">
        <f>Ottobre25!$O$5</f>
        <v/>
      </c>
      <c r="BA69" s="85" t="str">
        <f>Ottobre25!$O$6</f>
        <v/>
      </c>
      <c r="BB69" s="85">
        <f>Ottobre25!$O$7</f>
        <v>8</v>
      </c>
      <c r="BC69" s="84">
        <f>Ottobre25!$O$8</f>
        <v>8</v>
      </c>
      <c r="BD69" s="84">
        <f>Ottobre25!$O$9</f>
        <v>8</v>
      </c>
      <c r="BE69" s="84">
        <f>Ottobre25!$O$10</f>
        <v>8</v>
      </c>
      <c r="BF69" s="84">
        <f>Ottobre25!$O$11</f>
        <v>8</v>
      </c>
      <c r="BG69" s="84" t="str">
        <f>Ottobre25!$O$12</f>
        <v/>
      </c>
      <c r="BH69" s="84" t="str">
        <f>Ottobre25!$O$13</f>
        <v/>
      </c>
      <c r="BI69" s="85">
        <f>Ottobre25!$O$14</f>
        <v>8</v>
      </c>
      <c r="BJ69" s="84">
        <f>Ottobre25!$O$15</f>
        <v>8</v>
      </c>
      <c r="BK69" s="84">
        <f>Ottobre25!$O$16</f>
        <v>8</v>
      </c>
      <c r="BL69" s="84">
        <f>Ottobre25!$O$17</f>
        <v>8</v>
      </c>
      <c r="BM69" s="84">
        <f>Ottobre25!$O$18</f>
        <v>8</v>
      </c>
      <c r="BN69" s="84" t="str">
        <f>Ottobre25!$O$19</f>
        <v/>
      </c>
      <c r="BO69" s="84" t="str">
        <f>Ottobre25!$O$20</f>
        <v/>
      </c>
      <c r="BP69" s="85">
        <f>Ottobre25!$O$21</f>
        <v>8</v>
      </c>
      <c r="BQ69" s="84">
        <f>Ottobre25!$O$22</f>
        <v>8</v>
      </c>
      <c r="BR69" s="84">
        <f>Ottobre25!$O$23</f>
        <v>8</v>
      </c>
      <c r="BS69" s="84">
        <f>Ottobre25!$O$24</f>
        <v>8</v>
      </c>
      <c r="BT69" s="84">
        <f>Ottobre25!$O$25</f>
        <v>8</v>
      </c>
      <c r="BU69" s="84" t="str">
        <f>Ottobre25!$O$26</f>
        <v/>
      </c>
      <c r="BV69" s="85" t="str">
        <f>Ottobre25!$O$27</f>
        <v/>
      </c>
      <c r="BW69" s="85">
        <f>Ottobre25!$O$28</f>
        <v>8</v>
      </c>
      <c r="BX69" s="84">
        <f>Ottobre25!$O$29</f>
        <v>8</v>
      </c>
      <c r="BY69" s="84">
        <f>Ottobre25!$O$30</f>
        <v>8</v>
      </c>
      <c r="BZ69" s="84">
        <f>Ottobre25!$O$31</f>
        <v>8</v>
      </c>
      <c r="CA69" s="86">
        <f>Ottobre25!$O$32</f>
        <v>8</v>
      </c>
      <c r="CB69" s="78"/>
      <c r="CC69" s="79">
        <f>SUM(AW69:CA69)</f>
        <v>184</v>
      </c>
      <c r="CD69" s="80"/>
      <c r="CE69" s="78"/>
      <c r="CF69" s="81"/>
      <c r="CG69" s="81"/>
      <c r="CH69" s="81"/>
      <c r="CI69" s="81"/>
      <c r="CJ69" s="81"/>
      <c r="CK69" s="81"/>
      <c r="CL69" s="82"/>
      <c r="CM69" s="73"/>
      <c r="CN69" s="65"/>
      <c r="CO69" s="66"/>
      <c r="CP69" s="83" t="str">
        <f>Novembre25!$O$2</f>
        <v/>
      </c>
      <c r="CQ69" s="84" t="str">
        <f>Novembre25!$O$3</f>
        <v/>
      </c>
      <c r="CR69" s="84">
        <f>Novembre25!$O$4</f>
        <v>8</v>
      </c>
      <c r="CS69" s="84">
        <f>Novembre25!$O$5</f>
        <v>8</v>
      </c>
      <c r="CT69" s="85">
        <f>Novembre25!$O$6</f>
        <v>8</v>
      </c>
      <c r="CU69" s="85">
        <f>Novembre25!$O$7</f>
        <v>8</v>
      </c>
      <c r="CV69" s="84">
        <f>Novembre25!$O$8</f>
        <v>8</v>
      </c>
      <c r="CW69" s="84" t="str">
        <f>Novembre25!$O$9</f>
        <v/>
      </c>
      <c r="CX69" s="84" t="str">
        <f>Novembre25!$O$10</f>
        <v/>
      </c>
      <c r="CY69" s="84">
        <f>Novembre25!$O$11</f>
        <v>8</v>
      </c>
      <c r="CZ69" s="84">
        <f>Novembre25!$O$12</f>
        <v>8</v>
      </c>
      <c r="DA69" s="84">
        <f>Novembre25!$O$13</f>
        <v>8</v>
      </c>
      <c r="DB69" s="85">
        <f>Novembre25!$O$14</f>
        <v>8</v>
      </c>
      <c r="DC69" s="84">
        <f>Novembre25!$O$15</f>
        <v>8</v>
      </c>
      <c r="DD69" s="84" t="str">
        <f>Novembre25!$O$16</f>
        <v/>
      </c>
      <c r="DE69" s="84" t="str">
        <f>Novembre25!$O$17</f>
        <v/>
      </c>
      <c r="DF69" s="84">
        <f>Novembre25!$O$18</f>
        <v>8</v>
      </c>
      <c r="DG69" s="84">
        <f>Novembre25!$O$19</f>
        <v>8</v>
      </c>
      <c r="DH69" s="84">
        <f>Novembre25!$O$20</f>
        <v>8</v>
      </c>
      <c r="DI69" s="85">
        <f>Novembre25!$O$21</f>
        <v>8</v>
      </c>
      <c r="DJ69" s="84">
        <f>Novembre25!$O$22</f>
        <v>8</v>
      </c>
      <c r="DK69" s="84" t="str">
        <f>Novembre25!$O$23</f>
        <v/>
      </c>
      <c r="DL69" s="84" t="str">
        <f>Novembre25!$O$24</f>
        <v/>
      </c>
      <c r="DM69" s="84">
        <f>Novembre25!$O$25</f>
        <v>8</v>
      </c>
      <c r="DN69" s="84">
        <f>Novembre25!$O$26</f>
        <v>8</v>
      </c>
      <c r="DO69" s="85">
        <f>Novembre25!$O$27</f>
        <v>8</v>
      </c>
      <c r="DP69" s="85">
        <f>Novembre25!$O$28</f>
        <v>8</v>
      </c>
      <c r="DQ69" s="84">
        <f>Novembre25!$O$29</f>
        <v>8</v>
      </c>
      <c r="DR69" s="84" t="str">
        <f>Novembre25!$O$30</f>
        <v/>
      </c>
      <c r="DS69" s="84" t="str">
        <f>Novembre25!$O$31</f>
        <v/>
      </c>
      <c r="DT69" s="86" t="str">
        <f>Novembre25!$O$32</f>
        <v/>
      </c>
      <c r="DU69" s="78"/>
      <c r="DV69" s="79">
        <f>SUM(CP69:DT69)</f>
        <v>160</v>
      </c>
      <c r="DW69" s="80"/>
      <c r="DX69" s="78"/>
      <c r="DY69" s="81"/>
      <c r="DZ69" s="81"/>
      <c r="EA69" s="81"/>
      <c r="EB69" s="81"/>
      <c r="EC69" s="81"/>
      <c r="ED69" s="81"/>
      <c r="EE69" s="80"/>
      <c r="EF69" s="73"/>
      <c r="EG69" s="65"/>
      <c r="EH69" s="66"/>
      <c r="EI69" s="83">
        <f>Dicembre25!$O$2</f>
        <v>8</v>
      </c>
      <c r="EJ69" s="84">
        <f>Dicembre25!$O$3</f>
        <v>8</v>
      </c>
      <c r="EK69" s="84">
        <f>Dicembre25!$O$4</f>
        <v>8</v>
      </c>
      <c r="EL69" s="84">
        <f>Dicembre25!$O$5</f>
        <v>8</v>
      </c>
      <c r="EM69" s="85">
        <f>Dicembre25!$O$6</f>
        <v>8</v>
      </c>
      <c r="EN69" s="85" t="str">
        <f>Dicembre25!$O$7</f>
        <v/>
      </c>
      <c r="EO69" s="84" t="str">
        <f>Dicembre25!$O$8</f>
        <v/>
      </c>
      <c r="EP69" s="84" t="str">
        <f>Dicembre25!$O$9</f>
        <v>F</v>
      </c>
      <c r="EQ69" s="84">
        <f>Dicembre25!$O$10</f>
        <v>8</v>
      </c>
      <c r="ER69" s="84">
        <f>Dicembre25!$O$11</f>
        <v>8</v>
      </c>
      <c r="ES69" s="84">
        <f>Dicembre25!$O$12</f>
        <v>8</v>
      </c>
      <c r="ET69" s="84">
        <f>Dicembre25!$O$13</f>
        <v>8</v>
      </c>
      <c r="EU69" s="85" t="str">
        <f>Dicembre25!$O$14</f>
        <v/>
      </c>
      <c r="EV69" s="84" t="str">
        <f>Dicembre25!$O$15</f>
        <v/>
      </c>
      <c r="EW69" s="84">
        <f>Dicembre25!$O$16</f>
        <v>8</v>
      </c>
      <c r="EX69" s="84">
        <f>Dicembre25!$O$17</f>
        <v>8</v>
      </c>
      <c r="EY69" s="84">
        <f>Dicembre25!$O$18</f>
        <v>8</v>
      </c>
      <c r="EZ69" s="84">
        <f>Dicembre25!$O$19</f>
        <v>8</v>
      </c>
      <c r="FA69" s="84">
        <f>Dicembre25!$O$20</f>
        <v>8</v>
      </c>
      <c r="FB69" s="85" t="str">
        <f>Dicembre25!$O$21</f>
        <v/>
      </c>
      <c r="FC69" s="84" t="str">
        <f>Dicembre25!$O$22</f>
        <v/>
      </c>
      <c r="FD69" s="84">
        <f>Dicembre25!$O$23</f>
        <v>8</v>
      </c>
      <c r="FE69" s="84">
        <f>Dicembre25!$O$24</f>
        <v>8</v>
      </c>
      <c r="FF69" s="84">
        <f>Dicembre25!$O$25</f>
        <v>8</v>
      </c>
      <c r="FG69" s="84" t="str">
        <f>Dicembre25!$O$26</f>
        <v>F</v>
      </c>
      <c r="FH69" s="85" t="str">
        <f>Dicembre25!$O$27</f>
        <v>F</v>
      </c>
      <c r="FI69" s="85" t="str">
        <f>Dicembre25!$O$28</f>
        <v/>
      </c>
      <c r="FJ69" s="84" t="str">
        <f>Dicembre25!$O$29</f>
        <v/>
      </c>
      <c r="FK69" s="84">
        <f>Dicembre25!$O$30</f>
        <v>8</v>
      </c>
      <c r="FL69" s="84">
        <f>Dicembre25!$O$31</f>
        <v>8</v>
      </c>
      <c r="FM69" s="86" t="str">
        <f>Dicembre25!$O$32</f>
        <v/>
      </c>
      <c r="FN69" s="78"/>
      <c r="FO69" s="79">
        <f>SUM(EI69:FM69)</f>
        <v>152</v>
      </c>
      <c r="FP69" s="80"/>
      <c r="FQ69" s="78"/>
      <c r="FR69" s="81"/>
      <c r="FS69" s="81"/>
      <c r="FT69" s="81"/>
      <c r="FU69" s="81"/>
      <c r="FV69" s="81"/>
      <c r="FW69" s="81"/>
      <c r="FX69" s="80"/>
      <c r="FY69" s="73"/>
      <c r="FZ69" s="65"/>
      <c r="GA69" s="66"/>
      <c r="GB69" s="83" t="str">
        <f>Gennaio26!$O$2</f>
        <v>F</v>
      </c>
      <c r="GC69" s="84" t="str">
        <f>Gennaio26!$O$3</f>
        <v>FE</v>
      </c>
      <c r="GD69" s="84" t="str">
        <f>Gennaio26!$O$4</f>
        <v/>
      </c>
      <c r="GE69" s="84" t="str">
        <f>Gennaio26!$O$5</f>
        <v/>
      </c>
      <c r="GF69" s="85" t="str">
        <f>Gennaio26!$O$6</f>
        <v>FE</v>
      </c>
      <c r="GG69" s="85" t="str">
        <f>Gennaio26!$O$7</f>
        <v>F</v>
      </c>
      <c r="GH69" s="84">
        <f>Gennaio26!$O$8</f>
        <v>8</v>
      </c>
      <c r="GI69" s="84">
        <f>Gennaio26!$O$9</f>
        <v>8</v>
      </c>
      <c r="GJ69" s="84">
        <f>Gennaio26!$O$10</f>
        <v>8</v>
      </c>
      <c r="GK69" s="84" t="str">
        <f>Gennaio26!$O$11</f>
        <v/>
      </c>
      <c r="GL69" s="84" t="str">
        <f>Gennaio26!$O$12</f>
        <v/>
      </c>
      <c r="GM69" s="84">
        <f>Gennaio26!$O$13</f>
        <v>8</v>
      </c>
      <c r="GN69" s="85">
        <f>Gennaio26!$O$14</f>
        <v>8</v>
      </c>
      <c r="GO69" s="84">
        <f>Gennaio26!$O$15</f>
        <v>8</v>
      </c>
      <c r="GP69" s="84">
        <f>Gennaio26!$O$16</f>
        <v>8</v>
      </c>
      <c r="GQ69" s="84">
        <f>Gennaio26!$O$17</f>
        <v>8</v>
      </c>
      <c r="GR69" s="84" t="str">
        <f>Gennaio26!$O$18</f>
        <v/>
      </c>
      <c r="GS69" s="84" t="str">
        <f>Gennaio26!$O$19</f>
        <v/>
      </c>
      <c r="GT69" s="84">
        <f>Gennaio26!$O$20</f>
        <v>8</v>
      </c>
      <c r="GU69" s="85">
        <f>Gennaio26!$O$21</f>
        <v>8</v>
      </c>
      <c r="GV69" s="84">
        <f>Gennaio26!$O$22</f>
        <v>8</v>
      </c>
      <c r="GW69" s="84">
        <f>Gennaio26!$O$23</f>
        <v>8</v>
      </c>
      <c r="GX69" s="84">
        <f>Gennaio26!$O$24</f>
        <v>8</v>
      </c>
      <c r="GY69" s="84" t="str">
        <f>Gennaio26!$O$25</f>
        <v/>
      </c>
      <c r="GZ69" s="84" t="str">
        <f>Gennaio26!$O$26</f>
        <v/>
      </c>
      <c r="HA69" s="85">
        <f>Gennaio26!$O$27</f>
        <v>8</v>
      </c>
      <c r="HB69" s="85">
        <f>Gennaio26!$O$28</f>
        <v>8</v>
      </c>
      <c r="HC69" s="84">
        <f>Gennaio26!$O$29</f>
        <v>8</v>
      </c>
      <c r="HD69" s="84">
        <f>Gennaio26!$O$30</f>
        <v>8</v>
      </c>
      <c r="HE69" s="84">
        <f>Gennaio26!$O$31</f>
        <v>8</v>
      </c>
      <c r="HF69" s="86" t="str">
        <f>Gennaio26!$O$32</f>
        <v/>
      </c>
      <c r="HG69" s="78"/>
      <c r="HH69" s="79">
        <f>SUM(GB69:HF69)</f>
        <v>144</v>
      </c>
      <c r="HI69" s="80"/>
      <c r="HJ69" s="78"/>
      <c r="HK69" s="81"/>
      <c r="HL69" s="81"/>
      <c r="HM69" s="81"/>
      <c r="HN69" s="81"/>
      <c r="HO69" s="81"/>
      <c r="HP69" s="81"/>
      <c r="HQ69" s="80"/>
      <c r="HR69" s="73"/>
      <c r="HS69" s="65"/>
      <c r="HT69" s="66"/>
      <c r="HU69" s="83" t="str">
        <f>Febbraio26!$O$2</f>
        <v/>
      </c>
      <c r="HV69" s="84">
        <f>Febbraio26!$O$3</f>
        <v>8</v>
      </c>
      <c r="HW69" s="84">
        <f>Febbraio26!$O$4</f>
        <v>8</v>
      </c>
      <c r="HX69" s="84">
        <f>Febbraio26!$O$5</f>
        <v>8</v>
      </c>
      <c r="HY69" s="85">
        <f>Febbraio26!$O$6</f>
        <v>8</v>
      </c>
      <c r="HZ69" s="85">
        <f>Febbraio26!$O$7</f>
        <v>8</v>
      </c>
      <c r="IA69" s="84" t="str">
        <f>Febbraio26!$O$8</f>
        <v/>
      </c>
      <c r="IB69" s="84" t="str">
        <f>Febbraio26!$O$9</f>
        <v/>
      </c>
      <c r="IC69" s="84">
        <f>Febbraio26!$O$10</f>
        <v>8</v>
      </c>
      <c r="ID69" s="84">
        <f>Febbraio26!$O$11</f>
        <v>8</v>
      </c>
      <c r="IE69" s="84">
        <f>Febbraio26!$O$12</f>
        <v>8</v>
      </c>
      <c r="IF69" s="84">
        <f>Febbraio26!$O$13</f>
        <v>8</v>
      </c>
      <c r="IG69" s="85">
        <f>Febbraio26!$O$14</f>
        <v>8</v>
      </c>
      <c r="IH69" s="84" t="str">
        <f>Febbraio26!$O$15</f>
        <v/>
      </c>
      <c r="II69" s="84" t="str">
        <f>Febbraio26!$O$16</f>
        <v/>
      </c>
      <c r="IJ69" s="84">
        <f>Febbraio26!$O$17</f>
        <v>8</v>
      </c>
      <c r="IK69" s="84">
        <f>Febbraio26!$O$18</f>
        <v>8</v>
      </c>
      <c r="IL69" s="84">
        <f>Febbraio26!$O$19</f>
        <v>8</v>
      </c>
      <c r="IM69" s="84">
        <f>Febbraio26!$O$20</f>
        <v>8</v>
      </c>
      <c r="IN69" s="85">
        <f>Febbraio26!$O$21</f>
        <v>8</v>
      </c>
      <c r="IO69" s="84" t="str">
        <f>Febbraio26!$O$22</f>
        <v/>
      </c>
      <c r="IP69" s="84" t="str">
        <f>Febbraio26!$O$23</f>
        <v/>
      </c>
      <c r="IQ69" s="84">
        <f>Febbraio26!$O$24</f>
        <v>8</v>
      </c>
      <c r="IR69" s="84">
        <f>Febbraio26!$O$25</f>
        <v>8</v>
      </c>
      <c r="IS69" s="84">
        <f>Febbraio26!$O$26</f>
        <v>8</v>
      </c>
      <c r="IT69" s="85">
        <f>Febbraio26!$O$27</f>
        <v>8</v>
      </c>
      <c r="IU69" s="85">
        <f>Febbraio26!$O$28</f>
        <v>8</v>
      </c>
      <c r="IV69" s="84" t="str">
        <f>Febbraio26!$O$29</f>
        <v/>
      </c>
      <c r="IW69" s="84" t="str">
        <f>Febbraio26!$O$30</f>
        <v/>
      </c>
      <c r="IX69" s="84" t="str">
        <f>Febbraio26!$O$31</f>
        <v/>
      </c>
      <c r="IY69" s="86" t="str">
        <f>Febbraio26!$O$32</f>
        <v/>
      </c>
      <c r="IZ69" s="78"/>
      <c r="JA69" s="79">
        <f>SUM(HU69:IY69)</f>
        <v>160</v>
      </c>
      <c r="JB69" s="80"/>
      <c r="JC69" s="78"/>
      <c r="JD69" s="81"/>
      <c r="JE69" s="81"/>
      <c r="JF69" s="81"/>
      <c r="JG69" s="81"/>
      <c r="JH69" s="81"/>
      <c r="JI69" s="81"/>
      <c r="JJ69" s="80"/>
      <c r="JK69" s="73"/>
      <c r="JL69" s="65"/>
      <c r="JM69" s="66"/>
      <c r="JN69" s="83" t="str">
        <f>Marzo26!$O$2</f>
        <v/>
      </c>
      <c r="JO69" s="84">
        <f>Marzo26!$O$3</f>
        <v>8</v>
      </c>
      <c r="JP69" s="84">
        <f>Marzo26!$O$4</f>
        <v>8</v>
      </c>
      <c r="JQ69" s="84">
        <f>Marzo26!$O$5</f>
        <v>8</v>
      </c>
      <c r="JR69" s="85">
        <f>Marzo26!$O$6</f>
        <v>8</v>
      </c>
      <c r="JS69" s="85">
        <f>Marzo26!$O$7</f>
        <v>8</v>
      </c>
      <c r="JT69" s="84" t="str">
        <f>Marzo26!$O$8</f>
        <v/>
      </c>
      <c r="JU69" s="84" t="str">
        <f>Marzo26!$O$9</f>
        <v/>
      </c>
      <c r="JV69" s="84">
        <f>Marzo26!$O$10</f>
        <v>8</v>
      </c>
      <c r="JW69" s="84">
        <f>Marzo26!$O$11</f>
        <v>8</v>
      </c>
      <c r="JX69" s="84">
        <f>Marzo26!$O$12</f>
        <v>8</v>
      </c>
      <c r="JY69" s="84">
        <f>Marzo26!$O$13</f>
        <v>8</v>
      </c>
      <c r="JZ69" s="85">
        <f>Marzo26!$O$14</f>
        <v>8</v>
      </c>
      <c r="KA69" s="84" t="str">
        <f>Marzo26!$O$15</f>
        <v/>
      </c>
      <c r="KB69" s="84" t="str">
        <f>Marzo26!$O$16</f>
        <v/>
      </c>
      <c r="KC69" s="84">
        <f>Marzo26!$O$17</f>
        <v>8</v>
      </c>
      <c r="KD69" s="84">
        <f>Marzo26!$O$18</f>
        <v>8</v>
      </c>
      <c r="KE69" s="84">
        <f>Marzo26!$O$19</f>
        <v>8</v>
      </c>
      <c r="KF69" s="84">
        <f>Marzo26!$O$20</f>
        <v>8</v>
      </c>
      <c r="KG69" s="85">
        <f>Marzo26!$O$21</f>
        <v>8</v>
      </c>
      <c r="KH69" s="84" t="str">
        <f>Marzo26!$O$22</f>
        <v/>
      </c>
      <c r="KI69" s="84" t="str">
        <f>Marzo26!$O$23</f>
        <v/>
      </c>
      <c r="KJ69" s="84">
        <f>Marzo26!$O$24</f>
        <v>8</v>
      </c>
      <c r="KK69" s="84">
        <f>Marzo26!$O$25</f>
        <v>8</v>
      </c>
      <c r="KL69" s="84">
        <f>Marzo26!$O$26</f>
        <v>8</v>
      </c>
      <c r="KM69" s="85">
        <f>Marzo26!$O$27</f>
        <v>8</v>
      </c>
      <c r="KN69" s="85">
        <f>Marzo26!$O$28</f>
        <v>8</v>
      </c>
      <c r="KO69" s="84" t="str">
        <f>Marzo26!$O$29</f>
        <v/>
      </c>
      <c r="KP69" s="84" t="str">
        <f>Marzo26!$O$30</f>
        <v/>
      </c>
      <c r="KQ69" s="84">
        <f>Marzo26!$O$31</f>
        <v>8</v>
      </c>
      <c r="KR69" s="86">
        <f>Marzo26!$O$32</f>
        <v>8</v>
      </c>
      <c r="KS69" s="78"/>
      <c r="KT69" s="79">
        <f>SUM(JN69:KR69)</f>
        <v>176</v>
      </c>
      <c r="KU69" s="80"/>
      <c r="KV69" s="78"/>
      <c r="KW69" s="81"/>
      <c r="KX69" s="81"/>
      <c r="KY69" s="81"/>
      <c r="KZ69" s="81"/>
      <c r="LA69" s="81"/>
      <c r="LB69" s="81"/>
      <c r="LC69" s="80"/>
      <c r="LD69" s="73"/>
      <c r="LE69" s="65"/>
      <c r="LF69" s="66"/>
      <c r="LG69" s="83" t="str">
        <f>Aprile26!$O$2</f>
        <v/>
      </c>
      <c r="LH69" s="84" t="str">
        <f>Aprile26!$O$3</f>
        <v/>
      </c>
      <c r="LI69" s="84" t="str">
        <f>Aprile26!$O$4</f>
        <v/>
      </c>
      <c r="LJ69" s="84" t="str">
        <f>Aprile26!$O$5</f>
        <v/>
      </c>
      <c r="LK69" s="85" t="str">
        <f>Aprile26!$O$6</f>
        <v/>
      </c>
      <c r="LL69" s="85" t="str">
        <f>Aprile26!$O$7</f>
        <v/>
      </c>
      <c r="LM69" s="84" t="str">
        <f>Aprile26!$O$8</f>
        <v/>
      </c>
      <c r="LN69" s="84" t="str">
        <f>Aprile26!$O$9</f>
        <v/>
      </c>
      <c r="LO69" s="84" t="str">
        <f>Aprile26!$O$10</f>
        <v/>
      </c>
      <c r="LP69" s="84" t="str">
        <f>Aprile26!$O$11</f>
        <v/>
      </c>
      <c r="LQ69" s="84" t="str">
        <f>Aprile26!$O$12</f>
        <v/>
      </c>
      <c r="LR69" s="84" t="str">
        <f>Aprile26!$O$13</f>
        <v/>
      </c>
      <c r="LS69" s="85" t="str">
        <f>Aprile26!$O$14</f>
        <v/>
      </c>
      <c r="LT69" s="84" t="str">
        <f>Aprile26!$O$15</f>
        <v/>
      </c>
      <c r="LU69" s="84" t="str">
        <f>Aprile26!$O$16</f>
        <v/>
      </c>
      <c r="LV69" s="84" t="str">
        <f>Aprile26!$O$17</f>
        <v/>
      </c>
      <c r="LW69" s="84" t="str">
        <f>Aprile26!$O$18</f>
        <v/>
      </c>
      <c r="LX69" s="84" t="str">
        <f>Aprile26!$O$19</f>
        <v/>
      </c>
      <c r="LY69" s="84" t="str">
        <f>Aprile26!$O$20</f>
        <v/>
      </c>
      <c r="LZ69" s="85" t="str">
        <f>Aprile26!$O$21</f>
        <v/>
      </c>
      <c r="MA69" s="84" t="str">
        <f>Aprile26!$O$22</f>
        <v/>
      </c>
      <c r="MB69" s="84" t="str">
        <f>Aprile26!$O$23</f>
        <v/>
      </c>
      <c r="MC69" s="84" t="str">
        <f>Aprile26!$O$24</f>
        <v/>
      </c>
      <c r="MD69" s="84" t="str">
        <f>Aprile26!$O$25</f>
        <v/>
      </c>
      <c r="ME69" s="84" t="str">
        <f>Aprile26!$O$26</f>
        <v/>
      </c>
      <c r="MF69" s="85" t="str">
        <f>Aprile26!$O$27</f>
        <v/>
      </c>
      <c r="MG69" s="85" t="str">
        <f>Aprile26!$O$28</f>
        <v/>
      </c>
      <c r="MH69" s="84" t="str">
        <f>Aprile26!$O$29</f>
        <v/>
      </c>
      <c r="MI69" s="84" t="str">
        <f>Aprile26!$O$30</f>
        <v/>
      </c>
      <c r="MJ69" s="84" t="str">
        <f>Aprile26!$O$31</f>
        <v/>
      </c>
      <c r="MK69" s="86" t="str">
        <f>Aprile26!$O$32</f>
        <v/>
      </c>
      <c r="ML69" s="78"/>
      <c r="MM69" s="79">
        <f>SUM(LG69:MK69)</f>
        <v>0</v>
      </c>
      <c r="MN69" s="80"/>
      <c r="MO69" s="78"/>
      <c r="MP69" s="81"/>
      <c r="MQ69" s="81"/>
      <c r="MR69" s="81"/>
      <c r="MS69" s="81"/>
      <c r="MT69" s="81"/>
      <c r="MU69" s="81"/>
      <c r="MV69" s="82"/>
      <c r="MW69" s="73"/>
      <c r="MX69" s="65"/>
      <c r="MY69" s="66"/>
      <c r="MZ69" s="83" t="str">
        <f>Maggio26!$O$2</f>
        <v/>
      </c>
      <c r="NA69" s="84" t="str">
        <f>Maggio26!$O$3</f>
        <v/>
      </c>
      <c r="NB69" s="84" t="str">
        <f>Maggio26!$O$4</f>
        <v/>
      </c>
      <c r="NC69" s="84" t="str">
        <f>Maggio26!$O$5</f>
        <v/>
      </c>
      <c r="ND69" s="85" t="str">
        <f>Maggio26!$O$6</f>
        <v/>
      </c>
      <c r="NE69" s="85" t="str">
        <f>Maggio26!$O$7</f>
        <v/>
      </c>
      <c r="NF69" s="84" t="str">
        <f>Maggio26!$O$8</f>
        <v/>
      </c>
      <c r="NG69" s="84" t="str">
        <f>Maggio26!$O$9</f>
        <v/>
      </c>
      <c r="NH69" s="84" t="str">
        <f>Maggio26!$O$10</f>
        <v/>
      </c>
      <c r="NI69" s="84" t="str">
        <f>Maggio26!$O$11</f>
        <v/>
      </c>
      <c r="NJ69" s="84" t="str">
        <f>Maggio26!$O$12</f>
        <v/>
      </c>
      <c r="NK69" s="84" t="str">
        <f>Maggio26!$O$13</f>
        <v/>
      </c>
      <c r="NL69" s="85" t="str">
        <f>Maggio26!$O$14</f>
        <v/>
      </c>
      <c r="NM69" s="84" t="str">
        <f>Maggio26!$O$15</f>
        <v/>
      </c>
      <c r="NN69" s="84" t="str">
        <f>Maggio26!$O$16</f>
        <v/>
      </c>
      <c r="NO69" s="84" t="str">
        <f>Maggio26!$O$17</f>
        <v/>
      </c>
      <c r="NP69" s="84" t="str">
        <f>Maggio26!$O$18</f>
        <v/>
      </c>
      <c r="NQ69" s="84" t="str">
        <f>Maggio26!$O$19</f>
        <v/>
      </c>
      <c r="NR69" s="84" t="str">
        <f>Maggio26!$O$20</f>
        <v/>
      </c>
      <c r="NS69" s="85" t="str">
        <f>Maggio26!$O$21</f>
        <v/>
      </c>
      <c r="NT69" s="84" t="str">
        <f>Maggio26!$O$22</f>
        <v/>
      </c>
      <c r="NU69" s="84" t="str">
        <f>Maggio26!$O$23</f>
        <v/>
      </c>
      <c r="NV69" s="84" t="str">
        <f>Maggio26!$O$24</f>
        <v/>
      </c>
      <c r="NW69" s="84" t="str">
        <f>Maggio26!$O$25</f>
        <v/>
      </c>
      <c r="NX69" s="84" t="str">
        <f>Maggio26!$O$26</f>
        <v/>
      </c>
      <c r="NY69" s="85" t="str">
        <f>Maggio26!$O$27</f>
        <v/>
      </c>
      <c r="NZ69" s="85" t="str">
        <f>Maggio26!$O$28</f>
        <v/>
      </c>
      <c r="OA69" s="84" t="str">
        <f>Maggio26!$O$29</f>
        <v/>
      </c>
      <c r="OB69" s="84" t="str">
        <f>Maggio26!$O$30</f>
        <v/>
      </c>
      <c r="OC69" s="84" t="str">
        <f>Maggio26!$O$31</f>
        <v/>
      </c>
      <c r="OD69" s="86" t="str">
        <f>Maggio26!$O$32</f>
        <v/>
      </c>
      <c r="OE69" s="78"/>
      <c r="OF69" s="79">
        <f>SUM(MZ69:OD69)</f>
        <v>0</v>
      </c>
      <c r="OG69" s="80"/>
      <c r="OH69" s="78"/>
      <c r="OI69" s="81"/>
      <c r="OJ69" s="81"/>
      <c r="OK69" s="81"/>
      <c r="OL69" s="81"/>
      <c r="OM69" s="81"/>
      <c r="ON69" s="81"/>
      <c r="OO69" s="82"/>
      <c r="OP69" s="73"/>
      <c r="OQ69" s="65"/>
      <c r="OR69" s="66"/>
      <c r="OS69" s="83" t="str">
        <f>Giugno26!$O$2</f>
        <v/>
      </c>
      <c r="OT69" s="84" t="str">
        <f>Giugno26!$O$3</f>
        <v/>
      </c>
      <c r="OU69" s="84" t="str">
        <f>Giugno26!$O$4</f>
        <v/>
      </c>
      <c r="OV69" s="84" t="str">
        <f>Giugno26!$O$5</f>
        <v/>
      </c>
      <c r="OW69" s="85" t="str">
        <f>Giugno26!$O$6</f>
        <v/>
      </c>
      <c r="OX69" s="85" t="str">
        <f>Giugno26!$O$7</f>
        <v/>
      </c>
      <c r="OY69" s="84" t="str">
        <f>Giugno26!$O$8</f>
        <v/>
      </c>
      <c r="OZ69" s="84" t="str">
        <f>Giugno26!$O$9</f>
        <v/>
      </c>
      <c r="PA69" s="84" t="str">
        <f>Giugno26!$O$10</f>
        <v/>
      </c>
      <c r="PB69" s="84" t="str">
        <f>Giugno26!$O$11</f>
        <v/>
      </c>
      <c r="PC69" s="84" t="str">
        <f>Giugno26!$O$12</f>
        <v/>
      </c>
      <c r="PD69" s="84" t="str">
        <f>Giugno26!$O$13</f>
        <v/>
      </c>
      <c r="PE69" s="85" t="str">
        <f>Giugno26!$O$14</f>
        <v/>
      </c>
      <c r="PF69" s="84" t="str">
        <f>Giugno26!$O$15</f>
        <v/>
      </c>
      <c r="PG69" s="84" t="str">
        <f>Giugno26!$O$16</f>
        <v/>
      </c>
      <c r="PH69" s="84" t="str">
        <f>Giugno26!$O$17</f>
        <v/>
      </c>
      <c r="PI69" s="84" t="str">
        <f>Giugno26!$O$18</f>
        <v/>
      </c>
      <c r="PJ69" s="84" t="str">
        <f>Giugno26!$O$19</f>
        <v/>
      </c>
      <c r="PK69" s="84" t="str">
        <f>Giugno26!$O$20</f>
        <v/>
      </c>
      <c r="PL69" s="85" t="str">
        <f>Giugno26!$O$21</f>
        <v/>
      </c>
      <c r="PM69" s="84" t="str">
        <f>Giugno26!$O$22</f>
        <v/>
      </c>
      <c r="PN69" s="84" t="str">
        <f>Giugno26!$O$23</f>
        <v/>
      </c>
      <c r="PO69" s="84" t="str">
        <f>Giugno26!$O$24</f>
        <v/>
      </c>
      <c r="PP69" s="84" t="str">
        <f>Giugno26!$O$25</f>
        <v/>
      </c>
      <c r="PQ69" s="84" t="str">
        <f>Giugno26!$O$26</f>
        <v/>
      </c>
      <c r="PR69" s="85" t="str">
        <f>Giugno26!$O$27</f>
        <v/>
      </c>
      <c r="PS69" s="85" t="str">
        <f>Giugno26!$O$28</f>
        <v/>
      </c>
      <c r="PT69" s="84" t="str">
        <f>Giugno26!$O$29</f>
        <v/>
      </c>
      <c r="PU69" s="84" t="str">
        <f>Giugno26!$O$30</f>
        <v/>
      </c>
      <c r="PV69" s="84" t="str">
        <f>Giugno26!$O$31</f>
        <v/>
      </c>
      <c r="PW69" s="86" t="str">
        <f>Giugno26!$O$32</f>
        <v/>
      </c>
      <c r="PX69" s="78"/>
      <c r="PY69" s="79">
        <f>SUM(OS69:PW69)</f>
        <v>0</v>
      </c>
      <c r="PZ69" s="80"/>
      <c r="QA69" s="78"/>
      <c r="QB69" s="81"/>
      <c r="QC69" s="81"/>
      <c r="QD69" s="81"/>
      <c r="QE69" s="81"/>
      <c r="QF69" s="81"/>
      <c r="QG69" s="81"/>
      <c r="QH69" s="82"/>
      <c r="QI69" s="73"/>
      <c r="QJ69" s="65"/>
      <c r="QK69" s="66"/>
      <c r="QL69" s="83" t="str">
        <f>Luglio26!$O$2</f>
        <v/>
      </c>
      <c r="QM69" s="84" t="str">
        <f>Luglio26!$O$3</f>
        <v/>
      </c>
      <c r="QN69" s="84" t="str">
        <f>Luglio26!$O$4</f>
        <v/>
      </c>
      <c r="QO69" s="84" t="str">
        <f>Luglio26!$O$5</f>
        <v/>
      </c>
      <c r="QP69" s="85" t="str">
        <f>Luglio26!$O$6</f>
        <v/>
      </c>
      <c r="QQ69" s="85" t="str">
        <f>Luglio26!$O$7</f>
        <v/>
      </c>
      <c r="QR69" s="84" t="str">
        <f>Luglio26!$O$8</f>
        <v/>
      </c>
      <c r="QS69" s="84" t="str">
        <f>Luglio26!$O$9</f>
        <v/>
      </c>
      <c r="QT69" s="84" t="str">
        <f>Luglio26!$O$10</f>
        <v/>
      </c>
      <c r="QU69" s="84" t="str">
        <f>Luglio26!$O$11</f>
        <v/>
      </c>
      <c r="QV69" s="84" t="str">
        <f>Luglio26!$O$12</f>
        <v/>
      </c>
      <c r="QW69" s="84" t="str">
        <f>Luglio26!$O$13</f>
        <v/>
      </c>
      <c r="QX69" s="85" t="str">
        <f>Luglio26!$O$14</f>
        <v/>
      </c>
      <c r="QY69" s="84" t="str">
        <f>Luglio26!$O$15</f>
        <v/>
      </c>
      <c r="QZ69" s="84" t="str">
        <f>Luglio26!$O$16</f>
        <v/>
      </c>
      <c r="RA69" s="84" t="str">
        <f>Luglio26!$O$17</f>
        <v/>
      </c>
      <c r="RB69" s="84" t="str">
        <f>Luglio26!$O$18</f>
        <v/>
      </c>
      <c r="RC69" s="84" t="str">
        <f>Luglio26!$O$19</f>
        <v/>
      </c>
      <c r="RD69" s="84" t="str">
        <f>Luglio26!$O$20</f>
        <v/>
      </c>
      <c r="RE69" s="85" t="str">
        <f>Luglio26!$O$21</f>
        <v/>
      </c>
      <c r="RF69" s="84" t="str">
        <f>Luglio26!$O$22</f>
        <v/>
      </c>
      <c r="RG69" s="84" t="str">
        <f>Luglio26!$O$23</f>
        <v/>
      </c>
      <c r="RH69" s="84" t="str">
        <f>Luglio26!$O$24</f>
        <v/>
      </c>
      <c r="RI69" s="84" t="str">
        <f>Luglio26!$O$25</f>
        <v/>
      </c>
      <c r="RJ69" s="84" t="str">
        <f>Luglio26!$O$26</f>
        <v/>
      </c>
      <c r="RK69" s="85" t="str">
        <f>Luglio26!$O$27</f>
        <v/>
      </c>
      <c r="RL69" s="85" t="str">
        <f>Luglio26!$O$28</f>
        <v/>
      </c>
      <c r="RM69" s="84" t="str">
        <f>Luglio26!$O$29</f>
        <v/>
      </c>
      <c r="RN69" s="84" t="str">
        <f>Luglio26!$O$30</f>
        <v/>
      </c>
      <c r="RO69" s="84" t="str">
        <f>Luglio26!$O$31</f>
        <v/>
      </c>
      <c r="RP69" s="86" t="str">
        <f>Luglio26!$O$32</f>
        <v/>
      </c>
      <c r="RQ69" s="78"/>
      <c r="RR69" s="79">
        <f>SUM(QL69:RP69)</f>
        <v>0</v>
      </c>
      <c r="RS69" s="80"/>
      <c r="RT69" s="78"/>
      <c r="RU69" s="81"/>
      <c r="RV69" s="81"/>
      <c r="RW69" s="81"/>
      <c r="RX69" s="81"/>
      <c r="RY69" s="81"/>
      <c r="RZ69" s="81"/>
      <c r="SA69" s="82"/>
      <c r="SB69" s="73"/>
      <c r="SC69" s="65"/>
      <c r="SD69" s="66"/>
      <c r="SE69" s="83" t="str">
        <f>Agosto26!$O$2</f>
        <v/>
      </c>
      <c r="SF69" s="84" t="str">
        <f>Agosto26!$O$3</f>
        <v/>
      </c>
      <c r="SG69" s="84" t="str">
        <f>Agosto26!$O$4</f>
        <v/>
      </c>
      <c r="SH69" s="84" t="str">
        <f>Agosto26!$O$5</f>
        <v/>
      </c>
      <c r="SI69" s="85" t="str">
        <f>Agosto26!$O$6</f>
        <v/>
      </c>
      <c r="SJ69" s="85" t="str">
        <f>Agosto26!$O$7</f>
        <v/>
      </c>
      <c r="SK69" s="84" t="str">
        <f>Agosto26!$O$8</f>
        <v/>
      </c>
      <c r="SL69" s="84" t="str">
        <f>Agosto26!$O$9</f>
        <v/>
      </c>
      <c r="SM69" s="84" t="str">
        <f>Agosto26!$O$10</f>
        <v/>
      </c>
      <c r="SN69" s="84" t="str">
        <f>Agosto26!$O$11</f>
        <v/>
      </c>
      <c r="SO69" s="84" t="str">
        <f>Agosto26!$O$12</f>
        <v/>
      </c>
      <c r="SP69" s="84" t="str">
        <f>Agosto26!$O$13</f>
        <v/>
      </c>
      <c r="SQ69" s="85" t="str">
        <f>Agosto26!$O$14</f>
        <v/>
      </c>
      <c r="SR69" s="84" t="str">
        <f>Agosto26!$O$15</f>
        <v/>
      </c>
      <c r="SS69" s="84" t="str">
        <f>Agosto26!$O$16</f>
        <v/>
      </c>
      <c r="ST69" s="84" t="str">
        <f>Agosto26!$O$17</f>
        <v/>
      </c>
      <c r="SU69" s="84" t="str">
        <f>Agosto26!$O$18</f>
        <v/>
      </c>
      <c r="SV69" s="84" t="str">
        <f>Agosto26!$O$19</f>
        <v/>
      </c>
      <c r="SW69" s="84" t="str">
        <f>Agosto26!$O$20</f>
        <v/>
      </c>
      <c r="SX69" s="85" t="str">
        <f>Agosto26!$O$21</f>
        <v/>
      </c>
      <c r="SY69" s="84" t="str">
        <f>Agosto26!$O$22</f>
        <v/>
      </c>
      <c r="SZ69" s="84" t="str">
        <f>Agosto26!$O$23</f>
        <v/>
      </c>
      <c r="TA69" s="84" t="str">
        <f>Agosto26!$O$24</f>
        <v/>
      </c>
      <c r="TB69" s="84" t="str">
        <f>Agosto26!$O$25</f>
        <v/>
      </c>
      <c r="TC69" s="84" t="str">
        <f>Agosto26!$O$26</f>
        <v/>
      </c>
      <c r="TD69" s="85" t="str">
        <f>Agosto26!$O$27</f>
        <v/>
      </c>
      <c r="TE69" s="85" t="str">
        <f>Agosto26!$O$28</f>
        <v/>
      </c>
      <c r="TF69" s="84" t="str">
        <f>Agosto26!$O$29</f>
        <v/>
      </c>
      <c r="TG69" s="84" t="str">
        <f>Agosto26!$O$30</f>
        <v/>
      </c>
      <c r="TH69" s="84" t="str">
        <f>Agosto26!$O$31</f>
        <v/>
      </c>
      <c r="TI69" s="86" t="str">
        <f>Agosto26!$O$32</f>
        <v/>
      </c>
      <c r="TJ69" s="78"/>
      <c r="TK69" s="79">
        <f>SUM(SE69:TI69)</f>
        <v>0</v>
      </c>
      <c r="TL69" s="80"/>
      <c r="TM69" s="78"/>
      <c r="TN69" s="81"/>
      <c r="TO69" s="81"/>
      <c r="TP69" s="81"/>
      <c r="TQ69" s="81"/>
      <c r="TR69" s="81"/>
      <c r="TS69" s="81"/>
      <c r="TT69" s="80"/>
    </row>
    <row r="70" ht="24.75" customHeight="1">
      <c r="A70" s="91" t="s">
        <v>39</v>
      </c>
      <c r="B70" s="65"/>
      <c r="C70" s="66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93"/>
      <c r="AI70" s="78"/>
      <c r="AJ70" s="81"/>
      <c r="AK70" s="94">
        <f>SUM(D70:AG70)</f>
        <v>0</v>
      </c>
      <c r="AL70" s="78"/>
      <c r="AM70" s="81"/>
      <c r="AN70" s="81"/>
      <c r="AO70" s="81"/>
      <c r="AP70" s="81"/>
      <c r="AQ70" s="81"/>
      <c r="AR70" s="81"/>
      <c r="AS70" s="82"/>
      <c r="AT70" s="91" t="s">
        <v>39</v>
      </c>
      <c r="AU70" s="65"/>
      <c r="AV70" s="66"/>
      <c r="AW70" s="92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95"/>
      <c r="CB70" s="78"/>
      <c r="CC70" s="81"/>
      <c r="CD70" s="94">
        <f>SUM(AW70:BZ70)</f>
        <v>0</v>
      </c>
      <c r="CE70" s="78"/>
      <c r="CF70" s="81"/>
      <c r="CG70" s="81"/>
      <c r="CH70" s="81"/>
      <c r="CI70" s="81"/>
      <c r="CJ70" s="81"/>
      <c r="CK70" s="81"/>
      <c r="CL70" s="82"/>
      <c r="CM70" s="91" t="s">
        <v>39</v>
      </c>
      <c r="CN70" s="65"/>
      <c r="CO70" s="66"/>
      <c r="CP70" s="92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95"/>
      <c r="DU70" s="78"/>
      <c r="DV70" s="81"/>
      <c r="DW70" s="94">
        <f>SUM(CP70:DS70)</f>
        <v>0</v>
      </c>
      <c r="DX70" s="78"/>
      <c r="DY70" s="81"/>
      <c r="DZ70" s="81"/>
      <c r="EA70" s="81"/>
      <c r="EB70" s="81"/>
      <c r="EC70" s="81"/>
      <c r="ED70" s="81"/>
      <c r="EE70" s="80"/>
      <c r="EF70" s="91" t="s">
        <v>39</v>
      </c>
      <c r="EG70" s="65"/>
      <c r="EH70" s="66"/>
      <c r="EI70" s="92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95"/>
      <c r="FN70" s="78"/>
      <c r="FO70" s="81"/>
      <c r="FP70" s="94">
        <f>SUM(EI70:FL70)</f>
        <v>0</v>
      </c>
      <c r="FQ70" s="78"/>
      <c r="FR70" s="81"/>
      <c r="FS70" s="81"/>
      <c r="FT70" s="81"/>
      <c r="FU70" s="81"/>
      <c r="FV70" s="81"/>
      <c r="FW70" s="81"/>
      <c r="FX70" s="80"/>
      <c r="FY70" s="91" t="s">
        <v>39</v>
      </c>
      <c r="FZ70" s="65"/>
      <c r="GA70" s="66"/>
      <c r="GB70" s="92"/>
      <c r="GC70" s="85"/>
      <c r="GD70" s="85"/>
      <c r="GE70" s="85"/>
      <c r="GF70" s="85"/>
      <c r="GG70" s="85"/>
      <c r="GH70" s="85"/>
      <c r="GI70" s="85"/>
      <c r="GJ70" s="85"/>
      <c r="GK70" s="85"/>
      <c r="GL70" s="85"/>
      <c r="GM70" s="85"/>
      <c r="GN70" s="85"/>
      <c r="GO70" s="85"/>
      <c r="GP70" s="85"/>
      <c r="GQ70" s="85"/>
      <c r="GR70" s="85"/>
      <c r="GS70" s="85"/>
      <c r="GT70" s="85"/>
      <c r="GU70" s="85"/>
      <c r="GV70" s="85"/>
      <c r="GW70" s="85"/>
      <c r="GX70" s="85"/>
      <c r="GY70" s="85"/>
      <c r="GZ70" s="85"/>
      <c r="HA70" s="85"/>
      <c r="HB70" s="85"/>
      <c r="HC70" s="85"/>
      <c r="HD70" s="85"/>
      <c r="HE70" s="85"/>
      <c r="HF70" s="95"/>
      <c r="HG70" s="78"/>
      <c r="HH70" s="81"/>
      <c r="HI70" s="94">
        <f>SUM(GB70:HE70)</f>
        <v>0</v>
      </c>
      <c r="HJ70" s="78"/>
      <c r="HK70" s="81"/>
      <c r="HL70" s="81"/>
      <c r="HM70" s="81"/>
      <c r="HN70" s="81"/>
      <c r="HO70" s="81"/>
      <c r="HP70" s="81"/>
      <c r="HQ70" s="80"/>
      <c r="HR70" s="91" t="s">
        <v>39</v>
      </c>
      <c r="HS70" s="65"/>
      <c r="HT70" s="66"/>
      <c r="HU70" s="92"/>
      <c r="HV70" s="85"/>
      <c r="HW70" s="85"/>
      <c r="HX70" s="85"/>
      <c r="HY70" s="85"/>
      <c r="HZ70" s="85"/>
      <c r="IA70" s="85"/>
      <c r="IB70" s="85"/>
      <c r="IC70" s="85"/>
      <c r="ID70" s="85"/>
      <c r="IE70" s="85"/>
      <c r="IF70" s="85"/>
      <c r="IG70" s="85"/>
      <c r="IH70" s="85"/>
      <c r="II70" s="85"/>
      <c r="IJ70" s="85"/>
      <c r="IK70" s="85"/>
      <c r="IL70" s="85"/>
      <c r="IM70" s="85"/>
      <c r="IN70" s="85"/>
      <c r="IO70" s="85"/>
      <c r="IP70" s="85"/>
      <c r="IQ70" s="85"/>
      <c r="IR70" s="85"/>
      <c r="IS70" s="85"/>
      <c r="IT70" s="85"/>
      <c r="IU70" s="85"/>
      <c r="IV70" s="85"/>
      <c r="IW70" s="85"/>
      <c r="IX70" s="85"/>
      <c r="IY70" s="95"/>
      <c r="IZ70" s="78"/>
      <c r="JA70" s="81"/>
      <c r="JB70" s="94">
        <f>SUM(HU70:IX70)</f>
        <v>0</v>
      </c>
      <c r="JC70" s="78"/>
      <c r="JD70" s="81"/>
      <c r="JE70" s="81"/>
      <c r="JF70" s="81"/>
      <c r="JG70" s="81"/>
      <c r="JH70" s="81"/>
      <c r="JI70" s="81"/>
      <c r="JJ70" s="80"/>
      <c r="JK70" s="91" t="s">
        <v>39</v>
      </c>
      <c r="JL70" s="65"/>
      <c r="JM70" s="66"/>
      <c r="JN70" s="92"/>
      <c r="JO70" s="85"/>
      <c r="JP70" s="85"/>
      <c r="JQ70" s="85"/>
      <c r="JR70" s="85"/>
      <c r="JS70" s="85"/>
      <c r="JT70" s="85"/>
      <c r="JU70" s="85"/>
      <c r="JV70" s="85"/>
      <c r="JW70" s="85"/>
      <c r="JX70" s="85"/>
      <c r="JY70" s="85"/>
      <c r="JZ70" s="85"/>
      <c r="KA70" s="85"/>
      <c r="KB70" s="85"/>
      <c r="KC70" s="85"/>
      <c r="KD70" s="85"/>
      <c r="KE70" s="85"/>
      <c r="KF70" s="85"/>
      <c r="KG70" s="85"/>
      <c r="KH70" s="85"/>
      <c r="KI70" s="85"/>
      <c r="KJ70" s="85"/>
      <c r="KK70" s="85"/>
      <c r="KL70" s="85"/>
      <c r="KM70" s="85"/>
      <c r="KN70" s="85"/>
      <c r="KO70" s="85"/>
      <c r="KP70" s="85"/>
      <c r="KQ70" s="85"/>
      <c r="KR70" s="95"/>
      <c r="KS70" s="78"/>
      <c r="KT70" s="81"/>
      <c r="KU70" s="94">
        <f>SUM(JN70:KQ70)</f>
        <v>0</v>
      </c>
      <c r="KV70" s="78"/>
      <c r="KW70" s="81"/>
      <c r="KX70" s="81"/>
      <c r="KY70" s="81"/>
      <c r="KZ70" s="81"/>
      <c r="LA70" s="81"/>
      <c r="LB70" s="81"/>
      <c r="LC70" s="80"/>
      <c r="LD70" s="91" t="s">
        <v>39</v>
      </c>
      <c r="LE70" s="65"/>
      <c r="LF70" s="66"/>
      <c r="LG70" s="92"/>
      <c r="LH70" s="85"/>
      <c r="LI70" s="85"/>
      <c r="LJ70" s="85"/>
      <c r="LK70" s="85"/>
      <c r="LL70" s="85"/>
      <c r="LM70" s="85"/>
      <c r="LN70" s="85"/>
      <c r="LO70" s="85"/>
      <c r="LP70" s="85"/>
      <c r="LQ70" s="85"/>
      <c r="LR70" s="85"/>
      <c r="LS70" s="85"/>
      <c r="LT70" s="85"/>
      <c r="LU70" s="85"/>
      <c r="LV70" s="85"/>
      <c r="LW70" s="85"/>
      <c r="LX70" s="85"/>
      <c r="LY70" s="85"/>
      <c r="LZ70" s="85"/>
      <c r="MA70" s="85"/>
      <c r="MB70" s="85"/>
      <c r="MC70" s="85"/>
      <c r="MD70" s="85"/>
      <c r="ME70" s="85"/>
      <c r="MF70" s="85"/>
      <c r="MG70" s="85"/>
      <c r="MH70" s="85"/>
      <c r="MI70" s="85"/>
      <c r="MJ70" s="85"/>
      <c r="MK70" s="95"/>
      <c r="ML70" s="78"/>
      <c r="MM70" s="81"/>
      <c r="MN70" s="94">
        <f>SUM(LG70:MJ70)</f>
        <v>0</v>
      </c>
      <c r="MO70" s="78"/>
      <c r="MP70" s="81"/>
      <c r="MQ70" s="81"/>
      <c r="MR70" s="81"/>
      <c r="MS70" s="81"/>
      <c r="MT70" s="81"/>
      <c r="MU70" s="81"/>
      <c r="MV70" s="82"/>
      <c r="MW70" s="91" t="s">
        <v>39</v>
      </c>
      <c r="MX70" s="65"/>
      <c r="MY70" s="66"/>
      <c r="MZ70" s="92"/>
      <c r="NA70" s="85"/>
      <c r="NB70" s="85"/>
      <c r="NC70" s="85"/>
      <c r="ND70" s="85"/>
      <c r="NE70" s="85"/>
      <c r="NF70" s="85"/>
      <c r="NG70" s="85"/>
      <c r="NH70" s="85"/>
      <c r="NI70" s="85"/>
      <c r="NJ70" s="85"/>
      <c r="NK70" s="85"/>
      <c r="NL70" s="85"/>
      <c r="NM70" s="85"/>
      <c r="NN70" s="85"/>
      <c r="NO70" s="85"/>
      <c r="NP70" s="85"/>
      <c r="NQ70" s="85"/>
      <c r="NR70" s="85"/>
      <c r="NS70" s="85"/>
      <c r="NT70" s="85"/>
      <c r="NU70" s="85"/>
      <c r="NV70" s="85"/>
      <c r="NW70" s="85"/>
      <c r="NX70" s="85"/>
      <c r="NY70" s="85"/>
      <c r="NZ70" s="85"/>
      <c r="OA70" s="85"/>
      <c r="OB70" s="85"/>
      <c r="OC70" s="85"/>
      <c r="OD70" s="95"/>
      <c r="OE70" s="78"/>
      <c r="OF70" s="81"/>
      <c r="OG70" s="94">
        <f>SUM(MZ70:OC70)</f>
        <v>0</v>
      </c>
      <c r="OH70" s="78"/>
      <c r="OI70" s="81"/>
      <c r="OJ70" s="81"/>
      <c r="OK70" s="81"/>
      <c r="OL70" s="81"/>
      <c r="OM70" s="81"/>
      <c r="ON70" s="81"/>
      <c r="OO70" s="82"/>
      <c r="OP70" s="91" t="s">
        <v>39</v>
      </c>
      <c r="OQ70" s="65"/>
      <c r="OR70" s="66"/>
      <c r="OS70" s="92"/>
      <c r="OT70" s="85"/>
      <c r="OU70" s="85"/>
      <c r="OV70" s="85"/>
      <c r="OW70" s="85"/>
      <c r="OX70" s="85"/>
      <c r="OY70" s="85"/>
      <c r="OZ70" s="85"/>
      <c r="PA70" s="85"/>
      <c r="PB70" s="85"/>
      <c r="PC70" s="85"/>
      <c r="PD70" s="85"/>
      <c r="PE70" s="85"/>
      <c r="PF70" s="85"/>
      <c r="PG70" s="85"/>
      <c r="PH70" s="85"/>
      <c r="PI70" s="85"/>
      <c r="PJ70" s="85"/>
      <c r="PK70" s="85"/>
      <c r="PL70" s="85"/>
      <c r="PM70" s="85"/>
      <c r="PN70" s="85"/>
      <c r="PO70" s="85"/>
      <c r="PP70" s="85"/>
      <c r="PQ70" s="85"/>
      <c r="PR70" s="85"/>
      <c r="PS70" s="85"/>
      <c r="PT70" s="85"/>
      <c r="PU70" s="85"/>
      <c r="PV70" s="85"/>
      <c r="PW70" s="95"/>
      <c r="PX70" s="78"/>
      <c r="PY70" s="81"/>
      <c r="PZ70" s="94">
        <f>SUM(OS70:PV70)</f>
        <v>0</v>
      </c>
      <c r="QA70" s="78"/>
      <c r="QB70" s="81"/>
      <c r="QC70" s="81"/>
      <c r="QD70" s="81"/>
      <c r="QE70" s="81"/>
      <c r="QF70" s="81"/>
      <c r="QG70" s="81"/>
      <c r="QH70" s="82"/>
      <c r="QI70" s="91" t="s">
        <v>39</v>
      </c>
      <c r="QJ70" s="65"/>
      <c r="QK70" s="66"/>
      <c r="QL70" s="92"/>
      <c r="QM70" s="85"/>
      <c r="QN70" s="85"/>
      <c r="QO70" s="85"/>
      <c r="QP70" s="85"/>
      <c r="QQ70" s="85"/>
      <c r="QR70" s="85"/>
      <c r="QS70" s="85"/>
      <c r="QT70" s="85"/>
      <c r="QU70" s="85"/>
      <c r="QV70" s="85"/>
      <c r="QW70" s="85"/>
      <c r="QX70" s="85"/>
      <c r="QY70" s="85"/>
      <c r="QZ70" s="85"/>
      <c r="RA70" s="85"/>
      <c r="RB70" s="85"/>
      <c r="RC70" s="85"/>
      <c r="RD70" s="85"/>
      <c r="RE70" s="85"/>
      <c r="RF70" s="85"/>
      <c r="RG70" s="85"/>
      <c r="RH70" s="85"/>
      <c r="RI70" s="85"/>
      <c r="RJ70" s="85"/>
      <c r="RK70" s="85"/>
      <c r="RL70" s="85"/>
      <c r="RM70" s="85"/>
      <c r="RN70" s="85"/>
      <c r="RO70" s="85"/>
      <c r="RP70" s="95"/>
      <c r="RQ70" s="78"/>
      <c r="RR70" s="81"/>
      <c r="RS70" s="94">
        <f>SUM(QL70:RO70)</f>
        <v>0</v>
      </c>
      <c r="RT70" s="78"/>
      <c r="RU70" s="81"/>
      <c r="RV70" s="81"/>
      <c r="RW70" s="81"/>
      <c r="RX70" s="81"/>
      <c r="RY70" s="81"/>
      <c r="RZ70" s="81"/>
      <c r="SA70" s="82"/>
      <c r="SB70" s="91" t="s">
        <v>39</v>
      </c>
      <c r="SC70" s="65"/>
      <c r="SD70" s="66"/>
      <c r="SE70" s="92"/>
      <c r="SF70" s="85"/>
      <c r="SG70" s="85"/>
      <c r="SH70" s="85"/>
      <c r="SI70" s="85"/>
      <c r="SJ70" s="85"/>
      <c r="SK70" s="85"/>
      <c r="SL70" s="85"/>
      <c r="SM70" s="85"/>
      <c r="SN70" s="85"/>
      <c r="SO70" s="85"/>
      <c r="SP70" s="85"/>
      <c r="SQ70" s="85"/>
      <c r="SR70" s="85"/>
      <c r="SS70" s="85"/>
      <c r="ST70" s="85"/>
      <c r="SU70" s="85"/>
      <c r="SV70" s="85"/>
      <c r="SW70" s="85"/>
      <c r="SX70" s="85"/>
      <c r="SY70" s="85"/>
      <c r="SZ70" s="85"/>
      <c r="TA70" s="85"/>
      <c r="TB70" s="85"/>
      <c r="TC70" s="85"/>
      <c r="TD70" s="85"/>
      <c r="TE70" s="85"/>
      <c r="TF70" s="85"/>
      <c r="TG70" s="85"/>
      <c r="TH70" s="85"/>
      <c r="TI70" s="95"/>
      <c r="TJ70" s="78"/>
      <c r="TK70" s="81"/>
      <c r="TL70" s="94">
        <f>SUM(SE70:TH70)</f>
        <v>0</v>
      </c>
      <c r="TM70" s="78"/>
      <c r="TN70" s="81"/>
      <c r="TO70" s="81"/>
      <c r="TP70" s="81"/>
      <c r="TQ70" s="81"/>
      <c r="TR70" s="81"/>
      <c r="TS70" s="81"/>
      <c r="TT70" s="80"/>
    </row>
    <row r="71" ht="24.75" customHeight="1">
      <c r="A71" s="96"/>
      <c r="B71" s="97"/>
      <c r="C71" s="98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93"/>
      <c r="AI71" s="78"/>
      <c r="AJ71" s="81"/>
      <c r="AK71" s="80"/>
      <c r="AL71" s="78"/>
      <c r="AM71" s="81"/>
      <c r="AN71" s="81"/>
      <c r="AO71" s="81"/>
      <c r="AP71" s="81"/>
      <c r="AQ71" s="81"/>
      <c r="AR71" s="81"/>
      <c r="AS71" s="82"/>
      <c r="AT71" s="96"/>
      <c r="AU71" s="97"/>
      <c r="AV71" s="98"/>
      <c r="AW71" s="92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95"/>
      <c r="CB71" s="78"/>
      <c r="CC71" s="81"/>
      <c r="CD71" s="80"/>
      <c r="CE71" s="78"/>
      <c r="CF71" s="81"/>
      <c r="CG71" s="81"/>
      <c r="CH71" s="81"/>
      <c r="CI71" s="81"/>
      <c r="CJ71" s="81"/>
      <c r="CK71" s="81"/>
      <c r="CL71" s="82"/>
      <c r="CM71" s="96"/>
      <c r="CN71" s="97"/>
      <c r="CO71" s="98"/>
      <c r="CP71" s="92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95"/>
      <c r="DU71" s="78"/>
      <c r="DV71" s="81"/>
      <c r="DW71" s="80"/>
      <c r="DX71" s="78"/>
      <c r="DY71" s="81"/>
      <c r="DZ71" s="81"/>
      <c r="EA71" s="81"/>
      <c r="EB71" s="81"/>
      <c r="EC71" s="81"/>
      <c r="ED71" s="81"/>
      <c r="EE71" s="80"/>
      <c r="EF71" s="96"/>
      <c r="EG71" s="97"/>
      <c r="EH71" s="98"/>
      <c r="EI71" s="92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95"/>
      <c r="FN71" s="78"/>
      <c r="FO71" s="81"/>
      <c r="FP71" s="80"/>
      <c r="FQ71" s="78"/>
      <c r="FR71" s="81"/>
      <c r="FS71" s="81"/>
      <c r="FT71" s="81"/>
      <c r="FU71" s="81"/>
      <c r="FV71" s="81"/>
      <c r="FW71" s="81"/>
      <c r="FX71" s="80"/>
      <c r="FY71" s="96"/>
      <c r="FZ71" s="97"/>
      <c r="GA71" s="98"/>
      <c r="GB71" s="92"/>
      <c r="GC71" s="85"/>
      <c r="GD71" s="85"/>
      <c r="GE71" s="85"/>
      <c r="GF71" s="85"/>
      <c r="GG71" s="85"/>
      <c r="GH71" s="85"/>
      <c r="GI71" s="85"/>
      <c r="GJ71" s="85"/>
      <c r="GK71" s="85"/>
      <c r="GL71" s="85"/>
      <c r="GM71" s="85"/>
      <c r="GN71" s="85"/>
      <c r="GO71" s="85"/>
      <c r="GP71" s="85"/>
      <c r="GQ71" s="85"/>
      <c r="GR71" s="85"/>
      <c r="GS71" s="85"/>
      <c r="GT71" s="85"/>
      <c r="GU71" s="85"/>
      <c r="GV71" s="85"/>
      <c r="GW71" s="85"/>
      <c r="GX71" s="85"/>
      <c r="GY71" s="85"/>
      <c r="GZ71" s="85"/>
      <c r="HA71" s="85"/>
      <c r="HB71" s="85"/>
      <c r="HC71" s="85"/>
      <c r="HD71" s="85"/>
      <c r="HE71" s="85"/>
      <c r="HF71" s="95"/>
      <c r="HG71" s="78"/>
      <c r="HH71" s="81"/>
      <c r="HI71" s="80"/>
      <c r="HJ71" s="78"/>
      <c r="HK71" s="81"/>
      <c r="HL71" s="81"/>
      <c r="HM71" s="81"/>
      <c r="HN71" s="81"/>
      <c r="HO71" s="81"/>
      <c r="HP71" s="81"/>
      <c r="HQ71" s="80"/>
      <c r="HR71" s="96"/>
      <c r="HS71" s="97"/>
      <c r="HT71" s="98"/>
      <c r="HU71" s="92"/>
      <c r="HV71" s="85"/>
      <c r="HW71" s="85"/>
      <c r="HX71" s="85"/>
      <c r="HY71" s="85"/>
      <c r="HZ71" s="85"/>
      <c r="IA71" s="85"/>
      <c r="IB71" s="85"/>
      <c r="IC71" s="85"/>
      <c r="ID71" s="85"/>
      <c r="IE71" s="85"/>
      <c r="IF71" s="85"/>
      <c r="IG71" s="85"/>
      <c r="IH71" s="85"/>
      <c r="II71" s="85"/>
      <c r="IJ71" s="85"/>
      <c r="IK71" s="85"/>
      <c r="IL71" s="85"/>
      <c r="IM71" s="85"/>
      <c r="IN71" s="85"/>
      <c r="IO71" s="85"/>
      <c r="IP71" s="85"/>
      <c r="IQ71" s="85"/>
      <c r="IR71" s="85"/>
      <c r="IS71" s="85"/>
      <c r="IT71" s="85"/>
      <c r="IU71" s="85"/>
      <c r="IV71" s="85"/>
      <c r="IW71" s="85"/>
      <c r="IX71" s="85"/>
      <c r="IY71" s="95"/>
      <c r="IZ71" s="78"/>
      <c r="JA71" s="81"/>
      <c r="JB71" s="80"/>
      <c r="JC71" s="78"/>
      <c r="JD71" s="81"/>
      <c r="JE71" s="81"/>
      <c r="JF71" s="81"/>
      <c r="JG71" s="81"/>
      <c r="JH71" s="81"/>
      <c r="JI71" s="81"/>
      <c r="JJ71" s="80"/>
      <c r="JK71" s="96"/>
      <c r="JL71" s="97"/>
      <c r="JM71" s="98"/>
      <c r="JN71" s="92"/>
      <c r="JO71" s="85"/>
      <c r="JP71" s="85"/>
      <c r="JQ71" s="85"/>
      <c r="JR71" s="85"/>
      <c r="JS71" s="85"/>
      <c r="JT71" s="85"/>
      <c r="JU71" s="85"/>
      <c r="JV71" s="85"/>
      <c r="JW71" s="85"/>
      <c r="JX71" s="85"/>
      <c r="JY71" s="85"/>
      <c r="JZ71" s="85"/>
      <c r="KA71" s="85"/>
      <c r="KB71" s="85"/>
      <c r="KC71" s="85"/>
      <c r="KD71" s="85"/>
      <c r="KE71" s="85"/>
      <c r="KF71" s="85"/>
      <c r="KG71" s="85"/>
      <c r="KH71" s="85"/>
      <c r="KI71" s="85"/>
      <c r="KJ71" s="85"/>
      <c r="KK71" s="85"/>
      <c r="KL71" s="85"/>
      <c r="KM71" s="85"/>
      <c r="KN71" s="85"/>
      <c r="KO71" s="85"/>
      <c r="KP71" s="85"/>
      <c r="KQ71" s="85"/>
      <c r="KR71" s="95"/>
      <c r="KS71" s="78"/>
      <c r="KT71" s="81"/>
      <c r="KU71" s="80"/>
      <c r="KV71" s="78"/>
      <c r="KW71" s="81"/>
      <c r="KX71" s="81"/>
      <c r="KY71" s="81"/>
      <c r="KZ71" s="81"/>
      <c r="LA71" s="81"/>
      <c r="LB71" s="81"/>
      <c r="LC71" s="80"/>
      <c r="LD71" s="96"/>
      <c r="LE71" s="97"/>
      <c r="LF71" s="98"/>
      <c r="LG71" s="92"/>
      <c r="LH71" s="85"/>
      <c r="LI71" s="85"/>
      <c r="LJ71" s="85"/>
      <c r="LK71" s="85"/>
      <c r="LL71" s="85"/>
      <c r="LM71" s="85"/>
      <c r="LN71" s="85"/>
      <c r="LO71" s="85"/>
      <c r="LP71" s="85"/>
      <c r="LQ71" s="85"/>
      <c r="LR71" s="85"/>
      <c r="LS71" s="85"/>
      <c r="LT71" s="85"/>
      <c r="LU71" s="85"/>
      <c r="LV71" s="85"/>
      <c r="LW71" s="85"/>
      <c r="LX71" s="85"/>
      <c r="LY71" s="85"/>
      <c r="LZ71" s="85"/>
      <c r="MA71" s="85"/>
      <c r="MB71" s="85"/>
      <c r="MC71" s="85"/>
      <c r="MD71" s="85"/>
      <c r="ME71" s="85"/>
      <c r="MF71" s="85"/>
      <c r="MG71" s="85"/>
      <c r="MH71" s="85"/>
      <c r="MI71" s="85"/>
      <c r="MJ71" s="85"/>
      <c r="MK71" s="95"/>
      <c r="ML71" s="78"/>
      <c r="MM71" s="81"/>
      <c r="MN71" s="80"/>
      <c r="MO71" s="78"/>
      <c r="MP71" s="81"/>
      <c r="MQ71" s="81"/>
      <c r="MR71" s="81"/>
      <c r="MS71" s="81"/>
      <c r="MT71" s="81"/>
      <c r="MU71" s="81"/>
      <c r="MV71" s="80"/>
      <c r="MW71" s="96"/>
      <c r="MX71" s="97"/>
      <c r="MY71" s="98"/>
      <c r="MZ71" s="92"/>
      <c r="NA71" s="85"/>
      <c r="NB71" s="85"/>
      <c r="NC71" s="85"/>
      <c r="ND71" s="85"/>
      <c r="NE71" s="85"/>
      <c r="NF71" s="85"/>
      <c r="NG71" s="85"/>
      <c r="NH71" s="85"/>
      <c r="NI71" s="85"/>
      <c r="NJ71" s="85"/>
      <c r="NK71" s="85"/>
      <c r="NL71" s="85"/>
      <c r="NM71" s="85"/>
      <c r="NN71" s="85"/>
      <c r="NO71" s="85"/>
      <c r="NP71" s="85"/>
      <c r="NQ71" s="85"/>
      <c r="NR71" s="85"/>
      <c r="NS71" s="85"/>
      <c r="NT71" s="85"/>
      <c r="NU71" s="85"/>
      <c r="NV71" s="85"/>
      <c r="NW71" s="85"/>
      <c r="NX71" s="85"/>
      <c r="NY71" s="85"/>
      <c r="NZ71" s="85"/>
      <c r="OA71" s="85"/>
      <c r="OB71" s="85"/>
      <c r="OC71" s="85"/>
      <c r="OD71" s="95"/>
      <c r="OE71" s="78"/>
      <c r="OF71" s="81"/>
      <c r="OG71" s="80"/>
      <c r="OH71" s="78"/>
      <c r="OI71" s="81"/>
      <c r="OJ71" s="81"/>
      <c r="OK71" s="81"/>
      <c r="OL71" s="81"/>
      <c r="OM71" s="81"/>
      <c r="ON71" s="81"/>
      <c r="OO71" s="80"/>
      <c r="OP71" s="96"/>
      <c r="OQ71" s="97"/>
      <c r="OR71" s="98"/>
      <c r="OS71" s="92"/>
      <c r="OT71" s="85"/>
      <c r="OU71" s="85"/>
      <c r="OV71" s="85"/>
      <c r="OW71" s="85"/>
      <c r="OX71" s="85"/>
      <c r="OY71" s="85"/>
      <c r="OZ71" s="85"/>
      <c r="PA71" s="85"/>
      <c r="PB71" s="85"/>
      <c r="PC71" s="85"/>
      <c r="PD71" s="85"/>
      <c r="PE71" s="85"/>
      <c r="PF71" s="85"/>
      <c r="PG71" s="85"/>
      <c r="PH71" s="85"/>
      <c r="PI71" s="85"/>
      <c r="PJ71" s="85"/>
      <c r="PK71" s="85"/>
      <c r="PL71" s="85"/>
      <c r="PM71" s="85"/>
      <c r="PN71" s="85"/>
      <c r="PO71" s="85"/>
      <c r="PP71" s="85"/>
      <c r="PQ71" s="85"/>
      <c r="PR71" s="85"/>
      <c r="PS71" s="85"/>
      <c r="PT71" s="85"/>
      <c r="PU71" s="85"/>
      <c r="PV71" s="85"/>
      <c r="PW71" s="95"/>
      <c r="PX71" s="78"/>
      <c r="PY71" s="81"/>
      <c r="PZ71" s="80"/>
      <c r="QA71" s="78"/>
      <c r="QB71" s="81"/>
      <c r="QC71" s="81"/>
      <c r="QD71" s="81"/>
      <c r="QE71" s="81"/>
      <c r="QF71" s="81"/>
      <c r="QG71" s="81"/>
      <c r="QH71" s="80"/>
      <c r="QI71" s="96"/>
      <c r="QJ71" s="97"/>
      <c r="QK71" s="98"/>
      <c r="QL71" s="92"/>
      <c r="QM71" s="85"/>
      <c r="QN71" s="85"/>
      <c r="QO71" s="85"/>
      <c r="QP71" s="85"/>
      <c r="QQ71" s="85"/>
      <c r="QR71" s="85"/>
      <c r="QS71" s="85"/>
      <c r="QT71" s="85"/>
      <c r="QU71" s="85"/>
      <c r="QV71" s="85"/>
      <c r="QW71" s="85"/>
      <c r="QX71" s="85"/>
      <c r="QY71" s="85"/>
      <c r="QZ71" s="85"/>
      <c r="RA71" s="85"/>
      <c r="RB71" s="85"/>
      <c r="RC71" s="85"/>
      <c r="RD71" s="85"/>
      <c r="RE71" s="85"/>
      <c r="RF71" s="85"/>
      <c r="RG71" s="85"/>
      <c r="RH71" s="85"/>
      <c r="RI71" s="85"/>
      <c r="RJ71" s="85"/>
      <c r="RK71" s="85"/>
      <c r="RL71" s="85"/>
      <c r="RM71" s="85"/>
      <c r="RN71" s="85"/>
      <c r="RO71" s="85"/>
      <c r="RP71" s="95"/>
      <c r="RQ71" s="78"/>
      <c r="RR71" s="81"/>
      <c r="RS71" s="80"/>
      <c r="RT71" s="78"/>
      <c r="RU71" s="81"/>
      <c r="RV71" s="81"/>
      <c r="RW71" s="81"/>
      <c r="RX71" s="81"/>
      <c r="RY71" s="81"/>
      <c r="RZ71" s="81"/>
      <c r="SA71" s="80"/>
      <c r="SB71" s="96"/>
      <c r="SC71" s="97"/>
      <c r="SD71" s="98"/>
      <c r="SE71" s="92"/>
      <c r="SF71" s="85"/>
      <c r="SG71" s="85"/>
      <c r="SH71" s="85"/>
      <c r="SI71" s="85"/>
      <c r="SJ71" s="85"/>
      <c r="SK71" s="85"/>
      <c r="SL71" s="85"/>
      <c r="SM71" s="85"/>
      <c r="SN71" s="85"/>
      <c r="SO71" s="85"/>
      <c r="SP71" s="85"/>
      <c r="SQ71" s="85"/>
      <c r="SR71" s="85"/>
      <c r="SS71" s="85"/>
      <c r="ST71" s="85"/>
      <c r="SU71" s="85"/>
      <c r="SV71" s="85"/>
      <c r="SW71" s="85"/>
      <c r="SX71" s="85"/>
      <c r="SY71" s="85"/>
      <c r="SZ71" s="85"/>
      <c r="TA71" s="85"/>
      <c r="TB71" s="85"/>
      <c r="TC71" s="85"/>
      <c r="TD71" s="85"/>
      <c r="TE71" s="85"/>
      <c r="TF71" s="85"/>
      <c r="TG71" s="85"/>
      <c r="TH71" s="85"/>
      <c r="TI71" s="95"/>
      <c r="TJ71" s="78"/>
      <c r="TK71" s="81"/>
      <c r="TL71" s="80"/>
      <c r="TM71" s="78"/>
      <c r="TN71" s="81"/>
      <c r="TO71" s="81"/>
      <c r="TP71" s="81"/>
      <c r="TQ71" s="81"/>
      <c r="TR71" s="81"/>
      <c r="TS71" s="81"/>
      <c r="TT71" s="80"/>
    </row>
    <row r="72" ht="24.75" customHeight="1">
      <c r="A72" s="100" t="s">
        <v>27</v>
      </c>
      <c r="B72" s="101"/>
      <c r="C72" s="102"/>
      <c r="D72" s="103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4"/>
      <c r="AH72" s="105"/>
      <c r="AI72" s="103"/>
      <c r="AJ72" s="101"/>
      <c r="AK72" s="102"/>
      <c r="AL72" s="103"/>
      <c r="AM72" s="101"/>
      <c r="AN72" s="101"/>
      <c r="AO72" s="101"/>
      <c r="AP72" s="101"/>
      <c r="AQ72" s="101"/>
      <c r="AR72" s="101"/>
      <c r="AS72" s="102"/>
      <c r="AT72" s="100" t="s">
        <v>27</v>
      </c>
      <c r="AU72" s="101"/>
      <c r="AV72" s="102"/>
      <c r="AW72" s="103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4"/>
      <c r="CA72" s="106"/>
      <c r="CB72" s="103"/>
      <c r="CC72" s="101"/>
      <c r="CD72" s="102"/>
      <c r="CE72" s="103"/>
      <c r="CF72" s="101"/>
      <c r="CG72" s="101"/>
      <c r="CH72" s="101"/>
      <c r="CI72" s="101"/>
      <c r="CJ72" s="101"/>
      <c r="CK72" s="101"/>
      <c r="CL72" s="102"/>
      <c r="CM72" s="100" t="s">
        <v>27</v>
      </c>
      <c r="CN72" s="101"/>
      <c r="CO72" s="102"/>
      <c r="CP72" s="103"/>
      <c r="CQ72" s="101"/>
      <c r="CR72" s="101"/>
      <c r="CS72" s="101"/>
      <c r="CT72" s="101"/>
      <c r="CU72" s="101"/>
      <c r="CV72" s="101"/>
      <c r="CW72" s="101"/>
      <c r="CX72" s="101"/>
      <c r="CY72" s="101"/>
      <c r="CZ72" s="101"/>
      <c r="DA72" s="101"/>
      <c r="DB72" s="101"/>
      <c r="DC72" s="101"/>
      <c r="DD72" s="101"/>
      <c r="DE72" s="101"/>
      <c r="DF72" s="101"/>
      <c r="DG72" s="101"/>
      <c r="DH72" s="101"/>
      <c r="DI72" s="101"/>
      <c r="DJ72" s="101"/>
      <c r="DK72" s="101"/>
      <c r="DL72" s="101"/>
      <c r="DM72" s="101"/>
      <c r="DN72" s="101"/>
      <c r="DO72" s="101"/>
      <c r="DP72" s="101"/>
      <c r="DQ72" s="101"/>
      <c r="DR72" s="101"/>
      <c r="DS72" s="104"/>
      <c r="DT72" s="106"/>
      <c r="DU72" s="103"/>
      <c r="DV72" s="101"/>
      <c r="DW72" s="102"/>
      <c r="DX72" s="103"/>
      <c r="DY72" s="101"/>
      <c r="DZ72" s="101"/>
      <c r="EA72" s="101"/>
      <c r="EB72" s="101"/>
      <c r="EC72" s="101"/>
      <c r="ED72" s="101"/>
      <c r="EE72" s="102"/>
      <c r="EF72" s="100" t="s">
        <v>27</v>
      </c>
      <c r="EG72" s="101"/>
      <c r="EH72" s="102"/>
      <c r="EI72" s="103"/>
      <c r="EJ72" s="101"/>
      <c r="EK72" s="101"/>
      <c r="EL72" s="101"/>
      <c r="EM72" s="101"/>
      <c r="EN72" s="101"/>
      <c r="EO72" s="101"/>
      <c r="EP72" s="101"/>
      <c r="EQ72" s="101"/>
      <c r="ER72" s="101"/>
      <c r="ES72" s="101"/>
      <c r="ET72" s="101"/>
      <c r="EU72" s="101"/>
      <c r="EV72" s="101"/>
      <c r="EW72" s="101"/>
      <c r="EX72" s="101"/>
      <c r="EY72" s="101"/>
      <c r="EZ72" s="101"/>
      <c r="FA72" s="101"/>
      <c r="FB72" s="101"/>
      <c r="FC72" s="101"/>
      <c r="FD72" s="101"/>
      <c r="FE72" s="101"/>
      <c r="FF72" s="101"/>
      <c r="FG72" s="101"/>
      <c r="FH72" s="101"/>
      <c r="FI72" s="101"/>
      <c r="FJ72" s="101"/>
      <c r="FK72" s="101"/>
      <c r="FL72" s="104"/>
      <c r="FM72" s="106"/>
      <c r="FN72" s="103"/>
      <c r="FO72" s="101"/>
      <c r="FP72" s="102"/>
      <c r="FQ72" s="103"/>
      <c r="FR72" s="101"/>
      <c r="FS72" s="101"/>
      <c r="FT72" s="101"/>
      <c r="FU72" s="101"/>
      <c r="FV72" s="101"/>
      <c r="FW72" s="101"/>
      <c r="FX72" s="102"/>
      <c r="FY72" s="100" t="s">
        <v>27</v>
      </c>
      <c r="FZ72" s="101"/>
      <c r="GA72" s="102"/>
      <c r="GB72" s="103"/>
      <c r="GC72" s="101"/>
      <c r="GD72" s="101"/>
      <c r="GE72" s="101"/>
      <c r="GF72" s="101"/>
      <c r="GG72" s="101"/>
      <c r="GH72" s="101"/>
      <c r="GI72" s="101"/>
      <c r="GJ72" s="101"/>
      <c r="GK72" s="101"/>
      <c r="GL72" s="101"/>
      <c r="GM72" s="101"/>
      <c r="GN72" s="101"/>
      <c r="GO72" s="101"/>
      <c r="GP72" s="101"/>
      <c r="GQ72" s="101"/>
      <c r="GR72" s="101"/>
      <c r="GS72" s="101"/>
      <c r="GT72" s="101"/>
      <c r="GU72" s="101"/>
      <c r="GV72" s="101"/>
      <c r="GW72" s="101"/>
      <c r="GX72" s="101"/>
      <c r="GY72" s="101"/>
      <c r="GZ72" s="101"/>
      <c r="HA72" s="101"/>
      <c r="HB72" s="101"/>
      <c r="HC72" s="101"/>
      <c r="HD72" s="101"/>
      <c r="HE72" s="104"/>
      <c r="HF72" s="106"/>
      <c r="HG72" s="103"/>
      <c r="HH72" s="101"/>
      <c r="HI72" s="102"/>
      <c r="HJ72" s="103"/>
      <c r="HK72" s="101"/>
      <c r="HL72" s="101"/>
      <c r="HM72" s="101"/>
      <c r="HN72" s="101"/>
      <c r="HO72" s="101"/>
      <c r="HP72" s="101"/>
      <c r="HQ72" s="102"/>
      <c r="HR72" s="100" t="s">
        <v>27</v>
      </c>
      <c r="HS72" s="101"/>
      <c r="HT72" s="102"/>
      <c r="HU72" s="103"/>
      <c r="HV72" s="101"/>
      <c r="HW72" s="101"/>
      <c r="HX72" s="101"/>
      <c r="HY72" s="101"/>
      <c r="HZ72" s="101"/>
      <c r="IA72" s="101"/>
      <c r="IB72" s="101"/>
      <c r="IC72" s="101"/>
      <c r="ID72" s="101"/>
      <c r="IE72" s="101"/>
      <c r="IF72" s="101"/>
      <c r="IG72" s="101"/>
      <c r="IH72" s="101"/>
      <c r="II72" s="101"/>
      <c r="IJ72" s="101"/>
      <c r="IK72" s="101"/>
      <c r="IL72" s="101"/>
      <c r="IM72" s="101"/>
      <c r="IN72" s="101"/>
      <c r="IO72" s="101"/>
      <c r="IP72" s="101"/>
      <c r="IQ72" s="101"/>
      <c r="IR72" s="101"/>
      <c r="IS72" s="101"/>
      <c r="IT72" s="101"/>
      <c r="IU72" s="101"/>
      <c r="IV72" s="101"/>
      <c r="IW72" s="101"/>
      <c r="IX72" s="104"/>
      <c r="IY72" s="106"/>
      <c r="IZ72" s="103"/>
      <c r="JA72" s="101"/>
      <c r="JB72" s="102"/>
      <c r="JC72" s="103"/>
      <c r="JD72" s="101"/>
      <c r="JE72" s="101"/>
      <c r="JF72" s="101"/>
      <c r="JG72" s="101"/>
      <c r="JH72" s="101"/>
      <c r="JI72" s="101"/>
      <c r="JJ72" s="102"/>
      <c r="JK72" s="100" t="s">
        <v>27</v>
      </c>
      <c r="JL72" s="101"/>
      <c r="JM72" s="102"/>
      <c r="JN72" s="103"/>
      <c r="JO72" s="101"/>
      <c r="JP72" s="101"/>
      <c r="JQ72" s="101"/>
      <c r="JR72" s="101"/>
      <c r="JS72" s="101"/>
      <c r="JT72" s="101"/>
      <c r="JU72" s="101"/>
      <c r="JV72" s="101"/>
      <c r="JW72" s="101"/>
      <c r="JX72" s="101"/>
      <c r="JY72" s="101"/>
      <c r="JZ72" s="101"/>
      <c r="KA72" s="101"/>
      <c r="KB72" s="101"/>
      <c r="KC72" s="101"/>
      <c r="KD72" s="101"/>
      <c r="KE72" s="101"/>
      <c r="KF72" s="101"/>
      <c r="KG72" s="101"/>
      <c r="KH72" s="101"/>
      <c r="KI72" s="101"/>
      <c r="KJ72" s="101"/>
      <c r="KK72" s="101"/>
      <c r="KL72" s="101"/>
      <c r="KM72" s="101"/>
      <c r="KN72" s="101"/>
      <c r="KO72" s="101"/>
      <c r="KP72" s="101"/>
      <c r="KQ72" s="104"/>
      <c r="KR72" s="106"/>
      <c r="KS72" s="103"/>
      <c r="KT72" s="101"/>
      <c r="KU72" s="102"/>
      <c r="KV72" s="103"/>
      <c r="KW72" s="101"/>
      <c r="KX72" s="101"/>
      <c r="KY72" s="101"/>
      <c r="KZ72" s="101"/>
      <c r="LA72" s="101"/>
      <c r="LB72" s="101"/>
      <c r="LC72" s="102"/>
      <c r="LD72" s="100" t="s">
        <v>27</v>
      </c>
      <c r="LE72" s="101"/>
      <c r="LF72" s="102"/>
      <c r="LG72" s="103"/>
      <c r="LH72" s="101"/>
      <c r="LI72" s="101"/>
      <c r="LJ72" s="101"/>
      <c r="LK72" s="101"/>
      <c r="LL72" s="101"/>
      <c r="LM72" s="101"/>
      <c r="LN72" s="101"/>
      <c r="LO72" s="101"/>
      <c r="LP72" s="101"/>
      <c r="LQ72" s="101"/>
      <c r="LR72" s="101"/>
      <c r="LS72" s="101"/>
      <c r="LT72" s="101"/>
      <c r="LU72" s="101"/>
      <c r="LV72" s="101"/>
      <c r="LW72" s="101"/>
      <c r="LX72" s="101"/>
      <c r="LY72" s="101"/>
      <c r="LZ72" s="101"/>
      <c r="MA72" s="101"/>
      <c r="MB72" s="101"/>
      <c r="MC72" s="101"/>
      <c r="MD72" s="101"/>
      <c r="ME72" s="101"/>
      <c r="MF72" s="101"/>
      <c r="MG72" s="101"/>
      <c r="MH72" s="101"/>
      <c r="MI72" s="101"/>
      <c r="MJ72" s="104"/>
      <c r="MK72" s="106"/>
      <c r="ML72" s="103"/>
      <c r="MM72" s="101"/>
      <c r="MN72" s="102"/>
      <c r="MO72" s="103"/>
      <c r="MP72" s="101"/>
      <c r="MQ72" s="101"/>
      <c r="MR72" s="101"/>
      <c r="MS72" s="101"/>
      <c r="MT72" s="101"/>
      <c r="MU72" s="101"/>
      <c r="MV72" s="102"/>
      <c r="MW72" s="100" t="s">
        <v>27</v>
      </c>
      <c r="MX72" s="101"/>
      <c r="MY72" s="102"/>
      <c r="MZ72" s="103"/>
      <c r="NA72" s="101"/>
      <c r="NB72" s="101"/>
      <c r="NC72" s="101"/>
      <c r="ND72" s="101"/>
      <c r="NE72" s="101"/>
      <c r="NF72" s="101"/>
      <c r="NG72" s="101"/>
      <c r="NH72" s="101"/>
      <c r="NI72" s="101"/>
      <c r="NJ72" s="101"/>
      <c r="NK72" s="101"/>
      <c r="NL72" s="101"/>
      <c r="NM72" s="101"/>
      <c r="NN72" s="101"/>
      <c r="NO72" s="101"/>
      <c r="NP72" s="101"/>
      <c r="NQ72" s="101"/>
      <c r="NR72" s="101"/>
      <c r="NS72" s="101"/>
      <c r="NT72" s="101"/>
      <c r="NU72" s="101"/>
      <c r="NV72" s="101"/>
      <c r="NW72" s="101"/>
      <c r="NX72" s="101"/>
      <c r="NY72" s="101"/>
      <c r="NZ72" s="101"/>
      <c r="OA72" s="101"/>
      <c r="OB72" s="101"/>
      <c r="OC72" s="104"/>
      <c r="OD72" s="106"/>
      <c r="OE72" s="103"/>
      <c r="OF72" s="101"/>
      <c r="OG72" s="102"/>
      <c r="OH72" s="103"/>
      <c r="OI72" s="101"/>
      <c r="OJ72" s="101"/>
      <c r="OK72" s="101"/>
      <c r="OL72" s="101"/>
      <c r="OM72" s="101"/>
      <c r="ON72" s="101"/>
      <c r="OO72" s="102"/>
      <c r="OP72" s="100" t="s">
        <v>27</v>
      </c>
      <c r="OQ72" s="101"/>
      <c r="OR72" s="102"/>
      <c r="OS72" s="103"/>
      <c r="OT72" s="101"/>
      <c r="OU72" s="101"/>
      <c r="OV72" s="101"/>
      <c r="OW72" s="101"/>
      <c r="OX72" s="101"/>
      <c r="OY72" s="101"/>
      <c r="OZ72" s="101"/>
      <c r="PA72" s="101"/>
      <c r="PB72" s="101"/>
      <c r="PC72" s="101"/>
      <c r="PD72" s="101"/>
      <c r="PE72" s="101"/>
      <c r="PF72" s="101"/>
      <c r="PG72" s="101"/>
      <c r="PH72" s="101"/>
      <c r="PI72" s="101"/>
      <c r="PJ72" s="101"/>
      <c r="PK72" s="101"/>
      <c r="PL72" s="101"/>
      <c r="PM72" s="101"/>
      <c r="PN72" s="101"/>
      <c r="PO72" s="101"/>
      <c r="PP72" s="101"/>
      <c r="PQ72" s="101"/>
      <c r="PR72" s="101"/>
      <c r="PS72" s="101"/>
      <c r="PT72" s="101"/>
      <c r="PU72" s="101"/>
      <c r="PV72" s="104"/>
      <c r="PW72" s="106"/>
      <c r="PX72" s="103"/>
      <c r="PY72" s="101"/>
      <c r="PZ72" s="102"/>
      <c r="QA72" s="103"/>
      <c r="QB72" s="101"/>
      <c r="QC72" s="101"/>
      <c r="QD72" s="101"/>
      <c r="QE72" s="101"/>
      <c r="QF72" s="101"/>
      <c r="QG72" s="101"/>
      <c r="QH72" s="102"/>
      <c r="QI72" s="100" t="s">
        <v>27</v>
      </c>
      <c r="QJ72" s="101"/>
      <c r="QK72" s="102"/>
      <c r="QL72" s="103"/>
      <c r="QM72" s="101"/>
      <c r="QN72" s="101"/>
      <c r="QO72" s="101"/>
      <c r="QP72" s="101"/>
      <c r="QQ72" s="101"/>
      <c r="QR72" s="101"/>
      <c r="QS72" s="101"/>
      <c r="QT72" s="101"/>
      <c r="QU72" s="101"/>
      <c r="QV72" s="101"/>
      <c r="QW72" s="101"/>
      <c r="QX72" s="101"/>
      <c r="QY72" s="101"/>
      <c r="QZ72" s="101"/>
      <c r="RA72" s="101"/>
      <c r="RB72" s="101"/>
      <c r="RC72" s="101"/>
      <c r="RD72" s="101"/>
      <c r="RE72" s="101"/>
      <c r="RF72" s="101"/>
      <c r="RG72" s="101"/>
      <c r="RH72" s="101"/>
      <c r="RI72" s="101"/>
      <c r="RJ72" s="101"/>
      <c r="RK72" s="101"/>
      <c r="RL72" s="101"/>
      <c r="RM72" s="101"/>
      <c r="RN72" s="101"/>
      <c r="RO72" s="104"/>
      <c r="RP72" s="106"/>
      <c r="RQ72" s="103"/>
      <c r="RR72" s="101"/>
      <c r="RS72" s="102"/>
      <c r="RT72" s="103"/>
      <c r="RU72" s="101"/>
      <c r="RV72" s="101"/>
      <c r="RW72" s="101"/>
      <c r="RX72" s="101"/>
      <c r="RY72" s="101"/>
      <c r="RZ72" s="101"/>
      <c r="SA72" s="102"/>
      <c r="SB72" s="100" t="s">
        <v>27</v>
      </c>
      <c r="SC72" s="101"/>
      <c r="SD72" s="102"/>
      <c r="SE72" s="103"/>
      <c r="SF72" s="101"/>
      <c r="SG72" s="101"/>
      <c r="SH72" s="101"/>
      <c r="SI72" s="101"/>
      <c r="SJ72" s="101"/>
      <c r="SK72" s="101"/>
      <c r="SL72" s="101"/>
      <c r="SM72" s="101"/>
      <c r="SN72" s="101"/>
      <c r="SO72" s="101"/>
      <c r="SP72" s="101"/>
      <c r="SQ72" s="101"/>
      <c r="SR72" s="101"/>
      <c r="SS72" s="101"/>
      <c r="ST72" s="101"/>
      <c r="SU72" s="101"/>
      <c r="SV72" s="101"/>
      <c r="SW72" s="101"/>
      <c r="SX72" s="101"/>
      <c r="SY72" s="101"/>
      <c r="SZ72" s="101"/>
      <c r="TA72" s="101"/>
      <c r="TB72" s="101"/>
      <c r="TC72" s="101"/>
      <c r="TD72" s="101"/>
      <c r="TE72" s="101"/>
      <c r="TF72" s="101"/>
      <c r="TG72" s="101"/>
      <c r="TH72" s="104"/>
      <c r="TI72" s="106"/>
      <c r="TJ72" s="103"/>
      <c r="TK72" s="101"/>
      <c r="TL72" s="102"/>
      <c r="TM72" s="103"/>
      <c r="TN72" s="101"/>
      <c r="TO72" s="101"/>
      <c r="TP72" s="101"/>
      <c r="TQ72" s="101"/>
      <c r="TR72" s="101"/>
      <c r="TS72" s="101"/>
      <c r="TT72" s="102"/>
    </row>
    <row r="73" ht="24.75" customHeight="1">
      <c r="A73" s="108" t="str">
        <f>elenchi!$C15</f>
        <v>AMBROSIO GAETANO</v>
      </c>
      <c r="B73" s="109"/>
      <c r="C73" s="110"/>
      <c r="D73" s="67">
        <f t="shared" ref="D73:AH73" si="169">D$2</f>
        <v>45901</v>
      </c>
      <c r="E73" s="67">
        <f t="shared" si="169"/>
        <v>45902</v>
      </c>
      <c r="F73" s="67">
        <f t="shared" si="169"/>
        <v>45903</v>
      </c>
      <c r="G73" s="67">
        <f t="shared" si="169"/>
        <v>45904</v>
      </c>
      <c r="H73" s="67">
        <f t="shared" si="169"/>
        <v>45905</v>
      </c>
      <c r="I73" s="67">
        <f t="shared" si="169"/>
        <v>45906</v>
      </c>
      <c r="J73" s="67">
        <f t="shared" si="169"/>
        <v>45907</v>
      </c>
      <c r="K73" s="67">
        <f t="shared" si="169"/>
        <v>45908</v>
      </c>
      <c r="L73" s="67">
        <f t="shared" si="169"/>
        <v>45909</v>
      </c>
      <c r="M73" s="67">
        <f t="shared" si="169"/>
        <v>45910</v>
      </c>
      <c r="N73" s="67">
        <f t="shared" si="169"/>
        <v>45911</v>
      </c>
      <c r="O73" s="67">
        <f t="shared" si="169"/>
        <v>45912</v>
      </c>
      <c r="P73" s="67">
        <f t="shared" si="169"/>
        <v>45913</v>
      </c>
      <c r="Q73" s="67">
        <f t="shared" si="169"/>
        <v>45914</v>
      </c>
      <c r="R73" s="67">
        <f t="shared" si="169"/>
        <v>45915</v>
      </c>
      <c r="S73" s="67">
        <f t="shared" si="169"/>
        <v>45916</v>
      </c>
      <c r="T73" s="67">
        <f t="shared" si="169"/>
        <v>45917</v>
      </c>
      <c r="U73" s="67">
        <f t="shared" si="169"/>
        <v>45918</v>
      </c>
      <c r="V73" s="67">
        <f t="shared" si="169"/>
        <v>45919</v>
      </c>
      <c r="W73" s="67">
        <f t="shared" si="169"/>
        <v>45920</v>
      </c>
      <c r="X73" s="67">
        <f t="shared" si="169"/>
        <v>45921</v>
      </c>
      <c r="Y73" s="67">
        <f t="shared" si="169"/>
        <v>45922</v>
      </c>
      <c r="Z73" s="67">
        <f t="shared" si="169"/>
        <v>45923</v>
      </c>
      <c r="AA73" s="67">
        <f t="shared" si="169"/>
        <v>45924</v>
      </c>
      <c r="AB73" s="67">
        <f t="shared" si="169"/>
        <v>45925</v>
      </c>
      <c r="AC73" s="67">
        <f t="shared" si="169"/>
        <v>45926</v>
      </c>
      <c r="AD73" s="67">
        <f t="shared" si="169"/>
        <v>45927</v>
      </c>
      <c r="AE73" s="67">
        <f t="shared" si="169"/>
        <v>45928</v>
      </c>
      <c r="AF73" s="67">
        <f t="shared" si="169"/>
        <v>45929</v>
      </c>
      <c r="AG73" s="67">
        <f t="shared" si="169"/>
        <v>45930</v>
      </c>
      <c r="AH73" s="111" t="str">
        <f t="shared" si="169"/>
        <v/>
      </c>
      <c r="AI73" s="112" t="s">
        <v>33</v>
      </c>
      <c r="AJ73" s="113" t="s">
        <v>28</v>
      </c>
      <c r="AK73" s="114" t="s">
        <v>34</v>
      </c>
      <c r="AL73" s="112" t="s">
        <v>13</v>
      </c>
      <c r="AM73" s="113" t="s">
        <v>1</v>
      </c>
      <c r="AN73" s="113" t="s">
        <v>35</v>
      </c>
      <c r="AO73" s="113" t="s">
        <v>36</v>
      </c>
      <c r="AP73" s="113" t="s">
        <v>37</v>
      </c>
      <c r="AQ73" s="113" t="s">
        <v>0</v>
      </c>
      <c r="AR73" s="113" t="s">
        <v>38</v>
      </c>
      <c r="AS73" s="115" t="s">
        <v>11</v>
      </c>
      <c r="AT73" s="108" t="str">
        <f>elenchi!$C15</f>
        <v>AMBROSIO GAETANO</v>
      </c>
      <c r="AU73" s="109"/>
      <c r="AV73" s="110"/>
      <c r="AW73" s="67">
        <f t="shared" ref="AW73:CA73" si="170">AW$2</f>
        <v>45931</v>
      </c>
      <c r="AX73" s="67">
        <f t="shared" si="170"/>
        <v>45932</v>
      </c>
      <c r="AY73" s="67">
        <f t="shared" si="170"/>
        <v>45933</v>
      </c>
      <c r="AZ73" s="67">
        <f t="shared" si="170"/>
        <v>45934</v>
      </c>
      <c r="BA73" s="67">
        <f t="shared" si="170"/>
        <v>45935</v>
      </c>
      <c r="BB73" s="67">
        <f t="shared" si="170"/>
        <v>45936</v>
      </c>
      <c r="BC73" s="67">
        <f t="shared" si="170"/>
        <v>45937</v>
      </c>
      <c r="BD73" s="67">
        <f t="shared" si="170"/>
        <v>45938</v>
      </c>
      <c r="BE73" s="67">
        <f t="shared" si="170"/>
        <v>45939</v>
      </c>
      <c r="BF73" s="67">
        <f t="shared" si="170"/>
        <v>45940</v>
      </c>
      <c r="BG73" s="67">
        <f t="shared" si="170"/>
        <v>45941</v>
      </c>
      <c r="BH73" s="67">
        <f t="shared" si="170"/>
        <v>45942</v>
      </c>
      <c r="BI73" s="67">
        <f t="shared" si="170"/>
        <v>45943</v>
      </c>
      <c r="BJ73" s="67">
        <f t="shared" si="170"/>
        <v>45944</v>
      </c>
      <c r="BK73" s="67">
        <f t="shared" si="170"/>
        <v>45945</v>
      </c>
      <c r="BL73" s="67">
        <f t="shared" si="170"/>
        <v>45946</v>
      </c>
      <c r="BM73" s="67">
        <f t="shared" si="170"/>
        <v>45947</v>
      </c>
      <c r="BN73" s="67">
        <f t="shared" si="170"/>
        <v>45948</v>
      </c>
      <c r="BO73" s="67">
        <f t="shared" si="170"/>
        <v>45949</v>
      </c>
      <c r="BP73" s="67">
        <f t="shared" si="170"/>
        <v>45950</v>
      </c>
      <c r="BQ73" s="67">
        <f t="shared" si="170"/>
        <v>45951</v>
      </c>
      <c r="BR73" s="67">
        <f t="shared" si="170"/>
        <v>45952</v>
      </c>
      <c r="BS73" s="67">
        <f t="shared" si="170"/>
        <v>45953</v>
      </c>
      <c r="BT73" s="67">
        <f t="shared" si="170"/>
        <v>45954</v>
      </c>
      <c r="BU73" s="67">
        <f t="shared" si="170"/>
        <v>45955</v>
      </c>
      <c r="BV73" s="67">
        <f t="shared" si="170"/>
        <v>45956</v>
      </c>
      <c r="BW73" s="67">
        <f t="shared" si="170"/>
        <v>45957</v>
      </c>
      <c r="BX73" s="67">
        <f t="shared" si="170"/>
        <v>45958</v>
      </c>
      <c r="BY73" s="67">
        <f t="shared" si="170"/>
        <v>45959</v>
      </c>
      <c r="BZ73" s="67">
        <f t="shared" si="170"/>
        <v>45960</v>
      </c>
      <c r="CA73" s="67">
        <f t="shared" si="170"/>
        <v>45961</v>
      </c>
      <c r="CB73" s="112" t="s">
        <v>33</v>
      </c>
      <c r="CC73" s="113" t="s">
        <v>28</v>
      </c>
      <c r="CD73" s="114" t="s">
        <v>34</v>
      </c>
      <c r="CE73" s="112" t="s">
        <v>13</v>
      </c>
      <c r="CF73" s="113" t="s">
        <v>1</v>
      </c>
      <c r="CG73" s="113" t="s">
        <v>35</v>
      </c>
      <c r="CH73" s="113" t="s">
        <v>36</v>
      </c>
      <c r="CI73" s="113" t="s">
        <v>37</v>
      </c>
      <c r="CJ73" s="113" t="s">
        <v>0</v>
      </c>
      <c r="CK73" s="113" t="s">
        <v>38</v>
      </c>
      <c r="CL73" s="115" t="s">
        <v>11</v>
      </c>
      <c r="CM73" s="108" t="str">
        <f>elenchi!$C15</f>
        <v>AMBROSIO GAETANO</v>
      </c>
      <c r="CN73" s="109"/>
      <c r="CO73" s="110"/>
      <c r="CP73" s="67">
        <f t="shared" ref="CP73:DT73" si="171">CP$2</f>
        <v>45962</v>
      </c>
      <c r="CQ73" s="67">
        <f t="shared" si="171"/>
        <v>45963</v>
      </c>
      <c r="CR73" s="67">
        <f t="shared" si="171"/>
        <v>45964</v>
      </c>
      <c r="CS73" s="67">
        <f t="shared" si="171"/>
        <v>45965</v>
      </c>
      <c r="CT73" s="67">
        <f t="shared" si="171"/>
        <v>45966</v>
      </c>
      <c r="CU73" s="67">
        <f t="shared" si="171"/>
        <v>45967</v>
      </c>
      <c r="CV73" s="67">
        <f t="shared" si="171"/>
        <v>45968</v>
      </c>
      <c r="CW73" s="67">
        <f t="shared" si="171"/>
        <v>45969</v>
      </c>
      <c r="CX73" s="67">
        <f t="shared" si="171"/>
        <v>45970</v>
      </c>
      <c r="CY73" s="67">
        <f t="shared" si="171"/>
        <v>45971</v>
      </c>
      <c r="CZ73" s="67">
        <f t="shared" si="171"/>
        <v>45972</v>
      </c>
      <c r="DA73" s="67">
        <f t="shared" si="171"/>
        <v>45973</v>
      </c>
      <c r="DB73" s="67">
        <f t="shared" si="171"/>
        <v>45974</v>
      </c>
      <c r="DC73" s="67">
        <f t="shared" si="171"/>
        <v>45975</v>
      </c>
      <c r="DD73" s="67">
        <f t="shared" si="171"/>
        <v>45976</v>
      </c>
      <c r="DE73" s="67">
        <f t="shared" si="171"/>
        <v>45977</v>
      </c>
      <c r="DF73" s="67">
        <f t="shared" si="171"/>
        <v>45978</v>
      </c>
      <c r="DG73" s="67">
        <f t="shared" si="171"/>
        <v>45979</v>
      </c>
      <c r="DH73" s="67">
        <f t="shared" si="171"/>
        <v>45980</v>
      </c>
      <c r="DI73" s="67">
        <f t="shared" si="171"/>
        <v>45981</v>
      </c>
      <c r="DJ73" s="67">
        <f t="shared" si="171"/>
        <v>45982</v>
      </c>
      <c r="DK73" s="67">
        <f t="shared" si="171"/>
        <v>45983</v>
      </c>
      <c r="DL73" s="67">
        <f t="shared" si="171"/>
        <v>45984</v>
      </c>
      <c r="DM73" s="67">
        <f t="shared" si="171"/>
        <v>45985</v>
      </c>
      <c r="DN73" s="67">
        <f t="shared" si="171"/>
        <v>45986</v>
      </c>
      <c r="DO73" s="67">
        <f t="shared" si="171"/>
        <v>45987</v>
      </c>
      <c r="DP73" s="67">
        <f t="shared" si="171"/>
        <v>45988</v>
      </c>
      <c r="DQ73" s="67">
        <f t="shared" si="171"/>
        <v>45989</v>
      </c>
      <c r="DR73" s="67">
        <f t="shared" si="171"/>
        <v>45990</v>
      </c>
      <c r="DS73" s="67">
        <f t="shared" si="171"/>
        <v>45991</v>
      </c>
      <c r="DT73" s="67" t="str">
        <f t="shared" si="171"/>
        <v/>
      </c>
      <c r="DU73" s="112" t="s">
        <v>33</v>
      </c>
      <c r="DV73" s="113" t="s">
        <v>28</v>
      </c>
      <c r="DW73" s="114" t="s">
        <v>34</v>
      </c>
      <c r="DX73" s="112" t="s">
        <v>13</v>
      </c>
      <c r="DY73" s="113" t="s">
        <v>1</v>
      </c>
      <c r="DZ73" s="113" t="s">
        <v>35</v>
      </c>
      <c r="EA73" s="113" t="s">
        <v>36</v>
      </c>
      <c r="EB73" s="113" t="s">
        <v>37</v>
      </c>
      <c r="EC73" s="113" t="s">
        <v>0</v>
      </c>
      <c r="ED73" s="113" t="s">
        <v>38</v>
      </c>
      <c r="EE73" s="114" t="s">
        <v>11</v>
      </c>
      <c r="EF73" s="108" t="str">
        <f>elenchi!$C15</f>
        <v>AMBROSIO GAETANO</v>
      </c>
      <c r="EG73" s="109"/>
      <c r="EH73" s="110"/>
      <c r="EI73" s="67">
        <f t="shared" ref="EI73:FM73" si="172">EI$2</f>
        <v>45992</v>
      </c>
      <c r="EJ73" s="67">
        <f t="shared" si="172"/>
        <v>45993</v>
      </c>
      <c r="EK73" s="67">
        <f t="shared" si="172"/>
        <v>45994</v>
      </c>
      <c r="EL73" s="67">
        <f t="shared" si="172"/>
        <v>45995</v>
      </c>
      <c r="EM73" s="67">
        <f t="shared" si="172"/>
        <v>45996</v>
      </c>
      <c r="EN73" s="67">
        <f t="shared" si="172"/>
        <v>45997</v>
      </c>
      <c r="EO73" s="67">
        <f t="shared" si="172"/>
        <v>45998</v>
      </c>
      <c r="EP73" s="67">
        <f t="shared" si="172"/>
        <v>45999</v>
      </c>
      <c r="EQ73" s="67">
        <f t="shared" si="172"/>
        <v>46000</v>
      </c>
      <c r="ER73" s="67">
        <f t="shared" si="172"/>
        <v>46001</v>
      </c>
      <c r="ES73" s="67">
        <f t="shared" si="172"/>
        <v>46002</v>
      </c>
      <c r="ET73" s="67">
        <f t="shared" si="172"/>
        <v>46003</v>
      </c>
      <c r="EU73" s="67">
        <f t="shared" si="172"/>
        <v>46004</v>
      </c>
      <c r="EV73" s="67">
        <f t="shared" si="172"/>
        <v>46005</v>
      </c>
      <c r="EW73" s="67">
        <f t="shared" si="172"/>
        <v>46006</v>
      </c>
      <c r="EX73" s="67">
        <f t="shared" si="172"/>
        <v>46007</v>
      </c>
      <c r="EY73" s="67">
        <f t="shared" si="172"/>
        <v>46008</v>
      </c>
      <c r="EZ73" s="67">
        <f t="shared" si="172"/>
        <v>46009</v>
      </c>
      <c r="FA73" s="67">
        <f t="shared" si="172"/>
        <v>46010</v>
      </c>
      <c r="FB73" s="67">
        <f t="shared" si="172"/>
        <v>46011</v>
      </c>
      <c r="FC73" s="67">
        <f t="shared" si="172"/>
        <v>46012</v>
      </c>
      <c r="FD73" s="67">
        <f t="shared" si="172"/>
        <v>46013</v>
      </c>
      <c r="FE73" s="67">
        <f t="shared" si="172"/>
        <v>46014</v>
      </c>
      <c r="FF73" s="67">
        <f t="shared" si="172"/>
        <v>46015</v>
      </c>
      <c r="FG73" s="67">
        <f t="shared" si="172"/>
        <v>46016</v>
      </c>
      <c r="FH73" s="67">
        <f t="shared" si="172"/>
        <v>46017</v>
      </c>
      <c r="FI73" s="67">
        <f t="shared" si="172"/>
        <v>46018</v>
      </c>
      <c r="FJ73" s="67">
        <f t="shared" si="172"/>
        <v>46019</v>
      </c>
      <c r="FK73" s="67">
        <f t="shared" si="172"/>
        <v>46020</v>
      </c>
      <c r="FL73" s="67">
        <f t="shared" si="172"/>
        <v>46021</v>
      </c>
      <c r="FM73" s="67">
        <f t="shared" si="172"/>
        <v>46022</v>
      </c>
      <c r="FN73" s="112" t="s">
        <v>33</v>
      </c>
      <c r="FO73" s="113" t="s">
        <v>28</v>
      </c>
      <c r="FP73" s="114" t="s">
        <v>34</v>
      </c>
      <c r="FQ73" s="112" t="s">
        <v>13</v>
      </c>
      <c r="FR73" s="113" t="s">
        <v>1</v>
      </c>
      <c r="FS73" s="113" t="s">
        <v>35</v>
      </c>
      <c r="FT73" s="113" t="s">
        <v>36</v>
      </c>
      <c r="FU73" s="113" t="s">
        <v>37</v>
      </c>
      <c r="FV73" s="113" t="s">
        <v>0</v>
      </c>
      <c r="FW73" s="113" t="s">
        <v>38</v>
      </c>
      <c r="FX73" s="114" t="s">
        <v>11</v>
      </c>
      <c r="FY73" s="108" t="str">
        <f>elenchi!$C15</f>
        <v>AMBROSIO GAETANO</v>
      </c>
      <c r="FZ73" s="109"/>
      <c r="GA73" s="110"/>
      <c r="GB73" s="67">
        <f t="shared" ref="GB73:HF73" si="173">GB$2</f>
        <v>46023</v>
      </c>
      <c r="GC73" s="67">
        <f t="shared" si="173"/>
        <v>46024</v>
      </c>
      <c r="GD73" s="67">
        <f t="shared" si="173"/>
        <v>46025</v>
      </c>
      <c r="GE73" s="67">
        <f t="shared" si="173"/>
        <v>46026</v>
      </c>
      <c r="GF73" s="67">
        <f t="shared" si="173"/>
        <v>46027</v>
      </c>
      <c r="GG73" s="67">
        <f t="shared" si="173"/>
        <v>46028</v>
      </c>
      <c r="GH73" s="67">
        <f t="shared" si="173"/>
        <v>46029</v>
      </c>
      <c r="GI73" s="67">
        <f t="shared" si="173"/>
        <v>46030</v>
      </c>
      <c r="GJ73" s="67">
        <f t="shared" si="173"/>
        <v>46031</v>
      </c>
      <c r="GK73" s="67">
        <f t="shared" si="173"/>
        <v>46032</v>
      </c>
      <c r="GL73" s="67">
        <f t="shared" si="173"/>
        <v>46033</v>
      </c>
      <c r="GM73" s="67">
        <f t="shared" si="173"/>
        <v>46034</v>
      </c>
      <c r="GN73" s="67">
        <f t="shared" si="173"/>
        <v>46035</v>
      </c>
      <c r="GO73" s="67">
        <f t="shared" si="173"/>
        <v>46036</v>
      </c>
      <c r="GP73" s="67">
        <f t="shared" si="173"/>
        <v>46037</v>
      </c>
      <c r="GQ73" s="67">
        <f t="shared" si="173"/>
        <v>46038</v>
      </c>
      <c r="GR73" s="67">
        <f t="shared" si="173"/>
        <v>46039</v>
      </c>
      <c r="GS73" s="67">
        <f t="shared" si="173"/>
        <v>46040</v>
      </c>
      <c r="GT73" s="67">
        <f t="shared" si="173"/>
        <v>46041</v>
      </c>
      <c r="GU73" s="67">
        <f t="shared" si="173"/>
        <v>46042</v>
      </c>
      <c r="GV73" s="67">
        <f t="shared" si="173"/>
        <v>46043</v>
      </c>
      <c r="GW73" s="67">
        <f t="shared" si="173"/>
        <v>46044</v>
      </c>
      <c r="GX73" s="67">
        <f t="shared" si="173"/>
        <v>46045</v>
      </c>
      <c r="GY73" s="67">
        <f t="shared" si="173"/>
        <v>46046</v>
      </c>
      <c r="GZ73" s="67">
        <f t="shared" si="173"/>
        <v>46047</v>
      </c>
      <c r="HA73" s="67">
        <f t="shared" si="173"/>
        <v>46048</v>
      </c>
      <c r="HB73" s="67">
        <f t="shared" si="173"/>
        <v>46049</v>
      </c>
      <c r="HC73" s="67">
        <f t="shared" si="173"/>
        <v>46050</v>
      </c>
      <c r="HD73" s="67">
        <f t="shared" si="173"/>
        <v>46051</v>
      </c>
      <c r="HE73" s="67">
        <f t="shared" si="173"/>
        <v>46052</v>
      </c>
      <c r="HF73" s="67">
        <f t="shared" si="173"/>
        <v>46053</v>
      </c>
      <c r="HG73" s="112" t="s">
        <v>33</v>
      </c>
      <c r="HH73" s="113" t="s">
        <v>28</v>
      </c>
      <c r="HI73" s="114" t="s">
        <v>34</v>
      </c>
      <c r="HJ73" s="112" t="s">
        <v>13</v>
      </c>
      <c r="HK73" s="113" t="s">
        <v>1</v>
      </c>
      <c r="HL73" s="113" t="s">
        <v>35</v>
      </c>
      <c r="HM73" s="113" t="s">
        <v>36</v>
      </c>
      <c r="HN73" s="113" t="s">
        <v>37</v>
      </c>
      <c r="HO73" s="113" t="s">
        <v>0</v>
      </c>
      <c r="HP73" s="113" t="s">
        <v>38</v>
      </c>
      <c r="HQ73" s="114" t="s">
        <v>11</v>
      </c>
      <c r="HR73" s="108" t="str">
        <f>elenchi!$C15</f>
        <v>AMBROSIO GAETANO</v>
      </c>
      <c r="HS73" s="109"/>
      <c r="HT73" s="110"/>
      <c r="HU73" s="67">
        <f t="shared" ref="HU73:IY73" si="174">HU$2</f>
        <v>46054</v>
      </c>
      <c r="HV73" s="67">
        <f t="shared" si="174"/>
        <v>46055</v>
      </c>
      <c r="HW73" s="67">
        <f t="shared" si="174"/>
        <v>46056</v>
      </c>
      <c r="HX73" s="67">
        <f t="shared" si="174"/>
        <v>46057</v>
      </c>
      <c r="HY73" s="67">
        <f t="shared" si="174"/>
        <v>46058</v>
      </c>
      <c r="HZ73" s="67">
        <f t="shared" si="174"/>
        <v>46059</v>
      </c>
      <c r="IA73" s="67">
        <f t="shared" si="174"/>
        <v>46060</v>
      </c>
      <c r="IB73" s="67">
        <f t="shared" si="174"/>
        <v>46061</v>
      </c>
      <c r="IC73" s="67">
        <f t="shared" si="174"/>
        <v>46062</v>
      </c>
      <c r="ID73" s="67">
        <f t="shared" si="174"/>
        <v>46063</v>
      </c>
      <c r="IE73" s="67">
        <f t="shared" si="174"/>
        <v>46064</v>
      </c>
      <c r="IF73" s="67">
        <f t="shared" si="174"/>
        <v>46065</v>
      </c>
      <c r="IG73" s="67">
        <f t="shared" si="174"/>
        <v>46066</v>
      </c>
      <c r="IH73" s="67">
        <f t="shared" si="174"/>
        <v>46067</v>
      </c>
      <c r="II73" s="67">
        <f t="shared" si="174"/>
        <v>46068</v>
      </c>
      <c r="IJ73" s="67">
        <f t="shared" si="174"/>
        <v>46069</v>
      </c>
      <c r="IK73" s="67">
        <f t="shared" si="174"/>
        <v>46070</v>
      </c>
      <c r="IL73" s="67">
        <f t="shared" si="174"/>
        <v>46071</v>
      </c>
      <c r="IM73" s="67">
        <f t="shared" si="174"/>
        <v>46072</v>
      </c>
      <c r="IN73" s="67">
        <f t="shared" si="174"/>
        <v>46073</v>
      </c>
      <c r="IO73" s="67">
        <f t="shared" si="174"/>
        <v>46074</v>
      </c>
      <c r="IP73" s="67">
        <f t="shared" si="174"/>
        <v>46075</v>
      </c>
      <c r="IQ73" s="67">
        <f t="shared" si="174"/>
        <v>46076</v>
      </c>
      <c r="IR73" s="67">
        <f t="shared" si="174"/>
        <v>46077</v>
      </c>
      <c r="IS73" s="67">
        <f t="shared" si="174"/>
        <v>46078</v>
      </c>
      <c r="IT73" s="67">
        <f t="shared" si="174"/>
        <v>46079</v>
      </c>
      <c r="IU73" s="67">
        <f t="shared" si="174"/>
        <v>46080</v>
      </c>
      <c r="IV73" s="67">
        <f t="shared" si="174"/>
        <v>46081</v>
      </c>
      <c r="IW73" s="67" t="str">
        <f t="shared" si="174"/>
        <v/>
      </c>
      <c r="IX73" s="67" t="str">
        <f t="shared" si="174"/>
        <v/>
      </c>
      <c r="IY73" s="67" t="str">
        <f t="shared" si="174"/>
        <v/>
      </c>
      <c r="IZ73" s="112" t="s">
        <v>33</v>
      </c>
      <c r="JA73" s="113" t="s">
        <v>28</v>
      </c>
      <c r="JB73" s="114" t="s">
        <v>34</v>
      </c>
      <c r="JC73" s="112" t="s">
        <v>13</v>
      </c>
      <c r="JD73" s="113" t="s">
        <v>1</v>
      </c>
      <c r="JE73" s="113" t="s">
        <v>35</v>
      </c>
      <c r="JF73" s="113" t="s">
        <v>36</v>
      </c>
      <c r="JG73" s="113" t="s">
        <v>37</v>
      </c>
      <c r="JH73" s="113" t="s">
        <v>0</v>
      </c>
      <c r="JI73" s="113" t="s">
        <v>38</v>
      </c>
      <c r="JJ73" s="114" t="s">
        <v>11</v>
      </c>
      <c r="JK73" s="108" t="str">
        <f>elenchi!$C15</f>
        <v>AMBROSIO GAETANO</v>
      </c>
      <c r="JL73" s="109"/>
      <c r="JM73" s="110"/>
      <c r="JN73" s="67">
        <f t="shared" ref="JN73:KR73" si="175">JN$2</f>
        <v>46082</v>
      </c>
      <c r="JO73" s="67">
        <f t="shared" si="175"/>
        <v>46083</v>
      </c>
      <c r="JP73" s="67">
        <f t="shared" si="175"/>
        <v>46084</v>
      </c>
      <c r="JQ73" s="67">
        <f t="shared" si="175"/>
        <v>46085</v>
      </c>
      <c r="JR73" s="67">
        <f t="shared" si="175"/>
        <v>46086</v>
      </c>
      <c r="JS73" s="67">
        <f t="shared" si="175"/>
        <v>46087</v>
      </c>
      <c r="JT73" s="67">
        <f t="shared" si="175"/>
        <v>46088</v>
      </c>
      <c r="JU73" s="67">
        <f t="shared" si="175"/>
        <v>46089</v>
      </c>
      <c r="JV73" s="67">
        <f t="shared" si="175"/>
        <v>46090</v>
      </c>
      <c r="JW73" s="67">
        <f t="shared" si="175"/>
        <v>46091</v>
      </c>
      <c r="JX73" s="67">
        <f t="shared" si="175"/>
        <v>46092</v>
      </c>
      <c r="JY73" s="67">
        <f t="shared" si="175"/>
        <v>46093</v>
      </c>
      <c r="JZ73" s="67">
        <f t="shared" si="175"/>
        <v>46094</v>
      </c>
      <c r="KA73" s="67">
        <f t="shared" si="175"/>
        <v>46095</v>
      </c>
      <c r="KB73" s="67">
        <f t="shared" si="175"/>
        <v>46096</v>
      </c>
      <c r="KC73" s="67">
        <f t="shared" si="175"/>
        <v>46097</v>
      </c>
      <c r="KD73" s="67">
        <f t="shared" si="175"/>
        <v>46098</v>
      </c>
      <c r="KE73" s="67">
        <f t="shared" si="175"/>
        <v>46099</v>
      </c>
      <c r="KF73" s="67">
        <f t="shared" si="175"/>
        <v>46100</v>
      </c>
      <c r="KG73" s="67">
        <f t="shared" si="175"/>
        <v>46101</v>
      </c>
      <c r="KH73" s="67">
        <f t="shared" si="175"/>
        <v>46102</v>
      </c>
      <c r="KI73" s="67">
        <f t="shared" si="175"/>
        <v>46103</v>
      </c>
      <c r="KJ73" s="67">
        <f t="shared" si="175"/>
        <v>46104</v>
      </c>
      <c r="KK73" s="67">
        <f t="shared" si="175"/>
        <v>46105</v>
      </c>
      <c r="KL73" s="67">
        <f t="shared" si="175"/>
        <v>46106</v>
      </c>
      <c r="KM73" s="67">
        <f t="shared" si="175"/>
        <v>46107</v>
      </c>
      <c r="KN73" s="67">
        <f t="shared" si="175"/>
        <v>46108</v>
      </c>
      <c r="KO73" s="67">
        <f t="shared" si="175"/>
        <v>46109</v>
      </c>
      <c r="KP73" s="67">
        <f t="shared" si="175"/>
        <v>46110</v>
      </c>
      <c r="KQ73" s="67">
        <f t="shared" si="175"/>
        <v>46111</v>
      </c>
      <c r="KR73" s="67">
        <f t="shared" si="175"/>
        <v>46112</v>
      </c>
      <c r="KS73" s="112" t="s">
        <v>33</v>
      </c>
      <c r="KT73" s="113" t="s">
        <v>28</v>
      </c>
      <c r="KU73" s="114" t="s">
        <v>34</v>
      </c>
      <c r="KV73" s="112" t="s">
        <v>13</v>
      </c>
      <c r="KW73" s="113" t="s">
        <v>1</v>
      </c>
      <c r="KX73" s="113" t="s">
        <v>35</v>
      </c>
      <c r="KY73" s="113" t="s">
        <v>36</v>
      </c>
      <c r="KZ73" s="113" t="s">
        <v>37</v>
      </c>
      <c r="LA73" s="113" t="s">
        <v>0</v>
      </c>
      <c r="LB73" s="113" t="s">
        <v>38</v>
      </c>
      <c r="LC73" s="114" t="s">
        <v>11</v>
      </c>
      <c r="LD73" s="108" t="str">
        <f>elenchi!$C15</f>
        <v>AMBROSIO GAETANO</v>
      </c>
      <c r="LE73" s="109"/>
      <c r="LF73" s="110"/>
      <c r="LG73" s="67">
        <f t="shared" ref="LG73:MK73" si="176">LG$2</f>
        <v>46113</v>
      </c>
      <c r="LH73" s="67">
        <f t="shared" si="176"/>
        <v>46114</v>
      </c>
      <c r="LI73" s="67">
        <f t="shared" si="176"/>
        <v>46115</v>
      </c>
      <c r="LJ73" s="67">
        <f t="shared" si="176"/>
        <v>46116</v>
      </c>
      <c r="LK73" s="67">
        <f t="shared" si="176"/>
        <v>46117</v>
      </c>
      <c r="LL73" s="67">
        <f t="shared" si="176"/>
        <v>46118</v>
      </c>
      <c r="LM73" s="67">
        <f t="shared" si="176"/>
        <v>46119</v>
      </c>
      <c r="LN73" s="67">
        <f t="shared" si="176"/>
        <v>46120</v>
      </c>
      <c r="LO73" s="67">
        <f t="shared" si="176"/>
        <v>46121</v>
      </c>
      <c r="LP73" s="67">
        <f t="shared" si="176"/>
        <v>46122</v>
      </c>
      <c r="LQ73" s="67">
        <f t="shared" si="176"/>
        <v>46123</v>
      </c>
      <c r="LR73" s="67">
        <f t="shared" si="176"/>
        <v>46124</v>
      </c>
      <c r="LS73" s="67">
        <f t="shared" si="176"/>
        <v>46125</v>
      </c>
      <c r="LT73" s="67">
        <f t="shared" si="176"/>
        <v>46126</v>
      </c>
      <c r="LU73" s="67">
        <f t="shared" si="176"/>
        <v>46127</v>
      </c>
      <c r="LV73" s="67">
        <f t="shared" si="176"/>
        <v>46128</v>
      </c>
      <c r="LW73" s="67">
        <f t="shared" si="176"/>
        <v>46129</v>
      </c>
      <c r="LX73" s="67">
        <f t="shared" si="176"/>
        <v>46130</v>
      </c>
      <c r="LY73" s="67">
        <f t="shared" si="176"/>
        <v>46131</v>
      </c>
      <c r="LZ73" s="67">
        <f t="shared" si="176"/>
        <v>46132</v>
      </c>
      <c r="MA73" s="67">
        <f t="shared" si="176"/>
        <v>46133</v>
      </c>
      <c r="MB73" s="67">
        <f t="shared" si="176"/>
        <v>46134</v>
      </c>
      <c r="MC73" s="67">
        <f t="shared" si="176"/>
        <v>46135</v>
      </c>
      <c r="MD73" s="67">
        <f t="shared" si="176"/>
        <v>46136</v>
      </c>
      <c r="ME73" s="67">
        <f t="shared" si="176"/>
        <v>46137</v>
      </c>
      <c r="MF73" s="67">
        <f t="shared" si="176"/>
        <v>46138</v>
      </c>
      <c r="MG73" s="67">
        <f t="shared" si="176"/>
        <v>46139</v>
      </c>
      <c r="MH73" s="67">
        <f t="shared" si="176"/>
        <v>46140</v>
      </c>
      <c r="MI73" s="67">
        <f t="shared" si="176"/>
        <v>46141</v>
      </c>
      <c r="MJ73" s="67">
        <f t="shared" si="176"/>
        <v>46142</v>
      </c>
      <c r="MK73" s="67" t="str">
        <f t="shared" si="176"/>
        <v/>
      </c>
      <c r="ML73" s="112" t="s">
        <v>33</v>
      </c>
      <c r="MM73" s="113" t="s">
        <v>28</v>
      </c>
      <c r="MN73" s="114" t="s">
        <v>34</v>
      </c>
      <c r="MO73" s="112" t="s">
        <v>13</v>
      </c>
      <c r="MP73" s="113" t="s">
        <v>1</v>
      </c>
      <c r="MQ73" s="113" t="s">
        <v>35</v>
      </c>
      <c r="MR73" s="113" t="s">
        <v>36</v>
      </c>
      <c r="MS73" s="113" t="s">
        <v>37</v>
      </c>
      <c r="MT73" s="113" t="s">
        <v>0</v>
      </c>
      <c r="MU73" s="113" t="s">
        <v>38</v>
      </c>
      <c r="MV73" s="115" t="s">
        <v>11</v>
      </c>
      <c r="MW73" s="108" t="str">
        <f>elenchi!$C15</f>
        <v>AMBROSIO GAETANO</v>
      </c>
      <c r="MX73" s="109"/>
      <c r="MY73" s="110"/>
      <c r="MZ73" s="67">
        <f t="shared" ref="MZ73:OD73" si="177">MZ$2</f>
        <v>46143</v>
      </c>
      <c r="NA73" s="67">
        <f t="shared" si="177"/>
        <v>46144</v>
      </c>
      <c r="NB73" s="67">
        <f t="shared" si="177"/>
        <v>46145</v>
      </c>
      <c r="NC73" s="67">
        <f t="shared" si="177"/>
        <v>46146</v>
      </c>
      <c r="ND73" s="67">
        <f t="shared" si="177"/>
        <v>46147</v>
      </c>
      <c r="NE73" s="67">
        <f t="shared" si="177"/>
        <v>46148</v>
      </c>
      <c r="NF73" s="67">
        <f t="shared" si="177"/>
        <v>46149</v>
      </c>
      <c r="NG73" s="67">
        <f t="shared" si="177"/>
        <v>46150</v>
      </c>
      <c r="NH73" s="67">
        <f t="shared" si="177"/>
        <v>46151</v>
      </c>
      <c r="NI73" s="67">
        <f t="shared" si="177"/>
        <v>46152</v>
      </c>
      <c r="NJ73" s="67">
        <f t="shared" si="177"/>
        <v>46153</v>
      </c>
      <c r="NK73" s="67">
        <f t="shared" si="177"/>
        <v>46154</v>
      </c>
      <c r="NL73" s="67">
        <f t="shared" si="177"/>
        <v>46155</v>
      </c>
      <c r="NM73" s="67">
        <f t="shared" si="177"/>
        <v>46156</v>
      </c>
      <c r="NN73" s="67">
        <f t="shared" si="177"/>
        <v>46157</v>
      </c>
      <c r="NO73" s="67">
        <f t="shared" si="177"/>
        <v>46158</v>
      </c>
      <c r="NP73" s="67">
        <f t="shared" si="177"/>
        <v>46159</v>
      </c>
      <c r="NQ73" s="67">
        <f t="shared" si="177"/>
        <v>46160</v>
      </c>
      <c r="NR73" s="67">
        <f t="shared" si="177"/>
        <v>46161</v>
      </c>
      <c r="NS73" s="67">
        <f t="shared" si="177"/>
        <v>46162</v>
      </c>
      <c r="NT73" s="67">
        <f t="shared" si="177"/>
        <v>46163</v>
      </c>
      <c r="NU73" s="67">
        <f t="shared" si="177"/>
        <v>46164</v>
      </c>
      <c r="NV73" s="67">
        <f t="shared" si="177"/>
        <v>46165</v>
      </c>
      <c r="NW73" s="67">
        <f t="shared" si="177"/>
        <v>46166</v>
      </c>
      <c r="NX73" s="67">
        <f t="shared" si="177"/>
        <v>46167</v>
      </c>
      <c r="NY73" s="67">
        <f t="shared" si="177"/>
        <v>46168</v>
      </c>
      <c r="NZ73" s="67">
        <f t="shared" si="177"/>
        <v>46169</v>
      </c>
      <c r="OA73" s="67">
        <f t="shared" si="177"/>
        <v>46170</v>
      </c>
      <c r="OB73" s="67">
        <f t="shared" si="177"/>
        <v>46171</v>
      </c>
      <c r="OC73" s="67">
        <f t="shared" si="177"/>
        <v>46172</v>
      </c>
      <c r="OD73" s="67">
        <f t="shared" si="177"/>
        <v>46173</v>
      </c>
      <c r="OE73" s="112" t="s">
        <v>33</v>
      </c>
      <c r="OF73" s="113" t="s">
        <v>28</v>
      </c>
      <c r="OG73" s="114" t="s">
        <v>34</v>
      </c>
      <c r="OH73" s="112" t="s">
        <v>13</v>
      </c>
      <c r="OI73" s="113" t="s">
        <v>1</v>
      </c>
      <c r="OJ73" s="113" t="s">
        <v>35</v>
      </c>
      <c r="OK73" s="113" t="s">
        <v>36</v>
      </c>
      <c r="OL73" s="113" t="s">
        <v>37</v>
      </c>
      <c r="OM73" s="113" t="s">
        <v>0</v>
      </c>
      <c r="ON73" s="113" t="s">
        <v>38</v>
      </c>
      <c r="OO73" s="115" t="s">
        <v>11</v>
      </c>
      <c r="OP73" s="108" t="str">
        <f>elenchi!$C15</f>
        <v>AMBROSIO GAETANO</v>
      </c>
      <c r="OQ73" s="109"/>
      <c r="OR73" s="110"/>
      <c r="OS73" s="67">
        <f t="shared" ref="OS73:PW73" si="178">OS$2</f>
        <v>46174</v>
      </c>
      <c r="OT73" s="67">
        <f t="shared" si="178"/>
        <v>46175</v>
      </c>
      <c r="OU73" s="67">
        <f t="shared" si="178"/>
        <v>46176</v>
      </c>
      <c r="OV73" s="67">
        <f t="shared" si="178"/>
        <v>46177</v>
      </c>
      <c r="OW73" s="67">
        <f t="shared" si="178"/>
        <v>46178</v>
      </c>
      <c r="OX73" s="67">
        <f t="shared" si="178"/>
        <v>46179</v>
      </c>
      <c r="OY73" s="67">
        <f t="shared" si="178"/>
        <v>46180</v>
      </c>
      <c r="OZ73" s="67">
        <f t="shared" si="178"/>
        <v>46181</v>
      </c>
      <c r="PA73" s="67">
        <f t="shared" si="178"/>
        <v>46182</v>
      </c>
      <c r="PB73" s="67">
        <f t="shared" si="178"/>
        <v>46183</v>
      </c>
      <c r="PC73" s="67">
        <f t="shared" si="178"/>
        <v>46184</v>
      </c>
      <c r="PD73" s="67">
        <f t="shared" si="178"/>
        <v>46185</v>
      </c>
      <c r="PE73" s="67">
        <f t="shared" si="178"/>
        <v>46186</v>
      </c>
      <c r="PF73" s="67">
        <f t="shared" si="178"/>
        <v>46187</v>
      </c>
      <c r="PG73" s="67">
        <f t="shared" si="178"/>
        <v>46188</v>
      </c>
      <c r="PH73" s="67">
        <f t="shared" si="178"/>
        <v>46189</v>
      </c>
      <c r="PI73" s="67">
        <f t="shared" si="178"/>
        <v>46190</v>
      </c>
      <c r="PJ73" s="67">
        <f t="shared" si="178"/>
        <v>46191</v>
      </c>
      <c r="PK73" s="67">
        <f t="shared" si="178"/>
        <v>46192</v>
      </c>
      <c r="PL73" s="67">
        <f t="shared" si="178"/>
        <v>46193</v>
      </c>
      <c r="PM73" s="67">
        <f t="shared" si="178"/>
        <v>46194</v>
      </c>
      <c r="PN73" s="67">
        <f t="shared" si="178"/>
        <v>46195</v>
      </c>
      <c r="PO73" s="67">
        <f t="shared" si="178"/>
        <v>46196</v>
      </c>
      <c r="PP73" s="67">
        <f t="shared" si="178"/>
        <v>46197</v>
      </c>
      <c r="PQ73" s="67">
        <f t="shared" si="178"/>
        <v>46198</v>
      </c>
      <c r="PR73" s="67">
        <f t="shared" si="178"/>
        <v>46199</v>
      </c>
      <c r="PS73" s="67">
        <f t="shared" si="178"/>
        <v>46200</v>
      </c>
      <c r="PT73" s="67">
        <f t="shared" si="178"/>
        <v>46201</v>
      </c>
      <c r="PU73" s="67">
        <f t="shared" si="178"/>
        <v>46202</v>
      </c>
      <c r="PV73" s="67">
        <f t="shared" si="178"/>
        <v>46203</v>
      </c>
      <c r="PW73" s="67" t="str">
        <f t="shared" si="178"/>
        <v/>
      </c>
      <c r="PX73" s="112" t="s">
        <v>33</v>
      </c>
      <c r="PY73" s="113" t="s">
        <v>28</v>
      </c>
      <c r="PZ73" s="114" t="s">
        <v>34</v>
      </c>
      <c r="QA73" s="112" t="s">
        <v>13</v>
      </c>
      <c r="QB73" s="113" t="s">
        <v>1</v>
      </c>
      <c r="QC73" s="113" t="s">
        <v>35</v>
      </c>
      <c r="QD73" s="113" t="s">
        <v>36</v>
      </c>
      <c r="QE73" s="113" t="s">
        <v>37</v>
      </c>
      <c r="QF73" s="113" t="s">
        <v>0</v>
      </c>
      <c r="QG73" s="113" t="s">
        <v>38</v>
      </c>
      <c r="QH73" s="115" t="s">
        <v>11</v>
      </c>
      <c r="QI73" s="108" t="str">
        <f>elenchi!$C15</f>
        <v>AMBROSIO GAETANO</v>
      </c>
      <c r="QJ73" s="109"/>
      <c r="QK73" s="110"/>
      <c r="QL73" s="67">
        <f t="shared" ref="QL73:RP73" si="179">QL$2</f>
        <v>46204</v>
      </c>
      <c r="QM73" s="67">
        <f t="shared" si="179"/>
        <v>46205</v>
      </c>
      <c r="QN73" s="67">
        <f t="shared" si="179"/>
        <v>46206</v>
      </c>
      <c r="QO73" s="67">
        <f t="shared" si="179"/>
        <v>46207</v>
      </c>
      <c r="QP73" s="67">
        <f t="shared" si="179"/>
        <v>46208</v>
      </c>
      <c r="QQ73" s="67">
        <f t="shared" si="179"/>
        <v>46209</v>
      </c>
      <c r="QR73" s="67">
        <f t="shared" si="179"/>
        <v>46210</v>
      </c>
      <c r="QS73" s="67">
        <f t="shared" si="179"/>
        <v>46211</v>
      </c>
      <c r="QT73" s="67">
        <f t="shared" si="179"/>
        <v>46212</v>
      </c>
      <c r="QU73" s="67">
        <f t="shared" si="179"/>
        <v>46213</v>
      </c>
      <c r="QV73" s="67">
        <f t="shared" si="179"/>
        <v>46214</v>
      </c>
      <c r="QW73" s="67">
        <f t="shared" si="179"/>
        <v>46215</v>
      </c>
      <c r="QX73" s="67">
        <f t="shared" si="179"/>
        <v>46216</v>
      </c>
      <c r="QY73" s="67">
        <f t="shared" si="179"/>
        <v>46217</v>
      </c>
      <c r="QZ73" s="67">
        <f t="shared" si="179"/>
        <v>46218</v>
      </c>
      <c r="RA73" s="67">
        <f t="shared" si="179"/>
        <v>46219</v>
      </c>
      <c r="RB73" s="67">
        <f t="shared" si="179"/>
        <v>46220</v>
      </c>
      <c r="RC73" s="67">
        <f t="shared" si="179"/>
        <v>46221</v>
      </c>
      <c r="RD73" s="67">
        <f t="shared" si="179"/>
        <v>46222</v>
      </c>
      <c r="RE73" s="67">
        <f t="shared" si="179"/>
        <v>46223</v>
      </c>
      <c r="RF73" s="67">
        <f t="shared" si="179"/>
        <v>46224</v>
      </c>
      <c r="RG73" s="67">
        <f t="shared" si="179"/>
        <v>46225</v>
      </c>
      <c r="RH73" s="67">
        <f t="shared" si="179"/>
        <v>46226</v>
      </c>
      <c r="RI73" s="67">
        <f t="shared" si="179"/>
        <v>46227</v>
      </c>
      <c r="RJ73" s="67">
        <f t="shared" si="179"/>
        <v>46228</v>
      </c>
      <c r="RK73" s="67">
        <f t="shared" si="179"/>
        <v>46229</v>
      </c>
      <c r="RL73" s="67">
        <f t="shared" si="179"/>
        <v>46230</v>
      </c>
      <c r="RM73" s="67">
        <f t="shared" si="179"/>
        <v>46231</v>
      </c>
      <c r="RN73" s="67">
        <f t="shared" si="179"/>
        <v>46232</v>
      </c>
      <c r="RO73" s="67">
        <f t="shared" si="179"/>
        <v>46233</v>
      </c>
      <c r="RP73" s="67">
        <f t="shared" si="179"/>
        <v>46234</v>
      </c>
      <c r="RQ73" s="112" t="s">
        <v>33</v>
      </c>
      <c r="RR73" s="113" t="s">
        <v>28</v>
      </c>
      <c r="RS73" s="114" t="s">
        <v>34</v>
      </c>
      <c r="RT73" s="112" t="s">
        <v>13</v>
      </c>
      <c r="RU73" s="113" t="s">
        <v>1</v>
      </c>
      <c r="RV73" s="113" t="s">
        <v>35</v>
      </c>
      <c r="RW73" s="113" t="s">
        <v>36</v>
      </c>
      <c r="RX73" s="113" t="s">
        <v>37</v>
      </c>
      <c r="RY73" s="113" t="s">
        <v>0</v>
      </c>
      <c r="RZ73" s="113" t="s">
        <v>38</v>
      </c>
      <c r="SA73" s="115" t="s">
        <v>11</v>
      </c>
      <c r="SB73" s="108" t="str">
        <f>elenchi!$C15</f>
        <v>AMBROSIO GAETANO</v>
      </c>
      <c r="SC73" s="109"/>
      <c r="SD73" s="110"/>
      <c r="SE73" s="67">
        <f t="shared" ref="SE73:TI73" si="180">SE$2</f>
        <v>46235</v>
      </c>
      <c r="SF73" s="67">
        <f t="shared" si="180"/>
        <v>46236</v>
      </c>
      <c r="SG73" s="67">
        <f t="shared" si="180"/>
        <v>46237</v>
      </c>
      <c r="SH73" s="67">
        <f t="shared" si="180"/>
        <v>46238</v>
      </c>
      <c r="SI73" s="67">
        <f t="shared" si="180"/>
        <v>46239</v>
      </c>
      <c r="SJ73" s="67">
        <f t="shared" si="180"/>
        <v>46240</v>
      </c>
      <c r="SK73" s="67">
        <f t="shared" si="180"/>
        <v>46241</v>
      </c>
      <c r="SL73" s="67">
        <f t="shared" si="180"/>
        <v>46242</v>
      </c>
      <c r="SM73" s="67">
        <f t="shared" si="180"/>
        <v>46243</v>
      </c>
      <c r="SN73" s="67">
        <f t="shared" si="180"/>
        <v>46244</v>
      </c>
      <c r="SO73" s="67">
        <f t="shared" si="180"/>
        <v>46245</v>
      </c>
      <c r="SP73" s="67">
        <f t="shared" si="180"/>
        <v>46246</v>
      </c>
      <c r="SQ73" s="67">
        <f t="shared" si="180"/>
        <v>46247</v>
      </c>
      <c r="SR73" s="67">
        <f t="shared" si="180"/>
        <v>46248</v>
      </c>
      <c r="SS73" s="67">
        <f t="shared" si="180"/>
        <v>46249</v>
      </c>
      <c r="ST73" s="67">
        <f t="shared" si="180"/>
        <v>46250</v>
      </c>
      <c r="SU73" s="67">
        <f t="shared" si="180"/>
        <v>46251</v>
      </c>
      <c r="SV73" s="67">
        <f t="shared" si="180"/>
        <v>46252</v>
      </c>
      <c r="SW73" s="67">
        <f t="shared" si="180"/>
        <v>46253</v>
      </c>
      <c r="SX73" s="67">
        <f t="shared" si="180"/>
        <v>46254</v>
      </c>
      <c r="SY73" s="67">
        <f t="shared" si="180"/>
        <v>46255</v>
      </c>
      <c r="SZ73" s="67">
        <f t="shared" si="180"/>
        <v>46256</v>
      </c>
      <c r="TA73" s="67">
        <f t="shared" si="180"/>
        <v>46257</v>
      </c>
      <c r="TB73" s="67">
        <f t="shared" si="180"/>
        <v>46258</v>
      </c>
      <c r="TC73" s="67">
        <f t="shared" si="180"/>
        <v>46259</v>
      </c>
      <c r="TD73" s="67">
        <f t="shared" si="180"/>
        <v>46260</v>
      </c>
      <c r="TE73" s="67">
        <f t="shared" si="180"/>
        <v>46261</v>
      </c>
      <c r="TF73" s="67">
        <f t="shared" si="180"/>
        <v>46262</v>
      </c>
      <c r="TG73" s="67">
        <f t="shared" si="180"/>
        <v>46263</v>
      </c>
      <c r="TH73" s="67">
        <f t="shared" si="180"/>
        <v>46264</v>
      </c>
      <c r="TI73" s="67">
        <f t="shared" si="180"/>
        <v>46265</v>
      </c>
      <c r="TJ73" s="112" t="s">
        <v>33</v>
      </c>
      <c r="TK73" s="113" t="s">
        <v>28</v>
      </c>
      <c r="TL73" s="114" t="s">
        <v>34</v>
      </c>
      <c r="TM73" s="112" t="s">
        <v>13</v>
      </c>
      <c r="TN73" s="113" t="s">
        <v>1</v>
      </c>
      <c r="TO73" s="113" t="s">
        <v>35</v>
      </c>
      <c r="TP73" s="113" t="s">
        <v>36</v>
      </c>
      <c r="TQ73" s="113" t="s">
        <v>37</v>
      </c>
      <c r="TR73" s="113" t="s">
        <v>0</v>
      </c>
      <c r="TS73" s="113" t="s">
        <v>38</v>
      </c>
      <c r="TT73" s="114" t="s">
        <v>11</v>
      </c>
    </row>
    <row r="74" ht="24.75" customHeight="1">
      <c r="A74" s="121"/>
      <c r="B74" s="65"/>
      <c r="C74" s="66"/>
      <c r="D74" s="74">
        <f>Settembre25!$P$2</f>
        <v>8</v>
      </c>
      <c r="E74" s="75">
        <f>Settembre25!$P$3</f>
        <v>8</v>
      </c>
      <c r="F74" s="75">
        <f>Settembre25!$P$4</f>
        <v>8</v>
      </c>
      <c r="G74" s="75">
        <f>Settembre25!$P$5</f>
        <v>8</v>
      </c>
      <c r="H74" s="76">
        <f>Settembre25!$P$6</f>
        <v>8</v>
      </c>
      <c r="I74" s="76" t="str">
        <f>Settembre25!$P$7</f>
        <v/>
      </c>
      <c r="J74" s="75" t="str">
        <f>Settembre25!$P$8</f>
        <v/>
      </c>
      <c r="K74" s="75">
        <f>Settembre25!$P$9</f>
        <v>8</v>
      </c>
      <c r="L74" s="75">
        <f>Settembre25!$P$10</f>
        <v>8</v>
      </c>
      <c r="M74" s="75">
        <f>Settembre25!$P$11</f>
        <v>8</v>
      </c>
      <c r="N74" s="75">
        <f>Settembre25!$P$12</f>
        <v>8</v>
      </c>
      <c r="O74" s="76">
        <f>Settembre25!$P$13</f>
        <v>8</v>
      </c>
      <c r="P74" s="75" t="str">
        <f>Settembre25!$P$14</f>
        <v/>
      </c>
      <c r="Q74" s="75" t="str">
        <f>Settembre25!$P$15</f>
        <v/>
      </c>
      <c r="R74" s="75">
        <f>Settembre25!$P$16</f>
        <v>8</v>
      </c>
      <c r="S74" s="75">
        <f>Settembre25!$P$17</f>
        <v>8</v>
      </c>
      <c r="T74" s="75">
        <f>Settembre25!$P$18</f>
        <v>8</v>
      </c>
      <c r="U74" s="75">
        <f>Settembre25!$P$19</f>
        <v>8</v>
      </c>
      <c r="V74" s="76">
        <f>Settembre25!$P$20</f>
        <v>8</v>
      </c>
      <c r="W74" s="76" t="str">
        <f>Settembre25!$P$21</f>
        <v/>
      </c>
      <c r="X74" s="75" t="str">
        <f>Settembre25!$P$22</f>
        <v/>
      </c>
      <c r="Y74" s="75">
        <f>Settembre25!$P$23</f>
        <v>8</v>
      </c>
      <c r="Z74" s="75">
        <f>Settembre25!$P$24</f>
        <v>8</v>
      </c>
      <c r="AA74" s="75">
        <f>Settembre25!$P$25</f>
        <v>8</v>
      </c>
      <c r="AB74" s="75">
        <f>Settembre25!$P$26</f>
        <v>8</v>
      </c>
      <c r="AC74" s="76">
        <f>Settembre25!$P$27</f>
        <v>8</v>
      </c>
      <c r="AD74" s="76" t="str">
        <f>Settembre25!$P$28</f>
        <v/>
      </c>
      <c r="AE74" s="75" t="str">
        <f>Settembre25!$P$29</f>
        <v/>
      </c>
      <c r="AF74" s="75">
        <f>Settembre25!$P$30</f>
        <v>8</v>
      </c>
      <c r="AG74" s="75">
        <f>Settembre25!$P$31</f>
        <v>8</v>
      </c>
      <c r="AH74" s="77" t="str">
        <f>Settembre25!$P$32</f>
        <v/>
      </c>
      <c r="AI74" s="78"/>
      <c r="AJ74" s="79">
        <f>SUM(D74:AH74)</f>
        <v>176</v>
      </c>
      <c r="AK74" s="80"/>
      <c r="AL74" s="78"/>
      <c r="AM74" s="81"/>
      <c r="AN74" s="81"/>
      <c r="AO74" s="81"/>
      <c r="AP74" s="81"/>
      <c r="AQ74" s="81"/>
      <c r="AR74" s="81"/>
      <c r="AS74" s="82"/>
      <c r="AT74" s="121"/>
      <c r="AU74" s="65"/>
      <c r="AV74" s="66"/>
      <c r="AW74" s="83">
        <f>Ottobre25!$P$2</f>
        <v>8</v>
      </c>
      <c r="AX74" s="84">
        <f>Ottobre25!$P$3</f>
        <v>8</v>
      </c>
      <c r="AY74" s="84">
        <f>Ottobre25!$P$4</f>
        <v>8</v>
      </c>
      <c r="AZ74" s="84" t="str">
        <f>Ottobre25!$P$5</f>
        <v/>
      </c>
      <c r="BA74" s="84" t="str">
        <f>Ottobre25!$P$6</f>
        <v/>
      </c>
      <c r="BB74" s="85">
        <f>Ottobre25!$P$7</f>
        <v>8</v>
      </c>
      <c r="BC74" s="84">
        <f>Ottobre25!$P$8</f>
        <v>8</v>
      </c>
      <c r="BD74" s="84">
        <f>Ottobre25!$P$9</f>
        <v>8</v>
      </c>
      <c r="BE74" s="84">
        <f>Ottobre25!$P$10</f>
        <v>8</v>
      </c>
      <c r="BF74" s="84">
        <f>Ottobre25!$P$11</f>
        <v>8</v>
      </c>
      <c r="BG74" s="84" t="str">
        <f>Ottobre25!$P$12</f>
        <v/>
      </c>
      <c r="BH74" s="85" t="str">
        <f>Ottobre25!$P$13</f>
        <v/>
      </c>
      <c r="BI74" s="85">
        <f>Ottobre25!$P$14</f>
        <v>8</v>
      </c>
      <c r="BJ74" s="84">
        <f>Ottobre25!$P$15</f>
        <v>8</v>
      </c>
      <c r="BK74" s="84">
        <f>Ottobre25!$P$16</f>
        <v>8</v>
      </c>
      <c r="BL74" s="84">
        <f>Ottobre25!$P$17</f>
        <v>8</v>
      </c>
      <c r="BM74" s="84">
        <f>Ottobre25!$P$18</f>
        <v>8</v>
      </c>
      <c r="BN74" s="84" t="str">
        <f>Ottobre25!$P$19</f>
        <v/>
      </c>
      <c r="BO74" s="84" t="str">
        <f>Ottobre25!$P$20</f>
        <v/>
      </c>
      <c r="BP74" s="85">
        <f>Ottobre25!$P$21</f>
        <v>8</v>
      </c>
      <c r="BQ74" s="84">
        <f>Ottobre25!$P$22</f>
        <v>8</v>
      </c>
      <c r="BR74" s="84">
        <f>Ottobre25!$P$23</f>
        <v>8</v>
      </c>
      <c r="BS74" s="84">
        <f>Ottobre25!$P$24</f>
        <v>8</v>
      </c>
      <c r="BT74" s="84">
        <f>Ottobre25!$P$25</f>
        <v>8</v>
      </c>
      <c r="BU74" s="84" t="str">
        <f>Ottobre25!$P$26</f>
        <v/>
      </c>
      <c r="BV74" s="84" t="str">
        <f>Ottobre25!$P$27</f>
        <v/>
      </c>
      <c r="BW74" s="85">
        <f>Ottobre25!$P$28</f>
        <v>8</v>
      </c>
      <c r="BX74" s="84">
        <f>Ottobre25!$P$29</f>
        <v>8</v>
      </c>
      <c r="BY74" s="84">
        <f>Ottobre25!$P$30</f>
        <v>8</v>
      </c>
      <c r="BZ74" s="84">
        <f>Ottobre25!$P$31</f>
        <v>8</v>
      </c>
      <c r="CA74" s="86">
        <f>Ottobre25!$P$32</f>
        <v>8</v>
      </c>
      <c r="CB74" s="78"/>
      <c r="CC74" s="79">
        <f>SUM(AW74:CA74)</f>
        <v>184</v>
      </c>
      <c r="CD74" s="80"/>
      <c r="CE74" s="78"/>
      <c r="CF74" s="81"/>
      <c r="CG74" s="81"/>
      <c r="CH74" s="81"/>
      <c r="CI74" s="81"/>
      <c r="CJ74" s="81"/>
      <c r="CK74" s="81"/>
      <c r="CL74" s="82"/>
      <c r="CM74" s="121"/>
      <c r="CN74" s="65"/>
      <c r="CO74" s="66"/>
      <c r="CP74" s="83" t="str">
        <f>Novembre25!$P$2</f>
        <v/>
      </c>
      <c r="CQ74" s="84" t="str">
        <f>Novembre25!$P$3</f>
        <v/>
      </c>
      <c r="CR74" s="84">
        <f>Novembre25!$P$4</f>
        <v>8</v>
      </c>
      <c r="CS74" s="84">
        <f>Novembre25!$P$5</f>
        <v>8</v>
      </c>
      <c r="CT74" s="84">
        <f>Novembre25!$P$6</f>
        <v>8</v>
      </c>
      <c r="CU74" s="85">
        <f>Novembre25!$P$7</f>
        <v>8</v>
      </c>
      <c r="CV74" s="84">
        <f>Novembre25!$P$8</f>
        <v>8</v>
      </c>
      <c r="CW74" s="84" t="str">
        <f>Novembre25!$P$9</f>
        <v/>
      </c>
      <c r="CX74" s="84" t="str">
        <f>Novembre25!$P$10</f>
        <v/>
      </c>
      <c r="CY74" s="84">
        <f>Novembre25!$P$11</f>
        <v>8</v>
      </c>
      <c r="CZ74" s="84">
        <f>Novembre25!$P$12</f>
        <v>8</v>
      </c>
      <c r="DA74" s="85">
        <f>Novembre25!$P$13</f>
        <v>8</v>
      </c>
      <c r="DB74" s="85">
        <f>Novembre25!$P$14</f>
        <v>8</v>
      </c>
      <c r="DC74" s="84">
        <f>Novembre25!$P$15</f>
        <v>8</v>
      </c>
      <c r="DD74" s="84" t="str">
        <f>Novembre25!$P$16</f>
        <v/>
      </c>
      <c r="DE74" s="84" t="str">
        <f>Novembre25!$P$17</f>
        <v/>
      </c>
      <c r="DF74" s="84">
        <f>Novembre25!$P$18</f>
        <v>8</v>
      </c>
      <c r="DG74" s="84">
        <f>Novembre25!$P$19</f>
        <v>8</v>
      </c>
      <c r="DH74" s="84">
        <f>Novembre25!$P$20</f>
        <v>8</v>
      </c>
      <c r="DI74" s="85">
        <f>Novembre25!$P$21</f>
        <v>8</v>
      </c>
      <c r="DJ74" s="84">
        <f>Novembre25!$P$22</f>
        <v>8</v>
      </c>
      <c r="DK74" s="84" t="str">
        <f>Novembre25!$P$23</f>
        <v/>
      </c>
      <c r="DL74" s="84" t="str">
        <f>Novembre25!$P$24</f>
        <v/>
      </c>
      <c r="DM74" s="84">
        <f>Novembre25!$P$25</f>
        <v>8</v>
      </c>
      <c r="DN74" s="84">
        <f>Novembre25!$P$26</f>
        <v>8</v>
      </c>
      <c r="DO74" s="84">
        <f>Novembre25!$P$27</f>
        <v>8</v>
      </c>
      <c r="DP74" s="85">
        <f>Novembre25!$P$28</f>
        <v>8</v>
      </c>
      <c r="DQ74" s="84">
        <f>Novembre25!$P$29</f>
        <v>8</v>
      </c>
      <c r="DR74" s="84" t="str">
        <f>Novembre25!$P$30</f>
        <v/>
      </c>
      <c r="DS74" s="84" t="str">
        <f>Novembre25!$P$31</f>
        <v/>
      </c>
      <c r="DT74" s="86" t="str">
        <f>Novembre25!$P$32</f>
        <v/>
      </c>
      <c r="DU74" s="78"/>
      <c r="DV74" s="79">
        <f>SUM(CP74:DT74)</f>
        <v>160</v>
      </c>
      <c r="DW74" s="80"/>
      <c r="DX74" s="78"/>
      <c r="DY74" s="81"/>
      <c r="DZ74" s="81"/>
      <c r="EA74" s="81"/>
      <c r="EB74" s="81"/>
      <c r="EC74" s="81"/>
      <c r="ED74" s="81"/>
      <c r="EE74" s="80"/>
      <c r="EF74" s="121"/>
      <c r="EG74" s="65"/>
      <c r="EH74" s="66"/>
      <c r="EI74" s="83">
        <f>Dicembre25!$P$2</f>
        <v>8</v>
      </c>
      <c r="EJ74" s="84">
        <f>Dicembre25!$P$3</f>
        <v>8</v>
      </c>
      <c r="EK74" s="84">
        <f>Dicembre25!$P$4</f>
        <v>8</v>
      </c>
      <c r="EL74" s="84">
        <f>Dicembre25!$P$5</f>
        <v>8</v>
      </c>
      <c r="EM74" s="84">
        <f>Dicembre25!$P$6</f>
        <v>8</v>
      </c>
      <c r="EN74" s="85" t="str">
        <f>Dicembre25!$P$7</f>
        <v/>
      </c>
      <c r="EO74" s="84" t="str">
        <f>Dicembre25!$P$8</f>
        <v/>
      </c>
      <c r="EP74" s="84" t="str">
        <f>Dicembre25!$P$9</f>
        <v>F</v>
      </c>
      <c r="EQ74" s="84">
        <f>Dicembre25!$P$10</f>
        <v>8</v>
      </c>
      <c r="ER74" s="84">
        <f>Dicembre25!$P$11</f>
        <v>8</v>
      </c>
      <c r="ES74" s="84">
        <f>Dicembre25!$P$12</f>
        <v>8</v>
      </c>
      <c r="ET74" s="85">
        <f>Dicembre25!$P$13</f>
        <v>8</v>
      </c>
      <c r="EU74" s="85" t="str">
        <f>Dicembre25!$P$14</f>
        <v/>
      </c>
      <c r="EV74" s="84" t="str">
        <f>Dicembre25!$P$15</f>
        <v/>
      </c>
      <c r="EW74" s="84">
        <f>Dicembre25!$P$16</f>
        <v>8</v>
      </c>
      <c r="EX74" s="84">
        <f>Dicembre25!$P$17</f>
        <v>8</v>
      </c>
      <c r="EY74" s="84">
        <f>Dicembre25!$P$18</f>
        <v>8</v>
      </c>
      <c r="EZ74" s="84">
        <f>Dicembre25!$P$19</f>
        <v>8</v>
      </c>
      <c r="FA74" s="84">
        <f>Dicembre25!$P$20</f>
        <v>8</v>
      </c>
      <c r="FB74" s="85" t="str">
        <f>Dicembre25!$P$21</f>
        <v/>
      </c>
      <c r="FC74" s="84" t="str">
        <f>Dicembre25!$P$22</f>
        <v/>
      </c>
      <c r="FD74" s="84">
        <f>Dicembre25!$P$23</f>
        <v>8</v>
      </c>
      <c r="FE74" s="84">
        <f>Dicembre25!$P$24</f>
        <v>8</v>
      </c>
      <c r="FF74" s="84">
        <f>Dicembre25!$P$25</f>
        <v>8</v>
      </c>
      <c r="FG74" s="84" t="str">
        <f>Dicembre25!$P$26</f>
        <v>F</v>
      </c>
      <c r="FH74" s="84" t="str">
        <f>Dicembre25!$P$27</f>
        <v>F</v>
      </c>
      <c r="FI74" s="85" t="str">
        <f>Dicembre25!$P$28</f>
        <v/>
      </c>
      <c r="FJ74" s="84" t="str">
        <f>Dicembre25!$P$29</f>
        <v/>
      </c>
      <c r="FK74" s="84">
        <f>Dicembre25!$P$30</f>
        <v>8</v>
      </c>
      <c r="FL74" s="84">
        <f>Dicembre25!$P$31</f>
        <v>8</v>
      </c>
      <c r="FM74" s="86" t="str">
        <f>Dicembre25!$P$32</f>
        <v/>
      </c>
      <c r="FN74" s="78"/>
      <c r="FO74" s="79">
        <f>SUM(EI74:FM74)</f>
        <v>152</v>
      </c>
      <c r="FP74" s="80"/>
      <c r="FQ74" s="78"/>
      <c r="FR74" s="81"/>
      <c r="FS74" s="81"/>
      <c r="FT74" s="81"/>
      <c r="FU74" s="81"/>
      <c r="FV74" s="81"/>
      <c r="FW74" s="81"/>
      <c r="FX74" s="80"/>
      <c r="FY74" s="121"/>
      <c r="FZ74" s="65"/>
      <c r="GA74" s="66"/>
      <c r="GB74" s="83" t="str">
        <f>Gennaio26!$P$2</f>
        <v>F</v>
      </c>
      <c r="GC74" s="84" t="str">
        <f>Gennaio26!$P$3</f>
        <v>FE</v>
      </c>
      <c r="GD74" s="84" t="str">
        <f>Gennaio26!$P$4</f>
        <v/>
      </c>
      <c r="GE74" s="84" t="str">
        <f>Gennaio26!$P$5</f>
        <v/>
      </c>
      <c r="GF74" s="84" t="str">
        <f>Gennaio26!$P$6</f>
        <v>FE</v>
      </c>
      <c r="GG74" s="85" t="str">
        <f>Gennaio26!$P$7</f>
        <v>F</v>
      </c>
      <c r="GH74" s="84">
        <f>Gennaio26!$P$8</f>
        <v>8</v>
      </c>
      <c r="GI74" s="84">
        <f>Gennaio26!$P$9</f>
        <v>8</v>
      </c>
      <c r="GJ74" s="84">
        <f>Gennaio26!$P$10</f>
        <v>8</v>
      </c>
      <c r="GK74" s="84" t="str">
        <f>Gennaio26!$P$11</f>
        <v/>
      </c>
      <c r="GL74" s="84" t="str">
        <f>Gennaio26!$P$12</f>
        <v/>
      </c>
      <c r="GM74" s="85">
        <f>Gennaio26!$P$13</f>
        <v>8</v>
      </c>
      <c r="GN74" s="85">
        <f>Gennaio26!$P$14</f>
        <v>8</v>
      </c>
      <c r="GO74" s="84">
        <f>Gennaio26!$P$15</f>
        <v>8</v>
      </c>
      <c r="GP74" s="84">
        <f>Gennaio26!$P$16</f>
        <v>8</v>
      </c>
      <c r="GQ74" s="84">
        <f>Gennaio26!$P$17</f>
        <v>8</v>
      </c>
      <c r="GR74" s="84" t="str">
        <f>Gennaio26!$P$18</f>
        <v/>
      </c>
      <c r="GS74" s="84" t="str">
        <f>Gennaio26!$P$19</f>
        <v/>
      </c>
      <c r="GT74" s="84">
        <f>Gennaio26!$P$20</f>
        <v>8</v>
      </c>
      <c r="GU74" s="85">
        <f>Gennaio26!$P$21</f>
        <v>8</v>
      </c>
      <c r="GV74" s="84">
        <f>Gennaio26!$P$22</f>
        <v>8</v>
      </c>
      <c r="GW74" s="84">
        <f>Gennaio26!$P$23</f>
        <v>8</v>
      </c>
      <c r="GX74" s="84">
        <f>Gennaio26!$P$24</f>
        <v>8</v>
      </c>
      <c r="GY74" s="84" t="str">
        <f>Gennaio26!$P$25</f>
        <v/>
      </c>
      <c r="GZ74" s="84" t="str">
        <f>Gennaio26!$P$26</f>
        <v/>
      </c>
      <c r="HA74" s="84">
        <f>Gennaio26!$P$27</f>
        <v>8</v>
      </c>
      <c r="HB74" s="85">
        <f>Gennaio26!$P$28</f>
        <v>8</v>
      </c>
      <c r="HC74" s="84">
        <f>Gennaio26!$P$29</f>
        <v>8</v>
      </c>
      <c r="HD74" s="84">
        <f>Gennaio26!$P$30</f>
        <v>8</v>
      </c>
      <c r="HE74" s="84">
        <f>Gennaio26!$P$31</f>
        <v>8</v>
      </c>
      <c r="HF74" s="86" t="str">
        <f>Gennaio26!$P$32</f>
        <v/>
      </c>
      <c r="HG74" s="78"/>
      <c r="HH74" s="79">
        <f>SUM(GB74:HF74)</f>
        <v>144</v>
      </c>
      <c r="HI74" s="80"/>
      <c r="HJ74" s="78"/>
      <c r="HK74" s="81"/>
      <c r="HL74" s="81"/>
      <c r="HM74" s="81"/>
      <c r="HN74" s="81"/>
      <c r="HO74" s="81"/>
      <c r="HP74" s="81"/>
      <c r="HQ74" s="80"/>
      <c r="HR74" s="121"/>
      <c r="HS74" s="65"/>
      <c r="HT74" s="66"/>
      <c r="HU74" s="83" t="str">
        <f>Febbraio26!$P$2</f>
        <v/>
      </c>
      <c r="HV74" s="84">
        <f>Febbraio26!$P$3</f>
        <v>8</v>
      </c>
      <c r="HW74" s="84">
        <f>Febbraio26!$P$4</f>
        <v>8</v>
      </c>
      <c r="HX74" s="84">
        <f>Febbraio26!$P$5</f>
        <v>8</v>
      </c>
      <c r="HY74" s="84">
        <f>Febbraio26!$P$6</f>
        <v>8</v>
      </c>
      <c r="HZ74" s="85">
        <f>Febbraio26!$P$7</f>
        <v>8</v>
      </c>
      <c r="IA74" s="84" t="str">
        <f>Febbraio26!$P$8</f>
        <v/>
      </c>
      <c r="IB74" s="84" t="str">
        <f>Febbraio26!$P$9</f>
        <v/>
      </c>
      <c r="IC74" s="84">
        <f>Febbraio26!$P$10</f>
        <v>8</v>
      </c>
      <c r="ID74" s="84">
        <f>Febbraio26!$P$11</f>
        <v>8</v>
      </c>
      <c r="IE74" s="84">
        <f>Febbraio26!$P$12</f>
        <v>8</v>
      </c>
      <c r="IF74" s="85">
        <f>Febbraio26!$P$13</f>
        <v>8</v>
      </c>
      <c r="IG74" s="85">
        <f>Febbraio26!$P$14</f>
        <v>8</v>
      </c>
      <c r="IH74" s="84" t="str">
        <f>Febbraio26!$P$15</f>
        <v/>
      </c>
      <c r="II74" s="84" t="str">
        <f>Febbraio26!$P$16</f>
        <v/>
      </c>
      <c r="IJ74" s="84">
        <f>Febbraio26!$P$17</f>
        <v>8</v>
      </c>
      <c r="IK74" s="84">
        <f>Febbraio26!$P$18</f>
        <v>8</v>
      </c>
      <c r="IL74" s="84">
        <f>Febbraio26!$P$19</f>
        <v>8</v>
      </c>
      <c r="IM74" s="84">
        <f>Febbraio26!$P$20</f>
        <v>8</v>
      </c>
      <c r="IN74" s="85">
        <f>Febbraio26!$P$21</f>
        <v>8</v>
      </c>
      <c r="IO74" s="84" t="str">
        <f>Febbraio26!$P$22</f>
        <v/>
      </c>
      <c r="IP74" s="84" t="str">
        <f>Febbraio26!$P$23</f>
        <v/>
      </c>
      <c r="IQ74" s="84">
        <f>Febbraio26!$P$24</f>
        <v>8</v>
      </c>
      <c r="IR74" s="84">
        <f>Febbraio26!$P$25</f>
        <v>8</v>
      </c>
      <c r="IS74" s="84">
        <f>Febbraio26!$P$26</f>
        <v>8</v>
      </c>
      <c r="IT74" s="84">
        <f>Febbraio26!$P$27</f>
        <v>8</v>
      </c>
      <c r="IU74" s="85">
        <f>Febbraio26!$P$28</f>
        <v>8</v>
      </c>
      <c r="IV74" s="84" t="str">
        <f>Febbraio26!$P$29</f>
        <v/>
      </c>
      <c r="IW74" s="84" t="str">
        <f>Febbraio26!$P$30</f>
        <v/>
      </c>
      <c r="IX74" s="84" t="str">
        <f>Febbraio26!$P$31</f>
        <v/>
      </c>
      <c r="IY74" s="86" t="str">
        <f>Febbraio26!$P$32</f>
        <v/>
      </c>
      <c r="IZ74" s="78"/>
      <c r="JA74" s="79">
        <f>SUM(HU74:IY74)</f>
        <v>160</v>
      </c>
      <c r="JB74" s="80"/>
      <c r="JC74" s="78"/>
      <c r="JD74" s="81"/>
      <c r="JE74" s="81"/>
      <c r="JF74" s="81"/>
      <c r="JG74" s="81"/>
      <c r="JH74" s="81"/>
      <c r="JI74" s="81"/>
      <c r="JJ74" s="80"/>
      <c r="JK74" s="121"/>
      <c r="JL74" s="65"/>
      <c r="JM74" s="66"/>
      <c r="JN74" s="83" t="str">
        <f>Marzo26!$P$2</f>
        <v/>
      </c>
      <c r="JO74" s="84">
        <f>Marzo26!$P$3</f>
        <v>8</v>
      </c>
      <c r="JP74" s="84">
        <f>Marzo26!$P$4</f>
        <v>8</v>
      </c>
      <c r="JQ74" s="84">
        <f>Marzo26!$P$5</f>
        <v>8</v>
      </c>
      <c r="JR74" s="84">
        <f>Marzo26!$P$6</f>
        <v>8</v>
      </c>
      <c r="JS74" s="85">
        <f>Marzo26!$P$7</f>
        <v>8</v>
      </c>
      <c r="JT74" s="84" t="str">
        <f>Marzo26!$P$8</f>
        <v/>
      </c>
      <c r="JU74" s="84" t="str">
        <f>Marzo26!$P$9</f>
        <v/>
      </c>
      <c r="JV74" s="84">
        <f>Marzo26!$P$10</f>
        <v>8</v>
      </c>
      <c r="JW74" s="84">
        <f>Marzo26!$P$11</f>
        <v>8</v>
      </c>
      <c r="JX74" s="84">
        <f>Marzo26!$P$12</f>
        <v>8</v>
      </c>
      <c r="JY74" s="85">
        <f>Marzo26!$P$13</f>
        <v>8</v>
      </c>
      <c r="JZ74" s="85">
        <f>Marzo26!$P$14</f>
        <v>8</v>
      </c>
      <c r="KA74" s="84" t="str">
        <f>Marzo26!$P$15</f>
        <v/>
      </c>
      <c r="KB74" s="84" t="str">
        <f>Marzo26!$P$16</f>
        <v/>
      </c>
      <c r="KC74" s="84">
        <f>Marzo26!$P$17</f>
        <v>8</v>
      </c>
      <c r="KD74" s="84">
        <f>Marzo26!$P$18</f>
        <v>8</v>
      </c>
      <c r="KE74" s="84">
        <f>Marzo26!$P$19</f>
        <v>8</v>
      </c>
      <c r="KF74" s="84">
        <f>Marzo26!$P$20</f>
        <v>8</v>
      </c>
      <c r="KG74" s="85">
        <f>Marzo26!$P$21</f>
        <v>8</v>
      </c>
      <c r="KH74" s="84" t="str">
        <f>Marzo26!$P$22</f>
        <v/>
      </c>
      <c r="KI74" s="84" t="str">
        <f>Marzo26!$P$23</f>
        <v/>
      </c>
      <c r="KJ74" s="84">
        <f>Marzo26!$P$24</f>
        <v>8</v>
      </c>
      <c r="KK74" s="84">
        <f>Marzo26!$P$25</f>
        <v>8</v>
      </c>
      <c r="KL74" s="84">
        <f>Marzo26!$P$26</f>
        <v>8</v>
      </c>
      <c r="KM74" s="84">
        <f>Marzo26!$P$27</f>
        <v>8</v>
      </c>
      <c r="KN74" s="85">
        <f>Marzo26!$P$28</f>
        <v>8</v>
      </c>
      <c r="KO74" s="84" t="str">
        <f>Marzo26!$P$29</f>
        <v/>
      </c>
      <c r="KP74" s="84" t="str">
        <f>Marzo26!$P$30</f>
        <v/>
      </c>
      <c r="KQ74" s="84">
        <f>Marzo26!$P$31</f>
        <v>8</v>
      </c>
      <c r="KR74" s="86">
        <f>Marzo26!$P$32</f>
        <v>8</v>
      </c>
      <c r="KS74" s="78"/>
      <c r="KT74" s="79">
        <f>SUM(JN74:KR74)</f>
        <v>176</v>
      </c>
      <c r="KU74" s="80"/>
      <c r="KV74" s="78"/>
      <c r="KW74" s="81"/>
      <c r="KX74" s="81"/>
      <c r="KY74" s="81"/>
      <c r="KZ74" s="81"/>
      <c r="LA74" s="81"/>
      <c r="LB74" s="81"/>
      <c r="LC74" s="80"/>
      <c r="LD74" s="121"/>
      <c r="LE74" s="65"/>
      <c r="LF74" s="66"/>
      <c r="LG74" s="83" t="str">
        <f>Aprile26!$P$2</f>
        <v/>
      </c>
      <c r="LH74" s="84" t="str">
        <f>Aprile26!$P$3</f>
        <v/>
      </c>
      <c r="LI74" s="84" t="str">
        <f>Aprile26!$P$4</f>
        <v/>
      </c>
      <c r="LJ74" s="84" t="str">
        <f>Aprile26!$P$5</f>
        <v/>
      </c>
      <c r="LK74" s="84" t="str">
        <f>Aprile26!$P$6</f>
        <v/>
      </c>
      <c r="LL74" s="85" t="str">
        <f>Aprile26!$P$7</f>
        <v/>
      </c>
      <c r="LM74" s="84" t="str">
        <f>Aprile26!$P$8</f>
        <v/>
      </c>
      <c r="LN74" s="84" t="str">
        <f>Aprile26!$P$9</f>
        <v/>
      </c>
      <c r="LO74" s="84" t="str">
        <f>Aprile26!$P$10</f>
        <v/>
      </c>
      <c r="LP74" s="84" t="str">
        <f>Aprile26!$P$11</f>
        <v/>
      </c>
      <c r="LQ74" s="84" t="str">
        <f>Aprile26!$P$12</f>
        <v/>
      </c>
      <c r="LR74" s="85" t="str">
        <f>Aprile26!$P$13</f>
        <v/>
      </c>
      <c r="LS74" s="85" t="str">
        <f>Aprile26!$P$14</f>
        <v/>
      </c>
      <c r="LT74" s="84" t="str">
        <f>Aprile26!$P$15</f>
        <v/>
      </c>
      <c r="LU74" s="84" t="str">
        <f>Aprile26!$P$16</f>
        <v/>
      </c>
      <c r="LV74" s="84" t="str">
        <f>Aprile26!$P$17</f>
        <v/>
      </c>
      <c r="LW74" s="84" t="str">
        <f>Aprile26!$P$18</f>
        <v/>
      </c>
      <c r="LX74" s="84" t="str">
        <f>Aprile26!$P$19</f>
        <v/>
      </c>
      <c r="LY74" s="84" t="str">
        <f>Aprile26!$P$20</f>
        <v/>
      </c>
      <c r="LZ74" s="85" t="str">
        <f>Aprile26!$P$21</f>
        <v/>
      </c>
      <c r="MA74" s="84" t="str">
        <f>Aprile26!$P$22</f>
        <v/>
      </c>
      <c r="MB74" s="84" t="str">
        <f>Aprile26!$P$23</f>
        <v/>
      </c>
      <c r="MC74" s="84" t="str">
        <f>Aprile26!$P$24</f>
        <v/>
      </c>
      <c r="MD74" s="84" t="str">
        <f>Aprile26!$P$25</f>
        <v/>
      </c>
      <c r="ME74" s="84" t="str">
        <f>Aprile26!$P$26</f>
        <v/>
      </c>
      <c r="MF74" s="84" t="str">
        <f>Aprile26!$P$27</f>
        <v/>
      </c>
      <c r="MG74" s="85" t="str">
        <f>Aprile26!$P$28</f>
        <v/>
      </c>
      <c r="MH74" s="84" t="str">
        <f>Aprile26!$P$29</f>
        <v/>
      </c>
      <c r="MI74" s="84" t="str">
        <f>Aprile26!$P$30</f>
        <v/>
      </c>
      <c r="MJ74" s="84" t="str">
        <f>Aprile26!$P$31</f>
        <v/>
      </c>
      <c r="MK74" s="86" t="str">
        <f>Aprile26!$P$32</f>
        <v/>
      </c>
      <c r="ML74" s="78"/>
      <c r="MM74" s="79">
        <f>SUM(LG74:MK74)</f>
        <v>0</v>
      </c>
      <c r="MN74" s="80"/>
      <c r="MO74" s="78"/>
      <c r="MP74" s="81"/>
      <c r="MQ74" s="81"/>
      <c r="MR74" s="81"/>
      <c r="MS74" s="81"/>
      <c r="MT74" s="81"/>
      <c r="MU74" s="81"/>
      <c r="MV74" s="82"/>
      <c r="MW74" s="121"/>
      <c r="MX74" s="65"/>
      <c r="MY74" s="66"/>
      <c r="MZ74" s="83" t="str">
        <f>Maggio26!$P$2</f>
        <v/>
      </c>
      <c r="NA74" s="84" t="str">
        <f>Maggio26!$P$3</f>
        <v/>
      </c>
      <c r="NB74" s="84" t="str">
        <f>Maggio26!$P$4</f>
        <v/>
      </c>
      <c r="NC74" s="84" t="str">
        <f>Maggio26!$P$5</f>
        <v/>
      </c>
      <c r="ND74" s="84" t="str">
        <f>Maggio26!$P$6</f>
        <v/>
      </c>
      <c r="NE74" s="85" t="str">
        <f>Maggio26!$P$7</f>
        <v/>
      </c>
      <c r="NF74" s="84" t="str">
        <f>Maggio26!$P$8</f>
        <v/>
      </c>
      <c r="NG74" s="84" t="str">
        <f>Maggio26!$P$9</f>
        <v/>
      </c>
      <c r="NH74" s="84" t="str">
        <f>Maggio26!$P$10</f>
        <v/>
      </c>
      <c r="NI74" s="84" t="str">
        <f>Maggio26!$P$11</f>
        <v/>
      </c>
      <c r="NJ74" s="84" t="str">
        <f>Maggio26!$P$12</f>
        <v/>
      </c>
      <c r="NK74" s="85" t="str">
        <f>Maggio26!$P$13</f>
        <v/>
      </c>
      <c r="NL74" s="85" t="str">
        <f>Maggio26!$P$14</f>
        <v/>
      </c>
      <c r="NM74" s="84" t="str">
        <f>Maggio26!$P$15</f>
        <v/>
      </c>
      <c r="NN74" s="84" t="str">
        <f>Maggio26!$P$16</f>
        <v/>
      </c>
      <c r="NO74" s="84" t="str">
        <f>Maggio26!$P$17</f>
        <v/>
      </c>
      <c r="NP74" s="84" t="str">
        <f>Maggio26!$P$18</f>
        <v/>
      </c>
      <c r="NQ74" s="84" t="str">
        <f>Maggio26!$P$19</f>
        <v/>
      </c>
      <c r="NR74" s="84" t="str">
        <f>Maggio26!$P$20</f>
        <v/>
      </c>
      <c r="NS74" s="85" t="str">
        <f>Maggio26!$P$21</f>
        <v/>
      </c>
      <c r="NT74" s="84" t="str">
        <f>Maggio26!$P$22</f>
        <v/>
      </c>
      <c r="NU74" s="84" t="str">
        <f>Maggio26!$P$23</f>
        <v/>
      </c>
      <c r="NV74" s="84" t="str">
        <f>Maggio26!$P$24</f>
        <v/>
      </c>
      <c r="NW74" s="84" t="str">
        <f>Maggio26!$P$25</f>
        <v/>
      </c>
      <c r="NX74" s="84" t="str">
        <f>Maggio26!$P$26</f>
        <v/>
      </c>
      <c r="NY74" s="84" t="str">
        <f>Maggio26!$P$27</f>
        <v/>
      </c>
      <c r="NZ74" s="85" t="str">
        <f>Maggio26!$P$28</f>
        <v/>
      </c>
      <c r="OA74" s="84" t="str">
        <f>Maggio26!$P$29</f>
        <v/>
      </c>
      <c r="OB74" s="84" t="str">
        <f>Maggio26!$P$30</f>
        <v/>
      </c>
      <c r="OC74" s="84" t="str">
        <f>Maggio26!$P$31</f>
        <v/>
      </c>
      <c r="OD74" s="86" t="str">
        <f>Maggio26!$P$32</f>
        <v/>
      </c>
      <c r="OE74" s="78"/>
      <c r="OF74" s="79">
        <f>SUM(MZ74:OD74)</f>
        <v>0</v>
      </c>
      <c r="OG74" s="80"/>
      <c r="OH74" s="78"/>
      <c r="OI74" s="81"/>
      <c r="OJ74" s="81"/>
      <c r="OK74" s="81"/>
      <c r="OL74" s="81"/>
      <c r="OM74" s="81"/>
      <c r="ON74" s="81"/>
      <c r="OO74" s="82"/>
      <c r="OP74" s="121"/>
      <c r="OQ74" s="65"/>
      <c r="OR74" s="66"/>
      <c r="OS74" s="83" t="str">
        <f>Giugno26!$P$2</f>
        <v/>
      </c>
      <c r="OT74" s="84" t="str">
        <f>Giugno26!$P$3</f>
        <v/>
      </c>
      <c r="OU74" s="84" t="str">
        <f>Giugno26!$P$4</f>
        <v/>
      </c>
      <c r="OV74" s="84" t="str">
        <f>Giugno26!$P$5</f>
        <v/>
      </c>
      <c r="OW74" s="84" t="str">
        <f>Giugno26!$P$6</f>
        <v/>
      </c>
      <c r="OX74" s="85" t="str">
        <f>Giugno26!$P$7</f>
        <v/>
      </c>
      <c r="OY74" s="84" t="str">
        <f>Giugno26!$P$8</f>
        <v/>
      </c>
      <c r="OZ74" s="84" t="str">
        <f>Giugno26!$P$9</f>
        <v/>
      </c>
      <c r="PA74" s="84" t="str">
        <f>Giugno26!$P$10</f>
        <v/>
      </c>
      <c r="PB74" s="84" t="str">
        <f>Giugno26!$P$11</f>
        <v/>
      </c>
      <c r="PC74" s="84" t="str">
        <f>Giugno26!$P$12</f>
        <v/>
      </c>
      <c r="PD74" s="85" t="str">
        <f>Giugno26!$P$13</f>
        <v/>
      </c>
      <c r="PE74" s="85" t="str">
        <f>Giugno26!$P$14</f>
        <v/>
      </c>
      <c r="PF74" s="84" t="str">
        <f>Giugno26!$P$15</f>
        <v/>
      </c>
      <c r="PG74" s="84" t="str">
        <f>Giugno26!$P$16</f>
        <v/>
      </c>
      <c r="PH74" s="84" t="str">
        <f>Giugno26!$P$17</f>
        <v/>
      </c>
      <c r="PI74" s="84" t="str">
        <f>Giugno26!$P$18</f>
        <v/>
      </c>
      <c r="PJ74" s="84" t="str">
        <f>Giugno26!$P$19</f>
        <v/>
      </c>
      <c r="PK74" s="84" t="str">
        <f>Giugno26!$P$20</f>
        <v/>
      </c>
      <c r="PL74" s="85" t="str">
        <f>Giugno26!$P$21</f>
        <v/>
      </c>
      <c r="PM74" s="84" t="str">
        <f>Giugno26!$P$22</f>
        <v/>
      </c>
      <c r="PN74" s="84" t="str">
        <f>Giugno26!$P$23</f>
        <v/>
      </c>
      <c r="PO74" s="84" t="str">
        <f>Giugno26!$P$24</f>
        <v/>
      </c>
      <c r="PP74" s="84" t="str">
        <f>Giugno26!$P$25</f>
        <v/>
      </c>
      <c r="PQ74" s="84" t="str">
        <f>Giugno26!$P$26</f>
        <v/>
      </c>
      <c r="PR74" s="84" t="str">
        <f>Giugno26!$P$27</f>
        <v/>
      </c>
      <c r="PS74" s="85" t="str">
        <f>Giugno26!$P$28</f>
        <v/>
      </c>
      <c r="PT74" s="84" t="str">
        <f>Giugno26!$P$29</f>
        <v/>
      </c>
      <c r="PU74" s="84" t="str">
        <f>Giugno26!$P$30</f>
        <v/>
      </c>
      <c r="PV74" s="84" t="str">
        <f>Giugno26!$P$31</f>
        <v/>
      </c>
      <c r="PW74" s="86" t="str">
        <f>Giugno26!$P$32</f>
        <v/>
      </c>
      <c r="PX74" s="78"/>
      <c r="PY74" s="79">
        <f>SUM(OS74:PW74)</f>
        <v>0</v>
      </c>
      <c r="PZ74" s="80"/>
      <c r="QA74" s="78"/>
      <c r="QB74" s="81"/>
      <c r="QC74" s="81"/>
      <c r="QD74" s="81"/>
      <c r="QE74" s="81"/>
      <c r="QF74" s="81"/>
      <c r="QG74" s="81"/>
      <c r="QH74" s="82"/>
      <c r="QI74" s="121"/>
      <c r="QJ74" s="65"/>
      <c r="QK74" s="66"/>
      <c r="QL74" s="83" t="str">
        <f>Luglio26!$P$2</f>
        <v/>
      </c>
      <c r="QM74" s="84" t="str">
        <f>Luglio26!$P$3</f>
        <v/>
      </c>
      <c r="QN74" s="84" t="str">
        <f>Luglio26!$P$4</f>
        <v/>
      </c>
      <c r="QO74" s="84" t="str">
        <f>Luglio26!$P$5</f>
        <v/>
      </c>
      <c r="QP74" s="84" t="str">
        <f>Luglio26!$P$6</f>
        <v/>
      </c>
      <c r="QQ74" s="85" t="str">
        <f>Luglio26!$P$7</f>
        <v/>
      </c>
      <c r="QR74" s="84" t="str">
        <f>Luglio26!$P$8</f>
        <v/>
      </c>
      <c r="QS74" s="84" t="str">
        <f>Luglio26!$P$9</f>
        <v/>
      </c>
      <c r="QT74" s="84" t="str">
        <f>Luglio26!$P$10</f>
        <v/>
      </c>
      <c r="QU74" s="84" t="str">
        <f>Luglio26!$P$11</f>
        <v/>
      </c>
      <c r="QV74" s="84" t="str">
        <f>Luglio26!$P$12</f>
        <v/>
      </c>
      <c r="QW74" s="85" t="str">
        <f>Luglio26!$P$13</f>
        <v/>
      </c>
      <c r="QX74" s="85" t="str">
        <f>Luglio26!$P$14</f>
        <v/>
      </c>
      <c r="QY74" s="84" t="str">
        <f>Luglio26!$P$15</f>
        <v/>
      </c>
      <c r="QZ74" s="84" t="str">
        <f>Luglio26!$P$16</f>
        <v/>
      </c>
      <c r="RA74" s="84" t="str">
        <f>Luglio26!$P$17</f>
        <v/>
      </c>
      <c r="RB74" s="84" t="str">
        <f>Luglio26!$P$18</f>
        <v/>
      </c>
      <c r="RC74" s="84" t="str">
        <f>Luglio26!$P$19</f>
        <v/>
      </c>
      <c r="RD74" s="84" t="str">
        <f>Luglio26!$P$20</f>
        <v/>
      </c>
      <c r="RE74" s="85" t="str">
        <f>Luglio26!$P$21</f>
        <v/>
      </c>
      <c r="RF74" s="84" t="str">
        <f>Luglio26!$P$22</f>
        <v/>
      </c>
      <c r="RG74" s="84" t="str">
        <f>Luglio26!$P$23</f>
        <v/>
      </c>
      <c r="RH74" s="84" t="str">
        <f>Luglio26!$P$24</f>
        <v/>
      </c>
      <c r="RI74" s="84" t="str">
        <f>Luglio26!$P$25</f>
        <v/>
      </c>
      <c r="RJ74" s="84" t="str">
        <f>Luglio26!$P$26</f>
        <v/>
      </c>
      <c r="RK74" s="84" t="str">
        <f>Luglio26!$P$27</f>
        <v/>
      </c>
      <c r="RL74" s="85" t="str">
        <f>Luglio26!$P$28</f>
        <v/>
      </c>
      <c r="RM74" s="84" t="str">
        <f>Luglio26!$P$29</f>
        <v/>
      </c>
      <c r="RN74" s="84" t="str">
        <f>Luglio26!$P$30</f>
        <v/>
      </c>
      <c r="RO74" s="84" t="str">
        <f>Luglio26!$P$31</f>
        <v/>
      </c>
      <c r="RP74" s="86" t="str">
        <f>Luglio26!$P$32</f>
        <v/>
      </c>
      <c r="RQ74" s="78"/>
      <c r="RR74" s="79">
        <f>SUM(QL74:RP74)</f>
        <v>0</v>
      </c>
      <c r="RS74" s="80"/>
      <c r="RT74" s="78"/>
      <c r="RU74" s="81"/>
      <c r="RV74" s="81"/>
      <c r="RW74" s="81"/>
      <c r="RX74" s="81"/>
      <c r="RY74" s="81"/>
      <c r="RZ74" s="81"/>
      <c r="SA74" s="82"/>
      <c r="SB74" s="121"/>
      <c r="SC74" s="65"/>
      <c r="SD74" s="66"/>
      <c r="SE74" s="83" t="str">
        <f>Agosto26!$P$2</f>
        <v/>
      </c>
      <c r="SF74" s="84" t="str">
        <f>Agosto26!$P$3</f>
        <v/>
      </c>
      <c r="SG74" s="84" t="str">
        <f>Agosto26!$P$4</f>
        <v/>
      </c>
      <c r="SH74" s="84" t="str">
        <f>Agosto26!$P$5</f>
        <v/>
      </c>
      <c r="SI74" s="84" t="str">
        <f>Agosto26!$P$6</f>
        <v/>
      </c>
      <c r="SJ74" s="85" t="str">
        <f>Agosto26!$P$7</f>
        <v/>
      </c>
      <c r="SK74" s="84" t="str">
        <f>Agosto26!$P$8</f>
        <v/>
      </c>
      <c r="SL74" s="84" t="str">
        <f>Agosto26!$P$9</f>
        <v/>
      </c>
      <c r="SM74" s="84" t="str">
        <f>Agosto26!$P$10</f>
        <v/>
      </c>
      <c r="SN74" s="84" t="str">
        <f>Agosto26!$P$11</f>
        <v/>
      </c>
      <c r="SO74" s="84" t="str">
        <f>Agosto26!$P$12</f>
        <v/>
      </c>
      <c r="SP74" s="85" t="str">
        <f>Agosto26!$P$13</f>
        <v/>
      </c>
      <c r="SQ74" s="85" t="str">
        <f>Agosto26!$P$14</f>
        <v/>
      </c>
      <c r="SR74" s="84" t="str">
        <f>Agosto26!$P$15</f>
        <v/>
      </c>
      <c r="SS74" s="84" t="str">
        <f>Agosto26!$P$16</f>
        <v/>
      </c>
      <c r="ST74" s="84" t="str">
        <f>Agosto26!$P$17</f>
        <v/>
      </c>
      <c r="SU74" s="84" t="str">
        <f>Agosto26!$P$18</f>
        <v/>
      </c>
      <c r="SV74" s="84" t="str">
        <f>Agosto26!$P$19</f>
        <v/>
      </c>
      <c r="SW74" s="84" t="str">
        <f>Agosto26!$P$20</f>
        <v/>
      </c>
      <c r="SX74" s="85" t="str">
        <f>Agosto26!$P$21</f>
        <v/>
      </c>
      <c r="SY74" s="84" t="str">
        <f>Agosto26!$P$22</f>
        <v/>
      </c>
      <c r="SZ74" s="84" t="str">
        <f>Agosto26!$P$23</f>
        <v/>
      </c>
      <c r="TA74" s="84" t="str">
        <f>Agosto26!$P$24</f>
        <v/>
      </c>
      <c r="TB74" s="84" t="str">
        <f>Agosto26!$P$25</f>
        <v/>
      </c>
      <c r="TC74" s="84" t="str">
        <f>Agosto26!$P$26</f>
        <v/>
      </c>
      <c r="TD74" s="84" t="str">
        <f>Agosto26!$P$27</f>
        <v/>
      </c>
      <c r="TE74" s="85" t="str">
        <f>Agosto26!$P$28</f>
        <v/>
      </c>
      <c r="TF74" s="84" t="str">
        <f>Agosto26!$P$29</f>
        <v/>
      </c>
      <c r="TG74" s="84" t="str">
        <f>Agosto26!$P$30</f>
        <v/>
      </c>
      <c r="TH74" s="84" t="str">
        <f>Agosto26!$P$31</f>
        <v/>
      </c>
      <c r="TI74" s="86" t="str">
        <f>Agosto26!$P$32</f>
        <v/>
      </c>
      <c r="TJ74" s="78"/>
      <c r="TK74" s="79">
        <f>SUM(SE74:TI74)</f>
        <v>0</v>
      </c>
      <c r="TL74" s="80"/>
      <c r="TM74" s="78"/>
      <c r="TN74" s="81"/>
      <c r="TO74" s="81"/>
      <c r="TP74" s="81"/>
      <c r="TQ74" s="81"/>
      <c r="TR74" s="81"/>
      <c r="TS74" s="81"/>
      <c r="TT74" s="80"/>
    </row>
    <row r="75" ht="24.75" customHeight="1">
      <c r="A75" s="91" t="s">
        <v>39</v>
      </c>
      <c r="B75" s="65"/>
      <c r="C75" s="66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118"/>
      <c r="AI75" s="78"/>
      <c r="AJ75" s="81"/>
      <c r="AK75" s="94">
        <f>SUM(D75:AG75)</f>
        <v>0</v>
      </c>
      <c r="AL75" s="78"/>
      <c r="AM75" s="81"/>
      <c r="AN75" s="81"/>
      <c r="AO75" s="81"/>
      <c r="AP75" s="81"/>
      <c r="AQ75" s="81"/>
      <c r="AR75" s="81"/>
      <c r="AS75" s="82"/>
      <c r="AT75" s="91" t="s">
        <v>39</v>
      </c>
      <c r="AU75" s="65"/>
      <c r="AV75" s="66"/>
      <c r="AW75" s="92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119"/>
      <c r="CB75" s="78"/>
      <c r="CC75" s="81"/>
      <c r="CD75" s="94">
        <f>SUM(AW75:BZ75)</f>
        <v>0</v>
      </c>
      <c r="CE75" s="78"/>
      <c r="CF75" s="81"/>
      <c r="CG75" s="81"/>
      <c r="CH75" s="81"/>
      <c r="CI75" s="81"/>
      <c r="CJ75" s="81"/>
      <c r="CK75" s="81"/>
      <c r="CL75" s="82"/>
      <c r="CM75" s="91" t="s">
        <v>39</v>
      </c>
      <c r="CN75" s="65"/>
      <c r="CO75" s="66"/>
      <c r="CP75" s="92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119"/>
      <c r="DU75" s="78"/>
      <c r="DV75" s="81"/>
      <c r="DW75" s="94">
        <f>SUM(CP75:DS75)</f>
        <v>0</v>
      </c>
      <c r="DX75" s="78"/>
      <c r="DY75" s="81"/>
      <c r="DZ75" s="81"/>
      <c r="EA75" s="81"/>
      <c r="EB75" s="81"/>
      <c r="EC75" s="81"/>
      <c r="ED75" s="81"/>
      <c r="EE75" s="80"/>
      <c r="EF75" s="91" t="s">
        <v>39</v>
      </c>
      <c r="EG75" s="65"/>
      <c r="EH75" s="66"/>
      <c r="EI75" s="92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119"/>
      <c r="FN75" s="78"/>
      <c r="FO75" s="81"/>
      <c r="FP75" s="94">
        <f>SUM(EI75:FL75)</f>
        <v>0</v>
      </c>
      <c r="FQ75" s="78"/>
      <c r="FR75" s="81"/>
      <c r="FS75" s="81"/>
      <c r="FT75" s="81"/>
      <c r="FU75" s="81"/>
      <c r="FV75" s="81"/>
      <c r="FW75" s="81"/>
      <c r="FX75" s="80"/>
      <c r="FY75" s="91" t="s">
        <v>39</v>
      </c>
      <c r="FZ75" s="65"/>
      <c r="GA75" s="66"/>
      <c r="GB75" s="92"/>
      <c r="GC75" s="85"/>
      <c r="GD75" s="85"/>
      <c r="GE75" s="85"/>
      <c r="GF75" s="85"/>
      <c r="GG75" s="85"/>
      <c r="GH75" s="85"/>
      <c r="GI75" s="85"/>
      <c r="GJ75" s="85"/>
      <c r="GK75" s="85"/>
      <c r="GL75" s="85"/>
      <c r="GM75" s="85"/>
      <c r="GN75" s="85"/>
      <c r="GO75" s="85"/>
      <c r="GP75" s="85"/>
      <c r="GQ75" s="85"/>
      <c r="GR75" s="85"/>
      <c r="GS75" s="85"/>
      <c r="GT75" s="85"/>
      <c r="GU75" s="85"/>
      <c r="GV75" s="85"/>
      <c r="GW75" s="85"/>
      <c r="GX75" s="85"/>
      <c r="GY75" s="85"/>
      <c r="GZ75" s="85"/>
      <c r="HA75" s="85"/>
      <c r="HB75" s="85"/>
      <c r="HC75" s="85"/>
      <c r="HD75" s="85"/>
      <c r="HE75" s="85"/>
      <c r="HF75" s="119"/>
      <c r="HG75" s="78"/>
      <c r="HH75" s="81"/>
      <c r="HI75" s="94">
        <f>SUM(GB75:HE75)</f>
        <v>0</v>
      </c>
      <c r="HJ75" s="78"/>
      <c r="HK75" s="81"/>
      <c r="HL75" s="81"/>
      <c r="HM75" s="81"/>
      <c r="HN75" s="81"/>
      <c r="HO75" s="81"/>
      <c r="HP75" s="81"/>
      <c r="HQ75" s="80"/>
      <c r="HR75" s="91" t="s">
        <v>39</v>
      </c>
      <c r="HS75" s="65"/>
      <c r="HT75" s="66"/>
      <c r="HU75" s="92"/>
      <c r="HV75" s="85"/>
      <c r="HW75" s="85"/>
      <c r="HX75" s="85"/>
      <c r="HY75" s="85"/>
      <c r="HZ75" s="85"/>
      <c r="IA75" s="85"/>
      <c r="IB75" s="85"/>
      <c r="IC75" s="85"/>
      <c r="ID75" s="85"/>
      <c r="IE75" s="85"/>
      <c r="IF75" s="85"/>
      <c r="IG75" s="85"/>
      <c r="IH75" s="85"/>
      <c r="II75" s="85"/>
      <c r="IJ75" s="85"/>
      <c r="IK75" s="85"/>
      <c r="IL75" s="85"/>
      <c r="IM75" s="85"/>
      <c r="IN75" s="85"/>
      <c r="IO75" s="85"/>
      <c r="IP75" s="85"/>
      <c r="IQ75" s="85"/>
      <c r="IR75" s="85"/>
      <c r="IS75" s="85"/>
      <c r="IT75" s="85"/>
      <c r="IU75" s="85"/>
      <c r="IV75" s="85"/>
      <c r="IW75" s="85"/>
      <c r="IX75" s="85"/>
      <c r="IY75" s="119"/>
      <c r="IZ75" s="78"/>
      <c r="JA75" s="81"/>
      <c r="JB75" s="94">
        <f>SUM(HU75:IX75)</f>
        <v>0</v>
      </c>
      <c r="JC75" s="78"/>
      <c r="JD75" s="81"/>
      <c r="JE75" s="81"/>
      <c r="JF75" s="81"/>
      <c r="JG75" s="81"/>
      <c r="JH75" s="81"/>
      <c r="JI75" s="81"/>
      <c r="JJ75" s="80"/>
      <c r="JK75" s="91" t="s">
        <v>39</v>
      </c>
      <c r="JL75" s="65"/>
      <c r="JM75" s="66"/>
      <c r="JN75" s="92"/>
      <c r="JO75" s="85"/>
      <c r="JP75" s="85"/>
      <c r="JQ75" s="85"/>
      <c r="JR75" s="85"/>
      <c r="JS75" s="85"/>
      <c r="JT75" s="85"/>
      <c r="JU75" s="85"/>
      <c r="JV75" s="85"/>
      <c r="JW75" s="85"/>
      <c r="JX75" s="85"/>
      <c r="JY75" s="85"/>
      <c r="JZ75" s="85"/>
      <c r="KA75" s="85"/>
      <c r="KB75" s="85"/>
      <c r="KC75" s="85"/>
      <c r="KD75" s="85"/>
      <c r="KE75" s="85"/>
      <c r="KF75" s="85"/>
      <c r="KG75" s="85"/>
      <c r="KH75" s="85"/>
      <c r="KI75" s="85"/>
      <c r="KJ75" s="85"/>
      <c r="KK75" s="85"/>
      <c r="KL75" s="85"/>
      <c r="KM75" s="85"/>
      <c r="KN75" s="85"/>
      <c r="KO75" s="85"/>
      <c r="KP75" s="85"/>
      <c r="KQ75" s="85"/>
      <c r="KR75" s="119"/>
      <c r="KS75" s="78"/>
      <c r="KT75" s="81"/>
      <c r="KU75" s="94">
        <f>SUM(JN75:KQ75)</f>
        <v>0</v>
      </c>
      <c r="KV75" s="78"/>
      <c r="KW75" s="81"/>
      <c r="KX75" s="81"/>
      <c r="KY75" s="81"/>
      <c r="KZ75" s="81"/>
      <c r="LA75" s="81"/>
      <c r="LB75" s="81"/>
      <c r="LC75" s="80"/>
      <c r="LD75" s="91" t="s">
        <v>39</v>
      </c>
      <c r="LE75" s="65"/>
      <c r="LF75" s="66"/>
      <c r="LG75" s="92"/>
      <c r="LH75" s="85"/>
      <c r="LI75" s="85"/>
      <c r="LJ75" s="85"/>
      <c r="LK75" s="85"/>
      <c r="LL75" s="85"/>
      <c r="LM75" s="85"/>
      <c r="LN75" s="85"/>
      <c r="LO75" s="85"/>
      <c r="LP75" s="85"/>
      <c r="LQ75" s="85"/>
      <c r="LR75" s="85"/>
      <c r="LS75" s="85"/>
      <c r="LT75" s="85"/>
      <c r="LU75" s="85"/>
      <c r="LV75" s="85"/>
      <c r="LW75" s="85"/>
      <c r="LX75" s="85"/>
      <c r="LY75" s="85"/>
      <c r="LZ75" s="85"/>
      <c r="MA75" s="85"/>
      <c r="MB75" s="85"/>
      <c r="MC75" s="85"/>
      <c r="MD75" s="85"/>
      <c r="ME75" s="85"/>
      <c r="MF75" s="85"/>
      <c r="MG75" s="85"/>
      <c r="MH75" s="85"/>
      <c r="MI75" s="85"/>
      <c r="MJ75" s="85"/>
      <c r="MK75" s="119"/>
      <c r="ML75" s="78"/>
      <c r="MM75" s="81"/>
      <c r="MN75" s="94">
        <f>SUM(LG75:MJ75)</f>
        <v>0</v>
      </c>
      <c r="MO75" s="78"/>
      <c r="MP75" s="81"/>
      <c r="MQ75" s="81"/>
      <c r="MR75" s="81"/>
      <c r="MS75" s="81"/>
      <c r="MT75" s="81"/>
      <c r="MU75" s="81"/>
      <c r="MV75" s="82"/>
      <c r="MW75" s="91" t="s">
        <v>39</v>
      </c>
      <c r="MX75" s="65"/>
      <c r="MY75" s="66"/>
      <c r="MZ75" s="92"/>
      <c r="NA75" s="85"/>
      <c r="NB75" s="85"/>
      <c r="NC75" s="85"/>
      <c r="ND75" s="85"/>
      <c r="NE75" s="85"/>
      <c r="NF75" s="85"/>
      <c r="NG75" s="85"/>
      <c r="NH75" s="85"/>
      <c r="NI75" s="85"/>
      <c r="NJ75" s="85"/>
      <c r="NK75" s="85"/>
      <c r="NL75" s="85"/>
      <c r="NM75" s="85"/>
      <c r="NN75" s="85"/>
      <c r="NO75" s="85"/>
      <c r="NP75" s="85"/>
      <c r="NQ75" s="85"/>
      <c r="NR75" s="85"/>
      <c r="NS75" s="85"/>
      <c r="NT75" s="85"/>
      <c r="NU75" s="85"/>
      <c r="NV75" s="85"/>
      <c r="NW75" s="85"/>
      <c r="NX75" s="85"/>
      <c r="NY75" s="85"/>
      <c r="NZ75" s="85"/>
      <c r="OA75" s="85"/>
      <c r="OB75" s="85"/>
      <c r="OC75" s="85"/>
      <c r="OD75" s="119"/>
      <c r="OE75" s="78"/>
      <c r="OF75" s="81"/>
      <c r="OG75" s="94">
        <f>SUM(MZ75:OC75)</f>
        <v>0</v>
      </c>
      <c r="OH75" s="78"/>
      <c r="OI75" s="81"/>
      <c r="OJ75" s="81"/>
      <c r="OK75" s="81"/>
      <c r="OL75" s="81"/>
      <c r="OM75" s="81"/>
      <c r="ON75" s="81"/>
      <c r="OO75" s="82"/>
      <c r="OP75" s="91" t="s">
        <v>39</v>
      </c>
      <c r="OQ75" s="65"/>
      <c r="OR75" s="66"/>
      <c r="OS75" s="92"/>
      <c r="OT75" s="85"/>
      <c r="OU75" s="85"/>
      <c r="OV75" s="85"/>
      <c r="OW75" s="85"/>
      <c r="OX75" s="85"/>
      <c r="OY75" s="85"/>
      <c r="OZ75" s="85"/>
      <c r="PA75" s="85"/>
      <c r="PB75" s="85"/>
      <c r="PC75" s="85"/>
      <c r="PD75" s="85"/>
      <c r="PE75" s="85"/>
      <c r="PF75" s="85"/>
      <c r="PG75" s="85"/>
      <c r="PH75" s="85"/>
      <c r="PI75" s="85"/>
      <c r="PJ75" s="85"/>
      <c r="PK75" s="85"/>
      <c r="PL75" s="85"/>
      <c r="PM75" s="85"/>
      <c r="PN75" s="85"/>
      <c r="PO75" s="85"/>
      <c r="PP75" s="85"/>
      <c r="PQ75" s="85"/>
      <c r="PR75" s="85"/>
      <c r="PS75" s="85"/>
      <c r="PT75" s="85"/>
      <c r="PU75" s="85"/>
      <c r="PV75" s="85"/>
      <c r="PW75" s="119"/>
      <c r="PX75" s="78"/>
      <c r="PY75" s="81"/>
      <c r="PZ75" s="94">
        <f>SUM(OS75:PV75)</f>
        <v>0</v>
      </c>
      <c r="QA75" s="78"/>
      <c r="QB75" s="81"/>
      <c r="QC75" s="81"/>
      <c r="QD75" s="81"/>
      <c r="QE75" s="81"/>
      <c r="QF75" s="81"/>
      <c r="QG75" s="81"/>
      <c r="QH75" s="82"/>
      <c r="QI75" s="91" t="s">
        <v>39</v>
      </c>
      <c r="QJ75" s="65"/>
      <c r="QK75" s="66"/>
      <c r="QL75" s="92"/>
      <c r="QM75" s="85"/>
      <c r="QN75" s="85"/>
      <c r="QO75" s="85"/>
      <c r="QP75" s="85"/>
      <c r="QQ75" s="85"/>
      <c r="QR75" s="85"/>
      <c r="QS75" s="85"/>
      <c r="QT75" s="85"/>
      <c r="QU75" s="85"/>
      <c r="QV75" s="85"/>
      <c r="QW75" s="85"/>
      <c r="QX75" s="85"/>
      <c r="QY75" s="85"/>
      <c r="QZ75" s="85"/>
      <c r="RA75" s="85"/>
      <c r="RB75" s="85"/>
      <c r="RC75" s="85"/>
      <c r="RD75" s="85"/>
      <c r="RE75" s="85"/>
      <c r="RF75" s="85"/>
      <c r="RG75" s="85"/>
      <c r="RH75" s="85"/>
      <c r="RI75" s="85"/>
      <c r="RJ75" s="85"/>
      <c r="RK75" s="85"/>
      <c r="RL75" s="85"/>
      <c r="RM75" s="85"/>
      <c r="RN75" s="85"/>
      <c r="RO75" s="85"/>
      <c r="RP75" s="119"/>
      <c r="RQ75" s="78"/>
      <c r="RR75" s="81"/>
      <c r="RS75" s="94">
        <f>SUM(QL75:RO75)</f>
        <v>0</v>
      </c>
      <c r="RT75" s="78"/>
      <c r="RU75" s="81"/>
      <c r="RV75" s="81"/>
      <c r="RW75" s="81"/>
      <c r="RX75" s="81"/>
      <c r="RY75" s="81"/>
      <c r="RZ75" s="81"/>
      <c r="SA75" s="82"/>
      <c r="SB75" s="91" t="s">
        <v>39</v>
      </c>
      <c r="SC75" s="65"/>
      <c r="SD75" s="66"/>
      <c r="SE75" s="92"/>
      <c r="SF75" s="85"/>
      <c r="SG75" s="85"/>
      <c r="SH75" s="85"/>
      <c r="SI75" s="85"/>
      <c r="SJ75" s="85"/>
      <c r="SK75" s="85"/>
      <c r="SL75" s="85"/>
      <c r="SM75" s="85"/>
      <c r="SN75" s="85"/>
      <c r="SO75" s="85"/>
      <c r="SP75" s="85"/>
      <c r="SQ75" s="85"/>
      <c r="SR75" s="85"/>
      <c r="SS75" s="85"/>
      <c r="ST75" s="85"/>
      <c r="SU75" s="85"/>
      <c r="SV75" s="85"/>
      <c r="SW75" s="85"/>
      <c r="SX75" s="85"/>
      <c r="SY75" s="85"/>
      <c r="SZ75" s="85"/>
      <c r="TA75" s="85"/>
      <c r="TB75" s="85"/>
      <c r="TC75" s="85"/>
      <c r="TD75" s="85"/>
      <c r="TE75" s="85"/>
      <c r="TF75" s="85"/>
      <c r="TG75" s="85"/>
      <c r="TH75" s="85"/>
      <c r="TI75" s="119"/>
      <c r="TJ75" s="78"/>
      <c r="TK75" s="81"/>
      <c r="TL75" s="94">
        <f>SUM(SE75:TH75)</f>
        <v>0</v>
      </c>
      <c r="TM75" s="78"/>
      <c r="TN75" s="81"/>
      <c r="TO75" s="81"/>
      <c r="TP75" s="81"/>
      <c r="TQ75" s="81"/>
      <c r="TR75" s="81"/>
      <c r="TS75" s="81"/>
      <c r="TT75" s="80"/>
    </row>
    <row r="76" ht="24.75" customHeight="1">
      <c r="A76" s="96"/>
      <c r="B76" s="97"/>
      <c r="C76" s="98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118"/>
      <c r="AI76" s="78"/>
      <c r="AJ76" s="81"/>
      <c r="AK76" s="80"/>
      <c r="AL76" s="78"/>
      <c r="AM76" s="81"/>
      <c r="AN76" s="81"/>
      <c r="AO76" s="81"/>
      <c r="AP76" s="81"/>
      <c r="AQ76" s="81"/>
      <c r="AR76" s="81"/>
      <c r="AS76" s="82"/>
      <c r="AT76" s="96"/>
      <c r="AU76" s="97"/>
      <c r="AV76" s="98"/>
      <c r="AW76" s="92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119"/>
      <c r="CB76" s="78"/>
      <c r="CC76" s="81"/>
      <c r="CD76" s="80"/>
      <c r="CE76" s="78"/>
      <c r="CF76" s="81"/>
      <c r="CG76" s="81"/>
      <c r="CH76" s="81"/>
      <c r="CI76" s="81"/>
      <c r="CJ76" s="81"/>
      <c r="CK76" s="81"/>
      <c r="CL76" s="82"/>
      <c r="CM76" s="96"/>
      <c r="CN76" s="97"/>
      <c r="CO76" s="98"/>
      <c r="CP76" s="92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119"/>
      <c r="DU76" s="78"/>
      <c r="DV76" s="81"/>
      <c r="DW76" s="80"/>
      <c r="DX76" s="78"/>
      <c r="DY76" s="81"/>
      <c r="DZ76" s="81"/>
      <c r="EA76" s="81"/>
      <c r="EB76" s="81"/>
      <c r="EC76" s="81"/>
      <c r="ED76" s="81"/>
      <c r="EE76" s="80"/>
      <c r="EF76" s="96"/>
      <c r="EG76" s="97"/>
      <c r="EH76" s="98"/>
      <c r="EI76" s="92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119"/>
      <c r="FN76" s="78"/>
      <c r="FO76" s="81"/>
      <c r="FP76" s="80"/>
      <c r="FQ76" s="78"/>
      <c r="FR76" s="81"/>
      <c r="FS76" s="81"/>
      <c r="FT76" s="81"/>
      <c r="FU76" s="81"/>
      <c r="FV76" s="81"/>
      <c r="FW76" s="81"/>
      <c r="FX76" s="80"/>
      <c r="FY76" s="96"/>
      <c r="FZ76" s="97"/>
      <c r="GA76" s="98"/>
      <c r="GB76" s="92"/>
      <c r="GC76" s="85"/>
      <c r="GD76" s="85"/>
      <c r="GE76" s="85"/>
      <c r="GF76" s="85"/>
      <c r="GG76" s="85"/>
      <c r="GH76" s="85"/>
      <c r="GI76" s="85"/>
      <c r="GJ76" s="85"/>
      <c r="GK76" s="85"/>
      <c r="GL76" s="85"/>
      <c r="GM76" s="85"/>
      <c r="GN76" s="85"/>
      <c r="GO76" s="85"/>
      <c r="GP76" s="85"/>
      <c r="GQ76" s="85"/>
      <c r="GR76" s="85"/>
      <c r="GS76" s="85"/>
      <c r="GT76" s="85"/>
      <c r="GU76" s="85"/>
      <c r="GV76" s="85"/>
      <c r="GW76" s="85"/>
      <c r="GX76" s="85"/>
      <c r="GY76" s="85"/>
      <c r="GZ76" s="85"/>
      <c r="HA76" s="85"/>
      <c r="HB76" s="85"/>
      <c r="HC76" s="85"/>
      <c r="HD76" s="85"/>
      <c r="HE76" s="85"/>
      <c r="HF76" s="119"/>
      <c r="HG76" s="78"/>
      <c r="HH76" s="81"/>
      <c r="HI76" s="80"/>
      <c r="HJ76" s="78"/>
      <c r="HK76" s="81"/>
      <c r="HL76" s="81"/>
      <c r="HM76" s="81"/>
      <c r="HN76" s="81"/>
      <c r="HO76" s="81"/>
      <c r="HP76" s="81"/>
      <c r="HQ76" s="80"/>
      <c r="HR76" s="96"/>
      <c r="HS76" s="97"/>
      <c r="HT76" s="98"/>
      <c r="HU76" s="92"/>
      <c r="HV76" s="85"/>
      <c r="HW76" s="85"/>
      <c r="HX76" s="85"/>
      <c r="HY76" s="85"/>
      <c r="HZ76" s="85"/>
      <c r="IA76" s="85"/>
      <c r="IB76" s="85"/>
      <c r="IC76" s="85"/>
      <c r="ID76" s="85"/>
      <c r="IE76" s="85"/>
      <c r="IF76" s="85"/>
      <c r="IG76" s="85"/>
      <c r="IH76" s="85"/>
      <c r="II76" s="85"/>
      <c r="IJ76" s="85"/>
      <c r="IK76" s="85"/>
      <c r="IL76" s="85"/>
      <c r="IM76" s="85"/>
      <c r="IN76" s="85"/>
      <c r="IO76" s="85"/>
      <c r="IP76" s="85"/>
      <c r="IQ76" s="85"/>
      <c r="IR76" s="85"/>
      <c r="IS76" s="85"/>
      <c r="IT76" s="85"/>
      <c r="IU76" s="85"/>
      <c r="IV76" s="85"/>
      <c r="IW76" s="85"/>
      <c r="IX76" s="85"/>
      <c r="IY76" s="119"/>
      <c r="IZ76" s="78"/>
      <c r="JA76" s="81"/>
      <c r="JB76" s="80"/>
      <c r="JC76" s="78"/>
      <c r="JD76" s="81"/>
      <c r="JE76" s="81"/>
      <c r="JF76" s="81"/>
      <c r="JG76" s="81"/>
      <c r="JH76" s="81"/>
      <c r="JI76" s="81"/>
      <c r="JJ76" s="80"/>
      <c r="JK76" s="96"/>
      <c r="JL76" s="97"/>
      <c r="JM76" s="98"/>
      <c r="JN76" s="92"/>
      <c r="JO76" s="85"/>
      <c r="JP76" s="85"/>
      <c r="JQ76" s="85"/>
      <c r="JR76" s="85"/>
      <c r="JS76" s="85"/>
      <c r="JT76" s="85"/>
      <c r="JU76" s="85"/>
      <c r="JV76" s="85"/>
      <c r="JW76" s="85"/>
      <c r="JX76" s="85"/>
      <c r="JY76" s="85"/>
      <c r="JZ76" s="85"/>
      <c r="KA76" s="85"/>
      <c r="KB76" s="85"/>
      <c r="KC76" s="85"/>
      <c r="KD76" s="85"/>
      <c r="KE76" s="85"/>
      <c r="KF76" s="85"/>
      <c r="KG76" s="85"/>
      <c r="KH76" s="85"/>
      <c r="KI76" s="85"/>
      <c r="KJ76" s="85"/>
      <c r="KK76" s="85"/>
      <c r="KL76" s="85"/>
      <c r="KM76" s="85"/>
      <c r="KN76" s="85"/>
      <c r="KO76" s="85"/>
      <c r="KP76" s="85"/>
      <c r="KQ76" s="85"/>
      <c r="KR76" s="119"/>
      <c r="KS76" s="78"/>
      <c r="KT76" s="81"/>
      <c r="KU76" s="80"/>
      <c r="KV76" s="78"/>
      <c r="KW76" s="81"/>
      <c r="KX76" s="81"/>
      <c r="KY76" s="81"/>
      <c r="KZ76" s="81"/>
      <c r="LA76" s="81"/>
      <c r="LB76" s="81"/>
      <c r="LC76" s="80"/>
      <c r="LD76" s="96"/>
      <c r="LE76" s="97"/>
      <c r="LF76" s="98"/>
      <c r="LG76" s="92"/>
      <c r="LH76" s="85"/>
      <c r="LI76" s="85"/>
      <c r="LJ76" s="85"/>
      <c r="LK76" s="85"/>
      <c r="LL76" s="85"/>
      <c r="LM76" s="85"/>
      <c r="LN76" s="85"/>
      <c r="LO76" s="85"/>
      <c r="LP76" s="85"/>
      <c r="LQ76" s="85"/>
      <c r="LR76" s="85"/>
      <c r="LS76" s="85"/>
      <c r="LT76" s="85"/>
      <c r="LU76" s="85"/>
      <c r="LV76" s="85"/>
      <c r="LW76" s="85"/>
      <c r="LX76" s="85"/>
      <c r="LY76" s="85"/>
      <c r="LZ76" s="85"/>
      <c r="MA76" s="85"/>
      <c r="MB76" s="85"/>
      <c r="MC76" s="85"/>
      <c r="MD76" s="85"/>
      <c r="ME76" s="85"/>
      <c r="MF76" s="85"/>
      <c r="MG76" s="85"/>
      <c r="MH76" s="85"/>
      <c r="MI76" s="85"/>
      <c r="MJ76" s="85"/>
      <c r="MK76" s="119"/>
      <c r="ML76" s="78"/>
      <c r="MM76" s="81"/>
      <c r="MN76" s="80"/>
      <c r="MO76" s="78"/>
      <c r="MP76" s="81"/>
      <c r="MQ76" s="81"/>
      <c r="MR76" s="81"/>
      <c r="MS76" s="81"/>
      <c r="MT76" s="81"/>
      <c r="MU76" s="81"/>
      <c r="MV76" s="80"/>
      <c r="MW76" s="96"/>
      <c r="MX76" s="97"/>
      <c r="MY76" s="98"/>
      <c r="MZ76" s="92"/>
      <c r="NA76" s="85"/>
      <c r="NB76" s="85"/>
      <c r="NC76" s="85"/>
      <c r="ND76" s="85"/>
      <c r="NE76" s="85"/>
      <c r="NF76" s="85"/>
      <c r="NG76" s="85"/>
      <c r="NH76" s="85"/>
      <c r="NI76" s="85"/>
      <c r="NJ76" s="85"/>
      <c r="NK76" s="85"/>
      <c r="NL76" s="85"/>
      <c r="NM76" s="85"/>
      <c r="NN76" s="85"/>
      <c r="NO76" s="85"/>
      <c r="NP76" s="85"/>
      <c r="NQ76" s="85"/>
      <c r="NR76" s="85"/>
      <c r="NS76" s="85"/>
      <c r="NT76" s="85"/>
      <c r="NU76" s="85"/>
      <c r="NV76" s="85"/>
      <c r="NW76" s="85"/>
      <c r="NX76" s="85"/>
      <c r="NY76" s="85"/>
      <c r="NZ76" s="85"/>
      <c r="OA76" s="85"/>
      <c r="OB76" s="85"/>
      <c r="OC76" s="85"/>
      <c r="OD76" s="119"/>
      <c r="OE76" s="78"/>
      <c r="OF76" s="81"/>
      <c r="OG76" s="80"/>
      <c r="OH76" s="78"/>
      <c r="OI76" s="81"/>
      <c r="OJ76" s="81"/>
      <c r="OK76" s="81"/>
      <c r="OL76" s="81"/>
      <c r="OM76" s="81"/>
      <c r="ON76" s="81"/>
      <c r="OO76" s="80"/>
      <c r="OP76" s="96"/>
      <c r="OQ76" s="97"/>
      <c r="OR76" s="98"/>
      <c r="OS76" s="92"/>
      <c r="OT76" s="85"/>
      <c r="OU76" s="85"/>
      <c r="OV76" s="85"/>
      <c r="OW76" s="85"/>
      <c r="OX76" s="85"/>
      <c r="OY76" s="85"/>
      <c r="OZ76" s="85"/>
      <c r="PA76" s="85"/>
      <c r="PB76" s="85"/>
      <c r="PC76" s="85"/>
      <c r="PD76" s="85"/>
      <c r="PE76" s="85"/>
      <c r="PF76" s="85"/>
      <c r="PG76" s="85"/>
      <c r="PH76" s="85"/>
      <c r="PI76" s="85"/>
      <c r="PJ76" s="85"/>
      <c r="PK76" s="85"/>
      <c r="PL76" s="85"/>
      <c r="PM76" s="85"/>
      <c r="PN76" s="85"/>
      <c r="PO76" s="85"/>
      <c r="PP76" s="85"/>
      <c r="PQ76" s="85"/>
      <c r="PR76" s="85"/>
      <c r="PS76" s="85"/>
      <c r="PT76" s="85"/>
      <c r="PU76" s="85"/>
      <c r="PV76" s="85"/>
      <c r="PW76" s="119"/>
      <c r="PX76" s="78"/>
      <c r="PY76" s="81"/>
      <c r="PZ76" s="80"/>
      <c r="QA76" s="78"/>
      <c r="QB76" s="81"/>
      <c r="QC76" s="81"/>
      <c r="QD76" s="81"/>
      <c r="QE76" s="81"/>
      <c r="QF76" s="81"/>
      <c r="QG76" s="81"/>
      <c r="QH76" s="80"/>
      <c r="QI76" s="96"/>
      <c r="QJ76" s="97"/>
      <c r="QK76" s="98"/>
      <c r="QL76" s="92"/>
      <c r="QM76" s="85"/>
      <c r="QN76" s="85"/>
      <c r="QO76" s="85"/>
      <c r="QP76" s="85"/>
      <c r="QQ76" s="85"/>
      <c r="QR76" s="85"/>
      <c r="QS76" s="85"/>
      <c r="QT76" s="85"/>
      <c r="QU76" s="85"/>
      <c r="QV76" s="85"/>
      <c r="QW76" s="85"/>
      <c r="QX76" s="85"/>
      <c r="QY76" s="85"/>
      <c r="QZ76" s="85"/>
      <c r="RA76" s="85"/>
      <c r="RB76" s="85"/>
      <c r="RC76" s="85"/>
      <c r="RD76" s="85"/>
      <c r="RE76" s="85"/>
      <c r="RF76" s="85"/>
      <c r="RG76" s="85"/>
      <c r="RH76" s="85"/>
      <c r="RI76" s="85"/>
      <c r="RJ76" s="85"/>
      <c r="RK76" s="85"/>
      <c r="RL76" s="85"/>
      <c r="RM76" s="85"/>
      <c r="RN76" s="85"/>
      <c r="RO76" s="85"/>
      <c r="RP76" s="119"/>
      <c r="RQ76" s="78"/>
      <c r="RR76" s="81"/>
      <c r="RS76" s="80"/>
      <c r="RT76" s="78"/>
      <c r="RU76" s="81"/>
      <c r="RV76" s="81"/>
      <c r="RW76" s="81"/>
      <c r="RX76" s="81"/>
      <c r="RY76" s="81"/>
      <c r="RZ76" s="81"/>
      <c r="SA76" s="80"/>
      <c r="SB76" s="96"/>
      <c r="SC76" s="97"/>
      <c r="SD76" s="98"/>
      <c r="SE76" s="92"/>
      <c r="SF76" s="85"/>
      <c r="SG76" s="85"/>
      <c r="SH76" s="85"/>
      <c r="SI76" s="85"/>
      <c r="SJ76" s="85"/>
      <c r="SK76" s="85"/>
      <c r="SL76" s="85"/>
      <c r="SM76" s="85"/>
      <c r="SN76" s="85"/>
      <c r="SO76" s="85"/>
      <c r="SP76" s="85"/>
      <c r="SQ76" s="85"/>
      <c r="SR76" s="85"/>
      <c r="SS76" s="85"/>
      <c r="ST76" s="85"/>
      <c r="SU76" s="85"/>
      <c r="SV76" s="85"/>
      <c r="SW76" s="85"/>
      <c r="SX76" s="85"/>
      <c r="SY76" s="85"/>
      <c r="SZ76" s="85"/>
      <c r="TA76" s="85"/>
      <c r="TB76" s="85"/>
      <c r="TC76" s="85"/>
      <c r="TD76" s="85"/>
      <c r="TE76" s="85"/>
      <c r="TF76" s="85"/>
      <c r="TG76" s="85"/>
      <c r="TH76" s="85"/>
      <c r="TI76" s="119"/>
      <c r="TJ76" s="78"/>
      <c r="TK76" s="81"/>
      <c r="TL76" s="80"/>
      <c r="TM76" s="78"/>
      <c r="TN76" s="81"/>
      <c r="TO76" s="81"/>
      <c r="TP76" s="81"/>
      <c r="TQ76" s="81"/>
      <c r="TR76" s="81"/>
      <c r="TS76" s="81"/>
      <c r="TT76" s="80"/>
    </row>
    <row r="77" ht="24.75" customHeight="1">
      <c r="A77" s="122" t="s">
        <v>27</v>
      </c>
      <c r="B77" s="65"/>
      <c r="C77" s="66"/>
      <c r="D77" s="12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124"/>
      <c r="AH77" s="125"/>
      <c r="AI77" s="123"/>
      <c r="AJ77" s="65"/>
      <c r="AK77" s="66"/>
      <c r="AL77" s="123"/>
      <c r="AM77" s="65"/>
      <c r="AN77" s="65"/>
      <c r="AO77" s="65"/>
      <c r="AP77" s="65"/>
      <c r="AQ77" s="65"/>
      <c r="AR77" s="65"/>
      <c r="AS77" s="66"/>
      <c r="AT77" s="122" t="s">
        <v>27</v>
      </c>
      <c r="AU77" s="65"/>
      <c r="AV77" s="66"/>
      <c r="AW77" s="123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124"/>
      <c r="CA77" s="126"/>
      <c r="CB77" s="123"/>
      <c r="CC77" s="65"/>
      <c r="CD77" s="66"/>
      <c r="CE77" s="123"/>
      <c r="CF77" s="65"/>
      <c r="CG77" s="65"/>
      <c r="CH77" s="65"/>
      <c r="CI77" s="65"/>
      <c r="CJ77" s="65"/>
      <c r="CK77" s="65"/>
      <c r="CL77" s="66"/>
      <c r="CM77" s="122" t="s">
        <v>27</v>
      </c>
      <c r="CN77" s="65"/>
      <c r="CO77" s="66"/>
      <c r="CP77" s="123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124"/>
      <c r="DT77" s="126"/>
      <c r="DU77" s="123"/>
      <c r="DV77" s="65"/>
      <c r="DW77" s="66"/>
      <c r="DX77" s="123"/>
      <c r="DY77" s="65"/>
      <c r="DZ77" s="65"/>
      <c r="EA77" s="65"/>
      <c r="EB77" s="65"/>
      <c r="EC77" s="65"/>
      <c r="ED77" s="65"/>
      <c r="EE77" s="66"/>
      <c r="EF77" s="122" t="s">
        <v>27</v>
      </c>
      <c r="EG77" s="65"/>
      <c r="EH77" s="66"/>
      <c r="EI77" s="123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124"/>
      <c r="FM77" s="126"/>
      <c r="FN77" s="123"/>
      <c r="FO77" s="65"/>
      <c r="FP77" s="66"/>
      <c r="FQ77" s="123"/>
      <c r="FR77" s="65"/>
      <c r="FS77" s="65"/>
      <c r="FT77" s="65"/>
      <c r="FU77" s="65"/>
      <c r="FV77" s="65"/>
      <c r="FW77" s="65"/>
      <c r="FX77" s="66"/>
      <c r="FY77" s="122" t="s">
        <v>27</v>
      </c>
      <c r="FZ77" s="65"/>
      <c r="GA77" s="66"/>
      <c r="GB77" s="123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124"/>
      <c r="HF77" s="126"/>
      <c r="HG77" s="123"/>
      <c r="HH77" s="65"/>
      <c r="HI77" s="66"/>
      <c r="HJ77" s="123"/>
      <c r="HK77" s="65"/>
      <c r="HL77" s="65"/>
      <c r="HM77" s="65"/>
      <c r="HN77" s="65"/>
      <c r="HO77" s="65"/>
      <c r="HP77" s="65"/>
      <c r="HQ77" s="66"/>
      <c r="HR77" s="122" t="s">
        <v>27</v>
      </c>
      <c r="HS77" s="65"/>
      <c r="HT77" s="66"/>
      <c r="HU77" s="123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124"/>
      <c r="IY77" s="126"/>
      <c r="IZ77" s="123"/>
      <c r="JA77" s="65"/>
      <c r="JB77" s="66"/>
      <c r="JC77" s="123"/>
      <c r="JD77" s="65"/>
      <c r="JE77" s="65"/>
      <c r="JF77" s="65"/>
      <c r="JG77" s="65"/>
      <c r="JH77" s="65"/>
      <c r="JI77" s="65"/>
      <c r="JJ77" s="66"/>
      <c r="JK77" s="122" t="s">
        <v>27</v>
      </c>
      <c r="JL77" s="65"/>
      <c r="JM77" s="66"/>
      <c r="JN77" s="123"/>
      <c r="JO77" s="65"/>
      <c r="JP77" s="65"/>
      <c r="JQ77" s="65"/>
      <c r="JR77" s="65"/>
      <c r="JS77" s="65"/>
      <c r="JT77" s="65"/>
      <c r="JU77" s="65"/>
      <c r="JV77" s="65"/>
      <c r="JW77" s="65"/>
      <c r="JX77" s="65"/>
      <c r="JY77" s="65"/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124"/>
      <c r="KR77" s="126"/>
      <c r="KS77" s="123"/>
      <c r="KT77" s="65"/>
      <c r="KU77" s="66"/>
      <c r="KV77" s="123"/>
      <c r="KW77" s="65"/>
      <c r="KX77" s="65"/>
      <c r="KY77" s="65"/>
      <c r="KZ77" s="65"/>
      <c r="LA77" s="65"/>
      <c r="LB77" s="65"/>
      <c r="LC77" s="66"/>
      <c r="LD77" s="122" t="s">
        <v>27</v>
      </c>
      <c r="LE77" s="65"/>
      <c r="LF77" s="66"/>
      <c r="LG77" s="123"/>
      <c r="LH77" s="65"/>
      <c r="LI77" s="65"/>
      <c r="LJ77" s="65"/>
      <c r="LK77" s="65"/>
      <c r="LL77" s="65"/>
      <c r="LM77" s="65"/>
      <c r="LN77" s="65"/>
      <c r="LO77" s="65"/>
      <c r="LP77" s="65"/>
      <c r="LQ77" s="65"/>
      <c r="LR77" s="65"/>
      <c r="LS77" s="65"/>
      <c r="LT77" s="65"/>
      <c r="LU77" s="65"/>
      <c r="LV77" s="65"/>
      <c r="LW77" s="65"/>
      <c r="LX77" s="65"/>
      <c r="LY77" s="65"/>
      <c r="LZ77" s="65"/>
      <c r="MA77" s="65"/>
      <c r="MB77" s="65"/>
      <c r="MC77" s="65"/>
      <c r="MD77" s="65"/>
      <c r="ME77" s="65"/>
      <c r="MF77" s="65"/>
      <c r="MG77" s="65"/>
      <c r="MH77" s="65"/>
      <c r="MI77" s="65"/>
      <c r="MJ77" s="124"/>
      <c r="MK77" s="126"/>
      <c r="ML77" s="123"/>
      <c r="MM77" s="65"/>
      <c r="MN77" s="66"/>
      <c r="MO77" s="123"/>
      <c r="MP77" s="65"/>
      <c r="MQ77" s="65"/>
      <c r="MR77" s="65"/>
      <c r="MS77" s="65"/>
      <c r="MT77" s="65"/>
      <c r="MU77" s="65"/>
      <c r="MV77" s="66"/>
      <c r="MW77" s="122" t="s">
        <v>27</v>
      </c>
      <c r="MX77" s="65"/>
      <c r="MY77" s="66"/>
      <c r="MZ77" s="123"/>
      <c r="NA77" s="65"/>
      <c r="NB77" s="65"/>
      <c r="NC77" s="65"/>
      <c r="ND77" s="65"/>
      <c r="NE77" s="65"/>
      <c r="NF77" s="65"/>
      <c r="NG77" s="65"/>
      <c r="NH77" s="65"/>
      <c r="NI77" s="65"/>
      <c r="NJ77" s="65"/>
      <c r="NK77" s="65"/>
      <c r="NL77" s="65"/>
      <c r="NM77" s="65"/>
      <c r="NN77" s="65"/>
      <c r="NO77" s="65"/>
      <c r="NP77" s="65"/>
      <c r="NQ77" s="65"/>
      <c r="NR77" s="65"/>
      <c r="NS77" s="65"/>
      <c r="NT77" s="65"/>
      <c r="NU77" s="65"/>
      <c r="NV77" s="65"/>
      <c r="NW77" s="65"/>
      <c r="NX77" s="65"/>
      <c r="NY77" s="65"/>
      <c r="NZ77" s="65"/>
      <c r="OA77" s="65"/>
      <c r="OB77" s="65"/>
      <c r="OC77" s="124"/>
      <c r="OD77" s="126"/>
      <c r="OE77" s="123"/>
      <c r="OF77" s="65"/>
      <c r="OG77" s="66"/>
      <c r="OH77" s="123"/>
      <c r="OI77" s="65"/>
      <c r="OJ77" s="65"/>
      <c r="OK77" s="65"/>
      <c r="OL77" s="65"/>
      <c r="OM77" s="65"/>
      <c r="ON77" s="65"/>
      <c r="OO77" s="66"/>
      <c r="OP77" s="122" t="s">
        <v>27</v>
      </c>
      <c r="OQ77" s="65"/>
      <c r="OR77" s="66"/>
      <c r="OS77" s="123"/>
      <c r="OT77" s="65"/>
      <c r="OU77" s="65"/>
      <c r="OV77" s="65"/>
      <c r="OW77" s="65"/>
      <c r="OX77" s="65"/>
      <c r="OY77" s="65"/>
      <c r="OZ77" s="65"/>
      <c r="PA77" s="65"/>
      <c r="PB77" s="65"/>
      <c r="PC77" s="65"/>
      <c r="PD77" s="65"/>
      <c r="PE77" s="65"/>
      <c r="PF77" s="65"/>
      <c r="PG77" s="65"/>
      <c r="PH77" s="65"/>
      <c r="PI77" s="65"/>
      <c r="PJ77" s="65"/>
      <c r="PK77" s="65"/>
      <c r="PL77" s="65"/>
      <c r="PM77" s="65"/>
      <c r="PN77" s="65"/>
      <c r="PO77" s="65"/>
      <c r="PP77" s="65"/>
      <c r="PQ77" s="65"/>
      <c r="PR77" s="65"/>
      <c r="PS77" s="65"/>
      <c r="PT77" s="65"/>
      <c r="PU77" s="65"/>
      <c r="PV77" s="124"/>
      <c r="PW77" s="126"/>
      <c r="PX77" s="123"/>
      <c r="PY77" s="65"/>
      <c r="PZ77" s="66"/>
      <c r="QA77" s="123"/>
      <c r="QB77" s="65"/>
      <c r="QC77" s="65"/>
      <c r="QD77" s="65"/>
      <c r="QE77" s="65"/>
      <c r="QF77" s="65"/>
      <c r="QG77" s="65"/>
      <c r="QH77" s="66"/>
      <c r="QI77" s="122" t="s">
        <v>27</v>
      </c>
      <c r="QJ77" s="65"/>
      <c r="QK77" s="66"/>
      <c r="QL77" s="123"/>
      <c r="QM77" s="65"/>
      <c r="QN77" s="65"/>
      <c r="QO77" s="65"/>
      <c r="QP77" s="65"/>
      <c r="QQ77" s="65"/>
      <c r="QR77" s="65"/>
      <c r="QS77" s="65"/>
      <c r="QT77" s="65"/>
      <c r="QU77" s="65"/>
      <c r="QV77" s="65"/>
      <c r="QW77" s="65"/>
      <c r="QX77" s="65"/>
      <c r="QY77" s="65"/>
      <c r="QZ77" s="65"/>
      <c r="RA77" s="65"/>
      <c r="RB77" s="65"/>
      <c r="RC77" s="65"/>
      <c r="RD77" s="65"/>
      <c r="RE77" s="65"/>
      <c r="RF77" s="65"/>
      <c r="RG77" s="65"/>
      <c r="RH77" s="65"/>
      <c r="RI77" s="65"/>
      <c r="RJ77" s="65"/>
      <c r="RK77" s="65"/>
      <c r="RL77" s="65"/>
      <c r="RM77" s="65"/>
      <c r="RN77" s="65"/>
      <c r="RO77" s="124"/>
      <c r="RP77" s="126"/>
      <c r="RQ77" s="123"/>
      <c r="RR77" s="65"/>
      <c r="RS77" s="66"/>
      <c r="RT77" s="123"/>
      <c r="RU77" s="65"/>
      <c r="RV77" s="65"/>
      <c r="RW77" s="65"/>
      <c r="RX77" s="65"/>
      <c r="RY77" s="65"/>
      <c r="RZ77" s="65"/>
      <c r="SA77" s="66"/>
      <c r="SB77" s="122" t="s">
        <v>27</v>
      </c>
      <c r="SC77" s="65"/>
      <c r="SD77" s="66"/>
      <c r="SE77" s="123"/>
      <c r="SF77" s="65"/>
      <c r="SG77" s="65"/>
      <c r="SH77" s="65"/>
      <c r="SI77" s="65"/>
      <c r="SJ77" s="65"/>
      <c r="SK77" s="65"/>
      <c r="SL77" s="65"/>
      <c r="SM77" s="65"/>
      <c r="SN77" s="65"/>
      <c r="SO77" s="65"/>
      <c r="SP77" s="65"/>
      <c r="SQ77" s="65"/>
      <c r="SR77" s="65"/>
      <c r="SS77" s="65"/>
      <c r="ST77" s="65"/>
      <c r="SU77" s="65"/>
      <c r="SV77" s="65"/>
      <c r="SW77" s="65"/>
      <c r="SX77" s="65"/>
      <c r="SY77" s="65"/>
      <c r="SZ77" s="65"/>
      <c r="TA77" s="65"/>
      <c r="TB77" s="65"/>
      <c r="TC77" s="65"/>
      <c r="TD77" s="65"/>
      <c r="TE77" s="65"/>
      <c r="TF77" s="65"/>
      <c r="TG77" s="65"/>
      <c r="TH77" s="124"/>
      <c r="TI77" s="126"/>
      <c r="TJ77" s="123"/>
      <c r="TK77" s="65"/>
      <c r="TL77" s="66"/>
      <c r="TM77" s="123"/>
      <c r="TN77" s="65"/>
      <c r="TO77" s="65"/>
      <c r="TP77" s="65"/>
      <c r="TQ77" s="65"/>
      <c r="TR77" s="65"/>
      <c r="TS77" s="65"/>
      <c r="TT77" s="66"/>
    </row>
    <row r="78" ht="14.25" customHeight="1">
      <c r="A78" s="127" t="s">
        <v>40</v>
      </c>
      <c r="B78" s="128"/>
      <c r="C78" s="129"/>
      <c r="D78" s="130" t="s">
        <v>41</v>
      </c>
      <c r="E78" s="131"/>
      <c r="F78" s="131"/>
      <c r="G78" s="131"/>
      <c r="H78" s="132"/>
      <c r="I78" s="128"/>
      <c r="J78" s="133"/>
      <c r="K78" s="134"/>
      <c r="L78" s="135" t="s">
        <v>42</v>
      </c>
      <c r="M78" s="131"/>
      <c r="N78" s="131"/>
      <c r="O78" s="131"/>
      <c r="P78" s="132"/>
      <c r="Q78" s="133"/>
      <c r="R78" s="135" t="s">
        <v>43</v>
      </c>
      <c r="S78" s="131"/>
      <c r="T78" s="131"/>
      <c r="U78" s="131"/>
      <c r="V78" s="131"/>
      <c r="W78" s="132"/>
      <c r="X78" s="136"/>
      <c r="Y78" s="136"/>
      <c r="Z78" s="136"/>
      <c r="AA78" s="136"/>
      <c r="AB78" s="136"/>
      <c r="AC78" s="136"/>
      <c r="AD78" s="136"/>
      <c r="AE78" s="137" t="s">
        <v>44</v>
      </c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S78" s="139"/>
      <c r="AT78" s="127" t="s">
        <v>40</v>
      </c>
      <c r="AU78" s="128"/>
      <c r="AV78" s="129"/>
      <c r="AW78" s="130" t="s">
        <v>41</v>
      </c>
      <c r="AX78" s="131"/>
      <c r="AY78" s="131"/>
      <c r="AZ78" s="131"/>
      <c r="BA78" s="132"/>
      <c r="BB78" s="128"/>
      <c r="BC78" s="133"/>
      <c r="BD78" s="134"/>
      <c r="BE78" s="135" t="s">
        <v>42</v>
      </c>
      <c r="BF78" s="131"/>
      <c r="BG78" s="131"/>
      <c r="BH78" s="131"/>
      <c r="BI78" s="132"/>
      <c r="BJ78" s="133"/>
      <c r="BK78" s="135" t="s">
        <v>43</v>
      </c>
      <c r="BL78" s="131"/>
      <c r="BM78" s="131"/>
      <c r="BN78" s="131"/>
      <c r="BO78" s="131"/>
      <c r="BP78" s="132"/>
      <c r="BQ78" s="136"/>
      <c r="BR78" s="136"/>
      <c r="BS78" s="136"/>
      <c r="BT78" s="136"/>
      <c r="BU78" s="136"/>
      <c r="BV78" s="136"/>
      <c r="BW78" s="136"/>
      <c r="BX78" s="137" t="s">
        <v>44</v>
      </c>
      <c r="BY78" s="138"/>
      <c r="BZ78" s="138"/>
      <c r="CA78" s="138"/>
      <c r="CB78" s="138"/>
      <c r="CC78" s="138"/>
      <c r="CD78" s="138"/>
      <c r="CE78" s="138"/>
      <c r="CF78" s="138"/>
      <c r="CG78" s="138"/>
      <c r="CH78" s="138"/>
      <c r="CI78" s="138"/>
      <c r="CJ78" s="138"/>
      <c r="CK78" s="138"/>
      <c r="CL78" s="139"/>
      <c r="CM78" s="127" t="s">
        <v>40</v>
      </c>
      <c r="CN78" s="128"/>
      <c r="CO78" s="129"/>
      <c r="CP78" s="130" t="s">
        <v>41</v>
      </c>
      <c r="CQ78" s="131"/>
      <c r="CR78" s="131"/>
      <c r="CS78" s="131"/>
      <c r="CT78" s="132"/>
      <c r="CU78" s="128"/>
      <c r="CV78" s="133"/>
      <c r="CW78" s="134"/>
      <c r="CX78" s="135" t="s">
        <v>42</v>
      </c>
      <c r="CY78" s="131"/>
      <c r="CZ78" s="131"/>
      <c r="DA78" s="131"/>
      <c r="DB78" s="132"/>
      <c r="DC78" s="133"/>
      <c r="DD78" s="135" t="s">
        <v>43</v>
      </c>
      <c r="DE78" s="131"/>
      <c r="DF78" s="131"/>
      <c r="DG78" s="131"/>
      <c r="DH78" s="131"/>
      <c r="DI78" s="132"/>
      <c r="DJ78" s="136"/>
      <c r="DK78" s="136"/>
      <c r="DL78" s="136"/>
      <c r="DM78" s="136"/>
      <c r="DN78" s="136"/>
      <c r="DO78" s="136"/>
      <c r="DP78" s="136"/>
      <c r="DQ78" s="137" t="s">
        <v>44</v>
      </c>
      <c r="DR78" s="138"/>
      <c r="DS78" s="138"/>
      <c r="DT78" s="138"/>
      <c r="DU78" s="138"/>
      <c r="DV78" s="138"/>
      <c r="DW78" s="138"/>
      <c r="DX78" s="138"/>
      <c r="DY78" s="138"/>
      <c r="DZ78" s="138"/>
      <c r="EA78" s="138"/>
      <c r="EB78" s="138"/>
      <c r="EC78" s="138"/>
      <c r="ED78" s="138"/>
      <c r="EE78" s="139"/>
      <c r="EF78" s="127" t="s">
        <v>40</v>
      </c>
      <c r="EG78" s="128"/>
      <c r="EH78" s="129"/>
      <c r="EI78" s="130" t="s">
        <v>41</v>
      </c>
      <c r="EJ78" s="131"/>
      <c r="EK78" s="131"/>
      <c r="EL78" s="131"/>
      <c r="EM78" s="132"/>
      <c r="EN78" s="128"/>
      <c r="EO78" s="133"/>
      <c r="EP78" s="134"/>
      <c r="EQ78" s="135" t="s">
        <v>42</v>
      </c>
      <c r="ER78" s="131"/>
      <c r="ES78" s="131"/>
      <c r="ET78" s="131"/>
      <c r="EU78" s="132"/>
      <c r="EV78" s="133"/>
      <c r="EW78" s="135" t="s">
        <v>43</v>
      </c>
      <c r="EX78" s="131"/>
      <c r="EY78" s="131"/>
      <c r="EZ78" s="131"/>
      <c r="FA78" s="131"/>
      <c r="FB78" s="132"/>
      <c r="FC78" s="136"/>
      <c r="FD78" s="136"/>
      <c r="FE78" s="136"/>
      <c r="FF78" s="136"/>
      <c r="FG78" s="136"/>
      <c r="FH78" s="136"/>
      <c r="FI78" s="136"/>
      <c r="FJ78" s="137" t="s">
        <v>44</v>
      </c>
      <c r="FK78" s="138"/>
      <c r="FL78" s="138"/>
      <c r="FM78" s="138"/>
      <c r="FN78" s="138"/>
      <c r="FO78" s="138"/>
      <c r="FP78" s="138"/>
      <c r="FQ78" s="138"/>
      <c r="FR78" s="138"/>
      <c r="FS78" s="138"/>
      <c r="FT78" s="138"/>
      <c r="FU78" s="138"/>
      <c r="FV78" s="138"/>
      <c r="FW78" s="138"/>
      <c r="FX78" s="139"/>
      <c r="FY78" s="127" t="s">
        <v>40</v>
      </c>
      <c r="FZ78" s="128"/>
      <c r="GA78" s="129"/>
      <c r="GB78" s="130" t="s">
        <v>41</v>
      </c>
      <c r="GC78" s="131"/>
      <c r="GD78" s="131"/>
      <c r="GE78" s="131"/>
      <c r="GF78" s="132"/>
      <c r="GG78" s="128"/>
      <c r="GH78" s="133"/>
      <c r="GI78" s="134"/>
      <c r="GJ78" s="135" t="s">
        <v>42</v>
      </c>
      <c r="GK78" s="131"/>
      <c r="GL78" s="131"/>
      <c r="GM78" s="131"/>
      <c r="GN78" s="132"/>
      <c r="GO78" s="133"/>
      <c r="GP78" s="135" t="s">
        <v>43</v>
      </c>
      <c r="GQ78" s="131"/>
      <c r="GR78" s="131"/>
      <c r="GS78" s="131"/>
      <c r="GT78" s="131"/>
      <c r="GU78" s="132"/>
      <c r="GV78" s="136"/>
      <c r="GW78" s="136"/>
      <c r="GX78" s="136"/>
      <c r="GY78" s="136"/>
      <c r="GZ78" s="136"/>
      <c r="HA78" s="136"/>
      <c r="HB78" s="136"/>
      <c r="HC78" s="137" t="s">
        <v>44</v>
      </c>
      <c r="HD78" s="138"/>
      <c r="HE78" s="138"/>
      <c r="HF78" s="138"/>
      <c r="HG78" s="138"/>
      <c r="HH78" s="138"/>
      <c r="HI78" s="138"/>
      <c r="HJ78" s="138"/>
      <c r="HK78" s="138"/>
      <c r="HL78" s="138"/>
      <c r="HM78" s="138"/>
      <c r="HN78" s="138"/>
      <c r="HO78" s="138"/>
      <c r="HP78" s="138"/>
      <c r="HQ78" s="139"/>
      <c r="HR78" s="127" t="s">
        <v>40</v>
      </c>
      <c r="HS78" s="128"/>
      <c r="HT78" s="129"/>
      <c r="HU78" s="130" t="s">
        <v>41</v>
      </c>
      <c r="HV78" s="131"/>
      <c r="HW78" s="131"/>
      <c r="HX78" s="131"/>
      <c r="HY78" s="132"/>
      <c r="HZ78" s="128"/>
      <c r="IA78" s="133"/>
      <c r="IB78" s="134"/>
      <c r="IC78" s="135" t="s">
        <v>42</v>
      </c>
      <c r="ID78" s="131"/>
      <c r="IE78" s="131"/>
      <c r="IF78" s="131"/>
      <c r="IG78" s="132"/>
      <c r="IH78" s="133"/>
      <c r="II78" s="135" t="s">
        <v>43</v>
      </c>
      <c r="IJ78" s="131"/>
      <c r="IK78" s="131"/>
      <c r="IL78" s="131"/>
      <c r="IM78" s="131"/>
      <c r="IN78" s="132"/>
      <c r="IO78" s="136"/>
      <c r="IP78" s="136"/>
      <c r="IQ78" s="136"/>
      <c r="IR78" s="136"/>
      <c r="IS78" s="136"/>
      <c r="IT78" s="136"/>
      <c r="IU78" s="136"/>
      <c r="IV78" s="137" t="s">
        <v>44</v>
      </c>
      <c r="IW78" s="138"/>
      <c r="IX78" s="138"/>
      <c r="IY78" s="138"/>
      <c r="IZ78" s="138"/>
      <c r="JA78" s="138"/>
      <c r="JB78" s="138"/>
      <c r="JC78" s="138"/>
      <c r="JD78" s="138"/>
      <c r="JE78" s="138"/>
      <c r="JF78" s="138"/>
      <c r="JG78" s="138"/>
      <c r="JH78" s="138"/>
      <c r="JI78" s="138"/>
      <c r="JJ78" s="139"/>
      <c r="JK78" s="127" t="s">
        <v>40</v>
      </c>
      <c r="JL78" s="128"/>
      <c r="JM78" s="129"/>
      <c r="JN78" s="130" t="s">
        <v>41</v>
      </c>
      <c r="JO78" s="131"/>
      <c r="JP78" s="131"/>
      <c r="JQ78" s="131"/>
      <c r="JR78" s="132"/>
      <c r="JS78" s="128"/>
      <c r="JT78" s="133"/>
      <c r="JU78" s="134"/>
      <c r="JV78" s="135" t="s">
        <v>42</v>
      </c>
      <c r="JW78" s="131"/>
      <c r="JX78" s="131"/>
      <c r="JY78" s="131"/>
      <c r="JZ78" s="132"/>
      <c r="KA78" s="133"/>
      <c r="KB78" s="135" t="s">
        <v>43</v>
      </c>
      <c r="KC78" s="131"/>
      <c r="KD78" s="131"/>
      <c r="KE78" s="131"/>
      <c r="KF78" s="131"/>
      <c r="KG78" s="132"/>
      <c r="KH78" s="136"/>
      <c r="KI78" s="136"/>
      <c r="KJ78" s="136"/>
      <c r="KK78" s="136"/>
      <c r="KL78" s="136"/>
      <c r="KM78" s="136"/>
      <c r="KN78" s="136"/>
      <c r="KO78" s="137" t="s">
        <v>44</v>
      </c>
      <c r="KP78" s="138"/>
      <c r="KQ78" s="138"/>
      <c r="KR78" s="138"/>
      <c r="KS78" s="138"/>
      <c r="KT78" s="138"/>
      <c r="KU78" s="138"/>
      <c r="KV78" s="138"/>
      <c r="KW78" s="138"/>
      <c r="KX78" s="138"/>
      <c r="KY78" s="138"/>
      <c r="KZ78" s="138"/>
      <c r="LA78" s="138"/>
      <c r="LB78" s="138"/>
      <c r="LC78" s="139"/>
      <c r="LD78" s="127" t="s">
        <v>40</v>
      </c>
      <c r="LE78" s="128"/>
      <c r="LF78" s="129"/>
      <c r="LG78" s="130" t="s">
        <v>41</v>
      </c>
      <c r="LH78" s="131"/>
      <c r="LI78" s="131"/>
      <c r="LJ78" s="131"/>
      <c r="LK78" s="132"/>
      <c r="LL78" s="128"/>
      <c r="LM78" s="133"/>
      <c r="LN78" s="134"/>
      <c r="LO78" s="135" t="s">
        <v>42</v>
      </c>
      <c r="LP78" s="131"/>
      <c r="LQ78" s="131"/>
      <c r="LR78" s="131"/>
      <c r="LS78" s="132"/>
      <c r="LT78" s="133"/>
      <c r="LU78" s="135" t="s">
        <v>43</v>
      </c>
      <c r="LV78" s="131"/>
      <c r="LW78" s="131"/>
      <c r="LX78" s="131"/>
      <c r="LY78" s="131"/>
      <c r="LZ78" s="132"/>
      <c r="MA78" s="136"/>
      <c r="MB78" s="136"/>
      <c r="MC78" s="136"/>
      <c r="MD78" s="136"/>
      <c r="ME78" s="136"/>
      <c r="MF78" s="136"/>
      <c r="MG78" s="136"/>
      <c r="MH78" s="137" t="s">
        <v>44</v>
      </c>
      <c r="MI78" s="138"/>
      <c r="MJ78" s="138"/>
      <c r="MK78" s="138"/>
      <c r="ML78" s="138"/>
      <c r="MM78" s="138"/>
      <c r="MN78" s="138"/>
      <c r="MO78" s="138"/>
      <c r="MP78" s="138"/>
      <c r="MQ78" s="138"/>
      <c r="MR78" s="138"/>
      <c r="MS78" s="138"/>
      <c r="MT78" s="138"/>
      <c r="MU78" s="138"/>
      <c r="MV78" s="139"/>
      <c r="MW78" s="127" t="s">
        <v>40</v>
      </c>
      <c r="MX78" s="128"/>
      <c r="MY78" s="129"/>
      <c r="MZ78" s="130" t="s">
        <v>41</v>
      </c>
      <c r="NA78" s="131"/>
      <c r="NB78" s="131"/>
      <c r="NC78" s="131"/>
      <c r="ND78" s="132"/>
      <c r="NE78" s="128"/>
      <c r="NF78" s="133"/>
      <c r="NG78" s="134"/>
      <c r="NH78" s="135" t="s">
        <v>42</v>
      </c>
      <c r="NI78" s="131"/>
      <c r="NJ78" s="131"/>
      <c r="NK78" s="131"/>
      <c r="NL78" s="132"/>
      <c r="NM78" s="133"/>
      <c r="NN78" s="135" t="s">
        <v>43</v>
      </c>
      <c r="NO78" s="131"/>
      <c r="NP78" s="131"/>
      <c r="NQ78" s="131"/>
      <c r="NR78" s="131"/>
      <c r="NS78" s="132"/>
      <c r="NT78" s="136"/>
      <c r="NU78" s="136"/>
      <c r="NV78" s="136"/>
      <c r="NW78" s="136"/>
      <c r="NX78" s="136"/>
      <c r="NY78" s="136"/>
      <c r="NZ78" s="136"/>
      <c r="OA78" s="137" t="s">
        <v>44</v>
      </c>
      <c r="OB78" s="138"/>
      <c r="OC78" s="138"/>
      <c r="OD78" s="138"/>
      <c r="OE78" s="138"/>
      <c r="OF78" s="138"/>
      <c r="OG78" s="138"/>
      <c r="OH78" s="138"/>
      <c r="OI78" s="138"/>
      <c r="OJ78" s="138"/>
      <c r="OK78" s="138"/>
      <c r="OL78" s="138"/>
      <c r="OM78" s="138"/>
      <c r="ON78" s="138"/>
      <c r="OO78" s="139"/>
      <c r="OP78" s="127" t="s">
        <v>40</v>
      </c>
      <c r="OQ78" s="128"/>
      <c r="OR78" s="129"/>
      <c r="OS78" s="130" t="s">
        <v>41</v>
      </c>
      <c r="OT78" s="131"/>
      <c r="OU78" s="131"/>
      <c r="OV78" s="131"/>
      <c r="OW78" s="132"/>
      <c r="OX78" s="128"/>
      <c r="OY78" s="133"/>
      <c r="OZ78" s="134"/>
      <c r="PA78" s="135" t="s">
        <v>42</v>
      </c>
      <c r="PB78" s="131"/>
      <c r="PC78" s="131"/>
      <c r="PD78" s="131"/>
      <c r="PE78" s="132"/>
      <c r="PF78" s="133"/>
      <c r="PG78" s="135" t="s">
        <v>43</v>
      </c>
      <c r="PH78" s="131"/>
      <c r="PI78" s="131"/>
      <c r="PJ78" s="131"/>
      <c r="PK78" s="131"/>
      <c r="PL78" s="132"/>
      <c r="PM78" s="136"/>
      <c r="PN78" s="136"/>
      <c r="PO78" s="136"/>
      <c r="PP78" s="136"/>
      <c r="PQ78" s="136"/>
      <c r="PR78" s="136"/>
      <c r="PS78" s="136"/>
      <c r="PT78" s="137" t="s">
        <v>44</v>
      </c>
      <c r="PU78" s="138"/>
      <c r="PV78" s="138"/>
      <c r="PW78" s="138"/>
      <c r="PX78" s="138"/>
      <c r="PY78" s="138"/>
      <c r="PZ78" s="138"/>
      <c r="QA78" s="138"/>
      <c r="QB78" s="138"/>
      <c r="QC78" s="138"/>
      <c r="QD78" s="138"/>
      <c r="QE78" s="138"/>
      <c r="QF78" s="138"/>
      <c r="QG78" s="138"/>
      <c r="QH78" s="139"/>
      <c r="QI78" s="127" t="s">
        <v>40</v>
      </c>
      <c r="QJ78" s="128"/>
      <c r="QK78" s="129"/>
      <c r="QL78" s="130" t="s">
        <v>41</v>
      </c>
      <c r="QM78" s="131"/>
      <c r="QN78" s="131"/>
      <c r="QO78" s="131"/>
      <c r="QP78" s="132"/>
      <c r="QQ78" s="128"/>
      <c r="QR78" s="133"/>
      <c r="QS78" s="134"/>
      <c r="QT78" s="135" t="s">
        <v>42</v>
      </c>
      <c r="QU78" s="131"/>
      <c r="QV78" s="131"/>
      <c r="QW78" s="131"/>
      <c r="QX78" s="132"/>
      <c r="QY78" s="133"/>
      <c r="QZ78" s="135" t="s">
        <v>43</v>
      </c>
      <c r="RA78" s="131"/>
      <c r="RB78" s="131"/>
      <c r="RC78" s="131"/>
      <c r="RD78" s="131"/>
      <c r="RE78" s="132"/>
      <c r="RF78" s="136"/>
      <c r="RG78" s="136"/>
      <c r="RH78" s="136"/>
      <c r="RI78" s="136"/>
      <c r="RJ78" s="136"/>
      <c r="RK78" s="136"/>
      <c r="RL78" s="136"/>
      <c r="RM78" s="137" t="s">
        <v>44</v>
      </c>
      <c r="RN78" s="138"/>
      <c r="RO78" s="138"/>
      <c r="RP78" s="138"/>
      <c r="RQ78" s="138"/>
      <c r="RR78" s="138"/>
      <c r="RS78" s="138"/>
      <c r="RT78" s="138"/>
      <c r="RU78" s="138"/>
      <c r="RV78" s="138"/>
      <c r="RW78" s="138"/>
      <c r="RX78" s="138"/>
      <c r="RY78" s="138"/>
      <c r="RZ78" s="138"/>
      <c r="SA78" s="139"/>
      <c r="SB78" s="127" t="s">
        <v>40</v>
      </c>
      <c r="SC78" s="128"/>
      <c r="SD78" s="129"/>
      <c r="SE78" s="130" t="s">
        <v>41</v>
      </c>
      <c r="SF78" s="131"/>
      <c r="SG78" s="131"/>
      <c r="SH78" s="131"/>
      <c r="SI78" s="132"/>
      <c r="SJ78" s="128"/>
      <c r="SK78" s="133"/>
      <c r="SL78" s="134"/>
      <c r="SM78" s="135" t="s">
        <v>42</v>
      </c>
      <c r="SN78" s="131"/>
      <c r="SO78" s="131"/>
      <c r="SP78" s="131"/>
      <c r="SQ78" s="132"/>
      <c r="SR78" s="133"/>
      <c r="SS78" s="135" t="s">
        <v>43</v>
      </c>
      <c r="ST78" s="131"/>
      <c r="SU78" s="131"/>
      <c r="SV78" s="131"/>
      <c r="SW78" s="131"/>
      <c r="SX78" s="132"/>
      <c r="SY78" s="136"/>
      <c r="SZ78" s="136"/>
      <c r="TA78" s="136"/>
      <c r="TB78" s="136"/>
      <c r="TC78" s="136"/>
      <c r="TD78" s="136"/>
      <c r="TE78" s="136"/>
      <c r="TF78" s="137" t="s">
        <v>44</v>
      </c>
      <c r="TG78" s="138"/>
      <c r="TH78" s="138"/>
      <c r="TI78" s="138"/>
      <c r="TJ78" s="138"/>
      <c r="TK78" s="138"/>
      <c r="TL78" s="138"/>
      <c r="TM78" s="138"/>
      <c r="TN78" s="138"/>
      <c r="TO78" s="138"/>
      <c r="TP78" s="138"/>
      <c r="TQ78" s="138"/>
      <c r="TR78" s="138"/>
      <c r="TS78" s="138"/>
      <c r="TT78" s="139"/>
    </row>
    <row r="79" ht="21.0" customHeight="1">
      <c r="A79" s="140" t="s">
        <v>45</v>
      </c>
      <c r="B79" s="141"/>
      <c r="C79" s="142"/>
      <c r="D79" s="143" t="s">
        <v>46</v>
      </c>
      <c r="E79" s="144"/>
      <c r="F79" s="144"/>
      <c r="G79" s="144"/>
      <c r="H79" s="145"/>
      <c r="I79" s="146"/>
      <c r="J79" s="146"/>
      <c r="K79" s="147"/>
      <c r="L79" s="148" t="s">
        <v>47</v>
      </c>
      <c r="M79" s="144"/>
      <c r="N79" s="144"/>
      <c r="O79" s="144"/>
      <c r="P79" s="145"/>
      <c r="Q79" s="146"/>
      <c r="R79" s="148" t="s">
        <v>48</v>
      </c>
      <c r="S79" s="144"/>
      <c r="T79" s="144"/>
      <c r="U79" s="144"/>
      <c r="V79" s="144"/>
      <c r="W79" s="145"/>
      <c r="X79" s="149"/>
      <c r="Y79" s="150"/>
      <c r="Z79" s="151"/>
      <c r="AA79" s="149"/>
      <c r="AB79" s="149"/>
      <c r="AC79" s="150"/>
      <c r="AD79" s="149"/>
      <c r="AE79" s="152"/>
      <c r="AS79" s="153"/>
      <c r="AT79" s="140" t="s">
        <v>45</v>
      </c>
      <c r="AU79" s="141"/>
      <c r="AV79" s="142"/>
      <c r="AW79" s="143" t="s">
        <v>46</v>
      </c>
      <c r="AX79" s="144"/>
      <c r="AY79" s="144"/>
      <c r="AZ79" s="144"/>
      <c r="BA79" s="145"/>
      <c r="BB79" s="146"/>
      <c r="BC79" s="146"/>
      <c r="BD79" s="147"/>
      <c r="BE79" s="148" t="s">
        <v>47</v>
      </c>
      <c r="BF79" s="144"/>
      <c r="BG79" s="144"/>
      <c r="BH79" s="144"/>
      <c r="BI79" s="145"/>
      <c r="BJ79" s="146"/>
      <c r="BK79" s="148" t="s">
        <v>48</v>
      </c>
      <c r="BL79" s="144"/>
      <c r="BM79" s="144"/>
      <c r="BN79" s="144"/>
      <c r="BO79" s="144"/>
      <c r="BP79" s="145"/>
      <c r="BQ79" s="149"/>
      <c r="BR79" s="150"/>
      <c r="BS79" s="151"/>
      <c r="BT79" s="149"/>
      <c r="BU79" s="149"/>
      <c r="BV79" s="150"/>
      <c r="BW79" s="149"/>
      <c r="BX79" s="152"/>
      <c r="CL79" s="153"/>
      <c r="CM79" s="140" t="s">
        <v>45</v>
      </c>
      <c r="CN79" s="141"/>
      <c r="CO79" s="142"/>
      <c r="CP79" s="143" t="s">
        <v>46</v>
      </c>
      <c r="CQ79" s="144"/>
      <c r="CR79" s="144"/>
      <c r="CS79" s="144"/>
      <c r="CT79" s="145"/>
      <c r="CU79" s="146"/>
      <c r="CV79" s="146"/>
      <c r="CW79" s="147"/>
      <c r="CX79" s="148" t="s">
        <v>47</v>
      </c>
      <c r="CY79" s="144"/>
      <c r="CZ79" s="144"/>
      <c r="DA79" s="144"/>
      <c r="DB79" s="145"/>
      <c r="DC79" s="146"/>
      <c r="DD79" s="148" t="s">
        <v>48</v>
      </c>
      <c r="DE79" s="144"/>
      <c r="DF79" s="144"/>
      <c r="DG79" s="144"/>
      <c r="DH79" s="144"/>
      <c r="DI79" s="145"/>
      <c r="DJ79" s="149"/>
      <c r="DK79" s="150"/>
      <c r="DL79" s="151"/>
      <c r="DM79" s="149"/>
      <c r="DN79" s="149"/>
      <c r="DO79" s="150"/>
      <c r="DP79" s="149"/>
      <c r="DQ79" s="152"/>
      <c r="EE79" s="153"/>
      <c r="EF79" s="140" t="s">
        <v>45</v>
      </c>
      <c r="EG79" s="141"/>
      <c r="EH79" s="142"/>
      <c r="EI79" s="143" t="s">
        <v>46</v>
      </c>
      <c r="EJ79" s="144"/>
      <c r="EK79" s="144"/>
      <c r="EL79" s="144"/>
      <c r="EM79" s="145"/>
      <c r="EN79" s="146"/>
      <c r="EO79" s="146"/>
      <c r="EP79" s="147"/>
      <c r="EQ79" s="148" t="s">
        <v>47</v>
      </c>
      <c r="ER79" s="144"/>
      <c r="ES79" s="144"/>
      <c r="ET79" s="144"/>
      <c r="EU79" s="145"/>
      <c r="EV79" s="146"/>
      <c r="EW79" s="148" t="s">
        <v>48</v>
      </c>
      <c r="EX79" s="144"/>
      <c r="EY79" s="144"/>
      <c r="EZ79" s="144"/>
      <c r="FA79" s="144"/>
      <c r="FB79" s="145"/>
      <c r="FC79" s="149"/>
      <c r="FD79" s="150"/>
      <c r="FE79" s="151"/>
      <c r="FF79" s="149"/>
      <c r="FG79" s="149"/>
      <c r="FH79" s="150"/>
      <c r="FI79" s="149"/>
      <c r="FJ79" s="152"/>
      <c r="FX79" s="153"/>
      <c r="FY79" s="140" t="s">
        <v>45</v>
      </c>
      <c r="FZ79" s="141"/>
      <c r="GA79" s="142"/>
      <c r="GB79" s="143" t="s">
        <v>46</v>
      </c>
      <c r="GC79" s="144"/>
      <c r="GD79" s="144"/>
      <c r="GE79" s="144"/>
      <c r="GF79" s="145"/>
      <c r="GG79" s="146"/>
      <c r="GH79" s="146"/>
      <c r="GI79" s="147"/>
      <c r="GJ79" s="148" t="s">
        <v>47</v>
      </c>
      <c r="GK79" s="144"/>
      <c r="GL79" s="144"/>
      <c r="GM79" s="144"/>
      <c r="GN79" s="145"/>
      <c r="GO79" s="146"/>
      <c r="GP79" s="148" t="s">
        <v>48</v>
      </c>
      <c r="GQ79" s="144"/>
      <c r="GR79" s="144"/>
      <c r="GS79" s="144"/>
      <c r="GT79" s="144"/>
      <c r="GU79" s="145"/>
      <c r="GV79" s="149"/>
      <c r="GW79" s="150"/>
      <c r="GX79" s="151"/>
      <c r="GY79" s="149"/>
      <c r="GZ79" s="149"/>
      <c r="HA79" s="150"/>
      <c r="HB79" s="149"/>
      <c r="HC79" s="152"/>
      <c r="HQ79" s="153"/>
      <c r="HR79" s="140" t="s">
        <v>45</v>
      </c>
      <c r="HS79" s="141"/>
      <c r="HT79" s="142"/>
      <c r="HU79" s="143" t="s">
        <v>46</v>
      </c>
      <c r="HV79" s="144"/>
      <c r="HW79" s="144"/>
      <c r="HX79" s="144"/>
      <c r="HY79" s="145"/>
      <c r="HZ79" s="146"/>
      <c r="IA79" s="146"/>
      <c r="IB79" s="147"/>
      <c r="IC79" s="148" t="s">
        <v>47</v>
      </c>
      <c r="ID79" s="144"/>
      <c r="IE79" s="144"/>
      <c r="IF79" s="144"/>
      <c r="IG79" s="145"/>
      <c r="IH79" s="146"/>
      <c r="II79" s="148" t="s">
        <v>48</v>
      </c>
      <c r="IJ79" s="144"/>
      <c r="IK79" s="144"/>
      <c r="IL79" s="144"/>
      <c r="IM79" s="144"/>
      <c r="IN79" s="145"/>
      <c r="IO79" s="149"/>
      <c r="IP79" s="150"/>
      <c r="IQ79" s="151"/>
      <c r="IR79" s="149"/>
      <c r="IS79" s="149"/>
      <c r="IT79" s="150"/>
      <c r="IU79" s="149"/>
      <c r="IV79" s="152"/>
      <c r="JJ79" s="153"/>
      <c r="JK79" s="140" t="s">
        <v>45</v>
      </c>
      <c r="JL79" s="141"/>
      <c r="JM79" s="142"/>
      <c r="JN79" s="143" t="s">
        <v>46</v>
      </c>
      <c r="JO79" s="144"/>
      <c r="JP79" s="144"/>
      <c r="JQ79" s="144"/>
      <c r="JR79" s="145"/>
      <c r="JS79" s="146"/>
      <c r="JT79" s="146"/>
      <c r="JU79" s="147"/>
      <c r="JV79" s="148" t="s">
        <v>47</v>
      </c>
      <c r="JW79" s="144"/>
      <c r="JX79" s="144"/>
      <c r="JY79" s="144"/>
      <c r="JZ79" s="145"/>
      <c r="KA79" s="146"/>
      <c r="KB79" s="148" t="s">
        <v>48</v>
      </c>
      <c r="KC79" s="144"/>
      <c r="KD79" s="144"/>
      <c r="KE79" s="144"/>
      <c r="KF79" s="144"/>
      <c r="KG79" s="145"/>
      <c r="KH79" s="149"/>
      <c r="KI79" s="150"/>
      <c r="KJ79" s="151"/>
      <c r="KK79" s="149"/>
      <c r="KL79" s="149"/>
      <c r="KM79" s="150"/>
      <c r="KN79" s="149"/>
      <c r="KO79" s="152"/>
      <c r="LC79" s="153"/>
      <c r="LD79" s="140" t="s">
        <v>45</v>
      </c>
      <c r="LE79" s="141"/>
      <c r="LF79" s="142"/>
      <c r="LG79" s="143" t="s">
        <v>46</v>
      </c>
      <c r="LH79" s="144"/>
      <c r="LI79" s="144"/>
      <c r="LJ79" s="144"/>
      <c r="LK79" s="145"/>
      <c r="LL79" s="146"/>
      <c r="LM79" s="146"/>
      <c r="LN79" s="147"/>
      <c r="LO79" s="148" t="s">
        <v>47</v>
      </c>
      <c r="LP79" s="144"/>
      <c r="LQ79" s="144"/>
      <c r="LR79" s="144"/>
      <c r="LS79" s="145"/>
      <c r="LT79" s="146"/>
      <c r="LU79" s="148" t="s">
        <v>48</v>
      </c>
      <c r="LV79" s="144"/>
      <c r="LW79" s="144"/>
      <c r="LX79" s="144"/>
      <c r="LY79" s="144"/>
      <c r="LZ79" s="145"/>
      <c r="MA79" s="149"/>
      <c r="MB79" s="150"/>
      <c r="MC79" s="151"/>
      <c r="MD79" s="149"/>
      <c r="ME79" s="149"/>
      <c r="MF79" s="150"/>
      <c r="MG79" s="149"/>
      <c r="MH79" s="152"/>
      <c r="MV79" s="153"/>
      <c r="MW79" s="140" t="s">
        <v>45</v>
      </c>
      <c r="MX79" s="141"/>
      <c r="MY79" s="142"/>
      <c r="MZ79" s="143" t="s">
        <v>46</v>
      </c>
      <c r="NA79" s="144"/>
      <c r="NB79" s="144"/>
      <c r="NC79" s="144"/>
      <c r="ND79" s="145"/>
      <c r="NE79" s="146"/>
      <c r="NF79" s="146"/>
      <c r="NG79" s="147"/>
      <c r="NH79" s="148" t="s">
        <v>47</v>
      </c>
      <c r="NI79" s="144"/>
      <c r="NJ79" s="144"/>
      <c r="NK79" s="144"/>
      <c r="NL79" s="145"/>
      <c r="NM79" s="146"/>
      <c r="NN79" s="148" t="s">
        <v>48</v>
      </c>
      <c r="NO79" s="144"/>
      <c r="NP79" s="144"/>
      <c r="NQ79" s="144"/>
      <c r="NR79" s="144"/>
      <c r="NS79" s="145"/>
      <c r="NT79" s="149"/>
      <c r="NU79" s="150"/>
      <c r="NV79" s="151"/>
      <c r="NW79" s="149"/>
      <c r="NX79" s="149"/>
      <c r="NY79" s="150"/>
      <c r="NZ79" s="149"/>
      <c r="OA79" s="152"/>
      <c r="OO79" s="153"/>
      <c r="OP79" s="140" t="s">
        <v>45</v>
      </c>
      <c r="OQ79" s="141"/>
      <c r="OR79" s="142"/>
      <c r="OS79" s="143" t="s">
        <v>46</v>
      </c>
      <c r="OT79" s="144"/>
      <c r="OU79" s="144"/>
      <c r="OV79" s="144"/>
      <c r="OW79" s="145"/>
      <c r="OX79" s="146"/>
      <c r="OY79" s="146"/>
      <c r="OZ79" s="147"/>
      <c r="PA79" s="148" t="s">
        <v>47</v>
      </c>
      <c r="PB79" s="144"/>
      <c r="PC79" s="144"/>
      <c r="PD79" s="144"/>
      <c r="PE79" s="145"/>
      <c r="PF79" s="146"/>
      <c r="PG79" s="148" t="s">
        <v>48</v>
      </c>
      <c r="PH79" s="144"/>
      <c r="PI79" s="144"/>
      <c r="PJ79" s="144"/>
      <c r="PK79" s="144"/>
      <c r="PL79" s="145"/>
      <c r="PM79" s="149"/>
      <c r="PN79" s="150"/>
      <c r="PO79" s="151"/>
      <c r="PP79" s="149"/>
      <c r="PQ79" s="149"/>
      <c r="PR79" s="150"/>
      <c r="PS79" s="149"/>
      <c r="PT79" s="152"/>
      <c r="QH79" s="153"/>
      <c r="QI79" s="140" t="s">
        <v>45</v>
      </c>
      <c r="QJ79" s="141"/>
      <c r="QK79" s="142"/>
      <c r="QL79" s="143" t="s">
        <v>46</v>
      </c>
      <c r="QM79" s="144"/>
      <c r="QN79" s="144"/>
      <c r="QO79" s="144"/>
      <c r="QP79" s="145"/>
      <c r="QQ79" s="146"/>
      <c r="QR79" s="146"/>
      <c r="QS79" s="147"/>
      <c r="QT79" s="148" t="s">
        <v>47</v>
      </c>
      <c r="QU79" s="144"/>
      <c r="QV79" s="144"/>
      <c r="QW79" s="144"/>
      <c r="QX79" s="145"/>
      <c r="QY79" s="146"/>
      <c r="QZ79" s="148" t="s">
        <v>48</v>
      </c>
      <c r="RA79" s="144"/>
      <c r="RB79" s="144"/>
      <c r="RC79" s="144"/>
      <c r="RD79" s="144"/>
      <c r="RE79" s="145"/>
      <c r="RF79" s="149"/>
      <c r="RG79" s="150"/>
      <c r="RH79" s="151"/>
      <c r="RI79" s="149"/>
      <c r="RJ79" s="149"/>
      <c r="RK79" s="150"/>
      <c r="RL79" s="149"/>
      <c r="RM79" s="152"/>
      <c r="SA79" s="153"/>
      <c r="SB79" s="140" t="s">
        <v>45</v>
      </c>
      <c r="SC79" s="141"/>
      <c r="SD79" s="142"/>
      <c r="SE79" s="143" t="s">
        <v>46</v>
      </c>
      <c r="SF79" s="144"/>
      <c r="SG79" s="144"/>
      <c r="SH79" s="144"/>
      <c r="SI79" s="145"/>
      <c r="SJ79" s="146"/>
      <c r="SK79" s="146"/>
      <c r="SL79" s="147"/>
      <c r="SM79" s="148" t="s">
        <v>47</v>
      </c>
      <c r="SN79" s="144"/>
      <c r="SO79" s="144"/>
      <c r="SP79" s="144"/>
      <c r="SQ79" s="145"/>
      <c r="SR79" s="146"/>
      <c r="SS79" s="148" t="s">
        <v>48</v>
      </c>
      <c r="ST79" s="144"/>
      <c r="SU79" s="144"/>
      <c r="SV79" s="144"/>
      <c r="SW79" s="144"/>
      <c r="SX79" s="145"/>
      <c r="SY79" s="149"/>
      <c r="SZ79" s="150"/>
      <c r="TA79" s="151"/>
      <c r="TB79" s="149"/>
      <c r="TC79" s="149"/>
      <c r="TD79" s="150"/>
      <c r="TE79" s="149"/>
      <c r="TF79" s="152"/>
      <c r="TT79" s="153"/>
    </row>
    <row r="80" ht="11.25" customHeight="1">
      <c r="A80" s="140" t="s">
        <v>49</v>
      </c>
      <c r="B80" s="141"/>
      <c r="C80" s="142"/>
      <c r="D80" s="143" t="s">
        <v>50</v>
      </c>
      <c r="E80" s="144"/>
      <c r="F80" s="144"/>
      <c r="G80" s="144"/>
      <c r="H80" s="145"/>
      <c r="I80" s="146"/>
      <c r="J80" s="146"/>
      <c r="K80" s="147"/>
      <c r="L80" s="154" t="s">
        <v>51</v>
      </c>
      <c r="M80" s="146"/>
      <c r="N80" s="146"/>
      <c r="O80" s="147"/>
      <c r="P80" s="146"/>
      <c r="Q80" s="146"/>
      <c r="R80" s="148" t="s">
        <v>52</v>
      </c>
      <c r="S80" s="144"/>
      <c r="T80" s="144"/>
      <c r="U80" s="144"/>
      <c r="V80" s="144"/>
      <c r="W80" s="145"/>
      <c r="X80" s="149"/>
      <c r="Y80" s="150"/>
      <c r="Z80" s="151"/>
      <c r="AA80" s="149"/>
      <c r="AB80" s="149"/>
      <c r="AC80" s="150"/>
      <c r="AD80" s="149"/>
      <c r="AE80" s="152"/>
      <c r="AS80" s="153"/>
      <c r="AT80" s="140" t="s">
        <v>49</v>
      </c>
      <c r="AU80" s="141"/>
      <c r="AV80" s="142"/>
      <c r="AW80" s="143" t="s">
        <v>50</v>
      </c>
      <c r="AX80" s="144"/>
      <c r="AY80" s="144"/>
      <c r="AZ80" s="144"/>
      <c r="BA80" s="145"/>
      <c r="BB80" s="146"/>
      <c r="BC80" s="146"/>
      <c r="BD80" s="147"/>
      <c r="BE80" s="154" t="s">
        <v>51</v>
      </c>
      <c r="BF80" s="146"/>
      <c r="BG80" s="146"/>
      <c r="BH80" s="147"/>
      <c r="BI80" s="146"/>
      <c r="BJ80" s="146"/>
      <c r="BK80" s="148" t="s">
        <v>52</v>
      </c>
      <c r="BL80" s="144"/>
      <c r="BM80" s="144"/>
      <c r="BN80" s="144"/>
      <c r="BO80" s="144"/>
      <c r="BP80" s="145"/>
      <c r="BQ80" s="149"/>
      <c r="BR80" s="150"/>
      <c r="BS80" s="151"/>
      <c r="BT80" s="149"/>
      <c r="BU80" s="149"/>
      <c r="BV80" s="150"/>
      <c r="BW80" s="149"/>
      <c r="BX80" s="152"/>
      <c r="CL80" s="153"/>
      <c r="CM80" s="140" t="s">
        <v>49</v>
      </c>
      <c r="CN80" s="141"/>
      <c r="CO80" s="142"/>
      <c r="CP80" s="143" t="s">
        <v>50</v>
      </c>
      <c r="CQ80" s="144"/>
      <c r="CR80" s="144"/>
      <c r="CS80" s="144"/>
      <c r="CT80" s="145"/>
      <c r="CU80" s="146"/>
      <c r="CV80" s="146"/>
      <c r="CW80" s="147"/>
      <c r="CX80" s="154" t="s">
        <v>51</v>
      </c>
      <c r="CY80" s="146"/>
      <c r="CZ80" s="146"/>
      <c r="DA80" s="147"/>
      <c r="DB80" s="146"/>
      <c r="DC80" s="146"/>
      <c r="DD80" s="148" t="s">
        <v>52</v>
      </c>
      <c r="DE80" s="144"/>
      <c r="DF80" s="144"/>
      <c r="DG80" s="144"/>
      <c r="DH80" s="144"/>
      <c r="DI80" s="145"/>
      <c r="DJ80" s="149"/>
      <c r="DK80" s="150"/>
      <c r="DL80" s="151"/>
      <c r="DM80" s="149"/>
      <c r="DN80" s="149"/>
      <c r="DO80" s="150"/>
      <c r="DP80" s="149"/>
      <c r="DQ80" s="152"/>
      <c r="EE80" s="153"/>
      <c r="EF80" s="140" t="s">
        <v>49</v>
      </c>
      <c r="EG80" s="141"/>
      <c r="EH80" s="142"/>
      <c r="EI80" s="143" t="s">
        <v>50</v>
      </c>
      <c r="EJ80" s="144"/>
      <c r="EK80" s="144"/>
      <c r="EL80" s="144"/>
      <c r="EM80" s="145"/>
      <c r="EN80" s="146"/>
      <c r="EO80" s="146"/>
      <c r="EP80" s="147"/>
      <c r="EQ80" s="154" t="s">
        <v>51</v>
      </c>
      <c r="ER80" s="146"/>
      <c r="ES80" s="146"/>
      <c r="ET80" s="147"/>
      <c r="EU80" s="146"/>
      <c r="EV80" s="146"/>
      <c r="EW80" s="148" t="s">
        <v>52</v>
      </c>
      <c r="EX80" s="144"/>
      <c r="EY80" s="144"/>
      <c r="EZ80" s="144"/>
      <c r="FA80" s="144"/>
      <c r="FB80" s="145"/>
      <c r="FC80" s="149"/>
      <c r="FD80" s="150"/>
      <c r="FE80" s="151"/>
      <c r="FF80" s="149"/>
      <c r="FG80" s="149"/>
      <c r="FH80" s="150"/>
      <c r="FI80" s="149"/>
      <c r="FJ80" s="152"/>
      <c r="FX80" s="153"/>
      <c r="FY80" s="140" t="s">
        <v>49</v>
      </c>
      <c r="FZ80" s="141"/>
      <c r="GA80" s="142"/>
      <c r="GB80" s="143" t="s">
        <v>50</v>
      </c>
      <c r="GC80" s="144"/>
      <c r="GD80" s="144"/>
      <c r="GE80" s="144"/>
      <c r="GF80" s="145"/>
      <c r="GG80" s="146"/>
      <c r="GH80" s="146"/>
      <c r="GI80" s="147"/>
      <c r="GJ80" s="154" t="s">
        <v>51</v>
      </c>
      <c r="GK80" s="146"/>
      <c r="GL80" s="146"/>
      <c r="GM80" s="147"/>
      <c r="GN80" s="146"/>
      <c r="GO80" s="146"/>
      <c r="GP80" s="148" t="s">
        <v>52</v>
      </c>
      <c r="GQ80" s="144"/>
      <c r="GR80" s="144"/>
      <c r="GS80" s="144"/>
      <c r="GT80" s="144"/>
      <c r="GU80" s="145"/>
      <c r="GV80" s="149"/>
      <c r="GW80" s="150"/>
      <c r="GX80" s="151"/>
      <c r="GY80" s="149"/>
      <c r="GZ80" s="149"/>
      <c r="HA80" s="150"/>
      <c r="HB80" s="149"/>
      <c r="HC80" s="152"/>
      <c r="HQ80" s="153"/>
      <c r="HR80" s="140" t="s">
        <v>49</v>
      </c>
      <c r="HS80" s="141"/>
      <c r="HT80" s="142"/>
      <c r="HU80" s="143" t="s">
        <v>50</v>
      </c>
      <c r="HV80" s="144"/>
      <c r="HW80" s="144"/>
      <c r="HX80" s="144"/>
      <c r="HY80" s="145"/>
      <c r="HZ80" s="146"/>
      <c r="IA80" s="146"/>
      <c r="IB80" s="147"/>
      <c r="IC80" s="154" t="s">
        <v>51</v>
      </c>
      <c r="ID80" s="146"/>
      <c r="IE80" s="146"/>
      <c r="IF80" s="147"/>
      <c r="IG80" s="146"/>
      <c r="IH80" s="146"/>
      <c r="II80" s="148" t="s">
        <v>52</v>
      </c>
      <c r="IJ80" s="144"/>
      <c r="IK80" s="144"/>
      <c r="IL80" s="144"/>
      <c r="IM80" s="144"/>
      <c r="IN80" s="145"/>
      <c r="IO80" s="149"/>
      <c r="IP80" s="150"/>
      <c r="IQ80" s="151"/>
      <c r="IR80" s="149"/>
      <c r="IS80" s="149"/>
      <c r="IT80" s="150"/>
      <c r="IU80" s="149"/>
      <c r="IV80" s="152"/>
      <c r="JJ80" s="153"/>
      <c r="JK80" s="140" t="s">
        <v>49</v>
      </c>
      <c r="JL80" s="141"/>
      <c r="JM80" s="142"/>
      <c r="JN80" s="143" t="s">
        <v>50</v>
      </c>
      <c r="JO80" s="144"/>
      <c r="JP80" s="144"/>
      <c r="JQ80" s="144"/>
      <c r="JR80" s="145"/>
      <c r="JS80" s="146"/>
      <c r="JT80" s="146"/>
      <c r="JU80" s="147"/>
      <c r="JV80" s="154" t="s">
        <v>51</v>
      </c>
      <c r="JW80" s="146"/>
      <c r="JX80" s="146"/>
      <c r="JY80" s="147"/>
      <c r="JZ80" s="146"/>
      <c r="KA80" s="146"/>
      <c r="KB80" s="148" t="s">
        <v>52</v>
      </c>
      <c r="KC80" s="144"/>
      <c r="KD80" s="144"/>
      <c r="KE80" s="144"/>
      <c r="KF80" s="144"/>
      <c r="KG80" s="145"/>
      <c r="KH80" s="149"/>
      <c r="KI80" s="150"/>
      <c r="KJ80" s="151"/>
      <c r="KK80" s="149"/>
      <c r="KL80" s="149"/>
      <c r="KM80" s="150"/>
      <c r="KN80" s="149"/>
      <c r="KO80" s="152"/>
      <c r="LC80" s="153"/>
      <c r="LD80" s="140" t="s">
        <v>49</v>
      </c>
      <c r="LE80" s="141"/>
      <c r="LF80" s="142"/>
      <c r="LG80" s="143" t="s">
        <v>50</v>
      </c>
      <c r="LH80" s="144"/>
      <c r="LI80" s="144"/>
      <c r="LJ80" s="144"/>
      <c r="LK80" s="145"/>
      <c r="LL80" s="146"/>
      <c r="LM80" s="146"/>
      <c r="LN80" s="147"/>
      <c r="LO80" s="154" t="s">
        <v>51</v>
      </c>
      <c r="LP80" s="146"/>
      <c r="LQ80" s="146"/>
      <c r="LR80" s="147"/>
      <c r="LS80" s="146"/>
      <c r="LT80" s="146"/>
      <c r="LU80" s="148" t="s">
        <v>52</v>
      </c>
      <c r="LV80" s="144"/>
      <c r="LW80" s="144"/>
      <c r="LX80" s="144"/>
      <c r="LY80" s="144"/>
      <c r="LZ80" s="145"/>
      <c r="MA80" s="149"/>
      <c r="MB80" s="150"/>
      <c r="MC80" s="151"/>
      <c r="MD80" s="149"/>
      <c r="ME80" s="149"/>
      <c r="MF80" s="150"/>
      <c r="MG80" s="149"/>
      <c r="MH80" s="152"/>
      <c r="MV80" s="153"/>
      <c r="MW80" s="140" t="s">
        <v>49</v>
      </c>
      <c r="MX80" s="141"/>
      <c r="MY80" s="142"/>
      <c r="MZ80" s="143" t="s">
        <v>50</v>
      </c>
      <c r="NA80" s="144"/>
      <c r="NB80" s="144"/>
      <c r="NC80" s="144"/>
      <c r="ND80" s="145"/>
      <c r="NE80" s="146"/>
      <c r="NF80" s="146"/>
      <c r="NG80" s="147"/>
      <c r="NH80" s="154" t="s">
        <v>51</v>
      </c>
      <c r="NI80" s="146"/>
      <c r="NJ80" s="146"/>
      <c r="NK80" s="147"/>
      <c r="NL80" s="146"/>
      <c r="NM80" s="146"/>
      <c r="NN80" s="148" t="s">
        <v>52</v>
      </c>
      <c r="NO80" s="144"/>
      <c r="NP80" s="144"/>
      <c r="NQ80" s="144"/>
      <c r="NR80" s="144"/>
      <c r="NS80" s="145"/>
      <c r="NT80" s="149"/>
      <c r="NU80" s="150"/>
      <c r="NV80" s="151"/>
      <c r="NW80" s="149"/>
      <c r="NX80" s="149"/>
      <c r="NY80" s="150"/>
      <c r="NZ80" s="149"/>
      <c r="OA80" s="152"/>
      <c r="OO80" s="153"/>
      <c r="OP80" s="140" t="s">
        <v>49</v>
      </c>
      <c r="OQ80" s="141"/>
      <c r="OR80" s="142"/>
      <c r="OS80" s="143" t="s">
        <v>50</v>
      </c>
      <c r="OT80" s="144"/>
      <c r="OU80" s="144"/>
      <c r="OV80" s="144"/>
      <c r="OW80" s="145"/>
      <c r="OX80" s="146"/>
      <c r="OY80" s="146"/>
      <c r="OZ80" s="147"/>
      <c r="PA80" s="154" t="s">
        <v>51</v>
      </c>
      <c r="PB80" s="146"/>
      <c r="PC80" s="146"/>
      <c r="PD80" s="147"/>
      <c r="PE80" s="146"/>
      <c r="PF80" s="146"/>
      <c r="PG80" s="148" t="s">
        <v>52</v>
      </c>
      <c r="PH80" s="144"/>
      <c r="PI80" s="144"/>
      <c r="PJ80" s="144"/>
      <c r="PK80" s="144"/>
      <c r="PL80" s="145"/>
      <c r="PM80" s="149"/>
      <c r="PN80" s="150"/>
      <c r="PO80" s="151"/>
      <c r="PP80" s="149"/>
      <c r="PQ80" s="149"/>
      <c r="PR80" s="150"/>
      <c r="PS80" s="149"/>
      <c r="PT80" s="152"/>
      <c r="QH80" s="153"/>
      <c r="QI80" s="140" t="s">
        <v>49</v>
      </c>
      <c r="QJ80" s="141"/>
      <c r="QK80" s="142"/>
      <c r="QL80" s="143" t="s">
        <v>50</v>
      </c>
      <c r="QM80" s="144"/>
      <c r="QN80" s="144"/>
      <c r="QO80" s="144"/>
      <c r="QP80" s="145"/>
      <c r="QQ80" s="146"/>
      <c r="QR80" s="146"/>
      <c r="QS80" s="147"/>
      <c r="QT80" s="154" t="s">
        <v>51</v>
      </c>
      <c r="QU80" s="146"/>
      <c r="QV80" s="146"/>
      <c r="QW80" s="147"/>
      <c r="QX80" s="146"/>
      <c r="QY80" s="146"/>
      <c r="QZ80" s="148" t="s">
        <v>52</v>
      </c>
      <c r="RA80" s="144"/>
      <c r="RB80" s="144"/>
      <c r="RC80" s="144"/>
      <c r="RD80" s="144"/>
      <c r="RE80" s="145"/>
      <c r="RF80" s="149"/>
      <c r="RG80" s="150"/>
      <c r="RH80" s="151"/>
      <c r="RI80" s="149"/>
      <c r="RJ80" s="149"/>
      <c r="RK80" s="150"/>
      <c r="RL80" s="149"/>
      <c r="RM80" s="152"/>
      <c r="SA80" s="153"/>
      <c r="SB80" s="140" t="s">
        <v>49</v>
      </c>
      <c r="SC80" s="141"/>
      <c r="SD80" s="142"/>
      <c r="SE80" s="143" t="s">
        <v>50</v>
      </c>
      <c r="SF80" s="144"/>
      <c r="SG80" s="144"/>
      <c r="SH80" s="144"/>
      <c r="SI80" s="145"/>
      <c r="SJ80" s="146"/>
      <c r="SK80" s="146"/>
      <c r="SL80" s="147"/>
      <c r="SM80" s="154" t="s">
        <v>51</v>
      </c>
      <c r="SN80" s="146"/>
      <c r="SO80" s="146"/>
      <c r="SP80" s="147"/>
      <c r="SQ80" s="146"/>
      <c r="SR80" s="146"/>
      <c r="SS80" s="148" t="s">
        <v>52</v>
      </c>
      <c r="ST80" s="144"/>
      <c r="SU80" s="144"/>
      <c r="SV80" s="144"/>
      <c r="SW80" s="144"/>
      <c r="SX80" s="145"/>
      <c r="SY80" s="149"/>
      <c r="SZ80" s="150"/>
      <c r="TA80" s="151"/>
      <c r="TB80" s="149"/>
      <c r="TC80" s="149"/>
      <c r="TD80" s="150"/>
      <c r="TE80" s="149"/>
      <c r="TF80" s="152"/>
      <c r="TT80" s="153"/>
    </row>
    <row r="81" ht="12.75" customHeight="1">
      <c r="A81" s="155" t="s">
        <v>53</v>
      </c>
      <c r="B81" s="156"/>
      <c r="C81" s="157"/>
      <c r="D81" s="158" t="s">
        <v>54</v>
      </c>
      <c r="E81" s="159"/>
      <c r="F81" s="159"/>
      <c r="G81" s="159"/>
      <c r="H81" s="160"/>
      <c r="I81" s="159"/>
      <c r="J81" s="159"/>
      <c r="K81" s="160"/>
      <c r="L81" s="161" t="s">
        <v>55</v>
      </c>
      <c r="M81" s="162"/>
      <c r="N81" s="162"/>
      <c r="O81" s="162"/>
      <c r="P81" s="156"/>
      <c r="Q81" s="159"/>
      <c r="R81" s="161" t="s">
        <v>56</v>
      </c>
      <c r="S81" s="162"/>
      <c r="T81" s="162"/>
      <c r="U81" s="162"/>
      <c r="V81" s="162"/>
      <c r="W81" s="156"/>
      <c r="X81" s="163"/>
      <c r="Y81" s="164"/>
      <c r="Z81" s="165"/>
      <c r="AA81" s="163"/>
      <c r="AB81" s="163"/>
      <c r="AC81" s="164"/>
      <c r="AD81" s="163"/>
      <c r="AE81" s="166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8"/>
      <c r="AT81" s="155" t="s">
        <v>53</v>
      </c>
      <c r="AU81" s="156"/>
      <c r="AV81" s="157"/>
      <c r="AW81" s="158" t="s">
        <v>54</v>
      </c>
      <c r="AX81" s="159"/>
      <c r="AY81" s="159"/>
      <c r="AZ81" s="159"/>
      <c r="BA81" s="160"/>
      <c r="BB81" s="159"/>
      <c r="BC81" s="159"/>
      <c r="BD81" s="160"/>
      <c r="BE81" s="161" t="s">
        <v>55</v>
      </c>
      <c r="BF81" s="162"/>
      <c r="BG81" s="162"/>
      <c r="BH81" s="162"/>
      <c r="BI81" s="156"/>
      <c r="BJ81" s="159"/>
      <c r="BK81" s="161" t="s">
        <v>56</v>
      </c>
      <c r="BL81" s="162"/>
      <c r="BM81" s="162"/>
      <c r="BN81" s="162"/>
      <c r="BO81" s="162"/>
      <c r="BP81" s="156"/>
      <c r="BQ81" s="163"/>
      <c r="BR81" s="164"/>
      <c r="BS81" s="165"/>
      <c r="BT81" s="163"/>
      <c r="BU81" s="163"/>
      <c r="BV81" s="164"/>
      <c r="BW81" s="163"/>
      <c r="BX81" s="166"/>
      <c r="BY81" s="167"/>
      <c r="BZ81" s="167"/>
      <c r="CA81" s="167"/>
      <c r="CB81" s="167"/>
      <c r="CC81" s="167"/>
      <c r="CD81" s="167"/>
      <c r="CE81" s="167"/>
      <c r="CF81" s="167"/>
      <c r="CG81" s="167"/>
      <c r="CH81" s="167"/>
      <c r="CI81" s="167"/>
      <c r="CJ81" s="167"/>
      <c r="CK81" s="167"/>
      <c r="CL81" s="168"/>
      <c r="CM81" s="155" t="s">
        <v>53</v>
      </c>
      <c r="CN81" s="156"/>
      <c r="CO81" s="157"/>
      <c r="CP81" s="158" t="s">
        <v>54</v>
      </c>
      <c r="CQ81" s="159"/>
      <c r="CR81" s="159"/>
      <c r="CS81" s="159"/>
      <c r="CT81" s="160"/>
      <c r="CU81" s="159"/>
      <c r="CV81" s="159"/>
      <c r="CW81" s="160"/>
      <c r="CX81" s="161" t="s">
        <v>55</v>
      </c>
      <c r="CY81" s="162"/>
      <c r="CZ81" s="162"/>
      <c r="DA81" s="162"/>
      <c r="DB81" s="156"/>
      <c r="DC81" s="159"/>
      <c r="DD81" s="161" t="s">
        <v>56</v>
      </c>
      <c r="DE81" s="162"/>
      <c r="DF81" s="162"/>
      <c r="DG81" s="162"/>
      <c r="DH81" s="162"/>
      <c r="DI81" s="156"/>
      <c r="DJ81" s="163"/>
      <c r="DK81" s="164"/>
      <c r="DL81" s="165"/>
      <c r="DM81" s="163"/>
      <c r="DN81" s="163"/>
      <c r="DO81" s="164"/>
      <c r="DP81" s="163"/>
      <c r="DQ81" s="166"/>
      <c r="DR81" s="167"/>
      <c r="DS81" s="167"/>
      <c r="DT81" s="167"/>
      <c r="DU81" s="167"/>
      <c r="DV81" s="167"/>
      <c r="DW81" s="167"/>
      <c r="DX81" s="167"/>
      <c r="DY81" s="167"/>
      <c r="DZ81" s="167"/>
      <c r="EA81" s="167"/>
      <c r="EB81" s="167"/>
      <c r="EC81" s="167"/>
      <c r="ED81" s="167"/>
      <c r="EE81" s="168"/>
      <c r="EF81" s="155" t="s">
        <v>53</v>
      </c>
      <c r="EG81" s="156"/>
      <c r="EH81" s="157"/>
      <c r="EI81" s="158" t="s">
        <v>54</v>
      </c>
      <c r="EJ81" s="159"/>
      <c r="EK81" s="159"/>
      <c r="EL81" s="159"/>
      <c r="EM81" s="160"/>
      <c r="EN81" s="159"/>
      <c r="EO81" s="159"/>
      <c r="EP81" s="160"/>
      <c r="EQ81" s="161" t="s">
        <v>55</v>
      </c>
      <c r="ER81" s="162"/>
      <c r="ES81" s="162"/>
      <c r="ET81" s="162"/>
      <c r="EU81" s="156"/>
      <c r="EV81" s="159"/>
      <c r="EW81" s="161" t="s">
        <v>56</v>
      </c>
      <c r="EX81" s="162"/>
      <c r="EY81" s="162"/>
      <c r="EZ81" s="162"/>
      <c r="FA81" s="162"/>
      <c r="FB81" s="156"/>
      <c r="FC81" s="163"/>
      <c r="FD81" s="164"/>
      <c r="FE81" s="165"/>
      <c r="FF81" s="163"/>
      <c r="FG81" s="163"/>
      <c r="FH81" s="164"/>
      <c r="FI81" s="163"/>
      <c r="FJ81" s="166"/>
      <c r="FK81" s="167"/>
      <c r="FL81" s="167"/>
      <c r="FM81" s="167"/>
      <c r="FN81" s="167"/>
      <c r="FO81" s="167"/>
      <c r="FP81" s="167"/>
      <c r="FQ81" s="167"/>
      <c r="FR81" s="167"/>
      <c r="FS81" s="167"/>
      <c r="FT81" s="167"/>
      <c r="FU81" s="167"/>
      <c r="FV81" s="167"/>
      <c r="FW81" s="167"/>
      <c r="FX81" s="168"/>
      <c r="FY81" s="155" t="s">
        <v>53</v>
      </c>
      <c r="FZ81" s="156"/>
      <c r="GA81" s="157"/>
      <c r="GB81" s="158" t="s">
        <v>54</v>
      </c>
      <c r="GC81" s="159"/>
      <c r="GD81" s="159"/>
      <c r="GE81" s="159"/>
      <c r="GF81" s="160"/>
      <c r="GG81" s="159"/>
      <c r="GH81" s="159"/>
      <c r="GI81" s="160"/>
      <c r="GJ81" s="161" t="s">
        <v>55</v>
      </c>
      <c r="GK81" s="162"/>
      <c r="GL81" s="162"/>
      <c r="GM81" s="162"/>
      <c r="GN81" s="156"/>
      <c r="GO81" s="159"/>
      <c r="GP81" s="161" t="s">
        <v>56</v>
      </c>
      <c r="GQ81" s="162"/>
      <c r="GR81" s="162"/>
      <c r="GS81" s="162"/>
      <c r="GT81" s="162"/>
      <c r="GU81" s="156"/>
      <c r="GV81" s="163"/>
      <c r="GW81" s="164"/>
      <c r="GX81" s="165"/>
      <c r="GY81" s="163"/>
      <c r="GZ81" s="163"/>
      <c r="HA81" s="164"/>
      <c r="HB81" s="163"/>
      <c r="HC81" s="166"/>
      <c r="HD81" s="167"/>
      <c r="HE81" s="167"/>
      <c r="HF81" s="167"/>
      <c r="HG81" s="167"/>
      <c r="HH81" s="167"/>
      <c r="HI81" s="167"/>
      <c r="HJ81" s="167"/>
      <c r="HK81" s="167"/>
      <c r="HL81" s="167"/>
      <c r="HM81" s="167"/>
      <c r="HN81" s="167"/>
      <c r="HO81" s="167"/>
      <c r="HP81" s="167"/>
      <c r="HQ81" s="168"/>
      <c r="HR81" s="155" t="s">
        <v>53</v>
      </c>
      <c r="HS81" s="156"/>
      <c r="HT81" s="157"/>
      <c r="HU81" s="158" t="s">
        <v>54</v>
      </c>
      <c r="HV81" s="159"/>
      <c r="HW81" s="159"/>
      <c r="HX81" s="159"/>
      <c r="HY81" s="160"/>
      <c r="HZ81" s="159"/>
      <c r="IA81" s="159"/>
      <c r="IB81" s="160"/>
      <c r="IC81" s="161" t="s">
        <v>55</v>
      </c>
      <c r="ID81" s="162"/>
      <c r="IE81" s="162"/>
      <c r="IF81" s="162"/>
      <c r="IG81" s="156"/>
      <c r="IH81" s="159"/>
      <c r="II81" s="161" t="s">
        <v>56</v>
      </c>
      <c r="IJ81" s="162"/>
      <c r="IK81" s="162"/>
      <c r="IL81" s="162"/>
      <c r="IM81" s="162"/>
      <c r="IN81" s="156"/>
      <c r="IO81" s="163"/>
      <c r="IP81" s="164"/>
      <c r="IQ81" s="165"/>
      <c r="IR81" s="163"/>
      <c r="IS81" s="163"/>
      <c r="IT81" s="164"/>
      <c r="IU81" s="163"/>
      <c r="IV81" s="166"/>
      <c r="IW81" s="167"/>
      <c r="IX81" s="167"/>
      <c r="IY81" s="167"/>
      <c r="IZ81" s="167"/>
      <c r="JA81" s="167"/>
      <c r="JB81" s="167"/>
      <c r="JC81" s="167"/>
      <c r="JD81" s="167"/>
      <c r="JE81" s="167"/>
      <c r="JF81" s="167"/>
      <c r="JG81" s="167"/>
      <c r="JH81" s="167"/>
      <c r="JI81" s="167"/>
      <c r="JJ81" s="168"/>
      <c r="JK81" s="155" t="s">
        <v>53</v>
      </c>
      <c r="JL81" s="156"/>
      <c r="JM81" s="157"/>
      <c r="JN81" s="158" t="s">
        <v>54</v>
      </c>
      <c r="JO81" s="159"/>
      <c r="JP81" s="159"/>
      <c r="JQ81" s="159"/>
      <c r="JR81" s="160"/>
      <c r="JS81" s="159"/>
      <c r="JT81" s="159"/>
      <c r="JU81" s="160"/>
      <c r="JV81" s="161" t="s">
        <v>55</v>
      </c>
      <c r="JW81" s="162"/>
      <c r="JX81" s="162"/>
      <c r="JY81" s="162"/>
      <c r="JZ81" s="156"/>
      <c r="KA81" s="159"/>
      <c r="KB81" s="161" t="s">
        <v>56</v>
      </c>
      <c r="KC81" s="162"/>
      <c r="KD81" s="162"/>
      <c r="KE81" s="162"/>
      <c r="KF81" s="162"/>
      <c r="KG81" s="156"/>
      <c r="KH81" s="163"/>
      <c r="KI81" s="164"/>
      <c r="KJ81" s="165"/>
      <c r="KK81" s="163"/>
      <c r="KL81" s="163"/>
      <c r="KM81" s="164"/>
      <c r="KN81" s="163"/>
      <c r="KO81" s="166"/>
      <c r="KP81" s="167"/>
      <c r="KQ81" s="167"/>
      <c r="KR81" s="167"/>
      <c r="KS81" s="167"/>
      <c r="KT81" s="167"/>
      <c r="KU81" s="167"/>
      <c r="KV81" s="167"/>
      <c r="KW81" s="167"/>
      <c r="KX81" s="167"/>
      <c r="KY81" s="167"/>
      <c r="KZ81" s="167"/>
      <c r="LA81" s="167"/>
      <c r="LB81" s="167"/>
      <c r="LC81" s="168"/>
      <c r="LD81" s="155" t="s">
        <v>53</v>
      </c>
      <c r="LE81" s="156"/>
      <c r="LF81" s="157"/>
      <c r="LG81" s="158" t="s">
        <v>54</v>
      </c>
      <c r="LH81" s="159"/>
      <c r="LI81" s="159"/>
      <c r="LJ81" s="159"/>
      <c r="LK81" s="160"/>
      <c r="LL81" s="159"/>
      <c r="LM81" s="159"/>
      <c r="LN81" s="160"/>
      <c r="LO81" s="161" t="s">
        <v>55</v>
      </c>
      <c r="LP81" s="162"/>
      <c r="LQ81" s="162"/>
      <c r="LR81" s="162"/>
      <c r="LS81" s="156"/>
      <c r="LT81" s="159"/>
      <c r="LU81" s="161" t="s">
        <v>56</v>
      </c>
      <c r="LV81" s="162"/>
      <c r="LW81" s="162"/>
      <c r="LX81" s="162"/>
      <c r="LY81" s="162"/>
      <c r="LZ81" s="156"/>
      <c r="MA81" s="163"/>
      <c r="MB81" s="164"/>
      <c r="MC81" s="165"/>
      <c r="MD81" s="163"/>
      <c r="ME81" s="163"/>
      <c r="MF81" s="164"/>
      <c r="MG81" s="163"/>
      <c r="MH81" s="166"/>
      <c r="MI81" s="167"/>
      <c r="MJ81" s="167"/>
      <c r="MK81" s="167"/>
      <c r="ML81" s="167"/>
      <c r="MM81" s="167"/>
      <c r="MN81" s="167"/>
      <c r="MO81" s="167"/>
      <c r="MP81" s="167"/>
      <c r="MQ81" s="167"/>
      <c r="MR81" s="167"/>
      <c r="MS81" s="167"/>
      <c r="MT81" s="167"/>
      <c r="MU81" s="167"/>
      <c r="MV81" s="168"/>
      <c r="MW81" s="155" t="s">
        <v>53</v>
      </c>
      <c r="MX81" s="156"/>
      <c r="MY81" s="157"/>
      <c r="MZ81" s="158" t="s">
        <v>54</v>
      </c>
      <c r="NA81" s="159"/>
      <c r="NB81" s="159"/>
      <c r="NC81" s="159"/>
      <c r="ND81" s="160"/>
      <c r="NE81" s="159"/>
      <c r="NF81" s="159"/>
      <c r="NG81" s="160"/>
      <c r="NH81" s="161" t="s">
        <v>55</v>
      </c>
      <c r="NI81" s="162"/>
      <c r="NJ81" s="162"/>
      <c r="NK81" s="162"/>
      <c r="NL81" s="156"/>
      <c r="NM81" s="159"/>
      <c r="NN81" s="161" t="s">
        <v>56</v>
      </c>
      <c r="NO81" s="162"/>
      <c r="NP81" s="162"/>
      <c r="NQ81" s="162"/>
      <c r="NR81" s="162"/>
      <c r="NS81" s="156"/>
      <c r="NT81" s="163"/>
      <c r="NU81" s="164"/>
      <c r="NV81" s="165"/>
      <c r="NW81" s="163"/>
      <c r="NX81" s="163"/>
      <c r="NY81" s="164"/>
      <c r="NZ81" s="163"/>
      <c r="OA81" s="166"/>
      <c r="OB81" s="167"/>
      <c r="OC81" s="167"/>
      <c r="OD81" s="167"/>
      <c r="OE81" s="167"/>
      <c r="OF81" s="167"/>
      <c r="OG81" s="167"/>
      <c r="OH81" s="167"/>
      <c r="OI81" s="167"/>
      <c r="OJ81" s="167"/>
      <c r="OK81" s="167"/>
      <c r="OL81" s="167"/>
      <c r="OM81" s="167"/>
      <c r="ON81" s="167"/>
      <c r="OO81" s="168"/>
      <c r="OP81" s="155" t="s">
        <v>53</v>
      </c>
      <c r="OQ81" s="156"/>
      <c r="OR81" s="157"/>
      <c r="OS81" s="158" t="s">
        <v>54</v>
      </c>
      <c r="OT81" s="159"/>
      <c r="OU81" s="159"/>
      <c r="OV81" s="159"/>
      <c r="OW81" s="160"/>
      <c r="OX81" s="159"/>
      <c r="OY81" s="159"/>
      <c r="OZ81" s="160"/>
      <c r="PA81" s="161" t="s">
        <v>55</v>
      </c>
      <c r="PB81" s="162"/>
      <c r="PC81" s="162"/>
      <c r="PD81" s="162"/>
      <c r="PE81" s="156"/>
      <c r="PF81" s="159"/>
      <c r="PG81" s="161" t="s">
        <v>56</v>
      </c>
      <c r="PH81" s="162"/>
      <c r="PI81" s="162"/>
      <c r="PJ81" s="162"/>
      <c r="PK81" s="162"/>
      <c r="PL81" s="156"/>
      <c r="PM81" s="163"/>
      <c r="PN81" s="164"/>
      <c r="PO81" s="165"/>
      <c r="PP81" s="163"/>
      <c r="PQ81" s="163"/>
      <c r="PR81" s="164"/>
      <c r="PS81" s="163"/>
      <c r="PT81" s="166"/>
      <c r="PU81" s="167"/>
      <c r="PV81" s="167"/>
      <c r="PW81" s="167"/>
      <c r="PX81" s="167"/>
      <c r="PY81" s="167"/>
      <c r="PZ81" s="167"/>
      <c r="QA81" s="167"/>
      <c r="QB81" s="167"/>
      <c r="QC81" s="167"/>
      <c r="QD81" s="167"/>
      <c r="QE81" s="167"/>
      <c r="QF81" s="167"/>
      <c r="QG81" s="167"/>
      <c r="QH81" s="168"/>
      <c r="QI81" s="155" t="s">
        <v>53</v>
      </c>
      <c r="QJ81" s="156"/>
      <c r="QK81" s="157"/>
      <c r="QL81" s="158" t="s">
        <v>54</v>
      </c>
      <c r="QM81" s="159"/>
      <c r="QN81" s="159"/>
      <c r="QO81" s="159"/>
      <c r="QP81" s="160"/>
      <c r="QQ81" s="159"/>
      <c r="QR81" s="159"/>
      <c r="QS81" s="160"/>
      <c r="QT81" s="161" t="s">
        <v>55</v>
      </c>
      <c r="QU81" s="162"/>
      <c r="QV81" s="162"/>
      <c r="QW81" s="162"/>
      <c r="QX81" s="156"/>
      <c r="QY81" s="159"/>
      <c r="QZ81" s="161" t="s">
        <v>56</v>
      </c>
      <c r="RA81" s="162"/>
      <c r="RB81" s="162"/>
      <c r="RC81" s="162"/>
      <c r="RD81" s="162"/>
      <c r="RE81" s="156"/>
      <c r="RF81" s="163"/>
      <c r="RG81" s="164"/>
      <c r="RH81" s="165"/>
      <c r="RI81" s="163"/>
      <c r="RJ81" s="163"/>
      <c r="RK81" s="164"/>
      <c r="RL81" s="163"/>
      <c r="RM81" s="166"/>
      <c r="RN81" s="167"/>
      <c r="RO81" s="167"/>
      <c r="RP81" s="167"/>
      <c r="RQ81" s="167"/>
      <c r="RR81" s="167"/>
      <c r="RS81" s="167"/>
      <c r="RT81" s="167"/>
      <c r="RU81" s="167"/>
      <c r="RV81" s="167"/>
      <c r="RW81" s="167"/>
      <c r="RX81" s="167"/>
      <c r="RY81" s="167"/>
      <c r="RZ81" s="167"/>
      <c r="SA81" s="168"/>
      <c r="SB81" s="155" t="s">
        <v>53</v>
      </c>
      <c r="SC81" s="156"/>
      <c r="SD81" s="157"/>
      <c r="SE81" s="158" t="s">
        <v>54</v>
      </c>
      <c r="SF81" s="159"/>
      <c r="SG81" s="159"/>
      <c r="SH81" s="159"/>
      <c r="SI81" s="160"/>
      <c r="SJ81" s="159"/>
      <c r="SK81" s="159"/>
      <c r="SL81" s="160"/>
      <c r="SM81" s="161" t="s">
        <v>55</v>
      </c>
      <c r="SN81" s="162"/>
      <c r="SO81" s="162"/>
      <c r="SP81" s="162"/>
      <c r="SQ81" s="156"/>
      <c r="SR81" s="159"/>
      <c r="SS81" s="161" t="s">
        <v>56</v>
      </c>
      <c r="ST81" s="162"/>
      <c r="SU81" s="162"/>
      <c r="SV81" s="162"/>
      <c r="SW81" s="162"/>
      <c r="SX81" s="156"/>
      <c r="SY81" s="163"/>
      <c r="SZ81" s="164"/>
      <c r="TA81" s="165"/>
      <c r="TB81" s="163"/>
      <c r="TC81" s="163"/>
      <c r="TD81" s="164"/>
      <c r="TE81" s="163"/>
      <c r="TF81" s="166"/>
      <c r="TG81" s="167"/>
      <c r="TH81" s="167"/>
      <c r="TI81" s="167"/>
      <c r="TJ81" s="167"/>
      <c r="TK81" s="167"/>
      <c r="TL81" s="167"/>
      <c r="TM81" s="167"/>
      <c r="TN81" s="167"/>
      <c r="TO81" s="167"/>
      <c r="TP81" s="167"/>
      <c r="TQ81" s="167"/>
      <c r="TR81" s="167"/>
      <c r="TS81" s="167"/>
      <c r="TT81" s="168"/>
    </row>
  </sheetData>
  <mergeCells count="1464">
    <mergeCell ref="AT7:AV7"/>
    <mergeCell ref="AW7:BZ7"/>
    <mergeCell ref="CM8:CO8"/>
    <mergeCell ref="CM9:CO9"/>
    <mergeCell ref="EF9:EH9"/>
    <mergeCell ref="CM10:CO10"/>
    <mergeCell ref="EF10:EH10"/>
    <mergeCell ref="FY10:GA10"/>
    <mergeCell ref="AT3:AV3"/>
    <mergeCell ref="AT4:AV4"/>
    <mergeCell ref="A5:C5"/>
    <mergeCell ref="AT5:AV5"/>
    <mergeCell ref="CM5:CO5"/>
    <mergeCell ref="A7:C7"/>
    <mergeCell ref="D7:AG7"/>
    <mergeCell ref="CM7:CO7"/>
    <mergeCell ref="RQ7:RS7"/>
    <mergeCell ref="RT7:SA7"/>
    <mergeCell ref="SB7:SD7"/>
    <mergeCell ref="SB8:SD8"/>
    <mergeCell ref="QI9:QK9"/>
    <mergeCell ref="SB9:SD9"/>
    <mergeCell ref="QI10:QK10"/>
    <mergeCell ref="SB10:SD10"/>
    <mergeCell ref="EF8:EH8"/>
    <mergeCell ref="FY8:GA8"/>
    <mergeCell ref="HR8:HT8"/>
    <mergeCell ref="JK8:JM8"/>
    <mergeCell ref="LD8:LF8"/>
    <mergeCell ref="MW8:MY8"/>
    <mergeCell ref="OP8:OR8"/>
    <mergeCell ref="QI8:QK8"/>
    <mergeCell ref="CB7:CD7"/>
    <mergeCell ref="CE7:CL7"/>
    <mergeCell ref="CP7:DS7"/>
    <mergeCell ref="DU7:DW7"/>
    <mergeCell ref="DX7:EE7"/>
    <mergeCell ref="EF7:EH7"/>
    <mergeCell ref="EI7:FL7"/>
    <mergeCell ref="KV7:LC7"/>
    <mergeCell ref="LD9:LF9"/>
    <mergeCell ref="MW9:MY9"/>
    <mergeCell ref="OP9:OR9"/>
    <mergeCell ref="LD10:LF10"/>
    <mergeCell ref="MW10:MY10"/>
    <mergeCell ref="OP10:OR10"/>
    <mergeCell ref="AI7:AK7"/>
    <mergeCell ref="AL7:AS7"/>
    <mergeCell ref="A8:C8"/>
    <mergeCell ref="AT8:AV8"/>
    <mergeCell ref="A9:C9"/>
    <mergeCell ref="AT9:AV9"/>
    <mergeCell ref="AT10:AV10"/>
    <mergeCell ref="HJ12:HQ12"/>
    <mergeCell ref="HR13:HT13"/>
    <mergeCell ref="HR12:HT12"/>
    <mergeCell ref="HU12:IX12"/>
    <mergeCell ref="IZ12:JB12"/>
    <mergeCell ref="JC12:JJ12"/>
    <mergeCell ref="JK12:JM12"/>
    <mergeCell ref="JN12:KQ12"/>
    <mergeCell ref="JK13:JM13"/>
    <mergeCell ref="QL12:RO12"/>
    <mergeCell ref="RQ12:RS12"/>
    <mergeCell ref="RT12:SA12"/>
    <mergeCell ref="SB12:SD12"/>
    <mergeCell ref="SE12:TH12"/>
    <mergeCell ref="TJ12:TL12"/>
    <mergeCell ref="TM12:TT12"/>
    <mergeCell ref="OE12:OG12"/>
    <mergeCell ref="OH12:OO12"/>
    <mergeCell ref="OP12:OR12"/>
    <mergeCell ref="OS12:PV12"/>
    <mergeCell ref="PX12:PZ12"/>
    <mergeCell ref="QA12:QH12"/>
    <mergeCell ref="QI12:QK12"/>
    <mergeCell ref="AT12:AV12"/>
    <mergeCell ref="AT13:AV13"/>
    <mergeCell ref="A10:C10"/>
    <mergeCell ref="A12:C12"/>
    <mergeCell ref="D12:AG12"/>
    <mergeCell ref="AI12:AK12"/>
    <mergeCell ref="AL12:AS12"/>
    <mergeCell ref="AW12:BZ12"/>
    <mergeCell ref="A13:C13"/>
    <mergeCell ref="EI12:FL12"/>
    <mergeCell ref="FN12:FP12"/>
    <mergeCell ref="FQ12:FX12"/>
    <mergeCell ref="FY12:GA12"/>
    <mergeCell ref="GB12:HE12"/>
    <mergeCell ref="HG12:HI12"/>
    <mergeCell ref="FY13:GA13"/>
    <mergeCell ref="KS12:KU12"/>
    <mergeCell ref="LD13:LF13"/>
    <mergeCell ref="MW13:MY13"/>
    <mergeCell ref="OP13:OR13"/>
    <mergeCell ref="QI13:QK13"/>
    <mergeCell ref="SB13:SD13"/>
    <mergeCell ref="KV12:LC12"/>
    <mergeCell ref="LD12:LF12"/>
    <mergeCell ref="LG12:MJ12"/>
    <mergeCell ref="ML12:MN12"/>
    <mergeCell ref="MO12:MV12"/>
    <mergeCell ref="MW12:MY12"/>
    <mergeCell ref="MZ12:OC12"/>
    <mergeCell ref="QA2:QH2"/>
    <mergeCell ref="QI2:QK2"/>
    <mergeCell ref="ML2:MN2"/>
    <mergeCell ref="MO2:MV2"/>
    <mergeCell ref="MW2:MY2"/>
    <mergeCell ref="OE2:OG2"/>
    <mergeCell ref="OH2:OO2"/>
    <mergeCell ref="OP2:OR2"/>
    <mergeCell ref="PX2:PZ2"/>
    <mergeCell ref="EI1:FX1"/>
    <mergeCell ref="FY1:GA1"/>
    <mergeCell ref="GB1:HQ1"/>
    <mergeCell ref="HR1:HT1"/>
    <mergeCell ref="HU1:JJ1"/>
    <mergeCell ref="JK1:JM1"/>
    <mergeCell ref="JN1:LC1"/>
    <mergeCell ref="QL1:SA1"/>
    <mergeCell ref="SB1:SD1"/>
    <mergeCell ref="SE1:TT1"/>
    <mergeCell ref="RQ2:RS2"/>
    <mergeCell ref="RT2:SA2"/>
    <mergeCell ref="SB2:SD2"/>
    <mergeCell ref="TJ2:TL2"/>
    <mergeCell ref="TM2:TT2"/>
    <mergeCell ref="AT1:AV1"/>
    <mergeCell ref="AI2:AK2"/>
    <mergeCell ref="AL2:AS2"/>
    <mergeCell ref="AT2:AV2"/>
    <mergeCell ref="CB2:CD2"/>
    <mergeCell ref="CE2:CL2"/>
    <mergeCell ref="A1:C1"/>
    <mergeCell ref="D1:AS1"/>
    <mergeCell ref="AW1:CL1"/>
    <mergeCell ref="CM1:CO1"/>
    <mergeCell ref="CP1:EE1"/>
    <mergeCell ref="A2:C2"/>
    <mergeCell ref="CM2:CO2"/>
    <mergeCell ref="EF1:EH1"/>
    <mergeCell ref="DU2:DW2"/>
    <mergeCell ref="DX2:EE2"/>
    <mergeCell ref="EF2:EH2"/>
    <mergeCell ref="FN2:FP2"/>
    <mergeCell ref="FQ2:FX2"/>
    <mergeCell ref="FY2:GA2"/>
    <mergeCell ref="LD1:LF1"/>
    <mergeCell ref="LG1:MV1"/>
    <mergeCell ref="MW1:MY1"/>
    <mergeCell ref="MZ1:OO1"/>
    <mergeCell ref="OP1:OR1"/>
    <mergeCell ref="OS1:QH1"/>
    <mergeCell ref="QI1:QK1"/>
    <mergeCell ref="KV2:LC2"/>
    <mergeCell ref="LD2:LF2"/>
    <mergeCell ref="LD3:LF3"/>
    <mergeCell ref="LD4:LF4"/>
    <mergeCell ref="MW4:MY4"/>
    <mergeCell ref="OP4:OR4"/>
    <mergeCell ref="QI4:QK4"/>
    <mergeCell ref="SB4:SD4"/>
    <mergeCell ref="HG2:HI2"/>
    <mergeCell ref="HJ2:HQ2"/>
    <mergeCell ref="HR2:HT2"/>
    <mergeCell ref="IZ2:JB2"/>
    <mergeCell ref="JC2:JJ2"/>
    <mergeCell ref="JK2:JM2"/>
    <mergeCell ref="KS2:KU2"/>
    <mergeCell ref="MW3:MY3"/>
    <mergeCell ref="OP3:OR3"/>
    <mergeCell ref="QI3:QK3"/>
    <mergeCell ref="SB3:SD3"/>
    <mergeCell ref="EF3:EH3"/>
    <mergeCell ref="EF4:EH4"/>
    <mergeCell ref="EF5:EH5"/>
    <mergeCell ref="FY5:GA5"/>
    <mergeCell ref="A3:C3"/>
    <mergeCell ref="CM3:CO3"/>
    <mergeCell ref="FY3:GA3"/>
    <mergeCell ref="JK3:JM3"/>
    <mergeCell ref="A4:C4"/>
    <mergeCell ref="CM4:CO4"/>
    <mergeCell ref="FY4:GA4"/>
    <mergeCell ref="JK4:JM4"/>
    <mergeCell ref="QI5:QK5"/>
    <mergeCell ref="SB5:SD5"/>
    <mergeCell ref="HR3:HT3"/>
    <mergeCell ref="HR4:HT4"/>
    <mergeCell ref="HR5:HT5"/>
    <mergeCell ref="JK5:JM5"/>
    <mergeCell ref="LD5:LF5"/>
    <mergeCell ref="MW5:MY5"/>
    <mergeCell ref="OP5:OR5"/>
    <mergeCell ref="LD7:LF7"/>
    <mergeCell ref="LG7:MJ7"/>
    <mergeCell ref="ML7:MN7"/>
    <mergeCell ref="MO7:MV7"/>
    <mergeCell ref="MW7:MY7"/>
    <mergeCell ref="MZ7:OC7"/>
    <mergeCell ref="OE7:OG7"/>
    <mergeCell ref="SE7:TH7"/>
    <mergeCell ref="TJ7:TL7"/>
    <mergeCell ref="TM7:TT7"/>
    <mergeCell ref="OH7:OO7"/>
    <mergeCell ref="OP7:OR7"/>
    <mergeCell ref="OS7:PV7"/>
    <mergeCell ref="PX7:PZ7"/>
    <mergeCell ref="QA7:QH7"/>
    <mergeCell ref="QI7:QK7"/>
    <mergeCell ref="QL7:RO7"/>
    <mergeCell ref="HR7:HT7"/>
    <mergeCell ref="HR9:HT9"/>
    <mergeCell ref="FN7:FP7"/>
    <mergeCell ref="FQ7:FX7"/>
    <mergeCell ref="FY7:GA7"/>
    <mergeCell ref="GB7:HE7"/>
    <mergeCell ref="HG7:HI7"/>
    <mergeCell ref="HJ7:HQ7"/>
    <mergeCell ref="FY9:GA9"/>
    <mergeCell ref="JK9:JM9"/>
    <mergeCell ref="JK10:JM10"/>
    <mergeCell ref="HU7:IX7"/>
    <mergeCell ref="IZ7:JB7"/>
    <mergeCell ref="JC7:JJ7"/>
    <mergeCell ref="JK7:JM7"/>
    <mergeCell ref="JN7:KQ7"/>
    <mergeCell ref="KS7:KU7"/>
    <mergeCell ref="HR10:HT10"/>
    <mergeCell ref="AW47:BZ47"/>
    <mergeCell ref="CB47:CD47"/>
    <mergeCell ref="CE47:CL47"/>
    <mergeCell ref="CM47:CO47"/>
    <mergeCell ref="CP47:DS47"/>
    <mergeCell ref="DU47:DW47"/>
    <mergeCell ref="CM48:CO48"/>
    <mergeCell ref="OP48:OR48"/>
    <mergeCell ref="QI48:QK48"/>
    <mergeCell ref="SB48:SD48"/>
    <mergeCell ref="DX47:EE47"/>
    <mergeCell ref="EF48:EH48"/>
    <mergeCell ref="FY48:GA48"/>
    <mergeCell ref="HR48:HT48"/>
    <mergeCell ref="JK48:JM48"/>
    <mergeCell ref="LD48:LF48"/>
    <mergeCell ref="MW48:MY48"/>
    <mergeCell ref="DX42:EE42"/>
    <mergeCell ref="EF43:EH43"/>
    <mergeCell ref="EF44:EH44"/>
    <mergeCell ref="AW42:BZ42"/>
    <mergeCell ref="CB42:CD42"/>
    <mergeCell ref="CE42:CL42"/>
    <mergeCell ref="CM42:CO42"/>
    <mergeCell ref="CP42:DS42"/>
    <mergeCell ref="DU42:DW42"/>
    <mergeCell ref="CM43:CO43"/>
    <mergeCell ref="MW44:MY44"/>
    <mergeCell ref="OP44:OR44"/>
    <mergeCell ref="QI44:QK44"/>
    <mergeCell ref="SB44:SD44"/>
    <mergeCell ref="CM45:CO45"/>
    <mergeCell ref="EF45:EH45"/>
    <mergeCell ref="HR44:HT44"/>
    <mergeCell ref="HR45:HT45"/>
    <mergeCell ref="LD44:LF44"/>
    <mergeCell ref="LD45:LF45"/>
    <mergeCell ref="MW45:MY45"/>
    <mergeCell ref="OP45:OR45"/>
    <mergeCell ref="QI45:QK45"/>
    <mergeCell ref="SB45:SD45"/>
    <mergeCell ref="A44:C44"/>
    <mergeCell ref="CM44:CO44"/>
    <mergeCell ref="FY44:GA44"/>
    <mergeCell ref="JK44:JM44"/>
    <mergeCell ref="A45:C45"/>
    <mergeCell ref="FY45:GA45"/>
    <mergeCell ref="JK45:JM45"/>
    <mergeCell ref="MW47:MY47"/>
    <mergeCell ref="MW49:MY49"/>
    <mergeCell ref="MW53:MY53"/>
    <mergeCell ref="MW54:MY54"/>
    <mergeCell ref="KS47:KU47"/>
    <mergeCell ref="KV47:LC47"/>
    <mergeCell ref="LD47:LF47"/>
    <mergeCell ref="LG47:MJ47"/>
    <mergeCell ref="ML47:MN47"/>
    <mergeCell ref="MO47:MV47"/>
    <mergeCell ref="LD49:LF49"/>
    <mergeCell ref="LG52:MJ52"/>
    <mergeCell ref="ML52:MN52"/>
    <mergeCell ref="MO52:MV52"/>
    <mergeCell ref="MW52:MY52"/>
    <mergeCell ref="MZ52:OC52"/>
    <mergeCell ref="OE52:OG52"/>
    <mergeCell ref="OH52:OO52"/>
    <mergeCell ref="RT52:SA52"/>
    <mergeCell ref="SB52:SD52"/>
    <mergeCell ref="SE52:TH52"/>
    <mergeCell ref="TJ52:TL52"/>
    <mergeCell ref="TM52:TT52"/>
    <mergeCell ref="QI52:QK52"/>
    <mergeCell ref="QI53:QK53"/>
    <mergeCell ref="QI54:QK54"/>
    <mergeCell ref="OP53:OR53"/>
    <mergeCell ref="OP54:OR54"/>
    <mergeCell ref="OP52:OR52"/>
    <mergeCell ref="OS52:PV52"/>
    <mergeCell ref="PX52:PZ52"/>
    <mergeCell ref="QA52:QH52"/>
    <mergeCell ref="QL52:RO52"/>
    <mergeCell ref="RQ52:RS52"/>
    <mergeCell ref="SB53:SD53"/>
    <mergeCell ref="SB54:SD54"/>
    <mergeCell ref="HJ47:HQ47"/>
    <mergeCell ref="HR47:HT47"/>
    <mergeCell ref="HU47:IX47"/>
    <mergeCell ref="IZ47:JB47"/>
    <mergeCell ref="JC47:JJ47"/>
    <mergeCell ref="JK47:JM47"/>
    <mergeCell ref="JN47:KQ47"/>
    <mergeCell ref="QI47:QK47"/>
    <mergeCell ref="QL47:RO47"/>
    <mergeCell ref="RQ47:RS47"/>
    <mergeCell ref="RT47:SA47"/>
    <mergeCell ref="SB47:SD47"/>
    <mergeCell ref="SE47:TH47"/>
    <mergeCell ref="TJ47:TL47"/>
    <mergeCell ref="TM47:TT47"/>
    <mergeCell ref="QA47:QH47"/>
    <mergeCell ref="QI49:QK49"/>
    <mergeCell ref="SB49:SD49"/>
    <mergeCell ref="AT44:AV44"/>
    <mergeCell ref="AT50:AV50"/>
    <mergeCell ref="EF49:EH49"/>
    <mergeCell ref="EF50:EH50"/>
    <mergeCell ref="HR49:HT49"/>
    <mergeCell ref="HR50:HT50"/>
    <mergeCell ref="LD50:LF50"/>
    <mergeCell ref="MW50:MY50"/>
    <mergeCell ref="OP50:OR50"/>
    <mergeCell ref="QI50:QK50"/>
    <mergeCell ref="SB50:SD50"/>
    <mergeCell ref="MZ47:OC47"/>
    <mergeCell ref="OE47:OG47"/>
    <mergeCell ref="OH47:OO47"/>
    <mergeCell ref="OP47:OR47"/>
    <mergeCell ref="OS47:PV47"/>
    <mergeCell ref="PX47:PZ47"/>
    <mergeCell ref="OP49:OR49"/>
    <mergeCell ref="AT52:AV52"/>
    <mergeCell ref="AT53:AV53"/>
    <mergeCell ref="AL52:AS52"/>
    <mergeCell ref="AT55:AV55"/>
    <mergeCell ref="A52:C52"/>
    <mergeCell ref="D52:AG52"/>
    <mergeCell ref="AI52:AK52"/>
    <mergeCell ref="AW52:BZ52"/>
    <mergeCell ref="CB52:CD52"/>
    <mergeCell ref="CM53:CO53"/>
    <mergeCell ref="A55:C55"/>
    <mergeCell ref="OP55:OR55"/>
    <mergeCell ref="QI55:QK55"/>
    <mergeCell ref="SB55:SD55"/>
    <mergeCell ref="CM55:CO55"/>
    <mergeCell ref="EF55:EH55"/>
    <mergeCell ref="FY55:GA55"/>
    <mergeCell ref="HR55:HT55"/>
    <mergeCell ref="JK55:JM55"/>
    <mergeCell ref="LD55:LF55"/>
    <mergeCell ref="MW55:MY55"/>
    <mergeCell ref="HU52:IX52"/>
    <mergeCell ref="IZ52:JB52"/>
    <mergeCell ref="JC52:JJ52"/>
    <mergeCell ref="JK52:JM52"/>
    <mergeCell ref="JN52:KQ52"/>
    <mergeCell ref="KS52:KU52"/>
    <mergeCell ref="KV52:LC52"/>
    <mergeCell ref="LD52:LF52"/>
    <mergeCell ref="FN52:FP52"/>
    <mergeCell ref="FQ52:FX52"/>
    <mergeCell ref="FY52:GA52"/>
    <mergeCell ref="GB52:HE52"/>
    <mergeCell ref="HG52:HI52"/>
    <mergeCell ref="HJ52:HQ52"/>
    <mergeCell ref="HR52:HT52"/>
    <mergeCell ref="EI57:FL57"/>
    <mergeCell ref="FN57:FP57"/>
    <mergeCell ref="CB57:CD57"/>
    <mergeCell ref="CE57:CL57"/>
    <mergeCell ref="CM57:CO57"/>
    <mergeCell ref="CP57:DS57"/>
    <mergeCell ref="DU57:DW57"/>
    <mergeCell ref="DX57:EE57"/>
    <mergeCell ref="EF57:EH57"/>
    <mergeCell ref="HR57:HT57"/>
    <mergeCell ref="HU57:IX57"/>
    <mergeCell ref="IZ57:JB57"/>
    <mergeCell ref="JC57:JJ57"/>
    <mergeCell ref="JK57:JM57"/>
    <mergeCell ref="JN57:KQ57"/>
    <mergeCell ref="KS57:KU57"/>
    <mergeCell ref="QL57:RO57"/>
    <mergeCell ref="RQ57:RS57"/>
    <mergeCell ref="RT57:SA57"/>
    <mergeCell ref="SB57:SD57"/>
    <mergeCell ref="SE57:TH57"/>
    <mergeCell ref="TJ57:TL57"/>
    <mergeCell ref="TM57:TT57"/>
    <mergeCell ref="OE57:OG57"/>
    <mergeCell ref="OH57:OO57"/>
    <mergeCell ref="OP57:OR57"/>
    <mergeCell ref="OS57:PV57"/>
    <mergeCell ref="PX57:PZ57"/>
    <mergeCell ref="QA57:QH57"/>
    <mergeCell ref="QI57:QK57"/>
    <mergeCell ref="KV57:LC57"/>
    <mergeCell ref="LD57:LF57"/>
    <mergeCell ref="LG57:MJ57"/>
    <mergeCell ref="ML57:MN57"/>
    <mergeCell ref="MO57:MV57"/>
    <mergeCell ref="MW57:MY57"/>
    <mergeCell ref="MZ57:OC57"/>
    <mergeCell ref="MW59:MY59"/>
    <mergeCell ref="MW60:MY60"/>
    <mergeCell ref="OP60:OR60"/>
    <mergeCell ref="QI60:QK60"/>
    <mergeCell ref="SB60:SD60"/>
    <mergeCell ref="MW58:MY58"/>
    <mergeCell ref="OP58:OR58"/>
    <mergeCell ref="QI58:QK58"/>
    <mergeCell ref="SB58:SD58"/>
    <mergeCell ref="OP59:OR59"/>
    <mergeCell ref="QI59:QK59"/>
    <mergeCell ref="SB59:SD59"/>
    <mergeCell ref="EF47:EH47"/>
    <mergeCell ref="EI47:FL47"/>
    <mergeCell ref="FN47:FP47"/>
    <mergeCell ref="FQ47:FX47"/>
    <mergeCell ref="FY47:GA47"/>
    <mergeCell ref="GB47:HE47"/>
    <mergeCell ref="HG47:HI47"/>
    <mergeCell ref="AT47:AV47"/>
    <mergeCell ref="AT48:AV48"/>
    <mergeCell ref="CM49:CO49"/>
    <mergeCell ref="FY49:GA49"/>
    <mergeCell ref="JK49:JM49"/>
    <mergeCell ref="CM50:CO50"/>
    <mergeCell ref="FY50:GA50"/>
    <mergeCell ref="JK50:JM50"/>
    <mergeCell ref="AT45:AV45"/>
    <mergeCell ref="AT49:AV49"/>
    <mergeCell ref="AT54:AV54"/>
    <mergeCell ref="AT57:AV57"/>
    <mergeCell ref="AT59:AV59"/>
    <mergeCell ref="A47:C47"/>
    <mergeCell ref="D47:AG47"/>
    <mergeCell ref="AI47:AK47"/>
    <mergeCell ref="AL47:AS47"/>
    <mergeCell ref="A48:C48"/>
    <mergeCell ref="A49:C49"/>
    <mergeCell ref="A50:C50"/>
    <mergeCell ref="EF53:EH53"/>
    <mergeCell ref="FY53:GA53"/>
    <mergeCell ref="HR53:HT53"/>
    <mergeCell ref="JK53:JM53"/>
    <mergeCell ref="LD53:LF53"/>
    <mergeCell ref="CE52:CL52"/>
    <mergeCell ref="CM52:CO52"/>
    <mergeCell ref="CP52:DS52"/>
    <mergeCell ref="DU52:DW52"/>
    <mergeCell ref="DX52:EE52"/>
    <mergeCell ref="EI52:FL52"/>
    <mergeCell ref="CM54:CO54"/>
    <mergeCell ref="FY54:GA54"/>
    <mergeCell ref="HR54:HT54"/>
    <mergeCell ref="JK54:JM54"/>
    <mergeCell ref="LD54:LF54"/>
    <mergeCell ref="AL57:AS57"/>
    <mergeCell ref="AT58:AV58"/>
    <mergeCell ref="HR58:HT58"/>
    <mergeCell ref="JK58:JM58"/>
    <mergeCell ref="LD58:LF58"/>
    <mergeCell ref="LD59:LF59"/>
    <mergeCell ref="LD60:LF60"/>
    <mergeCell ref="A58:C58"/>
    <mergeCell ref="A59:C59"/>
    <mergeCell ref="EF59:EH59"/>
    <mergeCell ref="FY59:GA59"/>
    <mergeCell ref="HR59:HT59"/>
    <mergeCell ref="JK59:JM59"/>
    <mergeCell ref="JK60:JM60"/>
    <mergeCell ref="JK62:JM62"/>
    <mergeCell ref="JK63:JM63"/>
    <mergeCell ref="JK65:JM65"/>
    <mergeCell ref="HR63:HT63"/>
    <mergeCell ref="HR64:HT64"/>
    <mergeCell ref="KV62:LC62"/>
    <mergeCell ref="LD64:LF64"/>
    <mergeCell ref="MW64:MY64"/>
    <mergeCell ref="OP64:OR64"/>
    <mergeCell ref="QI64:QK64"/>
    <mergeCell ref="SB64:SD64"/>
    <mergeCell ref="FY65:GA65"/>
    <mergeCell ref="HR65:HT65"/>
    <mergeCell ref="LD65:LF65"/>
    <mergeCell ref="MW65:MY65"/>
    <mergeCell ref="OP65:OR65"/>
    <mergeCell ref="QI65:QK65"/>
    <mergeCell ref="SB65:SD65"/>
    <mergeCell ref="HU62:IX62"/>
    <mergeCell ref="IZ62:JB62"/>
    <mergeCell ref="JC62:JJ62"/>
    <mergeCell ref="JN62:KQ62"/>
    <mergeCell ref="KS62:KU62"/>
    <mergeCell ref="FY64:GA64"/>
    <mergeCell ref="JK64:JM64"/>
    <mergeCell ref="RQ62:RS62"/>
    <mergeCell ref="RT62:SA62"/>
    <mergeCell ref="SB62:SD62"/>
    <mergeCell ref="SE62:TH62"/>
    <mergeCell ref="TJ62:TL62"/>
    <mergeCell ref="TM62:TT62"/>
    <mergeCell ref="OH62:OO62"/>
    <mergeCell ref="OP62:OR62"/>
    <mergeCell ref="OS62:PV62"/>
    <mergeCell ref="PX62:PZ62"/>
    <mergeCell ref="QA62:QH62"/>
    <mergeCell ref="QI62:QK62"/>
    <mergeCell ref="QL62:RO62"/>
    <mergeCell ref="FY57:GA57"/>
    <mergeCell ref="FY58:GA58"/>
    <mergeCell ref="FQ57:FX57"/>
    <mergeCell ref="FY60:GA60"/>
    <mergeCell ref="FQ62:FX62"/>
    <mergeCell ref="FY62:GA62"/>
    <mergeCell ref="FY63:GA63"/>
    <mergeCell ref="EF52:EH52"/>
    <mergeCell ref="EF54:EH54"/>
    <mergeCell ref="GB57:HE57"/>
    <mergeCell ref="HG57:HI57"/>
    <mergeCell ref="HJ57:HQ57"/>
    <mergeCell ref="EF58:EH58"/>
    <mergeCell ref="HR60:HT60"/>
    <mergeCell ref="EF60:EH60"/>
    <mergeCell ref="EI62:FL62"/>
    <mergeCell ref="FN62:FP62"/>
    <mergeCell ref="GB62:HE62"/>
    <mergeCell ref="HG62:HI62"/>
    <mergeCell ref="HJ62:HQ62"/>
    <mergeCell ref="HR62:HT62"/>
    <mergeCell ref="MW62:MY62"/>
    <mergeCell ref="MW63:MY63"/>
    <mergeCell ref="LD62:LF62"/>
    <mergeCell ref="LG62:MJ62"/>
    <mergeCell ref="ML62:MN62"/>
    <mergeCell ref="MO62:MV62"/>
    <mergeCell ref="MZ62:OC62"/>
    <mergeCell ref="OE62:OG62"/>
    <mergeCell ref="LD63:LF63"/>
    <mergeCell ref="OP63:OR63"/>
    <mergeCell ref="QI63:QK63"/>
    <mergeCell ref="SB63:SD63"/>
    <mergeCell ref="OE67:OG67"/>
    <mergeCell ref="OH67:OO67"/>
    <mergeCell ref="OP67:OR67"/>
    <mergeCell ref="OS67:PV67"/>
    <mergeCell ref="PX67:PZ67"/>
    <mergeCell ref="QA67:QH67"/>
    <mergeCell ref="QI67:QK67"/>
    <mergeCell ref="KV67:LC67"/>
    <mergeCell ref="LD67:LF67"/>
    <mergeCell ref="LG67:MJ67"/>
    <mergeCell ref="ML67:MN67"/>
    <mergeCell ref="MO67:MV67"/>
    <mergeCell ref="MW67:MY67"/>
    <mergeCell ref="MZ67:OC67"/>
    <mergeCell ref="CB67:CD67"/>
    <mergeCell ref="CE67:CL67"/>
    <mergeCell ref="CM67:CO67"/>
    <mergeCell ref="CP67:DS67"/>
    <mergeCell ref="DU67:DW67"/>
    <mergeCell ref="DX67:EE67"/>
    <mergeCell ref="EF67:EH67"/>
    <mergeCell ref="QL67:RO67"/>
    <mergeCell ref="RQ67:RS67"/>
    <mergeCell ref="RT67:SA67"/>
    <mergeCell ref="SB67:SD67"/>
    <mergeCell ref="SE67:TH67"/>
    <mergeCell ref="TJ67:TL67"/>
    <mergeCell ref="TM67:TT67"/>
    <mergeCell ref="HJ67:HQ67"/>
    <mergeCell ref="HR68:HT68"/>
    <mergeCell ref="EI67:FL67"/>
    <mergeCell ref="FN67:FP67"/>
    <mergeCell ref="FQ67:FX67"/>
    <mergeCell ref="FY67:GA67"/>
    <mergeCell ref="GB67:HE67"/>
    <mergeCell ref="HG67:HI67"/>
    <mergeCell ref="FY68:GA68"/>
    <mergeCell ref="KS67:KU67"/>
    <mergeCell ref="LD68:LF68"/>
    <mergeCell ref="HR67:HT67"/>
    <mergeCell ref="HU67:IX67"/>
    <mergeCell ref="IZ67:JB67"/>
    <mergeCell ref="JC67:JJ67"/>
    <mergeCell ref="JK67:JM67"/>
    <mergeCell ref="JN67:KQ67"/>
    <mergeCell ref="JK68:JM68"/>
    <mergeCell ref="MW68:MY68"/>
    <mergeCell ref="OP68:OR68"/>
    <mergeCell ref="QI68:QK68"/>
    <mergeCell ref="SB68:SD68"/>
    <mergeCell ref="EF12:EH12"/>
    <mergeCell ref="EF13:EH13"/>
    <mergeCell ref="EF14:EH14"/>
    <mergeCell ref="CB12:CD12"/>
    <mergeCell ref="CE12:CL12"/>
    <mergeCell ref="CM12:CO12"/>
    <mergeCell ref="CP12:DS12"/>
    <mergeCell ref="DU12:DW12"/>
    <mergeCell ref="DX12:EE12"/>
    <mergeCell ref="CM13:CO13"/>
    <mergeCell ref="MW14:MY14"/>
    <mergeCell ref="OP14:OR14"/>
    <mergeCell ref="QI14:QK14"/>
    <mergeCell ref="SB14:SD14"/>
    <mergeCell ref="CM15:CO15"/>
    <mergeCell ref="EF15:EH15"/>
    <mergeCell ref="HR14:HT14"/>
    <mergeCell ref="HR15:HT15"/>
    <mergeCell ref="LD14:LF14"/>
    <mergeCell ref="LD15:LF15"/>
    <mergeCell ref="MW15:MY15"/>
    <mergeCell ref="OP15:OR15"/>
    <mergeCell ref="QI15:QK15"/>
    <mergeCell ref="SB15:SD15"/>
    <mergeCell ref="A14:C14"/>
    <mergeCell ref="CM14:CO14"/>
    <mergeCell ref="FY14:GA14"/>
    <mergeCell ref="JK14:JM14"/>
    <mergeCell ref="A15:C15"/>
    <mergeCell ref="FY15:GA15"/>
    <mergeCell ref="JK15:JM15"/>
    <mergeCell ref="KS17:KU17"/>
    <mergeCell ref="KV17:LC17"/>
    <mergeCell ref="LD17:LF17"/>
    <mergeCell ref="LG17:MJ17"/>
    <mergeCell ref="ML17:MN17"/>
    <mergeCell ref="MO17:MV17"/>
    <mergeCell ref="MW17:MY17"/>
    <mergeCell ref="HJ17:HQ17"/>
    <mergeCell ref="HR17:HT17"/>
    <mergeCell ref="HU17:IX17"/>
    <mergeCell ref="IZ17:JB17"/>
    <mergeCell ref="JC17:JJ17"/>
    <mergeCell ref="JK17:JM17"/>
    <mergeCell ref="JN17:KQ17"/>
    <mergeCell ref="QI17:QK17"/>
    <mergeCell ref="QL17:RO17"/>
    <mergeCell ref="RQ17:RS17"/>
    <mergeCell ref="RT17:SA17"/>
    <mergeCell ref="SB17:SD17"/>
    <mergeCell ref="SE17:TH17"/>
    <mergeCell ref="TJ17:TL17"/>
    <mergeCell ref="TM17:TT17"/>
    <mergeCell ref="MZ17:OC17"/>
    <mergeCell ref="OE17:OG17"/>
    <mergeCell ref="OH17:OO17"/>
    <mergeCell ref="OP17:OR17"/>
    <mergeCell ref="OS17:PV17"/>
    <mergeCell ref="PX17:PZ17"/>
    <mergeCell ref="QA17:QH17"/>
    <mergeCell ref="AT17:AV17"/>
    <mergeCell ref="AT18:AV18"/>
    <mergeCell ref="AT14:AV14"/>
    <mergeCell ref="AT15:AV15"/>
    <mergeCell ref="A17:C17"/>
    <mergeCell ref="D17:AG17"/>
    <mergeCell ref="AI17:AK17"/>
    <mergeCell ref="AL17:AS17"/>
    <mergeCell ref="A18:C18"/>
    <mergeCell ref="HG17:HI17"/>
    <mergeCell ref="HR18:HT18"/>
    <mergeCell ref="EF17:EH17"/>
    <mergeCell ref="EI17:FL17"/>
    <mergeCell ref="FN17:FP17"/>
    <mergeCell ref="FQ17:FX17"/>
    <mergeCell ref="FY17:GA17"/>
    <mergeCell ref="GB17:HE17"/>
    <mergeCell ref="FY18:GA18"/>
    <mergeCell ref="JK18:JM18"/>
    <mergeCell ref="LD18:LF18"/>
    <mergeCell ref="MW18:MY18"/>
    <mergeCell ref="OP18:OR18"/>
    <mergeCell ref="QI18:QK18"/>
    <mergeCell ref="SB18:SD18"/>
    <mergeCell ref="DX17:EE17"/>
    <mergeCell ref="EF18:EH18"/>
    <mergeCell ref="EF19:EH19"/>
    <mergeCell ref="AW17:BZ17"/>
    <mergeCell ref="CB17:CD17"/>
    <mergeCell ref="CE17:CL17"/>
    <mergeCell ref="CM17:CO17"/>
    <mergeCell ref="CP17:DS17"/>
    <mergeCell ref="DU17:DW17"/>
    <mergeCell ref="CM18:CO18"/>
    <mergeCell ref="MW19:MY19"/>
    <mergeCell ref="OP19:OR19"/>
    <mergeCell ref="QI19:QK19"/>
    <mergeCell ref="SB19:SD19"/>
    <mergeCell ref="CM20:CO20"/>
    <mergeCell ref="EF20:EH20"/>
    <mergeCell ref="HR19:HT19"/>
    <mergeCell ref="HR20:HT20"/>
    <mergeCell ref="LD19:LF19"/>
    <mergeCell ref="LD20:LF20"/>
    <mergeCell ref="MW20:MY20"/>
    <mergeCell ref="OP20:OR20"/>
    <mergeCell ref="QI20:QK20"/>
    <mergeCell ref="SB20:SD20"/>
    <mergeCell ref="A19:C19"/>
    <mergeCell ref="CM19:CO19"/>
    <mergeCell ref="FY19:GA19"/>
    <mergeCell ref="JK19:JM19"/>
    <mergeCell ref="A20:C20"/>
    <mergeCell ref="FY20:GA20"/>
    <mergeCell ref="JK20:JM20"/>
    <mergeCell ref="KS22:KU22"/>
    <mergeCell ref="KV22:LC22"/>
    <mergeCell ref="LD22:LF22"/>
    <mergeCell ref="LG22:MJ22"/>
    <mergeCell ref="ML22:MN22"/>
    <mergeCell ref="MO22:MV22"/>
    <mergeCell ref="MW22:MY22"/>
    <mergeCell ref="HJ22:HQ22"/>
    <mergeCell ref="HR22:HT22"/>
    <mergeCell ref="HU22:IX22"/>
    <mergeCell ref="IZ22:JB22"/>
    <mergeCell ref="JC22:JJ22"/>
    <mergeCell ref="JK22:JM22"/>
    <mergeCell ref="JN22:KQ22"/>
    <mergeCell ref="QI22:QK22"/>
    <mergeCell ref="QL22:RO22"/>
    <mergeCell ref="RQ22:RS22"/>
    <mergeCell ref="RT22:SA22"/>
    <mergeCell ref="SB22:SD22"/>
    <mergeCell ref="SE22:TH22"/>
    <mergeCell ref="TJ22:TL22"/>
    <mergeCell ref="TM22:TT22"/>
    <mergeCell ref="MZ22:OC22"/>
    <mergeCell ref="OE22:OG22"/>
    <mergeCell ref="OH22:OO22"/>
    <mergeCell ref="OP22:OR22"/>
    <mergeCell ref="OS22:PV22"/>
    <mergeCell ref="PX22:PZ22"/>
    <mergeCell ref="QA22:QH22"/>
    <mergeCell ref="AT22:AV22"/>
    <mergeCell ref="AT23:AV23"/>
    <mergeCell ref="AT19:AV19"/>
    <mergeCell ref="AT20:AV20"/>
    <mergeCell ref="A22:C22"/>
    <mergeCell ref="D22:AG22"/>
    <mergeCell ref="AI22:AK22"/>
    <mergeCell ref="AL22:AS22"/>
    <mergeCell ref="A23:C23"/>
    <mergeCell ref="HG22:HI22"/>
    <mergeCell ref="HR23:HT23"/>
    <mergeCell ref="EF22:EH22"/>
    <mergeCell ref="EI22:FL22"/>
    <mergeCell ref="FN22:FP22"/>
    <mergeCell ref="FQ22:FX22"/>
    <mergeCell ref="FY22:GA22"/>
    <mergeCell ref="GB22:HE22"/>
    <mergeCell ref="FY23:GA23"/>
    <mergeCell ref="JK23:JM23"/>
    <mergeCell ref="LD23:LF23"/>
    <mergeCell ref="MW23:MY23"/>
    <mergeCell ref="OP23:OR23"/>
    <mergeCell ref="QI23:QK23"/>
    <mergeCell ref="SB23:SD23"/>
    <mergeCell ref="DX22:EE22"/>
    <mergeCell ref="EF23:EH23"/>
    <mergeCell ref="EF24:EH24"/>
    <mergeCell ref="AW22:BZ22"/>
    <mergeCell ref="CB22:CD22"/>
    <mergeCell ref="CE22:CL22"/>
    <mergeCell ref="CM22:CO22"/>
    <mergeCell ref="CP22:DS22"/>
    <mergeCell ref="DU22:DW22"/>
    <mergeCell ref="CM23:CO23"/>
    <mergeCell ref="MW24:MY24"/>
    <mergeCell ref="OP24:OR24"/>
    <mergeCell ref="QI24:QK24"/>
    <mergeCell ref="SB24:SD24"/>
    <mergeCell ref="CM25:CO25"/>
    <mergeCell ref="EF25:EH25"/>
    <mergeCell ref="HR24:HT24"/>
    <mergeCell ref="HR25:HT25"/>
    <mergeCell ref="LD24:LF24"/>
    <mergeCell ref="LD25:LF25"/>
    <mergeCell ref="MW25:MY25"/>
    <mergeCell ref="OP25:OR25"/>
    <mergeCell ref="QI25:QK25"/>
    <mergeCell ref="SB25:SD25"/>
    <mergeCell ref="A24:C24"/>
    <mergeCell ref="CM24:CO24"/>
    <mergeCell ref="FY24:GA24"/>
    <mergeCell ref="JK24:JM24"/>
    <mergeCell ref="A25:C25"/>
    <mergeCell ref="FY25:GA25"/>
    <mergeCell ref="JK25:JM25"/>
    <mergeCell ref="KS27:KU27"/>
    <mergeCell ref="KV27:LC27"/>
    <mergeCell ref="LD27:LF27"/>
    <mergeCell ref="LG27:MJ27"/>
    <mergeCell ref="ML27:MN27"/>
    <mergeCell ref="MO27:MV27"/>
    <mergeCell ref="MW27:MY27"/>
    <mergeCell ref="HJ27:HQ27"/>
    <mergeCell ref="HR27:HT27"/>
    <mergeCell ref="HU27:IX27"/>
    <mergeCell ref="IZ27:JB27"/>
    <mergeCell ref="JC27:JJ27"/>
    <mergeCell ref="JK27:JM27"/>
    <mergeCell ref="JN27:KQ27"/>
    <mergeCell ref="QI27:QK27"/>
    <mergeCell ref="QL27:RO27"/>
    <mergeCell ref="RQ27:RS27"/>
    <mergeCell ref="RT27:SA27"/>
    <mergeCell ref="SB27:SD27"/>
    <mergeCell ref="SE27:TH27"/>
    <mergeCell ref="TJ27:TL27"/>
    <mergeCell ref="TM27:TT27"/>
    <mergeCell ref="MZ27:OC27"/>
    <mergeCell ref="OE27:OG27"/>
    <mergeCell ref="OH27:OO27"/>
    <mergeCell ref="OP27:OR27"/>
    <mergeCell ref="OS27:PV27"/>
    <mergeCell ref="PX27:PZ27"/>
    <mergeCell ref="QA27:QH27"/>
    <mergeCell ref="AT27:AV27"/>
    <mergeCell ref="AT28:AV28"/>
    <mergeCell ref="AT24:AV24"/>
    <mergeCell ref="AT25:AV25"/>
    <mergeCell ref="A27:C27"/>
    <mergeCell ref="D27:AG27"/>
    <mergeCell ref="AI27:AK27"/>
    <mergeCell ref="AL27:AS27"/>
    <mergeCell ref="A28:C28"/>
    <mergeCell ref="HG27:HI27"/>
    <mergeCell ref="HR28:HT28"/>
    <mergeCell ref="EF27:EH27"/>
    <mergeCell ref="EI27:FL27"/>
    <mergeCell ref="FN27:FP27"/>
    <mergeCell ref="FQ27:FX27"/>
    <mergeCell ref="FY27:GA27"/>
    <mergeCell ref="GB27:HE27"/>
    <mergeCell ref="FY28:GA28"/>
    <mergeCell ref="JK28:JM28"/>
    <mergeCell ref="LD28:LF28"/>
    <mergeCell ref="MW28:MY28"/>
    <mergeCell ref="OP28:OR28"/>
    <mergeCell ref="QI28:QK28"/>
    <mergeCell ref="SB28:SD28"/>
    <mergeCell ref="DX27:EE27"/>
    <mergeCell ref="EF28:EH28"/>
    <mergeCell ref="EF29:EH29"/>
    <mergeCell ref="AW27:BZ27"/>
    <mergeCell ref="CB27:CD27"/>
    <mergeCell ref="CE27:CL27"/>
    <mergeCell ref="CM27:CO27"/>
    <mergeCell ref="CP27:DS27"/>
    <mergeCell ref="DU27:DW27"/>
    <mergeCell ref="CM28:CO28"/>
    <mergeCell ref="MW29:MY29"/>
    <mergeCell ref="OP29:OR29"/>
    <mergeCell ref="QI29:QK29"/>
    <mergeCell ref="SB29:SD29"/>
    <mergeCell ref="CM30:CO30"/>
    <mergeCell ref="EF30:EH30"/>
    <mergeCell ref="HR29:HT29"/>
    <mergeCell ref="HR30:HT30"/>
    <mergeCell ref="LD29:LF29"/>
    <mergeCell ref="LD30:LF30"/>
    <mergeCell ref="MW30:MY30"/>
    <mergeCell ref="OP30:OR30"/>
    <mergeCell ref="QI30:QK30"/>
    <mergeCell ref="SB30:SD30"/>
    <mergeCell ref="A29:C29"/>
    <mergeCell ref="CM29:CO29"/>
    <mergeCell ref="FY29:GA29"/>
    <mergeCell ref="JK29:JM29"/>
    <mergeCell ref="A30:C30"/>
    <mergeCell ref="FY30:GA30"/>
    <mergeCell ref="JK30:JM30"/>
    <mergeCell ref="KS32:KU32"/>
    <mergeCell ref="KV32:LC32"/>
    <mergeCell ref="LD32:LF32"/>
    <mergeCell ref="LG32:MJ32"/>
    <mergeCell ref="ML32:MN32"/>
    <mergeCell ref="MO32:MV32"/>
    <mergeCell ref="MW32:MY32"/>
    <mergeCell ref="HJ32:HQ32"/>
    <mergeCell ref="HR32:HT32"/>
    <mergeCell ref="HU32:IX32"/>
    <mergeCell ref="IZ32:JB32"/>
    <mergeCell ref="JC32:JJ32"/>
    <mergeCell ref="JK32:JM32"/>
    <mergeCell ref="JN32:KQ32"/>
    <mergeCell ref="QI32:QK32"/>
    <mergeCell ref="QL32:RO32"/>
    <mergeCell ref="RQ32:RS32"/>
    <mergeCell ref="RT32:SA32"/>
    <mergeCell ref="SB32:SD32"/>
    <mergeCell ref="SE32:TH32"/>
    <mergeCell ref="TJ32:TL32"/>
    <mergeCell ref="TM32:TT32"/>
    <mergeCell ref="MZ32:OC32"/>
    <mergeCell ref="OE32:OG32"/>
    <mergeCell ref="OH32:OO32"/>
    <mergeCell ref="OP32:OR32"/>
    <mergeCell ref="OS32:PV32"/>
    <mergeCell ref="PX32:PZ32"/>
    <mergeCell ref="QA32:QH32"/>
    <mergeCell ref="AT32:AV32"/>
    <mergeCell ref="AT33:AV33"/>
    <mergeCell ref="AT29:AV29"/>
    <mergeCell ref="AT30:AV30"/>
    <mergeCell ref="A32:C32"/>
    <mergeCell ref="D32:AG32"/>
    <mergeCell ref="AI32:AK32"/>
    <mergeCell ref="AL32:AS32"/>
    <mergeCell ref="A33:C33"/>
    <mergeCell ref="HG32:HI32"/>
    <mergeCell ref="HR33:HT33"/>
    <mergeCell ref="EF32:EH32"/>
    <mergeCell ref="EI32:FL32"/>
    <mergeCell ref="FN32:FP32"/>
    <mergeCell ref="FQ32:FX32"/>
    <mergeCell ref="FY32:GA32"/>
    <mergeCell ref="GB32:HE32"/>
    <mergeCell ref="FY33:GA33"/>
    <mergeCell ref="JK33:JM33"/>
    <mergeCell ref="LD33:LF33"/>
    <mergeCell ref="MW33:MY33"/>
    <mergeCell ref="OP33:OR33"/>
    <mergeCell ref="QI33:QK33"/>
    <mergeCell ref="SB33:SD33"/>
    <mergeCell ref="DX32:EE32"/>
    <mergeCell ref="EF33:EH33"/>
    <mergeCell ref="EF34:EH34"/>
    <mergeCell ref="AW32:BZ32"/>
    <mergeCell ref="CB32:CD32"/>
    <mergeCell ref="CE32:CL32"/>
    <mergeCell ref="CM32:CO32"/>
    <mergeCell ref="CP32:DS32"/>
    <mergeCell ref="DU32:DW32"/>
    <mergeCell ref="CM33:CO33"/>
    <mergeCell ref="MW34:MY34"/>
    <mergeCell ref="OP34:OR34"/>
    <mergeCell ref="QI34:QK34"/>
    <mergeCell ref="SB34:SD34"/>
    <mergeCell ref="CM35:CO35"/>
    <mergeCell ref="EF35:EH35"/>
    <mergeCell ref="HR34:HT34"/>
    <mergeCell ref="HR35:HT35"/>
    <mergeCell ref="LD34:LF34"/>
    <mergeCell ref="LD35:LF35"/>
    <mergeCell ref="MW35:MY35"/>
    <mergeCell ref="OP35:OR35"/>
    <mergeCell ref="QI35:QK35"/>
    <mergeCell ref="SB35:SD35"/>
    <mergeCell ref="A34:C34"/>
    <mergeCell ref="CM34:CO34"/>
    <mergeCell ref="FY34:GA34"/>
    <mergeCell ref="JK34:JM34"/>
    <mergeCell ref="A35:C35"/>
    <mergeCell ref="FY35:GA35"/>
    <mergeCell ref="JK35:JM35"/>
    <mergeCell ref="KS37:KU37"/>
    <mergeCell ref="KV37:LC37"/>
    <mergeCell ref="LD37:LF37"/>
    <mergeCell ref="LG37:MJ37"/>
    <mergeCell ref="ML37:MN37"/>
    <mergeCell ref="MO37:MV37"/>
    <mergeCell ref="MW37:MY37"/>
    <mergeCell ref="HJ37:HQ37"/>
    <mergeCell ref="HR37:HT37"/>
    <mergeCell ref="HU37:IX37"/>
    <mergeCell ref="IZ37:JB37"/>
    <mergeCell ref="JC37:JJ37"/>
    <mergeCell ref="JK37:JM37"/>
    <mergeCell ref="JN37:KQ37"/>
    <mergeCell ref="QI37:QK37"/>
    <mergeCell ref="QL37:RO37"/>
    <mergeCell ref="RQ37:RS37"/>
    <mergeCell ref="RT37:SA37"/>
    <mergeCell ref="SB37:SD37"/>
    <mergeCell ref="SE37:TH37"/>
    <mergeCell ref="TJ37:TL37"/>
    <mergeCell ref="TM37:TT37"/>
    <mergeCell ref="MZ37:OC37"/>
    <mergeCell ref="OE37:OG37"/>
    <mergeCell ref="OH37:OO37"/>
    <mergeCell ref="OP37:OR37"/>
    <mergeCell ref="OS37:PV37"/>
    <mergeCell ref="PX37:PZ37"/>
    <mergeCell ref="QA37:QH37"/>
    <mergeCell ref="AT37:AV37"/>
    <mergeCell ref="AT38:AV38"/>
    <mergeCell ref="AT34:AV34"/>
    <mergeCell ref="AT35:AV35"/>
    <mergeCell ref="A37:C37"/>
    <mergeCell ref="D37:AG37"/>
    <mergeCell ref="AI37:AK37"/>
    <mergeCell ref="AL37:AS37"/>
    <mergeCell ref="A38:C38"/>
    <mergeCell ref="HG37:HI37"/>
    <mergeCell ref="HR38:HT38"/>
    <mergeCell ref="EF37:EH37"/>
    <mergeCell ref="EI37:FL37"/>
    <mergeCell ref="FN37:FP37"/>
    <mergeCell ref="FQ37:FX37"/>
    <mergeCell ref="FY37:GA37"/>
    <mergeCell ref="GB37:HE37"/>
    <mergeCell ref="FY38:GA38"/>
    <mergeCell ref="JK38:JM38"/>
    <mergeCell ref="LD38:LF38"/>
    <mergeCell ref="MW38:MY38"/>
    <mergeCell ref="OP38:OR38"/>
    <mergeCell ref="QI38:QK38"/>
    <mergeCell ref="SB38:SD38"/>
    <mergeCell ref="DX37:EE37"/>
    <mergeCell ref="EF38:EH38"/>
    <mergeCell ref="EF39:EH39"/>
    <mergeCell ref="AW37:BZ37"/>
    <mergeCell ref="CB37:CD37"/>
    <mergeCell ref="CE37:CL37"/>
    <mergeCell ref="CM37:CO37"/>
    <mergeCell ref="CP37:DS37"/>
    <mergeCell ref="DU37:DW37"/>
    <mergeCell ref="CM38:CO38"/>
    <mergeCell ref="MW39:MY39"/>
    <mergeCell ref="OP39:OR39"/>
    <mergeCell ref="QI39:QK39"/>
    <mergeCell ref="SB39:SD39"/>
    <mergeCell ref="CM40:CO40"/>
    <mergeCell ref="EF40:EH40"/>
    <mergeCell ref="HR39:HT39"/>
    <mergeCell ref="HR40:HT40"/>
    <mergeCell ref="LD39:LF39"/>
    <mergeCell ref="LD40:LF40"/>
    <mergeCell ref="MW40:MY40"/>
    <mergeCell ref="OP40:OR40"/>
    <mergeCell ref="QI40:QK40"/>
    <mergeCell ref="SB40:SD40"/>
    <mergeCell ref="A39:C39"/>
    <mergeCell ref="CM39:CO39"/>
    <mergeCell ref="FY39:GA39"/>
    <mergeCell ref="JK39:JM39"/>
    <mergeCell ref="A40:C40"/>
    <mergeCell ref="FY40:GA40"/>
    <mergeCell ref="JK40:JM40"/>
    <mergeCell ref="KS42:KU42"/>
    <mergeCell ref="KV42:LC42"/>
    <mergeCell ref="LD42:LF42"/>
    <mergeCell ref="LG42:MJ42"/>
    <mergeCell ref="ML42:MN42"/>
    <mergeCell ref="MO42:MV42"/>
    <mergeCell ref="MW42:MY42"/>
    <mergeCell ref="HJ42:HQ42"/>
    <mergeCell ref="HR42:HT42"/>
    <mergeCell ref="HU42:IX42"/>
    <mergeCell ref="IZ42:JB42"/>
    <mergeCell ref="JC42:JJ42"/>
    <mergeCell ref="JK42:JM42"/>
    <mergeCell ref="JN42:KQ42"/>
    <mergeCell ref="QI42:QK42"/>
    <mergeCell ref="QL42:RO42"/>
    <mergeCell ref="RQ42:RS42"/>
    <mergeCell ref="RT42:SA42"/>
    <mergeCell ref="SB42:SD42"/>
    <mergeCell ref="SE42:TH42"/>
    <mergeCell ref="TJ42:TL42"/>
    <mergeCell ref="TM42:TT42"/>
    <mergeCell ref="MZ42:OC42"/>
    <mergeCell ref="OE42:OG42"/>
    <mergeCell ref="OH42:OO42"/>
    <mergeCell ref="OP42:OR42"/>
    <mergeCell ref="OS42:PV42"/>
    <mergeCell ref="PX42:PZ42"/>
    <mergeCell ref="QA42:QH42"/>
    <mergeCell ref="AT42:AV42"/>
    <mergeCell ref="AT43:AV43"/>
    <mergeCell ref="AT39:AV39"/>
    <mergeCell ref="AT40:AV40"/>
    <mergeCell ref="A42:C42"/>
    <mergeCell ref="D42:AG42"/>
    <mergeCell ref="AI42:AK42"/>
    <mergeCell ref="AL42:AS42"/>
    <mergeCell ref="A43:C43"/>
    <mergeCell ref="HG42:HI42"/>
    <mergeCell ref="HR43:HT43"/>
    <mergeCell ref="EF42:EH42"/>
    <mergeCell ref="EI42:FL42"/>
    <mergeCell ref="FN42:FP42"/>
    <mergeCell ref="FQ42:FX42"/>
    <mergeCell ref="FY42:GA42"/>
    <mergeCell ref="GB42:HE42"/>
    <mergeCell ref="FY43:GA43"/>
    <mergeCell ref="JK43:JM43"/>
    <mergeCell ref="LD43:LF43"/>
    <mergeCell ref="MW43:MY43"/>
    <mergeCell ref="OP43:OR43"/>
    <mergeCell ref="QI43:QK43"/>
    <mergeCell ref="SB43:SD43"/>
    <mergeCell ref="EI78:EM78"/>
    <mergeCell ref="EI79:EM79"/>
    <mergeCell ref="EQ79:EU79"/>
    <mergeCell ref="EW79:FB79"/>
    <mergeCell ref="DD79:DI79"/>
    <mergeCell ref="DD80:DI80"/>
    <mergeCell ref="EI80:EM80"/>
    <mergeCell ref="EW80:FB80"/>
    <mergeCell ref="CX81:DB81"/>
    <mergeCell ref="DD81:DI81"/>
    <mergeCell ref="EF81:EG81"/>
    <mergeCell ref="EQ81:EU81"/>
    <mergeCell ref="CP78:CT78"/>
    <mergeCell ref="DD78:DI78"/>
    <mergeCell ref="DQ78:EE81"/>
    <mergeCell ref="EQ78:EU78"/>
    <mergeCell ref="FJ78:FX81"/>
    <mergeCell ref="CP79:CT79"/>
    <mergeCell ref="CP80:CT80"/>
    <mergeCell ref="EW81:FB81"/>
    <mergeCell ref="JV78:JZ78"/>
    <mergeCell ref="JV79:JZ79"/>
    <mergeCell ref="LG78:LK78"/>
    <mergeCell ref="LG79:LK79"/>
    <mergeCell ref="LO79:LS79"/>
    <mergeCell ref="LU79:LZ79"/>
    <mergeCell ref="KB79:KG79"/>
    <mergeCell ref="KB80:KG80"/>
    <mergeCell ref="LG80:LK80"/>
    <mergeCell ref="LU80:LZ80"/>
    <mergeCell ref="JV81:JZ81"/>
    <mergeCell ref="KB81:KG81"/>
    <mergeCell ref="LD81:LE81"/>
    <mergeCell ref="LO81:LS81"/>
    <mergeCell ref="JN78:JR78"/>
    <mergeCell ref="KB78:KG78"/>
    <mergeCell ref="KO78:LC81"/>
    <mergeCell ref="LO78:LS78"/>
    <mergeCell ref="MH78:MV81"/>
    <mergeCell ref="JN79:JR79"/>
    <mergeCell ref="JN80:JR80"/>
    <mergeCell ref="LU81:LZ81"/>
    <mergeCell ref="QL78:QP78"/>
    <mergeCell ref="QL79:QP79"/>
    <mergeCell ref="QL80:QP80"/>
    <mergeCell ref="QZ78:RE78"/>
    <mergeCell ref="QZ79:RE79"/>
    <mergeCell ref="SM78:SQ78"/>
    <mergeCell ref="SM79:SQ79"/>
    <mergeCell ref="QT79:QX79"/>
    <mergeCell ref="QZ80:RE80"/>
    <mergeCell ref="SS79:SX79"/>
    <mergeCell ref="SS80:SX80"/>
    <mergeCell ref="QT81:QX81"/>
    <mergeCell ref="QZ81:RE81"/>
    <mergeCell ref="SB81:SC81"/>
    <mergeCell ref="SM81:SQ81"/>
    <mergeCell ref="QT78:QX78"/>
    <mergeCell ref="RM78:SA81"/>
    <mergeCell ref="SE78:SI78"/>
    <mergeCell ref="SS78:SX78"/>
    <mergeCell ref="TF78:TT81"/>
    <mergeCell ref="SE79:SI79"/>
    <mergeCell ref="SE80:SI80"/>
    <mergeCell ref="SS81:SX81"/>
    <mergeCell ref="AW80:BA80"/>
    <mergeCell ref="BK80:BP80"/>
    <mergeCell ref="D78:H78"/>
    <mergeCell ref="R78:W78"/>
    <mergeCell ref="BE78:BI78"/>
    <mergeCell ref="D79:H79"/>
    <mergeCell ref="D80:H80"/>
    <mergeCell ref="AT81:AU81"/>
    <mergeCell ref="BK81:BP81"/>
    <mergeCell ref="L78:P78"/>
    <mergeCell ref="L79:P79"/>
    <mergeCell ref="AW78:BA78"/>
    <mergeCell ref="AW79:BA79"/>
    <mergeCell ref="BK78:BP78"/>
    <mergeCell ref="BK79:BP79"/>
    <mergeCell ref="R79:W79"/>
    <mergeCell ref="R80:W80"/>
    <mergeCell ref="L81:P81"/>
    <mergeCell ref="R81:W81"/>
    <mergeCell ref="BE79:BI79"/>
    <mergeCell ref="BE81:BI81"/>
    <mergeCell ref="BX78:CL81"/>
    <mergeCell ref="CM81:CN81"/>
    <mergeCell ref="IC79:IG79"/>
    <mergeCell ref="IC81:IG81"/>
    <mergeCell ref="HC78:HQ81"/>
    <mergeCell ref="HU79:HY79"/>
    <mergeCell ref="II79:IN79"/>
    <mergeCell ref="HU80:HY80"/>
    <mergeCell ref="II80:IN80"/>
    <mergeCell ref="HR81:HS81"/>
    <mergeCell ref="II81:IN81"/>
    <mergeCell ref="PA79:PE79"/>
    <mergeCell ref="PA81:PE81"/>
    <mergeCell ref="OA78:OO81"/>
    <mergeCell ref="OS79:OW79"/>
    <mergeCell ref="PG79:PL79"/>
    <mergeCell ref="OS80:OW80"/>
    <mergeCell ref="PG80:PL80"/>
    <mergeCell ref="OP81:OQ81"/>
    <mergeCell ref="PG81:PL81"/>
    <mergeCell ref="CX78:DB78"/>
    <mergeCell ref="CX79:DB79"/>
    <mergeCell ref="GJ78:GN78"/>
    <mergeCell ref="GJ79:GN79"/>
    <mergeCell ref="GB80:GF80"/>
    <mergeCell ref="GP80:GU80"/>
    <mergeCell ref="FY81:FZ81"/>
    <mergeCell ref="GJ81:GN81"/>
    <mergeCell ref="GP81:GU81"/>
    <mergeCell ref="EW78:FB78"/>
    <mergeCell ref="GB78:GF78"/>
    <mergeCell ref="GP78:GU78"/>
    <mergeCell ref="HU78:HY78"/>
    <mergeCell ref="IC78:IG78"/>
    <mergeCell ref="II78:IN78"/>
    <mergeCell ref="GB79:GF79"/>
    <mergeCell ref="GP79:GU79"/>
    <mergeCell ref="NH78:NL78"/>
    <mergeCell ref="NH79:NL79"/>
    <mergeCell ref="MZ80:ND80"/>
    <mergeCell ref="NN80:NS80"/>
    <mergeCell ref="MW81:MX81"/>
    <mergeCell ref="NH81:NL81"/>
    <mergeCell ref="NN81:NS81"/>
    <mergeCell ref="LU78:LZ78"/>
    <mergeCell ref="MZ78:ND78"/>
    <mergeCell ref="NN78:NS78"/>
    <mergeCell ref="OS78:OW78"/>
    <mergeCell ref="PA78:PE78"/>
    <mergeCell ref="PG78:PL78"/>
    <mergeCell ref="MZ79:ND79"/>
    <mergeCell ref="NN79:NS79"/>
    <mergeCell ref="IV78:JJ81"/>
    <mergeCell ref="JK81:JL81"/>
    <mergeCell ref="PT78:QH81"/>
    <mergeCell ref="QI81:QJ81"/>
    <mergeCell ref="A64:C64"/>
    <mergeCell ref="A65:C65"/>
    <mergeCell ref="A67:C67"/>
    <mergeCell ref="D67:AG67"/>
    <mergeCell ref="AW67:BZ67"/>
    <mergeCell ref="A68:C68"/>
    <mergeCell ref="A69:C69"/>
    <mergeCell ref="CM69:CO69"/>
    <mergeCell ref="OP69:OR69"/>
    <mergeCell ref="QI69:QK69"/>
    <mergeCell ref="SB69:SD69"/>
    <mergeCell ref="OP70:OR70"/>
    <mergeCell ref="QI70:QK70"/>
    <mergeCell ref="SB70:SD70"/>
    <mergeCell ref="HR69:HT69"/>
    <mergeCell ref="HR70:HT70"/>
    <mergeCell ref="LD69:LF69"/>
    <mergeCell ref="LD70:LF70"/>
    <mergeCell ref="AI67:AK67"/>
    <mergeCell ref="AT69:AV69"/>
    <mergeCell ref="FY69:GA69"/>
    <mergeCell ref="JK69:JM69"/>
    <mergeCell ref="MW69:MY69"/>
    <mergeCell ref="FY70:GA70"/>
    <mergeCell ref="JK70:JM70"/>
    <mergeCell ref="MW70:MY70"/>
    <mergeCell ref="JC72:JJ72"/>
    <mergeCell ref="JK73:JM73"/>
    <mergeCell ref="JK74:JM74"/>
    <mergeCell ref="LD74:LF74"/>
    <mergeCell ref="MW74:MY74"/>
    <mergeCell ref="OP74:OR74"/>
    <mergeCell ref="QI74:QK74"/>
    <mergeCell ref="SB74:SD74"/>
    <mergeCell ref="HR73:HT73"/>
    <mergeCell ref="HR74:HT74"/>
    <mergeCell ref="HR72:HT72"/>
    <mergeCell ref="HR75:HT75"/>
    <mergeCell ref="JK75:JM75"/>
    <mergeCell ref="LD75:LF75"/>
    <mergeCell ref="MW75:MY75"/>
    <mergeCell ref="OP75:OR75"/>
    <mergeCell ref="QI75:QK75"/>
    <mergeCell ref="SB75:SD75"/>
    <mergeCell ref="GB72:HE72"/>
    <mergeCell ref="HG72:HI72"/>
    <mergeCell ref="HJ72:HQ72"/>
    <mergeCell ref="HU72:IX72"/>
    <mergeCell ref="IZ72:JB72"/>
    <mergeCell ref="FY74:GA74"/>
    <mergeCell ref="FY75:GA75"/>
    <mergeCell ref="PX72:PZ72"/>
    <mergeCell ref="QA72:QH72"/>
    <mergeCell ref="QI72:QK72"/>
    <mergeCell ref="QL72:RO72"/>
    <mergeCell ref="RQ72:RS72"/>
    <mergeCell ref="RT72:SA72"/>
    <mergeCell ref="SB72:SD72"/>
    <mergeCell ref="MO72:MV72"/>
    <mergeCell ref="MW72:MY72"/>
    <mergeCell ref="MZ72:OC72"/>
    <mergeCell ref="OE72:OG72"/>
    <mergeCell ref="OH72:OO72"/>
    <mergeCell ref="OP72:OR72"/>
    <mergeCell ref="OS72:PV72"/>
    <mergeCell ref="AL67:AS67"/>
    <mergeCell ref="AT68:AV68"/>
    <mergeCell ref="A70:C70"/>
    <mergeCell ref="AT70:AV70"/>
    <mergeCell ref="A72:C72"/>
    <mergeCell ref="D72:AG72"/>
    <mergeCell ref="AI72:AK72"/>
    <mergeCell ref="AL72:AS72"/>
    <mergeCell ref="AT72:AV72"/>
    <mergeCell ref="AW72:BZ72"/>
    <mergeCell ref="CB72:CD72"/>
    <mergeCell ref="CE72:CL72"/>
    <mergeCell ref="CM72:CO72"/>
    <mergeCell ref="CP72:DS72"/>
    <mergeCell ref="DU72:DW72"/>
    <mergeCell ref="DX72:EE72"/>
    <mergeCell ref="EF72:EH72"/>
    <mergeCell ref="EI72:FL72"/>
    <mergeCell ref="FN72:FP72"/>
    <mergeCell ref="FQ72:FX72"/>
    <mergeCell ref="FY72:GA72"/>
    <mergeCell ref="FY73:GA73"/>
    <mergeCell ref="SE72:TH72"/>
    <mergeCell ref="TJ72:TL72"/>
    <mergeCell ref="TM72:TT72"/>
    <mergeCell ref="ML72:MN72"/>
    <mergeCell ref="MW73:MY73"/>
    <mergeCell ref="JK72:JM72"/>
    <mergeCell ref="JN72:KQ72"/>
    <mergeCell ref="KS72:KU72"/>
    <mergeCell ref="KV72:LC72"/>
    <mergeCell ref="LD72:LF72"/>
    <mergeCell ref="LG72:MJ72"/>
    <mergeCell ref="LD73:LF73"/>
    <mergeCell ref="OP73:OR73"/>
    <mergeCell ref="QI73:QK73"/>
    <mergeCell ref="SB73:SD73"/>
    <mergeCell ref="AT75:AV75"/>
    <mergeCell ref="AT77:AV77"/>
    <mergeCell ref="AE78:AS81"/>
    <mergeCell ref="AT62:AV62"/>
    <mergeCell ref="AT63:AV63"/>
    <mergeCell ref="AT64:AV64"/>
    <mergeCell ref="AT65:AV65"/>
    <mergeCell ref="AT67:AV67"/>
    <mergeCell ref="AT73:AV73"/>
    <mergeCell ref="AT74:AV74"/>
    <mergeCell ref="AW77:BZ77"/>
    <mergeCell ref="CB77:CD77"/>
    <mergeCell ref="CE77:CL77"/>
    <mergeCell ref="CM77:CO77"/>
    <mergeCell ref="CP77:DS77"/>
    <mergeCell ref="DU77:DW77"/>
    <mergeCell ref="DX77:EE77"/>
    <mergeCell ref="EF77:EH77"/>
    <mergeCell ref="EI77:FL77"/>
    <mergeCell ref="FN77:FP77"/>
    <mergeCell ref="FQ77:FX77"/>
    <mergeCell ref="FY77:GA77"/>
    <mergeCell ref="GB77:HE77"/>
    <mergeCell ref="HG77:HI77"/>
    <mergeCell ref="HJ77:HQ77"/>
    <mergeCell ref="HR77:HT77"/>
    <mergeCell ref="HU77:IX77"/>
    <mergeCell ref="IZ77:JB77"/>
    <mergeCell ref="JC77:JJ77"/>
    <mergeCell ref="JK77:JM77"/>
    <mergeCell ref="JN77:KQ77"/>
    <mergeCell ref="KS77:KU77"/>
    <mergeCell ref="KV77:LC77"/>
    <mergeCell ref="LD77:LF77"/>
    <mergeCell ref="LG77:MJ77"/>
    <mergeCell ref="ML77:MN77"/>
    <mergeCell ref="MO77:MV77"/>
    <mergeCell ref="MW77:MY77"/>
    <mergeCell ref="QI77:QK77"/>
    <mergeCell ref="QL77:RO77"/>
    <mergeCell ref="RQ77:RS77"/>
    <mergeCell ref="RT77:SA77"/>
    <mergeCell ref="SB77:SD77"/>
    <mergeCell ref="SE77:TH77"/>
    <mergeCell ref="TJ77:TL77"/>
    <mergeCell ref="TM77:TT77"/>
    <mergeCell ref="MZ77:OC77"/>
    <mergeCell ref="OE77:OG77"/>
    <mergeCell ref="OH77:OO77"/>
    <mergeCell ref="OP77:OR77"/>
    <mergeCell ref="OS77:PV77"/>
    <mergeCell ref="PX77:PZ77"/>
    <mergeCell ref="QA77:QH77"/>
    <mergeCell ref="A53:C53"/>
    <mergeCell ref="A54:C54"/>
    <mergeCell ref="D57:AG57"/>
    <mergeCell ref="AI57:AK57"/>
    <mergeCell ref="AW57:BZ57"/>
    <mergeCell ref="CM58:CO58"/>
    <mergeCell ref="AT60:AV60"/>
    <mergeCell ref="CM63:CO63"/>
    <mergeCell ref="CM64:CO64"/>
    <mergeCell ref="CM65:CO65"/>
    <mergeCell ref="CM68:CO68"/>
    <mergeCell ref="CM70:CO70"/>
    <mergeCell ref="CM73:CO73"/>
    <mergeCell ref="CM74:CO74"/>
    <mergeCell ref="CM75:CO75"/>
    <mergeCell ref="CM59:CO59"/>
    <mergeCell ref="CM60:CO60"/>
    <mergeCell ref="AW62:BZ62"/>
    <mergeCell ref="CB62:CD62"/>
    <mergeCell ref="CE62:CL62"/>
    <mergeCell ref="CM62:CO62"/>
    <mergeCell ref="CP62:DS62"/>
    <mergeCell ref="EF69:EH69"/>
    <mergeCell ref="EF70:EH70"/>
    <mergeCell ref="EF73:EH73"/>
    <mergeCell ref="EF74:EH74"/>
    <mergeCell ref="EF75:EH75"/>
    <mergeCell ref="DU62:DW62"/>
    <mergeCell ref="DX62:EE62"/>
    <mergeCell ref="EF62:EH62"/>
    <mergeCell ref="EF63:EH63"/>
    <mergeCell ref="EF64:EH64"/>
    <mergeCell ref="EF65:EH65"/>
    <mergeCell ref="EF68:EH68"/>
    <mergeCell ref="A57:C57"/>
    <mergeCell ref="A60:C60"/>
    <mergeCell ref="A62:C62"/>
    <mergeCell ref="D62:AG62"/>
    <mergeCell ref="AI62:AK62"/>
    <mergeCell ref="AL62:AS62"/>
    <mergeCell ref="A63:C63"/>
    <mergeCell ref="A73:C73"/>
    <mergeCell ref="A74:C74"/>
    <mergeCell ref="A75:C75"/>
    <mergeCell ref="A77:C77"/>
    <mergeCell ref="D77:AG77"/>
    <mergeCell ref="AI77:AK77"/>
    <mergeCell ref="AL77:AS77"/>
    <mergeCell ref="A81:B81"/>
  </mergeCells>
  <conditionalFormatting sqref="D2:AH3 AW2:CA3 CP2:DT3 EI2:FM3 GB2:HF3 HU2:IY3 JN2:KR3 LG2:MK3 MZ2:OD3 OS2:PW3 QL2:RP3 SE2:TI3 D8:AH8 AW8:CA8 CP8:DT8 EI8:FM8 GB8:HF8 HU8:IY8 JN8:KR8 LG8:MK8 MZ8:OD8 OS8:PW8 QL8:RP8 SE8:TI8 D13:AH13 AW13:CA13 CP13:DT13 EI13:FM13 GB13:HF13 HU13:IY13 JN13:KR13 LG13:MK13 MZ13:OD13 OS13:PW13 QL13:RP13 SE13:TI13 D18:AH18 AW18:CA18 CP18:DT18 EI18:FM18 GB18:HF18 HU18:IY18 JN18:KR18 LG18:MK18 MZ18:OD18 OS18:PW18 QL18:RP18 SE18:TI18 D33:AH33 AW33:CA33 CP33:DT33 EI33:FM33 GB33:HF33 HU33:IY33 JN33:KR33 LG33:MK33 MZ33:OD33 OS33:PW33 QL33:RP33 SE33:TI33 D38:AH38 AW38:CA38 CP38:DT38 EI38:FM38 GB38:HF38 HU38:IY38 JN38:KR38 LG38:MK38 MZ38:OD38 OS38:PW38 QL38:RP38 SE38:TI38 D53:AH53 AW53:CA53 CP53:DT53 EI53:FM53 GB53:HF53 HU53:IY53 JN53:KR53 LG53:MK53 MZ53:OD53 OS53:PW53 QL53:RP53 SE53:TI53 D58:AH58 AW58:CA58 CP58:DT58 EI58:FM58 GB58:HF58 HU58:IY58 JN58:KR58 LG58:MK58 MZ58:OD58 OS58:PW58 QL58:RP58 SE58:TI58 D73:AH73 AW73:CA73 CP73:DT73 EI73:FM73 GB73:HF73 HU73:IY73 JN73:KR73 LG73:MK73 MZ73:OD73 OS73:PW73 QL73:RP73 SE73:TI73 SE23:TI23 QL23:RP23 OS23:PW23 MZ23:OD23 LG23:MK23 JN23:KR23 HU23:IY23 GB23:HF23 EI23:FM23 CP23:DT23 AW23:CA23 D23:AH23 D28:AH28 AW28:CA28 CP28:DT28 EI28:FM28 GB28:HF28 HU28:IY28 JN28:KR28 LG28:MK28 MZ28:OD28 OS28:PW28 QL28:RP28 SE28:TI28 SE43:TI43 QL43:RP43 OS43:PW43 MZ43:OD43 LG43:MK43 JN43:KR43 HU43:IY43 GB43:HF43 EI43:FM43 CP43:DT43 AW43:CA43 D43:AH43 D48:AH48 AW48:CA48 CP48:DT48 EI48:FM48 GB48:HF48 HU48:IY48 JN48:KR48 LG48:MK48 MZ48:OD48 OS48:PW48 QL48:RP48 SE48:TI48 SE63:TI63 QL63:RP63 OS63:PW63 MZ63:OD63 LG63:MK63 JN63:KR63 HU63:IY63 GB63:HF63 EI63:FM63 CP63:DT63 AW63:CA63 D63:AH63 D68:AH68 AW68:CA68 CP68:DT68 EI68:FM68 GB68:HF68 HU68:IY68 JN68:KR68 LG68:MK68 MZ68:OD68 OS68:PW68 QL68:RP68 SE68:TI68">
    <cfRule type="expression" dxfId="3" priority="1">
      <formula>WEEKDAY(D2) = 1</formula>
    </cfRule>
  </conditionalFormatting>
  <conditionalFormatting sqref="A2:TT77">
    <cfRule type="cellIs" dxfId="4" priority="2" operator="equal">
      <formula>"Pe"</formula>
    </cfRule>
  </conditionalFormatting>
  <conditionalFormatting sqref="A2:TT77">
    <cfRule type="cellIs" dxfId="5" priority="3" operator="equal">
      <formula>"FE"</formula>
    </cfRule>
  </conditionalFormatting>
  <conditionalFormatting sqref="A2:TT77">
    <cfRule type="cellIs" dxfId="6" priority="4" operator="equal">
      <formula>"ML"</formula>
    </cfRule>
  </conditionalFormatting>
  <printOptions/>
  <pageMargins bottom="0.23622" footer="0.0" header="0.0" left="0.19685" right="0.15748" top="0.23622"/>
  <pageSetup fitToHeight="0" orientation="landscape"/>
  <headerFooter>
    <oddFooter>&amp;C000000&amp;P</oddFooter>
  </headerFooter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3" max="3" width="38.71"/>
    <col customWidth="1" min="4" max="4" width="32.14"/>
    <col customWidth="1" min="5" max="5" width="93.71"/>
  </cols>
  <sheetData>
    <row r="1">
      <c r="A1" s="169" t="s">
        <v>57</v>
      </c>
      <c r="B1" s="169" t="s">
        <v>58</v>
      </c>
      <c r="C1" s="169" t="s">
        <v>59</v>
      </c>
      <c r="D1" s="170" t="s">
        <v>60</v>
      </c>
      <c r="E1" s="171" t="s">
        <v>61</v>
      </c>
      <c r="F1" s="172"/>
      <c r="G1" s="172"/>
    </row>
    <row r="2">
      <c r="A2" s="169" t="s">
        <v>62</v>
      </c>
      <c r="B2" s="173" t="s">
        <v>63</v>
      </c>
      <c r="C2" s="174" t="s">
        <v>64</v>
      </c>
      <c r="D2" s="170" t="s">
        <v>65</v>
      </c>
      <c r="E2" s="175" t="s">
        <v>66</v>
      </c>
      <c r="F2" s="176"/>
      <c r="G2" s="176"/>
    </row>
    <row r="3">
      <c r="A3" s="169" t="s">
        <v>67</v>
      </c>
      <c r="B3" s="169" t="s">
        <v>68</v>
      </c>
      <c r="C3" s="169" t="s">
        <v>69</v>
      </c>
      <c r="D3" s="169" t="s">
        <v>70</v>
      </c>
      <c r="E3" s="177" t="s">
        <v>71</v>
      </c>
      <c r="F3" s="172"/>
      <c r="G3" s="172"/>
    </row>
    <row r="4">
      <c r="A4" s="169" t="s">
        <v>72</v>
      </c>
      <c r="B4" s="172"/>
      <c r="C4" s="178" t="s">
        <v>73</v>
      </c>
      <c r="D4" s="169" t="s">
        <v>74</v>
      </c>
      <c r="E4" s="177" t="s">
        <v>75</v>
      </c>
      <c r="F4" s="172"/>
      <c r="G4" s="172"/>
    </row>
    <row r="5">
      <c r="A5" s="169" t="s">
        <v>76</v>
      </c>
      <c r="B5" s="172"/>
      <c r="C5" s="169" t="s">
        <v>77</v>
      </c>
      <c r="D5" s="169" t="s">
        <v>78</v>
      </c>
      <c r="E5" s="177" t="s">
        <v>79</v>
      </c>
      <c r="F5" s="172"/>
      <c r="G5" s="172"/>
    </row>
    <row r="6">
      <c r="A6" s="169" t="s">
        <v>80</v>
      </c>
      <c r="B6" s="172"/>
      <c r="C6" s="169" t="s">
        <v>81</v>
      </c>
      <c r="D6" s="169" t="s">
        <v>82</v>
      </c>
      <c r="E6" s="177" t="s">
        <v>83</v>
      </c>
      <c r="F6" s="172"/>
      <c r="G6" s="172"/>
    </row>
    <row r="7">
      <c r="A7" s="169" t="s">
        <v>84</v>
      </c>
      <c r="B7" s="172"/>
      <c r="C7" s="169" t="s">
        <v>85</v>
      </c>
      <c r="D7" s="169" t="s">
        <v>86</v>
      </c>
      <c r="E7" s="177" t="s">
        <v>87</v>
      </c>
      <c r="F7" s="172"/>
      <c r="G7" s="172"/>
    </row>
    <row r="8">
      <c r="A8" s="169" t="s">
        <v>88</v>
      </c>
      <c r="B8" s="169"/>
      <c r="C8" s="169" t="s">
        <v>85</v>
      </c>
      <c r="D8" s="169" t="s">
        <v>89</v>
      </c>
      <c r="E8" s="177" t="s">
        <v>90</v>
      </c>
      <c r="F8" s="172"/>
      <c r="G8" s="172"/>
    </row>
    <row r="9">
      <c r="A9" s="169" t="s">
        <v>91</v>
      </c>
      <c r="B9" s="172"/>
      <c r="C9" s="169" t="s">
        <v>92</v>
      </c>
      <c r="D9" s="169" t="s">
        <v>93</v>
      </c>
      <c r="E9" s="177" t="s">
        <v>94</v>
      </c>
      <c r="F9" s="172"/>
      <c r="G9" s="172"/>
    </row>
    <row r="10">
      <c r="A10" s="169" t="s">
        <v>95</v>
      </c>
      <c r="B10" s="172"/>
      <c r="C10" s="169" t="s">
        <v>96</v>
      </c>
      <c r="D10" s="169" t="s">
        <v>97</v>
      </c>
      <c r="E10" s="177" t="s">
        <v>98</v>
      </c>
      <c r="F10" s="172"/>
      <c r="G10" s="172"/>
    </row>
    <row r="11">
      <c r="A11" s="169" t="s">
        <v>99</v>
      </c>
      <c r="B11" s="172"/>
      <c r="C11" s="169" t="s">
        <v>85</v>
      </c>
      <c r="D11" s="169" t="s">
        <v>100</v>
      </c>
      <c r="E11" s="177" t="s">
        <v>101</v>
      </c>
      <c r="F11" s="172"/>
      <c r="G11" s="172"/>
    </row>
    <row r="12">
      <c r="A12" s="179" t="s">
        <v>102</v>
      </c>
      <c r="B12" s="172"/>
      <c r="C12" s="169" t="s">
        <v>85</v>
      </c>
      <c r="D12" s="169" t="s">
        <v>103</v>
      </c>
      <c r="E12" s="177" t="s">
        <v>104</v>
      </c>
      <c r="F12" s="172"/>
      <c r="G12" s="172"/>
    </row>
    <row r="13">
      <c r="A13" s="180" t="s">
        <v>105</v>
      </c>
      <c r="B13" s="172"/>
      <c r="C13" s="169" t="s">
        <v>85</v>
      </c>
      <c r="D13" s="172"/>
      <c r="E13" s="169"/>
      <c r="F13" s="172"/>
      <c r="G13" s="172"/>
    </row>
    <row r="14">
      <c r="A14" s="169" t="s">
        <v>106</v>
      </c>
      <c r="B14" s="172"/>
      <c r="C14" s="169" t="s">
        <v>107</v>
      </c>
      <c r="D14" s="172"/>
      <c r="E14" s="172"/>
      <c r="F14" s="172"/>
      <c r="G14" s="172"/>
    </row>
    <row r="15">
      <c r="A15" s="169" t="s">
        <v>108</v>
      </c>
      <c r="B15" s="172"/>
      <c r="C15" s="169" t="s">
        <v>109</v>
      </c>
      <c r="D15" s="172"/>
      <c r="E15" s="172"/>
      <c r="F15" s="172"/>
      <c r="G15" s="172"/>
    </row>
    <row r="16">
      <c r="A16" s="181"/>
      <c r="B16" s="181"/>
      <c r="C16" s="181"/>
      <c r="D16" s="181"/>
      <c r="E16" s="181"/>
      <c r="F16" s="181"/>
      <c r="G16" s="181"/>
    </row>
    <row r="17">
      <c r="A17" s="172"/>
      <c r="B17" s="172"/>
      <c r="C17" s="172"/>
      <c r="D17" s="172"/>
      <c r="E17" s="172"/>
      <c r="F17" s="172"/>
      <c r="G17" s="172"/>
    </row>
    <row r="18">
      <c r="A18" s="177" t="s">
        <v>110</v>
      </c>
      <c r="B18" s="172"/>
      <c r="C18" s="177" t="s">
        <v>111</v>
      </c>
      <c r="D18" s="172"/>
      <c r="E18" s="172"/>
      <c r="F18" s="172"/>
      <c r="G18" s="172"/>
    </row>
    <row r="19">
      <c r="A19" s="172"/>
      <c r="B19" s="172"/>
      <c r="C19" s="172"/>
      <c r="D19" s="172"/>
      <c r="E19" s="172"/>
      <c r="F19" s="172"/>
      <c r="G19" s="172"/>
    </row>
    <row r="20">
      <c r="A20" s="172"/>
      <c r="B20" s="172"/>
      <c r="C20" s="172"/>
      <c r="D20" s="172"/>
      <c r="E20" s="172"/>
      <c r="F20" s="172"/>
      <c r="G20" s="172"/>
    </row>
    <row r="21">
      <c r="A21" s="172"/>
      <c r="B21" s="172"/>
      <c r="C21" s="172"/>
      <c r="D21" s="172"/>
      <c r="E21" s="172"/>
      <c r="F21" s="172"/>
      <c r="G21" s="172"/>
    </row>
    <row r="22">
      <c r="A22" s="172"/>
      <c r="B22" s="172"/>
      <c r="C22" s="172"/>
      <c r="D22" s="172"/>
      <c r="E22" s="172"/>
      <c r="F22" s="172"/>
      <c r="G22" s="172"/>
    </row>
    <row r="23">
      <c r="A23" s="172"/>
      <c r="B23" s="172"/>
      <c r="C23" s="172"/>
      <c r="D23" s="172"/>
      <c r="E23" s="172"/>
      <c r="F23" s="172"/>
      <c r="G23" s="172"/>
    </row>
    <row r="24">
      <c r="A24" s="172"/>
      <c r="B24" s="172"/>
      <c r="C24" s="172"/>
      <c r="D24" s="172"/>
      <c r="E24" s="172"/>
      <c r="F24" s="172"/>
      <c r="G24" s="172"/>
    </row>
    <row r="25">
      <c r="A25" s="172"/>
      <c r="B25" s="172"/>
      <c r="C25" s="172"/>
      <c r="D25" s="172"/>
      <c r="E25" s="172"/>
      <c r="F25" s="172"/>
      <c r="G25" s="172"/>
    </row>
    <row r="26">
      <c r="A26" s="172"/>
      <c r="B26" s="172"/>
      <c r="C26" s="172"/>
      <c r="D26" s="172"/>
      <c r="E26" s="172"/>
      <c r="F26" s="172"/>
      <c r="G26" s="172"/>
    </row>
    <row r="27">
      <c r="A27" s="172"/>
      <c r="B27" s="172"/>
      <c r="C27" s="172"/>
      <c r="D27" s="172"/>
      <c r="E27" s="172"/>
      <c r="F27" s="172"/>
      <c r="G27" s="172"/>
    </row>
    <row r="28">
      <c r="A28" s="169" t="s">
        <v>27</v>
      </c>
      <c r="B28" s="169" t="s">
        <v>112</v>
      </c>
    </row>
  </sheetData>
  <mergeCells count="2">
    <mergeCell ref="A28:A30"/>
    <mergeCell ref="B28:G30"/>
  </mergeCells>
  <drawing r:id="rId4"/>
  <legacyDrawing r:id="rId5"/>
</worksheet>
</file>