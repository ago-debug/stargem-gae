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5-26Resoconto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set2025
resoconto collegato al file 25-26_ISCRITTI WORKSHOP</t>
      </text>
    </comment>
    <comment authorId="0" ref="A24">
      <text>
        <t xml:space="preserve">ott2025
resoconto collegato al file 2526_DOMENICHE IN MOVIMENTO</t>
      </text>
    </comment>
    <comment authorId="0" ref="A34">
      <text>
        <t xml:space="preserve">mag2024 
resoconto collegato al file 24_CAMPUS</t>
      </text>
    </comment>
  </commentList>
</comments>
</file>

<file path=xl/sharedStrings.xml><?xml version="1.0" encoding="utf-8"?>
<sst xmlns="http://schemas.openxmlformats.org/spreadsheetml/2006/main" count="16" uniqueCount="16">
  <si>
    <t>Bonus 
Fine Stagione 25-26</t>
  </si>
  <si>
    <t>punti TOTALE</t>
  </si>
  <si>
    <t>subTOTALE</t>
  </si>
  <si>
    <t>codici subTOTALE</t>
  </si>
  <si>
    <t>codici + bonus Team V. (diviso 5) sub TOTALE</t>
  </si>
  <si>
    <t>codici + bonus Team + bonus Fine S. (diviso 8) TOTALE</t>
  </si>
  <si>
    <t>Legenda:</t>
  </si>
  <si>
    <t>1 sede = € 1,50</t>
  </si>
  <si>
    <t>1 codice = € 1,00</t>
  </si>
  <si>
    <t>1 bonus Team = €1,00</t>
  </si>
  <si>
    <t>1 bonus Staff (nome) = €3,00</t>
  </si>
  <si>
    <t>Il saldo verrà liquidato a metà luglio 2025 in contanti</t>
  </si>
  <si>
    <t>SEDE:</t>
  </si>
  <si>
    <t>la colonna SEDE conta solo se un nome si trova nella colonna che si chiama VENDITA e PAGAMENTO di qualsiasi file collegato a questo Resoconto</t>
  </si>
  <si>
    <t>CODICE:</t>
  </si>
  <si>
    <t>la colonna CODICE conta solo se un nome si trova nella colonna che si chiama CODICE SCONTO di qualsiasi file collegato a questo Resoconto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</si>
</sst>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&quot; &quot;mmmm&quot; &quot;yyyy"/>
    <numFmt numFmtId="166" formatCode="_-[$€-2]* #,##0.00_-;_-[$€-2]* \-#,##0.00_-;_-[$€-2]* &quot;-&quot;??_-;_-@"/>
  </numFmts>
  <fonts count="9">
    <font>
      <sz val="10.0"/>
      <color rgb="FF000000"/>
      <name val="Arial"/>
      <scheme val="minor"/>
    </font>
    <font>
      <b/>
      <color theme="1"/>
      <name val="Arial"/>
    </font>
    <font>
      <sz val="11.0"/>
      <color rgb="FF000000"/>
      <name val="Arial"/>
    </font>
    <font>
      <u/>
      <color rgb="FF0000FF"/>
      <name val="Arial"/>
    </font>
    <font>
      <color theme="1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b/>
      <sz val="9.0"/>
      <color theme="1"/>
      <name val="Arial"/>
    </font>
  </fonts>
  <fills count="20">
    <fill>
      <patternFill patternType="none"/>
    </fill>
    <fill>
      <patternFill patternType="lightGray"/>
    </fill>
    <fill>
      <patternFill patternType="solid">
        <fgColor rgb="FFE6B8AF"/>
        <bgColor rgb="FFE6B8AF"/>
      </patternFill>
    </fill>
    <fill>
      <patternFill patternType="solid">
        <fgColor rgb="FFA4C2F4"/>
        <bgColor rgb="FFA4C2F4"/>
      </patternFill>
    </fill>
    <fill>
      <patternFill patternType="solid">
        <fgColor rgb="FFFAC8AA"/>
        <bgColor rgb="FFFAC8AA"/>
      </patternFill>
    </fill>
    <fill>
      <patternFill patternType="solid">
        <fgColor rgb="FFE6E6E6"/>
        <bgColor rgb="FFE6E6E6"/>
      </patternFill>
    </fill>
    <fill>
      <patternFill patternType="solid">
        <fgColor rgb="FFC6DBE1"/>
        <bgColor rgb="FFC6DBE1"/>
      </patternFill>
    </fill>
    <fill>
      <patternFill patternType="solid">
        <fgColor rgb="FF6D9EEB"/>
        <bgColor rgb="FF6D9EEB"/>
      </patternFill>
    </fill>
    <fill>
      <patternFill patternType="solid">
        <fgColor rgb="FFDD7E6B"/>
        <bgColor rgb="FFDD7E6B"/>
      </patternFill>
    </fill>
    <fill>
      <patternFill patternType="solid">
        <fgColor rgb="FF93C47D"/>
        <bgColor rgb="FF93C47D"/>
      </patternFill>
    </fill>
    <fill>
      <patternFill patternType="solid">
        <fgColor rgb="FFFFE59F"/>
        <bgColor rgb="FFFFE59F"/>
      </patternFill>
    </fill>
    <fill>
      <patternFill patternType="solid">
        <fgColor rgb="FFE6CFF3"/>
        <bgColor rgb="FFE6CFF3"/>
      </patternFill>
    </fill>
    <fill>
      <patternFill patternType="solid">
        <fgColor rgb="FFD4EDBB"/>
        <bgColor rgb="FFD4EDBB"/>
      </patternFill>
    </fill>
    <fill>
      <patternFill patternType="solid">
        <fgColor rgb="FFC9DAF8"/>
        <bgColor rgb="FFC9DAF8"/>
      </patternFill>
    </fill>
    <fill>
      <patternFill patternType="solid">
        <fgColor rgb="FFD5A6BD"/>
        <bgColor rgb="FFD5A6BD"/>
      </patternFill>
    </fill>
    <fill>
      <patternFill patternType="solid">
        <fgColor rgb="FFEAD1DC"/>
        <bgColor rgb="FFEAD1DC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</fills>
  <borders count="3">
    <border/>
    <border>
      <bottom style="thin">
        <color rgb="FF000000"/>
      </bottom>
    </border>
    <border>
      <top style="medium">
        <color rgb="FF000000"/>
      </top>
    </border>
  </borders>
  <cellStyleXfs count="1">
    <xf borderId="0" fillId="0" fontId="0" numFmtId="0" applyAlignment="1" applyFont="1"/>
  </cellStyleXfs>
  <cellXfs count="129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horizontal="center" readingOrder="0" shrinkToFit="0" vertical="center" wrapText="1"/>
    </xf>
    <xf borderId="0" fillId="3" fontId="1" numFmtId="0" xfId="0" applyAlignment="1" applyFill="1" applyFont="1">
      <alignment horizontal="center" readingOrder="0" shrinkToFit="0" vertical="center" wrapText="1"/>
    </xf>
    <xf borderId="0" fillId="4" fontId="1" numFmtId="0" xfId="0" applyAlignment="1" applyFill="1" applyFont="1">
      <alignment horizontal="center" readingOrder="0" shrinkToFit="0" vertical="center" wrapText="1"/>
    </xf>
    <xf borderId="0" fillId="5" fontId="1" numFmtId="0" xfId="0" applyAlignment="1" applyFill="1" applyFont="1">
      <alignment horizontal="center" readingOrder="0" shrinkToFit="0" vertical="center" wrapText="1"/>
    </xf>
    <xf borderId="0" fillId="6" fontId="1" numFmtId="0" xfId="0" applyAlignment="1" applyFill="1" applyFont="1">
      <alignment horizontal="center" readingOrder="0" shrinkToFit="0" vertical="center" wrapText="1"/>
    </xf>
    <xf borderId="0" fillId="7" fontId="1" numFmtId="0" xfId="0" applyAlignment="1" applyFill="1" applyFont="1">
      <alignment horizontal="center" readingOrder="0" shrinkToFit="0" vertical="center" wrapText="1"/>
    </xf>
    <xf borderId="0" fillId="8" fontId="1" numFmtId="0" xfId="0" applyAlignment="1" applyFill="1" applyFont="1">
      <alignment horizontal="center" readingOrder="0" shrinkToFit="0" vertical="center" wrapText="1"/>
    </xf>
    <xf borderId="0" fillId="9" fontId="1" numFmtId="0" xfId="0" applyAlignment="1" applyFill="1" applyFont="1">
      <alignment horizontal="center" readingOrder="0" shrinkToFit="0" vertical="center" wrapText="1"/>
    </xf>
    <xf borderId="0" fillId="10" fontId="1" numFmtId="0" xfId="0" applyAlignment="1" applyFill="1" applyFont="1">
      <alignment horizontal="center" readingOrder="0" shrinkToFit="0" vertical="center" wrapText="1"/>
    </xf>
    <xf borderId="0" fillId="11" fontId="1" numFmtId="0" xfId="0" applyAlignment="1" applyFill="1" applyFont="1">
      <alignment horizontal="center" readingOrder="0" shrinkToFit="0" vertical="center" wrapText="1"/>
    </xf>
    <xf borderId="0" fillId="12" fontId="1" numFmtId="0" xfId="0" applyAlignment="1" applyFill="1" applyFont="1">
      <alignment horizontal="center" readingOrder="0" shrinkToFit="0" vertical="center" wrapText="1"/>
    </xf>
    <xf borderId="0" fillId="13" fontId="1" numFmtId="0" xfId="0" applyAlignment="1" applyFill="1" applyFont="1">
      <alignment horizontal="center" readingOrder="0" shrinkToFit="0" vertical="center" wrapText="1"/>
    </xf>
    <xf borderId="0" fillId="14" fontId="1" numFmtId="0" xfId="0" applyAlignment="1" applyFill="1" applyFont="1">
      <alignment horizontal="center" readingOrder="0" shrinkToFit="0" vertical="center" wrapText="1"/>
    </xf>
    <xf borderId="0" fillId="15" fontId="1" numFmtId="0" xfId="0" applyAlignment="1" applyFill="1" applyFont="1">
      <alignment horizontal="center" readingOrder="0" shrinkToFit="0" vertical="center" wrapText="1"/>
    </xf>
    <xf borderId="0" fillId="16" fontId="1" numFmtId="0" xfId="0" applyAlignment="1" applyFill="1" applyFont="1">
      <alignment horizontal="center" readingOrder="0" shrinkToFit="0" vertical="center" wrapText="1"/>
    </xf>
    <xf borderId="1" fillId="3" fontId="1" numFmtId="164" xfId="0" applyAlignment="1" applyBorder="1" applyFont="1" applyNumberFormat="1">
      <alignment horizontal="center" readingOrder="0" shrinkToFit="0" vertical="center" wrapText="1"/>
    </xf>
    <xf borderId="1" fillId="3" fontId="1" numFmtId="0" xfId="0" applyAlignment="1" applyBorder="1" applyFont="1">
      <alignment horizontal="center" readingOrder="0" shrinkToFit="0" vertical="center" wrapText="1"/>
    </xf>
    <xf borderId="1" fillId="4" fontId="1" numFmtId="0" xfId="0" applyAlignment="1" applyBorder="1" applyFont="1">
      <alignment horizontal="center" readingOrder="0" shrinkToFit="0" vertical="center" wrapText="1"/>
    </xf>
    <xf borderId="1" fillId="5" fontId="1" numFmtId="0" xfId="0" applyAlignment="1" applyBorder="1" applyFont="1">
      <alignment horizontal="center" readingOrder="0" shrinkToFit="0" vertical="center" wrapText="1"/>
    </xf>
    <xf borderId="1" fillId="6" fontId="1" numFmtId="0" xfId="0" applyAlignment="1" applyBorder="1" applyFont="1">
      <alignment horizontal="center" readingOrder="0" shrinkToFit="0" vertical="center" wrapText="1"/>
    </xf>
    <xf borderId="1" fillId="7" fontId="1" numFmtId="0" xfId="0" applyAlignment="1" applyBorder="1" applyFont="1">
      <alignment horizontal="center" readingOrder="0" shrinkToFit="0" vertical="center" wrapText="1"/>
    </xf>
    <xf borderId="1" fillId="8" fontId="1" numFmtId="0" xfId="0" applyAlignment="1" applyBorder="1" applyFont="1">
      <alignment horizontal="center" readingOrder="0" shrinkToFit="0" vertical="center" wrapText="1"/>
    </xf>
    <xf borderId="1" fillId="9" fontId="1" numFmtId="0" xfId="0" applyAlignment="1" applyBorder="1" applyFont="1">
      <alignment horizontal="center" readingOrder="0" shrinkToFit="0" vertical="center" wrapText="1"/>
    </xf>
    <xf borderId="1" fillId="10" fontId="1" numFmtId="0" xfId="0" applyAlignment="1" applyBorder="1" applyFont="1">
      <alignment horizontal="center" readingOrder="0" shrinkToFit="0" vertical="center" wrapText="1"/>
    </xf>
    <xf borderId="1" fillId="11" fontId="1" numFmtId="0" xfId="0" applyAlignment="1" applyBorder="1" applyFont="1">
      <alignment horizontal="center" readingOrder="0" shrinkToFit="0" vertical="center" wrapText="1"/>
    </xf>
    <xf borderId="1" fillId="12" fontId="1" numFmtId="0" xfId="0" applyAlignment="1" applyBorder="1" applyFont="1">
      <alignment horizontal="center" readingOrder="0" shrinkToFit="0" vertical="center" wrapText="1"/>
    </xf>
    <xf borderId="1" fillId="13" fontId="1" numFmtId="0" xfId="0" applyAlignment="1" applyBorder="1" applyFont="1">
      <alignment horizontal="center" readingOrder="0" shrinkToFit="0" vertical="center" wrapText="1"/>
    </xf>
    <xf borderId="1" fillId="14" fontId="1" numFmtId="0" xfId="0" applyAlignment="1" applyBorder="1" applyFont="1">
      <alignment horizontal="center" readingOrder="0" shrinkToFit="0" vertical="center" wrapText="1"/>
    </xf>
    <xf borderId="1" fillId="15" fontId="1" numFmtId="0" xfId="0" applyAlignment="1" applyBorder="1" applyFont="1">
      <alignment horizontal="center" readingOrder="0" shrinkToFit="0" vertical="center" wrapText="1"/>
    </xf>
    <xf borderId="1" fillId="16" fontId="1" numFmtId="0" xfId="0" applyAlignment="1" applyBorder="1" applyFont="1">
      <alignment horizontal="center" readingOrder="0" shrinkToFit="0" vertical="center" wrapText="1"/>
    </xf>
    <xf borderId="0" fillId="0" fontId="2" numFmtId="165" xfId="0" applyAlignment="1" applyFont="1" applyNumberFormat="1">
      <alignment readingOrder="0" vertical="center"/>
    </xf>
    <xf borderId="0" fillId="0" fontId="3" numFmtId="0" xfId="0" applyAlignment="1" applyFont="1">
      <alignment readingOrder="0" vertical="center"/>
    </xf>
    <xf borderId="0" fillId="4" fontId="4" numFmtId="0" xfId="0" applyAlignment="1" applyFont="1">
      <alignment readingOrder="0" vertical="center"/>
    </xf>
    <xf borderId="0" fillId="5" fontId="4" numFmtId="0" xfId="0" applyAlignment="1" applyFont="1">
      <alignment readingOrder="0" vertical="center"/>
    </xf>
    <xf borderId="0" fillId="6" fontId="4" numFmtId="0" xfId="0" applyAlignment="1" applyFont="1">
      <alignment readingOrder="0" vertical="center"/>
    </xf>
    <xf borderId="0" fillId="7" fontId="4" numFmtId="0" xfId="0" applyAlignment="1" applyFont="1">
      <alignment readingOrder="0" vertical="center"/>
    </xf>
    <xf borderId="0" fillId="8" fontId="4" numFmtId="0" xfId="0" applyAlignment="1" applyFont="1">
      <alignment readingOrder="0" vertical="center"/>
    </xf>
    <xf borderId="0" fillId="9" fontId="4" numFmtId="0" xfId="0" applyAlignment="1" applyFont="1">
      <alignment readingOrder="0" vertical="center"/>
    </xf>
    <xf borderId="0" fillId="10" fontId="4" numFmtId="0" xfId="0" applyAlignment="1" applyFont="1">
      <alignment readingOrder="0" vertical="center"/>
    </xf>
    <xf borderId="0" fillId="11" fontId="4" numFmtId="0" xfId="0" applyAlignment="1" applyFont="1">
      <alignment readingOrder="0" vertical="center"/>
    </xf>
    <xf borderId="0" fillId="12" fontId="4" numFmtId="0" xfId="0" applyAlignment="1" applyFont="1">
      <alignment readingOrder="0" vertical="center"/>
    </xf>
    <xf borderId="0" fillId="13" fontId="4" numFmtId="0" xfId="0" applyAlignment="1" applyFont="1">
      <alignment horizontal="right" vertical="center"/>
    </xf>
    <xf borderId="0" fillId="14" fontId="4" numFmtId="0" xfId="0" applyAlignment="1" applyFont="1">
      <alignment horizontal="right" readingOrder="0" vertical="center"/>
    </xf>
    <xf borderId="0" fillId="15" fontId="4" numFmtId="0" xfId="0" applyAlignment="1" applyFont="1">
      <alignment horizontal="right" readingOrder="0" vertical="center"/>
    </xf>
    <xf borderId="0" fillId="16" fontId="1" numFmtId="0" xfId="0" applyAlignment="1" applyFont="1">
      <alignment horizontal="center" readingOrder="0" vertical="center"/>
    </xf>
    <xf borderId="0" fillId="16" fontId="1" numFmtId="166" xfId="0" applyAlignment="1" applyFont="1" applyNumberFormat="1">
      <alignment horizontal="center" readingOrder="0" vertical="center"/>
    </xf>
    <xf borderId="0" fillId="0" fontId="5" numFmtId="0" xfId="0" applyAlignment="1" applyFont="1">
      <alignment readingOrder="0" vertical="center"/>
    </xf>
    <xf borderId="0" fillId="0" fontId="2" numFmtId="165" xfId="0" applyFont="1" applyNumberFormat="1"/>
    <xf borderId="0" fillId="0" fontId="2" numFmtId="165" xfId="0" applyAlignment="1" applyFont="1" applyNumberFormat="1">
      <alignment vertical="center"/>
    </xf>
    <xf borderId="0" fillId="0" fontId="6" numFmtId="0" xfId="0" applyAlignment="1" applyFont="1">
      <alignment vertical="center"/>
    </xf>
    <xf borderId="0" fillId="4" fontId="4" numFmtId="0" xfId="0" applyAlignment="1" applyFont="1">
      <alignment vertical="center"/>
    </xf>
    <xf borderId="0" fillId="5" fontId="4" numFmtId="0" xfId="0" applyAlignment="1" applyFont="1">
      <alignment vertical="center"/>
    </xf>
    <xf borderId="0" fillId="6" fontId="4" numFmtId="0" xfId="0" applyAlignment="1" applyFont="1">
      <alignment vertical="center"/>
    </xf>
    <xf borderId="0" fillId="7" fontId="4" numFmtId="0" xfId="0" applyAlignment="1" applyFont="1">
      <alignment vertical="center"/>
    </xf>
    <xf borderId="0" fillId="8" fontId="4" numFmtId="0" xfId="0" applyAlignment="1" applyFont="1">
      <alignment vertical="center"/>
    </xf>
    <xf borderId="0" fillId="9" fontId="4" numFmtId="0" xfId="0" applyAlignment="1" applyFont="1">
      <alignment vertical="center"/>
    </xf>
    <xf borderId="0" fillId="10" fontId="4" numFmtId="0" xfId="0" applyAlignment="1" applyFont="1">
      <alignment vertical="center"/>
    </xf>
    <xf borderId="0" fillId="11" fontId="4" numFmtId="0" xfId="0" applyAlignment="1" applyFont="1">
      <alignment vertical="center"/>
    </xf>
    <xf borderId="0" fillId="12" fontId="4" numFmtId="0" xfId="0" applyAlignment="1" applyFont="1">
      <alignment vertical="center"/>
    </xf>
    <xf borderId="0" fillId="17" fontId="2" numFmtId="165" xfId="0" applyAlignment="1" applyFill="1" applyFont="1" applyNumberFormat="1">
      <alignment readingOrder="0"/>
    </xf>
    <xf borderId="0" fillId="17" fontId="2" numFmtId="0" xfId="0" applyAlignment="1" applyFont="1">
      <alignment readingOrder="0"/>
    </xf>
    <xf borderId="0" fillId="0" fontId="4" numFmtId="0" xfId="0" applyAlignment="1" applyFont="1">
      <alignment vertical="center"/>
    </xf>
    <xf borderId="2" fillId="2" fontId="2" numFmtId="165" xfId="0" applyAlignment="1" applyBorder="1" applyFont="1" applyNumberFormat="1">
      <alignment readingOrder="0"/>
    </xf>
    <xf borderId="2" fillId="0" fontId="7" numFmtId="0" xfId="0" applyAlignment="1" applyBorder="1" applyFont="1">
      <alignment vertical="center"/>
    </xf>
    <xf borderId="2" fillId="4" fontId="4" numFmtId="0" xfId="0" applyAlignment="1" applyBorder="1" applyFont="1">
      <alignment vertical="center"/>
    </xf>
    <xf borderId="2" fillId="5" fontId="4" numFmtId="0" xfId="0" applyAlignment="1" applyBorder="1" applyFont="1">
      <alignment vertical="center"/>
    </xf>
    <xf borderId="2" fillId="6" fontId="4" numFmtId="0" xfId="0" applyAlignment="1" applyBorder="1" applyFont="1">
      <alignment vertical="center"/>
    </xf>
    <xf borderId="2" fillId="7" fontId="4" numFmtId="0" xfId="0" applyAlignment="1" applyBorder="1" applyFont="1">
      <alignment vertical="center"/>
    </xf>
    <xf borderId="2" fillId="8" fontId="4" numFmtId="0" xfId="0" applyAlignment="1" applyBorder="1" applyFont="1">
      <alignment vertical="center"/>
    </xf>
    <xf borderId="2" fillId="9" fontId="4" numFmtId="0" xfId="0" applyAlignment="1" applyBorder="1" applyFont="1">
      <alignment vertical="center"/>
    </xf>
    <xf borderId="2" fillId="10" fontId="4" numFmtId="0" xfId="0" applyAlignment="1" applyBorder="1" applyFont="1">
      <alignment vertical="center"/>
    </xf>
    <xf borderId="2" fillId="11" fontId="4" numFmtId="0" xfId="0" applyAlignment="1" applyBorder="1" applyFont="1">
      <alignment vertical="center"/>
    </xf>
    <xf borderId="2" fillId="12" fontId="4" numFmtId="0" xfId="0" applyAlignment="1" applyBorder="1" applyFont="1">
      <alignment vertical="center"/>
    </xf>
    <xf borderId="2" fillId="13" fontId="4" numFmtId="0" xfId="0" applyAlignment="1" applyBorder="1" applyFont="1">
      <alignment horizontal="right" vertical="center"/>
    </xf>
    <xf borderId="2" fillId="14" fontId="4" numFmtId="0" xfId="0" applyAlignment="1" applyBorder="1" applyFont="1">
      <alignment horizontal="right" readingOrder="0" vertical="center"/>
    </xf>
    <xf borderId="2" fillId="15" fontId="4" numFmtId="0" xfId="0" applyAlignment="1" applyBorder="1" applyFont="1">
      <alignment horizontal="right" readingOrder="0" vertical="center"/>
    </xf>
    <xf borderId="2" fillId="16" fontId="1" numFmtId="0" xfId="0" applyAlignment="1" applyBorder="1" applyFont="1">
      <alignment horizontal="center" readingOrder="0" vertical="center"/>
    </xf>
    <xf borderId="2" fillId="16" fontId="1" numFmtId="166" xfId="0" applyAlignment="1" applyBorder="1" applyFont="1" applyNumberFormat="1">
      <alignment horizontal="center" readingOrder="0" vertical="center"/>
    </xf>
    <xf borderId="0" fillId="0" fontId="4" numFmtId="165" xfId="0" applyAlignment="1" applyFont="1" applyNumberFormat="1">
      <alignment vertical="center"/>
    </xf>
    <xf borderId="2" fillId="2" fontId="4" numFmtId="165" xfId="0" applyAlignment="1" applyBorder="1" applyFont="1" applyNumberFormat="1">
      <alignment readingOrder="0" vertical="center"/>
    </xf>
    <xf borderId="0" fillId="0" fontId="4" numFmtId="165" xfId="0" applyAlignment="1" applyFont="1" applyNumberFormat="1">
      <alignment readingOrder="0" vertical="center"/>
    </xf>
    <xf borderId="0" fillId="0" fontId="1" numFmtId="0" xfId="0" applyAlignment="1" applyFont="1">
      <alignment readingOrder="0" vertical="center"/>
    </xf>
    <xf borderId="0" fillId="4" fontId="1" numFmtId="0" xfId="0" applyAlignment="1" applyFont="1">
      <alignment readingOrder="0" vertical="center"/>
    </xf>
    <xf borderId="2" fillId="16" fontId="1" numFmtId="164" xfId="0" applyAlignment="1" applyBorder="1" applyFont="1" applyNumberFormat="1">
      <alignment horizontal="right" readingOrder="0" vertical="center"/>
    </xf>
    <xf borderId="2" fillId="16" fontId="4" numFmtId="0" xfId="0" applyAlignment="1" applyBorder="1" applyFont="1">
      <alignment horizontal="right" readingOrder="0" vertical="center"/>
    </xf>
    <xf borderId="2" fillId="4" fontId="4" numFmtId="0" xfId="0" applyAlignment="1" applyBorder="1" applyFont="1">
      <alignment horizontal="right" vertical="center"/>
    </xf>
    <xf borderId="2" fillId="5" fontId="4" numFmtId="0" xfId="0" applyAlignment="1" applyBorder="1" applyFont="1">
      <alignment horizontal="right" vertical="center"/>
    </xf>
    <xf borderId="2" fillId="6" fontId="4" numFmtId="0" xfId="0" applyAlignment="1" applyBorder="1" applyFont="1">
      <alignment horizontal="right" vertical="center"/>
    </xf>
    <xf borderId="2" fillId="7" fontId="4" numFmtId="0" xfId="0" applyAlignment="1" applyBorder="1" applyFont="1">
      <alignment horizontal="right" vertical="center"/>
    </xf>
    <xf borderId="2" fillId="8" fontId="4" numFmtId="0" xfId="0" applyAlignment="1" applyBorder="1" applyFont="1">
      <alignment horizontal="right" vertical="center"/>
    </xf>
    <xf borderId="2" fillId="9" fontId="4" numFmtId="0" xfId="0" applyAlignment="1" applyBorder="1" applyFont="1">
      <alignment horizontal="right" vertical="center"/>
    </xf>
    <xf borderId="2" fillId="10" fontId="4" numFmtId="0" xfId="0" applyAlignment="1" applyBorder="1" applyFont="1">
      <alignment horizontal="right" vertical="center"/>
    </xf>
    <xf borderId="2" fillId="11" fontId="4" numFmtId="0" xfId="0" applyAlignment="1" applyBorder="1" applyFont="1">
      <alignment horizontal="right" vertical="center"/>
    </xf>
    <xf borderId="2" fillId="12" fontId="4" numFmtId="0" xfId="0" applyAlignment="1" applyBorder="1" applyFont="1">
      <alignment horizontal="right" vertical="center"/>
    </xf>
    <xf borderId="2" fillId="14" fontId="1" numFmtId="0" xfId="0" applyAlignment="1" applyBorder="1" applyFont="1">
      <alignment horizontal="right" vertical="center"/>
    </xf>
    <xf borderId="2" fillId="15" fontId="1" numFmtId="0" xfId="0" applyAlignment="1" applyBorder="1" applyFont="1">
      <alignment horizontal="right" vertical="center"/>
    </xf>
    <xf borderId="2" fillId="16" fontId="1" numFmtId="0" xfId="0" applyAlignment="1" applyBorder="1" applyFont="1">
      <alignment horizontal="center" vertical="center"/>
    </xf>
    <xf borderId="2" fillId="16" fontId="1" numFmtId="166" xfId="0" applyAlignment="1" applyBorder="1" applyFont="1" applyNumberFormat="1">
      <alignment horizontal="center" vertical="center"/>
    </xf>
    <xf borderId="0" fillId="16" fontId="1" numFmtId="166" xfId="0" applyAlignment="1" applyFont="1" applyNumberFormat="1">
      <alignment horizontal="right" vertical="center"/>
    </xf>
    <xf borderId="0" fillId="16" fontId="4" numFmtId="166" xfId="0" applyAlignment="1" applyFont="1" applyNumberFormat="1">
      <alignment horizontal="right" readingOrder="0" vertical="center"/>
    </xf>
    <xf borderId="0" fillId="4" fontId="4" numFmtId="166" xfId="0" applyAlignment="1" applyFont="1" applyNumberFormat="1">
      <alignment horizontal="right" vertical="center"/>
    </xf>
    <xf borderId="0" fillId="5" fontId="4" numFmtId="166" xfId="0" applyAlignment="1" applyFont="1" applyNumberFormat="1">
      <alignment horizontal="right" vertical="center"/>
    </xf>
    <xf borderId="0" fillId="6" fontId="4" numFmtId="166" xfId="0" applyAlignment="1" applyFont="1" applyNumberFormat="1">
      <alignment horizontal="right" vertical="center"/>
    </xf>
    <xf borderId="0" fillId="7" fontId="4" numFmtId="166" xfId="0" applyAlignment="1" applyFont="1" applyNumberFormat="1">
      <alignment horizontal="right" vertical="center"/>
    </xf>
    <xf borderId="0" fillId="8" fontId="4" numFmtId="166" xfId="0" applyAlignment="1" applyFont="1" applyNumberFormat="1">
      <alignment horizontal="right" vertical="center"/>
    </xf>
    <xf borderId="0" fillId="9" fontId="4" numFmtId="166" xfId="0" applyAlignment="1" applyFont="1" applyNumberFormat="1">
      <alignment horizontal="right" vertical="center"/>
    </xf>
    <xf borderId="0" fillId="10" fontId="4" numFmtId="166" xfId="0" applyAlignment="1" applyFont="1" applyNumberFormat="1">
      <alignment horizontal="right" vertical="center"/>
    </xf>
    <xf borderId="0" fillId="11" fontId="4" numFmtId="166" xfId="0" applyAlignment="1" applyFont="1" applyNumberFormat="1">
      <alignment horizontal="right" vertical="center"/>
    </xf>
    <xf borderId="0" fillId="12" fontId="4" numFmtId="166" xfId="0" applyAlignment="1" applyFont="1" applyNumberFormat="1">
      <alignment horizontal="right" vertical="center"/>
    </xf>
    <xf borderId="0" fillId="13" fontId="4" numFmtId="166" xfId="0" applyAlignment="1" applyFont="1" applyNumberFormat="1">
      <alignment horizontal="right" vertical="center"/>
    </xf>
    <xf borderId="0" fillId="14" fontId="4" numFmtId="166" xfId="0" applyAlignment="1" applyFont="1" applyNumberFormat="1">
      <alignment horizontal="right" vertical="center"/>
    </xf>
    <xf borderId="0" fillId="15" fontId="4" numFmtId="166" xfId="0" applyAlignment="1" applyFont="1" applyNumberFormat="1">
      <alignment horizontal="right" vertical="center"/>
    </xf>
    <xf borderId="0" fillId="16" fontId="4" numFmtId="0" xfId="0" applyAlignment="1" applyFont="1">
      <alignment horizontal="right" vertical="center"/>
    </xf>
    <xf borderId="0" fillId="16" fontId="4" numFmtId="166" xfId="0" applyAlignment="1" applyFont="1" applyNumberFormat="1">
      <alignment horizontal="right" vertical="center"/>
    </xf>
    <xf borderId="0" fillId="16" fontId="8" numFmtId="0" xfId="0" applyAlignment="1" applyFont="1">
      <alignment horizontal="right" readingOrder="0" shrinkToFit="0" vertical="center" wrapText="1"/>
    </xf>
    <xf borderId="0" fillId="16" fontId="1" numFmtId="166" xfId="0" applyAlignment="1" applyFont="1" applyNumberFormat="1">
      <alignment shrinkToFit="0" vertical="center" wrapText="1"/>
    </xf>
    <xf borderId="0" fillId="16" fontId="1" numFmtId="166" xfId="0" applyAlignment="1" applyFont="1" applyNumberFormat="1">
      <alignment vertical="center"/>
    </xf>
    <xf borderId="0" fillId="16" fontId="4" numFmtId="166" xfId="0" applyAlignment="1" applyFont="1" applyNumberFormat="1">
      <alignment vertical="center"/>
    </xf>
    <xf borderId="0" fillId="18" fontId="1" numFmtId="0" xfId="0" applyAlignment="1" applyFill="1" applyFont="1">
      <alignment horizontal="right" readingOrder="0" shrinkToFit="0" vertical="center" wrapText="1"/>
    </xf>
    <xf borderId="0" fillId="18" fontId="1" numFmtId="166" xfId="0" applyAlignment="1" applyFont="1" applyNumberFormat="1">
      <alignment shrinkToFit="0" vertical="center" wrapText="1"/>
    </xf>
    <xf borderId="0" fillId="18" fontId="1" numFmtId="0" xfId="0" applyAlignment="1" applyFont="1">
      <alignment shrinkToFit="0" vertical="center" wrapText="1"/>
    </xf>
    <xf borderId="0" fillId="19" fontId="4" numFmtId="0" xfId="0" applyAlignment="1" applyFill="1" applyFont="1">
      <alignment horizontal="right" shrinkToFit="0" wrapText="1"/>
    </xf>
    <xf borderId="0" fillId="19" fontId="4" numFmtId="0" xfId="0" applyAlignment="1" applyFont="1">
      <alignment shrinkToFit="0" wrapText="1"/>
    </xf>
    <xf borderId="0" fillId="19" fontId="4" numFmtId="165" xfId="0" applyAlignment="1" applyFont="1" applyNumberFormat="1">
      <alignment shrinkToFit="0" vertical="center" wrapText="1"/>
    </xf>
    <xf borderId="0" fillId="19" fontId="4" numFmtId="0" xfId="0" applyAlignment="1" applyFont="1">
      <alignment horizontal="right" readingOrder="0" shrinkToFit="0" vertical="center" wrapText="1"/>
    </xf>
    <xf borderId="0" fillId="19" fontId="4" numFmtId="0" xfId="0" applyAlignment="1" applyFont="1">
      <alignment readingOrder="0" shrinkToFit="0" vertical="center" wrapText="1"/>
    </xf>
    <xf borderId="0" fillId="19" fontId="4" numFmtId="0" xfId="0" applyAlignment="1" applyFont="1">
      <alignment shrinkToFit="0" vertical="center" wrapText="1"/>
    </xf>
    <xf borderId="0" fillId="19" fontId="1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 outlineLevelCol="1"/>
  <cols>
    <col customWidth="1" min="1" max="1" width="21.63"/>
    <col customWidth="1" min="2" max="2" width="28.88"/>
    <col collapsed="1" min="12" max="12" width="12.63"/>
    <col hidden="1" min="13" max="14" width="12.63" outlineLevel="1"/>
    <col collapsed="1" min="17" max="17" width="12.63"/>
    <col hidden="1" min="18" max="29" width="12.63" outlineLevel="1"/>
    <col customWidth="1" min="32" max="32" width="16.88"/>
  </cols>
  <sheetData>
    <row r="1">
      <c r="A1" s="1" t="str">
        <f>IFERROR(__xludf.DUMMYFUNCTION("IMPORTRANGE(""https://docs.google.com/spreadsheets/d/1w_v-LytfJUSGD2382sduIgEApmqF1mMjksjNng1JfDs/edit?gid=321829144#gid=321829144"",""ResocontoWS!A1:AE20"")"),"")</f>
        <v/>
      </c>
      <c r="B1" s="2"/>
      <c r="C1" s="3" t="str">
        <f>IFERROR(__xludf.DUMMYFUNCTION("""COMPUTED_VALUE"""),"ALEXANDRA")</f>
        <v>ALEXANDRA</v>
      </c>
      <c r="E1" s="4" t="str">
        <f>IFERROR(__xludf.DUMMYFUNCTION("""COMPUTED_VALUE"""),"ESTEFANY")</f>
        <v>ESTEFANY</v>
      </c>
      <c r="G1" s="5" t="str">
        <f>IFERROR(__xludf.DUMMYFUNCTION("""COMPUTED_VALUE"""),"GIUDITTA")</f>
        <v>GIUDITTA</v>
      </c>
      <c r="I1" s="6" t="str">
        <f>IFERROR(__xludf.DUMMYFUNCTION("""COMPUTED_VALUE"""),"NURA")</f>
        <v>NURA</v>
      </c>
      <c r="K1" s="7" t="str">
        <f>IFERROR(__xludf.DUMMYFUNCTION("""COMPUTED_VALUE"""),"JOEL")</f>
        <v>JOEL</v>
      </c>
      <c r="M1" s="8" t="str">
        <f>IFERROR(__xludf.DUMMYFUNCTION("""COMPUTED_VALUE"""),"aa")</f>
        <v>aa</v>
      </c>
      <c r="O1" s="9" t="str">
        <f>IFERROR(__xludf.DUMMYFUNCTION("""COMPUTED_VALUE"""),"SANTO")</f>
        <v>SANTO</v>
      </c>
      <c r="P1" s="10" t="str">
        <f>IFERROR(__xludf.DUMMYFUNCTION("""COMPUTED_VALUE"""),"SARA")</f>
        <v>SARA</v>
      </c>
      <c r="Q1" s="11" t="str">
        <f>IFERROR(__xludf.DUMMYFUNCTION("""COMPUTED_VALUE"""),"MASSI")</f>
        <v>MASSI</v>
      </c>
      <c r="R1" s="12" t="str">
        <f>IFERROR(__xludf.DUMMYFUNCTION("""COMPUTED_VALUE"""),"STAFF")</f>
        <v>STAFF</v>
      </c>
      <c r="S1" s="13" t="str">
        <f>IFERROR(__xludf.DUMMYFUNCTION("""COMPUTED_VALUE"""),"STAFF2")</f>
        <v>STAFF2</v>
      </c>
      <c r="T1" s="14" t="str">
        <f>IFERROR(__xludf.DUMMYFUNCTION("""COMPUTED_VALUE"""),"aa")</f>
        <v>aa</v>
      </c>
      <c r="U1" s="14" t="str">
        <f>IFERROR(__xludf.DUMMYFUNCTION("""COMPUTED_VALUE"""),"ANAHITA")</f>
        <v>ANAHITA</v>
      </c>
      <c r="V1" s="14" t="str">
        <f>IFERROR(__xludf.DUMMYFUNCTION("""COMPUTED_VALUE"""),"ANDREA")</f>
        <v>ANDREA</v>
      </c>
      <c r="W1" s="14" t="str">
        <f>IFERROR(__xludf.DUMMYFUNCTION("""COMPUTED_VALUE"""),"CINZIA")</f>
        <v>CINZIA</v>
      </c>
      <c r="X1" s="14" t="str">
        <f>IFERROR(__xludf.DUMMYFUNCTION("""COMPUTED_VALUE"""),"FERGIE")</f>
        <v>FERGIE</v>
      </c>
      <c r="Y1" s="14" t="str">
        <f>IFERROR(__xludf.DUMMYFUNCTION("""COMPUTED_VALUE"""),"CARLOS")</f>
        <v>CARLOS</v>
      </c>
      <c r="Z1" s="14" t="str">
        <f>IFERROR(__xludf.DUMMYFUNCTION("""COMPUTED_VALUE"""),"aa")</f>
        <v>aa</v>
      </c>
      <c r="AA1" s="14" t="str">
        <f>IFERROR(__xludf.DUMMYFUNCTION("""COMPUTED_VALUE"""),"aa")</f>
        <v>aa</v>
      </c>
      <c r="AB1" s="14" t="str">
        <f>IFERROR(__xludf.DUMMYFUNCTION("""COMPUTED_VALUE"""),"aa")</f>
        <v>aa</v>
      </c>
      <c r="AC1" s="14" t="str">
        <f>IFERROR(__xludf.DUMMYFUNCTION("""COMPUTED_VALUE"""),"aa")</f>
        <v>aa</v>
      </c>
      <c r="AD1" s="15"/>
      <c r="AE1" s="15"/>
      <c r="AF1" s="15"/>
    </row>
    <row r="2">
      <c r="A2" s="16" t="str">
        <f>IFERROR(__xludf.DUMMYFUNCTION("""COMPUTED_VALUE"""),"DATA EVENTO")</f>
        <v>DATA EVENTO</v>
      </c>
      <c r="B2" s="17" t="str">
        <f>IFERROR(__xludf.DUMMYFUNCTION("""COMPUTED_VALUE"""),"DESCRIZIONE")</f>
        <v>DESCRIZIONE</v>
      </c>
      <c r="C2" s="18" t="str">
        <f>IFERROR(__xludf.DUMMYFUNCTION("""COMPUTED_VALUE"""),"Sede")</f>
        <v>Sede</v>
      </c>
      <c r="D2" s="18" t="str">
        <f>IFERROR(__xludf.DUMMYFUNCTION("""COMPUTED_VALUE"""),"Codice")</f>
        <v>Codice</v>
      </c>
      <c r="E2" s="19" t="str">
        <f>IFERROR(__xludf.DUMMYFUNCTION("""COMPUTED_VALUE"""),"Sede")</f>
        <v>Sede</v>
      </c>
      <c r="F2" s="19" t="str">
        <f>IFERROR(__xludf.DUMMYFUNCTION("""COMPUTED_VALUE"""),"Codice")</f>
        <v>Codice</v>
      </c>
      <c r="G2" s="20" t="str">
        <f>IFERROR(__xludf.DUMMYFUNCTION("""COMPUTED_VALUE"""),"Sede")</f>
        <v>Sede</v>
      </c>
      <c r="H2" s="20" t="str">
        <f>IFERROR(__xludf.DUMMYFUNCTION("""COMPUTED_VALUE"""),"Codice")</f>
        <v>Codice</v>
      </c>
      <c r="I2" s="21" t="str">
        <f>IFERROR(__xludf.DUMMYFUNCTION("""COMPUTED_VALUE"""),"Sede")</f>
        <v>Sede</v>
      </c>
      <c r="J2" s="21" t="str">
        <f>IFERROR(__xludf.DUMMYFUNCTION("""COMPUTED_VALUE"""),"Codice")</f>
        <v>Codice</v>
      </c>
      <c r="K2" s="22" t="str">
        <f>IFERROR(__xludf.DUMMYFUNCTION("""COMPUTED_VALUE"""),"Sede")</f>
        <v>Sede</v>
      </c>
      <c r="L2" s="22" t="str">
        <f>IFERROR(__xludf.DUMMYFUNCTION("""COMPUTED_VALUE"""),"Codice")</f>
        <v>Codice</v>
      </c>
      <c r="M2" s="23" t="str">
        <f>IFERROR(__xludf.DUMMYFUNCTION("""COMPUTED_VALUE"""),"Sede")</f>
        <v>Sede</v>
      </c>
      <c r="N2" s="23" t="str">
        <f>IFERROR(__xludf.DUMMYFUNCTION("""COMPUTED_VALUE"""),"Codice")</f>
        <v>Codice</v>
      </c>
      <c r="O2" s="24" t="str">
        <f>IFERROR(__xludf.DUMMYFUNCTION("""COMPUTED_VALUE"""),"Codice")</f>
        <v>Codice</v>
      </c>
      <c r="P2" s="25" t="str">
        <f>IFERROR(__xludf.DUMMYFUNCTION("""COMPUTED_VALUE"""),"Codice")</f>
        <v>Codice</v>
      </c>
      <c r="Q2" s="26" t="str">
        <f>IFERROR(__xludf.DUMMYFUNCTION("""COMPUTED_VALUE"""),"Codice")</f>
        <v>Codice</v>
      </c>
      <c r="R2" s="27" t="str">
        <f>IFERROR(__xludf.DUMMYFUNCTION("""COMPUTED_VALUE"""),"Codice")</f>
        <v>Codice</v>
      </c>
      <c r="S2" s="28" t="str">
        <f>IFERROR(__xludf.DUMMYFUNCTION("""COMPUTED_VALUE"""),"Codice")</f>
        <v>Codice</v>
      </c>
      <c r="T2" s="29" t="str">
        <f>IFERROR(__xludf.DUMMYFUNCTION("""COMPUTED_VALUE"""),"Codice")</f>
        <v>Codice</v>
      </c>
      <c r="U2" s="29" t="str">
        <f>IFERROR(__xludf.DUMMYFUNCTION("""COMPUTED_VALUE"""),"Codice")</f>
        <v>Codice</v>
      </c>
      <c r="V2" s="29" t="str">
        <f>IFERROR(__xludf.DUMMYFUNCTION("""COMPUTED_VALUE"""),"Codice")</f>
        <v>Codice</v>
      </c>
      <c r="W2" s="29" t="str">
        <f>IFERROR(__xludf.DUMMYFUNCTION("""COMPUTED_VALUE"""),"Codice")</f>
        <v>Codice</v>
      </c>
      <c r="X2" s="29" t="str">
        <f>IFERROR(__xludf.DUMMYFUNCTION("""COMPUTED_VALUE"""),"Codice")</f>
        <v>Codice</v>
      </c>
      <c r="Y2" s="29" t="str">
        <f>IFERROR(__xludf.DUMMYFUNCTION("""COMPUTED_VALUE"""),"Codice")</f>
        <v>Codice</v>
      </c>
      <c r="Z2" s="29" t="str">
        <f>IFERROR(__xludf.DUMMYFUNCTION("""COMPUTED_VALUE"""),"Codice")</f>
        <v>Codice</v>
      </c>
      <c r="AA2" s="29" t="str">
        <f>IFERROR(__xludf.DUMMYFUNCTION("""COMPUTED_VALUE"""),"Codice")</f>
        <v>Codice</v>
      </c>
      <c r="AB2" s="29" t="str">
        <f>IFERROR(__xludf.DUMMYFUNCTION("""COMPUTED_VALUE"""),"Codice")</f>
        <v>Codice</v>
      </c>
      <c r="AC2" s="29" t="str">
        <f>IFERROR(__xludf.DUMMYFUNCTION("""COMPUTED_VALUE"""),"Codice")</f>
        <v>Codice</v>
      </c>
      <c r="AD2" s="30" t="str">
        <f>IFERROR(__xludf.DUMMYFUNCTION("""COMPUTED_VALUE"""),"TOTALE
Sede e Codice")</f>
        <v>TOTALE
Sede e Codice</v>
      </c>
      <c r="AE2" s="30" t="str">
        <f>IFERROR(__xludf.DUMMYFUNCTION("""COMPUTED_VALUE"""),"Bonus
Team Vendita")</f>
        <v>Bonus
Team Vendita</v>
      </c>
      <c r="AF2" s="15" t="s">
        <v>0</v>
      </c>
    </row>
    <row r="3">
      <c r="A3" s="31">
        <f>IFERROR(__xludf.DUMMYFUNCTION("""COMPUTED_VALUE"""),45949.0)</f>
        <v>45949</v>
      </c>
      <c r="B3" s="32" t="str">
        <f>IFERROR(__xludf.DUMMYFUNCTION("""COMPUTED_VALUE"""),"WS_BANANA")</f>
        <v>WS_BANANA</v>
      </c>
      <c r="C3" s="33">
        <f>IFERROR(__xludf.DUMMYFUNCTION("""COMPUTED_VALUE"""),1.0)</f>
        <v>1</v>
      </c>
      <c r="D3" s="33">
        <f>IFERROR(__xludf.DUMMYFUNCTION("""COMPUTED_VALUE"""),4.0)</f>
        <v>4</v>
      </c>
      <c r="E3" s="34">
        <f>IFERROR(__xludf.DUMMYFUNCTION("""COMPUTED_VALUE"""),0.0)</f>
        <v>0</v>
      </c>
      <c r="F3" s="34">
        <f>IFERROR(__xludf.DUMMYFUNCTION("""COMPUTED_VALUE"""),4.0)</f>
        <v>4</v>
      </c>
      <c r="G3" s="35">
        <f>IFERROR(__xludf.DUMMYFUNCTION("""COMPUTED_VALUE"""),0.0)</f>
        <v>0</v>
      </c>
      <c r="H3" s="35">
        <f>IFERROR(__xludf.DUMMYFUNCTION("""COMPUTED_VALUE"""),0.0)</f>
        <v>0</v>
      </c>
      <c r="I3" s="36">
        <f>IFERROR(__xludf.DUMMYFUNCTION("""COMPUTED_VALUE"""),1.0)</f>
        <v>1</v>
      </c>
      <c r="J3" s="36">
        <f>IFERROR(__xludf.DUMMYFUNCTION("""COMPUTED_VALUE"""),8.0)</f>
        <v>8</v>
      </c>
      <c r="K3" s="37">
        <f>IFERROR(__xludf.DUMMYFUNCTION("""COMPUTED_VALUE"""),0.0)</f>
        <v>0</v>
      </c>
      <c r="L3" s="37">
        <f>IFERROR(__xludf.DUMMYFUNCTION("""COMPUTED_VALUE"""),0.0)</f>
        <v>0</v>
      </c>
      <c r="M3" s="38">
        <f>IFERROR(__xludf.DUMMYFUNCTION("""COMPUTED_VALUE"""),0.0)</f>
        <v>0</v>
      </c>
      <c r="N3" s="38">
        <f>IFERROR(__xludf.DUMMYFUNCTION("""COMPUTED_VALUE"""),0.0)</f>
        <v>0</v>
      </c>
      <c r="O3" s="39">
        <f>IFERROR(__xludf.DUMMYFUNCTION("""COMPUTED_VALUE"""),0.0)</f>
        <v>0</v>
      </c>
      <c r="P3" s="40">
        <f>IFERROR(__xludf.DUMMYFUNCTION("""COMPUTED_VALUE"""),1.0)</f>
        <v>1</v>
      </c>
      <c r="Q3" s="41">
        <f>IFERROR(__xludf.DUMMYFUNCTION("""COMPUTED_VALUE"""),0.0)</f>
        <v>0</v>
      </c>
      <c r="R3" s="42">
        <f>IFERROR(__xludf.DUMMYFUNCTION("""COMPUTED_VALUE"""),0.0)</f>
        <v>0</v>
      </c>
      <c r="S3" s="43">
        <f>IFERROR(__xludf.DUMMYFUNCTION("""COMPUTED_VALUE"""),0.0)</f>
        <v>0</v>
      </c>
      <c r="T3" s="44">
        <f>IFERROR(__xludf.DUMMYFUNCTION("""COMPUTED_VALUE"""),0.0)</f>
        <v>0</v>
      </c>
      <c r="U3" s="44">
        <f>IFERROR(__xludf.DUMMYFUNCTION("""COMPUTED_VALUE"""),0.0)</f>
        <v>0</v>
      </c>
      <c r="V3" s="44">
        <f>IFERROR(__xludf.DUMMYFUNCTION("""COMPUTED_VALUE"""),0.0)</f>
        <v>0</v>
      </c>
      <c r="W3" s="44">
        <f>IFERROR(__xludf.DUMMYFUNCTION("""COMPUTED_VALUE"""),0.0)</f>
        <v>0</v>
      </c>
      <c r="X3" s="44">
        <f>IFERROR(__xludf.DUMMYFUNCTION("""COMPUTED_VALUE"""),0.0)</f>
        <v>0</v>
      </c>
      <c r="Y3" s="44">
        <f>IFERROR(__xludf.DUMMYFUNCTION("""COMPUTED_VALUE"""),0.0)</f>
        <v>0</v>
      </c>
      <c r="Z3" s="44">
        <f>IFERROR(__xludf.DUMMYFUNCTION("""COMPUTED_VALUE"""),0.0)</f>
        <v>0</v>
      </c>
      <c r="AA3" s="44">
        <f>IFERROR(__xludf.DUMMYFUNCTION("""COMPUTED_VALUE"""),0.0)</f>
        <v>0</v>
      </c>
      <c r="AB3" s="44">
        <f>IFERROR(__xludf.DUMMYFUNCTION("""COMPUTED_VALUE"""),0.0)</f>
        <v>0</v>
      </c>
      <c r="AC3" s="44">
        <f>IFERROR(__xludf.DUMMYFUNCTION("""COMPUTED_VALUE"""),0.0)</f>
        <v>0</v>
      </c>
      <c r="AD3" s="45">
        <f>IFERROR(__xludf.DUMMYFUNCTION("""COMPUTED_VALUE"""),19.0)</f>
        <v>19</v>
      </c>
      <c r="AE3" s="46">
        <f>IFERROR(__xludf.DUMMYFUNCTION("""COMPUTED_VALUE"""),19.0)</f>
        <v>19</v>
      </c>
      <c r="AF3" s="46"/>
    </row>
    <row r="4">
      <c r="A4" s="31">
        <f>IFERROR(__xludf.DUMMYFUNCTION("""COMPUTED_VALUE"""),45956.0)</f>
        <v>45956</v>
      </c>
      <c r="B4" s="32" t="str">
        <f>IFERROR(__xludf.DUMMYFUNCTION("""COMPUTED_VALUE"""),"WS_TIMOR")</f>
        <v>WS_TIMOR</v>
      </c>
      <c r="C4" s="33">
        <f>IFERROR(__xludf.DUMMYFUNCTION("""COMPUTED_VALUE"""),3.0)</f>
        <v>3</v>
      </c>
      <c r="D4" s="33">
        <f>IFERROR(__xludf.DUMMYFUNCTION("""COMPUTED_VALUE"""),2.0)</f>
        <v>2</v>
      </c>
      <c r="E4" s="34">
        <f>IFERROR(__xludf.DUMMYFUNCTION("""COMPUTED_VALUE"""),0.0)</f>
        <v>0</v>
      </c>
      <c r="F4" s="34">
        <f>IFERROR(__xludf.DUMMYFUNCTION("""COMPUTED_VALUE"""),5.0)</f>
        <v>5</v>
      </c>
      <c r="G4" s="35">
        <f>IFERROR(__xludf.DUMMYFUNCTION("""COMPUTED_VALUE"""),0.0)</f>
        <v>0</v>
      </c>
      <c r="H4" s="35">
        <f>IFERROR(__xludf.DUMMYFUNCTION("""COMPUTED_VALUE"""),2.0)</f>
        <v>2</v>
      </c>
      <c r="I4" s="36">
        <f>IFERROR(__xludf.DUMMYFUNCTION("""COMPUTED_VALUE"""),0.0)</f>
        <v>0</v>
      </c>
      <c r="J4" s="36">
        <f>IFERROR(__xludf.DUMMYFUNCTION("""COMPUTED_VALUE"""),4.0)</f>
        <v>4</v>
      </c>
      <c r="K4" s="37">
        <f>IFERROR(__xludf.DUMMYFUNCTION("""COMPUTED_VALUE"""),0.0)</f>
        <v>0</v>
      </c>
      <c r="L4" s="37">
        <f>IFERROR(__xludf.DUMMYFUNCTION("""COMPUTED_VALUE"""),0.0)</f>
        <v>0</v>
      </c>
      <c r="M4" s="38">
        <f>IFERROR(__xludf.DUMMYFUNCTION("""COMPUTED_VALUE"""),0.0)</f>
        <v>0</v>
      </c>
      <c r="N4" s="38">
        <f>IFERROR(__xludf.DUMMYFUNCTION("""COMPUTED_VALUE"""),0.0)</f>
        <v>0</v>
      </c>
      <c r="O4" s="39">
        <f>IFERROR(__xludf.DUMMYFUNCTION("""COMPUTED_VALUE"""),0.0)</f>
        <v>0</v>
      </c>
      <c r="P4" s="40">
        <f>IFERROR(__xludf.DUMMYFUNCTION("""COMPUTED_VALUE"""),2.0)</f>
        <v>2</v>
      </c>
      <c r="Q4" s="41">
        <f>IFERROR(__xludf.DUMMYFUNCTION("""COMPUTED_VALUE"""),0.0)</f>
        <v>0</v>
      </c>
      <c r="R4" s="42">
        <f>IFERROR(__xludf.DUMMYFUNCTION("""COMPUTED_VALUE"""),0.0)</f>
        <v>0</v>
      </c>
      <c r="S4" s="43">
        <f>IFERROR(__xludf.DUMMYFUNCTION("""COMPUTED_VALUE"""),0.0)</f>
        <v>0</v>
      </c>
      <c r="T4" s="44">
        <f>IFERROR(__xludf.DUMMYFUNCTION("""COMPUTED_VALUE"""),0.0)</f>
        <v>0</v>
      </c>
      <c r="U4" s="44">
        <f>IFERROR(__xludf.DUMMYFUNCTION("""COMPUTED_VALUE"""),0.0)</f>
        <v>0</v>
      </c>
      <c r="V4" s="44">
        <f>IFERROR(__xludf.DUMMYFUNCTION("""COMPUTED_VALUE"""),0.0)</f>
        <v>0</v>
      </c>
      <c r="W4" s="44">
        <f>IFERROR(__xludf.DUMMYFUNCTION("""COMPUTED_VALUE"""),0.0)</f>
        <v>0</v>
      </c>
      <c r="X4" s="44">
        <f>IFERROR(__xludf.DUMMYFUNCTION("""COMPUTED_VALUE"""),0.0)</f>
        <v>0</v>
      </c>
      <c r="Y4" s="44">
        <f>IFERROR(__xludf.DUMMYFUNCTION("""COMPUTED_VALUE"""),0.0)</f>
        <v>0</v>
      </c>
      <c r="Z4" s="44">
        <f>IFERROR(__xludf.DUMMYFUNCTION("""COMPUTED_VALUE"""),0.0)</f>
        <v>0</v>
      </c>
      <c r="AA4" s="44">
        <f>IFERROR(__xludf.DUMMYFUNCTION("""COMPUTED_VALUE"""),0.0)</f>
        <v>0</v>
      </c>
      <c r="AB4" s="44">
        <f>IFERROR(__xludf.DUMMYFUNCTION("""COMPUTED_VALUE"""),0.0)</f>
        <v>0</v>
      </c>
      <c r="AC4" s="44">
        <f>IFERROR(__xludf.DUMMYFUNCTION("""COMPUTED_VALUE"""),0.0)</f>
        <v>0</v>
      </c>
      <c r="AD4" s="45">
        <f>IFERROR(__xludf.DUMMYFUNCTION("""COMPUTED_VALUE"""),18.0)</f>
        <v>18</v>
      </c>
      <c r="AE4" s="46">
        <f>IFERROR(__xludf.DUMMYFUNCTION("""COMPUTED_VALUE"""),18.0)</f>
        <v>18</v>
      </c>
    </row>
    <row r="5">
      <c r="A5" s="31">
        <f>IFERROR(__xludf.DUMMYFUNCTION("""COMPUTED_VALUE"""),45956.0)</f>
        <v>45956</v>
      </c>
      <c r="B5" s="32" t="str">
        <f>IFERROR(__xludf.DUMMYFUNCTION("""COMPUTED_VALUE"""),"WS_LULU")</f>
        <v>WS_LULU</v>
      </c>
      <c r="C5" s="33">
        <f>IFERROR(__xludf.DUMMYFUNCTION("""COMPUTED_VALUE"""),0.0)</f>
        <v>0</v>
      </c>
      <c r="D5" s="33">
        <f>IFERROR(__xludf.DUMMYFUNCTION("""COMPUTED_VALUE"""),1.0)</f>
        <v>1</v>
      </c>
      <c r="E5" s="34">
        <f>IFERROR(__xludf.DUMMYFUNCTION("""COMPUTED_VALUE"""),0.0)</f>
        <v>0</v>
      </c>
      <c r="F5" s="34">
        <f>IFERROR(__xludf.DUMMYFUNCTION("""COMPUTED_VALUE"""),4.0)</f>
        <v>4</v>
      </c>
      <c r="G5" s="35">
        <f>IFERROR(__xludf.DUMMYFUNCTION("""COMPUTED_VALUE"""),0.0)</f>
        <v>0</v>
      </c>
      <c r="H5" s="35">
        <f>IFERROR(__xludf.DUMMYFUNCTION("""COMPUTED_VALUE"""),0.0)</f>
        <v>0</v>
      </c>
      <c r="I5" s="36">
        <f>IFERROR(__xludf.DUMMYFUNCTION("""COMPUTED_VALUE"""),0.0)</f>
        <v>0</v>
      </c>
      <c r="J5" s="36">
        <f>IFERROR(__xludf.DUMMYFUNCTION("""COMPUTED_VALUE"""),3.0)</f>
        <v>3</v>
      </c>
      <c r="K5" s="37">
        <f>IFERROR(__xludf.DUMMYFUNCTION("""COMPUTED_VALUE"""),0.0)</f>
        <v>0</v>
      </c>
      <c r="L5" s="37">
        <f>IFERROR(__xludf.DUMMYFUNCTION("""COMPUTED_VALUE"""),4.0)</f>
        <v>4</v>
      </c>
      <c r="M5" s="38">
        <f>IFERROR(__xludf.DUMMYFUNCTION("""COMPUTED_VALUE"""),0.0)</f>
        <v>0</v>
      </c>
      <c r="N5" s="38">
        <f>IFERROR(__xludf.DUMMYFUNCTION("""COMPUTED_VALUE"""),0.0)</f>
        <v>0</v>
      </c>
      <c r="O5" s="39">
        <f>IFERROR(__xludf.DUMMYFUNCTION("""COMPUTED_VALUE"""),0.0)</f>
        <v>0</v>
      </c>
      <c r="P5" s="40">
        <f>IFERROR(__xludf.DUMMYFUNCTION("""COMPUTED_VALUE"""),0.0)</f>
        <v>0</v>
      </c>
      <c r="Q5" s="41">
        <f>IFERROR(__xludf.DUMMYFUNCTION("""COMPUTED_VALUE"""),0.0)</f>
        <v>0</v>
      </c>
      <c r="R5" s="42">
        <f>IFERROR(__xludf.DUMMYFUNCTION("""COMPUTED_VALUE"""),0.0)</f>
        <v>0</v>
      </c>
      <c r="S5" s="43">
        <f>IFERROR(__xludf.DUMMYFUNCTION("""COMPUTED_VALUE"""),0.0)</f>
        <v>0</v>
      </c>
      <c r="T5" s="44">
        <f>IFERROR(__xludf.DUMMYFUNCTION("""COMPUTED_VALUE"""),0.0)</f>
        <v>0</v>
      </c>
      <c r="U5" s="44">
        <f>IFERROR(__xludf.DUMMYFUNCTION("""COMPUTED_VALUE"""),0.0)</f>
        <v>0</v>
      </c>
      <c r="V5" s="44">
        <f>IFERROR(__xludf.DUMMYFUNCTION("""COMPUTED_VALUE"""),0.0)</f>
        <v>0</v>
      </c>
      <c r="W5" s="44">
        <f>IFERROR(__xludf.DUMMYFUNCTION("""COMPUTED_VALUE"""),0.0)</f>
        <v>0</v>
      </c>
      <c r="X5" s="44">
        <f>IFERROR(__xludf.DUMMYFUNCTION("""COMPUTED_VALUE"""),0.0)</f>
        <v>0</v>
      </c>
      <c r="Y5" s="44">
        <f>IFERROR(__xludf.DUMMYFUNCTION("""COMPUTED_VALUE"""),0.0)</f>
        <v>0</v>
      </c>
      <c r="Z5" s="44">
        <f>IFERROR(__xludf.DUMMYFUNCTION("""COMPUTED_VALUE"""),0.0)</f>
        <v>0</v>
      </c>
      <c r="AA5" s="44">
        <f>IFERROR(__xludf.DUMMYFUNCTION("""COMPUTED_VALUE"""),0.0)</f>
        <v>0</v>
      </c>
      <c r="AB5" s="44">
        <f>IFERROR(__xludf.DUMMYFUNCTION("""COMPUTED_VALUE"""),0.0)</f>
        <v>0</v>
      </c>
      <c r="AC5" s="44">
        <f>IFERROR(__xludf.DUMMYFUNCTION("""COMPUTED_VALUE"""),0.0)</f>
        <v>0</v>
      </c>
      <c r="AD5" s="45">
        <f>IFERROR(__xludf.DUMMYFUNCTION("""COMPUTED_VALUE"""),12.0)</f>
        <v>12</v>
      </c>
      <c r="AE5" s="46">
        <f>IFERROR(__xludf.DUMMYFUNCTION("""COMPUTED_VALUE"""),12.0)</f>
        <v>12</v>
      </c>
    </row>
    <row r="6">
      <c r="A6" s="31">
        <f>IFERROR(__xludf.DUMMYFUNCTION("""COMPUTED_VALUE"""),45970.0)</f>
        <v>45970</v>
      </c>
      <c r="B6" s="32" t="str">
        <f>IFERROR(__xludf.DUMMYFUNCTION("""COMPUTED_VALUE"""),"WS_KUMO")</f>
        <v>WS_KUMO</v>
      </c>
      <c r="C6" s="33">
        <f>IFERROR(__xludf.DUMMYFUNCTION("""COMPUTED_VALUE"""),0.0)</f>
        <v>0</v>
      </c>
      <c r="D6" s="33">
        <f>IFERROR(__xludf.DUMMYFUNCTION("""COMPUTED_VALUE"""),1.0)</f>
        <v>1</v>
      </c>
      <c r="E6" s="34">
        <f>IFERROR(__xludf.DUMMYFUNCTION("""COMPUTED_VALUE"""),0.0)</f>
        <v>0</v>
      </c>
      <c r="F6" s="34">
        <f>IFERROR(__xludf.DUMMYFUNCTION("""COMPUTED_VALUE"""),2.0)</f>
        <v>2</v>
      </c>
      <c r="G6" s="35">
        <f>IFERROR(__xludf.DUMMYFUNCTION("""COMPUTED_VALUE"""),0.0)</f>
        <v>0</v>
      </c>
      <c r="H6" s="35">
        <f>IFERROR(__xludf.DUMMYFUNCTION("""COMPUTED_VALUE"""),0.0)</f>
        <v>0</v>
      </c>
      <c r="I6" s="36">
        <f>IFERROR(__xludf.DUMMYFUNCTION("""COMPUTED_VALUE"""),2.0)</f>
        <v>2</v>
      </c>
      <c r="J6" s="36">
        <f>IFERROR(__xludf.DUMMYFUNCTION("""COMPUTED_VALUE"""),4.0)</f>
        <v>4</v>
      </c>
      <c r="K6" s="37">
        <f>IFERROR(__xludf.DUMMYFUNCTION("""COMPUTED_VALUE"""),0.0)</f>
        <v>0</v>
      </c>
      <c r="L6" s="37">
        <f>IFERROR(__xludf.DUMMYFUNCTION("""COMPUTED_VALUE"""),1.0)</f>
        <v>1</v>
      </c>
      <c r="M6" s="38">
        <f>IFERROR(__xludf.DUMMYFUNCTION("""COMPUTED_VALUE"""),0.0)</f>
        <v>0</v>
      </c>
      <c r="N6" s="38">
        <f>IFERROR(__xludf.DUMMYFUNCTION("""COMPUTED_VALUE"""),0.0)</f>
        <v>0</v>
      </c>
      <c r="O6" s="39">
        <f>IFERROR(__xludf.DUMMYFUNCTION("""COMPUTED_VALUE"""),0.0)</f>
        <v>0</v>
      </c>
      <c r="P6" s="40">
        <f>IFERROR(__xludf.DUMMYFUNCTION("""COMPUTED_VALUE"""),1.0)</f>
        <v>1</v>
      </c>
      <c r="Q6" s="41">
        <f>IFERROR(__xludf.DUMMYFUNCTION("""COMPUTED_VALUE"""),0.0)</f>
        <v>0</v>
      </c>
      <c r="R6" s="42">
        <f>IFERROR(__xludf.DUMMYFUNCTION("""COMPUTED_VALUE"""),0.0)</f>
        <v>0</v>
      </c>
      <c r="S6" s="43">
        <f>IFERROR(__xludf.DUMMYFUNCTION("""COMPUTED_VALUE"""),0.0)</f>
        <v>0</v>
      </c>
      <c r="T6" s="44">
        <f>IFERROR(__xludf.DUMMYFUNCTION("""COMPUTED_VALUE"""),0.0)</f>
        <v>0</v>
      </c>
      <c r="U6" s="44">
        <f>IFERROR(__xludf.DUMMYFUNCTION("""COMPUTED_VALUE"""),0.0)</f>
        <v>0</v>
      </c>
      <c r="V6" s="44">
        <f>IFERROR(__xludf.DUMMYFUNCTION("""COMPUTED_VALUE"""),0.0)</f>
        <v>0</v>
      </c>
      <c r="W6" s="44">
        <f>IFERROR(__xludf.DUMMYFUNCTION("""COMPUTED_VALUE"""),0.0)</f>
        <v>0</v>
      </c>
      <c r="X6" s="44">
        <f>IFERROR(__xludf.DUMMYFUNCTION("""COMPUTED_VALUE"""),0.0)</f>
        <v>0</v>
      </c>
      <c r="Y6" s="44">
        <f>IFERROR(__xludf.DUMMYFUNCTION("""COMPUTED_VALUE"""),0.0)</f>
        <v>0</v>
      </c>
      <c r="Z6" s="44">
        <f>IFERROR(__xludf.DUMMYFUNCTION("""COMPUTED_VALUE"""),0.0)</f>
        <v>0</v>
      </c>
      <c r="AA6" s="44">
        <f>IFERROR(__xludf.DUMMYFUNCTION("""COMPUTED_VALUE"""),0.0)</f>
        <v>0</v>
      </c>
      <c r="AB6" s="44">
        <f>IFERROR(__xludf.DUMMYFUNCTION("""COMPUTED_VALUE"""),0.0)</f>
        <v>0</v>
      </c>
      <c r="AC6" s="44">
        <f>IFERROR(__xludf.DUMMYFUNCTION("""COMPUTED_VALUE"""),0.0)</f>
        <v>0</v>
      </c>
      <c r="AD6" s="45">
        <f>IFERROR(__xludf.DUMMYFUNCTION("""COMPUTED_VALUE"""),11.0)</f>
        <v>11</v>
      </c>
      <c r="AE6" s="46">
        <f>IFERROR(__xludf.DUMMYFUNCTION("""COMPUTED_VALUE"""),11.0)</f>
        <v>11</v>
      </c>
    </row>
    <row r="7">
      <c r="A7" s="31">
        <f>IFERROR(__xludf.DUMMYFUNCTION("""COMPUTED_VALUE"""),45970.0)</f>
        <v>45970</v>
      </c>
      <c r="B7" s="32" t="str">
        <f>IFERROR(__xludf.DUMMYFUNCTION("""COMPUTED_VALUE"""),"WS_LELI")</f>
        <v>WS_LELI</v>
      </c>
      <c r="C7" s="33">
        <f>IFERROR(__xludf.DUMMYFUNCTION("""COMPUTED_VALUE"""),0.0)</f>
        <v>0</v>
      </c>
      <c r="D7" s="33">
        <f>IFERROR(__xludf.DUMMYFUNCTION("""COMPUTED_VALUE"""),2.0)</f>
        <v>2</v>
      </c>
      <c r="E7" s="34">
        <f>IFERROR(__xludf.DUMMYFUNCTION("""COMPUTED_VALUE"""),0.0)</f>
        <v>0</v>
      </c>
      <c r="F7" s="34">
        <f>IFERROR(__xludf.DUMMYFUNCTION("""COMPUTED_VALUE"""),1.0)</f>
        <v>1</v>
      </c>
      <c r="G7" s="35">
        <f>IFERROR(__xludf.DUMMYFUNCTION("""COMPUTED_VALUE"""),0.0)</f>
        <v>0</v>
      </c>
      <c r="H7" s="35">
        <f>IFERROR(__xludf.DUMMYFUNCTION("""COMPUTED_VALUE"""),0.0)</f>
        <v>0</v>
      </c>
      <c r="I7" s="36">
        <f>IFERROR(__xludf.DUMMYFUNCTION("""COMPUTED_VALUE"""),1.0)</f>
        <v>1</v>
      </c>
      <c r="J7" s="36">
        <f>IFERROR(__xludf.DUMMYFUNCTION("""COMPUTED_VALUE"""),0.0)</f>
        <v>0</v>
      </c>
      <c r="K7" s="37">
        <f>IFERROR(__xludf.DUMMYFUNCTION("""COMPUTED_VALUE"""),0.0)</f>
        <v>0</v>
      </c>
      <c r="L7" s="37">
        <f>IFERROR(__xludf.DUMMYFUNCTION("""COMPUTED_VALUE"""),1.0)</f>
        <v>1</v>
      </c>
      <c r="M7" s="38">
        <f>IFERROR(__xludf.DUMMYFUNCTION("""COMPUTED_VALUE"""),0.0)</f>
        <v>0</v>
      </c>
      <c r="N7" s="38">
        <f>IFERROR(__xludf.DUMMYFUNCTION("""COMPUTED_VALUE"""),0.0)</f>
        <v>0</v>
      </c>
      <c r="O7" s="39">
        <f>IFERROR(__xludf.DUMMYFUNCTION("""COMPUTED_VALUE"""),0.0)</f>
        <v>0</v>
      </c>
      <c r="P7" s="40">
        <f>IFERROR(__xludf.DUMMYFUNCTION("""COMPUTED_VALUE"""),0.0)</f>
        <v>0</v>
      </c>
      <c r="Q7" s="41">
        <f>IFERROR(__xludf.DUMMYFUNCTION("""COMPUTED_VALUE"""),0.0)</f>
        <v>0</v>
      </c>
      <c r="R7" s="42">
        <f>IFERROR(__xludf.DUMMYFUNCTION("""COMPUTED_VALUE"""),0.0)</f>
        <v>0</v>
      </c>
      <c r="S7" s="43">
        <f>IFERROR(__xludf.DUMMYFUNCTION("""COMPUTED_VALUE"""),0.0)</f>
        <v>0</v>
      </c>
      <c r="T7" s="44">
        <f>IFERROR(__xludf.DUMMYFUNCTION("""COMPUTED_VALUE"""),0.0)</f>
        <v>0</v>
      </c>
      <c r="U7" s="44">
        <f>IFERROR(__xludf.DUMMYFUNCTION("""COMPUTED_VALUE"""),0.0)</f>
        <v>0</v>
      </c>
      <c r="V7" s="44">
        <f>IFERROR(__xludf.DUMMYFUNCTION("""COMPUTED_VALUE"""),0.0)</f>
        <v>0</v>
      </c>
      <c r="W7" s="44">
        <f>IFERROR(__xludf.DUMMYFUNCTION("""COMPUTED_VALUE"""),0.0)</f>
        <v>0</v>
      </c>
      <c r="X7" s="44">
        <f>IFERROR(__xludf.DUMMYFUNCTION("""COMPUTED_VALUE"""),0.0)</f>
        <v>0</v>
      </c>
      <c r="Y7" s="44">
        <f>IFERROR(__xludf.DUMMYFUNCTION("""COMPUTED_VALUE"""),0.0)</f>
        <v>0</v>
      </c>
      <c r="Z7" s="44">
        <f>IFERROR(__xludf.DUMMYFUNCTION("""COMPUTED_VALUE"""),0.0)</f>
        <v>0</v>
      </c>
      <c r="AA7" s="44">
        <f>IFERROR(__xludf.DUMMYFUNCTION("""COMPUTED_VALUE"""),0.0)</f>
        <v>0</v>
      </c>
      <c r="AB7" s="44">
        <f>IFERROR(__xludf.DUMMYFUNCTION("""COMPUTED_VALUE"""),0.0)</f>
        <v>0</v>
      </c>
      <c r="AC7" s="44">
        <f>IFERROR(__xludf.DUMMYFUNCTION("""COMPUTED_VALUE"""),0.0)</f>
        <v>0</v>
      </c>
      <c r="AD7" s="45">
        <f>IFERROR(__xludf.DUMMYFUNCTION("""COMPUTED_VALUE"""),5.0)</f>
        <v>5</v>
      </c>
      <c r="AE7" s="46">
        <f>IFERROR(__xludf.DUMMYFUNCTION("""COMPUTED_VALUE"""),5.0)</f>
        <v>5</v>
      </c>
    </row>
    <row r="8">
      <c r="A8" s="31">
        <f>IFERROR(__xludf.DUMMYFUNCTION("""COMPUTED_VALUE"""),45977.0)</f>
        <v>45977</v>
      </c>
      <c r="B8" s="32" t="str">
        <f>IFERROR(__xludf.DUMMYFUNCTION("""COMPUTED_VALUE"""),"WS_DEBORAHESPOSITO")</f>
        <v>WS_DEBORAHESPOSITO</v>
      </c>
      <c r="C8" s="33">
        <f>IFERROR(__xludf.DUMMYFUNCTION("""COMPUTED_VALUE"""),0.0)</f>
        <v>0</v>
      </c>
      <c r="D8" s="33">
        <f>IFERROR(__xludf.DUMMYFUNCTION("""COMPUTED_VALUE"""),6.0)</f>
        <v>6</v>
      </c>
      <c r="E8" s="34">
        <f>IFERROR(__xludf.DUMMYFUNCTION("""COMPUTED_VALUE"""),0.0)</f>
        <v>0</v>
      </c>
      <c r="F8" s="34">
        <f>IFERROR(__xludf.DUMMYFUNCTION("""COMPUTED_VALUE"""),4.0)</f>
        <v>4</v>
      </c>
      <c r="G8" s="35">
        <f>IFERROR(__xludf.DUMMYFUNCTION("""COMPUTED_VALUE"""),0.0)</f>
        <v>0</v>
      </c>
      <c r="H8" s="35">
        <f>IFERROR(__xludf.DUMMYFUNCTION("""COMPUTED_VALUE"""),0.0)</f>
        <v>0</v>
      </c>
      <c r="I8" s="36">
        <f>IFERROR(__xludf.DUMMYFUNCTION("""COMPUTED_VALUE"""),4.0)</f>
        <v>4</v>
      </c>
      <c r="J8" s="36">
        <f>IFERROR(__xludf.DUMMYFUNCTION("""COMPUTED_VALUE"""),5.0)</f>
        <v>5</v>
      </c>
      <c r="K8" s="37">
        <f>IFERROR(__xludf.DUMMYFUNCTION("""COMPUTED_VALUE"""),0.0)</f>
        <v>0</v>
      </c>
      <c r="L8" s="37">
        <f>IFERROR(__xludf.DUMMYFUNCTION("""COMPUTED_VALUE"""),1.0)</f>
        <v>1</v>
      </c>
      <c r="M8" s="38">
        <f>IFERROR(__xludf.DUMMYFUNCTION("""COMPUTED_VALUE"""),0.0)</f>
        <v>0</v>
      </c>
      <c r="N8" s="38">
        <f>IFERROR(__xludf.DUMMYFUNCTION("""COMPUTED_VALUE"""),0.0)</f>
        <v>0</v>
      </c>
      <c r="O8" s="39">
        <f>IFERROR(__xludf.DUMMYFUNCTION("""COMPUTED_VALUE"""),0.0)</f>
        <v>0</v>
      </c>
      <c r="P8" s="40">
        <f>IFERROR(__xludf.DUMMYFUNCTION("""COMPUTED_VALUE"""),1.0)</f>
        <v>1</v>
      </c>
      <c r="Q8" s="41">
        <f>IFERROR(__xludf.DUMMYFUNCTION("""COMPUTED_VALUE"""),0.0)</f>
        <v>0</v>
      </c>
      <c r="R8" s="42">
        <f>IFERROR(__xludf.DUMMYFUNCTION("""COMPUTED_VALUE"""),0.0)</f>
        <v>0</v>
      </c>
      <c r="S8" s="43">
        <f>IFERROR(__xludf.DUMMYFUNCTION("""COMPUTED_VALUE"""),0.0)</f>
        <v>0</v>
      </c>
      <c r="T8" s="44">
        <f>IFERROR(__xludf.DUMMYFUNCTION("""COMPUTED_VALUE"""),0.0)</f>
        <v>0</v>
      </c>
      <c r="U8" s="44">
        <f>IFERROR(__xludf.DUMMYFUNCTION("""COMPUTED_VALUE"""),0.0)</f>
        <v>0</v>
      </c>
      <c r="V8" s="44">
        <f>IFERROR(__xludf.DUMMYFUNCTION("""COMPUTED_VALUE"""),0.0)</f>
        <v>0</v>
      </c>
      <c r="W8" s="44">
        <f>IFERROR(__xludf.DUMMYFUNCTION("""COMPUTED_VALUE"""),0.0)</f>
        <v>0</v>
      </c>
      <c r="X8" s="44">
        <f>IFERROR(__xludf.DUMMYFUNCTION("""COMPUTED_VALUE"""),0.0)</f>
        <v>0</v>
      </c>
      <c r="Y8" s="44">
        <f>IFERROR(__xludf.DUMMYFUNCTION("""COMPUTED_VALUE"""),0.0)</f>
        <v>0</v>
      </c>
      <c r="Z8" s="44">
        <f>IFERROR(__xludf.DUMMYFUNCTION("""COMPUTED_VALUE"""),0.0)</f>
        <v>0</v>
      </c>
      <c r="AA8" s="44">
        <f>IFERROR(__xludf.DUMMYFUNCTION("""COMPUTED_VALUE"""),0.0)</f>
        <v>0</v>
      </c>
      <c r="AB8" s="44">
        <f>IFERROR(__xludf.DUMMYFUNCTION("""COMPUTED_VALUE"""),0.0)</f>
        <v>0</v>
      </c>
      <c r="AC8" s="44">
        <f>IFERROR(__xludf.DUMMYFUNCTION("""COMPUTED_VALUE"""),0.0)</f>
        <v>0</v>
      </c>
      <c r="AD8" s="45">
        <f>IFERROR(__xludf.DUMMYFUNCTION("""COMPUTED_VALUE"""),21.0)</f>
        <v>21</v>
      </c>
      <c r="AE8" s="46">
        <f>IFERROR(__xludf.DUMMYFUNCTION("""COMPUTED_VALUE"""),21.0)</f>
        <v>21</v>
      </c>
    </row>
    <row r="9">
      <c r="A9" s="31">
        <f>IFERROR(__xludf.DUMMYFUNCTION("""COMPUTED_VALUE"""),45977.0)</f>
        <v>45977</v>
      </c>
      <c r="B9" s="32" t="str">
        <f>IFERROR(__xludf.DUMMYFUNCTION("""COMPUTED_VALUE"""),"WS_DEANGELIS")</f>
        <v>WS_DEANGELIS</v>
      </c>
      <c r="C9" s="33">
        <f>IFERROR(__xludf.DUMMYFUNCTION("""COMPUTED_VALUE"""),0.0)</f>
        <v>0</v>
      </c>
      <c r="D9" s="33">
        <f>IFERROR(__xludf.DUMMYFUNCTION("""COMPUTED_VALUE"""),0.0)</f>
        <v>0</v>
      </c>
      <c r="E9" s="34">
        <f>IFERROR(__xludf.DUMMYFUNCTION("""COMPUTED_VALUE"""),0.0)</f>
        <v>0</v>
      </c>
      <c r="F9" s="34">
        <f>IFERROR(__xludf.DUMMYFUNCTION("""COMPUTED_VALUE"""),1.0)</f>
        <v>1</v>
      </c>
      <c r="G9" s="35">
        <f>IFERROR(__xludf.DUMMYFUNCTION("""COMPUTED_VALUE"""),0.0)</f>
        <v>0</v>
      </c>
      <c r="H9" s="35">
        <f>IFERROR(__xludf.DUMMYFUNCTION("""COMPUTED_VALUE"""),1.0)</f>
        <v>1</v>
      </c>
      <c r="I9" s="36">
        <f>IFERROR(__xludf.DUMMYFUNCTION("""COMPUTED_VALUE"""),4.0)</f>
        <v>4</v>
      </c>
      <c r="J9" s="36">
        <f>IFERROR(__xludf.DUMMYFUNCTION("""COMPUTED_VALUE"""),2.0)</f>
        <v>2</v>
      </c>
      <c r="K9" s="37">
        <f>IFERROR(__xludf.DUMMYFUNCTION("""COMPUTED_VALUE"""),0.0)</f>
        <v>0</v>
      </c>
      <c r="L9" s="37">
        <f>IFERROR(__xludf.DUMMYFUNCTION("""COMPUTED_VALUE"""),1.0)</f>
        <v>1</v>
      </c>
      <c r="M9" s="38">
        <f>IFERROR(__xludf.DUMMYFUNCTION("""COMPUTED_VALUE"""),0.0)</f>
        <v>0</v>
      </c>
      <c r="N9" s="38">
        <f>IFERROR(__xludf.DUMMYFUNCTION("""COMPUTED_VALUE"""),0.0)</f>
        <v>0</v>
      </c>
      <c r="O9" s="39">
        <f>IFERROR(__xludf.DUMMYFUNCTION("""COMPUTED_VALUE"""),0.0)</f>
        <v>0</v>
      </c>
      <c r="P9" s="40">
        <f>IFERROR(__xludf.DUMMYFUNCTION("""COMPUTED_VALUE"""),0.0)</f>
        <v>0</v>
      </c>
      <c r="Q9" s="41">
        <f>IFERROR(__xludf.DUMMYFUNCTION("""COMPUTED_VALUE"""),1.0)</f>
        <v>1</v>
      </c>
      <c r="R9" s="42">
        <f>IFERROR(__xludf.DUMMYFUNCTION("""COMPUTED_VALUE"""),0.0)</f>
        <v>0</v>
      </c>
      <c r="S9" s="43">
        <f>IFERROR(__xludf.DUMMYFUNCTION("""COMPUTED_VALUE"""),0.0)</f>
        <v>0</v>
      </c>
      <c r="T9" s="44">
        <f>IFERROR(__xludf.DUMMYFUNCTION("""COMPUTED_VALUE"""),0.0)</f>
        <v>0</v>
      </c>
      <c r="U9" s="44">
        <f>IFERROR(__xludf.DUMMYFUNCTION("""COMPUTED_VALUE"""),0.0)</f>
        <v>0</v>
      </c>
      <c r="V9" s="44">
        <f>IFERROR(__xludf.DUMMYFUNCTION("""COMPUTED_VALUE"""),0.0)</f>
        <v>0</v>
      </c>
      <c r="W9" s="44">
        <f>IFERROR(__xludf.DUMMYFUNCTION("""COMPUTED_VALUE"""),0.0)</f>
        <v>0</v>
      </c>
      <c r="X9" s="44">
        <f>IFERROR(__xludf.DUMMYFUNCTION("""COMPUTED_VALUE"""),0.0)</f>
        <v>0</v>
      </c>
      <c r="Y9" s="44">
        <f>IFERROR(__xludf.DUMMYFUNCTION("""COMPUTED_VALUE"""),0.0)</f>
        <v>0</v>
      </c>
      <c r="Z9" s="44">
        <f>IFERROR(__xludf.DUMMYFUNCTION("""COMPUTED_VALUE"""),0.0)</f>
        <v>0</v>
      </c>
      <c r="AA9" s="44">
        <f>IFERROR(__xludf.DUMMYFUNCTION("""COMPUTED_VALUE"""),0.0)</f>
        <v>0</v>
      </c>
      <c r="AB9" s="44">
        <f>IFERROR(__xludf.DUMMYFUNCTION("""COMPUTED_VALUE"""),0.0)</f>
        <v>0</v>
      </c>
      <c r="AC9" s="44">
        <f>IFERROR(__xludf.DUMMYFUNCTION("""COMPUTED_VALUE"""),0.0)</f>
        <v>0</v>
      </c>
      <c r="AD9" s="45">
        <f>IFERROR(__xludf.DUMMYFUNCTION("""COMPUTED_VALUE"""),10.0)</f>
        <v>10</v>
      </c>
      <c r="AE9" s="46">
        <f>IFERROR(__xludf.DUMMYFUNCTION("""COMPUTED_VALUE"""),10.0)</f>
        <v>10</v>
      </c>
    </row>
    <row r="10">
      <c r="A10" s="31">
        <f>IFERROR(__xludf.DUMMYFUNCTION("""COMPUTED_VALUE"""),46005.0)</f>
        <v>46005</v>
      </c>
      <c r="B10" s="47" t="str">
        <f>IFERROR(__xludf.DUMMYFUNCTION("""COMPUTED_VALUE"""),"WS_NEREA")</f>
        <v>WS_NEREA</v>
      </c>
      <c r="C10" s="33">
        <f>IFERROR(__xludf.DUMMYFUNCTION("""COMPUTED_VALUE"""),0.0)</f>
        <v>0</v>
      </c>
      <c r="D10" s="33">
        <f>IFERROR(__xludf.DUMMYFUNCTION("""COMPUTED_VALUE"""),1.0)</f>
        <v>1</v>
      </c>
      <c r="E10" s="34">
        <f>IFERROR(__xludf.DUMMYFUNCTION("""COMPUTED_VALUE"""),0.0)</f>
        <v>0</v>
      </c>
      <c r="F10" s="34">
        <f>IFERROR(__xludf.DUMMYFUNCTION("""COMPUTED_VALUE"""),1.0)</f>
        <v>1</v>
      </c>
      <c r="G10" s="35">
        <f>IFERROR(__xludf.DUMMYFUNCTION("""COMPUTED_VALUE"""),0.0)</f>
        <v>0</v>
      </c>
      <c r="H10" s="35">
        <f>IFERROR(__xludf.DUMMYFUNCTION("""COMPUTED_VALUE"""),1.0)</f>
        <v>1</v>
      </c>
      <c r="I10" s="36">
        <f>IFERROR(__xludf.DUMMYFUNCTION("""COMPUTED_VALUE"""),0.0)</f>
        <v>0</v>
      </c>
      <c r="J10" s="36">
        <f>IFERROR(__xludf.DUMMYFUNCTION("""COMPUTED_VALUE"""),4.0)</f>
        <v>4</v>
      </c>
      <c r="K10" s="37">
        <f>IFERROR(__xludf.DUMMYFUNCTION("""COMPUTED_VALUE"""),0.0)</f>
        <v>0</v>
      </c>
      <c r="L10" s="37">
        <f>IFERROR(__xludf.DUMMYFUNCTION("""COMPUTED_VALUE"""),0.0)</f>
        <v>0</v>
      </c>
      <c r="M10" s="38">
        <f>IFERROR(__xludf.DUMMYFUNCTION("""COMPUTED_VALUE"""),0.0)</f>
        <v>0</v>
      </c>
      <c r="N10" s="38">
        <f>IFERROR(__xludf.DUMMYFUNCTION("""COMPUTED_VALUE"""),0.0)</f>
        <v>0</v>
      </c>
      <c r="O10" s="39">
        <f>IFERROR(__xludf.DUMMYFUNCTION("""COMPUTED_VALUE"""),0.0)</f>
        <v>0</v>
      </c>
      <c r="P10" s="40">
        <f>IFERROR(__xludf.DUMMYFUNCTION("""COMPUTED_VALUE"""),0.0)</f>
        <v>0</v>
      </c>
      <c r="Q10" s="41">
        <f>IFERROR(__xludf.DUMMYFUNCTION("""COMPUTED_VALUE"""),1.0)</f>
        <v>1</v>
      </c>
      <c r="R10" s="42">
        <f>IFERROR(__xludf.DUMMYFUNCTION("""COMPUTED_VALUE"""),0.0)</f>
        <v>0</v>
      </c>
      <c r="S10" s="43">
        <f>IFERROR(__xludf.DUMMYFUNCTION("""COMPUTED_VALUE"""),0.0)</f>
        <v>0</v>
      </c>
      <c r="T10" s="44">
        <f>IFERROR(__xludf.DUMMYFUNCTION("""COMPUTED_VALUE"""),0.0)</f>
        <v>0</v>
      </c>
      <c r="U10" s="44">
        <f>IFERROR(__xludf.DUMMYFUNCTION("""COMPUTED_VALUE"""),0.0)</f>
        <v>0</v>
      </c>
      <c r="V10" s="44">
        <f>IFERROR(__xludf.DUMMYFUNCTION("""COMPUTED_VALUE"""),0.0)</f>
        <v>0</v>
      </c>
      <c r="W10" s="44">
        <f>IFERROR(__xludf.DUMMYFUNCTION("""COMPUTED_VALUE"""),0.0)</f>
        <v>0</v>
      </c>
      <c r="X10" s="44">
        <f>IFERROR(__xludf.DUMMYFUNCTION("""COMPUTED_VALUE"""),0.0)</f>
        <v>0</v>
      </c>
      <c r="Y10" s="44">
        <f>IFERROR(__xludf.DUMMYFUNCTION("""COMPUTED_VALUE"""),0.0)</f>
        <v>0</v>
      </c>
      <c r="Z10" s="44">
        <f>IFERROR(__xludf.DUMMYFUNCTION("""COMPUTED_VALUE"""),0.0)</f>
        <v>0</v>
      </c>
      <c r="AA10" s="44">
        <f>IFERROR(__xludf.DUMMYFUNCTION("""COMPUTED_VALUE"""),0.0)</f>
        <v>0</v>
      </c>
      <c r="AB10" s="44">
        <f>IFERROR(__xludf.DUMMYFUNCTION("""COMPUTED_VALUE"""),0.0)</f>
        <v>0</v>
      </c>
      <c r="AC10" s="44">
        <f>IFERROR(__xludf.DUMMYFUNCTION("""COMPUTED_VALUE"""),0.0)</f>
        <v>0</v>
      </c>
      <c r="AD10" s="45">
        <f>IFERROR(__xludf.DUMMYFUNCTION("""COMPUTED_VALUE"""),8.0)</f>
        <v>8</v>
      </c>
      <c r="AE10" s="46">
        <f>IFERROR(__xludf.DUMMYFUNCTION("""COMPUTED_VALUE"""),8.0)</f>
        <v>8</v>
      </c>
    </row>
    <row r="11">
      <c r="A11" s="48">
        <f>IFERROR(__xludf.DUMMYFUNCTION("""COMPUTED_VALUE"""),46005.0)</f>
        <v>46005</v>
      </c>
      <c r="B11" s="47" t="str">
        <f>IFERROR(__xludf.DUMMYFUNCTION("""COMPUTED_VALUE"""),"WS_FESTA NATALE")</f>
        <v>WS_FESTA NATALE</v>
      </c>
      <c r="C11" s="33">
        <f>IFERROR(__xludf.DUMMYFUNCTION("""COMPUTED_VALUE"""),0.0)</f>
        <v>0</v>
      </c>
      <c r="D11" s="33">
        <f>IFERROR(__xludf.DUMMYFUNCTION("""COMPUTED_VALUE"""),10.0)</f>
        <v>10</v>
      </c>
      <c r="E11" s="34">
        <f>IFERROR(__xludf.DUMMYFUNCTION("""COMPUTED_VALUE"""),2.0)</f>
        <v>2</v>
      </c>
      <c r="F11" s="34">
        <f>IFERROR(__xludf.DUMMYFUNCTION("""COMPUTED_VALUE"""),6.0)</f>
        <v>6</v>
      </c>
      <c r="G11" s="35">
        <f>IFERROR(__xludf.DUMMYFUNCTION("""COMPUTED_VALUE"""),0.0)</f>
        <v>0</v>
      </c>
      <c r="H11" s="35">
        <f>IFERROR(__xludf.DUMMYFUNCTION("""COMPUTED_VALUE"""),8.0)</f>
        <v>8</v>
      </c>
      <c r="I11" s="36">
        <f>IFERROR(__xludf.DUMMYFUNCTION("""COMPUTED_VALUE"""),0.0)</f>
        <v>0</v>
      </c>
      <c r="J11" s="36">
        <f>IFERROR(__xludf.DUMMYFUNCTION("""COMPUTED_VALUE"""),23.0)</f>
        <v>23</v>
      </c>
      <c r="K11" s="37">
        <f>IFERROR(__xludf.DUMMYFUNCTION("""COMPUTED_VALUE"""),0.0)</f>
        <v>0</v>
      </c>
      <c r="L11" s="37">
        <f>IFERROR(__xludf.DUMMYFUNCTION("""COMPUTED_VALUE"""),7.0)</f>
        <v>7</v>
      </c>
      <c r="M11" s="38">
        <f>IFERROR(__xludf.DUMMYFUNCTION("""COMPUTED_VALUE"""),0.0)</f>
        <v>0</v>
      </c>
      <c r="N11" s="38">
        <f>IFERROR(__xludf.DUMMYFUNCTION("""COMPUTED_VALUE"""),0.0)</f>
        <v>0</v>
      </c>
      <c r="O11" s="39">
        <f>IFERROR(__xludf.DUMMYFUNCTION("""COMPUTED_VALUE"""),49.0)</f>
        <v>49</v>
      </c>
      <c r="P11" s="40">
        <f>IFERROR(__xludf.DUMMYFUNCTION("""COMPUTED_VALUE"""),0.0)</f>
        <v>0</v>
      </c>
      <c r="Q11" s="41">
        <f>IFERROR(__xludf.DUMMYFUNCTION("""COMPUTED_VALUE"""),0.0)</f>
        <v>0</v>
      </c>
      <c r="R11" s="42">
        <f>IFERROR(__xludf.DUMMYFUNCTION("""COMPUTED_VALUE"""),0.0)</f>
        <v>0</v>
      </c>
      <c r="S11" s="43">
        <f>IFERROR(__xludf.DUMMYFUNCTION("""COMPUTED_VALUE"""),0.0)</f>
        <v>0</v>
      </c>
      <c r="T11" s="44">
        <f>IFERROR(__xludf.DUMMYFUNCTION("""COMPUTED_VALUE"""),0.0)</f>
        <v>0</v>
      </c>
      <c r="U11" s="44">
        <f>IFERROR(__xludf.DUMMYFUNCTION("""COMPUTED_VALUE"""),0.0)</f>
        <v>0</v>
      </c>
      <c r="V11" s="44">
        <f>IFERROR(__xludf.DUMMYFUNCTION("""COMPUTED_VALUE"""),0.0)</f>
        <v>0</v>
      </c>
      <c r="W11" s="44">
        <f>IFERROR(__xludf.DUMMYFUNCTION("""COMPUTED_VALUE"""),0.0)</f>
        <v>0</v>
      </c>
      <c r="X11" s="44">
        <f>IFERROR(__xludf.DUMMYFUNCTION("""COMPUTED_VALUE"""),0.0)</f>
        <v>0</v>
      </c>
      <c r="Y11" s="44">
        <f>IFERROR(__xludf.DUMMYFUNCTION("""COMPUTED_VALUE"""),0.0)</f>
        <v>0</v>
      </c>
      <c r="Z11" s="44">
        <f>IFERROR(__xludf.DUMMYFUNCTION("""COMPUTED_VALUE"""),0.0)</f>
        <v>0</v>
      </c>
      <c r="AA11" s="44">
        <f>IFERROR(__xludf.DUMMYFUNCTION("""COMPUTED_VALUE"""),0.0)</f>
        <v>0</v>
      </c>
      <c r="AB11" s="44">
        <f>IFERROR(__xludf.DUMMYFUNCTION("""COMPUTED_VALUE"""),0.0)</f>
        <v>0</v>
      </c>
      <c r="AC11" s="44">
        <f>IFERROR(__xludf.DUMMYFUNCTION("""COMPUTED_VALUE"""),0.0)</f>
        <v>0</v>
      </c>
      <c r="AD11" s="45">
        <f>IFERROR(__xludf.DUMMYFUNCTION("""COMPUTED_VALUE"""),105.0)</f>
        <v>105</v>
      </c>
      <c r="AE11" s="46">
        <f>IFERROR(__xludf.DUMMYFUNCTION("""COMPUTED_VALUE"""),105.0)</f>
        <v>105</v>
      </c>
    </row>
    <row r="12">
      <c r="A12" s="31">
        <f>IFERROR(__xludf.DUMMYFUNCTION("""COMPUTED_VALUE"""),46005.0)</f>
        <v>46005</v>
      </c>
      <c r="B12" s="47" t="str">
        <f>IFERROR(__xludf.DUMMYFUNCTION("""COMPUTED_VALUE"""),"SOLO SERATA_FESTA NATALE")</f>
        <v>SOLO SERATA_FESTA NATALE</v>
      </c>
      <c r="C12" s="33">
        <f>IFERROR(__xludf.DUMMYFUNCTION("""COMPUTED_VALUE"""),1.0)</f>
        <v>1</v>
      </c>
      <c r="D12" s="33">
        <f>IFERROR(__xludf.DUMMYFUNCTION("""COMPUTED_VALUE"""),31.0)</f>
        <v>31</v>
      </c>
      <c r="E12" s="34">
        <f>IFERROR(__xludf.DUMMYFUNCTION("""COMPUTED_VALUE"""),3.0)</f>
        <v>3</v>
      </c>
      <c r="F12" s="34">
        <f>IFERROR(__xludf.DUMMYFUNCTION("""COMPUTED_VALUE"""),14.0)</f>
        <v>14</v>
      </c>
      <c r="G12" s="35">
        <f>IFERROR(__xludf.DUMMYFUNCTION("""COMPUTED_VALUE"""),0.0)</f>
        <v>0</v>
      </c>
      <c r="H12" s="35">
        <f>IFERROR(__xludf.DUMMYFUNCTION("""COMPUTED_VALUE"""),18.0)</f>
        <v>18</v>
      </c>
      <c r="I12" s="36">
        <f>IFERROR(__xludf.DUMMYFUNCTION("""COMPUTED_VALUE"""),0.0)</f>
        <v>0</v>
      </c>
      <c r="J12" s="36">
        <f>IFERROR(__xludf.DUMMYFUNCTION("""COMPUTED_VALUE"""),22.0)</f>
        <v>22</v>
      </c>
      <c r="K12" s="37">
        <f>IFERROR(__xludf.DUMMYFUNCTION("""COMPUTED_VALUE"""),1.0)</f>
        <v>1</v>
      </c>
      <c r="L12" s="37">
        <f>IFERROR(__xludf.DUMMYFUNCTION("""COMPUTED_VALUE"""),11.0)</f>
        <v>11</v>
      </c>
      <c r="M12" s="38">
        <f>IFERROR(__xludf.DUMMYFUNCTION("""COMPUTED_VALUE"""),0.0)</f>
        <v>0</v>
      </c>
      <c r="N12" s="38">
        <f>IFERROR(__xludf.DUMMYFUNCTION("""COMPUTED_VALUE"""),0.0)</f>
        <v>0</v>
      </c>
      <c r="O12" s="39">
        <f>IFERROR(__xludf.DUMMYFUNCTION("""COMPUTED_VALUE"""),51.0)</f>
        <v>51</v>
      </c>
      <c r="P12" s="40">
        <f>IFERROR(__xludf.DUMMYFUNCTION("""COMPUTED_VALUE"""),0.0)</f>
        <v>0</v>
      </c>
      <c r="Q12" s="41">
        <f>IFERROR(__xludf.DUMMYFUNCTION("""COMPUTED_VALUE"""),2.0)</f>
        <v>2</v>
      </c>
      <c r="R12" s="42">
        <f>IFERROR(__xludf.DUMMYFUNCTION("""COMPUTED_VALUE"""),0.0)</f>
        <v>0</v>
      </c>
      <c r="S12" s="43">
        <f>IFERROR(__xludf.DUMMYFUNCTION("""COMPUTED_VALUE"""),0.0)</f>
        <v>0</v>
      </c>
      <c r="T12" s="44">
        <f>IFERROR(__xludf.DUMMYFUNCTION("""COMPUTED_VALUE"""),0.0)</f>
        <v>0</v>
      </c>
      <c r="U12" s="44">
        <f>IFERROR(__xludf.DUMMYFUNCTION("""COMPUTED_VALUE"""),0.0)</f>
        <v>0</v>
      </c>
      <c r="V12" s="44">
        <f>IFERROR(__xludf.DUMMYFUNCTION("""COMPUTED_VALUE"""),0.0)</f>
        <v>0</v>
      </c>
      <c r="W12" s="44">
        <f>IFERROR(__xludf.DUMMYFUNCTION("""COMPUTED_VALUE"""),0.0)</f>
        <v>0</v>
      </c>
      <c r="X12" s="44">
        <f>IFERROR(__xludf.DUMMYFUNCTION("""COMPUTED_VALUE"""),0.0)</f>
        <v>0</v>
      </c>
      <c r="Y12" s="44">
        <f>IFERROR(__xludf.DUMMYFUNCTION("""COMPUTED_VALUE"""),0.0)</f>
        <v>0</v>
      </c>
      <c r="Z12" s="44">
        <f>IFERROR(__xludf.DUMMYFUNCTION("""COMPUTED_VALUE"""),0.0)</f>
        <v>0</v>
      </c>
      <c r="AA12" s="44">
        <f>IFERROR(__xludf.DUMMYFUNCTION("""COMPUTED_VALUE"""),0.0)</f>
        <v>0</v>
      </c>
      <c r="AB12" s="44">
        <f>IFERROR(__xludf.DUMMYFUNCTION("""COMPUTED_VALUE"""),0.0)</f>
        <v>0</v>
      </c>
      <c r="AC12" s="44">
        <f>IFERROR(__xludf.DUMMYFUNCTION("""COMPUTED_VALUE"""),0.0)</f>
        <v>0</v>
      </c>
      <c r="AD12" s="45">
        <f>IFERROR(__xludf.DUMMYFUNCTION("""COMPUTED_VALUE"""),154.0)</f>
        <v>154</v>
      </c>
      <c r="AE12" s="46">
        <f>IFERROR(__xludf.DUMMYFUNCTION("""COMPUTED_VALUE"""),154.0)</f>
        <v>154</v>
      </c>
    </row>
    <row r="13">
      <c r="A13" s="31">
        <f>IFERROR(__xludf.DUMMYFUNCTION("""COMPUTED_VALUE"""),46054.0)</f>
        <v>46054</v>
      </c>
      <c r="B13" s="47" t="str">
        <f>IFERROR(__xludf.DUMMYFUNCTION("""COMPUTED_VALUE"""),"WS_ALESSIOCAVALIERE")</f>
        <v>WS_ALESSIOCAVALIERE</v>
      </c>
      <c r="C13" s="33">
        <f>IFERROR(__xludf.DUMMYFUNCTION("""COMPUTED_VALUE"""),0.0)</f>
        <v>0</v>
      </c>
      <c r="D13" s="33">
        <f>IFERROR(__xludf.DUMMYFUNCTION("""COMPUTED_VALUE"""),2.0)</f>
        <v>2</v>
      </c>
      <c r="E13" s="34">
        <f>IFERROR(__xludf.DUMMYFUNCTION("""COMPUTED_VALUE"""),0.0)</f>
        <v>0</v>
      </c>
      <c r="F13" s="34">
        <f>IFERROR(__xludf.DUMMYFUNCTION("""COMPUTED_VALUE"""),1.0)</f>
        <v>1</v>
      </c>
      <c r="G13" s="35">
        <f>IFERROR(__xludf.DUMMYFUNCTION("""COMPUTED_VALUE"""),0.0)</f>
        <v>0</v>
      </c>
      <c r="H13" s="35">
        <f>IFERROR(__xludf.DUMMYFUNCTION("""COMPUTED_VALUE"""),0.0)</f>
        <v>0</v>
      </c>
      <c r="I13" s="36">
        <f>IFERROR(__xludf.DUMMYFUNCTION("""COMPUTED_VALUE"""),0.0)</f>
        <v>0</v>
      </c>
      <c r="J13" s="36">
        <f>IFERROR(__xludf.DUMMYFUNCTION("""COMPUTED_VALUE"""),2.0)</f>
        <v>2</v>
      </c>
      <c r="K13" s="37">
        <f>IFERROR(__xludf.DUMMYFUNCTION("""COMPUTED_VALUE"""),0.0)</f>
        <v>0</v>
      </c>
      <c r="L13" s="37">
        <f>IFERROR(__xludf.DUMMYFUNCTION("""COMPUTED_VALUE"""),0.0)</f>
        <v>0</v>
      </c>
      <c r="M13" s="38">
        <f>IFERROR(__xludf.DUMMYFUNCTION("""COMPUTED_VALUE"""),0.0)</f>
        <v>0</v>
      </c>
      <c r="N13" s="38">
        <f>IFERROR(__xludf.DUMMYFUNCTION("""COMPUTED_VALUE"""),0.0)</f>
        <v>0</v>
      </c>
      <c r="O13" s="39">
        <f>IFERROR(__xludf.DUMMYFUNCTION("""COMPUTED_VALUE"""),0.0)</f>
        <v>0</v>
      </c>
      <c r="P13" s="40">
        <f>IFERROR(__xludf.DUMMYFUNCTION("""COMPUTED_VALUE"""),1.0)</f>
        <v>1</v>
      </c>
      <c r="Q13" s="41">
        <f>IFERROR(__xludf.DUMMYFUNCTION("""COMPUTED_VALUE"""),0.0)</f>
        <v>0</v>
      </c>
      <c r="R13" s="42">
        <f>IFERROR(__xludf.DUMMYFUNCTION("""COMPUTED_VALUE"""),0.0)</f>
        <v>0</v>
      </c>
      <c r="S13" s="43">
        <f>IFERROR(__xludf.DUMMYFUNCTION("""COMPUTED_VALUE"""),0.0)</f>
        <v>0</v>
      </c>
      <c r="T13" s="44">
        <f>IFERROR(__xludf.DUMMYFUNCTION("""COMPUTED_VALUE"""),0.0)</f>
        <v>0</v>
      </c>
      <c r="U13" s="44">
        <f>IFERROR(__xludf.DUMMYFUNCTION("""COMPUTED_VALUE"""),0.0)</f>
        <v>0</v>
      </c>
      <c r="V13" s="44">
        <f>IFERROR(__xludf.DUMMYFUNCTION("""COMPUTED_VALUE"""),0.0)</f>
        <v>0</v>
      </c>
      <c r="W13" s="44">
        <f>IFERROR(__xludf.DUMMYFUNCTION("""COMPUTED_VALUE"""),0.0)</f>
        <v>0</v>
      </c>
      <c r="X13" s="44">
        <f>IFERROR(__xludf.DUMMYFUNCTION("""COMPUTED_VALUE"""),0.0)</f>
        <v>0</v>
      </c>
      <c r="Y13" s="44">
        <f>IFERROR(__xludf.DUMMYFUNCTION("""COMPUTED_VALUE"""),0.0)</f>
        <v>0</v>
      </c>
      <c r="Z13" s="44">
        <f>IFERROR(__xludf.DUMMYFUNCTION("""COMPUTED_VALUE"""),0.0)</f>
        <v>0</v>
      </c>
      <c r="AA13" s="44">
        <f>IFERROR(__xludf.DUMMYFUNCTION("""COMPUTED_VALUE"""),0.0)</f>
        <v>0</v>
      </c>
      <c r="AB13" s="44">
        <f>IFERROR(__xludf.DUMMYFUNCTION("""COMPUTED_VALUE"""),0.0)</f>
        <v>0</v>
      </c>
      <c r="AC13" s="44">
        <f>IFERROR(__xludf.DUMMYFUNCTION("""COMPUTED_VALUE"""),0.0)</f>
        <v>0</v>
      </c>
      <c r="AD13" s="45">
        <f>IFERROR(__xludf.DUMMYFUNCTION("""COMPUTED_VALUE"""),6.0)</f>
        <v>6</v>
      </c>
      <c r="AE13" s="46">
        <f>IFERROR(__xludf.DUMMYFUNCTION("""COMPUTED_VALUE"""),6.0)</f>
        <v>6</v>
      </c>
    </row>
    <row r="14">
      <c r="A14" s="49">
        <f>IFERROR(__xludf.DUMMYFUNCTION("""COMPUTED_VALUE"""),46075.0)</f>
        <v>46075</v>
      </c>
      <c r="B14" s="50" t="str">
        <f>IFERROR(__xludf.DUMMYFUNCTION("""COMPUTED_VALUE"""),"WS_EMANUELLO")</f>
        <v>WS_EMANUELLO</v>
      </c>
      <c r="C14" s="51">
        <f>IFERROR(__xludf.DUMMYFUNCTION("""COMPUTED_VALUE"""),0.0)</f>
        <v>0</v>
      </c>
      <c r="D14" s="51">
        <f>IFERROR(__xludf.DUMMYFUNCTION("""COMPUTED_VALUE"""),10.0)</f>
        <v>10</v>
      </c>
      <c r="E14" s="52">
        <f>IFERROR(__xludf.DUMMYFUNCTION("""COMPUTED_VALUE"""),0.0)</f>
        <v>0</v>
      </c>
      <c r="F14" s="52">
        <f>IFERROR(__xludf.DUMMYFUNCTION("""COMPUTED_VALUE"""),3.0)</f>
        <v>3</v>
      </c>
      <c r="G14" s="53">
        <f>IFERROR(__xludf.DUMMYFUNCTION("""COMPUTED_VALUE"""),0.0)</f>
        <v>0</v>
      </c>
      <c r="H14" s="53">
        <f>IFERROR(__xludf.DUMMYFUNCTION("""COMPUTED_VALUE"""),1.0)</f>
        <v>1</v>
      </c>
      <c r="I14" s="54">
        <f>IFERROR(__xludf.DUMMYFUNCTION("""COMPUTED_VALUE"""),0.0)</f>
        <v>0</v>
      </c>
      <c r="J14" s="54">
        <f>IFERROR(__xludf.DUMMYFUNCTION("""COMPUTED_VALUE"""),24.0)</f>
        <v>24</v>
      </c>
      <c r="K14" s="55">
        <f>IFERROR(__xludf.DUMMYFUNCTION("""COMPUTED_VALUE"""),0.0)</f>
        <v>0</v>
      </c>
      <c r="L14" s="55">
        <f>IFERROR(__xludf.DUMMYFUNCTION("""COMPUTED_VALUE"""),4.0)</f>
        <v>4</v>
      </c>
      <c r="M14" s="56">
        <f>IFERROR(__xludf.DUMMYFUNCTION("""COMPUTED_VALUE"""),0.0)</f>
        <v>0</v>
      </c>
      <c r="N14" s="56">
        <f>IFERROR(__xludf.DUMMYFUNCTION("""COMPUTED_VALUE"""),0.0)</f>
        <v>0</v>
      </c>
      <c r="O14" s="57">
        <f>IFERROR(__xludf.DUMMYFUNCTION("""COMPUTED_VALUE"""),0.0)</f>
        <v>0</v>
      </c>
      <c r="P14" s="58">
        <f>IFERROR(__xludf.DUMMYFUNCTION("""COMPUTED_VALUE"""),1.0)</f>
        <v>1</v>
      </c>
      <c r="Q14" s="59">
        <f>IFERROR(__xludf.DUMMYFUNCTION("""COMPUTED_VALUE"""),0.0)</f>
        <v>0</v>
      </c>
      <c r="R14" s="42">
        <f>IFERROR(__xludf.DUMMYFUNCTION("""COMPUTED_VALUE"""),0.0)</f>
        <v>0</v>
      </c>
      <c r="S14" s="43">
        <f>IFERROR(__xludf.DUMMYFUNCTION("""COMPUTED_VALUE"""),0.0)</f>
        <v>0</v>
      </c>
      <c r="T14" s="44">
        <f>IFERROR(__xludf.DUMMYFUNCTION("""COMPUTED_VALUE"""),0.0)</f>
        <v>0</v>
      </c>
      <c r="U14" s="44">
        <f>IFERROR(__xludf.DUMMYFUNCTION("""COMPUTED_VALUE"""),0.0)</f>
        <v>0</v>
      </c>
      <c r="V14" s="44">
        <f>IFERROR(__xludf.DUMMYFUNCTION("""COMPUTED_VALUE"""),0.0)</f>
        <v>0</v>
      </c>
      <c r="W14" s="44">
        <f>IFERROR(__xludf.DUMMYFUNCTION("""COMPUTED_VALUE"""),0.0)</f>
        <v>0</v>
      </c>
      <c r="X14" s="44">
        <f>IFERROR(__xludf.DUMMYFUNCTION("""COMPUTED_VALUE"""),0.0)</f>
        <v>0</v>
      </c>
      <c r="Y14" s="44">
        <f>IFERROR(__xludf.DUMMYFUNCTION("""COMPUTED_VALUE"""),0.0)</f>
        <v>0</v>
      </c>
      <c r="Z14" s="44">
        <f>IFERROR(__xludf.DUMMYFUNCTION("""COMPUTED_VALUE"""),0.0)</f>
        <v>0</v>
      </c>
      <c r="AA14" s="44">
        <f>IFERROR(__xludf.DUMMYFUNCTION("""COMPUTED_VALUE"""),0.0)</f>
        <v>0</v>
      </c>
      <c r="AB14" s="44">
        <f>IFERROR(__xludf.DUMMYFUNCTION("""COMPUTED_VALUE"""),0.0)</f>
        <v>0</v>
      </c>
      <c r="AC14" s="44">
        <f>IFERROR(__xludf.DUMMYFUNCTION("""COMPUTED_VALUE"""),0.0)</f>
        <v>0</v>
      </c>
      <c r="AD14" s="45">
        <f>IFERROR(__xludf.DUMMYFUNCTION("""COMPUTED_VALUE"""),43.0)</f>
        <v>43</v>
      </c>
      <c r="AE14" s="46">
        <f>IFERROR(__xludf.DUMMYFUNCTION("""COMPUTED_VALUE"""),43.0)</f>
        <v>43</v>
      </c>
    </row>
    <row r="15">
      <c r="A15" s="49">
        <f>IFERROR(__xludf.DUMMYFUNCTION("""COMPUTED_VALUE"""),46082.0)</f>
        <v>46082</v>
      </c>
      <c r="B15" s="50" t="str">
        <f>IFERROR(__xludf.DUMMYFUNCTION("""COMPUTED_VALUE"""),"OC_ANAHITA")</f>
        <v>OC_ANAHITA</v>
      </c>
      <c r="C15" s="33">
        <f>IFERROR(__xludf.DUMMYFUNCTION("""COMPUTED_VALUE"""),0.0)</f>
        <v>0</v>
      </c>
      <c r="D15" s="33">
        <f>IFERROR(__xludf.DUMMYFUNCTION("""COMPUTED_VALUE"""),6.0)</f>
        <v>6</v>
      </c>
      <c r="E15" s="52">
        <f>IFERROR(__xludf.DUMMYFUNCTION("""COMPUTED_VALUE"""),0.0)</f>
        <v>0</v>
      </c>
      <c r="F15" s="52">
        <f>IFERROR(__xludf.DUMMYFUNCTION("""COMPUTED_VALUE"""),7.0)</f>
        <v>7</v>
      </c>
      <c r="G15" s="53">
        <f>IFERROR(__xludf.DUMMYFUNCTION("""COMPUTED_VALUE"""),0.0)</f>
        <v>0</v>
      </c>
      <c r="H15" s="53">
        <f>IFERROR(__xludf.DUMMYFUNCTION("""COMPUTED_VALUE"""),1.0)</f>
        <v>1</v>
      </c>
      <c r="I15" s="54">
        <f>IFERROR(__xludf.DUMMYFUNCTION("""COMPUTED_VALUE"""),0.0)</f>
        <v>0</v>
      </c>
      <c r="J15" s="54">
        <f>IFERROR(__xludf.DUMMYFUNCTION("""COMPUTED_VALUE"""),9.0)</f>
        <v>9</v>
      </c>
      <c r="K15" s="55">
        <f>IFERROR(__xludf.DUMMYFUNCTION("""COMPUTED_VALUE"""),1.0)</f>
        <v>1</v>
      </c>
      <c r="L15" s="55">
        <f>IFERROR(__xludf.DUMMYFUNCTION("""COMPUTED_VALUE"""),0.0)</f>
        <v>0</v>
      </c>
      <c r="M15" s="56">
        <f>IFERROR(__xludf.DUMMYFUNCTION("""COMPUTED_VALUE"""),0.0)</f>
        <v>0</v>
      </c>
      <c r="N15" s="56">
        <f>IFERROR(__xludf.DUMMYFUNCTION("""COMPUTED_VALUE"""),0.0)</f>
        <v>0</v>
      </c>
      <c r="O15" s="57">
        <f>IFERROR(__xludf.DUMMYFUNCTION("""COMPUTED_VALUE"""),0.0)</f>
        <v>0</v>
      </c>
      <c r="P15" s="58">
        <f>IFERROR(__xludf.DUMMYFUNCTION("""COMPUTED_VALUE"""),0.0)</f>
        <v>0</v>
      </c>
      <c r="Q15" s="59">
        <f>IFERROR(__xludf.DUMMYFUNCTION("""COMPUTED_VALUE"""),0.0)</f>
        <v>0</v>
      </c>
      <c r="R15" s="42">
        <f>IFERROR(__xludf.DUMMYFUNCTION("""COMPUTED_VALUE"""),0.0)</f>
        <v>0</v>
      </c>
      <c r="S15" s="43">
        <f>IFERROR(__xludf.DUMMYFUNCTION("""COMPUTED_VALUE"""),0.0)</f>
        <v>0</v>
      </c>
      <c r="T15" s="44">
        <f>IFERROR(__xludf.DUMMYFUNCTION("""COMPUTED_VALUE"""),0.0)</f>
        <v>0</v>
      </c>
      <c r="U15" s="44">
        <f>IFERROR(__xludf.DUMMYFUNCTION("""COMPUTED_VALUE"""),0.0)</f>
        <v>0</v>
      </c>
      <c r="V15" s="44">
        <f>IFERROR(__xludf.DUMMYFUNCTION("""COMPUTED_VALUE"""),0.0)</f>
        <v>0</v>
      </c>
      <c r="W15" s="44">
        <f>IFERROR(__xludf.DUMMYFUNCTION("""COMPUTED_VALUE"""),0.0)</f>
        <v>0</v>
      </c>
      <c r="X15" s="44">
        <f>IFERROR(__xludf.DUMMYFUNCTION("""COMPUTED_VALUE"""),0.0)</f>
        <v>0</v>
      </c>
      <c r="Y15" s="44">
        <f>IFERROR(__xludf.DUMMYFUNCTION("""COMPUTED_VALUE"""),0.0)</f>
        <v>0</v>
      </c>
      <c r="Z15" s="44">
        <f>IFERROR(__xludf.DUMMYFUNCTION("""COMPUTED_VALUE"""),0.0)</f>
        <v>0</v>
      </c>
      <c r="AA15" s="44">
        <f>IFERROR(__xludf.DUMMYFUNCTION("""COMPUTED_VALUE"""),0.0)</f>
        <v>0</v>
      </c>
      <c r="AB15" s="44">
        <f>IFERROR(__xludf.DUMMYFUNCTION("""COMPUTED_VALUE"""),0.0)</f>
        <v>0</v>
      </c>
      <c r="AC15" s="44">
        <f>IFERROR(__xludf.DUMMYFUNCTION("""COMPUTED_VALUE"""),0.0)</f>
        <v>0</v>
      </c>
      <c r="AD15" s="45">
        <f>IFERROR(__xludf.DUMMYFUNCTION("""COMPUTED_VALUE"""),24.0)</f>
        <v>24</v>
      </c>
      <c r="AE15" s="46">
        <f>IFERROR(__xludf.DUMMYFUNCTION("""COMPUTED_VALUE"""),24.0)</f>
        <v>24</v>
      </c>
    </row>
    <row r="16">
      <c r="A16" s="49">
        <f>IFERROR(__xludf.DUMMYFUNCTION("""COMPUTED_VALUE"""),46096.0)</f>
        <v>46096</v>
      </c>
      <c r="B16" s="50" t="str">
        <f>IFERROR(__xludf.DUMMYFUNCTION("""COMPUTED_VALUE"""),"WS_DIA_EN_CUBA")</f>
        <v>WS_DIA_EN_CUBA</v>
      </c>
      <c r="C16" s="51">
        <f>IFERROR(__xludf.DUMMYFUNCTION("""COMPUTED_VALUE"""),1.0)</f>
        <v>1</v>
      </c>
      <c r="D16" s="51">
        <f>IFERROR(__xludf.DUMMYFUNCTION("""COMPUTED_VALUE"""),4.0)</f>
        <v>4</v>
      </c>
      <c r="E16" s="52">
        <f>IFERROR(__xludf.DUMMYFUNCTION("""COMPUTED_VALUE"""),0.0)</f>
        <v>0</v>
      </c>
      <c r="F16" s="52">
        <f>IFERROR(__xludf.DUMMYFUNCTION("""COMPUTED_VALUE"""),8.0)</f>
        <v>8</v>
      </c>
      <c r="G16" s="53">
        <f>IFERROR(__xludf.DUMMYFUNCTION("""COMPUTED_VALUE"""),0.0)</f>
        <v>0</v>
      </c>
      <c r="H16" s="53">
        <f>IFERROR(__xludf.DUMMYFUNCTION("""COMPUTED_VALUE"""),4.0)</f>
        <v>4</v>
      </c>
      <c r="I16" s="54">
        <f>IFERROR(__xludf.DUMMYFUNCTION("""COMPUTED_VALUE"""),1.0)</f>
        <v>1</v>
      </c>
      <c r="J16" s="54">
        <f>IFERROR(__xludf.DUMMYFUNCTION("""COMPUTED_VALUE"""),6.0)</f>
        <v>6</v>
      </c>
      <c r="K16" s="55">
        <f>IFERROR(__xludf.DUMMYFUNCTION("""COMPUTED_VALUE"""),0.0)</f>
        <v>0</v>
      </c>
      <c r="L16" s="55">
        <f>IFERROR(__xludf.DUMMYFUNCTION("""COMPUTED_VALUE"""),2.0)</f>
        <v>2</v>
      </c>
      <c r="M16" s="56">
        <f>IFERROR(__xludf.DUMMYFUNCTION("""COMPUTED_VALUE"""),0.0)</f>
        <v>0</v>
      </c>
      <c r="N16" s="56">
        <f>IFERROR(__xludf.DUMMYFUNCTION("""COMPUTED_VALUE"""),0.0)</f>
        <v>0</v>
      </c>
      <c r="O16" s="57">
        <f>IFERROR(__xludf.DUMMYFUNCTION("""COMPUTED_VALUE"""),0.0)</f>
        <v>0</v>
      </c>
      <c r="P16" s="58">
        <f>IFERROR(__xludf.DUMMYFUNCTION("""COMPUTED_VALUE"""),0.0)</f>
        <v>0</v>
      </c>
      <c r="Q16" s="59">
        <f>IFERROR(__xludf.DUMMYFUNCTION("""COMPUTED_VALUE"""),0.0)</f>
        <v>0</v>
      </c>
      <c r="R16" s="42">
        <f>IFERROR(__xludf.DUMMYFUNCTION("""COMPUTED_VALUE"""),0.0)</f>
        <v>0</v>
      </c>
      <c r="S16" s="43">
        <f>IFERROR(__xludf.DUMMYFUNCTION("""COMPUTED_VALUE"""),0.0)</f>
        <v>0</v>
      </c>
      <c r="T16" s="44">
        <f>IFERROR(__xludf.DUMMYFUNCTION("""COMPUTED_VALUE"""),0.0)</f>
        <v>0</v>
      </c>
      <c r="U16" s="44">
        <f>IFERROR(__xludf.DUMMYFUNCTION("""COMPUTED_VALUE"""),0.0)</f>
        <v>0</v>
      </c>
      <c r="V16" s="44">
        <f>IFERROR(__xludf.DUMMYFUNCTION("""COMPUTED_VALUE"""),0.0)</f>
        <v>0</v>
      </c>
      <c r="W16" s="44">
        <f>IFERROR(__xludf.DUMMYFUNCTION("""COMPUTED_VALUE"""),0.0)</f>
        <v>0</v>
      </c>
      <c r="X16" s="44">
        <f>IFERROR(__xludf.DUMMYFUNCTION("""COMPUTED_VALUE"""),0.0)</f>
        <v>0</v>
      </c>
      <c r="Y16" s="44">
        <f>IFERROR(__xludf.DUMMYFUNCTION("""COMPUTED_VALUE"""),0.0)</f>
        <v>0</v>
      </c>
      <c r="Z16" s="44">
        <f>IFERROR(__xludf.DUMMYFUNCTION("""COMPUTED_VALUE"""),0.0)</f>
        <v>0</v>
      </c>
      <c r="AA16" s="44">
        <f>IFERROR(__xludf.DUMMYFUNCTION("""COMPUTED_VALUE"""),0.0)</f>
        <v>0</v>
      </c>
      <c r="AB16" s="44">
        <f>IFERROR(__xludf.DUMMYFUNCTION("""COMPUTED_VALUE"""),0.0)</f>
        <v>0</v>
      </c>
      <c r="AC16" s="44">
        <f>IFERROR(__xludf.DUMMYFUNCTION("""COMPUTED_VALUE"""),0.0)</f>
        <v>0</v>
      </c>
      <c r="AD16" s="45">
        <f>IFERROR(__xludf.DUMMYFUNCTION("""COMPUTED_VALUE"""),26.0)</f>
        <v>26</v>
      </c>
      <c r="AE16" s="46">
        <f>IFERROR(__xludf.DUMMYFUNCTION("""COMPUTED_VALUE"""),26.0)</f>
        <v>26</v>
      </c>
    </row>
    <row r="17">
      <c r="A17" s="60">
        <f>IFERROR(__xludf.DUMMYFUNCTION("""COMPUTED_VALUE"""),46096.0)</f>
        <v>46096</v>
      </c>
      <c r="B17" s="50" t="str">
        <f>IFERROR(__xludf.DUMMYFUNCTION("""COMPUTED_VALUE"""),"OC_AMBERALDRIN")</f>
        <v>OC_AMBERALDRIN</v>
      </c>
      <c r="C17" s="51">
        <f>IFERROR(__xludf.DUMMYFUNCTION("""COMPUTED_VALUE"""),0.0)</f>
        <v>0</v>
      </c>
      <c r="D17" s="51">
        <f>IFERROR(__xludf.DUMMYFUNCTION("""COMPUTED_VALUE"""),1.0)</f>
        <v>1</v>
      </c>
      <c r="E17" s="52">
        <f>IFERROR(__xludf.DUMMYFUNCTION("""COMPUTED_VALUE"""),0.0)</f>
        <v>0</v>
      </c>
      <c r="F17" s="52">
        <f>IFERROR(__xludf.DUMMYFUNCTION("""COMPUTED_VALUE"""),1.0)</f>
        <v>1</v>
      </c>
      <c r="G17" s="53">
        <f>IFERROR(__xludf.DUMMYFUNCTION("""COMPUTED_VALUE"""),0.0)</f>
        <v>0</v>
      </c>
      <c r="H17" s="53">
        <f>IFERROR(__xludf.DUMMYFUNCTION("""COMPUTED_VALUE"""),0.0)</f>
        <v>0</v>
      </c>
      <c r="I17" s="54">
        <f>IFERROR(__xludf.DUMMYFUNCTION("""COMPUTED_VALUE"""),1.0)</f>
        <v>1</v>
      </c>
      <c r="J17" s="54">
        <f>IFERROR(__xludf.DUMMYFUNCTION("""COMPUTED_VALUE"""),7.0)</f>
        <v>7</v>
      </c>
      <c r="K17" s="55">
        <f>IFERROR(__xludf.DUMMYFUNCTION("""COMPUTED_VALUE"""),0.0)</f>
        <v>0</v>
      </c>
      <c r="L17" s="55">
        <f>IFERROR(__xludf.DUMMYFUNCTION("""COMPUTED_VALUE"""),0.0)</f>
        <v>0</v>
      </c>
      <c r="M17" s="56">
        <f>IFERROR(__xludf.DUMMYFUNCTION("""COMPUTED_VALUE"""),0.0)</f>
        <v>0</v>
      </c>
      <c r="N17" s="56">
        <f>IFERROR(__xludf.DUMMYFUNCTION("""COMPUTED_VALUE"""),0.0)</f>
        <v>0</v>
      </c>
      <c r="O17" s="57">
        <f>IFERROR(__xludf.DUMMYFUNCTION("""COMPUTED_VALUE"""),0.0)</f>
        <v>0</v>
      </c>
      <c r="P17" s="58">
        <f>IFERROR(__xludf.DUMMYFUNCTION("""COMPUTED_VALUE"""),0.0)</f>
        <v>0</v>
      </c>
      <c r="Q17" s="59">
        <f>IFERROR(__xludf.DUMMYFUNCTION("""COMPUTED_VALUE"""),0.0)</f>
        <v>0</v>
      </c>
      <c r="R17" s="42">
        <f>IFERROR(__xludf.DUMMYFUNCTION("""COMPUTED_VALUE"""),0.0)</f>
        <v>0</v>
      </c>
      <c r="S17" s="43">
        <f>IFERROR(__xludf.DUMMYFUNCTION("""COMPUTED_VALUE"""),0.0)</f>
        <v>0</v>
      </c>
      <c r="T17" s="44">
        <f>IFERROR(__xludf.DUMMYFUNCTION("""COMPUTED_VALUE"""),0.0)</f>
        <v>0</v>
      </c>
      <c r="U17" s="44">
        <f>IFERROR(__xludf.DUMMYFUNCTION("""COMPUTED_VALUE"""),0.0)</f>
        <v>0</v>
      </c>
      <c r="V17" s="44">
        <f>IFERROR(__xludf.DUMMYFUNCTION("""COMPUTED_VALUE"""),0.0)</f>
        <v>0</v>
      </c>
      <c r="W17" s="44">
        <f>IFERROR(__xludf.DUMMYFUNCTION("""COMPUTED_VALUE"""),0.0)</f>
        <v>0</v>
      </c>
      <c r="X17" s="44">
        <f>IFERROR(__xludf.DUMMYFUNCTION("""COMPUTED_VALUE"""),0.0)</f>
        <v>0</v>
      </c>
      <c r="Y17" s="44">
        <f>IFERROR(__xludf.DUMMYFUNCTION("""COMPUTED_VALUE"""),0.0)</f>
        <v>0</v>
      </c>
      <c r="Z17" s="44">
        <f>IFERROR(__xludf.DUMMYFUNCTION("""COMPUTED_VALUE"""),0.0)</f>
        <v>0</v>
      </c>
      <c r="AA17" s="44">
        <f>IFERROR(__xludf.DUMMYFUNCTION("""COMPUTED_VALUE"""),0.0)</f>
        <v>0</v>
      </c>
      <c r="AB17" s="44">
        <f>IFERROR(__xludf.DUMMYFUNCTION("""COMPUTED_VALUE"""),0.0)</f>
        <v>0</v>
      </c>
      <c r="AC17" s="44">
        <f>IFERROR(__xludf.DUMMYFUNCTION("""COMPUTED_VALUE"""),0.0)</f>
        <v>0</v>
      </c>
      <c r="AD17" s="45">
        <f>IFERROR(__xludf.DUMMYFUNCTION("""COMPUTED_VALUE"""),10.0)</f>
        <v>10</v>
      </c>
      <c r="AE17" s="46">
        <f>IFERROR(__xludf.DUMMYFUNCTION("""COMPUTED_VALUE"""),10.0)</f>
        <v>10</v>
      </c>
    </row>
    <row r="18">
      <c r="A18" s="49">
        <f>IFERROR(__xludf.DUMMYFUNCTION("""COMPUTED_VALUE"""),46131.0)</f>
        <v>46131</v>
      </c>
      <c r="B18" s="50" t="str">
        <f>IFERROR(__xludf.DUMMYFUNCTION("""COMPUTED_VALUE"""),"WS_JASMINE_ANDRIANO")</f>
        <v>WS_JASMINE_ANDRIANO</v>
      </c>
      <c r="C18" s="51">
        <f>IFERROR(__xludf.DUMMYFUNCTION("""COMPUTED_VALUE"""),0.0)</f>
        <v>0</v>
      </c>
      <c r="D18" s="51">
        <f>IFERROR(__xludf.DUMMYFUNCTION("""COMPUTED_VALUE"""),1.0)</f>
        <v>1</v>
      </c>
      <c r="E18" s="52">
        <f>IFERROR(__xludf.DUMMYFUNCTION("""COMPUTED_VALUE"""),0.0)</f>
        <v>0</v>
      </c>
      <c r="F18" s="52">
        <f>IFERROR(__xludf.DUMMYFUNCTION("""COMPUTED_VALUE"""),1.0)</f>
        <v>1</v>
      </c>
      <c r="G18" s="53">
        <f>IFERROR(__xludf.DUMMYFUNCTION("""COMPUTED_VALUE"""),0.0)</f>
        <v>0</v>
      </c>
      <c r="H18" s="53">
        <f>IFERROR(__xludf.DUMMYFUNCTION("""COMPUTED_VALUE"""),0.0)</f>
        <v>0</v>
      </c>
      <c r="I18" s="54">
        <f>IFERROR(__xludf.DUMMYFUNCTION("""COMPUTED_VALUE"""),0.0)</f>
        <v>0</v>
      </c>
      <c r="J18" s="54">
        <f>IFERROR(__xludf.DUMMYFUNCTION("""COMPUTED_VALUE"""),1.0)</f>
        <v>1</v>
      </c>
      <c r="K18" s="55">
        <f>IFERROR(__xludf.DUMMYFUNCTION("""COMPUTED_VALUE"""),0.0)</f>
        <v>0</v>
      </c>
      <c r="L18" s="55">
        <f>IFERROR(__xludf.DUMMYFUNCTION("""COMPUTED_VALUE"""),0.0)</f>
        <v>0</v>
      </c>
      <c r="M18" s="56">
        <f>IFERROR(__xludf.DUMMYFUNCTION("""COMPUTED_VALUE"""),0.0)</f>
        <v>0</v>
      </c>
      <c r="N18" s="56">
        <f>IFERROR(__xludf.DUMMYFUNCTION("""COMPUTED_VALUE"""),0.0)</f>
        <v>0</v>
      </c>
      <c r="O18" s="57">
        <f>IFERROR(__xludf.DUMMYFUNCTION("""COMPUTED_VALUE"""),0.0)</f>
        <v>0</v>
      </c>
      <c r="P18" s="58">
        <f>IFERROR(__xludf.DUMMYFUNCTION("""COMPUTED_VALUE"""),0.0)</f>
        <v>0</v>
      </c>
      <c r="Q18" s="59">
        <f>IFERROR(__xludf.DUMMYFUNCTION("""COMPUTED_VALUE"""),0.0)</f>
        <v>0</v>
      </c>
      <c r="R18" s="42">
        <f>IFERROR(__xludf.DUMMYFUNCTION("""COMPUTED_VALUE"""),0.0)</f>
        <v>0</v>
      </c>
      <c r="S18" s="43">
        <f>IFERROR(__xludf.DUMMYFUNCTION("""COMPUTED_VALUE"""),0.0)</f>
        <v>0</v>
      </c>
      <c r="T18" s="44">
        <f>IFERROR(__xludf.DUMMYFUNCTION("""COMPUTED_VALUE"""),0.0)</f>
        <v>0</v>
      </c>
      <c r="U18" s="44">
        <f>IFERROR(__xludf.DUMMYFUNCTION("""COMPUTED_VALUE"""),0.0)</f>
        <v>0</v>
      </c>
      <c r="V18" s="44">
        <f>IFERROR(__xludf.DUMMYFUNCTION("""COMPUTED_VALUE"""),0.0)</f>
        <v>0</v>
      </c>
      <c r="W18" s="44">
        <f>IFERROR(__xludf.DUMMYFUNCTION("""COMPUTED_VALUE"""),0.0)</f>
        <v>0</v>
      </c>
      <c r="X18" s="44">
        <f>IFERROR(__xludf.DUMMYFUNCTION("""COMPUTED_VALUE"""),0.0)</f>
        <v>0</v>
      </c>
      <c r="Y18" s="44">
        <f>IFERROR(__xludf.DUMMYFUNCTION("""COMPUTED_VALUE"""),0.0)</f>
        <v>0</v>
      </c>
      <c r="Z18" s="44">
        <f>IFERROR(__xludf.DUMMYFUNCTION("""COMPUTED_VALUE"""),0.0)</f>
        <v>0</v>
      </c>
      <c r="AA18" s="44">
        <f>IFERROR(__xludf.DUMMYFUNCTION("""COMPUTED_VALUE"""),0.0)</f>
        <v>0</v>
      </c>
      <c r="AB18" s="44">
        <f>IFERROR(__xludf.DUMMYFUNCTION("""COMPUTED_VALUE"""),0.0)</f>
        <v>0</v>
      </c>
      <c r="AC18" s="44">
        <f>IFERROR(__xludf.DUMMYFUNCTION("""COMPUTED_VALUE"""),0.0)</f>
        <v>0</v>
      </c>
      <c r="AD18" s="45">
        <f>IFERROR(__xludf.DUMMYFUNCTION("""COMPUTED_VALUE"""),3.0)</f>
        <v>3</v>
      </c>
      <c r="AE18" s="46">
        <f>IFERROR(__xludf.DUMMYFUNCTION("""COMPUTED_VALUE"""),3.0)</f>
        <v>3</v>
      </c>
    </row>
    <row r="19">
      <c r="A19" s="61"/>
      <c r="B19" s="62"/>
      <c r="C19" s="51">
        <f>IFERROR(__xludf.DUMMYFUNCTION("""COMPUTED_VALUE"""),0.0)</f>
        <v>0</v>
      </c>
      <c r="D19" s="51">
        <f>IFERROR(__xludf.DUMMYFUNCTION("""COMPUTED_VALUE"""),0.0)</f>
        <v>0</v>
      </c>
      <c r="E19" s="52">
        <f>IFERROR(__xludf.DUMMYFUNCTION("""COMPUTED_VALUE"""),0.0)</f>
        <v>0</v>
      </c>
      <c r="F19" s="52">
        <f>IFERROR(__xludf.DUMMYFUNCTION("""COMPUTED_VALUE"""),0.0)</f>
        <v>0</v>
      </c>
      <c r="G19" s="53">
        <f>IFERROR(__xludf.DUMMYFUNCTION("""COMPUTED_VALUE"""),0.0)</f>
        <v>0</v>
      </c>
      <c r="H19" s="53">
        <f>IFERROR(__xludf.DUMMYFUNCTION("""COMPUTED_VALUE"""),0.0)</f>
        <v>0</v>
      </c>
      <c r="I19" s="54">
        <f>IFERROR(__xludf.DUMMYFUNCTION("""COMPUTED_VALUE"""),0.0)</f>
        <v>0</v>
      </c>
      <c r="J19" s="54">
        <f>IFERROR(__xludf.DUMMYFUNCTION("""COMPUTED_VALUE"""),0.0)</f>
        <v>0</v>
      </c>
      <c r="K19" s="55">
        <f>IFERROR(__xludf.DUMMYFUNCTION("""COMPUTED_VALUE"""),0.0)</f>
        <v>0</v>
      </c>
      <c r="L19" s="55">
        <f>IFERROR(__xludf.DUMMYFUNCTION("""COMPUTED_VALUE"""),0.0)</f>
        <v>0</v>
      </c>
      <c r="M19" s="56">
        <f>IFERROR(__xludf.DUMMYFUNCTION("""COMPUTED_VALUE"""),0.0)</f>
        <v>0</v>
      </c>
      <c r="N19" s="56">
        <f>IFERROR(__xludf.DUMMYFUNCTION("""COMPUTED_VALUE"""),0.0)</f>
        <v>0</v>
      </c>
      <c r="O19" s="57">
        <f>IFERROR(__xludf.DUMMYFUNCTION("""COMPUTED_VALUE"""),0.0)</f>
        <v>0</v>
      </c>
      <c r="P19" s="58">
        <f>IFERROR(__xludf.DUMMYFUNCTION("""COMPUTED_VALUE"""),0.0)</f>
        <v>0</v>
      </c>
      <c r="Q19" s="59">
        <f>IFERROR(__xludf.DUMMYFUNCTION("""COMPUTED_VALUE"""),0.0)</f>
        <v>0</v>
      </c>
      <c r="R19" s="42">
        <f>IFERROR(__xludf.DUMMYFUNCTION("""COMPUTED_VALUE"""),0.0)</f>
        <v>0</v>
      </c>
      <c r="S19" s="43">
        <f>IFERROR(__xludf.DUMMYFUNCTION("""COMPUTED_VALUE"""),0.0)</f>
        <v>0</v>
      </c>
      <c r="T19" s="44">
        <f>IFERROR(__xludf.DUMMYFUNCTION("""COMPUTED_VALUE"""),0.0)</f>
        <v>0</v>
      </c>
      <c r="U19" s="44">
        <f>IFERROR(__xludf.DUMMYFUNCTION("""COMPUTED_VALUE"""),0.0)</f>
        <v>0</v>
      </c>
      <c r="V19" s="44">
        <f>IFERROR(__xludf.DUMMYFUNCTION("""COMPUTED_VALUE"""),0.0)</f>
        <v>0</v>
      </c>
      <c r="W19" s="44">
        <f>IFERROR(__xludf.DUMMYFUNCTION("""COMPUTED_VALUE"""),0.0)</f>
        <v>0</v>
      </c>
      <c r="X19" s="44">
        <f>IFERROR(__xludf.DUMMYFUNCTION("""COMPUTED_VALUE"""),0.0)</f>
        <v>0</v>
      </c>
      <c r="Y19" s="44">
        <f>IFERROR(__xludf.DUMMYFUNCTION("""COMPUTED_VALUE"""),0.0)</f>
        <v>0</v>
      </c>
      <c r="Z19" s="44">
        <f>IFERROR(__xludf.DUMMYFUNCTION("""COMPUTED_VALUE"""),0.0)</f>
        <v>0</v>
      </c>
      <c r="AA19" s="44">
        <f>IFERROR(__xludf.DUMMYFUNCTION("""COMPUTED_VALUE"""),0.0)</f>
        <v>0</v>
      </c>
      <c r="AB19" s="44">
        <f>IFERROR(__xludf.DUMMYFUNCTION("""COMPUTED_VALUE"""),0.0)</f>
        <v>0</v>
      </c>
      <c r="AC19" s="44">
        <f>IFERROR(__xludf.DUMMYFUNCTION("""COMPUTED_VALUE"""),0.0)</f>
        <v>0</v>
      </c>
      <c r="AD19" s="45">
        <f>IFERROR(__xludf.DUMMYFUNCTION("""COMPUTED_VALUE"""),0.0)</f>
        <v>0</v>
      </c>
      <c r="AE19" s="46">
        <f>IFERROR(__xludf.DUMMYFUNCTION("""COMPUTED_VALUE"""),0.0)</f>
        <v>0</v>
      </c>
    </row>
    <row r="20">
      <c r="A20" s="61"/>
      <c r="B20" s="62"/>
      <c r="C20" s="51">
        <f>IFERROR(__xludf.DUMMYFUNCTION("""COMPUTED_VALUE"""),0.0)</f>
        <v>0</v>
      </c>
      <c r="D20" s="51">
        <f>IFERROR(__xludf.DUMMYFUNCTION("""COMPUTED_VALUE"""),0.0)</f>
        <v>0</v>
      </c>
      <c r="E20" s="52">
        <f>IFERROR(__xludf.DUMMYFUNCTION("""COMPUTED_VALUE"""),0.0)</f>
        <v>0</v>
      </c>
      <c r="F20" s="52">
        <f>IFERROR(__xludf.DUMMYFUNCTION("""COMPUTED_VALUE"""),0.0)</f>
        <v>0</v>
      </c>
      <c r="G20" s="53">
        <f>IFERROR(__xludf.DUMMYFUNCTION("""COMPUTED_VALUE"""),0.0)</f>
        <v>0</v>
      </c>
      <c r="H20" s="53">
        <f>IFERROR(__xludf.DUMMYFUNCTION("""COMPUTED_VALUE"""),0.0)</f>
        <v>0</v>
      </c>
      <c r="I20" s="54">
        <f>IFERROR(__xludf.DUMMYFUNCTION("""COMPUTED_VALUE"""),0.0)</f>
        <v>0</v>
      </c>
      <c r="J20" s="54">
        <f>IFERROR(__xludf.DUMMYFUNCTION("""COMPUTED_VALUE"""),0.0)</f>
        <v>0</v>
      </c>
      <c r="K20" s="55">
        <f>IFERROR(__xludf.DUMMYFUNCTION("""COMPUTED_VALUE"""),0.0)</f>
        <v>0</v>
      </c>
      <c r="L20" s="55">
        <f>IFERROR(__xludf.DUMMYFUNCTION("""COMPUTED_VALUE"""),0.0)</f>
        <v>0</v>
      </c>
      <c r="M20" s="56">
        <f>IFERROR(__xludf.DUMMYFUNCTION("""COMPUTED_VALUE"""),0.0)</f>
        <v>0</v>
      </c>
      <c r="N20" s="56">
        <f>IFERROR(__xludf.DUMMYFUNCTION("""COMPUTED_VALUE"""),0.0)</f>
        <v>0</v>
      </c>
      <c r="O20" s="57">
        <f>IFERROR(__xludf.DUMMYFUNCTION("""COMPUTED_VALUE"""),0.0)</f>
        <v>0</v>
      </c>
      <c r="P20" s="58">
        <f>IFERROR(__xludf.DUMMYFUNCTION("""COMPUTED_VALUE"""),0.0)</f>
        <v>0</v>
      </c>
      <c r="Q20" s="59">
        <f>IFERROR(__xludf.DUMMYFUNCTION("""COMPUTED_VALUE"""),0.0)</f>
        <v>0</v>
      </c>
      <c r="R20" s="42">
        <f>IFERROR(__xludf.DUMMYFUNCTION("""COMPUTED_VALUE"""),0.0)</f>
        <v>0</v>
      </c>
      <c r="S20" s="43">
        <f>IFERROR(__xludf.DUMMYFUNCTION("""COMPUTED_VALUE"""),0.0)</f>
        <v>0</v>
      </c>
      <c r="T20" s="44">
        <f>IFERROR(__xludf.DUMMYFUNCTION("""COMPUTED_VALUE"""),0.0)</f>
        <v>0</v>
      </c>
      <c r="U20" s="44">
        <f>IFERROR(__xludf.DUMMYFUNCTION("""COMPUTED_VALUE"""),0.0)</f>
        <v>0</v>
      </c>
      <c r="V20" s="44">
        <f>IFERROR(__xludf.DUMMYFUNCTION("""COMPUTED_VALUE"""),0.0)</f>
        <v>0</v>
      </c>
      <c r="W20" s="44">
        <f>IFERROR(__xludf.DUMMYFUNCTION("""COMPUTED_VALUE"""),0.0)</f>
        <v>0</v>
      </c>
      <c r="X20" s="44">
        <f>IFERROR(__xludf.DUMMYFUNCTION("""COMPUTED_VALUE"""),0.0)</f>
        <v>0</v>
      </c>
      <c r="Y20" s="44">
        <f>IFERROR(__xludf.DUMMYFUNCTION("""COMPUTED_VALUE"""),0.0)</f>
        <v>0</v>
      </c>
      <c r="Z20" s="44">
        <f>IFERROR(__xludf.DUMMYFUNCTION("""COMPUTED_VALUE"""),0.0)</f>
        <v>0</v>
      </c>
      <c r="AA20" s="44">
        <f>IFERROR(__xludf.DUMMYFUNCTION("""COMPUTED_VALUE"""),0.0)</f>
        <v>0</v>
      </c>
      <c r="AB20" s="44">
        <f>IFERROR(__xludf.DUMMYFUNCTION("""COMPUTED_VALUE"""),0.0)</f>
        <v>0</v>
      </c>
      <c r="AC20" s="44">
        <f>IFERROR(__xludf.DUMMYFUNCTION("""COMPUTED_VALUE"""),0.0)</f>
        <v>0</v>
      </c>
      <c r="AD20" s="45">
        <f>IFERROR(__xludf.DUMMYFUNCTION("""COMPUTED_VALUE"""),0.0)</f>
        <v>0</v>
      </c>
      <c r="AE20" s="46">
        <f>IFERROR(__xludf.DUMMYFUNCTION("""COMPUTED_VALUE"""),0.0)</f>
        <v>0</v>
      </c>
    </row>
    <row r="21">
      <c r="A21" s="61"/>
      <c r="B21" s="62"/>
      <c r="C21" s="51"/>
      <c r="D21" s="51"/>
      <c r="E21" s="52"/>
      <c r="F21" s="52"/>
      <c r="G21" s="53"/>
      <c r="H21" s="53"/>
      <c r="I21" s="54"/>
      <c r="J21" s="54"/>
      <c r="K21" s="55"/>
      <c r="L21" s="55"/>
      <c r="M21" s="56"/>
      <c r="N21" s="56"/>
      <c r="O21" s="57"/>
      <c r="P21" s="58"/>
      <c r="Q21" s="59"/>
      <c r="R21" s="42"/>
      <c r="S21" s="43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5"/>
      <c r="AE21" s="46"/>
    </row>
    <row r="22">
      <c r="A22" s="61"/>
      <c r="B22" s="62"/>
      <c r="C22" s="51"/>
      <c r="D22" s="51"/>
      <c r="E22" s="52"/>
      <c r="F22" s="52"/>
      <c r="G22" s="53"/>
      <c r="H22" s="53"/>
      <c r="I22" s="54"/>
      <c r="J22" s="54"/>
      <c r="K22" s="55"/>
      <c r="L22" s="55"/>
      <c r="M22" s="56"/>
      <c r="N22" s="56"/>
      <c r="O22" s="57"/>
      <c r="P22" s="58"/>
      <c r="Q22" s="59"/>
      <c r="R22" s="42"/>
      <c r="S22" s="43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5"/>
      <c r="AE22" s="46"/>
    </row>
    <row r="23">
      <c r="A23" s="61"/>
      <c r="B23" s="62"/>
      <c r="C23" s="51"/>
      <c r="D23" s="51"/>
      <c r="E23" s="52"/>
      <c r="F23" s="52"/>
      <c r="G23" s="53"/>
      <c r="H23" s="53"/>
      <c r="I23" s="54"/>
      <c r="J23" s="54"/>
      <c r="K23" s="55"/>
      <c r="L23" s="55"/>
      <c r="M23" s="56"/>
      <c r="N23" s="56"/>
      <c r="O23" s="57"/>
      <c r="P23" s="58"/>
      <c r="Q23" s="59"/>
      <c r="R23" s="42"/>
      <c r="S23" s="43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5"/>
      <c r="AE23" s="46"/>
    </row>
    <row r="24">
      <c r="A24" s="63">
        <f>IFERROR(__xludf.DUMMYFUNCTION("IMPORTRANGE(""https://docs.google.com/spreadsheets/d/1gTceXpuaRa7ZsOzhGVscdirbnfiHwICLRKff8oitOS4/edit?gid=321829144#gid=321829144"",""ResocontoDIM!A3:AE10"")"),45949.0)</f>
        <v>45949</v>
      </c>
      <c r="B24" s="64" t="str">
        <f>IFERROR(__xludf.DUMMYFUNCTION("""COMPUTED_VALUE"""),"DIM_19OTT25")</f>
        <v>DIM_19OTT25</v>
      </c>
      <c r="C24" s="65">
        <f>IFERROR(__xludf.DUMMYFUNCTION("""COMPUTED_VALUE"""),0.0)</f>
        <v>0</v>
      </c>
      <c r="D24" s="65">
        <f>IFERROR(__xludf.DUMMYFUNCTION("""COMPUTED_VALUE"""),0.0)</f>
        <v>0</v>
      </c>
      <c r="E24" s="66">
        <f>IFERROR(__xludf.DUMMYFUNCTION("""COMPUTED_VALUE"""),1.0)</f>
        <v>1</v>
      </c>
      <c r="F24" s="66">
        <f>IFERROR(__xludf.DUMMYFUNCTION("""COMPUTED_VALUE"""),0.0)</f>
        <v>0</v>
      </c>
      <c r="G24" s="67">
        <f>IFERROR(__xludf.DUMMYFUNCTION("""COMPUTED_VALUE"""),0.0)</f>
        <v>0</v>
      </c>
      <c r="H24" s="67">
        <f>IFERROR(__xludf.DUMMYFUNCTION("""COMPUTED_VALUE"""),0.0)</f>
        <v>0</v>
      </c>
      <c r="I24" s="68">
        <f>IFERROR(__xludf.DUMMYFUNCTION("""COMPUTED_VALUE"""),1.0)</f>
        <v>1</v>
      </c>
      <c r="J24" s="68">
        <f>IFERROR(__xludf.DUMMYFUNCTION("""COMPUTED_VALUE"""),0.0)</f>
        <v>0</v>
      </c>
      <c r="K24" s="69">
        <f>IFERROR(__xludf.DUMMYFUNCTION("""COMPUTED_VALUE"""),0.0)</f>
        <v>0</v>
      </c>
      <c r="L24" s="69">
        <f>IFERROR(__xludf.DUMMYFUNCTION("""COMPUTED_VALUE"""),0.0)</f>
        <v>0</v>
      </c>
      <c r="M24" s="70">
        <f>IFERROR(__xludf.DUMMYFUNCTION("""COMPUTED_VALUE"""),0.0)</f>
        <v>0</v>
      </c>
      <c r="N24" s="70">
        <f>IFERROR(__xludf.DUMMYFUNCTION("""COMPUTED_VALUE"""),0.0)</f>
        <v>0</v>
      </c>
      <c r="O24" s="71">
        <f>IFERROR(__xludf.DUMMYFUNCTION("""COMPUTED_VALUE"""),0.0)</f>
        <v>0</v>
      </c>
      <c r="P24" s="72">
        <f>IFERROR(__xludf.DUMMYFUNCTION("""COMPUTED_VALUE"""),0.0)</f>
        <v>0</v>
      </c>
      <c r="Q24" s="73">
        <f>IFERROR(__xludf.DUMMYFUNCTION("""COMPUTED_VALUE"""),0.0)</f>
        <v>0</v>
      </c>
      <c r="R24" s="74">
        <f>IFERROR(__xludf.DUMMYFUNCTION("""COMPUTED_VALUE"""),0.0)</f>
        <v>0</v>
      </c>
      <c r="S24" s="75">
        <f>IFERROR(__xludf.DUMMYFUNCTION("""COMPUTED_VALUE"""),0.0)</f>
        <v>0</v>
      </c>
      <c r="T24" s="76">
        <f>IFERROR(__xludf.DUMMYFUNCTION("""COMPUTED_VALUE"""),0.0)</f>
        <v>0</v>
      </c>
      <c r="U24" s="76">
        <f>IFERROR(__xludf.DUMMYFUNCTION("""COMPUTED_VALUE"""),0.0)</f>
        <v>0</v>
      </c>
      <c r="V24" s="76">
        <f>IFERROR(__xludf.DUMMYFUNCTION("""COMPUTED_VALUE"""),0.0)</f>
        <v>0</v>
      </c>
      <c r="W24" s="76">
        <f>IFERROR(__xludf.DUMMYFUNCTION("""COMPUTED_VALUE"""),0.0)</f>
        <v>0</v>
      </c>
      <c r="X24" s="76">
        <f>IFERROR(__xludf.DUMMYFUNCTION("""COMPUTED_VALUE"""),0.0)</f>
        <v>0</v>
      </c>
      <c r="Y24" s="76">
        <f>IFERROR(__xludf.DUMMYFUNCTION("""COMPUTED_VALUE"""),0.0)</f>
        <v>0</v>
      </c>
      <c r="Z24" s="76">
        <f>IFERROR(__xludf.DUMMYFUNCTION("""COMPUTED_VALUE"""),0.0)</f>
        <v>0</v>
      </c>
      <c r="AA24" s="76">
        <f>IFERROR(__xludf.DUMMYFUNCTION("""COMPUTED_VALUE"""),0.0)</f>
        <v>0</v>
      </c>
      <c r="AB24" s="76">
        <f>IFERROR(__xludf.DUMMYFUNCTION("""COMPUTED_VALUE"""),0.0)</f>
        <v>0</v>
      </c>
      <c r="AC24" s="76">
        <f>IFERROR(__xludf.DUMMYFUNCTION("""COMPUTED_VALUE"""),0.0)</f>
        <v>0</v>
      </c>
      <c r="AD24" s="77">
        <f>IFERROR(__xludf.DUMMYFUNCTION("""COMPUTED_VALUE"""),2.0)</f>
        <v>2</v>
      </c>
      <c r="AE24" s="78">
        <f>IFERROR(__xludf.DUMMYFUNCTION("""COMPUTED_VALUE"""),2.0)</f>
        <v>2</v>
      </c>
    </row>
    <row r="25">
      <c r="A25" s="60">
        <f>IFERROR(__xludf.DUMMYFUNCTION("""COMPUTED_VALUE"""),45970.0)</f>
        <v>45970</v>
      </c>
      <c r="B25" s="50" t="str">
        <f>IFERROR(__xludf.DUMMYFUNCTION("""COMPUTED_VALUE"""),"DIM_09NOV25")</f>
        <v>DIM_09NOV25</v>
      </c>
      <c r="C25" s="51">
        <f>IFERROR(__xludf.DUMMYFUNCTION("""COMPUTED_VALUE"""),3.0)</f>
        <v>3</v>
      </c>
      <c r="D25" s="51">
        <f>IFERROR(__xludf.DUMMYFUNCTION("""COMPUTED_VALUE"""),0.0)</f>
        <v>0</v>
      </c>
      <c r="E25" s="52">
        <f>IFERROR(__xludf.DUMMYFUNCTION("""COMPUTED_VALUE"""),6.0)</f>
        <v>6</v>
      </c>
      <c r="F25" s="52">
        <f>IFERROR(__xludf.DUMMYFUNCTION("""COMPUTED_VALUE"""),0.0)</f>
        <v>0</v>
      </c>
      <c r="G25" s="53">
        <f>IFERROR(__xludf.DUMMYFUNCTION("""COMPUTED_VALUE"""),0.0)</f>
        <v>0</v>
      </c>
      <c r="H25" s="53">
        <f>IFERROR(__xludf.DUMMYFUNCTION("""COMPUTED_VALUE"""),0.0)</f>
        <v>0</v>
      </c>
      <c r="I25" s="54">
        <f>IFERROR(__xludf.DUMMYFUNCTION("""COMPUTED_VALUE"""),4.0)</f>
        <v>4</v>
      </c>
      <c r="J25" s="54">
        <f>IFERROR(__xludf.DUMMYFUNCTION("""COMPUTED_VALUE"""),0.0)</f>
        <v>0</v>
      </c>
      <c r="K25" s="55">
        <f>IFERROR(__xludf.DUMMYFUNCTION("""COMPUTED_VALUE"""),3.0)</f>
        <v>3</v>
      </c>
      <c r="L25" s="55">
        <f>IFERROR(__xludf.DUMMYFUNCTION("""COMPUTED_VALUE"""),0.0)</f>
        <v>0</v>
      </c>
      <c r="M25" s="56">
        <f>IFERROR(__xludf.DUMMYFUNCTION("""COMPUTED_VALUE"""),0.0)</f>
        <v>0</v>
      </c>
      <c r="N25" s="56">
        <f>IFERROR(__xludf.DUMMYFUNCTION("""COMPUTED_VALUE"""),0.0)</f>
        <v>0</v>
      </c>
      <c r="O25" s="57">
        <f>IFERROR(__xludf.DUMMYFUNCTION("""COMPUTED_VALUE"""),0.0)</f>
        <v>0</v>
      </c>
      <c r="P25" s="58">
        <f>IFERROR(__xludf.DUMMYFUNCTION("""COMPUTED_VALUE"""),0.0)</f>
        <v>0</v>
      </c>
      <c r="Q25" s="59">
        <f>IFERROR(__xludf.DUMMYFUNCTION("""COMPUTED_VALUE"""),0.0)</f>
        <v>0</v>
      </c>
      <c r="R25" s="42">
        <f>IFERROR(__xludf.DUMMYFUNCTION("""COMPUTED_VALUE"""),0.0)</f>
        <v>0</v>
      </c>
      <c r="S25" s="43">
        <f>IFERROR(__xludf.DUMMYFUNCTION("""COMPUTED_VALUE"""),0.0)</f>
        <v>0</v>
      </c>
      <c r="T25" s="44">
        <f>IFERROR(__xludf.DUMMYFUNCTION("""COMPUTED_VALUE"""),0.0)</f>
        <v>0</v>
      </c>
      <c r="U25" s="44">
        <f>IFERROR(__xludf.DUMMYFUNCTION("""COMPUTED_VALUE"""),0.0)</f>
        <v>0</v>
      </c>
      <c r="V25" s="44">
        <f>IFERROR(__xludf.DUMMYFUNCTION("""COMPUTED_VALUE"""),0.0)</f>
        <v>0</v>
      </c>
      <c r="W25" s="44">
        <f>IFERROR(__xludf.DUMMYFUNCTION("""COMPUTED_VALUE"""),0.0)</f>
        <v>0</v>
      </c>
      <c r="X25" s="44">
        <f>IFERROR(__xludf.DUMMYFUNCTION("""COMPUTED_VALUE"""),0.0)</f>
        <v>0</v>
      </c>
      <c r="Y25" s="44">
        <f>IFERROR(__xludf.DUMMYFUNCTION("""COMPUTED_VALUE"""),0.0)</f>
        <v>0</v>
      </c>
      <c r="Z25" s="44">
        <f>IFERROR(__xludf.DUMMYFUNCTION("""COMPUTED_VALUE"""),0.0)</f>
        <v>0</v>
      </c>
      <c r="AA25" s="44">
        <f>IFERROR(__xludf.DUMMYFUNCTION("""COMPUTED_VALUE"""),0.0)</f>
        <v>0</v>
      </c>
      <c r="AB25" s="44">
        <f>IFERROR(__xludf.DUMMYFUNCTION("""COMPUTED_VALUE"""),0.0)</f>
        <v>0</v>
      </c>
      <c r="AC25" s="44">
        <f>IFERROR(__xludf.DUMMYFUNCTION("""COMPUTED_VALUE"""),0.0)</f>
        <v>0</v>
      </c>
      <c r="AD25" s="45">
        <f>IFERROR(__xludf.DUMMYFUNCTION("""COMPUTED_VALUE"""),16.0)</f>
        <v>16</v>
      </c>
      <c r="AE25" s="46">
        <f>IFERROR(__xludf.DUMMYFUNCTION("""COMPUTED_VALUE"""),16.0)</f>
        <v>16</v>
      </c>
    </row>
    <row r="26">
      <c r="A26" s="60">
        <f>IFERROR(__xludf.DUMMYFUNCTION("""COMPUTED_VALUE"""),45984.0)</f>
        <v>45984</v>
      </c>
      <c r="B26" s="50" t="str">
        <f>IFERROR(__xludf.DUMMYFUNCTION("""COMPUTED_VALUE"""),"DIM_23NOV25")</f>
        <v>DIM_23NOV25</v>
      </c>
      <c r="C26" s="51">
        <f>IFERROR(__xludf.DUMMYFUNCTION("""COMPUTED_VALUE"""),4.0)</f>
        <v>4</v>
      </c>
      <c r="D26" s="51">
        <f>IFERROR(__xludf.DUMMYFUNCTION("""COMPUTED_VALUE"""),0.0)</f>
        <v>0</v>
      </c>
      <c r="E26" s="52">
        <f>IFERROR(__xludf.DUMMYFUNCTION("""COMPUTED_VALUE"""),3.0)</f>
        <v>3</v>
      </c>
      <c r="F26" s="52">
        <f>IFERROR(__xludf.DUMMYFUNCTION("""COMPUTED_VALUE"""),0.0)</f>
        <v>0</v>
      </c>
      <c r="G26" s="53">
        <f>IFERROR(__xludf.DUMMYFUNCTION("""COMPUTED_VALUE"""),0.0)</f>
        <v>0</v>
      </c>
      <c r="H26" s="53">
        <f>IFERROR(__xludf.DUMMYFUNCTION("""COMPUTED_VALUE"""),0.0)</f>
        <v>0</v>
      </c>
      <c r="I26" s="54">
        <f>IFERROR(__xludf.DUMMYFUNCTION("""COMPUTED_VALUE"""),0.0)</f>
        <v>0</v>
      </c>
      <c r="J26" s="54">
        <f>IFERROR(__xludf.DUMMYFUNCTION("""COMPUTED_VALUE"""),0.0)</f>
        <v>0</v>
      </c>
      <c r="K26" s="55">
        <f>IFERROR(__xludf.DUMMYFUNCTION("""COMPUTED_VALUE"""),0.0)</f>
        <v>0</v>
      </c>
      <c r="L26" s="55">
        <f>IFERROR(__xludf.DUMMYFUNCTION("""COMPUTED_VALUE"""),0.0)</f>
        <v>0</v>
      </c>
      <c r="M26" s="56">
        <f>IFERROR(__xludf.DUMMYFUNCTION("""COMPUTED_VALUE"""),0.0)</f>
        <v>0</v>
      </c>
      <c r="N26" s="56">
        <f>IFERROR(__xludf.DUMMYFUNCTION("""COMPUTED_VALUE"""),0.0)</f>
        <v>0</v>
      </c>
      <c r="O26" s="57">
        <f>IFERROR(__xludf.DUMMYFUNCTION("""COMPUTED_VALUE"""),0.0)</f>
        <v>0</v>
      </c>
      <c r="P26" s="58">
        <f>IFERROR(__xludf.DUMMYFUNCTION("""COMPUTED_VALUE"""),0.0)</f>
        <v>0</v>
      </c>
      <c r="Q26" s="59">
        <f>IFERROR(__xludf.DUMMYFUNCTION("""COMPUTED_VALUE"""),0.0)</f>
        <v>0</v>
      </c>
      <c r="R26" s="42">
        <f>IFERROR(__xludf.DUMMYFUNCTION("""COMPUTED_VALUE"""),0.0)</f>
        <v>0</v>
      </c>
      <c r="S26" s="43">
        <f>IFERROR(__xludf.DUMMYFUNCTION("""COMPUTED_VALUE"""),0.0)</f>
        <v>0</v>
      </c>
      <c r="T26" s="44">
        <f>IFERROR(__xludf.DUMMYFUNCTION("""COMPUTED_VALUE"""),0.0)</f>
        <v>0</v>
      </c>
      <c r="U26" s="44">
        <f>IFERROR(__xludf.DUMMYFUNCTION("""COMPUTED_VALUE"""),0.0)</f>
        <v>0</v>
      </c>
      <c r="V26" s="44">
        <f>IFERROR(__xludf.DUMMYFUNCTION("""COMPUTED_VALUE"""),0.0)</f>
        <v>0</v>
      </c>
      <c r="W26" s="44">
        <f>IFERROR(__xludf.DUMMYFUNCTION("""COMPUTED_VALUE"""),0.0)</f>
        <v>0</v>
      </c>
      <c r="X26" s="44">
        <f>IFERROR(__xludf.DUMMYFUNCTION("""COMPUTED_VALUE"""),0.0)</f>
        <v>0</v>
      </c>
      <c r="Y26" s="44">
        <f>IFERROR(__xludf.DUMMYFUNCTION("""COMPUTED_VALUE"""),0.0)</f>
        <v>0</v>
      </c>
      <c r="Z26" s="44">
        <f>IFERROR(__xludf.DUMMYFUNCTION("""COMPUTED_VALUE"""),0.0)</f>
        <v>0</v>
      </c>
      <c r="AA26" s="44">
        <f>IFERROR(__xludf.DUMMYFUNCTION("""COMPUTED_VALUE"""),0.0)</f>
        <v>0</v>
      </c>
      <c r="AB26" s="44">
        <f>IFERROR(__xludf.DUMMYFUNCTION("""COMPUTED_VALUE"""),0.0)</f>
        <v>0</v>
      </c>
      <c r="AC26" s="44">
        <f>IFERROR(__xludf.DUMMYFUNCTION("""COMPUTED_VALUE"""),0.0)</f>
        <v>0</v>
      </c>
      <c r="AD26" s="45">
        <f>IFERROR(__xludf.DUMMYFUNCTION("""COMPUTED_VALUE"""),7.0)</f>
        <v>7</v>
      </c>
      <c r="AE26" s="46">
        <f>IFERROR(__xludf.DUMMYFUNCTION("""COMPUTED_VALUE"""),7.0)</f>
        <v>7</v>
      </c>
    </row>
    <row r="27">
      <c r="A27" s="61"/>
      <c r="B27" s="62"/>
      <c r="C27" s="51">
        <f>IFERROR(__xludf.DUMMYFUNCTION("""COMPUTED_VALUE"""),0.0)</f>
        <v>0</v>
      </c>
      <c r="D27" s="51">
        <f>IFERROR(__xludf.DUMMYFUNCTION("""COMPUTED_VALUE"""),0.0)</f>
        <v>0</v>
      </c>
      <c r="E27" s="52">
        <f>IFERROR(__xludf.DUMMYFUNCTION("""COMPUTED_VALUE"""),0.0)</f>
        <v>0</v>
      </c>
      <c r="F27" s="52">
        <f>IFERROR(__xludf.DUMMYFUNCTION("""COMPUTED_VALUE"""),0.0)</f>
        <v>0</v>
      </c>
      <c r="G27" s="53">
        <f>IFERROR(__xludf.DUMMYFUNCTION("""COMPUTED_VALUE"""),0.0)</f>
        <v>0</v>
      </c>
      <c r="H27" s="53">
        <f>IFERROR(__xludf.DUMMYFUNCTION("""COMPUTED_VALUE"""),0.0)</f>
        <v>0</v>
      </c>
      <c r="I27" s="54">
        <f>IFERROR(__xludf.DUMMYFUNCTION("""COMPUTED_VALUE"""),0.0)</f>
        <v>0</v>
      </c>
      <c r="J27" s="54">
        <f>IFERROR(__xludf.DUMMYFUNCTION("""COMPUTED_VALUE"""),0.0)</f>
        <v>0</v>
      </c>
      <c r="K27" s="55">
        <f>IFERROR(__xludf.DUMMYFUNCTION("""COMPUTED_VALUE"""),0.0)</f>
        <v>0</v>
      </c>
      <c r="L27" s="55">
        <f>IFERROR(__xludf.DUMMYFUNCTION("""COMPUTED_VALUE"""),0.0)</f>
        <v>0</v>
      </c>
      <c r="M27" s="56">
        <f>IFERROR(__xludf.DUMMYFUNCTION("""COMPUTED_VALUE"""),0.0)</f>
        <v>0</v>
      </c>
      <c r="N27" s="56">
        <f>IFERROR(__xludf.DUMMYFUNCTION("""COMPUTED_VALUE"""),0.0)</f>
        <v>0</v>
      </c>
      <c r="O27" s="57">
        <f>IFERROR(__xludf.DUMMYFUNCTION("""COMPUTED_VALUE"""),0.0)</f>
        <v>0</v>
      </c>
      <c r="P27" s="58">
        <f>IFERROR(__xludf.DUMMYFUNCTION("""COMPUTED_VALUE"""),0.0)</f>
        <v>0</v>
      </c>
      <c r="Q27" s="59">
        <f>IFERROR(__xludf.DUMMYFUNCTION("""COMPUTED_VALUE"""),0.0)</f>
        <v>0</v>
      </c>
      <c r="R27" s="42">
        <f>IFERROR(__xludf.DUMMYFUNCTION("""COMPUTED_VALUE"""),0.0)</f>
        <v>0</v>
      </c>
      <c r="S27" s="43">
        <f>IFERROR(__xludf.DUMMYFUNCTION("""COMPUTED_VALUE"""),0.0)</f>
        <v>0</v>
      </c>
      <c r="T27" s="44">
        <f>IFERROR(__xludf.DUMMYFUNCTION("""COMPUTED_VALUE"""),0.0)</f>
        <v>0</v>
      </c>
      <c r="U27" s="44">
        <f>IFERROR(__xludf.DUMMYFUNCTION("""COMPUTED_VALUE"""),0.0)</f>
        <v>0</v>
      </c>
      <c r="V27" s="44">
        <f>IFERROR(__xludf.DUMMYFUNCTION("""COMPUTED_VALUE"""),0.0)</f>
        <v>0</v>
      </c>
      <c r="W27" s="44">
        <f>IFERROR(__xludf.DUMMYFUNCTION("""COMPUTED_VALUE"""),0.0)</f>
        <v>0</v>
      </c>
      <c r="X27" s="44">
        <f>IFERROR(__xludf.DUMMYFUNCTION("""COMPUTED_VALUE"""),0.0)</f>
        <v>0</v>
      </c>
      <c r="Y27" s="44">
        <f>IFERROR(__xludf.DUMMYFUNCTION("""COMPUTED_VALUE"""),0.0)</f>
        <v>0</v>
      </c>
      <c r="Z27" s="44">
        <f>IFERROR(__xludf.DUMMYFUNCTION("""COMPUTED_VALUE"""),0.0)</f>
        <v>0</v>
      </c>
      <c r="AA27" s="44">
        <f>IFERROR(__xludf.DUMMYFUNCTION("""COMPUTED_VALUE"""),0.0)</f>
        <v>0</v>
      </c>
      <c r="AB27" s="44">
        <f>IFERROR(__xludf.DUMMYFUNCTION("""COMPUTED_VALUE"""),0.0)</f>
        <v>0</v>
      </c>
      <c r="AC27" s="44">
        <f>IFERROR(__xludf.DUMMYFUNCTION("""COMPUTED_VALUE"""),0.0)</f>
        <v>0</v>
      </c>
      <c r="AD27" s="45">
        <f>IFERROR(__xludf.DUMMYFUNCTION("""COMPUTED_VALUE"""),0.0)</f>
        <v>0</v>
      </c>
      <c r="AE27" s="46">
        <f>IFERROR(__xludf.DUMMYFUNCTION("""COMPUTED_VALUE"""),0.0)</f>
        <v>0</v>
      </c>
    </row>
    <row r="28">
      <c r="A28" s="61"/>
      <c r="B28" s="62"/>
      <c r="C28" s="51">
        <f>IFERROR(__xludf.DUMMYFUNCTION("""COMPUTED_VALUE"""),0.0)</f>
        <v>0</v>
      </c>
      <c r="D28" s="51">
        <f>IFERROR(__xludf.DUMMYFUNCTION("""COMPUTED_VALUE"""),0.0)</f>
        <v>0</v>
      </c>
      <c r="E28" s="52">
        <f>IFERROR(__xludf.DUMMYFUNCTION("""COMPUTED_VALUE"""),0.0)</f>
        <v>0</v>
      </c>
      <c r="F28" s="52">
        <f>IFERROR(__xludf.DUMMYFUNCTION("""COMPUTED_VALUE"""),0.0)</f>
        <v>0</v>
      </c>
      <c r="G28" s="53">
        <f>IFERROR(__xludf.DUMMYFUNCTION("""COMPUTED_VALUE"""),0.0)</f>
        <v>0</v>
      </c>
      <c r="H28" s="53">
        <f>IFERROR(__xludf.DUMMYFUNCTION("""COMPUTED_VALUE"""),0.0)</f>
        <v>0</v>
      </c>
      <c r="I28" s="54">
        <f>IFERROR(__xludf.DUMMYFUNCTION("""COMPUTED_VALUE"""),0.0)</f>
        <v>0</v>
      </c>
      <c r="J28" s="54">
        <f>IFERROR(__xludf.DUMMYFUNCTION("""COMPUTED_VALUE"""),0.0)</f>
        <v>0</v>
      </c>
      <c r="K28" s="55">
        <f>IFERROR(__xludf.DUMMYFUNCTION("""COMPUTED_VALUE"""),0.0)</f>
        <v>0</v>
      </c>
      <c r="L28" s="55">
        <f>IFERROR(__xludf.DUMMYFUNCTION("""COMPUTED_VALUE"""),0.0)</f>
        <v>0</v>
      </c>
      <c r="M28" s="56">
        <f>IFERROR(__xludf.DUMMYFUNCTION("""COMPUTED_VALUE"""),0.0)</f>
        <v>0</v>
      </c>
      <c r="N28" s="56">
        <f>IFERROR(__xludf.DUMMYFUNCTION("""COMPUTED_VALUE"""),0.0)</f>
        <v>0</v>
      </c>
      <c r="O28" s="57">
        <f>IFERROR(__xludf.DUMMYFUNCTION("""COMPUTED_VALUE"""),0.0)</f>
        <v>0</v>
      </c>
      <c r="P28" s="58">
        <f>IFERROR(__xludf.DUMMYFUNCTION("""COMPUTED_VALUE"""),0.0)</f>
        <v>0</v>
      </c>
      <c r="Q28" s="59">
        <f>IFERROR(__xludf.DUMMYFUNCTION("""COMPUTED_VALUE"""),0.0)</f>
        <v>0</v>
      </c>
      <c r="R28" s="42">
        <f>IFERROR(__xludf.DUMMYFUNCTION("""COMPUTED_VALUE"""),0.0)</f>
        <v>0</v>
      </c>
      <c r="S28" s="43">
        <f>IFERROR(__xludf.DUMMYFUNCTION("""COMPUTED_VALUE"""),0.0)</f>
        <v>0</v>
      </c>
      <c r="T28" s="44">
        <f>IFERROR(__xludf.DUMMYFUNCTION("""COMPUTED_VALUE"""),0.0)</f>
        <v>0</v>
      </c>
      <c r="U28" s="44">
        <f>IFERROR(__xludf.DUMMYFUNCTION("""COMPUTED_VALUE"""),0.0)</f>
        <v>0</v>
      </c>
      <c r="V28" s="44">
        <f>IFERROR(__xludf.DUMMYFUNCTION("""COMPUTED_VALUE"""),0.0)</f>
        <v>0</v>
      </c>
      <c r="W28" s="44">
        <f>IFERROR(__xludf.DUMMYFUNCTION("""COMPUTED_VALUE"""),0.0)</f>
        <v>0</v>
      </c>
      <c r="X28" s="44">
        <f>IFERROR(__xludf.DUMMYFUNCTION("""COMPUTED_VALUE"""),0.0)</f>
        <v>0</v>
      </c>
      <c r="Y28" s="44">
        <f>IFERROR(__xludf.DUMMYFUNCTION("""COMPUTED_VALUE"""),0.0)</f>
        <v>0</v>
      </c>
      <c r="Z28" s="44">
        <f>IFERROR(__xludf.DUMMYFUNCTION("""COMPUTED_VALUE"""),0.0)</f>
        <v>0</v>
      </c>
      <c r="AA28" s="44">
        <f>IFERROR(__xludf.DUMMYFUNCTION("""COMPUTED_VALUE"""),0.0)</f>
        <v>0</v>
      </c>
      <c r="AB28" s="44">
        <f>IFERROR(__xludf.DUMMYFUNCTION("""COMPUTED_VALUE"""),0.0)</f>
        <v>0</v>
      </c>
      <c r="AC28" s="44">
        <f>IFERROR(__xludf.DUMMYFUNCTION("""COMPUTED_VALUE"""),0.0)</f>
        <v>0</v>
      </c>
      <c r="AD28" s="45">
        <f>IFERROR(__xludf.DUMMYFUNCTION("""COMPUTED_VALUE"""),0.0)</f>
        <v>0</v>
      </c>
      <c r="AE28" s="46">
        <f>IFERROR(__xludf.DUMMYFUNCTION("""COMPUTED_VALUE"""),0.0)</f>
        <v>0</v>
      </c>
    </row>
    <row r="29">
      <c r="A29" s="79"/>
      <c r="B29" s="62"/>
      <c r="C29" s="51">
        <f>IFERROR(__xludf.DUMMYFUNCTION("""COMPUTED_VALUE"""),0.0)</f>
        <v>0</v>
      </c>
      <c r="D29" s="51">
        <f>IFERROR(__xludf.DUMMYFUNCTION("""COMPUTED_VALUE"""),0.0)</f>
        <v>0</v>
      </c>
      <c r="E29" s="52">
        <f>IFERROR(__xludf.DUMMYFUNCTION("""COMPUTED_VALUE"""),0.0)</f>
        <v>0</v>
      </c>
      <c r="F29" s="52">
        <f>IFERROR(__xludf.DUMMYFUNCTION("""COMPUTED_VALUE"""),0.0)</f>
        <v>0</v>
      </c>
      <c r="G29" s="53">
        <f>IFERROR(__xludf.DUMMYFUNCTION("""COMPUTED_VALUE"""),0.0)</f>
        <v>0</v>
      </c>
      <c r="H29" s="53">
        <f>IFERROR(__xludf.DUMMYFUNCTION("""COMPUTED_VALUE"""),0.0)</f>
        <v>0</v>
      </c>
      <c r="I29" s="54">
        <f>IFERROR(__xludf.DUMMYFUNCTION("""COMPUTED_VALUE"""),0.0)</f>
        <v>0</v>
      </c>
      <c r="J29" s="54">
        <f>IFERROR(__xludf.DUMMYFUNCTION("""COMPUTED_VALUE"""),0.0)</f>
        <v>0</v>
      </c>
      <c r="K29" s="55">
        <f>IFERROR(__xludf.DUMMYFUNCTION("""COMPUTED_VALUE"""),0.0)</f>
        <v>0</v>
      </c>
      <c r="L29" s="55">
        <f>IFERROR(__xludf.DUMMYFUNCTION("""COMPUTED_VALUE"""),0.0)</f>
        <v>0</v>
      </c>
      <c r="M29" s="56">
        <f>IFERROR(__xludf.DUMMYFUNCTION("""COMPUTED_VALUE"""),0.0)</f>
        <v>0</v>
      </c>
      <c r="N29" s="56">
        <f>IFERROR(__xludf.DUMMYFUNCTION("""COMPUTED_VALUE"""),0.0)</f>
        <v>0</v>
      </c>
      <c r="O29" s="57">
        <f>IFERROR(__xludf.DUMMYFUNCTION("""COMPUTED_VALUE"""),0.0)</f>
        <v>0</v>
      </c>
      <c r="P29" s="58">
        <f>IFERROR(__xludf.DUMMYFUNCTION("""COMPUTED_VALUE"""),0.0)</f>
        <v>0</v>
      </c>
      <c r="Q29" s="59">
        <f>IFERROR(__xludf.DUMMYFUNCTION("""COMPUTED_VALUE"""),0.0)</f>
        <v>0</v>
      </c>
      <c r="R29" s="42">
        <f>IFERROR(__xludf.DUMMYFUNCTION("""COMPUTED_VALUE"""),0.0)</f>
        <v>0</v>
      </c>
      <c r="S29" s="43">
        <f>IFERROR(__xludf.DUMMYFUNCTION("""COMPUTED_VALUE"""),0.0)</f>
        <v>0</v>
      </c>
      <c r="T29" s="44">
        <f>IFERROR(__xludf.DUMMYFUNCTION("""COMPUTED_VALUE"""),0.0)</f>
        <v>0</v>
      </c>
      <c r="U29" s="44">
        <f>IFERROR(__xludf.DUMMYFUNCTION("""COMPUTED_VALUE"""),0.0)</f>
        <v>0</v>
      </c>
      <c r="V29" s="44">
        <f>IFERROR(__xludf.DUMMYFUNCTION("""COMPUTED_VALUE"""),0.0)</f>
        <v>0</v>
      </c>
      <c r="W29" s="44">
        <f>IFERROR(__xludf.DUMMYFUNCTION("""COMPUTED_VALUE"""),0.0)</f>
        <v>0</v>
      </c>
      <c r="X29" s="44">
        <f>IFERROR(__xludf.DUMMYFUNCTION("""COMPUTED_VALUE"""),0.0)</f>
        <v>0</v>
      </c>
      <c r="Y29" s="44">
        <f>IFERROR(__xludf.DUMMYFUNCTION("""COMPUTED_VALUE"""),0.0)</f>
        <v>0</v>
      </c>
      <c r="Z29" s="44">
        <f>IFERROR(__xludf.DUMMYFUNCTION("""COMPUTED_VALUE"""),0.0)</f>
        <v>0</v>
      </c>
      <c r="AA29" s="44">
        <f>IFERROR(__xludf.DUMMYFUNCTION("""COMPUTED_VALUE"""),0.0)</f>
        <v>0</v>
      </c>
      <c r="AB29" s="44">
        <f>IFERROR(__xludf.DUMMYFUNCTION("""COMPUTED_VALUE"""),0.0)</f>
        <v>0</v>
      </c>
      <c r="AC29" s="44">
        <f>IFERROR(__xludf.DUMMYFUNCTION("""COMPUTED_VALUE"""),0.0)</f>
        <v>0</v>
      </c>
      <c r="AD29" s="45">
        <f>IFERROR(__xludf.DUMMYFUNCTION("""COMPUTED_VALUE"""),0.0)</f>
        <v>0</v>
      </c>
      <c r="AE29" s="46">
        <f>IFERROR(__xludf.DUMMYFUNCTION("""COMPUTED_VALUE"""),0.0)</f>
        <v>0</v>
      </c>
    </row>
    <row r="30">
      <c r="A30" s="79"/>
      <c r="B30" s="62"/>
      <c r="C30" s="51">
        <f>IFERROR(__xludf.DUMMYFUNCTION("""COMPUTED_VALUE"""),0.0)</f>
        <v>0</v>
      </c>
      <c r="D30" s="51">
        <f>IFERROR(__xludf.DUMMYFUNCTION("""COMPUTED_VALUE"""),0.0)</f>
        <v>0</v>
      </c>
      <c r="E30" s="52">
        <f>IFERROR(__xludf.DUMMYFUNCTION("""COMPUTED_VALUE"""),0.0)</f>
        <v>0</v>
      </c>
      <c r="F30" s="52">
        <f>IFERROR(__xludf.DUMMYFUNCTION("""COMPUTED_VALUE"""),0.0)</f>
        <v>0</v>
      </c>
      <c r="G30" s="53">
        <f>IFERROR(__xludf.DUMMYFUNCTION("""COMPUTED_VALUE"""),0.0)</f>
        <v>0</v>
      </c>
      <c r="H30" s="53">
        <f>IFERROR(__xludf.DUMMYFUNCTION("""COMPUTED_VALUE"""),0.0)</f>
        <v>0</v>
      </c>
      <c r="I30" s="54">
        <f>IFERROR(__xludf.DUMMYFUNCTION("""COMPUTED_VALUE"""),0.0)</f>
        <v>0</v>
      </c>
      <c r="J30" s="54">
        <f>IFERROR(__xludf.DUMMYFUNCTION("""COMPUTED_VALUE"""),0.0)</f>
        <v>0</v>
      </c>
      <c r="K30" s="55">
        <f>IFERROR(__xludf.DUMMYFUNCTION("""COMPUTED_VALUE"""),0.0)</f>
        <v>0</v>
      </c>
      <c r="L30" s="55">
        <f>IFERROR(__xludf.DUMMYFUNCTION("""COMPUTED_VALUE"""),0.0)</f>
        <v>0</v>
      </c>
      <c r="M30" s="56">
        <f>IFERROR(__xludf.DUMMYFUNCTION("""COMPUTED_VALUE"""),0.0)</f>
        <v>0</v>
      </c>
      <c r="N30" s="56">
        <f>IFERROR(__xludf.DUMMYFUNCTION("""COMPUTED_VALUE"""),0.0)</f>
        <v>0</v>
      </c>
      <c r="O30" s="57">
        <f>IFERROR(__xludf.DUMMYFUNCTION("""COMPUTED_VALUE"""),0.0)</f>
        <v>0</v>
      </c>
      <c r="P30" s="58">
        <f>IFERROR(__xludf.DUMMYFUNCTION("""COMPUTED_VALUE"""),0.0)</f>
        <v>0</v>
      </c>
      <c r="Q30" s="59">
        <f>IFERROR(__xludf.DUMMYFUNCTION("""COMPUTED_VALUE"""),0.0)</f>
        <v>0</v>
      </c>
      <c r="R30" s="42">
        <f>IFERROR(__xludf.DUMMYFUNCTION("""COMPUTED_VALUE"""),0.0)</f>
        <v>0</v>
      </c>
      <c r="S30" s="43">
        <f>IFERROR(__xludf.DUMMYFUNCTION("""COMPUTED_VALUE"""),0.0)</f>
        <v>0</v>
      </c>
      <c r="T30" s="44">
        <f>IFERROR(__xludf.DUMMYFUNCTION("""COMPUTED_VALUE"""),0.0)</f>
        <v>0</v>
      </c>
      <c r="U30" s="44">
        <f>IFERROR(__xludf.DUMMYFUNCTION("""COMPUTED_VALUE"""),0.0)</f>
        <v>0</v>
      </c>
      <c r="V30" s="44">
        <f>IFERROR(__xludf.DUMMYFUNCTION("""COMPUTED_VALUE"""),0.0)</f>
        <v>0</v>
      </c>
      <c r="W30" s="44">
        <f>IFERROR(__xludf.DUMMYFUNCTION("""COMPUTED_VALUE"""),0.0)</f>
        <v>0</v>
      </c>
      <c r="X30" s="44">
        <f>IFERROR(__xludf.DUMMYFUNCTION("""COMPUTED_VALUE"""),0.0)</f>
        <v>0</v>
      </c>
      <c r="Y30" s="44">
        <f>IFERROR(__xludf.DUMMYFUNCTION("""COMPUTED_VALUE"""),0.0)</f>
        <v>0</v>
      </c>
      <c r="Z30" s="44">
        <f>IFERROR(__xludf.DUMMYFUNCTION("""COMPUTED_VALUE"""),0.0)</f>
        <v>0</v>
      </c>
      <c r="AA30" s="44">
        <f>IFERROR(__xludf.DUMMYFUNCTION("""COMPUTED_VALUE"""),0.0)</f>
        <v>0</v>
      </c>
      <c r="AB30" s="44">
        <f>IFERROR(__xludf.DUMMYFUNCTION("""COMPUTED_VALUE"""),0.0)</f>
        <v>0</v>
      </c>
      <c r="AC30" s="44">
        <f>IFERROR(__xludf.DUMMYFUNCTION("""COMPUTED_VALUE"""),0.0)</f>
        <v>0</v>
      </c>
      <c r="AD30" s="45">
        <f>IFERROR(__xludf.DUMMYFUNCTION("""COMPUTED_VALUE"""),0.0)</f>
        <v>0</v>
      </c>
      <c r="AE30" s="46">
        <f>IFERROR(__xludf.DUMMYFUNCTION("""COMPUTED_VALUE"""),0.0)</f>
        <v>0</v>
      </c>
    </row>
    <row r="31">
      <c r="A31" s="79"/>
      <c r="B31" s="62"/>
      <c r="C31" s="51">
        <f>IFERROR(__xludf.DUMMYFUNCTION("""COMPUTED_VALUE"""),0.0)</f>
        <v>0</v>
      </c>
      <c r="D31" s="51">
        <f>IFERROR(__xludf.DUMMYFUNCTION("""COMPUTED_VALUE"""),0.0)</f>
        <v>0</v>
      </c>
      <c r="E31" s="52">
        <f>IFERROR(__xludf.DUMMYFUNCTION("""COMPUTED_VALUE"""),0.0)</f>
        <v>0</v>
      </c>
      <c r="F31" s="52">
        <f>IFERROR(__xludf.DUMMYFUNCTION("""COMPUTED_VALUE"""),0.0)</f>
        <v>0</v>
      </c>
      <c r="G31" s="53">
        <f>IFERROR(__xludf.DUMMYFUNCTION("""COMPUTED_VALUE"""),0.0)</f>
        <v>0</v>
      </c>
      <c r="H31" s="53">
        <f>IFERROR(__xludf.DUMMYFUNCTION("""COMPUTED_VALUE"""),0.0)</f>
        <v>0</v>
      </c>
      <c r="I31" s="54">
        <f>IFERROR(__xludf.DUMMYFUNCTION("""COMPUTED_VALUE"""),0.0)</f>
        <v>0</v>
      </c>
      <c r="J31" s="54">
        <f>IFERROR(__xludf.DUMMYFUNCTION("""COMPUTED_VALUE"""),0.0)</f>
        <v>0</v>
      </c>
      <c r="K31" s="55">
        <f>IFERROR(__xludf.DUMMYFUNCTION("""COMPUTED_VALUE"""),0.0)</f>
        <v>0</v>
      </c>
      <c r="L31" s="55">
        <f>IFERROR(__xludf.DUMMYFUNCTION("""COMPUTED_VALUE"""),0.0)</f>
        <v>0</v>
      </c>
      <c r="M31" s="56">
        <f>IFERROR(__xludf.DUMMYFUNCTION("""COMPUTED_VALUE"""),0.0)</f>
        <v>0</v>
      </c>
      <c r="N31" s="56">
        <f>IFERROR(__xludf.DUMMYFUNCTION("""COMPUTED_VALUE"""),0.0)</f>
        <v>0</v>
      </c>
      <c r="O31" s="57">
        <f>IFERROR(__xludf.DUMMYFUNCTION("""COMPUTED_VALUE"""),0.0)</f>
        <v>0</v>
      </c>
      <c r="P31" s="58">
        <f>IFERROR(__xludf.DUMMYFUNCTION("""COMPUTED_VALUE"""),0.0)</f>
        <v>0</v>
      </c>
      <c r="Q31" s="59">
        <f>IFERROR(__xludf.DUMMYFUNCTION("""COMPUTED_VALUE"""),0.0)</f>
        <v>0</v>
      </c>
      <c r="R31" s="42">
        <f>IFERROR(__xludf.DUMMYFUNCTION("""COMPUTED_VALUE"""),0.0)</f>
        <v>0</v>
      </c>
      <c r="S31" s="43">
        <f>IFERROR(__xludf.DUMMYFUNCTION("""COMPUTED_VALUE"""),0.0)</f>
        <v>0</v>
      </c>
      <c r="T31" s="44">
        <f>IFERROR(__xludf.DUMMYFUNCTION("""COMPUTED_VALUE"""),0.0)</f>
        <v>0</v>
      </c>
      <c r="U31" s="44">
        <f>IFERROR(__xludf.DUMMYFUNCTION("""COMPUTED_VALUE"""),0.0)</f>
        <v>0</v>
      </c>
      <c r="V31" s="44">
        <f>IFERROR(__xludf.DUMMYFUNCTION("""COMPUTED_VALUE"""),0.0)</f>
        <v>0</v>
      </c>
      <c r="W31" s="44">
        <f>IFERROR(__xludf.DUMMYFUNCTION("""COMPUTED_VALUE"""),0.0)</f>
        <v>0</v>
      </c>
      <c r="X31" s="44">
        <f>IFERROR(__xludf.DUMMYFUNCTION("""COMPUTED_VALUE"""),0.0)</f>
        <v>0</v>
      </c>
      <c r="Y31" s="44">
        <f>IFERROR(__xludf.DUMMYFUNCTION("""COMPUTED_VALUE"""),0.0)</f>
        <v>0</v>
      </c>
      <c r="Z31" s="44">
        <f>IFERROR(__xludf.DUMMYFUNCTION("""COMPUTED_VALUE"""),0.0)</f>
        <v>0</v>
      </c>
      <c r="AA31" s="44">
        <f>IFERROR(__xludf.DUMMYFUNCTION("""COMPUTED_VALUE"""),0.0)</f>
        <v>0</v>
      </c>
      <c r="AB31" s="44">
        <f>IFERROR(__xludf.DUMMYFUNCTION("""COMPUTED_VALUE"""),0.0)</f>
        <v>0</v>
      </c>
      <c r="AC31" s="44">
        <f>IFERROR(__xludf.DUMMYFUNCTION("""COMPUTED_VALUE"""),0.0)</f>
        <v>0</v>
      </c>
      <c r="AD31" s="45">
        <f>IFERROR(__xludf.DUMMYFUNCTION("""COMPUTED_VALUE"""),0.0)</f>
        <v>0</v>
      </c>
      <c r="AE31" s="46">
        <f>IFERROR(__xludf.DUMMYFUNCTION("""COMPUTED_VALUE"""),0.0)</f>
        <v>0</v>
      </c>
    </row>
    <row r="32">
      <c r="A32" s="79"/>
      <c r="B32" s="62"/>
      <c r="C32" s="51"/>
      <c r="D32" s="51"/>
      <c r="E32" s="52"/>
      <c r="F32" s="52"/>
      <c r="G32" s="53"/>
      <c r="H32" s="53"/>
      <c r="I32" s="54"/>
      <c r="J32" s="54"/>
      <c r="K32" s="55"/>
      <c r="L32" s="55"/>
      <c r="M32" s="56"/>
      <c r="N32" s="56"/>
      <c r="O32" s="57"/>
      <c r="P32" s="58"/>
      <c r="Q32" s="59"/>
      <c r="R32" s="42"/>
      <c r="S32" s="43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5"/>
      <c r="AE32" s="46"/>
    </row>
    <row r="33">
      <c r="A33" s="79"/>
      <c r="B33" s="62"/>
      <c r="C33" s="33"/>
      <c r="D33" s="51"/>
      <c r="E33" s="52"/>
      <c r="F33" s="52"/>
      <c r="G33" s="53"/>
      <c r="H33" s="53"/>
      <c r="I33" s="54"/>
      <c r="J33" s="54"/>
      <c r="K33" s="55"/>
      <c r="L33" s="55"/>
      <c r="M33" s="56"/>
      <c r="N33" s="56"/>
      <c r="O33" s="57"/>
      <c r="P33" s="58"/>
      <c r="Q33" s="59"/>
      <c r="R33" s="42"/>
      <c r="S33" s="43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5"/>
      <c r="AE33" s="46"/>
    </row>
    <row r="34">
      <c r="A34" s="80">
        <f>IFERROR(__xludf.DUMMYFUNCTION("IMPORTRANGE(""https://docs.google.com/spreadsheets/d/1mwyiwXXKO5XSjVo9SUOYf7bdBtYaI8n67a2lH9uGlww/edit?gid=1291141761#gid=1291141761"",""ResocontoCampus!A3:AE5"")"),46174.0)</f>
        <v>46174</v>
      </c>
      <c r="B34" s="64" t="str">
        <f>IFERROR(__xludf.DUMMYFUNCTION("""COMPUTED_VALUE"""),"CAMPUS_ESTIVO")</f>
        <v>CAMPUS_ESTIVO</v>
      </c>
      <c r="C34" s="65">
        <f>IFERROR(__xludf.DUMMYFUNCTION("""COMPUTED_VALUE"""),2.0)</f>
        <v>2</v>
      </c>
      <c r="D34" s="65">
        <f>IFERROR(__xludf.DUMMYFUNCTION("""COMPUTED_VALUE"""),12.0)</f>
        <v>12</v>
      </c>
      <c r="E34" s="66">
        <f>IFERROR(__xludf.DUMMYFUNCTION("""COMPUTED_VALUE"""),1.0)</f>
        <v>1</v>
      </c>
      <c r="F34" s="66">
        <f>IFERROR(__xludf.DUMMYFUNCTION("""COMPUTED_VALUE"""),7.0)</f>
        <v>7</v>
      </c>
      <c r="G34" s="67">
        <f>IFERROR(__xludf.DUMMYFUNCTION("""COMPUTED_VALUE"""),2.0)</f>
        <v>2</v>
      </c>
      <c r="H34" s="67">
        <f>IFERROR(__xludf.DUMMYFUNCTION("""COMPUTED_VALUE"""),5.0)</f>
        <v>5</v>
      </c>
      <c r="I34" s="68">
        <f>IFERROR(__xludf.DUMMYFUNCTION("""COMPUTED_VALUE"""),3.0)</f>
        <v>3</v>
      </c>
      <c r="J34" s="68">
        <f>IFERROR(__xludf.DUMMYFUNCTION("""COMPUTED_VALUE"""),10.0)</f>
        <v>10</v>
      </c>
      <c r="K34" s="69">
        <f>IFERROR(__xludf.DUMMYFUNCTION("""COMPUTED_VALUE"""),3.0)</f>
        <v>3</v>
      </c>
      <c r="L34" s="69">
        <f>IFERROR(__xludf.DUMMYFUNCTION("""COMPUTED_VALUE"""),7.0)</f>
        <v>7</v>
      </c>
      <c r="M34" s="70">
        <f>IFERROR(__xludf.DUMMYFUNCTION("""COMPUTED_VALUE"""),0.0)</f>
        <v>0</v>
      </c>
      <c r="N34" s="70">
        <f>IFERROR(__xludf.DUMMYFUNCTION("""COMPUTED_VALUE"""),0.0)</f>
        <v>0</v>
      </c>
      <c r="O34" s="71">
        <f>IFERROR(__xludf.DUMMYFUNCTION("""COMPUTED_VALUE"""),0.0)</f>
        <v>0</v>
      </c>
      <c r="P34" s="72">
        <f>IFERROR(__xludf.DUMMYFUNCTION("""COMPUTED_VALUE"""),0.0)</f>
        <v>0</v>
      </c>
      <c r="Q34" s="73">
        <f>IFERROR(__xludf.DUMMYFUNCTION("""COMPUTED_VALUE"""),0.0)</f>
        <v>0</v>
      </c>
      <c r="R34" s="74">
        <f>IFERROR(__xludf.DUMMYFUNCTION("""COMPUTED_VALUE"""),0.0)</f>
        <v>0</v>
      </c>
      <c r="S34" s="75">
        <f>IFERROR(__xludf.DUMMYFUNCTION("""COMPUTED_VALUE"""),0.0)</f>
        <v>0</v>
      </c>
      <c r="T34" s="76"/>
      <c r="U34" s="76"/>
      <c r="V34" s="76"/>
      <c r="W34" s="76"/>
      <c r="X34" s="76"/>
      <c r="Y34" s="76"/>
      <c r="Z34" s="76"/>
      <c r="AA34" s="76"/>
      <c r="AB34" s="76"/>
      <c r="AC34" s="76"/>
      <c r="AD34" s="77">
        <f>IFERROR(__xludf.DUMMYFUNCTION("""COMPUTED_VALUE"""),52.0)</f>
        <v>52</v>
      </c>
      <c r="AE34" s="78">
        <f>IFERROR(__xludf.DUMMYFUNCTION("""COMPUTED_VALUE"""),52.0)</f>
        <v>52</v>
      </c>
    </row>
    <row r="35">
      <c r="A35" s="79">
        <f>IFERROR(__xludf.DUMMYFUNCTION("""COMPUTED_VALUE"""),46174.0)</f>
        <v>46174</v>
      </c>
      <c r="B35" s="50" t="str">
        <f>IFERROR(__xludf.DUMMYFUNCTION("""COMPUTED_VALUE"""),"CAMPUS_DANZA")</f>
        <v>CAMPUS_DANZA</v>
      </c>
      <c r="C35" s="51">
        <f>IFERROR(__xludf.DUMMYFUNCTION("""COMPUTED_VALUE"""),0.0)</f>
        <v>0</v>
      </c>
      <c r="D35" s="51">
        <f>IFERROR(__xludf.DUMMYFUNCTION("""COMPUTED_VALUE"""),8.0)</f>
        <v>8</v>
      </c>
      <c r="E35" s="52">
        <f>IFERROR(__xludf.DUMMYFUNCTION("""COMPUTED_VALUE"""),0.0)</f>
        <v>0</v>
      </c>
      <c r="F35" s="52">
        <f>IFERROR(__xludf.DUMMYFUNCTION("""COMPUTED_VALUE"""),3.0)</f>
        <v>3</v>
      </c>
      <c r="G35" s="53">
        <f>IFERROR(__xludf.DUMMYFUNCTION("""COMPUTED_VALUE"""),0.0)</f>
        <v>0</v>
      </c>
      <c r="H35" s="53">
        <f>IFERROR(__xludf.DUMMYFUNCTION("""COMPUTED_VALUE"""),0.0)</f>
        <v>0</v>
      </c>
      <c r="I35" s="54">
        <f>IFERROR(__xludf.DUMMYFUNCTION("""COMPUTED_VALUE"""),1.0)</f>
        <v>1</v>
      </c>
      <c r="J35" s="54">
        <f>IFERROR(__xludf.DUMMYFUNCTION("""COMPUTED_VALUE"""),1.0)</f>
        <v>1</v>
      </c>
      <c r="K35" s="55">
        <f>IFERROR(__xludf.DUMMYFUNCTION("""COMPUTED_VALUE"""),0.0)</f>
        <v>0</v>
      </c>
      <c r="L35" s="55">
        <f>IFERROR(__xludf.DUMMYFUNCTION("""COMPUTED_VALUE"""),1.0)</f>
        <v>1</v>
      </c>
      <c r="M35" s="56">
        <f>IFERROR(__xludf.DUMMYFUNCTION("""COMPUTED_VALUE"""),0.0)</f>
        <v>0</v>
      </c>
      <c r="N35" s="56">
        <f>IFERROR(__xludf.DUMMYFUNCTION("""COMPUTED_VALUE"""),0.0)</f>
        <v>0</v>
      </c>
      <c r="O35" s="57">
        <f>IFERROR(__xludf.DUMMYFUNCTION("""COMPUTED_VALUE"""),0.0)</f>
        <v>0</v>
      </c>
      <c r="P35" s="58">
        <f>IFERROR(__xludf.DUMMYFUNCTION("""COMPUTED_VALUE"""),0.0)</f>
        <v>0</v>
      </c>
      <c r="Q35" s="59">
        <f>IFERROR(__xludf.DUMMYFUNCTION("""COMPUTED_VALUE"""),0.0)</f>
        <v>0</v>
      </c>
      <c r="R35" s="42">
        <f>IFERROR(__xludf.DUMMYFUNCTION("""COMPUTED_VALUE"""),0.0)</f>
        <v>0</v>
      </c>
      <c r="S35" s="43">
        <f>IFERROR(__xludf.DUMMYFUNCTION("""COMPUTED_VALUE"""),0.0)</f>
        <v>0</v>
      </c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5">
        <f>IFERROR(__xludf.DUMMYFUNCTION("""COMPUTED_VALUE"""),14.0)</f>
        <v>14</v>
      </c>
      <c r="AE35" s="46">
        <f>IFERROR(__xludf.DUMMYFUNCTION("""COMPUTED_VALUE"""),14.0)</f>
        <v>14</v>
      </c>
    </row>
    <row r="36">
      <c r="A36" s="79"/>
      <c r="B36" s="62"/>
      <c r="C36" s="51"/>
      <c r="D36" s="51"/>
      <c r="E36" s="52"/>
      <c r="F36" s="52"/>
      <c r="G36" s="53"/>
      <c r="H36" s="53"/>
      <c r="I36" s="54"/>
      <c r="J36" s="54"/>
      <c r="K36" s="55"/>
      <c r="L36" s="55"/>
      <c r="M36" s="56"/>
      <c r="N36" s="56"/>
      <c r="O36" s="57"/>
      <c r="P36" s="58"/>
      <c r="Q36" s="59"/>
      <c r="R36" s="42"/>
      <c r="S36" s="43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5">
        <f>IFERROR(__xludf.DUMMYFUNCTION("""COMPUTED_VALUE"""),0.0)</f>
        <v>0</v>
      </c>
      <c r="AE36" s="46">
        <f>IFERROR(__xludf.DUMMYFUNCTION("""COMPUTED_VALUE"""),0.0)</f>
        <v>0</v>
      </c>
    </row>
    <row r="37">
      <c r="A37" s="79"/>
      <c r="B37" s="62"/>
      <c r="C37" s="51"/>
      <c r="D37" s="51"/>
      <c r="E37" s="52"/>
      <c r="F37" s="52"/>
      <c r="G37" s="53"/>
      <c r="H37" s="53"/>
      <c r="I37" s="54"/>
      <c r="J37" s="54"/>
      <c r="K37" s="55"/>
      <c r="L37" s="55"/>
      <c r="M37" s="56"/>
      <c r="N37" s="56"/>
      <c r="O37" s="57"/>
      <c r="P37" s="58"/>
      <c r="Q37" s="59"/>
      <c r="R37" s="42"/>
      <c r="S37" s="43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5"/>
      <c r="AE37" s="46"/>
    </row>
    <row r="38">
      <c r="A38" s="79"/>
      <c r="B38" s="62"/>
      <c r="C38" s="51"/>
      <c r="D38" s="51"/>
      <c r="E38" s="52"/>
      <c r="F38" s="52"/>
      <c r="G38" s="53"/>
      <c r="H38" s="53"/>
      <c r="I38" s="54"/>
      <c r="J38" s="54"/>
      <c r="K38" s="55"/>
      <c r="L38" s="55"/>
      <c r="M38" s="56"/>
      <c r="N38" s="56"/>
      <c r="O38" s="57"/>
      <c r="P38" s="58"/>
      <c r="Q38" s="59"/>
      <c r="R38" s="42"/>
      <c r="S38" s="43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5"/>
      <c r="AE38" s="46"/>
    </row>
    <row r="39">
      <c r="A39" s="81"/>
      <c r="B39" s="82"/>
      <c r="C39" s="51"/>
      <c r="D39" s="83"/>
      <c r="E39" s="52"/>
      <c r="F39" s="52"/>
      <c r="G39" s="53"/>
      <c r="H39" s="53"/>
      <c r="I39" s="54"/>
      <c r="J39" s="54"/>
      <c r="K39" s="55"/>
      <c r="L39" s="55"/>
      <c r="M39" s="56"/>
      <c r="N39" s="56"/>
      <c r="O39" s="57"/>
      <c r="P39" s="58"/>
      <c r="Q39" s="59"/>
      <c r="R39" s="42"/>
      <c r="S39" s="43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5"/>
      <c r="AE39" s="46"/>
    </row>
    <row r="40">
      <c r="A40" s="79"/>
      <c r="B40" s="62"/>
      <c r="C40" s="51"/>
      <c r="D40" s="51"/>
      <c r="E40" s="52"/>
      <c r="F40" s="52"/>
      <c r="G40" s="53"/>
      <c r="H40" s="53"/>
      <c r="I40" s="54"/>
      <c r="J40" s="54"/>
      <c r="K40" s="55"/>
      <c r="L40" s="55"/>
      <c r="M40" s="56"/>
      <c r="N40" s="56"/>
      <c r="O40" s="57"/>
      <c r="P40" s="58"/>
      <c r="Q40" s="59"/>
      <c r="R40" s="42"/>
      <c r="S40" s="43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5"/>
      <c r="AE40" s="46"/>
    </row>
    <row r="41">
      <c r="A41" s="84"/>
      <c r="B41" s="85" t="s">
        <v>1</v>
      </c>
      <c r="C41" s="86">
        <f t="shared" ref="C41:AE41" si="1">SUM(C3:C40)</f>
        <v>15</v>
      </c>
      <c r="D41" s="86">
        <f t="shared" si="1"/>
        <v>102</v>
      </c>
      <c r="E41" s="87">
        <f t="shared" si="1"/>
        <v>16</v>
      </c>
      <c r="F41" s="87">
        <f t="shared" si="1"/>
        <v>73</v>
      </c>
      <c r="G41" s="88">
        <f t="shared" si="1"/>
        <v>2</v>
      </c>
      <c r="H41" s="88">
        <f t="shared" si="1"/>
        <v>41</v>
      </c>
      <c r="I41" s="89">
        <f t="shared" si="1"/>
        <v>23</v>
      </c>
      <c r="J41" s="89">
        <f t="shared" si="1"/>
        <v>135</v>
      </c>
      <c r="K41" s="90">
        <f t="shared" si="1"/>
        <v>8</v>
      </c>
      <c r="L41" s="90">
        <f t="shared" si="1"/>
        <v>40</v>
      </c>
      <c r="M41" s="91">
        <f t="shared" si="1"/>
        <v>0</v>
      </c>
      <c r="N41" s="91">
        <f t="shared" si="1"/>
        <v>0</v>
      </c>
      <c r="O41" s="92">
        <f t="shared" si="1"/>
        <v>100</v>
      </c>
      <c r="P41" s="93">
        <f t="shared" si="1"/>
        <v>7</v>
      </c>
      <c r="Q41" s="94">
        <f t="shared" si="1"/>
        <v>4</v>
      </c>
      <c r="R41" s="74">
        <f t="shared" si="1"/>
        <v>0</v>
      </c>
      <c r="S41" s="95">
        <f t="shared" si="1"/>
        <v>0</v>
      </c>
      <c r="T41" s="96">
        <f t="shared" si="1"/>
        <v>0</v>
      </c>
      <c r="U41" s="96">
        <f t="shared" si="1"/>
        <v>0</v>
      </c>
      <c r="V41" s="96">
        <f t="shared" si="1"/>
        <v>0</v>
      </c>
      <c r="W41" s="96">
        <f t="shared" si="1"/>
        <v>0</v>
      </c>
      <c r="X41" s="96">
        <f t="shared" si="1"/>
        <v>0</v>
      </c>
      <c r="Y41" s="96">
        <f t="shared" si="1"/>
        <v>0</v>
      </c>
      <c r="Z41" s="96">
        <f t="shared" si="1"/>
        <v>0</v>
      </c>
      <c r="AA41" s="96">
        <f t="shared" si="1"/>
        <v>0</v>
      </c>
      <c r="AB41" s="96">
        <f t="shared" si="1"/>
        <v>0</v>
      </c>
      <c r="AC41" s="96">
        <f t="shared" si="1"/>
        <v>0</v>
      </c>
      <c r="AD41" s="97">
        <f t="shared" si="1"/>
        <v>566</v>
      </c>
      <c r="AE41" s="98">
        <f t="shared" si="1"/>
        <v>566</v>
      </c>
      <c r="AF41" s="78"/>
    </row>
    <row r="42">
      <c r="A42" s="99"/>
      <c r="B42" s="100" t="s">
        <v>2</v>
      </c>
      <c r="C42" s="101">
        <f>C41*1.5</f>
        <v>22.5</v>
      </c>
      <c r="D42" s="101">
        <f>D41*1</f>
        <v>102</v>
      </c>
      <c r="E42" s="102">
        <f>E41*1.5</f>
        <v>24</v>
      </c>
      <c r="F42" s="102">
        <f>F41*1</f>
        <v>73</v>
      </c>
      <c r="G42" s="103">
        <f>G41*1.5</f>
        <v>3</v>
      </c>
      <c r="H42" s="103">
        <f>H41*1</f>
        <v>41</v>
      </c>
      <c r="I42" s="104">
        <f>I41*1.5</f>
        <v>34.5</v>
      </c>
      <c r="J42" s="104">
        <f>J41*1</f>
        <v>135</v>
      </c>
      <c r="K42" s="105">
        <f>K41*1.5</f>
        <v>12</v>
      </c>
      <c r="L42" s="105">
        <f>L41*1</f>
        <v>40</v>
      </c>
      <c r="M42" s="106">
        <f>M41*1.5</f>
        <v>0</v>
      </c>
      <c r="N42" s="106">
        <f t="shared" ref="N42:S42" si="2">N41*1</f>
        <v>0</v>
      </c>
      <c r="O42" s="107">
        <f t="shared" si="2"/>
        <v>100</v>
      </c>
      <c r="P42" s="108">
        <f t="shared" si="2"/>
        <v>7</v>
      </c>
      <c r="Q42" s="109">
        <f t="shared" si="2"/>
        <v>4</v>
      </c>
      <c r="R42" s="110">
        <f t="shared" si="2"/>
        <v>0</v>
      </c>
      <c r="S42" s="111">
        <f t="shared" si="2"/>
        <v>0</v>
      </c>
      <c r="T42" s="112">
        <f t="shared" ref="T42:Y42" si="3">T41*3</f>
        <v>0</v>
      </c>
      <c r="U42" s="112">
        <f t="shared" si="3"/>
        <v>0</v>
      </c>
      <c r="V42" s="112">
        <f t="shared" si="3"/>
        <v>0</v>
      </c>
      <c r="W42" s="112">
        <f t="shared" si="3"/>
        <v>0</v>
      </c>
      <c r="X42" s="112">
        <f t="shared" si="3"/>
        <v>0</v>
      </c>
      <c r="Y42" s="112">
        <f t="shared" si="3"/>
        <v>0</v>
      </c>
      <c r="Z42" s="112"/>
      <c r="AA42" s="112"/>
      <c r="AB42" s="112"/>
      <c r="AC42" s="112"/>
      <c r="AD42" s="113"/>
    </row>
    <row r="43" ht="21.75" customHeight="1">
      <c r="A43" s="99"/>
      <c r="B43" s="100" t="s">
        <v>3</v>
      </c>
      <c r="C43" s="114">
        <f>C42+D42</f>
        <v>124.5</v>
      </c>
      <c r="E43" s="114">
        <f>E42+F42</f>
        <v>97</v>
      </c>
      <c r="G43" s="114">
        <f>G42+H42</f>
        <v>44</v>
      </c>
      <c r="I43" s="114">
        <f>I42+J42</f>
        <v>169.5</v>
      </c>
      <c r="K43" s="114">
        <f>K42+L42</f>
        <v>52</v>
      </c>
      <c r="M43" s="114">
        <f>M42+N42</f>
        <v>0</v>
      </c>
      <c r="O43" s="99">
        <f t="shared" ref="O43:Y43" si="4">O42</f>
        <v>100</v>
      </c>
      <c r="P43" s="99">
        <f t="shared" si="4"/>
        <v>7</v>
      </c>
      <c r="Q43" s="99">
        <f t="shared" si="4"/>
        <v>4</v>
      </c>
      <c r="R43" s="99">
        <f t="shared" si="4"/>
        <v>0</v>
      </c>
      <c r="S43" s="99">
        <f t="shared" si="4"/>
        <v>0</v>
      </c>
      <c r="T43" s="99">
        <f t="shared" si="4"/>
        <v>0</v>
      </c>
      <c r="U43" s="99">
        <f t="shared" si="4"/>
        <v>0</v>
      </c>
      <c r="V43" s="99">
        <f t="shared" si="4"/>
        <v>0</v>
      </c>
      <c r="W43" s="99">
        <f t="shared" si="4"/>
        <v>0</v>
      </c>
      <c r="X43" s="99">
        <f t="shared" si="4"/>
        <v>0</v>
      </c>
      <c r="Y43" s="99">
        <f t="shared" si="4"/>
        <v>0</v>
      </c>
      <c r="Z43" s="114"/>
      <c r="AA43" s="114"/>
      <c r="AB43" s="114"/>
      <c r="AC43" s="114"/>
    </row>
    <row r="44" ht="25.5" customHeight="1">
      <c r="A44" s="115" t="s">
        <v>4</v>
      </c>
      <c r="C44" s="116">
        <f>SUM(C43+($AE41/5))</f>
        <v>237.7</v>
      </c>
      <c r="E44" s="116">
        <f>SUM(E43+($AE41/5))</f>
        <v>210.2</v>
      </c>
      <c r="G44" s="116">
        <f>SUM(G43+($AE41/5))</f>
        <v>157.2</v>
      </c>
      <c r="I44" s="116">
        <f>SUM(I43+($AE41/5))</f>
        <v>282.7</v>
      </c>
      <c r="K44" s="116">
        <f>SUM(K43+($AE41/5))</f>
        <v>165.2</v>
      </c>
      <c r="M44" s="117">
        <f>SUM(M43+($AE41/6))</f>
        <v>94.33333333</v>
      </c>
      <c r="O44" s="118"/>
      <c r="R44" s="118"/>
      <c r="S44" s="118"/>
      <c r="T44" s="118"/>
      <c r="U44" s="118"/>
      <c r="V44" s="118"/>
      <c r="W44" s="118"/>
      <c r="X44" s="118"/>
      <c r="Y44" s="118"/>
      <c r="Z44" s="118"/>
      <c r="AA44" s="118"/>
      <c r="AB44" s="118"/>
      <c r="AC44" s="118"/>
    </row>
    <row r="45" ht="29.25" customHeight="1">
      <c r="A45" s="119" t="s">
        <v>5</v>
      </c>
      <c r="C45" s="120">
        <f>CEILING(C44+($AF41/8),1)</f>
        <v>238</v>
      </c>
      <c r="E45" s="120">
        <f>CEILING(E44+($AF41/8),1)</f>
        <v>211</v>
      </c>
      <c r="G45" s="120">
        <f>CEILING(G44+($AF41/8),1)</f>
        <v>158</v>
      </c>
      <c r="I45" s="120">
        <f>CEILING(I44+($AF41/8),1)</f>
        <v>283</v>
      </c>
      <c r="K45" s="120">
        <f>CEILING(K44+($AF41/8),1)</f>
        <v>166</v>
      </c>
      <c r="M45" s="120">
        <f>SUM(M44+($AF41/8))</f>
        <v>94.33333333</v>
      </c>
      <c r="O45" s="120">
        <f t="shared" ref="O45:Q45" si="5">CEILING(O43+($AF41/8),1)</f>
        <v>100</v>
      </c>
      <c r="P45" s="120">
        <f t="shared" si="5"/>
        <v>7</v>
      </c>
      <c r="Q45" s="120">
        <f t="shared" si="5"/>
        <v>4</v>
      </c>
      <c r="R45" s="121"/>
      <c r="S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</row>
    <row r="46">
      <c r="A46" s="122" t="s">
        <v>6</v>
      </c>
      <c r="B46" s="123" t="s">
        <v>7</v>
      </c>
      <c r="C46" s="123" t="s">
        <v>8</v>
      </c>
      <c r="E46" s="123" t="s">
        <v>9</v>
      </c>
      <c r="G46" s="123" t="s">
        <v>10</v>
      </c>
      <c r="I46" s="123" t="s">
        <v>11</v>
      </c>
      <c r="AF46" s="123"/>
    </row>
    <row r="47">
      <c r="A47" s="124"/>
      <c r="B47" s="125" t="s">
        <v>12</v>
      </c>
      <c r="C47" s="126" t="s">
        <v>13</v>
      </c>
      <c r="L47" s="126"/>
      <c r="M47" s="126"/>
      <c r="N47" s="126"/>
      <c r="O47" s="126"/>
      <c r="P47" s="127"/>
      <c r="Q47" s="127"/>
      <c r="R47" s="128"/>
      <c r="S47" s="128"/>
      <c r="T47" s="128"/>
      <c r="U47" s="128"/>
      <c r="V47" s="128"/>
      <c r="W47" s="128"/>
      <c r="X47" s="128"/>
      <c r="Y47" s="128"/>
      <c r="Z47" s="128"/>
      <c r="AA47" s="128"/>
      <c r="AB47" s="128"/>
      <c r="AC47" s="128"/>
      <c r="AD47" s="128"/>
      <c r="AE47" s="128"/>
      <c r="AF47" s="128"/>
    </row>
    <row r="48">
      <c r="A48" s="124"/>
      <c r="B48" s="125" t="s">
        <v>14</v>
      </c>
      <c r="C48" s="126" t="s">
        <v>15</v>
      </c>
      <c r="L48" s="126"/>
      <c r="M48" s="126"/>
      <c r="N48" s="126"/>
      <c r="O48" s="126"/>
      <c r="P48" s="127"/>
      <c r="Q48" s="127"/>
      <c r="R48" s="128"/>
      <c r="S48" s="128"/>
      <c r="T48" s="128"/>
      <c r="U48" s="128"/>
      <c r="V48" s="128"/>
      <c r="W48" s="128"/>
      <c r="X48" s="128"/>
      <c r="Y48" s="128"/>
      <c r="Z48" s="128"/>
      <c r="AA48" s="128"/>
      <c r="AB48" s="128"/>
      <c r="AC48" s="128"/>
      <c r="AD48" s="128"/>
      <c r="AE48" s="128"/>
      <c r="AF48" s="128"/>
    </row>
  </sheetData>
  <mergeCells count="37">
    <mergeCell ref="C1:D1"/>
    <mergeCell ref="E1:F1"/>
    <mergeCell ref="G1:H1"/>
    <mergeCell ref="I1:J1"/>
    <mergeCell ref="K1:L1"/>
    <mergeCell ref="M1:N1"/>
    <mergeCell ref="AF3:AF40"/>
    <mergeCell ref="A44:B44"/>
    <mergeCell ref="C44:D44"/>
    <mergeCell ref="A45:B45"/>
    <mergeCell ref="C45:D45"/>
    <mergeCell ref="C46:D46"/>
    <mergeCell ref="E44:F44"/>
    <mergeCell ref="G44:H44"/>
    <mergeCell ref="E45:F45"/>
    <mergeCell ref="G45:H45"/>
    <mergeCell ref="E46:F46"/>
    <mergeCell ref="G46:H46"/>
    <mergeCell ref="C47:K47"/>
    <mergeCell ref="C48:K48"/>
    <mergeCell ref="I44:J44"/>
    <mergeCell ref="K44:L44"/>
    <mergeCell ref="I45:J45"/>
    <mergeCell ref="K45:L45"/>
    <mergeCell ref="M45:N45"/>
    <mergeCell ref="M44:N44"/>
    <mergeCell ref="O44:Q44"/>
    <mergeCell ref="S45:T45"/>
    <mergeCell ref="AD45:AF45"/>
    <mergeCell ref="I46:AE46"/>
    <mergeCell ref="AD42:AF44"/>
    <mergeCell ref="C43:D43"/>
    <mergeCell ref="E43:F43"/>
    <mergeCell ref="G43:H43"/>
    <mergeCell ref="I43:J43"/>
    <mergeCell ref="K43:L43"/>
    <mergeCell ref="M43:N43"/>
  </mergeCells>
  <dataValidations>
    <dataValidation type="custom" allowBlank="1" showDropDown="1" showErrorMessage="1" sqref="A3:A10 A12:A40 A42:A43 A47:A48">
      <formula1>OR(NOT(ISERROR(DATEVALUE(A3))), AND(ISNUMBER(A3), LEFT(CELL("format", A3))="D"))</formula1>
    </dataValidation>
  </dataValidations>
  <hyperlinks>
    <hyperlink display="WS_BANANA" location="null!A1" ref="B3"/>
    <hyperlink display="WS_TIMOR" location="null!A1" ref="B4"/>
    <hyperlink display="WS_LULU" location="null!A1" ref="B5"/>
    <hyperlink display="WS_KUMO" location="null!A1" ref="B6"/>
    <hyperlink display="WS_LELI" location="null!A1" ref="B7"/>
    <hyperlink display="WS_DEBORAHESPOSITO" location="null!A1" ref="B8"/>
    <hyperlink display="WS_DEANGELIS" location="null!A1" ref="B9"/>
    <hyperlink display="WS_NEREA" location="null!A1" ref="B10"/>
    <hyperlink display="WS_FESTA NATALE" location="null!A1" ref="B11"/>
    <hyperlink display="SOLO SERATA_FESTA NATALE" location="null!A1" ref="B12"/>
    <hyperlink display="WS_ALESSIOCAVALIERE" location="null!A1" ref="B13"/>
    <hyperlink display="WS_EMANUELLO" location="null!A1" ref="B14"/>
    <hyperlink display="OC_ANAHITA" location="null!A1" ref="B15"/>
    <hyperlink display="WS_DIA_EN_CUBA" location="null!A1" ref="B16"/>
    <hyperlink display="OC_AMBERALDRIN" location="null!A1" ref="B17"/>
    <hyperlink display="WS_JASMINE_ANDRIANO" location="null!A1" ref="B18"/>
    <hyperlink display="DIM_19OTT25" location="null!A1" ref="B24"/>
    <hyperlink display="DIM_09NOV25" location="null!A1" ref="B25"/>
    <hyperlink display="DIM_23NOV25" location="null!A1" ref="B26"/>
    <hyperlink display="CAMPUS_ESTIVO" location="null!A1" ref="B34"/>
    <hyperlink display="CAMPUS_DANZA" location="null!A1" ref="B35"/>
  </hyperlink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2"/>
  <legacyDrawing r:id="rId3"/>
</worksheet>
</file>