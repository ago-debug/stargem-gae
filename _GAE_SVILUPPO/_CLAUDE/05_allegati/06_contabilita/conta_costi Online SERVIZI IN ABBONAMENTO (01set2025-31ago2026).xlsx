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zi_scadenze" sheetId="1" r:id="rId5"/>
    <sheet state="visible" name="Plugin studio-gem.it-Attivi" sheetId="2" r:id="rId6"/>
    <sheet state="visible" name="Plugin Calendario.studio-gem.it" sheetId="3" r:id="rId7"/>
    <sheet state="visible" name="elenchi" sheetId="4" r:id="rId8"/>
    <sheet state="visible" name="scadenze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tc={0c1be10f-8296-4bdc-b204-6d3e3573df36}</author>
    <author>tc={0f3ba601-2a0f-4be3-9a12-d8eaa3495583}</author>
    <author>tc={1f2ffae0-ae5d-4fad-8df2-70390414bd6c}</author>
    <author>tc={2e069bbc-e3e3-4a31-83e5-971c85eeec03}</author>
    <author>tc={2e1c4c48-ca32-4e35-bd67-25775f1fa7de}</author>
    <author>tc={34c0bfe9-69b0-4e73-951e-074e25959f9f}</author>
    <author>tc={3d77c28d-7a34-48d9-ba13-033e8f85eca6}</author>
    <author>tc={650fba93-b868-4d46-bd58-ac57e98d8de1}</author>
    <author>tc={6d565e2c-4b36-4358-bd58-b6425adfbf9d}</author>
    <author>tc={6e252f12-3951-48e7-836a-435fe8e18782}</author>
    <author>tc={74b263db-972d-4d31-bb54-37454ff82695}</author>
    <author>tc={81343b6b-0de7-4ea3-b403-404f22136eac}</author>
    <author>tc={8bc8c621-02a3-4814-8e88-b71d5ba516ee}</author>
    <author>tc={94aaae07-d9c1-48a3-8197-808a937a4af4}</author>
    <author>tc={976343c0-19c5-4705-8e28-531463bc5839}</author>
    <author>tc={a87e9987-2816-4470-8a17-53df2b70501a}</author>
    <author>tc={be0911b9-5b32-40e0-bf32-54095168f47a}</author>
    <author>tc={c5775f92-9842-4469-ae3f-e283a7fe3594}</author>
    <author>tc={c88727c2-2bf1-46ee-ae05-377d2d8d1960}</author>
    <author>tc={c9ce40b8-69de-49c7-84ab-2e8c2d1f6693}</author>
    <author>tc={e1a134da-20b7-45be-893a-8e80d0beb488}</author>
    <author>tc={e2d0dd99-2fef-42a1-9635-717d4a74546c}</author>
    <author>tc={f4483e88-e186-44ce-b35f-fde29243efa7}</author>
    <author>tc={f98641b9-1c69-462e-83a3-45ba1f3b7ab3}</author>
  </authors>
  <commentList>
    <comment authorId="0" ref="I18">
      <text>
        <t xml:space="preserve">3,35 dollari</t>
      </text>
    </comment>
    <comment authorId="0" ref="J19">
      <text>
        <t xml:space="preserve">10 dollari</t>
      </text>
    </comment>
    <comment authorId="0" ref="I37">
      <text>
        <t xml:space="preserve">in dollari </t>
      </text>
    </comment>
    <comment authorId="1" xr:uid="{0c1be10f-8296-4bdc-b204-6d3e3573df36}" ref="A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chiudere account e spostare dominio su Ionos
</t>
      </text>
    </comment>
    <comment authorId="2" xr:uid="{0f3ba601-2a0f-4be3-9a12-d8eaa3495583}" ref="F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Paypal
</t>
      </text>
    </comment>
    <comment authorId="3" xr:uid="{1f2ffae0-ae5d-4fad-8df2-70390414bd6c}" ref="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@gaechacha@gmail.com ciao, mi recuperi la fattura per favore ?
Attività assegnata a gaechacha@gmail.com
</t>
      </text>
    </comment>
    <comment authorId="4" xr:uid="{2e069bbc-e3e3-4a31-83e5-971c85eeec03}" ref="A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chiudere l'abbonamento
</t>
      </text>
    </comment>
    <comment authorId="5" xr:uid="{2e1c4c48-ca32-4e35-bd67-25775f1fa7de}" ref="F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Paypal
</t>
      </text>
    </comment>
    <comment authorId="6" xr:uid="{34c0bfe9-69b0-4e73-951e-074e25959f9f}" ref="F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Soldo
</t>
      </text>
    </comment>
    <comment authorId="7" xr:uid="{3d77c28d-7a34-48d9-ba13-033e8f85eca6}" ref="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Soldo
</t>
      </text>
    </comment>
    <comment authorId="8" xr:uid="{650fba93-b868-4d46-bd58-ac57e98d8de1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@gaechacha@gmail.com verificare
Attività assegnata a gaechacha@gmail.com
</t>
      </text>
    </comment>
    <comment authorId="9" xr:uid="{6d565e2c-4b36-4358-bd58-b6425adfbf9d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chiudere account
Reply:
	fatto
</t>
      </text>
    </comment>
    <comment authorId="10" xr:uid="{6e252f12-3951-48e7-836a-435fe8e18782}" ref="S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@gaechacha@gmail.com mi servono le fatture
Attività assegnata a gaechacha@gmail.com
Reply:
	fatto
</t>
      </text>
    </comment>
    <comment authorId="11" xr:uid="{74b263db-972d-4d31-bb54-37454ff82695}" ref="F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Paypal
</t>
      </text>
    </comment>
    <comment authorId="12" xr:uid="{81343b6b-0de7-4ea3-b403-404f22136eac}" ref="A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verificare e chiudere
</t>
      </text>
    </comment>
    <comment authorId="13" xr:uid="{8bc8c621-02a3-4814-8e88-b71d5ba516ee}" ref="A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@massimiliano@studio-gem.it @ammstudio15@gmail.com  chiudere
Attività assegnata a massimiliano@studio-gem.it
</t>
      </text>
    </comment>
    <comment authorId="14" xr:uid="{94aaae07-d9c1-48a3-8197-808a937a4af4}" ref="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chiudere l'abbonamento
</t>
      </text>
    </comment>
    <comment authorId="15" xr:uid="{976343c0-19c5-4705-8e28-531463bc5839}" ref="A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oggi ho trasferito il dominio
</t>
      </text>
    </comment>
    <comment authorId="16" xr:uid="{a87e9987-2816-4470-8a17-53df2b70501a}" ref="B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@gaechacha@gmail.com verificare l'abbonamento se è attivo
Attività assegnata a gaechacha@gmail.com
</t>
      </text>
    </comment>
    <comment authorId="17" xr:uid="{be0911b9-5b32-40e0-bf32-54095168f47a}" ref="A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@ammstudio15@gmail.com avvisare Ago di chiudere l'abbonamento
</t>
      </text>
    </comment>
    <comment authorId="18" xr:uid="{c5775f92-9842-4469-ae3f-e283a7fe3594}" ref="A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chiudere una volta passati al gestionale
</t>
      </text>
    </comment>
    <comment authorId="19" xr:uid="{c88727c2-2bf1-46ee-ae05-377d2d8d1960}" ref="F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Paypal
</t>
      </text>
    </comment>
    <comment authorId="20" xr:uid="{c9ce40b8-69de-49c7-84ab-2e8c2d1f6693}" ref="A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@gaechacha@gmail.com mi serve la fattura
Attività assegnata a gaechacha@gmail.com
Reply:
	fatto
</t>
      </text>
    </comment>
    <comment authorId="21" xr:uid="{e1a134da-20b7-45be-893a-8e80d0beb488}" ref="A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chiudere account
</t>
      </text>
    </comment>
    <comment authorId="22" xr:uid="{e2d0dd99-2fef-42a1-9635-717d4a74546c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monitorare la spesa mensile e valutare se cambiare abbonamento o migrare sul gestionale
</t>
      </text>
    </comment>
    <comment authorId="23" xr:uid="{f4483e88-e186-44ce-b35f-fde29243efa7}" ref="A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chiudere account
</t>
      </text>
    </comment>
    <comment authorId="24" xr:uid="{f98641b9-1c69-462e-83a3-45ba1f3b7ab3}" ref="F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B/B Poste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tc={fa37eb63-cf5e-4ede-9580-ec7eb87ddb77}</author>
  </authors>
  <commentList>
    <comment authorId="0" xr:uid="{fa37eb63-cf5e-4ede-9580-ec7eb87ddb77}" ref="F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 SANTO inserire le date di attivazione e scadenza di ogni servizio
Reply:
	l'unica data è quello di un plugin a luglio , le altre o sono pre covid o non si riesce a risalire alla data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tc={43d4b899-83df-48b3-ab7a-f4e7b2e4d84d}</author>
  </authors>
  <commentList>
    <comment authorId="0" xr:uid="{43d4b899-83df-48b3-ab7a-f4e7b2e4d84d}" ref="H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 SANTO inserire le date di attivazione e scadenza di ogni servizio
Reply:
	l'unica data è quello di un plugin a luglio , le altre o sono pre covid o non si riesce a risalire alla data
</t>
      </text>
    </comment>
  </commentList>
</comments>
</file>

<file path=xl/sharedStrings.xml><?xml version="1.0" encoding="utf-8"?>
<sst xmlns="http://schemas.openxmlformats.org/spreadsheetml/2006/main" count="651" uniqueCount="390">
  <si>
    <t>costi online SERVIZI IN ABBONAMENTO (01set2025-31ago2026)</t>
  </si>
  <si>
    <t>Legenda:</t>
  </si>
  <si>
    <t>chiudere</t>
  </si>
  <si>
    <t>richiesta fattura</t>
  </si>
  <si>
    <t>chiuso/non attivo</t>
  </si>
  <si>
    <t>da fare</t>
  </si>
  <si>
    <t xml:space="preserve">TIPOLOGIA DI SERVIZIO </t>
  </si>
  <si>
    <t xml:space="preserve">DESCRIZIONE </t>
  </si>
  <si>
    <t>RICORRENZA</t>
  </si>
  <si>
    <t>RINNOVO</t>
  </si>
  <si>
    <t>SERVIZIO</t>
  </si>
  <si>
    <t>METODO di Pagamento</t>
  </si>
  <si>
    <t>DATA ATTIVAZIONE</t>
  </si>
  <si>
    <t xml:space="preserve">DATA SCADENZA </t>
  </si>
  <si>
    <t>IMPORTO MESE</t>
  </si>
  <si>
    <t>SPESA ANNUALE
01set25-31ago26</t>
  </si>
  <si>
    <t>SPESA VARIABILE</t>
  </si>
  <si>
    <t xml:space="preserve">SPESA PREVENTIVATA ANNUALE </t>
  </si>
  <si>
    <t>SPESA RICARICA</t>
  </si>
  <si>
    <t>DATA RICARICA</t>
  </si>
  <si>
    <t>CREDITO</t>
  </si>
  <si>
    <t>DATA CREDITO</t>
  </si>
  <si>
    <t xml:space="preserve">NOTE </t>
  </si>
  <si>
    <t>link</t>
  </si>
  <si>
    <t>Dove recuperare le fatture</t>
  </si>
  <si>
    <t>CENTRO DI COSTO 
(prog contabilità)</t>
  </si>
  <si>
    <t>1 PASSWORD</t>
  </si>
  <si>
    <t>ANNUALE</t>
  </si>
  <si>
    <t>AUTOMATICO</t>
  </si>
  <si>
    <t>ATTIVO</t>
  </si>
  <si>
    <t>Carta Soldo</t>
  </si>
  <si>
    <t xml:space="preserve">Canone servizio </t>
  </si>
  <si>
    <t>AMAZON</t>
  </si>
  <si>
    <t xml:space="preserve">Amazon prime </t>
  </si>
  <si>
    <t>Dove recuperare le fatture di Prime di Amazon https://www.amazon.it/mc/payments?ref=mc_am_ph&amp;ms3_c=25695d3b7cd7e8b1dbe5d9259cc43461</t>
  </si>
  <si>
    <t xml:space="preserve">APPLE gae + eli </t>
  </si>
  <si>
    <t>backup iPhone gae family</t>
  </si>
  <si>
    <t>MENSILE</t>
  </si>
  <si>
    <t>Postepay</t>
  </si>
  <si>
    <t>dal 02 feb 2026 passerà da €29,99 a €9,99</t>
  </si>
  <si>
    <t>ARUBA FATTURAZIONE</t>
  </si>
  <si>
    <t>Paypal</t>
  </si>
  <si>
    <t xml:space="preserve">ARUBA PEC </t>
  </si>
  <si>
    <t xml:space="preserve">ARUBA PEC MANTICE </t>
  </si>
  <si>
    <t xml:space="preserve">ATHENA </t>
  </si>
  <si>
    <t>Gestionale</t>
  </si>
  <si>
    <t>B/B Poste</t>
  </si>
  <si>
    <t>BITRIX24</t>
  </si>
  <si>
    <t xml:space="preserve">CRM abbonamento mensile - tra tre mesi faremo l'annuale </t>
  </si>
  <si>
    <t>Bancomat Poste</t>
  </si>
  <si>
    <t>se paghiamo annualmente  1188€, mensile 124€</t>
  </si>
  <si>
    <t>BOOKLY</t>
  </si>
  <si>
    <t xml:space="preserve">Sms a consumo </t>
  </si>
  <si>
    <t xml:space="preserve">ricarica automatica 25€ , più o meno 4/5 al mese </t>
  </si>
  <si>
    <t xml:space="preserve">Servizio sms </t>
  </si>
  <si>
    <t>CANVA</t>
  </si>
  <si>
    <t>CHAT GPT</t>
  </si>
  <si>
    <t>CLAUDE di Antropic (AI)</t>
  </si>
  <si>
    <t>chat AI per analisi e molto altro</t>
  </si>
  <si>
    <t>disdire appena terminiamo il gestionale</t>
  </si>
  <si>
    <t>https://claude.ai/settings/billing</t>
  </si>
  <si>
    <t>Claude di Anthropic</t>
  </si>
  <si>
    <t>EVERNOTE GAE</t>
  </si>
  <si>
    <t>verificare l'abbonamento per sospenderlo. nel caso l'abbomaneto passerà a €79,90 all'anno</t>
  </si>
  <si>
    <t>primo anno era scontato pagato 59€</t>
  </si>
  <si>
    <t>Evernote</t>
  </si>
  <si>
    <t>FIGMA</t>
  </si>
  <si>
    <t>per creare Layout delle pagine internet</t>
  </si>
  <si>
    <t>NON ATTIVO</t>
  </si>
  <si>
    <t>chiuso il 14mar2026</t>
  </si>
  <si>
    <t>https://www.figma.com/files/team/1582871173565663735/team-admin-console/billing/invoices?fuid=1582871171361721723</t>
  </si>
  <si>
    <t>Figma</t>
  </si>
  <si>
    <t xml:space="preserve">FLICKR </t>
  </si>
  <si>
    <t>archivio foto Gae ed Eli (account gaechacha@gmail.com)</t>
  </si>
  <si>
    <r>
      <rPr>
        <rFont val="Arial"/>
        <color rgb="FF1155CC"/>
        <u/>
      </rPr>
      <t>GitHub.com</t>
    </r>
    <r>
      <rPr>
        <rFont val="Arial"/>
      </rPr>
      <t xml:space="preserve"> gae </t>
    </r>
  </si>
  <si>
    <t>GitHub Developer Plan -
Month</t>
  </si>
  <si>
    <r>
      <rPr>
        <rFont val="Arial"/>
        <color rgb="FF1155CC"/>
        <u/>
      </rPr>
      <t>GitHub.com</t>
    </r>
    <r>
      <rPr>
        <rFont val="Arial"/>
      </rPr>
      <t xml:space="preserve"> gae (Copilot)</t>
    </r>
  </si>
  <si>
    <r>
      <rPr>
        <rFont val="Arial"/>
      </rPr>
      <t xml:space="preserve">AI per Visual Studio Code (gestire API e script con Python)
</t>
    </r>
    <r>
      <rPr>
        <rFont val="Arial"/>
        <color rgb="FF1155CC"/>
        <u/>
      </rPr>
      <t>https://github.com/settings/billing/payment_information</t>
    </r>
  </si>
  <si>
    <t>Your 30-day Copilot Pro trial is now active.</t>
  </si>
  <si>
    <t>https://github.com/settings/billing/payment_information</t>
  </si>
  <si>
    <t>GitHub</t>
  </si>
  <si>
    <t>GOOGLE AI PRO Gae</t>
  </si>
  <si>
    <t>Google AI Pro (2 TB) https://gemini.google.com/app?hl=it    L'assistente è collegato ad Antigravity</t>
  </si>
  <si>
    <t>Google ASD</t>
  </si>
  <si>
    <t xml:space="preserve">GOOGLE DRIVE ELISA </t>
  </si>
  <si>
    <t xml:space="preserve">soazio su drive aggiuntivo </t>
  </si>
  <si>
    <t xml:space="preserve">GOOGLE DRIVE GAE </t>
  </si>
  <si>
    <t>spazio su drive aggiuntivo</t>
  </si>
  <si>
    <t>verificare se è stato integrato nell'abbonamento AI PRO Gae</t>
  </si>
  <si>
    <t>GOOGLE DRIVE studiogem15</t>
  </si>
  <si>
    <t>abbonamento 2TB</t>
  </si>
  <si>
    <t>Grok AI</t>
  </si>
  <si>
    <t>nuova AI del gruppo X, graturita per 3giorni poi a pagamento</t>
  </si>
  <si>
    <t xml:space="preserve">IONOS </t>
  </si>
  <si>
    <r>
      <rPr>
        <rFont val="Arial"/>
      </rPr>
      <t xml:space="preserve">Server Vps, ho traferito il dominio </t>
    </r>
    <r>
      <rPr>
        <rFont val="Arial"/>
        <color rgb="FF1155CC"/>
        <u/>
      </rPr>
      <t>studio-gem.it</t>
    </r>
    <r>
      <rPr>
        <rFont val="Arial"/>
      </rPr>
      <t xml:space="preserve"> e ho comprato </t>
    </r>
    <r>
      <rPr>
        <rFont val="Arial"/>
        <color rgb="FF1155CC"/>
        <u/>
      </rPr>
      <t>stargem.it</t>
    </r>
    <r>
      <rPr>
        <rFont val="Arial"/>
      </rPr>
      <t xml:space="preserve"> il 6apr2026</t>
    </r>
  </si>
  <si>
    <r>
      <rPr>
        <rFont val="Arial"/>
      </rPr>
      <t xml:space="preserve">oggi ho trasferito anche il dominio </t>
    </r>
    <r>
      <rPr>
        <rFont val="Arial"/>
        <color rgb="FF1155CC"/>
        <u/>
      </rPr>
      <t>studio-gem.it</t>
    </r>
    <r>
      <rPr>
        <rFont val="Arial"/>
      </rPr>
      <t xml:space="preserve"> e comprato </t>
    </r>
    <r>
      <rPr>
        <rFont val="Arial"/>
        <color rgb="FF1155CC"/>
        <u/>
      </rPr>
      <t>stargem.it</t>
    </r>
  </si>
  <si>
    <t>ITUNES</t>
  </si>
  <si>
    <t xml:space="preserve">questo è un servizio o un acquisto che hai fatto su ITUNES , con la tua postepay , per due mesi poi si è interrotto . non so cosa sia , dovresti verificarlo  </t>
  </si>
  <si>
    <t>UNA-TANTUM</t>
  </si>
  <si>
    <t xml:space="preserve">META </t>
  </si>
  <si>
    <t xml:space="preserve">Servizi di promozione a consumo ( sponsorizzate Facebook - Instagram ) </t>
  </si>
  <si>
    <t>MANUALE</t>
  </si>
  <si>
    <t>speso la scorsa stagione 1504€</t>
  </si>
  <si>
    <t>serivizi di promozione</t>
  </si>
  <si>
    <t xml:space="preserve">META SPUNTA BLU </t>
  </si>
  <si>
    <t xml:space="preserve">spunta blu su Instagram </t>
  </si>
  <si>
    <t xml:space="preserve">Ogni 20 del mese </t>
  </si>
  <si>
    <t>Nord VPN</t>
  </si>
  <si>
    <t>servizio attivato sul cell gae e paga lui con carta IngDir €59,99</t>
  </si>
  <si>
    <t>Notion Gae</t>
  </si>
  <si>
    <t>organizza appunti, note con AI</t>
  </si>
  <si>
    <t>OPEN.AI</t>
  </si>
  <si>
    <r>
      <rPr>
        <rFont val="Arial"/>
      </rPr>
      <t xml:space="preserve">collegamento a Wosnic </t>
    </r>
    <r>
      <rPr>
        <rFont val="Arial"/>
        <color rgb="FF1155CC"/>
        <u/>
      </rPr>
      <t>platform.openai.com</t>
    </r>
    <r>
      <rPr>
        <rFont val="Arial"/>
      </rPr>
      <t xml:space="preserve"> ( </t>
    </r>
    <r>
      <rPr>
        <rFont val="Arial"/>
        <color rgb="FF1155CC"/>
        <u/>
      </rPr>
      <t>https://calendario.studio-gem.it/</t>
    </r>
    <r>
      <rPr>
        <rFont val="Arial"/>
      </rPr>
      <t xml:space="preserve"> ) </t>
    </r>
  </si>
  <si>
    <t>https://platform.openai.com/</t>
  </si>
  <si>
    <t>OPTISIGNS</t>
  </si>
  <si>
    <t>nessun collegamento a metodo di pagamento , a consumo</t>
  </si>
  <si>
    <t>https://www.optisigns.com/</t>
  </si>
  <si>
    <t>Plaud</t>
  </si>
  <si>
    <t>registrazioni vocali AI - si attiverà il 19gen 2026 €224,99 ogni anno</t>
  </si>
  <si>
    <t xml:space="preserve">Plugin calendar.studio-gem.it </t>
  </si>
  <si>
    <t>vedi tutti i dettagli nel foglio omonimo in questo file</t>
  </si>
  <si>
    <t>Plugin Studio-gem.it</t>
  </si>
  <si>
    <t>REPLIT (gae)</t>
  </si>
  <si>
    <t xml:space="preserve">Piattaforma AI per progammazionee sviluppo gestionale </t>
  </si>
  <si>
    <t>dobbiamo fare il passaggio , 25€ di fisso , poi a consumo , in questo momento non è attivo perchè viene usato solo per verificare il progetto "Course Manager" di Ago</t>
  </si>
  <si>
    <t>SENDIBLUE ( BREVO )</t>
  </si>
  <si>
    <t>Servizio a consumo ( sms - newsletter )</t>
  </si>
  <si>
    <t>Ogni 22 del mese</t>
  </si>
  <si>
    <t>https://login.brevo.com/?target=https%3A%2F%2Fapp.brevo.com%2Fbilling%2Faccount%2Fplans%2Fsubscriptions</t>
  </si>
  <si>
    <t>SITEGROUND</t>
  </si>
  <si>
    <r>
      <rPr>
        <rFont val="Arial"/>
      </rPr>
      <t xml:space="preserve">in questo momento abbiamo il dominio </t>
    </r>
    <r>
      <rPr>
        <rFont val="Arial"/>
        <color rgb="FF1155CC"/>
        <u/>
      </rPr>
      <t>studio-gem.it</t>
    </r>
    <r>
      <rPr>
        <rFont val="Arial"/>
      </rPr>
      <t xml:space="preserve"> da spostare su IONOS entro la scadenze</t>
    </r>
  </si>
  <si>
    <t>SLACK</t>
  </si>
  <si>
    <t>per comunicare e unificare le notifiche di varie APP</t>
  </si>
  <si>
    <t>(chiuso il 30gen2025 https://trello.com/c/wbssyC16 )</t>
  </si>
  <si>
    <t>SPOTIFY</t>
  </si>
  <si>
    <t xml:space="preserve">Ogni 8 del mese </t>
  </si>
  <si>
    <t>TL;DV</t>
  </si>
  <si>
    <t>registratore AI delle riunioni meet</t>
  </si>
  <si>
    <t>accesso con Google gae</t>
  </si>
  <si>
    <t xml:space="preserve">TRELLO </t>
  </si>
  <si>
    <t xml:space="preserve">l'importo riportato in seguito a l'eliminazioni di account che si usavano poco </t>
  </si>
  <si>
    <t xml:space="preserve">Il prossimo anno sarà meno perchè abbiamo tolto degli account </t>
  </si>
  <si>
    <t>TV BCS</t>
  </si>
  <si>
    <t>Ogni 31 del mese</t>
  </si>
  <si>
    <t>WCOMMERCE</t>
  </si>
  <si>
    <t xml:space="preserve">carrello acquisti online </t>
  </si>
  <si>
    <t>WORDPRESS</t>
  </si>
  <si>
    <t xml:space="preserve">Sito web </t>
  </si>
  <si>
    <t>WORKSPACE di Google (non ancora attivo in sospeso)</t>
  </si>
  <si>
    <t>WOSNIC bot solo chat</t>
  </si>
  <si>
    <t>WOSNIC - Attivazione assistente virtuale IA (solo chat)</t>
  </si>
  <si>
    <t>quando scade?</t>
  </si>
  <si>
    <t>WOSNIC bot vocale</t>
  </si>
  <si>
    <r>
      <rPr>
        <rFont val="Arial"/>
      </rPr>
      <t xml:space="preserve"> bot vocale nella pagine </t>
    </r>
    <r>
      <rPr>
        <rFont val="Arial"/>
        <color rgb="FF1155CC"/>
        <u/>
      </rPr>
      <t>https://calendario.studio-gem.it/</t>
    </r>
  </si>
  <si>
    <t>Implementazione Bottoni e Link conversazione</t>
  </si>
  <si>
    <t>subTOTALE</t>
  </si>
  <si>
    <t>MICHELE</t>
  </si>
  <si>
    <t>video maker</t>
  </si>
  <si>
    <t>AGO</t>
  </si>
  <si>
    <t>consulente, tecnico, gestionale e sito</t>
  </si>
  <si>
    <t xml:space="preserve">31 del mese </t>
  </si>
  <si>
    <t xml:space="preserve">Gestione sito web </t>
  </si>
  <si>
    <t>FURIA</t>
  </si>
  <si>
    <t>SMM - IG e FB e YT</t>
  </si>
  <si>
    <t xml:space="preserve">1 del mese </t>
  </si>
  <si>
    <t>ERIKA</t>
  </si>
  <si>
    <t>si occupa di creare video per le sponsorizzate</t>
  </si>
  <si>
    <t>la prima pagata 33€ dal mese dopo €30 a sponsorizzata</t>
  </si>
  <si>
    <t>VALENTINA</t>
  </si>
  <si>
    <t>da Settembre a Dicembre 2025 - si occupa di TT</t>
  </si>
  <si>
    <t xml:space="preserve">Da Gennaio 100€ al mese , prima 500€ </t>
  </si>
  <si>
    <t>ACE</t>
  </si>
  <si>
    <t>analisi, AI</t>
  </si>
  <si>
    <t>YURI</t>
  </si>
  <si>
    <t>video maker - 6 workshop da settembre a novembre 2025</t>
  </si>
  <si>
    <t xml:space="preserve">€200 circa ogni volta che lo chiamiamo </t>
  </si>
  <si>
    <t>TOTALE</t>
  </si>
  <si>
    <t>Plugin</t>
  </si>
  <si>
    <t>Versione</t>
  </si>
  <si>
    <t>Costo</t>
  </si>
  <si>
    <t>Canone/Anno</t>
  </si>
  <si>
    <t xml:space="preserve">Acquisto </t>
  </si>
  <si>
    <t>Servizio</t>
  </si>
  <si>
    <t xml:space="preserve">Data attivazione </t>
  </si>
  <si>
    <t xml:space="preserve">Data scadenza </t>
  </si>
  <si>
    <t>Note</t>
  </si>
  <si>
    <t>Ally - Web Accessibility &amp; Usability</t>
  </si>
  <si>
    <t>Versione 3.9.1 di Elementor.com | Aggiornamenti automatici disabilitati</t>
  </si>
  <si>
    <t>Free</t>
  </si>
  <si>
    <t>AWSM Team Pro</t>
  </si>
  <si>
    <t>Versione 1.11.2 di AWSM Innovations | Aggiornamenti automatici disabilitati</t>
  </si>
  <si>
    <t>Bookly</t>
  </si>
  <si>
    <t>Versione 26.2 di Nota-Info (Ultima versione: 26.3) | Aggiornamenti automatici disabilitati</t>
  </si>
  <si>
    <t>Bookly Cart (Add-on)</t>
  </si>
  <si>
    <t>Versione 3.4 di Nota-Info | Aggiornamenti automatici disabilitati</t>
  </si>
  <si>
    <t>Acquistato anni fa non ricordo il costo</t>
  </si>
  <si>
    <t>Bookly Group Booking (Add-on)</t>
  </si>
  <si>
    <t>Versione 3.2 di Nota-Info | Aggiornamenti automatici disabilitati</t>
  </si>
  <si>
    <t>Bookly Locations (Add-on)</t>
  </si>
  <si>
    <t>Versione 6.2 di Nota-Info | Aggiornamenti automatici disabilitati</t>
  </si>
  <si>
    <t>Bookly Packages (Add-on)</t>
  </si>
  <si>
    <t>Versione 7.4 di Nota-Info | Aggiornamenti automatici disabilitati</t>
  </si>
  <si>
    <t>Bookly Pro (Add-on)</t>
  </si>
  <si>
    <t>Versione 9.5 di Nota-Info | Aggiornamenti automatici abilitati</t>
  </si>
  <si>
    <t>Non è riuscto a risalire alla data , precedente covid</t>
  </si>
  <si>
    <t>La versione business di oggi con tutti i plugin costa 199 euro Acquisto pre covid</t>
  </si>
  <si>
    <t>Bookly Recurring Appointments (Add-on)</t>
  </si>
  <si>
    <t>Versione 6.6 di Nota-Info | Aggiornamenti automatici disabilitati</t>
  </si>
  <si>
    <t>Acquisto pre covid</t>
  </si>
  <si>
    <t>Bookly Service Extras (Add-on)</t>
  </si>
  <si>
    <t>CheckoutWC</t>
  </si>
  <si>
    <t>Versione 10.3.8 di Kestrel | Aggiornamenti automatici disabilitati</t>
  </si>
  <si>
    <t>Free da acquistare Valutare</t>
  </si>
  <si>
    <t>Per gestione checkout workshops</t>
  </si>
  <si>
    <t>Classic Editor</t>
  </si>
  <si>
    <t>Versione 1.6.7 di WordPress Contributors | Aggiornamenti automatici disabilitati</t>
  </si>
  <si>
    <t>CookieYes | GDPR Cookie Consent</t>
  </si>
  <si>
    <t>Versione 3.3.9.1 di CookieYes | Aggiornamenti automatici abilitati</t>
  </si>
  <si>
    <t>Duplicate Page</t>
  </si>
  <si>
    <t>Versione 4.5.6 di mndpsingh287 | Aggiornamenti automatici disabilitati</t>
  </si>
  <si>
    <t>Elementor</t>
  </si>
  <si>
    <t>Versione 3.34.1 di Elementor.com | Aggiornamenti automatici abilitati</t>
  </si>
  <si>
    <t>Su abbonamento Corporate di AGO</t>
  </si>
  <si>
    <t>Elementor Pro</t>
  </si>
  <si>
    <t>Versione 3.34.0 di Elementor.com | Aggiornamenti automatici abilitati</t>
  </si>
  <si>
    <t>GTM4WP - A Google Tag Manager (GTM) plugin for WordPress</t>
  </si>
  <si>
    <t>Versione 1.22.3 di Thomas Geiger | Aggiornamenti automatici disabilitati</t>
  </si>
  <si>
    <t>Kadence WooCommerce Email Designer</t>
  </si>
  <si>
    <t>Versione 1.5.18 di Kadence WP | Aggiornamenti automatici disabilitati</t>
  </si>
  <si>
    <t>Loco Translate</t>
  </si>
  <si>
    <t>Versione 2.8.0 di Tim Whitlock (Ultima versione: 2.8.1) | Aggiornamenti automatici disabilitati</t>
  </si>
  <si>
    <t>Meta pixel for WordPress</t>
  </si>
  <si>
    <t>Versione 4.1.5 di Facebook | Aggiornamenti automatici disabilitati</t>
  </si>
  <si>
    <t>Modern Events Calendar</t>
  </si>
  <si>
    <t>Versione 7.28.0 di Webnus (Ultima versione: 7.29.0) | Aggiornamenti automatici abilitati</t>
  </si>
  <si>
    <t>Free da acquistare</t>
  </si>
  <si>
    <t>Plugin per gestione workshop/eventi usato da molto direi di acquistarlo</t>
  </si>
  <si>
    <t>Nexi XPay</t>
  </si>
  <si>
    <t>Versione 8.2.0 di Nexi SpA | Aggiornamenti automatici disabilitati</t>
  </si>
  <si>
    <t>Ninja Forms</t>
  </si>
  <si>
    <t>Versione 3.13.3 di Saturday Drive | Aggiornamenti automatici disabilitati</t>
  </si>
  <si>
    <t>Ninja Forms - Addon Manager</t>
  </si>
  <si>
    <t>Versione 3.0.13 di The WP Ninjas | Aggiornamenti automatici disabilitati</t>
  </si>
  <si>
    <t>Ninja Google Place Reviews Pro</t>
  </si>
  <si>
    <t>Versione 2.4.2 di NinjaTeam | Aggiornamenti automatici disabilitati</t>
  </si>
  <si>
    <t>PDF Invoices &amp; Packing Slips for WooCommerce</t>
  </si>
  <si>
    <t>Versione 5.2.0 di WP Overnight (Ultima versione: 5.4.0) | Aggiornamenti automatici disabilitati</t>
  </si>
  <si>
    <t>Rank Math SEO</t>
  </si>
  <si>
    <t>Versione 1.0.261 di Rank Math SEO (Ultima versione: 1.0.262) | Aggiornamenti automatici abilitati</t>
  </si>
  <si>
    <t>Abbonamento Corporate Ago</t>
  </si>
  <si>
    <t>Rank Math SEO PRO</t>
  </si>
  <si>
    <t>Versione 3.0.104 di Rank Math SEO (Ultima versione: 3.0.105) | Aggiornamenti automatici abilitati</t>
  </si>
  <si>
    <t>Satispay for WooCommerce</t>
  </si>
  <si>
    <t>Versione 2.2.9 di Satispay | Aggiornamenti automatici disabilitati</t>
  </si>
  <si>
    <t>Scalapay Gateway Easy Installment</t>
  </si>
  <si>
    <t>Versione 3.8.1 di Scalapay | Aggiornamenti automatici disabilitati</t>
  </si>
  <si>
    <t>WooCommerce</t>
  </si>
  <si>
    <t>Versione 10.4.3 di Automattic | Aggiornamenti automatici abilitati</t>
  </si>
  <si>
    <t>WooCommerce Integration for MEC</t>
  </si>
  <si>
    <t>Versione 2.1.3 di Webnus (Ultima versione: 2.2.0) | Aggiornamenti automatici disabilitati</t>
  </si>
  <si>
    <t>Valutare Acquisto se manteniamo questo</t>
  </si>
  <si>
    <t>Integrazione per utilizzare il carrello woocommerce con Modern event calendar per vendita eventi e workshop</t>
  </si>
  <si>
    <t>WooCommerce PDF Invoices &amp; Packing Slips Professional</t>
  </si>
  <si>
    <t>Versione 2.12.0 di Ewout Fernhout | Aggiornamenti automatici disabilitati</t>
  </si>
  <si>
    <t>Serve per creare le ricevute personalizzate acquisti</t>
  </si>
  <si>
    <t>WPCode Lite</t>
  </si>
  <si>
    <t>Versione 2.3.2.1 di WPCode | Aggiornamenti automatici disabilitati</t>
  </si>
  <si>
    <t>WP Crontrol</t>
  </si>
  <si>
    <t>Versione 1.20.0 di John Blackbourn | Aggiornamenti automatici disabilitati</t>
  </si>
  <si>
    <t>WP Mail SMTP</t>
  </si>
  <si>
    <t>Versione 4.7.1 di WP Mail SMTP | Aggiornamenti automatici disabilitati</t>
  </si>
  <si>
    <t>YITH WooCommerce Checkout Manager</t>
  </si>
  <si>
    <t>Versione 1.52.0 di YITH | Aggiornamenti automatici disabilitati</t>
  </si>
  <si>
    <t>Gestione campi aggiuntivi per checkout es nr tessera, minorenne (Gestisce i campi condizionali che a noi servono)</t>
  </si>
  <si>
    <t>Totale Canone Annuo (non tutti attivi</t>
  </si>
  <si>
    <t>Totale una tantum</t>
  </si>
  <si>
    <t>Da attivare abbonamenti</t>
  </si>
  <si>
    <t>Da acquistare</t>
  </si>
  <si>
    <t>alla DATA</t>
  </si>
  <si>
    <t>Costo attuale</t>
  </si>
  <si>
    <t>Canone annuo</t>
  </si>
  <si>
    <t>Advanced Custom Fields</t>
  </si>
  <si>
    <t>Versione 6.7.0 di WP Engine | Aggiornamenti automatici disabilitati</t>
  </si>
  <si>
    <t>Autocomplete Address and Location Picker for WooCommerce</t>
  </si>
  <si>
    <t>Versione 1.2.2 di powerfulwp | Aggiornamenti automatici disabilitati</t>
  </si>
  <si>
    <t>Bulk Edit Products, Prices &amp; Attributes for Woocommerce</t>
  </si>
  <si>
    <t>Versione 2.2.1 di ELEXtensions (Ultima versione: 2.2.2) | Aggiornamenti automatici disabilitati</t>
  </si>
  <si>
    <t>Code Snippets</t>
  </si>
  <si>
    <t>Versione 3.9.3 di Code Snippets Pro (Ultima versione: 3.9.4) | Aggiornamenti automatici disabilitati</t>
  </si>
  <si>
    <t>Converter for Media</t>
  </si>
  <si>
    <t>Versione 6.5.0 di matt plugins | Aggiornamenti automatici disabilitati</t>
  </si>
  <si>
    <t>Discount Rules: Collections</t>
  </si>
  <si>
    <t>Versione 1.2.2 di Flycart | Aggiornamenti automatici disabilitati</t>
  </si>
  <si>
    <t>Compreso abbonamento base</t>
  </si>
  <si>
    <t>Discount Rules for WooCommerce</t>
  </si>
  <si>
    <t>Versione 2.6.13 di Flycart | Aggiornamenti automatici disabilitati</t>
  </si>
  <si>
    <t>Discount Rules PRO 2.0</t>
  </si>
  <si>
    <t>Versione 2.6.11 di Flycart | Aggiornamenti automatici disabilitati</t>
  </si>
  <si>
    <t>Serve per impostare le regole sconti al carrello sui corsi, per noi sono molto complesse ma con questo plugin possimo impostare tutto</t>
  </si>
  <si>
    <t>Flexible Checkout Fields</t>
  </si>
  <si>
    <t>Versione 4.1.31 di WP Desk (Ultima versione: 4.1.32) | Aggiornamenti automatici disabilitati</t>
  </si>
  <si>
    <t>Flexible Checkout Fields PRO</t>
  </si>
  <si>
    <t>Versione 4.0.19 di WP Desk | Aggiornamenti automatici disabilitati</t>
  </si>
  <si>
    <t>Gestione campi aggiuntivi condizionali, è diverso da quello che abbiamo su studio-gem.it valutare acquisto di uno o l'altro</t>
  </si>
  <si>
    <t>FluentCRM - Marketing Automation For WordPress</t>
  </si>
  <si>
    <t>Versione 2.9.87 di WP Email Newsletter Team - FluentCRM | Aggiornamenti automatici disabilitati</t>
  </si>
  <si>
    <t>Disinstallato</t>
  </si>
  <si>
    <t>FluentCRM Pro</t>
  </si>
  <si>
    <t>Versione 2.9.65 di Fluent CRM (Ultima versione: 2.9.86) | Aggiornamenti automatici disabilitati</t>
  </si>
  <si>
    <t>FluentSMTP</t>
  </si>
  <si>
    <t>Versione 2.2.92 di FluentSMTP &amp; WPManageNinja Team (Ultima versione: 2.2.95) | Aggiornamenti automatici disabilitati</t>
  </si>
  <si>
    <t>Fluent Support</t>
  </si>
  <si>
    <t>Versione 1.10.5 di WPManageNinja LLC | Aggiornamenti automatici disabilitati</t>
  </si>
  <si>
    <t>Fluent Support Pro</t>
  </si>
  <si>
    <t>Versione 1.9.2 di WPManageNinja LLC | Aggiornamenti automatici disabilitati</t>
  </si>
  <si>
    <t>Gravity Booster ( Style &amp; Layouts )</t>
  </si>
  <si>
    <t>Versione 5.26 di Sushil Kumar | Aggiornamenti automatici disabilitati</t>
  </si>
  <si>
    <t>Gravity Forms</t>
  </si>
  <si>
    <t>Versione 2.9.13 di Gravity Forms | Aggiornamenti automatici abilitati</t>
  </si>
  <si>
    <t>Gestione dei documenti Tesseramento e Termini e condizioni di tesseramento compreso le autorizzazioni alla privacy</t>
  </si>
  <si>
    <t>Gravity Forms Collapsible Sections</t>
  </si>
  <si>
    <t>Versione 1.1.39 di JetSloth (Ultima versione: 1.4.5) | Aggiornamenti automatici disabilitati</t>
  </si>
  <si>
    <t>Serve per completare quello sopra</t>
  </si>
  <si>
    <t>Gravity Forms Signature Add-On</t>
  </si>
  <si>
    <t>Versione 4.9.0 di Gravity Forms | Aggiornamenti automatici disabilitati</t>
  </si>
  <si>
    <t>Gravity PDF</t>
  </si>
  <si>
    <t>Versione 6.13.0 di Blue Liquid Designs (Ultima versione: 6.14.1) | Aggiornamenti automatici disabilitati</t>
  </si>
  <si>
    <t>Media Cleaner</t>
  </si>
  <si>
    <t>Versione 7.0.1 di Jordy Meow (Ultima versione: 7.0.2) | Aggiornamenti automatici disabilitati</t>
  </si>
  <si>
    <t>Min and Max Quantity for WooCommerce</t>
  </si>
  <si>
    <t>Versione 1.3.8.3 di BeRocket | Aggiornamenti automatici disabilitati</t>
  </si>
  <si>
    <t>Nascondi Stock by Ago</t>
  </si>
  <si>
    <t>Versione 1.0 di Ago | Aggiornamenti automatici disabilitati</t>
  </si>
  <si>
    <t>Nextend Social Login</t>
  </si>
  <si>
    <t>Versione 3.1.22 di Nextendweb | Aggiornamenti automatici disabilitati</t>
  </si>
  <si>
    <t>Nextend Social Login Pro Addon</t>
  </si>
  <si>
    <t>Versione 3.1.20 di Nextendweb (Ultima versione: 3.1.21) | Aggiornamenti automatici disabilitati</t>
  </si>
  <si>
    <t>Serve per effettuare la login con google</t>
  </si>
  <si>
    <t>Versione 5.1.0 di WP Overnight (Ultima versione: 5.5.0) | Aggiornamenti automatici disabilitati</t>
  </si>
  <si>
    <t>PDF Invoices &amp; Packing Slips for WooCommerce - Premium Templates</t>
  </si>
  <si>
    <t>Versione 2.21.11 di WP Overnight | Aggiornamenti automatici disabilitati</t>
  </si>
  <si>
    <t>PDF Invoices &amp; Packing Slips for WooCommerce - Professional</t>
  </si>
  <si>
    <t>Versione 2.16.7 di WP Overnight | Aggiornamenti automatici disabilitati</t>
  </si>
  <si>
    <t>Per fare ricevute personalizzare su acquisti, possiamo prendere una licenza e usarla per entrambi i domini</t>
  </si>
  <si>
    <t>Premium Quick View by CodeAstrology</t>
  </si>
  <si>
    <t>Versione 1.5.0 di CodeAstrology LTD | Aggiornamenti automatici disabilitati</t>
  </si>
  <si>
    <t>Product Table and List Builder for WooCommerce PRO</t>
  </si>
  <si>
    <t>Versione 4.6.2 di WC Product Table | Aggiornamenti automatici disabilitati</t>
  </si>
  <si>
    <t>Per la gestione del calendario corsi</t>
  </si>
  <si>
    <t>Versione 1.0.262 di Rank Math SEO | Aggiornamenti automatici abilitati</t>
  </si>
  <si>
    <t>Versione 3.0.105 di Rank Math SEO | Aggiornamenti automatici abilitati</t>
  </si>
  <si>
    <t>Versione 4.0.7 di Scalapay | Aggiornamenti automatici disabilitati</t>
  </si>
  <si>
    <t>SG - Auto Add Tesserato (WooCommerce)</t>
  </si>
  <si>
    <t>Versione 1.3.0 di Studio Gem | Aggiornamenti automatici disabilitati</t>
  </si>
  <si>
    <t>Site Kit by Google</t>
  </si>
  <si>
    <t>Versione 1.170.0 di Google | Aggiornamenti automatici abilitati</t>
  </si>
  <si>
    <t>Speed Optimizer</t>
  </si>
  <si>
    <t>Versione 7.7.6 di SiteGround | Aggiornamenti automatici abilitati</t>
  </si>
  <si>
    <t>The Events Calendar</t>
  </si>
  <si>
    <t>Versione 6.15.12.2 di The Events Calendar (Ultima versione: 6.15.14) | Aggiornamenti automatici disabilitati</t>
  </si>
  <si>
    <t>Variation Swatches for WooCommerce</t>
  </si>
  <si>
    <t>Versione 2.2.2 di Emran Ahmed | Aggiornamenti automatici disabilitati</t>
  </si>
  <si>
    <t>weLaunch Framework</t>
  </si>
  <si>
    <t>Versione 1.2.2 di weLaunch.io | Aggiornamenti automatici disabilitati</t>
  </si>
  <si>
    <t>Versione 10.4.2 di Automattic (Ultima versione: 10.4.3) | Aggiornamenti automatici disabilitati</t>
  </si>
  <si>
    <t>WooCommerce Order Status Manager</t>
  </si>
  <si>
    <t>Versione 1.15.6 di SkyVerge (Ultima versione: 1.15.7) | Aggiornamenti automatici disabilitati</t>
  </si>
  <si>
    <t>WooCommerce PDF Catalog</t>
  </si>
  <si>
    <t>Versione 1.18.7 di weLaunch | Aggiornamenti automatici disabilitati</t>
  </si>
  <si>
    <t>WooCommerce Tax</t>
  </si>
  <si>
    <t>Versione 3.2.3 di WooCommerce (Ultima versione: 3.3.1) | Aggiornamenti automatici disabilitati</t>
  </si>
  <si>
    <t>WPC Product Quantity for WooCommerce (Premium)</t>
  </si>
  <si>
    <t>Versione 5.1.1 di WPClever (Ultima versione: 5.1.5) | Aggiornamenti automatici disabilitati</t>
  </si>
  <si>
    <t>WPFront Scroll Top</t>
  </si>
  <si>
    <t>Versione 3.0.1 di WPFront Team | Aggiornamenti automatici abilitati</t>
  </si>
  <si>
    <t>WP Fusion Lite</t>
  </si>
  <si>
    <t>Versione 3.46.3.1 di Very Good Plugins | Aggiornamenti automatici disabilitati</t>
  </si>
  <si>
    <t>WP Reset PRO</t>
  </si>
  <si>
    <t>Versione 6.17 di WebFactory Ltd | Aggiornamenti automatici disabilitati</t>
  </si>
  <si>
    <t>WP Sheet Editor - Post Types (Premium)</t>
  </si>
  <si>
    <t>Versione 2.25.13 di WP Sheet Editor | Aggiornamenti automatici disabilitati</t>
  </si>
  <si>
    <t>WP Sheet Editor - WooCommerce Products</t>
  </si>
  <si>
    <t>Versione 1.8.19 di WP Sheet Editor (Ultima versione: 1.8.21) | Aggiornamenti automatici disabilitati</t>
  </si>
  <si>
    <t>YITH Activator</t>
  </si>
  <si>
    <t>Versione 1..1 di YITH | Aggiornamenti automatici disabilitati</t>
  </si>
  <si>
    <t>YITH WooCommerce Ajax Search</t>
  </si>
  <si>
    <t>Versione 2.20.0 di YITH (Ultima versione: 2.21.0) | Aggiornamenti automatici disabilitati</t>
  </si>
  <si>
    <t>Totale Abbonamenti annui (non tutti attivi)</t>
  </si>
  <si>
    <t>importante</t>
  </si>
  <si>
    <t>centro di costo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</si>
</sst>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_-[$€-2]* #,##0.00_-;_-[$€-2]* \-#,##0.00_-;_-[$€-2]* &quot;-&quot;??_-;_-@"/>
    <numFmt numFmtId="166" formatCode="[$€-2]\ #,##0.00"/>
    <numFmt numFmtId="167" formatCode="dd/mm/yyyy"/>
    <numFmt numFmtId="168" formatCode="d mmm yyyy"/>
    <numFmt numFmtId="169" formatCode="&quot;€&quot;#,##0.00"/>
  </numFmts>
  <fonts count="19">
    <font>
      <sz val="10.0"/>
      <color rgb="FF000000"/>
      <name val="Arial"/>
      <scheme val="minor"/>
    </font>
    <font>
      <b/>
      <sz val="21.0"/>
      <color theme="1"/>
      <name val="Arial"/>
    </font>
    <font>
      <b/>
      <sz val="12.0"/>
      <color theme="1"/>
      <name val="Arial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theme="1"/>
      <name val="Arial"/>
    </font>
    <font>
      <u/>
      <color theme="1"/>
      <name val="Arial"/>
    </font>
    <font>
      <u/>
      <color rgb="FF0000FF"/>
      <name val="Arial"/>
    </font>
    <font>
      <u/>
      <color theme="1"/>
      <name val="Arial"/>
    </font>
    <font>
      <u/>
      <color theme="1"/>
      <name val="Arial"/>
    </font>
    <font>
      <sz val="10.0"/>
      <color rgb="FF000000"/>
      <name val="Arial"/>
    </font>
    <font>
      <u/>
      <color rgb="FF0000FF"/>
      <name val="Arial"/>
    </font>
    <font>
      <color theme="1"/>
      <name val="&quot;Segoe UI&quot;"/>
    </font>
    <font>
      <color rgb="FFFFFFFF"/>
      <name val="Arial"/>
    </font>
    <font>
      <color rgb="FF50575E"/>
      <name val="-apple-system"/>
    </font>
    <font>
      <color rgb="FF50575E"/>
      <name val="Inherit"/>
    </font>
    <font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6D9EEB"/>
        <bgColor rgb="FF6D9EEB"/>
      </patternFill>
    </fill>
    <fill>
      <patternFill patternType="solid">
        <fgColor rgb="FFFF00FF"/>
        <bgColor rgb="FFFF00FF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38761D"/>
        <bgColor rgb="FF38761D"/>
      </patternFill>
    </fill>
    <fill>
      <patternFill patternType="solid">
        <fgColor rgb="FFF6F7F7"/>
        <bgColor rgb="FFF6F7F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D7E6B"/>
        <bgColor rgb="FFDD7E6B"/>
      </patternFill>
    </fill>
  </fills>
  <borders count="4">
    <border/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3C4C7"/>
      </left>
      <right style="thin">
        <color rgb="FFC3C4C7"/>
      </right>
      <top style="thin">
        <color rgb="FFC3C4C7"/>
      </top>
      <bottom style="thin">
        <color rgb="FFC3C4C7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6" fontId="2" numFmtId="0" xfId="0" applyAlignment="1" applyFill="1" applyFont="1">
      <alignment horizontal="center" readingOrder="0" shrinkToFit="0" vertical="center" wrapText="1"/>
    </xf>
    <xf borderId="0" fillId="7" fontId="3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readingOrder="0" shrinkToFit="0" vertical="center" wrapText="1"/>
    </xf>
    <xf borderId="0" fillId="0" fontId="4" numFmtId="165" xfId="0" applyAlignment="1" applyFont="1" applyNumberFormat="1">
      <alignment readingOrder="0" shrinkToFit="0" vertical="center" wrapText="1"/>
    </xf>
    <xf borderId="0" fillId="8" fontId="4" numFmtId="165" xfId="0" applyAlignment="1" applyFill="1" applyFont="1" applyNumberForma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8" fontId="4" numFmtId="165" xfId="0" applyAlignment="1" applyFont="1" applyNumberFormat="1">
      <alignment shrinkToFit="0" vertical="center" wrapText="1"/>
    </xf>
    <xf borderId="0" fillId="0" fontId="4" numFmtId="165" xfId="0" applyAlignment="1" applyFont="1" applyNumberFormat="1">
      <alignment shrinkToFit="0" vertical="center" wrapText="1"/>
    </xf>
    <xf borderId="0" fillId="0" fontId="4" numFmtId="164" xfId="0" applyAlignment="1" applyFont="1" applyNumberFormat="1">
      <alignment shrinkToFit="0" vertical="center" wrapText="1"/>
    </xf>
    <xf borderId="0" fillId="3" fontId="4" numFmtId="0" xfId="0" applyAlignment="1" applyFont="1">
      <alignment readingOrder="0" shrinkToFit="0" vertical="center" wrapText="1"/>
    </xf>
    <xf borderId="0" fillId="3" fontId="4" numFmtId="0" xfId="0" applyAlignment="1" applyFont="1">
      <alignment readingOrder="0" shrinkToFit="0" vertical="center" wrapText="1"/>
    </xf>
    <xf borderId="0" fillId="3" fontId="4" numFmtId="164" xfId="0" applyAlignment="1" applyFont="1" applyNumberFormat="1">
      <alignment readingOrder="0" shrinkToFit="0" vertical="center" wrapText="1"/>
    </xf>
    <xf borderId="0" fillId="3" fontId="4" numFmtId="165" xfId="0" applyAlignment="1" applyFont="1" applyNumberFormat="1">
      <alignment readingOrder="0" shrinkToFit="0" vertical="center" wrapText="1"/>
    </xf>
    <xf borderId="0" fillId="3" fontId="4" numFmtId="165" xfId="0" applyAlignment="1" applyFont="1" applyNumberFormat="1">
      <alignment shrinkToFit="0" vertical="center" wrapText="1"/>
    </xf>
    <xf borderId="0" fillId="3" fontId="4" numFmtId="164" xfId="0" applyAlignment="1" applyFont="1" applyNumberFormat="1">
      <alignment shrinkToFit="0" vertical="center" wrapText="1"/>
    </xf>
    <xf borderId="0" fillId="3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3" fontId="6" numFmtId="0" xfId="0" applyAlignment="1" applyFont="1">
      <alignment readingOrder="0" shrinkToFit="0" vertical="center" wrapText="1"/>
    </xf>
    <xf borderId="0" fillId="3" fontId="7" numFmtId="0" xfId="0" applyAlignment="1" applyFont="1">
      <alignment readingOrder="0" shrinkToFit="0" vertical="center" wrapText="1"/>
    </xf>
    <xf borderId="0" fillId="3" fontId="8" numFmtId="0" xfId="0" applyAlignment="1" applyFont="1">
      <alignment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5" fontId="4" numFmtId="164" xfId="0" applyAlignment="1" applyFont="1" applyNumberFormat="1">
      <alignment readingOrder="0" shrinkToFit="0" vertical="center" wrapText="1"/>
    </xf>
    <xf borderId="0" fillId="5" fontId="4" numFmtId="165" xfId="0" applyAlignment="1" applyFont="1" applyNumberFormat="1">
      <alignment readingOrder="0" shrinkToFit="0" vertical="center" wrapText="1"/>
    </xf>
    <xf borderId="0" fillId="5" fontId="4" numFmtId="165" xfId="0" applyAlignment="1" applyFont="1" applyNumberFormat="1">
      <alignment shrinkToFit="0" vertical="center" wrapText="1"/>
    </xf>
    <xf borderId="0" fillId="5" fontId="4" numFmtId="164" xfId="0" applyAlignment="1" applyFont="1" applyNumberFormat="1">
      <alignment shrinkToFit="0" vertical="center" wrapText="1"/>
    </xf>
    <xf borderId="0" fillId="5" fontId="9" numFmtId="0" xfId="0" applyAlignment="1" applyFont="1">
      <alignment readingOrder="0" shrinkToFit="0" vertical="center" wrapText="1"/>
    </xf>
    <xf borderId="0" fillId="5" fontId="10" numFmtId="0" xfId="0" applyAlignment="1" applyFont="1">
      <alignment readingOrder="0" shrinkToFit="0" vertical="center" wrapText="1"/>
    </xf>
    <xf borderId="0" fillId="3" fontId="4" numFmtId="0" xfId="0" applyFont="1"/>
    <xf borderId="0" fillId="0" fontId="11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5" fontId="4" numFmtId="0" xfId="0" applyAlignment="1" applyFont="1">
      <alignment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6" fontId="4" numFmtId="0" xfId="0" applyAlignment="1" applyFont="1">
      <alignment readingOrder="0" shrinkToFit="0" vertical="center" wrapText="1"/>
    </xf>
    <xf borderId="0" fillId="6" fontId="4" numFmtId="0" xfId="0" applyAlignment="1" applyFont="1">
      <alignment readingOrder="0" shrinkToFit="0" vertical="center" wrapText="1"/>
    </xf>
    <xf borderId="0" fillId="6" fontId="4" numFmtId="164" xfId="0" applyAlignment="1" applyFont="1" applyNumberFormat="1">
      <alignment shrinkToFit="0" vertical="center" wrapText="1"/>
    </xf>
    <xf borderId="0" fillId="6" fontId="4" numFmtId="165" xfId="0" applyAlignment="1" applyFont="1" applyNumberFormat="1">
      <alignment readingOrder="0" shrinkToFit="0" vertical="center" wrapText="1"/>
    </xf>
    <xf borderId="0" fillId="6" fontId="4" numFmtId="165" xfId="0" applyAlignment="1" applyFont="1" applyNumberFormat="1">
      <alignment shrinkToFit="0" vertical="center" wrapText="1"/>
    </xf>
    <xf borderId="0" fillId="6" fontId="4" numFmtId="0" xfId="0" applyAlignment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0" fillId="3" fontId="4" numFmtId="165" xfId="0" applyAlignment="1" applyFont="1" applyNumberFormat="1">
      <alignment horizontal="right" readingOrder="0" shrinkToFit="0" vertical="center" wrapText="1"/>
    </xf>
    <xf borderId="0" fillId="3" fontId="4" numFmtId="164" xfId="0" applyAlignment="1" applyFont="1" applyNumberFormat="1">
      <alignment horizontal="right" readingOrder="0" shrinkToFit="0" vertical="center" wrapText="1"/>
    </xf>
    <xf borderId="0" fillId="0" fontId="14" numFmtId="0" xfId="0" applyAlignment="1" applyFont="1">
      <alignment readingOrder="0" shrinkToFit="0" vertical="top" wrapText="1"/>
    </xf>
    <xf borderId="0" fillId="9" fontId="3" numFmtId="0" xfId="0" applyAlignment="1" applyFill="1" applyFont="1">
      <alignment shrinkToFit="0" vertical="center" wrapText="1"/>
    </xf>
    <xf borderId="0" fillId="9" fontId="3" numFmtId="0" xfId="0" applyAlignment="1" applyFont="1">
      <alignment horizontal="right" readingOrder="0" shrinkToFit="0" vertical="center" wrapText="1"/>
    </xf>
    <xf borderId="0" fillId="9" fontId="3" numFmtId="164" xfId="0" applyAlignment="1" applyFont="1" applyNumberFormat="1">
      <alignment shrinkToFit="0" vertical="center" wrapText="1"/>
    </xf>
    <xf borderId="0" fillId="9" fontId="3" numFmtId="165" xfId="0" applyAlignment="1" applyFont="1" applyNumberFormat="1">
      <alignment shrinkToFit="0" vertical="center" wrapText="1"/>
    </xf>
    <xf borderId="0" fillId="9" fontId="3" numFmtId="166" xfId="0" applyAlignment="1" applyFont="1" applyNumberFormat="1">
      <alignment shrinkToFit="0" vertical="center" wrapText="1"/>
    </xf>
    <xf borderId="0" fillId="10" fontId="15" numFmtId="0" xfId="0" applyFill="1" applyFont="1"/>
    <xf borderId="0" fillId="10" fontId="15" numFmtId="0" xfId="0" applyAlignment="1" applyFont="1">
      <alignment readingOrder="0"/>
    </xf>
    <xf borderId="3" fillId="11" fontId="16" numFmtId="0" xfId="0" applyAlignment="1" applyBorder="1" applyFill="1" applyFont="1">
      <alignment horizontal="left" shrinkToFit="0" wrapText="1"/>
    </xf>
    <xf borderId="3" fillId="11" fontId="17" numFmtId="0" xfId="0" applyAlignment="1" applyBorder="1" applyFont="1">
      <alignment shrinkToFit="0" vertical="top" wrapText="1"/>
    </xf>
    <xf borderId="0" fillId="0" fontId="4" numFmtId="0" xfId="0" applyFont="1"/>
    <xf borderId="0" fillId="0" fontId="4" numFmtId="166" xfId="0" applyFont="1" applyNumberFormat="1"/>
    <xf borderId="0" fillId="0" fontId="4" numFmtId="166" xfId="0" applyAlignment="1" applyFont="1" applyNumberFormat="1">
      <alignment readingOrder="0"/>
    </xf>
    <xf borderId="3" fillId="12" fontId="16" numFmtId="0" xfId="0" applyAlignment="1" applyBorder="1" applyFill="1" applyFont="1">
      <alignment horizontal="left" shrinkToFit="0" wrapText="1"/>
    </xf>
    <xf borderId="3" fillId="12" fontId="17" numFmtId="0" xfId="0" applyAlignment="1" applyBorder="1" applyFont="1">
      <alignment shrinkToFit="0" vertical="top" wrapText="1"/>
    </xf>
    <xf borderId="0" fillId="0" fontId="18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4" numFmtId="166" xfId="0" applyAlignment="1" applyFont="1" applyNumberFormat="1">
      <alignment readingOrder="0"/>
    </xf>
    <xf borderId="0" fillId="3" fontId="4" numFmtId="166" xfId="0" applyFont="1" applyNumberFormat="1"/>
    <xf borderId="0" fillId="0" fontId="18" numFmtId="167" xfId="0" applyAlignment="1" applyFont="1" applyNumberFormat="1">
      <alignment readingOrder="0"/>
    </xf>
    <xf borderId="0" fillId="10" fontId="15" numFmtId="0" xfId="0" applyAlignment="1" applyFont="1">
      <alignment readingOrder="0" shrinkToFit="0" wrapText="1"/>
    </xf>
    <xf borderId="0" fillId="10" fontId="15" numFmtId="166" xfId="0" applyAlignment="1" applyFont="1" applyNumberFormat="1">
      <alignment readingOrder="0"/>
    </xf>
    <xf borderId="0" fillId="13" fontId="15" numFmtId="166" xfId="0" applyAlignment="1" applyFill="1" applyFont="1" applyNumberFormat="1">
      <alignment readingOrder="0"/>
    </xf>
    <xf borderId="0" fillId="13" fontId="15" numFmtId="166" xfId="0" applyFont="1" applyNumberFormat="1"/>
    <xf borderId="0" fillId="14" fontId="4" numFmtId="166" xfId="0" applyAlignment="1" applyFill="1" applyFont="1" applyNumberFormat="1">
      <alignment readingOrder="0"/>
    </xf>
    <xf borderId="0" fillId="0" fontId="18" numFmtId="168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10" fontId="15" numFmtId="166" xfId="0" applyAlignment="1" applyFont="1" applyNumberFormat="1">
      <alignment shrinkToFit="0" wrapText="1"/>
    </xf>
    <xf borderId="0" fillId="10" fontId="15" numFmtId="166" xfId="0" applyFont="1" applyNumberFormat="1"/>
    <xf borderId="0" fillId="0" fontId="4" numFmtId="169" xfId="0" applyAlignment="1" applyFont="1" applyNumberFormat="1">
      <alignment readingOrder="0"/>
    </xf>
    <xf borderId="0" fillId="10" fontId="15" numFmtId="166" xfId="0" applyAlignment="1" applyFont="1" applyNumberFormat="1">
      <alignment readingOrder="0" shrinkToFit="0" wrapText="1"/>
    </xf>
    <xf borderId="0" fillId="0" fontId="18" numFmtId="169" xfId="0" applyAlignment="1" applyFont="1" applyNumberFormat="1">
      <alignment readingOrder="0"/>
    </xf>
    <xf borderId="0" fillId="0" fontId="3" numFmtId="166" xfId="0" applyFont="1" applyNumberFormat="1"/>
    <xf borderId="0" fillId="9" fontId="4" numFmtId="0" xfId="0" applyAlignment="1" applyFont="1">
      <alignment readingOrder="0"/>
    </xf>
    <xf borderId="0" fillId="9" fontId="4" numFmtId="0" xfId="0" applyFont="1"/>
    <xf borderId="0" fillId="0" fontId="4" numFmtId="0" xfId="0" applyFon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af59ef94-5f75-4151-aea3-41c7f1bcc83e}">
    <Anchor>
      <Comment id="{650fba93-b868-4d46-bd58-ac57e98d8de1}"/>
    </Anchor>
    <History>
      <Event time="2026-02-23T15:11:40.00" id="{406a04c4-0b43-42ba-8077-3084c0c98dcf}">
        <Attribution userId="placeholder@email.com" userName="Amm_Gem SG" userProvider="google-sheets"/>
        <Anchor>
          <Comment id="{650fba93-b868-4d46-bd58-ac57e98d8de1}"/>
        </Anchor>
        <Create/>
      </Event>
      <Event time="2026-02-23T15:11:40.00" id="{e3dcb777-5d46-4c83-98bb-47892b38bb2e}">
        <Attribution userId="placeholder@email.com" userName="Amm_Gem SG" userProvider="google-sheets"/>
        <Anchor>
          <Comment id="{650fba93-b868-4d46-bd58-ac57e98d8de1}"/>
        </Anchor>
        <Assign userId="gaechacha@gmail.com" userName="gaechacha@gmail.com" userProvider="google-sheets"/>
      </Event>
    </History>
  </Task>
  <Task id="{ff03cd9d-6b50-43bd-b718-992057b9ba9d}">
    <Anchor>
      <Comment id="{1f2ffae0-ae5d-4fad-8df2-70390414bd6c}"/>
    </Anchor>
    <History>
      <Event time="2026-02-23T10:48:05.00" id="{8670981e-71fe-44c2-a01b-cc740789cd8c}">
        <Attribution userId="placeholder@email.com" userName="Amm_Gem SG" userProvider="google-sheets"/>
        <Anchor>
          <Comment id="{1f2ffae0-ae5d-4fad-8df2-70390414bd6c}"/>
        </Anchor>
        <Create/>
      </Event>
      <Event time="2026-02-23T10:48:05.00" id="{0d20b9a3-def4-4d75-94f0-e84a2a97a521}">
        <Attribution userId="placeholder@email.com" userName="Amm_Gem SG" userProvider="google-sheets"/>
        <Anchor>
          <Comment id="{1f2ffae0-ae5d-4fad-8df2-70390414bd6c}"/>
        </Anchor>
        <Assign userId="gaechacha@gmail.com" userName="gaechacha@gmail.com" userProvider="google-sheets"/>
      </Event>
    </History>
  </Task>
  <Task id="{401cf3b0-f874-4d83-8ecc-c9cf20c7c1f2}">
    <Anchor>
      <Comment id="{8bc8c621-02a3-4814-8e88-b71d5ba516ee}"/>
    </Anchor>
    <History>
      <Event time="2026-03-13T11:34:15.00" id="{3cdd5052-146c-42ee-b82d-8e0ed9ea1f58}">
        <Attribution userId="placeholder@email.com" userName="Gaetano Ambrosio" userProvider="google-sheets"/>
        <Anchor>
          <Comment id="{8bc8c621-02a3-4814-8e88-b71d5ba516ee}"/>
        </Anchor>
        <Create/>
      </Event>
      <Event time="2026-03-13T11:34:15.00" id="{f66667e4-0625-4b4d-b67b-7f69278d949c}">
        <Attribution userId="placeholder@email.com" userName="Gaetano Ambrosio" userProvider="google-sheets"/>
        <Anchor>
          <Comment id="{8bc8c621-02a3-4814-8e88-b71d5ba516ee}"/>
        </Anchor>
        <Assign userId="massimiliano@studio-gem.it" userName="massimiliano@studio-gem.it" userProvider="google-sheets"/>
      </Event>
    </History>
  </Task>
  <Task id="{0b29530c-4354-4b01-8234-711a9e37ec6f}">
    <Anchor>
      <Comment id="{a87e9987-2816-4470-8a17-53df2b70501a}"/>
    </Anchor>
    <History>
      <Event time="2026-01-14T14:09:51.00" id="{0cd9c0a0-4f02-4b66-aef6-177cc8e296e3}">
        <Attribution userId="placeholder@email.com" userName="Amm_Gem SG" userProvider="google-sheets"/>
        <Anchor>
          <Comment id="{a87e9987-2816-4470-8a17-53df2b70501a}"/>
        </Anchor>
        <Create/>
      </Event>
      <Event time="2026-01-14T14:09:51.00" id="{9e950973-ee76-4a2c-8338-7e35d2ae4e0b}">
        <Attribution userId="placeholder@email.com" userName="Amm_Gem SG" userProvider="google-sheets"/>
        <Anchor>
          <Comment id="{a87e9987-2816-4470-8a17-53df2b70501a}"/>
        </Anchor>
        <Assign userId="gaechacha@gmail.com" userName="gaechacha@gmail.com" userProvider="google-sheets"/>
      </Event>
    </History>
  </Task>
  <Task id="{d71cd127-5025-4b6d-9258-b1c1a1264bfb}">
    <Anchor>
      <Comment id="{6e252f12-3951-48e7-836a-435fe8e18782}"/>
    </Anchor>
    <History>
      <Event time="2026-03-23T11:11:12.00" id="{cbdae7b9-0a0a-48f7-a588-eb916530c830}">
        <Attribution userId="placeholder@email.com" userName="Amm_Gem SG" userProvider="google-sheets"/>
        <Anchor>
          <Comment id="{6e252f12-3951-48e7-836a-435fe8e18782}"/>
        </Anchor>
        <Create/>
      </Event>
      <Event time="2026-03-23T11:11:12.00" id="{2ae504e7-8cf1-44bc-80e6-a98749a57c20}">
        <Attribution userId="placeholder@email.com" userName="Amm_Gem SG" userProvider="google-sheets"/>
        <Anchor>
          <Comment id="{6e252f12-3951-48e7-836a-435fe8e18782}"/>
        </Anchor>
        <Assign userId="gaechacha@gmail.com" userName="gaechacha@gmail.com" userProvider="google-sheets"/>
      </Event>
    </History>
  </Task>
  <Task id="{227099c4-604f-418c-8c23-2ad91b26d35c}">
    <Anchor>
      <Comment id="{c9ce40b8-69de-49c7-84ab-2e8c2d1f6693}"/>
    </Anchor>
    <History>
      <Event time="2026-03-11T09:27:41.00" id="{c191f318-5969-4c7d-8cf9-a8153797c5bc}">
        <Attribution userId="placeholder@email.com" userName="Amm_Gem SG" userProvider="google-sheets"/>
        <Anchor>
          <Comment id="{c9ce40b8-69de-49c7-84ab-2e8c2d1f6693}"/>
        </Anchor>
        <Create/>
      </Event>
      <Event time="2026-03-11T09:27:41.00" id="{9ee121f0-9475-4143-bcb3-0722d3a43ab2}">
        <Attribution userId="placeholder@email.com" userName="Amm_Gem SG" userProvider="google-sheets"/>
        <Anchor>
          <Comment id="{c9ce40b8-69de-49c7-84ab-2e8c2d1f6693}"/>
        </Anchor>
        <Assign userId="gaechacha@gmail.com" userName="gaechacha@gmail.com" userProvider="google-sheets"/>
      </Event>
    </History>
  </Task>
</Tasks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ssimiliano@studio-gem.it" id="{c24bbc88-9e4a-4dc0-bde9-39184f80dbc1}" userId="massimiliano@studio-gem.it" providerId="google-sheets"/>
  <x18tc:person displayName="ammstudio15@gmail.com" id="{7accec8d-45db-4cef-9a9b-a892416a5b13}" userId="ammstudio15@gmail.com" providerId="google-sheets"/>
  <x18tc:person displayName="gaechacha@gmail.com" id="{f603a98a-488a-46cf-98f8-9f2063d2c8e0}" userId="gaechacha@gmail.com" providerId="google-sheets"/>
  <x18tc:person displayName="Gaetano Ambrosio" id="{f34105d6-c0aa-4cc4-8ad6-abbb220c70a9}" providerId="google-sheets"/>
  <x18tc:person displayName="Amm_Gem SG" id="{9fae1b58-073f-4bc1-88d1-3ad38504bb1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3" dT="2026-01-14T07:53:55.00" personId="{9fae1b58-073f-4bc1-88d1-3ad38504bb1c}" id="{3d77c28d-7a34-48d9-ba13-033e8f85eca6}" done="1">
    <x18tc:text xml:space="preserve">Soldo</x18tc:text>
  </x18tc:threadedComment>
  <x18tc:threadedComment ref="F4" dT="2026-01-14T07:54:19.00" personId="{9fae1b58-073f-4bc1-88d1-3ad38504bb1c}" id="{34c0bfe9-69b0-4e73-951e-074e25959f9f}" done="1">
    <x18tc:text xml:space="preserve">Soldo</x18tc:text>
  </x18tc:threadedComment>
  <x18tc:threadedComment ref="B27" dT="2026-02-23T15:11:40.00" personId="{9fae1b58-073f-4bc1-88d1-3ad38504bb1c}" id="{650fba93-b868-4d46-bd58-ac57e98d8de1}" done="0">
    <x18tc:text xml:space="preserve">@gaechacha@gmail.com verificare
Attività assegnata a gaechacha@gmail.com</x18tc:text>
    <x18tc:mentions>
      <x18tc:mention mentionpersonId="{f603a98a-488a-46cf-98f8-9f2063d2c8e0}" mentionId="{0d9d0248-d0b3-4b1c-ad4b-eeaf107d2fae}" startIndex="0" length="20"/>
    </x18tc:mentions>
  </x18tc:threadedComment>
  <x18tc:threadedComment ref="F6" dT="2026-01-14T07:56:12.00" personId="{9fae1b58-073f-4bc1-88d1-3ad38504bb1c}" id="{74b263db-972d-4d31-bb54-37454ff82695}" done="1">
    <x18tc:text xml:space="preserve">Paypal</x18tc:text>
  </x18tc:threadedComment>
  <x18tc:threadedComment ref="F7" dT="2026-01-14T07:56:17.00" personId="{9fae1b58-073f-4bc1-88d1-3ad38504bb1c}" id="{0f3ba601-2a0f-4be3-9a12-d8eaa3495583}" done="1">
    <x18tc:text xml:space="preserve">Paypal</x18tc:text>
  </x18tc:threadedComment>
  <x18tc:threadedComment ref="A43" dT="2026-03-13T11:19:49.00" personId="{f34105d6-c0aa-4cc4-8ad6-abbb220c70a9}" id="{2e069bbc-e3e3-4a31-83e5-971c85eeec03}" done="0">
    <x18tc:text xml:space="preserve">chiudere l'abbonamento</x18tc:text>
  </x18tc:threadedComment>
  <x18tc:threadedComment ref="F8" dT="2026-01-14T07:56:25.00" personId="{9fae1b58-073f-4bc1-88d1-3ad38504bb1c}" id="{2e1c4c48-ca32-4e35-bd67-25775f1fa7de}" done="1">
    <x18tc:text xml:space="preserve">Paypal</x18tc:text>
  </x18tc:threadedComment>
  <x18tc:threadedComment ref="A37" dT="2026-03-13T11:19:34.00" personId="{f34105d6-c0aa-4cc4-8ad6-abbb220c70a9}" id="{be0911b9-5b32-40e0-bf32-54095168f47a}" done="0">
    <x18tc:text xml:space="preserve">@ammstudio15@gmail.com avvisare Ago di chiudere l'abbonamento</x18tc:text>
    <x18tc:mentions>
      <x18tc:mention mentionpersonId="{7accec8d-45db-4cef-9a9b-a892416a5b13}" mentionId="{1ecec859-8309-4d16-aee5-6ab2af33e268}" startIndex="0" length="22"/>
    </x18tc:mentions>
  </x18tc:threadedComment>
  <x18tc:threadedComment ref="A27" dT="2026-03-13T11:21:36.00" personId="{f34105d6-c0aa-4cc4-8ad6-abbb220c70a9}" id="{81343b6b-0de7-4ea3-b403-404f22136eac}" done="0">
    <x18tc:text xml:space="preserve">verificare e chiudere</x18tc:text>
  </x18tc:threadedComment>
  <x18tc:threadedComment ref="F9" dT="2026-01-14T08:01:30.00" personId="{9fae1b58-073f-4bc1-88d1-3ad38504bb1c}" id="{f98641b9-1c69-462e-83a3-45ba1f3b7ab3}" done="1">
    <x18tc:text xml:space="preserve">B/B Poste</x18tc:text>
  </x18tc:threadedComment>
  <x18tc:threadedComment ref="A30" dT="2026-03-13T11:20:52.00" personId="{f34105d6-c0aa-4cc4-8ad6-abbb220c70a9}" id="{94aaae07-d9c1-48a3-8197-808a937a4af4}" done="0">
    <x18tc:text xml:space="preserve">chiudere l'abbonamento</x18tc:text>
  </x18tc:threadedComment>
  <x18tc:threadedComment ref="A26" dT="2026-04-01T09:07:19.00" personId="{f34105d6-c0aa-4cc4-8ad6-abbb220c70a9}" id="{976343c0-19c5-4705-8e28-531463bc5839}" done="0">
    <x18tc:text xml:space="preserve">oggi ho trasferito il dominio</x18tc:text>
  </x18tc:threadedComment>
  <x18tc:threadedComment ref="F11" dT="2026-01-14T08:29:41.00" personId="{9fae1b58-073f-4bc1-88d1-3ad38504bb1c}" id="{c88727c2-2bf1-46ee-ae05-377d2d8d1960}" done="1">
    <x18tc:text xml:space="preserve">Paypal</x18tc:text>
  </x18tc:threadedComment>
  <x18tc:threadedComment ref="A39" dT="2026-03-13T11:24:48.00" personId="{f34105d6-c0aa-4cc4-8ad6-abbb220c70a9}" id="{0c1be10f-8296-4bdc-b204-6d3e3573df36}" done="0">
    <x18tc:text xml:space="preserve">chiudere account e spostare dominio su Ionos</x18tc:text>
  </x18tc:threadedComment>
  <x18tc:threadedComment ref="B15" dT="2026-02-23T10:48:05.00" personId="{9fae1b58-073f-4bc1-88d1-3ad38504bb1c}" id="{1f2ffae0-ae5d-4fad-8df2-70390414bd6c}" done="1">
    <x18tc:text xml:space="preserve">@gaechacha@gmail.com ciao, mi recuperi la fattura per favore ?
Attività assegnata a gaechacha@gmail.com</x18tc:text>
    <x18tc:mentions>
      <x18tc:mention mentionpersonId="{f603a98a-488a-46cf-98f8-9f2063d2c8e0}" mentionId="{2e7c9d8a-2f8b-4c92-be57-3475798313fc}" startIndex="0" length="20"/>
    </x18tc:mentions>
  </x18tc:threadedComment>
  <x18tc:threadedComment ref="A40" dT="2026-03-13T11:22:13.00" personId="{f34105d6-c0aa-4cc4-8ad6-abbb220c70a9}" id="{e1a134da-20b7-45be-893a-8e80d0beb488}" done="0">
    <x18tc:text xml:space="preserve">chiudere account</x18tc:text>
  </x18tc:threadedComment>
  <x18tc:threadedComment ref="A69" dT="2026-03-13T11:34:15.00" personId="{f34105d6-c0aa-4cc4-8ad6-abbb220c70a9}" id="{8bc8c621-02a3-4814-8e88-b71d5ba516ee}" done="0">
    <x18tc:text xml:space="preserve">@massimiliano@studio-gem.it @ammstudio15@gmail.com  chiudere
Attività assegnata a massimiliano@studio-gem.it</x18tc:text>
    <x18tc:mentions>
      <x18tc:mention mentionpersonId="{c24bbc88-9e4a-4dc0-bde9-39184f80dbc1}" mentionId="{797485a9-71ff-4237-af9b-ba3e35c6a21a}" startIndex="0" length="27"/>
      <x18tc:mention mentionpersonId="{7accec8d-45db-4cef-9a9b-a892416a5b13}" mentionId="{106a6b57-44cb-492c-a715-9c88c347134d}" startIndex="28" length="22"/>
    </x18tc:mentions>
  </x18tc:threadedComment>
  <x18tc:threadedComment ref="B24" dT="2026-01-14T14:09:51.00" personId="{9fae1b58-073f-4bc1-88d1-3ad38504bb1c}" id="{a87e9987-2816-4470-8a17-53df2b70501a}" done="1">
    <x18tc:text xml:space="preserve">@gaechacha@gmail.com verificare l'abbonamento se è attivo
Attività assegnata a gaechacha@gmail.com</x18tc:text>
    <x18tc:mentions>
      <x18tc:mention mentionpersonId="{f603a98a-488a-46cf-98f8-9f2063d2c8e0}" mentionId="{48a92b05-2231-4302-b7f3-4e94db3b424a}" startIndex="0" length="20"/>
    </x18tc:mentions>
  </x18tc:threadedComment>
  <x18tc:threadedComment ref="A11" dT="2026-03-13T11:26:51.00" personId="{f34105d6-c0aa-4cc4-8ad6-abbb220c70a9}" id="{c5775f92-9842-4469-ae3f-e283a7fe3594}" done="0">
    <x18tc:text xml:space="preserve">chiudere una volta passati al gestionale</x18tc:text>
  </x18tc:threadedComment>
  <x18tc:threadedComment ref="A10" dT="2026-03-13T11:26:15.00" personId="{f34105d6-c0aa-4cc4-8ad6-abbb220c70a9}" id="{e2d0dd99-2fef-42a1-9635-717d4a74546c}" done="0">
    <x18tc:text xml:space="preserve">monitorare la spesa mensile e valutare se cambiare abbonamento o migrare sul gestionale</x18tc:text>
  </x18tc:threadedComment>
  <x18tc:threadedComment ref="A17" dT="2026-03-13T11:28:06.00" personId="{f34105d6-c0aa-4cc4-8ad6-abbb220c70a9}" id="{f4483e88-e186-44ce-b35f-fde29243efa7}" done="0">
    <x18tc:text xml:space="preserve">chiudere account</x18tc:text>
  </x18tc:threadedComment>
  <x18tc:threadedComment ref="S19" dT="2026-03-23T11:11:12.00" personId="{9fae1b58-073f-4bc1-88d1-3ad38504bb1c}" id="{6e252f12-3951-48e7-836a-435fe8e18782}" done="1">
    <x18tc:text xml:space="preserve">@gaechacha@gmail.com mi servono le fatture
Attività assegnata a gaechacha@gmail.com</x18tc:text>
    <x18tc:mentions>
      <x18tc:mention mentionpersonId="{f603a98a-488a-46cf-98f8-9f2063d2c8e0}" mentionId="{4f0a12bf-14a7-4917-b345-13c3f4a119ee}" startIndex="0" length="20"/>
    </x18tc:mentions>
  </x18tc:threadedComment>
  <x18tc:threadedComment ref="S19" dT="2026-03-25T15:20:56.00" personId="{f34105d6-c0aa-4cc4-8ad6-abbb220c70a9}" id="{59c9f27d-3107-4d8f-9e4d-ae9b24ec1dbc}" parentId="{6e252f12-3951-48e7-836a-435fe8e18782}">
    <x18tc:text xml:space="preserve">fatto</x18tc:text>
  </x18tc:threadedComment>
  <x18tc:threadedComment ref="A15" dT="2026-03-11T09:27:41.00" personId="{9fae1b58-073f-4bc1-88d1-3ad38504bb1c}" id="{c9ce40b8-69de-49c7-84ab-2e8c2d1f6693}" done="1">
    <x18tc:text xml:space="preserve">@gaechacha@gmail.com mi serve la fattura
Attività assegnata a gaechacha@gmail.com</x18tc:text>
    <x18tc:mentions>
      <x18tc:mention mentionpersonId="{f603a98a-488a-46cf-98f8-9f2063d2c8e0}" mentionId="{d07458f1-49b9-4290-bf03-25566ff6a448}" startIndex="0" length="20"/>
    </x18tc:mentions>
  </x18tc:threadedComment>
  <x18tc:threadedComment ref="A15" dT="2026-03-25T15:31:02.00" personId="{f34105d6-c0aa-4cc4-8ad6-abbb220c70a9}" id="{24753ae4-1484-4c1d-a33f-8cecf2b49361}" parentId="{c9ce40b8-69de-49c7-84ab-2e8c2d1f6693}">
    <x18tc:text xml:space="preserve">fatto</x18tc:text>
  </x18tc:threadedComment>
  <x18tc:threadedComment ref="A16" dT="2026-03-13T11:27:43.00" personId="{f34105d6-c0aa-4cc4-8ad6-abbb220c70a9}" id="{6d565e2c-4b36-4358-bd58-b6425adfbf9d}" done="0">
    <x18tc:text xml:space="preserve">chiudere account</x18tc:text>
  </x18tc:threadedComment>
  <x18tc:threadedComment ref="A16" dT="2026-03-14T11:55:17.00" personId="{f34105d6-c0aa-4cc4-8ad6-abbb220c70a9}" id="{e878e4a1-8d60-40b6-a813-819a2bb2c304}" parentId="{6d565e2c-4b36-4358-bd58-b6425adfbf9d}">
    <x18tc:text xml:space="preserve">fatto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45" dT="2026-02-03T10:54:46.00" personId="{f34105d6-c0aa-4cc4-8ad6-abbb220c70a9}" id="{fa37eb63-cf5e-4ede-9580-ec7eb87ddb77}" done="0">
    <x18tc:text xml:space="preserve">x SANTO inserire le date di attivazione e scadenza di ogni servizio</x18tc:text>
  </x18tc:threadedComment>
  <x18tc:threadedComment ref="F45" dT="2026-02-23T16:45:41.00" personId="{9fae1b58-073f-4bc1-88d1-3ad38504bb1c}" id="{9fc44ad3-3132-44fa-b3c2-3739d5796468}" parentId="{fa37eb63-cf5e-4ede-9580-ec7eb87ddb77}">
    <x18tc:text xml:space="preserve">l'unica data è quello di un plugin a luglio , le altre o sono pre covid o non si riesce a risalire alla data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68" dT="2026-02-03T10:53:20.00" personId="{f34105d6-c0aa-4cc4-8ad6-abbb220c70a9}" id="{43d4b899-83df-48b3-ab7a-f4e7b2e4d84d}" done="0">
    <x18tc:text xml:space="preserve">x SANTO inserire le date di attivazione e scadenza di ogni servizio</x18tc:text>
  </x18tc:threadedComment>
  <x18tc:threadedComment ref="H68" dT="2026-02-23T16:45:50.00" personId="{9fae1b58-073f-4bc1-88d1-3ad38504bb1c}" id="{f5f9bdb5-874d-4b30-93aa-d0ecdb3aeee4}" parentId="{43d4b899-83df-48b3-ab7a-f4e7b2e4d84d}">
    <x18tc:text xml:space="preserve">l'unica data è quello di un plugin a luglio , le altre o sono pre covid o non si riesce a risalire alla data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platform.openai.com/" TargetMode="External"/><Relationship Id="rId22" Type="http://schemas.openxmlformats.org/officeDocument/2006/relationships/hyperlink" Target="https://login.brevo.com/?target=https%3A%2F%2Fapp.brevo.com%2Fbilling%2Faccount%2Fplans%2Fsubscriptions" TargetMode="External"/><Relationship Id="rId21" Type="http://schemas.openxmlformats.org/officeDocument/2006/relationships/hyperlink" Target="https://www.optisigns.com/" TargetMode="External"/><Relationship Id="rId24" Type="http://schemas.openxmlformats.org/officeDocument/2006/relationships/hyperlink" Target="https://trello.com/c/wbssyC16" TargetMode="External"/><Relationship Id="rId23" Type="http://schemas.openxmlformats.org/officeDocument/2006/relationships/hyperlink" Target="http://studio-gem.it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amazon.it/mc/payments?ref=mc_am_ph&amp;ms3_c=25695d3b7cd7e8b1dbe5d9259cc43461" TargetMode="External"/><Relationship Id="rId9" Type="http://schemas.openxmlformats.org/officeDocument/2006/relationships/hyperlink" Target="https://drive.google.com/open?id=1XXolQRAN-w565vBZKFcRAwBMgvoBFwlU&amp;usp=drive_fs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calendario.studio-gem.it/" TargetMode="External"/><Relationship Id="rId27" Type="http://schemas.openxmlformats.org/officeDocument/2006/relationships/vmlDrawing" Target="../drawings/vmlDrawing1.vml"/><Relationship Id="rId5" Type="http://schemas.openxmlformats.org/officeDocument/2006/relationships/hyperlink" Target="https://claude.ai/settings/billing" TargetMode="External"/><Relationship Id="rId6" Type="http://schemas.openxmlformats.org/officeDocument/2006/relationships/hyperlink" Target="https://drive.google.com/drive/folders/14bwKCCUS0fe9lQT45UiHgj3NRhnuKZ-Z?usp=drive_link" TargetMode="External"/><Relationship Id="rId7" Type="http://schemas.openxmlformats.org/officeDocument/2006/relationships/hyperlink" Target="https://drive.google.com/drive/folders/1B-VGg5D8oYz4jM74QjwOBPfn4t663rUy?usp=drive_link" TargetMode="External"/><Relationship Id="rId8" Type="http://schemas.openxmlformats.org/officeDocument/2006/relationships/hyperlink" Target="https://www.figma.com/files/team/1582871173565663735/team-admin-console/billing/invoices?fuid=1582871171361721723" TargetMode="External"/><Relationship Id="rId11" Type="http://schemas.openxmlformats.org/officeDocument/2006/relationships/hyperlink" Target="http://github.com/" TargetMode="External"/><Relationship Id="rId10" Type="http://schemas.openxmlformats.org/officeDocument/2006/relationships/hyperlink" Target="http://github.com/" TargetMode="External"/><Relationship Id="rId13" Type="http://schemas.openxmlformats.org/officeDocument/2006/relationships/hyperlink" Target="https://github.com/settings/billing/payment_information" TargetMode="External"/><Relationship Id="rId12" Type="http://schemas.openxmlformats.org/officeDocument/2006/relationships/hyperlink" Target="https://github.com/settings/billing/payment_information" TargetMode="External"/><Relationship Id="rId15" Type="http://schemas.openxmlformats.org/officeDocument/2006/relationships/hyperlink" Target="https://gemini.google.com/app?hl=it" TargetMode="External"/><Relationship Id="rId14" Type="http://schemas.openxmlformats.org/officeDocument/2006/relationships/hyperlink" Target="https://drive.google.com/drive/folders/1plwECE5gbsCwaplTk8DfnY5Yv1shkkEq?usp=drive_link" TargetMode="External"/><Relationship Id="rId17" Type="http://schemas.openxmlformats.org/officeDocument/2006/relationships/hyperlink" Target="http://studio-gem.it/" TargetMode="External"/><Relationship Id="rId16" Type="http://schemas.openxmlformats.org/officeDocument/2006/relationships/hyperlink" Target="http://studio-gem.it/" TargetMode="External"/><Relationship Id="rId19" Type="http://schemas.openxmlformats.org/officeDocument/2006/relationships/hyperlink" Target="http://platform.openai.com/" TargetMode="External"/><Relationship Id="rId18" Type="http://schemas.openxmlformats.org/officeDocument/2006/relationships/hyperlink" Target="http://open.ai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3.5"/>
    <col customWidth="1" min="2" max="2" width="41.5"/>
    <col customWidth="1" min="3" max="5" width="23.5"/>
    <col customWidth="1" min="6" max="6" width="18.75"/>
    <col customWidth="1" min="7" max="8" width="27.38"/>
    <col customWidth="1" min="9" max="12" width="23.5"/>
    <col customWidth="1" min="13" max="13" width="16.13"/>
    <col customWidth="1" min="14" max="14" width="23.5"/>
    <col customWidth="1" min="15" max="15" width="14.5"/>
    <col customWidth="1" min="16" max="20" width="23.5"/>
  </cols>
  <sheetData>
    <row r="1">
      <c r="A1" s="1"/>
      <c r="B1" s="1" t="s">
        <v>0</v>
      </c>
      <c r="O1" s="2" t="s">
        <v>1</v>
      </c>
      <c r="P1" s="3" t="s">
        <v>2</v>
      </c>
      <c r="Q1" s="4" t="s">
        <v>3</v>
      </c>
      <c r="R1" s="5" t="s">
        <v>4</v>
      </c>
      <c r="S1" s="6" t="s">
        <v>5</v>
      </c>
      <c r="T1" s="2"/>
    </row>
    <row r="2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  <c r="S2" s="7" t="s">
        <v>24</v>
      </c>
      <c r="T2" s="7" t="s">
        <v>25</v>
      </c>
    </row>
    <row r="3">
      <c r="A3" s="8" t="s">
        <v>26</v>
      </c>
      <c r="B3" s="9"/>
      <c r="C3" s="8" t="s">
        <v>27</v>
      </c>
      <c r="D3" s="8" t="s">
        <v>28</v>
      </c>
      <c r="E3" s="8" t="s">
        <v>29</v>
      </c>
      <c r="F3" s="10" t="s">
        <v>30</v>
      </c>
      <c r="G3" s="11"/>
      <c r="H3" s="11">
        <v>46395.0</v>
      </c>
      <c r="I3" s="12"/>
      <c r="J3" s="13">
        <v>106.89</v>
      </c>
      <c r="K3" s="13"/>
      <c r="L3" s="12"/>
      <c r="M3" s="12"/>
      <c r="N3" s="11"/>
      <c r="O3" s="12"/>
      <c r="P3" s="11"/>
      <c r="Q3" s="9"/>
      <c r="R3" s="8"/>
      <c r="S3" s="8"/>
      <c r="T3" s="8" t="s">
        <v>31</v>
      </c>
    </row>
    <row r="4">
      <c r="A4" s="8" t="s">
        <v>32</v>
      </c>
      <c r="B4" s="8" t="s">
        <v>33</v>
      </c>
      <c r="C4" s="8" t="s">
        <v>27</v>
      </c>
      <c r="D4" s="8" t="s">
        <v>28</v>
      </c>
      <c r="E4" s="8" t="s">
        <v>29</v>
      </c>
      <c r="F4" s="14" t="s">
        <v>30</v>
      </c>
      <c r="G4" s="11"/>
      <c r="H4" s="11">
        <v>46368.0</v>
      </c>
      <c r="I4" s="12"/>
      <c r="J4" s="13">
        <v>49.9</v>
      </c>
      <c r="K4" s="13"/>
      <c r="L4" s="12"/>
      <c r="M4" s="12"/>
      <c r="N4" s="11"/>
      <c r="O4" s="12"/>
      <c r="P4" s="11"/>
      <c r="Q4" s="15" t="s">
        <v>34</v>
      </c>
      <c r="R4" s="9"/>
      <c r="S4" s="9"/>
      <c r="T4" s="8" t="s">
        <v>31</v>
      </c>
    </row>
    <row r="5">
      <c r="A5" s="8" t="s">
        <v>35</v>
      </c>
      <c r="B5" s="8" t="s">
        <v>36</v>
      </c>
      <c r="C5" s="8" t="s">
        <v>37</v>
      </c>
      <c r="D5" s="8" t="s">
        <v>28</v>
      </c>
      <c r="E5" s="8" t="s">
        <v>29</v>
      </c>
      <c r="F5" s="10" t="s">
        <v>38</v>
      </c>
      <c r="G5" s="11"/>
      <c r="H5" s="8" t="s">
        <v>39</v>
      </c>
      <c r="I5" s="12">
        <v>9.99</v>
      </c>
      <c r="J5" s="13">
        <v>149.95</v>
      </c>
      <c r="K5" s="16"/>
      <c r="L5" s="17"/>
      <c r="M5" s="17"/>
      <c r="N5" s="18"/>
      <c r="O5" s="17"/>
      <c r="P5" s="18"/>
      <c r="Q5" s="9"/>
      <c r="R5" s="9"/>
      <c r="S5" s="9"/>
      <c r="T5" s="8" t="s">
        <v>31</v>
      </c>
    </row>
    <row r="6">
      <c r="A6" s="8" t="s">
        <v>40</v>
      </c>
      <c r="B6" s="9"/>
      <c r="C6" s="8" t="s">
        <v>27</v>
      </c>
      <c r="D6" s="8" t="s">
        <v>28</v>
      </c>
      <c r="E6" s="8" t="s">
        <v>29</v>
      </c>
      <c r="F6" s="10" t="s">
        <v>41</v>
      </c>
      <c r="G6" s="11"/>
      <c r="H6" s="11">
        <v>46359.0</v>
      </c>
      <c r="I6" s="12"/>
      <c r="J6" s="13">
        <v>36.48</v>
      </c>
      <c r="K6" s="13"/>
      <c r="L6" s="12"/>
      <c r="M6" s="12"/>
      <c r="N6" s="11"/>
      <c r="O6" s="12"/>
      <c r="P6" s="11"/>
      <c r="Q6" s="9"/>
      <c r="R6" s="9"/>
      <c r="S6" s="9"/>
      <c r="T6" s="8" t="s">
        <v>31</v>
      </c>
    </row>
    <row r="7">
      <c r="A7" s="8" t="s">
        <v>42</v>
      </c>
      <c r="B7" s="9"/>
      <c r="C7" s="8" t="s">
        <v>27</v>
      </c>
      <c r="D7" s="8" t="s">
        <v>28</v>
      </c>
      <c r="E7" s="8" t="s">
        <v>29</v>
      </c>
      <c r="F7" s="10" t="s">
        <v>41</v>
      </c>
      <c r="G7" s="11"/>
      <c r="H7" s="11">
        <v>46368.0</v>
      </c>
      <c r="I7" s="12"/>
      <c r="J7" s="13">
        <v>12.08</v>
      </c>
      <c r="K7" s="13"/>
      <c r="L7" s="12"/>
      <c r="M7" s="12"/>
      <c r="N7" s="11"/>
      <c r="O7" s="12"/>
      <c r="P7" s="11"/>
      <c r="Q7" s="9"/>
      <c r="R7" s="9"/>
      <c r="S7" s="9"/>
      <c r="T7" s="8" t="s">
        <v>31</v>
      </c>
    </row>
    <row r="8">
      <c r="A8" s="8" t="s">
        <v>43</v>
      </c>
      <c r="B8" s="9"/>
      <c r="C8" s="8" t="s">
        <v>27</v>
      </c>
      <c r="D8" s="8" t="s">
        <v>28</v>
      </c>
      <c r="E8" s="8" t="s">
        <v>29</v>
      </c>
      <c r="F8" s="10" t="s">
        <v>41</v>
      </c>
      <c r="G8" s="11"/>
      <c r="H8" s="11">
        <v>46185.0</v>
      </c>
      <c r="I8" s="12"/>
      <c r="J8" s="13"/>
      <c r="K8" s="13"/>
      <c r="L8" s="12">
        <v>6.1</v>
      </c>
      <c r="M8" s="12"/>
      <c r="N8" s="11"/>
      <c r="O8" s="12"/>
      <c r="P8" s="11"/>
      <c r="Q8" s="9"/>
      <c r="R8" s="9"/>
      <c r="S8" s="9"/>
      <c r="T8" s="8" t="s">
        <v>31</v>
      </c>
    </row>
    <row r="9">
      <c r="A9" s="8" t="s">
        <v>44</v>
      </c>
      <c r="B9" s="8" t="s">
        <v>45</v>
      </c>
      <c r="C9" s="8" t="s">
        <v>27</v>
      </c>
      <c r="D9" s="8" t="s">
        <v>28</v>
      </c>
      <c r="E9" s="8" t="s">
        <v>29</v>
      </c>
      <c r="F9" s="10" t="s">
        <v>46</v>
      </c>
      <c r="G9" s="11"/>
      <c r="H9" s="11">
        <v>46079.0</v>
      </c>
      <c r="I9" s="12"/>
      <c r="J9" s="13">
        <v>948.67</v>
      </c>
      <c r="K9" s="13"/>
      <c r="L9" s="12"/>
      <c r="M9" s="12"/>
      <c r="N9" s="11"/>
      <c r="O9" s="12"/>
      <c r="P9" s="11"/>
      <c r="Q9" s="9"/>
      <c r="R9" s="9"/>
      <c r="S9" s="9"/>
      <c r="T9" s="8" t="s">
        <v>31</v>
      </c>
    </row>
    <row r="10">
      <c r="A10" s="19" t="s">
        <v>47</v>
      </c>
      <c r="B10" s="19" t="s">
        <v>48</v>
      </c>
      <c r="C10" s="19" t="s">
        <v>37</v>
      </c>
      <c r="D10" s="19" t="s">
        <v>28</v>
      </c>
      <c r="E10" s="19" t="s">
        <v>29</v>
      </c>
      <c r="F10" s="20" t="s">
        <v>49</v>
      </c>
      <c r="G10" s="21"/>
      <c r="H10" s="21">
        <v>46074.0</v>
      </c>
      <c r="I10" s="22">
        <v>149.0</v>
      </c>
      <c r="J10" s="22">
        <v>149.0</v>
      </c>
      <c r="K10" s="23"/>
      <c r="L10" s="22"/>
      <c r="M10" s="23"/>
      <c r="N10" s="24"/>
      <c r="O10" s="23"/>
      <c r="P10" s="24"/>
      <c r="Q10" s="19" t="s">
        <v>50</v>
      </c>
      <c r="R10" s="25"/>
      <c r="S10" s="25"/>
      <c r="T10" s="19"/>
    </row>
    <row r="11">
      <c r="A11" s="19" t="s">
        <v>51</v>
      </c>
      <c r="B11" s="19" t="s">
        <v>52</v>
      </c>
      <c r="C11" s="19" t="s">
        <v>37</v>
      </c>
      <c r="D11" s="19" t="s">
        <v>28</v>
      </c>
      <c r="E11" s="19" t="s">
        <v>29</v>
      </c>
      <c r="F11" s="20" t="s">
        <v>41</v>
      </c>
      <c r="G11" s="24"/>
      <c r="H11" s="24"/>
      <c r="I11" s="22"/>
      <c r="J11" s="22"/>
      <c r="K11" s="22">
        <v>1200.0</v>
      </c>
      <c r="L11" s="22"/>
      <c r="M11" s="22">
        <v>25.0</v>
      </c>
      <c r="N11" s="24"/>
      <c r="O11" s="23"/>
      <c r="P11" s="19"/>
      <c r="Q11" s="19" t="s">
        <v>53</v>
      </c>
      <c r="R11" s="25"/>
      <c r="S11" s="25"/>
      <c r="T11" s="19" t="s">
        <v>54</v>
      </c>
    </row>
    <row r="12">
      <c r="A12" s="8" t="s">
        <v>55</v>
      </c>
      <c r="B12" s="9"/>
      <c r="C12" s="8" t="s">
        <v>27</v>
      </c>
      <c r="D12" s="8" t="s">
        <v>28</v>
      </c>
      <c r="E12" s="8" t="s">
        <v>29</v>
      </c>
      <c r="F12" s="10" t="s">
        <v>41</v>
      </c>
      <c r="G12" s="11"/>
      <c r="H12" s="11">
        <v>46377.0</v>
      </c>
      <c r="I12" s="12"/>
      <c r="J12" s="13">
        <v>270.0</v>
      </c>
      <c r="K12" s="13"/>
      <c r="L12" s="12"/>
      <c r="M12" s="12"/>
      <c r="N12" s="11"/>
      <c r="O12" s="12"/>
      <c r="P12" s="11"/>
      <c r="Q12" s="9"/>
      <c r="R12" s="9"/>
      <c r="S12" s="9"/>
      <c r="T12" s="8" t="s">
        <v>31</v>
      </c>
    </row>
    <row r="13">
      <c r="A13" s="8" t="s">
        <v>56</v>
      </c>
      <c r="B13" s="9"/>
      <c r="C13" s="8" t="s">
        <v>27</v>
      </c>
      <c r="D13" s="8" t="s">
        <v>28</v>
      </c>
      <c r="E13" s="8" t="s">
        <v>29</v>
      </c>
      <c r="F13" s="10" t="s">
        <v>41</v>
      </c>
      <c r="G13" s="11"/>
      <c r="H13" s="11">
        <v>46305.0</v>
      </c>
      <c r="I13" s="12"/>
      <c r="J13" s="13">
        <v>1044.0</v>
      </c>
      <c r="K13" s="13"/>
      <c r="L13" s="12"/>
      <c r="M13" s="12"/>
      <c r="N13" s="11"/>
      <c r="O13" s="12"/>
      <c r="P13" s="11"/>
      <c r="Q13" s="9"/>
      <c r="R13" s="9"/>
      <c r="S13" s="26"/>
      <c r="T13" s="8" t="s">
        <v>31</v>
      </c>
    </row>
    <row r="14">
      <c r="A14" s="19" t="s">
        <v>57</v>
      </c>
      <c r="B14" s="19" t="s">
        <v>58</v>
      </c>
      <c r="C14" s="19" t="s">
        <v>37</v>
      </c>
      <c r="D14" s="19" t="s">
        <v>28</v>
      </c>
      <c r="E14" s="19" t="s">
        <v>29</v>
      </c>
      <c r="F14" s="20" t="s">
        <v>38</v>
      </c>
      <c r="G14" s="21">
        <v>46108.0</v>
      </c>
      <c r="H14" s="21">
        <v>46138.0</v>
      </c>
      <c r="I14" s="22">
        <v>90.0</v>
      </c>
      <c r="J14" s="22">
        <v>90.0</v>
      </c>
      <c r="K14" s="22"/>
      <c r="L14" s="22"/>
      <c r="M14" s="22"/>
      <c r="N14" s="21"/>
      <c r="O14" s="22"/>
      <c r="P14" s="21"/>
      <c r="Q14" s="19" t="s">
        <v>59</v>
      </c>
      <c r="R14" s="27" t="s">
        <v>60</v>
      </c>
      <c r="S14" s="28" t="s">
        <v>61</v>
      </c>
      <c r="T14" s="19"/>
    </row>
    <row r="15">
      <c r="A15" s="19" t="s">
        <v>62</v>
      </c>
      <c r="B15" s="19" t="s">
        <v>63</v>
      </c>
      <c r="C15" s="19" t="s">
        <v>27</v>
      </c>
      <c r="D15" s="19" t="s">
        <v>28</v>
      </c>
      <c r="E15" s="19" t="s">
        <v>29</v>
      </c>
      <c r="F15" s="19" t="s">
        <v>41</v>
      </c>
      <c r="G15" s="21"/>
      <c r="H15" s="21">
        <v>46413.0</v>
      </c>
      <c r="I15" s="22"/>
      <c r="J15" s="22">
        <v>199.99</v>
      </c>
      <c r="K15" s="22"/>
      <c r="L15" s="22"/>
      <c r="M15" s="22"/>
      <c r="N15" s="21"/>
      <c r="O15" s="22"/>
      <c r="P15" s="21"/>
      <c r="Q15" s="19" t="s">
        <v>64</v>
      </c>
      <c r="R15" s="19"/>
      <c r="S15" s="29" t="s">
        <v>65</v>
      </c>
      <c r="T15" s="19" t="s">
        <v>31</v>
      </c>
    </row>
    <row r="16" ht="22.5" customHeight="1">
      <c r="A16" s="30" t="s">
        <v>66</v>
      </c>
      <c r="B16" s="30" t="s">
        <v>67</v>
      </c>
      <c r="C16" s="30"/>
      <c r="D16" s="30"/>
      <c r="E16" s="30" t="s">
        <v>68</v>
      </c>
      <c r="F16" s="31" t="s">
        <v>49</v>
      </c>
      <c r="G16" s="32"/>
      <c r="H16" s="32">
        <v>46098.0</v>
      </c>
      <c r="I16" s="33">
        <v>20.0</v>
      </c>
      <c r="J16" s="33">
        <v>60.0</v>
      </c>
      <c r="K16" s="34"/>
      <c r="L16" s="34"/>
      <c r="M16" s="34"/>
      <c r="N16" s="35"/>
      <c r="O16" s="34"/>
      <c r="P16" s="35"/>
      <c r="Q16" s="30" t="s">
        <v>69</v>
      </c>
      <c r="R16" s="36" t="s">
        <v>70</v>
      </c>
      <c r="S16" s="37" t="s">
        <v>71</v>
      </c>
      <c r="T16" s="30" t="s">
        <v>31</v>
      </c>
    </row>
    <row r="17">
      <c r="A17" s="19" t="s">
        <v>72</v>
      </c>
      <c r="B17" s="19" t="s">
        <v>73</v>
      </c>
      <c r="C17" s="19" t="s">
        <v>27</v>
      </c>
      <c r="D17" s="19" t="s">
        <v>28</v>
      </c>
      <c r="E17" s="19" t="s">
        <v>29</v>
      </c>
      <c r="F17" s="20" t="s">
        <v>38</v>
      </c>
      <c r="G17" s="21"/>
      <c r="H17" s="21">
        <v>46164.0</v>
      </c>
      <c r="I17" s="23"/>
      <c r="J17" s="22"/>
      <c r="K17" s="23"/>
      <c r="L17" s="22">
        <v>71.99</v>
      </c>
      <c r="M17" s="23"/>
      <c r="N17" s="24"/>
      <c r="O17" s="23"/>
      <c r="P17" s="24"/>
      <c r="Q17" s="38"/>
      <c r="R17" s="25"/>
      <c r="S17" s="25"/>
      <c r="T17" s="19" t="s">
        <v>31</v>
      </c>
    </row>
    <row r="18">
      <c r="A18" s="15" t="s">
        <v>74</v>
      </c>
      <c r="B18" s="26" t="s">
        <v>75</v>
      </c>
      <c r="C18" s="8" t="s">
        <v>37</v>
      </c>
      <c r="D18" s="8" t="s">
        <v>28</v>
      </c>
      <c r="E18" s="8" t="s">
        <v>29</v>
      </c>
      <c r="F18" s="10" t="s">
        <v>41</v>
      </c>
      <c r="G18" s="11">
        <v>46107.0</v>
      </c>
      <c r="H18" s="11">
        <v>46132.0</v>
      </c>
      <c r="I18" s="12">
        <v>3.35</v>
      </c>
      <c r="J18" s="13">
        <v>3.35</v>
      </c>
      <c r="K18" s="16"/>
      <c r="L18" s="17"/>
      <c r="M18" s="17"/>
      <c r="N18" s="18"/>
      <c r="O18" s="17"/>
      <c r="P18" s="18"/>
      <c r="Q18" s="8"/>
      <c r="R18" s="26"/>
      <c r="S18" s="26"/>
      <c r="T18" s="9"/>
    </row>
    <row r="19">
      <c r="A19" s="15" t="s">
        <v>76</v>
      </c>
      <c r="B19" s="15" t="s">
        <v>77</v>
      </c>
      <c r="C19" s="8" t="s">
        <v>37</v>
      </c>
      <c r="D19" s="8" t="s">
        <v>28</v>
      </c>
      <c r="E19" s="8" t="s">
        <v>29</v>
      </c>
      <c r="F19" s="10" t="s">
        <v>41</v>
      </c>
      <c r="G19" s="11">
        <v>46075.0</v>
      </c>
      <c r="H19" s="11">
        <v>46133.0</v>
      </c>
      <c r="I19" s="12">
        <v>10.0</v>
      </c>
      <c r="J19" s="13">
        <v>19.64</v>
      </c>
      <c r="K19" s="16"/>
      <c r="L19" s="17"/>
      <c r="M19" s="17"/>
      <c r="N19" s="18"/>
      <c r="O19" s="17"/>
      <c r="P19" s="18"/>
      <c r="Q19" s="8" t="s">
        <v>78</v>
      </c>
      <c r="R19" s="15" t="s">
        <v>79</v>
      </c>
      <c r="S19" s="39" t="s">
        <v>80</v>
      </c>
      <c r="T19" s="9"/>
    </row>
    <row r="20">
      <c r="A20" s="26" t="s">
        <v>81</v>
      </c>
      <c r="B20" s="15" t="s">
        <v>82</v>
      </c>
      <c r="C20" s="8" t="s">
        <v>37</v>
      </c>
      <c r="D20" s="8" t="s">
        <v>28</v>
      </c>
      <c r="E20" s="8" t="s">
        <v>29</v>
      </c>
      <c r="F20" s="10" t="s">
        <v>41</v>
      </c>
      <c r="G20" s="11"/>
      <c r="H20" s="11">
        <v>46108.0</v>
      </c>
      <c r="I20" s="12">
        <v>139.99</v>
      </c>
      <c r="J20" s="13">
        <v>139.99</v>
      </c>
      <c r="K20" s="16"/>
      <c r="L20" s="17"/>
      <c r="M20" s="17"/>
      <c r="N20" s="18"/>
      <c r="O20" s="17"/>
      <c r="P20" s="18"/>
      <c r="Q20" s="8"/>
      <c r="R20" s="9"/>
      <c r="S20" s="9"/>
      <c r="T20" s="9"/>
    </row>
    <row r="21">
      <c r="A21" s="8" t="s">
        <v>83</v>
      </c>
      <c r="B21" s="9"/>
      <c r="C21" s="8" t="s">
        <v>37</v>
      </c>
      <c r="D21" s="8" t="s">
        <v>28</v>
      </c>
      <c r="E21" s="8" t="s">
        <v>29</v>
      </c>
      <c r="F21" s="10" t="s">
        <v>30</v>
      </c>
      <c r="G21" s="18"/>
      <c r="H21" s="18"/>
      <c r="I21" s="12">
        <v>150.0</v>
      </c>
      <c r="J21" s="16"/>
      <c r="K21" s="16"/>
      <c r="L21" s="17"/>
      <c r="M21" s="17"/>
      <c r="N21" s="18"/>
      <c r="O21" s="17"/>
      <c r="P21" s="18"/>
      <c r="Q21" s="9"/>
      <c r="R21" s="9"/>
      <c r="S21" s="9"/>
      <c r="T21" s="9"/>
    </row>
    <row r="22">
      <c r="A22" s="8" t="s">
        <v>84</v>
      </c>
      <c r="B22" s="8" t="s">
        <v>85</v>
      </c>
      <c r="C22" s="8" t="s">
        <v>27</v>
      </c>
      <c r="D22" s="8" t="s">
        <v>28</v>
      </c>
      <c r="E22" s="8" t="s">
        <v>29</v>
      </c>
      <c r="F22" s="10" t="s">
        <v>30</v>
      </c>
      <c r="G22" s="11"/>
      <c r="H22" s="11">
        <v>46164.0</v>
      </c>
      <c r="I22" s="12"/>
      <c r="J22" s="13"/>
      <c r="K22" s="13"/>
      <c r="L22" s="12">
        <v>19.99</v>
      </c>
      <c r="M22" s="12"/>
      <c r="N22" s="11"/>
      <c r="O22" s="12"/>
      <c r="P22" s="11"/>
      <c r="Q22" s="9"/>
      <c r="R22" s="9"/>
      <c r="S22" s="9"/>
      <c r="T22" s="8" t="s">
        <v>31</v>
      </c>
    </row>
    <row r="23">
      <c r="A23" s="19" t="s">
        <v>86</v>
      </c>
      <c r="B23" s="19" t="s">
        <v>87</v>
      </c>
      <c r="C23" s="19" t="s">
        <v>27</v>
      </c>
      <c r="D23" s="19" t="s">
        <v>28</v>
      </c>
      <c r="E23" s="19" t="s">
        <v>29</v>
      </c>
      <c r="F23" s="20" t="s">
        <v>30</v>
      </c>
      <c r="G23" s="21"/>
      <c r="H23" s="21">
        <v>46164.0</v>
      </c>
      <c r="I23" s="22"/>
      <c r="J23" s="22"/>
      <c r="K23" s="22"/>
      <c r="L23" s="22">
        <v>19.99</v>
      </c>
      <c r="M23" s="22"/>
      <c r="N23" s="21"/>
      <c r="O23" s="22"/>
      <c r="P23" s="21"/>
      <c r="Q23" s="19" t="s">
        <v>88</v>
      </c>
      <c r="R23" s="25"/>
      <c r="S23" s="25"/>
      <c r="T23" s="19" t="s">
        <v>31</v>
      </c>
    </row>
    <row r="24">
      <c r="A24" s="8" t="s">
        <v>89</v>
      </c>
      <c r="B24" s="8" t="s">
        <v>90</v>
      </c>
      <c r="C24" s="8" t="s">
        <v>27</v>
      </c>
      <c r="D24" s="8" t="s">
        <v>28</v>
      </c>
      <c r="E24" s="8" t="s">
        <v>29</v>
      </c>
      <c r="F24" s="10" t="s">
        <v>41</v>
      </c>
      <c r="G24" s="11"/>
      <c r="H24" s="11">
        <v>46219.0</v>
      </c>
      <c r="I24" s="12"/>
      <c r="J24" s="13"/>
      <c r="K24" s="13"/>
      <c r="L24" s="12">
        <v>99.99</v>
      </c>
      <c r="M24" s="12"/>
      <c r="N24" s="11"/>
      <c r="O24" s="12"/>
      <c r="P24" s="11"/>
      <c r="Q24" s="9"/>
      <c r="R24" s="9"/>
      <c r="S24" s="9"/>
      <c r="T24" s="8" t="s">
        <v>31</v>
      </c>
    </row>
    <row r="25">
      <c r="A25" s="8" t="s">
        <v>91</v>
      </c>
      <c r="B25" s="8" t="s">
        <v>92</v>
      </c>
      <c r="C25" s="8" t="s">
        <v>37</v>
      </c>
      <c r="D25" s="8" t="s">
        <v>28</v>
      </c>
      <c r="E25" s="8" t="s">
        <v>29</v>
      </c>
      <c r="F25" s="10" t="s">
        <v>38</v>
      </c>
      <c r="G25" s="11">
        <v>46112.0</v>
      </c>
      <c r="H25" s="11">
        <v>46145.0</v>
      </c>
      <c r="I25" s="12">
        <v>35.0</v>
      </c>
      <c r="J25" s="13">
        <v>35.0</v>
      </c>
      <c r="K25" s="16"/>
      <c r="L25" s="17"/>
      <c r="M25" s="17"/>
      <c r="N25" s="18"/>
      <c r="O25" s="17"/>
      <c r="P25" s="18"/>
      <c r="Q25" s="9"/>
      <c r="R25" s="9"/>
      <c r="S25" s="9"/>
      <c r="T25" s="9"/>
    </row>
    <row r="26">
      <c r="A26" s="8" t="s">
        <v>93</v>
      </c>
      <c r="B26" s="15" t="s">
        <v>94</v>
      </c>
      <c r="C26" s="8" t="s">
        <v>37</v>
      </c>
      <c r="D26" s="8" t="s">
        <v>28</v>
      </c>
      <c r="E26" s="8" t="s">
        <v>29</v>
      </c>
      <c r="F26" s="10" t="s">
        <v>41</v>
      </c>
      <c r="G26" s="11"/>
      <c r="H26" s="11">
        <v>46370.0</v>
      </c>
      <c r="I26" s="12">
        <v>18.3</v>
      </c>
      <c r="J26" s="13">
        <v>36.6</v>
      </c>
      <c r="K26" s="13">
        <v>6.09</v>
      </c>
      <c r="L26" s="12">
        <v>219.6</v>
      </c>
      <c r="M26" s="12"/>
      <c r="N26" s="11"/>
      <c r="O26" s="12"/>
      <c r="P26" s="11"/>
      <c r="Q26" s="15" t="s">
        <v>95</v>
      </c>
      <c r="R26" s="9"/>
      <c r="S26" s="9"/>
      <c r="T26" s="8" t="s">
        <v>31</v>
      </c>
    </row>
    <row r="27">
      <c r="A27" s="19" t="s">
        <v>96</v>
      </c>
      <c r="B27" s="19" t="s">
        <v>97</v>
      </c>
      <c r="C27" s="19" t="s">
        <v>98</v>
      </c>
      <c r="D27" s="25"/>
      <c r="E27" s="19"/>
      <c r="F27" s="20" t="s">
        <v>38</v>
      </c>
      <c r="G27" s="24"/>
      <c r="H27" s="24"/>
      <c r="I27" s="22">
        <v>13.99</v>
      </c>
      <c r="J27" s="22">
        <v>27.98</v>
      </c>
      <c r="K27" s="22"/>
      <c r="L27" s="23"/>
      <c r="M27" s="23"/>
      <c r="N27" s="24"/>
      <c r="O27" s="23"/>
      <c r="P27" s="24"/>
      <c r="Q27" s="25"/>
      <c r="R27" s="25"/>
      <c r="S27" s="25"/>
      <c r="T27" s="25"/>
    </row>
    <row r="28">
      <c r="A28" s="8" t="s">
        <v>99</v>
      </c>
      <c r="B28" s="8" t="s">
        <v>100</v>
      </c>
      <c r="C28" s="8"/>
      <c r="D28" s="8" t="s">
        <v>101</v>
      </c>
      <c r="E28" s="8" t="s">
        <v>29</v>
      </c>
      <c r="F28" s="40" t="s">
        <v>30</v>
      </c>
      <c r="G28" s="18"/>
      <c r="H28" s="18"/>
      <c r="I28" s="17"/>
      <c r="J28" s="16"/>
      <c r="K28" s="16"/>
      <c r="L28" s="17"/>
      <c r="M28" s="17"/>
      <c r="N28" s="18"/>
      <c r="O28" s="17"/>
      <c r="P28" s="18"/>
      <c r="Q28" s="8" t="s">
        <v>102</v>
      </c>
      <c r="R28" s="8"/>
      <c r="S28" s="8"/>
      <c r="T28" s="8" t="s">
        <v>103</v>
      </c>
    </row>
    <row r="29">
      <c r="A29" s="8" t="s">
        <v>104</v>
      </c>
      <c r="B29" s="8" t="s">
        <v>105</v>
      </c>
      <c r="C29" s="8" t="s">
        <v>37</v>
      </c>
      <c r="D29" s="8" t="s">
        <v>28</v>
      </c>
      <c r="E29" s="8" t="s">
        <v>29</v>
      </c>
      <c r="F29" s="10" t="s">
        <v>41</v>
      </c>
      <c r="G29" s="11"/>
      <c r="H29" s="8" t="s">
        <v>106</v>
      </c>
      <c r="I29" s="12">
        <v>50.49</v>
      </c>
      <c r="J29" s="13">
        <v>252.45</v>
      </c>
      <c r="K29" s="13"/>
      <c r="L29" s="12"/>
      <c r="M29" s="12"/>
      <c r="N29" s="11"/>
      <c r="O29" s="12"/>
      <c r="P29" s="11"/>
      <c r="Q29" s="9"/>
      <c r="R29" s="8"/>
      <c r="S29" s="8"/>
      <c r="T29" s="8" t="s">
        <v>31</v>
      </c>
    </row>
    <row r="30">
      <c r="A30" s="19" t="s">
        <v>107</v>
      </c>
      <c r="B30" s="19" t="s">
        <v>108</v>
      </c>
      <c r="C30" s="19" t="s">
        <v>27</v>
      </c>
      <c r="D30" s="25"/>
      <c r="E30" s="19"/>
      <c r="F30" s="25"/>
      <c r="G30" s="24"/>
      <c r="H30" s="24"/>
      <c r="I30" s="23"/>
      <c r="J30" s="23"/>
      <c r="K30" s="23"/>
      <c r="L30" s="23"/>
      <c r="M30" s="23"/>
      <c r="N30" s="24"/>
      <c r="O30" s="23"/>
      <c r="P30" s="24"/>
      <c r="Q30" s="25"/>
      <c r="R30" s="25"/>
      <c r="S30" s="25"/>
      <c r="T30" s="25"/>
    </row>
    <row r="31">
      <c r="A31" s="8" t="s">
        <v>109</v>
      </c>
      <c r="B31" s="8" t="s">
        <v>110</v>
      </c>
      <c r="C31" s="8" t="s">
        <v>37</v>
      </c>
      <c r="D31" s="8" t="s">
        <v>28</v>
      </c>
      <c r="E31" s="8" t="s">
        <v>29</v>
      </c>
      <c r="F31" s="10" t="s">
        <v>38</v>
      </c>
      <c r="G31" s="11"/>
      <c r="H31" s="11">
        <v>46073.0</v>
      </c>
      <c r="I31" s="12">
        <v>28.67</v>
      </c>
      <c r="J31" s="13">
        <v>28.67</v>
      </c>
      <c r="K31" s="16"/>
      <c r="L31" s="17"/>
      <c r="M31" s="17"/>
      <c r="N31" s="18"/>
      <c r="O31" s="17"/>
      <c r="P31" s="18"/>
      <c r="Q31" s="9"/>
      <c r="R31" s="9"/>
      <c r="S31" s="9"/>
      <c r="T31" s="9"/>
    </row>
    <row r="32">
      <c r="A32" s="15" t="s">
        <v>111</v>
      </c>
      <c r="B32" s="15" t="s">
        <v>112</v>
      </c>
      <c r="C32" s="8"/>
      <c r="D32" s="8"/>
      <c r="E32" s="8" t="s">
        <v>29</v>
      </c>
      <c r="F32" s="8"/>
      <c r="G32" s="18"/>
      <c r="H32" s="18"/>
      <c r="I32" s="12"/>
      <c r="J32" s="13"/>
      <c r="K32" s="13"/>
      <c r="L32" s="12"/>
      <c r="M32" s="12">
        <v>100.0</v>
      </c>
      <c r="N32" s="11">
        <v>45854.0</v>
      </c>
      <c r="O32" s="12">
        <v>16.25</v>
      </c>
      <c r="P32" s="11">
        <v>46035.0</v>
      </c>
      <c r="Q32" s="8"/>
      <c r="R32" s="41" t="s">
        <v>113</v>
      </c>
      <c r="S32" s="8"/>
      <c r="T32" s="8" t="s">
        <v>31</v>
      </c>
    </row>
    <row r="33">
      <c r="A33" s="30" t="s">
        <v>114</v>
      </c>
      <c r="B33" s="30" t="s">
        <v>115</v>
      </c>
      <c r="C33" s="30"/>
      <c r="D33" s="42"/>
      <c r="E33" s="30" t="s">
        <v>68</v>
      </c>
      <c r="F33" s="42"/>
      <c r="G33" s="35"/>
      <c r="H33" s="35"/>
      <c r="I33" s="34"/>
      <c r="J33" s="33">
        <v>37.49</v>
      </c>
      <c r="K33" s="34"/>
      <c r="L33" s="34"/>
      <c r="M33" s="34"/>
      <c r="N33" s="35"/>
      <c r="O33" s="34"/>
      <c r="P33" s="35"/>
      <c r="Q33" s="42"/>
      <c r="R33" s="36" t="s">
        <v>116</v>
      </c>
      <c r="S33" s="43"/>
      <c r="T33" s="43" t="s">
        <v>31</v>
      </c>
    </row>
    <row r="34">
      <c r="A34" s="8" t="s">
        <v>117</v>
      </c>
      <c r="B34" s="8" t="s">
        <v>118</v>
      </c>
      <c r="C34" s="8" t="s">
        <v>27</v>
      </c>
      <c r="D34" s="8" t="s">
        <v>28</v>
      </c>
      <c r="E34" s="8" t="s">
        <v>29</v>
      </c>
      <c r="F34" s="10" t="s">
        <v>38</v>
      </c>
      <c r="G34" s="11"/>
      <c r="H34" s="11">
        <v>46405.0</v>
      </c>
      <c r="I34" s="17"/>
      <c r="J34" s="13">
        <v>224.99</v>
      </c>
      <c r="K34" s="16"/>
      <c r="L34" s="17"/>
      <c r="M34" s="17"/>
      <c r="N34" s="18"/>
      <c r="O34" s="17"/>
      <c r="P34" s="18"/>
      <c r="Q34" s="9"/>
      <c r="R34" s="9"/>
      <c r="S34" s="9"/>
      <c r="T34" s="9"/>
    </row>
    <row r="35">
      <c r="A35" s="15" t="s">
        <v>119</v>
      </c>
      <c r="B35" s="8" t="s">
        <v>120</v>
      </c>
      <c r="C35" s="8" t="s">
        <v>27</v>
      </c>
      <c r="D35" s="8" t="s">
        <v>28</v>
      </c>
      <c r="E35" s="8" t="s">
        <v>29</v>
      </c>
      <c r="F35" s="9"/>
      <c r="G35" s="18"/>
      <c r="H35" s="18"/>
      <c r="I35" s="17"/>
      <c r="J35" s="13">
        <v>134.0</v>
      </c>
      <c r="K35" s="16" t="str">
        <f>'Plugin Calendario.studio-gem.it'!E63</f>
        <v/>
      </c>
      <c r="L35" s="17"/>
      <c r="M35" s="17"/>
      <c r="N35" s="18"/>
      <c r="O35" s="17"/>
      <c r="P35" s="18"/>
      <c r="Q35" s="9"/>
      <c r="R35" s="9"/>
      <c r="S35" s="9"/>
      <c r="T35" s="9"/>
    </row>
    <row r="36">
      <c r="A36" s="15" t="s">
        <v>121</v>
      </c>
      <c r="B36" s="8" t="s">
        <v>120</v>
      </c>
      <c r="C36" s="8" t="s">
        <v>27</v>
      </c>
      <c r="D36" s="8" t="s">
        <v>28</v>
      </c>
      <c r="E36" s="8" t="s">
        <v>29</v>
      </c>
      <c r="F36" s="9"/>
      <c r="G36" s="18"/>
      <c r="H36" s="18"/>
      <c r="I36" s="17"/>
      <c r="J36" s="13">
        <v>108.99</v>
      </c>
      <c r="K36" s="16">
        <f>'Plugin studio-gem.it-Attivi'!E41</f>
        <v>118</v>
      </c>
      <c r="L36" s="17"/>
      <c r="M36" s="17"/>
      <c r="N36" s="18"/>
      <c r="O36" s="17"/>
      <c r="P36" s="18"/>
      <c r="Q36" s="9"/>
      <c r="R36" s="9"/>
      <c r="S36" s="9"/>
      <c r="T36" s="9"/>
    </row>
    <row r="37">
      <c r="A37" s="44" t="s">
        <v>122</v>
      </c>
      <c r="B37" s="44" t="s">
        <v>123</v>
      </c>
      <c r="C37" s="44" t="s">
        <v>37</v>
      </c>
      <c r="D37" s="44" t="s">
        <v>28</v>
      </c>
      <c r="E37" s="44" t="s">
        <v>68</v>
      </c>
      <c r="F37" s="45" t="s">
        <v>38</v>
      </c>
      <c r="G37" s="46"/>
      <c r="H37" s="46"/>
      <c r="I37" s="47">
        <v>20.0</v>
      </c>
      <c r="J37" s="47"/>
      <c r="K37" s="47">
        <v>100.0</v>
      </c>
      <c r="L37" s="47"/>
      <c r="M37" s="48"/>
      <c r="N37" s="46"/>
      <c r="O37" s="48"/>
      <c r="P37" s="46"/>
      <c r="Q37" s="44" t="s">
        <v>124</v>
      </c>
      <c r="R37" s="49"/>
      <c r="S37" s="49"/>
      <c r="T37" s="44" t="s">
        <v>31</v>
      </c>
    </row>
    <row r="38">
      <c r="A38" s="8" t="s">
        <v>125</v>
      </c>
      <c r="B38" s="8" t="s">
        <v>126</v>
      </c>
      <c r="C38" s="8" t="s">
        <v>37</v>
      </c>
      <c r="D38" s="8" t="s">
        <v>28</v>
      </c>
      <c r="E38" s="8" t="s">
        <v>29</v>
      </c>
      <c r="F38" s="10" t="s">
        <v>41</v>
      </c>
      <c r="G38" s="11"/>
      <c r="H38" s="8" t="s">
        <v>127</v>
      </c>
      <c r="I38" s="12">
        <v>35.38</v>
      </c>
      <c r="J38" s="13">
        <v>424.56</v>
      </c>
      <c r="K38" s="13">
        <v>2542.48</v>
      </c>
      <c r="L38" s="12"/>
      <c r="M38" s="12"/>
      <c r="N38" s="11"/>
      <c r="O38" s="12"/>
      <c r="P38" s="11"/>
      <c r="Q38" s="50"/>
      <c r="R38" s="41" t="s">
        <v>128</v>
      </c>
      <c r="S38" s="8"/>
      <c r="T38" s="8" t="s">
        <v>54</v>
      </c>
    </row>
    <row r="39">
      <c r="A39" s="19" t="s">
        <v>129</v>
      </c>
      <c r="B39" s="27" t="s">
        <v>130</v>
      </c>
      <c r="C39" s="19" t="s">
        <v>37</v>
      </c>
      <c r="D39" s="19" t="s">
        <v>28</v>
      </c>
      <c r="E39" s="19" t="s">
        <v>29</v>
      </c>
      <c r="F39" s="25"/>
      <c r="G39" s="21"/>
      <c r="H39" s="21"/>
      <c r="I39" s="23"/>
      <c r="J39" s="22">
        <v>1107.0</v>
      </c>
      <c r="K39" s="23"/>
      <c r="L39" s="23"/>
      <c r="M39" s="23"/>
      <c r="N39" s="24"/>
      <c r="O39" s="23"/>
      <c r="P39" s="24"/>
      <c r="Q39" s="25"/>
      <c r="R39" s="25"/>
      <c r="S39" s="25"/>
      <c r="T39" s="19" t="s">
        <v>31</v>
      </c>
    </row>
    <row r="40">
      <c r="A40" s="30" t="s">
        <v>131</v>
      </c>
      <c r="B40" s="30" t="s">
        <v>132</v>
      </c>
      <c r="C40" s="30"/>
      <c r="D40" s="42"/>
      <c r="E40" s="30" t="s">
        <v>68</v>
      </c>
      <c r="F40" s="42"/>
      <c r="G40" s="35"/>
      <c r="H40" s="35"/>
      <c r="I40" s="34"/>
      <c r="J40" s="33">
        <v>0.0</v>
      </c>
      <c r="K40" s="34"/>
      <c r="L40" s="34"/>
      <c r="M40" s="34"/>
      <c r="N40" s="35"/>
      <c r="O40" s="34"/>
      <c r="P40" s="35"/>
      <c r="Q40" s="36" t="s">
        <v>133</v>
      </c>
      <c r="R40" s="42"/>
      <c r="S40" s="42"/>
      <c r="T40" s="30" t="s">
        <v>31</v>
      </c>
    </row>
    <row r="41">
      <c r="A41" s="8" t="s">
        <v>134</v>
      </c>
      <c r="B41" s="9"/>
      <c r="C41" s="8" t="s">
        <v>37</v>
      </c>
      <c r="D41" s="8" t="s">
        <v>28</v>
      </c>
      <c r="E41" s="8" t="s">
        <v>29</v>
      </c>
      <c r="F41" s="10" t="s">
        <v>41</v>
      </c>
      <c r="G41" s="11"/>
      <c r="H41" s="8" t="s">
        <v>135</v>
      </c>
      <c r="I41" s="12">
        <v>20.99</v>
      </c>
      <c r="J41" s="13">
        <v>104.95</v>
      </c>
      <c r="K41" s="13"/>
      <c r="L41" s="12">
        <v>251.88</v>
      </c>
      <c r="M41" s="12"/>
      <c r="N41" s="11"/>
      <c r="O41" s="12"/>
      <c r="P41" s="11"/>
      <c r="Q41" s="9"/>
      <c r="R41" s="9"/>
      <c r="S41" s="9"/>
      <c r="T41" s="8" t="s">
        <v>31</v>
      </c>
    </row>
    <row r="42">
      <c r="A42" s="8" t="s">
        <v>136</v>
      </c>
      <c r="B42" s="8" t="s">
        <v>137</v>
      </c>
      <c r="C42" s="8" t="s">
        <v>27</v>
      </c>
      <c r="D42" s="8" t="s">
        <v>28</v>
      </c>
      <c r="E42" s="8" t="s">
        <v>29</v>
      </c>
      <c r="F42" s="10" t="s">
        <v>38</v>
      </c>
      <c r="G42" s="11"/>
      <c r="H42" s="11">
        <v>46420.0</v>
      </c>
      <c r="I42" s="17"/>
      <c r="J42" s="13">
        <v>194.4</v>
      </c>
      <c r="K42" s="16"/>
      <c r="L42" s="17"/>
      <c r="M42" s="17"/>
      <c r="N42" s="18"/>
      <c r="O42" s="17"/>
      <c r="P42" s="18"/>
      <c r="Q42" s="8" t="s">
        <v>138</v>
      </c>
      <c r="R42" s="9"/>
      <c r="S42" s="9"/>
      <c r="T42" s="9"/>
    </row>
    <row r="43">
      <c r="A43" s="19" t="s">
        <v>139</v>
      </c>
      <c r="B43" s="19" t="s">
        <v>140</v>
      </c>
      <c r="C43" s="19" t="s">
        <v>27</v>
      </c>
      <c r="D43" s="19" t="s">
        <v>28</v>
      </c>
      <c r="E43" s="19" t="s">
        <v>29</v>
      </c>
      <c r="F43" s="19" t="s">
        <v>30</v>
      </c>
      <c r="G43" s="21"/>
      <c r="H43" s="21">
        <v>46156.0</v>
      </c>
      <c r="I43" s="51"/>
      <c r="J43" s="51"/>
      <c r="K43" s="51"/>
      <c r="L43" s="51">
        <v>1871.31</v>
      </c>
      <c r="M43" s="51"/>
      <c r="N43" s="52"/>
      <c r="O43" s="51"/>
      <c r="P43" s="52"/>
      <c r="Q43" s="19" t="s">
        <v>141</v>
      </c>
      <c r="R43" s="19"/>
      <c r="S43" s="19"/>
      <c r="T43" s="19" t="s">
        <v>31</v>
      </c>
    </row>
    <row r="44">
      <c r="A44" s="8" t="s">
        <v>142</v>
      </c>
      <c r="B44" s="9"/>
      <c r="C44" s="8" t="s">
        <v>37</v>
      </c>
      <c r="D44" s="8" t="s">
        <v>28</v>
      </c>
      <c r="E44" s="8" t="s">
        <v>29</v>
      </c>
      <c r="F44" s="9"/>
      <c r="G44" s="11"/>
      <c r="H44" s="8" t="s">
        <v>143</v>
      </c>
      <c r="I44" s="12">
        <v>54.9</v>
      </c>
      <c r="J44" s="13">
        <v>658.8</v>
      </c>
      <c r="K44" s="16"/>
      <c r="L44" s="17"/>
      <c r="M44" s="17"/>
      <c r="N44" s="18"/>
      <c r="O44" s="17"/>
      <c r="P44" s="18"/>
      <c r="Q44" s="9"/>
      <c r="R44" s="9"/>
      <c r="S44" s="9"/>
      <c r="T44" s="8" t="s">
        <v>31</v>
      </c>
    </row>
    <row r="45">
      <c r="A45" s="8" t="s">
        <v>144</v>
      </c>
      <c r="B45" s="8" t="s">
        <v>145</v>
      </c>
      <c r="C45" s="8"/>
      <c r="D45" s="9"/>
      <c r="E45" s="8"/>
      <c r="F45" s="9"/>
      <c r="G45" s="18"/>
      <c r="H45" s="18"/>
      <c r="I45" s="12">
        <v>0.0</v>
      </c>
      <c r="J45" s="16"/>
      <c r="K45" s="16"/>
      <c r="L45" s="17"/>
      <c r="M45" s="17"/>
      <c r="N45" s="18"/>
      <c r="O45" s="17"/>
      <c r="P45" s="18"/>
      <c r="Q45" s="9"/>
      <c r="R45" s="9"/>
      <c r="S45" s="9"/>
      <c r="T45" s="9"/>
    </row>
    <row r="46">
      <c r="A46" s="8" t="s">
        <v>146</v>
      </c>
      <c r="B46" s="8" t="s">
        <v>147</v>
      </c>
      <c r="C46" s="8"/>
      <c r="D46" s="9"/>
      <c r="E46" s="8"/>
      <c r="F46" s="9"/>
      <c r="G46" s="18"/>
      <c r="H46" s="18"/>
      <c r="I46" s="12">
        <v>0.0</v>
      </c>
      <c r="J46" s="16"/>
      <c r="K46" s="16"/>
      <c r="L46" s="17"/>
      <c r="M46" s="17"/>
      <c r="N46" s="18"/>
      <c r="O46" s="17"/>
      <c r="P46" s="18"/>
      <c r="Q46" s="9"/>
      <c r="R46" s="9"/>
      <c r="S46" s="9"/>
      <c r="T46" s="9"/>
    </row>
    <row r="47">
      <c r="A47" s="30" t="s">
        <v>148</v>
      </c>
      <c r="B47" s="42"/>
      <c r="C47" s="30"/>
      <c r="D47" s="42"/>
      <c r="E47" s="30" t="s">
        <v>68</v>
      </c>
      <c r="F47" s="42"/>
      <c r="G47" s="35"/>
      <c r="H47" s="35"/>
      <c r="I47" s="34"/>
      <c r="J47" s="34"/>
      <c r="K47" s="34"/>
      <c r="L47" s="34"/>
      <c r="M47" s="34"/>
      <c r="N47" s="35"/>
      <c r="O47" s="34"/>
      <c r="P47" s="35"/>
      <c r="Q47" s="42"/>
      <c r="R47" s="42"/>
      <c r="S47" s="42"/>
      <c r="T47" s="42"/>
    </row>
    <row r="48">
      <c r="A48" s="8" t="s">
        <v>149</v>
      </c>
      <c r="B48" s="8" t="s">
        <v>150</v>
      </c>
      <c r="C48" s="8" t="s">
        <v>27</v>
      </c>
      <c r="D48" s="8" t="s">
        <v>28</v>
      </c>
      <c r="E48" s="8" t="s">
        <v>29</v>
      </c>
      <c r="F48" s="10" t="s">
        <v>30</v>
      </c>
      <c r="G48" s="11"/>
      <c r="H48" s="11">
        <v>46374.0</v>
      </c>
      <c r="I48" s="12"/>
      <c r="J48" s="13">
        <v>681.49</v>
      </c>
      <c r="K48" s="13"/>
      <c r="L48" s="12"/>
      <c r="M48" s="12"/>
      <c r="N48" s="11"/>
      <c r="O48" s="12"/>
      <c r="P48" s="11"/>
      <c r="Q48" s="8" t="s">
        <v>151</v>
      </c>
      <c r="R48" s="9"/>
      <c r="S48" s="9"/>
      <c r="T48" s="8" t="s">
        <v>31</v>
      </c>
    </row>
    <row r="49">
      <c r="A49" s="8" t="s">
        <v>152</v>
      </c>
      <c r="B49" s="15" t="s">
        <v>153</v>
      </c>
      <c r="C49" s="8" t="s">
        <v>98</v>
      </c>
      <c r="D49" s="8"/>
      <c r="E49" s="8" t="s">
        <v>29</v>
      </c>
      <c r="F49" s="10" t="s">
        <v>30</v>
      </c>
      <c r="G49" s="11"/>
      <c r="H49" s="11">
        <v>46374.0</v>
      </c>
      <c r="I49" s="12"/>
      <c r="J49" s="13"/>
      <c r="K49" s="13">
        <v>378.2</v>
      </c>
      <c r="L49" s="12"/>
      <c r="M49" s="12"/>
      <c r="N49" s="11"/>
      <c r="O49" s="12"/>
      <c r="P49" s="11"/>
      <c r="Q49" s="53" t="s">
        <v>154</v>
      </c>
      <c r="R49" s="9"/>
      <c r="S49" s="9"/>
      <c r="T49" s="8" t="s">
        <v>31</v>
      </c>
    </row>
    <row r="50">
      <c r="A50" s="9"/>
      <c r="B50" s="9"/>
      <c r="C50" s="8"/>
      <c r="D50" s="9"/>
      <c r="E50" s="8"/>
      <c r="F50" s="9"/>
      <c r="G50" s="18"/>
      <c r="H50" s="18"/>
      <c r="I50" s="17"/>
      <c r="J50" s="16"/>
      <c r="K50" s="16"/>
      <c r="L50" s="17"/>
      <c r="M50" s="17"/>
      <c r="N50" s="18"/>
      <c r="O50" s="17"/>
      <c r="P50" s="18"/>
      <c r="Q50" s="9"/>
      <c r="R50" s="9"/>
      <c r="S50" s="9"/>
      <c r="T50" s="9"/>
    </row>
    <row r="51">
      <c r="A51" s="9"/>
      <c r="B51" s="9"/>
      <c r="C51" s="8"/>
      <c r="D51" s="9"/>
      <c r="E51" s="8"/>
      <c r="F51" s="9"/>
      <c r="G51" s="18"/>
      <c r="H51" s="18"/>
      <c r="I51" s="17"/>
      <c r="J51" s="16"/>
      <c r="K51" s="16"/>
      <c r="L51" s="17"/>
      <c r="M51" s="17"/>
      <c r="N51" s="18"/>
      <c r="O51" s="17"/>
      <c r="P51" s="18"/>
      <c r="Q51" s="9"/>
      <c r="R51" s="9"/>
      <c r="S51" s="9"/>
      <c r="T51" s="9"/>
    </row>
    <row r="52">
      <c r="A52" s="9"/>
      <c r="B52" s="9"/>
      <c r="C52" s="8"/>
      <c r="D52" s="9"/>
      <c r="E52" s="8"/>
      <c r="F52" s="9"/>
      <c r="G52" s="18"/>
      <c r="H52" s="18"/>
      <c r="I52" s="17"/>
      <c r="J52" s="16"/>
      <c r="K52" s="16"/>
      <c r="L52" s="17"/>
      <c r="M52" s="17"/>
      <c r="N52" s="18"/>
      <c r="O52" s="17"/>
      <c r="P52" s="18"/>
      <c r="Q52" s="9"/>
      <c r="R52" s="26"/>
      <c r="S52" s="26"/>
      <c r="T52" s="9"/>
    </row>
    <row r="53">
      <c r="A53" s="9"/>
      <c r="B53" s="9"/>
      <c r="C53" s="8"/>
      <c r="D53" s="9"/>
      <c r="E53" s="8"/>
      <c r="F53" s="9"/>
      <c r="G53" s="18"/>
      <c r="H53" s="18"/>
      <c r="I53" s="17"/>
      <c r="J53" s="16"/>
      <c r="K53" s="16"/>
      <c r="L53" s="17"/>
      <c r="M53" s="17"/>
      <c r="N53" s="18"/>
      <c r="O53" s="17"/>
      <c r="P53" s="18"/>
      <c r="Q53" s="9"/>
      <c r="R53" s="9"/>
      <c r="S53" s="9"/>
      <c r="T53" s="9"/>
    </row>
    <row r="54">
      <c r="A54" s="9"/>
      <c r="B54" s="9"/>
      <c r="C54" s="8"/>
      <c r="D54" s="9"/>
      <c r="E54" s="8"/>
      <c r="F54" s="9"/>
      <c r="G54" s="18"/>
      <c r="H54" s="18"/>
      <c r="I54" s="17"/>
      <c r="J54" s="16"/>
      <c r="K54" s="16"/>
      <c r="L54" s="17"/>
      <c r="M54" s="17"/>
      <c r="N54" s="18"/>
      <c r="O54" s="17"/>
      <c r="P54" s="18"/>
      <c r="Q54" s="9"/>
      <c r="R54" s="9"/>
      <c r="S54" s="9"/>
      <c r="T54" s="9"/>
    </row>
    <row r="55">
      <c r="A55" s="9"/>
      <c r="B55" s="9"/>
      <c r="C55" s="8"/>
      <c r="D55" s="9"/>
      <c r="E55" s="8"/>
      <c r="F55" s="9"/>
      <c r="G55" s="18"/>
      <c r="H55" s="18"/>
      <c r="I55" s="17"/>
      <c r="J55" s="16"/>
      <c r="K55" s="16"/>
      <c r="L55" s="17"/>
      <c r="M55" s="17"/>
      <c r="N55" s="18"/>
      <c r="O55" s="17"/>
      <c r="P55" s="18"/>
      <c r="Q55" s="9"/>
      <c r="R55" s="9"/>
      <c r="S55" s="9"/>
      <c r="T55" s="9"/>
    </row>
    <row r="56">
      <c r="A56" s="9"/>
      <c r="B56" s="9"/>
      <c r="C56" s="8"/>
      <c r="D56" s="9"/>
      <c r="E56" s="8"/>
      <c r="F56" s="9"/>
      <c r="G56" s="18"/>
      <c r="H56" s="18"/>
      <c r="I56" s="17"/>
      <c r="J56" s="16"/>
      <c r="K56" s="16"/>
      <c r="L56" s="17"/>
      <c r="M56" s="17"/>
      <c r="N56" s="18"/>
      <c r="O56" s="17"/>
      <c r="P56" s="18"/>
      <c r="Q56" s="9"/>
      <c r="R56" s="9"/>
      <c r="S56" s="9"/>
      <c r="T56" s="9"/>
    </row>
    <row r="57">
      <c r="A57" s="54"/>
      <c r="B57" s="55" t="s">
        <v>155</v>
      </c>
      <c r="C57" s="54"/>
      <c r="D57" s="54"/>
      <c r="E57" s="54"/>
      <c r="F57" s="54"/>
      <c r="G57" s="56"/>
      <c r="H57" s="54"/>
      <c r="I57" s="57"/>
      <c r="J57" s="57">
        <f t="shared" ref="J57:M57" si="1">SUM(J3:J45)</f>
        <v>6655.82</v>
      </c>
      <c r="K57" s="57">
        <f t="shared" si="1"/>
        <v>3966.57</v>
      </c>
      <c r="L57" s="57">
        <f t="shared" si="1"/>
        <v>2560.85</v>
      </c>
      <c r="M57" s="57">
        <f t="shared" si="1"/>
        <v>125</v>
      </c>
      <c r="N57" s="58"/>
      <c r="O57" s="57">
        <f>SUM(O3:O45)</f>
        <v>16.25</v>
      </c>
      <c r="P57" s="58"/>
      <c r="Q57" s="54"/>
      <c r="R57" s="54"/>
      <c r="S57" s="54"/>
      <c r="T57" s="54"/>
    </row>
    <row r="58">
      <c r="A58" s="9"/>
      <c r="B58" s="9"/>
      <c r="C58" s="8"/>
      <c r="D58" s="9"/>
      <c r="E58" s="8"/>
      <c r="F58" s="9"/>
      <c r="G58" s="18"/>
      <c r="H58" s="18"/>
      <c r="I58" s="17"/>
      <c r="J58" s="16"/>
      <c r="K58" s="16"/>
      <c r="L58" s="17"/>
      <c r="M58" s="17"/>
      <c r="N58" s="18"/>
      <c r="O58" s="17"/>
      <c r="P58" s="18"/>
      <c r="Q58" s="9"/>
      <c r="R58" s="9"/>
      <c r="S58" s="9"/>
      <c r="T58" s="9"/>
    </row>
    <row r="59">
      <c r="A59" s="9"/>
      <c r="B59" s="9"/>
      <c r="C59" s="8"/>
      <c r="D59" s="9"/>
      <c r="E59" s="8"/>
      <c r="F59" s="9"/>
      <c r="G59" s="18"/>
      <c r="H59" s="18"/>
      <c r="I59" s="17"/>
      <c r="J59" s="16"/>
      <c r="K59" s="16"/>
      <c r="L59" s="17"/>
      <c r="M59" s="17"/>
      <c r="N59" s="18"/>
      <c r="O59" s="17"/>
      <c r="P59" s="18"/>
      <c r="Q59" s="9"/>
      <c r="R59" s="9"/>
      <c r="S59" s="9"/>
      <c r="T59" s="9"/>
    </row>
    <row r="60">
      <c r="A60" s="9"/>
      <c r="B60" s="9"/>
      <c r="C60" s="8"/>
      <c r="D60" s="9"/>
      <c r="E60" s="8"/>
      <c r="F60" s="9"/>
      <c r="G60" s="18"/>
      <c r="H60" s="18"/>
      <c r="I60" s="17"/>
      <c r="J60" s="16"/>
      <c r="K60" s="16"/>
      <c r="L60" s="17"/>
      <c r="M60" s="17"/>
      <c r="N60" s="18"/>
      <c r="O60" s="17"/>
      <c r="P60" s="18"/>
      <c r="Q60" s="9"/>
      <c r="R60" s="9"/>
      <c r="S60" s="9"/>
      <c r="T60" s="9"/>
    </row>
    <row r="61">
      <c r="A61" s="9"/>
      <c r="B61" s="9"/>
      <c r="C61" s="8"/>
      <c r="D61" s="9"/>
      <c r="E61" s="8"/>
      <c r="F61" s="9"/>
      <c r="G61" s="18"/>
      <c r="H61" s="18"/>
      <c r="I61" s="17"/>
      <c r="J61" s="16"/>
      <c r="K61" s="16"/>
      <c r="L61" s="17"/>
      <c r="M61" s="17"/>
      <c r="N61" s="18"/>
      <c r="O61" s="17"/>
      <c r="P61" s="18"/>
      <c r="Q61" s="9"/>
      <c r="R61" s="9"/>
      <c r="S61" s="9"/>
      <c r="T61" s="9"/>
    </row>
    <row r="62">
      <c r="A62" s="9"/>
      <c r="B62" s="9"/>
      <c r="C62" s="8"/>
      <c r="D62" s="9"/>
      <c r="E62" s="8"/>
      <c r="F62" s="9"/>
      <c r="G62" s="18"/>
      <c r="H62" s="18"/>
      <c r="I62" s="17"/>
      <c r="J62" s="16"/>
      <c r="K62" s="16"/>
      <c r="L62" s="17"/>
      <c r="M62" s="17"/>
      <c r="N62" s="18"/>
      <c r="O62" s="17"/>
      <c r="P62" s="18"/>
      <c r="Q62" s="9"/>
      <c r="R62" s="9"/>
      <c r="S62" s="9"/>
      <c r="T62" s="9"/>
    </row>
    <row r="63">
      <c r="A63" s="9"/>
      <c r="B63" s="9"/>
      <c r="C63" s="8"/>
      <c r="D63" s="9"/>
      <c r="E63" s="8"/>
      <c r="F63" s="9"/>
      <c r="G63" s="18"/>
      <c r="H63" s="18"/>
      <c r="I63" s="17"/>
      <c r="J63" s="16"/>
      <c r="K63" s="16"/>
      <c r="L63" s="17"/>
      <c r="M63" s="17"/>
      <c r="N63" s="18"/>
      <c r="O63" s="17"/>
      <c r="P63" s="18"/>
      <c r="Q63" s="9"/>
      <c r="R63" s="9"/>
      <c r="S63" s="9"/>
      <c r="T63" s="9"/>
    </row>
    <row r="64">
      <c r="A64" s="9"/>
      <c r="B64" s="9"/>
      <c r="C64" s="8"/>
      <c r="D64" s="9"/>
      <c r="E64" s="8"/>
      <c r="F64" s="9"/>
      <c r="G64" s="18"/>
      <c r="H64" s="18"/>
      <c r="I64" s="17"/>
      <c r="J64" s="16"/>
      <c r="K64" s="16"/>
      <c r="L64" s="17"/>
      <c r="M64" s="17"/>
      <c r="N64" s="18"/>
      <c r="O64" s="17"/>
      <c r="P64" s="18"/>
      <c r="Q64" s="9"/>
      <c r="R64" s="9"/>
      <c r="S64" s="9"/>
      <c r="T64" s="9"/>
    </row>
    <row r="65">
      <c r="A65" s="8" t="s">
        <v>156</v>
      </c>
      <c r="B65" s="8" t="s">
        <v>157</v>
      </c>
      <c r="C65" s="8" t="s">
        <v>98</v>
      </c>
      <c r="D65" s="9"/>
      <c r="E65" s="8"/>
      <c r="F65" s="10" t="s">
        <v>46</v>
      </c>
      <c r="G65" s="18"/>
      <c r="H65" s="18"/>
      <c r="I65" s="17"/>
      <c r="J65" s="16"/>
      <c r="K65" s="13">
        <v>360.0</v>
      </c>
      <c r="L65" s="17"/>
      <c r="M65" s="17"/>
      <c r="N65" s="18"/>
      <c r="O65" s="17"/>
      <c r="P65" s="18"/>
      <c r="Q65" s="9"/>
      <c r="R65" s="9"/>
      <c r="S65" s="9"/>
      <c r="T65" s="9"/>
    </row>
    <row r="66">
      <c r="A66" s="8" t="s">
        <v>158</v>
      </c>
      <c r="B66" s="8" t="s">
        <v>159</v>
      </c>
      <c r="C66" s="8" t="s">
        <v>37</v>
      </c>
      <c r="D66" s="9"/>
      <c r="E66" s="8"/>
      <c r="F66" s="10" t="s">
        <v>46</v>
      </c>
      <c r="G66" s="11"/>
      <c r="H66" s="8" t="s">
        <v>160</v>
      </c>
      <c r="I66" s="12">
        <v>549.0</v>
      </c>
      <c r="J66" s="13">
        <v>2745.0</v>
      </c>
      <c r="K66" s="13">
        <v>1769.0</v>
      </c>
      <c r="L66" s="17">
        <f t="shared" ref="L66:L67" si="2">I66*12</f>
        <v>6588</v>
      </c>
      <c r="M66" s="17"/>
      <c r="N66" s="18"/>
      <c r="O66" s="17"/>
      <c r="P66" s="18"/>
      <c r="Q66" s="9"/>
      <c r="R66" s="9"/>
      <c r="S66" s="9"/>
      <c r="T66" s="8" t="s">
        <v>161</v>
      </c>
    </row>
    <row r="67">
      <c r="A67" s="8" t="s">
        <v>162</v>
      </c>
      <c r="B67" s="8" t="s">
        <v>163</v>
      </c>
      <c r="C67" s="8" t="s">
        <v>37</v>
      </c>
      <c r="D67" s="9"/>
      <c r="E67" s="8"/>
      <c r="F67" s="10" t="s">
        <v>46</v>
      </c>
      <c r="G67" s="11"/>
      <c r="H67" s="8" t="s">
        <v>164</v>
      </c>
      <c r="I67" s="12">
        <v>500.0</v>
      </c>
      <c r="J67" s="13">
        <v>2500.0</v>
      </c>
      <c r="K67" s="16"/>
      <c r="L67" s="17">
        <f t="shared" si="2"/>
        <v>6000</v>
      </c>
      <c r="M67" s="17"/>
      <c r="N67" s="18"/>
      <c r="O67" s="17"/>
      <c r="P67" s="18"/>
      <c r="Q67" s="9"/>
      <c r="R67" s="9"/>
      <c r="S67" s="9"/>
      <c r="T67" s="8" t="s">
        <v>103</v>
      </c>
    </row>
    <row r="68">
      <c r="A68" s="8" t="s">
        <v>165</v>
      </c>
      <c r="B68" s="8" t="s">
        <v>166</v>
      </c>
      <c r="C68" s="8" t="s">
        <v>98</v>
      </c>
      <c r="D68" s="9"/>
      <c r="E68" s="8"/>
      <c r="F68" s="10" t="s">
        <v>46</v>
      </c>
      <c r="G68" s="11"/>
      <c r="H68" s="8" t="s">
        <v>164</v>
      </c>
      <c r="I68" s="17"/>
      <c r="J68" s="13"/>
      <c r="K68" s="13">
        <v>66.0</v>
      </c>
      <c r="L68" s="17"/>
      <c r="M68" s="17"/>
      <c r="N68" s="18"/>
      <c r="O68" s="17"/>
      <c r="P68" s="18"/>
      <c r="Q68" s="8" t="s">
        <v>167</v>
      </c>
      <c r="R68" s="9"/>
      <c r="S68" s="9"/>
      <c r="T68" s="8" t="s">
        <v>103</v>
      </c>
    </row>
    <row r="69">
      <c r="A69" s="19" t="s">
        <v>168</v>
      </c>
      <c r="B69" s="19" t="s">
        <v>169</v>
      </c>
      <c r="C69" s="19" t="s">
        <v>37</v>
      </c>
      <c r="D69" s="25"/>
      <c r="E69" s="19"/>
      <c r="F69" s="20" t="s">
        <v>46</v>
      </c>
      <c r="G69" s="21"/>
      <c r="H69" s="19" t="s">
        <v>164</v>
      </c>
      <c r="I69" s="22">
        <v>100.0</v>
      </c>
      <c r="J69" s="22">
        <v>2712.4</v>
      </c>
      <c r="K69" s="23"/>
      <c r="L69" s="22">
        <f>I69*12</f>
        <v>1200</v>
      </c>
      <c r="M69" s="23"/>
      <c r="N69" s="24"/>
      <c r="O69" s="23"/>
      <c r="P69" s="24"/>
      <c r="Q69" s="19" t="s">
        <v>170</v>
      </c>
      <c r="R69" s="25"/>
      <c r="S69" s="25"/>
      <c r="T69" s="19" t="s">
        <v>103</v>
      </c>
    </row>
    <row r="70">
      <c r="A70" s="8" t="s">
        <v>171</v>
      </c>
      <c r="B70" s="8" t="s">
        <v>172</v>
      </c>
      <c r="C70" s="8" t="s">
        <v>98</v>
      </c>
      <c r="D70" s="9"/>
      <c r="E70" s="8"/>
      <c r="F70" s="10" t="s">
        <v>46</v>
      </c>
      <c r="G70" s="18"/>
      <c r="H70" s="18"/>
      <c r="I70" s="17"/>
      <c r="J70" s="16"/>
      <c r="K70" s="13">
        <v>1500.6</v>
      </c>
      <c r="L70" s="12"/>
      <c r="M70" s="17"/>
      <c r="N70" s="18"/>
      <c r="O70" s="17"/>
      <c r="P70" s="18"/>
      <c r="Q70" s="9"/>
      <c r="R70" s="9"/>
      <c r="S70" s="9"/>
      <c r="T70" s="8" t="s">
        <v>161</v>
      </c>
    </row>
    <row r="71">
      <c r="A71" s="8" t="s">
        <v>173</v>
      </c>
      <c r="B71" s="8" t="s">
        <v>174</v>
      </c>
      <c r="C71" s="8" t="s">
        <v>98</v>
      </c>
      <c r="D71" s="9"/>
      <c r="E71" s="8"/>
      <c r="F71" s="10" t="s">
        <v>46</v>
      </c>
      <c r="G71" s="18"/>
      <c r="H71" s="18"/>
      <c r="I71" s="17"/>
      <c r="J71" s="13"/>
      <c r="K71" s="13">
        <v>1050.0</v>
      </c>
      <c r="L71" s="17"/>
      <c r="M71" s="17"/>
      <c r="N71" s="18"/>
      <c r="O71" s="17"/>
      <c r="P71" s="18"/>
      <c r="Q71" s="8" t="s">
        <v>175</v>
      </c>
      <c r="R71" s="9"/>
      <c r="S71" s="9"/>
      <c r="T71" s="9"/>
    </row>
    <row r="72">
      <c r="A72" s="54"/>
      <c r="B72" s="55" t="s">
        <v>176</v>
      </c>
      <c r="C72" s="54"/>
      <c r="D72" s="54"/>
      <c r="E72" s="54"/>
      <c r="F72" s="54"/>
      <c r="G72" s="56"/>
      <c r="H72" s="54"/>
      <c r="I72" s="57"/>
      <c r="J72" s="57">
        <f t="shared" ref="J72:M72" si="3">SUM(J57:J71)</f>
        <v>14613.22</v>
      </c>
      <c r="K72" s="57">
        <f t="shared" si="3"/>
        <v>8712.17</v>
      </c>
      <c r="L72" s="57">
        <f t="shared" si="3"/>
        <v>16348.85</v>
      </c>
      <c r="M72" s="57">
        <f t="shared" si="3"/>
        <v>125</v>
      </c>
      <c r="N72" s="58"/>
      <c r="O72" s="57">
        <f>SUM(O57:O71)</f>
        <v>16.25</v>
      </c>
      <c r="P72" s="58"/>
      <c r="Q72" s="54"/>
      <c r="R72" s="54"/>
      <c r="S72" s="54"/>
      <c r="T72" s="54"/>
    </row>
  </sheetData>
  <mergeCells count="1">
    <mergeCell ref="B1:N1"/>
  </mergeCells>
  <dataValidations>
    <dataValidation type="list" allowBlank="1" showErrorMessage="1" sqref="C3:C56 C58:C71">
      <formula1>"MENSILE,ANNUALE,UNA-TANTUM"</formula1>
    </dataValidation>
    <dataValidation type="list" allowBlank="1" showErrorMessage="1" sqref="D3:D56 D58:D71">
      <formula1>"AUTOMATICO,MANUALE"</formula1>
    </dataValidation>
    <dataValidation type="list" allowBlank="1" showErrorMessage="1" sqref="F3:F56 F58:F71">
      <formula1>elenchi!$A$2:$A$51</formula1>
    </dataValidation>
    <dataValidation type="list" allowBlank="1" showErrorMessage="1" sqref="E3:E56 E58:E71">
      <formula1>"ATTIVO,NON ATTIVO"</formula1>
    </dataValidation>
    <dataValidation type="list" allowBlank="1" showErrorMessage="1" sqref="T3:T56 T58:T71">
      <formula1>elenchi!$B$2:$B$51</formula1>
    </dataValidation>
  </dataValidations>
  <hyperlinks>
    <hyperlink r:id="rId4" ref="Q4"/>
    <hyperlink r:id="rId5" ref="R14"/>
    <hyperlink r:id="rId6" ref="S14"/>
    <hyperlink r:id="rId7" ref="S15"/>
    <hyperlink r:id="rId8" ref="R16"/>
    <hyperlink r:id="rId9" ref="S16"/>
    <hyperlink r:id="rId10" ref="A18"/>
    <hyperlink r:id="rId11" ref="A19"/>
    <hyperlink r:id="rId12" ref="B19"/>
    <hyperlink r:id="rId13" ref="R19"/>
    <hyperlink r:id="rId14" ref="S19"/>
    <hyperlink r:id="rId15" ref="B20"/>
    <hyperlink r:id="rId16" ref="B26"/>
    <hyperlink r:id="rId17" ref="Q26"/>
    <hyperlink r:id="rId18" ref="A32"/>
    <hyperlink r:id="rId19" ref="B32"/>
    <hyperlink r:id="rId20" ref="R32"/>
    <hyperlink r:id="rId21" ref="R33"/>
    <hyperlink display="Plugin calendar.studio-gem.it " location="'Plugin Calendario.studio-gem.it'!A1" ref="A35"/>
    <hyperlink display="Plugin Studio-gem.it" location="'Plugin studio-gem.it-Attivi'!A1" ref="A36"/>
    <hyperlink r:id="rId22" ref="R38"/>
    <hyperlink r:id="rId23" ref="B39"/>
    <hyperlink r:id="rId24" ref="Q40"/>
    <hyperlink r:id="rId25" ref="B49"/>
  </hyperlinks>
  <drawing r:id="rId26"/>
  <legacy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38"/>
    <col customWidth="1" min="2" max="2" width="27.63"/>
    <col customWidth="1" min="3" max="3" width="32.63"/>
    <col customWidth="1" min="4" max="4" width="21.88"/>
    <col customWidth="1" min="5" max="5" width="14.75"/>
    <col customWidth="1" min="6" max="6" width="17.38"/>
    <col customWidth="1" min="7" max="8" width="34.25"/>
    <col customWidth="1" min="9" max="9" width="59.63"/>
  </cols>
  <sheetData>
    <row r="1">
      <c r="A1" s="59" t="s">
        <v>177</v>
      </c>
      <c r="B1" s="59" t="s">
        <v>178</v>
      </c>
      <c r="C1" s="59" t="s">
        <v>179</v>
      </c>
      <c r="D1" s="59" t="s">
        <v>180</v>
      </c>
      <c r="E1" s="59" t="s">
        <v>181</v>
      </c>
      <c r="F1" s="59" t="s">
        <v>182</v>
      </c>
      <c r="G1" s="60" t="s">
        <v>183</v>
      </c>
      <c r="H1" s="60" t="s">
        <v>184</v>
      </c>
      <c r="I1" s="59" t="s">
        <v>185</v>
      </c>
    </row>
    <row r="2">
      <c r="A2" s="61" t="s">
        <v>186</v>
      </c>
      <c r="B2" s="62" t="s">
        <v>187</v>
      </c>
      <c r="C2" s="63" t="s">
        <v>188</v>
      </c>
      <c r="D2" s="64"/>
      <c r="E2" s="65">
        <v>0.0</v>
      </c>
      <c r="F2" s="64"/>
    </row>
    <row r="3">
      <c r="A3" s="66" t="s">
        <v>189</v>
      </c>
      <c r="B3" s="67" t="s">
        <v>190</v>
      </c>
      <c r="C3" s="63" t="s">
        <v>188</v>
      </c>
      <c r="D3" s="64"/>
      <c r="E3" s="65">
        <v>0.0</v>
      </c>
      <c r="F3" s="64"/>
    </row>
    <row r="4">
      <c r="A4" s="61" t="s">
        <v>191</v>
      </c>
      <c r="B4" s="62" t="s">
        <v>192</v>
      </c>
      <c r="C4" s="63" t="s">
        <v>188</v>
      </c>
      <c r="D4" s="65">
        <v>0.0</v>
      </c>
      <c r="E4" s="65">
        <v>0.0</v>
      </c>
      <c r="F4" s="64"/>
    </row>
    <row r="5">
      <c r="A5" s="66" t="s">
        <v>193</v>
      </c>
      <c r="B5" s="67" t="s">
        <v>194</v>
      </c>
      <c r="C5" s="63" t="s">
        <v>195</v>
      </c>
      <c r="D5" s="65">
        <v>0.0</v>
      </c>
      <c r="E5" s="64"/>
      <c r="F5" s="64"/>
    </row>
    <row r="6">
      <c r="A6" s="61" t="s">
        <v>196</v>
      </c>
      <c r="B6" s="62" t="s">
        <v>197</v>
      </c>
      <c r="C6" s="63" t="s">
        <v>195</v>
      </c>
      <c r="D6" s="65">
        <v>0.0</v>
      </c>
      <c r="E6" s="64"/>
      <c r="F6" s="64"/>
    </row>
    <row r="7">
      <c r="A7" s="66" t="s">
        <v>198</v>
      </c>
      <c r="B7" s="67" t="s">
        <v>199</v>
      </c>
      <c r="C7" s="63" t="s">
        <v>195</v>
      </c>
      <c r="D7" s="65">
        <v>0.0</v>
      </c>
      <c r="E7" s="64"/>
      <c r="F7" s="64"/>
    </row>
    <row r="8">
      <c r="A8" s="61" t="s">
        <v>200</v>
      </c>
      <c r="B8" s="62" t="s">
        <v>201</v>
      </c>
      <c r="C8" s="63" t="s">
        <v>195</v>
      </c>
      <c r="D8" s="65">
        <v>0.0</v>
      </c>
      <c r="E8" s="64"/>
      <c r="F8" s="64"/>
    </row>
    <row r="9">
      <c r="A9" s="66" t="s">
        <v>202</v>
      </c>
      <c r="B9" s="67" t="s">
        <v>203</v>
      </c>
      <c r="C9" s="63" t="s">
        <v>195</v>
      </c>
      <c r="D9" s="65">
        <v>0.0</v>
      </c>
      <c r="E9" s="65">
        <v>49.0</v>
      </c>
      <c r="F9" s="64"/>
      <c r="G9" s="68" t="s">
        <v>204</v>
      </c>
      <c r="H9" s="69"/>
      <c r="I9" s="69" t="s">
        <v>205</v>
      </c>
    </row>
    <row r="10">
      <c r="A10" s="61" t="s">
        <v>206</v>
      </c>
      <c r="B10" s="62" t="s">
        <v>207</v>
      </c>
      <c r="C10" s="63" t="s">
        <v>195</v>
      </c>
      <c r="D10" s="65">
        <v>0.0</v>
      </c>
      <c r="E10" s="64"/>
      <c r="F10" s="64"/>
      <c r="H10" s="68"/>
      <c r="I10" s="68" t="s">
        <v>208</v>
      </c>
    </row>
    <row r="11">
      <c r="A11" s="66" t="s">
        <v>209</v>
      </c>
      <c r="B11" s="67" t="s">
        <v>199</v>
      </c>
      <c r="C11" s="63" t="s">
        <v>195</v>
      </c>
      <c r="D11" s="65">
        <v>0.0</v>
      </c>
      <c r="E11" s="64"/>
      <c r="F11" s="64"/>
    </row>
    <row r="12">
      <c r="A12" s="61" t="s">
        <v>210</v>
      </c>
      <c r="B12" s="62" t="s">
        <v>211</v>
      </c>
      <c r="C12" s="63" t="s">
        <v>212</v>
      </c>
      <c r="D12" s="70">
        <v>149.0</v>
      </c>
      <c r="E12" s="64"/>
      <c r="F12" s="71"/>
      <c r="I12" s="68" t="s">
        <v>213</v>
      </c>
    </row>
    <row r="13">
      <c r="A13" s="66" t="s">
        <v>214</v>
      </c>
      <c r="B13" s="67" t="s">
        <v>215</v>
      </c>
      <c r="C13" s="63" t="s">
        <v>188</v>
      </c>
      <c r="D13" s="65">
        <v>0.0</v>
      </c>
      <c r="E13" s="65">
        <v>0.0</v>
      </c>
      <c r="F13" s="64"/>
    </row>
    <row r="14">
      <c r="A14" s="61" t="s">
        <v>216</v>
      </c>
      <c r="B14" s="62" t="s">
        <v>217</v>
      </c>
      <c r="C14" s="63" t="s">
        <v>188</v>
      </c>
      <c r="D14" s="65">
        <v>0.0</v>
      </c>
      <c r="E14" s="65">
        <v>0.0</v>
      </c>
      <c r="F14" s="64"/>
    </row>
    <row r="15">
      <c r="A15" s="66" t="s">
        <v>218</v>
      </c>
      <c r="B15" s="67" t="s">
        <v>219</v>
      </c>
      <c r="C15" s="63" t="s">
        <v>188</v>
      </c>
      <c r="D15" s="65">
        <v>0.0</v>
      </c>
      <c r="E15" s="65">
        <v>0.0</v>
      </c>
      <c r="F15" s="64"/>
    </row>
    <row r="16">
      <c r="A16" s="61" t="s">
        <v>220</v>
      </c>
      <c r="B16" s="62" t="s">
        <v>221</v>
      </c>
      <c r="C16" s="63" t="s">
        <v>222</v>
      </c>
      <c r="D16" s="65">
        <v>0.0</v>
      </c>
      <c r="E16" s="65">
        <v>0.0</v>
      </c>
      <c r="F16" s="64"/>
    </row>
    <row r="17">
      <c r="A17" s="66" t="s">
        <v>223</v>
      </c>
      <c r="B17" s="67" t="s">
        <v>224</v>
      </c>
      <c r="C17" s="63" t="s">
        <v>222</v>
      </c>
      <c r="D17" s="65">
        <v>0.0</v>
      </c>
      <c r="E17" s="65">
        <v>0.0</v>
      </c>
      <c r="F17" s="64"/>
    </row>
    <row r="18">
      <c r="A18" s="61" t="s">
        <v>225</v>
      </c>
      <c r="B18" s="62" t="s">
        <v>226</v>
      </c>
      <c r="C18" s="63" t="s">
        <v>188</v>
      </c>
      <c r="D18" s="65">
        <v>0.0</v>
      </c>
      <c r="E18" s="65">
        <v>0.0</v>
      </c>
      <c r="F18" s="64"/>
    </row>
    <row r="19">
      <c r="A19" s="66" t="s">
        <v>227</v>
      </c>
      <c r="B19" s="67" t="s">
        <v>228</v>
      </c>
      <c r="C19" s="63" t="s">
        <v>188</v>
      </c>
      <c r="D19" s="65">
        <v>0.0</v>
      </c>
      <c r="E19" s="65">
        <v>0.0</v>
      </c>
      <c r="F19" s="64"/>
    </row>
    <row r="20">
      <c r="A20" s="61" t="s">
        <v>229</v>
      </c>
      <c r="B20" s="62" t="s">
        <v>230</v>
      </c>
      <c r="C20" s="63" t="s">
        <v>188</v>
      </c>
      <c r="D20" s="65">
        <v>0.0</v>
      </c>
      <c r="E20" s="65">
        <v>0.0</v>
      </c>
      <c r="F20" s="64"/>
    </row>
    <row r="21">
      <c r="A21" s="66" t="s">
        <v>231</v>
      </c>
      <c r="B21" s="67" t="s">
        <v>232</v>
      </c>
      <c r="C21" s="63" t="s">
        <v>188</v>
      </c>
      <c r="D21" s="65">
        <v>0.0</v>
      </c>
      <c r="E21" s="65">
        <v>0.0</v>
      </c>
      <c r="F21" s="64"/>
    </row>
    <row r="22">
      <c r="A22" s="61" t="s">
        <v>233</v>
      </c>
      <c r="B22" s="62" t="s">
        <v>234</v>
      </c>
      <c r="C22" s="63" t="s">
        <v>235</v>
      </c>
      <c r="D22" s="70">
        <v>99.0</v>
      </c>
      <c r="E22" s="64"/>
      <c r="F22" s="64"/>
      <c r="G22" s="68"/>
      <c r="H22" s="68"/>
      <c r="I22" s="68" t="s">
        <v>236</v>
      </c>
    </row>
    <row r="23">
      <c r="A23" s="66" t="s">
        <v>237</v>
      </c>
      <c r="B23" s="67" t="s">
        <v>238</v>
      </c>
      <c r="D23" s="65">
        <v>0.0</v>
      </c>
      <c r="E23" s="65">
        <v>0.0</v>
      </c>
      <c r="F23" s="64"/>
    </row>
    <row r="24">
      <c r="A24" s="61" t="s">
        <v>239</v>
      </c>
      <c r="B24" s="62" t="s">
        <v>240</v>
      </c>
      <c r="D24" s="65">
        <v>0.0</v>
      </c>
      <c r="E24" s="65">
        <v>0.0</v>
      </c>
      <c r="F24" s="64"/>
    </row>
    <row r="25">
      <c r="A25" s="66" t="s">
        <v>241</v>
      </c>
      <c r="B25" s="67" t="s">
        <v>242</v>
      </c>
      <c r="D25" s="65">
        <v>0.0</v>
      </c>
      <c r="E25" s="65">
        <v>0.0</v>
      </c>
      <c r="F25" s="64"/>
    </row>
    <row r="26">
      <c r="A26" s="61" t="s">
        <v>243</v>
      </c>
      <c r="B26" s="62" t="s">
        <v>244</v>
      </c>
      <c r="D26" s="65">
        <v>0.0</v>
      </c>
      <c r="E26" s="65">
        <v>0.0</v>
      </c>
      <c r="F26" s="64"/>
    </row>
    <row r="27">
      <c r="A27" s="66" t="s">
        <v>245</v>
      </c>
      <c r="B27" s="67" t="s">
        <v>246</v>
      </c>
      <c r="D27" s="65">
        <v>0.0</v>
      </c>
      <c r="E27" s="65">
        <v>0.0</v>
      </c>
      <c r="F27" s="64"/>
    </row>
    <row r="28">
      <c r="A28" s="61" t="s">
        <v>247</v>
      </c>
      <c r="B28" s="62" t="s">
        <v>248</v>
      </c>
      <c r="C28" s="63" t="s">
        <v>249</v>
      </c>
      <c r="D28" s="64"/>
      <c r="E28" s="64"/>
      <c r="F28" s="64"/>
    </row>
    <row r="29">
      <c r="A29" s="66" t="s">
        <v>250</v>
      </c>
      <c r="B29" s="67" t="s">
        <v>251</v>
      </c>
      <c r="C29" s="63" t="s">
        <v>249</v>
      </c>
      <c r="D29" s="64"/>
      <c r="E29" s="64"/>
      <c r="F29" s="64"/>
    </row>
    <row r="30">
      <c r="A30" s="61" t="s">
        <v>252</v>
      </c>
      <c r="B30" s="62" t="s">
        <v>253</v>
      </c>
      <c r="D30" s="65">
        <v>0.0</v>
      </c>
      <c r="E30" s="65">
        <v>0.0</v>
      </c>
      <c r="F30" s="64"/>
    </row>
    <row r="31">
      <c r="A31" s="66" t="s">
        <v>254</v>
      </c>
      <c r="B31" s="67" t="s">
        <v>255</v>
      </c>
      <c r="D31" s="65">
        <v>0.0</v>
      </c>
      <c r="E31" s="65">
        <v>0.0</v>
      </c>
      <c r="F31" s="64"/>
    </row>
    <row r="32">
      <c r="A32" s="61" t="s">
        <v>256</v>
      </c>
      <c r="B32" s="62" t="s">
        <v>257</v>
      </c>
      <c r="D32" s="65">
        <v>0.0</v>
      </c>
      <c r="E32" s="65">
        <v>0.0</v>
      </c>
      <c r="F32" s="64"/>
    </row>
    <row r="33">
      <c r="A33" s="66" t="s">
        <v>258</v>
      </c>
      <c r="B33" s="67" t="s">
        <v>259</v>
      </c>
      <c r="C33" s="63" t="s">
        <v>260</v>
      </c>
      <c r="D33" s="70">
        <v>39.0</v>
      </c>
      <c r="E33" s="64"/>
      <c r="F33" s="64"/>
      <c r="G33" s="68"/>
      <c r="I33" s="68" t="s">
        <v>261</v>
      </c>
    </row>
    <row r="34">
      <c r="A34" s="61" t="s">
        <v>262</v>
      </c>
      <c r="B34" s="62" t="s">
        <v>263</v>
      </c>
      <c r="C34" s="63" t="s">
        <v>260</v>
      </c>
      <c r="D34" s="64"/>
      <c r="E34" s="70">
        <v>69.0</v>
      </c>
      <c r="F34" s="64"/>
      <c r="G34" s="68"/>
      <c r="I34" s="68" t="s">
        <v>264</v>
      </c>
    </row>
    <row r="35">
      <c r="A35" s="66" t="s">
        <v>265</v>
      </c>
      <c r="B35" s="67" t="s">
        <v>266</v>
      </c>
      <c r="D35" s="65">
        <v>0.0</v>
      </c>
      <c r="E35" s="65">
        <v>0.0</v>
      </c>
      <c r="F35" s="64"/>
    </row>
    <row r="36">
      <c r="A36" s="61" t="s">
        <v>267</v>
      </c>
      <c r="B36" s="62" t="s">
        <v>268</v>
      </c>
      <c r="D36" s="65">
        <v>0.0</v>
      </c>
      <c r="E36" s="65">
        <v>0.0</v>
      </c>
      <c r="F36" s="64"/>
    </row>
    <row r="37">
      <c r="A37" s="66" t="s">
        <v>269</v>
      </c>
      <c r="B37" s="67" t="s">
        <v>270</v>
      </c>
      <c r="D37" s="65">
        <v>0.0</v>
      </c>
      <c r="E37" s="65">
        <v>0.0</v>
      </c>
      <c r="F37" s="64"/>
    </row>
    <row r="38">
      <c r="A38" s="61" t="s">
        <v>271</v>
      </c>
      <c r="B38" s="62" t="s">
        <v>272</v>
      </c>
      <c r="D38" s="65">
        <v>69.99</v>
      </c>
      <c r="E38" s="64"/>
      <c r="F38" s="64"/>
      <c r="G38" s="72">
        <v>45855.0</v>
      </c>
      <c r="I38" s="68" t="s">
        <v>273</v>
      </c>
    </row>
    <row r="39">
      <c r="D39" s="64"/>
      <c r="E39" s="64"/>
      <c r="F39" s="64"/>
    </row>
    <row r="40">
      <c r="D40" s="73" t="s">
        <v>274</v>
      </c>
      <c r="E40" s="60" t="s">
        <v>275</v>
      </c>
      <c r="F40" s="64"/>
    </row>
    <row r="41">
      <c r="D41" s="74">
        <v>356.99</v>
      </c>
      <c r="E41" s="74">
        <v>118.0</v>
      </c>
      <c r="F41" s="64"/>
    </row>
    <row r="42">
      <c r="D42" s="65" t="s">
        <v>276</v>
      </c>
      <c r="E42" s="65" t="s">
        <v>277</v>
      </c>
      <c r="F42" s="64"/>
    </row>
    <row r="43">
      <c r="D43" s="70">
        <v>248.0</v>
      </c>
      <c r="E43" s="70">
        <v>0.0</v>
      </c>
      <c r="F43" s="64"/>
    </row>
    <row r="44">
      <c r="D44" s="64"/>
      <c r="E44" s="64"/>
      <c r="F44" s="64"/>
    </row>
    <row r="45">
      <c r="C45" s="68" t="s">
        <v>278</v>
      </c>
      <c r="D45" s="75" t="s">
        <v>279</v>
      </c>
      <c r="E45" s="76"/>
      <c r="F45" s="77"/>
    </row>
    <row r="46">
      <c r="C46" s="78">
        <v>46042.0</v>
      </c>
      <c r="D46" s="79">
        <v>108.99</v>
      </c>
      <c r="E46" s="79">
        <v>0.0</v>
      </c>
      <c r="F46" s="64"/>
    </row>
    <row r="47">
      <c r="D47" s="64"/>
      <c r="E47" s="64"/>
      <c r="F47" s="64"/>
    </row>
    <row r="48">
      <c r="D48" s="64"/>
      <c r="E48" s="64"/>
      <c r="F48" s="64"/>
    </row>
    <row r="49">
      <c r="D49" s="64"/>
      <c r="E49" s="64"/>
      <c r="F49" s="64"/>
    </row>
    <row r="50">
      <c r="D50" s="64"/>
      <c r="E50" s="64"/>
      <c r="F50" s="64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42.63"/>
    <col customWidth="1" min="3" max="3" width="22.25"/>
    <col customWidth="1" min="4" max="4" width="27.0"/>
    <col customWidth="1" min="5" max="5" width="12.63"/>
    <col customWidth="1" min="6" max="6" width="19.25"/>
    <col customWidth="1" min="7" max="7" width="20.5"/>
    <col customWidth="1" min="8" max="8" width="12.63"/>
  </cols>
  <sheetData>
    <row r="1">
      <c r="A1" s="59" t="s">
        <v>177</v>
      </c>
      <c r="B1" s="59" t="s">
        <v>178</v>
      </c>
      <c r="C1" s="59" t="s">
        <v>179</v>
      </c>
      <c r="D1" s="80" t="s">
        <v>280</v>
      </c>
      <c r="E1" s="81" t="s">
        <v>181</v>
      </c>
      <c r="F1" s="74" t="s">
        <v>183</v>
      </c>
      <c r="G1" s="74" t="s">
        <v>184</v>
      </c>
      <c r="H1" s="81" t="s">
        <v>182</v>
      </c>
      <c r="I1" s="59" t="s">
        <v>185</v>
      </c>
    </row>
    <row r="2">
      <c r="A2" s="61" t="s">
        <v>281</v>
      </c>
      <c r="B2" s="62" t="s">
        <v>282</v>
      </c>
      <c r="C2" s="82">
        <v>0.0</v>
      </c>
      <c r="D2" s="64"/>
      <c r="E2" s="64"/>
    </row>
    <row r="3">
      <c r="A3" s="66" t="s">
        <v>186</v>
      </c>
      <c r="B3" s="67" t="s">
        <v>187</v>
      </c>
      <c r="C3" s="82">
        <v>0.0</v>
      </c>
      <c r="D3" s="64"/>
      <c r="E3" s="64"/>
    </row>
    <row r="4">
      <c r="A4" s="61" t="s">
        <v>283</v>
      </c>
      <c r="B4" s="62" t="s">
        <v>284</v>
      </c>
      <c r="C4" s="82">
        <v>0.0</v>
      </c>
      <c r="D4" s="65">
        <v>0.0</v>
      </c>
      <c r="E4" s="64"/>
    </row>
    <row r="5">
      <c r="A5" s="66" t="s">
        <v>285</v>
      </c>
      <c r="B5" s="67" t="s">
        <v>286</v>
      </c>
      <c r="C5" s="82">
        <v>0.0</v>
      </c>
      <c r="D5" s="65">
        <v>0.0</v>
      </c>
      <c r="E5" s="64"/>
    </row>
    <row r="6">
      <c r="A6" s="61" t="s">
        <v>214</v>
      </c>
      <c r="B6" s="62" t="s">
        <v>215</v>
      </c>
      <c r="C6" s="82">
        <v>0.0</v>
      </c>
      <c r="D6" s="65">
        <v>0.0</v>
      </c>
      <c r="E6" s="64"/>
    </row>
    <row r="7">
      <c r="A7" s="66" t="s">
        <v>287</v>
      </c>
      <c r="B7" s="67" t="s">
        <v>288</v>
      </c>
      <c r="C7" s="82">
        <v>0.0</v>
      </c>
      <c r="D7" s="65">
        <v>0.0</v>
      </c>
      <c r="E7" s="64"/>
    </row>
    <row r="8">
      <c r="A8" s="61" t="s">
        <v>289</v>
      </c>
      <c r="B8" s="62" t="s">
        <v>290</v>
      </c>
      <c r="C8" s="82">
        <v>0.0</v>
      </c>
      <c r="D8" s="65">
        <v>0.0</v>
      </c>
      <c r="E8" s="64"/>
    </row>
    <row r="9">
      <c r="A9" s="66" t="s">
        <v>291</v>
      </c>
      <c r="B9" s="67" t="s">
        <v>292</v>
      </c>
      <c r="C9" s="69" t="s">
        <v>293</v>
      </c>
      <c r="D9" s="64"/>
      <c r="E9" s="64"/>
    </row>
    <row r="10">
      <c r="A10" s="61" t="s">
        <v>294</v>
      </c>
      <c r="B10" s="62" t="s">
        <v>295</v>
      </c>
      <c r="C10" s="82">
        <v>0.0</v>
      </c>
      <c r="D10" s="65">
        <v>0.0</v>
      </c>
      <c r="E10" s="64"/>
    </row>
    <row r="11">
      <c r="A11" s="66" t="s">
        <v>296</v>
      </c>
      <c r="B11" s="67" t="s">
        <v>297</v>
      </c>
      <c r="C11" s="82">
        <v>85.0</v>
      </c>
      <c r="D11" s="64"/>
      <c r="E11" s="64"/>
      <c r="F11" s="68"/>
      <c r="I11" s="68" t="s">
        <v>298</v>
      </c>
    </row>
    <row r="12">
      <c r="A12" s="61" t="s">
        <v>218</v>
      </c>
      <c r="B12" s="62" t="s">
        <v>219</v>
      </c>
      <c r="C12" s="82">
        <v>0.0</v>
      </c>
      <c r="D12" s="65">
        <v>0.0</v>
      </c>
      <c r="E12" s="64"/>
    </row>
    <row r="13">
      <c r="A13" s="66" t="s">
        <v>220</v>
      </c>
      <c r="B13" s="67" t="s">
        <v>221</v>
      </c>
      <c r="C13" s="82">
        <v>0.0</v>
      </c>
      <c r="D13" s="65">
        <v>0.0</v>
      </c>
      <c r="E13" s="64"/>
    </row>
    <row r="14">
      <c r="A14" s="61" t="s">
        <v>223</v>
      </c>
      <c r="B14" s="62" t="s">
        <v>224</v>
      </c>
      <c r="C14" s="82">
        <v>0.0</v>
      </c>
      <c r="D14" s="65">
        <v>0.0</v>
      </c>
      <c r="E14" s="64"/>
    </row>
    <row r="15">
      <c r="A15" s="66" t="s">
        <v>299</v>
      </c>
      <c r="B15" s="67" t="s">
        <v>300</v>
      </c>
      <c r="C15" s="82">
        <v>0.0</v>
      </c>
      <c r="D15" s="65">
        <v>0.0</v>
      </c>
      <c r="E15" s="64"/>
    </row>
    <row r="16">
      <c r="A16" s="61" t="s">
        <v>301</v>
      </c>
      <c r="B16" s="62" t="s">
        <v>302</v>
      </c>
      <c r="C16" s="82">
        <v>59.0</v>
      </c>
      <c r="D16" s="70">
        <v>0.0</v>
      </c>
      <c r="E16" s="64"/>
      <c r="F16" s="68"/>
      <c r="I16" s="68" t="s">
        <v>303</v>
      </c>
    </row>
    <row r="17">
      <c r="A17" s="66" t="s">
        <v>304</v>
      </c>
      <c r="B17" s="67" t="s">
        <v>305</v>
      </c>
      <c r="C17" s="63"/>
      <c r="D17" s="64"/>
      <c r="E17" s="64"/>
      <c r="I17" s="68" t="s">
        <v>306</v>
      </c>
    </row>
    <row r="18">
      <c r="A18" s="61" t="s">
        <v>307</v>
      </c>
      <c r="B18" s="62" t="s">
        <v>308</v>
      </c>
      <c r="C18" s="63"/>
      <c r="D18" s="64"/>
      <c r="E18" s="64"/>
      <c r="I18" s="68" t="s">
        <v>306</v>
      </c>
    </row>
    <row r="19">
      <c r="A19" s="66" t="s">
        <v>309</v>
      </c>
      <c r="B19" s="67" t="s">
        <v>310</v>
      </c>
      <c r="C19" s="63"/>
      <c r="D19" s="64"/>
      <c r="E19" s="64"/>
      <c r="I19" s="68" t="s">
        <v>306</v>
      </c>
    </row>
    <row r="20">
      <c r="A20" s="61" t="s">
        <v>311</v>
      </c>
      <c r="B20" s="62" t="s">
        <v>312</v>
      </c>
      <c r="C20" s="63"/>
      <c r="D20" s="64"/>
      <c r="E20" s="64"/>
      <c r="I20" s="68" t="s">
        <v>306</v>
      </c>
    </row>
    <row r="21">
      <c r="A21" s="66" t="s">
        <v>313</v>
      </c>
      <c r="B21" s="67" t="s">
        <v>314</v>
      </c>
      <c r="C21" s="63"/>
      <c r="D21" s="64"/>
      <c r="E21" s="64"/>
      <c r="I21" s="68" t="s">
        <v>306</v>
      </c>
    </row>
    <row r="22">
      <c r="A22" s="61" t="s">
        <v>315</v>
      </c>
      <c r="B22" s="62" t="s">
        <v>316</v>
      </c>
      <c r="D22" s="64"/>
      <c r="E22" s="64"/>
      <c r="I22" s="68" t="s">
        <v>306</v>
      </c>
    </row>
    <row r="23">
      <c r="A23" s="66" t="s">
        <v>317</v>
      </c>
      <c r="B23" s="67" t="s">
        <v>318</v>
      </c>
      <c r="C23" s="82">
        <v>59.0</v>
      </c>
      <c r="D23" s="70">
        <v>0.0</v>
      </c>
      <c r="E23" s="64"/>
      <c r="F23" s="68"/>
      <c r="I23" s="68" t="s">
        <v>319</v>
      </c>
    </row>
    <row r="24">
      <c r="A24" s="61" t="s">
        <v>320</v>
      </c>
      <c r="B24" s="62" t="s">
        <v>321</v>
      </c>
      <c r="C24" s="82">
        <v>49.0</v>
      </c>
      <c r="D24" s="65">
        <v>0.0</v>
      </c>
      <c r="E24" s="64"/>
      <c r="F24" s="68"/>
      <c r="I24" s="68" t="s">
        <v>322</v>
      </c>
    </row>
    <row r="25">
      <c r="A25" s="66" t="s">
        <v>323</v>
      </c>
      <c r="B25" s="67" t="s">
        <v>324</v>
      </c>
      <c r="C25" s="82">
        <v>0.0</v>
      </c>
      <c r="D25" s="65">
        <v>0.0</v>
      </c>
      <c r="E25" s="64"/>
    </row>
    <row r="26">
      <c r="A26" s="61" t="s">
        <v>325</v>
      </c>
      <c r="B26" s="62" t="s">
        <v>326</v>
      </c>
      <c r="C26" s="82">
        <v>0.0</v>
      </c>
      <c r="D26" s="65">
        <v>0.0</v>
      </c>
      <c r="E26" s="64"/>
    </row>
    <row r="27">
      <c r="A27" s="66" t="s">
        <v>227</v>
      </c>
      <c r="B27" s="67" t="s">
        <v>228</v>
      </c>
      <c r="C27" s="82">
        <v>0.0</v>
      </c>
      <c r="D27" s="65">
        <v>0.0</v>
      </c>
      <c r="E27" s="64"/>
    </row>
    <row r="28">
      <c r="A28" s="61" t="s">
        <v>229</v>
      </c>
      <c r="B28" s="62" t="s">
        <v>230</v>
      </c>
      <c r="C28" s="82">
        <v>0.0</v>
      </c>
      <c r="D28" s="65">
        <v>0.0</v>
      </c>
      <c r="E28" s="64"/>
    </row>
    <row r="29">
      <c r="A29" s="66" t="s">
        <v>327</v>
      </c>
      <c r="B29" s="67" t="s">
        <v>328</v>
      </c>
      <c r="C29" s="82">
        <v>0.0</v>
      </c>
      <c r="D29" s="65">
        <v>0.0</v>
      </c>
      <c r="E29" s="64"/>
    </row>
    <row r="30">
      <c r="A30" s="61" t="s">
        <v>329</v>
      </c>
      <c r="B30" s="62" t="s">
        <v>330</v>
      </c>
      <c r="C30" s="82">
        <v>0.0</v>
      </c>
      <c r="D30" s="65">
        <v>0.0</v>
      </c>
      <c r="E30" s="64"/>
    </row>
    <row r="31">
      <c r="A31" s="66" t="s">
        <v>331</v>
      </c>
      <c r="B31" s="67" t="s">
        <v>332</v>
      </c>
      <c r="C31" s="82">
        <v>0.0</v>
      </c>
      <c r="D31" s="65">
        <v>0.0</v>
      </c>
      <c r="E31" s="64"/>
    </row>
    <row r="32">
      <c r="A32" s="61" t="s">
        <v>237</v>
      </c>
      <c r="B32" s="62" t="s">
        <v>238</v>
      </c>
      <c r="C32" s="82">
        <v>0.0</v>
      </c>
      <c r="D32" s="65">
        <v>0.0</v>
      </c>
      <c r="E32" s="64"/>
    </row>
    <row r="33">
      <c r="A33" s="66" t="s">
        <v>333</v>
      </c>
      <c r="B33" s="67" t="s">
        <v>334</v>
      </c>
      <c r="C33" s="82">
        <v>0.0</v>
      </c>
      <c r="D33" s="65">
        <v>0.0</v>
      </c>
      <c r="E33" s="64"/>
    </row>
    <row r="34">
      <c r="A34" s="61" t="s">
        <v>335</v>
      </c>
      <c r="B34" s="62" t="s">
        <v>336</v>
      </c>
      <c r="C34" s="82">
        <v>49.0</v>
      </c>
      <c r="D34" s="70">
        <v>0.0</v>
      </c>
      <c r="E34" s="64"/>
      <c r="F34" s="68"/>
      <c r="I34" s="68" t="s">
        <v>337</v>
      </c>
    </row>
    <row r="35">
      <c r="A35" s="66" t="s">
        <v>245</v>
      </c>
      <c r="B35" s="67" t="s">
        <v>338</v>
      </c>
      <c r="C35" s="82">
        <v>0.0</v>
      </c>
      <c r="D35" s="65">
        <v>0.0</v>
      </c>
      <c r="E35" s="64"/>
    </row>
    <row r="36">
      <c r="A36" s="61" t="s">
        <v>339</v>
      </c>
      <c r="B36" s="62" t="s">
        <v>340</v>
      </c>
      <c r="C36" s="82">
        <v>0.0</v>
      </c>
      <c r="D36" s="65">
        <v>0.0</v>
      </c>
      <c r="E36" s="64"/>
    </row>
    <row r="37">
      <c r="A37" s="66" t="s">
        <v>341</v>
      </c>
      <c r="B37" s="67" t="s">
        <v>342</v>
      </c>
      <c r="C37" s="82">
        <v>0.0</v>
      </c>
      <c r="D37" s="65">
        <v>69.0</v>
      </c>
      <c r="E37" s="71"/>
      <c r="F37" s="68"/>
      <c r="I37" s="68" t="s">
        <v>343</v>
      </c>
    </row>
    <row r="38">
      <c r="A38" s="61" t="s">
        <v>344</v>
      </c>
      <c r="B38" s="62" t="s">
        <v>345</v>
      </c>
      <c r="D38" s="64"/>
      <c r="E38" s="64"/>
    </row>
    <row r="39">
      <c r="A39" s="66" t="s">
        <v>346</v>
      </c>
      <c r="B39" s="67" t="s">
        <v>347</v>
      </c>
      <c r="C39" s="82">
        <v>0.0</v>
      </c>
      <c r="D39" s="65">
        <v>59.0</v>
      </c>
      <c r="E39" s="64"/>
      <c r="F39" s="68" t="s">
        <v>204</v>
      </c>
      <c r="I39" s="68" t="s">
        <v>348</v>
      </c>
    </row>
    <row r="40">
      <c r="A40" s="61" t="s">
        <v>247</v>
      </c>
      <c r="B40" s="62" t="s">
        <v>349</v>
      </c>
      <c r="C40" s="82">
        <v>0.0</v>
      </c>
      <c r="D40" s="64"/>
      <c r="E40" s="64"/>
    </row>
    <row r="41">
      <c r="A41" s="66" t="s">
        <v>250</v>
      </c>
      <c r="B41" s="67" t="s">
        <v>350</v>
      </c>
      <c r="C41" s="63"/>
      <c r="D41" s="65">
        <v>0.0</v>
      </c>
      <c r="E41" s="64"/>
    </row>
    <row r="42">
      <c r="A42" s="61" t="s">
        <v>252</v>
      </c>
      <c r="B42" s="62" t="s">
        <v>253</v>
      </c>
      <c r="C42" s="82">
        <v>0.0</v>
      </c>
      <c r="D42" s="65">
        <v>0.0</v>
      </c>
      <c r="E42" s="64"/>
    </row>
    <row r="43">
      <c r="A43" s="66" t="s">
        <v>254</v>
      </c>
      <c r="B43" s="67" t="s">
        <v>351</v>
      </c>
      <c r="C43" s="82">
        <v>0.0</v>
      </c>
      <c r="D43" s="65">
        <v>0.0</v>
      </c>
      <c r="E43" s="64"/>
    </row>
    <row r="44">
      <c r="A44" s="61" t="s">
        <v>352</v>
      </c>
      <c r="B44" s="62" t="s">
        <v>353</v>
      </c>
      <c r="C44" s="82">
        <v>0.0</v>
      </c>
      <c r="D44" s="65">
        <v>0.0</v>
      </c>
      <c r="E44" s="64"/>
    </row>
    <row r="45">
      <c r="A45" s="66" t="s">
        <v>354</v>
      </c>
      <c r="B45" s="67" t="s">
        <v>355</v>
      </c>
      <c r="C45" s="82">
        <v>0.0</v>
      </c>
      <c r="D45" s="65">
        <v>0.0</v>
      </c>
      <c r="E45" s="64"/>
    </row>
    <row r="46">
      <c r="A46" s="61" t="s">
        <v>356</v>
      </c>
      <c r="B46" s="62" t="s">
        <v>357</v>
      </c>
      <c r="C46" s="63"/>
      <c r="D46" s="64"/>
      <c r="E46" s="64"/>
    </row>
    <row r="47">
      <c r="A47" s="66" t="s">
        <v>358</v>
      </c>
      <c r="B47" s="67" t="s">
        <v>359</v>
      </c>
      <c r="C47" s="63"/>
      <c r="D47" s="64"/>
      <c r="E47" s="64"/>
    </row>
    <row r="48">
      <c r="A48" s="61" t="s">
        <v>360</v>
      </c>
      <c r="B48" s="62" t="s">
        <v>361</v>
      </c>
      <c r="C48" s="82">
        <v>0.0</v>
      </c>
      <c r="D48" s="65">
        <v>0.0</v>
      </c>
      <c r="E48" s="64"/>
    </row>
    <row r="49">
      <c r="A49" s="66" t="s">
        <v>362</v>
      </c>
      <c r="B49" s="67" t="s">
        <v>363</v>
      </c>
      <c r="C49" s="82">
        <v>0.0</v>
      </c>
      <c r="D49" s="65">
        <v>0.0</v>
      </c>
      <c r="E49" s="64"/>
    </row>
    <row r="50">
      <c r="A50" s="61" t="s">
        <v>256</v>
      </c>
      <c r="B50" s="62" t="s">
        <v>364</v>
      </c>
      <c r="C50" s="82">
        <v>0.0</v>
      </c>
      <c r="D50" s="65">
        <v>0.0</v>
      </c>
      <c r="E50" s="64"/>
    </row>
    <row r="51">
      <c r="A51" s="66" t="s">
        <v>365</v>
      </c>
      <c r="B51" s="67" t="s">
        <v>366</v>
      </c>
      <c r="C51" s="82">
        <v>0.0</v>
      </c>
      <c r="D51" s="65">
        <v>0.0</v>
      </c>
      <c r="E51" s="64"/>
    </row>
    <row r="52">
      <c r="A52" s="61" t="s">
        <v>367</v>
      </c>
      <c r="B52" s="62" t="s">
        <v>368</v>
      </c>
      <c r="C52" s="82">
        <v>0.0</v>
      </c>
      <c r="D52" s="65">
        <v>0.0</v>
      </c>
      <c r="E52" s="64"/>
    </row>
    <row r="53">
      <c r="A53" s="66" t="s">
        <v>369</v>
      </c>
      <c r="B53" s="67" t="s">
        <v>370</v>
      </c>
      <c r="D53" s="64"/>
      <c r="E53" s="64"/>
    </row>
    <row r="54">
      <c r="A54" s="61" t="s">
        <v>371</v>
      </c>
      <c r="B54" s="62" t="s">
        <v>372</v>
      </c>
      <c r="C54" s="82">
        <v>0.0</v>
      </c>
      <c r="D54" s="65">
        <v>0.0</v>
      </c>
      <c r="E54" s="64"/>
    </row>
    <row r="55">
      <c r="A55" s="66" t="s">
        <v>373</v>
      </c>
      <c r="B55" s="67" t="s">
        <v>374</v>
      </c>
      <c r="C55" s="82">
        <v>0.0</v>
      </c>
      <c r="D55" s="65">
        <v>0.0</v>
      </c>
      <c r="E55" s="64"/>
    </row>
    <row r="56">
      <c r="A56" s="61" t="s">
        <v>375</v>
      </c>
      <c r="B56" s="62" t="s">
        <v>376</v>
      </c>
      <c r="C56" s="63"/>
      <c r="D56" s="64"/>
      <c r="E56" s="64"/>
    </row>
    <row r="57">
      <c r="A57" s="66" t="s">
        <v>377</v>
      </c>
      <c r="B57" s="67" t="s">
        <v>378</v>
      </c>
      <c r="C57" s="82">
        <v>0.0</v>
      </c>
      <c r="D57" s="65">
        <v>0.0</v>
      </c>
      <c r="E57" s="64"/>
    </row>
    <row r="58">
      <c r="A58" s="61" t="s">
        <v>379</v>
      </c>
      <c r="B58" s="62" t="s">
        <v>380</v>
      </c>
      <c r="C58" s="63"/>
      <c r="D58" s="64"/>
      <c r="E58" s="64"/>
    </row>
    <row r="59">
      <c r="A59" s="66" t="s">
        <v>381</v>
      </c>
      <c r="B59" s="67" t="s">
        <v>382</v>
      </c>
      <c r="C59" s="63"/>
      <c r="D59" s="64"/>
      <c r="E59" s="64"/>
    </row>
    <row r="60">
      <c r="A60" s="61" t="s">
        <v>383</v>
      </c>
      <c r="B60" s="62" t="s">
        <v>384</v>
      </c>
      <c r="D60" s="64"/>
      <c r="E60" s="64"/>
    </row>
    <row r="61">
      <c r="A61" s="66" t="s">
        <v>385</v>
      </c>
      <c r="B61" s="67" t="s">
        <v>386</v>
      </c>
      <c r="C61" s="63"/>
      <c r="D61" s="64"/>
      <c r="E61" s="64"/>
    </row>
    <row r="62">
      <c r="C62" s="68" t="s">
        <v>387</v>
      </c>
      <c r="D62" s="83" t="s">
        <v>275</v>
      </c>
      <c r="E62" s="80"/>
    </row>
    <row r="63">
      <c r="C63" s="84">
        <v>301.0</v>
      </c>
      <c r="D63" s="83">
        <v>128.0</v>
      </c>
      <c r="E63" s="80"/>
    </row>
    <row r="64">
      <c r="C64" s="68" t="s">
        <v>276</v>
      </c>
      <c r="D64" s="65" t="s">
        <v>277</v>
      </c>
      <c r="E64" s="64"/>
    </row>
    <row r="65">
      <c r="C65" s="84">
        <v>167.0</v>
      </c>
      <c r="D65" s="70">
        <v>69.0</v>
      </c>
      <c r="E65" s="71"/>
    </row>
    <row r="66">
      <c r="D66" s="64"/>
      <c r="E66" s="64"/>
    </row>
    <row r="67">
      <c r="C67" s="68" t="s">
        <v>279</v>
      </c>
      <c r="D67" s="76"/>
      <c r="E67" s="76"/>
    </row>
    <row r="68">
      <c r="C68" s="84">
        <v>134.0</v>
      </c>
      <c r="D68" s="79">
        <v>59.0</v>
      </c>
      <c r="E68" s="85"/>
      <c r="F68" s="77"/>
      <c r="G68" s="77"/>
      <c r="H68" s="77" t="s">
        <v>388</v>
      </c>
    </row>
    <row r="69">
      <c r="D69" s="64"/>
      <c r="E69" s="64"/>
    </row>
    <row r="70">
      <c r="D70" s="64"/>
      <c r="E70" s="64"/>
    </row>
    <row r="71">
      <c r="D71" s="64"/>
      <c r="E71" s="64"/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17.25"/>
  </cols>
  <sheetData>
    <row r="1">
      <c r="A1" s="86" t="s">
        <v>11</v>
      </c>
      <c r="B1" s="86" t="s">
        <v>389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>
      <c r="A2" s="69" t="s">
        <v>30</v>
      </c>
      <c r="B2" s="69" t="s">
        <v>54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>
      <c r="A3" s="69" t="s">
        <v>38</v>
      </c>
      <c r="B3" s="69" t="s">
        <v>31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>
      <c r="A4" s="69" t="s">
        <v>46</v>
      </c>
      <c r="B4" s="69" t="s">
        <v>103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>
      <c r="A5" s="69" t="s">
        <v>49</v>
      </c>
      <c r="B5" s="69" t="s">
        <v>161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>
      <c r="A6" s="69" t="s">
        <v>41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>
      <c r="A13" s="88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>
      <c r="A14" s="88"/>
      <c r="B14" s="88"/>
      <c r="C14" s="88"/>
      <c r="D14" s="88"/>
      <c r="E14" s="89" t="str">
        <f>servizi_scadenze!H64</f>
        <v/>
      </c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