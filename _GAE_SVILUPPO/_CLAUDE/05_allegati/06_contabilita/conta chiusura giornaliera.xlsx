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xandra" sheetId="1" r:id="rId5"/>
    <sheet state="visible" name="Alexandra-EX" sheetId="2" r:id="rId6"/>
    <sheet state="visible" name="Nura" sheetId="3" r:id="rId7"/>
    <sheet state="visible" name="Nura-EX" sheetId="4" r:id="rId8"/>
    <sheet state="visible" name="Giuditta" sheetId="5" r:id="rId9"/>
    <sheet state="visible" name="Giuditta-EX" sheetId="6" r:id="rId10"/>
    <sheet state="visible" name="Estefany" sheetId="7" r:id="rId11"/>
    <sheet state="visible" name="Estefany-EX" sheetId="8" r:id="rId12"/>
    <sheet state="visible" name="TEAM" sheetId="9" r:id="rId13"/>
    <sheet state="visible" name="TEAM-EX" sheetId="10" r:id="rId14"/>
    <sheet state="visible" name="Joel" sheetId="11" r:id="rId15"/>
    <sheet state="visible" name="Joel-EX" sheetId="12" r:id="rId16"/>
    <sheet state="visible" name="TEAM1" sheetId="13" r:id="rId17"/>
    <sheet state="visible" name="TEAM1-EX" sheetId="14" r:id="rId18"/>
    <sheet state="visible" name="TEAM2" sheetId="15" r:id="rId19"/>
    <sheet state="visible" name="TEAM2-EX" sheetId="16" r:id="rId20"/>
    <sheet state="visible" name="GENERALE" sheetId="17" r:id="rId21"/>
    <sheet state="visible" name="impostazioni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3">
      <text>
        <t xml:space="preserve">IMPORTANTE sezione A: 
confronta se il Totale Corsi + l'importo Shop è uguale al totale dello scontrino Pos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IMPORTANTE: confronta se il contante riportato nella sezione D, corrisponde agli importi riportati nella sezione A</t>
      </text>
    </comment>
  </commentList>
</comments>
</file>

<file path=xl/sharedStrings.xml><?xml version="1.0" encoding="utf-8"?>
<sst xmlns="http://schemas.openxmlformats.org/spreadsheetml/2006/main" count="306" uniqueCount="149">
  <si>
    <t>ALEXANDRA  &gt;&gt; SEZIONE A &lt;&lt;</t>
  </si>
  <si>
    <t>ALEXANDRA</t>
  </si>
  <si>
    <t>ALEXANDRA  &gt;&gt; SEZIONE B &lt;&lt;</t>
  </si>
  <si>
    <t>USCITA</t>
  </si>
  <si>
    <t>TOTALE</t>
  </si>
  <si>
    <t>ALEXANDRA  &gt;&gt; SEZIONE C &lt;&lt;</t>
  </si>
  <si>
    <t>ALEXANDRA &gt;&gt; SEZIONE D &lt;&lt;</t>
  </si>
  <si>
    <t>ELISA Controllo</t>
  </si>
  <si>
    <t>OK</t>
  </si>
  <si>
    <t>REGIST.</t>
  </si>
  <si>
    <t>ALEXANDRA - EXTRA  &gt;&gt; SEZIONE A &lt;&lt;</t>
  </si>
  <si>
    <t>ALEXANDRA
EXTRA</t>
  </si>
  <si>
    <t>ALEXANDRA - EXTRA &gt;&gt; SEZIONE B &lt;&lt;</t>
  </si>
  <si>
    <t>ALEXANDRA - EXTRA &gt;&gt; SEZIONE C &lt;&lt;</t>
  </si>
  <si>
    <t>ALEXANDRA - EXTRA &gt;&gt; SEZIONE D &lt;&lt;</t>
  </si>
  <si>
    <t>NURA  &gt;&gt; SEZIONE A &lt;&lt;</t>
  </si>
  <si>
    <t>NURA</t>
  </si>
  <si>
    <t>NURA  &gt;&gt; SEZIONE B &lt;&lt;</t>
  </si>
  <si>
    <t>NURA  &gt;&gt; SEZIONE C &lt;&lt;</t>
  </si>
  <si>
    <t>NURA  &gt;&gt; SEZIONE D &lt;&lt;</t>
  </si>
  <si>
    <t>NURA - EXTRA &gt;&gt; SEZIONE A &lt;&lt;</t>
  </si>
  <si>
    <t>NURA
EXTRA</t>
  </si>
  <si>
    <t>NURA - EXTRA  &gt;&gt; SEZIONE B &lt;&lt;</t>
  </si>
  <si>
    <t>NURA - EXTRA  &gt;&gt; SEZIONE C &lt;&lt;</t>
  </si>
  <si>
    <t>NURA - EXTRA  &gt;&gt; SEZIONE D &lt;&lt;</t>
  </si>
  <si>
    <t>GIUDITTA  &gt;&gt; SEZIONE A &lt;&lt;</t>
  </si>
  <si>
    <t>GIUDITTA</t>
  </si>
  <si>
    <t>GIUDITTA  &gt;&gt; SEZIONE B &lt;&lt;</t>
  </si>
  <si>
    <t>GIUDITTA  &gt;&gt; SEZIONE C &lt;&lt;</t>
  </si>
  <si>
    <t>GIUDITTA  &gt;&gt; SEZIONE D &lt;&lt;</t>
  </si>
  <si>
    <t>GIUDITTA - EXTRA &gt;&gt; SEZIONE A &lt;&lt;</t>
  </si>
  <si>
    <t>GIUDITTA
EXTRA</t>
  </si>
  <si>
    <t>GIUDITTA - EXTRA   &gt;&gt; SEZIONE B &lt;&lt;</t>
  </si>
  <si>
    <t>GIUDITTA - EXTRA   &gt;&gt; SEZIONE C &lt;&lt;</t>
  </si>
  <si>
    <t>GIUDITTA - EXTRA   &gt;&gt; SEZIONE D &lt;&lt;</t>
  </si>
  <si>
    <t>ESTEFANY  &gt;&gt; SEZIONE A &lt;&lt;</t>
  </si>
  <si>
    <t>ESTEFANY</t>
  </si>
  <si>
    <t>ESTEFANY  &gt;&gt; SEZIONE B &lt;&lt;</t>
  </si>
  <si>
    <t>ESTEFANY  &gt;&gt; SEZIONE C &lt;&lt;</t>
  </si>
  <si>
    <t xml:space="preserve">-20€ LAVAAGGIO TESSUTI </t>
  </si>
  <si>
    <t>ESTEFANY  &gt;&gt; SEZIONE D &lt;&lt;</t>
  </si>
  <si>
    <t>ESTEFANY - EXTRA &gt;&gt; SEZIONE A &lt;&lt;</t>
  </si>
  <si>
    <t>ESTEFANY
EXTRA</t>
  </si>
  <si>
    <t>ESTEFANY - EXTRA  &gt;&gt; SEZIONE B &lt;&lt;</t>
  </si>
  <si>
    <t>ESTEFANY - EXTRA  &gt;&gt; SEZIONE C &lt;&lt;</t>
  </si>
  <si>
    <t>ESTEFANY - EXTRA  &gt;&gt; SEZIONE D &lt;&lt;</t>
  </si>
  <si>
    <t>TEAM  &gt;&gt; SEZIONE A &lt;&lt;</t>
  </si>
  <si>
    <t>TEAM</t>
  </si>
  <si>
    <t>TEAM  &gt;&gt; SEZIONE B &lt;&lt;</t>
  </si>
  <si>
    <t>TEAM  &gt;&gt; SEZIONE C &lt;&lt;</t>
  </si>
  <si>
    <t>TEAM  &gt;&gt; SEZIONE D &lt;&lt;</t>
  </si>
  <si>
    <t>TEAM - EXTRA &gt;&gt; SEZIONE A &lt;&lt;</t>
  </si>
  <si>
    <t>TEAM EXTRA</t>
  </si>
  <si>
    <t>TEAM - EXTRA  &gt;&gt; SEZIONE B &lt;&lt;</t>
  </si>
  <si>
    <t>TEAM - EXTRA  &gt;&gt; SEZIONE C &lt;&lt;</t>
  </si>
  <si>
    <t>TEAM - EXTRA  &gt;&gt; SEZIONE D &lt;&lt;</t>
  </si>
  <si>
    <t>JOEL  &gt;&gt; SEZIONE A &lt;&lt;</t>
  </si>
  <si>
    <t>JOEL</t>
  </si>
  <si>
    <t>JOEL  &gt;&gt; SEZIONE B &lt;&lt;</t>
  </si>
  <si>
    <t>JOEL  &gt;&gt; SEZIONE C &lt;&lt;</t>
  </si>
  <si>
    <t>JOEL  &gt;&gt; SEZIONE D &lt;&lt;</t>
  </si>
  <si>
    <t>JOEL - EXTRA &gt;&gt; SEZIONE A &lt;&lt;</t>
  </si>
  <si>
    <t>JOEL
EXTRA</t>
  </si>
  <si>
    <t>JOEL - EXTRA  &gt;&gt; SEZIONE B &lt;&lt;</t>
  </si>
  <si>
    <t>JOEL - EXTRA  &gt;&gt; SEZIONE C &lt;&lt;</t>
  </si>
  <si>
    <t>JOEL - EXTRA  &gt;&gt; SEZIONE D &lt;&lt;</t>
  </si>
  <si>
    <t>TEAM1  &gt;&gt; SEZIONE A &lt;&lt;</t>
  </si>
  <si>
    <t>TEAM1</t>
  </si>
  <si>
    <t>TEAM1  &gt;&gt; SEZIONE B &lt;&lt;</t>
  </si>
  <si>
    <t>TEAM1  &gt;&gt; SEZIONE C &lt;&lt;</t>
  </si>
  <si>
    <t>TEAM1  &gt;&gt; SEZIONE D &lt;&lt;</t>
  </si>
  <si>
    <t>TEAM1 - EXTRA &gt;&gt; SEZIONE A &lt;&lt;</t>
  </si>
  <si>
    <t>TEAM1
EXTRA</t>
  </si>
  <si>
    <t>TEAM1 - EXTRA  &gt;&gt; SEZIONE B &lt;&lt;</t>
  </si>
  <si>
    <t>TEAM1 - EXTRA  &gt;&gt; SEZIONE C &lt;&lt;</t>
  </si>
  <si>
    <t>TEAM1 - EXTRA  &gt;&gt; SEZIONE D &lt;&lt;</t>
  </si>
  <si>
    <t>TEAM2 &gt;&gt; SEZIONE A &lt;&lt;</t>
  </si>
  <si>
    <t>TEAM2</t>
  </si>
  <si>
    <t>TEAM2  &gt;&gt; SEZIONE B &lt;&lt;</t>
  </si>
  <si>
    <t>TEAM2  &gt;&gt; SEZIONE C &lt;&lt;</t>
  </si>
  <si>
    <t>TEAM2  &gt;&gt; SEZIONE D &lt;&lt;</t>
  </si>
  <si>
    <t>TEAM2 - EXTRA &gt;&gt; SEZIONE A &lt;&lt;</t>
  </si>
  <si>
    <t>TEAM2
EXTRA</t>
  </si>
  <si>
    <t>TEAM2 - EXTRA  &gt;&gt; SEZIONE B &lt;&lt;</t>
  </si>
  <si>
    <t>TEAM2 - EXTRA  &gt;&gt; SEZIONE C &lt;&lt;</t>
  </si>
  <si>
    <t>TEAM2 - EXTRA  &gt;&gt; SEZIONE D &lt;&lt;</t>
  </si>
  <si>
    <t>CHIUSURA
GENERALE</t>
  </si>
  <si>
    <t>TOTALI SHOP FATTURE
(pagato con POS)</t>
  </si>
  <si>
    <t>Alexanndra</t>
  </si>
  <si>
    <t>Alexandra-EXTRA</t>
  </si>
  <si>
    <t>Nura</t>
  </si>
  <si>
    <t>Nura-EXTRA</t>
  </si>
  <si>
    <t>Giuditta</t>
  </si>
  <si>
    <t>Giuditta-EXTRA</t>
  </si>
  <si>
    <t>Estefany</t>
  </si>
  <si>
    <t>Estefany-EXTRA</t>
  </si>
  <si>
    <t>TEAM-EXTRA</t>
  </si>
  <si>
    <t>Joel</t>
  </si>
  <si>
    <t>Joel-EXTRA</t>
  </si>
  <si>
    <t>TEAM1-EX</t>
  </si>
  <si>
    <t>TEAM2-EX</t>
  </si>
  <si>
    <t>TOTALE CORSI DIVISO</t>
  </si>
  <si>
    <t>TOTALE CORSI + SHOP</t>
  </si>
  <si>
    <t>TOTALE SCONTRINO POS 
(CHIUSURA GIORNALIERA)</t>
  </si>
  <si>
    <t>TOTALE CONTANTI RICEVUTE AZZURRE</t>
  </si>
  <si>
    <t>TOTALE CONTANTI RICEVUTE BIANCHE</t>
  </si>
  <si>
    <t xml:space="preserve">USCITA CONTANTE		</t>
  </si>
  <si>
    <t>Alexandra</t>
  </si>
  <si>
    <t>TOTALE GENERALE</t>
  </si>
  <si>
    <t>ULTIMO ACCESSO:</t>
  </si>
  <si>
    <t>CONTROLLO FATTO DA:</t>
  </si>
  <si>
    <t>MASTER  &gt;&gt; SEZIONE A &lt;&lt;</t>
  </si>
  <si>
    <t>MASTER</t>
  </si>
  <si>
    <t>CONTANTE</t>
  </si>
  <si>
    <t>POS POSTA Recep</t>
  </si>
  <si>
    <t>CARTA POSTA Recep</t>
  </si>
  <si>
    <t>POS POSTA 2°P</t>
  </si>
  <si>
    <t>CARTA POSTA 2°P</t>
  </si>
  <si>
    <t>POS BPM 1°P</t>
  </si>
  <si>
    <t>CARTA BPM 1°P</t>
  </si>
  <si>
    <t>B/B</t>
  </si>
  <si>
    <t>SEDE
SCALAPAY</t>
  </si>
  <si>
    <t>SEDE
SATISPAY</t>
  </si>
  <si>
    <t>ONLINE
TESSERATO</t>
  </si>
  <si>
    <t>ONLINE
NON TESSERATO</t>
  </si>
  <si>
    <t>N° RICEVUTA</t>
  </si>
  <si>
    <t>CORSI</t>
  </si>
  <si>
    <t xml:space="preserve">
QUOTA
TESS.</t>
  </si>
  <si>
    <t>SUB-TOTALE 
CORSI DIVISO</t>
  </si>
  <si>
    <t>TOTALE CORSI UNITO</t>
  </si>
  <si>
    <t>SHOP FATTURE
(pagato con Pos)</t>
  </si>
  <si>
    <t>USCITA CONTANTE</t>
  </si>
  <si>
    <t>NOTE PER USCITA:</t>
  </si>
  <si>
    <t>TOTALE CASSA CONTANTE ENTRATE-USCITE</t>
  </si>
  <si>
    <t>MASTER  &gt;&gt; SEZIONE B &lt;&lt;</t>
  </si>
  <si>
    <t>N° RIC. BIANCHE
VISITE MEDICHE</t>
  </si>
  <si>
    <t>€</t>
  </si>
  <si>
    <t>N° RIC. RICEVUTE 
BIANCHE ALTRO</t>
  </si>
  <si>
    <t>SUB-TOTALE</t>
  </si>
  <si>
    <t>MASTER  &gt;&gt; SEZIONE C &lt;&lt;</t>
  </si>
  <si>
    <t>DISTINTA RICEVUTE AZZURRE + BIANCHE</t>
  </si>
  <si>
    <t>NOTE GENERICHE</t>
  </si>
  <si>
    <t>TOTALE CONTANTI 
RIC. AZZURRE</t>
  </si>
  <si>
    <t>TOTALE CONTANTI 
RIC. BIANCHE</t>
  </si>
  <si>
    <t>TOTALE CASSA</t>
  </si>
  <si>
    <t>MASTER  &gt;&gt; SEZIONE D &lt;&lt;</t>
  </si>
  <si>
    <t>PEZZI</t>
  </si>
  <si>
    <t>TAGLIO</t>
  </si>
  <si>
    <t>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</si>
</sst>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[$€-2]* #,##0.00_-;_-[$€-2]* \-#,##0.00_-;_-[$€-2]* &quot;-&quot;??_-;_-@"/>
    <numFmt numFmtId="165" formatCode="[$€-2]\ #,##0.00"/>
    <numFmt numFmtId="166" formatCode="dd/MM/yyyy H.mm.ss"/>
  </numFmts>
  <fonts count="37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/>
    <font>
      <sz val="10.0"/>
      <color rgb="FFFF0000"/>
      <name val="Helvetica Neue"/>
    </font>
    <font>
      <b/>
      <sz val="10.0"/>
      <color rgb="FFEAEAEA"/>
      <name val="Helvetica Neue"/>
    </font>
    <font>
      <sz val="10.0"/>
      <color theme="1"/>
      <name val="Helvetica Neue"/>
      <scheme val="minor"/>
    </font>
    <font>
      <sz val="10.0"/>
      <color theme="1"/>
      <name val="Helvetica Neue"/>
    </font>
    <font>
      <b/>
      <sz val="10.0"/>
      <color rgb="FFFF0000"/>
      <name val="Helvetica Neue"/>
    </font>
    <font>
      <sz val="8.0"/>
      <color rgb="FF000000"/>
      <name val="Helvetica Neue"/>
    </font>
    <font>
      <sz val="8.0"/>
      <color theme="1"/>
      <name val="Helvetica Neue"/>
    </font>
    <font>
      <u/>
      <sz val="10.0"/>
      <color rgb="FF0000FF"/>
      <name val="Helvetica Neue"/>
    </font>
    <font>
      <sz val="9.0"/>
      <color rgb="FF000000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0000FF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0000FF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  <font>
      <u/>
      <sz val="8.0"/>
      <color rgb="FF1155CC"/>
      <name val="Helvetica Neue"/>
    </font>
    <font>
      <u/>
      <sz val="9.0"/>
      <color rgb="FF1155CC"/>
      <name val="Helvetica Neue"/>
    </font>
    <font>
      <u/>
      <sz val="9.0"/>
      <color rgb="FF0000FF"/>
      <name val="Helvetica Neue"/>
    </font>
    <font>
      <u/>
      <sz val="10.0"/>
      <color rgb="FF1155CC"/>
      <name val="Helvetica Neue"/>
    </font>
    <font>
      <u/>
      <sz val="10.0"/>
      <color rgb="FF1155CC"/>
      <name val="Helvetica Neue"/>
    </font>
  </fonts>
  <fills count="15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41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left style="thin">
        <color rgb="FF999999"/>
      </left>
      <bottom style="medium">
        <color rgb="FF000000"/>
      </bottom>
    </border>
    <border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top style="thin">
        <color rgb="FF999999"/>
      </top>
      <bottom style="medium">
        <color rgb="FF000000"/>
      </bottom>
    </border>
    <border>
      <bottom style="thin">
        <color rgb="FF999999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999999"/>
      </right>
      <top style="medium">
        <color rgb="FF000000"/>
      </top>
      <bottom style="medium">
        <color rgb="FF000000"/>
      </bottom>
    </border>
    <border>
      <left style="thin">
        <color rgb="FF999999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top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49" xfId="0" applyAlignment="1" applyBorder="1" applyFill="1" applyFont="1" applyNumberFormat="1">
      <alignment horizontal="center" shrinkToFit="0" vertical="center" wrapText="1"/>
    </xf>
    <xf borderId="3" fillId="0" fontId="3" numFmtId="0" xfId="0" applyAlignment="1" applyBorder="1" applyFont="1">
      <alignment shrinkToFit="0" vertical="top" wrapText="1"/>
    </xf>
    <xf borderId="1" fillId="3" fontId="2" numFmtId="49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164" xfId="0" applyAlignment="1" applyBorder="1" applyFont="1" applyNumberFormat="1">
      <alignment readingOrder="0" shrinkToFit="0" vertical="center" wrapText="1"/>
    </xf>
    <xf borderId="4" fillId="0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164" xfId="0" applyAlignment="1" applyBorder="1" applyFont="1" applyNumberFormat="1">
      <alignment readingOrder="0" shrinkToFit="0" vertical="center" wrapText="1"/>
    </xf>
    <xf borderId="5" fillId="0" fontId="2" numFmtId="164" xfId="0" applyAlignment="1" applyBorder="1" applyFont="1" applyNumberFormat="1">
      <alignment shrinkToFit="0" vertical="center" wrapText="1"/>
    </xf>
    <xf borderId="1" fillId="3" fontId="2" numFmtId="49" xfId="0" applyAlignment="1" applyBorder="1" applyFont="1" applyNumberFormat="1">
      <alignment horizontal="right" readingOrder="0" shrinkToFit="0" vertical="center" wrapText="1"/>
    </xf>
    <xf borderId="1" fillId="3" fontId="1" numFmtId="164" xfId="0" applyAlignment="1" applyBorder="1" applyFont="1" applyNumberFormat="1">
      <alignment shrinkToFit="0" vertical="center" wrapText="1"/>
    </xf>
    <xf borderId="2" fillId="3" fontId="1" numFmtId="164" xfId="0" applyAlignment="1" applyBorder="1" applyFont="1" applyNumberFormat="1">
      <alignment shrinkToFit="0" vertical="center" wrapText="1"/>
    </xf>
    <xf borderId="2" fillId="3" fontId="2" numFmtId="164" xfId="0" applyAlignment="1" applyBorder="1" applyFont="1" applyNumberFormat="1">
      <alignment readingOrder="0" shrinkToFit="0" vertical="center" wrapText="1"/>
    </xf>
    <xf borderId="2" fillId="0" fontId="2" numFmtId="164" xfId="0" applyAlignment="1" applyBorder="1" applyFont="1" applyNumberFormat="1">
      <alignment readingOrder="0" shrinkToFit="0" vertical="center" wrapText="1"/>
    </xf>
    <xf borderId="6" fillId="0" fontId="2" numFmtId="164" xfId="0" applyAlignment="1" applyBorder="1" applyFont="1" applyNumberFormat="1">
      <alignment readingOrder="0" shrinkToFit="0" vertical="center" wrapText="1"/>
    </xf>
    <xf borderId="7" fillId="0" fontId="3" numFmtId="0" xfId="0" applyAlignment="1" applyBorder="1" applyFont="1">
      <alignment shrinkToFit="0" vertical="top" wrapText="1"/>
    </xf>
    <xf borderId="1" fillId="3" fontId="4" numFmtId="49" xfId="0" applyAlignment="1" applyBorder="1" applyFont="1" applyNumberFormat="1">
      <alignment horizontal="right" readingOrder="0" shrinkToFit="0" vertical="center" wrapText="1"/>
    </xf>
    <xf borderId="2" fillId="0" fontId="4" numFmtId="164" xfId="0" applyAlignment="1" applyBorder="1" applyFont="1" applyNumberFormat="1">
      <alignment readingOrder="0" shrinkToFit="0" vertical="center" wrapText="1"/>
    </xf>
    <xf borderId="2" fillId="3" fontId="2" numFmtId="49" xfId="0" applyAlignment="1" applyBorder="1" applyFont="1" applyNumberFormat="1">
      <alignment horizontal="right" readingOrder="0" shrinkToFit="0" vertical="center" wrapText="1"/>
    </xf>
    <xf borderId="8" fillId="0" fontId="2" numFmtId="49" xfId="0" applyAlignment="1" applyBorder="1" applyFont="1" applyNumberFormat="1">
      <alignment readingOrder="0" shrinkToFit="0" vertical="center" wrapText="1"/>
    </xf>
    <xf borderId="9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2" fillId="3" fontId="2" numFmtId="49" xfId="0" applyAlignment="1" applyBorder="1" applyFont="1" applyNumberFormat="1">
      <alignment horizontal="center" readingOrder="0" shrinkToFit="0" vertical="center" wrapText="1"/>
    </xf>
    <xf borderId="11" fillId="0" fontId="3" numFmtId="0" xfId="0" applyAlignment="1" applyBorder="1" applyFont="1">
      <alignment shrinkToFit="0" vertical="top" wrapText="1"/>
    </xf>
    <xf borderId="0" fillId="0" fontId="1" numFmtId="49" xfId="0" applyAlignment="1" applyFont="1" applyNumberFormat="1">
      <alignment horizontal="left" shrinkToFit="0" vertical="center" wrapText="1"/>
    </xf>
    <xf borderId="12" fillId="4" fontId="2" numFmtId="49" xfId="0" applyAlignment="1" applyBorder="1" applyFill="1" applyFont="1" applyNumberFormat="1">
      <alignment horizontal="center" readingOrder="0" shrinkToFit="0" vertical="center" wrapText="1"/>
    </xf>
    <xf borderId="13" fillId="0" fontId="3" numFmtId="0" xfId="0" applyAlignment="1" applyBorder="1" applyFont="1">
      <alignment shrinkToFit="0" vertical="top" wrapText="1"/>
    </xf>
    <xf borderId="4" fillId="4" fontId="2" numFmtId="164" xfId="0" applyAlignment="1" applyBorder="1" applyFont="1" applyNumberFormat="1">
      <alignment horizontal="right" readingOrder="0" shrinkToFit="0" vertical="center" wrapText="1"/>
    </xf>
    <xf borderId="2" fillId="4" fontId="2" numFmtId="49" xfId="0" applyAlignment="1" applyBorder="1" applyFont="1" applyNumberFormat="1">
      <alignment horizontal="center" readingOrder="0" shrinkToFit="0" vertical="center" wrapText="1"/>
    </xf>
    <xf borderId="4" fillId="4" fontId="2" numFmtId="164" xfId="0" applyAlignment="1" applyBorder="1" applyFont="1" applyNumberFormat="1">
      <alignment readingOrder="0" shrinkToFit="0" vertical="center" wrapText="1"/>
    </xf>
    <xf borderId="12" fillId="4" fontId="2" numFmtId="49" xfId="0" applyAlignment="1" applyBorder="1" applyFont="1" applyNumberFormat="1">
      <alignment horizontal="center" shrinkToFit="0" vertical="center" wrapText="1"/>
    </xf>
    <xf borderId="14" fillId="0" fontId="3" numFmtId="0" xfId="0" applyAlignment="1" applyBorder="1" applyFont="1">
      <alignment shrinkToFit="0" vertical="top" wrapText="1"/>
    </xf>
    <xf borderId="1" fillId="4" fontId="2" numFmtId="164" xfId="0" applyAlignment="1" applyBorder="1" applyFont="1" applyNumberFormat="1">
      <alignment horizontal="right" readingOrder="0" shrinkToFit="0" vertical="center" wrapText="1"/>
    </xf>
    <xf borderId="1" fillId="4" fontId="2" numFmtId="164" xfId="0" applyAlignment="1" applyBorder="1" applyFont="1" applyNumberFormat="1">
      <alignment readingOrder="0" shrinkToFit="0" vertical="center" wrapText="1"/>
    </xf>
    <xf borderId="2" fillId="4" fontId="2" numFmtId="49" xfId="0" applyAlignment="1" applyBorder="1" applyFont="1" applyNumberFormat="1">
      <alignment horizontal="center" shrinkToFit="0" vertical="center" wrapText="1"/>
    </xf>
    <xf borderId="2" fillId="3" fontId="2" numFmtId="49" xfId="0" applyAlignment="1" applyBorder="1" applyFont="1" applyNumberFormat="1">
      <alignment horizontal="right" shrinkToFit="0" vertical="center" wrapText="1"/>
    </xf>
    <xf borderId="1" fillId="3" fontId="1" numFmtId="164" xfId="0" applyAlignment="1" applyBorder="1" applyFont="1" applyNumberFormat="1">
      <alignment horizontal="right" shrinkToFit="0" vertical="center" wrapText="1"/>
    </xf>
    <xf borderId="15" fillId="3" fontId="4" numFmtId="49" xfId="0" applyAlignment="1" applyBorder="1" applyFont="1" applyNumberFormat="1">
      <alignment horizontal="right" readingOrder="0" shrinkToFit="0" vertical="center" wrapText="1"/>
    </xf>
    <xf borderId="15" fillId="0" fontId="4" numFmtId="164" xfId="0" applyAlignment="1" applyBorder="1" applyFont="1" applyNumberFormat="1">
      <alignment horizontal="right" readingOrder="0" shrinkToFit="0" vertical="center" wrapText="1"/>
    </xf>
    <xf borderId="15" fillId="3" fontId="2" numFmtId="49" xfId="0" applyAlignment="1" applyBorder="1" applyFont="1" applyNumberFormat="1">
      <alignment horizontal="right" readingOrder="0" shrinkToFit="0" vertical="center" wrapText="1"/>
    </xf>
    <xf borderId="15" fillId="3" fontId="7" numFmtId="164" xfId="0" applyAlignment="1" applyBorder="1" applyFont="1" applyNumberFormat="1">
      <alignment horizontal="right" shrinkToFit="0" vertical="center" wrapText="1"/>
    </xf>
    <xf borderId="1" fillId="3" fontId="1" numFmtId="49" xfId="0" applyAlignment="1" applyBorder="1" applyFont="1" applyNumberFormat="1">
      <alignment horizontal="right" readingOrder="0" shrinkToFit="0" vertical="center" wrapText="1"/>
    </xf>
    <xf borderId="2" fillId="3" fontId="1" numFmtId="164" xfId="0" applyAlignment="1" applyBorder="1" applyFont="1" applyNumberFormat="1">
      <alignment readingOrder="0" shrinkToFit="0" vertical="center" wrapText="1"/>
    </xf>
    <xf borderId="6" fillId="4" fontId="1" numFmtId="0" xfId="0" applyAlignment="1" applyBorder="1" applyFont="1">
      <alignment horizontal="center" readingOrder="0" shrinkToFit="0" vertical="top" wrapText="1"/>
    </xf>
    <xf borderId="16" fillId="0" fontId="3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1" fillId="3" fontId="8" numFmtId="49" xfId="0" applyAlignment="1" applyBorder="1" applyFont="1" applyNumberFormat="1">
      <alignment horizontal="right" readingOrder="0" shrinkToFit="0" vertical="center" wrapText="1"/>
    </xf>
    <xf borderId="2" fillId="3" fontId="8" numFmtId="164" xfId="0" applyAlignment="1" applyBorder="1" applyFont="1" applyNumberFormat="1">
      <alignment readingOrder="0" shrinkToFit="0" vertical="center" wrapText="1"/>
    </xf>
    <xf borderId="12" fillId="0" fontId="3" numFmtId="0" xfId="0" applyAlignment="1" applyBorder="1" applyFont="1">
      <alignment shrinkToFit="0" vertical="top" wrapText="1"/>
    </xf>
    <xf borderId="2" fillId="4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top" wrapText="1"/>
    </xf>
    <xf borderId="0" fillId="4" fontId="1" numFmtId="49" xfId="0" applyAlignment="1" applyFont="1" applyNumberForma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shrinkToFit="0" vertical="center" wrapText="1"/>
    </xf>
    <xf borderId="1" fillId="3" fontId="2" numFmtId="49" xfId="0" applyAlignment="1" applyBorder="1" applyFont="1" applyNumberFormat="1">
      <alignment horizontal="right" shrinkToFit="0" vertical="center" wrapText="1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3" fontId="2" numFmtId="164" xfId="0" applyAlignment="1" applyBorder="1" applyFont="1" applyNumberFormat="1">
      <alignment horizontal="right" shrinkToFit="0" vertical="center" wrapText="1"/>
    </xf>
    <xf borderId="0" fillId="3" fontId="2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shrinkToFit="0" vertical="center" wrapText="1"/>
    </xf>
    <xf borderId="1" fillId="3" fontId="9" numFmtId="49" xfId="0" applyAlignment="1" applyBorder="1" applyFont="1" applyNumberFormat="1">
      <alignment horizontal="right" readingOrder="0" shrinkToFit="0" vertical="center" wrapText="1"/>
    </xf>
    <xf borderId="2" fillId="3" fontId="9" numFmtId="166" xfId="0" applyAlignment="1" applyBorder="1" applyFont="1" applyNumberFormat="1">
      <alignment horizontal="right" shrinkToFit="0" vertical="center" wrapText="1"/>
    </xf>
    <xf borderId="11" fillId="3" fontId="10" numFmtId="0" xfId="0" applyAlignment="1" applyBorder="1" applyFont="1">
      <alignment horizontal="right" shrinkToFit="0" vertical="center" wrapText="1"/>
    </xf>
    <xf borderId="2" fillId="3" fontId="9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11" fillId="3" fontId="11" numFmtId="0" xfId="0" applyAlignment="1" applyBorder="1" applyFont="1">
      <alignment horizontal="right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2" fillId="3" fontId="9" numFmtId="0" xfId="0" applyAlignment="1" applyBorder="1" applyFont="1">
      <alignment horizontal="right" readingOrder="0" shrinkToFit="0" vertical="center" wrapText="1"/>
    </xf>
    <xf borderId="2" fillId="3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19" fillId="3" fontId="1" numFmtId="0" xfId="0" applyAlignment="1" applyBorder="1" applyFont="1">
      <alignment horizontal="center" readingOrder="0" shrinkToFit="0" vertical="center" wrapText="1"/>
    </xf>
    <xf borderId="20" fillId="0" fontId="3" numFmtId="0" xfId="0" applyAlignment="1" applyBorder="1" applyFont="1">
      <alignment shrinkToFit="0" vertical="top" wrapText="1"/>
    </xf>
    <xf borderId="8" fillId="3" fontId="2" numFmtId="49" xfId="0" applyAlignment="1" applyBorder="1" applyFont="1" applyNumberFormat="1">
      <alignment horizontal="center" shrinkToFit="0" vertical="center" wrapText="1"/>
    </xf>
    <xf borderId="8" fillId="3" fontId="2" numFmtId="49" xfId="0" applyAlignment="1" applyBorder="1" applyFont="1" applyNumberFormat="1">
      <alignment horizontal="center" readingOrder="0" shrinkToFit="0" vertical="center" wrapText="1"/>
    </xf>
    <xf borderId="21" fillId="0" fontId="3" numFmtId="0" xfId="0" applyAlignment="1" applyBorder="1" applyFont="1">
      <alignment shrinkToFit="0" vertical="top" wrapText="1"/>
    </xf>
    <xf borderId="22" fillId="0" fontId="3" numFmtId="0" xfId="0" applyAlignment="1" applyBorder="1" applyFont="1">
      <alignment shrinkToFit="0" vertical="top" wrapText="1"/>
    </xf>
    <xf borderId="23" fillId="3" fontId="2" numFmtId="49" xfId="0" applyAlignment="1" applyBorder="1" applyFont="1" applyNumberFormat="1">
      <alignment horizontal="center" shrinkToFit="0" vertical="center" wrapText="1"/>
    </xf>
    <xf borderId="24" fillId="3" fontId="2" numFmtId="49" xfId="0" applyAlignment="1" applyBorder="1" applyFont="1" applyNumberFormat="1">
      <alignment horizontal="center" readingOrder="0" shrinkToFit="0" vertical="center" wrapText="1"/>
    </xf>
    <xf borderId="25" fillId="0" fontId="3" numFmtId="0" xfId="0" applyAlignment="1" applyBorder="1" applyFont="1">
      <alignment shrinkToFit="0" vertical="top" wrapText="1"/>
    </xf>
    <xf borderId="8" fillId="2" fontId="13" numFmtId="49" xfId="0" applyAlignment="1" applyBorder="1" applyFont="1" applyNumberFormat="1">
      <alignment horizontal="right" readingOrder="0" shrinkToFit="0" vertical="center" wrapText="1"/>
    </xf>
    <xf borderId="15" fillId="12" fontId="2" numFmtId="164" xfId="0" applyAlignment="1" applyBorder="1" applyFill="1" applyFont="1" applyNumberFormat="1">
      <alignment horizontal="right" shrinkToFit="0" vertical="center" wrapText="1"/>
    </xf>
    <xf borderId="26" fillId="12" fontId="2" numFmtId="164" xfId="0" applyAlignment="1" applyBorder="1" applyFont="1" applyNumberFormat="1">
      <alignment horizontal="right" shrinkToFit="0" vertical="center" wrapText="1"/>
    </xf>
    <xf borderId="27" fillId="0" fontId="3" numFmtId="0" xfId="0" applyAlignment="1" applyBorder="1" applyFont="1">
      <alignment shrinkToFit="0" vertical="top" wrapText="1"/>
    </xf>
    <xf borderId="26" fillId="2" fontId="14" numFmtId="49" xfId="0" applyAlignment="1" applyBorder="1" applyFont="1" applyNumberFormat="1">
      <alignment horizontal="right" readingOrder="0" shrinkToFit="0" vertical="center" wrapText="1"/>
    </xf>
    <xf borderId="15" fillId="13" fontId="2" numFmtId="164" xfId="0" applyAlignment="1" applyBorder="1" applyFill="1" applyFont="1" applyNumberFormat="1">
      <alignment horizontal="right" shrinkToFit="0" vertical="center" wrapText="1"/>
    </xf>
    <xf borderId="26" fillId="13" fontId="2" numFmtId="164" xfId="0" applyAlignment="1" applyBorder="1" applyFont="1" applyNumberFormat="1">
      <alignment horizontal="right" shrinkToFit="0" vertical="center" wrapText="1"/>
    </xf>
    <xf borderId="26" fillId="5" fontId="15" numFmtId="49" xfId="0" applyAlignment="1" applyBorder="1" applyFont="1" applyNumberFormat="1">
      <alignment horizontal="right" readingOrder="0" shrinkToFit="0" vertical="center" wrapText="1"/>
    </xf>
    <xf borderId="28" fillId="12" fontId="2" numFmtId="164" xfId="0" applyAlignment="1" applyBorder="1" applyFont="1" applyNumberFormat="1">
      <alignment horizontal="right" shrinkToFit="0" vertical="center" wrapText="1"/>
    </xf>
    <xf borderId="28" fillId="13" fontId="2" numFmtId="164" xfId="0" applyAlignment="1" applyBorder="1" applyFont="1" applyNumberFormat="1">
      <alignment horizontal="right" shrinkToFit="0" vertical="center" wrapText="1"/>
    </xf>
    <xf borderId="8" fillId="6" fontId="16" numFmtId="49" xfId="0" applyAlignment="1" applyBorder="1" applyFont="1" applyNumberFormat="1">
      <alignment horizontal="right" readingOrder="0" shrinkToFit="0" vertical="center" wrapText="1"/>
    </xf>
    <xf borderId="8" fillId="7" fontId="17" numFmtId="49" xfId="0" applyAlignment="1" applyBorder="1" applyFont="1" applyNumberFormat="1">
      <alignment horizontal="right" readingOrder="0" shrinkToFit="0" vertical="center" wrapText="1"/>
    </xf>
    <xf borderId="8" fillId="8" fontId="18" numFmtId="49" xfId="0" applyAlignment="1" applyBorder="1" applyFont="1" applyNumberFormat="1">
      <alignment horizontal="right" readingOrder="0" shrinkToFit="0" vertical="center" wrapText="1"/>
    </xf>
    <xf borderId="8" fillId="9" fontId="19" numFmtId="0" xfId="0" applyAlignment="1" applyBorder="1" applyFont="1">
      <alignment horizontal="right" readingOrder="0" shrinkToFit="0" vertical="center" wrapText="1"/>
    </xf>
    <xf borderId="19" fillId="9" fontId="20" numFmtId="0" xfId="0" applyAlignment="1" applyBorder="1" applyFont="1">
      <alignment horizontal="right" readingOrder="0" shrinkToFit="0" vertical="center" wrapText="1"/>
    </xf>
    <xf borderId="29" fillId="0" fontId="3" numFmtId="0" xfId="0" applyAlignment="1" applyBorder="1" applyFont="1">
      <alignment shrinkToFit="0" vertical="top" wrapText="1"/>
    </xf>
    <xf borderId="19" fillId="10" fontId="21" numFmtId="49" xfId="0" applyAlignment="1" applyBorder="1" applyFont="1" applyNumberFormat="1">
      <alignment horizontal="right" readingOrder="0" shrinkToFit="0" vertical="center" wrapText="1"/>
    </xf>
    <xf borderId="30" fillId="12" fontId="2" numFmtId="164" xfId="0" applyAlignment="1" applyBorder="1" applyFont="1" applyNumberFormat="1">
      <alignment horizontal="right" shrinkToFit="0" vertical="center" wrapText="1"/>
    </xf>
    <xf borderId="30" fillId="13" fontId="2" numFmtId="164" xfId="0" applyAlignment="1" applyBorder="1" applyFont="1" applyNumberFormat="1">
      <alignment horizontal="right" shrinkToFit="0" vertical="center" wrapText="1"/>
    </xf>
    <xf borderId="19" fillId="11" fontId="22" numFmtId="49" xfId="0" applyAlignment="1" applyBorder="1" applyFont="1" applyNumberFormat="1">
      <alignment horizontal="right" readingOrder="0" shrinkToFit="0" vertical="center" wrapText="1"/>
    </xf>
    <xf borderId="19" fillId="3" fontId="2" numFmtId="0" xfId="0" applyAlignment="1" applyBorder="1" applyFont="1">
      <alignment horizontal="right" shrinkToFit="0" vertical="center" wrapText="1"/>
    </xf>
    <xf borderId="30" fillId="3" fontId="2" numFmtId="164" xfId="0" applyAlignment="1" applyBorder="1" applyFont="1" applyNumberFormat="1">
      <alignment horizontal="right" shrinkToFit="0" vertical="center" wrapText="1"/>
    </xf>
    <xf borderId="26" fillId="3" fontId="2" numFmtId="164" xfId="0" applyAlignment="1" applyBorder="1" applyFont="1" applyNumberFormat="1">
      <alignment horizontal="right" shrinkToFit="0" vertical="center" wrapText="1"/>
    </xf>
    <xf borderId="31" fillId="3" fontId="2" numFmtId="49" xfId="0" applyAlignment="1" applyBorder="1" applyFont="1" applyNumberFormat="1">
      <alignment horizontal="right" shrinkToFit="0" vertical="center" wrapText="1"/>
    </xf>
    <xf borderId="32" fillId="0" fontId="3" numFmtId="0" xfId="0" applyAlignment="1" applyBorder="1" applyFont="1">
      <alignment shrinkToFit="0" vertical="top" wrapText="1"/>
    </xf>
    <xf borderId="33" fillId="3" fontId="1" numFmtId="164" xfId="0" applyAlignment="1" applyBorder="1" applyFont="1" applyNumberFormat="1">
      <alignment horizontal="right" shrinkToFit="0" vertical="center" wrapText="1"/>
    </xf>
    <xf borderId="31" fillId="3" fontId="1" numFmtId="164" xfId="0" applyAlignment="1" applyBorder="1" applyFont="1" applyNumberFormat="1">
      <alignment horizontal="right" shrinkToFit="0" vertical="center" wrapText="1"/>
    </xf>
    <xf borderId="8" fillId="3" fontId="2" numFmtId="49" xfId="0" applyAlignment="1" applyBorder="1" applyFont="1" applyNumberFormat="1">
      <alignment horizontal="right" readingOrder="0" shrinkToFit="0" vertical="center" wrapText="1"/>
    </xf>
    <xf borderId="8" fillId="3" fontId="2" numFmtId="164" xfId="0" applyAlignment="1" applyBorder="1" applyFont="1" applyNumberFormat="1">
      <alignment horizontal="right" shrinkToFit="0" vertical="center" wrapText="1"/>
    </xf>
    <xf borderId="0" fillId="3" fontId="2" numFmtId="49" xfId="0" applyAlignment="1" applyFont="1" applyNumberFormat="1">
      <alignment horizontal="right" readingOrder="0" shrinkToFit="0" vertical="center" wrapText="1"/>
    </xf>
    <xf borderId="8" fillId="0" fontId="2" numFmtId="164" xfId="0" applyAlignment="1" applyBorder="1" applyFont="1" applyNumberFormat="1">
      <alignment horizontal="right" readingOrder="0" shrinkToFit="0" vertical="center" wrapText="1"/>
    </xf>
    <xf borderId="14" fillId="0" fontId="2" numFmtId="164" xfId="0" applyAlignment="1" applyBorder="1" applyFont="1" applyNumberFormat="1">
      <alignment horizontal="right" readingOrder="0" shrinkToFit="0" vertical="center" wrapText="1"/>
    </xf>
    <xf borderId="12" fillId="0" fontId="2" numFmtId="164" xfId="0" applyAlignment="1" applyBorder="1" applyFont="1" applyNumberFormat="1">
      <alignment horizontal="right"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1"/>
    </xf>
    <xf borderId="12" fillId="4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23" fillId="3" fontId="2" numFmtId="49" xfId="0" applyAlignment="1" applyBorder="1" applyFont="1" applyNumberFormat="1">
      <alignment readingOrder="0" shrinkToFit="0" vertical="center" wrapText="1"/>
    </xf>
    <xf borderId="24" fillId="3" fontId="2" numFmtId="49" xfId="0" applyAlignment="1" applyBorder="1" applyFont="1" applyNumberFormat="1">
      <alignment readingOrder="0" shrinkToFit="0" vertical="center" wrapText="1"/>
    </xf>
    <xf borderId="34" fillId="0" fontId="3" numFmtId="0" xfId="0" applyAlignment="1" applyBorder="1" applyFont="1">
      <alignment shrinkToFit="0" vertical="top" wrapText="1"/>
    </xf>
    <xf borderId="15" fillId="2" fontId="23" numFmtId="49" xfId="0" applyAlignment="1" applyBorder="1" applyFont="1" applyNumberFormat="1">
      <alignment horizontal="right" readingOrder="0" shrinkToFit="0" vertical="center" wrapText="1"/>
    </xf>
    <xf borderId="26" fillId="3" fontId="1" numFmtId="164" xfId="0" applyAlignment="1" applyBorder="1" applyFont="1" applyNumberFormat="1">
      <alignment readingOrder="0" shrinkToFit="0" vertical="center" wrapText="1"/>
    </xf>
    <xf borderId="35" fillId="0" fontId="3" numFmtId="0" xfId="0" applyAlignment="1" applyBorder="1" applyFont="1">
      <alignment shrinkToFit="0" vertical="top" wrapText="1"/>
    </xf>
    <xf borderId="26" fillId="3" fontId="8" numFmtId="164" xfId="0" applyAlignment="1" applyBorder="1" applyFont="1" applyNumberFormat="1">
      <alignment readingOrder="0" shrinkToFit="0" vertical="center" wrapText="1"/>
    </xf>
    <xf borderId="26" fillId="3" fontId="1" numFmtId="164" xfId="0" applyAlignment="1" applyBorder="1" applyFont="1" applyNumberFormat="1">
      <alignment horizontal="right" readingOrder="0" shrinkToFit="0" vertical="center" wrapText="1"/>
    </xf>
    <xf borderId="15" fillId="3" fontId="1" numFmtId="0" xfId="0" applyAlignment="1" applyBorder="1" applyFont="1">
      <alignment horizontal="center" shrinkToFit="0" vertical="center" wrapText="1"/>
    </xf>
    <xf borderId="28" fillId="5" fontId="24" numFmtId="49" xfId="0" applyAlignment="1" applyBorder="1" applyFont="1" applyNumberFormat="1">
      <alignment horizontal="right" readingOrder="0" shrinkToFit="0" vertical="center" wrapText="1"/>
    </xf>
    <xf borderId="15" fillId="6" fontId="25" numFmtId="49" xfId="0" applyAlignment="1" applyBorder="1" applyFont="1" applyNumberFormat="1">
      <alignment horizontal="right" readingOrder="0" shrinkToFit="0" vertical="center" wrapText="1"/>
    </xf>
    <xf borderId="15" fillId="3" fontId="1" numFmtId="165" xfId="0" applyAlignment="1" applyBorder="1" applyFont="1" applyNumberFormat="1">
      <alignment horizontal="center" readingOrder="0" shrinkToFit="0" vertical="center" wrapText="1"/>
    </xf>
    <xf borderId="15" fillId="7" fontId="26" numFmtId="49" xfId="0" applyAlignment="1" applyBorder="1" applyFont="1" applyNumberFormat="1">
      <alignment horizontal="right" readingOrder="0" shrinkToFit="0" vertical="center" wrapText="1"/>
    </xf>
    <xf borderId="15" fillId="8" fontId="27" numFmtId="49" xfId="0" applyAlignment="1" applyBorder="1" applyFont="1" applyNumberFormat="1">
      <alignment horizontal="right" readingOrder="0" shrinkToFit="0" vertical="center" wrapText="1"/>
    </xf>
    <xf borderId="15" fillId="9" fontId="28" numFmtId="49" xfId="0" applyAlignment="1" applyBorder="1" applyFont="1" applyNumberFormat="1">
      <alignment horizontal="right" readingOrder="0" shrinkToFit="0" vertical="center" wrapText="1"/>
    </xf>
    <xf borderId="30" fillId="9" fontId="29" numFmtId="49" xfId="0" applyAlignment="1" applyBorder="1" applyFont="1" applyNumberFormat="1">
      <alignment horizontal="right" readingOrder="0" shrinkToFit="0" vertical="center" wrapText="1"/>
    </xf>
    <xf borderId="30" fillId="10" fontId="30" numFmtId="49" xfId="0" applyAlignment="1" applyBorder="1" applyFont="1" applyNumberFormat="1">
      <alignment horizontal="right" readingOrder="0" shrinkToFit="0" vertical="center" wrapText="1"/>
    </xf>
    <xf borderId="30" fillId="11" fontId="31" numFmtId="49" xfId="0" applyAlignment="1" applyBorder="1" applyFont="1" applyNumberFormat="1">
      <alignment horizontal="right" readingOrder="0" shrinkToFit="0" vertical="center" wrapText="1"/>
    </xf>
    <xf borderId="30" fillId="3" fontId="2" numFmtId="49" xfId="0" applyAlignment="1" applyBorder="1" applyFont="1" applyNumberFormat="1">
      <alignment horizontal="right" shrinkToFit="0" vertical="center" wrapText="1"/>
    </xf>
    <xf borderId="19" fillId="3" fontId="1" numFmtId="164" xfId="0" applyAlignment="1" applyBorder="1" applyFont="1" applyNumberFormat="1">
      <alignment readingOrder="0" shrinkToFit="0" vertical="center" wrapText="1"/>
    </xf>
    <xf borderId="36" fillId="3" fontId="1" numFmtId="165" xfId="0" applyAlignment="1" applyBorder="1" applyFont="1" applyNumberFormat="1">
      <alignment horizontal="right" readingOrder="0" shrinkToFit="0" vertical="center" wrapText="1"/>
    </xf>
    <xf borderId="37" fillId="0" fontId="3" numFmtId="0" xfId="0" applyAlignment="1" applyBorder="1" applyFont="1">
      <alignment shrinkToFit="0" vertical="top" wrapText="1"/>
    </xf>
    <xf borderId="38" fillId="0" fontId="3" numFmtId="0" xfId="0" applyAlignment="1" applyBorder="1" applyFont="1">
      <alignment shrinkToFit="0" vertical="top" wrapText="1"/>
    </xf>
    <xf borderId="39" fillId="3" fontId="1" numFmtId="164" xfId="0" applyAlignment="1" applyBorder="1" applyFont="1" applyNumberFormat="1">
      <alignment horizontal="right" readingOrder="0" shrinkToFit="0" vertical="center" wrapText="1"/>
    </xf>
    <xf borderId="40" fillId="0" fontId="3" numFmtId="0" xfId="0" applyAlignment="1" applyBorder="1" applyFont="1">
      <alignment shrinkToFit="0" vertical="top" wrapText="1"/>
    </xf>
    <xf borderId="1" fillId="3" fontId="9" numFmtId="0" xfId="0" applyAlignment="1" applyBorder="1" applyFont="1">
      <alignment horizontal="right" readingOrder="0" shrinkToFit="0" vertical="center" wrapText="1"/>
    </xf>
    <xf borderId="2" fillId="3" fontId="32" numFmtId="0" xfId="0" applyAlignment="1" applyBorder="1" applyFont="1">
      <alignment horizontal="center" readingOrder="0" shrinkToFit="0" vertical="center" wrapText="1"/>
    </xf>
    <xf borderId="2" fillId="3" fontId="33" numFmtId="0" xfId="0" applyAlignment="1" applyBorder="1" applyFont="1">
      <alignment horizontal="center" readingOrder="0" shrinkToFit="0" vertical="center" wrapText="1"/>
    </xf>
    <xf borderId="2" fillId="3" fontId="34" numFmtId="0" xfId="0" applyAlignment="1" applyBorder="1" applyFont="1">
      <alignment horizontal="center" readingOrder="0" shrinkToFit="0" vertical="center" wrapText="1"/>
    </xf>
    <xf borderId="11" fillId="3" fontId="35" numFmtId="0" xfId="0" applyAlignment="1" applyBorder="1" applyFont="1">
      <alignment horizontal="right" readingOrder="0" shrinkToFit="0" vertical="center" wrapText="1"/>
    </xf>
    <xf borderId="0" fillId="14" fontId="1" numFmtId="0" xfId="0" applyAlignment="1" applyFill="1" applyFont="1">
      <alignment horizontal="center" readingOrder="0" shrinkToFit="0" vertical="center" wrapText="1"/>
    </xf>
    <xf borderId="1" fillId="14" fontId="1" numFmtId="0" xfId="0" applyAlignment="1" applyBorder="1" applyFont="1">
      <alignment horizontal="center" readingOrder="0" shrinkToFit="0" vertical="center" wrapText="1"/>
    </xf>
    <xf borderId="1" fillId="3" fontId="2" numFmtId="49" xfId="0" applyAlignment="1" applyBorder="1" applyFont="1" applyNumberFormat="1">
      <alignment horizontal="center" readingOrder="0" shrinkToFit="0" vertical="center" wrapText="1"/>
    </xf>
    <xf borderId="1" fillId="3" fontId="4" numFmtId="49" xfId="0" applyAlignment="1" applyBorder="1" applyFont="1" applyNumberFormat="1">
      <alignment horizontal="right" shrinkToFit="0" vertical="center" wrapText="1"/>
    </xf>
    <xf borderId="0" fillId="0" fontId="7" numFmtId="0" xfId="0" applyAlignment="1" applyFont="1">
      <alignment shrinkToFit="0" vertical="top" wrapText="1"/>
    </xf>
    <xf borderId="2" fillId="3" fontId="1" numFmtId="164" xfId="0" applyAlignment="1" applyBorder="1" applyFont="1" applyNumberFormat="1">
      <alignment horizontal="right" shrinkToFit="0" vertical="center" wrapText="1"/>
    </xf>
    <xf borderId="1" fillId="3" fontId="1" numFmtId="49" xfId="0" applyAlignment="1" applyBorder="1" applyFont="1" applyNumberFormat="1">
      <alignment horizontal="right" shrinkToFit="0" vertical="center" wrapText="1"/>
    </xf>
    <xf borderId="1" fillId="3" fontId="10" numFmtId="49" xfId="0" applyAlignment="1" applyBorder="1" applyFont="1" applyNumberFormat="1">
      <alignment horizontal="right" shrinkToFit="0" vertical="center" wrapText="1"/>
    </xf>
    <xf borderId="11" fillId="3" fontId="10" numFmtId="166" xfId="0" applyAlignment="1" applyBorder="1" applyFont="1" applyNumberFormat="1">
      <alignment horizontal="right" shrinkToFit="0" vertical="center" wrapText="1"/>
    </xf>
    <xf borderId="11" fillId="3" fontId="10" numFmtId="0" xfId="0" applyAlignment="1" applyBorder="1" applyFont="1">
      <alignment horizontal="right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11" fillId="3" fontId="36" numFmtId="0" xfId="0" applyAlignment="1" applyBorder="1" applyFont="1">
      <alignment horizontal="right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1" t="s">
        <v>0</v>
      </c>
    </row>
    <row r="2">
      <c r="A2" s="2" t="s">
        <v>1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8"/>
      <c r="E4" s="8"/>
      <c r="F4" s="7"/>
      <c r="G4" s="8"/>
      <c r="H4" s="8"/>
      <c r="I4" s="8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0"/>
      <c r="G7" s="11"/>
      <c r="H7" s="11"/>
      <c r="I7" s="11"/>
      <c r="J7" s="10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0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0"/>
      <c r="D9" s="11"/>
      <c r="E9" s="11"/>
      <c r="F9" s="11"/>
      <c r="G9" s="11"/>
      <c r="H9" s="10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1" t="s">
        <v>2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37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0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0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0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0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0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0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0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1" t="s">
        <v>5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1" t="s">
        <v>6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8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77" t="s">
        <v>1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C38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1" t="s">
        <v>10</v>
      </c>
    </row>
    <row r="2">
      <c r="A2" s="2" t="s">
        <v>11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8"/>
      <c r="E4" s="8"/>
      <c r="F4" s="7"/>
      <c r="G4" s="8"/>
      <c r="H4" s="8"/>
      <c r="I4" s="8"/>
      <c r="J4" s="8"/>
      <c r="K4" s="8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0"/>
      <c r="C5" s="10"/>
      <c r="D5" s="11"/>
      <c r="E5" s="11"/>
      <c r="F5" s="10"/>
      <c r="G5" s="10"/>
      <c r="H5" s="10"/>
      <c r="I5" s="10"/>
      <c r="J5" s="11"/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0"/>
      <c r="E6" s="10"/>
      <c r="F6" s="10"/>
      <c r="G6" s="10"/>
      <c r="H6" s="11"/>
      <c r="I6" s="11"/>
      <c r="J6" s="11"/>
      <c r="K6" s="11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0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0"/>
      <c r="D9" s="11"/>
      <c r="E9" s="11"/>
      <c r="F9" s="11"/>
      <c r="G9" s="11"/>
      <c r="H9" s="10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0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1" t="s">
        <v>12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37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0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0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0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0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0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0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0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1" t="s">
        <v>13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1" t="s">
        <v>14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77" t="s">
        <v>1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81" t="s">
        <v>15</v>
      </c>
    </row>
    <row r="2">
      <c r="A2" s="82" t="s">
        <v>16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8"/>
      <c r="E4" s="7"/>
      <c r="F4" s="7"/>
      <c r="G4" s="7"/>
      <c r="H4" s="8"/>
      <c r="I4" s="8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0"/>
      <c r="C5" s="10"/>
      <c r="D5" s="11"/>
      <c r="E5" s="11"/>
      <c r="F5" s="11"/>
      <c r="G5" s="11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0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0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0"/>
      <c r="D9" s="11"/>
      <c r="E9" s="11"/>
      <c r="F9" s="10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0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0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0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0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81" t="s">
        <v>17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0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0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81" t="s">
        <v>18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81" t="s">
        <v>19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8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83" t="str">
        <f>impostazioni!E79</f>
        <v>CONTROLLO FATTO DA:</v>
      </c>
      <c r="F79" s="4"/>
      <c r="G79" s="84" t="s">
        <v>16</v>
      </c>
      <c r="H79" s="78" t="b">
        <v>0</v>
      </c>
      <c r="I79" s="85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86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J79 L79:P79">
    <cfRule type="expression" dxfId="0" priority="1">
      <formula>H79:P79=TRUE</formula>
    </cfRule>
  </conditionalFormatting>
  <conditionalFormatting sqref="L79 N79:O79">
    <cfRule type="expression" dxfId="0" priority="2">
      <formula>M79=TRUE</formula>
    </cfRule>
  </conditionalFormatting>
  <conditionalFormatting sqref="M79">
    <cfRule type="expression" dxfId="0" priority="3">
      <formula>N79=TRUE</formula>
    </cfRule>
  </conditionalFormatting>
  <conditionalFormatting sqref="I79">
    <cfRule type="expression" dxfId="0" priority="4">
      <formula>J79=TRUE</formula>
    </cfRule>
  </conditionalFormatting>
  <conditionalFormatting sqref="G79">
    <cfRule type="expression" dxfId="0" priority="5">
      <formula>H79=TRUE</formula>
    </cfRule>
  </conditionalFormatting>
  <conditionalFormatting sqref="F70:G70">
    <cfRule type="containsText" dxfId="1" priority="6" operator="containsText" text="ERRORE">
      <formula>NOT(ISERROR(SEARCH(("ERRORE"),(F70))))</formula>
    </cfRule>
  </conditionalFormatting>
  <conditionalFormatting sqref="F70:G70">
    <cfRule type="containsText" dxfId="2" priority="7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8">
      <formula>LEN(TRIM(A4))&gt;0</formula>
    </cfRule>
  </conditionalFormatting>
  <conditionalFormatting sqref="D40">
    <cfRule type="notContainsBlanks" dxfId="2" priority="9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81" t="s">
        <v>20</v>
      </c>
    </row>
    <row r="2">
      <c r="A2" s="82" t="s">
        <v>21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8"/>
      <c r="E4" s="7"/>
      <c r="F4" s="7"/>
      <c r="G4" s="7"/>
      <c r="H4" s="8"/>
      <c r="I4" s="8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0"/>
      <c r="C5" s="10"/>
      <c r="D5" s="11"/>
      <c r="E5" s="11"/>
      <c r="F5" s="11"/>
      <c r="G5" s="11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0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0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0"/>
      <c r="D9" s="11"/>
      <c r="E9" s="11"/>
      <c r="F9" s="10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0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0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0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0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81" t="s">
        <v>22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0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0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81" t="s">
        <v>23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81" t="s">
        <v>24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8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83" t="str">
        <f>impostazioni!E79</f>
        <v>CONTROLLO FATTO DA:</v>
      </c>
      <c r="F79" s="4"/>
      <c r="G79" s="84" t="s">
        <v>16</v>
      </c>
      <c r="H79" s="78" t="b">
        <v>0</v>
      </c>
      <c r="I79" s="85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86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J79 L79:P79">
    <cfRule type="expression" dxfId="0" priority="1">
      <formula>H79:P79=TRUE</formula>
    </cfRule>
  </conditionalFormatting>
  <conditionalFormatting sqref="L79 N79:O79">
    <cfRule type="expression" dxfId="0" priority="2">
      <formula>M79=TRUE</formula>
    </cfRule>
  </conditionalFormatting>
  <conditionalFormatting sqref="M79">
    <cfRule type="expression" dxfId="0" priority="3">
      <formula>N79=TRUE</formula>
    </cfRule>
  </conditionalFormatting>
  <conditionalFormatting sqref="I79">
    <cfRule type="expression" dxfId="0" priority="4">
      <formula>J79=TRUE</formula>
    </cfRule>
  </conditionalFormatting>
  <conditionalFormatting sqref="G79">
    <cfRule type="expression" dxfId="0" priority="5">
      <formula>H79=TRUE</formula>
    </cfRule>
  </conditionalFormatting>
  <conditionalFormatting sqref="F70:G70">
    <cfRule type="containsText" dxfId="1" priority="6" operator="containsText" text="ERRORE">
      <formula>NOT(ISERROR(SEARCH(("ERRORE"),(F70))))</formula>
    </cfRule>
  </conditionalFormatting>
  <conditionalFormatting sqref="F70:G70">
    <cfRule type="containsText" dxfId="2" priority="7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8">
      <formula>LEN(TRIM(A4))&gt;0</formula>
    </cfRule>
  </conditionalFormatting>
  <conditionalFormatting sqref="D40">
    <cfRule type="notContainsBlanks" dxfId="2" priority="9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87" t="s">
        <v>25</v>
      </c>
    </row>
    <row r="2">
      <c r="A2" s="88" t="s">
        <v>26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8"/>
      <c r="F4" s="7"/>
      <c r="G4" s="8"/>
      <c r="H4" s="7"/>
      <c r="I4" s="8"/>
      <c r="J4" s="8"/>
      <c r="K4" s="8"/>
      <c r="L4" s="8"/>
      <c r="M4" s="8"/>
      <c r="N4" s="8"/>
      <c r="O4" s="8"/>
      <c r="P4" s="8"/>
      <c r="Q4" s="8"/>
      <c r="R4" s="7"/>
      <c r="S4" s="8"/>
      <c r="T4" s="8"/>
      <c r="U4" s="8"/>
      <c r="V4" s="8"/>
      <c r="W4" s="8"/>
      <c r="X4" s="8"/>
      <c r="Y4" s="8"/>
    </row>
    <row r="5">
      <c r="A5" s="9"/>
      <c r="B5" s="10"/>
      <c r="C5" s="10"/>
      <c r="D5" s="11"/>
      <c r="E5" s="11"/>
      <c r="F5" s="11"/>
      <c r="G5" s="11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1"/>
      <c r="E9" s="11"/>
      <c r="F9" s="11"/>
      <c r="G9" s="11"/>
      <c r="H9" s="10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0"/>
      <c r="K30" s="11"/>
      <c r="L30" s="11"/>
      <c r="M30" s="11"/>
      <c r="N30" s="11"/>
      <c r="O30" s="11"/>
      <c r="P30" s="10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87" t="s">
        <v>27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6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6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87" t="s">
        <v>28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87" t="s">
        <v>29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9"/>
      <c r="G74" s="68"/>
      <c r="H74" s="68"/>
      <c r="I74" s="68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83" t="str">
        <f>impostazioni!E79</f>
        <v>CONTROLLO FATTO DA:</v>
      </c>
      <c r="F79" s="4"/>
      <c r="G79" s="84" t="s">
        <v>26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87" t="s">
        <v>30</v>
      </c>
    </row>
    <row r="2">
      <c r="A2" s="88" t="s">
        <v>31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8"/>
      <c r="E4" s="8"/>
      <c r="F4" s="7"/>
      <c r="G4" s="8"/>
      <c r="H4" s="8"/>
      <c r="I4" s="8"/>
      <c r="J4" s="7"/>
      <c r="K4" s="7"/>
      <c r="L4" s="8"/>
      <c r="M4" s="8"/>
      <c r="N4" s="8"/>
      <c r="O4" s="8"/>
      <c r="P4" s="7"/>
      <c r="Q4" s="8"/>
      <c r="R4" s="7"/>
      <c r="S4" s="7"/>
      <c r="T4" s="8"/>
      <c r="U4" s="8"/>
      <c r="V4" s="8"/>
      <c r="W4" s="8"/>
      <c r="X4" s="8"/>
      <c r="Y4" s="8"/>
    </row>
    <row r="5">
      <c r="A5" s="9"/>
      <c r="B5" s="10"/>
      <c r="C5" s="10"/>
      <c r="D5" s="11"/>
      <c r="E5" s="11"/>
      <c r="F5" s="11"/>
      <c r="G5" s="11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1"/>
      <c r="E9" s="11"/>
      <c r="F9" s="11"/>
      <c r="G9" s="11"/>
      <c r="H9" s="10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0"/>
      <c r="K30" s="11"/>
      <c r="L30" s="11"/>
      <c r="M30" s="11"/>
      <c r="N30" s="11"/>
      <c r="O30" s="11"/>
      <c r="P30" s="10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87" t="s">
        <v>32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6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6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87" t="s">
        <v>33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87" t="s">
        <v>34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9"/>
      <c r="G74" s="68"/>
      <c r="H74" s="68"/>
      <c r="I74" s="68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83" t="str">
        <f>impostazioni!E79</f>
        <v>CONTROLLO FATTO DA:</v>
      </c>
      <c r="F79" s="4"/>
      <c r="G79" s="84" t="s">
        <v>26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89" t="s">
        <v>35</v>
      </c>
    </row>
    <row r="2">
      <c r="A2" s="90" t="s">
        <v>36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8"/>
      <c r="E4" s="7"/>
      <c r="F4" s="8"/>
      <c r="G4" s="8"/>
      <c r="H4" s="8"/>
      <c r="I4" s="8"/>
      <c r="J4" s="7"/>
      <c r="K4" s="7"/>
      <c r="L4" s="8"/>
      <c r="M4" s="7"/>
      <c r="N4" s="8"/>
      <c r="O4" s="8"/>
      <c r="P4" s="8"/>
      <c r="Q4" s="8"/>
      <c r="R4" s="7"/>
      <c r="S4" s="8"/>
      <c r="T4" s="8"/>
      <c r="U4" s="8"/>
      <c r="V4" s="8"/>
      <c r="W4" s="8"/>
      <c r="X4" s="8"/>
      <c r="Y4" s="8"/>
    </row>
    <row r="5">
      <c r="A5" s="9"/>
      <c r="B5" s="10"/>
      <c r="C5" s="10"/>
      <c r="D5" s="11"/>
      <c r="E5" s="11"/>
      <c r="F5" s="11"/>
      <c r="G5" s="11"/>
      <c r="H5" s="10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0"/>
      <c r="E6" s="10"/>
      <c r="F6" s="11"/>
      <c r="G6" s="11"/>
      <c r="H6" s="11"/>
      <c r="I6" s="11"/>
      <c r="J6" s="11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1"/>
      <c r="E9" s="11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0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0"/>
      <c r="G31" s="10"/>
      <c r="H31" s="10"/>
      <c r="I31" s="1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1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89" t="s">
        <v>37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37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37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37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37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37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0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0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89" t="s">
        <v>38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 t="s">
        <v>39</v>
      </c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89" t="s">
        <v>40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8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36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89" t="s">
        <v>41</v>
      </c>
    </row>
    <row r="2">
      <c r="A2" s="90" t="s">
        <v>42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8"/>
      <c r="E4" s="8"/>
      <c r="F4" s="8"/>
      <c r="G4" s="8"/>
      <c r="H4" s="8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0"/>
      <c r="C5" s="10"/>
      <c r="D5" s="11"/>
      <c r="E5" s="11"/>
      <c r="F5" s="11"/>
      <c r="G5" s="11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0"/>
      <c r="E6" s="10"/>
      <c r="F6" s="11"/>
      <c r="G6" s="11"/>
      <c r="H6" s="11"/>
      <c r="I6" s="11"/>
      <c r="J6" s="11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1"/>
      <c r="E9" s="11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0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0"/>
      <c r="G31" s="10"/>
      <c r="H31" s="10"/>
      <c r="I31" s="1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1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89" t="s">
        <v>43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37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37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37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37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0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0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89" t="s">
        <v>44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89" t="s">
        <v>45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36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91" t="s">
        <v>46</v>
      </c>
    </row>
    <row r="2">
      <c r="A2" s="92" t="s">
        <v>47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/>
      <c r="B5" s="10"/>
      <c r="C5" s="10"/>
      <c r="D5" s="10"/>
      <c r="E5" s="10"/>
      <c r="F5" s="10"/>
      <c r="G5" s="10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0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0"/>
      <c r="E9" s="10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0"/>
      <c r="E10" s="10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0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0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91" t="s">
        <v>48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42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91" t="s">
        <v>49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91" t="s">
        <v>50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47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91" t="s">
        <v>51</v>
      </c>
    </row>
    <row r="2">
      <c r="A2" s="92" t="s">
        <v>52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/>
      <c r="B5" s="10"/>
      <c r="C5" s="10"/>
      <c r="D5" s="10"/>
      <c r="E5" s="10"/>
      <c r="F5" s="10"/>
      <c r="G5" s="10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0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0"/>
      <c r="E9" s="10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0"/>
      <c r="E10" s="10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0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0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91" t="s">
        <v>53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7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37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91" t="s">
        <v>54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91" t="s">
        <v>55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47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93" t="s">
        <v>56</v>
      </c>
    </row>
    <row r="2">
      <c r="A2" s="94" t="s">
        <v>57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/>
      <c r="B5" s="10"/>
      <c r="C5" s="10"/>
      <c r="D5" s="10"/>
      <c r="E5" s="10"/>
      <c r="F5" s="10"/>
      <c r="G5" s="10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0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0"/>
      <c r="E9" s="10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0"/>
      <c r="E10" s="10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0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0"/>
      <c r="Y33" s="10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93" t="s">
        <v>58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42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93" t="s">
        <v>59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93" t="s">
        <v>60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57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93" t="s">
        <v>61</v>
      </c>
    </row>
    <row r="2">
      <c r="A2" s="94" t="s">
        <v>62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/>
      <c r="B5" s="10"/>
      <c r="C5" s="10"/>
      <c r="D5" s="10"/>
      <c r="E5" s="10"/>
      <c r="F5" s="10"/>
      <c r="G5" s="10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0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0"/>
      <c r="E9" s="10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0"/>
      <c r="E10" s="10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0"/>
      <c r="F32" s="10"/>
      <c r="G32" s="10"/>
      <c r="H32" s="10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0"/>
      <c r="Y33" s="10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93" t="s">
        <v>63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42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93" t="s">
        <v>64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93" t="s">
        <v>65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57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95" t="s">
        <v>66</v>
      </c>
    </row>
    <row r="2">
      <c r="A2" s="96" t="s">
        <v>67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/>
      <c r="B5" s="10"/>
      <c r="C5" s="10"/>
      <c r="D5" s="10"/>
      <c r="E5" s="10"/>
      <c r="F5" s="10"/>
      <c r="G5" s="10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0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0"/>
      <c r="E9" s="10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0"/>
      <c r="E10" s="10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0"/>
      <c r="E32" s="11"/>
      <c r="F32" s="11"/>
      <c r="G32" s="11"/>
      <c r="H32" s="10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0"/>
      <c r="Y33" s="10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95" t="s">
        <v>68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42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95" t="s">
        <v>69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95" t="s">
        <v>70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67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95" t="s">
        <v>71</v>
      </c>
    </row>
    <row r="2">
      <c r="A2" s="96" t="s">
        <v>72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/>
      <c r="B5" s="10"/>
      <c r="C5" s="10"/>
      <c r="D5" s="10"/>
      <c r="E5" s="10"/>
      <c r="F5" s="10"/>
      <c r="G5" s="10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0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0"/>
      <c r="E9" s="10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0"/>
      <c r="E10" s="10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0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0"/>
      <c r="Y33" s="10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95" t="s">
        <v>73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42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95" t="s">
        <v>74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95" t="s">
        <v>75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67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97" t="s">
        <v>76</v>
      </c>
    </row>
    <row r="2">
      <c r="A2" s="98" t="s">
        <v>77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/>
      <c r="B5" s="10"/>
      <c r="C5" s="10"/>
      <c r="D5" s="10"/>
      <c r="E5" s="10"/>
      <c r="F5" s="10"/>
      <c r="G5" s="10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0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0"/>
      <c r="E9" s="10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0"/>
      <c r="E10" s="10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0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0"/>
      <c r="Y33" s="10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97" t="s">
        <v>78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42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97" t="s">
        <v>79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97" t="s">
        <v>80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77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97" t="s">
        <v>81</v>
      </c>
    </row>
    <row r="2">
      <c r="A2" s="98" t="s">
        <v>82</v>
      </c>
      <c r="B2" s="3" t="str">
        <f>impostazioni!B2</f>
        <v>CONTANTE</v>
      </c>
      <c r="C2" s="4"/>
      <c r="D2" s="3" t="str">
        <f>impostazioni!D2</f>
        <v>POS POSTA Recep</v>
      </c>
      <c r="E2" s="4"/>
      <c r="F2" s="3" t="str">
        <f>impostazioni!F2</f>
        <v>CARTA POSTA Recep</v>
      </c>
      <c r="G2" s="4"/>
      <c r="H2" s="3" t="str">
        <f>impostazioni!H2</f>
        <v>POS POSTA 2°P</v>
      </c>
      <c r="I2" s="4"/>
      <c r="J2" s="3" t="str">
        <f>impostazioni!J2</f>
        <v>CARTA POSTA 2°P</v>
      </c>
      <c r="K2" s="4"/>
      <c r="L2" s="3" t="str">
        <f>impostazioni!L2</f>
        <v>POS BPM 1°P</v>
      </c>
      <c r="M2" s="4"/>
      <c r="N2" s="3" t="str">
        <f>impostazioni!N2</f>
        <v>CARTA BPM 1°P</v>
      </c>
      <c r="O2" s="4"/>
      <c r="P2" s="3" t="str">
        <f>impostazioni!P2</f>
        <v>B/B</v>
      </c>
      <c r="Q2" s="4"/>
      <c r="R2" s="3" t="str">
        <f>impostazioni!R2</f>
        <v>SEDE
SCALAPAY</v>
      </c>
      <c r="S2" s="4"/>
      <c r="T2" s="3" t="str">
        <f>impostazioni!T2</f>
        <v>SEDE
SATISPAY</v>
      </c>
      <c r="U2" s="4"/>
      <c r="V2" s="3" t="str">
        <f>impostazioni!V2</f>
        <v>ONLINE
TESSERATO</v>
      </c>
      <c r="W2" s="4"/>
      <c r="X2" s="3" t="str">
        <f>impostazioni!X2</f>
        <v>ONLINE
NON TESSERATO</v>
      </c>
      <c r="Y2" s="4"/>
    </row>
    <row r="3">
      <c r="A3" s="5" t="str">
        <f>impostazioni!A3</f>
        <v>N° RICEVUTA</v>
      </c>
      <c r="B3" s="5" t="str">
        <f>impostazioni!B3</f>
        <v>CORSI</v>
      </c>
      <c r="C3" s="5" t="str">
        <f>impostazioni!C3</f>
        <v>
QUOTA
TESS.</v>
      </c>
      <c r="D3" s="5" t="str">
        <f>impostazioni!D3</f>
        <v>CORSI</v>
      </c>
      <c r="E3" s="5" t="str">
        <f>impostazioni!E3</f>
        <v>
QUOTA
TESS.</v>
      </c>
      <c r="F3" s="5" t="str">
        <f>impostazioni!F3</f>
        <v>CORSI</v>
      </c>
      <c r="G3" s="5" t="str">
        <f>impostazioni!G3</f>
        <v>
QUOTA
TESS.</v>
      </c>
      <c r="H3" s="5" t="str">
        <f>impostazioni!H3</f>
        <v>CORSI</v>
      </c>
      <c r="I3" s="5" t="str">
        <f>impostazioni!I3</f>
        <v>
QUOTA
TESS.</v>
      </c>
      <c r="J3" s="5" t="str">
        <f>impostazioni!J3</f>
        <v>CORSI</v>
      </c>
      <c r="K3" s="5" t="str">
        <f>impostazioni!K3</f>
        <v>
QUOTA
TESS.</v>
      </c>
      <c r="L3" s="5" t="str">
        <f>impostazioni!L3</f>
        <v>CORSI</v>
      </c>
      <c r="M3" s="5" t="str">
        <f>impostazioni!M3</f>
        <v>
QUOTA
TESS.</v>
      </c>
      <c r="N3" s="5" t="str">
        <f>impostazioni!N3</f>
        <v>CORSI</v>
      </c>
      <c r="O3" s="5" t="str">
        <f>impostazioni!O3</f>
        <v>
QUOTA
TESS.</v>
      </c>
      <c r="P3" s="5" t="str">
        <f>impostazioni!P3</f>
        <v>CORSI</v>
      </c>
      <c r="Q3" s="5" t="str">
        <f>impostazioni!Q3</f>
        <v>
QUOTA
TESS.</v>
      </c>
      <c r="R3" s="5" t="str">
        <f>impostazioni!R3</f>
        <v>CORSI</v>
      </c>
      <c r="S3" s="5" t="str">
        <f>impostazioni!S3</f>
        <v>
QUOTA
TESS.</v>
      </c>
      <c r="T3" s="5" t="str">
        <f>impostazioni!T3</f>
        <v>CORSI</v>
      </c>
      <c r="U3" s="5" t="str">
        <f>impostazioni!U3</f>
        <v>
QUOTA
TESS.</v>
      </c>
      <c r="V3" s="5" t="str">
        <f>impostazioni!V3</f>
        <v>CORSI</v>
      </c>
      <c r="W3" s="5" t="str">
        <f>impostazioni!W3</f>
        <v>
QUOTA
TESS.</v>
      </c>
      <c r="X3" s="5" t="str">
        <f>impostazioni!X3</f>
        <v>CORSI</v>
      </c>
      <c r="Y3" s="5" t="str">
        <f>impostazioni!Y3</f>
        <v>
QUOTA
TESS.</v>
      </c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/>
      <c r="B5" s="10"/>
      <c r="C5" s="10"/>
      <c r="D5" s="10"/>
      <c r="E5" s="10"/>
      <c r="F5" s="10"/>
      <c r="G5" s="10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0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0"/>
      <c r="E9" s="10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0"/>
      <c r="E10" s="10"/>
      <c r="F10" s="10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0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0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0"/>
      <c r="Y33" s="10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tr">
        <f>impostazioni!A35</f>
        <v>SUB-TOTALE 
CORSI DIVISO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15" t="str">
        <f>impostazioni!A36</f>
        <v>TOTALE CORSI UNITO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15" t="str">
        <f>impostazioni!A37</f>
        <v>SHOP FATTURE
(pagato con Pos)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22" t="str">
        <f>impostazioni!A38</f>
        <v>USCITA CONTANTE</v>
      </c>
      <c r="B38" s="23"/>
      <c r="C38" s="4"/>
      <c r="D38" s="24" t="str">
        <f>impostazioni!D38</f>
        <v>NOTE PER USCITA: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tr">
        <f>impostazioni!A39</f>
        <v>TOTALE CASSA CONTANTE ENTRATE-USCITE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97" t="s">
        <v>83</v>
      </c>
    </row>
    <row r="4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impostazioni!A43</f>
        <v>N° RIC. BIANCHE
VISITE MEDICHE</v>
      </c>
      <c r="B43" s="4"/>
      <c r="C43" s="5" t="str">
        <f>impostazioni!C43</f>
        <v>€</v>
      </c>
      <c r="D43" s="34" t="str">
        <f>impostazioni!D43</f>
        <v>N° RIC. RICEVUTE 
BIANCHE ALTRO</v>
      </c>
      <c r="E43" s="35"/>
      <c r="F43" s="4"/>
      <c r="G43" s="5" t="str">
        <f>impostazioni!G43</f>
        <v>€</v>
      </c>
      <c r="H43" s="34" t="str">
        <f>impostazioni!H43</f>
        <v>N° RIC. RICEVUTE 
BIANCHE ALTRO</v>
      </c>
      <c r="I43" s="35"/>
      <c r="J43" s="4"/>
      <c r="K43" s="5" t="str">
        <f>impostazioni!K43</f>
        <v>€</v>
      </c>
      <c r="L43" s="36"/>
      <c r="M43" s="36"/>
      <c r="N43" s="36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42"/>
      <c r="B44" s="38"/>
      <c r="C44" s="39"/>
      <c r="D44" s="40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32"/>
      <c r="P44" s="32"/>
      <c r="Q44" s="32"/>
      <c r="R44" s="32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0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32"/>
      <c r="P45" s="32"/>
      <c r="Q45" s="32"/>
      <c r="R45" s="32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0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32"/>
      <c r="P46" s="32"/>
      <c r="Q46" s="32"/>
      <c r="R46" s="32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0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32"/>
      <c r="P47" s="32"/>
      <c r="Q47" s="32"/>
      <c r="R47" s="32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0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32"/>
      <c r="P48" s="32"/>
      <c r="Q48" s="32"/>
      <c r="R48" s="32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32"/>
      <c r="P49" s="32"/>
      <c r="Q49" s="32"/>
      <c r="R49" s="32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32"/>
      <c r="P50" s="32"/>
      <c r="Q50" s="32"/>
      <c r="R50" s="32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32"/>
      <c r="P51" s="32"/>
      <c r="Q51" s="32"/>
      <c r="R51" s="32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32"/>
      <c r="P52" s="32"/>
      <c r="Q52" s="32"/>
      <c r="R52" s="32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32"/>
      <c r="P53" s="32"/>
      <c r="Q53" s="32"/>
      <c r="R53" s="32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32"/>
      <c r="P54" s="32"/>
      <c r="Q54" s="32"/>
      <c r="R54" s="32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32"/>
      <c r="P55" s="32"/>
      <c r="Q55" s="32"/>
      <c r="R55" s="32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32"/>
      <c r="P56" s="32"/>
      <c r="Q56" s="32"/>
      <c r="R56" s="32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32"/>
      <c r="P57" s="32"/>
      <c r="Q57" s="32"/>
      <c r="R57" s="32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32"/>
      <c r="P58" s="32"/>
      <c r="Q58" s="32"/>
      <c r="R58" s="32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32"/>
      <c r="P59" s="32"/>
      <c r="Q59" s="32"/>
      <c r="R59" s="32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32"/>
      <c r="P60" s="32"/>
      <c r="Q60" s="32"/>
      <c r="R60" s="32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32"/>
      <c r="P61" s="32"/>
      <c r="Q61" s="32"/>
      <c r="R61" s="32"/>
      <c r="S61" s="33"/>
      <c r="T61" s="33"/>
      <c r="U61" s="33"/>
      <c r="V61" s="33"/>
      <c r="W61" s="33"/>
      <c r="X61" s="33"/>
      <c r="Y61" s="33"/>
    </row>
    <row r="62">
      <c r="A62" s="47" t="str">
        <f>impostazioni!A62</f>
        <v>SUB-TOTALE</v>
      </c>
      <c r="B62" s="4"/>
      <c r="C62" s="48">
        <f>SUM(C44:C61)</f>
        <v>0</v>
      </c>
      <c r="D62" s="47" t="str">
        <f>impostazioni!D62</f>
        <v>SUB-TOTALE</v>
      </c>
      <c r="E62" s="35"/>
      <c r="F62" s="4"/>
      <c r="G62" s="48">
        <f>SUM(G44:G61)</f>
        <v>0</v>
      </c>
      <c r="H62" s="47" t="str">
        <f>impostazioni!H62</f>
        <v>SUB-TOTALE</v>
      </c>
      <c r="I62" s="35"/>
      <c r="J62" s="4"/>
      <c r="K62" s="48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32"/>
      <c r="Q62" s="32"/>
      <c r="R62" s="32"/>
      <c r="S62" s="33"/>
      <c r="T62" s="33"/>
      <c r="U62" s="33"/>
      <c r="V62" s="33"/>
      <c r="W62" s="33"/>
      <c r="X62" s="33"/>
      <c r="Y62" s="33"/>
    </row>
    <row r="6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</row>
    <row r="64">
      <c r="A64" s="97" t="s">
        <v>84</v>
      </c>
    </row>
    <row r="6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impostazioni!A66</f>
        <v>DISTINTA RICEVUTE AZZURRE + BIANCHE</v>
      </c>
      <c r="B66" s="35"/>
      <c r="C66" s="35"/>
      <c r="D66" s="35"/>
      <c r="E66" s="4"/>
      <c r="F66" s="34" t="str">
        <f>impostazioni!F66</f>
        <v>NOTE GENERICHE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32"/>
      <c r="R66" s="33"/>
      <c r="S66" s="33"/>
      <c r="T66" s="33"/>
      <c r="U66" s="33"/>
      <c r="V66" s="33"/>
      <c r="W66" s="33"/>
      <c r="X66" s="33"/>
      <c r="Y66" s="33"/>
    </row>
    <row r="67">
      <c r="A67" s="53" t="str">
        <f>impostazioni!A67</f>
        <v>TOTALE CONTANTI 
RIC. AZZURRE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32"/>
      <c r="R67" s="33"/>
      <c r="S67" s="33"/>
      <c r="T67" s="33"/>
      <c r="U67" s="33"/>
      <c r="V67" s="33"/>
      <c r="W67" s="33"/>
      <c r="X67" s="33"/>
      <c r="Y67" s="33"/>
    </row>
    <row r="68">
      <c r="A68" s="53" t="str">
        <f>impostazioni!A68</f>
        <v>TOTALE CONTANTI 
RIC. BIANCHE</v>
      </c>
      <c r="B68" s="54">
        <f>SUM(C62,G62,K62)</f>
        <v>0</v>
      </c>
      <c r="C68" s="35"/>
      <c r="D68" s="35"/>
      <c r="E68" s="4"/>
      <c r="F68" s="57"/>
      <c r="P68" s="58"/>
      <c r="Q68" s="32"/>
      <c r="R68" s="33"/>
      <c r="S68" s="28"/>
      <c r="T68" s="33"/>
      <c r="U68" s="33"/>
      <c r="V68" s="33"/>
      <c r="W68" s="33"/>
      <c r="X68" s="33"/>
      <c r="Y68" s="33"/>
    </row>
    <row r="69">
      <c r="A69" s="59" t="str">
        <f>impostazioni!A69</f>
        <v>USCITA CONTANTE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32"/>
      <c r="R69" s="33"/>
      <c r="S69" s="28"/>
      <c r="T69" s="33"/>
      <c r="U69" s="33"/>
      <c r="V69" s="33"/>
      <c r="W69" s="33"/>
      <c r="X69" s="33"/>
      <c r="Y69" s="33"/>
    </row>
    <row r="70">
      <c r="A70" s="53" t="str">
        <f>impostazioni!A70</f>
        <v>TOTALE CASSA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32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97" t="s">
        <v>85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32"/>
      <c r="R73" s="33"/>
      <c r="S73" s="33"/>
      <c r="T73" s="33"/>
      <c r="U73" s="33"/>
      <c r="V73" s="33"/>
      <c r="W73" s="33"/>
      <c r="X73" s="33"/>
      <c r="Y73" s="33"/>
    </row>
    <row r="74">
      <c r="A74" s="67" t="str">
        <f>impostazioni!A74</f>
        <v>PEZZI</v>
      </c>
      <c r="B74" s="68"/>
      <c r="C74" s="68"/>
      <c r="D74" s="68"/>
      <c r="E74" s="68"/>
      <c r="F74" s="68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32"/>
      <c r="R74" s="33"/>
      <c r="S74" s="33"/>
      <c r="T74" s="33"/>
      <c r="U74" s="33"/>
      <c r="V74" s="33"/>
      <c r="W74" s="33"/>
      <c r="X74" s="33"/>
      <c r="Y74" s="33"/>
    </row>
    <row r="75">
      <c r="A75" s="67" t="str">
        <f>impostazioni!A75</f>
        <v>TAGLIO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32"/>
      <c r="R75" s="33"/>
      <c r="S75" s="33"/>
      <c r="T75" s="33"/>
      <c r="U75" s="33"/>
      <c r="V75" s="33"/>
      <c r="W75" s="33"/>
      <c r="X75" s="33"/>
      <c r="Y75" s="33"/>
    </row>
    <row r="76">
      <c r="A76" s="67" t="str">
        <f>impostazioni!A76</f>
        <v>TOT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32"/>
      <c r="R76" s="33"/>
      <c r="S76" s="33"/>
      <c r="T76" s="33"/>
      <c r="U76" s="33"/>
      <c r="V76" s="33"/>
      <c r="W76" s="33"/>
      <c r="X76" s="33"/>
      <c r="Y76" s="33"/>
    </row>
    <row r="77">
      <c r="A77" s="67" t="str">
        <f>impostazioni!A77</f>
        <v>TOTALE CASSA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74" t="str">
        <f>impostazioni!A79</f>
        <v>ULTIMO ACCESSO:</v>
      </c>
      <c r="B79" s="75">
        <f>impostazioni!B79</f>
        <v>46071.67575</v>
      </c>
      <c r="C79" s="35"/>
      <c r="D79" s="4"/>
      <c r="E79" s="76" t="str">
        <f>impostazioni!E79</f>
        <v>CONTROLLO FATTO DA:</v>
      </c>
      <c r="F79" s="4"/>
      <c r="G79" s="84" t="s">
        <v>77</v>
      </c>
      <c r="H79" s="78" t="b">
        <v>0</v>
      </c>
      <c r="I79" s="33"/>
      <c r="J79" s="79" t="s">
        <v>7</v>
      </c>
      <c r="K79" s="4"/>
      <c r="L79" s="80" t="s">
        <v>8</v>
      </c>
      <c r="M79" s="78" t="b">
        <v>0</v>
      </c>
      <c r="N79" s="80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Y34 D37:E37 F37:Y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86"/>
    <col customWidth="1" min="2" max="26" width="10.14"/>
    <col customWidth="1" min="27" max="27" width="11.14"/>
    <col customWidth="1" min="28" max="28" width="11.71"/>
  </cols>
  <sheetData>
    <row r="1">
      <c r="A1" s="99" t="s">
        <v>86</v>
      </c>
      <c r="B1" s="100"/>
      <c r="C1" s="101" t="str">
        <f>impostazioni!B2</f>
        <v>CONTANTE</v>
      </c>
      <c r="D1" s="27"/>
      <c r="E1" s="101" t="str">
        <f>impostazioni!D2</f>
        <v>POS POSTA Recep</v>
      </c>
      <c r="F1" s="27"/>
      <c r="G1" s="101" t="str">
        <f>impostazioni!F2</f>
        <v>CARTA POSTA Recep</v>
      </c>
      <c r="H1" s="27"/>
      <c r="I1" s="101" t="str">
        <f>impostazioni!H2</f>
        <v>POS POSTA 2°P</v>
      </c>
      <c r="J1" s="27"/>
      <c r="K1" s="101" t="str">
        <f>impostazioni!J2</f>
        <v>CARTA POSTA 2°P</v>
      </c>
      <c r="L1" s="27"/>
      <c r="M1" s="101" t="str">
        <f>impostazioni!L2</f>
        <v>POS BPM 1°P</v>
      </c>
      <c r="N1" s="27"/>
      <c r="O1" s="101" t="str">
        <f>impostazioni!N2</f>
        <v>CARTA BPM 1°P</v>
      </c>
      <c r="P1" s="27"/>
      <c r="Q1" s="101" t="str">
        <f>impostazioni!P2</f>
        <v>B/B</v>
      </c>
      <c r="R1" s="27"/>
      <c r="S1" s="101" t="str">
        <f>impostazioni!R2</f>
        <v>SEDE
SCALAPAY</v>
      </c>
      <c r="T1" s="27"/>
      <c r="U1" s="101" t="str">
        <f>impostazioni!T2</f>
        <v>SEDE
SATISPAY</v>
      </c>
      <c r="V1" s="27"/>
      <c r="W1" s="101" t="str">
        <f>impostazioni!V2</f>
        <v>ONLINE
TESSERATO</v>
      </c>
      <c r="X1" s="27"/>
      <c r="Y1" s="101" t="str">
        <f>impostazioni!X2</f>
        <v>ONLINE
NON TESSERATO</v>
      </c>
      <c r="Z1" s="27"/>
      <c r="AA1" s="102"/>
      <c r="AB1" s="27"/>
    </row>
    <row r="2">
      <c r="A2" s="103"/>
      <c r="B2" s="104"/>
      <c r="C2" s="105" t="str">
        <f>impostazioni!B3</f>
        <v>CORSI</v>
      </c>
      <c r="D2" s="105" t="str">
        <f>impostazioni!C3</f>
        <v>
QUOTA
TESS.</v>
      </c>
      <c r="E2" s="105" t="str">
        <f>impostazioni!D3</f>
        <v>CORSI</v>
      </c>
      <c r="F2" s="105" t="str">
        <f>impostazioni!E3</f>
        <v>
QUOTA
TESS.</v>
      </c>
      <c r="G2" s="105" t="str">
        <f>impostazioni!F3</f>
        <v>CORSI</v>
      </c>
      <c r="H2" s="105" t="str">
        <f>impostazioni!G3</f>
        <v>
QUOTA
TESS.</v>
      </c>
      <c r="I2" s="105" t="str">
        <f>impostazioni!H3</f>
        <v>CORSI</v>
      </c>
      <c r="J2" s="105" t="str">
        <f>impostazioni!I3</f>
        <v>
QUOTA
TESS.</v>
      </c>
      <c r="K2" s="105" t="str">
        <f>impostazioni!J3</f>
        <v>CORSI</v>
      </c>
      <c r="L2" s="105" t="str">
        <f>impostazioni!K3</f>
        <v>
QUOTA
TESS.</v>
      </c>
      <c r="M2" s="105" t="str">
        <f>impostazioni!L3</f>
        <v>CORSI</v>
      </c>
      <c r="N2" s="105" t="str">
        <f>impostazioni!M3</f>
        <v>
QUOTA
TESS.</v>
      </c>
      <c r="O2" s="105" t="str">
        <f>impostazioni!N3</f>
        <v>CORSI</v>
      </c>
      <c r="P2" s="105" t="str">
        <f>impostazioni!O3</f>
        <v>
QUOTA
TESS.</v>
      </c>
      <c r="Q2" s="105" t="str">
        <f>impostazioni!P3</f>
        <v>CORSI</v>
      </c>
      <c r="R2" s="105" t="str">
        <f>impostazioni!Q3</f>
        <v>
QUOTA
TESS.</v>
      </c>
      <c r="S2" s="105" t="str">
        <f>impostazioni!R3</f>
        <v>CORSI</v>
      </c>
      <c r="T2" s="105" t="str">
        <f>impostazioni!S3</f>
        <v>
QUOTA
TESS.</v>
      </c>
      <c r="U2" s="105" t="str">
        <f>impostazioni!T3</f>
        <v>CORSI</v>
      </c>
      <c r="V2" s="105" t="str">
        <f>impostazioni!U3</f>
        <v>
QUOTA
TESS.</v>
      </c>
      <c r="W2" s="105" t="str">
        <f>impostazioni!V3</f>
        <v>CORSI</v>
      </c>
      <c r="X2" s="105" t="str">
        <f>impostazioni!W3</f>
        <v>
QUOTA
TESS.</v>
      </c>
      <c r="Y2" s="105" t="str">
        <f>impostazioni!X3</f>
        <v>CORSI</v>
      </c>
      <c r="Z2" s="105" t="str">
        <f>impostazioni!Y3</f>
        <v>
QUOTA
TESS.</v>
      </c>
      <c r="AA2" s="106" t="s">
        <v>87</v>
      </c>
      <c r="AB2" s="107"/>
    </row>
    <row r="3">
      <c r="A3" s="108" t="s">
        <v>88</v>
      </c>
      <c r="B3" s="27"/>
      <c r="C3" s="109">
        <f>Alexandra!B35</f>
        <v>0</v>
      </c>
      <c r="D3" s="109">
        <f>Alexandra!C35</f>
        <v>0</v>
      </c>
      <c r="E3" s="109">
        <f>Alexandra!D35</f>
        <v>0</v>
      </c>
      <c r="F3" s="109">
        <f>Alexandra!E35</f>
        <v>0</v>
      </c>
      <c r="G3" s="109">
        <f>Alexandra!F35</f>
        <v>0</v>
      </c>
      <c r="H3" s="109">
        <f>Alexandra!G35</f>
        <v>0</v>
      </c>
      <c r="I3" s="109">
        <f>Alexandra!H35</f>
        <v>0</v>
      </c>
      <c r="J3" s="109">
        <f>Alexandra!I35</f>
        <v>0</v>
      </c>
      <c r="K3" s="109">
        <f>Alexandra!J35</f>
        <v>0</v>
      </c>
      <c r="L3" s="109">
        <f>Alexandra!K35</f>
        <v>0</v>
      </c>
      <c r="M3" s="109">
        <f>Alexandra!L35</f>
        <v>0</v>
      </c>
      <c r="N3" s="109">
        <f>Alexandra!M35</f>
        <v>0</v>
      </c>
      <c r="O3" s="109">
        <f>Alexandra!N35</f>
        <v>0</v>
      </c>
      <c r="P3" s="109">
        <f>Alexandra!O35</f>
        <v>0</v>
      </c>
      <c r="Q3" s="109">
        <f>Alexandra!P35</f>
        <v>0</v>
      </c>
      <c r="R3" s="109">
        <f>Alexandra!Q35</f>
        <v>0</v>
      </c>
      <c r="S3" s="109">
        <f>Alexandra!R35</f>
        <v>0</v>
      </c>
      <c r="T3" s="109">
        <f>Alexandra!S35</f>
        <v>0</v>
      </c>
      <c r="U3" s="109">
        <f>Alexandra!T35</f>
        <v>0</v>
      </c>
      <c r="V3" s="109">
        <f>Alexandra!U35</f>
        <v>0</v>
      </c>
      <c r="W3" s="109">
        <f>Alexandra!V35</f>
        <v>0</v>
      </c>
      <c r="X3" s="109">
        <f>Alexandra!W35</f>
        <v>0</v>
      </c>
      <c r="Y3" s="109">
        <f>Alexandra!X35</f>
        <v>0</v>
      </c>
      <c r="Z3" s="109">
        <f>Alexandra!Y35</f>
        <v>0</v>
      </c>
      <c r="AA3" s="110">
        <f>SUM(Alexandra!D37:N37)</f>
        <v>0</v>
      </c>
      <c r="AB3" s="111"/>
    </row>
    <row r="4">
      <c r="A4" s="112" t="s">
        <v>89</v>
      </c>
      <c r="B4" s="111"/>
      <c r="C4" s="113">
        <f>'Alexandra-EX'!B35</f>
        <v>0</v>
      </c>
      <c r="D4" s="113">
        <f>'Alexandra-EX'!C35</f>
        <v>0</v>
      </c>
      <c r="E4" s="113">
        <f>'Alexandra-EX'!D35</f>
        <v>0</v>
      </c>
      <c r="F4" s="113">
        <f>'Alexandra-EX'!E35</f>
        <v>0</v>
      </c>
      <c r="G4" s="113">
        <f>'Alexandra-EX'!F35</f>
        <v>0</v>
      </c>
      <c r="H4" s="113">
        <f>'Alexandra-EX'!G35</f>
        <v>0</v>
      </c>
      <c r="I4" s="113">
        <f>'Alexandra-EX'!H35</f>
        <v>0</v>
      </c>
      <c r="J4" s="113">
        <f>'Alexandra-EX'!I35</f>
        <v>0</v>
      </c>
      <c r="K4" s="113">
        <f>'Alexandra-EX'!J35</f>
        <v>0</v>
      </c>
      <c r="L4" s="113">
        <f>'Alexandra-EX'!K35</f>
        <v>0</v>
      </c>
      <c r="M4" s="113">
        <f>'Alexandra-EX'!L35</f>
        <v>0</v>
      </c>
      <c r="N4" s="113">
        <f>'Alexandra-EX'!M35</f>
        <v>0</v>
      </c>
      <c r="O4" s="113">
        <f>'Alexandra-EX'!N35</f>
        <v>0</v>
      </c>
      <c r="P4" s="113">
        <f>'Alexandra-EX'!O35</f>
        <v>0</v>
      </c>
      <c r="Q4" s="113">
        <f>'Alexandra-EX'!P35</f>
        <v>0</v>
      </c>
      <c r="R4" s="113">
        <f>'Alexandra-EX'!Q35</f>
        <v>0</v>
      </c>
      <c r="S4" s="113">
        <f>'Alexandra-EX'!R35</f>
        <v>0</v>
      </c>
      <c r="T4" s="113">
        <f>'Alexandra-EX'!S35</f>
        <v>0</v>
      </c>
      <c r="U4" s="113">
        <f>'Alexandra-EX'!T35</f>
        <v>0</v>
      </c>
      <c r="V4" s="113">
        <f>'Alexandra-EX'!U35</f>
        <v>0</v>
      </c>
      <c r="W4" s="113">
        <f>'Alexandra-EX'!V35</f>
        <v>0</v>
      </c>
      <c r="X4" s="113">
        <f>'Alexandra-EX'!W35</f>
        <v>0</v>
      </c>
      <c r="Y4" s="113">
        <f>'Alexandra-EX'!X35</f>
        <v>0</v>
      </c>
      <c r="Z4" s="113">
        <f>'Alexandra-EX'!Y35</f>
        <v>0</v>
      </c>
      <c r="AA4" s="114">
        <f>SUM('Alexandra-EX'!D37:N37)</f>
        <v>0</v>
      </c>
      <c r="AB4" s="111"/>
    </row>
    <row r="5">
      <c r="A5" s="115" t="s">
        <v>90</v>
      </c>
      <c r="B5" s="111"/>
      <c r="C5" s="116">
        <f>Nura!B35</f>
        <v>0</v>
      </c>
      <c r="D5" s="116">
        <f>Nura!C35</f>
        <v>0</v>
      </c>
      <c r="E5" s="116">
        <f>Nura!D35</f>
        <v>0</v>
      </c>
      <c r="F5" s="116">
        <f>Nura!E35</f>
        <v>0</v>
      </c>
      <c r="G5" s="116">
        <f>Nura!F35</f>
        <v>0</v>
      </c>
      <c r="H5" s="116">
        <f>Nura!G35</f>
        <v>0</v>
      </c>
      <c r="I5" s="116">
        <f>Nura!H35</f>
        <v>0</v>
      </c>
      <c r="J5" s="116">
        <f>Nura!I35</f>
        <v>0</v>
      </c>
      <c r="K5" s="116">
        <f>Nura!J35</f>
        <v>0</v>
      </c>
      <c r="L5" s="116">
        <f>Nura!K35</f>
        <v>0</v>
      </c>
      <c r="M5" s="116">
        <f>Nura!L35</f>
        <v>0</v>
      </c>
      <c r="N5" s="116">
        <f>Nura!M35</f>
        <v>0</v>
      </c>
      <c r="O5" s="116">
        <f>Nura!N35</f>
        <v>0</v>
      </c>
      <c r="P5" s="116">
        <f>Nura!O35</f>
        <v>0</v>
      </c>
      <c r="Q5" s="116">
        <f>Nura!P35</f>
        <v>0</v>
      </c>
      <c r="R5" s="116">
        <f>Nura!Q35</f>
        <v>0</v>
      </c>
      <c r="S5" s="116">
        <f>Nura!R35</f>
        <v>0</v>
      </c>
      <c r="T5" s="116">
        <f>Nura!S35</f>
        <v>0</v>
      </c>
      <c r="U5" s="116">
        <f>Nura!T35</f>
        <v>0</v>
      </c>
      <c r="V5" s="116">
        <f>Nura!U35</f>
        <v>0</v>
      </c>
      <c r="W5" s="116">
        <f>Nura!V35</f>
        <v>0</v>
      </c>
      <c r="X5" s="116">
        <f>Nura!W35</f>
        <v>0</v>
      </c>
      <c r="Y5" s="116">
        <f>Nura!X35</f>
        <v>0</v>
      </c>
      <c r="Z5" s="116">
        <f>Nura!Y35</f>
        <v>0</v>
      </c>
      <c r="AA5" s="110">
        <f>SUM(Nura!D37:N37)</f>
        <v>0</v>
      </c>
      <c r="AB5" s="111"/>
    </row>
    <row r="6">
      <c r="A6" s="115" t="s">
        <v>91</v>
      </c>
      <c r="B6" s="111"/>
      <c r="C6" s="117">
        <f>'Nura-EX'!B35</f>
        <v>0</v>
      </c>
      <c r="D6" s="117">
        <f>'Nura-EX'!C35</f>
        <v>0</v>
      </c>
      <c r="E6" s="117">
        <f>'Nura-EX'!D35</f>
        <v>0</v>
      </c>
      <c r="F6" s="117">
        <f>'Nura-EX'!E35</f>
        <v>0</v>
      </c>
      <c r="G6" s="117">
        <f>'Nura-EX'!F35</f>
        <v>0</v>
      </c>
      <c r="H6" s="117">
        <f>'Nura-EX'!G35</f>
        <v>0</v>
      </c>
      <c r="I6" s="117">
        <f>'Nura-EX'!H35</f>
        <v>0</v>
      </c>
      <c r="J6" s="117">
        <f>'Nura-EX'!I35</f>
        <v>0</v>
      </c>
      <c r="K6" s="117">
        <f>'Nura-EX'!J35</f>
        <v>0</v>
      </c>
      <c r="L6" s="117">
        <f>'Nura-EX'!K35</f>
        <v>0</v>
      </c>
      <c r="M6" s="117">
        <f>'Nura-EX'!L35</f>
        <v>0</v>
      </c>
      <c r="N6" s="117">
        <f>'Nura-EX'!M35</f>
        <v>0</v>
      </c>
      <c r="O6" s="117">
        <f>'Nura-EX'!N35</f>
        <v>0</v>
      </c>
      <c r="P6" s="117">
        <f>'Nura-EX'!O35</f>
        <v>0</v>
      </c>
      <c r="Q6" s="117">
        <f>'Nura-EX'!P35</f>
        <v>0</v>
      </c>
      <c r="R6" s="117">
        <f>'Nura-EX'!Q35</f>
        <v>0</v>
      </c>
      <c r="S6" s="117">
        <f>'Nura-EX'!R35</f>
        <v>0</v>
      </c>
      <c r="T6" s="117">
        <f>'Nura-EX'!S35</f>
        <v>0</v>
      </c>
      <c r="U6" s="117">
        <f>'Nura-EX'!T35</f>
        <v>0</v>
      </c>
      <c r="V6" s="117">
        <f>'Nura-EX'!U35</f>
        <v>0</v>
      </c>
      <c r="W6" s="117">
        <f>'Nura-EX'!V35</f>
        <v>0</v>
      </c>
      <c r="X6" s="117">
        <f>'Nura-EX'!W35</f>
        <v>0</v>
      </c>
      <c r="Y6" s="117">
        <f>'Nura-EX'!X35</f>
        <v>0</v>
      </c>
      <c r="Z6" s="117">
        <f>'Nura-EX'!Y35</f>
        <v>0</v>
      </c>
      <c r="AA6" s="114">
        <f>SUM('Nura-EX'!D37:N37)</f>
        <v>0</v>
      </c>
      <c r="AB6" s="111"/>
    </row>
    <row r="7">
      <c r="A7" s="118" t="s">
        <v>92</v>
      </c>
      <c r="B7" s="27"/>
      <c r="C7" s="116">
        <f>Giuditta!B35</f>
        <v>0</v>
      </c>
      <c r="D7" s="116">
        <f>Giuditta!C35</f>
        <v>0</v>
      </c>
      <c r="E7" s="116">
        <f>Giuditta!D35</f>
        <v>0</v>
      </c>
      <c r="F7" s="116">
        <f>Giuditta!E35</f>
        <v>0</v>
      </c>
      <c r="G7" s="116">
        <f>Giuditta!F35</f>
        <v>0</v>
      </c>
      <c r="H7" s="116">
        <f>Giuditta!G35</f>
        <v>0</v>
      </c>
      <c r="I7" s="116">
        <f>Giuditta!H35</f>
        <v>0</v>
      </c>
      <c r="J7" s="116">
        <f>Giuditta!I35</f>
        <v>0</v>
      </c>
      <c r="K7" s="116">
        <f>Giuditta!J35</f>
        <v>0</v>
      </c>
      <c r="L7" s="116">
        <f>Giuditta!K35</f>
        <v>0</v>
      </c>
      <c r="M7" s="116">
        <f>Giuditta!L35</f>
        <v>0</v>
      </c>
      <c r="N7" s="116">
        <f>Giuditta!M35</f>
        <v>0</v>
      </c>
      <c r="O7" s="116">
        <f>Giuditta!N35</f>
        <v>0</v>
      </c>
      <c r="P7" s="116">
        <f>Giuditta!O35</f>
        <v>0</v>
      </c>
      <c r="Q7" s="116">
        <f>Giuditta!P35</f>
        <v>0</v>
      </c>
      <c r="R7" s="116">
        <f>Giuditta!Q35</f>
        <v>0</v>
      </c>
      <c r="S7" s="116">
        <f>Giuditta!R35</f>
        <v>0</v>
      </c>
      <c r="T7" s="116">
        <f>Giuditta!S35</f>
        <v>0</v>
      </c>
      <c r="U7" s="116">
        <f>Giuditta!T35</f>
        <v>0</v>
      </c>
      <c r="V7" s="116">
        <f>Giuditta!U35</f>
        <v>0</v>
      </c>
      <c r="W7" s="116">
        <f>Giuditta!V35</f>
        <v>0</v>
      </c>
      <c r="X7" s="116">
        <f>Giuditta!W35</f>
        <v>0</v>
      </c>
      <c r="Y7" s="116">
        <f>Giuditta!X35</f>
        <v>0</v>
      </c>
      <c r="Z7" s="116">
        <f>Giuditta!Y35</f>
        <v>0</v>
      </c>
      <c r="AA7" s="110">
        <f>SUM(Giuditta!D37:N37)</f>
        <v>0</v>
      </c>
      <c r="AB7" s="111"/>
    </row>
    <row r="8">
      <c r="A8" s="118" t="s">
        <v>93</v>
      </c>
      <c r="B8" s="27"/>
      <c r="C8" s="117">
        <f>'Giuditta-EX'!B35</f>
        <v>0</v>
      </c>
      <c r="D8" s="117">
        <f>'Giuditta-EX'!C35</f>
        <v>0</v>
      </c>
      <c r="E8" s="117">
        <f>'Giuditta-EX'!D35</f>
        <v>0</v>
      </c>
      <c r="F8" s="117">
        <f>'Giuditta-EX'!E35</f>
        <v>0</v>
      </c>
      <c r="G8" s="117">
        <f>'Giuditta-EX'!F35</f>
        <v>0</v>
      </c>
      <c r="H8" s="117">
        <f>'Giuditta-EX'!G35</f>
        <v>0</v>
      </c>
      <c r="I8" s="117">
        <f>'Giuditta-EX'!H35</f>
        <v>0</v>
      </c>
      <c r="J8" s="117">
        <f>'Giuditta-EX'!I35</f>
        <v>0</v>
      </c>
      <c r="K8" s="117">
        <f>'Giuditta-EX'!J35</f>
        <v>0</v>
      </c>
      <c r="L8" s="117">
        <f>'Giuditta-EX'!K35</f>
        <v>0</v>
      </c>
      <c r="M8" s="117">
        <f>'Giuditta-EX'!L35</f>
        <v>0</v>
      </c>
      <c r="N8" s="117">
        <f>'Giuditta-EX'!M35</f>
        <v>0</v>
      </c>
      <c r="O8" s="117">
        <f>'Giuditta-EX'!N35</f>
        <v>0</v>
      </c>
      <c r="P8" s="117">
        <f>'Giuditta-EX'!O35</f>
        <v>0</v>
      </c>
      <c r="Q8" s="117">
        <f>'Giuditta-EX'!P35</f>
        <v>0</v>
      </c>
      <c r="R8" s="117">
        <f>'Giuditta-EX'!Q35</f>
        <v>0</v>
      </c>
      <c r="S8" s="117">
        <f>'Giuditta-EX'!R35</f>
        <v>0</v>
      </c>
      <c r="T8" s="117">
        <f>'Giuditta-EX'!S35</f>
        <v>0</v>
      </c>
      <c r="U8" s="117">
        <f>'Giuditta-EX'!T35</f>
        <v>0</v>
      </c>
      <c r="V8" s="117">
        <f>'Giuditta-EX'!U35</f>
        <v>0</v>
      </c>
      <c r="W8" s="117">
        <f>'Giuditta-EX'!V35</f>
        <v>0</v>
      </c>
      <c r="X8" s="117">
        <f>'Giuditta-EX'!W35</f>
        <v>0</v>
      </c>
      <c r="Y8" s="117">
        <f>'Giuditta-EX'!X35</f>
        <v>0</v>
      </c>
      <c r="Z8" s="117">
        <f>'Giuditta-EX'!Y35</f>
        <v>0</v>
      </c>
      <c r="AA8" s="114">
        <f>SUM('Giuditta-EX'!D37:N37)</f>
        <v>0</v>
      </c>
      <c r="AB8" s="111"/>
    </row>
    <row r="9">
      <c r="A9" s="119" t="s">
        <v>94</v>
      </c>
      <c r="B9" s="27"/>
      <c r="C9" s="109">
        <f>Estefany!B35</f>
        <v>0</v>
      </c>
      <c r="D9" s="109">
        <f>Estefany!C35</f>
        <v>0</v>
      </c>
      <c r="E9" s="109">
        <f>Estefany!D35</f>
        <v>0</v>
      </c>
      <c r="F9" s="109">
        <f>Estefany!E35</f>
        <v>0</v>
      </c>
      <c r="G9" s="109">
        <f>Estefany!F35</f>
        <v>0</v>
      </c>
      <c r="H9" s="109">
        <f>Estefany!G35</f>
        <v>0</v>
      </c>
      <c r="I9" s="109">
        <f>Estefany!H35</f>
        <v>0</v>
      </c>
      <c r="J9" s="109">
        <f>Estefany!I35</f>
        <v>0</v>
      </c>
      <c r="K9" s="109">
        <f>Estefany!J35</f>
        <v>0</v>
      </c>
      <c r="L9" s="109">
        <f>Estefany!K35</f>
        <v>0</v>
      </c>
      <c r="M9" s="109">
        <f>Estefany!L35</f>
        <v>0</v>
      </c>
      <c r="N9" s="109">
        <f>Estefany!M35</f>
        <v>0</v>
      </c>
      <c r="O9" s="109">
        <f>Estefany!N35</f>
        <v>0</v>
      </c>
      <c r="P9" s="109">
        <f>Estefany!O35</f>
        <v>0</v>
      </c>
      <c r="Q9" s="109">
        <f>Estefany!P35</f>
        <v>0</v>
      </c>
      <c r="R9" s="109">
        <f>Estefany!Q35</f>
        <v>0</v>
      </c>
      <c r="S9" s="109">
        <f>Estefany!R35</f>
        <v>0</v>
      </c>
      <c r="T9" s="109">
        <f>Estefany!S35</f>
        <v>0</v>
      </c>
      <c r="U9" s="109">
        <f>Estefany!T35</f>
        <v>0</v>
      </c>
      <c r="V9" s="109">
        <f>Estefany!U35</f>
        <v>0</v>
      </c>
      <c r="W9" s="109">
        <f>Estefany!V35</f>
        <v>0</v>
      </c>
      <c r="X9" s="109">
        <f>Estefany!W35</f>
        <v>0</v>
      </c>
      <c r="Y9" s="109">
        <f>Estefany!X35</f>
        <v>0</v>
      </c>
      <c r="Z9" s="109">
        <f>Estefany!Y35</f>
        <v>0</v>
      </c>
      <c r="AA9" s="110">
        <f>SUM(Estefany!D37:N37)</f>
        <v>0</v>
      </c>
      <c r="AB9" s="111"/>
    </row>
    <row r="10">
      <c r="A10" s="119" t="s">
        <v>95</v>
      </c>
      <c r="B10" s="27"/>
      <c r="C10" s="113">
        <f>'Estefany-EX'!B35</f>
        <v>0</v>
      </c>
      <c r="D10" s="113">
        <f>'Estefany-EX'!C35</f>
        <v>0</v>
      </c>
      <c r="E10" s="113">
        <f>'Estefany-EX'!D35</f>
        <v>0</v>
      </c>
      <c r="F10" s="113">
        <f>'Estefany-EX'!E35</f>
        <v>0</v>
      </c>
      <c r="G10" s="113">
        <f>'Estefany-EX'!F35</f>
        <v>0</v>
      </c>
      <c r="H10" s="113">
        <f>'Estefany-EX'!G35</f>
        <v>0</v>
      </c>
      <c r="I10" s="113">
        <f>'Estefany-EX'!H35</f>
        <v>0</v>
      </c>
      <c r="J10" s="113">
        <f>'Estefany-EX'!I35</f>
        <v>0</v>
      </c>
      <c r="K10" s="113">
        <f>'Estefany-EX'!J35</f>
        <v>0</v>
      </c>
      <c r="L10" s="113">
        <f>'Estefany-EX'!K35</f>
        <v>0</v>
      </c>
      <c r="M10" s="113">
        <f>'Estefany-EX'!L35</f>
        <v>0</v>
      </c>
      <c r="N10" s="113">
        <f>'Estefany-EX'!M35</f>
        <v>0</v>
      </c>
      <c r="O10" s="113">
        <f>'Estefany-EX'!N35</f>
        <v>0</v>
      </c>
      <c r="P10" s="113">
        <f>'Estefany-EX'!O35</f>
        <v>0</v>
      </c>
      <c r="Q10" s="113">
        <f>'Estefany-EX'!P35</f>
        <v>0</v>
      </c>
      <c r="R10" s="113">
        <f>'Estefany-EX'!Q35</f>
        <v>0</v>
      </c>
      <c r="S10" s="113">
        <f>'Estefany-EX'!R35</f>
        <v>0</v>
      </c>
      <c r="T10" s="113">
        <f>'Estefany-EX'!S35</f>
        <v>0</v>
      </c>
      <c r="U10" s="113">
        <f>'Estefany-EX'!T35</f>
        <v>0</v>
      </c>
      <c r="V10" s="113">
        <f>'Estefany-EX'!U35</f>
        <v>0</v>
      </c>
      <c r="W10" s="113">
        <f>'Estefany-EX'!V35</f>
        <v>0</v>
      </c>
      <c r="X10" s="113">
        <f>'Estefany-EX'!W35</f>
        <v>0</v>
      </c>
      <c r="Y10" s="113">
        <f>'Estefany-EX'!X35</f>
        <v>0</v>
      </c>
      <c r="Z10" s="113">
        <f>'Estefany-EX'!Y35</f>
        <v>0</v>
      </c>
      <c r="AA10" s="114">
        <f>SUM('Estefany-EX'!D37:N37)</f>
        <v>0</v>
      </c>
      <c r="AB10" s="111"/>
    </row>
    <row r="11">
      <c r="A11" s="120" t="s">
        <v>47</v>
      </c>
      <c r="B11" s="27"/>
      <c r="C11" s="109">
        <f>TEAM!B35</f>
        <v>0</v>
      </c>
      <c r="D11" s="109">
        <f>TEAM!C35</f>
        <v>0</v>
      </c>
      <c r="E11" s="109">
        <f>TEAM!D35</f>
        <v>0</v>
      </c>
      <c r="F11" s="109">
        <f>TEAM!E35</f>
        <v>0</v>
      </c>
      <c r="G11" s="109">
        <f>TEAM!F35</f>
        <v>0</v>
      </c>
      <c r="H11" s="109">
        <f>TEAM!G35</f>
        <v>0</v>
      </c>
      <c r="I11" s="109">
        <f>TEAM!H35</f>
        <v>0</v>
      </c>
      <c r="J11" s="109">
        <f>TEAM!I35</f>
        <v>0</v>
      </c>
      <c r="K11" s="109">
        <f>TEAM!J35</f>
        <v>0</v>
      </c>
      <c r="L11" s="109">
        <f>TEAM!K35</f>
        <v>0</v>
      </c>
      <c r="M11" s="109">
        <f>TEAM!L35</f>
        <v>0</v>
      </c>
      <c r="N11" s="109">
        <f>TEAM!M35</f>
        <v>0</v>
      </c>
      <c r="O11" s="109">
        <f>TEAM!N35</f>
        <v>0</v>
      </c>
      <c r="P11" s="109">
        <f>TEAM!O35</f>
        <v>0</v>
      </c>
      <c r="Q11" s="109">
        <f>TEAM!P35</f>
        <v>0</v>
      </c>
      <c r="R11" s="109">
        <f>TEAM!Q35</f>
        <v>0</v>
      </c>
      <c r="S11" s="109">
        <f>TEAM!R35</f>
        <v>0</v>
      </c>
      <c r="T11" s="109">
        <f>TEAM!S35</f>
        <v>0</v>
      </c>
      <c r="U11" s="109">
        <f>TEAM!T35</f>
        <v>0</v>
      </c>
      <c r="V11" s="109">
        <f>TEAM!U35</f>
        <v>0</v>
      </c>
      <c r="W11" s="109">
        <f>TEAM!V35</f>
        <v>0</v>
      </c>
      <c r="X11" s="109">
        <f>TEAM!W35</f>
        <v>0</v>
      </c>
      <c r="Y11" s="109">
        <f>TEAM!X35</f>
        <v>0</v>
      </c>
      <c r="Z11" s="109">
        <f>TEAM!Y35</f>
        <v>0</v>
      </c>
      <c r="AA11" s="110">
        <f>SUM(TEAM!D37:N37)</f>
        <v>0</v>
      </c>
      <c r="AB11" s="111"/>
    </row>
    <row r="12">
      <c r="A12" s="120" t="s">
        <v>96</v>
      </c>
      <c r="B12" s="27"/>
      <c r="C12" s="113">
        <f>'TEAM-EX'!B35</f>
        <v>0</v>
      </c>
      <c r="D12" s="113">
        <f>'TEAM-EX'!C35</f>
        <v>0</v>
      </c>
      <c r="E12" s="113">
        <f>'TEAM-EX'!D35</f>
        <v>0</v>
      </c>
      <c r="F12" s="113">
        <f>'TEAM-EX'!E35</f>
        <v>0</v>
      </c>
      <c r="G12" s="113">
        <f>'TEAM-EX'!F35</f>
        <v>0</v>
      </c>
      <c r="H12" s="113">
        <f>'TEAM-EX'!G35</f>
        <v>0</v>
      </c>
      <c r="I12" s="113">
        <f>'TEAM-EX'!H35</f>
        <v>0</v>
      </c>
      <c r="J12" s="113">
        <f>'TEAM-EX'!I35</f>
        <v>0</v>
      </c>
      <c r="K12" s="113">
        <f>'TEAM-EX'!J35</f>
        <v>0</v>
      </c>
      <c r="L12" s="113">
        <f>'TEAM-EX'!K35</f>
        <v>0</v>
      </c>
      <c r="M12" s="113">
        <f>'TEAM-EX'!L35</f>
        <v>0</v>
      </c>
      <c r="N12" s="113">
        <f>'TEAM-EX'!M35</f>
        <v>0</v>
      </c>
      <c r="O12" s="113">
        <f>'TEAM-EX'!N35</f>
        <v>0</v>
      </c>
      <c r="P12" s="113">
        <f>'TEAM-EX'!O35</f>
        <v>0</v>
      </c>
      <c r="Q12" s="113">
        <f>'TEAM-EX'!P35</f>
        <v>0</v>
      </c>
      <c r="R12" s="113">
        <f>'TEAM-EX'!Q35</f>
        <v>0</v>
      </c>
      <c r="S12" s="113">
        <f>'TEAM-EX'!R35</f>
        <v>0</v>
      </c>
      <c r="T12" s="113">
        <f>'TEAM-EX'!S35</f>
        <v>0</v>
      </c>
      <c r="U12" s="113">
        <f>'TEAM-EX'!T35</f>
        <v>0</v>
      </c>
      <c r="V12" s="113">
        <f>'TEAM-EX'!U35</f>
        <v>0</v>
      </c>
      <c r="W12" s="113">
        <f>'TEAM-EX'!V35</f>
        <v>0</v>
      </c>
      <c r="X12" s="113">
        <f>'TEAM-EX'!W35</f>
        <v>0</v>
      </c>
      <c r="Y12" s="113">
        <f>'TEAM-EX'!X35</f>
        <v>0</v>
      </c>
      <c r="Z12" s="113">
        <f>'TEAM-EX'!Y35</f>
        <v>0</v>
      </c>
      <c r="AA12" s="114">
        <f>SUM('TEAM-EX'!D37:N37)</f>
        <v>0</v>
      </c>
      <c r="AB12" s="111"/>
    </row>
    <row r="13">
      <c r="A13" s="121" t="s">
        <v>97</v>
      </c>
      <c r="B13" s="27"/>
      <c r="C13" s="109">
        <f>Joel!B35</f>
        <v>0</v>
      </c>
      <c r="D13" s="109">
        <f>Joel!C35</f>
        <v>0</v>
      </c>
      <c r="E13" s="109">
        <f>Joel!D35</f>
        <v>0</v>
      </c>
      <c r="F13" s="109">
        <f>Joel!E35</f>
        <v>0</v>
      </c>
      <c r="G13" s="109">
        <f>Joel!F35</f>
        <v>0</v>
      </c>
      <c r="H13" s="109">
        <f>Joel!G35</f>
        <v>0</v>
      </c>
      <c r="I13" s="109">
        <f>Joel!H35</f>
        <v>0</v>
      </c>
      <c r="J13" s="109">
        <f>Joel!I35</f>
        <v>0</v>
      </c>
      <c r="K13" s="109">
        <f>Joel!J35</f>
        <v>0</v>
      </c>
      <c r="L13" s="109">
        <f>Joel!K35</f>
        <v>0</v>
      </c>
      <c r="M13" s="109">
        <f>Joel!L35</f>
        <v>0</v>
      </c>
      <c r="N13" s="109">
        <f>Joel!M35</f>
        <v>0</v>
      </c>
      <c r="O13" s="109">
        <f>Joel!N35</f>
        <v>0</v>
      </c>
      <c r="P13" s="109">
        <f>Joel!O35</f>
        <v>0</v>
      </c>
      <c r="Q13" s="109">
        <f>Joel!P35</f>
        <v>0</v>
      </c>
      <c r="R13" s="109">
        <f>Joel!Q35</f>
        <v>0</v>
      </c>
      <c r="S13" s="109">
        <f>Joel!R35</f>
        <v>0</v>
      </c>
      <c r="T13" s="109">
        <f>Joel!S35</f>
        <v>0</v>
      </c>
      <c r="U13" s="109">
        <f>Joel!T35</f>
        <v>0</v>
      </c>
      <c r="V13" s="109">
        <f>Joel!U35</f>
        <v>0</v>
      </c>
      <c r="W13" s="109">
        <f>Joel!V35</f>
        <v>0</v>
      </c>
      <c r="X13" s="109">
        <f>Joel!W35</f>
        <v>0</v>
      </c>
      <c r="Y13" s="109">
        <f>Joel!X35</f>
        <v>0</v>
      </c>
      <c r="Z13" s="109">
        <f>Joel!Y35</f>
        <v>0</v>
      </c>
      <c r="AA13" s="110">
        <f>SUM(Joel!D37:N37)</f>
        <v>0</v>
      </c>
      <c r="AB13" s="111"/>
    </row>
    <row r="14">
      <c r="A14" s="122" t="s">
        <v>98</v>
      </c>
      <c r="B14" s="123"/>
      <c r="C14" s="113">
        <f>'Joel-EX'!B35</f>
        <v>0</v>
      </c>
      <c r="D14" s="113">
        <f>'Joel-EX'!C35</f>
        <v>0</v>
      </c>
      <c r="E14" s="113">
        <f>'Joel-EX'!D35</f>
        <v>0</v>
      </c>
      <c r="F14" s="113">
        <f>'Joel-EX'!E35</f>
        <v>0</v>
      </c>
      <c r="G14" s="113">
        <f>'Joel-EX'!F35</f>
        <v>0</v>
      </c>
      <c r="H14" s="113">
        <f>'Joel-EX'!G35</f>
        <v>0</v>
      </c>
      <c r="I14" s="113">
        <f>'Joel-EX'!H35</f>
        <v>0</v>
      </c>
      <c r="J14" s="113">
        <f>'Joel-EX'!I35</f>
        <v>0</v>
      </c>
      <c r="K14" s="113">
        <f>'Joel-EX'!J35</f>
        <v>0</v>
      </c>
      <c r="L14" s="113">
        <f>'Joel-EX'!K35</f>
        <v>0</v>
      </c>
      <c r="M14" s="113">
        <f>'Joel-EX'!L35</f>
        <v>0</v>
      </c>
      <c r="N14" s="113">
        <f>'Joel-EX'!M35</f>
        <v>0</v>
      </c>
      <c r="O14" s="113">
        <f>'Joel-EX'!N35</f>
        <v>0</v>
      </c>
      <c r="P14" s="113">
        <f>'Joel-EX'!O35</f>
        <v>0</v>
      </c>
      <c r="Q14" s="113">
        <f>'Joel-EX'!P35</f>
        <v>0</v>
      </c>
      <c r="R14" s="113">
        <f>'Joel-EX'!Q35</f>
        <v>0</v>
      </c>
      <c r="S14" s="113">
        <f>'Joel-EX'!R35</f>
        <v>0</v>
      </c>
      <c r="T14" s="113">
        <f>'Joel-EX'!S35</f>
        <v>0</v>
      </c>
      <c r="U14" s="113">
        <f>'Joel-EX'!T35</f>
        <v>0</v>
      </c>
      <c r="V14" s="113">
        <f>'Joel-EX'!U35</f>
        <v>0</v>
      </c>
      <c r="W14" s="113">
        <f>'Joel-EX'!V35</f>
        <v>0</v>
      </c>
      <c r="X14" s="113">
        <f>'Joel-EX'!W35</f>
        <v>0</v>
      </c>
      <c r="Y14" s="113">
        <f>'Joel-EX'!X35</f>
        <v>0</v>
      </c>
      <c r="Z14" s="113">
        <f>'Joel-EX'!Y35</f>
        <v>0</v>
      </c>
      <c r="AA14" s="114">
        <f>SUM('Joel-EX'!D37:N37)</f>
        <v>0</v>
      </c>
      <c r="AB14" s="111"/>
    </row>
    <row r="15">
      <c r="A15" s="124" t="s">
        <v>67</v>
      </c>
      <c r="B15" s="123"/>
      <c r="C15" s="125">
        <f>TEAM1!B35</f>
        <v>0</v>
      </c>
      <c r="D15" s="125">
        <f>TEAM1!C35</f>
        <v>0</v>
      </c>
      <c r="E15" s="125">
        <f>TEAM1!D35</f>
        <v>0</v>
      </c>
      <c r="F15" s="125">
        <f>TEAM1!E35</f>
        <v>0</v>
      </c>
      <c r="G15" s="125">
        <f>TEAM1!F35</f>
        <v>0</v>
      </c>
      <c r="H15" s="125">
        <f>TEAM1!G35</f>
        <v>0</v>
      </c>
      <c r="I15" s="125">
        <f>TEAM1!H35</f>
        <v>0</v>
      </c>
      <c r="J15" s="125">
        <f>TEAM1!I35</f>
        <v>0</v>
      </c>
      <c r="K15" s="125">
        <f>TEAM1!J35</f>
        <v>0</v>
      </c>
      <c r="L15" s="125">
        <f>TEAM1!K35</f>
        <v>0</v>
      </c>
      <c r="M15" s="125">
        <f>TEAM1!L35</f>
        <v>0</v>
      </c>
      <c r="N15" s="125">
        <f>TEAM1!M35</f>
        <v>0</v>
      </c>
      <c r="O15" s="125">
        <f>TEAM1!N35</f>
        <v>0</v>
      </c>
      <c r="P15" s="125">
        <f>TEAM1!O35</f>
        <v>0</v>
      </c>
      <c r="Q15" s="125">
        <f>TEAM1!P35</f>
        <v>0</v>
      </c>
      <c r="R15" s="125">
        <f>TEAM1!Q35</f>
        <v>0</v>
      </c>
      <c r="S15" s="125">
        <f>TEAM1!R35</f>
        <v>0</v>
      </c>
      <c r="T15" s="125">
        <f>TEAM1!S35</f>
        <v>0</v>
      </c>
      <c r="U15" s="125">
        <f>TEAM1!T35</f>
        <v>0</v>
      </c>
      <c r="V15" s="125">
        <f>TEAM1!U35</f>
        <v>0</v>
      </c>
      <c r="W15" s="125">
        <f>TEAM1!V35</f>
        <v>0</v>
      </c>
      <c r="X15" s="125">
        <f>TEAM1!W35</f>
        <v>0</v>
      </c>
      <c r="Y15" s="125">
        <f>TEAM1!X35</f>
        <v>0</v>
      </c>
      <c r="Z15" s="125">
        <f>TEAM1!Y35</f>
        <v>0</v>
      </c>
      <c r="AA15" s="110">
        <f>SUM(TEAM1!D37:N37)</f>
        <v>0</v>
      </c>
      <c r="AB15" s="111"/>
    </row>
    <row r="16">
      <c r="A16" s="124" t="s">
        <v>99</v>
      </c>
      <c r="B16" s="123"/>
      <c r="C16" s="126">
        <f>'TEAM1-EX'!B35</f>
        <v>0</v>
      </c>
      <c r="D16" s="126">
        <f>'TEAM1-EX'!C35</f>
        <v>0</v>
      </c>
      <c r="E16" s="126">
        <f>'TEAM1-EX'!D35</f>
        <v>0</v>
      </c>
      <c r="F16" s="126">
        <f>'TEAM1-EX'!E35</f>
        <v>0</v>
      </c>
      <c r="G16" s="126">
        <f>'TEAM1-EX'!F35</f>
        <v>0</v>
      </c>
      <c r="H16" s="126">
        <f>'TEAM1-EX'!G35</f>
        <v>0</v>
      </c>
      <c r="I16" s="126">
        <f>'TEAM1-EX'!H35</f>
        <v>0</v>
      </c>
      <c r="J16" s="126">
        <f>'TEAM1-EX'!I35</f>
        <v>0</v>
      </c>
      <c r="K16" s="126">
        <f>'TEAM1-EX'!J35</f>
        <v>0</v>
      </c>
      <c r="L16" s="126">
        <f>'TEAM1-EX'!K35</f>
        <v>0</v>
      </c>
      <c r="M16" s="126">
        <f>'TEAM1-EX'!L35</f>
        <v>0</v>
      </c>
      <c r="N16" s="126">
        <f>'TEAM1-EX'!M35</f>
        <v>0</v>
      </c>
      <c r="O16" s="126">
        <f>'TEAM1-EX'!N35</f>
        <v>0</v>
      </c>
      <c r="P16" s="126">
        <f>'TEAM1-EX'!O35</f>
        <v>0</v>
      </c>
      <c r="Q16" s="126">
        <f>'TEAM1-EX'!P35</f>
        <v>0</v>
      </c>
      <c r="R16" s="126">
        <f>'TEAM1-EX'!Q35</f>
        <v>0</v>
      </c>
      <c r="S16" s="126">
        <f>'TEAM1-EX'!R35</f>
        <v>0</v>
      </c>
      <c r="T16" s="126">
        <f>'TEAM1-EX'!S35</f>
        <v>0</v>
      </c>
      <c r="U16" s="126">
        <f>'TEAM1-EX'!T35</f>
        <v>0</v>
      </c>
      <c r="V16" s="126">
        <f>'TEAM1-EX'!U35</f>
        <v>0</v>
      </c>
      <c r="W16" s="126">
        <f>'TEAM1-EX'!V35</f>
        <v>0</v>
      </c>
      <c r="X16" s="126">
        <f>'TEAM1-EX'!W35</f>
        <v>0</v>
      </c>
      <c r="Y16" s="126">
        <f>'TEAM1-EX'!X35</f>
        <v>0</v>
      </c>
      <c r="Z16" s="126">
        <f>'TEAM1-EX'!Y35</f>
        <v>0</v>
      </c>
      <c r="AA16" s="114">
        <f>SUM('TEAM1-EX'!D37:N37)</f>
        <v>0</v>
      </c>
      <c r="AB16" s="111"/>
    </row>
    <row r="17">
      <c r="A17" s="127" t="s">
        <v>77</v>
      </c>
      <c r="B17" s="123"/>
      <c r="C17" s="125">
        <f>TEAM2!B35</f>
        <v>0</v>
      </c>
      <c r="D17" s="125">
        <f>TEAM2!C35</f>
        <v>0</v>
      </c>
      <c r="E17" s="125">
        <f>TEAM2!D35</f>
        <v>0</v>
      </c>
      <c r="F17" s="125">
        <f>TEAM2!E35</f>
        <v>0</v>
      </c>
      <c r="G17" s="125">
        <f>TEAM2!F35</f>
        <v>0</v>
      </c>
      <c r="H17" s="125">
        <f>TEAM2!G35</f>
        <v>0</v>
      </c>
      <c r="I17" s="125">
        <f>TEAM2!H35</f>
        <v>0</v>
      </c>
      <c r="J17" s="125">
        <f>TEAM2!I35</f>
        <v>0</v>
      </c>
      <c r="K17" s="125">
        <f>TEAM2!J35</f>
        <v>0</v>
      </c>
      <c r="L17" s="125">
        <f>TEAM2!K35</f>
        <v>0</v>
      </c>
      <c r="M17" s="125">
        <f>TEAM2!L35</f>
        <v>0</v>
      </c>
      <c r="N17" s="125">
        <f>TEAM2!M35</f>
        <v>0</v>
      </c>
      <c r="O17" s="125">
        <f>TEAM2!N35</f>
        <v>0</v>
      </c>
      <c r="P17" s="125">
        <f>TEAM2!O35</f>
        <v>0</v>
      </c>
      <c r="Q17" s="125">
        <f>TEAM2!P35</f>
        <v>0</v>
      </c>
      <c r="R17" s="125">
        <f>TEAM2!Q35</f>
        <v>0</v>
      </c>
      <c r="S17" s="125">
        <f>TEAM2!R35</f>
        <v>0</v>
      </c>
      <c r="T17" s="125">
        <f>TEAM2!S35</f>
        <v>0</v>
      </c>
      <c r="U17" s="125">
        <f>TEAM2!T35</f>
        <v>0</v>
      </c>
      <c r="V17" s="125">
        <f>TEAM2!U35</f>
        <v>0</v>
      </c>
      <c r="W17" s="125">
        <f>TEAM2!V35</f>
        <v>0</v>
      </c>
      <c r="X17" s="125">
        <f>TEAM2!W35</f>
        <v>0</v>
      </c>
      <c r="Y17" s="125">
        <f>TEAM2!X35</f>
        <v>0</v>
      </c>
      <c r="Z17" s="125">
        <f>TEAM2!Y35</f>
        <v>0</v>
      </c>
      <c r="AA17" s="110">
        <f>SUM(TEAM2!D37:N37)</f>
        <v>0</v>
      </c>
      <c r="AB17" s="111"/>
    </row>
    <row r="18">
      <c r="A18" s="127" t="s">
        <v>100</v>
      </c>
      <c r="B18" s="123"/>
      <c r="C18" s="126">
        <f>'TEAM2-EX'!B35</f>
        <v>0</v>
      </c>
      <c r="D18" s="126">
        <f>'TEAM2-EX'!C35</f>
        <v>0</v>
      </c>
      <c r="E18" s="126">
        <f>'TEAM2-EX'!D35</f>
        <v>0</v>
      </c>
      <c r="F18" s="126">
        <f>'TEAM2-EX'!E35</f>
        <v>0</v>
      </c>
      <c r="G18" s="126">
        <f>'TEAM2-EX'!F35</f>
        <v>0</v>
      </c>
      <c r="H18" s="126">
        <f>'TEAM2-EX'!G35</f>
        <v>0</v>
      </c>
      <c r="I18" s="126">
        <f>'TEAM2-EX'!H35</f>
        <v>0</v>
      </c>
      <c r="J18" s="126">
        <f>'TEAM2-EX'!I35</f>
        <v>0</v>
      </c>
      <c r="K18" s="126">
        <f>'TEAM2-EX'!J35</f>
        <v>0</v>
      </c>
      <c r="L18" s="126">
        <f>'TEAM2-EX'!K35</f>
        <v>0</v>
      </c>
      <c r="M18" s="126">
        <f>'TEAM2-EX'!L35</f>
        <v>0</v>
      </c>
      <c r="N18" s="126">
        <f>'TEAM2-EX'!M35</f>
        <v>0</v>
      </c>
      <c r="O18" s="126">
        <f>'TEAM2-EX'!N35</f>
        <v>0</v>
      </c>
      <c r="P18" s="126">
        <f>'TEAM2-EX'!O35</f>
        <v>0</v>
      </c>
      <c r="Q18" s="126">
        <f>'TEAM2-EX'!P35</f>
        <v>0</v>
      </c>
      <c r="R18" s="126">
        <f>'TEAM2-EX'!Q35</f>
        <v>0</v>
      </c>
      <c r="S18" s="126">
        <f>'TEAM2-EX'!R35</f>
        <v>0</v>
      </c>
      <c r="T18" s="126">
        <f>'TEAM2-EX'!S35</f>
        <v>0</v>
      </c>
      <c r="U18" s="126">
        <f>'TEAM2-EX'!T35</f>
        <v>0</v>
      </c>
      <c r="V18" s="126">
        <f>'TEAM2-EX'!U35</f>
        <v>0</v>
      </c>
      <c r="W18" s="126">
        <f>'TEAM2-EX'!V35</f>
        <v>0</v>
      </c>
      <c r="X18" s="126">
        <f>'TEAM2-EX'!W35</f>
        <v>0</v>
      </c>
      <c r="Y18" s="126">
        <f>'TEAM2-EX'!X35</f>
        <v>0</v>
      </c>
      <c r="Z18" s="126">
        <f>'TEAM2-EX'!Y35</f>
        <v>0</v>
      </c>
      <c r="AA18" s="114">
        <f>SUM('TEAM2-EX'!D37:N37)</f>
        <v>0</v>
      </c>
      <c r="AB18" s="111"/>
    </row>
    <row r="19">
      <c r="A19" s="128"/>
      <c r="B19" s="123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30"/>
      <c r="AB19" s="111"/>
    </row>
    <row r="20">
      <c r="A20" s="131" t="s">
        <v>101</v>
      </c>
      <c r="B20" s="132"/>
      <c r="C20" s="133">
        <f t="shared" ref="C20:AA20" si="1">SUM(C3:C19)</f>
        <v>0</v>
      </c>
      <c r="D20" s="133">
        <f t="shared" si="1"/>
        <v>0</v>
      </c>
      <c r="E20" s="133">
        <f t="shared" si="1"/>
        <v>0</v>
      </c>
      <c r="F20" s="133">
        <f t="shared" si="1"/>
        <v>0</v>
      </c>
      <c r="G20" s="133">
        <f t="shared" si="1"/>
        <v>0</v>
      </c>
      <c r="H20" s="133">
        <f t="shared" si="1"/>
        <v>0</v>
      </c>
      <c r="I20" s="133">
        <f t="shared" si="1"/>
        <v>0</v>
      </c>
      <c r="J20" s="133">
        <f t="shared" si="1"/>
        <v>0</v>
      </c>
      <c r="K20" s="133">
        <f t="shared" si="1"/>
        <v>0</v>
      </c>
      <c r="L20" s="133">
        <f t="shared" si="1"/>
        <v>0</v>
      </c>
      <c r="M20" s="133">
        <f t="shared" si="1"/>
        <v>0</v>
      </c>
      <c r="N20" s="133">
        <f t="shared" si="1"/>
        <v>0</v>
      </c>
      <c r="O20" s="133">
        <f t="shared" si="1"/>
        <v>0</v>
      </c>
      <c r="P20" s="133">
        <f t="shared" si="1"/>
        <v>0</v>
      </c>
      <c r="Q20" s="133">
        <f t="shared" si="1"/>
        <v>0</v>
      </c>
      <c r="R20" s="133">
        <f t="shared" si="1"/>
        <v>0</v>
      </c>
      <c r="S20" s="133">
        <f t="shared" si="1"/>
        <v>0</v>
      </c>
      <c r="T20" s="133">
        <f t="shared" si="1"/>
        <v>0</v>
      </c>
      <c r="U20" s="133">
        <f t="shared" si="1"/>
        <v>0</v>
      </c>
      <c r="V20" s="133">
        <f t="shared" si="1"/>
        <v>0</v>
      </c>
      <c r="W20" s="133">
        <f t="shared" si="1"/>
        <v>0</v>
      </c>
      <c r="X20" s="133">
        <f t="shared" si="1"/>
        <v>0</v>
      </c>
      <c r="Y20" s="133">
        <f t="shared" si="1"/>
        <v>0</v>
      </c>
      <c r="Z20" s="133">
        <f t="shared" si="1"/>
        <v>0</v>
      </c>
      <c r="AA20" s="134">
        <f t="shared" si="1"/>
        <v>0</v>
      </c>
      <c r="AB20" s="132"/>
    </row>
    <row r="21">
      <c r="A21" s="135" t="s">
        <v>102</v>
      </c>
      <c r="B21" s="27"/>
      <c r="C21" s="136">
        <f>C20+D20</f>
        <v>0</v>
      </c>
      <c r="D21" s="27"/>
      <c r="E21" s="136">
        <f>E20+F20+Alexandra!D37+'Alexandra-EX'!D37+Nura!D37+'Nura-EX'!D37+Giuditta!D37+'Giuditta-EX'!D37+Estefany!D37+'Estefany-EX'!D37+TEAM!D37+'TEAM-EX'!D37+Joel!D37+'Joel-EX'!D37+TEAM1!D37+'TEAM1-EX'!D37+TEAM2!D37+'TEAM2-EX'!D37</f>
        <v>0</v>
      </c>
      <c r="F21" s="27"/>
      <c r="G21" s="136">
        <f>G20+H20+Alexandra!F37+'Alexandra-EX'!F37+Nura!F37+'Nura-EX'!F37+Giuditta!F37+'Giuditta-EX'!F37+Estefany!F37+'Estefany-EX'!F37+TEAM!F37+'TEAM-EX'!F37+Joel!F37+'Joel-EX'!F37+TEAM1!F37+'TEAM1-EX'!F37+TEAM2!F37+'TEAM2-EX'!F37</f>
        <v>0</v>
      </c>
      <c r="H21" s="27"/>
      <c r="I21" s="136">
        <f>I20+J20+Alexandra!H37+'Alexandra-EX'!H37+Nura!H37+'Nura-EX'!H37+Giuditta!H37+'Giuditta-EX'!H37+Estefany!H37+'Estefany-EX'!H37+TEAM!H37+'TEAM-EX'!H37+Joel!H37+'Joel-EX'!H37+TEAM1!H37+'TEAM1-EX'!H37+TEAM2!H37+'TEAM2-EX'!H37</f>
        <v>0</v>
      </c>
      <c r="J21" s="27"/>
      <c r="K21" s="136">
        <f>K20+L20+Alexandra!J37+'Alexandra-EX'!J37+Nura!J37+'Nura-EX'!J37+Giuditta!J37+'Giuditta-EX'!J37+Estefany!J37+'Estefany-EX'!J37+TEAM!J37+'TEAM-EX'!J37+Joel!J37+'Joel-EX'!J37+TEAM1!J37+'TEAM1-EX'!J37+TEAM2!J37+'TEAM2-EX'!J37</f>
        <v>0</v>
      </c>
      <c r="L21" s="27"/>
      <c r="M21" s="136">
        <f>M20+N20+Alexandra!L37+'Alexandra-EX'!L37+Nura!L37+'Nura-EX'!L37+Giuditta!L37+'Giuditta-EX'!L37+Estefany!L37+'Estefany-EX'!L37+TEAM!L37+'TEAM-EX'!L37+Joel!L37+'Joel-EX'!L37+TEAM1!L37+'TEAM1-EX'!L37+TEAM2!L37+'TEAM2-EX'!L37</f>
        <v>0</v>
      </c>
      <c r="N21" s="27"/>
      <c r="O21" s="136">
        <f>O20+P20+Alexandra!N37+'Alexandra-EX'!N37+Nura!N37+'Nura-EX'!N37+Giuditta!N37+'Giuditta-EX'!N37+Estefany!N37+'Estefany-EX'!N37+TEAM!N37+'TEAM-EX'!N37+Joel!N37+'Joel-EX'!N37+TEAM1!N37+'TEAM1-EX'!N37+TEAM2!N37+'TEAM2-EX'!N37</f>
        <v>0</v>
      </c>
      <c r="P21" s="27"/>
      <c r="Q21" s="136">
        <f>Q20+R20+Alexandra!P37+'Alexandra-EX'!P37+Nura!P37+'Nura-EX'!P37+Giuditta!P37+'Giuditta-EX'!P37+Estefany!P37+'Estefany-EX'!P37+TEAM!P37+'TEAM-EX'!P37+Joel!P37+'Joel-EX'!P37+TEAM1!P37+'TEAM1-EX'!P37+TEAM2!P37+'TEAM2-EX'!P37</f>
        <v>0</v>
      </c>
      <c r="R21" s="27"/>
      <c r="S21" s="136">
        <f>S20+T20+Alexandra!R37+'Alexandra-EX'!R37+Nura!R37+'Nura-EX'!R37+Giuditta!R37+'Giuditta-EX'!R37+Estefany!R37+'Estefany-EX'!R37+TEAM!R37+'TEAM-EX'!R37+Joel!R37+'Joel-EX'!R37+TEAM1!R37+'TEAM1-EX'!R37+TEAM2!R37+'TEAM2-EX'!R37</f>
        <v>0</v>
      </c>
      <c r="T21" s="27"/>
      <c r="U21" s="136">
        <f>U20+V20+Alexandra!T37+'Alexandra-EX'!T37+Nura!T37+'Nura-EX'!T37+Giuditta!T37+'Giuditta-EX'!T37+Estefany!T37+'Estefany-EX'!T37+TEAM!T37+'TEAM-EX'!T37+Joel!T37+'Joel-EX'!T37+TEAM1!T37+'TEAM1-EX'!T37+TEAM2!T37+'TEAM2-EX'!T37</f>
        <v>0</v>
      </c>
      <c r="V21" s="27"/>
      <c r="W21" s="136">
        <f>W20+X20+Alexandra!V37+'Alexandra-EX'!V37+Nura!V37+'Nura-EX'!V37+Giuditta!V37+'Giuditta-EX'!V37+Estefany!V37+'Estefany-EX'!V37+TEAM!V37+'TEAM-EX'!V37+Joel!V37+'Joel-EX'!V37+TEAM1!V37+'TEAM1-EX'!V37+TEAM2!V37+'TEAM2-EX'!V37</f>
        <v>0</v>
      </c>
      <c r="X21" s="27"/>
      <c r="Y21" s="136">
        <f>Y20+Z20+Alexandra!X37+'Alexandra-EX'!X37+Nura!X37+'Nura-EX'!X37+Giuditta!X37+'Giuditta-EX'!X37+Estefany!X37+'Estefany-EX'!X37+TEAM!X37+'TEAM-EX'!X37+Joel!X37+'Joel-EX'!X37+TEAM1!X37+'TEAM1-EX'!X37+TEAM2!X37+'TEAM2-EX'!X37</f>
        <v>0</v>
      </c>
      <c r="Z21" s="27"/>
      <c r="AA21" s="136"/>
      <c r="AB21" s="27"/>
    </row>
    <row r="22">
      <c r="A22" s="137" t="s">
        <v>103</v>
      </c>
      <c r="E22" s="138"/>
      <c r="F22" s="27"/>
      <c r="G22" s="139"/>
      <c r="H22" s="38"/>
      <c r="I22" s="140"/>
      <c r="J22" s="38"/>
      <c r="K22" s="140"/>
      <c r="L22" s="38"/>
      <c r="M22" s="140"/>
      <c r="N22" s="38"/>
      <c r="O22" s="140"/>
      <c r="P22" s="38"/>
      <c r="Q22" s="141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33"/>
      <c r="B23" s="33"/>
      <c r="C23" s="32"/>
      <c r="D23" s="32"/>
      <c r="E23" s="142" t="str">
        <f>IF(E21=E22,"OK","ERRORE")</f>
        <v>OK</v>
      </c>
      <c r="F23" s="38"/>
      <c r="G23" s="62" t="str">
        <f>IF(G21=G22,"OK","ERRORE")</f>
        <v>OK</v>
      </c>
      <c r="H23" s="4"/>
      <c r="I23" s="62" t="str">
        <f>IF(I21=I22,"OK","ERRORE")</f>
        <v>OK</v>
      </c>
      <c r="J23" s="4"/>
      <c r="K23" s="62" t="str">
        <f>IF(K21=K22,"OK","ERRORE")</f>
        <v>OK</v>
      </c>
      <c r="L23" s="4"/>
      <c r="M23" s="62" t="str">
        <f>IF(M21=M22,"OK","ERRORE")</f>
        <v>OK</v>
      </c>
      <c r="N23" s="4"/>
      <c r="O23" s="62" t="str">
        <f>IF(O21=O22,"OK","ERRORE")</f>
        <v>OK</v>
      </c>
      <c r="P23" s="4"/>
      <c r="Q23" s="14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144"/>
      <c r="B26" s="145" t="s">
        <v>104</v>
      </c>
      <c r="C26" s="146"/>
      <c r="D26" s="146"/>
      <c r="E26" s="107"/>
      <c r="F26" s="106" t="s">
        <v>105</v>
      </c>
      <c r="G26" s="146"/>
      <c r="H26" s="146"/>
      <c r="I26" s="107"/>
      <c r="J26" s="106" t="s">
        <v>106</v>
      </c>
      <c r="K26" s="146"/>
      <c r="L26" s="146"/>
      <c r="M26" s="107"/>
      <c r="N26" s="106" t="s">
        <v>4</v>
      </c>
      <c r="O26" s="146"/>
      <c r="P26" s="107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147" t="s">
        <v>107</v>
      </c>
      <c r="B27" s="148">
        <f>Alexandra!B67</f>
        <v>0</v>
      </c>
      <c r="C27" s="149"/>
      <c r="D27" s="149"/>
      <c r="E27" s="111"/>
      <c r="F27" s="148">
        <f>Alexandra!B68</f>
        <v>0</v>
      </c>
      <c r="G27" s="149"/>
      <c r="H27" s="149"/>
      <c r="I27" s="111"/>
      <c r="J27" s="150">
        <f>Alexandra!B69</f>
        <v>0</v>
      </c>
      <c r="K27" s="149"/>
      <c r="L27" s="149"/>
      <c r="M27" s="111"/>
      <c r="N27" s="151">
        <f>Alexandra!B70</f>
        <v>0</v>
      </c>
      <c r="O27" s="149"/>
      <c r="P27" s="111"/>
      <c r="Q27" s="152" t="str">
        <f>Alexandra!F70</f>
        <v>OK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147" t="s">
        <v>89</v>
      </c>
      <c r="B28" s="148">
        <f>'Alexandra-EX'!B67</f>
        <v>0</v>
      </c>
      <c r="C28" s="149"/>
      <c r="D28" s="149"/>
      <c r="E28" s="111"/>
      <c r="F28" s="148">
        <f>'Alexandra-EX'!B68</f>
        <v>0</v>
      </c>
      <c r="G28" s="149"/>
      <c r="H28" s="149"/>
      <c r="I28" s="111"/>
      <c r="J28" s="150">
        <f>'Alexandra-EX'!B69</f>
        <v>0</v>
      </c>
      <c r="K28" s="149"/>
      <c r="L28" s="149"/>
      <c r="M28" s="111"/>
      <c r="N28" s="151">
        <f>'Alexandra-EX'!B70</f>
        <v>0</v>
      </c>
      <c r="O28" s="149"/>
      <c r="P28" s="111"/>
      <c r="Q28" s="152" t="str">
        <f>'Alexandra-EX'!F70</f>
        <v>OK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153" t="s">
        <v>90</v>
      </c>
      <c r="B29" s="148">
        <f>Nura!B67</f>
        <v>0</v>
      </c>
      <c r="C29" s="149"/>
      <c r="D29" s="149"/>
      <c r="E29" s="111"/>
      <c r="F29" s="148">
        <f>Nura!B68</f>
        <v>0</v>
      </c>
      <c r="G29" s="149"/>
      <c r="H29" s="149"/>
      <c r="I29" s="111"/>
      <c r="J29" s="150">
        <f>Nura!B69</f>
        <v>0</v>
      </c>
      <c r="K29" s="149"/>
      <c r="L29" s="149"/>
      <c r="M29" s="111"/>
      <c r="N29" s="148">
        <f>Nura!B70</f>
        <v>0</v>
      </c>
      <c r="O29" s="149"/>
      <c r="P29" s="111"/>
      <c r="Q29" s="152" t="str">
        <f>Nura!F70</f>
        <v>OK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153" t="s">
        <v>91</v>
      </c>
      <c r="B30" s="148">
        <f>'Nura-EX'!B67</f>
        <v>0</v>
      </c>
      <c r="C30" s="149"/>
      <c r="D30" s="149"/>
      <c r="E30" s="111"/>
      <c r="F30" s="148">
        <f>'Nura-EX'!B68</f>
        <v>0</v>
      </c>
      <c r="G30" s="149"/>
      <c r="H30" s="149"/>
      <c r="I30" s="111"/>
      <c r="J30" s="150">
        <f>'Nura-EX'!B69</f>
        <v>0</v>
      </c>
      <c r="K30" s="149"/>
      <c r="L30" s="149"/>
      <c r="M30" s="111"/>
      <c r="N30" s="148">
        <f>'Nura-EX'!B70</f>
        <v>0</v>
      </c>
      <c r="O30" s="149"/>
      <c r="P30" s="111"/>
      <c r="Q30" s="152" t="str">
        <f>'Nura-EX'!F70</f>
        <v>OK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154" t="s">
        <v>92</v>
      </c>
      <c r="B31" s="148">
        <f>Giuditta!B67</f>
        <v>0</v>
      </c>
      <c r="C31" s="149"/>
      <c r="D31" s="149"/>
      <c r="E31" s="111"/>
      <c r="F31" s="148">
        <f>Giuditta!B68</f>
        <v>0</v>
      </c>
      <c r="G31" s="149"/>
      <c r="H31" s="149"/>
      <c r="I31" s="111"/>
      <c r="J31" s="150">
        <f>Giuditta!B69</f>
        <v>0</v>
      </c>
      <c r="K31" s="149"/>
      <c r="L31" s="149"/>
      <c r="M31" s="111"/>
      <c r="N31" s="151">
        <f>Giuditta!B70</f>
        <v>0</v>
      </c>
      <c r="O31" s="149"/>
      <c r="P31" s="111"/>
      <c r="Q31" s="155" t="str">
        <f>Giuditta!F70</f>
        <v>OK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154" t="s">
        <v>93</v>
      </c>
      <c r="B32" s="148">
        <f>'Giuditta-EX'!B67</f>
        <v>0</v>
      </c>
      <c r="C32" s="149"/>
      <c r="D32" s="149"/>
      <c r="E32" s="111"/>
      <c r="F32" s="148">
        <f>'Giuditta-EX'!B68</f>
        <v>0</v>
      </c>
      <c r="G32" s="149"/>
      <c r="H32" s="149"/>
      <c r="I32" s="111"/>
      <c r="J32" s="150">
        <f>'Giuditta-EX'!B69</f>
        <v>0</v>
      </c>
      <c r="K32" s="149"/>
      <c r="L32" s="149"/>
      <c r="M32" s="111"/>
      <c r="N32" s="151">
        <f>'Giuditta-EX'!B70</f>
        <v>0</v>
      </c>
      <c r="O32" s="149"/>
      <c r="P32" s="111"/>
      <c r="Q32" s="155" t="str">
        <f>'Giuditta-EX'!F70</f>
        <v>OK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156" t="s">
        <v>94</v>
      </c>
      <c r="B33" s="148">
        <f>Estefany!B67</f>
        <v>0</v>
      </c>
      <c r="C33" s="149"/>
      <c r="D33" s="149"/>
      <c r="E33" s="111"/>
      <c r="F33" s="148">
        <f>Estefany!B68</f>
        <v>0</v>
      </c>
      <c r="G33" s="149"/>
      <c r="H33" s="149"/>
      <c r="I33" s="111"/>
      <c r="J33" s="150">
        <f>Estefany!B69</f>
        <v>0</v>
      </c>
      <c r="K33" s="149"/>
      <c r="L33" s="149"/>
      <c r="M33" s="111"/>
      <c r="N33" s="151">
        <f>Estefany!B70</f>
        <v>0</v>
      </c>
      <c r="O33" s="149"/>
      <c r="P33" s="111"/>
      <c r="Q33" s="152" t="str">
        <f>Estefany!F70</f>
        <v>OK</v>
      </c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156" t="s">
        <v>95</v>
      </c>
      <c r="B34" s="148">
        <f>'Estefany-EX'!B67</f>
        <v>0</v>
      </c>
      <c r="C34" s="149"/>
      <c r="D34" s="149"/>
      <c r="E34" s="111"/>
      <c r="F34" s="148">
        <f>'Estefany-EX'!B68</f>
        <v>0</v>
      </c>
      <c r="G34" s="149"/>
      <c r="H34" s="149"/>
      <c r="I34" s="111"/>
      <c r="J34" s="150">
        <f>'Estefany-EX'!B69</f>
        <v>0</v>
      </c>
      <c r="K34" s="149"/>
      <c r="L34" s="149"/>
      <c r="M34" s="111"/>
      <c r="N34" s="151">
        <f>'Estefany-EX'!B70</f>
        <v>0</v>
      </c>
      <c r="O34" s="149"/>
      <c r="P34" s="111"/>
      <c r="Q34" s="152" t="str">
        <f>'Estefany-EX'!F70</f>
        <v>OK</v>
      </c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157" t="s">
        <v>47</v>
      </c>
      <c r="B35" s="148">
        <f>TEAM!B67</f>
        <v>0</v>
      </c>
      <c r="C35" s="149"/>
      <c r="D35" s="149"/>
      <c r="E35" s="111"/>
      <c r="F35" s="148">
        <f>TEAM!B68</f>
        <v>0</v>
      </c>
      <c r="G35" s="149"/>
      <c r="H35" s="149"/>
      <c r="I35" s="111"/>
      <c r="J35" s="150">
        <f>TEAM!B69</f>
        <v>0</v>
      </c>
      <c r="K35" s="149"/>
      <c r="L35" s="149"/>
      <c r="M35" s="111"/>
      <c r="N35" s="151">
        <f>TEAM!B70</f>
        <v>0</v>
      </c>
      <c r="O35" s="149"/>
      <c r="P35" s="111"/>
      <c r="Q35" s="152" t="str">
        <f>TEAM!F70</f>
        <v>OK</v>
      </c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157" t="s">
        <v>96</v>
      </c>
      <c r="B36" s="148">
        <f>'TEAM-EX'!B67</f>
        <v>0</v>
      </c>
      <c r="C36" s="149"/>
      <c r="D36" s="149"/>
      <c r="E36" s="111"/>
      <c r="F36" s="148">
        <f>'TEAM-EX'!B68</f>
        <v>0</v>
      </c>
      <c r="G36" s="149"/>
      <c r="H36" s="149"/>
      <c r="I36" s="111"/>
      <c r="J36" s="150">
        <f>'TEAM-EX'!B69</f>
        <v>0</v>
      </c>
      <c r="K36" s="149"/>
      <c r="L36" s="149"/>
      <c r="M36" s="111"/>
      <c r="N36" s="151">
        <f>'TEAM-EX'!B70</f>
        <v>0</v>
      </c>
      <c r="O36" s="149"/>
      <c r="P36" s="111"/>
      <c r="Q36" s="152" t="str">
        <f>'TEAM-EX'!F70</f>
        <v>OK</v>
      </c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158" t="s">
        <v>97</v>
      </c>
      <c r="B37" s="148">
        <f>Joel!B67</f>
        <v>0</v>
      </c>
      <c r="C37" s="149"/>
      <c r="D37" s="149"/>
      <c r="E37" s="111"/>
      <c r="F37" s="148">
        <f>Joel!B68</f>
        <v>0</v>
      </c>
      <c r="G37" s="149"/>
      <c r="H37" s="149"/>
      <c r="I37" s="111"/>
      <c r="J37" s="150">
        <f>Joel!B69</f>
        <v>0</v>
      </c>
      <c r="K37" s="149"/>
      <c r="L37" s="149"/>
      <c r="M37" s="111"/>
      <c r="N37" s="151">
        <f>Joel!B70</f>
        <v>0</v>
      </c>
      <c r="O37" s="149"/>
      <c r="P37" s="111"/>
      <c r="Q37" s="152" t="str">
        <f>Joel!F70</f>
        <v>OK</v>
      </c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159" t="s">
        <v>98</v>
      </c>
      <c r="B38" s="148">
        <f>'Joel-EX'!B67</f>
        <v>0</v>
      </c>
      <c r="C38" s="149"/>
      <c r="D38" s="149"/>
      <c r="E38" s="111"/>
      <c r="F38" s="148">
        <f>'Joel-EX'!B68</f>
        <v>0</v>
      </c>
      <c r="G38" s="149"/>
      <c r="H38" s="149"/>
      <c r="I38" s="111"/>
      <c r="J38" s="150">
        <f>'Joel-EX'!B69</f>
        <v>0</v>
      </c>
      <c r="K38" s="149"/>
      <c r="L38" s="149"/>
      <c r="M38" s="111"/>
      <c r="N38" s="151">
        <f>'Joel-EX'!B70</f>
        <v>0</v>
      </c>
      <c r="O38" s="149"/>
      <c r="P38" s="111"/>
      <c r="Q38" s="152" t="str">
        <f>'Joel-EX'!F70</f>
        <v>OK</v>
      </c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160" t="s">
        <v>67</v>
      </c>
      <c r="B39" s="148">
        <f>TEAM1!B67</f>
        <v>0</v>
      </c>
      <c r="C39" s="149"/>
      <c r="D39" s="149"/>
      <c r="E39" s="111"/>
      <c r="F39" s="148">
        <f>TEAM1!B68</f>
        <v>0</v>
      </c>
      <c r="G39" s="149"/>
      <c r="H39" s="149"/>
      <c r="I39" s="111"/>
      <c r="J39" s="150">
        <f>TEAM1!B69</f>
        <v>0</v>
      </c>
      <c r="K39" s="149"/>
      <c r="L39" s="149"/>
      <c r="M39" s="111"/>
      <c r="N39" s="151">
        <f>TEAM1!B70</f>
        <v>0</v>
      </c>
      <c r="O39" s="149"/>
      <c r="P39" s="111"/>
      <c r="Q39" s="152" t="str">
        <f>TEAM1!F70</f>
        <v>OK</v>
      </c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160" t="s">
        <v>99</v>
      </c>
      <c r="B40" s="148">
        <f>'TEAM1-EX'!B67</f>
        <v>0</v>
      </c>
      <c r="C40" s="149"/>
      <c r="D40" s="149"/>
      <c r="E40" s="111"/>
      <c r="F40" s="148">
        <f>'TEAM1-EX'!B68</f>
        <v>0</v>
      </c>
      <c r="G40" s="149"/>
      <c r="H40" s="149"/>
      <c r="I40" s="111"/>
      <c r="J40" s="150">
        <f>'TEAM1-EX'!B69</f>
        <v>0</v>
      </c>
      <c r="K40" s="149"/>
      <c r="L40" s="149"/>
      <c r="M40" s="111"/>
      <c r="N40" s="151">
        <f>'TEAM1-EX'!B70</f>
        <v>0</v>
      </c>
      <c r="O40" s="149"/>
      <c r="P40" s="111"/>
      <c r="Q40" s="152" t="str">
        <f>'TEAM1-EX'!F70</f>
        <v>OK</v>
      </c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161" t="s">
        <v>77</v>
      </c>
      <c r="B41" s="148">
        <f>TEAM2!B67</f>
        <v>0</v>
      </c>
      <c r="C41" s="149"/>
      <c r="D41" s="149"/>
      <c r="E41" s="111"/>
      <c r="F41" s="148">
        <f>TEAM2!B68</f>
        <v>0</v>
      </c>
      <c r="G41" s="149"/>
      <c r="H41" s="149"/>
      <c r="I41" s="111"/>
      <c r="J41" s="150">
        <f>TEAM2!B69</f>
        <v>0</v>
      </c>
      <c r="K41" s="149"/>
      <c r="L41" s="149"/>
      <c r="M41" s="111"/>
      <c r="N41" s="151">
        <f>TEAM2!B70</f>
        <v>0</v>
      </c>
      <c r="O41" s="149"/>
      <c r="P41" s="111"/>
      <c r="Q41" s="152" t="str">
        <f>TEAM2!F70</f>
        <v>OK</v>
      </c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161" t="s">
        <v>100</v>
      </c>
      <c r="B42" s="148">
        <f>'TEAM2-EX'!B67</f>
        <v>0</v>
      </c>
      <c r="C42" s="149"/>
      <c r="D42" s="149"/>
      <c r="E42" s="111"/>
      <c r="F42" s="148">
        <f>'TEAM2-EX'!B68</f>
        <v>0</v>
      </c>
      <c r="G42" s="149"/>
      <c r="H42" s="149"/>
      <c r="I42" s="111"/>
      <c r="J42" s="150">
        <f>'TEAM2-EX'!B69</f>
        <v>0</v>
      </c>
      <c r="K42" s="149"/>
      <c r="L42" s="149"/>
      <c r="M42" s="111"/>
      <c r="N42" s="151">
        <f>'TEAM2-EX'!B70</f>
        <v>0</v>
      </c>
      <c r="O42" s="149"/>
      <c r="P42" s="111"/>
      <c r="Q42" s="152" t="str">
        <f>'TEAM2-EX'!F70</f>
        <v>OK</v>
      </c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162"/>
      <c r="B43" s="163"/>
      <c r="C43" s="100"/>
      <c r="D43" s="100"/>
      <c r="E43" s="123"/>
      <c r="F43" s="163"/>
      <c r="G43" s="100"/>
      <c r="H43" s="100"/>
      <c r="I43" s="123"/>
      <c r="J43" s="163"/>
      <c r="K43" s="100"/>
      <c r="L43" s="100"/>
      <c r="M43" s="123"/>
      <c r="N43" s="151"/>
      <c r="O43" s="149"/>
      <c r="P43" s="111"/>
      <c r="Q43" s="152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164" t="s">
        <v>108</v>
      </c>
      <c r="K44" s="165"/>
      <c r="L44" s="165"/>
      <c r="M44" s="166"/>
      <c r="N44" s="167">
        <f>SUM(N27:P43)</f>
        <v>0</v>
      </c>
      <c r="O44" s="165"/>
      <c r="P44" s="168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ht="19.5" customHeight="1">
      <c r="A47" s="169" t="s">
        <v>109</v>
      </c>
      <c r="B47" s="75">
        <f>NOW()</f>
        <v>46071.67575</v>
      </c>
      <c r="C47" s="35"/>
      <c r="D47" s="4"/>
      <c r="E47" s="83" t="s">
        <v>110</v>
      </c>
      <c r="F47" s="4"/>
      <c r="G47" s="170" t="s">
        <v>1</v>
      </c>
      <c r="H47" s="78" t="b">
        <v>0</v>
      </c>
      <c r="I47" s="171" t="s">
        <v>16</v>
      </c>
      <c r="J47" s="78" t="b">
        <v>0</v>
      </c>
      <c r="K47" s="171" t="s">
        <v>26</v>
      </c>
      <c r="L47" s="78" t="b">
        <v>0</v>
      </c>
      <c r="M47" s="170" t="s">
        <v>36</v>
      </c>
      <c r="N47" s="78" t="b">
        <v>0</v>
      </c>
      <c r="O47" s="172" t="s">
        <v>47</v>
      </c>
      <c r="P47" s="78" t="b">
        <v>0</v>
      </c>
      <c r="Q47" s="171" t="s">
        <v>57</v>
      </c>
      <c r="R47" s="78" t="b">
        <v>0</v>
      </c>
      <c r="S47" s="171" t="s">
        <v>67</v>
      </c>
      <c r="T47" s="78" t="b">
        <v>0</v>
      </c>
      <c r="U47" s="171" t="s">
        <v>77</v>
      </c>
      <c r="V47" s="78" t="b">
        <v>0</v>
      </c>
      <c r="AB47" s="33"/>
    </row>
    <row r="48" ht="19.5" customHeight="1">
      <c r="A48" s="33"/>
      <c r="B48" s="33"/>
      <c r="C48" s="33"/>
      <c r="D48" s="33"/>
      <c r="E48" s="33"/>
      <c r="F48" s="33"/>
      <c r="H48" s="33"/>
      <c r="I48" s="33"/>
      <c r="J48" s="33"/>
      <c r="K48" s="33"/>
      <c r="L48" s="33"/>
      <c r="M48" s="33"/>
      <c r="N48" s="33"/>
      <c r="P48" s="33"/>
      <c r="Q48" s="33"/>
      <c r="R48" s="33"/>
      <c r="S48" s="33"/>
      <c r="T48" s="33"/>
      <c r="U48" s="33"/>
      <c r="V48" s="33"/>
      <c r="W48" s="173" t="s">
        <v>7</v>
      </c>
      <c r="X48" s="4"/>
      <c r="Y48" s="80" t="s">
        <v>8</v>
      </c>
      <c r="Z48" s="78" t="b">
        <v>0</v>
      </c>
      <c r="AA48" s="80" t="s">
        <v>9</v>
      </c>
      <c r="AB48" s="78" t="b">
        <v>0</v>
      </c>
    </row>
  </sheetData>
  <mergeCells count="157">
    <mergeCell ref="O1:P1"/>
    <mergeCell ref="Q1:R1"/>
    <mergeCell ref="S1:T1"/>
    <mergeCell ref="U1:V1"/>
    <mergeCell ref="W1:X1"/>
    <mergeCell ref="Y1:Z1"/>
    <mergeCell ref="AA1:AB1"/>
    <mergeCell ref="A1:B2"/>
    <mergeCell ref="C1:D1"/>
    <mergeCell ref="E1:F1"/>
    <mergeCell ref="G1:H1"/>
    <mergeCell ref="I1:J1"/>
    <mergeCell ref="K1:L1"/>
    <mergeCell ref="M1:N1"/>
    <mergeCell ref="AA2:AB2"/>
    <mergeCell ref="AA3:AB3"/>
    <mergeCell ref="AA4:AB4"/>
    <mergeCell ref="AA5:AB5"/>
    <mergeCell ref="AA6:AB6"/>
    <mergeCell ref="AA7:AB7"/>
    <mergeCell ref="AA8:AB8"/>
    <mergeCell ref="A3:B3"/>
    <mergeCell ref="A4:B4"/>
    <mergeCell ref="A5:B5"/>
    <mergeCell ref="A6:B6"/>
    <mergeCell ref="A7:B7"/>
    <mergeCell ref="A8:B8"/>
    <mergeCell ref="A9:B9"/>
    <mergeCell ref="AA16:AB16"/>
    <mergeCell ref="AA17:AB17"/>
    <mergeCell ref="AA18:AB18"/>
    <mergeCell ref="AA19:AB19"/>
    <mergeCell ref="AA20:AB20"/>
    <mergeCell ref="AA9:AB9"/>
    <mergeCell ref="AA10:AB10"/>
    <mergeCell ref="AA11:AB11"/>
    <mergeCell ref="AA12:AB12"/>
    <mergeCell ref="AA13:AB13"/>
    <mergeCell ref="AA14:AB14"/>
    <mergeCell ref="AA15:AB15"/>
    <mergeCell ref="A10:B10"/>
    <mergeCell ref="A11:B11"/>
    <mergeCell ref="A12:B12"/>
    <mergeCell ref="A13:B13"/>
    <mergeCell ref="A14:B14"/>
    <mergeCell ref="A15:B15"/>
    <mergeCell ref="A16:B16"/>
    <mergeCell ref="B26:E26"/>
    <mergeCell ref="F26:I26"/>
    <mergeCell ref="J26:M26"/>
    <mergeCell ref="N26:P26"/>
    <mergeCell ref="F27:I27"/>
    <mergeCell ref="J27:M27"/>
    <mergeCell ref="N27:P27"/>
    <mergeCell ref="B27:E27"/>
    <mergeCell ref="B28:E28"/>
    <mergeCell ref="F28:I28"/>
    <mergeCell ref="J28:M28"/>
    <mergeCell ref="N28:P28"/>
    <mergeCell ref="B29:E29"/>
    <mergeCell ref="F29:I29"/>
    <mergeCell ref="U21:V21"/>
    <mergeCell ref="W21:X21"/>
    <mergeCell ref="Y21:Z21"/>
    <mergeCell ref="AA21:AB21"/>
    <mergeCell ref="G21:H21"/>
    <mergeCell ref="I21:J21"/>
    <mergeCell ref="K21:L21"/>
    <mergeCell ref="M21:N21"/>
    <mergeCell ref="O21:P21"/>
    <mergeCell ref="Q21:R21"/>
    <mergeCell ref="S21:T21"/>
    <mergeCell ref="A22:D22"/>
    <mergeCell ref="E22:F22"/>
    <mergeCell ref="G22:H22"/>
    <mergeCell ref="I22:J22"/>
    <mergeCell ref="K22:L22"/>
    <mergeCell ref="M22:N22"/>
    <mergeCell ref="O22:P22"/>
    <mergeCell ref="Q22:R22"/>
    <mergeCell ref="E23:F23"/>
    <mergeCell ref="G23:H23"/>
    <mergeCell ref="I23:J23"/>
    <mergeCell ref="K23:L23"/>
    <mergeCell ref="M23:N23"/>
    <mergeCell ref="O23:P23"/>
    <mergeCell ref="Q23:R23"/>
    <mergeCell ref="A17:B17"/>
    <mergeCell ref="A18:B18"/>
    <mergeCell ref="A19:B19"/>
    <mergeCell ref="A20:B20"/>
    <mergeCell ref="A21:B21"/>
    <mergeCell ref="C21:D21"/>
    <mergeCell ref="E21:F21"/>
    <mergeCell ref="J29:M29"/>
    <mergeCell ref="N29:P29"/>
    <mergeCell ref="J33:M33"/>
    <mergeCell ref="N33:P33"/>
    <mergeCell ref="B38:E38"/>
    <mergeCell ref="F38:I38"/>
    <mergeCell ref="J38:M38"/>
    <mergeCell ref="N38:P38"/>
    <mergeCell ref="F39:I39"/>
    <mergeCell ref="J39:M39"/>
    <mergeCell ref="N39:P39"/>
    <mergeCell ref="B39:E39"/>
    <mergeCell ref="B40:E40"/>
    <mergeCell ref="F40:I40"/>
    <mergeCell ref="J40:M40"/>
    <mergeCell ref="N40:P40"/>
    <mergeCell ref="B41:E41"/>
    <mergeCell ref="F41:I41"/>
    <mergeCell ref="J43:M43"/>
    <mergeCell ref="J44:M44"/>
    <mergeCell ref="N44:P44"/>
    <mergeCell ref="W48:X48"/>
    <mergeCell ref="B42:E42"/>
    <mergeCell ref="F42:I42"/>
    <mergeCell ref="J42:M42"/>
    <mergeCell ref="N42:P42"/>
    <mergeCell ref="B43:E43"/>
    <mergeCell ref="F43:I43"/>
    <mergeCell ref="N43:P43"/>
    <mergeCell ref="B30:E30"/>
    <mergeCell ref="F30:I30"/>
    <mergeCell ref="J30:M30"/>
    <mergeCell ref="N30:P30"/>
    <mergeCell ref="F31:I31"/>
    <mergeCell ref="J31:M31"/>
    <mergeCell ref="N31:P31"/>
    <mergeCell ref="B31:E31"/>
    <mergeCell ref="B32:E32"/>
    <mergeCell ref="F32:I32"/>
    <mergeCell ref="J32:M32"/>
    <mergeCell ref="N32:P32"/>
    <mergeCell ref="B33:E33"/>
    <mergeCell ref="F33:I33"/>
    <mergeCell ref="B34:E34"/>
    <mergeCell ref="F34:I34"/>
    <mergeCell ref="J34:M34"/>
    <mergeCell ref="N34:P34"/>
    <mergeCell ref="F35:I35"/>
    <mergeCell ref="J35:M35"/>
    <mergeCell ref="N35:P35"/>
    <mergeCell ref="J37:M37"/>
    <mergeCell ref="N37:P37"/>
    <mergeCell ref="B35:E35"/>
    <mergeCell ref="B36:E36"/>
    <mergeCell ref="F36:I36"/>
    <mergeCell ref="J36:M36"/>
    <mergeCell ref="N36:P36"/>
    <mergeCell ref="B37:E37"/>
    <mergeCell ref="F37:I37"/>
    <mergeCell ref="J41:M41"/>
    <mergeCell ref="N41:P41"/>
    <mergeCell ref="B47:D47"/>
    <mergeCell ref="E47:F47"/>
  </mergeCells>
  <conditionalFormatting sqref="Y48 Z48">
    <cfRule type="expression" dxfId="0" priority="1">
      <formula>$Z48=TRUE</formula>
    </cfRule>
  </conditionalFormatting>
  <conditionalFormatting sqref="AA48 AB48">
    <cfRule type="expression" dxfId="0" priority="2">
      <formula>$AB48=TRUE</formula>
    </cfRule>
  </conditionalFormatting>
  <conditionalFormatting sqref="S47 T47">
    <cfRule type="expression" dxfId="0" priority="3">
      <formula>$T47=TRUE</formula>
    </cfRule>
  </conditionalFormatting>
  <conditionalFormatting sqref="U47 V47">
    <cfRule type="expression" dxfId="0" priority="4">
      <formula>$V47=TRUE</formula>
    </cfRule>
  </conditionalFormatting>
  <conditionalFormatting sqref="G47 H47">
    <cfRule type="expression" dxfId="0" priority="5">
      <formula>$H47=TRUE</formula>
    </cfRule>
  </conditionalFormatting>
  <conditionalFormatting sqref="E23 G23 I23 K23 M23 O23 Q23 Q27:Q43">
    <cfRule type="containsText" dxfId="1" priority="6" operator="containsText" text="ERRORE">
      <formula>NOT(ISERROR(SEARCH(("ERRORE"),(E23))))</formula>
    </cfRule>
  </conditionalFormatting>
  <conditionalFormatting sqref="E23 G23 I23 K23 M23 O23 Q23 Q27:Q43">
    <cfRule type="containsText" dxfId="2" priority="7" operator="containsText" text="OK">
      <formula>NOT(ISERROR(SEARCH(("OK"),(E23))))</formula>
    </cfRule>
  </conditionalFormatting>
  <conditionalFormatting sqref="M47 N47">
    <cfRule type="expression" dxfId="0" priority="8">
      <formula>$N47=TRUE</formula>
    </cfRule>
  </conditionalFormatting>
  <conditionalFormatting sqref="O47 P47">
    <cfRule type="expression" dxfId="0" priority="9">
      <formula>$P47=TRUE</formula>
    </cfRule>
  </conditionalFormatting>
  <conditionalFormatting sqref="K47 L47">
    <cfRule type="expression" dxfId="0" priority="10">
      <formula>$L47=TRUE</formula>
    </cfRule>
  </conditionalFormatting>
  <conditionalFormatting sqref="I47 J47">
    <cfRule type="expression" dxfId="0" priority="11">
      <formula>$J47=TRUE</formula>
    </cfRule>
  </conditionalFormatting>
  <conditionalFormatting sqref="E22:R22">
    <cfRule type="notContainsBlanks" dxfId="2" priority="12">
      <formula>LEN(TRIM(E22))&gt;0</formula>
    </cfRule>
  </conditionalFormatting>
  <conditionalFormatting sqref="Q47 R47">
    <cfRule type="expression" dxfId="0" priority="13">
      <formula>$R47=TRUE</formula>
    </cfRule>
  </conditionalFormatting>
  <hyperlinks>
    <hyperlink display="Alexanndra" location="Alexandra!A1" ref="A3"/>
    <hyperlink display="Alexandra-EXTRA" location="'Alexandra-EX'!A1" ref="A4"/>
    <hyperlink display="Nura" location="Nura!A1" ref="A5"/>
    <hyperlink display="Nura-EXTRA" location="'Nura-EX'!A1" ref="A6"/>
    <hyperlink display="Giuditta" location="Giuditta!A1" ref="A7"/>
    <hyperlink display="Giuditta-EXTRA" location="'Giuditta-EX'!A1" ref="A8"/>
    <hyperlink display="Estefany" location="Estefany!A1" ref="A9"/>
    <hyperlink display="Estefany-EXTRA" location="'Estefany-EX'!A1" ref="A10"/>
    <hyperlink display="TEAM" location="TEAM!A1" ref="A11"/>
    <hyperlink display="TEAM-EXTRA" location="'TEAM-EX'!A1" ref="A12"/>
    <hyperlink display="Joel" location="Joel!A1" ref="A13"/>
    <hyperlink display="Joel-EXTRA" location="'Joel-EX'!A1" ref="A14"/>
    <hyperlink display="TEAM1" location="TEAM1!A1" ref="A15"/>
    <hyperlink display="TEAM1-EX" location="'TEAM1-EX'!A1" ref="A16"/>
    <hyperlink display="TEAM2" location="TEAM2!A1" ref="A17"/>
    <hyperlink display="TEAM2-EX" location="'TEAM2-EX'!A1" ref="A18"/>
    <hyperlink display="Alexandra" location="Alexandra!A1" ref="A27"/>
    <hyperlink display="Alexandra-EXTRA" location="'Alexandra-EX'!A1" ref="A28"/>
    <hyperlink display="Nura" location="Nura!A1" ref="A29"/>
    <hyperlink display="Giuditta" location="Giuditta!A1" ref="A31"/>
    <hyperlink display="Giuditta-EXTRA" location="'Giuditta-EX'!A1" ref="A32"/>
    <hyperlink display="Estefany" location="Estefany!A1" ref="A33"/>
    <hyperlink display="Estefany-EXTRA" location="'Estefany-EX'!A1" ref="A34"/>
    <hyperlink display="TEAM" location="TEAM!A1" ref="A35"/>
    <hyperlink display="TEAM-EXTRA" location="'TEAM-EX'!A1" ref="A36"/>
    <hyperlink display="Joel" location="Joel!A1" ref="A37"/>
    <hyperlink display="Joel-EXTRA" location="'Joel-EX'!A1" ref="A38"/>
    <hyperlink display="TEAM1" location="TEAM1!A1" ref="A39"/>
    <hyperlink display="TEAM1-EX" location="'TEAM1-EX'!A1" ref="A40"/>
    <hyperlink display="TEAM2" location="TEAM2!A1" ref="A41"/>
    <hyperlink display="TEAM2-EX" location="'TEAM2-EX'!A1" ref="A42"/>
    <hyperlink display="ALEXANDRA" location="Alexandra!A1" ref="G47"/>
    <hyperlink display="NURA" location="Nura!A1" ref="I47"/>
    <hyperlink display="GIUDITTA" location="Giuditta!A1" ref="K47"/>
    <hyperlink display="ESTEFANY" location="Estefany!A1" ref="M47"/>
    <hyperlink display="TEAM" location="TEAM!A1" ref="O47"/>
    <hyperlink display="JOEL" location="Joel!A1" ref="Q47"/>
    <hyperlink display="TEAM1" location="TEAM1!A1" ref="S47"/>
    <hyperlink display="TEAM2" location="TEAM2!A1" ref="U47"/>
    <hyperlink display="ELISA Controllo" location="GENERALE!A1" ref="W48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15.57"/>
    <col customWidth="1" min="2" max="25" width="10.14"/>
  </cols>
  <sheetData>
    <row r="1">
      <c r="A1" s="174" t="s">
        <v>111</v>
      </c>
    </row>
    <row r="2">
      <c r="A2" s="175" t="s">
        <v>112</v>
      </c>
      <c r="B2" s="3" t="s">
        <v>113</v>
      </c>
      <c r="C2" s="4"/>
      <c r="D2" s="34" t="s">
        <v>114</v>
      </c>
      <c r="E2" s="4"/>
      <c r="F2" s="34" t="s">
        <v>115</v>
      </c>
      <c r="G2" s="4"/>
      <c r="H2" s="34" t="s">
        <v>116</v>
      </c>
      <c r="I2" s="4"/>
      <c r="J2" s="34" t="s">
        <v>117</v>
      </c>
      <c r="K2" s="4"/>
      <c r="L2" s="34" t="s">
        <v>118</v>
      </c>
      <c r="M2" s="4"/>
      <c r="N2" s="34" t="s">
        <v>119</v>
      </c>
      <c r="O2" s="4"/>
      <c r="P2" s="3" t="s">
        <v>120</v>
      </c>
      <c r="Q2" s="4"/>
      <c r="R2" s="34" t="s">
        <v>121</v>
      </c>
      <c r="S2" s="4"/>
      <c r="T2" s="34" t="s">
        <v>122</v>
      </c>
      <c r="U2" s="4"/>
      <c r="V2" s="34" t="s">
        <v>123</v>
      </c>
      <c r="W2" s="4"/>
      <c r="X2" s="34" t="s">
        <v>124</v>
      </c>
      <c r="Y2" s="4"/>
    </row>
    <row r="3">
      <c r="A3" s="176" t="s">
        <v>125</v>
      </c>
      <c r="B3" s="5" t="s">
        <v>126</v>
      </c>
      <c r="C3" s="5" t="s">
        <v>127</v>
      </c>
      <c r="D3" s="5" t="s">
        <v>126</v>
      </c>
      <c r="E3" s="5" t="s">
        <v>127</v>
      </c>
      <c r="F3" s="5" t="s">
        <v>126</v>
      </c>
      <c r="G3" s="5" t="s">
        <v>127</v>
      </c>
      <c r="H3" s="5" t="s">
        <v>126</v>
      </c>
      <c r="I3" s="5" t="s">
        <v>127</v>
      </c>
      <c r="J3" s="5" t="s">
        <v>126</v>
      </c>
      <c r="K3" s="5" t="s">
        <v>127</v>
      </c>
      <c r="L3" s="5" t="s">
        <v>126</v>
      </c>
      <c r="M3" s="5" t="s">
        <v>127</v>
      </c>
      <c r="N3" s="5" t="s">
        <v>126</v>
      </c>
      <c r="O3" s="5" t="s">
        <v>127</v>
      </c>
      <c r="P3" s="5" t="s">
        <v>126</v>
      </c>
      <c r="Q3" s="5" t="s">
        <v>127</v>
      </c>
      <c r="R3" s="5" t="s">
        <v>126</v>
      </c>
      <c r="S3" s="5" t="s">
        <v>127</v>
      </c>
      <c r="T3" s="5" t="s">
        <v>126</v>
      </c>
      <c r="U3" s="5" t="s">
        <v>127</v>
      </c>
      <c r="V3" s="5" t="s">
        <v>126</v>
      </c>
      <c r="W3" s="5" t="s">
        <v>127</v>
      </c>
      <c r="X3" s="5" t="s">
        <v>126</v>
      </c>
      <c r="Y3" s="5" t="s">
        <v>127</v>
      </c>
    </row>
    <row r="4">
      <c r="A4" s="6"/>
      <c r="B4" s="7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0"/>
      <c r="C5" s="10"/>
      <c r="D5" s="11"/>
      <c r="E5" s="11"/>
      <c r="F5" s="11"/>
      <c r="G5" s="11"/>
      <c r="H5" s="11"/>
      <c r="I5" s="10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/>
      <c r="B6" s="10"/>
      <c r="C6" s="10"/>
      <c r="D6" s="11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/>
      <c r="B7" s="10"/>
      <c r="C7" s="10"/>
      <c r="D7" s="11"/>
      <c r="E7" s="11"/>
      <c r="F7" s="11"/>
      <c r="G7" s="11"/>
      <c r="H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/>
      <c r="B8" s="10"/>
      <c r="C8" s="11"/>
      <c r="D8" s="11"/>
      <c r="E8" s="11"/>
      <c r="F8" s="11"/>
      <c r="G8" s="11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/>
      <c r="B9" s="10"/>
      <c r="C9" s="11"/>
      <c r="D9" s="11"/>
      <c r="E9" s="11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/>
      <c r="B10" s="10"/>
      <c r="C10" s="11"/>
      <c r="D10" s="11"/>
      <c r="E10" s="11"/>
      <c r="F10" s="10"/>
      <c r="G10" s="10"/>
      <c r="H10" s="11"/>
      <c r="I10" s="11"/>
      <c r="J10" s="11"/>
      <c r="K10" s="11"/>
      <c r="L10" s="11"/>
      <c r="M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/>
      <c r="B11" s="10"/>
      <c r="C11" s="11"/>
      <c r="D11" s="11"/>
      <c r="E11" s="11"/>
      <c r="F11" s="11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S11" s="10"/>
      <c r="T11" s="11"/>
      <c r="U11" s="11"/>
      <c r="V11" s="11"/>
      <c r="W11" s="11"/>
      <c r="X11" s="11"/>
      <c r="Y11" s="11"/>
    </row>
    <row r="1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/>
      <c r="B13" s="10"/>
      <c r="C13" s="11"/>
      <c r="D13" s="11"/>
      <c r="E13" s="11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1"/>
      <c r="E33" s="11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5" t="s">
        <v>128</v>
      </c>
      <c r="B35" s="16">
        <f t="shared" ref="B35:Y35" si="1">SUM(B4:B34)</f>
        <v>0</v>
      </c>
      <c r="C35" s="16">
        <f t="shared" si="1"/>
        <v>0</v>
      </c>
      <c r="D35" s="16">
        <f t="shared" si="1"/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 t="shared" si="1"/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  <c r="Y35" s="16">
        <f t="shared" si="1"/>
        <v>0</v>
      </c>
    </row>
    <row r="36">
      <c r="A36" s="67" t="s">
        <v>129</v>
      </c>
      <c r="B36" s="17">
        <f>SUM(B35:C35)</f>
        <v>0</v>
      </c>
      <c r="C36" s="4"/>
      <c r="D36" s="17">
        <f>SUM(D35:E35)</f>
        <v>0</v>
      </c>
      <c r="E36" s="4"/>
      <c r="F36" s="17">
        <f>SUM(F35:G35)</f>
        <v>0</v>
      </c>
      <c r="G36" s="4"/>
      <c r="H36" s="17">
        <f>SUM(H35:I35)</f>
        <v>0</v>
      </c>
      <c r="I36" s="4"/>
      <c r="J36" s="17">
        <f>SUM(J35:K35)</f>
        <v>0</v>
      </c>
      <c r="K36" s="4"/>
      <c r="L36" s="17">
        <f>SUM(L35:M35)</f>
        <v>0</v>
      </c>
      <c r="M36" s="4"/>
      <c r="N36" s="17">
        <f>SUM(N35:O35)</f>
        <v>0</v>
      </c>
      <c r="O36" s="4"/>
      <c r="P36" s="17">
        <f>SUM(P35:Q35)</f>
        <v>0</v>
      </c>
      <c r="Q36" s="4"/>
      <c r="R36" s="17">
        <f>SUM(R35:S35)</f>
        <v>0</v>
      </c>
      <c r="S36" s="4"/>
      <c r="T36" s="17">
        <f>SUM(T35:U35)</f>
        <v>0</v>
      </c>
      <c r="U36" s="4"/>
      <c r="V36" s="17">
        <f>SUM(V35:W35)</f>
        <v>0</v>
      </c>
      <c r="W36" s="4"/>
      <c r="X36" s="17">
        <f>SUM(X35:Y35)</f>
        <v>0</v>
      </c>
      <c r="Y36" s="4"/>
    </row>
    <row r="37">
      <c r="A37" s="67" t="s">
        <v>130</v>
      </c>
      <c r="B37" s="18"/>
      <c r="C37" s="4"/>
      <c r="D37" s="19"/>
      <c r="E37" s="4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</row>
    <row r="38">
      <c r="A38" s="177" t="s">
        <v>131</v>
      </c>
      <c r="B38" s="23"/>
      <c r="C38" s="4"/>
      <c r="D38" s="24" t="s">
        <v>132</v>
      </c>
      <c r="E38" s="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</row>
    <row r="39">
      <c r="A39" s="15" t="s">
        <v>133</v>
      </c>
      <c r="B39" s="17">
        <f>SUM(B36:Y36-B38)</f>
        <v>0</v>
      </c>
      <c r="C39" s="4"/>
      <c r="D39" s="28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174" t="s">
        <v>134</v>
      </c>
    </row>
    <row r="42">
      <c r="A42" s="31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">
        <v>135</v>
      </c>
      <c r="B43" s="4"/>
      <c r="C43" s="5" t="s">
        <v>136</v>
      </c>
      <c r="D43" s="34" t="s">
        <v>137</v>
      </c>
      <c r="E43" s="35"/>
      <c r="F43" s="4"/>
      <c r="G43" s="5" t="s">
        <v>136</v>
      </c>
      <c r="H43" s="34" t="s">
        <v>137</v>
      </c>
      <c r="I43" s="35"/>
      <c r="J43" s="4"/>
      <c r="K43" s="5" t="s">
        <v>136</v>
      </c>
      <c r="L43" s="36"/>
      <c r="M43" s="36"/>
      <c r="N43" s="36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</row>
    <row r="44">
      <c r="A44" s="42"/>
      <c r="B44" s="38"/>
      <c r="C44" s="39"/>
      <c r="D44" s="46"/>
      <c r="E44" s="35"/>
      <c r="F44" s="4"/>
      <c r="G44" s="41"/>
      <c r="H44" s="42"/>
      <c r="I44" s="43"/>
      <c r="J44" s="38"/>
      <c r="K44" s="41"/>
      <c r="L44" s="36"/>
      <c r="M44" s="36"/>
      <c r="N44" s="36"/>
      <c r="O44" s="178"/>
      <c r="P44" s="178"/>
      <c r="Q44" s="178"/>
      <c r="R44" s="178"/>
      <c r="S44" s="33"/>
      <c r="T44" s="33"/>
      <c r="U44" s="33"/>
      <c r="V44" s="33"/>
      <c r="W44" s="33"/>
      <c r="X44" s="33"/>
      <c r="Y44" s="33"/>
    </row>
    <row r="45">
      <c r="A45" s="42"/>
      <c r="B45" s="38"/>
      <c r="C45" s="44"/>
      <c r="D45" s="46"/>
      <c r="E45" s="35"/>
      <c r="F45" s="4"/>
      <c r="G45" s="45"/>
      <c r="H45" s="46"/>
      <c r="I45" s="35"/>
      <c r="J45" s="4"/>
      <c r="K45" s="45"/>
      <c r="L45" s="36"/>
      <c r="M45" s="36"/>
      <c r="N45" s="36"/>
      <c r="O45" s="178"/>
      <c r="P45" s="178"/>
      <c r="Q45" s="178"/>
      <c r="R45" s="178"/>
      <c r="S45" s="33"/>
      <c r="T45" s="33"/>
      <c r="U45" s="33"/>
      <c r="V45" s="33"/>
      <c r="W45" s="33"/>
      <c r="X45" s="33"/>
      <c r="Y45" s="33"/>
    </row>
    <row r="46">
      <c r="A46" s="42"/>
      <c r="B46" s="38"/>
      <c r="C46" s="44"/>
      <c r="D46" s="46"/>
      <c r="E46" s="35"/>
      <c r="F46" s="4"/>
      <c r="G46" s="45"/>
      <c r="H46" s="46"/>
      <c r="I46" s="35"/>
      <c r="J46" s="4"/>
      <c r="K46" s="45"/>
      <c r="L46" s="36"/>
      <c r="M46" s="36"/>
      <c r="N46" s="36"/>
      <c r="O46" s="178"/>
      <c r="P46" s="178"/>
      <c r="Q46" s="178"/>
      <c r="R46" s="178"/>
      <c r="S46" s="33"/>
      <c r="T46" s="33"/>
      <c r="U46" s="33"/>
      <c r="V46" s="33"/>
      <c r="W46" s="33"/>
      <c r="X46" s="33"/>
      <c r="Y46" s="33"/>
    </row>
    <row r="47">
      <c r="A47" s="42"/>
      <c r="B47" s="38"/>
      <c r="C47" s="44"/>
      <c r="D47" s="46"/>
      <c r="E47" s="35"/>
      <c r="F47" s="4"/>
      <c r="G47" s="45"/>
      <c r="H47" s="46"/>
      <c r="I47" s="35"/>
      <c r="J47" s="4"/>
      <c r="K47" s="45"/>
      <c r="L47" s="36"/>
      <c r="M47" s="36"/>
      <c r="N47" s="36"/>
      <c r="O47" s="178"/>
      <c r="P47" s="178"/>
      <c r="Q47" s="178"/>
      <c r="R47" s="178"/>
      <c r="S47" s="33"/>
      <c r="T47" s="33"/>
      <c r="U47" s="33"/>
      <c r="V47" s="33"/>
      <c r="W47" s="33"/>
      <c r="X47" s="33"/>
      <c r="Y47" s="33"/>
    </row>
    <row r="48">
      <c r="A48" s="42"/>
      <c r="B48" s="38"/>
      <c r="C48" s="44"/>
      <c r="D48" s="46"/>
      <c r="E48" s="35"/>
      <c r="F48" s="4"/>
      <c r="G48" s="45"/>
      <c r="H48" s="46"/>
      <c r="I48" s="35"/>
      <c r="J48" s="4"/>
      <c r="K48" s="45"/>
      <c r="L48" s="36"/>
      <c r="M48" s="36"/>
      <c r="N48" s="36"/>
      <c r="O48" s="178"/>
      <c r="P48" s="178"/>
      <c r="Q48" s="178"/>
      <c r="R48" s="178"/>
      <c r="S48" s="33"/>
      <c r="T48" s="33"/>
      <c r="U48" s="33"/>
      <c r="V48" s="33"/>
      <c r="W48" s="33"/>
      <c r="X48" s="33"/>
      <c r="Y48" s="33"/>
    </row>
    <row r="49">
      <c r="A49" s="42"/>
      <c r="B49" s="38"/>
      <c r="C49" s="44"/>
      <c r="D49" s="46"/>
      <c r="E49" s="35"/>
      <c r="F49" s="4"/>
      <c r="G49" s="45"/>
      <c r="H49" s="46"/>
      <c r="I49" s="35"/>
      <c r="J49" s="4"/>
      <c r="K49" s="45"/>
      <c r="L49" s="36"/>
      <c r="M49" s="36"/>
      <c r="N49" s="36"/>
      <c r="O49" s="178"/>
      <c r="P49" s="178"/>
      <c r="Q49" s="178"/>
      <c r="R49" s="178"/>
      <c r="S49" s="33"/>
      <c r="T49" s="33"/>
      <c r="U49" s="33"/>
      <c r="V49" s="33"/>
      <c r="W49" s="33"/>
      <c r="X49" s="33"/>
      <c r="Y49" s="33"/>
    </row>
    <row r="50">
      <c r="A50" s="42"/>
      <c r="B50" s="38"/>
      <c r="C50" s="44"/>
      <c r="D50" s="46"/>
      <c r="E50" s="35"/>
      <c r="F50" s="4"/>
      <c r="G50" s="45"/>
      <c r="H50" s="46"/>
      <c r="I50" s="35"/>
      <c r="J50" s="4"/>
      <c r="K50" s="45"/>
      <c r="L50" s="36"/>
      <c r="M50" s="36"/>
      <c r="N50" s="36"/>
      <c r="O50" s="178"/>
      <c r="P50" s="178"/>
      <c r="Q50" s="178"/>
      <c r="R50" s="178"/>
      <c r="S50" s="33"/>
      <c r="T50" s="33"/>
      <c r="U50" s="33"/>
      <c r="V50" s="33"/>
      <c r="W50" s="33"/>
      <c r="X50" s="33"/>
      <c r="Y50" s="33"/>
    </row>
    <row r="51">
      <c r="A51" s="42"/>
      <c r="B51" s="38"/>
      <c r="C51" s="44"/>
      <c r="D51" s="46"/>
      <c r="E51" s="35"/>
      <c r="F51" s="4"/>
      <c r="G51" s="45"/>
      <c r="H51" s="46"/>
      <c r="I51" s="35"/>
      <c r="J51" s="4"/>
      <c r="K51" s="45"/>
      <c r="L51" s="36"/>
      <c r="M51" s="36"/>
      <c r="N51" s="36"/>
      <c r="O51" s="178"/>
      <c r="P51" s="178"/>
      <c r="Q51" s="178"/>
      <c r="R51" s="178"/>
      <c r="S51" s="33"/>
      <c r="T51" s="33"/>
      <c r="U51" s="33"/>
      <c r="V51" s="33"/>
      <c r="W51" s="33"/>
      <c r="X51" s="33"/>
      <c r="Y51" s="33"/>
    </row>
    <row r="52">
      <c r="A52" s="42"/>
      <c r="B52" s="38"/>
      <c r="C52" s="44"/>
      <c r="D52" s="46"/>
      <c r="E52" s="35"/>
      <c r="F52" s="4"/>
      <c r="G52" s="45"/>
      <c r="H52" s="46"/>
      <c r="I52" s="35"/>
      <c r="J52" s="4"/>
      <c r="K52" s="45"/>
      <c r="L52" s="36"/>
      <c r="M52" s="36"/>
      <c r="N52" s="36"/>
      <c r="O52" s="178"/>
      <c r="P52" s="178"/>
      <c r="Q52" s="178"/>
      <c r="R52" s="178"/>
      <c r="S52" s="33"/>
      <c r="T52" s="33"/>
      <c r="U52" s="33"/>
      <c r="V52" s="33"/>
      <c r="W52" s="33"/>
      <c r="X52" s="33"/>
      <c r="Y52" s="33"/>
    </row>
    <row r="53">
      <c r="A53" s="42"/>
      <c r="B53" s="38"/>
      <c r="C53" s="44"/>
      <c r="D53" s="46"/>
      <c r="E53" s="35"/>
      <c r="F53" s="4"/>
      <c r="G53" s="45"/>
      <c r="H53" s="46"/>
      <c r="I53" s="35"/>
      <c r="J53" s="4"/>
      <c r="K53" s="45"/>
      <c r="L53" s="36"/>
      <c r="M53" s="36"/>
      <c r="N53" s="36"/>
      <c r="O53" s="178"/>
      <c r="P53" s="178"/>
      <c r="Q53" s="178"/>
      <c r="R53" s="178"/>
      <c r="S53" s="33"/>
      <c r="T53" s="33"/>
      <c r="U53" s="33"/>
      <c r="V53" s="33"/>
      <c r="W53" s="33"/>
      <c r="X53" s="33"/>
      <c r="Y53" s="33"/>
    </row>
    <row r="54">
      <c r="A54" s="42"/>
      <c r="B54" s="38"/>
      <c r="C54" s="44"/>
      <c r="D54" s="46"/>
      <c r="E54" s="35"/>
      <c r="F54" s="4"/>
      <c r="G54" s="45"/>
      <c r="H54" s="46"/>
      <c r="I54" s="35"/>
      <c r="J54" s="4"/>
      <c r="K54" s="45"/>
      <c r="L54" s="36"/>
      <c r="M54" s="36"/>
      <c r="N54" s="36"/>
      <c r="O54" s="178"/>
      <c r="P54" s="178"/>
      <c r="Q54" s="178"/>
      <c r="R54" s="178"/>
      <c r="S54" s="33"/>
      <c r="T54" s="33"/>
      <c r="U54" s="33"/>
      <c r="V54" s="33"/>
      <c r="W54" s="33"/>
      <c r="X54" s="33"/>
      <c r="Y54" s="33"/>
    </row>
    <row r="55">
      <c r="A55" s="42"/>
      <c r="B55" s="38"/>
      <c r="C55" s="44"/>
      <c r="D55" s="46"/>
      <c r="E55" s="35"/>
      <c r="F55" s="4"/>
      <c r="G55" s="45"/>
      <c r="H55" s="46"/>
      <c r="I55" s="35"/>
      <c r="J55" s="4"/>
      <c r="K55" s="45"/>
      <c r="L55" s="36"/>
      <c r="M55" s="36"/>
      <c r="N55" s="36"/>
      <c r="O55" s="178"/>
      <c r="P55" s="178"/>
      <c r="Q55" s="178"/>
      <c r="R55" s="178"/>
      <c r="S55" s="33"/>
      <c r="T55" s="33"/>
      <c r="U55" s="33"/>
      <c r="V55" s="33"/>
      <c r="W55" s="33"/>
      <c r="X55" s="33"/>
      <c r="Y55" s="33"/>
    </row>
    <row r="56">
      <c r="A56" s="42"/>
      <c r="B56" s="38"/>
      <c r="C56" s="44"/>
      <c r="D56" s="46"/>
      <c r="E56" s="35"/>
      <c r="F56" s="4"/>
      <c r="G56" s="45"/>
      <c r="H56" s="46"/>
      <c r="I56" s="35"/>
      <c r="J56" s="4"/>
      <c r="K56" s="45"/>
      <c r="L56" s="36"/>
      <c r="M56" s="36"/>
      <c r="N56" s="36"/>
      <c r="O56" s="178"/>
      <c r="P56" s="178"/>
      <c r="Q56" s="178"/>
      <c r="R56" s="178"/>
      <c r="S56" s="33"/>
      <c r="T56" s="33"/>
      <c r="U56" s="33"/>
      <c r="V56" s="33"/>
      <c r="W56" s="33"/>
      <c r="X56" s="33"/>
      <c r="Y56" s="33"/>
    </row>
    <row r="57">
      <c r="A57" s="42"/>
      <c r="B57" s="38"/>
      <c r="C57" s="44"/>
      <c r="D57" s="46"/>
      <c r="E57" s="35"/>
      <c r="F57" s="4"/>
      <c r="G57" s="45"/>
      <c r="H57" s="46"/>
      <c r="I57" s="35"/>
      <c r="J57" s="4"/>
      <c r="K57" s="45"/>
      <c r="L57" s="36"/>
      <c r="M57" s="36"/>
      <c r="N57" s="36"/>
      <c r="O57" s="178"/>
      <c r="P57" s="178"/>
      <c r="Q57" s="178"/>
      <c r="R57" s="178"/>
      <c r="S57" s="33"/>
      <c r="T57" s="33"/>
      <c r="U57" s="33"/>
      <c r="V57" s="33"/>
      <c r="W57" s="33"/>
      <c r="X57" s="33"/>
      <c r="Y57" s="33"/>
    </row>
    <row r="58">
      <c r="A58" s="42"/>
      <c r="B58" s="38"/>
      <c r="C58" s="44"/>
      <c r="D58" s="46"/>
      <c r="E58" s="35"/>
      <c r="F58" s="4"/>
      <c r="G58" s="45"/>
      <c r="H58" s="46"/>
      <c r="I58" s="35"/>
      <c r="J58" s="4"/>
      <c r="K58" s="45"/>
      <c r="L58" s="36"/>
      <c r="M58" s="36"/>
      <c r="N58" s="36"/>
      <c r="O58" s="178"/>
      <c r="P58" s="178"/>
      <c r="Q58" s="178"/>
      <c r="R58" s="178"/>
      <c r="S58" s="33"/>
      <c r="T58" s="33"/>
      <c r="U58" s="33"/>
      <c r="V58" s="33"/>
      <c r="W58" s="33"/>
      <c r="X58" s="33"/>
      <c r="Y58" s="33"/>
    </row>
    <row r="59">
      <c r="A59" s="42"/>
      <c r="B59" s="38"/>
      <c r="C59" s="44"/>
      <c r="D59" s="46"/>
      <c r="E59" s="35"/>
      <c r="F59" s="4"/>
      <c r="G59" s="45"/>
      <c r="H59" s="46"/>
      <c r="I59" s="35"/>
      <c r="J59" s="4"/>
      <c r="K59" s="45"/>
      <c r="L59" s="36"/>
      <c r="M59" s="36"/>
      <c r="N59" s="36"/>
      <c r="O59" s="178"/>
      <c r="P59" s="178"/>
      <c r="Q59" s="178"/>
      <c r="R59" s="178"/>
      <c r="S59" s="33"/>
      <c r="T59" s="33"/>
      <c r="U59" s="33"/>
      <c r="V59" s="33"/>
      <c r="W59" s="33"/>
      <c r="X59" s="33"/>
      <c r="Y59" s="33"/>
    </row>
    <row r="60">
      <c r="A60" s="42"/>
      <c r="B60" s="38"/>
      <c r="C60" s="44"/>
      <c r="D60" s="46"/>
      <c r="E60" s="35"/>
      <c r="F60" s="4"/>
      <c r="G60" s="45"/>
      <c r="H60" s="46"/>
      <c r="I60" s="35"/>
      <c r="J60" s="4"/>
      <c r="K60" s="45"/>
      <c r="L60" s="36"/>
      <c r="M60" s="36"/>
      <c r="N60" s="36"/>
      <c r="O60" s="178"/>
      <c r="P60" s="178"/>
      <c r="Q60" s="178"/>
      <c r="R60" s="178"/>
      <c r="S60" s="33"/>
      <c r="T60" s="33"/>
      <c r="U60" s="33"/>
      <c r="V60" s="33"/>
      <c r="W60" s="33"/>
      <c r="X60" s="33"/>
      <c r="Y60" s="33"/>
    </row>
    <row r="61">
      <c r="A61" s="42"/>
      <c r="B61" s="38"/>
      <c r="C61" s="44"/>
      <c r="D61" s="46"/>
      <c r="E61" s="35"/>
      <c r="F61" s="4"/>
      <c r="G61" s="45"/>
      <c r="H61" s="46"/>
      <c r="I61" s="35"/>
      <c r="J61" s="4"/>
      <c r="K61" s="45"/>
      <c r="L61" s="36"/>
      <c r="M61" s="36"/>
      <c r="N61" s="36"/>
      <c r="O61" s="178"/>
      <c r="P61" s="178"/>
      <c r="Q61" s="178"/>
      <c r="R61" s="178"/>
      <c r="S61" s="33"/>
      <c r="T61" s="33"/>
      <c r="U61" s="33"/>
      <c r="V61" s="33"/>
      <c r="W61" s="33"/>
      <c r="X61" s="33"/>
      <c r="Y61" s="33"/>
    </row>
    <row r="62">
      <c r="A62" s="24" t="s">
        <v>138</v>
      </c>
      <c r="B62" s="4"/>
      <c r="C62" s="48">
        <f>SUM(C44:C61)</f>
        <v>0</v>
      </c>
      <c r="D62" s="24" t="s">
        <v>138</v>
      </c>
      <c r="E62" s="35"/>
      <c r="F62" s="4"/>
      <c r="G62" s="48">
        <f>SUM(G44:G61)</f>
        <v>0</v>
      </c>
      <c r="H62" s="24" t="s">
        <v>138</v>
      </c>
      <c r="I62" s="35"/>
      <c r="J62" s="4"/>
      <c r="K62" s="179">
        <f>SUM(K44:K61)</f>
        <v>0</v>
      </c>
      <c r="L62" s="49" t="s">
        <v>3</v>
      </c>
      <c r="M62" s="50"/>
      <c r="N62" s="51" t="s">
        <v>4</v>
      </c>
      <c r="O62" s="52">
        <f>SUM(C62,G62,K62-M62)</f>
        <v>0</v>
      </c>
      <c r="P62" s="178"/>
      <c r="Q62" s="178"/>
      <c r="R62" s="178"/>
      <c r="S62" s="33"/>
      <c r="T62" s="33"/>
      <c r="U62" s="33"/>
      <c r="V62" s="33"/>
      <c r="W62" s="33"/>
      <c r="X62" s="33"/>
      <c r="Y62" s="33"/>
    </row>
    <row r="63">
      <c r="A63" s="31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33"/>
      <c r="S63" s="33"/>
      <c r="T63" s="33"/>
      <c r="U63" s="33"/>
      <c r="V63" s="33"/>
      <c r="W63" s="33"/>
      <c r="X63" s="33"/>
      <c r="Y63" s="33"/>
    </row>
    <row r="64">
      <c r="A64" s="174" t="s">
        <v>139</v>
      </c>
    </row>
    <row r="65">
      <c r="A65" s="31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33"/>
      <c r="S65" s="33"/>
      <c r="T65" s="33"/>
      <c r="U65" s="33"/>
      <c r="V65" s="33"/>
      <c r="W65" s="33"/>
      <c r="X65" s="33"/>
      <c r="Y65" s="33"/>
    </row>
    <row r="66">
      <c r="A66" s="34" t="s">
        <v>140</v>
      </c>
      <c r="B66" s="35"/>
      <c r="C66" s="35"/>
      <c r="D66" s="35"/>
      <c r="E66" s="4"/>
      <c r="F66" s="34" t="s">
        <v>141</v>
      </c>
      <c r="G66" s="35"/>
      <c r="H66" s="35"/>
      <c r="I66" s="35"/>
      <c r="J66" s="35"/>
      <c r="K66" s="35"/>
      <c r="L66" s="35"/>
      <c r="M66" s="35"/>
      <c r="N66" s="35"/>
      <c r="O66" s="35"/>
      <c r="P66" s="4"/>
      <c r="Q66" s="178"/>
      <c r="R66" s="33"/>
      <c r="S66" s="33"/>
      <c r="T66" s="33"/>
      <c r="U66" s="33"/>
      <c r="V66" s="33"/>
      <c r="W66" s="33"/>
      <c r="X66" s="33"/>
      <c r="Y66" s="33"/>
    </row>
    <row r="67">
      <c r="A67" s="53" t="s">
        <v>142</v>
      </c>
      <c r="B67" s="54">
        <f>B36</f>
        <v>0</v>
      </c>
      <c r="C67" s="35"/>
      <c r="D67" s="35"/>
      <c r="E67" s="4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21"/>
      <c r="Q67" s="178"/>
      <c r="R67" s="33"/>
      <c r="S67" s="33"/>
      <c r="T67" s="33"/>
      <c r="U67" s="33"/>
      <c r="V67" s="33"/>
      <c r="W67" s="33"/>
      <c r="X67" s="33"/>
      <c r="Y67" s="33"/>
    </row>
    <row r="68">
      <c r="A68" s="53" t="s">
        <v>143</v>
      </c>
      <c r="B68" s="54">
        <f>SUM(C62,G62,K62)</f>
        <v>0</v>
      </c>
      <c r="C68" s="35"/>
      <c r="D68" s="35"/>
      <c r="E68" s="4"/>
      <c r="F68" s="57"/>
      <c r="P68" s="58"/>
      <c r="Q68" s="178"/>
      <c r="R68" s="33"/>
      <c r="S68" s="28"/>
      <c r="T68" s="33"/>
      <c r="U68" s="33"/>
      <c r="V68" s="33"/>
      <c r="W68" s="33"/>
      <c r="X68" s="33"/>
      <c r="Y68" s="33"/>
    </row>
    <row r="69">
      <c r="A69" s="59" t="s">
        <v>131</v>
      </c>
      <c r="B69" s="60">
        <f>SUM(B38+M62)</f>
        <v>0</v>
      </c>
      <c r="C69" s="35"/>
      <c r="D69" s="35"/>
      <c r="E69" s="4"/>
      <c r="F69" s="61"/>
      <c r="G69" s="43"/>
      <c r="H69" s="43"/>
      <c r="I69" s="43"/>
      <c r="J69" s="43"/>
      <c r="K69" s="43"/>
      <c r="L69" s="43"/>
      <c r="M69" s="43"/>
      <c r="N69" s="43"/>
      <c r="O69" s="43"/>
      <c r="P69" s="38"/>
      <c r="Q69" s="178"/>
      <c r="R69" s="33"/>
      <c r="S69" s="28"/>
      <c r="T69" s="33"/>
      <c r="U69" s="33"/>
      <c r="V69" s="33"/>
      <c r="W69" s="33"/>
      <c r="X69" s="33"/>
      <c r="Y69" s="33"/>
    </row>
    <row r="70">
      <c r="A70" s="180" t="s">
        <v>144</v>
      </c>
      <c r="B70" s="54">
        <f>B67+B68-B69</f>
        <v>0</v>
      </c>
      <c r="C70" s="35"/>
      <c r="D70" s="35"/>
      <c r="E70" s="4"/>
      <c r="F70" s="62" t="str">
        <f>IF(B70=B77,"OK","ERRORE")</f>
        <v>OK</v>
      </c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178"/>
      <c r="R70" s="33"/>
      <c r="S70" s="33"/>
      <c r="T70" s="33"/>
      <c r="U70" s="33"/>
      <c r="V70" s="33"/>
      <c r="W70" s="33"/>
      <c r="X70" s="33"/>
      <c r="Y70" s="33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174" t="s">
        <v>145</v>
      </c>
    </row>
    <row r="73">
      <c r="A73" s="64"/>
      <c r="B73" s="65"/>
      <c r="C73" s="65"/>
      <c r="D73" s="66"/>
      <c r="E73" s="66"/>
      <c r="F73" s="66"/>
      <c r="G73" s="65"/>
      <c r="H73" s="66"/>
      <c r="I73" s="66"/>
      <c r="J73" s="65"/>
      <c r="K73" s="65"/>
      <c r="L73" s="66"/>
      <c r="M73" s="65"/>
      <c r="N73" s="66"/>
      <c r="O73" s="66"/>
      <c r="P73" s="66"/>
      <c r="Q73" s="178"/>
      <c r="R73" s="33"/>
      <c r="S73" s="33"/>
      <c r="T73" s="33"/>
      <c r="U73" s="33"/>
      <c r="V73" s="33"/>
      <c r="W73" s="33"/>
      <c r="X73" s="33"/>
      <c r="Y73" s="33"/>
    </row>
    <row r="74">
      <c r="A74" s="67" t="s">
        <v>146</v>
      </c>
      <c r="B74" s="68"/>
      <c r="C74" s="68"/>
      <c r="D74" s="68"/>
      <c r="E74" s="68"/>
      <c r="F74" s="69"/>
      <c r="G74" s="68"/>
      <c r="H74" s="69"/>
      <c r="I74" s="69"/>
      <c r="J74" s="68"/>
      <c r="K74" s="68"/>
      <c r="L74" s="69"/>
      <c r="M74" s="68"/>
      <c r="N74" s="69"/>
      <c r="O74" s="69"/>
      <c r="P74" s="69"/>
      <c r="Q74" s="178"/>
      <c r="R74" s="33"/>
      <c r="S74" s="33"/>
      <c r="T74" s="33"/>
      <c r="U74" s="33"/>
      <c r="V74" s="33"/>
      <c r="W74" s="33"/>
      <c r="X74" s="33"/>
      <c r="Y74" s="33"/>
    </row>
    <row r="75">
      <c r="A75" s="67" t="s">
        <v>147</v>
      </c>
      <c r="B75" s="48">
        <v>500.0</v>
      </c>
      <c r="C75" s="48">
        <v>200.0</v>
      </c>
      <c r="D75" s="48">
        <v>100.0</v>
      </c>
      <c r="E75" s="48">
        <v>50.0</v>
      </c>
      <c r="F75" s="48">
        <v>20.0</v>
      </c>
      <c r="G75" s="48">
        <v>10.0</v>
      </c>
      <c r="H75" s="48">
        <v>5.0</v>
      </c>
      <c r="I75" s="48">
        <v>2.0</v>
      </c>
      <c r="J75" s="48">
        <v>1.0</v>
      </c>
      <c r="K75" s="48">
        <v>0.5</v>
      </c>
      <c r="L75" s="48">
        <v>0.2</v>
      </c>
      <c r="M75" s="48">
        <v>0.1</v>
      </c>
      <c r="N75" s="48">
        <v>0.05</v>
      </c>
      <c r="O75" s="48">
        <v>0.02</v>
      </c>
      <c r="P75" s="48">
        <v>0.01</v>
      </c>
      <c r="Q75" s="178"/>
      <c r="R75" s="33"/>
      <c r="S75" s="33"/>
      <c r="T75" s="33"/>
      <c r="U75" s="33"/>
      <c r="V75" s="33"/>
      <c r="W75" s="33"/>
      <c r="X75" s="33"/>
      <c r="Y75" s="33"/>
    </row>
    <row r="76">
      <c r="A76" s="67" t="s">
        <v>148</v>
      </c>
      <c r="B76" s="70">
        <f t="shared" ref="B76:P76" si="2">B74*B75</f>
        <v>0</v>
      </c>
      <c r="C76" s="70">
        <f t="shared" si="2"/>
        <v>0</v>
      </c>
      <c r="D76" s="70">
        <f t="shared" si="2"/>
        <v>0</v>
      </c>
      <c r="E76" s="70">
        <f t="shared" si="2"/>
        <v>0</v>
      </c>
      <c r="F76" s="70">
        <f t="shared" si="2"/>
        <v>0</v>
      </c>
      <c r="G76" s="70">
        <f t="shared" si="2"/>
        <v>0</v>
      </c>
      <c r="H76" s="70">
        <f t="shared" si="2"/>
        <v>0</v>
      </c>
      <c r="I76" s="70">
        <f t="shared" si="2"/>
        <v>0</v>
      </c>
      <c r="J76" s="70">
        <f t="shared" si="2"/>
        <v>0</v>
      </c>
      <c r="K76" s="70">
        <f t="shared" si="2"/>
        <v>0</v>
      </c>
      <c r="L76" s="70">
        <f t="shared" si="2"/>
        <v>0</v>
      </c>
      <c r="M76" s="70">
        <f t="shared" si="2"/>
        <v>0</v>
      </c>
      <c r="N76" s="70">
        <f t="shared" si="2"/>
        <v>0</v>
      </c>
      <c r="O76" s="70">
        <f t="shared" si="2"/>
        <v>0</v>
      </c>
      <c r="P76" s="70">
        <f t="shared" si="2"/>
        <v>0</v>
      </c>
      <c r="Q76" s="178"/>
      <c r="R76" s="33"/>
      <c r="S76" s="33"/>
      <c r="T76" s="33"/>
      <c r="U76" s="33"/>
      <c r="V76" s="33"/>
      <c r="W76" s="33"/>
      <c r="X76" s="33"/>
      <c r="Y76" s="33"/>
    </row>
    <row r="77">
      <c r="A77" s="67" t="s">
        <v>144</v>
      </c>
      <c r="B77" s="17">
        <f>SUM(B76:P76)</f>
        <v>0</v>
      </c>
      <c r="C77" s="4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72"/>
      <c r="B78" s="73"/>
      <c r="C78" s="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9.5" customHeight="1">
      <c r="A79" s="181" t="s">
        <v>109</v>
      </c>
      <c r="B79" s="182">
        <f>NOW()</f>
        <v>46071.67575</v>
      </c>
      <c r="C79" s="35"/>
      <c r="D79" s="4"/>
      <c r="E79" s="183" t="s">
        <v>110</v>
      </c>
      <c r="F79" s="4"/>
      <c r="G79" s="184"/>
      <c r="H79" s="78" t="b">
        <v>0</v>
      </c>
      <c r="I79" s="33"/>
      <c r="J79" s="185" t="s">
        <v>7</v>
      </c>
      <c r="K79" s="4"/>
      <c r="L79" s="186" t="s">
        <v>8</v>
      </c>
      <c r="M79" s="78" t="b">
        <v>0</v>
      </c>
      <c r="N79" s="186" t="s">
        <v>9</v>
      </c>
      <c r="O79" s="78" t="b">
        <v>0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16">
    <mergeCell ref="R2:S2"/>
    <mergeCell ref="T2:U2"/>
    <mergeCell ref="V2:W2"/>
    <mergeCell ref="X2:Y2"/>
    <mergeCell ref="A1:Y1"/>
    <mergeCell ref="B2:C2"/>
    <mergeCell ref="D2:E2"/>
    <mergeCell ref="F2:G2"/>
    <mergeCell ref="H2:I2"/>
    <mergeCell ref="J2:K2"/>
    <mergeCell ref="L2:M2"/>
    <mergeCell ref="L36:M36"/>
    <mergeCell ref="N36:O36"/>
    <mergeCell ref="R36:S36"/>
    <mergeCell ref="T36:U36"/>
    <mergeCell ref="V36:W36"/>
    <mergeCell ref="X36:Y36"/>
    <mergeCell ref="N2:O2"/>
    <mergeCell ref="P2:Q2"/>
    <mergeCell ref="D36:E36"/>
    <mergeCell ref="F36:G36"/>
    <mergeCell ref="H36:I36"/>
    <mergeCell ref="J36:K36"/>
    <mergeCell ref="P36:Q36"/>
    <mergeCell ref="N37:O37"/>
    <mergeCell ref="P37:Q37"/>
    <mergeCell ref="R37:S37"/>
    <mergeCell ref="T37:U37"/>
    <mergeCell ref="V37:W37"/>
    <mergeCell ref="X37:Y37"/>
    <mergeCell ref="B36:C36"/>
    <mergeCell ref="B37:C37"/>
    <mergeCell ref="D37:E37"/>
    <mergeCell ref="F37:G37"/>
    <mergeCell ref="H37:I37"/>
    <mergeCell ref="J37:K37"/>
    <mergeCell ref="L37:M37"/>
    <mergeCell ref="B39:C39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D60:F60"/>
    <mergeCell ref="D61:F61"/>
    <mergeCell ref="D62:F62"/>
    <mergeCell ref="D55:F55"/>
    <mergeCell ref="D56:F56"/>
    <mergeCell ref="D57:F57"/>
    <mergeCell ref="D58:F58"/>
    <mergeCell ref="D59:F59"/>
    <mergeCell ref="H59:J59"/>
    <mergeCell ref="H60:J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38:C38"/>
    <mergeCell ref="D38:E38"/>
    <mergeCell ref="F38:Y38"/>
    <mergeCell ref="A41:Y41"/>
    <mergeCell ref="A43:B43"/>
    <mergeCell ref="H43:J43"/>
    <mergeCell ref="A44:B44"/>
    <mergeCell ref="H44:J44"/>
    <mergeCell ref="D43:F43"/>
    <mergeCell ref="D44:F44"/>
    <mergeCell ref="A45:B45"/>
    <mergeCell ref="D45:F45"/>
    <mergeCell ref="H45:J45"/>
    <mergeCell ref="D46:F46"/>
    <mergeCell ref="H46:J46"/>
    <mergeCell ref="A46:B46"/>
    <mergeCell ref="A47:B47"/>
    <mergeCell ref="D47:F47"/>
    <mergeCell ref="H47:J47"/>
    <mergeCell ref="A48:B48"/>
    <mergeCell ref="H48:J48"/>
    <mergeCell ref="H49:J49"/>
    <mergeCell ref="D48:F48"/>
    <mergeCell ref="D49:F49"/>
    <mergeCell ref="D50:F50"/>
    <mergeCell ref="D51:F51"/>
    <mergeCell ref="D52:F52"/>
    <mergeCell ref="D53:F53"/>
    <mergeCell ref="D54:F54"/>
    <mergeCell ref="H61:J61"/>
    <mergeCell ref="H62:J62"/>
    <mergeCell ref="A64:Y64"/>
    <mergeCell ref="F66:P66"/>
    <mergeCell ref="A66:E66"/>
    <mergeCell ref="B67:E67"/>
    <mergeCell ref="F67:P69"/>
    <mergeCell ref="B68:E68"/>
    <mergeCell ref="B69:E69"/>
    <mergeCell ref="B70:E70"/>
    <mergeCell ref="F70:G70"/>
    <mergeCell ref="A72:Y72"/>
    <mergeCell ref="B77:C77"/>
    <mergeCell ref="B79:D79"/>
    <mergeCell ref="E79:F79"/>
    <mergeCell ref="J79:K79"/>
  </mergeCells>
  <conditionalFormatting sqref="H79 M79 O79">
    <cfRule type="expression" dxfId="0" priority="1">
      <formula>H79:P79=TRUE</formula>
    </cfRule>
  </conditionalFormatting>
  <conditionalFormatting sqref="G79 L79 N79">
    <cfRule type="expression" dxfId="0" priority="2">
      <formula>H79=TRUE</formula>
    </cfRule>
  </conditionalFormatting>
  <conditionalFormatting sqref="F70:G70">
    <cfRule type="containsText" dxfId="1" priority="3" operator="containsText" text="ERRORE">
      <formula>NOT(ISERROR(SEARCH(("ERRORE"),(F70))))</formula>
    </cfRule>
  </conditionalFormatting>
  <conditionalFormatting sqref="F70:G70">
    <cfRule type="containsText" dxfId="2" priority="4" operator="containsText" text="OK">
      <formula>NOT(ISERROR(SEARCH(("OK"),(F70))))</formula>
    </cfRule>
  </conditionalFormatting>
  <conditionalFormatting sqref="A4:H34 I4:I6 J4:M34 N4:N9 O4:Q34 R4:R10 S4:Y34 I8:I34 N11:N34 R12:R34 D37:E37 F37:Y38 C38 A44:K61 M62 F67:P69 B74:P74">
    <cfRule type="notContainsBlanks" dxfId="2" priority="5">
      <formula>LEN(TRIM(A4))&gt;0</formula>
    </cfRule>
  </conditionalFormatting>
  <conditionalFormatting sqref="D40">
    <cfRule type="notContainsBlanks" dxfId="2" priority="6">
      <formula>LEN(TRIM(D40))&gt;0</formula>
    </cfRule>
  </conditionalFormatting>
  <hyperlinks>
    <hyperlink display="ELISA Controllo" location="GENERALE!A1" ref="J79"/>
  </hyperlinks>
  <printOptions/>
  <pageMargins bottom="0.0" footer="0.0" header="0.0" left="0.25" right="0.0" top="0.0"/>
  <pageSetup scale="82" orientation="landscape"/>
  <headerFooter>
    <oddFooter>&amp;C000000&amp;P</oddFooter>
  </headerFooter>
  <drawing r:id="rId2"/>
  <legacyDrawing r:id="rId3"/>
</worksheet>
</file>