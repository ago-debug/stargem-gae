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i Poste" sheetId="1" r:id="rId5"/>
    <sheet state="visible" name="Foglio3" sheetId="2" r:id="rId6"/>
    <sheet state="visible" name="Copia di riconciliazione athena" sheetId="3" r:id="rId7"/>
    <sheet state="visible" name="17-01-26_23-01-26_MOL1044443909" sheetId="4" r:id="rId8"/>
    <sheet state="visible" name="Movimenti POSTE dal 01set2025 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tc={549abf8f-597f-4915-a1ac-ed2f913d2acb}</author>
    <author>tc={5c6e7c7e-0c8e-430d-a87c-6bc71b45fcf8}</author>
    <author>tc={a36caabf-3e18-404b-af55-7d19ae28acf1}</author>
  </authors>
  <commentList>
    <comment authorId="0" ref="H2">
      <text>
        <t xml:space="preserve">07set2025 gae 
questa colonna ha una formula, non cancellare  - colonne per importare dati nei file della prima nota</t>
      </text>
    </comment>
    <comment authorId="0" ref="I2">
      <text>
        <t xml:space="preserve">07set2025 gae 
questa colonna ha una formula, non cancellare  - colonne per importare dati nei file della prima nota</t>
      </text>
    </comment>
    <comment authorId="0" ref="C1140">
      <text>
        <t xml:space="preserve">controllo BB con il file segreteria 
23-24 BONIFICI - BUONI - OMAGGI - RESI - GIFT C - PAGODIL
https://docs.google.com/spreadsheets/d/17aBq3WO4ibF0cax9QECDgPlisvkh7aT0dwibQJemoFg?usp=drive_fs</t>
      </text>
    </comment>
    <comment authorId="1" xr:uid="{549abf8f-597f-4915-a1ac-ed2f913d2acb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tu puoi scrivere in questo intervallo A3:G1139..... cosa devi fare?
Reply:
	a scrivere posso , ma devo aggiungere e togliere le righe non me lo fa fare
Reply:
	risolto, ora puoi fare tutto ma fai attenzione alle due colonne H e I che hanno le formule
</t>
      </text>
    </comment>
    <comment authorId="2" xr:uid="{5c6e7c7e-0c8e-430d-a87c-6bc71b45fcf8}" ref="C9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  questo è un esempio dello spazio che lascio quando riporto i dati, una volta verificato che è corretto cancello le righe bianche, in questo file non ho le autorizzazioni
Attività assegnata a gaechacha@gmail.com
Reply:
	non cancellare e aggiungere nessuna riga, nel caso crei un foglio provvisorio che poi cancelli... risolvi il commento così cancello le righe
</t>
      </text>
    </comment>
    <comment authorId="3" xr:uid="{a36caabf-3e18-404b-af55-7d19ae28acf1}" ref="D1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devo inserire il saldo , me la sblocchi ?
Attività assegnata a gaechacha@gmail.com
</t>
      </text>
    </comment>
  </commentList>
</comments>
</file>

<file path=xl/sharedStrings.xml><?xml version="1.0" encoding="utf-8"?>
<sst xmlns="http://schemas.openxmlformats.org/spreadsheetml/2006/main" count="2623" uniqueCount="1099">
  <si>
    <t>SALDO OGGI (2025-2026)</t>
  </si>
  <si>
    <t>aggiornato il:</t>
  </si>
  <si>
    <t>Numero Conto corrente BancoPosta: 1044443909 - Intestato a: GEOS S SDRL</t>
  </si>
  <si>
    <t>Data Contabile</t>
  </si>
  <si>
    <t>Data Valuta</t>
  </si>
  <si>
    <t>Addebito</t>
  </si>
  <si>
    <t>Accredito</t>
  </si>
  <si>
    <t>Athena</t>
  </si>
  <si>
    <t>Descrizione movimento</t>
  </si>
  <si>
    <t>Operazione</t>
  </si>
  <si>
    <t>colonna C+D</t>
  </si>
  <si>
    <t>colonna E+F</t>
  </si>
  <si>
    <t>BONIFICO SEPA</t>
  </si>
  <si>
    <t>Da NEXI Payments Spa TRN 075595962006NPPASU0000000000IT CIPBITMM per PV 1000001228596 ACCREDITO CIRCUITI INTERNAZ. 26032</t>
  </si>
  <si>
    <t>Da SCUOLA LEONARDO DA VINCI MILAN TRN 1101260850012737 UNCRITMM per FATTURA 133/V1 DEL 11/03/2026</t>
  </si>
  <si>
    <t>Distinta: 17745118903831KR5DEF</t>
  </si>
  <si>
    <t>Da NEXI Payments Spa TRN 075473849096NPPASU0000000000IT CIPBITMM per PV 1000001228637 ACCREDITO CIRCUITI INTERNAZ. 25032</t>
  </si>
  <si>
    <t>Da NEXI Payments Spa TRN 075473115036NPPASU0000000000IT CIPBITMM per PV 1000001228596 ACCREDITO CIRCUITI INTERNAZ. 25032</t>
  </si>
  <si>
    <t>Da NAVONE DANIELA PAOLA TRN 5034004870536084480160001633IT BAPPIT22 per fattura n. 151 V1 del 24.03.26</t>
  </si>
  <si>
    <t>Distinta: 17743667359621B9SDEF</t>
  </si>
  <si>
    <t>Distinta: 17733213803571JOODEF</t>
  </si>
  <si>
    <t>Da NEXI Payments Spa TRN 075348199046NPPASU0000000000IT CIPBITMM per PV 1000001228596 ACCREDITO CIRCUITI INTERNAZ. 24032</t>
  </si>
  <si>
    <t>Da NEXI Payments Spa TRN 075348215076NPPASU0000000000IT CIPBITMM per PV 1000001228596 ACCREDITO BANCOMAT 240326 RIF 1183</t>
  </si>
  <si>
    <t>Da ENCANTO CLUB LATINO ASS NE SPOR VA TRN 0306910675383506S90960609606IT BCITITMMXXX per FT serate 13/03 e 20/03</t>
  </si>
  <si>
    <t>Distinta: 177435109419118B9DEF</t>
  </si>
  <si>
    <t>Da NEXI Payments Spa TRN 075236758126NPPASU0000000000IT CIPBITMM per PV 1000001228637 ACCREDITO CIRCUITI INTERNAZ. 23032</t>
  </si>
  <si>
    <t>Da NEXI Payments Spa TRN 075236493076NPPASU0000000000IT CIPBITMM per PV 1000001228596 ACCREDITO BANCOMAT 230326 RIF 1181</t>
  </si>
  <si>
    <t>Da NEXI Payments Spa TRN 075236483106NPPASU0000000000IT CIPBITMM per PV 1000001228596 ACCREDITO CIRCUITI INTERNAZ. 23032</t>
  </si>
  <si>
    <t>BONIFICO</t>
  </si>
  <si>
    <t>Da Satispay Europe S.A. TRN 019d1d30c2bf73cc8ffc40f9bb975976 SATYLUL1XXX per Geos ssdr</t>
  </si>
  <si>
    <t>Distinta: 17740182645230MKEDEF</t>
  </si>
  <si>
    <t>Da NEXI Payments Spa TRN 075079314116NPPASU0000000000IT CIPBITMM per PV 1000001228596 ACCREDITO CIRCUITI INTERNAZ. 21032</t>
  </si>
  <si>
    <t>Da NEXI Payments Spa TRN 075079330016NPPASU0000000000IT CIPBITMM per PV 1000001228596 ACCREDITO BANCOMAT 210326 RIF 1179</t>
  </si>
  <si>
    <t>Da NEXI Payments Spa TRN 075079256056NPPASU0000000000IT CIPBITMM per PV 1000001228637 ACCREDITO CIRCUITI INTERNAZ. 21032</t>
  </si>
  <si>
    <t>Da NEXI Payments Spa TRN 074971159036NPPASU0000000000IT CIPBITMM per PV 1000001228596 ACCREDITO CIRCUITI INTERNAZ. 20032</t>
  </si>
  <si>
    <t>Da NEXI Payments Spa TRN 074971178096NPPASU0000000000IT CIPBITMM per PV 1000001228596 ACCREDITO BANCOMAT 200326 RIF 1177</t>
  </si>
  <si>
    <t>Da NEXI Payments Spa TRN 074853379036NPPASU0000000000IT CIPBITMM per PV 1000001228596 ACCREDITO CIRCUITI INTERNAZ. 19032</t>
  </si>
  <si>
    <t>Da NEXI Payments Spa TRN 074734148086NPPASU0000000000IT CIPBITMM per PV 1000001228596 ACCREDITO CIRCUITI INTERNAZ. 18032</t>
  </si>
  <si>
    <t>Da NEXI Payments Spa TRN 074735256116NPPASU0000000000IT CIPBITMM per PV 1000001228637 ACCREDITO CIRCUITI INTERNAZ. 18032</t>
  </si>
  <si>
    <t>Da NEXI Payments Spa TRN 074624441086NPPASU0000000000IT CIPBITMM per PV 1000001228596 ACCREDITO CIRCUITI INTERNAZ. 17032</t>
  </si>
  <si>
    <t>Da NEXI Payments Spa TRN 074624676096NPPASU0000000000IT CIPBITMM per PV 1000001228637 ACCREDITO CIRCUITI INTERNAZ. 17032</t>
  </si>
  <si>
    <t>Distinta: 17737452372392NIMDEF</t>
  </si>
  <si>
    <t>Distinta: 17737315895022KPMDEF</t>
  </si>
  <si>
    <t>Da NEXI Payments Spa TRN 074499180026NPPASU0000000000IT CIPBITMM per PV 1000001228596 ACCREDITO BANCOMAT 160326 RIF 1171</t>
  </si>
  <si>
    <t>Da NEXI Payments Spa TRN 074499169046NPPASU0000000000IT CIPBITMM per PV 1000001228596 ACCREDITO CIRCUITI INTERNAZ. 16032</t>
  </si>
  <si>
    <t>Distinta: 177365656252625NBDEF</t>
  </si>
  <si>
    <t>Da NEXI Payments Spa TRN 074361211026NPPASU0000000000IT CIPBITMM per PV 1000001228637 ACCREDITO CIRCUITI INTERNAZ. 14032</t>
  </si>
  <si>
    <t>Da NEXI Payments Spa TRN 074230163076NPPASU0000000000IT CIPBITMM per PV 1000001228596 ACCREDITO BANCOMAT 130326 RIF 1166</t>
  </si>
  <si>
    <t>Da NEXI Payments Spa TRN 074427700096NPPASU0000000000IT CIPBITMM per PV 1000001228637 ACCREDITO CIRCUITI INTERNAZ. 15032</t>
  </si>
  <si>
    <t>Da NEXI Payments Spa TRN 074361031046NPPASU0000000000IT CIPBITMM per PV 1000001228596 ACCREDITO CIRCUITI INTERNAZ. 14032</t>
  </si>
  <si>
    <t>Da NEXI Payments Spa TRN 074361034076NPPASU0000000000IT CIPBITMM per PV 1000001228596 ACCREDITO BANCOMAT 140326 RIF 1168</t>
  </si>
  <si>
    <t>Da NEXI Payments Spa TRN 074232008066NPPASU0000000000IT CIPBITMM per PV 1000001228637 ACCREDITO CIRCUITI INTERNAZ. 13032</t>
  </si>
  <si>
    <t>Da NEXI Payments Spa TRN 074230150076NPPASU0000000000IT CIPBITMM per PV 1000001228596 ACCREDITO CIRCUITI INTERNAZ. 13032</t>
  </si>
  <si>
    <t>Da NEXI Payments Spa TRN 074427547126NPPASU0000000000IT CIPBITMM per PV 1000001228596 ACCREDITO CIRCUITI INTERNAZ. 15032</t>
  </si>
  <si>
    <t>Da Scalapay IP S.p.a. TRN 3601826031604531124393299027492-008 CBPSIT31XXX per 2026-03-15 - GEOS S SDRL - Scalapay IP S.p</t>
  </si>
  <si>
    <t>Da MODULO PROJECT S.R.L. TRN 1101260720220729 UNCRITMM per Fattura n. 131 V1 del 11/03/2026 - Affitto Studio Febbraio ex</t>
  </si>
  <si>
    <t>Da MODULO PROJECT S.R.L. TRN 1101260720224493 UNCRITMM per Fattura n. 132 V1 del 11/03/2026 - Affitto sale febbraio 2026</t>
  </si>
  <si>
    <t>Da Gympass US LLC TRN HJYDLG9N3VM2 CHASNL2XXXX per WellhubGym</t>
  </si>
  <si>
    <t>VERSAMENTO CONTANTE IN UP</t>
  </si>
  <si>
    <t>U.P.38530 MILANO 82            POSTAMAT N 76018970575871050                 CARTA 75871050</t>
  </si>
  <si>
    <t>Distinta: 17733306787601KSADEF</t>
  </si>
  <si>
    <t>Distinta: 177339150182420E1DEF</t>
  </si>
  <si>
    <t>Da NEXI Payments Spa TRN 074151269106NPPASU0000000000IT CIPBITMM per PV 1000001228596 ACCREDITO CIRCUITI INTERNAZ. 12032</t>
  </si>
  <si>
    <t>Da NEXI Payments Spa TRN 074151592086NPPASU0000000000IT CIPBITMM per PV 1000001228637 ACCREDITO CIRCUITI INTERNAZ. 12032</t>
  </si>
  <si>
    <t>Da NEXI Payments Spa TRN 074151283116NPPASU0000000000IT CIPBITMM per PV 1000001228596 ACCREDITO BANCOMAT 120326 RIF 1165</t>
  </si>
  <si>
    <t>Da Satispay Europe S.A. TRN 1333d4277b1a483aa5b57e8c5deb73e5 SATYLUL1XXX per Geos ssdr</t>
  </si>
  <si>
    <t>Distinta: 17733197851771RESDEF</t>
  </si>
  <si>
    <t>Distinta: 17732417258531IIMDEF</t>
  </si>
  <si>
    <t>Da NEXI Payments Spa TRN 074024048076NPPASU0000000000IT CIPBITMM per PV 1000001228637 ACCREDITO CIRCUITI INTERNAZ. 11032</t>
  </si>
  <si>
    <t>Da NEXI Payments Spa TRN 074024384056NPPASU0000000000IT CIPBITMM per PV 1000001228596 ACCREDITO BANCOMAT 110326 RIF 1163</t>
  </si>
  <si>
    <t>Da NEXI Payments Spa TRN 074024370046NPPASU0000000000IT CIPBITMM per PV 1000001228596 ACCREDITO CIRCUITI INTERNAZ. 11032</t>
  </si>
  <si>
    <t>Da Satispay Europe S.A. TRN 7cfd24d44ffc48b58d9dd67513ba8f3b SATYLUL1XXX per Geos ssdr</t>
  </si>
  <si>
    <t>Da ENCANTO CLUB LATINO ASS NE SPOR VA TRN 0306910335298912S90960609606IT BCITITMMXXX per FT 126 e 129 del 09/03/26</t>
  </si>
  <si>
    <t>Distinta: 17732248881881FPJDEF</t>
  </si>
  <si>
    <t>Da NEXI Payments Spa TRN 073873147106NPPASU0000000000IT CIPBITMM per PV 1000001228637 ACCREDITO CIRCUITI INTERNAZ. 10032</t>
  </si>
  <si>
    <t>Da NEXI Payments Spa TRN 073872995016NPPASU0000000000IT CIPBITMM per PV 1000001228596 ACCREDITO CIRCUITI INTERNAZ. 10032</t>
  </si>
  <si>
    <t>Distinta: 17731279801491259DEF</t>
  </si>
  <si>
    <t>Distinta: 177312961577411NPDEF</t>
  </si>
  <si>
    <t>Distinta: 17731287732721296DEF</t>
  </si>
  <si>
    <t>Distinta: 17731289595730PI9DEF</t>
  </si>
  <si>
    <t>Da NEXI Payments Spa TRN 073778690116NPPASU0000000000IT CIPBITMM per PV 1000001228637 ACCREDITO CIRCUITI INTERNAZ. 09032</t>
  </si>
  <si>
    <t>Da NEXI Payments Spa TRN 073778664116NPPASU0000000000IT CIPBITMM per PV 1000001228596 ACCREDITO CIRCUITI INTERNAZ. 09032</t>
  </si>
  <si>
    <t>Da Scalapay IP S.p.a. TRN 3601826031004505581348532151576-008 CBPSIT31XXX per 2026-03-09 - GEOS S SDRL - Scalapay IP S.p</t>
  </si>
  <si>
    <t>Da Satispay Europe S.A. TRN 6d26c56f8ab046da8fd38f023a597ad7 SATYLUL1XXX per Geos ssdr</t>
  </si>
  <si>
    <t>Da NEXI Payments Spa TRN 073714969036NPPASU0000000000IT CIPBITMM per PV 1000001228637 ACCREDITO CIRCUITI INTERNAZ. 08032</t>
  </si>
  <si>
    <t>Da NEXI Payments Spa TRN 073601805046NPPASU0000000000IT CIPBITMM per PV 1000001228596 ACCREDITO CIRCUITI INTERNAZ. 07032</t>
  </si>
  <si>
    <t>Da NEXI Payments Spa TRN 073493223116NPPASU0000000000IT CIPBITMM per PV 1000001228596 ACCREDITO CIRCUITI INTERNAZ. 06032</t>
  </si>
  <si>
    <t>Da NEXI Payments Spa TRN 073601813126NPPASU0000000000IT CIPBITMM per PV 1000001228596 ACCREDITO BANCOMAT 070326 RIF 1158</t>
  </si>
  <si>
    <t>Da NEXI Payments Spa TRN 073493237126NPPASU0000000000IT CIPBITMM per PV 1000001228596 ACCREDITO BANCOMAT 060326 RIF 1156</t>
  </si>
  <si>
    <t>Da NEXI Payments Spa TRN 073492499026NPPASU0000000000IT CIPBITMM per PV 1000001228637 ACCREDITO CIRCUITI INTERNAZ. 06032</t>
  </si>
  <si>
    <t>Distinta: 177279132563303UEDEF</t>
  </si>
  <si>
    <t>Distinta: 17727893758950339DEF</t>
  </si>
  <si>
    <t>Distinta: 17727191078570336DEF</t>
  </si>
  <si>
    <t>Distinta: 17727897042920BAQDEF</t>
  </si>
  <si>
    <t>Distinta: 177280258612107OLDEF</t>
  </si>
  <si>
    <t>Distinta: 177280332023207N1DEF</t>
  </si>
  <si>
    <t>Distinta: 17728017493730FGBDEF</t>
  </si>
  <si>
    <t>Da NEXI Payments Spa TRN 073377034036NPPASU0000000000IT CIPBITMM per PV 1000001228596 ACCREDITO BANCOMAT 050326 RIF 1155</t>
  </si>
  <si>
    <t>Da NEXI Payments Spa TRN 073377029116NPPASU0000000000IT CIPBITMM per PV 1000001228596 ACCREDITO CIRCUITI INTERNAZ. 05032</t>
  </si>
  <si>
    <t>Da NEXI Payments Spa TRN 073255816106NPPASU0000000000IT CIPBITMM per PV 1000001228596 ACCREDITO BANCOMAT 040326 RIF 1153</t>
  </si>
  <si>
    <t>Da NEXI Payments Spa TRN 073255802096NPPASU0000000000IT CIPBITMM per PV 1000001228596 ACCREDITO CIRCUITI INTERNAZ. 04032</t>
  </si>
  <si>
    <t>COMMISSIONI DOMICILIAZIONE (ADDEBITO DIRETTO SEPA)</t>
  </si>
  <si>
    <t>NEXI Payments Spa    CID.IT500540000004107060966             MAN.CL2XV900700799PC0001228595</t>
  </si>
  <si>
    <t>NEXI Payments Spa    CID.IT500540000004107060966             MAN.CL2XV900700884PC0001228636</t>
  </si>
  <si>
    <t>Distinta: 17726236810013BGTDEF</t>
  </si>
  <si>
    <t>Da NEXI Payments Spa TRN 073139549026NPPASU0000000000IT CIPBITMM per PV 1000001228596 ACCREDITO CIRCUITI INTERNAZ. 03032</t>
  </si>
  <si>
    <t>Da NEXI Payments Spa TRN 073139568086NPPASU0000000000IT CIPBITMM per PV 1000001228596 ACCREDITO BANCOMAT 030326 RIF 1152</t>
  </si>
  <si>
    <t>Da Scalapay IP S.p.a. TRN 3601826030404504539221898999387-008 CBPSIT31XXX per 2026-03-03 - GEOS S SDRL - Scalapay IP S.p</t>
  </si>
  <si>
    <t>TENUTA CONTO</t>
  </si>
  <si>
    <t>ADDEBITO RELATIVO AL PERIODO DI FEBBRAIO  2026</t>
  </si>
  <si>
    <t>CANONE SERVIZIO COLLEGAMENTO TELEMATICO</t>
  </si>
  <si>
    <t>ADDEBITO CANONE DEL SERVIZIO BANCOPOSTAIMPRESA ONLINE RELATIVO AL PERIODO FEBBRAIO 2026 CONTRATTO N. 0059926216</t>
  </si>
  <si>
    <t>DOMICILIAZIONE (ADDEBITO DIRETTO SEPA)</t>
  </si>
  <si>
    <t>Distinta: 1772537704453316CDEF</t>
  </si>
  <si>
    <t>Distinta: 17725327076582V8CDEF</t>
  </si>
  <si>
    <t>Distinta: 177253796563932RRDEF</t>
  </si>
  <si>
    <t>Distinta: 1772536925254325UDEF</t>
  </si>
  <si>
    <t>Distinta: 177253415142431AUDEF</t>
  </si>
  <si>
    <t>Distinta: 1772535901292322TDEF</t>
  </si>
  <si>
    <t>Distinta: 17725316240143090DEF</t>
  </si>
  <si>
    <t>Da NEXI Payments Spa TRN 073024322076NPPASU0000000000IT CIPBITMM per PV 1000001228596 ACCREDITO CIRCUITI INTERNAZ. 02032</t>
  </si>
  <si>
    <t>Da NEXI Payments Spa TRN 073035189066NPPASU0000000000IT CIPBITMM per PV 1000001228637 ACCREDITO CIRCUITI INTERNAZ. 02032</t>
  </si>
  <si>
    <t>Da ENCANTO CLUB LATINO ASS NE SPOR VA TRN 0306909968289109S90960609606IT BCITITMMXXX per FT 66 del 17/02/26 e 70 del 25/</t>
  </si>
  <si>
    <t>PAGAMENTO POS</t>
  </si>
  <si>
    <t>GOOGLE *ADS5278163162  01/03/2026 10.47 DUBLIN 2      Op.612887 carta ****0501</t>
  </si>
  <si>
    <t>IMPOSTA DI BOLLO</t>
  </si>
  <si>
    <t>Da Satispay Europe S.A. TRN 67763ee066a94416aaaf786c0db5b79d SATYLUL1XXX per Geos ssdr</t>
  </si>
  <si>
    <t>Da Scalapay IP S.p.a. TRN 3601826030208372938948139880222-008 CBPSIT31XXX per 2026-03-01 - GEOS S SDRL - Scalapay IP S.p</t>
  </si>
  <si>
    <t>Da NEXI Payments Spa TRN 072874287056NPPASU0000000000IT CIPBITMM per PV 1000001228596 ACCREDITO BANCOMAT 280226 RIF 1148</t>
  </si>
  <si>
    <t>Da NEXI Payments Spa TRN 072874278096NPPASU0000000000IT CIPBITMM per PV 1000001228596 ACCREDITO CIRCUITI INTERNAZ. 28022</t>
  </si>
  <si>
    <t>Da NEXI Payments Spa TRN 072760418036NPPASU0000000000IT CIPBITMM per PV 1000001228596 ACCREDITO CIRCUITI INTERNAZ. 27022</t>
  </si>
  <si>
    <t>Da NEXI Payments Spa TRN 072865953046NPPASU0000000000IT CIPBITMM per PV 1000001228637 ACCREDITO CIRCUITI INTERNAZ. 28022</t>
  </si>
  <si>
    <t>Da NEXI Payments Spa TRN 072760438106NPPASU0000000000IT CIPBITMM per PV 1000001228596 ACCREDITO BANCOMAT 270226 RIF 1145</t>
  </si>
  <si>
    <t>Da NEXI Payments Spa TRN 072952464006NPPASU0000000000IT CIPBITMM per PV 1000001228637 ACCREDITO CIRCUITI INTERNAZ. 01032</t>
  </si>
  <si>
    <t>Da NEXI Payments Spa TRN 072760673116NPPASU0000000000IT CIPBITMM per PV 1000001228637 ACCREDITO CIRCUITI INTERNAZ. 27022</t>
  </si>
  <si>
    <t>Da BCS BIOMEDICAL COMPUTERING SYSTEMS SRL TRN 0306928043769000485127051270IT BCITITMMXXX per NOTA CREDITO N.507666/D DEL</t>
  </si>
  <si>
    <t>Distinta: 177218805868329LVDEF</t>
  </si>
  <si>
    <t>Da Satispay Europe S.A. TRN 2ab7203f3b694cfcaef86a23c8e4079c SATYLUL1XXX per Geos ssdr</t>
  </si>
  <si>
    <t>Da NEXI Payments Spa TRN 072647942036NPPASU0000000000IT CIPBITMM per PV 1000001228637 ACCREDITO CIRCUITI INTERNAZ. 26022</t>
  </si>
  <si>
    <t>Da Scalapay IP S.p.a. TRN 3601826022704531720119022693789-008 CBPSIT31XXX per 2026-02-26 - GEOS S SDRL - Scalapay IP S.p</t>
  </si>
  <si>
    <t>Da NEXI Payments Spa TRN 072647069016NPPASU0000000000IT CIPBITMM per PV 1000001228596 ACCREDITO CIRCUITI INTERNAZ. 26022</t>
  </si>
  <si>
    <t>Da ORASESTA SPA TRN 5034901525006056482020001600IT BAPPIT22 per ORASESTA SPA - GEOS S.S.D. A RL C.F. 09305930969 RIF. 14</t>
  </si>
  <si>
    <t>Da NEXI Payments Spa TRN 072538303066NPPASU0000000000IT CIPBITMM per PV 1000001228637 ACCREDITO CIRCUITI INTERNAZ. 25022</t>
  </si>
  <si>
    <t>Da NEXI Payments Spa TRN 072535726036NPPASU0000000000IT CIPBITMM per PV 1000001228596 ACCREDITO CIRCUITI INTERNAZ. 25022</t>
  </si>
  <si>
    <t>Da NEXI Payments Spa TRN 072535738026NPPASU0000000000IT CIPBITMM per PV 1000001228596 ACCREDITO BANCOMAT 250226 RIF 1142</t>
  </si>
  <si>
    <t>BONIFICO SEPA ISTANTANEO</t>
  </si>
  <si>
    <t>TRN EUBAITM1XXX 0000626022608581976671598928890-008 DA 93 DM S.R.L. PER FT 74 e 75 del 26.02.26</t>
  </si>
  <si>
    <t>Da TG NEW CO SRL TRN 0000051312562701486405064050IT CIVIIT2CXXX per SUPP PAGAMENTO FT. N. 72 DEL 25.02.2026</t>
  </si>
  <si>
    <t>Distinta: 17720111981471MCJDEF</t>
  </si>
  <si>
    <t>Da NEXI Payments Spa TRN 072420599046NPPASU0000000000IT CIPBITMM per PV 1000001228596 ACCREDITO CIRCUITI INTERNAZ. 24022</t>
  </si>
  <si>
    <t>Da NEXI Payments Spa TRN 072420617096NPPASU0000000000IT CIPBITMM per PV 1000001228596 ACCREDITO BANCOMAT 240226 RIF 1141</t>
  </si>
  <si>
    <t>Da NEXI Payments Spa TRN 072420939066NPPASU0000000000IT CIPBITMM per PV 1000001228637 ACCREDITO CIRCUITI INTERNAZ. 24022</t>
  </si>
  <si>
    <t>FASTWEB S.p.A.       CID.IT200010000093026890017             MAN.09305930969</t>
  </si>
  <si>
    <t>Distinta: 17719379691291HFVDEF</t>
  </si>
  <si>
    <t>Distinta: 17719296086191GIKDEF</t>
  </si>
  <si>
    <t>Da NEXI Payments Spa TRN 072307140096NPPASU0000000000IT CIPBITMM per PV 1000001228637 ACCREDITO CIRCUITI INTERNAZ. 23022</t>
  </si>
  <si>
    <t>Da NEXI Payments Spa TRN 072306919096NPPASU0000000000IT CIPBITMM per PV 1000001228596 ACCREDITO CIRCUITI INTERNAZ. 23022</t>
  </si>
  <si>
    <t>Da NEXI Payments Spa TRN 072306924016NPPASU0000000000IT CIPBITMM per PV 1000001228596 ACCREDITO BANCOMAT 230226 RIF 1139</t>
  </si>
  <si>
    <t>Alaio Cloud Limited    21/02/2026 07.51 Limassol      Op.612496 carta ****0501</t>
  </si>
  <si>
    <t>Da NEXI Payments Spa TRN 072044586036NPPASU0000000000IT CIPBITMM per PV 1000001228596 ACCREDITO CIRCUITI INTERNAZ. 20022</t>
  </si>
  <si>
    <t>Da NEXI Payments Spa TRN 072150181126NPPASU0000000000IT CIPBITMM per PV 1000001228596 ACCREDITO CIRCUITI INTERNAZ. 21022</t>
  </si>
  <si>
    <t>Da NEXI Payments Spa TRN 072050030006NPPASU0000000000IT CIPBITMM per PV 1000001228637 ACCREDITO CIRCUITI INTERNAZ. 20022</t>
  </si>
  <si>
    <t>Da NEXI Payments Spa TRN 072242262016NPPASU0000000000IT CIPBITMM per PV 1000001228596 ACCREDITO BANCOMAT 220226 RIF 1138</t>
  </si>
  <si>
    <t>Da NEXI Payments Spa TRN 072238805026NPPASU0000000000IT CIPBITMM per PV 1000001228637 ACCREDITO CIRCUITI INTERNAZ. 22022</t>
  </si>
  <si>
    <t>Da NEXI Payments Spa TRN 072150688126NPPASU0000000000IT CIPBITMM per PV 1000001228637 ACCREDITO CIRCUITI INTERNAZ. 21022</t>
  </si>
  <si>
    <t>Distinta: 17715777270670RHGDEF</t>
  </si>
  <si>
    <t>Da NEXI Payments Spa TRN 071923554016NPPASU0000000000IT CIPBITMM per PV 1000001228596 ACCREDITO BANCOMAT 190226 RIF 1133</t>
  </si>
  <si>
    <t>Da NEXI Payments Spa TRN 071923216016NPPASU0000000000IT CIPBITMM per PV 1000001228637 ACCREDITO CIRCUITI INTERNAZ. 19022</t>
  </si>
  <si>
    <t>Da NEXI Payments Spa TRN 071923545056NPPASU0000000000IT CIPBITMM per PV 1000001228596 ACCREDITO CIRCUITI INTERNAZ. 19022</t>
  </si>
  <si>
    <t>Da Scalapay IP S.p.a. TRN 3601826022004525831019166159486-008 CBPSIT31XXX per 2026-02-19 - GEOS S SDRL - Scalapay IP S.p</t>
  </si>
  <si>
    <t>Da KINETICVIBE SRL TRN VTP26050T0005752480160201600IT POSOIT2105N per Saldo per vs affitto studio del 22 Febbraio 2026</t>
  </si>
  <si>
    <t>Da NEXI Payments Spa TRN 071816300106NPPASU0000000000IT CIPBITMM per PV 1000001228596 ACCREDITO CIRCUITI INTERNAZ. 18022</t>
  </si>
  <si>
    <t>Da NEXI Payments Spa TRN 071816310076NPPASU0000000000IT CIPBITMM per PV 1000001228596 ACCREDITO BANCOMAT 180226 RIF 1132</t>
  </si>
  <si>
    <t>Da NEXI Payments Spa TRN 071815209116NPPASU0000000000IT CIPBITMM per PV 1000001228637 ACCREDITO CIRCUITI INTERNAZ. 18022</t>
  </si>
  <si>
    <t>FIGMA                  17/02/2026 19.33 SAN FRANCISCO Op.612937 carta ****0501</t>
  </si>
  <si>
    <t>Da NEXI Payments Spa TRN 071704676046NPPASU0000000000IT CIPBITMM per PV 1000001228596 ACCREDITO CIRCUITI INTERNAZ. 17022</t>
  </si>
  <si>
    <t>Da NEXI Payments Spa TRN 071705194026NPPASU0000000000IT CIPBITMM per PV 1000001228637 ACCREDITO CIRCUITI INTERNAZ. 17022</t>
  </si>
  <si>
    <t>Da Satispay Europe S.A. TRN be7d1df20217430389c4573871fc215e SATYLUL1XXX per Geos ssdr</t>
  </si>
  <si>
    <t>Distinta: 1771324134012032CDEF</t>
  </si>
  <si>
    <t>Da Scalapay IP S.p.a. TRN 3601826021708193320886166232172-008 CBPSIT31XXX per 2026-02-16 - GEOS S SDRL - Scalapay IP S.p</t>
  </si>
  <si>
    <t>Da NEXI Payments Spa TRN 071594188036NPPASU0000000000IT CIPBITMM per PV 1000001228596 ACCREDITO BANCOMAT 160226 RIF 1129</t>
  </si>
  <si>
    <t>Da NEXI Payments Spa TRN 071594177056NPPASU0000000000IT CIPBITMM per PV 1000001228596 ACCREDITO CIRCUITI INTERNAZ. 16022</t>
  </si>
  <si>
    <t>Da NEXI Payments Spa TRN 071593848016NPPASU0000000000IT CIPBITMM per PV 1000001228637 ACCREDITO CIRCUITI INTERNAZ. 16022</t>
  </si>
  <si>
    <t>NEXI P.              CID.IT500100000004107060966             MAN.792254495131800006</t>
  </si>
  <si>
    <t>Distinta: 17712456823671Q1PDEF</t>
  </si>
  <si>
    <t>Distinta: 1771247079791059ADEF</t>
  </si>
  <si>
    <t>Distinta: 17712465885961Q5GDEF</t>
  </si>
  <si>
    <t>Da NEXI Payments Spa TRN 071338186106NPPASU0000000000IT CIPBITMM per PV 1000001228596 ACCREDITO CIRCUITI INTERNAZ. 13022</t>
  </si>
  <si>
    <t>Da NEXI Payments Spa TRN 071441096126NPPASU0000000000IT CIPBITMM per PV 1000001228637 ACCREDITO CIRCUITI INTERNAZ. 14022</t>
  </si>
  <si>
    <t>Da NEXI Payments Spa TRN 071440677096NPPASU0000000000IT CIPBITMM per PV 1000001228596 ACCREDITO CIRCUITI INTERNAZ. 14022</t>
  </si>
  <si>
    <t>Da NEXI Payments Spa TRN 071337128056NPPASU0000000000IT CIPBITMM per PV 1000001228637 ACCREDITO CIRCUITI INTERNAZ. 13022</t>
  </si>
  <si>
    <t>Da NEXI Payments Spa TRN 071536610026NPPASU0000000000IT CIPBITMM per PV 1000001228596 ACCREDITO BANCOMAT 150226 RIF 1128</t>
  </si>
  <si>
    <t>Da NEXI Payments Spa TRN 071532778056NPPASU0000000000IT CIPBITMM per PV 1000001228637 ACCREDITO CIRCUITI INTERNAZ. 15022</t>
  </si>
  <si>
    <t>Da NEXI Payments Spa TRN 071536598036NPPASU0000000000IT CIPBITMM per PV 1000001228596 ACCREDITO CIRCUITI INTERNAZ. 15022</t>
  </si>
  <si>
    <t>Da NEXI Payments Spa TRN 071338204026NPPASU0000000000IT CIPBITMM per PV 1000001228596 ACCREDITO BANCOMAT 130226 RIF 1125</t>
  </si>
  <si>
    <t>Da Scalapay IP S.p.a. TRN 3601826021604513598848463302639-008 CBPSIT31XXX per 2026-02-15 - GEOS S SDRL - Scalapay IP S.p</t>
  </si>
  <si>
    <t>Da Satispay Europe S.A. TRN 0f5d169fc60d4a21ba680027aafc911f SATYLUL1XXX per Geos ssdr</t>
  </si>
  <si>
    <t>Distinta: 1770911369629170DDEF</t>
  </si>
  <si>
    <t>Da NEXI Payments Spa TRN 071220689076NPPASU0000000000IT CIPBITMM per PV 1000001228637 ACCREDITO CIRCUITI INTERNAZ. 12022</t>
  </si>
  <si>
    <t>Da NEXI Payments Spa TRN 071220737036NPPASU0000000000IT CIPBITMM per PV 1000001228596 ACCREDITO BANCOMAT 120226 RIF 1123</t>
  </si>
  <si>
    <t>Da NEXI Payments Spa TRN 071220724036NPPASU0000000000IT CIPBITMM per PV 1000001228596 ACCREDITO CIRCUITI INTERNAZ. 12022</t>
  </si>
  <si>
    <t>Da Satispay Europe S.A. TRN 6910b506737d4e0daef9730dc579f9b1 SATYLUL1XXX per Geos ssdr</t>
  </si>
  <si>
    <t>Da Gympass US LLC TRN H3XHL2S34SSB CHASNL2XXXX per WellhubGym</t>
  </si>
  <si>
    <t>Da MODULO PROJECT S.R.L. TRN 1101260430539264 UNCRITMM per Fattura n. 61 del 12/02/2026 - Affitto Studio Gennaio extra</t>
  </si>
  <si>
    <t>Da MODULO PROJECT S.R.L. TRN 1101260430539887 UNCRITMM per Affitto studi Gennaio 2026</t>
  </si>
  <si>
    <t>Da MODULO PROJECT S.R.L. TRN 1101260430540507 UNCRITMM per Fattura n. 63 del 12/02/2026 - Affitto sale Modulo extra genn</t>
  </si>
  <si>
    <t>Distinta: 177089135570312NBDEF</t>
  </si>
  <si>
    <t>Da NEXI Payments Spa TRN 071109556116NPPASU0000000000IT CIPBITMM per PV 1000001228596 ACCREDITO BANCOMAT 110226 RIF 1122</t>
  </si>
  <si>
    <t>Da NEXI Payments Spa TRN 071109537056NPPASU0000000000IT CIPBITMM per PV 1000001228596 ACCREDITO CIRCUITI INTERNAZ. 11022</t>
  </si>
  <si>
    <t>Da NEXI Payments Spa TRN 071109035106NPPASU0000000000IT CIPBITMM per PV 1000001228637 ACCREDITO CIRCUITI INTERNAZ. 11022</t>
  </si>
  <si>
    <t>Distinta: 17708003190290OCIDEF</t>
  </si>
  <si>
    <t>Distinta: 17707996028660N0ADEF</t>
  </si>
  <si>
    <t>Distinta: 17707988148630NP1DEF</t>
  </si>
  <si>
    <t>Distinta: 17707991593670MS7DEF</t>
  </si>
  <si>
    <t>Da NEXI Payments Spa TRN 071000367096NPPASU0000000000IT CIPBITMM per PV 1000001228596 ACCREDITO BANCOMAT 100226 RIF 1120</t>
  </si>
  <si>
    <t>Da NEXI Payments Spa TRN 070995310096NPPASU0000000000IT CIPBITMM per PV 1000001228637 ACCREDITO CIRCUITI INTERNAZ. 10022</t>
  </si>
  <si>
    <t>Da NEXI Payments Spa TRN 071000355106NPPASU0000000000IT CIPBITMM per PV 1000001228596 ACCREDITO CIRCUITI INTERNAZ. 10022</t>
  </si>
  <si>
    <t>Da Satispay Europe S.A. TRN 3cc5b6d79e02405dbf490e7f9b44b4b5 SATYLUL1XXX per Geos ssdr</t>
  </si>
  <si>
    <t>Da ENCANTO CLUB LATINO ASS NE SPOR VA TRN 0306909453360308S90960609606IT BCITITMMXXX per FT 18 del 04/02/26 e FT 21 del</t>
  </si>
  <si>
    <t>Distinta: 17707116217160BS9DEF</t>
  </si>
  <si>
    <t>Distinta: 17707103897360BDADEF</t>
  </si>
  <si>
    <t>Distinta: 17707102366060C26DEF</t>
  </si>
  <si>
    <t>Da NEXI Payments Spa TRN 070882703086NPPASU0000000000IT CIPBITMM per PV 1000001228596 ACCREDITO CIRCUITI INTERNAZ. 09022</t>
  </si>
  <si>
    <t>Da NEXI Payments Spa TRN 070882716086NPPASU0000000000IT CIPBITMM per PV 1000001228596 ACCREDITO BANCOMAT 090226 RIF 1119</t>
  </si>
  <si>
    <t>Da NEXI Payments Spa TRN 070883046006NPPASU0000000000IT CIPBITMM per PV 1000001228637 ACCREDITO CIRCUITI INTERNAZ. 09022</t>
  </si>
  <si>
    <t>Da NEXI Payments Spa TRN 070629186046NPPASU0000000000IT CIPBITMM per PV 1000001228596 ACCREDITO BANCOMAT 060226 RIF 1115</t>
  </si>
  <si>
    <t>Da NEXI Payments Spa TRN 070731020096NPPASU0000000000IT CIPBITMM per PV 1000001228637 ACCREDITO CIRCUITI INTERNAZ. 07022</t>
  </si>
  <si>
    <t>Da NEXI Payments Spa TRN 070629170016NPPASU0000000000IT CIPBITMM per PV 1000001228596 ACCREDITO CIRCUITI INTERNAZ. 06022</t>
  </si>
  <si>
    <t>Da NEXI Payments Spa TRN 070629555096NPPASU0000000000IT CIPBITMM per PV 1000001228637 ACCREDITO CIRCUITI INTERNAZ. 06022</t>
  </si>
  <si>
    <t>Da NEXI Payments Spa TRN 070732654056NPPASU0000000000IT CIPBITMM per PV 1000001228596 ACCREDITO CIRCUITI INTERNAZ. 07022</t>
  </si>
  <si>
    <t>Da NEXI Payments Spa TRN 070821841126NPPASU0000000000IT CIPBITMM per PV 1000001228637 ACCREDITO CIRCUITI INTERNAZ. 08022</t>
  </si>
  <si>
    <t>Da NEXI Payments Spa TRN 070732662006NPPASU0000000000IT CIPBITMM per PV 1000001228596 ACCREDITO BANCOMAT 070226 RIF 1117</t>
  </si>
  <si>
    <t>Da Satispay Europe S.A. TRN 3771d8c43be34020835b43dc9019d598 SATYLUL1XXX per Geos ssdr</t>
  </si>
  <si>
    <t>Distinta: 1770368199974213RDEF</t>
  </si>
  <si>
    <t>Distinta: 17703049255701SD2DEF</t>
  </si>
  <si>
    <t>Distinta: 17703734087032228DEF</t>
  </si>
  <si>
    <t>Distinta: 17703043808051TAODEF</t>
  </si>
  <si>
    <t>Da NEXI Payments Spa TRN 070516240026NPPASU0000000000IT CIPBITMM per PV 1000001228596 ACCREDITO CIRCUITI INTERNAZ. 05022</t>
  </si>
  <si>
    <t>Da NEXI Payments Spa TRN 070516261106NPPASU0000000000IT CIPBITMM per PV 1000001228596 ACCREDITO BANCOMAT 050226 RIF 1113</t>
  </si>
  <si>
    <t>Da NEXI Payments Spa TRN 070513990016NPPASU0000000000IT CIPBITMM per PV 1000001228637 ACCREDITO CIRCUITI INTERNAZ. 05022</t>
  </si>
  <si>
    <t>Da NEW WAVE S.R.L. TRN 1101260360235514 UNCRITMM per saldo fatt. n. 713/2025 n.3/2026</t>
  </si>
  <si>
    <t>Distinta: 17702784277351LVVDEF</t>
  </si>
  <si>
    <t>Distinta: 17702833236361NMRDEF</t>
  </si>
  <si>
    <t>Da NEXI Payments Spa TRN 070403991086NPPASU0000000000IT CIPBITMM per PV 1000001228637 ACCREDITO CIRCUITI INTERNAZ. 04022</t>
  </si>
  <si>
    <t>Da NEXI Payments Spa TRN 070403670126NPPASU0000000000IT CIPBITMM per PV 1000001228596 ACCREDITO BANCOMAT 040226 RIF 1112</t>
  </si>
  <si>
    <t>Da NEXI Payments Spa TRN 070403660026NPPASU0000000000IT CIPBITMM per PV 1000001228596 ACCREDITO CIRCUITI INTERNAZ. 04022</t>
  </si>
  <si>
    <t>Da Scalapay IP S.p.a. TRN 3601826020504511114211440880048-008 CBPSIT31XXX per 2026-02-04 - GEOS S SDRL - Scalapay IP S.p</t>
  </si>
  <si>
    <t>Distinta: 17702043993031FEDDEF</t>
  </si>
  <si>
    <t>Distinta: 17701958673091C86DEF</t>
  </si>
  <si>
    <t>Distinta: 17702014524101EIGDEF</t>
  </si>
  <si>
    <t>Distinta: 17701997465941DS8DEF</t>
  </si>
  <si>
    <t>Distinta: 17701983361911DKSDEF</t>
  </si>
  <si>
    <t>Distinta: 17702017089621F3IDEF</t>
  </si>
  <si>
    <t>Distinta: 17702019111121EDTDEF</t>
  </si>
  <si>
    <t>Distinta: 177012982205917ECDEF</t>
  </si>
  <si>
    <t>Distinta: 17701975024691CIPDEF</t>
  </si>
  <si>
    <t>Da NEXI Payments Spa TRN 070290747076NPPASU0000000000IT CIPBITMM per PV 1000001228596 ACCREDITO CIRCUITI INTERNAZ. 03022</t>
  </si>
  <si>
    <t>Da NEXI Payments Spa TRN 070291005056NPPASU0000000000IT CIPBITMM per PV 1000001228637 ACCREDITO CIRCUITI INTERNAZ. 03022</t>
  </si>
  <si>
    <t>Da NEXI Payments Spa TRN 070290760076NPPASU0000000000IT CIPBITMM per PV 1000001228596 ACCREDITO BANCOMAT 030226 RIF 1111</t>
  </si>
  <si>
    <t>ADDEBITO RELATIVO AL PERIODO DI GENNAIO   2026</t>
  </si>
  <si>
    <t>ADDEBITO CANONE DEL SERVIZIO BANCOPOSTAIMPRESA ONLINE RELATIVO AL PERIODO GENNAIO 2026 CONTRATTO N. 0059926216</t>
  </si>
  <si>
    <t>Distinta: 177010750777110PTDEF</t>
  </si>
  <si>
    <t>Da NEXI Payments Spa TRN 070189770016NPPASU0000000000IT CIPBITMM per PV 1000001228596 ACCREDITO CIRCUITI INTERNAZ. 02022</t>
  </si>
  <si>
    <t>Da Scalapay IP S.p.a. TRN 3601826020304524483532537603980-008 CBPSIT31XXX per 2026-02-02 - GEOS S SDRL - Scalapay IP S.p</t>
  </si>
  <si>
    <t>GOOGLE *ADS5278163162  01/02/2026 14.17 DUBLIN 2      Op.607179 carta ****0501</t>
  </si>
  <si>
    <t>Distinta: 17700315757860PLRDEF</t>
  </si>
  <si>
    <t>Distinta: 17700279065640OBVDEF</t>
  </si>
  <si>
    <t>Distinta: 17700360354350QVCDEF</t>
  </si>
  <si>
    <t>Da NEXI Payments Spa TRN 070122768016NPPASU0000000000IT CIPBITMM per PV 1000001228637 ACCREDITO CIRCUITI INTERNAZ. 01022</t>
  </si>
  <si>
    <t>Da NEXI Payments Spa TRN 070031894106NPPASU0000000000IT CIPBITMM per PV 1000001228596 ACCREDITO BANCOMAT 310126 RIF 1107</t>
  </si>
  <si>
    <t>Da NEXI Payments Spa TRN 070031889056NPPASU0000000000IT CIPBITMM per PV 1000001228596 ACCREDITO CIRCUITI INTERNAZ. 31012</t>
  </si>
  <si>
    <t>Da NEXI Payments Spa TRN 069938018076NPPASU0000000000IT CIPBITMM per PV 1000001228596 ACCREDITO CIRCUITI INTERNAZ. 30012</t>
  </si>
  <si>
    <t>Da NEXI Payments Spa TRN 069938031076NPPASU0000000000IT CIPBITMM per PV 1000001228596 ACCREDITO BANCOMAT 300126 RIF 1104</t>
  </si>
  <si>
    <t>Da Satispay Europe S.A. TRN 8435be6c745049b9be750d650fc4f88f SATYLUL1XXX per Geos ssdr</t>
  </si>
  <si>
    <t>Da NEXI Payments Spa TRN 069820384106NPPASU0000000000IT CIPBITMM per PV 1000001228637 ACCREDITO CIRCUITI INTERNAZ. 29012</t>
  </si>
  <si>
    <t>Da NEXI Payments Spa TRN 069819021126NPPASU0000000000IT CIPBITMM per PV 1000001228596 ACCREDITO CIRCUITI INTERNAZ. 29012</t>
  </si>
  <si>
    <t>Da NEXI Payments Spa TRN 069819028066NPPASU0000000000IT CIPBITMM per PV 1000001228596 ACCREDITO BANCOMAT 290126 RIF 1103</t>
  </si>
  <si>
    <t>Distinta: 176961314880207T5DEF</t>
  </si>
  <si>
    <t>Distinta: 1769672988689018FDEF</t>
  </si>
  <si>
    <t>Da NEXI Payments Spa TRN 069711383016NPPASU0000000000IT CIPBITMM per PV 1000001228596 ACCREDITO CIRCUITI INTERNAZ. 28012</t>
  </si>
  <si>
    <t>Da NEXI Payments Spa TRN 069711396016NPPASU0000000000IT CIPBITMM per PV 1000001228596 ACCREDITO BANCOMAT 280126 RIF 1101</t>
  </si>
  <si>
    <t>Da NEXI Payments Spa TRN 069711158106NPPASU0000000000IT CIPBITMM per PV 1000001228637 ACCREDITO CIRCUITI INTERNAZ. 28012</t>
  </si>
  <si>
    <t>Da NEXI Payments Spa TRN 069603697076NPPASU0000000000IT CIPBITMM per PV 1000001228596 ACCREDITO BANCOMAT 270126 RIF 1100</t>
  </si>
  <si>
    <t>Da NEXI Payments Spa TRN 069603684076NPPASU0000000000IT CIPBITMM per PV 1000001228596 ACCREDITO CIRCUITI INTERNAZ. 27012</t>
  </si>
  <si>
    <t>Da ENCANTO CLUB LATINO ASS NE SPOR VA TRN 0306908984264105S90960609606IT BCITITMMXXX per Pagamento FT 817 19/01 e 12 del</t>
  </si>
  <si>
    <t>Da NEXI Payments Spa TRN 069504590126NPPASU0000000000IT CIPBITMM per PV 1000001228596 ACCREDITO CIRCUITI INTERNAZ. 26012</t>
  </si>
  <si>
    <t>Da NEXI Payments Spa TRN 069504598076NPPASU0000000000IT CIPBITMM per PV 1000001228596 ACCREDITO BANCOMAT 260126 RIF 1099</t>
  </si>
  <si>
    <t>Da NEXI Payments Spa TRN 069498502086NPPASU0000000000IT CIPBITMM per PV 1000001228637 ACCREDITO CIRCUITI INTERNAZ. 26012</t>
  </si>
  <si>
    <t>Da NEXI Payments Spa TRN 069351318106NPPASU0000000000IT CIPBITMM per PV 1000001228596 ACCREDITO CIRCUITI INTERNAZ. 24012</t>
  </si>
  <si>
    <t>Da NEXI Payments Spa TRN 069247322016NPPASU0000000000IT CIPBITMM per PV 1000001228596 ACCREDITO CIRCUITI INTERNAZ. 23012</t>
  </si>
  <si>
    <t>Da NEXI Payments Spa TRN 069434246116NPPASU0000000000IT CIPBITMM per PV 1000001228637 ACCREDITO CIRCUITI INTERNAZ. 25012</t>
  </si>
  <si>
    <t>Da NEXI Payments Spa TRN 069247337036NPPASU0000000000IT CIPBITMM per PV 1000001228596 ACCREDITO BANCOMAT 230126 RIF 1095</t>
  </si>
  <si>
    <t>Da NEXI Payments Spa TRN 069351338046NPPASU0000000000IT CIPBITMM per PV 1000001228596 ACCREDITO BANCOMAT 240126 RIF 1096</t>
  </si>
  <si>
    <t>Da NEXI Payments Spa TRN 069134668056NPPASU0000000000IT CIPBITMM per PV 1000001228637 ACCREDITO CIRCUITI INTERNAZ. 22012</t>
  </si>
  <si>
    <t>Da NEXI Payments Spa TRN 069136434036NPPASU0000000000IT CIPBITMM per PV 1000001228596 ACCREDITO CIRCUITI INTERNAZ. 22012</t>
  </si>
  <si>
    <t>Da NEXI Payments Spa TRN 069136447036NPPASU0000000000IT CIPBITMM per PV 1000001228596 ACCREDITO BANCOMAT 220126 RIF 1093</t>
  </si>
  <si>
    <t>Da Scalapay IP S.p.a. TRN 3601826012304520487070669027166-008 CBPSIT31XXX per 2026-01-22 - GEOS S SDRL - Scalapay IP S.p</t>
  </si>
  <si>
    <t>Da Satispay Europe S.A. TRN c9cf3b8acb76489cb3bc50247f69ee3d SATYLUL1XXX per Geos ssdr</t>
  </si>
  <si>
    <t>Alaio Cloud Limited    21/01/2026 09.22 Limassol      Op.601637 carta ****0501</t>
  </si>
  <si>
    <t>Distinta: 17690725202600V4UDEF</t>
  </si>
  <si>
    <t>Da NEXI Payments Spa TRN 069031799056NPPASU0000000000IT CIPBITMM per PV 1000001228596 ACCREDITO CIRCUITI INTERNAZ. 21012</t>
  </si>
  <si>
    <t>Da NEXI Payments Spa TRN 069031814076NPPASU0000000000IT CIPBITMM per PV 1000001228596 ACCREDITO BANCOMAT 210126 RIF 1092</t>
  </si>
  <si>
    <t>Da Scalapay IP S.p.a. TRN 3601826012204532500730550448410-008 CBPSIT31XXX per 2026-01-21 - GEOS S SDRL - Scalapay IP S.p</t>
  </si>
  <si>
    <t>Distinta: 17689892291710MCFDEF</t>
  </si>
  <si>
    <t>Da NEXI Payments Spa TRN 068920717086NPPASU0000000000IT CIPBITMM per PV 1000001228596 ACCREDITO CIRCUITI INTERNAZ. 20012</t>
  </si>
  <si>
    <t>Da NEXI Payments Spa TRN 068919268026NPPASU0000000000IT CIPBITMM per PV 1000001228637 ACCREDITO CIRCUITI INTERNAZ. 20012</t>
  </si>
  <si>
    <t>Da NEXI Payments Spa TRN 068920731096NPPASU0000000000IT CIPBITMM per PV 1000001228596 ACCREDITO BANCOMAT 200126 RIF 1090</t>
  </si>
  <si>
    <t>Da NEXI Payments Spa TRN 068821145036NPPASU0000000000IT CIPBITMM per PV 1000001228596 ACCREDITO CIRCUITI INTERNAZ. 19012</t>
  </si>
  <si>
    <t>Da NEXI Payments Spa TRN 068821155006NPPASU0000000000IT CIPBITMM per PV 1000001228596 ACCREDITO BANCOMAT 190126 RIF 1089</t>
  </si>
  <si>
    <t>Da NEXI Payments Spa TRN 068821375126NPPASU0000000000IT CIPBITMM per PV 1000001228637 ACCREDITO CIRCUITI INTERNAZ. 19012</t>
  </si>
  <si>
    <t>FIGMA                  17/01/2026 19.19 SAN FRANCISCO Op.603173 carta ****0501</t>
  </si>
  <si>
    <t>Da NEXI Payments Spa TRN 068670898106NPPASU0000000000IT CIPBITMM per PV 1000001228637 ACCREDITO CIRCUITI INTERNAZ. 17012</t>
  </si>
  <si>
    <t>Da NEXI Payments Spa TRN 068670153066NPPASU0000000000IT CIPBITMM per PV 1000001228596 ACCREDITO CIRCUITI INTERNAZ. 17012</t>
  </si>
  <si>
    <t>Da NEXI Payments Spa TRN 068670163036NPPASU0000000000IT CIPBITMM per PV 1000001228596 ACCREDITO BANCOMAT 170126 RIF 1087</t>
  </si>
  <si>
    <t>Da NEXI Payments Spa TRN 068754760096NPPASU0000000000IT CIPBITMM per PV 1000001228596 ACCREDITO BANCOMAT 180126 RIF 1088</t>
  </si>
  <si>
    <t>Da NEXI Payments Spa TRN 068754629086NPPASU0000000000IT CIPBITMM per PV 1000001228637 ACCREDITO CIRCUITI INTERNAZ. 18012</t>
  </si>
  <si>
    <t>Da NEXI Payments Spa TRN 068572642086NPPASU0000000000IT CIPBITMM per PV 1000001228596 ACCREDITO CIRCUITI INTERNAZ. 16012</t>
  </si>
  <si>
    <t>Da NEXI Payments Spa TRN 068572659126NPPASU0000000000IT CIPBITMM per PV 1000001228596 ACCREDITO BANCOMAT 160126 RIF 1085</t>
  </si>
  <si>
    <t>Da NEXI Payments Spa TRN 068754756056NPPASU0000000000IT CIPBITMM per PV 1000001228596 ACCREDITO CIRCUITI INTERNAZ. 18012</t>
  </si>
  <si>
    <t>Da NEXI Payments Spa TRN 068572427016NPPASU0000000000IT CIPBITMM per PV 1000001228637 ACCREDITO CIRCUITI INTERNAZ. 16012</t>
  </si>
  <si>
    <t>Da Scalapay IP S.p.a. TRN 3601826011904512422240088443209-008 CBPSIT31XXX per 2026-01-18 - GEOS S SDRL - Scalapay IP S.p</t>
  </si>
  <si>
    <t>ACCREDITO PER POSTEPAY CASHBACK BUSINESS</t>
  </si>
  <si>
    <t>PER ACQUISTO DI EURO 531,20 DA AUUM IL 21/12/2025</t>
  </si>
  <si>
    <t>PER ACQUISTO DI EURO 444,19 DA METRO FIL.SAN DONATO M IL 12/12/2025</t>
  </si>
  <si>
    <t>PER ACQUISTO DI EURO 432,00 DA TRIPLES SRL IL 31/10/2025</t>
  </si>
  <si>
    <t>PER ACQUISTO DI EURO 279,09 DA ESSELUNGA RIPAMONTI IL 12/12/2025</t>
  </si>
  <si>
    <t>PER ACQUISTO DI EURO 200,00 DA GOOGLE *ADS5278163162 IL 25/12/2025</t>
  </si>
  <si>
    <t>PER ACQUISTO DI EURO 80,00 DA TRIPLES SRL IL 28/10/2025</t>
  </si>
  <si>
    <t>PER ACQUISTO DI EURO 70,00 DA MARTESANA S.R.L. IL 07/10/2025</t>
  </si>
  <si>
    <t>PER ACQUISTO DI EURO 50,00 DA CAFFE' VINO VIA BELLEZ IL 08/10/2025</t>
  </si>
  <si>
    <t>PER ACQUISTO DI EURO 50,00 DA Cera una volta IL 07/10/2025</t>
  </si>
  <si>
    <t>PER ACQUISTO DI EURO 50,00 DA GOOGLE *ADS5278163162 IL 04/12/2025</t>
  </si>
  <si>
    <t>PER ACQUISTO DI EURO 42,04 DA ACQUA E SAPONE IL 11/12/2025</t>
  </si>
  <si>
    <t>PER ACQUISTO DI EURO 39,54 DA GOOGLE *ADS5278163162 IL 01/12/2025</t>
  </si>
  <si>
    <t>PER ACQUISTO DI EURO 37,44 DA GOOGLE *ADS5278163162 IL 01/01/2026</t>
  </si>
  <si>
    <t>PER ACQUISTO DI EURO 31,20 DA PAM LOCAL IL 11/12/2025</t>
  </si>
  <si>
    <t>PER ACQUISTO DI EURO 24,76 DA ODSTORE PIAZZA DUOMO IL 28/10/2025</t>
  </si>
  <si>
    <t>PER ACQUISTO DI EURO 20,00 DA FIGMA IL 17/12/2025</t>
  </si>
  <si>
    <t>PER ACQUISTO DI EURO 10,00 DA GOOGLE *ADS5278163162 IL 29/11/2025</t>
  </si>
  <si>
    <t>Distinta: 17685574250171DM2DEF</t>
  </si>
  <si>
    <t>Da NEXI Payments Spa TRN 068458136066NPPASU0000000000IT CIPBITMM per PV 1000001228637 ACCREDITO CIRCUITI INTERNAZ. 15012</t>
  </si>
  <si>
    <t>Da NEXI Payments Spa TRN 068458195006NPPASU0000000000IT CIPBITMM per PV 1000001228596 ACCREDITO CIRCUITI INTERNAZ. 15012</t>
  </si>
  <si>
    <t>Da NEXI Payments Spa TRN 068458204096NPPASU0000000000IT CIPBITMM per PV 1000001228596 ACCREDITO BANCOMAT 150126 RIF 1084</t>
  </si>
  <si>
    <t>Da ENCANTO CLUB LATINO ASS NE SPOR VA TRN 0306908656574405S90960609606IT BCITITMMXXX per FT 4 del 14/01/26</t>
  </si>
  <si>
    <t>Da IMMOBILIARE MONTE DI PIETA  SRL TRN 0306926049580511483338033380IT BCITITMMXXX per Doc.N. 783</t>
  </si>
  <si>
    <t>Da NEXI Payments Spa TRN 068353464106NPPASU0000000000IT CIPBITMM per PV 1000001228596 ACCREDITO CIRCUITI INTERNAZ. 14012</t>
  </si>
  <si>
    <t>Da NEXI Payments Spa TRN 068354277046NPPASU0000000000IT CIPBITMM per PV 1000001228637 ACCREDITO CIRCUITI INTERNAZ. 14012</t>
  </si>
  <si>
    <t>Da NEXI Payments Spa TRN 068353481016NPPASU0000000000IT CIPBITMM per PV 1000001228596 ACCREDITO BANCOMAT 140126 RIF 1082</t>
  </si>
  <si>
    <t>Da Scalapay IP S.p.a. TRN 3601826011504514091853337088262-008 CBPSIT31XXX per 2026-01-14 - GEOS S SDRL - Scalapay IP S.p</t>
  </si>
  <si>
    <t>Da Gympass US LLC TRN GQCK3YQ3WZXD CHASNL2XXXX per WellhubGym</t>
  </si>
  <si>
    <t>Distinta: 17683115750180I4SDEF</t>
  </si>
  <si>
    <t>Da NEXI Payments Spa TRN 068240394016NPPASU0000000000IT CIPBITMM per PV 1000001228637 ACCREDITO CIRCUITI INTERNAZ. 13012</t>
  </si>
  <si>
    <t>Da NEXI Payments Spa TRN 068239881086NPPASU0000000000IT CIPBITMM per PV 1000001228596 ACCREDITO BANCOMAT 130126 RIF 1081</t>
  </si>
  <si>
    <t>Da NEXI Payments Spa TRN 068239872126NPPASU0000000000IT CIPBITMM per PV 1000001228596 ACCREDITO CIRCUITI INTERNAZ. 13012</t>
  </si>
  <si>
    <t>Da NEXI Payments Spa TRN 068136676106NPPASU0000000000IT CIPBITMM per PV 1000001228596 ACCREDITO BANCOMAT 120126 RIF 1080</t>
  </si>
  <si>
    <t>Da NEXI Payments Spa TRN 068147591056NPPASU0000000000IT CIPBITMM per PV 1000001228637 ACCREDITO CIRCUITI INTERNAZ. 12012</t>
  </si>
  <si>
    <t>Da NEXI Payments Spa TRN 068136662096NPPASU0000000000IT CIPBITMM per PV 1000001228596 ACCREDITO CIRCUITI INTERNAZ. 12012</t>
  </si>
  <si>
    <t>Da NEXI Payments Spa TRN 067897211056NPPASU0000000000IT CIPBITMM per PV 1000001228596 ACCREDITO BANCOMAT 090126 RIF 1076</t>
  </si>
  <si>
    <t>Da NEXI Payments Spa TRN 067993851036NPPASU0000000000IT CIPBITMM per PV 1000001228596 ACCREDITO CIRCUITI INTERNAZ. 10012</t>
  </si>
  <si>
    <t>Da NEXI Payments Spa TRN 067897201086NPPASU0000000000IT CIPBITMM per PV 1000001228596 ACCREDITO CIRCUITI INTERNAZ. 09012</t>
  </si>
  <si>
    <t>Da NEXI Payments Spa TRN 067897902076NPPASU0000000000IT CIPBITMM per PV 1000001228637 ACCREDITO CIRCUITI INTERNAZ. 09012</t>
  </si>
  <si>
    <t>Da NEXI Payments Spa TRN 068076155046NPPASU0000000000IT CIPBITMM per PV 1000001228637 ACCREDITO CIRCUITI INTERNAZ. 11012</t>
  </si>
  <si>
    <t>Da Satispay Europe S.A. TRN 4828c114bc4340bc8dff5b831081dedf SATYLUL1XXX per Geos ssdr</t>
  </si>
  <si>
    <t>Da MODULO PROJECT S.R.L. TRN 1101260090582567 UNCRITMM per Fattura n. 01 del 09/01/2026 - Affitto studi Dicembre 2025</t>
  </si>
  <si>
    <t>Da MODULO PROJECT S.R.L. TRN 1101260090583703 UNCRITMM per Fattura n. 02 del 09/01/2026 - Affitto Studio Dicembre 2025 e</t>
  </si>
  <si>
    <t>Da NEXI Payments Spa TRN 067788271056NPPASU0000000000IT CIPBITMM per PV 1000001228596 ACCREDITO CIRCUITI INTERNAZ. 08012</t>
  </si>
  <si>
    <t>Da NEXI Payments Spa TRN 067788990096NPPASU0000000000IT CIPBITMM per PV 1000001228637 ACCREDITO CIRCUITI INTERNAZ. 08012</t>
  </si>
  <si>
    <t>Da NEXI Payments Spa TRN 067788300086NPPASU0000000000IT CIPBITMM per PV 1000001228596 ACCREDITO BANCOMAT 080126 RIF 1074</t>
  </si>
  <si>
    <t>Da Satispay Europe S.A. TRN b09f852ef4a544aaaf5d9ccf00c848fc SATYLUL1XXX per Geos ssdr</t>
  </si>
  <si>
    <t>WWW.FEDERGINNASTICA.IT 07/01/2026 12.00 ROMA          Op.606201 carta ****0501</t>
  </si>
  <si>
    <t>Distinta: 17678621244373H8HDEF</t>
  </si>
  <si>
    <t>Distinta: 17678766973403M82DEF</t>
  </si>
  <si>
    <t>Distinta: 17678596476993FJMDEF</t>
  </si>
  <si>
    <t>Distinta: 17678593374563GE3DEF</t>
  </si>
  <si>
    <t>Distinta: 17678622568423GA8DEF</t>
  </si>
  <si>
    <t>Da NEXI Payments Spa TRN 067682798016NPPASU0000000000IT CIPBITMM per PV 1000001228637 ACCREDITO CIRCUITI INTERNAZ. 07012</t>
  </si>
  <si>
    <t>Da NEXI Payments Spa TRN 067678972106NPPASU0000000000IT CIPBITMM per PV 1000001228596 ACCREDITO CIRCUITI INTERNAZ. 07012</t>
  </si>
  <si>
    <t>Distinta: 176778459946838N0DEF</t>
  </si>
  <si>
    <t>Da NEXI Payments Spa TRN 067551787046NPPASU0000000000IT CIPBITMM per PV 1000001228637 ACCREDITO CIRCUITI INTERNAZ. 05012</t>
  </si>
  <si>
    <t>Da NEXI Payments Spa TRN 067612880106NPPASU0000000000IT CIPBITMM per PV 1000001228637 ACCREDITO CIRCUITI INTERNAZ. 06012</t>
  </si>
  <si>
    <t>Da Scalapay IP S.p.a. TRN 3601826010604502906315272182117-008 CBPSIT31XXX per 2026-01-05 - GEOS S SDRL - Scalapay IP S.p</t>
  </si>
  <si>
    <t>Da NEXI Payments Spa TRN 067424841036NPPASU0000000000IT CIPBITMM per PV 1000001228637 ACCREDITO CIRCUITI INTERNAZ. 03012</t>
  </si>
  <si>
    <t>Da NEXI Payments Spa TRN 067341954046NPPASU0000000000IT CIPBITMM per PV 1000001228637 ACCREDITO CIRCUITI INTERNAZ. 02012</t>
  </si>
  <si>
    <t>ADDEBITO RELATIVO AL PERIODO DI DICEMBRE  2025</t>
  </si>
  <si>
    <t>ADDEBITO CANONE DEL SERVIZIO BANCOPOSTAIMPRESA ONLINE RELATIVO AL PERIODO DICEMBRE 2025 CONTRATTO N. 0059926216</t>
  </si>
  <si>
    <t>GOOGLE *ADS5278163162  01/01/2026 11.09 DUBLIN 2      Op.606827 carta ****0501</t>
  </si>
  <si>
    <t>Da NEXI Payments Spa TRN 067311384106NPPASU0000000000IT CIPBITMM per PV 1000001228637 ACCREDITO CIRCUITI INTERNAZ. 01012</t>
  </si>
  <si>
    <t>Da NEXI Payments Spa TRN 067225461046NPPASU0000000000IT CIPBITMM per PV 1000001228637 ACCREDITO CIRCUITI INTERNAZ. 31122</t>
  </si>
  <si>
    <t>Da NEXI Payments Spa TRN 067229959046NPPASU0000000000IT CIPBITMM per PV 1000001228596 ACCREDITO CIRCUITI INTERNAZ. 31122</t>
  </si>
  <si>
    <t>Distinta: 17670221936881VS7DEF</t>
  </si>
  <si>
    <t>Distinta: 17670225767171VJBDEF</t>
  </si>
  <si>
    <t>Distinta: 176708277928123G2DEF</t>
  </si>
  <si>
    <t>Distinta: 1767023315125208CDEF</t>
  </si>
  <si>
    <t>Distinta: 1767081831954239DDEF</t>
  </si>
  <si>
    <t>Distinta: 17670213871381V8TDEF</t>
  </si>
  <si>
    <t>Distinta: 176708248259523DJDEF</t>
  </si>
  <si>
    <t>TRN POSOIT22XXX IP228aab97d91049628c6720c1966a0d50 DA KINETICVIBE SRL PER Acconto 30 per vostro affitto studio del 22 fe</t>
  </si>
  <si>
    <t>Da NEXI Payments Spa TRN 067047334035NPPASU0000000000IT CIPBITMM per PV 1000001228596 ACCREDITO BANCOMAT 291225 RIF 1061</t>
  </si>
  <si>
    <t>Da NEXI Payments Spa TRN 067046807095NPPASU0000000000IT CIPBITMM per PV 1000001228637 ACCREDITO CIRCUITI INTERNAZ. 29122</t>
  </si>
  <si>
    <t>Da NEXI Payments Spa TRN 067047329115NPPASU0000000000IT CIPBITMM per PV 1000001228596 ACCREDITO CIRCUITI INTERNAZ. 29122</t>
  </si>
  <si>
    <t>Da ENCANTO CLUB LATINO ASS NE SPOR VA TRN 0306908095546405S90960609606IT BCITITMMXXX per Pagamento FT 781 del 22/12/25</t>
  </si>
  <si>
    <t>GOOGLE *ADS5278163162  25/12/2025 07.51 DUBLIN 2      Op.696100 carta ****0501</t>
  </si>
  <si>
    <t>Distinta: 17670071682961S54DEF</t>
  </si>
  <si>
    <t>Distinta: 17670077827111SAMDEF</t>
  </si>
  <si>
    <t>Distinta: 17669995291561OCUDEF</t>
  </si>
  <si>
    <t>Distinta: 17669986215951OOBDEF</t>
  </si>
  <si>
    <t>Distinta: 17670017901511P9TDEF</t>
  </si>
  <si>
    <t>Distinta: 17669950450041N7FDEF</t>
  </si>
  <si>
    <t>Distinta: 17670056376261RHLDEF</t>
  </si>
  <si>
    <t>Distinta: 17669964651831NLMDEF</t>
  </si>
  <si>
    <t>Distinta: 17670031590421PULDEF</t>
  </si>
  <si>
    <t>Distinta: 17670071326911S4JDEF</t>
  </si>
  <si>
    <t>Da NEXI Payments Spa TRN 066975223035NPPASU0000000000IT CIPBITMM per PV 1000001228637 ACCREDITO CIRCUITI INTERNAZ. 28122</t>
  </si>
  <si>
    <t>Da NEXI Payments Spa TRN 066863104095NPPASU0000000000IT CIPBITMM per PV 1000001228637 ACCREDITO CIRCUITI INTERNAZ. 26122</t>
  </si>
  <si>
    <t>Da NEXI Payments Spa TRN 066908412125NPPASU0000000000IT CIPBITMM per PV 1000001228637 ACCREDITO CIRCUITI INTERNAZ. 27122</t>
  </si>
  <si>
    <t>Da NEXI Payments Spa TRN 066823496125NPPASU0000000000IT CIPBITMM per PV 1000001228637 ACCREDITO CIRCUITI INTERNAZ. 25122</t>
  </si>
  <si>
    <t>Da NEXI Payments Spa TRN 066651330055NPPASU0000000000IT CIPBITMM per PV 1000001228637 ACCREDITO CIRCUITI INTERNAZ. 23122</t>
  </si>
  <si>
    <t>Da NEXI Payments Spa TRN 066650841105NPPASU0000000000IT CIPBITMM per PV 1000001228596 ACCREDITO BANCOMAT 231225 RIF 1054</t>
  </si>
  <si>
    <t>VODAFONE (CCBS)      CID.IT200010000093026890017             MAN.09305930969</t>
  </si>
  <si>
    <t>Distinta: 17664148931480R8UDEF</t>
  </si>
  <si>
    <t>Distinta: 1766485738447154JDEF</t>
  </si>
  <si>
    <t>Da NEXI Payments Spa TRN 066536982055NPPASU0000000000IT CIPBITMM per PV 1000001228596 ACCREDITO CIRCUITI INTERNAZ. 22122</t>
  </si>
  <si>
    <t>Da NEXI Payments Spa TRN 066536991015NPPASU0000000000IT CIPBITMM per PV 1000001228596 ACCREDITO BANCOMAT 221225 RIF 1052</t>
  </si>
  <si>
    <t>Da NEXI Payments Spa TRN 066545921005NPPASU0000000000IT CIPBITMM per PV 1000001228637 ACCREDITO CIRCUITI INTERNAZ. 22122</t>
  </si>
  <si>
    <t>TRN BCITITMMXXX 0306923250678504489468199999IT DA ARGUELLO YURI ALESSANDRO PER AFFITTO STUDIO OTTOBRE NOVEMBRE DICEMBRE</t>
  </si>
  <si>
    <t>Da BARNABITI SPORT TEAM SOCIETA' SPORTIVA D TRN VTP25356T0019766480161301600IT POSOIT2106C per saldo fattura 775 v1</t>
  </si>
  <si>
    <t>Da TG NEW CO SRL TRN 0000051296949600486405064050IT CIVIIT2CXXX per SUPP PAGAMENTO FT. N. 778 DEL 19.12.2025</t>
  </si>
  <si>
    <t>AUUM                   21/12/2025 14.52 MILANO        Op.699129 carta ****0501</t>
  </si>
  <si>
    <t>Distinta: 17663915813150HIFDEF</t>
  </si>
  <si>
    <t>Da NEXI Payments Spa TRN 066457675115NPPASU0000000000IT CIPBITMM per PV 1000001228637 ACCREDITO CIRCUITI INTERNAZ. 21122</t>
  </si>
  <si>
    <t>Da NEXI Payments Spa TRN 066252225005NPPASU0000000000IT CIPBITMM per PV 1000001228596 ACCREDITO CIRCUITI INTERNAZ. 19122</t>
  </si>
  <si>
    <t>Da NEXI Payments Spa TRN 066252238005NPPASU0000000000IT CIPBITMM per PV 1000001228596 ACCREDITO BANCOMAT 191225 RIF 1047</t>
  </si>
  <si>
    <t>Da NEXI Payments Spa TRN 066390726125NPPASU0000000000IT CIPBITMM per PV 1000001228596 ACCREDITO CIRCUITI INTERNAZ. 20122</t>
  </si>
  <si>
    <t>Da Massimo Nella TRN 17306606604 INGBITD1XXX per Saldo Fattura n.711-V1 del 10.12.2025</t>
  </si>
  <si>
    <t>Da NEXI Payments Spa TRN 066132367025NPPASU0000000000IT CIPBITMM per PV 1000001228637 ACCREDITO CIRCUITI INTERNAZ. 18122</t>
  </si>
  <si>
    <t>Da NEXI Payments Spa TRN 066134414085NPPASU0000000000IT CIPBITMM per PV 1000001228596 ACCREDITO CIRCUITI INTERNAZ. 18122</t>
  </si>
  <si>
    <t>FIGMA                  17/12/2025 09.18 SAN FRANCISCO Op.693266 carta ****0501</t>
  </si>
  <si>
    <t>Da NEXI Payments Spa TRN 066013511055NPPASU0000000000IT CIPBITMM per PV 1000001228596 ACCREDITO CIRCUITI INTERNAZ. 17122</t>
  </si>
  <si>
    <t>Da NEXI Payments Spa TRN 066012304075NPPASU0000000000IT CIPBITMM per PV 1000001228637 ACCREDITO CIRCUITI INTERNAZ. 17122</t>
  </si>
  <si>
    <t>Da MODULO PROJECT S.R.L. TRN 1101253510255340 UNCRITMM per Fattura n. 774 V1 del 17/12/2025 - Affitto Studio Novembre 20</t>
  </si>
  <si>
    <t>Da MODULO PROJECT S.R.L. TRN 1101253510258191 UNCRITMM per Fattura n. 773 V1 del 17/12/2025 - Affitto studi Novembre 202</t>
  </si>
  <si>
    <t>Da NEW WAVE S.R.L. TRN 1101253510316340 UNCRITMM per saldo fatt. 645-669-706/2025</t>
  </si>
  <si>
    <t>Distinta: 17659721358360IQ3DEF</t>
  </si>
  <si>
    <t>Da NEXI Payments Spa TRN 065906966085NPPASU0000000000IT CIPBITMM per PV 1000001228637 ACCREDITO CIRCUITI INTERNAZ. 16122</t>
  </si>
  <si>
    <t>Distinta: 1765890499066065ODEF</t>
  </si>
  <si>
    <t>Distinta: 176587185248500IMDEF</t>
  </si>
  <si>
    <t>Distinta: 176587141478700GADEF</t>
  </si>
  <si>
    <t>Distinta: 176587157454000FBDEF</t>
  </si>
  <si>
    <t>Da NEXI Payments Spa TRN 065795558105NPPASU0000000000IT CIPBITMM per PV 1000001228637 ACCREDITO CIRCUITI INTERNAZ. 15122</t>
  </si>
  <si>
    <t>Da NEXI Payments Spa TRN 065788442055NPPASU0000000000IT CIPBITMM per PV 1000001228596 ACCREDITO CIRCUITI INTERNAZ. 15122</t>
  </si>
  <si>
    <t>METRO FIL.SAN DONATO M 12/12/2025 11.26 SAN DONATO MI Op.697899 carta ****0501</t>
  </si>
  <si>
    <t>ESSELUNGA RIPAMONTI    12/12/2025 12.44 Op. 690034  Carta ****0501</t>
  </si>
  <si>
    <t>Distinta: 17658042369320IPPDEF</t>
  </si>
  <si>
    <t>Da NEXI Payments Spa TRN 065512664095NPPASU0000000000IT CIPBITMM per PV 1000001228596 ACCREDITO CIRCUITI INTERNAZ. 12122</t>
  </si>
  <si>
    <t>Da NEXI Payments Spa TRN 065712590085NPPASU0000000000IT CIPBITMM per PV 1000001228637 ACCREDITO CIRCUITI INTERNAZ. 14122</t>
  </si>
  <si>
    <t>Da NEXI Payments Spa TRN 065630123005NPPASU0000000000IT CIPBITMM per PV 1000001228596 ACCREDITO CIRCUITI INTERNAZ. 13122</t>
  </si>
  <si>
    <t>Da NEXI Payments Spa TRN 065712277075NPPASU0000000000IT CIPBITMM per PV 1000001228596 ACCREDITO CIRCUITI INTERNAZ. 14122</t>
  </si>
  <si>
    <t>Da NEXI Payments Spa TRN 065629113045NPPASU0000000000IT CIPBITMM per PV 1000001228637 ACCREDITO CIRCUITI INTERNAZ. 13122</t>
  </si>
  <si>
    <t>Da Satispay Europe S.A. TRN f78a20d9f0db4bab89addb14221e53ff SATYLUL1XXX per Geos ssdr</t>
  </si>
  <si>
    <t>Da ENCANTO CLUB LATINO ASS NE SPOR VA TRN 0306907622141901S90960609606IT BCITITMMXXX per Pagamento FT 714 del 11/12/2025</t>
  </si>
  <si>
    <t>Da Gympass US LLC TRN G7HYH3NHSSM3 CHASNL2XXXX per WellhubGym</t>
  </si>
  <si>
    <t>ACQUA E SAPONE         11/12/2025 10.17 MILANO        Op.690314 carta ****0501</t>
  </si>
  <si>
    <t>PAM LOCAL              11/12/2025 10.26 Op. 690788  Carta ****0501</t>
  </si>
  <si>
    <t>Distinta: 1765535076153031QDEF</t>
  </si>
  <si>
    <t>Da NEXI Payments Spa TRN 065414935015NPPASU0000000000IT CIPBITMM per PV 1000001228596 ACCREDITO CIRCUITI INTERNAZ. 11122</t>
  </si>
  <si>
    <t>Da NEXI Payments Spa TRN 065415619095NPPASU0000000000IT CIPBITMM per PV 1000001228637 ACCREDITO CIRCUITI INTERNAZ. 11122</t>
  </si>
  <si>
    <t>Da Scalapay IP S.p.a. TRN 3601825121204540729761282218741-008 CBPSIT31XXX per 2025-12-11 - GEOS S SDRL - Scalapay IP S.p</t>
  </si>
  <si>
    <t>Distinta: 176545030105103URDEF</t>
  </si>
  <si>
    <t>Da NEXI Payments Spa TRN 065291379105NPPASU0000000000IT CIPBITMM per PV 1000001228596 ACCREDITO BANCOMAT 101225 RIF 1033</t>
  </si>
  <si>
    <t>Da NEXI Payments Spa TRN 065291567035NPPASU0000000000IT CIPBITMM per PV 1000001228637 ACCREDITO CIRCUITI INTERNAZ. 10122</t>
  </si>
  <si>
    <t>Da NEXI Payments Spa TRN 065291371025NPPASU0000000000IT CIPBITMM per PV 1000001228596 ACCREDITO CIRCUITI INTERNAZ. 10122</t>
  </si>
  <si>
    <t>Da Satispay Europe S.A. TRN 8dd7f4d3b0864b1796e7f3f93adc1f86 SATYLUL1XXX per Geos ssdr</t>
  </si>
  <si>
    <t>Distinta: 17653563303340OGEDEF</t>
  </si>
  <si>
    <t>TRN BCITITMMXXX 0306922793965306489468199999IT DA ARGUELLO YURI ALESSANDRO PER FATTURA 712 V1 AFFITTO STUDIO SETTEMBRE 2</t>
  </si>
  <si>
    <t>Da NEXI Payments Spa TRN 065165011025NPPASU0000000000IT CIPBITMM per PV 1000001228596 ACCREDITO CIRCUITI INTERNAZ. 09122</t>
  </si>
  <si>
    <t>Da NEXI Payments Spa TRN 065165158065NPPASU0000000000IT CIPBITMM per PV 1000001228637 ACCREDITO CIRCUITI INTERNAZ. 09122</t>
  </si>
  <si>
    <t>Da NEXI Payments Spa TRN 065165020115NPPASU0000000000IT CIPBITMM per PV 1000001228596 ACCREDITO BANCOMAT 091225 RIF 1031</t>
  </si>
  <si>
    <t>Da Satispay Europe S.A. TRN e5521fdfea87405ba371a8ac66a1dbfa SATYLUL1XXX per Geos ssdr</t>
  </si>
  <si>
    <t>Distinta: 17652675080950CJGDEF</t>
  </si>
  <si>
    <t>Distinta: 17652721467920EO9DEF</t>
  </si>
  <si>
    <t>Distinta: 17652728139780F07DEF</t>
  </si>
  <si>
    <t>Distinta: 17652680166830DCGDEF</t>
  </si>
  <si>
    <t>Distinta: 17652669411590COKDEF</t>
  </si>
  <si>
    <t>Da NEXI Payments Spa TRN 065022908025NPPASU0000000000IT CIPBITMM per PV 1000001228637 ACCREDITO CIRCUITI INTERNAZ. 07122</t>
  </si>
  <si>
    <t>Da NEXI Payments Spa TRN 064841274045NPPASU0000000000IT CIPBITMM per PV 1000001228637 ACCREDITO CIRCUITI INTERNAZ. 05122</t>
  </si>
  <si>
    <t>GOOGLE *ADS5278163162  04/12/2025 09.22 DUBLIN 2      Op.692098 carta ****0501</t>
  </si>
  <si>
    <t>Distinta: 176485588088529FCDEF</t>
  </si>
  <si>
    <t>Distinta: 1764855257855299QDEF</t>
  </si>
  <si>
    <t>Da NEXI Payments Spa TRN 064723164125NPPASU0000000000IT CIPBITMM per PV 1000001228637 ACCREDITO CIRCUITI INTERNAZ. 04122</t>
  </si>
  <si>
    <t>Da NEXI Payments Spa TRN 064722761125NPPASU0000000000IT CIPBITMM per PV 1000001228596 ACCREDITO CIRCUITI INTERNAZ. 04122</t>
  </si>
  <si>
    <t>Da NEXI Payments Spa TRN 064722772105NPPASU0000000000IT CIPBITMM per PV 1000001228596 ACCREDITO BANCOMAT 041225 RIF 1024</t>
  </si>
  <si>
    <t>Da Scalapay IP S.p.a. TRN 3601825120504541477037655366681-008 CBPSIT31XXX per 2025-12-04 - GEOS S SDRL - Scalapay IP S.p</t>
  </si>
  <si>
    <t>Da Satispay Europe S.A. TRN c9f48affa1ff43579f770383b773d584 SATYLUL1XXX per Geos ssdr</t>
  </si>
  <si>
    <t>Da NEW WAVE S.R.L. TRN 1101253380269404 UNCRITMM per SALDO FATT. 553-625-626/2025</t>
  </si>
  <si>
    <t>Distinta: 1764854557644297DDEF</t>
  </si>
  <si>
    <t>Distinta: 176485269830428UUDEF</t>
  </si>
  <si>
    <t>Distinta: 1764853809886296UDEF</t>
  </si>
  <si>
    <t>Da Satispay Europe S.A. TRN c8ab1515959e4235b6a347f3ad49da9e SATYLUL1XXX per Geos ssdr</t>
  </si>
  <si>
    <t>Da NEXI Payments Spa TRN 064612190065NPPASU0000000000IT CIPBITMM per PV 1000001228596 ACCREDITO CIRCUITI INTERNAZ. 03122</t>
  </si>
  <si>
    <t>Da NEXI Payments Spa TRN 064612423055NPPASU0000000000IT CIPBITMM per PV 1000001228637 ACCREDITO CIRCUITI INTERNAZ. 03122</t>
  </si>
  <si>
    <t>Da Scalapay IP S.p.a. TRN 3601825120404520212182100983499-008 CBPSIT31XXX per 2025-12-03 - GEOS S SDRL - Scalapay IP S.p</t>
  </si>
  <si>
    <t>Da NEXI Payments Spa TRN 064499011055NPPASU0000000000IT CIPBITMM per PV 1000001228596 ACCREDITO BANCOMAT 021225 RIF 1021</t>
  </si>
  <si>
    <t>Da NEXI Payments Spa TRN 064499293015NPPASU0000000000IT CIPBITMM per PV 1000001228637 ACCREDITO CIRCUITI INTERNAZ. 02122</t>
  </si>
  <si>
    <t>Da NEXI Payments Spa TRN 064498997045NPPASU0000000000IT CIPBITMM per PV 1000001228596 ACCREDITO CIRCUITI INTERNAZ. 02122</t>
  </si>
  <si>
    <t>Da Scalapay IP S.p.a. TRN 3601825120304511129298435276570-008 CBPSIT31XXX per 2025-12-02 - GEOS S SDRL - Scalapay IP S.p</t>
  </si>
  <si>
    <t>Da Satispay Europe S.A. TRN 470f26fffac54ae49d4bbbcb86bd2034 SATYLUL1XXX per Geos ssdr</t>
  </si>
  <si>
    <t>Da TG NEW CO SRL TRN 0000051289760411486405064050IT CIVIIT2CXXX per SUPP PAGAMENTO FT. N. 705 DEL 01.12.2025</t>
  </si>
  <si>
    <t>Da ENCANTO CLUB LATINO ASS NE SPOR VA TRN 0306907247858207S90960609606IT BCITITMMXXX per Pagamento FT 707 del 01/12/25</t>
  </si>
  <si>
    <t>ADDEBITO RELATIVO AL PERIODO DI NOVEMBRE  2025</t>
  </si>
  <si>
    <t>ADDEBITO CANONE DEL SERVIZIO BANCOPOSTAIMPRESA ONLINE RELATIVO AL PERIODO NOVEMBRE 2025 CONTRATTO N. 0059926216</t>
  </si>
  <si>
    <t>GOOGLE *ADS5278163162  01/12/2025 14.00 DUBLIN 2      Op.694637 carta ****0501</t>
  </si>
  <si>
    <t>Da NEXI Payments Spa TRN 064401414125NPPASU0000000000IT CIPBITMM per PV 1000001228596 ACCREDITO CIRCUITI INTERNAZ. 01122</t>
  </si>
  <si>
    <t>Da NEXI Payments Spa TRN 064401426115NPPASU0000000000IT CIPBITMM per PV 1000001228596 ACCREDITO BANCOMAT 011225 RIF 1020</t>
  </si>
  <si>
    <t>Da NEXI Payments Spa TRN 064402072075NPPASU0000000000IT CIPBITMM per PV 1000001228637 ACCREDITO CIRCUITI INTERNAZ. 01122</t>
  </si>
  <si>
    <t>Da Scalapay IP S.p.a. TRN 3601825120204510821937148338001-008 CBPSIT31XXX per 2025-12-01 - GEOS S SDRL - Scalapay IP S.p</t>
  </si>
  <si>
    <t>Da Satispay Europe S.A. TRN 8611559fd21540a5afdfc5228de3dace SATYLUL1XXX per Geos ssdr</t>
  </si>
  <si>
    <t>GOOGLE *ADS5278163162  29/11/2025 17.40 DUBLIN 2      Op.690026 carta ****0501</t>
  </si>
  <si>
    <t>Distinta: 176457801779217RFDEF</t>
  </si>
  <si>
    <t>Distinta: 1764345041946132UDEF</t>
  </si>
  <si>
    <t>Distinta: 17645948838551CE7DEF</t>
  </si>
  <si>
    <t>Distinta: 17645956411301CI4DEF</t>
  </si>
  <si>
    <t>Da NEXI Payments Spa TRN 064280324045NPPASU0000000000IT CIPBITMM per PV 1000001228637 ACCREDITO CIRCUITI INTERNAZ. 29112</t>
  </si>
  <si>
    <t>Da NEXI Payments Spa TRN 064325820005NPPASU0000000000IT CIPBITMM per PV 1000001228637 ACCREDITO CIRCUITI INTERNAZ. 30112</t>
  </si>
  <si>
    <t>Da NEXI Payments Spa TRN 064279241005NPPASU0000000000IT CIPBITMM per PV 1000001228596 ACCREDITO BANCOMAT 291125 RIF 1017</t>
  </si>
  <si>
    <t>Da NEXI Payments Spa TRN 064279208065NPPASU0000000000IT CIPBITMM per PV 1000001228596 ACCREDITO CIRCUITI INTERNAZ. 29112</t>
  </si>
  <si>
    <t>Da NEXI Payments Spa TRN 064142616055NPPASU0000000000IT CIPBITMM per PV 1000001228637 ACCREDITO CIRCUITI INTERNAZ. 28112</t>
  </si>
  <si>
    <t>Da NEXI Payments Spa TRN 064142144015NPPASU0000000000IT CIPBITMM per PV 1000001228596 ACCREDITO BANCOMAT 281125 RIF 1015</t>
  </si>
  <si>
    <t>Da NEXI Payments Spa TRN 064142129125NPPASU0000000000IT CIPBITMM per PV 1000001228596 ACCREDITO CIRCUITI INTERNAZ. 28112</t>
  </si>
  <si>
    <t>Da Satispay Europe S.A. TRN e8a25cb4104946a2997abb5a118c169e SATYLUL1XXX per Geos ssdr</t>
  </si>
  <si>
    <t>Distinta: 17643266746591056DEF</t>
  </si>
  <si>
    <t>Da NEXI Payments Spa TRN 064028419005NPPASU0000000000IT CIPBITMM per PV 1000001228637 ACCREDITO CIRCUITI INTERNAZ. 27112</t>
  </si>
  <si>
    <t>Da NEXI Payments Spa TRN 064027428105NPPASU0000000000IT CIPBITMM per PV 1000001228596 ACCREDITO BANCOMAT 271125 RIF 1013</t>
  </si>
  <si>
    <t>Da NEXI Payments Spa TRN 064027423055NPPASU0000000000IT CIPBITMM per PV 1000001228596 ACCREDITO CIRCUITI INTERNAZ. 27112</t>
  </si>
  <si>
    <t>Da Scalapay IP S.p.a. TRN 3601825112804534376287870748595-008 CBPSIT31XXX per 2025-11-27 - GEOS S SDRL - Scalapay IP S.p</t>
  </si>
  <si>
    <t>Distinta: 17642390125470O1PDEF</t>
  </si>
  <si>
    <t>Da NEXI Payments Spa TRN 063922353015NPPASU0000000000IT CIPBITMM per PV 1000001228596 ACCREDITO CIRCUITI INTERNAZ. 26112</t>
  </si>
  <si>
    <t>Da NEXI Payments Spa TRN 063922361095NPPASU0000000000IT CIPBITMM per PV 1000001228637 ACCREDITO CIRCUITI INTERNAZ. 26112</t>
  </si>
  <si>
    <t>Da NEXI Payments Spa TRN 063922363115NPPASU0000000000IT CIPBITMM per PV 1000001228596 ACCREDITO BANCOMAT 261125 RIF 1012</t>
  </si>
  <si>
    <t>Da Satispay Europe S.A. TRN b50a565f64f4408ab0ab69b98fd5a696 SATYLUL1XXX per Geos ssdr</t>
  </si>
  <si>
    <t>Da MODULO PROJECT S.R.L. TRN 1101253300613595 UNCRITMM per Fattura n. 692 del 24/11/2025 - Affitto Studio Ottobre extra</t>
  </si>
  <si>
    <t>Da NEXI Payments Spa TRN 063809722025NPPASU0000000000IT CIPBITMM per PV 1000001228596 ACCREDITO BANCOMAT 251125 RIF 1010</t>
  </si>
  <si>
    <t>Da NEXI Payments Spa TRN 063809713065NPPASU0000000000IT CIPBITMM per PV 1000001228596 ACCREDITO CIRCUITI INTERNAZ. 25112</t>
  </si>
  <si>
    <t>Da NEXI Payments Spa TRN 063814117035NPPASU0000000000IT CIPBITMM per PV 1000001228637 ACCREDITO CIRCUITI INTERNAZ. 25112</t>
  </si>
  <si>
    <t>Distinta: 176400156489805T7DEF</t>
  </si>
  <si>
    <t>Da NEXI Payments Spa TRN 063719678095NPPASU0000000000IT CIPBITMM per PV 1000001228596 ACCREDITO CIRCUITI INTERNAZ. 24112</t>
  </si>
  <si>
    <t>Da NEXI Payments Spa TRN 063719689075NPPASU0000000000IT CIPBITMM per PV 1000001228596 ACCREDITO BANCOMAT 241125 RIF 1009</t>
  </si>
  <si>
    <t>Da NEXI Payments Spa TRN 063719206055NPPASU0000000000IT CIPBITMM per PV 1000001228637 ACCREDITO CIRCUITI INTERNAZ. 24112</t>
  </si>
  <si>
    <t>Da ENCANTO CLUB LATINO ASS NE SPOR VA TRN 0306906997502705S90960609606IT BCITITMMXXX per Pagamento FT 646 del 17/11 e 67</t>
  </si>
  <si>
    <t>Distinta: 176397651909001EJDEF</t>
  </si>
  <si>
    <t>Distinta: 176398509644003B5DEF</t>
  </si>
  <si>
    <t>Da NEXI Payments Spa TRN 063568277065NPPASU0000000000IT CIPBITMM per PV 1000001228596 ACCREDITO CIRCUITI INTERNAZ. 22112</t>
  </si>
  <si>
    <t>Da NEXI Payments Spa TRN 063476873055NPPASU0000000000IT CIPBITMM per PV 1000001228637 ACCREDITO CIRCUITI INTERNAZ. 21112</t>
  </si>
  <si>
    <t>Da NEXI Payments Spa TRN 063473567015NPPASU0000000000IT CIPBITMM per PV 1000001228596 ACCREDITO BANCOMAT 211125 RIF 1005</t>
  </si>
  <si>
    <t>Da NEXI Payments Spa TRN 063569562045NPPASU0000000000IT CIPBITMM per PV 1000001228637 ACCREDITO CIRCUITI INTERNAZ. 22112</t>
  </si>
  <si>
    <t>Da NEXI Payments Spa TRN 063473546065NPPASU0000000000IT CIPBITMM per PV 1000001228596 ACCREDITO CIRCUITI INTERNAZ. 21112</t>
  </si>
  <si>
    <t>Da NEXI Payments Spa TRN 063568290065NPPASU0000000000IT CIPBITMM per PV 1000001228596 ACCREDITO BANCOMAT 221125 RIF 1007</t>
  </si>
  <si>
    <t>Da NEXI Payments Spa TRN 063655075035NPPASU0000000000IT CIPBITMM per PV 1000001228637 ACCREDITO CIRCUITI INTERNAZ. 23112</t>
  </si>
  <si>
    <t>Distinta: 17636474150390KOUDEF</t>
  </si>
  <si>
    <t>Da Scalapay IP S.p.a. TRN 3601825112104530866747594161133-008 CBPSIT31XXX per 2025-11-20 - GEOS S SDRL - Scalapay IP S.p</t>
  </si>
  <si>
    <t>Da NEXI Payments Spa TRN 063363740115NPPASU0000000000IT CIPBITMM per PV 1000001228596 ACCREDITO CIRCUITI INTERNAZ. 20112</t>
  </si>
  <si>
    <t>Da NEXI Payments Spa TRN 063363755005NPPASU0000000000IT CIPBITMM per PV 1000001228596 ACCREDITO BANCOMAT 201125 RIF 1003</t>
  </si>
  <si>
    <t>Da NEXI Payments Spa TRN 063363545115NPPASU0000000000IT CIPBITMM per PV 1000001228637 ACCREDITO CIRCUITI INTERNAZ. 20112</t>
  </si>
  <si>
    <t>Da Gympass US LLC TRN FV6BR754892S CHASNL2XXXX per WellhubGym</t>
  </si>
  <si>
    <t>Da Satispay Europe S.A. TRN 2e469669c0554d45be752fa895c444c9 SATYLUL1XXX per Geos ssdr</t>
  </si>
  <si>
    <t>Da NEXI Payments Spa TRN 063258213055NPPASU0000000000IT CIPBITMM per PV 1000001228596 ACCREDITO CIRCUITI INTERNAZ. 19112</t>
  </si>
  <si>
    <t>Da NEXI Payments Spa TRN 063256901065NPPASU0000000000IT CIPBITMM per PV 1000001228637 ACCREDITO CIRCUITI INTERNAZ. 19112</t>
  </si>
  <si>
    <t>Da NEXI Payments Spa TRN 063258231105NPPASU0000000000IT CIPBITMM per PV 1000001228596 ACCREDITO BANCOMAT 191125 RIF 1002</t>
  </si>
  <si>
    <t>Da Scalapay IP S.p.a. TRN 3601825112004512432197390606128-008 CBPSIT31XXX per 2025-11-19 - GEOS S SDRL - Scalapay IP S.p</t>
  </si>
  <si>
    <t>Distinta: 176353843689608G0DEF</t>
  </si>
  <si>
    <t>Da NEXI Payments Spa TRN 063151484065NPPASU0000000000IT CIPBITMM per PV 1000001228596 ACCREDITO CIRCUITI INTERNAZ. 18112</t>
  </si>
  <si>
    <t>Da Scalapay IP S.p.a. TRN 3601825111904500974405929358121-008 CBPSIT31XXX per 2025-11-18 - GEOS S SDRL - Scalapay IP S.p</t>
  </si>
  <si>
    <t>Da NEXI Payments Spa TRN 063152119045NPPASU0000000000IT CIPBITMM per PV 1000001228637 ACCREDITO CIRCUITI INTERNAZ. 18112</t>
  </si>
  <si>
    <t>Da MODULO PROJECT S.R.L. TRN 1101253220101285 UNCRITMM per Fattura n. 587 del 06/11/2025 - Affitto studi Ottobre 2025</t>
  </si>
  <si>
    <t>Distinta: 176338885268205NHDEF</t>
  </si>
  <si>
    <t>Distinta: 176338891617305U3DEF</t>
  </si>
  <si>
    <t>Da NEXI Payments Spa TRN 063052262005NPPASU0000000000IT CIPBITMM per PV 1000001228596 ACCREDITO BANCOMAT 171125 RIF 9997</t>
  </si>
  <si>
    <t>Da NEXI Payments Spa TRN 063052256075NPPASU0000000000IT CIPBITMM per PV 1000001228596 ACCREDITO CIRCUITI INTERNAZ. 17112</t>
  </si>
  <si>
    <t>Da NEXI Payments Spa TRN 063053165065NPPASU0000000000IT CIPBITMM per PV 1000001228637 ACCREDITO CIRCUITI INTERNAZ. 17112</t>
  </si>
  <si>
    <t>Da VISIONAIR SRL TRN 0306906810203501S91211712117IT BCITITMMXXX per Fsttura 641</t>
  </si>
  <si>
    <t>Da NEXI Payments Spa TRN 062986437075NPPASU0000000000IT CIPBITMM per PV 1000001228596 ACCREDITO BANCOMAT 161125 RIF 9984</t>
  </si>
  <si>
    <t>Da NEXI Payments Spa TRN 062904092045NPPASU0000000000IT CIPBITMM per PV 1000001228596 ACCREDITO BANCOMAT 151125 RIF 9974</t>
  </si>
  <si>
    <t>Da NEXI Payments Spa TRN 062904744065NPPASU0000000000IT CIPBITMM per PV 1000001228637 ACCREDITO CIRCUITI INTERNAZ. 15112</t>
  </si>
  <si>
    <t>Da NEXI Payments Spa TRN 062809202015NPPASU0000000000IT CIPBITMM per PV 1000001228596 ACCREDITO CIRCUITI INTERNAZ. 14112</t>
  </si>
  <si>
    <t>Da NEXI Payments Spa TRN 062807318025NPPASU0000000000IT CIPBITMM per PV 1000001228637 ACCREDITO CIRCUITI INTERNAZ. 14112</t>
  </si>
  <si>
    <t>Da NEXI Payments Spa TRN 062809217035NPPASU0000000000IT CIPBITMM per PV 1000001228596 ACCREDITO BANCOMAT 141125 RIF 9958</t>
  </si>
  <si>
    <t>Da NEXI Payments Spa TRN 062986705025NPPASU0000000000IT CIPBITMM per PV 1000001228637 ACCREDITO CIRCUITI INTERNAZ. 16112</t>
  </si>
  <si>
    <t>Da NEXI Payments Spa TRN 062986432025NPPASU0000000000IT CIPBITMM per PV 1000001228596 ACCREDITO CIRCUITI INTERNAZ. 16112</t>
  </si>
  <si>
    <t>Da NEXI Payments Spa TRN 062904084095NPPASU0000000000IT CIPBITMM per PV 1000001228596 ACCREDITO CIRCUITI INTERNAZ. 15112</t>
  </si>
  <si>
    <t>Da CHECKMOOV S.R.L. TRN 0879400002514011480160003200IT CCRTIT2TLAU per Corrisp. ft 315 - dal 01 maggi...</t>
  </si>
  <si>
    <t>Distinta: 176304071039205CEDEF</t>
  </si>
  <si>
    <t>Distinta: 176304140095005FNDEF</t>
  </si>
  <si>
    <t>Distinta: 1763041756076062IDEF</t>
  </si>
  <si>
    <t>Da NEXI Payments Spa TRN 062706543035NPPASU0000000000IT CIPBITMM per PV 1000001228596 ACCREDITO BANCOMAT 131125 RIF 9942</t>
  </si>
  <si>
    <t>Da NEXI Payments Spa TRN 062708757075NPPASU0000000000IT CIPBITMM per PV 1000001228637 ACCREDITO CIRCUITI INTERNAZ. 13112</t>
  </si>
  <si>
    <t>Da NEXI Payments Spa TRN 062706531045NPPASU0000000000IT CIPBITMM per PV 1000001228596 ACCREDITO CIRCUITI INTERNAZ. 13112</t>
  </si>
  <si>
    <t>Da Scalapay IP S.p.a. TRN 3601825111404515350138833990821-008 CBPSIT31XXX per 2025-11-13 - GEOS S SDRL - Scalapay IP S.p</t>
  </si>
  <si>
    <t>Da Satispay Europe S.A. TRN 024e1ebe1d0c4bfabec7f6da3d0a08e2 SATYLUL1XXX per Geos ssdr</t>
  </si>
  <si>
    <t>Da NEXI Payments Spa TRN 062593355065NPPASU0000000000IT CIPBITMM per PV 1000001228637 ACCREDITO CIRCUITI INTERNAZ. 12112</t>
  </si>
  <si>
    <t>Da NEXI Payments Spa TRN 062593461085NPPASU0000000000IT CIPBITMM per PV 1000001228596 ACCREDITO CIRCUITI INTERNAZ. 12112</t>
  </si>
  <si>
    <t>Da Scalapay IP S.p.a. TRN 3601825111304495320429432063959-008 CBPSIT31XXX per 2025-11-12 - GEOS S SDRL - Scalapay IP S.p</t>
  </si>
  <si>
    <t>Da NEW WAVE S.R.L. TRN 1101253160196489 UNCRITMM per SALDO FATT. 363-403-433/2025</t>
  </si>
  <si>
    <t>Da ENCANTO CLUB LATINO ASS NE SPOR VA TRN 0306906644455710S90960609606IT BCITITMMXXX per FT 627 11/11 + Saldo FT 405</t>
  </si>
  <si>
    <t>Distinta: 17629348652150JKJDEF</t>
  </si>
  <si>
    <t>Da NEXI Payments Spa TRN 062490383075NPPASU0000000000IT CIPBITMM per PV 1000001228637 ACCREDITO CIRCUITI INTERNAZ. 11112</t>
  </si>
  <si>
    <t>Da NEXI Payments Spa TRN 062490769035NPPASU0000000000IT CIPBITMM per PV 1000001228596 ACCREDITO CIRCUITI INTERNAZ. 11112</t>
  </si>
  <si>
    <t>Da NEXI Payments Spa TRN 062490780015NPPASU0000000000IT CIPBITMM per PV 1000001228596 ACCREDITO BANCOMAT 111125 RIF 9913</t>
  </si>
  <si>
    <t>Da Satispay Europe S.A. TRN e20da1be9aa64bd8976abb9c31126975 SATYLUL1XXX per Geos ssdr</t>
  </si>
  <si>
    <t>Da Scalapay IP S.p.a. TRN 3601825111204500724955525803823-008 CBPSIT31XXX per 2025-11-11 - GEOS S SDRL - Scalapay IP S.p</t>
  </si>
  <si>
    <t>Distinta: 176278372900206JMDEF</t>
  </si>
  <si>
    <t>Distinta: 176278293881306FLDEF</t>
  </si>
  <si>
    <t>Da NEXI Payments Spa TRN 062371188095NPPASU0000000000IT CIPBITMM per PV 1000001228637 ACCREDITO CIRCUITI INTERNAZ. 10112</t>
  </si>
  <si>
    <t>Da NEXI Payments Spa TRN 062370284025NPPASU0000000000IT CIPBITMM per PV 1000001228596 ACCREDITO BANCOMAT 101125 RIF 9899</t>
  </si>
  <si>
    <t>Da NEXI Payments Spa TRN 062370277085NPPASU0000000000IT CIPBITMM per PV 1000001228596 ACCREDITO CIRCUITI INTERNAZ. 10112</t>
  </si>
  <si>
    <t>Da Scalapay IP S.p.a. TRN 3601825111104500808085208774254-008 CBPSIT31XXX per 2025-11-10 - GEOS S SDRL - Scalapay IP S.p</t>
  </si>
  <si>
    <t>Da Satispay Europe S.A. TRN 2fe24ab331504f52ac64befbe6b863f6 SATYLUL1XXX per Geos ssdr</t>
  </si>
  <si>
    <t>Distinta: 176276535964101D9DEF</t>
  </si>
  <si>
    <t>Da NEXI Payments Spa TRN 062136490005NPPASU0000000000IT CIPBITMM per PV 1000001228637 ACCREDITO CIRCUITI INTERNAZ. 07112</t>
  </si>
  <si>
    <t>Da NEXI Payments Spa TRN 062300651105NPPASU0000000000IT CIPBITMM per PV 1000001228596 ACCREDITO BANCOMAT 091125 RIF 9886</t>
  </si>
  <si>
    <t>Da NEXI Payments Spa TRN 062300613115NPPASU0000000000IT CIPBITMM per PV 1000001228637 ACCREDITO CIRCUITI INTERNAZ. 09112</t>
  </si>
  <si>
    <t>Da NEXI Payments Spa TRN 062138591085NPPASU0000000000IT CIPBITMM per PV 1000001228596 ACCREDITO CIRCUITI INTERNAZ. 07112</t>
  </si>
  <si>
    <t>Da NEXI Payments Spa TRN 062230935005NPPASU0000000000IT CIPBITMM per PV 1000001228637 ACCREDITO CIRCUITI INTERNAZ. 08112</t>
  </si>
  <si>
    <t>Da NEXI Payments Spa TRN 062230042045NPPASU0000000000IT CIPBITMM per PV 1000001228596 ACCREDITO CIRCUITI INTERNAZ. 08112</t>
  </si>
  <si>
    <t>Da Scalapay IP S.p.a. TRN 3601825111004505070273909724436-008 CBPSIT31XXX per 2025-11-09 - GEOS S SDRL - Scalapay IP S.p</t>
  </si>
  <si>
    <t>Da NEXI Payments Spa TRN 062230052015NPPASU0000000000IT CIPBITMM per PV 1000001228596 ACCREDITO BANCOMAT 081125 RIF 9876</t>
  </si>
  <si>
    <t>Da Satispay Europe S.A. TRN 0d03697bd9a240fbb26f67e36c5ae98d SATYLUL1XXX per Geos ssdr</t>
  </si>
  <si>
    <t>Da NEXI Payments Spa TRN 062028217045NPPASU0000000000IT CIPBITMM per PV 1000001228596 ACCREDITO CIRCUITI INTERNAZ. 06112</t>
  </si>
  <si>
    <t>Da NEXI Payments Spa TRN 062023899025NPPASU0000000000IT CIPBITMM per PV 1000001228637 ACCREDITO CIRCUITI INTERNAZ. 06112</t>
  </si>
  <si>
    <t>Da NEXI Payments Spa TRN 062028230045NPPASU0000000000IT CIPBITMM per PV 1000001228596 ACCREDITO BANCOMAT 061125 RIF 9844</t>
  </si>
  <si>
    <t>Da Scalapay IP S.p.a. TRN 3601825110704524529368812978431-008 CBPSIT31XXX per 2025-11-06 - GEOS S SDRL - Scalapay IP S.p</t>
  </si>
  <si>
    <t>Da ENCANTO CLUB LATINO ASS NE SPOR VA TRN 0306906469117503S90960609606IT BCITITMMXXX per Pagamento FT 554 del 05/11/25</t>
  </si>
  <si>
    <t>Da Scalapay IP S.p.a. TRN 3601825110604500125439114074783-008 CBPSIT31XXX per 2025-11-05 - GEOS S SDRL - Scalapay IP S.p</t>
  </si>
  <si>
    <t>Da NEXI Payments Spa TRN 061915176115NPPASU0000000000IT CIPBITMM per PV 1000001228596 ACCREDITO CIRCUITI INTERNAZ. 05112</t>
  </si>
  <si>
    <t>Da NEXI Payments Spa TRN 061915186085NPPASU0000000000IT CIPBITMM per PV 1000001228596 ACCREDITO BANCOMAT 051125 RIF 9829</t>
  </si>
  <si>
    <t>Da NEXI Payments Spa TRN 061916361005NPPASU0000000000IT CIPBITMM per PV 1000001228637 ACCREDITO CIRCUITI INTERNAZ. 05112</t>
  </si>
  <si>
    <t>Da Satispay Europe S.A. TRN f74b6b04bc55497dbba5a00eb67b6b3b SATYLUL1XXX per Geos ssdr</t>
  </si>
  <si>
    <t>Distinta: 176233292516029S2DEF</t>
  </si>
  <si>
    <t>Distinta: 176234896622135CFDEF</t>
  </si>
  <si>
    <t>Distinta: 17623474086242F0JDEF</t>
  </si>
  <si>
    <t>Distinta: 176234791862235AHDEF</t>
  </si>
  <si>
    <t>Da NEXI Payments Spa TRN 061804073065NPPASU0000000000IT CIPBITMM per PV 1000001228637 ACCREDITO CIRCUITI INTERNAZ. 04112</t>
  </si>
  <si>
    <t>Da NEXI Payments Spa TRN 061799499085NPPASU0000000000IT CIPBITMM per PV 1000001228596 ACCREDITO BANCOMAT 041125 RIF 9814</t>
  </si>
  <si>
    <t>Da NEXI Payments Spa TRN 061799490125NPPASU0000000000IT CIPBITMM per PV 1000001228596 ACCREDITO CIRCUITI INTERNAZ. 04112</t>
  </si>
  <si>
    <t>ADDEBITO RELATIVO AL PERIODO DI OTTOBRE   2025</t>
  </si>
  <si>
    <t>ADDEBITO CANONE DEL SERVIZIO BANCOPOSTAIMPRESA ONLINE RELATIVO AL PERIODO OTTOBRE 2025 CONTRATTO N. 0059926216</t>
  </si>
  <si>
    <t>Distinta: 17622427746402ME9DEF</t>
  </si>
  <si>
    <t>Distinta: 17622455683932N1MDEF</t>
  </si>
  <si>
    <t>Distinta: 17622436432981V9MDEF</t>
  </si>
  <si>
    <t>Distinta: 17622447769312N0VDEF</t>
  </si>
  <si>
    <t>Distinta: 17622426231532MD6DEF</t>
  </si>
  <si>
    <t>Da NEXI Payments Spa TRN 061713258095NPPASU0000000000IT CIPBITMM per PV 1000001228637 ACCREDITO CIRCUITI INTERNAZ. 03112</t>
  </si>
  <si>
    <t>Da NEXI Payments Spa TRN 061712513055NPPASU0000000000IT CIPBITMM per PV 1000001228596 ACCREDITO CIRCUITI INTERNAZ. 03112</t>
  </si>
  <si>
    <t>Da Scalapay IP S.p.a. TRN 3601825110404495987676449887117-008 CBPSIT31XXX per 2025-11-03 - GEOS S SDRL - Scalapay IP S.p</t>
  </si>
  <si>
    <t>TRIPLES SRL            31/10/2025 11.02 MILANO        Op.687406 carta ****0501</t>
  </si>
  <si>
    <t>Distinta: 17621634791771NIRDEF</t>
  </si>
  <si>
    <t>Distinta: 17621655620921OCCDEF</t>
  </si>
  <si>
    <t>Da NEXI Payments Spa TRN 061508008035NPPASU0000000000IT CIPBITMM per PV 1000001228596 ACCREDITO BANCOMAT 311025 RIF 9763</t>
  </si>
  <si>
    <t>Da NEXI Payments Spa TRN 061508001095NPPASU0000000000IT CIPBITMM per PV 1000001228596 ACCREDITO CIRCUITI INTERNAZ. 31102</t>
  </si>
  <si>
    <t>Da NEXI Payments Spa TRN 061643278085NPPASU0000000000IT CIPBITMM per PV 1000001228637 ACCREDITO CIRCUITI INTERNAZ. 02112</t>
  </si>
  <si>
    <t>Da NEXI Payments Spa TRN 061593968075NPPASU0000000000IT CIPBITMM per PV 1000001228637 ACCREDITO CIRCUITI INTERNAZ. 01112</t>
  </si>
  <si>
    <t>Da NEXI Payments Spa TRN 061507225005NPPASU0000000000IT CIPBITMM per PV 1000001228637 ACCREDITO CIRCUITI INTERNAZ. 31102</t>
  </si>
  <si>
    <t>Da NEXI Payments Spa TRN 061386355045NPPASU0000000000IT CIPBITMM per PV 1000001228596 ACCREDITO CIRCUITI INTERNAZ. 30102</t>
  </si>
  <si>
    <t>Da Scalapay IP S.p.a. TRN 3601825103104505752403956458237-008 CBPSIT31XXX per 2025-10-30 - GEOS S SDRL - Scalapay IP S.p</t>
  </si>
  <si>
    <t>Da NEXI Payments Spa TRN 061386366025NPPASU0000000000IT CIPBITMM per PV 1000001228596 ACCREDITO BANCOMAT 301025 RIF 9739</t>
  </si>
  <si>
    <t>Da NEXI Payments Spa TRN 061387172025NPPASU0000000000IT CIPBITMM per PV 1000001228637 ACCREDITO CIRCUITI INTERNAZ. 30102</t>
  </si>
  <si>
    <t>Distinta: 176181482991216C5DEF</t>
  </si>
  <si>
    <t>Da NEXI Payments Spa TRN 061287055115NPPASU0000000000IT CIPBITMM per PV 1000001228596 ACCREDITO BANCOMAT 291025 RIF 9724</t>
  </si>
  <si>
    <t>Da NEXI Payments Spa TRN 061287043125NPPASU0000000000IT CIPBITMM per PV 1000001228596 ACCREDITO CIRCUITI INTERNAZ. 29102</t>
  </si>
  <si>
    <t>Da NEXI Payments Spa TRN 061286927005NPPASU0000000000IT CIPBITMM per PV 1000001228637 ACCREDITO CIRCUITI INTERNAZ. 29102</t>
  </si>
  <si>
    <t>TRN UNCRITMMXXX 1191253036437103 DA ARTECORPO APS PER Vs fattura 404 del 27.10.25 per affitto locali</t>
  </si>
  <si>
    <t>TRN BCITITM3XXX 0323925590031912481600199999IT DA BRUGANELLI SONIA  MADONIA ANGELO PER Affitto studio del 29 ottobre 202</t>
  </si>
  <si>
    <t>Da FONDAZIONE ROBERTO BOLLE E T S TRN 0323906182464209S90160001600IT BCITITM3XXX per Fatt. N.316 del 15-09-2025</t>
  </si>
  <si>
    <t>TRIPLES SRL            28/10/2025 11.19 MILANO        Op.685976 carta ****0501</t>
  </si>
  <si>
    <t>ODSTORE PIAZZA DUOMO   28/10/2025 14.52 MILANO        Op.682639 carta ****0501</t>
  </si>
  <si>
    <t>Da NEXI Payments Spa TRN 061171015095NPPASU0000000000IT CIPBITMM per PV 1000001228637 ACCREDITO CIRCUITI INTERNAZ. 28102</t>
  </si>
  <si>
    <t>Da NEXI Payments Spa TRN 061170580035NPPASU0000000000IT CIPBITMM per PV 1000001228596 ACCREDITO BANCOMAT 281025 RIF 9709</t>
  </si>
  <si>
    <t>Da NEXI Payments Spa TRN 061170568045NPPASU0000000000IT CIPBITMM per PV 1000001228596 ACCREDITO CIRCUITI INTERNAZ. 28102</t>
  </si>
  <si>
    <t>Da Scalapay IP S.p.a. TRN 3601825102904494116405236044963-008 CBPSIT31XXX per 2025-10-28 - GEOS S SDRL - Scalapay IP S.p</t>
  </si>
  <si>
    <t>Da ENCANTO CLUB LATINO ASS NE SPOR VA TRN 0306906130660509S90960609606IT BCITITMMXXX per Pagamento FT 405 del 27/10/25</t>
  </si>
  <si>
    <t>Distinta: 17616403449461F2CDEF</t>
  </si>
  <si>
    <t>Distinta: 17616413573981F9EDEF</t>
  </si>
  <si>
    <t>Da NEXI Payments Spa TRN 061086268095NPPASU0000000000IT CIPBITMM per PV 1000001228637 ACCREDITO CIRCUITI INTERNAZ. 27102</t>
  </si>
  <si>
    <t>Da NEXI Payments Spa TRN 061081598065NPPASU0000000000IT CIPBITMM per PV 1000001228596 ACCREDITO CIRCUITI INTERNAZ. 27102</t>
  </si>
  <si>
    <t>Da NEXI Payments Spa TRN 061081607025NPPASU0000000000IT CIPBITMM per PV 1000001228596 ACCREDITO BANCOMAT 271025 RIF 9695</t>
  </si>
  <si>
    <t>Da Scalapay IP S.p.a. TRN 3601825102804493319712760246676-008 CBPSIT31XXX per 2025-10-27 - GEOS S SDRL - Scalapay IP S.p</t>
  </si>
  <si>
    <t>Da NEXI Payments Spa TRN 060931544115NPPASU0000000000IT CIPBITMM per PV 1000001228637 ACCREDITO CIRCUITI INTERNAZ. 25102</t>
  </si>
  <si>
    <t>Da NEXI Payments Spa TRN 060930333095NPPASU0000000000IT CIPBITMM per PV 1000001228596 ACCREDITO BANCOMAT 251025 RIF 9671</t>
  </si>
  <si>
    <t>Da NEXI Payments Spa TRN 061012507105NPPASU0000000000IT CIPBITMM per PV 1000001228596 ACCREDITO CIRCUITI INTERNAZ. 26102</t>
  </si>
  <si>
    <t>Da NEXI Payments Spa TRN 060930325015NPPASU0000000000IT CIPBITMM per PV 1000001228596 ACCREDITO CIRCUITI INTERNAZ. 25102</t>
  </si>
  <si>
    <t>Da NEXI Payments Spa TRN 061012515055NPPASU0000000000IT CIPBITMM per PV 1000001228596 ACCREDITO BANCOMAT 261025 RIF 9681</t>
  </si>
  <si>
    <t>Da Scalapay IP S.p.a. TRN 3601825102704501997106631603773-008 CBPSIT31XXX per 2025-10-26 - GEOS S SDRL - Scalapay IP S.p</t>
  </si>
  <si>
    <t>Da NEXI Payments Spa TRN 060835327075NPPASU0000000000IT CIPBITMM per PV 1000001228596 ACCREDITO CIRCUITI INTERNAZ. 24102</t>
  </si>
  <si>
    <t>Da NEXI Payments Spa TRN 061012450055NPPASU0000000000IT CIPBITMM per PV 1000001228637 ACCREDITO CIRCUITI INTERNAZ. 26102</t>
  </si>
  <si>
    <t>Da NEXI Payments Spa TRN 060836218015NPPASU0000000000IT CIPBITMM per PV 1000001228637 ACCREDITO CIRCUITI INTERNAZ. 24102</t>
  </si>
  <si>
    <t>Da Satispay Europe S.A. TRN e3ff2aa007de4df59141ed515ba57e4b SATYLUL1XXX per Geos ssdr</t>
  </si>
  <si>
    <t>TRN POSOIT22XXX IP25102608562547480160220138IT DA KINETICVIBE SRL PER affitto studio del 26/10</t>
  </si>
  <si>
    <t>TRN UNCRITMMXXX 1191252983458111 DA NEW WAVE S.R.L. PER Saldo Vs.fatture n.320-332-335/2025.</t>
  </si>
  <si>
    <t>Distinta: 17613005075050A7GDEF</t>
  </si>
  <si>
    <t>Da NEXI Payments Spa TRN 060726023075NPPASU0000000000IT CIPBITMM per PV 1000001228637 ACCREDITO CIRCUITI INTERNAZ. 23102</t>
  </si>
  <si>
    <t>Da NEXI Payments Spa TRN 060725822015NPPASU0000000000IT CIPBITMM per PV 1000001228596 ACCREDITO BANCOMAT 231025 RIF 9638</t>
  </si>
  <si>
    <t>Da Scalapay IP S.p.a. TRN 3601825102404511816048743654659-008 CBPSIT31XXX per 2025-10-23 - GEOS S SDRL - Scalapay IP S.p</t>
  </si>
  <si>
    <t>Da NEXI Payments Spa TRN 060725807125NPPASU0000000000IT CIPBITMM per PV 1000001228596 ACCREDITO CIRCUITI INTERNAZ. 23102</t>
  </si>
  <si>
    <t>Da Satispay Europe S.A. TRN 9aaaf8f6362e4bd683298214efed4d70 SATYLUL1XXX per Geos ssdr</t>
  </si>
  <si>
    <t>Distinta: 17611422282290L0VDEF</t>
  </si>
  <si>
    <t>Da NEXI Payments Spa TRN 060623862005NPPASU0000000000IT CIPBITMM per PV 1000001228596 ACCREDITO CIRCUITI INTERNAZ. 22102</t>
  </si>
  <si>
    <t>Da NEXI Payments Spa TRN 060623873115NPPASU0000000000IT CIPBITMM per PV 1000001228596 ACCREDITO BANCOMAT 221025 RIF 9623</t>
  </si>
  <si>
    <t>Da NEXI Payments Spa TRN 060623320045NPPASU0000000000IT CIPBITMM per PV 1000001228637 ACCREDITO CIRCUITI INTERNAZ. 22102</t>
  </si>
  <si>
    <t>Da Scalapay IP S.p.a. TRN 3601825102304501927993432772864-008 CBPSIT31XXX per 2025-10-22 - GEOS S SDRL - Scalapay IP S.p</t>
  </si>
  <si>
    <t>Distinta: 17611302906820JRFDEF</t>
  </si>
  <si>
    <t>Distinta: 17611181204630GPNDEF</t>
  </si>
  <si>
    <t>Da NEXI Payments Spa TRN 060514965045NPPASU0000000000IT CIPBITMM per PV 1000001228596 ACCREDITO BANCOMAT 211025 RIF 9609</t>
  </si>
  <si>
    <t>Da Scalapay IP S.p.a. TRN 3601825102204491586902308030798-008 CBPSIT31XXX per 2025-10-21 - GEOS S SDRL - Scalapay IP S.p</t>
  </si>
  <si>
    <t>Da NEXI Payments Spa TRN 060514947125NPPASU0000000000IT CIPBITMM per PV 1000001228596 ACCREDITO CIRCUITI INTERNAZ. 21102</t>
  </si>
  <si>
    <t>Da NEXI Payments Spa TRN 060515041025NPPASU0000000000IT CIPBITMM per PV 1000001228637 ACCREDITO CIRCUITI INTERNAZ. 21102</t>
  </si>
  <si>
    <t>U.P. 38530 MILANO 82</t>
  </si>
  <si>
    <t>Da Satispay Europe S.A. TRN 4c187016f0be4759a4a14cba01d9fc3f SATYLUL1XXX per Geos ssdr</t>
  </si>
  <si>
    <t>Da DE MATTEIS STEFANIA TRN 0303229302025821480160001600IT BACRIT22XXX per GEOS SSD Fattura n.</t>
  </si>
  <si>
    <t>TRN FIBKITMMXXX 0329625365498802480160101601IT DA STABILINI LINDA PER Pagamento fattura 339v1</t>
  </si>
  <si>
    <t>Da Scalapay IP S.p.a. TRN 3601825102104491536493001874091-008 CBPSIT31XXX per 2025-10-20 - GEOS S SDRL - Scalapay IP S.p</t>
  </si>
  <si>
    <t>Da NEXI Payments Spa TRN 060414153075NPPASU0000000000IT CIPBITMM per PV 1000001228637 ACCREDITO CIRCUITI INTERNAZ. 20102</t>
  </si>
  <si>
    <t>Da NEXI Payments Spa TRN 060413748055NPPASU0000000000IT CIPBITMM per PV 1000001228596 ACCREDITO BANCOMAT 201025 RIF 9594</t>
  </si>
  <si>
    <t>Da NEXI Payments Spa TRN 060413743005NPPASU0000000000IT CIPBITMM per PV 1000001228596 ACCREDITO CIRCUITI INTERNAZ. 20102</t>
  </si>
  <si>
    <t>Distinta: 176094554733500PODEF</t>
  </si>
  <si>
    <t>Distinta: 176094903901201NCDEF</t>
  </si>
  <si>
    <t>Da NEXI Payments Spa TRN 060208033025NPPASU0000000000IT CIPBITMM per PV 1000001228596 ACCREDITO CIRCUITI INTERNAZ. 17102</t>
  </si>
  <si>
    <t>Da NEXI Payments Spa TRN 060208659045NPPASU0000000000IT CIPBITMM per PV 1000001228637 ACCREDITO CIRCUITI INTERNAZ. 17102</t>
  </si>
  <si>
    <t>Da NEXI Payments Spa TRN 060208042115NPPASU0000000000IT CIPBITMM per PV 1000001228596 ACCREDITO BANCOMAT 171025 RIF 9553</t>
  </si>
  <si>
    <t>Da NEXI Payments Spa TRN 060266745065NPPASU0000000000IT CIPBITMM per PV 1000001228596 ACCREDITO CIRCUITI INTERNAZ. 18102</t>
  </si>
  <si>
    <t>Da NEXI Payments Spa TRN 060268281085NPPASU0000000000IT CIPBITMM per PV 1000001228637 ACCREDITO CIRCUITI INTERNAZ. 18102</t>
  </si>
  <si>
    <t>Da NEXI Payments Spa TRN 060266754025NPPASU0000000000IT CIPBITMM per PV 1000001228596 ACCREDITO BANCOMAT 181025 RIF 9570</t>
  </si>
  <si>
    <t>Da NEXI Payments Spa TRN 060345341045NPPASU0000000000IT CIPBITMM per PV 1000001228637 ACCREDITO CIRCUITI INTERNAZ. 19102</t>
  </si>
  <si>
    <t>Da NEXI Payments Spa TRN 060345357075NPPASU0000000000IT CIPBITMM per PV 1000001228596 ACCREDITO CIRCUITI INTERNAZ. 19102</t>
  </si>
  <si>
    <t>Da Scalapay IP S.p.a. TRN 3601825102004494258019555942435-008 CBPSIT31XXX per 2025-10-19 - GEOS S SDRL - Scalapay IP S.p</t>
  </si>
  <si>
    <t>Da NEXI Payments Spa TRN 060057118045NPPASU0000000000IT CIPBITMM per PV 1000001228637 ACCREDITO CIRCUITI INTERNAZ. 16102</t>
  </si>
  <si>
    <t>Da NEXI Payments Spa TRN 060059129005NPPASU0000000000IT CIPBITMM per PV 1000001228596 ACCREDITO BANCOMAT 161025 RIF 9537</t>
  </si>
  <si>
    <t>Da NEXI Payments Spa TRN 060059113105NPPASU0000000000IT CIPBITMM per PV 1000001228596 ACCREDITO CIRCUITI INTERNAZ. 16102</t>
  </si>
  <si>
    <t>Da Scalapay IP S.p.a. TRN 3601825101704512322560046424011-008 CBPSIT31XXX per 2025-10-16 - GEOS S SDRL - Scalapay IP S.p</t>
  </si>
  <si>
    <t>Da Satispay Europe S.A. TRN 8bf0e0ee4a014aa6a6655d34923a7b66 SATYLUL1XXX per Geos ssdr</t>
  </si>
  <si>
    <t>Da Scalapay IP S.p.a. TRN 3601825101604494972062745905896-008 CBPSIT31XXX per 2025-10-15 - GEOS S SDRL - Scalapay IP S.p</t>
  </si>
  <si>
    <t>Da NEXI Payments Spa TRN 059952680085NPPASU0000000000IT CIPBITMM per PV 1000001228596 ACCREDITO BANCOMAT 151025 RIF 9522</t>
  </si>
  <si>
    <t>Da NEXI Payments Spa TRN 059953762115NPPASU0000000000IT CIPBITMM per PV 1000001228637 ACCREDITO CIRCUITI INTERNAZ. 15102</t>
  </si>
  <si>
    <t>Da NEXI Payments Spa TRN 059952676045NPPASU0000000000IT CIPBITMM per PV 1000001228596 ACCREDITO CIRCUITI INTERNAZ. 15102</t>
  </si>
  <si>
    <t>Distinta: 17605147758200O8LDEF</t>
  </si>
  <si>
    <t>Da NEXI Payments Spa TRN 059849386125NPPASU0000000000IT CIPBITMM per PV 1000001228596 ACCREDITO BANCOMAT 141025 RIF 9507</t>
  </si>
  <si>
    <t>Da NEXI Payments Spa TRN 059850500085NPPASU0000000000IT CIPBITMM per PV 1000001228637 ACCREDITO CIRCUITI INTERNAZ. 14102</t>
  </si>
  <si>
    <t>Da Scalapay IP S.p.a. TRN 3601825101504495146340111284712-008 CBPSIT31XXX per 2025-10-14 - GEOS S SDRL - Scalapay IP S.p</t>
  </si>
  <si>
    <t>Da NEXI Payments Spa TRN 059849373125NPPASU0000000000IT CIPBITMM per PV 1000001228596 ACCREDITO CIRCUITI INTERNAZ. 14102</t>
  </si>
  <si>
    <t>Da Gympass US LLC TRN FDNBGQ5KL5N6 CHASNL2XXXX per WellhubGym</t>
  </si>
  <si>
    <t>Da ENCANTO CLUB LATINO ASS NE SPOR VA TRN 0306905753023900S90960609606IT BCITITMMXXX per Pagamento FT 362 del 13/10/25</t>
  </si>
  <si>
    <t>Distinta: 176042918408707THDEF</t>
  </si>
  <si>
    <t>Distinta: 1760428784141089NDEF</t>
  </si>
  <si>
    <t>Distinta: 17604286758990DL4DEF</t>
  </si>
  <si>
    <t>Distinta: 176042832496507ONDEF</t>
  </si>
  <si>
    <t>Da NEXI Payments Spa TRN 059752275115NPPASU0000000000IT CIPBITMM per PV 1000001228596 ACCREDITO CIRCUITI INTERNAZ. 13102</t>
  </si>
  <si>
    <t>Da NEXI Payments Spa TRN 059752286095NPPASU0000000000IT CIPBITMM per PV 1000001228596 ACCREDITO BANCOMAT 131025 RIF 9492</t>
  </si>
  <si>
    <t>Da NEXI Payments Spa TRN 059752443105NPPASU0000000000IT CIPBITMM per PV 1000001228637 ACCREDITO CIRCUITI INTERNAZ. 13102</t>
  </si>
  <si>
    <t>Da Scalapay IP S.p.a. TRN 3601825101404493514725896344088-008 CBPSIT31XXX per 2025-10-13 - GEOS S SDRL - Scalapay IP S.p</t>
  </si>
  <si>
    <t>Da STABILINI LINDA TRN 0329605551252907480160033040IT FIBKITMMXXX per Pagamento fattura 339v1</t>
  </si>
  <si>
    <t>Da REGIONE LOMBARDIA TRN 0306926991196208480979009790IT BCITITMMXXX per MAND. N. 47028- 34311 CUPE84J25000130002 SALDO C</t>
  </si>
  <si>
    <t>Distinta: 17601039324330HFRDEF</t>
  </si>
  <si>
    <t>Da NEXI Payments Spa TRN 059675431105NPPASU0000000000IT CIPBITMM per PV 1000001228637 ACCREDITO CIRCUITI INTERNAZ. 12102</t>
  </si>
  <si>
    <t>Da NEXI Payments Spa TRN 059511070085NPPASU0000000000IT CIPBITMM per PV 1000001228637 ACCREDITO CIRCUITI INTERNAZ. 10102</t>
  </si>
  <si>
    <t>Da Scalapay IP S.p.a. TRN 3601825101304502896370598950870-008 CBPSIT31XXX per 2025-10-12 - GEOS S SDRL - Scalapay IP S.p</t>
  </si>
  <si>
    <t>Da NEXI Payments Spa TRN 059601743065NPPASU0000000000IT CIPBITMM per PV 1000001228637 ACCREDITO CIRCUITI INTERNAZ. 11102</t>
  </si>
  <si>
    <t>Da NEXI Payments Spa TRN 059510377045NPPASU0000000000IT CIPBITMM per PV 1000001228596 ACCREDITO CIRCUITI INTERNAZ. 10102</t>
  </si>
  <si>
    <t>Da NEXI Payments Spa TRN 059603620115NPPASU0000000000IT CIPBITMM per PV 1000001228596 ACCREDITO CIRCUITI INTERNAZ. 11102</t>
  </si>
  <si>
    <t>Da NEXI Payments Spa TRN 059397074095NPPASU0000000000IT CIPBITMM per PV 1000001228596 ACCREDITO CIRCUITI INTERNAZ. 09102</t>
  </si>
  <si>
    <t>Da NEXI Payments Spa TRN 059398065125NPPASU0000000000IT CIPBITMM per PV 1000001228637 ACCREDITO CIRCUITI INTERNAZ. 09102</t>
  </si>
  <si>
    <t>Da Scalapay IP S.p.a. TRN 3601825101004505418486739964425-008 CBPSIT31XXX per 2025-10-09 - GEOS S SDRL - Scalapay IP S.p</t>
  </si>
  <si>
    <t>Da NEXI Payments Spa TRN 059397085075NPPASU0000000000IT CIPBITMM per PV 1000001228596 ACCREDITO BANCOMAT 091025 RIF 9434</t>
  </si>
  <si>
    <t>Da Satispay Europe S.A. TRN 7f4135e00f5742a6a3b5e8a29fa290e4 SATYLUL1XXX per Geos ssdr</t>
  </si>
  <si>
    <t>CAFFE' VINO VIA BELLEZ 08/10/2025 12.59 MILANO        Op.674990 carta ****0501</t>
  </si>
  <si>
    <t>Distinta: 1760000869785043GDEF</t>
  </si>
  <si>
    <t>Distinta: 17599281565820DT0DEF</t>
  </si>
  <si>
    <t>Distinta: 176000095137201V3DEF</t>
  </si>
  <si>
    <t>Distinta: 176000023024903PLDEF</t>
  </si>
  <si>
    <t>Distinta: 176000040478601NJDEF</t>
  </si>
  <si>
    <t>Da NEXI Payments Spa TRN 059284414075NPPASU0000000000IT CIPBITMM per PV 1000001228596 ACCREDITO BANCOMAT 081025 RIF 9419</t>
  </si>
  <si>
    <t>Da NEXI Payments Spa TRN 059285303125NPPASU0000000000IT CIPBITMM per PV 1000001228637 ACCREDITO CIRCUITI INTERNAZ. 08102</t>
  </si>
  <si>
    <t>Da NEXI Payments Spa TRN 059284403095NPPASU0000000000IT CIPBITMM per PV 1000001228596 ACCREDITO CIRCUITI INTERNAZ. 08102</t>
  </si>
  <si>
    <t>Da Scalapay IP S.p.a. TRN 3601825100904492644138248535189-008 CBPSIT31XXX per 2025-10-08 - GEOS S SDRL - Scalapay IP S.p</t>
  </si>
  <si>
    <t>Da ENCANTO CLUB LATINO ASS NE SPOR VA TRN 0306905578240806S90960609606IT BCITITMMXXX per Pagamento FT 334 del 06/10/25</t>
  </si>
  <si>
    <t>Da ROSEMARY FERRARI SRL TRN 5034902123865276480160001600IT BAPPIT22 per Geos SSD - saldo ft 331 del 25/09/2025</t>
  </si>
  <si>
    <t>MARTESANA S.R.L.       07/10/2025 10.49 MILANO        Op.672114 carta ****0501</t>
  </si>
  <si>
    <t>Cera una volta         07/10/2025 11.40 Milano        Op.674940 carta ****0501</t>
  </si>
  <si>
    <t>PER ACQUISTO DI EURO 65,00 DA BAR QUADRONNO IL 16/09/2025</t>
  </si>
  <si>
    <t>PER ACQUISTO DI EURO 65,00 DA PASTICCERIA MASSIMO 19 IL 16/09/2025</t>
  </si>
  <si>
    <t>PER ACQUISTO DI EURO 50,00 DA BAR D'ESTE IL 16/09/2025</t>
  </si>
  <si>
    <t>Distinta: 175984234830807IHDEF</t>
  </si>
  <si>
    <t>Distinta: 175984138842905JJDEF</t>
  </si>
  <si>
    <t>Distinta: 17599124840150DQPDEF</t>
  </si>
  <si>
    <t>Distinta: 175984260836607JPDEF</t>
  </si>
  <si>
    <t>Distinta: 17599150054520EOQDEF</t>
  </si>
  <si>
    <t>Da Scalapay IP S.p.a. TRN 3601825100804493401923651575310-008 CBPSIT31XXX per 2025-10-07 - GEOS S SDRL - Scalapay IP S.p</t>
  </si>
  <si>
    <t>Da NEXI Payments Spa TRN 059197612065NPPASU0000000000IT CIPBITMM per PV 1000001228637 ACCREDITO CIRCUITI INTERNAZ. 07102</t>
  </si>
  <si>
    <t>Da NEXI Payments Spa TRN 059196104065NPPASU0000000000IT CIPBITMM per PV 1000001228596 ACCREDITO CIRCUITI INTERNAZ. 07102</t>
  </si>
  <si>
    <t>Da NEXI Payments Spa TRN 059196120095NPPASU0000000000IT CIPBITMM per PV 1000001228596 ACCREDITO BANCOMAT 071025 RIF 9404</t>
  </si>
  <si>
    <t>Da Satispay Europe S.A. TRN bb916d4685434abe8d5012c184c7dac2 SATYLUL1XXX per Geos ssdr</t>
  </si>
  <si>
    <t>Distinta: 17598392792690733DEF</t>
  </si>
  <si>
    <t>Da Scalapay IP S.p.a. TRN 3601825100704493145140749452293-008 CBPSIT31XXX per 2025-10-06 - GEOS S SDRL - Scalapay IP S.p</t>
  </si>
  <si>
    <t>Da NEXI Payments Spa TRN 059081610035NPPASU0000000000IT CIPBITMM per PV 1000001228596 ACCREDITO CIRCUITI INTERNAZ. 06102</t>
  </si>
  <si>
    <t>Da NEXI Payments Spa TRN 059081621015NPPASU0000000000IT CIPBITMM per PV 1000001228596 ACCREDITO BANCOMAT 061025 RIF 9389</t>
  </si>
  <si>
    <t>Da NEXI Payments Spa TRN 059082340055NPPASU0000000000IT CIPBITMM per PV 1000001228637 ACCREDITO CIRCUITI INTERNAZ. 06102</t>
  </si>
  <si>
    <t>Da NEW WAVE S.R.L. TRN 1101252790441468 UNCRITMM per saldo fatt. 295 del 21/07/25</t>
  </si>
  <si>
    <t>Distinta: 17597507871174HIADEF</t>
  </si>
  <si>
    <t>Distinta: 175974028798039H9DEF</t>
  </si>
  <si>
    <t>Distinta: 17597439124924ED7DEF</t>
  </si>
  <si>
    <t>Distinta: 17597419603754DVNDEF</t>
  </si>
  <si>
    <t>Distinta: 17597446702124EPNDEF</t>
  </si>
  <si>
    <t>Da Scalapay IP S.p.a. TRN 3601825100610355952217168375128-008 CBPSIT31XXX per 2025-10-05 - GEOS S SDRL - Scalapay IP S.p</t>
  </si>
  <si>
    <t>Da NEXI Payments Spa TRN 059014314085NPPASU0000000000IT CIPBITMM per PV 1000001228637 ACCREDITO CIRCUITI INTERNAZ. 05102</t>
  </si>
  <si>
    <t>Da NEXI Payments Spa TRN 058935172105NPPASU0000000000IT CIPBITMM per PV 1000001228596 ACCREDITO BANCOMAT 041025 RIF 9365</t>
  </si>
  <si>
    <t>Da NEXI Payments Spa TRN 058839043035NPPASU0000000000IT CIPBITMM per PV 1000001228596 ACCREDITO CIRCUITI INTERNAZ. 03102</t>
  </si>
  <si>
    <t>Da NEXI Payments Spa TRN 058935018125NPPASU0000000000IT CIPBITMM per PV 1000001228637 ACCREDITO CIRCUITI INTERNAZ. 04102</t>
  </si>
  <si>
    <t>Da NEXI Payments Spa TRN 058838677015NPPASU0000000000IT CIPBITMM per PV 1000001228637 ACCREDITO CIRCUITI INTERNAZ. 03102</t>
  </si>
  <si>
    <t>Da NEXI Payments Spa TRN 058935157085NPPASU0000000000IT CIPBITMM per PV 1000001228596 ACCREDITO CIRCUITI INTERNAZ. 04102</t>
  </si>
  <si>
    <t>Da NEXI Payments Spa TRN 058839053005NPPASU0000000000IT CIPBITMM per PV 1000001228596 ACCREDITO BANCOMAT 031025 RIF 9348</t>
  </si>
  <si>
    <t>Da Satispay Europe S.A. TRN 172f63f938f84b6da1bf621ea529dd6e SATYLUL1XXX per Geos ssdr</t>
  </si>
  <si>
    <t>COMMISSIONE SOSTITUZIONE CARTA DI DEBITO</t>
  </si>
  <si>
    <t>COMMISSIONE SOSTITUZIONE CARTA</t>
  </si>
  <si>
    <t>TRN UNCRITMMXXX 1191252766423591 DA NEW WAVE S.R.L. PER saldo fatt. 299 del 29/07/2025</t>
  </si>
  <si>
    <t>Da NEXI Payments Spa TRN 058738373055NPPASU0000000000IT CIPBITMM per PV 1000001228637 ACCREDITO CIRCUITI INTERNAZ. 02102</t>
  </si>
  <si>
    <t>Da NEXI Payments Spa TRN 058739225125NPPASU0000000000IT CIPBITMM per PV 1000001228596 ACCREDITO CIRCUITI INTERNAZ. 02102</t>
  </si>
  <si>
    <t>Da NEXI Payments Spa TRN 058739238125NPPASU0000000000IT CIPBITMM per PV 1000001228596 ACCREDITO BANCOMAT 021025 RIF 9332</t>
  </si>
  <si>
    <t>Da Scalapay IP S.p.a. TRN 3601825100304510540212901862970-008 CBPSIT31XXX per 2025-10-02 - GEOS S SDRL - Scalapay IP S.p</t>
  </si>
  <si>
    <t>ADDEBITO RELATIVO AL PERIODO DI SETTEMBRE 2025</t>
  </si>
  <si>
    <t>ADDEBITO CANONE DEL SERVIZIO BANCOPOSTAIMPRESA ONLINE RELATIVO AL PERIODO SETTEMBRE 2025 CONTRATTO N. 0059926216</t>
  </si>
  <si>
    <t>Distinta: 17593315698813IFVDEF</t>
  </si>
  <si>
    <t>Da NEXI Payments Spa TRN 058636400045NPPASU0000000000IT CIPBITMM per PV 1000001228596 ACCREDITO BANCOMAT 011025 RIF 9316</t>
  </si>
  <si>
    <t>Da NEXI Payments Spa TRN 058636380105NPPASU0000000000IT CIPBITMM per PV 1000001228596 ACCREDITO CIRCUITI INTERNAZ. 01102</t>
  </si>
  <si>
    <t>Da Scalapay IP S.p.a. TRN 3601825100204493718836201927603-008 CBPSIT31XXX per 2025-10-01 - GEOS S SDRL - Scalapay IP S.p</t>
  </si>
  <si>
    <t>Da NEXI Payments Spa TRN 058636634045NPPASU0000000000IT CIPBITMM per PV 1000001228637 ACCREDITO CIRCUITI INTERNAZ. 01102</t>
  </si>
  <si>
    <t>Distinta: 17593137194323DQVDEF</t>
  </si>
  <si>
    <t>Da NEXI Payments Spa TRN 058519189015NPPASU0000000000IT CIPBITMM per PV 1000001228637 ACCREDITO CIRCUITI INTERNAZ. 30092</t>
  </si>
  <si>
    <t>Da NEXI Payments Spa TRN 058513231105NPPASU0000000000IT CIPBITMM per PV 1000001228596 ACCREDITO BANCOMAT 300925 RIF 9300</t>
  </si>
  <si>
    <t>Da NEXI Payments Spa TRN 058513227065NPPASU0000000000IT CIPBITMM per PV 1000001228596 ACCREDITO CIRCUITI INTERNAZ. 30092</t>
  </si>
  <si>
    <t>Da Scalapay IP S.p.a. TRN 3601825100104495008557521592052-008 CBPSIT31XXX per 2025-09-30 - GEOS S SDRL - Scalapay IP S.p</t>
  </si>
  <si>
    <t>Da Satispay Europe S.A. TRN a4944257cd094c75ad877e42c9ca1401 SATYLUL1XXX per Geos ssdr</t>
  </si>
  <si>
    <t>Distinta: 175921689169529JQDEF</t>
  </si>
  <si>
    <t>Da NEXI Payments Spa TRN 058422630065NPPASU0000000000IT CIPBITMM per PV 1000001228596 ACCREDITO CIRCUITI INTERNAZ. 29092</t>
  </si>
  <si>
    <t>Da NEXI Payments Spa TRN 058423969065NPPASU0000000000IT CIPBITMM per PV 1000001228637 ACCREDITO CIRCUITI INTERNAZ. 29092</t>
  </si>
  <si>
    <t>Da NEXI Payments Spa TRN 058422638015NPPASU0000000000IT CIPBITMM per PV 1000001228596 ACCREDITO BANCOMAT 290925 RIF 9277</t>
  </si>
  <si>
    <t>Da Scalapay IP S.p.a. TRN 3601825093004492656100570758431-008 CBPSIT31XXX per 2025-09-29 - GEOS S SDRL - Scalapay IP S.p</t>
  </si>
  <si>
    <t>Da Satispay Europe S.A. TRN 20ad9b4062bb4c48adef602e5757c890 SATYLUL1XXX per Geos ssdr</t>
  </si>
  <si>
    <t>Da NEXI Payments Spa TRN 058175625015NPPASU0000000000IT CIPBITMM per PV 1000001228596 ACCREDITO CIRCUITI INTERNAZ. 26092</t>
  </si>
  <si>
    <t>Da NEXI Payments Spa TRN 058179120125NPPASU0000000000IT CIPBITMM per PV 1000001228637 ACCREDITO CIRCUITI INTERNAZ. 26092</t>
  </si>
  <si>
    <t>Da NEXI Payments Spa TRN 058175639025NPPASU0000000000IT CIPBITMM per PV 1000001228596 ACCREDITO BANCOMAT 260925 RIF 9235</t>
  </si>
  <si>
    <t>Da NEXI Payments Spa TRN 058276499085NPPASU0000000000IT CIPBITMM per PV 1000001228596 ACCREDITO CIRCUITI INTERNAZ. 27092</t>
  </si>
  <si>
    <t>Da NEXI Payments Spa TRN 058276069075NPPASU0000000000IT CIPBITMM per PV 1000001228637 ACCREDITO CIRCUITI INTERNAZ. 27092</t>
  </si>
  <si>
    <t>Da NEXI Payments Spa TRN 058276510065NPPASU0000000000IT CIPBITMM per PV 1000001228596 ACCREDITO BANCOMAT 270925 RIF 9252</t>
  </si>
  <si>
    <t>Da NEXI Payments Spa TRN 058375820095NPPASU0000000000IT CIPBITMM per PV 1000001228637 ACCREDITO CIRCUITI INTERNAZ. 28092</t>
  </si>
  <si>
    <t>Da Scalapay IP S.p.a. TRN 3601825092904494671165613208997-008 CBPSIT31XXX per 2025-09-28 - GEOS S SDRL - Scalapay IP S.p</t>
  </si>
  <si>
    <t>Da NEW WAVE S.R.L. TRN 1101252690345922 UNCRITMM per SALDO FATT. 289 DEL 14.07.2025</t>
  </si>
  <si>
    <t>Distinta: 17588756366342EE7DEF</t>
  </si>
  <si>
    <t>Da Scalapay IP S.p.a. TRN 3601825092604562011915388676143-008 CBPSIT31XXX per 2025-09-25 - GEOS S SDRL - Scalapay IP S.p</t>
  </si>
  <si>
    <t>Distinta: 1758790948982285TDEF</t>
  </si>
  <si>
    <t>Distinta: 17587847111682696DEF</t>
  </si>
  <si>
    <t>Distinta: 1758784575086267SDEF</t>
  </si>
  <si>
    <t>Da NEXI Payments Spa TRN 058043668075NPPASU0000000000IT CIPBITMM per PV 1000001228596 ACCREDITO BANCOMAT 240925 RIF 9203</t>
  </si>
  <si>
    <t>Da NEXI Payments Spa TRN 058043653055NPPASU0000000000IT CIPBITMM per PV 1000001228596 ACCREDITO CIRCUITI INTERNAZ. 24092</t>
  </si>
  <si>
    <t>Da NEXI Payments Spa TRN 058043552085NPPASU0000000000IT CIPBITMM per PV 1000001228637 ACCREDITO CIRCUITI INTERNAZ. 24092</t>
  </si>
  <si>
    <t>Da Scalapay IP S.p.a. TRN 3601825092504480492854034686649-008 CBPSIT31XXX per 2025-09-24 - GEOS S SDRL - Scalapay IP S.p</t>
  </si>
  <si>
    <t>Da NEXI Payments Spa TRN 057941323115NPPASU0000000000IT CIPBITMM per PV 1000001228637 ACCREDITO CIRCUITI INTERNAZ. 23092</t>
  </si>
  <si>
    <t>Da Scalapay IP S.p.a. TRN 3601825092404491384018264376612-008 CBPSIT31XXX per 2025-09-23 - GEOS S SDRL - Scalapay IP S.p</t>
  </si>
  <si>
    <t>Da NEXI Payments Spa TRN 057942090115NPPASU0000000000IT CIPBITMM per PV 1000001228596 ACCREDITO BANCOMAT 230925 RIF 9188</t>
  </si>
  <si>
    <t>Da NEXI Payments Spa TRN 057942077115NPPASU0000000000IT CIPBITMM per PV 1000001228596 ACCREDITO CIRCUITI INTERNAZ. 23092</t>
  </si>
  <si>
    <t>Da Satispay Europe S.A. TRN ff325403ff6341bab76a26dd546d7e4e SATYLUL1XXX per Geos ssdr</t>
  </si>
  <si>
    <t>Da NEXI Payments Spa TRN 057878858115NPPASU0000000000IT CIPBITMM per PV 1000001228596 ACCREDITO CIRCUITI INTERNAZ. 22092</t>
  </si>
  <si>
    <t>Da NEXI Payments Spa TRN 057878867075NPPASU0000000000IT CIPBITMM per PV 1000001228596 ACCREDITO BANCOMAT 220925 RIF 9173</t>
  </si>
  <si>
    <t>Da NEXI Payments Spa TRN 057879075075NPPASU0000000000IT CIPBITMM per PV 1000001228637 ACCREDITO CIRCUITI INTERNAZ. 22092</t>
  </si>
  <si>
    <t>Da Scalapay IP S.p.a. TRN 3601825092304494077145130903195-008 CBPSIT31XXX per 2025-09-22 - GEOS S SDRL - Scalapay IP S.p</t>
  </si>
  <si>
    <t>Da NEXI Payments Spa TRN 057641272005NPPASU0000000000IT CIPBITMM per PV 1000001228596 ACCREDITO BANCOMAT 190925 RIF 9130</t>
  </si>
  <si>
    <t>Da NEXI Payments Spa TRN 057641191105NPPASU0000000000IT CIPBITMM per PV 1000001228637 ACCREDITO CIRCUITI INTERNAZ. 19092</t>
  </si>
  <si>
    <t>Da NEXI Payments Spa TRN 057728761125NPPASU0000000000IT CIPBITMM per PV 1000001228596 ACCREDITO CIRCUITI INTERNAZ. 20092</t>
  </si>
  <si>
    <t>Da NEXI Payments Spa TRN 057728781065NPPASU0000000000IT CIPBITMM per PV 1000001228596 ACCREDITO BANCOMAT 200925 RIF 9148</t>
  </si>
  <si>
    <t>Da NEXI Payments Spa TRN 057641257115NPPASU0000000000IT CIPBITMM per PV 1000001228596 ACCREDITO CIRCUITI INTERNAZ. 19092</t>
  </si>
  <si>
    <t>Da NEXI Payments Spa TRN 057729123105NPPASU0000000000IT CIPBITMM per PV 1000001228637 ACCREDITO CIRCUITI INTERNAZ. 20092</t>
  </si>
  <si>
    <t>Da NEXI Payments Spa TRN 057780325055NPPASU0000000000IT CIPBITMM per PV 1000001228637 ACCREDITO CIRCUITI INTERNAZ. 21092</t>
  </si>
  <si>
    <t>Da Scalapay IP S.p.a. TRN 3601825092204481808870347979977-008 CBPSIT31XXX per 2025-09-21 - GEOS S SDRL - Scalapay IP S.p</t>
  </si>
  <si>
    <t>Da TG NEW CO SRL TRN 0000051270946104486405064050IT CIVIIT2CXXX per SUPP PAGAMENTO FATTURA N.319 DEL 18/09/2025</t>
  </si>
  <si>
    <t>Distinta: 175820167956011SLDEF</t>
  </si>
  <si>
    <t>Da NEXI Payments Spa TRN 057498059085NPPASU0000000000IT CIPBITMM per PV 1000001228596 ACCREDITO BANCOMAT 180925 RIF 9113</t>
  </si>
  <si>
    <t>Da Scalapay IP S.p.a. TRN 3601825091904505493000784501091-008 CBPSIT31XXX per 2025-09-18 - GEOS S SDRL - Scalapay IP S.p</t>
  </si>
  <si>
    <t>Da NEXI Payments Spa TRN 057498050125NPPASU0000000000IT CIPBITMM per PV 1000001228596 ACCREDITO CIRCUITI INTERNAZ. 18092</t>
  </si>
  <si>
    <t>Da NEXI Payments Spa TRN 057497797065NPPASU0000000000IT CIPBITMM per PV 1000001228637 ACCREDITO CIRCUITI INTERNAZ. 18092</t>
  </si>
  <si>
    <t>Da NEXI Payments Spa TRN 057397742125NPPASU0000000000IT CIPBITMM per PV 1000001228596 ACCREDITO CIRCUITI INTERNAZ. 17092</t>
  </si>
  <si>
    <t>Da NEXI Payments Spa TRN 057397764085NPPASU0000000000IT CIPBITMM per PV 1000001228596 ACCREDITO BANCOMAT 170925 RIF 9098</t>
  </si>
  <si>
    <t>Da NEXI Payments Spa TRN 057389645015NPPASU0000000000IT CIPBITMM per PV 1000001228637 ACCREDITO CIRCUITI INTERNAZ. 17092</t>
  </si>
  <si>
    <t>Da Scalapay IP S.p.a. TRN 3601825091804493376332376756110-008 CBPSIT31XXX per 2025-09-17 - GEOS S SDRL - Scalapay IP S.p</t>
  </si>
  <si>
    <t>Da ENCANTO CLUB LATINO ASS NE SPOR VA TRN 0306904916229500S90960609606IT BCITITMMXXX per Pagamento FT 317 del 15/09/2025</t>
  </si>
  <si>
    <t>BAR QUADRONNO          16/09/2025 11.04 MILANO        Op.675216 carta ****0124</t>
  </si>
  <si>
    <t>PASTICCERIA MASSIMO 19 16/09/2025 10.48 MILANO        Op.677030 carta ****0124</t>
  </si>
  <si>
    <t>BAR D'ESTE             16/09/2025 11.24 MILANO        Op.672631 carta ****0124</t>
  </si>
  <si>
    <t>Da Scalapay IP S.p.a. TRN 3601825091708345326962130510133-008 CBPSIT31XXX per 2025-09-16 - GEOS S SDRL - Scalapay IP S.p</t>
  </si>
  <si>
    <t>Da NEXI Payments Spa TRN 057283385035NPPASU0000000000IT CIPBITMM per PV 1000001228596 ACCREDITO BANCOMAT 160925 RIF 9082</t>
  </si>
  <si>
    <t>Da NEXI Payments Spa TRN 057283367115NPPASU0000000000IT CIPBITMM per PV 1000001228596 ACCREDITO CIRCUITI INTERNAZ. 16092</t>
  </si>
  <si>
    <t>Da NEXI Payments Spa TRN 057284780075NPPASU0000000000IT CIPBITMM per PV 1000001228637 ACCREDITO CIRCUITI INTERNAZ. 16092</t>
  </si>
  <si>
    <t>Distinta: 175794586801108D4DEF</t>
  </si>
  <si>
    <t>Da Scalapay IP S.p.a. TRN 3601825091604492523047509136930-008 CBPSIT31XXX per 2025-09-15 - GEOS S SDRL - Scalapay IP S.p</t>
  </si>
  <si>
    <t>Da NEXI Payments Spa TRN 057225029045NPPASU0000000000IT CIPBITMM per PV 1000001228596 ACCREDITO CIRCUITI INTERNAZ. 15092</t>
  </si>
  <si>
    <t>Da NEXI Payments Spa TRN 057225043055NPPASU0000000000IT CIPBITMM per PV 1000001228596 ACCREDITO BANCOMAT 150925 RIF 9066</t>
  </si>
  <si>
    <t>Da NEXI Payments Spa TRN 057224465125NPPASU0000000000IT CIPBITMM per PV 1000001228637 ACCREDITO CIRCUITI INTERNAZ. 15092</t>
  </si>
  <si>
    <t>Da NEXI Payments Spa TRN 056950899055NPPASU0000000000IT CIPBITMM per PV 1000001228637 ACCREDITO CIRCUITI INTERNAZ. 12092</t>
  </si>
  <si>
    <t>Da NEXI Payments Spa TRN 056950653065NPPASU0000000000IT CIPBITMM per PV 1000001228596 ACCREDITO CIRCUITI INTERNAZ. 12092</t>
  </si>
  <si>
    <t>Da NEXI Payments Spa TRN 056950679065NPPASU0000000000IT CIPBITMM per PV 1000001228596 ACCREDITO BANCOMAT 120925 RIF 9023</t>
  </si>
  <si>
    <t>Da NEXI Payments Spa TRN 057122954055NPPASU0000000000IT CIPBITMM per PV 1000001228637 ACCREDITO CIRCUITI INTERNAZ. 14092</t>
  </si>
  <si>
    <t>Da NEXI Payments Spa TRN 057042291075NPPASU0000000000IT CIPBITMM per PV 1000001228596 ACCREDITO BANCOMAT 130925 RIF 9040</t>
  </si>
  <si>
    <t>Da NEXI Payments Spa TRN 057042236045NPPASU0000000000IT CIPBITMM per PV 1000001228637 ACCREDITO CIRCUITI INTERNAZ. 13092</t>
  </si>
  <si>
    <t>Da NEXI Payments Spa TRN 057042276055NPPASU0000000000IT CIPBITMM per PV 1000001228596 ACCREDITO CIRCUITI INTERNAZ. 13092</t>
  </si>
  <si>
    <t>Da Scalapay IP S.p.a. TRN 3601825091504494124751012271642-008 CBPSIT31XXX per 2025-09-14 - GEOS S SDRL - Scalapay IP S.p</t>
  </si>
  <si>
    <t>Distinta: 17576650948400TNVDEF</t>
  </si>
  <si>
    <t>Distinta: 17576693712190VA7DEF</t>
  </si>
  <si>
    <t>Distinta: 17576649608620U2NDEF</t>
  </si>
  <si>
    <t>Distinta: 17576654123160P27DEF</t>
  </si>
  <si>
    <t>Da Scalapay IP S.p.a. TRN 3601825091210142536780726879833-008 CBPSIT31XXX per 2025-09-11 - GEOS S SDRL - Scalapay IP S.p</t>
  </si>
  <si>
    <t>Da NEXI Payments Spa TRN 056843930005NPPASU0000000000IT CIPBITMM per PV 1000001228596 ACCREDITO CIRCUITI INTERNAZ. 11092</t>
  </si>
  <si>
    <t>Da NEXI Payments Spa TRN 056843320015NPPASU0000000000IT CIPBITMM per PV 1000001228637 ACCREDITO CIRCUITI INTERNAZ. 11092</t>
  </si>
  <si>
    <t>Da NEXI Payments Spa TRN 056843947045NPPASU0000000000IT CIPBITMM per PV 1000001228596 ACCREDITO BANCOMAT 110925 RIF 9006</t>
  </si>
  <si>
    <t>Distinta: 17575141626390D74DEF</t>
  </si>
  <si>
    <t>Da NEXI Payments Spa TRN 056732819005NPPASU0000000000IT CIPBITMM per PV 1000001228637 ACCREDITO CIRCUITI INTERNAZ. 10092</t>
  </si>
  <si>
    <t>Da NEXI Payments Spa TRN 056732068035NPPASU0000000000IT CIPBITMM per PV 1000001228596 ACCREDITO CIRCUITI INTERNAZ. 10092</t>
  </si>
  <si>
    <t>Da Scalapay IP S.p.a. TRN 3601825091104494005160617348124-008 CBPSIT31XXX per 2025-09-10 - GEOS S SDRL - Scalapay IP S.p</t>
  </si>
  <si>
    <t>Da NEXI Payments Spa TRN 056732085075NPPASU0000000000IT CIPBITMM per PV 1000001228596 ACCREDITO BANCOMAT 100925 RIF 8989</t>
  </si>
  <si>
    <t>Da BNG S.R.L. TRN 2509092332151226480160401600IT58876 MICSITM1XXX per Fatt 305</t>
  </si>
  <si>
    <t>Distinta: 175742563473107PMDEF</t>
  </si>
  <si>
    <t>Distinta: 17575064648460BR6DEF</t>
  </si>
  <si>
    <t>Distinta: 17575062343760BSIDEF</t>
  </si>
  <si>
    <t>Da NEXI Payments Spa TRN 056633594045NPPASU0000000000IT CIPBITMM per PV 1000001228637 ACCREDITO CIRCUITI INTERNAZ. 09092</t>
  </si>
  <si>
    <t>Da NEXI Payments Spa TRN 056632855065NPPASU0000000000IT CIPBITMM per PV 1000001228596 ACCREDITO CIRCUITI INTERNAZ. 09092</t>
  </si>
  <si>
    <t>Da Scalapay IP S.p.a. TRN 3601825091004493162251595618140-008 CBPSIT31XXX per 2025-09-09 - GEOS S SDRL - Scalapay IP S.p</t>
  </si>
  <si>
    <t>Da NEXI Payments Spa TRN 056632867055NPPASU0000000000IT CIPBITMM per PV 1000001228596 ACCREDITO BANCOMAT 090925 RIF 8974</t>
  </si>
  <si>
    <t>Distinta: 175733956880603I2DEF</t>
  </si>
  <si>
    <t>Da NEXI Payments Spa TRN 056569055105NPPASU0000000000IT CIPBITMM per PV 1000001228596 ACCREDITO BANCOMAT 080925 RIF 8959</t>
  </si>
  <si>
    <t>Da NEXI Payments Spa TRN 056575516105NPPASU0000000000IT CIPBITMM per PV 1000001228637 ACCREDITO CIRCUITI INTERNAZ. 08092</t>
  </si>
  <si>
    <t>Da Scalapay IP S.p.a. TRN 3601825090904504411990466243229-008 CBPSIT31XXX per 2025-09-08 - GEOS S SDRL - Scalapay IP S.p</t>
  </si>
  <si>
    <t>Da NEXI Payments Spa TRN 056569046015NPPASU0000000000IT CIPBITMM per PV 1000001228596 ACCREDITO CIRCUITI INTERNAZ. 08092</t>
  </si>
  <si>
    <t>Distinta: 17573139482322E8GDEF</t>
  </si>
  <si>
    <t>Da NEXI Payments Spa TRN 056304245105NPPASU0000000000IT CIPBITMM per PV 1000001228596 ACCREDITO BANCOMAT 050925 RIF 8916</t>
  </si>
  <si>
    <t>Da NEXI Payments Spa TRN 056310345005NPPASU0000000000IT CIPBITMM per PV 1000001228637 ACCREDITO CIRCUITI INTERNAZ. 05092</t>
  </si>
  <si>
    <t>Da NEXI Payments Spa TRN 056304232105NPPASU0000000000IT CIPBITMM per PV 1000001228596 ACCREDITO CIRCUITI INTERNAZ. 05092</t>
  </si>
  <si>
    <t>Da NEXI Payments Spa TRN 056390741045NPPASU0000000000IT CIPBITMM per PV 1000001228596 ACCREDITO BANCOMAT 060925 RIF 8933</t>
  </si>
  <si>
    <t>Da NEXI Payments Spa TRN 056471085085NPPASU0000000000IT CIPBITMM per PV 1000001228637 ACCREDITO CIRCUITI INTERNAZ. 07092</t>
  </si>
  <si>
    <t>Da NEXI Payments Spa TRN 056391550075NPPASU0000000000IT CIPBITMM per PV 1000001228637 ACCREDITO CIRCUITI INTERNAZ. 06092</t>
  </si>
  <si>
    <t>Da NEXI Payments Spa TRN 056390728045NPPASU0000000000IT CIPBITMM per PV 1000001228596 ACCREDITO CIRCUITI INTERNAZ. 06092</t>
  </si>
  <si>
    <t>Da Scalapay IP S.p.a. TRN 3601825090804514897130499980422-008 CBPSIT31XXX per 2025-09-07 - GEOS S SDRL - Scalapay IP S.p</t>
  </si>
  <si>
    <t>Distinta: 17570746029681QSBDEF</t>
  </si>
  <si>
    <t>Distinta: 17570747658491P14DEF</t>
  </si>
  <si>
    <t>Distinta: 17569019970901MG3DEF</t>
  </si>
  <si>
    <t>Da NEXI Payments Spa TRN 056194533055NPPASU0000000000IT CIPBITMM per PV 1000001228596 ACCREDITO BANCOMAT 040925 RIF 8899</t>
  </si>
  <si>
    <t>Da NEXI Payments Spa TRN 056206767065NPPASU0000000000IT CIPBITMM per PV 1000001228637 ACCREDITO CIRCUITI INTERNAZ. 04092</t>
  </si>
  <si>
    <t>Da NEXI Payments Spa TRN 056194522075NPPASU0000000000IT CIPBITMM per PV 1000001228596 ACCREDITO CIRCUITI INTERNAZ. 04092</t>
  </si>
  <si>
    <t>Da Scalapay IP S.p.a. TRN 3601825090504504844473562706283-008 CBPSIT31XXX per 2025-09-04 - GEOS S SDRL - Scalapay IP S.p</t>
  </si>
  <si>
    <t>Da Scalapay IP S.p.a. TRN 3601825090404491763558306964844-008 CBPSIT31XXX per 2025-09-03 - GEOS S SDRL - Scalapay IP S.p</t>
  </si>
  <si>
    <t>Da NEXI Payments Spa TRN 056106914065NPPASU0000000000IT CIPBITMM per PV 1000001228637 ACCREDITO CIRCUITI INTERNAZ. 03092</t>
  </si>
  <si>
    <t>Da NEXI Payments Spa TRN 056106310005NPPASU0000000000IT CIPBITMM per PV 1000001228596 ACCREDITO CIRCUITI INTERNAZ. 03092</t>
  </si>
  <si>
    <t>Da LIO MALLORCA MARITIMO S.L TRN A8968TI109315246 CAIXESBBXXX per PAGO DE S/FRA 300 V1</t>
  </si>
  <si>
    <t>Da Scalapay IP S.p.a. TRN 3601825090304503252060356764967-008 CBPSIT31XXX per 2025-09-02 - GEOS S SDRL - Scalapay IP S.p</t>
  </si>
  <si>
    <t>Da NEXI Payments Spa TRN 056016782035NPPASU0000000000IT CIPBITMM per PV 1000001228596 ACCREDITO BANCOMAT 020925 RIF 8867</t>
  </si>
  <si>
    <t>Da NEXI Payments Spa TRN 056018620085NPPASU0000000000IT CIPBITMM per PV 1000001228637 ACCREDITO CIRCUITI INTERNAZ. 02092</t>
  </si>
  <si>
    <t>Da NEXI Payments Spa TRN 056016763105NPPASU0000000000IT CIPBITMM per PV 1000001228596 ACCREDITO CIRCUITI INTERNAZ. 02092</t>
  </si>
  <si>
    <t>ADDEBITO RELATIVO AL PERIODO DI AGOSTO    2025</t>
  </si>
  <si>
    <t>ADDEBITO CANONE DEL SERVIZIO BANCOPOSTAIMPRESA ONLINE RELATIVO AL PERIODO AGOSTO 2025 CONTRATTO N. 0059926216</t>
  </si>
  <si>
    <t>Distinta: 175673379404312PCDEF</t>
  </si>
  <si>
    <t>Da NEXI Payments Spa TRN 055896281125NPPASU0000000000IT CIPBITMM per PV 1000001228596 ACCREDITO CIRCUITI INTERNAZ. 01092</t>
  </si>
  <si>
    <t>Da NEXI Payments Spa TRN 055896669105NPPASU0000000000IT CIPBITMM per PV 1000001228637 ACCREDITO CIRCUITI INTERNAZ. 01092</t>
  </si>
  <si>
    <t>Distinta: 17567093091650SG0DEF</t>
  </si>
  <si>
    <t>Distinta: 17564813545530O35DEF</t>
  </si>
  <si>
    <t>Da NEXI Payments Spa TRN 055709383025NPPASU0000000000IT CIPBITMM per PV 1000001228637 ACCREDITO CIRCUITI INTERNAZ. 29082</t>
  </si>
  <si>
    <t>Da NEXI Payments Spa TRN 055709071025NPPASU0000000000IT CIPBITMM per PV 1000001228596 ACCREDITO CIRCUITI INTERNAZ. 29082</t>
  </si>
  <si>
    <t>Da NEXI Payments Spa TRN 055828425035NPPASU0000000000IT CIPBITMM per PV 1000001228637 ACCREDITO CIRCUITI INTERNAZ. 31082</t>
  </si>
  <si>
    <t>Da NEXI Payments Spa TRN 055793015055NPPASU0000000000IT CIPBITMM per PV 1000001228637 ACCREDITO CIRCUITI INTERNAZ. 30082</t>
  </si>
  <si>
    <t>Da Scalapay IP S.p.a. TRN 3601825090104503058453051287163-008 CBPSIT31XXX per 2025-08-31 - GEOS S SDRL - Scalapay IP S.p</t>
  </si>
  <si>
    <t>Da NEXI Payments Spa TRN 055795402005NPPASU0000000000IT CIPBITMM per PV 1000001228596 ACCREDITO BANCOMAT 300825 RIF 8818</t>
  </si>
  <si>
    <t>Da NEXI Payments Spa TRN 055795382065NPPASU0000000000IT CIPBITMM per PV 1000001228596 ACCREDITO CIRCUITI INTERNAZ. 30082</t>
  </si>
  <si>
    <t>SALDO gestione precedente 2024_2025                 (al 31ago2025)</t>
  </si>
  <si>
    <t>CONTROLLO</t>
  </si>
  <si>
    <t>CONTROLLO BB</t>
  </si>
  <si>
    <t>COMMENTO - APPUNTO</t>
  </si>
  <si>
    <t>dati riportati in prima nota</t>
  </si>
  <si>
    <t>ENTRATE</t>
  </si>
  <si>
    <t>riportato su Athena</t>
  </si>
  <si>
    <t>USCITE</t>
  </si>
  <si>
    <t>BONIFICO QUOTE CORSO</t>
  </si>
  <si>
    <t>ENTRATE DIVERSE</t>
  </si>
  <si>
    <t>Da NEXI Payments Spa TRN 076335640046NPPASU0000000000IT CIPBITMM per PV 1000001228637 ACCREDITO CIRCUITI INTERNAZ. 02042</t>
  </si>
  <si>
    <t>Da NEXI Payments Spa TRN 076335951036NPPASU0000000000IT CIPBITMM per PV 1000001228596 ACCREDITO CIRCUITI INTERNAZ. 02042</t>
  </si>
  <si>
    <t>38SDD</t>
  </si>
  <si>
    <t>ADDEBITO RELATIVO AL PERIODO DI MARZO     2026</t>
  </si>
  <si>
    <t>ADDEBITO CANONE DEL SERVIZIO BANCOPOSTAIMPRESA ONLINE RELATIVO AL PERIODO MARZO 2026 CONTRATTO N. 0059926216</t>
  </si>
  <si>
    <t>Distinta: 17751190334723810DEF</t>
  </si>
  <si>
    <t>Distinta: 177505048685033GLDEF</t>
  </si>
  <si>
    <t>Distinta: 1775047631515317ADEF</t>
  </si>
  <si>
    <t>Distinta: 1775049671700338ADEF</t>
  </si>
  <si>
    <t>Distinta: 177511713222439HNDEF</t>
  </si>
  <si>
    <t>Distinta: 177504870644033EODEF</t>
  </si>
  <si>
    <t>Da NEXI Payments Spa TRN 076210471126NPPASU0000000000IT CIPBITMM per PV 1000001228596 ACCREDITO CIRCUITI INTERNAZ. 01042</t>
  </si>
  <si>
    <t>Da NEXI Payments Spa TRN 076213976076NPPASU0000000000IT CIPBITMM per PV 1000001228637 ACCREDITO CIRCUITI INTERNAZ. 01042</t>
  </si>
  <si>
    <t>Distinta: 177503995595631EEDEF</t>
  </si>
  <si>
    <t>Distinta: 1775039326781316IDEF</t>
  </si>
  <si>
    <t>Distinta: 17750348733762T4RDEF</t>
  </si>
  <si>
    <t>Distinta: 17750396848792VFADEF</t>
  </si>
  <si>
    <t>Distinta: 17750350311502US6DEF</t>
  </si>
  <si>
    <t>Distinta: 17750352158292TL8DEF</t>
  </si>
  <si>
    <t>Distinta: 1775040564425314KDEF</t>
  </si>
  <si>
    <t>Da NEXI Payments Spa TRN 076091092126NPPASU0000000000IT CIPBITMM per PV 1000001228596 ACCREDITO CIRCUITI INTERNAZ. 31032</t>
  </si>
  <si>
    <t>Da NEXI Payments Spa TRN 076091094016NPPASU0000000000IT CIPBITMM per PV 1000001228596 ACCREDITO BANCOMAT 310326 RIF 1194</t>
  </si>
  <si>
    <t>Da NEXI Payments Spa TRN 075975809006NPPASU0000000000IT CIPBITMM per PV 1000001228596 ACCREDITO CIRCUITI INTERNAZ. 30032</t>
  </si>
  <si>
    <t>Da NEXI Payments Spa TRN 075991834096NPPASU0000000000IT CIPBITMM per PV 1000001228637 ACCREDITO CIRCUITI INTERNAZ. 30032</t>
  </si>
  <si>
    <t>Da NEXI Payments Spa TRN 075975825036NPPASU0000000000IT CIPBITMM per PV 1000001228596 ACCREDITO BANCOMAT 300326 RIF 1191</t>
  </si>
  <si>
    <t>Da NOORD UFFICI S.A.S. DI TERUZZI MAURIZIO TRN 1101260890450521 UNCRITMM per SDO NOTA DI CREDITO NR.30</t>
  </si>
  <si>
    <t>Da NEXI Payments Spa TRN 075713863046NPPASU0000000000IT CIPBITMM per PV 1000001228596 ACCREDITO CIRCUITI INTERNAZ. 27032</t>
  </si>
  <si>
    <t>Da NEXI Payments Spa TRN 075709733086NPPASU0000000000IT CIPBITMM per PV 1000001228637 ACCREDITO CIRCUITI INTERNAZ. 27032</t>
  </si>
  <si>
    <t>Da NEXI Payments Spa TRN 075820049066NPPASU0000000000IT CIPBITMM per PV 1000001228596 ACCREDITO BANCOMAT 280326 RIF 1189</t>
  </si>
  <si>
    <t>Da NEXI Payments Spa TRN 075820039096NPPASU0000000000IT CIPBITMM per PV 1000001228596 ACCREDITO CIRCUITI INTERNAZ. 28032</t>
  </si>
  <si>
    <t>DATA</t>
  </si>
  <si>
    <t xml:space="preserve">USCITA </t>
  </si>
  <si>
    <t>ENTRATA</t>
  </si>
  <si>
    <t xml:space="preserve">CODICE </t>
  </si>
  <si>
    <t xml:space="preserve">CAUSALE </t>
  </si>
  <si>
    <t xml:space="preserve">DESCRIZIONE </t>
  </si>
  <si>
    <t>NOTE</t>
  </si>
  <si>
    <t>PAG POS</t>
  </si>
  <si>
    <t>ASSEGNI</t>
  </si>
  <si>
    <t>CONTANTE</t>
  </si>
  <si>
    <t xml:space="preserve">BONIFICO </t>
  </si>
  <si>
    <t xml:space="preserve">DISP GIROCONTO </t>
  </si>
  <si>
    <t xml:space="preserve">ADDEBITO DIRETTO </t>
  </si>
  <si>
    <t>CANONE</t>
  </si>
  <si>
    <t>COMMISSIONE</t>
  </si>
  <si>
    <t>IMPOSTE</t>
  </si>
  <si>
    <t>Data_contabile</t>
  </si>
  <si>
    <t>Causale_operazione</t>
  </si>
  <si>
    <t>Descrizione_movimento</t>
  </si>
  <si>
    <t>1756_95</t>
  </si>
  <si>
    <t>44_8</t>
  </si>
  <si>
    <t>-5916_5</t>
  </si>
  <si>
    <t>162_5</t>
  </si>
  <si>
    <t>203_35</t>
  </si>
  <si>
    <t>399_5</t>
  </si>
  <si>
    <t>324_6</t>
  </si>
  <si>
    <t>2_66</t>
  </si>
  <si>
    <t>2_22</t>
  </si>
  <si>
    <t>2_16</t>
  </si>
  <si>
    <t>1_4</t>
  </si>
  <si>
    <t>0_4</t>
  </si>
  <si>
    <t>0_35</t>
  </si>
  <si>
    <t>0_25</t>
  </si>
  <si>
    <t>0_21</t>
  </si>
  <si>
    <t>0_2</t>
  </si>
  <si>
    <t>0_19</t>
  </si>
  <si>
    <t>0_16</t>
  </si>
  <si>
    <t>0_12</t>
  </si>
  <si>
    <t>0_1</t>
  </si>
  <si>
    <t>0_05</t>
  </si>
  <si>
    <t>Data_contabile;Addebito;Accredito;Causale operazione;Operazione;Descrizione_movimento</t>
  </si>
  <si>
    <t>23/01/2026;;82;1;Da NEXI Payments Spa TRN 069134668056NPPASU0000000000IT CIPBITMM per PV 1000001228637 ACCREDITO CIRCUITI INTERNAZ. 22012;BONIFICO SEPA</t>
  </si>
  <si>
    <t>23/01/2026;;306;1;Da NEXI Payments Spa TRN 069136434036NPPASU0000000000IT CIPBITMM per PV 1000001228596 ACCREDITO CIRCUITI INTERNAZ. 22012;BONIFICO SEPA</t>
  </si>
  <si>
    <t>23/01/2026;;25;1;Da NEXI Payments Spa TRN 069136447036NPPASU0000000000IT CIPBITMM per PV 1000001228596 ACCREDITO BANCOMAT 220126 RIF 1093;BONIFICO SEPA</t>
  </si>
  <si>
    <t>23/01/2026;;1756,95;1;Da Scalapay IP S.p.a. TRN 3601826012304520487070669027166-008 CBPSIT31XXX per 2026-01-22 - GEOS S SDRL - Scalapay IP S.p;BONIFICO SEPA</t>
  </si>
  <si>
    <t>23/01/2026;;44,8;2;Da Satispay Europe S.A. TRN c9cf3b8acb76489cb3bc50247f69ee3d SATYLUL1XXX per Geos ssdr;BONIFICO</t>
  </si>
  <si>
    <t>23/01/2026;-124;;3;Alaio Cloud Limited    21/01/2026 09.22 Limassol      Op.601637 carta ****0501;PAGAMENTO POS</t>
  </si>
  <si>
    <t>22/01/2026;-5916,5;;4;Distinta: 17690725202600V4UDEF;BONIFICO SEPA</t>
  </si>
  <si>
    <t>22/01/2026;;162,5;1;Da NEXI Payments Spa TRN 069031799056NPPASU0000000000IT CIPBITMM per PV 1000001228596 ACCREDITO CIRCUITI INTERNAZ. 21012;BONIFICO SEPA</t>
  </si>
  <si>
    <t>22/01/2026;;25;1;Da NEXI Payments Spa TRN 069031814076NPPASU0000000000IT CIPBITMM per PV 1000001228596 ACCREDITO BANCOMAT 210126 RIF 1092;BONIFICO SEPA</t>
  </si>
  <si>
    <t>22/01/2026;;203,35;1;Da Scalapay IP S.p.a. TRN 3601826012204532500730550448410-008 CBPSIT31XXX per 2026-01-21 - GEOS S SDRL - Scalapay IP S.p;BONIFICO SEPA</t>
  </si>
  <si>
    <t>21/01/2026;-2000;;4;Distinta: 17689892291710MCFDEF;BONIFICO SEPA</t>
  </si>
  <si>
    <t>21/01/2026;;465;1;Da NEXI Payments Spa TRN 068920717086NPPASU0000000000IT CIPBITMM per PV 1000001228596 ACCREDITO CIRCUITI INTERNAZ. 20012;BONIFICO SEPA</t>
  </si>
  <si>
    <t>21/01/2026;;88;1;Da NEXI Payments Spa TRN 068919268026NPPASU0000000000IT CIPBITMM per PV 1000001228637 ACCREDITO CIRCUITI INTERNAZ. 20012;BONIFICO SEPA</t>
  </si>
  <si>
    <t>21/01/2026;;50;1;Da NEXI Payments Spa TRN 068920731096NPPASU0000000000IT CIPBITMM per PV 1000001228596 ACCREDITO BANCOMAT 200126 RIF 1090;BONIFICO SEPA</t>
  </si>
  <si>
    <t>20/01/2026;;450;1;Da NEXI Payments Spa TRN 068821145036NPPASU0000000000IT CIPBITMM per PV 1000001228596 ACCREDITO CIRCUITI INTERNAZ. 19012;BONIFICO SEPA</t>
  </si>
  <si>
    <t>20/01/2026;;142;1;Da NEXI Payments Spa TRN 068821155006NPPASU0000000000IT CIPBITMM per PV 1000001228596 ACCREDITO BANCOMAT 190126 RIF 1089;BONIFICO SEPA</t>
  </si>
  <si>
    <t>20/01/2026;;88;1;Da NEXI Payments Spa TRN 068821375126NPPASU0000000000IT CIPBITMM per PV 1000001228637 ACCREDITO CIRCUITI INTERNAZ. 19012;BONIFICO SEPA</t>
  </si>
  <si>
    <t>20/01/2026;-20;;3;FIGMA                  17/01/2026 19.19 SAN FRANCISCO Op.603173 carta ****0501;PAGAMENTO POS</t>
  </si>
  <si>
    <t>19/01/2026;;704;1;Da NEXI Payments Spa TRN 068670898106NPPASU0000000000IT CIPBITMM per PV 1000001228637 ACCREDITO CIRCUITI INTERNAZ. 17012;BONIFICO SEPA</t>
  </si>
  <si>
    <t>19/01/2026;;2032;1;Da NEXI Payments Spa TRN 068670153066NPPASU0000000000IT CIPBITMM per PV 1000001228596 ACCREDITO CIRCUITI INTERNAZ. 17012;BONIFICO SEPA</t>
  </si>
  <si>
    <t>19/01/2026;;622;1;Da NEXI Payments Spa TRN 068670163036NPPASU0000000000IT CIPBITMM per PV 1000001228596 ACCREDITO BANCOMAT 170126 RIF 1087;BONIFICO SEPA</t>
  </si>
  <si>
    <t>19/01/2026;;75;1;Da NEXI Payments Spa TRN 068754760096NPPASU0000000000IT CIPBITMM per PV 1000001228596 ACCREDITO BANCOMAT 180126 RIF 1088;BONIFICO SEPA</t>
  </si>
  <si>
    <t>19/01/2026;;336;1;Da NEXI Payments Spa TRN 068754629086NPPASU0000000000IT CIPBITMM per PV 1000001228637 ACCREDITO CIRCUITI INTERNAZ. 18012;BONIFICO SEPA</t>
  </si>
  <si>
    <t>19/01/2026;;2072;1;Da NEXI Payments Spa TRN 068572642086NPPASU0000000000IT CIPBITMM per PV 1000001228596 ACCREDITO CIRCUITI INTERNAZ. 16012;BONIFICO SEPA</t>
  </si>
  <si>
    <t>19/01/2026;;551;1;Da NEXI Payments Spa TRN 068572659126NPPASU0000000000IT CIPBITMM per PV 1000001228596 ACCREDITO BANCOMAT 160126 RIF 1085;BONIFICO SEPA</t>
  </si>
  <si>
    <t>19/01/2026;;399,5;1;Da NEXI Payments Spa TRN 068754756056NPPASU0000000000IT CIPBITMM per PV 1000001228596 ACCREDITO CIRCUITI INTERNAZ. 18012;BONIFICO SEPA</t>
  </si>
  <si>
    <t>19/01/2026;;415;1;Da NEXI Payments Spa TRN 068572427016NPPASU0000000000IT CIPBITMM per PV 1000001228637 ACCREDITO CIRCUITI INTERNAZ. 16012;BONIFICO SEPA</t>
  </si>
  <si>
    <t>19/01/2026;;324,6;1;Da Scalapay IP S.p.a. TRN 3601826011904512422240088443209-008 CBPSIT31XXX per 2026-01-18 - GEOS S SDRL - Scalapay IP S.p;BONIFICO SEPA</t>
  </si>
  <si>
    <t>17/01/2026;;2,66;5;PER ACQUISTO DI EURO 531;20 DA AUUM IL 21/12/2025;ACCREDITO PER POSTEPAY CASHBACK BUSINESS</t>
  </si>
  <si>
    <t>17/01/2026;;2,22;5;PER ACQUISTO DI EURO 444;19 DA METRO FIL.SAN DONATO M IL 12/12/2025;ACCREDITO PER POSTEPAY CASHBACK BUSINESS</t>
  </si>
  <si>
    <t>17/01/2026;;2,16;5;PER ACQUISTO DI EURO 432;00 DA TRIPLES SRL IL 31/10/2025;ACCREDITO PER POSTEPAY CASHBACK BUSINESS</t>
  </si>
  <si>
    <t>17/01/2026;;1,4;5;PER ACQUISTO DI EURO 279;09 DA ESSELUNGA RIPAMONTI IL 12/12/2025;ACCREDITO PER POSTEPAY CASHBACK BUSINESS</t>
  </si>
  <si>
    <t>17/01/2026;;1;5;PER ACQUISTO DI EURO 200;00 DA GOOGLE *ADS5278163162 IL 25/12/2025;ACCREDITO PER POSTEPAY CASHBACK BUSINESS</t>
  </si>
  <si>
    <t>17/01/2026;;0,4;5;PER ACQUISTO DI EURO 80;00 DA TRIPLES SRL IL 28/10/2025;ACCREDITO PER POSTEPAY CASHBACK BUSINESS</t>
  </si>
  <si>
    <t>17/01/2026;;0,35;5;PER ACQUISTO DI EURO 70;00 DA MARTESANA S.R.L. IL 07/10/2025;ACCREDITO PER POSTEPAY CASHBACK BUSINESS</t>
  </si>
  <si>
    <t>17/01/2026;;0,25;5;PER ACQUISTO DI EURO 50;00 DA CAFFE' VINO VIA BELLEZ IL 08/10/2025;ACCREDITO PER POSTEPAY CASHBACK BUSINESS</t>
  </si>
  <si>
    <t>17/01/2026;;0,25;5;PER ACQUISTO DI EURO 50;00 DA Cera una volta IL 07/10/2025;ACCREDITO PER POSTEPAY CASHBACK BUSINESS</t>
  </si>
  <si>
    <t>17/01/2026;;0,25;5;PER ACQUISTO DI EURO 50;00 DA GOOGLE *ADS5278163162 IL 04/12/2025;ACCREDITO PER POSTEPAY CASHBACK BUSINESS</t>
  </si>
  <si>
    <t>17/01/2026;;0,21;5;PER ACQUISTO DI EURO 42;04 DA ACQUA E SAPONE IL 11/12/2025;ACCREDITO PER POSTEPAY CASHBACK BUSINESS</t>
  </si>
  <si>
    <t>17/01/2026;;0,2;5;PER ACQUISTO DI EURO 39;54 DA GOOGLE *ADS5278163162 IL 01/12/2025;ACCREDITO PER POSTEPAY CASHBACK BUSINESS</t>
  </si>
  <si>
    <t>17/01/2026;;0,19;5;PER ACQUISTO DI EURO 37;44 DA GOOGLE *ADS5278163162 IL 01/01/2026;ACCREDITO PER POSTEPAY CASHBACK BUSINESS</t>
  </si>
  <si>
    <t>17/01/2026;;0,16;5;PER ACQUISTO DI EURO 31;20 DA PAM LOCAL IL 11/12/2025;ACCREDITO PER POSTEPAY CASHBACK BUSINESS</t>
  </si>
  <si>
    <t>17/01/2026;;0,12;5;PER ACQUISTO DI EURO 24;76 DA ODSTORE PIAZZA DUOMO IL 28/10/2025;ACCREDITO PER POSTEPAY CASHBACK BUSINESS</t>
  </si>
  <si>
    <t>17/01/2026;;0,1;5;PER ACQUISTO DI EURO 20;00 DA FIGMA IL 17/12/2025;ACCREDITO PER POSTEPAY CASHBACK BUSINESS</t>
  </si>
  <si>
    <t>17/01/2026;;0,05;5;PER ACQUISTO DI EURO 10;00 DA GOOGLE *ADS5278163162 IL 29/11/2025;ACCREDITO PER POSTEPAY CASHBACK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</si>
</sst>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€-2]\ #,##0.00"/>
    <numFmt numFmtId="165" formatCode="m/d/yyyy h:mm:ss"/>
    <numFmt numFmtId="166" formatCode="dd/MM/yyyy"/>
    <numFmt numFmtId="167" formatCode="_-[$€-2]* #,##0.00_-;_-[$€-2]* \-#,##0.00_-;_-[$€-2]* &quot;-&quot;??_-;_-@"/>
    <numFmt numFmtId="168" formatCode="dd/mm/yyyy"/>
    <numFmt numFmtId="169" formatCode="d/m/yyyy"/>
  </numFmts>
  <fonts count="1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C53929"/>
      <name val="Arial"/>
    </font>
    <font>
      <sz val="10.0"/>
      <color theme="1"/>
      <name val="Arial"/>
    </font>
    <font>
      <color rgb="FFFF0000"/>
      <name val="Arial"/>
    </font>
    <font>
      <sz val="11.0"/>
      <color rgb="FF222427"/>
      <name val="Texta"/>
    </font>
    <font>
      <color theme="1"/>
      <name val="Arial"/>
      <scheme val="minor"/>
    </font>
    <font>
      <sz val="10.0"/>
      <color rgb="FF000000"/>
      <name val="Texta"/>
    </font>
    <font>
      <b/>
      <sz val="11.0"/>
      <color theme="1"/>
      <name val="Arial"/>
    </font>
    <font/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11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D9D9D9"/>
      </bottom>
    </border>
    <border>
      <bottom style="thick">
        <color rgb="FF000000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/>
    </border>
    <border>
      <bottom style="thick">
        <color rgb="FFFF0000"/>
      </bottom>
    </border>
    <border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center" wrapText="1"/>
    </xf>
    <xf borderId="1" fillId="2" fontId="1" numFmtId="164" xfId="0" applyAlignment="1" applyBorder="1" applyFont="1" applyNumberFormat="1">
      <alignment shrinkToFit="0" vertical="center" wrapText="0"/>
    </xf>
    <xf borderId="0" fillId="3" fontId="2" numFmtId="164" xfId="0" applyAlignment="1" applyFill="1" applyFont="1" applyNumberFormat="1">
      <alignment horizontal="right" shrinkToFit="0" vertical="center" wrapText="1"/>
    </xf>
    <xf borderId="0" fillId="3" fontId="3" numFmtId="165" xfId="0" applyAlignment="1" applyFont="1" applyNumberFormat="1">
      <alignment horizontal="center" shrinkToFit="0" vertical="center" wrapText="1"/>
    </xf>
    <xf borderId="0" fillId="3" fontId="3" numFmtId="164" xfId="0" applyAlignment="1" applyFont="1" applyNumberFormat="1">
      <alignment horizontal="center" shrinkToFit="0" vertical="center" wrapText="1"/>
    </xf>
    <xf borderId="0" fillId="4" fontId="1" numFmtId="0" xfId="0" applyAlignment="1" applyFill="1" applyFont="1">
      <alignment vertical="center"/>
    </xf>
    <xf borderId="0" fillId="4" fontId="4" numFmtId="164" xfId="0" applyAlignment="1" applyFont="1" applyNumberFormat="1">
      <alignment horizontal="right" readingOrder="0" vertical="center"/>
    </xf>
    <xf borderId="0" fillId="4" fontId="1" numFmtId="164" xfId="0" applyAlignment="1" applyFont="1" applyNumberFormat="1">
      <alignment horizontal="right" readingOrder="0" vertical="center"/>
    </xf>
    <xf borderId="0" fillId="4" fontId="1" numFmtId="164" xfId="0" applyAlignment="1" applyFont="1" applyNumberFormat="1">
      <alignment horizontal="right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0" fontId="5" numFmtId="166" xfId="0" applyAlignment="1" applyFont="1" applyNumberFormat="1">
      <alignment horizontal="left" readingOrder="0" shrinkToFit="0" vertical="center" wrapText="1"/>
    </xf>
    <xf borderId="0" fillId="0" fontId="6" numFmtId="167" xfId="0" applyAlignment="1" applyFont="1" applyNumberFormat="1">
      <alignment horizontal="left" shrinkToFit="0" vertical="center" wrapText="1"/>
    </xf>
    <xf borderId="0" fillId="0" fontId="5" numFmtId="167" xfId="0" applyAlignment="1" applyFont="1" applyNumberFormat="1">
      <alignment horizontal="left" readingOrder="0" shrinkToFit="0" vertical="center" wrapText="1"/>
    </xf>
    <xf borderId="0" fillId="0" fontId="7" numFmtId="167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readingOrder="0" shrinkToFit="0" vertical="bottom" wrapText="1"/>
    </xf>
    <xf borderId="0" fillId="5" fontId="5" numFmtId="167" xfId="0" applyAlignment="1" applyFill="1" applyFont="1" applyNumberFormat="1">
      <alignment horizontal="left" readingOrder="0" shrinkToFit="0" vertical="center" wrapText="1"/>
    </xf>
    <xf borderId="0" fillId="5" fontId="5" numFmtId="0" xfId="0" applyAlignment="1" applyFont="1">
      <alignment horizontal="left" readingOrder="0" shrinkToFit="0" vertical="center" wrapText="1"/>
    </xf>
    <xf borderId="0" fillId="0" fontId="2" numFmtId="168" xfId="0" applyAlignment="1" applyFont="1" applyNumberForma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169" xfId="0" applyAlignment="1" applyFont="1" applyNumberFormat="1">
      <alignment horizontal="left" readingOrder="0" vertical="bottom"/>
    </xf>
    <xf borderId="0" fillId="6" fontId="2" numFmtId="0" xfId="0" applyAlignment="1" applyFill="1" applyFont="1">
      <alignment readingOrder="0" shrinkToFit="0" vertical="bottom" wrapText="1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7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horizontal="left" vertical="bottom"/>
    </xf>
    <xf borderId="0" fillId="0" fontId="2" numFmtId="168" xfId="0" applyAlignment="1" applyFont="1" applyNumberFormat="1">
      <alignment horizontal="left" vertical="bottom"/>
    </xf>
    <xf borderId="0" fillId="7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shrinkToFit="0" vertical="bottom" wrapText="1"/>
    </xf>
    <xf borderId="0" fillId="8" fontId="9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8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0" fontId="2" numFmtId="169" xfId="0" applyAlignment="1" applyFont="1" applyNumberFormat="1">
      <alignment horizontal="left" vertical="bottom"/>
    </xf>
    <xf borderId="0" fillId="0" fontId="11" numFmtId="169" xfId="0" applyAlignment="1" applyFont="1" applyNumberForma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169" xfId="0" applyAlignment="1" applyFont="1" applyNumberForma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168" xfId="0" applyAlignment="1" applyFont="1" applyNumberFormat="1">
      <alignment horizontal="left" readingOrder="0" shrinkToFit="0" vertical="center" wrapText="1"/>
    </xf>
    <xf borderId="0" fillId="0" fontId="11" numFmtId="168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2" fillId="0" fontId="11" numFmtId="168" xfId="0" applyAlignment="1" applyBorder="1" applyFont="1" applyNumberFormat="1">
      <alignment horizontal="left" readingOrder="0" shrinkToFit="0" vertical="center" wrapText="1"/>
    </xf>
    <xf borderId="2" fillId="0" fontId="11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3" fillId="0" fontId="5" numFmtId="168" xfId="0" applyAlignment="1" applyBorder="1" applyFont="1" applyNumberFormat="1">
      <alignment horizontal="left" readingOrder="0" shrinkToFit="0" vertical="center" wrapText="1"/>
    </xf>
    <xf borderId="3" fillId="0" fontId="11" numFmtId="168" xfId="0" applyAlignment="1" applyBorder="1" applyFont="1" applyNumberFormat="1">
      <alignment horizontal="left" readingOrder="0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horizontal="left" readingOrder="0" shrinkToFit="0" vertical="center" wrapText="1"/>
    </xf>
    <xf borderId="3" fillId="0" fontId="7" numFmtId="167" xfId="0" applyAlignment="1" applyBorder="1" applyFont="1" applyNumberFormat="1">
      <alignment horizontal="center" readingOrder="0" shrinkToFit="0" vertical="center" wrapText="1"/>
    </xf>
    <xf borderId="3" fillId="5" fontId="5" numFmtId="167" xfId="0" applyAlignment="1" applyBorder="1" applyFont="1" applyNumberFormat="1">
      <alignment horizontal="left" readingOrder="0" shrinkToFit="0" vertical="center" wrapText="1"/>
    </xf>
    <xf borderId="3" fillId="5" fontId="5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right" readingOrder="0" shrinkToFit="0" vertical="center" wrapText="1"/>
    </xf>
    <xf borderId="2" fillId="0" fontId="13" numFmtId="0" xfId="0" applyBorder="1" applyFont="1"/>
    <xf borderId="5" fillId="0" fontId="13" numFmtId="0" xfId="0" applyBorder="1" applyFont="1"/>
    <xf borderId="0" fillId="0" fontId="1" numFmtId="167" xfId="0" applyAlignment="1" applyFont="1" applyNumberFormat="1">
      <alignment readingOrder="0" shrinkToFit="0" vertical="center" wrapText="1"/>
    </xf>
    <xf borderId="0" fillId="0" fontId="7" numFmtId="164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6" fontId="1" numFmtId="169" xfId="0" applyAlignment="1" applyFont="1" applyNumberFormat="1">
      <alignment vertical="center"/>
    </xf>
    <xf borderId="6" fillId="0" fontId="13" numFmtId="0" xfId="0" applyBorder="1" applyFont="1"/>
    <xf borderId="0" fillId="9" fontId="7" numFmtId="164" xfId="0" applyAlignment="1" applyFill="1" applyFont="1" applyNumberFormat="1">
      <alignment readingOrder="0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0" fillId="10" fontId="1" numFmtId="0" xfId="0" applyAlignment="1" applyFill="1" applyFont="1">
      <alignment vertical="center"/>
    </xf>
    <xf borderId="7" fillId="8" fontId="6" numFmtId="164" xfId="0" applyAlignment="1" applyBorder="1" applyFont="1" applyNumberFormat="1">
      <alignment readingOrder="0" shrinkToFit="0" vertical="center" wrapText="1"/>
    </xf>
    <xf borderId="0" fillId="8" fontId="7" numFmtId="164" xfId="0" applyAlignment="1" applyFont="1" applyNumberFormat="1">
      <alignment horizontal="right" readingOrder="0" shrinkToFit="0" vertical="center" wrapText="1"/>
    </xf>
    <xf borderId="0" fillId="8" fontId="7" numFmtId="0" xfId="0" applyAlignment="1" applyFont="1">
      <alignment horizontal="left" readingOrder="0" shrinkToFit="0" vertical="center" wrapText="1"/>
    </xf>
    <xf borderId="0" fillId="11" fontId="1" numFmtId="169" xfId="0" applyAlignment="1" applyFill="1" applyFont="1" applyNumberFormat="1">
      <alignment vertical="center"/>
    </xf>
    <xf borderId="0" fillId="12" fontId="7" numFmtId="164" xfId="0" applyAlignment="1" applyFill="1" applyFont="1" applyNumberForma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13" fontId="1" numFmtId="0" xfId="0" applyAlignment="1" applyFill="1" applyFont="1">
      <alignment vertical="center"/>
    </xf>
    <xf borderId="0" fillId="8" fontId="6" numFmtId="164" xfId="0" applyAlignment="1" applyFont="1" applyNumberFormat="1">
      <alignment readingOrder="0" shrinkToFit="0" vertical="center" wrapText="1"/>
    </xf>
    <xf borderId="8" fillId="9" fontId="1" numFmtId="0" xfId="0" applyAlignment="1" applyBorder="1" applyFont="1">
      <alignment vertical="center"/>
    </xf>
    <xf borderId="8" fillId="0" fontId="13" numFmtId="0" xfId="0" applyBorder="1" applyFont="1"/>
    <xf borderId="9" fillId="14" fontId="1" numFmtId="0" xfId="0" applyAlignment="1" applyBorder="1" applyFill="1" applyFont="1">
      <alignment vertical="center"/>
    </xf>
    <xf borderId="10" fillId="0" fontId="13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0" numFmtId="168" xfId="0" applyAlignment="1" applyFont="1" applyNumberFormat="1">
      <alignment readingOrder="0"/>
    </xf>
    <xf borderId="0" fillId="0" fontId="10" numFmtId="169" xfId="0" applyAlignment="1" applyFont="1" applyNumberFormat="1">
      <alignment readingOrder="0"/>
    </xf>
    <xf borderId="0" fillId="0" fontId="2" numFmtId="0" xfId="0" applyFont="1"/>
    <xf borderId="0" fillId="0" fontId="2" numFmtId="167" xfId="0" applyFont="1" applyNumberFormat="1"/>
    <xf borderId="0" fillId="0" fontId="2" numFmtId="49" xfId="0" applyFont="1" applyNumberFormat="1"/>
    <xf borderId="0" fillId="0" fontId="2" numFmtId="167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169" xfId="0" applyAlignment="1" applyFont="1" applyNumberFormat="1">
      <alignment readingOrder="0"/>
    </xf>
    <xf borderId="0" fillId="0" fontId="2" numFmtId="167" xfId="0" applyAlignment="1" applyFont="1" applyNumberFormat="1">
      <alignment horizontal="right" shrinkToFit="0" vertical="bottom" wrapText="1"/>
    </xf>
    <xf borderId="0" fillId="0" fontId="2" numFmtId="169" xfId="0" applyFont="1" applyNumberFormat="1"/>
    <xf borderId="0" fillId="0" fontId="2" numFmtId="168" xfId="0" applyFont="1" applyNumberFormat="1"/>
    <xf borderId="0" fillId="0" fontId="2" numFmtId="167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166" xfId="0" applyFont="1" applyNumberFormat="1"/>
    <xf borderId="0" fillId="0" fontId="10" numFmtId="0" xfId="0" applyAlignment="1" applyFont="1">
      <alignment horizontal="left" readingOrder="0" shrinkToFit="0" vertical="top" wrapText="1"/>
    </xf>
    <xf borderId="0" fillId="0" fontId="10" numFmtId="168" xfId="0" applyAlignment="1" applyFont="1" applyNumberFormat="1">
      <alignment horizontal="left" readingOrder="0" shrinkToFit="0" vertical="top" wrapText="1"/>
    </xf>
    <xf borderId="0" fillId="0" fontId="10" numFmtId="0" xfId="0" applyAlignment="1" applyFont="1">
      <alignment horizontal="left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43e0a3f9-21dc-44b6-854f-2e2aaa9e8669}">
    <Anchor>
      <Comment id="{a36caabf-3e18-404b-af55-7d19ae28acf1}"/>
    </Anchor>
    <History>
      <Event time="2025-09-08T07:06:45.00" id="{4b81a993-b9f6-44a1-9ee5-8d2755152389}">
        <Attribution userId="placeholder@email.com" userName="Amm_Gem SG" userProvider="google-sheets"/>
        <Anchor>
          <Comment id="{a36caabf-3e18-404b-af55-7d19ae28acf1}"/>
        </Anchor>
        <Create/>
      </Event>
      <Event time="2025-09-08T07:06:45.00" id="{a237e7ed-dfb0-4375-8fe4-41ec8a282702}">
        <Attribution userId="placeholder@email.com" userName="Amm_Gem SG" userProvider="google-sheets"/>
        <Anchor>
          <Comment id="{a36caabf-3e18-404b-af55-7d19ae28acf1}"/>
        </Anchor>
        <Assign userId="gaechacha@gmail.com" userName="gaechacha@gmail.com" userProvider="google-sheets"/>
      </Event>
    </History>
  </Task>
  <Task id="{7f0aaeab-327c-4d1f-8c03-d6a364907517}">
    <Anchor>
      <Comment id="{5c6e7c7e-0c8e-430d-a87c-6bc71b45fcf8}"/>
    </Anchor>
    <History>
      <Event time="2025-10-14T09:47:38.00" id="{ca45887c-5d2c-4e57-a61c-4839f5466555}">
        <Attribution userId="placeholder@email.com" userName="Amm_Gem SG" userProvider="google-sheets"/>
        <Anchor>
          <Comment id="{5c6e7c7e-0c8e-430d-a87c-6bc71b45fcf8}"/>
        </Anchor>
        <Create/>
      </Event>
      <Event time="2025-10-14T09:47:38.00" id="{5e1c37ec-59e0-4d2d-a1ae-611d8bc018aa}">
        <Attribution userId="placeholder@email.com" userName="Amm_Gem SG" userProvider="google-sheets"/>
        <Anchor>
          <Comment id="{5c6e7c7e-0c8e-430d-a87c-6bc71b45fcf8}"/>
        </Anchor>
        <Assign userId="gaechacha@gmail.com" userName="gaechacha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echacha@gmail.com" id="{050afe9a-d4b1-4236-af9c-db6893e0679d}" userId="gaechacha@gmail.com" providerId="google-sheets"/>
  <x18tc:person displayName="Gaetano Ambrosio" id="{7ead7456-1bad-494b-aa47-cf815ef83e60}" providerId="google-sheets"/>
  <x18tc:person displayName="Amm_Gem SG" id="{8be943de-7edc-41a2-bfd1-b17bbb27bd1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39" dT="2025-09-08T07:06:45.00" personId="{8be943de-7edc-41a2-bfd1-b17bbb27bd14}" id="{a36caabf-3e18-404b-af55-7d19ae28acf1}" done="1">
    <x18tc:text xml:space="preserve">@gaechacha@gmail.com devo inserire il saldo , me la sblocchi ?
Attività assegnata a gaechacha@gmail.com</x18tc:text>
    <x18tc:mentions>
      <x18tc:mention mentionpersonId="{050afe9a-d4b1-4236-af9c-db6893e0679d}" mentionId="{cc337beb-3eca-419a-b8c3-0274239e08a8}" startIndex="0" length="20"/>
    </x18tc:mentions>
  </x18tc:threadedComment>
  <x18tc:threadedComment ref="C929" dT="2025-10-14T09:47:38.00" personId="{8be943de-7edc-41a2-bfd1-b17bbb27bd14}" id="{5c6e7c7e-0c8e-430d-a87c-6bc71b45fcf8}" done="1">
    <x18tc:text xml:space="preserve">@gaechacha@gmail.com  questo è un esempio dello spazio che lascio quando riporto i dati, una volta verificato che è corretto cancello le righe bianche, in questo file non ho le autorizzazioni
Attività assegnata a gaechacha@gmail.com</x18tc:text>
    <x18tc:mentions>
      <x18tc:mention mentionpersonId="{050afe9a-d4b1-4236-af9c-db6893e0679d}" mentionId="{7b55026a-2656-45ff-8a64-39b72d7e7c5f}" startIndex="0" length="20"/>
    </x18tc:mentions>
  </x18tc:threadedComment>
  <x18tc:threadedComment ref="C929" dT="2026-04-10T09:58:08.00" personId="{7ead7456-1bad-494b-aa47-cf815ef83e60}" id="{f02b54cf-edc8-4ec2-9124-5d68ebd1c159}" parentId="{5c6e7c7e-0c8e-430d-a87c-6bc71b45fcf8}">
    <x18tc:text xml:space="preserve">non cancellare e aggiungere nessuna riga, nel caso crei un foglio provvisorio che poi cancelli... risolvi il commento così cancello le righe</x18tc:text>
  </x18tc:threadedComment>
  <x18tc:threadedComment ref="A5" dT="2026-04-10T09:56:08.00" personId="{7ead7456-1bad-494b-aa47-cf815ef83e60}" id="{549abf8f-597f-4915-a1ac-ed2f913d2acb}" done="1">
    <x18tc:text xml:space="preserve">tu puoi scrivere in questo intervallo A3:G1139..... cosa devi fare?</x18tc:text>
  </x18tc:threadedComment>
  <x18tc:threadedComment ref="A5" dT="2026-04-10T10:00:49.00" personId="{8be943de-7edc-41a2-bfd1-b17bbb27bd14}" id="{2abca0be-bcd8-4085-9e98-cabab4785422}" parentId="{549abf8f-597f-4915-a1ac-ed2f913d2acb}">
    <x18tc:text xml:space="preserve">a scrivere posso , ma devo aggiungere e togliere le righe non me lo fa fare</x18tc:text>
  </x18tc:threadedComment>
  <x18tc:threadedComment ref="A5" dT="2026-04-10T12:20:15.00" personId="{7ead7456-1bad-494b-aa47-cf815ef83e60}" id="{6f4a70d5-5093-45cd-b32a-724093787055}" parentId="{549abf8f-597f-4915-a1ac-ed2f913d2acb}">
    <x18tc:text xml:space="preserve">risolto, ora puoi fare tutto ma fai attenzione alle due colonne H e I che hanno le formule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16.13"/>
    <col customWidth="1" min="7" max="7" width="64.88"/>
    <col customWidth="1" min="8" max="8" width="19.25"/>
    <col customWidth="1" min="9" max="9" width="52.5"/>
  </cols>
  <sheetData>
    <row r="1" ht="21.75" customHeight="1">
      <c r="A1" s="1" t="s">
        <v>0</v>
      </c>
      <c r="C1" s="2">
        <f>D1139+SUM(D3:D1138)+SUM(C3:C1138)</f>
        <v>318539.46</v>
      </c>
      <c r="D1" s="3" t="s">
        <v>1</v>
      </c>
      <c r="E1" s="4">
        <f>NOW()</f>
        <v>46124.64314</v>
      </c>
      <c r="F1" s="5" t="s">
        <v>2</v>
      </c>
    </row>
    <row r="2">
      <c r="A2" s="6" t="s">
        <v>3</v>
      </c>
      <c r="B2" s="6" t="s">
        <v>4</v>
      </c>
      <c r="C2" s="7" t="s">
        <v>5</v>
      </c>
      <c r="D2" s="8" t="s">
        <v>6</v>
      </c>
      <c r="E2" s="8" t="s">
        <v>7</v>
      </c>
      <c r="F2" s="9" t="s">
        <v>8</v>
      </c>
      <c r="G2" s="10" t="s">
        <v>9</v>
      </c>
      <c r="H2" s="11" t="s">
        <v>10</v>
      </c>
      <c r="I2" s="11" t="s">
        <v>11</v>
      </c>
    </row>
    <row r="3">
      <c r="A3" s="12"/>
      <c r="B3" s="12"/>
      <c r="C3" s="13"/>
      <c r="D3" s="14"/>
      <c r="E3" s="15" t="b">
        <v>0</v>
      </c>
      <c r="F3" s="16"/>
      <c r="G3" s="17"/>
      <c r="H3" s="18">
        <f t="shared" ref="H3:H1138" si="1">C3+D3</f>
        <v>0</v>
      </c>
      <c r="I3" s="19" t="str">
        <f t="shared" ref="I3:I177" si="2">F3&amp;G3</f>
        <v/>
      </c>
    </row>
    <row r="4">
      <c r="A4" s="20"/>
      <c r="B4" s="20"/>
      <c r="C4" s="21"/>
      <c r="D4" s="22"/>
      <c r="E4" s="15" t="b">
        <v>0</v>
      </c>
      <c r="F4" s="17"/>
      <c r="G4" s="17"/>
      <c r="H4" s="18">
        <f t="shared" si="1"/>
        <v>0</v>
      </c>
      <c r="I4" s="19" t="str">
        <f t="shared" si="2"/>
        <v/>
      </c>
    </row>
    <row r="5">
      <c r="A5" s="20"/>
      <c r="B5" s="20"/>
      <c r="C5" s="21"/>
      <c r="D5" s="22"/>
      <c r="E5" s="15" t="b">
        <v>0</v>
      </c>
      <c r="F5" s="17"/>
      <c r="G5" s="17"/>
      <c r="H5" s="18">
        <f t="shared" si="1"/>
        <v>0</v>
      </c>
      <c r="I5" s="19" t="str">
        <f t="shared" si="2"/>
        <v/>
      </c>
    </row>
    <row r="6">
      <c r="A6" s="20"/>
      <c r="B6" s="20"/>
      <c r="C6" s="21"/>
      <c r="D6" s="22"/>
      <c r="E6" s="15" t="b">
        <v>0</v>
      </c>
      <c r="F6" s="17"/>
      <c r="G6" s="17"/>
      <c r="H6" s="18">
        <f t="shared" si="1"/>
        <v>0</v>
      </c>
      <c r="I6" s="19" t="str">
        <f t="shared" si="2"/>
        <v/>
      </c>
    </row>
    <row r="7">
      <c r="A7" s="20"/>
      <c r="B7" s="20"/>
      <c r="C7" s="21"/>
      <c r="D7" s="22"/>
      <c r="E7" s="15" t="b">
        <v>0</v>
      </c>
      <c r="F7" s="17"/>
      <c r="G7" s="17"/>
      <c r="H7" s="18">
        <f t="shared" si="1"/>
        <v>0</v>
      </c>
      <c r="I7" s="19" t="str">
        <f t="shared" si="2"/>
        <v/>
      </c>
    </row>
    <row r="8">
      <c r="A8" s="20"/>
      <c r="B8" s="20"/>
      <c r="C8" s="21"/>
      <c r="D8" s="22"/>
      <c r="E8" s="15" t="b">
        <v>0</v>
      </c>
      <c r="F8" s="17"/>
      <c r="G8" s="17"/>
      <c r="H8" s="18">
        <f t="shared" si="1"/>
        <v>0</v>
      </c>
      <c r="I8" s="19" t="str">
        <f t="shared" si="2"/>
        <v/>
      </c>
    </row>
    <row r="9">
      <c r="A9" s="20"/>
      <c r="B9" s="20"/>
      <c r="C9" s="21"/>
      <c r="D9" s="22"/>
      <c r="E9" s="15" t="b">
        <v>0</v>
      </c>
      <c r="F9" s="17"/>
      <c r="G9" s="17"/>
      <c r="H9" s="18">
        <f t="shared" si="1"/>
        <v>0</v>
      </c>
      <c r="I9" s="19" t="str">
        <f t="shared" si="2"/>
        <v/>
      </c>
    </row>
    <row r="10">
      <c r="A10" s="20"/>
      <c r="B10" s="20"/>
      <c r="C10" s="21"/>
      <c r="D10" s="22"/>
      <c r="E10" s="15" t="b">
        <v>0</v>
      </c>
      <c r="F10" s="17"/>
      <c r="G10" s="17"/>
      <c r="H10" s="18">
        <f t="shared" si="1"/>
        <v>0</v>
      </c>
      <c r="I10" s="19" t="str">
        <f t="shared" si="2"/>
        <v/>
      </c>
    </row>
    <row r="11">
      <c r="A11" s="20"/>
      <c r="B11" s="20"/>
      <c r="C11" s="21"/>
      <c r="D11" s="22"/>
      <c r="E11" s="15" t="b">
        <v>0</v>
      </c>
      <c r="F11" s="17"/>
      <c r="G11" s="17"/>
      <c r="H11" s="18">
        <f t="shared" si="1"/>
        <v>0</v>
      </c>
      <c r="I11" s="19" t="str">
        <f t="shared" si="2"/>
        <v/>
      </c>
    </row>
    <row r="12">
      <c r="A12" s="20"/>
      <c r="B12" s="20"/>
      <c r="C12" s="21"/>
      <c r="D12" s="22"/>
      <c r="E12" s="15" t="b">
        <v>0</v>
      </c>
      <c r="F12" s="17"/>
      <c r="G12" s="17"/>
      <c r="H12" s="18">
        <f t="shared" si="1"/>
        <v>0</v>
      </c>
      <c r="I12" s="19" t="str">
        <f t="shared" si="2"/>
        <v/>
      </c>
    </row>
    <row r="13">
      <c r="A13" s="20"/>
      <c r="B13" s="20"/>
      <c r="C13" s="21"/>
      <c r="D13" s="22"/>
      <c r="E13" s="15" t="b">
        <v>0</v>
      </c>
      <c r="F13" s="17"/>
      <c r="G13" s="17"/>
      <c r="H13" s="18">
        <f t="shared" si="1"/>
        <v>0</v>
      </c>
      <c r="I13" s="19" t="str">
        <f t="shared" si="2"/>
        <v/>
      </c>
    </row>
    <row r="14">
      <c r="A14" s="20"/>
      <c r="B14" s="20"/>
      <c r="C14" s="21"/>
      <c r="D14" s="22"/>
      <c r="E14" s="15" t="b">
        <v>0</v>
      </c>
      <c r="F14" s="17"/>
      <c r="G14" s="17"/>
      <c r="H14" s="18">
        <f t="shared" si="1"/>
        <v>0</v>
      </c>
      <c r="I14" s="19" t="str">
        <f t="shared" si="2"/>
        <v/>
      </c>
    </row>
    <row r="15">
      <c r="A15" s="20"/>
      <c r="B15" s="20"/>
      <c r="C15" s="21"/>
      <c r="D15" s="22"/>
      <c r="E15" s="15" t="b">
        <v>0</v>
      </c>
      <c r="F15" s="17"/>
      <c r="G15" s="17"/>
      <c r="H15" s="18">
        <f t="shared" si="1"/>
        <v>0</v>
      </c>
      <c r="I15" s="19" t="str">
        <f t="shared" si="2"/>
        <v/>
      </c>
    </row>
    <row r="16">
      <c r="A16" s="20"/>
      <c r="B16" s="20"/>
      <c r="C16" s="21"/>
      <c r="D16" s="22"/>
      <c r="E16" s="15" t="b">
        <v>0</v>
      </c>
      <c r="F16" s="17"/>
      <c r="G16" s="17"/>
      <c r="H16" s="18">
        <f t="shared" si="1"/>
        <v>0</v>
      </c>
      <c r="I16" s="19" t="str">
        <f t="shared" si="2"/>
        <v/>
      </c>
    </row>
    <row r="17">
      <c r="A17" s="20"/>
      <c r="B17" s="20"/>
      <c r="C17" s="21"/>
      <c r="D17" s="22"/>
      <c r="E17" s="15" t="b">
        <v>0</v>
      </c>
      <c r="F17" s="17"/>
      <c r="G17" s="17"/>
      <c r="H17" s="18">
        <f t="shared" si="1"/>
        <v>0</v>
      </c>
      <c r="I17" s="19" t="str">
        <f t="shared" si="2"/>
        <v/>
      </c>
    </row>
    <row r="18">
      <c r="A18" s="20"/>
      <c r="B18" s="20"/>
      <c r="C18" s="21"/>
      <c r="D18" s="22"/>
      <c r="E18" s="15" t="b">
        <v>0</v>
      </c>
      <c r="F18" s="17"/>
      <c r="G18" s="17"/>
      <c r="H18" s="18">
        <f t="shared" si="1"/>
        <v>0</v>
      </c>
      <c r="I18" s="19" t="str">
        <f t="shared" si="2"/>
        <v/>
      </c>
    </row>
    <row r="19">
      <c r="A19" s="20"/>
      <c r="B19" s="20"/>
      <c r="C19" s="21"/>
      <c r="D19" s="22"/>
      <c r="E19" s="15" t="b">
        <v>0</v>
      </c>
      <c r="F19" s="17"/>
      <c r="G19" s="17"/>
      <c r="H19" s="18">
        <f t="shared" si="1"/>
        <v>0</v>
      </c>
      <c r="I19" s="19" t="str">
        <f t="shared" si="2"/>
        <v/>
      </c>
    </row>
    <row r="20">
      <c r="A20" s="20"/>
      <c r="B20" s="20"/>
      <c r="C20" s="21"/>
      <c r="D20" s="22"/>
      <c r="E20" s="15" t="b">
        <v>0</v>
      </c>
      <c r="F20" s="17"/>
      <c r="G20" s="17"/>
      <c r="H20" s="18">
        <f t="shared" si="1"/>
        <v>0</v>
      </c>
      <c r="I20" s="19" t="str">
        <f t="shared" si="2"/>
        <v/>
      </c>
    </row>
    <row r="21">
      <c r="A21" s="20"/>
      <c r="B21" s="20"/>
      <c r="C21" s="21"/>
      <c r="D21" s="22"/>
      <c r="E21" s="15" t="b">
        <v>0</v>
      </c>
      <c r="F21" s="17"/>
      <c r="G21" s="17"/>
      <c r="H21" s="18">
        <f t="shared" si="1"/>
        <v>0</v>
      </c>
      <c r="I21" s="19" t="str">
        <f t="shared" si="2"/>
        <v/>
      </c>
    </row>
    <row r="22">
      <c r="A22" s="20"/>
      <c r="B22" s="20"/>
      <c r="C22" s="21"/>
      <c r="D22" s="22"/>
      <c r="E22" s="15" t="b">
        <v>0</v>
      </c>
      <c r="F22" s="17"/>
      <c r="G22" s="17"/>
      <c r="H22" s="18">
        <f t="shared" si="1"/>
        <v>0</v>
      </c>
      <c r="I22" s="19" t="str">
        <f t="shared" si="2"/>
        <v/>
      </c>
    </row>
    <row r="23">
      <c r="A23" s="20"/>
      <c r="B23" s="20"/>
      <c r="C23" s="21"/>
      <c r="D23" s="22"/>
      <c r="E23" s="15" t="b">
        <v>0</v>
      </c>
      <c r="F23" s="17"/>
      <c r="G23" s="17"/>
      <c r="H23" s="18">
        <f t="shared" si="1"/>
        <v>0</v>
      </c>
      <c r="I23" s="19" t="str">
        <f t="shared" si="2"/>
        <v/>
      </c>
    </row>
    <row r="24">
      <c r="A24" s="20"/>
      <c r="B24" s="20"/>
      <c r="C24" s="21"/>
      <c r="D24" s="22"/>
      <c r="E24" s="15" t="b">
        <v>0</v>
      </c>
      <c r="F24" s="17"/>
      <c r="G24" s="17"/>
      <c r="H24" s="18">
        <f t="shared" si="1"/>
        <v>0</v>
      </c>
      <c r="I24" s="19" t="str">
        <f t="shared" si="2"/>
        <v/>
      </c>
    </row>
    <row r="25">
      <c r="A25" s="20"/>
      <c r="B25" s="20"/>
      <c r="C25" s="21"/>
      <c r="D25" s="22"/>
      <c r="E25" s="15" t="b">
        <v>0</v>
      </c>
      <c r="F25" s="17"/>
      <c r="G25" s="17"/>
      <c r="H25" s="18">
        <f t="shared" si="1"/>
        <v>0</v>
      </c>
      <c r="I25" s="19" t="str">
        <f t="shared" si="2"/>
        <v/>
      </c>
    </row>
    <row r="26">
      <c r="A26" s="20"/>
      <c r="B26" s="20"/>
      <c r="C26" s="21"/>
      <c r="D26" s="22"/>
      <c r="E26" s="15" t="b">
        <v>0</v>
      </c>
      <c r="F26" s="17"/>
      <c r="G26" s="17"/>
      <c r="H26" s="18">
        <f t="shared" si="1"/>
        <v>0</v>
      </c>
      <c r="I26" s="19" t="str">
        <f t="shared" si="2"/>
        <v/>
      </c>
    </row>
    <row r="27">
      <c r="A27" s="20"/>
      <c r="B27" s="20"/>
      <c r="C27" s="21"/>
      <c r="D27" s="22"/>
      <c r="E27" s="15" t="b">
        <v>0</v>
      </c>
      <c r="F27" s="17"/>
      <c r="G27" s="17"/>
      <c r="H27" s="18">
        <f t="shared" si="1"/>
        <v>0</v>
      </c>
      <c r="I27" s="19" t="str">
        <f t="shared" si="2"/>
        <v/>
      </c>
    </row>
    <row r="28">
      <c r="A28" s="20"/>
      <c r="B28" s="20"/>
      <c r="C28" s="21"/>
      <c r="D28" s="22"/>
      <c r="E28" s="15" t="b">
        <v>0</v>
      </c>
      <c r="F28" s="17"/>
      <c r="G28" s="17"/>
      <c r="H28" s="18">
        <f t="shared" si="1"/>
        <v>0</v>
      </c>
      <c r="I28" s="19" t="str">
        <f t="shared" si="2"/>
        <v/>
      </c>
    </row>
    <row r="29">
      <c r="A29" s="20"/>
      <c r="B29" s="20"/>
      <c r="C29" s="21"/>
      <c r="D29" s="22"/>
      <c r="E29" s="15" t="b">
        <v>0</v>
      </c>
      <c r="F29" s="17"/>
      <c r="G29" s="17"/>
      <c r="H29" s="18">
        <f t="shared" si="1"/>
        <v>0</v>
      </c>
      <c r="I29" s="19" t="str">
        <f t="shared" si="2"/>
        <v/>
      </c>
    </row>
    <row r="30">
      <c r="A30" s="20">
        <v>46108.0</v>
      </c>
      <c r="B30" s="20">
        <v>46108.0</v>
      </c>
      <c r="C30" s="21"/>
      <c r="D30" s="22">
        <v>460.0</v>
      </c>
      <c r="E30" s="15" t="b">
        <v>0</v>
      </c>
      <c r="F30" s="17" t="s">
        <v>12</v>
      </c>
      <c r="G30" s="17" t="s">
        <v>13</v>
      </c>
      <c r="H30" s="18">
        <f t="shared" si="1"/>
        <v>460</v>
      </c>
      <c r="I30" s="19" t="str">
        <f t="shared" si="2"/>
        <v>BONIFICO SEPADa NEXI Payments Spa TRN 075595962006NPPASU0000000000IT CIPBITMM per PV 1000001228596 ACCREDITO CIRCUITI INTERNAZ. 26032</v>
      </c>
    </row>
    <row r="31">
      <c r="A31" s="20">
        <v>46108.0</v>
      </c>
      <c r="B31" s="20">
        <v>46108.0</v>
      </c>
      <c r="C31" s="21"/>
      <c r="D31" s="22">
        <v>122.0</v>
      </c>
      <c r="E31" s="15" t="b">
        <v>0</v>
      </c>
      <c r="F31" s="17" t="s">
        <v>12</v>
      </c>
      <c r="G31" s="17" t="s">
        <v>14</v>
      </c>
      <c r="H31" s="18">
        <f t="shared" si="1"/>
        <v>122</v>
      </c>
      <c r="I31" s="19" t="str">
        <f t="shared" si="2"/>
        <v>BONIFICO SEPADa SCUOLA LEONARDO DA VINCI MILAN TRN 1101260850012737 UNCRITMM per FATTURA 133/V1 DEL 11/03/2026</v>
      </c>
    </row>
    <row r="32">
      <c r="A32" s="20">
        <v>46107.0</v>
      </c>
      <c r="B32" s="23">
        <v>46107.0</v>
      </c>
      <c r="C32" s="21">
        <v>-4998.2</v>
      </c>
      <c r="D32" s="22"/>
      <c r="E32" s="15" t="b">
        <v>0</v>
      </c>
      <c r="F32" s="17" t="s">
        <v>12</v>
      </c>
      <c r="G32" s="17" t="s">
        <v>15</v>
      </c>
      <c r="H32" s="18">
        <f t="shared" si="1"/>
        <v>-4998.2</v>
      </c>
      <c r="I32" s="19" t="str">
        <f t="shared" si="2"/>
        <v>BONIFICO SEPADistinta: 17745118903831KR5DEF</v>
      </c>
    </row>
    <row r="33">
      <c r="A33" s="20">
        <v>46107.0</v>
      </c>
      <c r="B33" s="23">
        <v>46107.0</v>
      </c>
      <c r="C33" s="21"/>
      <c r="D33" s="22">
        <v>169.0</v>
      </c>
      <c r="E33" s="15" t="b">
        <v>0</v>
      </c>
      <c r="F33" s="17" t="s">
        <v>12</v>
      </c>
      <c r="G33" s="17" t="s">
        <v>16</v>
      </c>
      <c r="H33" s="18">
        <f t="shared" si="1"/>
        <v>169</v>
      </c>
      <c r="I33" s="19" t="str">
        <f t="shared" si="2"/>
        <v>BONIFICO SEPADa NEXI Payments Spa TRN 075473849096NPPASU0000000000IT CIPBITMM per PV 1000001228637 ACCREDITO CIRCUITI INTERNAZ. 25032</v>
      </c>
    </row>
    <row r="34">
      <c r="A34" s="20">
        <v>46107.0</v>
      </c>
      <c r="B34" s="20">
        <v>46107.0</v>
      </c>
      <c r="C34" s="21"/>
      <c r="D34" s="22">
        <v>266.0</v>
      </c>
      <c r="E34" s="15" t="b">
        <v>0</v>
      </c>
      <c r="F34" s="17" t="s">
        <v>12</v>
      </c>
      <c r="G34" s="17" t="s">
        <v>17</v>
      </c>
      <c r="H34" s="18">
        <f t="shared" si="1"/>
        <v>266</v>
      </c>
      <c r="I34" s="19" t="str">
        <f t="shared" si="2"/>
        <v>BONIFICO SEPADa NEXI Payments Spa TRN 075473115036NPPASU0000000000IT CIPBITMM per PV 1000001228596 ACCREDITO CIRCUITI INTERNAZ. 25032</v>
      </c>
    </row>
    <row r="35">
      <c r="A35" s="20">
        <v>46107.0</v>
      </c>
      <c r="B35" s="20">
        <v>46107.0</v>
      </c>
      <c r="C35" s="21"/>
      <c r="D35" s="22">
        <v>305.0</v>
      </c>
      <c r="E35" s="15" t="b">
        <v>0</v>
      </c>
      <c r="F35" s="17" t="s">
        <v>12</v>
      </c>
      <c r="G35" s="17" t="s">
        <v>18</v>
      </c>
      <c r="H35" s="18">
        <f t="shared" si="1"/>
        <v>305</v>
      </c>
      <c r="I35" s="19" t="str">
        <f t="shared" si="2"/>
        <v>BONIFICO SEPADa NAVONE DANIELA PAOLA TRN 5034004870536084480160001633IT BAPPIT22 per fattura n. 151 V1 del 24.03.26</v>
      </c>
    </row>
    <row r="36">
      <c r="A36" s="20">
        <v>46106.0</v>
      </c>
      <c r="B36" s="20">
        <v>46106.0</v>
      </c>
      <c r="C36" s="21">
        <v>-3930.0</v>
      </c>
      <c r="D36" s="22"/>
      <c r="E36" s="15" t="b">
        <v>0</v>
      </c>
      <c r="F36" s="17" t="s">
        <v>12</v>
      </c>
      <c r="G36" s="17" t="s">
        <v>19</v>
      </c>
      <c r="H36" s="18">
        <f t="shared" si="1"/>
        <v>-3930</v>
      </c>
      <c r="I36" s="19" t="str">
        <f t="shared" si="2"/>
        <v>BONIFICO SEPADistinta: 17743667359621B9SDEF</v>
      </c>
    </row>
    <row r="37">
      <c r="A37" s="20">
        <v>46106.0</v>
      </c>
      <c r="B37" s="20">
        <v>46106.0</v>
      </c>
      <c r="C37" s="21">
        <v>-278.47</v>
      </c>
      <c r="D37" s="22"/>
      <c r="E37" s="15" t="b">
        <v>0</v>
      </c>
      <c r="F37" s="17" t="s">
        <v>12</v>
      </c>
      <c r="G37" s="17" t="s">
        <v>20</v>
      </c>
      <c r="H37" s="18">
        <f t="shared" si="1"/>
        <v>-278.47</v>
      </c>
      <c r="I37" s="19" t="str">
        <f t="shared" si="2"/>
        <v>BONIFICO SEPADistinta: 17733213803571JOODEF</v>
      </c>
    </row>
    <row r="38">
      <c r="A38" s="20">
        <v>46106.0</v>
      </c>
      <c r="B38" s="20">
        <v>46106.0</v>
      </c>
      <c r="C38" s="21"/>
      <c r="D38" s="22">
        <v>360.0</v>
      </c>
      <c r="E38" s="15" t="b">
        <v>0</v>
      </c>
      <c r="F38" s="17" t="s">
        <v>12</v>
      </c>
      <c r="G38" s="17" t="s">
        <v>21</v>
      </c>
      <c r="H38" s="18">
        <f t="shared" si="1"/>
        <v>360</v>
      </c>
      <c r="I38" s="19" t="str">
        <f t="shared" si="2"/>
        <v>BONIFICO SEPADa NEXI Payments Spa TRN 075348199046NPPASU0000000000IT CIPBITMM per PV 1000001228596 ACCREDITO CIRCUITI INTERNAZ. 24032</v>
      </c>
    </row>
    <row r="39">
      <c r="A39" s="20">
        <v>46106.0</v>
      </c>
      <c r="B39" s="20">
        <v>46106.0</v>
      </c>
      <c r="C39" s="21"/>
      <c r="D39" s="22">
        <v>25.0</v>
      </c>
      <c r="E39" s="15" t="b">
        <v>0</v>
      </c>
      <c r="F39" s="17" t="s">
        <v>12</v>
      </c>
      <c r="G39" s="17" t="s">
        <v>22</v>
      </c>
      <c r="H39" s="18">
        <f t="shared" si="1"/>
        <v>25</v>
      </c>
      <c r="I39" s="19" t="str">
        <f t="shared" si="2"/>
        <v>BONIFICO SEPADa NEXI Payments Spa TRN 075348215076NPPASU0000000000IT CIPBITMM per PV 1000001228596 ACCREDITO BANCOMAT 240326 RIF 1183</v>
      </c>
    </row>
    <row r="40">
      <c r="A40" s="20">
        <v>46106.0</v>
      </c>
      <c r="B40" s="20">
        <v>46106.0</v>
      </c>
      <c r="C40" s="21"/>
      <c r="D40" s="22">
        <v>244.0</v>
      </c>
      <c r="E40" s="15" t="b">
        <v>0</v>
      </c>
      <c r="F40" s="17" t="s">
        <v>12</v>
      </c>
      <c r="G40" s="17" t="s">
        <v>23</v>
      </c>
      <c r="H40" s="18">
        <f t="shared" si="1"/>
        <v>244</v>
      </c>
      <c r="I40" s="19" t="str">
        <f t="shared" si="2"/>
        <v>BONIFICO SEPADa ENCANTO CLUB LATINO ASS NE SPOR VA TRN 0306910675383506S90960609606IT BCITITMMXXX per FT serate 13/03 e 20/03</v>
      </c>
    </row>
    <row r="41">
      <c r="A41" s="20">
        <v>46105.0</v>
      </c>
      <c r="B41" s="20">
        <v>46105.0</v>
      </c>
      <c r="C41" s="21">
        <v>-355.5</v>
      </c>
      <c r="D41" s="22"/>
      <c r="E41" s="15" t="b">
        <v>0</v>
      </c>
      <c r="F41" s="17" t="s">
        <v>12</v>
      </c>
      <c r="G41" s="17" t="s">
        <v>24</v>
      </c>
      <c r="H41" s="18">
        <f t="shared" si="1"/>
        <v>-355.5</v>
      </c>
      <c r="I41" s="19" t="str">
        <f t="shared" si="2"/>
        <v>BONIFICO SEPADistinta: 177435109419118B9DEF</v>
      </c>
    </row>
    <row r="42">
      <c r="A42" s="20">
        <v>46105.0</v>
      </c>
      <c r="B42" s="20">
        <v>46105.0</v>
      </c>
      <c r="C42" s="21"/>
      <c r="D42" s="22">
        <v>234.0</v>
      </c>
      <c r="E42" s="15" t="b">
        <v>0</v>
      </c>
      <c r="F42" s="17" t="s">
        <v>12</v>
      </c>
      <c r="G42" s="17" t="s">
        <v>25</v>
      </c>
      <c r="H42" s="18">
        <f t="shared" si="1"/>
        <v>234</v>
      </c>
      <c r="I42" s="19" t="str">
        <f t="shared" si="2"/>
        <v>BONIFICO SEPADa NEXI Payments Spa TRN 075236758126NPPASU0000000000IT CIPBITMM per PV 1000001228637 ACCREDITO CIRCUITI INTERNAZ. 23032</v>
      </c>
    </row>
    <row r="43">
      <c r="A43" s="20">
        <v>46105.0</v>
      </c>
      <c r="B43" s="20">
        <v>46105.0</v>
      </c>
      <c r="C43" s="21"/>
      <c r="D43" s="22">
        <v>151.0</v>
      </c>
      <c r="E43" s="15" t="b">
        <v>0</v>
      </c>
      <c r="F43" s="17" t="s">
        <v>12</v>
      </c>
      <c r="G43" s="17" t="s">
        <v>26</v>
      </c>
      <c r="H43" s="18">
        <f t="shared" si="1"/>
        <v>151</v>
      </c>
      <c r="I43" s="19" t="str">
        <f t="shared" si="2"/>
        <v>BONIFICO SEPADa NEXI Payments Spa TRN 075236493076NPPASU0000000000IT CIPBITMM per PV 1000001228596 ACCREDITO BANCOMAT 230326 RIF 1181</v>
      </c>
    </row>
    <row r="44">
      <c r="A44" s="20">
        <v>46105.0</v>
      </c>
      <c r="B44" s="23">
        <v>46105.0</v>
      </c>
      <c r="C44" s="21"/>
      <c r="D44" s="22">
        <v>95.0</v>
      </c>
      <c r="E44" s="15" t="b">
        <v>0</v>
      </c>
      <c r="F44" s="17" t="s">
        <v>12</v>
      </c>
      <c r="G44" s="17" t="s">
        <v>27</v>
      </c>
      <c r="H44" s="18">
        <f t="shared" si="1"/>
        <v>95</v>
      </c>
      <c r="I44" s="19" t="str">
        <f t="shared" si="2"/>
        <v>BONIFICO SEPADa NEXI Payments Spa TRN 075236483106NPPASU0000000000IT CIPBITMM per PV 1000001228596 ACCREDITO CIRCUITI INTERNAZ. 23032</v>
      </c>
    </row>
    <row r="45">
      <c r="A45" s="20">
        <v>46105.0</v>
      </c>
      <c r="B45" s="23">
        <v>46105.0</v>
      </c>
      <c r="C45" s="21"/>
      <c r="D45" s="22">
        <v>79.8</v>
      </c>
      <c r="E45" s="15" t="b">
        <v>0</v>
      </c>
      <c r="F45" s="17" t="s">
        <v>28</v>
      </c>
      <c r="G45" s="17" t="s">
        <v>29</v>
      </c>
      <c r="H45" s="18">
        <f t="shared" si="1"/>
        <v>79.8</v>
      </c>
      <c r="I45" s="19" t="str">
        <f t="shared" si="2"/>
        <v>BONIFICODa Satispay Europe S.A. TRN 019d1d30c2bf73cc8ffc40f9bb975976 SATYLUL1XXX per Geos ssdr</v>
      </c>
    </row>
    <row r="46">
      <c r="A46" s="20">
        <v>46104.0</v>
      </c>
      <c r="B46" s="20">
        <v>46104.0</v>
      </c>
      <c r="C46" s="21">
        <v>-819.78</v>
      </c>
      <c r="D46" s="22"/>
      <c r="E46" s="15" t="b">
        <v>0</v>
      </c>
      <c r="F46" s="17" t="s">
        <v>12</v>
      </c>
      <c r="G46" s="17" t="s">
        <v>30</v>
      </c>
      <c r="H46" s="18">
        <f t="shared" si="1"/>
        <v>-819.78</v>
      </c>
      <c r="I46" s="19" t="str">
        <f t="shared" si="2"/>
        <v>BONIFICO SEPADistinta: 17740182645230MKEDEF</v>
      </c>
    </row>
    <row r="47">
      <c r="A47" s="20">
        <v>46104.0</v>
      </c>
      <c r="B47" s="20">
        <v>46104.0</v>
      </c>
      <c r="C47" s="21"/>
      <c r="D47" s="22">
        <v>325.0</v>
      </c>
      <c r="E47" s="15" t="b">
        <v>0</v>
      </c>
      <c r="F47" s="17" t="s">
        <v>12</v>
      </c>
      <c r="G47" s="17" t="s">
        <v>31</v>
      </c>
      <c r="H47" s="18">
        <f t="shared" si="1"/>
        <v>325</v>
      </c>
      <c r="I47" s="19" t="str">
        <f t="shared" si="2"/>
        <v>BONIFICO SEPADa NEXI Payments Spa TRN 075079314116NPPASU0000000000IT CIPBITMM per PV 1000001228596 ACCREDITO CIRCUITI INTERNAZ. 21032</v>
      </c>
    </row>
    <row r="48">
      <c r="A48" s="20">
        <v>46104.0</v>
      </c>
      <c r="B48" s="20">
        <v>46104.0</v>
      </c>
      <c r="C48" s="21"/>
      <c r="D48" s="22">
        <v>25.0</v>
      </c>
      <c r="E48" s="15" t="b">
        <v>0</v>
      </c>
      <c r="F48" s="17" t="s">
        <v>12</v>
      </c>
      <c r="G48" s="17" t="s">
        <v>32</v>
      </c>
      <c r="H48" s="18">
        <f t="shared" si="1"/>
        <v>25</v>
      </c>
      <c r="I48" s="19" t="str">
        <f t="shared" si="2"/>
        <v>BONIFICO SEPADa NEXI Payments Spa TRN 075079330016NPPASU0000000000IT CIPBITMM per PV 1000001228596 ACCREDITO BANCOMAT 210326 RIF 1179</v>
      </c>
    </row>
    <row r="49">
      <c r="A49" s="20">
        <v>46104.0</v>
      </c>
      <c r="B49" s="20">
        <v>46104.0</v>
      </c>
      <c r="C49" s="21"/>
      <c r="D49" s="22">
        <v>212.0</v>
      </c>
      <c r="E49" s="15" t="b">
        <v>0</v>
      </c>
      <c r="F49" s="17" t="s">
        <v>12</v>
      </c>
      <c r="G49" s="17" t="s">
        <v>33</v>
      </c>
      <c r="H49" s="18">
        <f t="shared" si="1"/>
        <v>212</v>
      </c>
      <c r="I49" s="19" t="str">
        <f t="shared" si="2"/>
        <v>BONIFICO SEPADa NEXI Payments Spa TRN 075079256056NPPASU0000000000IT CIPBITMM per PV 1000001228637 ACCREDITO CIRCUITI INTERNAZ. 21032</v>
      </c>
    </row>
    <row r="50">
      <c r="A50" s="20">
        <v>46104.0</v>
      </c>
      <c r="B50" s="20">
        <v>46104.0</v>
      </c>
      <c r="C50" s="21"/>
      <c r="D50" s="22">
        <v>201.0</v>
      </c>
      <c r="E50" s="15" t="b">
        <v>0</v>
      </c>
      <c r="F50" s="17" t="s">
        <v>12</v>
      </c>
      <c r="G50" s="17" t="s">
        <v>34</v>
      </c>
      <c r="H50" s="18">
        <f t="shared" si="1"/>
        <v>201</v>
      </c>
      <c r="I50" s="19" t="str">
        <f t="shared" si="2"/>
        <v>BONIFICO SEPADa NEXI Payments Spa TRN 074971159036NPPASU0000000000IT CIPBITMM per PV 1000001228596 ACCREDITO CIRCUITI INTERNAZ. 20032</v>
      </c>
    </row>
    <row r="51">
      <c r="A51" s="20">
        <v>46104.0</v>
      </c>
      <c r="B51" s="20">
        <v>46104.0</v>
      </c>
      <c r="C51" s="21"/>
      <c r="D51" s="22">
        <v>303.0</v>
      </c>
      <c r="E51" s="15" t="b">
        <v>0</v>
      </c>
      <c r="F51" s="17" t="s">
        <v>12</v>
      </c>
      <c r="G51" s="17" t="s">
        <v>35</v>
      </c>
      <c r="H51" s="18">
        <f t="shared" si="1"/>
        <v>303</v>
      </c>
      <c r="I51" s="19" t="str">
        <f t="shared" si="2"/>
        <v>BONIFICO SEPADa NEXI Payments Spa TRN 074971178096NPPASU0000000000IT CIPBITMM per PV 1000001228596 ACCREDITO BANCOMAT 200326 RIF 1177</v>
      </c>
    </row>
    <row r="52">
      <c r="A52" s="20"/>
      <c r="B52" s="20"/>
      <c r="C52" s="21"/>
      <c r="D52" s="22"/>
      <c r="E52" s="15" t="b">
        <v>0</v>
      </c>
      <c r="F52" s="17"/>
      <c r="G52" s="17"/>
      <c r="H52" s="18">
        <f t="shared" si="1"/>
        <v>0</v>
      </c>
      <c r="I52" s="19" t="str">
        <f t="shared" si="2"/>
        <v/>
      </c>
    </row>
    <row r="53">
      <c r="A53" s="20"/>
      <c r="B53" s="20"/>
      <c r="C53" s="21"/>
      <c r="D53" s="22"/>
      <c r="E53" s="15" t="b">
        <v>0</v>
      </c>
      <c r="F53" s="17"/>
      <c r="G53" s="17"/>
      <c r="H53" s="18">
        <f t="shared" si="1"/>
        <v>0</v>
      </c>
      <c r="I53" s="19" t="str">
        <f t="shared" si="2"/>
        <v/>
      </c>
    </row>
    <row r="54">
      <c r="A54" s="20">
        <v>46101.0</v>
      </c>
      <c r="B54" s="20">
        <v>46101.0</v>
      </c>
      <c r="C54" s="21"/>
      <c r="D54" s="22">
        <v>770.0</v>
      </c>
      <c r="E54" s="15" t="b">
        <v>0</v>
      </c>
      <c r="F54" s="17" t="s">
        <v>12</v>
      </c>
      <c r="G54" s="17" t="s">
        <v>36</v>
      </c>
      <c r="H54" s="18">
        <f t="shared" si="1"/>
        <v>770</v>
      </c>
      <c r="I54" s="19" t="str">
        <f t="shared" si="2"/>
        <v>BONIFICO SEPADa NEXI Payments Spa TRN 074853379036NPPASU0000000000IT CIPBITMM per PV 1000001228596 ACCREDITO CIRCUITI INTERNAZ. 19032</v>
      </c>
    </row>
    <row r="55">
      <c r="A55" s="20">
        <v>46100.0</v>
      </c>
      <c r="B55" s="20">
        <v>46100.0</v>
      </c>
      <c r="C55" s="21"/>
      <c r="D55" s="22">
        <v>432.5</v>
      </c>
      <c r="E55" s="15" t="b">
        <v>0</v>
      </c>
      <c r="F55" s="17" t="s">
        <v>12</v>
      </c>
      <c r="G55" s="17" t="s">
        <v>37</v>
      </c>
      <c r="H55" s="18">
        <f t="shared" si="1"/>
        <v>432.5</v>
      </c>
      <c r="I55" s="19" t="str">
        <f t="shared" si="2"/>
        <v>BONIFICO SEPADa NEXI Payments Spa TRN 074734148086NPPASU0000000000IT CIPBITMM per PV 1000001228596 ACCREDITO CIRCUITI INTERNAZ. 18032</v>
      </c>
    </row>
    <row r="56">
      <c r="A56" s="20">
        <v>46100.0</v>
      </c>
      <c r="B56" s="20">
        <v>46100.0</v>
      </c>
      <c r="C56" s="21"/>
      <c r="D56" s="22">
        <v>132.0</v>
      </c>
      <c r="E56" s="15" t="b">
        <v>0</v>
      </c>
      <c r="F56" s="17" t="s">
        <v>12</v>
      </c>
      <c r="G56" s="17" t="s">
        <v>38</v>
      </c>
      <c r="H56" s="18">
        <f t="shared" si="1"/>
        <v>132</v>
      </c>
      <c r="I56" s="19" t="str">
        <f t="shared" si="2"/>
        <v>BONIFICO SEPADa NEXI Payments Spa TRN 074735256116NPPASU0000000000IT CIPBITMM per PV 1000001228637 ACCREDITO CIRCUITI INTERNAZ. 18032</v>
      </c>
    </row>
    <row r="57">
      <c r="A57" s="20">
        <v>46099.0</v>
      </c>
      <c r="B57" s="23">
        <v>46099.0</v>
      </c>
      <c r="C57" s="21"/>
      <c r="D57" s="22">
        <v>430.0</v>
      </c>
      <c r="E57" s="15" t="b">
        <v>0</v>
      </c>
      <c r="F57" s="17" t="s">
        <v>12</v>
      </c>
      <c r="G57" s="17" t="s">
        <v>39</v>
      </c>
      <c r="H57" s="18">
        <f t="shared" si="1"/>
        <v>430</v>
      </c>
      <c r="I57" s="19" t="str">
        <f t="shared" si="2"/>
        <v>BONIFICO SEPADa NEXI Payments Spa TRN 074624441086NPPASU0000000000IT CIPBITMM per PV 1000001228596 ACCREDITO CIRCUITI INTERNAZ. 17032</v>
      </c>
    </row>
    <row r="58">
      <c r="A58" s="20">
        <v>46099.0</v>
      </c>
      <c r="B58" s="23">
        <v>46099.0</v>
      </c>
      <c r="C58" s="21"/>
      <c r="D58" s="22">
        <v>75.0</v>
      </c>
      <c r="E58" s="15" t="b">
        <v>0</v>
      </c>
      <c r="F58" s="17" t="s">
        <v>12</v>
      </c>
      <c r="G58" s="17" t="s">
        <v>40</v>
      </c>
      <c r="H58" s="18">
        <f t="shared" si="1"/>
        <v>75</v>
      </c>
      <c r="I58" s="19" t="str">
        <f t="shared" si="2"/>
        <v>BONIFICO SEPADa NEXI Payments Spa TRN 074624676096NPPASU0000000000IT CIPBITMM per PV 1000001228637 ACCREDITO CIRCUITI INTERNAZ. 17032</v>
      </c>
    </row>
    <row r="59">
      <c r="A59" s="20"/>
      <c r="B59" s="20"/>
      <c r="C59" s="21"/>
      <c r="D59" s="22"/>
      <c r="E59" s="15" t="b">
        <v>0</v>
      </c>
      <c r="F59" s="17"/>
      <c r="G59" s="17"/>
      <c r="H59" s="18">
        <f t="shared" si="1"/>
        <v>0</v>
      </c>
      <c r="I59" s="19" t="str">
        <f t="shared" si="2"/>
        <v/>
      </c>
    </row>
    <row r="60">
      <c r="A60" s="20">
        <v>46098.0</v>
      </c>
      <c r="B60" s="20">
        <v>46098.0</v>
      </c>
      <c r="C60" s="21">
        <v>-155.0</v>
      </c>
      <c r="D60" s="22"/>
      <c r="E60" s="15" t="b">
        <v>0</v>
      </c>
      <c r="F60" s="17" t="s">
        <v>12</v>
      </c>
      <c r="G60" s="24" t="s">
        <v>41</v>
      </c>
      <c r="H60" s="18">
        <f t="shared" si="1"/>
        <v>-155</v>
      </c>
      <c r="I60" s="19" t="str">
        <f t="shared" si="2"/>
        <v>BONIFICO SEPADistinta: 17737452372392NIMDEF</v>
      </c>
    </row>
    <row r="61">
      <c r="A61" s="20">
        <v>46098.0</v>
      </c>
      <c r="B61" s="20">
        <v>46098.0</v>
      </c>
      <c r="C61" s="21">
        <v>-510.0</v>
      </c>
      <c r="D61" s="22"/>
      <c r="E61" s="15" t="b">
        <v>1</v>
      </c>
      <c r="F61" s="17" t="s">
        <v>12</v>
      </c>
      <c r="G61" s="17" t="s">
        <v>42</v>
      </c>
      <c r="H61" s="18">
        <f t="shared" si="1"/>
        <v>-510</v>
      </c>
      <c r="I61" s="19" t="str">
        <f t="shared" si="2"/>
        <v>BONIFICO SEPADistinta: 17737315895022KPMDEF</v>
      </c>
    </row>
    <row r="62">
      <c r="A62" s="20">
        <v>46098.0</v>
      </c>
      <c r="B62" s="23">
        <v>46098.0</v>
      </c>
      <c r="C62" s="21"/>
      <c r="D62" s="22">
        <v>15.0</v>
      </c>
      <c r="E62" s="15" t="b">
        <v>0</v>
      </c>
      <c r="F62" s="17" t="s">
        <v>12</v>
      </c>
      <c r="G62" s="17" t="s">
        <v>43</v>
      </c>
      <c r="H62" s="18">
        <f t="shared" si="1"/>
        <v>15</v>
      </c>
      <c r="I62" s="19" t="str">
        <f t="shared" si="2"/>
        <v>BONIFICO SEPADa NEXI Payments Spa TRN 074499180026NPPASU0000000000IT CIPBITMM per PV 1000001228596 ACCREDITO BANCOMAT 160326 RIF 1171</v>
      </c>
    </row>
    <row r="63">
      <c r="A63" s="20">
        <v>46098.0</v>
      </c>
      <c r="B63" s="23">
        <v>46098.0</v>
      </c>
      <c r="C63" s="21"/>
      <c r="D63" s="22">
        <v>395.0</v>
      </c>
      <c r="E63" s="15" t="b">
        <v>0</v>
      </c>
      <c r="F63" s="17" t="s">
        <v>12</v>
      </c>
      <c r="G63" s="17" t="s">
        <v>44</v>
      </c>
      <c r="H63" s="18">
        <f t="shared" si="1"/>
        <v>395</v>
      </c>
      <c r="I63" s="19" t="str">
        <f t="shared" si="2"/>
        <v>BONIFICO SEPADa NEXI Payments Spa TRN 074499169046NPPASU0000000000IT CIPBITMM per PV 1000001228596 ACCREDITO CIRCUITI INTERNAZ. 16032</v>
      </c>
    </row>
    <row r="64">
      <c r="A64" s="20">
        <v>46097.0</v>
      </c>
      <c r="B64" s="20">
        <v>46097.0</v>
      </c>
      <c r="C64" s="21">
        <v>-979.0</v>
      </c>
      <c r="D64" s="22"/>
      <c r="E64" s="15" t="b">
        <v>1</v>
      </c>
      <c r="F64" s="17" t="s">
        <v>12</v>
      </c>
      <c r="G64" s="17" t="s">
        <v>45</v>
      </c>
      <c r="H64" s="18">
        <f t="shared" si="1"/>
        <v>-979</v>
      </c>
      <c r="I64" s="19" t="str">
        <f t="shared" si="2"/>
        <v>BONIFICO SEPADistinta: 177365656252625NBDEF</v>
      </c>
    </row>
    <row r="65">
      <c r="A65" s="20"/>
      <c r="B65" s="20"/>
      <c r="C65" s="21"/>
      <c r="D65" s="22"/>
      <c r="E65" s="15" t="b">
        <v>0</v>
      </c>
      <c r="F65" s="17"/>
      <c r="G65" s="17"/>
      <c r="H65" s="18">
        <f t="shared" si="1"/>
        <v>0</v>
      </c>
      <c r="I65" s="19" t="str">
        <f t="shared" si="2"/>
        <v/>
      </c>
    </row>
    <row r="66">
      <c r="A66" s="20">
        <v>46097.0</v>
      </c>
      <c r="B66" s="23">
        <v>46097.0</v>
      </c>
      <c r="C66" s="21"/>
      <c r="D66" s="22">
        <v>212.0</v>
      </c>
      <c r="E66" s="15" t="b">
        <v>0</v>
      </c>
      <c r="F66" s="17" t="s">
        <v>12</v>
      </c>
      <c r="G66" s="17" t="s">
        <v>46</v>
      </c>
      <c r="H66" s="18">
        <f t="shared" si="1"/>
        <v>212</v>
      </c>
      <c r="I66" s="19" t="str">
        <f t="shared" si="2"/>
        <v>BONIFICO SEPADa NEXI Payments Spa TRN 074361211026NPPASU0000000000IT CIPBITMM per PV 1000001228637 ACCREDITO CIRCUITI INTERNAZ. 14032</v>
      </c>
    </row>
    <row r="67">
      <c r="A67" s="20">
        <v>46097.0</v>
      </c>
      <c r="B67" s="20">
        <v>46097.0</v>
      </c>
      <c r="C67" s="21"/>
      <c r="D67" s="22">
        <v>435.0</v>
      </c>
      <c r="E67" s="15" t="b">
        <v>0</v>
      </c>
      <c r="F67" s="17" t="s">
        <v>12</v>
      </c>
      <c r="G67" s="17" t="s">
        <v>47</v>
      </c>
      <c r="H67" s="18">
        <f t="shared" si="1"/>
        <v>435</v>
      </c>
      <c r="I67" s="19" t="str">
        <f t="shared" si="2"/>
        <v>BONIFICO SEPADa NEXI Payments Spa TRN 074230163076NPPASU0000000000IT CIPBITMM per PV 1000001228596 ACCREDITO BANCOMAT 130326 RIF 1166</v>
      </c>
    </row>
    <row r="68">
      <c r="A68" s="20">
        <v>46097.0</v>
      </c>
      <c r="B68" s="20">
        <v>46097.0</v>
      </c>
      <c r="C68" s="21"/>
      <c r="D68" s="22">
        <v>37.0</v>
      </c>
      <c r="E68" s="15" t="b">
        <v>0</v>
      </c>
      <c r="F68" s="17" t="s">
        <v>12</v>
      </c>
      <c r="G68" s="17" t="s">
        <v>48</v>
      </c>
      <c r="H68" s="18">
        <f t="shared" si="1"/>
        <v>37</v>
      </c>
      <c r="I68" s="19" t="str">
        <f t="shared" si="2"/>
        <v>BONIFICO SEPADa NEXI Payments Spa TRN 074427700096NPPASU0000000000IT CIPBITMM per PV 1000001228637 ACCREDITO CIRCUITI INTERNAZ. 15032</v>
      </c>
    </row>
    <row r="69">
      <c r="A69" s="20">
        <v>46097.0</v>
      </c>
      <c r="B69" s="20">
        <v>46097.0</v>
      </c>
      <c r="C69" s="21"/>
      <c r="D69" s="22">
        <v>360.0</v>
      </c>
      <c r="E69" s="15" t="b">
        <v>0</v>
      </c>
      <c r="F69" s="17" t="s">
        <v>12</v>
      </c>
      <c r="G69" s="17" t="s">
        <v>49</v>
      </c>
      <c r="H69" s="18">
        <f t="shared" si="1"/>
        <v>360</v>
      </c>
      <c r="I69" s="19" t="str">
        <f t="shared" si="2"/>
        <v>BONIFICO SEPADa NEXI Payments Spa TRN 074361031046NPPASU0000000000IT CIPBITMM per PV 1000001228596 ACCREDITO CIRCUITI INTERNAZ. 14032</v>
      </c>
    </row>
    <row r="70">
      <c r="A70" s="20">
        <v>46097.0</v>
      </c>
      <c r="B70" s="20">
        <v>46097.0</v>
      </c>
      <c r="C70" s="21"/>
      <c r="D70" s="22">
        <v>589.2</v>
      </c>
      <c r="E70" s="15" t="b">
        <v>0</v>
      </c>
      <c r="F70" s="17" t="s">
        <v>12</v>
      </c>
      <c r="G70" s="17" t="s">
        <v>50</v>
      </c>
      <c r="H70" s="18">
        <f t="shared" si="1"/>
        <v>589.2</v>
      </c>
      <c r="I70" s="19" t="str">
        <f t="shared" si="2"/>
        <v>BONIFICO SEPADa NEXI Payments Spa TRN 074361034076NPPASU0000000000IT CIPBITMM per PV 1000001228596 ACCREDITO BANCOMAT 140326 RIF 1168</v>
      </c>
    </row>
    <row r="71">
      <c r="A71" s="20">
        <v>46097.0</v>
      </c>
      <c r="B71" s="20">
        <v>46097.0</v>
      </c>
      <c r="C71" s="21"/>
      <c r="D71" s="22">
        <v>264.0</v>
      </c>
      <c r="E71" s="15" t="b">
        <v>0</v>
      </c>
      <c r="F71" s="17" t="s">
        <v>12</v>
      </c>
      <c r="G71" s="17" t="s">
        <v>51</v>
      </c>
      <c r="H71" s="18">
        <f t="shared" si="1"/>
        <v>264</v>
      </c>
      <c r="I71" s="19" t="str">
        <f t="shared" si="2"/>
        <v>BONIFICO SEPADa NEXI Payments Spa TRN 074232008066NPPASU0000000000IT CIPBITMM per PV 1000001228637 ACCREDITO CIRCUITI INTERNAZ. 13032</v>
      </c>
    </row>
    <row r="72">
      <c r="A72" s="20">
        <v>46097.0</v>
      </c>
      <c r="B72" s="20">
        <v>46097.0</v>
      </c>
      <c r="C72" s="21"/>
      <c r="D72" s="22">
        <v>470.0</v>
      </c>
      <c r="E72" s="15" t="b">
        <v>0</v>
      </c>
      <c r="F72" s="17" t="s">
        <v>12</v>
      </c>
      <c r="G72" s="17" t="s">
        <v>52</v>
      </c>
      <c r="H72" s="18">
        <f t="shared" si="1"/>
        <v>470</v>
      </c>
      <c r="I72" s="19" t="str">
        <f t="shared" si="2"/>
        <v>BONIFICO SEPADa NEXI Payments Spa TRN 074230150076NPPASU0000000000IT CIPBITMM per PV 1000001228596 ACCREDITO CIRCUITI INTERNAZ. 13032</v>
      </c>
    </row>
    <row r="73">
      <c r="A73" s="20">
        <v>46097.0</v>
      </c>
      <c r="B73" s="20">
        <v>46097.0</v>
      </c>
      <c r="C73" s="21"/>
      <c r="D73" s="22">
        <v>85.0</v>
      </c>
      <c r="E73" s="15" t="b">
        <v>0</v>
      </c>
      <c r="F73" s="17" t="s">
        <v>12</v>
      </c>
      <c r="G73" s="17" t="s">
        <v>53</v>
      </c>
      <c r="H73" s="18">
        <f t="shared" si="1"/>
        <v>85</v>
      </c>
      <c r="I73" s="19" t="str">
        <f t="shared" si="2"/>
        <v>BONIFICO SEPADa NEXI Payments Spa TRN 074427547126NPPASU0000000000IT CIPBITMM per PV 1000001228596 ACCREDITO CIRCUITI INTERNAZ. 15032</v>
      </c>
    </row>
    <row r="74">
      <c r="A74" s="20">
        <v>46097.0</v>
      </c>
      <c r="B74" s="20">
        <v>46097.0</v>
      </c>
      <c r="C74" s="21"/>
      <c r="D74" s="22">
        <v>489.18</v>
      </c>
      <c r="E74" s="15" t="b">
        <v>0</v>
      </c>
      <c r="F74" s="17" t="s">
        <v>12</v>
      </c>
      <c r="G74" s="17" t="s">
        <v>54</v>
      </c>
      <c r="H74" s="18">
        <f t="shared" si="1"/>
        <v>489.18</v>
      </c>
      <c r="I74" s="19" t="str">
        <f t="shared" si="2"/>
        <v>BONIFICO SEPADa Scalapay IP S.p.a. TRN 3601826031604531124393299027492-008 CBPSIT31XXX per 2026-03-15 - GEOS S SDRL - Scalapay IP S.p</v>
      </c>
    </row>
    <row r="75">
      <c r="A75" s="20">
        <v>46097.0</v>
      </c>
      <c r="B75" s="20">
        <v>46097.0</v>
      </c>
      <c r="C75" s="21"/>
      <c r="D75" s="22">
        <v>11384.43</v>
      </c>
      <c r="E75" s="15" t="b">
        <v>0</v>
      </c>
      <c r="F75" s="17" t="s">
        <v>12</v>
      </c>
      <c r="G75" s="17" t="s">
        <v>55</v>
      </c>
      <c r="H75" s="18">
        <f t="shared" si="1"/>
        <v>11384.43</v>
      </c>
      <c r="I75" s="19" t="str">
        <f t="shared" si="2"/>
        <v>BONIFICO SEPADa MODULO PROJECT S.R.L. TRN 1101260720220729 UNCRITMM per Fattura n. 131 V1 del 11/03/2026 - Affitto Studio Febbraio ex</v>
      </c>
    </row>
    <row r="76">
      <c r="A76" s="20">
        <v>46097.0</v>
      </c>
      <c r="B76" s="20">
        <v>46097.0</v>
      </c>
      <c r="C76" s="21"/>
      <c r="D76" s="22">
        <v>6710.0</v>
      </c>
      <c r="E76" s="15" t="b">
        <v>0</v>
      </c>
      <c r="F76" s="17" t="s">
        <v>12</v>
      </c>
      <c r="G76" s="17" t="s">
        <v>56</v>
      </c>
      <c r="H76" s="18">
        <f t="shared" si="1"/>
        <v>6710</v>
      </c>
      <c r="I76" s="19" t="str">
        <f t="shared" si="2"/>
        <v>BONIFICO SEPADa MODULO PROJECT S.R.L. TRN 1101260720224493 UNCRITMM per Fattura n. 132 V1 del 11/03/2026 - Affitto sale febbraio 2026</v>
      </c>
    </row>
    <row r="77">
      <c r="A77" s="20">
        <v>46097.0</v>
      </c>
      <c r="B77" s="23">
        <v>46097.0</v>
      </c>
      <c r="C77" s="21"/>
      <c r="D77" s="22">
        <v>528.0</v>
      </c>
      <c r="E77" s="15" t="b">
        <v>0</v>
      </c>
      <c r="F77" s="17" t="s">
        <v>28</v>
      </c>
      <c r="G77" s="17" t="s">
        <v>57</v>
      </c>
      <c r="H77" s="18">
        <f t="shared" si="1"/>
        <v>528</v>
      </c>
      <c r="I77" s="19" t="str">
        <f t="shared" si="2"/>
        <v>BONIFICODa Gympass US LLC TRN HJYDLG9N3VM2 CHASNL2XXXX per WellhubGym</v>
      </c>
    </row>
    <row r="78">
      <c r="A78" s="20">
        <v>46097.0</v>
      </c>
      <c r="B78" s="23">
        <v>46097.0</v>
      </c>
      <c r="C78" s="21"/>
      <c r="D78" s="22">
        <v>4000.0</v>
      </c>
      <c r="E78" s="15" t="b">
        <v>0</v>
      </c>
      <c r="F78" s="17" t="s">
        <v>58</v>
      </c>
      <c r="G78" s="17" t="s">
        <v>59</v>
      </c>
      <c r="H78" s="18">
        <f t="shared" si="1"/>
        <v>4000</v>
      </c>
      <c r="I78" s="19" t="str">
        <f t="shared" si="2"/>
        <v>VERSAMENTO CONTANTE IN UPU.P.38530 MILANO 82            POSTAMAT N 76018970575871050                 CARTA 75871050</v>
      </c>
    </row>
    <row r="79">
      <c r="A79" s="20">
        <v>46094.0</v>
      </c>
      <c r="B79" s="20">
        <v>46094.0</v>
      </c>
      <c r="C79" s="21">
        <v>-192.0</v>
      </c>
      <c r="D79" s="22"/>
      <c r="E79" s="15" t="b">
        <v>1</v>
      </c>
      <c r="F79" s="17" t="s">
        <v>12</v>
      </c>
      <c r="G79" s="17" t="s">
        <v>60</v>
      </c>
      <c r="H79" s="18">
        <f t="shared" si="1"/>
        <v>-192</v>
      </c>
      <c r="I79" s="19" t="str">
        <f t="shared" si="2"/>
        <v>BONIFICO SEPADistinta: 17733306787601KSADEF</v>
      </c>
    </row>
    <row r="80">
      <c r="A80" s="20">
        <v>46094.0</v>
      </c>
      <c r="B80" s="20">
        <v>46094.0</v>
      </c>
      <c r="C80" s="21">
        <v>-3047.54</v>
      </c>
      <c r="D80" s="22"/>
      <c r="E80" s="15" t="b">
        <v>1</v>
      </c>
      <c r="F80" s="17" t="s">
        <v>12</v>
      </c>
      <c r="G80" s="17" t="s">
        <v>61</v>
      </c>
      <c r="H80" s="18">
        <f t="shared" si="1"/>
        <v>-3047.54</v>
      </c>
      <c r="I80" s="19" t="str">
        <f t="shared" si="2"/>
        <v>BONIFICO SEPADistinta: 177339150182420E1DEF</v>
      </c>
    </row>
    <row r="81">
      <c r="A81" s="20">
        <v>46094.0</v>
      </c>
      <c r="B81" s="20">
        <v>46094.0</v>
      </c>
      <c r="C81" s="21"/>
      <c r="D81" s="22">
        <v>225.0</v>
      </c>
      <c r="E81" s="15" t="b">
        <v>0</v>
      </c>
      <c r="F81" s="17" t="s">
        <v>12</v>
      </c>
      <c r="G81" s="17" t="s">
        <v>62</v>
      </c>
      <c r="H81" s="18">
        <f t="shared" si="1"/>
        <v>225</v>
      </c>
      <c r="I81" s="19" t="str">
        <f t="shared" si="2"/>
        <v>BONIFICO SEPADa NEXI Payments Spa TRN 074151269106NPPASU0000000000IT CIPBITMM per PV 1000001228596 ACCREDITO CIRCUITI INTERNAZ. 12032</v>
      </c>
    </row>
    <row r="82">
      <c r="A82" s="20">
        <v>46094.0</v>
      </c>
      <c r="B82" s="20">
        <v>46094.0</v>
      </c>
      <c r="C82" s="21"/>
      <c r="D82" s="22">
        <v>37.0</v>
      </c>
      <c r="E82" s="15" t="b">
        <v>0</v>
      </c>
      <c r="F82" s="17" t="s">
        <v>12</v>
      </c>
      <c r="G82" s="17" t="s">
        <v>63</v>
      </c>
      <c r="H82" s="18">
        <f t="shared" si="1"/>
        <v>37</v>
      </c>
      <c r="I82" s="19" t="str">
        <f t="shared" si="2"/>
        <v>BONIFICO SEPADa NEXI Payments Spa TRN 074151592086NPPASU0000000000IT CIPBITMM per PV 1000001228637 ACCREDITO CIRCUITI INTERNAZ. 12032</v>
      </c>
    </row>
    <row r="83">
      <c r="A83" s="20">
        <v>46094.0</v>
      </c>
      <c r="B83" s="20">
        <v>46094.0</v>
      </c>
      <c r="C83" s="21"/>
      <c r="D83" s="22">
        <v>180.0</v>
      </c>
      <c r="E83" s="15" t="b">
        <v>0</v>
      </c>
      <c r="F83" s="17" t="s">
        <v>12</v>
      </c>
      <c r="G83" s="17" t="s">
        <v>64</v>
      </c>
      <c r="H83" s="18">
        <f t="shared" si="1"/>
        <v>180</v>
      </c>
      <c r="I83" s="19" t="str">
        <f t="shared" si="2"/>
        <v>BONIFICO SEPADa NEXI Payments Spa TRN 074151283116NPPASU0000000000IT CIPBITMM per PV 1000001228596 ACCREDITO BANCOMAT 120326 RIF 1165</v>
      </c>
    </row>
    <row r="84">
      <c r="A84" s="20">
        <v>46094.0</v>
      </c>
      <c r="B84" s="20">
        <v>46094.0</v>
      </c>
      <c r="C84" s="21"/>
      <c r="D84" s="22">
        <v>31.8</v>
      </c>
      <c r="E84" s="15" t="b">
        <v>0</v>
      </c>
      <c r="F84" s="17" t="s">
        <v>28</v>
      </c>
      <c r="G84" s="17" t="s">
        <v>65</v>
      </c>
      <c r="H84" s="18">
        <f t="shared" si="1"/>
        <v>31.8</v>
      </c>
      <c r="I84" s="19" t="str">
        <f t="shared" si="2"/>
        <v>BONIFICODa Satispay Europe S.A. TRN 1333d4277b1a483aa5b57e8c5deb73e5 SATYLUL1XXX per Geos ssdr</v>
      </c>
    </row>
    <row r="85">
      <c r="A85" s="20">
        <v>46093.0</v>
      </c>
      <c r="B85" s="20">
        <v>46093.0</v>
      </c>
      <c r="C85" s="21">
        <v>-125.0</v>
      </c>
      <c r="D85" s="22"/>
      <c r="E85" s="15" t="b">
        <v>1</v>
      </c>
      <c r="F85" s="17" t="s">
        <v>12</v>
      </c>
      <c r="G85" s="17" t="s">
        <v>66</v>
      </c>
      <c r="H85" s="18">
        <f t="shared" si="1"/>
        <v>-125</v>
      </c>
      <c r="I85" s="19" t="str">
        <f t="shared" si="2"/>
        <v>BONIFICO SEPADistinta: 17733197851771RESDEF</v>
      </c>
    </row>
    <row r="86">
      <c r="A86" s="23">
        <v>46093.0</v>
      </c>
      <c r="B86" s="23">
        <v>46093.0</v>
      </c>
      <c r="C86" s="21">
        <v>-126.8</v>
      </c>
      <c r="D86" s="22"/>
      <c r="E86" s="15" t="b">
        <v>1</v>
      </c>
      <c r="F86" s="17" t="s">
        <v>12</v>
      </c>
      <c r="G86" s="17" t="s">
        <v>67</v>
      </c>
      <c r="H86" s="18">
        <f t="shared" si="1"/>
        <v>-126.8</v>
      </c>
      <c r="I86" s="19" t="str">
        <f t="shared" si="2"/>
        <v>BONIFICO SEPADistinta: 17732417258531IIMDEF</v>
      </c>
    </row>
    <row r="87">
      <c r="A87" s="23">
        <v>46093.0</v>
      </c>
      <c r="B87" s="23">
        <v>46093.0</v>
      </c>
      <c r="C87" s="21"/>
      <c r="D87" s="22">
        <v>106.0</v>
      </c>
      <c r="E87" s="15" t="b">
        <v>0</v>
      </c>
      <c r="F87" s="17" t="s">
        <v>12</v>
      </c>
      <c r="G87" s="17" t="s">
        <v>68</v>
      </c>
      <c r="H87" s="18">
        <f t="shared" si="1"/>
        <v>106</v>
      </c>
      <c r="I87" s="19" t="str">
        <f t="shared" si="2"/>
        <v>BONIFICO SEPADa NEXI Payments Spa TRN 074024048076NPPASU0000000000IT CIPBITMM per PV 1000001228637 ACCREDITO CIRCUITI INTERNAZ. 11032</v>
      </c>
    </row>
    <row r="88">
      <c r="A88" s="23">
        <v>46093.0</v>
      </c>
      <c r="B88" s="23">
        <v>46093.0</v>
      </c>
      <c r="C88" s="21"/>
      <c r="D88" s="22">
        <v>75.0</v>
      </c>
      <c r="E88" s="15" t="b">
        <v>0</v>
      </c>
      <c r="F88" s="17" t="s">
        <v>12</v>
      </c>
      <c r="G88" s="17" t="s">
        <v>69</v>
      </c>
      <c r="H88" s="18">
        <f t="shared" si="1"/>
        <v>75</v>
      </c>
      <c r="I88" s="19" t="str">
        <f t="shared" si="2"/>
        <v>BONIFICO SEPADa NEXI Payments Spa TRN 074024384056NPPASU0000000000IT CIPBITMM per PV 1000001228596 ACCREDITO BANCOMAT 110326 RIF 1163</v>
      </c>
    </row>
    <row r="89">
      <c r="A89" s="23">
        <v>46093.0</v>
      </c>
      <c r="B89" s="23">
        <v>46093.0</v>
      </c>
      <c r="C89" s="21"/>
      <c r="D89" s="22">
        <v>543.0</v>
      </c>
      <c r="E89" s="15" t="b">
        <v>0</v>
      </c>
      <c r="F89" s="17" t="s">
        <v>12</v>
      </c>
      <c r="G89" s="17" t="s">
        <v>70</v>
      </c>
      <c r="H89" s="18">
        <f t="shared" si="1"/>
        <v>543</v>
      </c>
      <c r="I89" s="19" t="str">
        <f t="shared" si="2"/>
        <v>BONIFICO SEPADa NEXI Payments Spa TRN 074024370046NPPASU0000000000IT CIPBITMM per PV 1000001228596 ACCREDITO CIRCUITI INTERNAZ. 11032</v>
      </c>
    </row>
    <row r="90">
      <c r="A90" s="20">
        <v>46093.0</v>
      </c>
      <c r="B90" s="20">
        <v>46093.0</v>
      </c>
      <c r="C90" s="25"/>
      <c r="D90" s="22">
        <v>36.8</v>
      </c>
      <c r="E90" s="15" t="b">
        <v>0</v>
      </c>
      <c r="F90" s="17" t="s">
        <v>28</v>
      </c>
      <c r="G90" s="17" t="s">
        <v>71</v>
      </c>
      <c r="H90" s="18">
        <f t="shared" si="1"/>
        <v>36.8</v>
      </c>
      <c r="I90" s="19" t="str">
        <f t="shared" si="2"/>
        <v>BONIFICODa Satispay Europe S.A. TRN 7cfd24d44ffc48b58d9dd67513ba8f3b SATYLUL1XXX per Geos ssdr</v>
      </c>
    </row>
    <row r="91">
      <c r="A91" s="20">
        <v>46093.0</v>
      </c>
      <c r="B91" s="20">
        <v>46093.0</v>
      </c>
      <c r="C91" s="25"/>
      <c r="D91" s="22">
        <v>244.0</v>
      </c>
      <c r="E91" s="15" t="b">
        <v>0</v>
      </c>
      <c r="F91" s="17" t="s">
        <v>12</v>
      </c>
      <c r="G91" s="17" t="s">
        <v>72</v>
      </c>
      <c r="H91" s="18">
        <f t="shared" si="1"/>
        <v>244</v>
      </c>
      <c r="I91" s="19" t="str">
        <f t="shared" si="2"/>
        <v>BONIFICO SEPADa ENCANTO CLUB LATINO ASS NE SPOR VA TRN 0306910335298912S90960609606IT BCITITMMXXX per FT 126 e 129 del 09/03/26</v>
      </c>
    </row>
    <row r="92">
      <c r="A92" s="20">
        <v>46092.0</v>
      </c>
      <c r="B92" s="20">
        <v>46092.0</v>
      </c>
      <c r="C92" s="21">
        <v>-312.0</v>
      </c>
      <c r="D92" s="26"/>
      <c r="E92" s="15" t="b">
        <v>1</v>
      </c>
      <c r="F92" s="17" t="s">
        <v>12</v>
      </c>
      <c r="G92" s="17" t="s">
        <v>73</v>
      </c>
      <c r="H92" s="18">
        <f t="shared" si="1"/>
        <v>-312</v>
      </c>
      <c r="I92" s="19" t="str">
        <f t="shared" si="2"/>
        <v>BONIFICO SEPADistinta: 17732248881881FPJDEF</v>
      </c>
    </row>
    <row r="93">
      <c r="A93" s="20"/>
      <c r="B93" s="20"/>
      <c r="C93" s="21"/>
      <c r="D93" s="22"/>
      <c r="E93" s="15" t="b">
        <v>0</v>
      </c>
      <c r="F93" s="17"/>
      <c r="G93" s="17"/>
      <c r="H93" s="18">
        <f t="shared" si="1"/>
        <v>0</v>
      </c>
      <c r="I93" s="19" t="str">
        <f t="shared" si="2"/>
        <v/>
      </c>
    </row>
    <row r="94">
      <c r="A94" s="20">
        <v>46092.0</v>
      </c>
      <c r="B94" s="20">
        <v>46092.0</v>
      </c>
      <c r="C94" s="21"/>
      <c r="D94" s="22">
        <v>110.0</v>
      </c>
      <c r="E94" s="15" t="b">
        <v>0</v>
      </c>
      <c r="F94" s="17" t="s">
        <v>12</v>
      </c>
      <c r="G94" s="17" t="s">
        <v>74</v>
      </c>
      <c r="H94" s="18">
        <f t="shared" si="1"/>
        <v>110</v>
      </c>
      <c r="I94" s="19" t="str">
        <f t="shared" si="2"/>
        <v>BONIFICO SEPADa NEXI Payments Spa TRN 073873147106NPPASU0000000000IT CIPBITMM per PV 1000001228637 ACCREDITO CIRCUITI INTERNAZ. 10032</v>
      </c>
    </row>
    <row r="95">
      <c r="A95" s="20">
        <v>46092.0</v>
      </c>
      <c r="B95" s="20">
        <v>46092.0</v>
      </c>
      <c r="C95" s="21"/>
      <c r="D95" s="22">
        <v>458.5</v>
      </c>
      <c r="E95" s="15" t="b">
        <v>0</v>
      </c>
      <c r="F95" s="17" t="s">
        <v>12</v>
      </c>
      <c r="G95" s="17" t="s">
        <v>75</v>
      </c>
      <c r="H95" s="18">
        <f t="shared" si="1"/>
        <v>458.5</v>
      </c>
      <c r="I95" s="19" t="str">
        <f t="shared" si="2"/>
        <v>BONIFICO SEPADa NEXI Payments Spa TRN 073872995016NPPASU0000000000IT CIPBITMM per PV 1000001228596 ACCREDITO CIRCUITI INTERNAZ. 10032</v>
      </c>
    </row>
    <row r="96">
      <c r="A96" s="20">
        <v>46091.0</v>
      </c>
      <c r="B96" s="23">
        <v>46091.0</v>
      </c>
      <c r="C96" s="21">
        <v>-2160.0</v>
      </c>
      <c r="D96" s="22"/>
      <c r="E96" s="15" t="b">
        <v>1</v>
      </c>
      <c r="F96" s="17" t="s">
        <v>12</v>
      </c>
      <c r="G96" s="17" t="s">
        <v>76</v>
      </c>
      <c r="H96" s="18">
        <f t="shared" si="1"/>
        <v>-2160</v>
      </c>
      <c r="I96" s="19" t="str">
        <f t="shared" si="2"/>
        <v>BONIFICO SEPADistinta: 17731279801491259DEF</v>
      </c>
    </row>
    <row r="97">
      <c r="A97" s="20">
        <v>46091.0</v>
      </c>
      <c r="B97" s="23">
        <v>46091.0</v>
      </c>
      <c r="C97" s="21">
        <v>-749.61</v>
      </c>
      <c r="D97" s="22"/>
      <c r="E97" s="15" t="b">
        <v>1</v>
      </c>
      <c r="F97" s="17" t="s">
        <v>12</v>
      </c>
      <c r="G97" s="17" t="s">
        <v>77</v>
      </c>
      <c r="H97" s="18">
        <f t="shared" si="1"/>
        <v>-749.61</v>
      </c>
      <c r="I97" s="19" t="str">
        <f t="shared" si="2"/>
        <v>BONIFICO SEPADistinta: 177312961577411NPDEF</v>
      </c>
    </row>
    <row r="98">
      <c r="A98" s="20">
        <v>46091.0</v>
      </c>
      <c r="B98" s="20">
        <v>46091.0</v>
      </c>
      <c r="C98" s="21">
        <v>-241.29</v>
      </c>
      <c r="D98" s="22"/>
      <c r="E98" s="15" t="b">
        <v>1</v>
      </c>
      <c r="F98" s="17" t="s">
        <v>12</v>
      </c>
      <c r="G98" s="17" t="s">
        <v>78</v>
      </c>
      <c r="H98" s="18">
        <f t="shared" si="1"/>
        <v>-241.29</v>
      </c>
      <c r="I98" s="19" t="str">
        <f t="shared" si="2"/>
        <v>BONIFICO SEPADistinta: 17731287732721296DEF</v>
      </c>
    </row>
    <row r="99">
      <c r="A99" s="20">
        <v>46091.0</v>
      </c>
      <c r="B99" s="20">
        <v>46091.0</v>
      </c>
      <c r="C99" s="21">
        <v>-120.05</v>
      </c>
      <c r="D99" s="22"/>
      <c r="E99" s="15" t="b">
        <v>1</v>
      </c>
      <c r="F99" s="17" t="s">
        <v>12</v>
      </c>
      <c r="G99" s="17" t="s">
        <v>79</v>
      </c>
      <c r="H99" s="18">
        <f t="shared" si="1"/>
        <v>-120.05</v>
      </c>
      <c r="I99" s="19" t="str">
        <f t="shared" si="2"/>
        <v>BONIFICO SEPADistinta: 17731289595730PI9DEF</v>
      </c>
    </row>
    <row r="100">
      <c r="A100" s="20">
        <v>46091.0</v>
      </c>
      <c r="B100" s="20">
        <v>46091.0</v>
      </c>
      <c r="C100" s="21"/>
      <c r="D100" s="22">
        <v>30.0</v>
      </c>
      <c r="E100" s="15" t="b">
        <v>0</v>
      </c>
      <c r="F100" s="17" t="s">
        <v>12</v>
      </c>
      <c r="G100" s="17" t="s">
        <v>80</v>
      </c>
      <c r="H100" s="18">
        <f t="shared" si="1"/>
        <v>30</v>
      </c>
      <c r="I100" s="19" t="str">
        <f t="shared" si="2"/>
        <v>BONIFICO SEPADa NEXI Payments Spa TRN 073778690116NPPASU0000000000IT CIPBITMM per PV 1000001228637 ACCREDITO CIRCUITI INTERNAZ. 09032</v>
      </c>
    </row>
    <row r="101">
      <c r="A101" s="20">
        <v>46091.0</v>
      </c>
      <c r="B101" s="20">
        <v>46091.0</v>
      </c>
      <c r="C101" s="21"/>
      <c r="D101" s="22">
        <v>280.0</v>
      </c>
      <c r="E101" s="15" t="b">
        <v>0</v>
      </c>
      <c r="F101" s="17" t="s">
        <v>12</v>
      </c>
      <c r="G101" s="17" t="s">
        <v>81</v>
      </c>
      <c r="H101" s="18">
        <f t="shared" si="1"/>
        <v>280</v>
      </c>
      <c r="I101" s="19" t="str">
        <f t="shared" si="2"/>
        <v>BONIFICO SEPADa NEXI Payments Spa TRN 073778664116NPPASU0000000000IT CIPBITMM per PV 1000001228596 ACCREDITO CIRCUITI INTERNAZ. 09032</v>
      </c>
    </row>
    <row r="102">
      <c r="A102" s="20">
        <v>46091.0</v>
      </c>
      <c r="B102" s="20">
        <v>46091.0</v>
      </c>
      <c r="C102" s="21"/>
      <c r="D102" s="22">
        <v>736.93</v>
      </c>
      <c r="E102" s="15" t="b">
        <v>0</v>
      </c>
      <c r="F102" s="17" t="s">
        <v>12</v>
      </c>
      <c r="G102" s="17" t="s">
        <v>82</v>
      </c>
      <c r="H102" s="18">
        <f t="shared" si="1"/>
        <v>736.93</v>
      </c>
      <c r="I102" s="19" t="str">
        <f t="shared" si="2"/>
        <v>BONIFICO SEPADa Scalapay IP S.p.a. TRN 3601826031004505581348532151576-008 CBPSIT31XXX per 2026-03-09 - GEOS S SDRL - Scalapay IP S.p</v>
      </c>
    </row>
    <row r="103">
      <c r="A103" s="20">
        <v>46091.0</v>
      </c>
      <c r="B103" s="20">
        <v>46091.0</v>
      </c>
      <c r="C103" s="21"/>
      <c r="D103" s="22">
        <v>24.75</v>
      </c>
      <c r="E103" s="15" t="b">
        <v>0</v>
      </c>
      <c r="F103" s="17" t="s">
        <v>28</v>
      </c>
      <c r="G103" s="17" t="s">
        <v>83</v>
      </c>
      <c r="H103" s="18">
        <f t="shared" si="1"/>
        <v>24.75</v>
      </c>
      <c r="I103" s="19" t="str">
        <f t="shared" si="2"/>
        <v>BONIFICODa Satispay Europe S.A. TRN 6d26c56f8ab046da8fd38f023a597ad7 SATYLUL1XXX per Geos ssdr</v>
      </c>
    </row>
    <row r="104">
      <c r="A104" s="20">
        <v>46090.0</v>
      </c>
      <c r="B104" s="20">
        <v>46090.0</v>
      </c>
      <c r="C104" s="21"/>
      <c r="D104" s="22">
        <v>30.0</v>
      </c>
      <c r="E104" s="15" t="b">
        <v>0</v>
      </c>
      <c r="F104" s="17" t="s">
        <v>12</v>
      </c>
      <c r="G104" s="17" t="s">
        <v>84</v>
      </c>
      <c r="H104" s="18">
        <f t="shared" si="1"/>
        <v>30</v>
      </c>
      <c r="I104" s="19" t="str">
        <f t="shared" si="2"/>
        <v>BONIFICO SEPADa NEXI Payments Spa TRN 073714969036NPPASU0000000000IT CIPBITMM per PV 1000001228637 ACCREDITO CIRCUITI INTERNAZ. 08032</v>
      </c>
    </row>
    <row r="105">
      <c r="A105" s="20">
        <v>46090.0</v>
      </c>
      <c r="B105" s="20">
        <v>46090.0</v>
      </c>
      <c r="C105" s="21"/>
      <c r="D105" s="22">
        <v>439.0</v>
      </c>
      <c r="E105" s="15" t="b">
        <v>0</v>
      </c>
      <c r="F105" s="17" t="s">
        <v>12</v>
      </c>
      <c r="G105" s="17" t="s">
        <v>85</v>
      </c>
      <c r="H105" s="18">
        <f t="shared" si="1"/>
        <v>439</v>
      </c>
      <c r="I105" s="19" t="str">
        <f t="shared" si="2"/>
        <v>BONIFICO SEPADa NEXI Payments Spa TRN 073601805046NPPASU0000000000IT CIPBITMM per PV 1000001228596 ACCREDITO CIRCUITI INTERNAZ. 07032</v>
      </c>
    </row>
    <row r="106">
      <c r="A106" s="20">
        <v>46090.0</v>
      </c>
      <c r="B106" s="20">
        <v>46090.0</v>
      </c>
      <c r="C106" s="21"/>
      <c r="D106" s="22">
        <v>237.0</v>
      </c>
      <c r="E106" s="15" t="b">
        <v>0</v>
      </c>
      <c r="F106" s="17" t="s">
        <v>12</v>
      </c>
      <c r="G106" s="17" t="s">
        <v>86</v>
      </c>
      <c r="H106" s="18">
        <f t="shared" si="1"/>
        <v>237</v>
      </c>
      <c r="I106" s="19" t="str">
        <f t="shared" si="2"/>
        <v>BONIFICO SEPADa NEXI Payments Spa TRN 073493223116NPPASU0000000000IT CIPBITMM per PV 1000001228596 ACCREDITO CIRCUITI INTERNAZ. 06032</v>
      </c>
    </row>
    <row r="107">
      <c r="A107" s="20">
        <v>46090.0</v>
      </c>
      <c r="B107" s="20">
        <v>46090.0</v>
      </c>
      <c r="C107" s="21"/>
      <c r="D107" s="22">
        <v>37.0</v>
      </c>
      <c r="E107" s="15" t="b">
        <v>0</v>
      </c>
      <c r="F107" s="17" t="s">
        <v>12</v>
      </c>
      <c r="G107" s="17" t="s">
        <v>87</v>
      </c>
      <c r="H107" s="18">
        <f t="shared" si="1"/>
        <v>37</v>
      </c>
      <c r="I107" s="19" t="str">
        <f t="shared" si="2"/>
        <v>BONIFICO SEPADa NEXI Payments Spa TRN 073601813126NPPASU0000000000IT CIPBITMM per PV 1000001228596 ACCREDITO BANCOMAT 070326 RIF 1158</v>
      </c>
    </row>
    <row r="108">
      <c r="A108" s="20">
        <v>46090.0</v>
      </c>
      <c r="B108" s="23">
        <v>46090.0</v>
      </c>
      <c r="C108" s="21"/>
      <c r="D108" s="22">
        <v>243.0</v>
      </c>
      <c r="E108" s="15" t="b">
        <v>0</v>
      </c>
      <c r="F108" s="17" t="s">
        <v>12</v>
      </c>
      <c r="G108" s="17" t="s">
        <v>88</v>
      </c>
      <c r="H108" s="18">
        <f t="shared" si="1"/>
        <v>243</v>
      </c>
      <c r="I108" s="19" t="str">
        <f t="shared" si="2"/>
        <v>BONIFICO SEPADa NEXI Payments Spa TRN 073493237126NPPASU0000000000IT CIPBITMM per PV 1000001228596 ACCREDITO BANCOMAT 060326 RIF 1156</v>
      </c>
    </row>
    <row r="109">
      <c r="A109" s="20">
        <v>46090.0</v>
      </c>
      <c r="B109" s="23">
        <v>46090.0</v>
      </c>
      <c r="C109" s="21"/>
      <c r="D109" s="22">
        <v>175.0</v>
      </c>
      <c r="E109" s="15" t="b">
        <v>0</v>
      </c>
      <c r="F109" s="17" t="s">
        <v>12</v>
      </c>
      <c r="G109" s="17" t="s">
        <v>89</v>
      </c>
      <c r="H109" s="18">
        <f t="shared" si="1"/>
        <v>175</v>
      </c>
      <c r="I109" s="19" t="str">
        <f t="shared" si="2"/>
        <v>BONIFICO SEPADa NEXI Payments Spa TRN 073492499026NPPASU0000000000IT CIPBITMM per PV 1000001228637 ACCREDITO CIRCUITI INTERNAZ. 06032</v>
      </c>
    </row>
    <row r="110">
      <c r="A110" s="20"/>
      <c r="B110" s="20"/>
      <c r="C110" s="21"/>
      <c r="D110" s="22"/>
      <c r="E110" s="15" t="b">
        <v>0</v>
      </c>
      <c r="F110" s="17"/>
      <c r="G110" s="17"/>
      <c r="H110" s="18">
        <f t="shared" si="1"/>
        <v>0</v>
      </c>
      <c r="I110" s="19" t="str">
        <f t="shared" si="2"/>
        <v/>
      </c>
    </row>
    <row r="111">
      <c r="A111" s="20">
        <v>46087.0</v>
      </c>
      <c r="B111" s="20">
        <v>46087.0</v>
      </c>
      <c r="C111" s="21">
        <v>-811.2</v>
      </c>
      <c r="D111" s="22"/>
      <c r="E111" s="15" t="b">
        <v>1</v>
      </c>
      <c r="F111" s="17" t="s">
        <v>12</v>
      </c>
      <c r="G111" s="17" t="s">
        <v>90</v>
      </c>
      <c r="H111" s="18">
        <f t="shared" si="1"/>
        <v>-811.2</v>
      </c>
      <c r="I111" s="19" t="str">
        <f t="shared" si="2"/>
        <v>BONIFICO SEPADistinta: 177279132563303UEDEF</v>
      </c>
    </row>
    <row r="112">
      <c r="A112" s="20">
        <v>46087.0</v>
      </c>
      <c r="B112" s="20">
        <v>46087.0</v>
      </c>
      <c r="C112" s="21">
        <v>-11697.55</v>
      </c>
      <c r="D112" s="22"/>
      <c r="E112" s="15" t="b">
        <v>1</v>
      </c>
      <c r="F112" s="17" t="s">
        <v>12</v>
      </c>
      <c r="G112" s="17" t="s">
        <v>91</v>
      </c>
      <c r="H112" s="18">
        <f t="shared" si="1"/>
        <v>-11697.55</v>
      </c>
      <c r="I112" s="19" t="str">
        <f t="shared" si="2"/>
        <v>BONIFICO SEPADistinta: 17727893758950339DEF</v>
      </c>
    </row>
    <row r="113">
      <c r="A113" s="20">
        <v>46087.0</v>
      </c>
      <c r="B113" s="20">
        <v>46087.0</v>
      </c>
      <c r="C113" s="21">
        <v>-8130.0</v>
      </c>
      <c r="D113" s="22"/>
      <c r="E113" s="15" t="b">
        <v>1</v>
      </c>
      <c r="F113" s="17" t="s">
        <v>12</v>
      </c>
      <c r="G113" s="17" t="s">
        <v>92</v>
      </c>
      <c r="H113" s="18">
        <f t="shared" si="1"/>
        <v>-8130</v>
      </c>
      <c r="I113" s="19" t="str">
        <f t="shared" si="2"/>
        <v>BONIFICO SEPADistinta: 17727191078570336DEF</v>
      </c>
    </row>
    <row r="114">
      <c r="A114" s="20">
        <v>46087.0</v>
      </c>
      <c r="B114" s="20">
        <v>46087.0</v>
      </c>
      <c r="C114" s="21">
        <v>-375.0</v>
      </c>
      <c r="D114" s="22"/>
      <c r="E114" s="15" t="b">
        <v>1</v>
      </c>
      <c r="F114" s="17" t="s">
        <v>12</v>
      </c>
      <c r="G114" s="17" t="s">
        <v>93</v>
      </c>
      <c r="H114" s="18">
        <f t="shared" si="1"/>
        <v>-375</v>
      </c>
      <c r="I114" s="19" t="str">
        <f t="shared" si="2"/>
        <v>BONIFICO SEPADistinta: 17727897042920BAQDEF</v>
      </c>
    </row>
    <row r="115">
      <c r="A115" s="20">
        <v>46087.0</v>
      </c>
      <c r="B115" s="20">
        <v>46087.0</v>
      </c>
      <c r="C115" s="21">
        <v>-6034.35</v>
      </c>
      <c r="D115" s="22"/>
      <c r="E115" s="15" t="b">
        <v>1</v>
      </c>
      <c r="F115" s="17" t="s">
        <v>12</v>
      </c>
      <c r="G115" s="17" t="s">
        <v>94</v>
      </c>
      <c r="H115" s="18">
        <f t="shared" si="1"/>
        <v>-6034.35</v>
      </c>
      <c r="I115" s="19" t="str">
        <f t="shared" si="2"/>
        <v>BONIFICO SEPADistinta: 177280258612107OLDEF</v>
      </c>
    </row>
    <row r="116">
      <c r="A116" s="20">
        <v>46087.0</v>
      </c>
      <c r="B116" s="20">
        <v>46087.0</v>
      </c>
      <c r="C116" s="21">
        <v>-2858.25</v>
      </c>
      <c r="D116" s="22"/>
      <c r="E116" s="15" t="b">
        <v>1</v>
      </c>
      <c r="F116" s="17" t="s">
        <v>12</v>
      </c>
      <c r="G116" s="17" t="s">
        <v>95</v>
      </c>
      <c r="H116" s="18">
        <f t="shared" si="1"/>
        <v>-2858.25</v>
      </c>
      <c r="I116" s="19" t="str">
        <f t="shared" si="2"/>
        <v>BONIFICO SEPADistinta: 177280332023207N1DEF</v>
      </c>
    </row>
    <row r="117">
      <c r="A117" s="20">
        <v>46087.0</v>
      </c>
      <c r="B117" s="20">
        <v>46087.0</v>
      </c>
      <c r="C117" s="21">
        <v>-22450.0</v>
      </c>
      <c r="D117" s="22"/>
      <c r="E117" s="15" t="b">
        <v>1</v>
      </c>
      <c r="F117" s="17" t="s">
        <v>12</v>
      </c>
      <c r="G117" s="17" t="s">
        <v>96</v>
      </c>
      <c r="H117" s="18">
        <f t="shared" si="1"/>
        <v>-22450</v>
      </c>
      <c r="I117" s="19" t="str">
        <f t="shared" si="2"/>
        <v>BONIFICO SEPADistinta: 17728017493730FGBDEF</v>
      </c>
    </row>
    <row r="118">
      <c r="A118" s="20">
        <v>46087.0</v>
      </c>
      <c r="B118" s="20">
        <v>46087.0</v>
      </c>
      <c r="C118" s="21"/>
      <c r="D118" s="22">
        <v>25.0</v>
      </c>
      <c r="E118" s="15" t="b">
        <v>0</v>
      </c>
      <c r="F118" s="17" t="s">
        <v>12</v>
      </c>
      <c r="G118" s="17" t="s">
        <v>97</v>
      </c>
      <c r="H118" s="18">
        <f t="shared" si="1"/>
        <v>25</v>
      </c>
      <c r="I118" s="19" t="str">
        <f t="shared" si="2"/>
        <v>BONIFICO SEPADa NEXI Payments Spa TRN 073377034036NPPASU0000000000IT CIPBITMM per PV 1000001228596 ACCREDITO BANCOMAT 050326 RIF 1155</v>
      </c>
    </row>
    <row r="119">
      <c r="A119" s="20">
        <v>46087.0</v>
      </c>
      <c r="B119" s="20">
        <v>46087.0</v>
      </c>
      <c r="C119" s="21"/>
      <c r="D119" s="22">
        <v>75.0</v>
      </c>
      <c r="E119" s="15" t="b">
        <v>0</v>
      </c>
      <c r="F119" s="17" t="s">
        <v>12</v>
      </c>
      <c r="G119" s="17" t="s">
        <v>98</v>
      </c>
      <c r="H119" s="18">
        <f t="shared" si="1"/>
        <v>75</v>
      </c>
      <c r="I119" s="19" t="str">
        <f t="shared" si="2"/>
        <v>BONIFICO SEPADa NEXI Payments Spa TRN 073377029116NPPASU0000000000IT CIPBITMM per PV 1000001228596 ACCREDITO CIRCUITI INTERNAZ. 05032</v>
      </c>
    </row>
    <row r="120">
      <c r="A120" s="20">
        <v>46086.0</v>
      </c>
      <c r="B120" s="20">
        <v>46086.0</v>
      </c>
      <c r="C120" s="21"/>
      <c r="D120" s="22">
        <v>50.0</v>
      </c>
      <c r="E120" s="15" t="b">
        <v>0</v>
      </c>
      <c r="F120" s="17" t="s">
        <v>12</v>
      </c>
      <c r="G120" s="17" t="s">
        <v>99</v>
      </c>
      <c r="H120" s="18">
        <f t="shared" si="1"/>
        <v>50</v>
      </c>
      <c r="I120" s="19" t="str">
        <f t="shared" si="2"/>
        <v>BONIFICO SEPADa NEXI Payments Spa TRN 073255816106NPPASU0000000000IT CIPBITMM per PV 1000001228596 ACCREDITO BANCOMAT 040326 RIF 1153</v>
      </c>
    </row>
    <row r="121">
      <c r="A121" s="20">
        <v>46086.0</v>
      </c>
      <c r="B121" s="23">
        <v>46086.0</v>
      </c>
      <c r="C121" s="21"/>
      <c r="D121" s="22">
        <v>576.0</v>
      </c>
      <c r="E121" s="15" t="b">
        <v>0</v>
      </c>
      <c r="F121" s="17" t="s">
        <v>12</v>
      </c>
      <c r="G121" s="17" t="s">
        <v>100</v>
      </c>
      <c r="H121" s="18">
        <f t="shared" si="1"/>
        <v>576</v>
      </c>
      <c r="I121" s="19" t="str">
        <f t="shared" si="2"/>
        <v>BONIFICO SEPADa NEXI Payments Spa TRN 073255802096NPPASU0000000000IT CIPBITMM per PV 1000001228596 ACCREDITO CIRCUITI INTERNAZ. 04032</v>
      </c>
    </row>
    <row r="122">
      <c r="A122" s="20">
        <v>46086.0</v>
      </c>
      <c r="B122" s="23">
        <v>46086.0</v>
      </c>
      <c r="C122" s="21">
        <v>-0.4</v>
      </c>
      <c r="D122" s="22"/>
      <c r="E122" s="15" t="b">
        <v>1</v>
      </c>
      <c r="F122" s="17" t="s">
        <v>101</v>
      </c>
      <c r="G122" s="17" t="s">
        <v>102</v>
      </c>
      <c r="H122" s="18">
        <f t="shared" si="1"/>
        <v>-0.4</v>
      </c>
      <c r="I122" s="19" t="str">
        <f t="shared" si="2"/>
        <v>COMMISSIONI DOMICILIAZIONE (ADDEBITO DIRETTO SEPA)NEXI Payments Spa    CID.IT500540000004107060966             MAN.CL2XV900700799PC0001228595</v>
      </c>
    </row>
    <row r="123">
      <c r="A123" s="20">
        <v>46086.0</v>
      </c>
      <c r="B123" s="20">
        <v>46086.0</v>
      </c>
      <c r="C123" s="21">
        <v>-0.4</v>
      </c>
      <c r="D123" s="22"/>
      <c r="E123" s="15" t="b">
        <v>1</v>
      </c>
      <c r="F123" s="17" t="s">
        <v>101</v>
      </c>
      <c r="G123" s="17" t="s">
        <v>103</v>
      </c>
      <c r="H123" s="18">
        <f t="shared" si="1"/>
        <v>-0.4</v>
      </c>
      <c r="I123" s="19" t="str">
        <f t="shared" si="2"/>
        <v>COMMISSIONI DOMICILIAZIONE (ADDEBITO DIRETTO SEPA)NEXI Payments Spa    CID.IT500540000004107060966             MAN.CL2XV900700884PC0001228636</v>
      </c>
    </row>
    <row r="124">
      <c r="A124" s="20">
        <v>46085.0</v>
      </c>
      <c r="B124" s="20">
        <v>46085.0</v>
      </c>
      <c r="C124" s="21">
        <v>-2400.0</v>
      </c>
      <c r="D124" s="22"/>
      <c r="E124" s="15" t="b">
        <v>1</v>
      </c>
      <c r="F124" s="17" t="s">
        <v>12</v>
      </c>
      <c r="G124" s="17" t="s">
        <v>104</v>
      </c>
      <c r="H124" s="18">
        <f t="shared" si="1"/>
        <v>-2400</v>
      </c>
      <c r="I124" s="19" t="str">
        <f t="shared" si="2"/>
        <v>BONIFICO SEPADistinta: 17726236810013BGTDEF</v>
      </c>
    </row>
    <row r="125">
      <c r="A125" s="20">
        <v>46085.0</v>
      </c>
      <c r="B125" s="20">
        <v>46085.0</v>
      </c>
      <c r="C125" s="21"/>
      <c r="D125" s="22">
        <v>530.0</v>
      </c>
      <c r="E125" s="15" t="b">
        <v>0</v>
      </c>
      <c r="F125" s="17" t="s">
        <v>12</v>
      </c>
      <c r="G125" s="17" t="s">
        <v>105</v>
      </c>
      <c r="H125" s="18">
        <f t="shared" si="1"/>
        <v>530</v>
      </c>
      <c r="I125" s="19" t="str">
        <f t="shared" si="2"/>
        <v>BONIFICO SEPADa NEXI Payments Spa TRN 073139549026NPPASU0000000000IT CIPBITMM per PV 1000001228596 ACCREDITO CIRCUITI INTERNAZ. 03032</v>
      </c>
    </row>
    <row r="126">
      <c r="A126" s="20">
        <v>46085.0</v>
      </c>
      <c r="B126" s="20">
        <v>46085.0</v>
      </c>
      <c r="C126" s="21"/>
      <c r="D126" s="22">
        <v>50.0</v>
      </c>
      <c r="E126" s="15" t="b">
        <v>0</v>
      </c>
      <c r="F126" s="17" t="s">
        <v>12</v>
      </c>
      <c r="G126" s="17" t="s">
        <v>106</v>
      </c>
      <c r="H126" s="18">
        <f t="shared" si="1"/>
        <v>50</v>
      </c>
      <c r="I126" s="19" t="str">
        <f t="shared" si="2"/>
        <v>BONIFICO SEPADa NEXI Payments Spa TRN 073139568086NPPASU0000000000IT CIPBITMM per PV 1000001228596 ACCREDITO BANCOMAT 030326 RIF 1152</v>
      </c>
    </row>
    <row r="127">
      <c r="A127" s="20">
        <v>46085.0</v>
      </c>
      <c r="B127" s="20">
        <v>46085.0</v>
      </c>
      <c r="C127" s="21"/>
      <c r="D127" s="22">
        <v>244.12</v>
      </c>
      <c r="E127" s="15" t="b">
        <v>0</v>
      </c>
      <c r="F127" s="17" t="s">
        <v>12</v>
      </c>
      <c r="G127" s="17" t="s">
        <v>107</v>
      </c>
      <c r="H127" s="18">
        <f t="shared" si="1"/>
        <v>244.12</v>
      </c>
      <c r="I127" s="19" t="str">
        <f t="shared" si="2"/>
        <v>BONIFICO SEPADa Scalapay IP S.p.a. TRN 3601826030404504539221898999387-008 CBPSIT31XXX per 2026-03-03 - GEOS S SDRL - Scalapay IP S.p</v>
      </c>
    </row>
    <row r="128">
      <c r="A128" s="20">
        <v>46085.0</v>
      </c>
      <c r="B128" s="20">
        <v>46081.0</v>
      </c>
      <c r="C128" s="21">
        <v>-10.0</v>
      </c>
      <c r="D128" s="22"/>
      <c r="E128" s="15" t="b">
        <v>1</v>
      </c>
      <c r="F128" s="17" t="s">
        <v>108</v>
      </c>
      <c r="G128" s="17" t="s">
        <v>109</v>
      </c>
      <c r="H128" s="18">
        <f t="shared" si="1"/>
        <v>-10</v>
      </c>
      <c r="I128" s="19" t="str">
        <f t="shared" si="2"/>
        <v>TENUTA CONTOADDEBITO RELATIVO AL PERIODO DI FEBBRAIO  2026</v>
      </c>
    </row>
    <row r="129">
      <c r="A129" s="20">
        <v>46085.0</v>
      </c>
      <c r="B129" s="20">
        <v>46081.0</v>
      </c>
      <c r="C129" s="21">
        <v>-5.0</v>
      </c>
      <c r="D129" s="22"/>
      <c r="E129" s="15" t="b">
        <v>1</v>
      </c>
      <c r="F129" s="17" t="s">
        <v>110</v>
      </c>
      <c r="G129" s="17" t="s">
        <v>111</v>
      </c>
      <c r="H129" s="18">
        <f t="shared" si="1"/>
        <v>-5</v>
      </c>
      <c r="I129" s="19" t="str">
        <f t="shared" si="2"/>
        <v>CANONE SERVIZIO COLLEGAMENTO TELEMATICOADDEBITO CANONE DEL SERVIZIO BANCOPOSTAIMPRESA ONLINE RELATIVO AL PERIODO FEBBRAIO 2026 CONTRATTO N. 0059926216</v>
      </c>
    </row>
    <row r="130">
      <c r="A130" s="23">
        <v>46085.0</v>
      </c>
      <c r="B130" s="23">
        <v>46085.0</v>
      </c>
      <c r="C130" s="21">
        <v>-129.57</v>
      </c>
      <c r="D130" s="22"/>
      <c r="E130" s="15" t="b">
        <v>1</v>
      </c>
      <c r="F130" s="17" t="s">
        <v>112</v>
      </c>
      <c r="G130" s="17" t="s">
        <v>102</v>
      </c>
      <c r="H130" s="18">
        <f t="shared" si="1"/>
        <v>-129.57</v>
      </c>
      <c r="I130" s="19" t="str">
        <f t="shared" si="2"/>
        <v>DOMICILIAZIONE (ADDEBITO DIRETTO SEPA)NEXI Payments Spa    CID.IT500540000004107060966             MAN.CL2XV900700799PC0001228595</v>
      </c>
    </row>
    <row r="131">
      <c r="A131" s="23">
        <v>46085.0</v>
      </c>
      <c r="B131" s="23">
        <v>46085.0</v>
      </c>
      <c r="C131" s="21">
        <v>-28.74</v>
      </c>
      <c r="D131" s="22"/>
      <c r="E131" s="15" t="b">
        <v>1</v>
      </c>
      <c r="F131" s="17" t="s">
        <v>112</v>
      </c>
      <c r="G131" s="17" t="s">
        <v>103</v>
      </c>
      <c r="H131" s="18">
        <f t="shared" si="1"/>
        <v>-28.74</v>
      </c>
      <c r="I131" s="19" t="str">
        <f t="shared" si="2"/>
        <v>DOMICILIAZIONE (ADDEBITO DIRETTO SEPA)NEXI Payments Spa    CID.IT500540000004107060966             MAN.CL2XV900700884PC0001228636</v>
      </c>
    </row>
    <row r="132">
      <c r="A132" s="23">
        <v>46084.0</v>
      </c>
      <c r="B132" s="23">
        <v>46084.0</v>
      </c>
      <c r="C132" s="21">
        <v>-7870.0</v>
      </c>
      <c r="D132" s="22"/>
      <c r="E132" s="15" t="b">
        <v>1</v>
      </c>
      <c r="F132" s="17" t="s">
        <v>12</v>
      </c>
      <c r="G132" s="17" t="s">
        <v>113</v>
      </c>
      <c r="H132" s="18">
        <f t="shared" si="1"/>
        <v>-7870</v>
      </c>
      <c r="I132" s="19" t="str">
        <f t="shared" si="2"/>
        <v>BONIFICO SEPADistinta: 1772537704453316CDEF</v>
      </c>
    </row>
    <row r="133">
      <c r="A133" s="23">
        <v>46084.0</v>
      </c>
      <c r="B133" s="23">
        <v>46084.0</v>
      </c>
      <c r="C133" s="21">
        <v>-4470.0</v>
      </c>
      <c r="D133" s="22"/>
      <c r="E133" s="15" t="b">
        <v>1</v>
      </c>
      <c r="F133" s="17" t="s">
        <v>12</v>
      </c>
      <c r="G133" s="17" t="s">
        <v>114</v>
      </c>
      <c r="H133" s="18">
        <f t="shared" si="1"/>
        <v>-4470</v>
      </c>
      <c r="I133" s="19" t="str">
        <f t="shared" si="2"/>
        <v>BONIFICO SEPADistinta: 17725327076582V8CDEF</v>
      </c>
    </row>
    <row r="134">
      <c r="A134" s="20">
        <v>46084.0</v>
      </c>
      <c r="B134" s="20">
        <v>46084.0</v>
      </c>
      <c r="C134" s="21">
        <v>-4000.0</v>
      </c>
      <c r="D134" s="26"/>
      <c r="E134" s="15" t="b">
        <v>1</v>
      </c>
      <c r="F134" s="17" t="s">
        <v>12</v>
      </c>
      <c r="G134" s="17" t="s">
        <v>115</v>
      </c>
      <c r="H134" s="18">
        <f t="shared" si="1"/>
        <v>-4000</v>
      </c>
      <c r="I134" s="19" t="str">
        <f t="shared" si="2"/>
        <v>BONIFICO SEPADistinta: 177253796563932RRDEF</v>
      </c>
    </row>
    <row r="135">
      <c r="A135" s="20">
        <v>46084.0</v>
      </c>
      <c r="B135" s="20">
        <v>46084.0</v>
      </c>
      <c r="C135" s="21">
        <v>-3910.0</v>
      </c>
      <c r="D135" s="26"/>
      <c r="E135" s="15" t="b">
        <v>1</v>
      </c>
      <c r="F135" s="17" t="s">
        <v>12</v>
      </c>
      <c r="G135" s="17" t="s">
        <v>116</v>
      </c>
      <c r="H135" s="18">
        <f t="shared" si="1"/>
        <v>-3910</v>
      </c>
      <c r="I135" s="19" t="str">
        <f t="shared" si="2"/>
        <v>BONIFICO SEPADistinta: 1772536925254325UDEF</v>
      </c>
    </row>
    <row r="136">
      <c r="A136" s="20">
        <v>46084.0</v>
      </c>
      <c r="B136" s="20">
        <v>46084.0</v>
      </c>
      <c r="C136" s="21">
        <v>-4970.0</v>
      </c>
      <c r="D136" s="26"/>
      <c r="E136" s="15" t="b">
        <v>1</v>
      </c>
      <c r="F136" s="17" t="s">
        <v>12</v>
      </c>
      <c r="G136" s="17" t="s">
        <v>117</v>
      </c>
      <c r="H136" s="18">
        <f t="shared" si="1"/>
        <v>-4970</v>
      </c>
      <c r="I136" s="19" t="str">
        <f t="shared" si="2"/>
        <v>BONIFICO SEPADistinta: 177253415142431AUDEF</v>
      </c>
    </row>
    <row r="137">
      <c r="A137" s="20">
        <v>46084.0</v>
      </c>
      <c r="B137" s="20">
        <v>46084.0</v>
      </c>
      <c r="C137" s="21">
        <v>-7275.0</v>
      </c>
      <c r="D137" s="26"/>
      <c r="E137" s="15" t="b">
        <v>1</v>
      </c>
      <c r="F137" s="17" t="s">
        <v>12</v>
      </c>
      <c r="G137" s="17" t="s">
        <v>118</v>
      </c>
      <c r="H137" s="18">
        <f t="shared" si="1"/>
        <v>-7275</v>
      </c>
      <c r="I137" s="19" t="str">
        <f t="shared" si="2"/>
        <v>BONIFICO SEPADistinta: 1772535901292322TDEF</v>
      </c>
    </row>
    <row r="138">
      <c r="A138" s="20">
        <v>46084.0</v>
      </c>
      <c r="B138" s="20">
        <v>46084.0</v>
      </c>
      <c r="C138" s="21">
        <v>-4505.0</v>
      </c>
      <c r="D138" s="26"/>
      <c r="E138" s="15" t="b">
        <v>1</v>
      </c>
      <c r="F138" s="17" t="s">
        <v>12</v>
      </c>
      <c r="G138" s="17" t="s">
        <v>119</v>
      </c>
      <c r="H138" s="18">
        <f t="shared" si="1"/>
        <v>-4505</v>
      </c>
      <c r="I138" s="19" t="str">
        <f t="shared" si="2"/>
        <v>BONIFICO SEPADistinta: 17725316240143090DEF</v>
      </c>
    </row>
    <row r="139">
      <c r="A139" s="20">
        <v>46084.0</v>
      </c>
      <c r="B139" s="20">
        <v>46084.0</v>
      </c>
      <c r="C139" s="25"/>
      <c r="D139" s="22">
        <v>295.0</v>
      </c>
      <c r="E139" s="15" t="b">
        <v>0</v>
      </c>
      <c r="F139" s="17" t="s">
        <v>12</v>
      </c>
      <c r="G139" s="17" t="s">
        <v>120</v>
      </c>
      <c r="H139" s="18">
        <f t="shared" si="1"/>
        <v>295</v>
      </c>
      <c r="I139" s="19" t="str">
        <f t="shared" si="2"/>
        <v>BONIFICO SEPADa NEXI Payments Spa TRN 073024322076NPPASU0000000000IT CIPBITMM per PV 1000001228596 ACCREDITO CIRCUITI INTERNAZ. 02032</v>
      </c>
    </row>
    <row r="140">
      <c r="A140" s="20">
        <v>46084.0</v>
      </c>
      <c r="B140" s="20">
        <v>46084.0</v>
      </c>
      <c r="C140" s="25"/>
      <c r="D140" s="22">
        <v>35.0</v>
      </c>
      <c r="E140" s="15" t="b">
        <v>0</v>
      </c>
      <c r="F140" s="17" t="s">
        <v>12</v>
      </c>
      <c r="G140" s="17" t="s">
        <v>121</v>
      </c>
      <c r="H140" s="18">
        <f t="shared" si="1"/>
        <v>35</v>
      </c>
      <c r="I140" s="19" t="str">
        <f t="shared" si="2"/>
        <v>BONIFICO SEPADa NEXI Payments Spa TRN 073035189066NPPASU0000000000IT CIPBITMM per PV 1000001228637 ACCREDITO CIRCUITI INTERNAZ. 02032</v>
      </c>
    </row>
    <row r="141">
      <c r="A141" s="20">
        <v>46084.0</v>
      </c>
      <c r="B141" s="20">
        <v>46084.0</v>
      </c>
      <c r="C141" s="25"/>
      <c r="D141" s="22">
        <v>244.0</v>
      </c>
      <c r="E141" s="15" t="b">
        <v>0</v>
      </c>
      <c r="F141" s="17" t="s">
        <v>12</v>
      </c>
      <c r="G141" s="17" t="s">
        <v>122</v>
      </c>
      <c r="H141" s="18">
        <f t="shared" si="1"/>
        <v>244</v>
      </c>
      <c r="I141" s="19" t="str">
        <f t="shared" si="2"/>
        <v>BONIFICO SEPADa ENCANTO CLUB LATINO ASS NE SPOR VA TRN 0306909968289109S90960609606IT BCITITMMXXX per FT 66 del 17/02/26 e 70 del 25/</v>
      </c>
    </row>
    <row r="142">
      <c r="A142" s="20">
        <v>46084.0</v>
      </c>
      <c r="B142" s="20">
        <v>46082.0</v>
      </c>
      <c r="C142" s="21">
        <v>-75.84</v>
      </c>
      <c r="D142" s="26"/>
      <c r="E142" s="15" t="b">
        <v>0</v>
      </c>
      <c r="F142" s="17" t="s">
        <v>123</v>
      </c>
      <c r="G142" s="27" t="s">
        <v>124</v>
      </c>
      <c r="H142" s="18">
        <f t="shared" si="1"/>
        <v>-75.84</v>
      </c>
      <c r="I142" s="19" t="str">
        <f t="shared" si="2"/>
        <v>PAGAMENTO POSGOOGLE *ADS5278163162  01/03/2026 10.47 DUBLIN 2      Op.612887 carta ****0501</v>
      </c>
    </row>
    <row r="143">
      <c r="A143" s="20">
        <v>46084.0</v>
      </c>
      <c r="B143" s="20">
        <v>46081.0</v>
      </c>
      <c r="C143" s="21">
        <v>-7.67</v>
      </c>
      <c r="D143" s="26"/>
      <c r="E143" s="15" t="b">
        <v>1</v>
      </c>
      <c r="F143" s="17" t="s">
        <v>125</v>
      </c>
      <c r="G143" s="28"/>
      <c r="H143" s="18">
        <f t="shared" si="1"/>
        <v>-7.67</v>
      </c>
      <c r="I143" s="19" t="str">
        <f t="shared" si="2"/>
        <v>IMPOSTA DI BOLLO</v>
      </c>
    </row>
    <row r="144">
      <c r="A144" s="20">
        <v>46083.0</v>
      </c>
      <c r="B144" s="20">
        <v>46083.0</v>
      </c>
      <c r="C144" s="25"/>
      <c r="D144" s="22">
        <v>74.8</v>
      </c>
      <c r="E144" s="15" t="b">
        <v>0</v>
      </c>
      <c r="F144" s="17" t="s">
        <v>28</v>
      </c>
      <c r="G144" s="17" t="s">
        <v>126</v>
      </c>
      <c r="H144" s="18">
        <f t="shared" si="1"/>
        <v>74.8</v>
      </c>
      <c r="I144" s="19" t="str">
        <f t="shared" si="2"/>
        <v>BONIFICODa Satispay Europe S.A. TRN 67763ee066a94416aaaf786c0db5b79d SATYLUL1XXX per Geos ssdr</v>
      </c>
    </row>
    <row r="145">
      <c r="A145" s="20">
        <v>46083.0</v>
      </c>
      <c r="B145" s="20">
        <v>46083.0</v>
      </c>
      <c r="C145" s="25"/>
      <c r="D145" s="22">
        <v>310.05</v>
      </c>
      <c r="E145" s="15" t="b">
        <v>0</v>
      </c>
      <c r="F145" s="17" t="s">
        <v>12</v>
      </c>
      <c r="G145" s="17" t="s">
        <v>127</v>
      </c>
      <c r="H145" s="18">
        <f t="shared" si="1"/>
        <v>310.05</v>
      </c>
      <c r="I145" s="19" t="str">
        <f t="shared" si="2"/>
        <v>BONIFICO SEPADa Scalapay IP S.p.a. TRN 3601826030208372938948139880222-008 CBPSIT31XXX per 2026-03-01 - GEOS S SDRL - Scalapay IP S.p</v>
      </c>
    </row>
    <row r="146">
      <c r="A146" s="20">
        <v>46083.0</v>
      </c>
      <c r="B146" s="20">
        <v>46083.0</v>
      </c>
      <c r="C146" s="25"/>
      <c r="D146" s="22">
        <v>180.0</v>
      </c>
      <c r="E146" s="15" t="b">
        <v>0</v>
      </c>
      <c r="F146" s="17" t="s">
        <v>12</v>
      </c>
      <c r="G146" s="17" t="s">
        <v>128</v>
      </c>
      <c r="H146" s="18">
        <f t="shared" si="1"/>
        <v>180</v>
      </c>
      <c r="I146" s="19" t="str">
        <f t="shared" si="2"/>
        <v>BONIFICO SEPADa NEXI Payments Spa TRN 072874287056NPPASU0000000000IT CIPBITMM per PV 1000001228596 ACCREDITO BANCOMAT 280226 RIF 1148</v>
      </c>
    </row>
    <row r="147">
      <c r="A147" s="20">
        <v>46083.0</v>
      </c>
      <c r="B147" s="20">
        <v>46083.0</v>
      </c>
      <c r="C147" s="25"/>
      <c r="D147" s="22">
        <v>285.0</v>
      </c>
      <c r="E147" s="15" t="b">
        <v>0</v>
      </c>
      <c r="F147" s="17" t="s">
        <v>12</v>
      </c>
      <c r="G147" s="17" t="s">
        <v>129</v>
      </c>
      <c r="H147" s="18">
        <f t="shared" si="1"/>
        <v>285</v>
      </c>
      <c r="I147" s="19" t="str">
        <f t="shared" si="2"/>
        <v>BONIFICO SEPADa NEXI Payments Spa TRN 072874278096NPPASU0000000000IT CIPBITMM per PV 1000001228596 ACCREDITO CIRCUITI INTERNAZ. 28022</v>
      </c>
    </row>
    <row r="148">
      <c r="A148" s="23">
        <v>46083.0</v>
      </c>
      <c r="B148" s="23">
        <v>46083.0</v>
      </c>
      <c r="C148" s="25"/>
      <c r="D148" s="22">
        <v>125.0</v>
      </c>
      <c r="E148" s="15" t="b">
        <v>0</v>
      </c>
      <c r="F148" s="17" t="s">
        <v>12</v>
      </c>
      <c r="G148" s="17" t="s">
        <v>130</v>
      </c>
      <c r="H148" s="18">
        <f t="shared" si="1"/>
        <v>125</v>
      </c>
      <c r="I148" s="19" t="str">
        <f t="shared" si="2"/>
        <v>BONIFICO SEPADa NEXI Payments Spa TRN 072760418036NPPASU0000000000IT CIPBITMM per PV 1000001228596 ACCREDITO CIRCUITI INTERNAZ. 27022</v>
      </c>
    </row>
    <row r="149">
      <c r="A149" s="23">
        <v>46083.0</v>
      </c>
      <c r="B149" s="23">
        <v>46083.0</v>
      </c>
      <c r="C149" s="25"/>
      <c r="D149" s="22">
        <v>52.0</v>
      </c>
      <c r="E149" s="15" t="b">
        <v>0</v>
      </c>
      <c r="F149" s="17" t="s">
        <v>12</v>
      </c>
      <c r="G149" s="17" t="s">
        <v>131</v>
      </c>
      <c r="H149" s="18">
        <f t="shared" si="1"/>
        <v>52</v>
      </c>
      <c r="I149" s="19" t="str">
        <f t="shared" si="2"/>
        <v>BONIFICO SEPADa NEXI Payments Spa TRN 072865953046NPPASU0000000000IT CIPBITMM per PV 1000001228637 ACCREDITO CIRCUITI INTERNAZ. 28022</v>
      </c>
    </row>
    <row r="150">
      <c r="A150" s="23">
        <v>46083.0</v>
      </c>
      <c r="B150" s="23">
        <v>46083.0</v>
      </c>
      <c r="C150" s="25"/>
      <c r="D150" s="22">
        <v>135.0</v>
      </c>
      <c r="E150" s="15" t="b">
        <v>0</v>
      </c>
      <c r="F150" s="17" t="s">
        <v>12</v>
      </c>
      <c r="G150" s="17" t="s">
        <v>132</v>
      </c>
      <c r="H150" s="18">
        <f t="shared" si="1"/>
        <v>135</v>
      </c>
      <c r="I150" s="19" t="str">
        <f t="shared" si="2"/>
        <v>BONIFICO SEPADa NEXI Payments Spa TRN 072760438106NPPASU0000000000IT CIPBITMM per PV 1000001228596 ACCREDITO BANCOMAT 270226 RIF 1145</v>
      </c>
    </row>
    <row r="151">
      <c r="A151" s="23">
        <v>46083.0</v>
      </c>
      <c r="B151" s="23">
        <v>46083.0</v>
      </c>
      <c r="C151" s="25"/>
      <c r="D151" s="22">
        <v>104.0</v>
      </c>
      <c r="E151" s="15" t="b">
        <v>0</v>
      </c>
      <c r="F151" s="17" t="s">
        <v>12</v>
      </c>
      <c r="G151" s="17" t="s">
        <v>133</v>
      </c>
      <c r="H151" s="18">
        <f t="shared" si="1"/>
        <v>104</v>
      </c>
      <c r="I151" s="19" t="str">
        <f t="shared" si="2"/>
        <v>BONIFICO SEPADa NEXI Payments Spa TRN 072952464006NPPASU0000000000IT CIPBITMM per PV 1000001228637 ACCREDITO CIRCUITI INTERNAZ. 01032</v>
      </c>
    </row>
    <row r="152">
      <c r="A152" s="23">
        <v>46083.0</v>
      </c>
      <c r="B152" s="23">
        <v>46083.0</v>
      </c>
      <c r="C152" s="25"/>
      <c r="D152" s="22">
        <v>37.0</v>
      </c>
      <c r="E152" s="15" t="b">
        <v>0</v>
      </c>
      <c r="F152" s="17" t="s">
        <v>12</v>
      </c>
      <c r="G152" s="17" t="s">
        <v>134</v>
      </c>
      <c r="H152" s="18">
        <f t="shared" si="1"/>
        <v>37</v>
      </c>
      <c r="I152" s="19" t="str">
        <f t="shared" si="2"/>
        <v>BONIFICO SEPADa NEXI Payments Spa TRN 072760673116NPPASU0000000000IT CIPBITMM per PV 1000001228637 ACCREDITO CIRCUITI INTERNAZ. 27022</v>
      </c>
    </row>
    <row r="153">
      <c r="A153" s="20"/>
      <c r="B153" s="20"/>
      <c r="C153" s="21"/>
      <c r="D153" s="22"/>
      <c r="E153" s="15" t="b">
        <v>0</v>
      </c>
      <c r="F153" s="17"/>
      <c r="G153" s="17"/>
      <c r="H153" s="18">
        <f t="shared" si="1"/>
        <v>0</v>
      </c>
      <c r="I153" s="19" t="str">
        <f t="shared" si="2"/>
        <v/>
      </c>
    </row>
    <row r="154">
      <c r="A154" s="20">
        <v>46083.0</v>
      </c>
      <c r="B154" s="23">
        <v>46083.0</v>
      </c>
      <c r="C154" s="21"/>
      <c r="D154" s="22">
        <v>3294.0</v>
      </c>
      <c r="E154" s="15" t="b">
        <v>0</v>
      </c>
      <c r="F154" s="17" t="s">
        <v>12</v>
      </c>
      <c r="G154" s="17" t="s">
        <v>135</v>
      </c>
      <c r="H154" s="18">
        <f t="shared" si="1"/>
        <v>3294</v>
      </c>
      <c r="I154" s="19" t="str">
        <f t="shared" si="2"/>
        <v>BONIFICO SEPADa BCS BIOMEDICAL COMPUTERING SYSTEMS SRL TRN 0306928043769000485127051270IT BCITITMMXXX per NOTA CREDITO N.507666/D DEL</v>
      </c>
    </row>
    <row r="155">
      <c r="A155" s="20">
        <v>46080.0</v>
      </c>
      <c r="B155" s="23">
        <v>46080.0</v>
      </c>
      <c r="C155" s="21">
        <v>-730.0</v>
      </c>
      <c r="D155" s="22"/>
      <c r="E155" s="15" t="b">
        <v>1</v>
      </c>
      <c r="F155" s="17" t="s">
        <v>12</v>
      </c>
      <c r="G155" s="17" t="s">
        <v>136</v>
      </c>
      <c r="H155" s="18">
        <f t="shared" si="1"/>
        <v>-730</v>
      </c>
      <c r="I155" s="19" t="str">
        <f t="shared" si="2"/>
        <v>BONIFICO SEPADistinta: 177218805868329LVDEF</v>
      </c>
    </row>
    <row r="156">
      <c r="A156" s="20">
        <v>46080.0</v>
      </c>
      <c r="B156" s="20">
        <v>46076.0</v>
      </c>
      <c r="C156" s="21"/>
      <c r="D156" s="22">
        <v>73.8</v>
      </c>
      <c r="E156" s="15" t="b">
        <v>0</v>
      </c>
      <c r="F156" s="17" t="s">
        <v>28</v>
      </c>
      <c r="G156" s="17" t="s">
        <v>137</v>
      </c>
      <c r="H156" s="18">
        <f t="shared" si="1"/>
        <v>73.8</v>
      </c>
      <c r="I156" s="19" t="str">
        <f t="shared" si="2"/>
        <v>BONIFICODa Satispay Europe S.A. TRN 2ab7203f3b694cfcaef86a23c8e4079c SATYLUL1XXX per Geos ssdr</v>
      </c>
    </row>
    <row r="157">
      <c r="A157" s="20">
        <v>46080.0</v>
      </c>
      <c r="B157" s="20">
        <v>46080.0</v>
      </c>
      <c r="C157" s="21"/>
      <c r="D157" s="22">
        <v>27.0</v>
      </c>
      <c r="E157" s="15" t="b">
        <v>0</v>
      </c>
      <c r="F157" s="17" t="s">
        <v>12</v>
      </c>
      <c r="G157" s="17" t="s">
        <v>138</v>
      </c>
      <c r="H157" s="18">
        <f t="shared" si="1"/>
        <v>27</v>
      </c>
      <c r="I157" s="19" t="str">
        <f t="shared" si="2"/>
        <v>BONIFICO SEPADa NEXI Payments Spa TRN 072647942036NPPASU0000000000IT CIPBITMM per PV 1000001228637 ACCREDITO CIRCUITI INTERNAZ. 26022</v>
      </c>
    </row>
    <row r="158">
      <c r="A158" s="20">
        <v>46080.0</v>
      </c>
      <c r="B158" s="20">
        <v>46080.0</v>
      </c>
      <c r="C158" s="21"/>
      <c r="D158" s="22">
        <v>174.25</v>
      </c>
      <c r="E158" s="15" t="b">
        <v>0</v>
      </c>
      <c r="F158" s="17" t="s">
        <v>12</v>
      </c>
      <c r="G158" s="17" t="s">
        <v>139</v>
      </c>
      <c r="H158" s="18">
        <f t="shared" si="1"/>
        <v>174.25</v>
      </c>
      <c r="I158" s="19" t="str">
        <f t="shared" si="2"/>
        <v>BONIFICO SEPADa Scalapay IP S.p.a. TRN 3601826022704531720119022693789-008 CBPSIT31XXX per 2026-02-26 - GEOS S SDRL - Scalapay IP S.p</v>
      </c>
    </row>
    <row r="159">
      <c r="A159" s="20">
        <v>46080.0</v>
      </c>
      <c r="B159" s="20">
        <v>46080.0</v>
      </c>
      <c r="C159" s="21"/>
      <c r="D159" s="22">
        <v>165.0</v>
      </c>
      <c r="E159" s="15" t="b">
        <v>0</v>
      </c>
      <c r="F159" s="17" t="s">
        <v>12</v>
      </c>
      <c r="G159" s="17" t="s">
        <v>140</v>
      </c>
      <c r="H159" s="18">
        <f t="shared" si="1"/>
        <v>165</v>
      </c>
      <c r="I159" s="19" t="str">
        <f t="shared" si="2"/>
        <v>BONIFICO SEPADa NEXI Payments Spa TRN 072647069016NPPASU0000000000IT CIPBITMM per PV 1000001228596 ACCREDITO CIRCUITI INTERNAZ. 26022</v>
      </c>
    </row>
    <row r="160">
      <c r="A160" s="20">
        <v>46080.0</v>
      </c>
      <c r="B160" s="20">
        <v>46080.0</v>
      </c>
      <c r="C160" s="21"/>
      <c r="D160" s="22">
        <v>922.32</v>
      </c>
      <c r="E160" s="15" t="b">
        <v>0</v>
      </c>
      <c r="F160" s="17" t="s">
        <v>12</v>
      </c>
      <c r="G160" s="17" t="s">
        <v>141</v>
      </c>
      <c r="H160" s="18">
        <f t="shared" si="1"/>
        <v>922.32</v>
      </c>
      <c r="I160" s="19" t="str">
        <f t="shared" si="2"/>
        <v>BONIFICO SEPADa ORASESTA SPA TRN 5034901525006056482020001600IT BAPPIT22 per ORASESTA SPA - GEOS S.S.D. A RL C.F. 09305930969 RIF. 14</v>
      </c>
    </row>
    <row r="161">
      <c r="A161" s="20">
        <v>46079.0</v>
      </c>
      <c r="B161" s="20">
        <v>46079.0</v>
      </c>
      <c r="C161" s="21"/>
      <c r="D161" s="22">
        <v>74.0</v>
      </c>
      <c r="E161" s="15" t="b">
        <v>0</v>
      </c>
      <c r="F161" s="17" t="s">
        <v>12</v>
      </c>
      <c r="G161" s="17" t="s">
        <v>142</v>
      </c>
      <c r="H161" s="18">
        <f t="shared" si="1"/>
        <v>74</v>
      </c>
      <c r="I161" s="19" t="str">
        <f t="shared" si="2"/>
        <v>BONIFICO SEPADa NEXI Payments Spa TRN 072538303066NPPASU0000000000IT CIPBITMM per PV 1000001228637 ACCREDITO CIRCUITI INTERNAZ. 25022</v>
      </c>
    </row>
    <row r="162">
      <c r="A162" s="20">
        <v>46079.0</v>
      </c>
      <c r="B162" s="20">
        <v>46079.0</v>
      </c>
      <c r="C162" s="21"/>
      <c r="D162" s="22">
        <v>739.0</v>
      </c>
      <c r="E162" s="15" t="b">
        <v>0</v>
      </c>
      <c r="F162" s="17" t="s">
        <v>12</v>
      </c>
      <c r="G162" s="17" t="s">
        <v>143</v>
      </c>
      <c r="H162" s="18">
        <f t="shared" si="1"/>
        <v>739</v>
      </c>
      <c r="I162" s="19" t="str">
        <f t="shared" si="2"/>
        <v>BONIFICO SEPADa NEXI Payments Spa TRN 072535726036NPPASU0000000000IT CIPBITMM per PV 1000001228596 ACCREDITO CIRCUITI INTERNAZ. 25022</v>
      </c>
    </row>
    <row r="163">
      <c r="A163" s="20">
        <v>46079.0</v>
      </c>
      <c r="B163" s="20">
        <v>46079.0</v>
      </c>
      <c r="C163" s="21"/>
      <c r="D163" s="22">
        <v>744.0</v>
      </c>
      <c r="E163" s="15" t="b">
        <v>0</v>
      </c>
      <c r="F163" s="17" t="s">
        <v>12</v>
      </c>
      <c r="G163" s="17" t="s">
        <v>144</v>
      </c>
      <c r="H163" s="18">
        <f t="shared" si="1"/>
        <v>744</v>
      </c>
      <c r="I163" s="19" t="str">
        <f t="shared" si="2"/>
        <v>BONIFICO SEPADa NEXI Payments Spa TRN 072535738026NPPASU0000000000IT CIPBITMM per PV 1000001228596 ACCREDITO BANCOMAT 250226 RIF 1142</v>
      </c>
    </row>
    <row r="164">
      <c r="A164" s="20">
        <v>46079.0</v>
      </c>
      <c r="B164" s="20">
        <v>46079.0</v>
      </c>
      <c r="C164" s="21"/>
      <c r="D164" s="22">
        <v>366.0</v>
      </c>
      <c r="E164" s="15" t="b">
        <v>0</v>
      </c>
      <c r="F164" s="17" t="s">
        <v>145</v>
      </c>
      <c r="G164" s="17" t="s">
        <v>146</v>
      </c>
      <c r="H164" s="18">
        <f t="shared" si="1"/>
        <v>366</v>
      </c>
      <c r="I164" s="19" t="str">
        <f t="shared" si="2"/>
        <v>BONIFICO SEPA ISTANTANEOTRN EUBAITM1XXX 0000626022608581976671598928890-008 DA 93 DM S.R.L. PER FT 74 e 75 del 26.02.26</v>
      </c>
    </row>
    <row r="165">
      <c r="A165" s="20"/>
      <c r="B165" s="20"/>
      <c r="C165" s="21"/>
      <c r="D165" s="22"/>
      <c r="E165" s="15" t="b">
        <v>0</v>
      </c>
      <c r="F165" s="17"/>
      <c r="G165" s="17"/>
      <c r="H165" s="18">
        <f t="shared" si="1"/>
        <v>0</v>
      </c>
      <c r="I165" s="19" t="str">
        <f t="shared" si="2"/>
        <v/>
      </c>
    </row>
    <row r="166">
      <c r="A166" s="20">
        <v>46079.0</v>
      </c>
      <c r="B166" s="20">
        <v>46079.0</v>
      </c>
      <c r="C166" s="21"/>
      <c r="D166" s="22">
        <v>427.0</v>
      </c>
      <c r="E166" s="15" t="b">
        <v>0</v>
      </c>
      <c r="F166" s="17" t="s">
        <v>12</v>
      </c>
      <c r="G166" s="17" t="s">
        <v>147</v>
      </c>
      <c r="H166" s="18">
        <f t="shared" si="1"/>
        <v>427</v>
      </c>
      <c r="I166" s="19" t="str">
        <f t="shared" si="2"/>
        <v>BONIFICO SEPADa TG NEW CO SRL TRN 0000051312562701486405064050IT CIVIIT2CXXX per SUPP PAGAMENTO FT. N. 72 DEL 25.02.2026</v>
      </c>
    </row>
    <row r="167">
      <c r="A167" s="20">
        <v>46078.0</v>
      </c>
      <c r="B167" s="20">
        <v>46078.0</v>
      </c>
      <c r="C167" s="21">
        <v>-3129.6</v>
      </c>
      <c r="D167" s="22"/>
      <c r="E167" s="15" t="b">
        <v>1</v>
      </c>
      <c r="F167" s="17" t="s">
        <v>12</v>
      </c>
      <c r="G167" s="17" t="s">
        <v>148</v>
      </c>
      <c r="H167" s="18">
        <f t="shared" si="1"/>
        <v>-3129.6</v>
      </c>
      <c r="I167" s="19" t="str">
        <f t="shared" si="2"/>
        <v>BONIFICO SEPADistinta: 17720111981471MCJDEF</v>
      </c>
    </row>
    <row r="168">
      <c r="A168" s="20">
        <v>46078.0</v>
      </c>
      <c r="B168" s="23">
        <v>46078.0</v>
      </c>
      <c r="C168" s="21"/>
      <c r="D168" s="22">
        <v>324.0</v>
      </c>
      <c r="E168" s="15" t="b">
        <v>0</v>
      </c>
      <c r="F168" s="17" t="s">
        <v>12</v>
      </c>
      <c r="G168" s="17" t="s">
        <v>149</v>
      </c>
      <c r="H168" s="18">
        <f t="shared" si="1"/>
        <v>324</v>
      </c>
      <c r="I168" s="19" t="str">
        <f t="shared" si="2"/>
        <v>BONIFICO SEPADa NEXI Payments Spa TRN 072420599046NPPASU0000000000IT CIPBITMM per PV 1000001228596 ACCREDITO CIRCUITI INTERNAZ. 24022</v>
      </c>
    </row>
    <row r="169">
      <c r="A169" s="20">
        <v>46078.0</v>
      </c>
      <c r="B169" s="23">
        <v>46078.0</v>
      </c>
      <c r="C169" s="21"/>
      <c r="D169" s="22">
        <v>600.0</v>
      </c>
      <c r="E169" s="15" t="b">
        <v>0</v>
      </c>
      <c r="F169" s="17" t="s">
        <v>12</v>
      </c>
      <c r="G169" s="17" t="s">
        <v>150</v>
      </c>
      <c r="H169" s="18">
        <f t="shared" si="1"/>
        <v>600</v>
      </c>
      <c r="I169" s="19" t="str">
        <f t="shared" si="2"/>
        <v>BONIFICO SEPADa NEXI Payments Spa TRN 072420617096NPPASU0000000000IT CIPBITMM per PV 1000001228596 ACCREDITO BANCOMAT 240226 RIF 1141</v>
      </c>
    </row>
    <row r="170">
      <c r="A170" s="20">
        <v>46078.0</v>
      </c>
      <c r="B170" s="20">
        <v>46078.0</v>
      </c>
      <c r="C170" s="21"/>
      <c r="D170" s="22">
        <v>59.0</v>
      </c>
      <c r="E170" s="15" t="b">
        <v>0</v>
      </c>
      <c r="F170" s="17" t="s">
        <v>12</v>
      </c>
      <c r="G170" s="17" t="s">
        <v>151</v>
      </c>
      <c r="H170" s="18">
        <f t="shared" si="1"/>
        <v>59</v>
      </c>
      <c r="I170" s="19" t="str">
        <f t="shared" si="2"/>
        <v>BONIFICO SEPADa NEXI Payments Spa TRN 072420939066NPPASU0000000000IT CIPBITMM per PV 1000001228637 ACCREDITO CIRCUITI INTERNAZ. 24022</v>
      </c>
    </row>
    <row r="171">
      <c r="A171" s="20">
        <v>46078.0</v>
      </c>
      <c r="B171" s="20">
        <v>46078.0</v>
      </c>
      <c r="C171" s="21">
        <v>-303.39</v>
      </c>
      <c r="D171" s="22"/>
      <c r="E171" s="15" t="b">
        <v>1</v>
      </c>
      <c r="F171" s="17" t="s">
        <v>112</v>
      </c>
      <c r="G171" s="17" t="s">
        <v>152</v>
      </c>
      <c r="H171" s="18">
        <f t="shared" si="1"/>
        <v>-303.39</v>
      </c>
      <c r="I171" s="19" t="str">
        <f t="shared" si="2"/>
        <v>DOMICILIAZIONE (ADDEBITO DIRETTO SEPA)FASTWEB S.p.A.       CID.IT200010000093026890017             MAN.09305930969</v>
      </c>
    </row>
    <row r="172">
      <c r="A172" s="20">
        <v>46077.0</v>
      </c>
      <c r="B172" s="20">
        <v>46077.0</v>
      </c>
      <c r="C172" s="21">
        <v>-1500.0</v>
      </c>
      <c r="D172" s="22"/>
      <c r="E172" s="15" t="b">
        <v>1</v>
      </c>
      <c r="F172" s="17" t="s">
        <v>12</v>
      </c>
      <c r="G172" s="17" t="s">
        <v>153</v>
      </c>
      <c r="H172" s="18">
        <f t="shared" si="1"/>
        <v>-1500</v>
      </c>
      <c r="I172" s="19" t="str">
        <f t="shared" si="2"/>
        <v>BONIFICO SEPADistinta: 17719379691291HFVDEF</v>
      </c>
    </row>
    <row r="173">
      <c r="A173" s="20">
        <v>46077.0</v>
      </c>
      <c r="B173" s="20">
        <v>46077.0</v>
      </c>
      <c r="C173" s="21">
        <v>-550.0</v>
      </c>
      <c r="D173" s="22"/>
      <c r="E173" s="15" t="b">
        <v>1</v>
      </c>
      <c r="F173" s="17" t="s">
        <v>12</v>
      </c>
      <c r="G173" s="17" t="s">
        <v>154</v>
      </c>
      <c r="H173" s="18">
        <f t="shared" si="1"/>
        <v>-550</v>
      </c>
      <c r="I173" s="19" t="str">
        <f t="shared" si="2"/>
        <v>BONIFICO SEPADistinta: 17719296086191GIKDEF</v>
      </c>
    </row>
    <row r="174">
      <c r="A174" s="20">
        <v>46077.0</v>
      </c>
      <c r="B174" s="20">
        <v>46077.0</v>
      </c>
      <c r="C174" s="21"/>
      <c r="D174" s="22">
        <v>186.0</v>
      </c>
      <c r="E174" s="15" t="b">
        <v>0</v>
      </c>
      <c r="F174" s="17" t="s">
        <v>12</v>
      </c>
      <c r="G174" s="17" t="s">
        <v>155</v>
      </c>
      <c r="H174" s="18">
        <f t="shared" si="1"/>
        <v>186</v>
      </c>
      <c r="I174" s="19" t="str">
        <f t="shared" si="2"/>
        <v>BONIFICO SEPADa NEXI Payments Spa TRN 072307140096NPPASU0000000000IT CIPBITMM per PV 1000001228637 ACCREDITO CIRCUITI INTERNAZ. 23022</v>
      </c>
    </row>
    <row r="175">
      <c r="A175" s="20">
        <v>46077.0</v>
      </c>
      <c r="B175" s="20">
        <v>46077.0</v>
      </c>
      <c r="C175" s="21"/>
      <c r="D175" s="22">
        <v>928.0</v>
      </c>
      <c r="E175" s="15" t="b">
        <v>0</v>
      </c>
      <c r="F175" s="17" t="s">
        <v>12</v>
      </c>
      <c r="G175" s="17" t="s">
        <v>156</v>
      </c>
      <c r="H175" s="18">
        <f t="shared" si="1"/>
        <v>928</v>
      </c>
      <c r="I175" s="19" t="str">
        <f t="shared" si="2"/>
        <v>BONIFICO SEPADa NEXI Payments Spa TRN 072306919096NPPASU0000000000IT CIPBITMM per PV 1000001228596 ACCREDITO CIRCUITI INTERNAZ. 23022</v>
      </c>
    </row>
    <row r="176">
      <c r="A176" s="20">
        <v>46077.0</v>
      </c>
      <c r="B176" s="20">
        <v>46077.0</v>
      </c>
      <c r="C176" s="21"/>
      <c r="D176" s="22">
        <v>264.0</v>
      </c>
      <c r="E176" s="15" t="b">
        <v>0</v>
      </c>
      <c r="F176" s="17" t="s">
        <v>12</v>
      </c>
      <c r="G176" s="17" t="s">
        <v>157</v>
      </c>
      <c r="H176" s="18">
        <f t="shared" si="1"/>
        <v>264</v>
      </c>
      <c r="I176" s="19" t="str">
        <f t="shared" si="2"/>
        <v>BONIFICO SEPADa NEXI Payments Spa TRN 072306924016NPPASU0000000000IT CIPBITMM per PV 1000001228596 ACCREDITO BANCOMAT 230226 RIF 1139</v>
      </c>
    </row>
    <row r="177">
      <c r="A177" s="20">
        <v>46077.0</v>
      </c>
      <c r="B177" s="20">
        <v>46074.0</v>
      </c>
      <c r="C177" s="21">
        <v>-124.0</v>
      </c>
      <c r="D177" s="22"/>
      <c r="E177" s="15" t="b">
        <v>1</v>
      </c>
      <c r="F177" s="17" t="s">
        <v>123</v>
      </c>
      <c r="G177" s="27" t="s">
        <v>158</v>
      </c>
      <c r="H177" s="18">
        <f t="shared" si="1"/>
        <v>-124</v>
      </c>
      <c r="I177" s="19" t="str">
        <f t="shared" si="2"/>
        <v>PAGAMENTO POSAlaio Cloud Limited    21/02/2026 07.51 Limassol      Op.612496 carta ****0501</v>
      </c>
    </row>
    <row r="178">
      <c r="A178" s="20">
        <v>46076.0</v>
      </c>
      <c r="B178" s="20">
        <v>46076.0</v>
      </c>
      <c r="C178" s="21"/>
      <c r="D178" s="22">
        <v>495.0</v>
      </c>
      <c r="E178" s="15" t="b">
        <v>0</v>
      </c>
      <c r="F178" s="17" t="s">
        <v>12</v>
      </c>
      <c r="G178" s="17" t="s">
        <v>159</v>
      </c>
      <c r="H178" s="18">
        <f t="shared" si="1"/>
        <v>495</v>
      </c>
      <c r="I178" s="19"/>
    </row>
    <row r="179">
      <c r="A179" s="20">
        <v>46076.0</v>
      </c>
      <c r="B179" s="20">
        <v>46076.0</v>
      </c>
      <c r="C179" s="21"/>
      <c r="D179" s="22">
        <v>70.0</v>
      </c>
      <c r="E179" s="15" t="b">
        <v>0</v>
      </c>
      <c r="F179" s="17" t="s">
        <v>12</v>
      </c>
      <c r="G179" s="17" t="s">
        <v>160</v>
      </c>
      <c r="H179" s="18">
        <f t="shared" si="1"/>
        <v>70</v>
      </c>
      <c r="I179" s="19" t="str">
        <f t="shared" ref="I179:I1138" si="3">F179&amp;G179</f>
        <v>BONIFICO SEPADa NEXI Payments Spa TRN 072150181126NPPASU0000000000IT CIPBITMM per PV 1000001228596 ACCREDITO CIRCUITI INTERNAZ. 21022</v>
      </c>
    </row>
    <row r="180">
      <c r="A180" s="20">
        <v>46076.0</v>
      </c>
      <c r="B180" s="23">
        <v>46076.0</v>
      </c>
      <c r="C180" s="21"/>
      <c r="D180" s="22">
        <v>32.0</v>
      </c>
      <c r="E180" s="15" t="b">
        <v>0</v>
      </c>
      <c r="F180" s="17" t="s">
        <v>12</v>
      </c>
      <c r="G180" s="17" t="s">
        <v>161</v>
      </c>
      <c r="H180" s="18">
        <f t="shared" si="1"/>
        <v>32</v>
      </c>
      <c r="I180" s="19" t="str">
        <f t="shared" si="3"/>
        <v>BONIFICO SEPADa NEXI Payments Spa TRN 072050030006NPPASU0000000000IT CIPBITMM per PV 1000001228637 ACCREDITO CIRCUITI INTERNAZ. 20022</v>
      </c>
    </row>
    <row r="181">
      <c r="A181" s="20">
        <v>46076.0</v>
      </c>
      <c r="B181" s="23">
        <v>46076.0</v>
      </c>
      <c r="C181" s="21"/>
      <c r="D181" s="22">
        <v>43.0</v>
      </c>
      <c r="E181" s="15" t="b">
        <v>0</v>
      </c>
      <c r="F181" s="17" t="s">
        <v>12</v>
      </c>
      <c r="G181" s="17" t="s">
        <v>162</v>
      </c>
      <c r="H181" s="18">
        <f t="shared" si="1"/>
        <v>43</v>
      </c>
      <c r="I181" s="19" t="str">
        <f t="shared" si="3"/>
        <v>BONIFICO SEPADa NEXI Payments Spa TRN 072242262016NPPASU0000000000IT CIPBITMM per PV 1000001228596 ACCREDITO BANCOMAT 220226 RIF 1138</v>
      </c>
    </row>
    <row r="182">
      <c r="A182" s="20">
        <v>46076.0</v>
      </c>
      <c r="B182" s="20">
        <v>46076.0</v>
      </c>
      <c r="C182" s="21"/>
      <c r="D182" s="22">
        <v>82.0</v>
      </c>
      <c r="E182" s="15" t="b">
        <v>0</v>
      </c>
      <c r="F182" s="17" t="s">
        <v>12</v>
      </c>
      <c r="G182" s="17" t="s">
        <v>163</v>
      </c>
      <c r="H182" s="18">
        <f t="shared" si="1"/>
        <v>82</v>
      </c>
      <c r="I182" s="19" t="str">
        <f t="shared" si="3"/>
        <v>BONIFICO SEPADa NEXI Payments Spa TRN 072238805026NPPASU0000000000IT CIPBITMM per PV 1000001228637 ACCREDITO CIRCUITI INTERNAZ. 22022</v>
      </c>
    </row>
    <row r="183">
      <c r="A183" s="20">
        <v>46076.0</v>
      </c>
      <c r="B183" s="20">
        <v>46076.0</v>
      </c>
      <c r="C183" s="21"/>
      <c r="D183" s="22">
        <v>117.0</v>
      </c>
      <c r="E183" s="15" t="b">
        <v>0</v>
      </c>
      <c r="F183" s="17" t="s">
        <v>12</v>
      </c>
      <c r="G183" s="17" t="s">
        <v>164</v>
      </c>
      <c r="H183" s="18">
        <f t="shared" si="1"/>
        <v>117</v>
      </c>
      <c r="I183" s="19" t="str">
        <f t="shared" si="3"/>
        <v>BONIFICO SEPADa NEXI Payments Spa TRN 072150688126NPPASU0000000000IT CIPBITMM per PV 1000001228637 ACCREDITO CIRCUITI INTERNAZ. 21022</v>
      </c>
    </row>
    <row r="184">
      <c r="A184" s="20"/>
      <c r="B184" s="20"/>
      <c r="C184" s="21"/>
      <c r="D184" s="22"/>
      <c r="E184" s="15" t="b">
        <v>0</v>
      </c>
      <c r="F184" s="17"/>
      <c r="G184" s="17"/>
      <c r="H184" s="18">
        <f t="shared" si="1"/>
        <v>0</v>
      </c>
      <c r="I184" s="19" t="str">
        <f t="shared" si="3"/>
        <v/>
      </c>
    </row>
    <row r="185">
      <c r="A185" s="20">
        <v>46073.0</v>
      </c>
      <c r="B185" s="20">
        <v>46073.0</v>
      </c>
      <c r="C185" s="21">
        <v>-17311.69</v>
      </c>
      <c r="D185" s="22"/>
      <c r="E185" s="15" t="b">
        <v>1</v>
      </c>
      <c r="F185" s="17" t="s">
        <v>12</v>
      </c>
      <c r="G185" s="17" t="s">
        <v>165</v>
      </c>
      <c r="H185" s="18">
        <f t="shared" si="1"/>
        <v>-17311.69</v>
      </c>
      <c r="I185" s="19" t="str">
        <f t="shared" si="3"/>
        <v>BONIFICO SEPADistinta: 17715777270670RHGDEF</v>
      </c>
    </row>
    <row r="186">
      <c r="A186" s="20">
        <v>46073.0</v>
      </c>
      <c r="B186" s="20">
        <v>46073.0</v>
      </c>
      <c r="C186" s="21"/>
      <c r="D186" s="22">
        <v>193.0</v>
      </c>
      <c r="E186" s="15" t="b">
        <v>0</v>
      </c>
      <c r="F186" s="17" t="s">
        <v>12</v>
      </c>
      <c r="G186" s="17" t="s">
        <v>166</v>
      </c>
      <c r="H186" s="18">
        <f t="shared" si="1"/>
        <v>193</v>
      </c>
      <c r="I186" s="19" t="str">
        <f t="shared" si="3"/>
        <v>BONIFICO SEPADa NEXI Payments Spa TRN 071923554016NPPASU0000000000IT CIPBITMM per PV 1000001228596 ACCREDITO BANCOMAT 190226 RIF 1133</v>
      </c>
    </row>
    <row r="187">
      <c r="A187" s="20">
        <v>46073.0</v>
      </c>
      <c r="B187" s="23">
        <v>46073.0</v>
      </c>
      <c r="C187" s="21"/>
      <c r="D187" s="22">
        <v>65.0</v>
      </c>
      <c r="E187" s="15" t="b">
        <v>0</v>
      </c>
      <c r="F187" s="17" t="s">
        <v>12</v>
      </c>
      <c r="G187" s="17" t="s">
        <v>167</v>
      </c>
      <c r="H187" s="18">
        <f t="shared" si="1"/>
        <v>65</v>
      </c>
      <c r="I187" s="19" t="str">
        <f t="shared" si="3"/>
        <v>BONIFICO SEPADa NEXI Payments Spa TRN 071923216016NPPASU0000000000IT CIPBITMM per PV 1000001228637 ACCREDITO CIRCUITI INTERNAZ. 19022</v>
      </c>
    </row>
    <row r="188">
      <c r="A188" s="20">
        <v>46073.0</v>
      </c>
      <c r="B188" s="23">
        <v>46073.0</v>
      </c>
      <c r="C188" s="21"/>
      <c r="D188" s="22">
        <v>1115.7</v>
      </c>
      <c r="E188" s="15" t="b">
        <v>0</v>
      </c>
      <c r="F188" s="17" t="s">
        <v>12</v>
      </c>
      <c r="G188" s="17" t="s">
        <v>168</v>
      </c>
      <c r="H188" s="18">
        <f t="shared" si="1"/>
        <v>1115.7</v>
      </c>
      <c r="I188" s="19" t="str">
        <f t="shared" si="3"/>
        <v>BONIFICO SEPADa NEXI Payments Spa TRN 071923545056NPPASU0000000000IT CIPBITMM per PV 1000001228596 ACCREDITO CIRCUITI INTERNAZ. 19022</v>
      </c>
    </row>
    <row r="189">
      <c r="A189" s="20"/>
      <c r="B189" s="20"/>
      <c r="C189" s="21"/>
      <c r="D189" s="22"/>
      <c r="E189" s="15" t="b">
        <v>0</v>
      </c>
      <c r="F189" s="17"/>
      <c r="G189" s="17"/>
      <c r="H189" s="18">
        <f t="shared" si="1"/>
        <v>0</v>
      </c>
      <c r="I189" s="19" t="str">
        <f t="shared" si="3"/>
        <v/>
      </c>
    </row>
    <row r="190">
      <c r="A190" s="20">
        <v>46073.0</v>
      </c>
      <c r="B190" s="20">
        <v>46073.0</v>
      </c>
      <c r="C190" s="21"/>
      <c r="D190" s="22">
        <v>174.25</v>
      </c>
      <c r="E190" s="15" t="b">
        <v>0</v>
      </c>
      <c r="F190" s="17" t="s">
        <v>12</v>
      </c>
      <c r="G190" s="17" t="s">
        <v>169</v>
      </c>
      <c r="H190" s="18">
        <f t="shared" si="1"/>
        <v>174.25</v>
      </c>
      <c r="I190" s="19" t="str">
        <f t="shared" si="3"/>
        <v>BONIFICO SEPADa Scalapay IP S.p.a. TRN 3601826022004525831019166159486-008 CBPSIT31XXX per 2026-02-19 - GEOS S SDRL - Scalapay IP S.p</v>
      </c>
    </row>
    <row r="191">
      <c r="A191" s="20">
        <v>46073.0</v>
      </c>
      <c r="B191" s="20">
        <v>46073.0</v>
      </c>
      <c r="C191" s="21"/>
      <c r="D191" s="22">
        <v>1281.0</v>
      </c>
      <c r="E191" s="15" t="b">
        <v>0</v>
      </c>
      <c r="F191" s="17" t="s">
        <v>12</v>
      </c>
      <c r="G191" s="17" t="s">
        <v>170</v>
      </c>
      <c r="H191" s="18">
        <f t="shared" si="1"/>
        <v>1281</v>
      </c>
      <c r="I191" s="19" t="str">
        <f t="shared" si="3"/>
        <v>BONIFICO SEPADa KINETICVIBE SRL TRN VTP26050T0005752480160201600IT POSOIT2105N per Saldo per vs affitto studio del 22 Febbraio 2026</v>
      </c>
    </row>
    <row r="192">
      <c r="A192" s="20">
        <v>46072.0</v>
      </c>
      <c r="B192" s="20">
        <v>46072.0</v>
      </c>
      <c r="C192" s="21"/>
      <c r="D192" s="22">
        <v>2439.0</v>
      </c>
      <c r="E192" s="15" t="b">
        <v>0</v>
      </c>
      <c r="F192" s="17" t="s">
        <v>12</v>
      </c>
      <c r="G192" s="17" t="s">
        <v>171</v>
      </c>
      <c r="H192" s="18">
        <f t="shared" si="1"/>
        <v>2439</v>
      </c>
      <c r="I192" s="19" t="str">
        <f t="shared" si="3"/>
        <v>BONIFICO SEPADa NEXI Payments Spa TRN 071816300106NPPASU0000000000IT CIPBITMM per PV 1000001228596 ACCREDITO CIRCUITI INTERNAZ. 18022</v>
      </c>
    </row>
    <row r="193">
      <c r="A193" s="20">
        <v>46072.0</v>
      </c>
      <c r="B193" s="20">
        <v>46072.0</v>
      </c>
      <c r="C193" s="29"/>
      <c r="D193" s="22">
        <v>50.0</v>
      </c>
      <c r="E193" s="15" t="b">
        <v>0</v>
      </c>
      <c r="F193" s="17" t="s">
        <v>12</v>
      </c>
      <c r="G193" s="17" t="s">
        <v>172</v>
      </c>
      <c r="H193" s="18">
        <f t="shared" si="1"/>
        <v>50</v>
      </c>
      <c r="I193" s="19" t="str">
        <f t="shared" si="3"/>
        <v>BONIFICO SEPADa NEXI Payments Spa TRN 071816310076NPPASU0000000000IT CIPBITMM per PV 1000001228596 ACCREDITO BANCOMAT 180226 RIF 1132</v>
      </c>
    </row>
    <row r="194">
      <c r="A194" s="20">
        <v>46072.0</v>
      </c>
      <c r="B194" s="20">
        <v>46072.0</v>
      </c>
      <c r="C194" s="21"/>
      <c r="D194" s="22">
        <v>45.0</v>
      </c>
      <c r="E194" s="15" t="b">
        <v>0</v>
      </c>
      <c r="F194" s="17" t="s">
        <v>12</v>
      </c>
      <c r="G194" s="17" t="s">
        <v>173</v>
      </c>
      <c r="H194" s="18">
        <f t="shared" si="1"/>
        <v>45</v>
      </c>
      <c r="I194" s="19" t="str">
        <f t="shared" si="3"/>
        <v>BONIFICO SEPADa NEXI Payments Spa TRN 071815209116NPPASU0000000000IT CIPBITMM per PV 1000001228637 ACCREDITO CIRCUITI INTERNAZ. 18022</v>
      </c>
    </row>
    <row r="195">
      <c r="A195" s="20">
        <v>46072.0</v>
      </c>
      <c r="B195" s="23">
        <v>46070.0</v>
      </c>
      <c r="C195" s="21">
        <v>-20.0</v>
      </c>
      <c r="D195" s="22"/>
      <c r="E195" s="15" t="b">
        <v>1</v>
      </c>
      <c r="F195" s="17" t="s">
        <v>123</v>
      </c>
      <c r="G195" s="27" t="s">
        <v>174</v>
      </c>
      <c r="H195" s="18">
        <f t="shared" si="1"/>
        <v>-20</v>
      </c>
      <c r="I195" s="19" t="str">
        <f t="shared" si="3"/>
        <v>PAGAMENTO POSFIGMA                  17/02/2026 19.33 SAN FRANCISCO Op.612937 carta ****0501</v>
      </c>
    </row>
    <row r="196">
      <c r="A196" s="20">
        <v>46071.0</v>
      </c>
      <c r="B196" s="23">
        <v>46071.0</v>
      </c>
      <c r="C196" s="21"/>
      <c r="D196" s="22">
        <v>25.0</v>
      </c>
      <c r="E196" s="15" t="b">
        <v>0</v>
      </c>
      <c r="F196" s="17" t="s">
        <v>12</v>
      </c>
      <c r="G196" s="17" t="s">
        <v>175</v>
      </c>
      <c r="H196" s="18">
        <f t="shared" si="1"/>
        <v>25</v>
      </c>
      <c r="I196" s="19" t="str">
        <f t="shared" si="3"/>
        <v>BONIFICO SEPADa NEXI Payments Spa TRN 071704676046NPPASU0000000000IT CIPBITMM per PV 1000001228596 ACCREDITO CIRCUITI INTERNAZ. 17022</v>
      </c>
    </row>
    <row r="197">
      <c r="A197" s="20">
        <v>46071.0</v>
      </c>
      <c r="B197" s="20">
        <v>46071.0</v>
      </c>
      <c r="C197" s="21"/>
      <c r="D197" s="22">
        <v>67.0</v>
      </c>
      <c r="E197" s="15" t="b">
        <v>0</v>
      </c>
      <c r="F197" s="17" t="s">
        <v>12</v>
      </c>
      <c r="G197" s="17" t="s">
        <v>176</v>
      </c>
      <c r="H197" s="18">
        <f t="shared" si="1"/>
        <v>67</v>
      </c>
      <c r="I197" s="19" t="str">
        <f t="shared" si="3"/>
        <v>BONIFICO SEPADa NEXI Payments Spa TRN 071705194026NPPASU0000000000IT CIPBITMM per PV 1000001228637 ACCREDITO CIRCUITI INTERNAZ. 17022</v>
      </c>
    </row>
    <row r="198">
      <c r="A198" s="20"/>
      <c r="B198" s="20"/>
      <c r="C198" s="21"/>
      <c r="D198" s="22"/>
      <c r="E198" s="15" t="b">
        <v>0</v>
      </c>
      <c r="F198" s="17"/>
      <c r="G198" s="17"/>
      <c r="H198" s="18">
        <f t="shared" si="1"/>
        <v>0</v>
      </c>
      <c r="I198" s="19" t="str">
        <f t="shared" si="3"/>
        <v/>
      </c>
    </row>
    <row r="199">
      <c r="A199" s="20">
        <v>46071.0</v>
      </c>
      <c r="B199" s="20">
        <v>46071.0</v>
      </c>
      <c r="C199" s="21"/>
      <c r="D199" s="22">
        <v>36.8</v>
      </c>
      <c r="E199" s="15" t="b">
        <v>0</v>
      </c>
      <c r="F199" s="17" t="s">
        <v>28</v>
      </c>
      <c r="G199" s="17" t="s">
        <v>177</v>
      </c>
      <c r="H199" s="18">
        <f t="shared" si="1"/>
        <v>36.8</v>
      </c>
      <c r="I199" s="19" t="str">
        <f t="shared" si="3"/>
        <v>BONIFICODa Satispay Europe S.A. TRN be7d1df20217430389c4573871fc215e SATYLUL1XXX per Geos ssdr</v>
      </c>
    </row>
    <row r="200">
      <c r="A200" s="20">
        <v>46070.0</v>
      </c>
      <c r="B200" s="20">
        <v>46070.0</v>
      </c>
      <c r="C200" s="21">
        <v>-300.0</v>
      </c>
      <c r="D200" s="22"/>
      <c r="E200" s="15" t="b">
        <v>1</v>
      </c>
      <c r="F200" s="17" t="s">
        <v>12</v>
      </c>
      <c r="G200" s="17" t="s">
        <v>178</v>
      </c>
      <c r="H200" s="18">
        <f t="shared" si="1"/>
        <v>-300</v>
      </c>
      <c r="I200" s="19" t="str">
        <f t="shared" si="3"/>
        <v>BONIFICO SEPADistinta: 1771324134012032CDEF</v>
      </c>
    </row>
    <row r="201">
      <c r="A201" s="20">
        <v>46070.0</v>
      </c>
      <c r="B201" s="20">
        <v>46070.0</v>
      </c>
      <c r="C201" s="21"/>
      <c r="D201" s="22">
        <v>295.5</v>
      </c>
      <c r="E201" s="15" t="b">
        <v>0</v>
      </c>
      <c r="F201" s="17" t="s">
        <v>12</v>
      </c>
      <c r="G201" s="17" t="s">
        <v>179</v>
      </c>
      <c r="H201" s="18">
        <f t="shared" si="1"/>
        <v>295.5</v>
      </c>
      <c r="I201" s="19" t="str">
        <f t="shared" si="3"/>
        <v>BONIFICO SEPADa Scalapay IP S.p.a. TRN 3601826021708193320886166232172-008 CBPSIT31XXX per 2026-02-16 - GEOS S SDRL - Scalapay IP S.p</v>
      </c>
    </row>
    <row r="202">
      <c r="A202" s="20">
        <v>46070.0</v>
      </c>
      <c r="B202" s="20">
        <v>46070.0</v>
      </c>
      <c r="C202" s="21"/>
      <c r="D202" s="22">
        <v>390.0</v>
      </c>
      <c r="E202" s="15" t="b">
        <v>0</v>
      </c>
      <c r="F202" s="17" t="s">
        <v>12</v>
      </c>
      <c r="G202" s="17" t="s">
        <v>180</v>
      </c>
      <c r="H202" s="18">
        <f t="shared" si="1"/>
        <v>390</v>
      </c>
      <c r="I202" s="19" t="str">
        <f t="shared" si="3"/>
        <v>BONIFICO SEPADa NEXI Payments Spa TRN 071594188036NPPASU0000000000IT CIPBITMM per PV 1000001228596 ACCREDITO BANCOMAT 160226 RIF 1129</v>
      </c>
    </row>
    <row r="203">
      <c r="A203" s="20">
        <v>46070.0</v>
      </c>
      <c r="B203" s="20">
        <v>46070.0</v>
      </c>
      <c r="C203" s="21"/>
      <c r="D203" s="22">
        <v>230.0</v>
      </c>
      <c r="E203" s="15" t="b">
        <v>0</v>
      </c>
      <c r="F203" s="17" t="s">
        <v>12</v>
      </c>
      <c r="G203" s="17" t="s">
        <v>181</v>
      </c>
      <c r="H203" s="18">
        <f t="shared" si="1"/>
        <v>230</v>
      </c>
      <c r="I203" s="19" t="str">
        <f t="shared" si="3"/>
        <v>BONIFICO SEPADa NEXI Payments Spa TRN 071594177056NPPASU0000000000IT CIPBITMM per PV 1000001228596 ACCREDITO CIRCUITI INTERNAZ. 16022</v>
      </c>
    </row>
    <row r="204">
      <c r="A204" s="20">
        <v>46070.0</v>
      </c>
      <c r="B204" s="20">
        <v>46070.0</v>
      </c>
      <c r="C204" s="29"/>
      <c r="D204" s="22">
        <v>107.0</v>
      </c>
      <c r="E204" s="15" t="b">
        <v>0</v>
      </c>
      <c r="F204" s="17" t="s">
        <v>12</v>
      </c>
      <c r="G204" s="17" t="s">
        <v>182</v>
      </c>
      <c r="H204" s="18">
        <f t="shared" si="1"/>
        <v>107</v>
      </c>
      <c r="I204" s="19" t="str">
        <f t="shared" si="3"/>
        <v>BONIFICO SEPADa NEXI Payments Spa TRN 071593848016NPPASU0000000000IT CIPBITMM per PV 1000001228637 ACCREDITO CIRCUITI INTERNAZ. 16022</v>
      </c>
    </row>
    <row r="205">
      <c r="A205" s="20">
        <v>46070.0</v>
      </c>
      <c r="B205" s="20">
        <v>46070.0</v>
      </c>
      <c r="C205" s="21">
        <v>-0.4</v>
      </c>
      <c r="D205" s="22"/>
      <c r="E205" s="15" t="b">
        <v>1</v>
      </c>
      <c r="F205" s="17" t="s">
        <v>101</v>
      </c>
      <c r="G205" s="17" t="s">
        <v>183</v>
      </c>
      <c r="H205" s="18">
        <f t="shared" si="1"/>
        <v>-0.4</v>
      </c>
      <c r="I205" s="19" t="str">
        <f t="shared" si="3"/>
        <v>COMMISSIONI DOMICILIAZIONE (ADDEBITO DIRETTO SEPA)NEXI P.              CID.IT500100000004107060966             MAN.792254495131800006</v>
      </c>
    </row>
    <row r="206">
      <c r="A206" s="20">
        <v>46069.0</v>
      </c>
      <c r="B206" s="23">
        <v>46069.0</v>
      </c>
      <c r="C206" s="21">
        <v>-60.0</v>
      </c>
      <c r="D206" s="22"/>
      <c r="E206" s="15" t="b">
        <v>1</v>
      </c>
      <c r="F206" s="17" t="s">
        <v>12</v>
      </c>
      <c r="G206" s="17" t="s">
        <v>184</v>
      </c>
      <c r="H206" s="18">
        <f t="shared" si="1"/>
        <v>-60</v>
      </c>
      <c r="I206" s="19" t="str">
        <f t="shared" si="3"/>
        <v>BONIFICO SEPADistinta: 17712456823671Q1PDEF</v>
      </c>
    </row>
    <row r="207">
      <c r="A207" s="20">
        <v>46069.0</v>
      </c>
      <c r="B207" s="23">
        <v>46069.0</v>
      </c>
      <c r="C207" s="21">
        <v>-400.0</v>
      </c>
      <c r="D207" s="22"/>
      <c r="E207" s="15" t="b">
        <v>1</v>
      </c>
      <c r="F207" s="17" t="s">
        <v>12</v>
      </c>
      <c r="G207" s="17" t="s">
        <v>185</v>
      </c>
      <c r="H207" s="18">
        <f t="shared" si="1"/>
        <v>-400</v>
      </c>
      <c r="I207" s="19" t="str">
        <f t="shared" si="3"/>
        <v>BONIFICO SEPADistinta: 1771247079791059ADEF</v>
      </c>
    </row>
    <row r="208">
      <c r="A208" s="20">
        <v>46069.0</v>
      </c>
      <c r="B208" s="20">
        <v>46069.0</v>
      </c>
      <c r="C208" s="21">
        <v>-180.0</v>
      </c>
      <c r="D208" s="22"/>
      <c r="E208" s="15" t="b">
        <v>1</v>
      </c>
      <c r="F208" s="17" t="s">
        <v>12</v>
      </c>
      <c r="G208" s="17" t="s">
        <v>186</v>
      </c>
      <c r="H208" s="18">
        <f t="shared" si="1"/>
        <v>-180</v>
      </c>
      <c r="I208" s="19" t="str">
        <f t="shared" si="3"/>
        <v>BONIFICO SEPADistinta: 17712465885961Q5GDEF</v>
      </c>
    </row>
    <row r="209">
      <c r="A209" s="20">
        <v>46069.0</v>
      </c>
      <c r="B209" s="20">
        <v>46069.0</v>
      </c>
      <c r="C209" s="21"/>
      <c r="D209" s="22">
        <v>389.0</v>
      </c>
      <c r="E209" s="15" t="b">
        <v>0</v>
      </c>
      <c r="F209" s="17" t="s">
        <v>12</v>
      </c>
      <c r="G209" s="17" t="s">
        <v>187</v>
      </c>
      <c r="H209" s="18">
        <f t="shared" si="1"/>
        <v>389</v>
      </c>
      <c r="I209" s="19" t="str">
        <f t="shared" si="3"/>
        <v>BONIFICO SEPADa NEXI Payments Spa TRN 071338186106NPPASU0000000000IT CIPBITMM per PV 1000001228596 ACCREDITO CIRCUITI INTERNAZ. 13022</v>
      </c>
    </row>
    <row r="210">
      <c r="A210" s="20">
        <v>46069.0</v>
      </c>
      <c r="B210" s="20">
        <v>46069.0</v>
      </c>
      <c r="C210" s="21"/>
      <c r="D210" s="22">
        <v>633.0</v>
      </c>
      <c r="E210" s="15" t="b">
        <v>0</v>
      </c>
      <c r="F210" s="17" t="s">
        <v>12</v>
      </c>
      <c r="G210" s="17" t="s">
        <v>188</v>
      </c>
      <c r="H210" s="18">
        <f t="shared" si="1"/>
        <v>633</v>
      </c>
      <c r="I210" s="19" t="str">
        <f t="shared" si="3"/>
        <v>BONIFICO SEPADa NEXI Payments Spa TRN 071441096126NPPASU0000000000IT CIPBITMM per PV 1000001228637 ACCREDITO CIRCUITI INTERNAZ. 14022</v>
      </c>
    </row>
    <row r="211">
      <c r="A211" s="20">
        <v>46069.0</v>
      </c>
      <c r="B211" s="20">
        <v>46069.0</v>
      </c>
      <c r="C211" s="21"/>
      <c r="D211" s="22">
        <v>150.0</v>
      </c>
      <c r="E211" s="15" t="b">
        <v>0</v>
      </c>
      <c r="F211" s="17" t="s">
        <v>12</v>
      </c>
      <c r="G211" s="17" t="s">
        <v>189</v>
      </c>
      <c r="H211" s="18">
        <f t="shared" si="1"/>
        <v>150</v>
      </c>
      <c r="I211" s="19" t="str">
        <f t="shared" si="3"/>
        <v>BONIFICO SEPADa NEXI Payments Spa TRN 071440677096NPPASU0000000000IT CIPBITMM per PV 1000001228596 ACCREDITO CIRCUITI INTERNAZ. 14022</v>
      </c>
    </row>
    <row r="212">
      <c r="A212" s="20">
        <v>46069.0</v>
      </c>
      <c r="B212" s="20">
        <v>46069.0</v>
      </c>
      <c r="C212" s="21"/>
      <c r="D212" s="22">
        <v>102.0</v>
      </c>
      <c r="E212" s="15" t="b">
        <v>0</v>
      </c>
      <c r="F212" s="17" t="s">
        <v>12</v>
      </c>
      <c r="G212" s="17" t="s">
        <v>190</v>
      </c>
      <c r="H212" s="18">
        <f t="shared" si="1"/>
        <v>102</v>
      </c>
      <c r="I212" s="19" t="str">
        <f t="shared" si="3"/>
        <v>BONIFICO SEPADa NEXI Payments Spa TRN 071337128056NPPASU0000000000IT CIPBITMM per PV 1000001228637 ACCREDITO CIRCUITI INTERNAZ. 13022</v>
      </c>
    </row>
    <row r="213">
      <c r="A213" s="20">
        <v>46069.0</v>
      </c>
      <c r="B213" s="20">
        <v>46069.0</v>
      </c>
      <c r="C213" s="21"/>
      <c r="D213" s="22">
        <v>25.0</v>
      </c>
      <c r="E213" s="15" t="b">
        <v>0</v>
      </c>
      <c r="F213" s="17" t="s">
        <v>12</v>
      </c>
      <c r="G213" s="17" t="s">
        <v>191</v>
      </c>
      <c r="H213" s="18">
        <f t="shared" si="1"/>
        <v>25</v>
      </c>
      <c r="I213" s="19" t="str">
        <f t="shared" si="3"/>
        <v>BONIFICO SEPADa NEXI Payments Spa TRN 071536610026NPPASU0000000000IT CIPBITMM per PV 1000001228596 ACCREDITO BANCOMAT 150226 RIF 1128</v>
      </c>
    </row>
    <row r="214">
      <c r="A214" s="20">
        <v>46069.0</v>
      </c>
      <c r="B214" s="20">
        <v>46069.0</v>
      </c>
      <c r="C214" s="21"/>
      <c r="D214" s="22">
        <v>181.0</v>
      </c>
      <c r="E214" s="15" t="b">
        <v>0</v>
      </c>
      <c r="F214" s="17" t="s">
        <v>12</v>
      </c>
      <c r="G214" s="17" t="s">
        <v>192</v>
      </c>
      <c r="H214" s="18">
        <f t="shared" si="1"/>
        <v>181</v>
      </c>
      <c r="I214" s="19" t="str">
        <f t="shared" si="3"/>
        <v>BONIFICO SEPADa NEXI Payments Spa TRN 071532778056NPPASU0000000000IT CIPBITMM per PV 1000001228637 ACCREDITO CIRCUITI INTERNAZ. 15022</v>
      </c>
    </row>
    <row r="215">
      <c r="A215" s="23">
        <v>46069.0</v>
      </c>
      <c r="B215" s="23">
        <v>46069.0</v>
      </c>
      <c r="C215" s="21"/>
      <c r="D215" s="22">
        <v>40.0</v>
      </c>
      <c r="E215" s="15" t="b">
        <v>0</v>
      </c>
      <c r="F215" s="17" t="s">
        <v>12</v>
      </c>
      <c r="G215" s="17" t="s">
        <v>193</v>
      </c>
      <c r="H215" s="18">
        <f t="shared" si="1"/>
        <v>40</v>
      </c>
      <c r="I215" s="19" t="str">
        <f t="shared" si="3"/>
        <v>BONIFICO SEPADa NEXI Payments Spa TRN 071536598036NPPASU0000000000IT CIPBITMM per PV 1000001228596 ACCREDITO CIRCUITI INTERNAZ. 15022</v>
      </c>
    </row>
    <row r="216">
      <c r="A216" s="23">
        <v>46069.0</v>
      </c>
      <c r="B216" s="23">
        <v>46069.0</v>
      </c>
      <c r="C216" s="21"/>
      <c r="D216" s="22">
        <v>159.0</v>
      </c>
      <c r="E216" s="15" t="b">
        <v>0</v>
      </c>
      <c r="F216" s="17" t="s">
        <v>12</v>
      </c>
      <c r="G216" s="17" t="s">
        <v>194</v>
      </c>
      <c r="H216" s="18">
        <f t="shared" si="1"/>
        <v>159</v>
      </c>
      <c r="I216" s="19" t="str">
        <f t="shared" si="3"/>
        <v>BONIFICO SEPADa NEXI Payments Spa TRN 071338204026NPPASU0000000000IT CIPBITMM per PV 1000001228596 ACCREDITO BANCOMAT 130226 RIF 1125</v>
      </c>
    </row>
    <row r="217">
      <c r="A217" s="20"/>
      <c r="B217" s="20"/>
      <c r="C217" s="21"/>
      <c r="D217" s="22"/>
      <c r="E217" s="15" t="b">
        <v>0</v>
      </c>
      <c r="F217" s="17"/>
      <c r="G217" s="17"/>
      <c r="H217" s="18">
        <f t="shared" si="1"/>
        <v>0</v>
      </c>
      <c r="I217" s="19" t="str">
        <f t="shared" si="3"/>
        <v/>
      </c>
    </row>
    <row r="218">
      <c r="A218" s="20">
        <v>46069.0</v>
      </c>
      <c r="B218" s="23">
        <v>46069.0</v>
      </c>
      <c r="C218" s="21"/>
      <c r="D218" s="22">
        <v>499.2</v>
      </c>
      <c r="E218" s="15" t="b">
        <v>0</v>
      </c>
      <c r="F218" s="17" t="s">
        <v>12</v>
      </c>
      <c r="G218" s="17" t="s">
        <v>195</v>
      </c>
      <c r="H218" s="18">
        <f t="shared" si="1"/>
        <v>499.2</v>
      </c>
      <c r="I218" s="19" t="str">
        <f t="shared" si="3"/>
        <v>BONIFICO SEPADa Scalapay IP S.p.a. TRN 3601826021604513598848463302639-008 CBPSIT31XXX per 2026-02-15 - GEOS S SDRL - Scalapay IP S.p</v>
      </c>
    </row>
    <row r="219">
      <c r="A219" s="20">
        <v>46069.0</v>
      </c>
      <c r="B219" s="20">
        <v>46069.0</v>
      </c>
      <c r="C219" s="21"/>
      <c r="D219" s="22">
        <v>19.8</v>
      </c>
      <c r="E219" s="15" t="b">
        <v>0</v>
      </c>
      <c r="F219" s="17" t="s">
        <v>28</v>
      </c>
      <c r="G219" s="17" t="s">
        <v>196</v>
      </c>
      <c r="H219" s="18">
        <f t="shared" si="1"/>
        <v>19.8</v>
      </c>
      <c r="I219" s="19" t="str">
        <f t="shared" si="3"/>
        <v>BONIFICODa Satispay Europe S.A. TRN 0f5d169fc60d4a21ba680027aafc911f SATYLUL1XXX per Geos ssdr</v>
      </c>
    </row>
    <row r="220">
      <c r="A220" s="20">
        <v>46069.0</v>
      </c>
      <c r="B220" s="20">
        <v>46069.0</v>
      </c>
      <c r="C220" s="21">
        <v>-133.96</v>
      </c>
      <c r="D220" s="22"/>
      <c r="E220" s="15" t="b">
        <v>1</v>
      </c>
      <c r="F220" s="17" t="s">
        <v>112</v>
      </c>
      <c r="G220" s="17" t="s">
        <v>183</v>
      </c>
      <c r="H220" s="18">
        <f t="shared" si="1"/>
        <v>-133.96</v>
      </c>
      <c r="I220" s="19" t="str">
        <f t="shared" si="3"/>
        <v>DOMICILIAZIONE (ADDEBITO DIRETTO SEPA)NEXI P.              CID.IT500100000004107060966             MAN.792254495131800006</v>
      </c>
    </row>
    <row r="221">
      <c r="A221" s="20">
        <v>46066.0</v>
      </c>
      <c r="B221" s="20">
        <v>46066.0</v>
      </c>
      <c r="C221" s="21">
        <v>-90.0</v>
      </c>
      <c r="D221" s="22"/>
      <c r="E221" s="15" t="b">
        <v>1</v>
      </c>
      <c r="F221" s="17" t="s">
        <v>12</v>
      </c>
      <c r="G221" s="17" t="s">
        <v>197</v>
      </c>
      <c r="H221" s="18">
        <f t="shared" si="1"/>
        <v>-90</v>
      </c>
      <c r="I221" s="19" t="str">
        <f t="shared" si="3"/>
        <v>BONIFICO SEPADistinta: 1770911369629170DDEF</v>
      </c>
    </row>
    <row r="222">
      <c r="A222" s="20">
        <v>46066.0</v>
      </c>
      <c r="B222" s="20">
        <v>46066.0</v>
      </c>
      <c r="C222" s="21"/>
      <c r="D222" s="22">
        <v>147.0</v>
      </c>
      <c r="E222" s="15" t="b">
        <v>0</v>
      </c>
      <c r="F222" s="17" t="s">
        <v>12</v>
      </c>
      <c r="G222" s="17" t="s">
        <v>198</v>
      </c>
      <c r="H222" s="18">
        <f t="shared" si="1"/>
        <v>147</v>
      </c>
      <c r="I222" s="19" t="str">
        <f t="shared" si="3"/>
        <v>BONIFICO SEPADa NEXI Payments Spa TRN 071220689076NPPASU0000000000IT CIPBITMM per PV 1000001228637 ACCREDITO CIRCUITI INTERNAZ. 12022</v>
      </c>
    </row>
    <row r="223">
      <c r="A223" s="20">
        <v>46066.0</v>
      </c>
      <c r="B223" s="20">
        <v>46066.0</v>
      </c>
      <c r="C223" s="29"/>
      <c r="D223" s="22">
        <v>249.0</v>
      </c>
      <c r="E223" s="15" t="b">
        <v>0</v>
      </c>
      <c r="F223" s="17" t="s">
        <v>12</v>
      </c>
      <c r="G223" s="17" t="s">
        <v>199</v>
      </c>
      <c r="H223" s="18">
        <f t="shared" si="1"/>
        <v>249</v>
      </c>
      <c r="I223" s="19" t="str">
        <f t="shared" si="3"/>
        <v>BONIFICO SEPADa NEXI Payments Spa TRN 071220737036NPPASU0000000000IT CIPBITMM per PV 1000001228596 ACCREDITO BANCOMAT 120226 RIF 1123</v>
      </c>
    </row>
    <row r="224">
      <c r="A224" s="20">
        <v>46066.0</v>
      </c>
      <c r="B224" s="20">
        <v>46066.0</v>
      </c>
      <c r="C224" s="21"/>
      <c r="D224" s="22">
        <v>135.0</v>
      </c>
      <c r="E224" s="15" t="b">
        <v>0</v>
      </c>
      <c r="F224" s="17" t="s">
        <v>12</v>
      </c>
      <c r="G224" s="17" t="s">
        <v>200</v>
      </c>
      <c r="H224" s="18">
        <f t="shared" si="1"/>
        <v>135</v>
      </c>
      <c r="I224" s="19" t="str">
        <f t="shared" si="3"/>
        <v>BONIFICO SEPADa NEXI Payments Spa TRN 071220724036NPPASU0000000000IT CIPBITMM per PV 1000001228596 ACCREDITO CIRCUITI INTERNAZ. 12022</v>
      </c>
    </row>
    <row r="225">
      <c r="A225" s="20">
        <v>46066.0</v>
      </c>
      <c r="B225" s="20">
        <v>46066.0</v>
      </c>
      <c r="C225" s="21"/>
      <c r="D225" s="22">
        <v>59.6</v>
      </c>
      <c r="E225" s="15" t="b">
        <v>0</v>
      </c>
      <c r="F225" s="17" t="s">
        <v>28</v>
      </c>
      <c r="G225" s="17" t="s">
        <v>201</v>
      </c>
      <c r="H225" s="18">
        <f t="shared" si="1"/>
        <v>59.6</v>
      </c>
      <c r="I225" s="19" t="str">
        <f t="shared" si="3"/>
        <v>BONIFICODa Satispay Europe S.A. TRN 6910b506737d4e0daef9730dc579f9b1 SATYLUL1XXX per Geos ssdr</v>
      </c>
    </row>
    <row r="226">
      <c r="A226" s="20">
        <v>46066.0</v>
      </c>
      <c r="B226" s="20">
        <v>46066.0</v>
      </c>
      <c r="C226" s="21"/>
      <c r="D226" s="22">
        <v>576.0</v>
      </c>
      <c r="E226" s="15" t="b">
        <v>0</v>
      </c>
      <c r="F226" s="17" t="s">
        <v>28</v>
      </c>
      <c r="G226" s="17" t="s">
        <v>202</v>
      </c>
      <c r="H226" s="18">
        <f t="shared" si="1"/>
        <v>576</v>
      </c>
      <c r="I226" s="19" t="str">
        <f t="shared" si="3"/>
        <v>BONIFICODa Gympass US LLC TRN H3XHL2S34SSB CHASNL2XXXX per WellhubGym</v>
      </c>
    </row>
    <row r="227">
      <c r="A227" s="20">
        <v>46066.0</v>
      </c>
      <c r="B227" s="20">
        <v>46066.0</v>
      </c>
      <c r="C227" s="29"/>
      <c r="D227" s="22">
        <v>9232.57</v>
      </c>
      <c r="E227" s="15" t="b">
        <v>0</v>
      </c>
      <c r="F227" s="17" t="s">
        <v>12</v>
      </c>
      <c r="G227" s="17" t="s">
        <v>203</v>
      </c>
      <c r="H227" s="18">
        <f t="shared" si="1"/>
        <v>9232.57</v>
      </c>
      <c r="I227" s="19" t="str">
        <f t="shared" si="3"/>
        <v>BONIFICO SEPADa MODULO PROJECT S.R.L. TRN 1101260430539264 UNCRITMM per Fattura n. 61 del 12/02/2026 - Affitto Studio Gennaio extra</v>
      </c>
    </row>
    <row r="228">
      <c r="A228" s="20">
        <v>46066.0</v>
      </c>
      <c r="B228" s="20">
        <v>46066.0</v>
      </c>
      <c r="C228" s="21"/>
      <c r="D228" s="22">
        <v>6710.0</v>
      </c>
      <c r="E228" s="15" t="b">
        <v>0</v>
      </c>
      <c r="F228" s="17" t="s">
        <v>12</v>
      </c>
      <c r="G228" s="17" t="s">
        <v>204</v>
      </c>
      <c r="H228" s="18">
        <f t="shared" si="1"/>
        <v>6710</v>
      </c>
      <c r="I228" s="19" t="str">
        <f t="shared" si="3"/>
        <v>BONIFICO SEPADa MODULO PROJECT S.R.L. TRN 1101260430539887 UNCRITMM per Affitto studi Gennaio 2026</v>
      </c>
    </row>
    <row r="229">
      <c r="A229" s="20">
        <v>46066.0</v>
      </c>
      <c r="B229" s="23">
        <v>46066.0</v>
      </c>
      <c r="C229" s="21"/>
      <c r="D229" s="22">
        <v>549.0</v>
      </c>
      <c r="E229" s="15" t="b">
        <v>0</v>
      </c>
      <c r="F229" s="17" t="s">
        <v>12</v>
      </c>
      <c r="G229" s="17" t="s">
        <v>205</v>
      </c>
      <c r="H229" s="18">
        <f t="shared" si="1"/>
        <v>549</v>
      </c>
      <c r="I229" s="19" t="str">
        <f t="shared" si="3"/>
        <v>BONIFICO SEPADa MODULO PROJECT S.R.L. TRN 1101260430540507 UNCRITMM per Fattura n. 63 del 12/02/2026 - Affitto sale Modulo extra genn</v>
      </c>
    </row>
    <row r="230">
      <c r="A230" s="20">
        <v>46066.0</v>
      </c>
      <c r="B230" s="23">
        <v>46066.0</v>
      </c>
      <c r="C230" s="21"/>
      <c r="D230" s="22">
        <v>4000.0</v>
      </c>
      <c r="E230" s="15" t="b">
        <v>0</v>
      </c>
      <c r="F230" s="17" t="s">
        <v>58</v>
      </c>
      <c r="G230" s="17" t="s">
        <v>59</v>
      </c>
      <c r="H230" s="18">
        <f t="shared" si="1"/>
        <v>4000</v>
      </c>
      <c r="I230" s="19" t="str">
        <f t="shared" si="3"/>
        <v>VERSAMENTO CONTANTE IN UPU.P.38530 MILANO 82            POSTAMAT N 76018970575871050                 CARTA 75871050</v>
      </c>
    </row>
    <row r="231">
      <c r="A231" s="20">
        <v>46065.0</v>
      </c>
      <c r="B231" s="20">
        <v>46065.0</v>
      </c>
      <c r="C231" s="21">
        <v>-450.0</v>
      </c>
      <c r="D231" s="22"/>
      <c r="E231" s="15" t="b">
        <v>1</v>
      </c>
      <c r="F231" s="17" t="s">
        <v>12</v>
      </c>
      <c r="G231" s="17" t="s">
        <v>206</v>
      </c>
      <c r="H231" s="18">
        <f t="shared" si="1"/>
        <v>-450</v>
      </c>
      <c r="I231" s="19" t="str">
        <f t="shared" si="3"/>
        <v>BONIFICO SEPADistinta: 177089135570312NBDEF</v>
      </c>
    </row>
    <row r="232">
      <c r="A232" s="20">
        <v>46065.0</v>
      </c>
      <c r="B232" s="20">
        <v>46065.0</v>
      </c>
      <c r="C232" s="21"/>
      <c r="D232" s="22">
        <v>500.0</v>
      </c>
      <c r="E232" s="15" t="b">
        <v>0</v>
      </c>
      <c r="F232" s="17" t="s">
        <v>12</v>
      </c>
      <c r="G232" s="17" t="s">
        <v>207</v>
      </c>
      <c r="H232" s="18">
        <f t="shared" si="1"/>
        <v>500</v>
      </c>
      <c r="I232" s="19" t="str">
        <f t="shared" si="3"/>
        <v>BONIFICO SEPADa NEXI Payments Spa TRN 071109556116NPPASU0000000000IT CIPBITMM per PV 1000001228596 ACCREDITO BANCOMAT 110226 RIF 1122</v>
      </c>
    </row>
    <row r="233">
      <c r="A233" s="20">
        <v>46065.0</v>
      </c>
      <c r="B233" s="20">
        <v>46065.0</v>
      </c>
      <c r="C233" s="21"/>
      <c r="D233" s="22">
        <v>554.0</v>
      </c>
      <c r="E233" s="15" t="b">
        <v>0</v>
      </c>
      <c r="F233" s="17" t="s">
        <v>12</v>
      </c>
      <c r="G233" s="17" t="s">
        <v>208</v>
      </c>
      <c r="H233" s="18">
        <f t="shared" si="1"/>
        <v>554</v>
      </c>
      <c r="I233" s="19" t="str">
        <f t="shared" si="3"/>
        <v>BONIFICO SEPADa NEXI Payments Spa TRN 071109537056NPPASU0000000000IT CIPBITMM per PV 1000001228596 ACCREDITO CIRCUITI INTERNAZ. 11022</v>
      </c>
    </row>
    <row r="234">
      <c r="A234" s="20">
        <v>46065.0</v>
      </c>
      <c r="B234" s="20">
        <v>46065.0</v>
      </c>
      <c r="C234" s="21"/>
      <c r="D234" s="22">
        <v>72.0</v>
      </c>
      <c r="E234" s="15" t="b">
        <v>0</v>
      </c>
      <c r="F234" s="17" t="s">
        <v>12</v>
      </c>
      <c r="G234" s="17" t="s">
        <v>209</v>
      </c>
      <c r="H234" s="18">
        <f t="shared" si="1"/>
        <v>72</v>
      </c>
      <c r="I234" s="19" t="str">
        <f t="shared" si="3"/>
        <v>BONIFICO SEPADa NEXI Payments Spa TRN 071109035106NPPASU0000000000IT CIPBITMM per PV 1000001228637 ACCREDITO CIRCUITI INTERNAZ. 11022</v>
      </c>
    </row>
    <row r="235">
      <c r="A235" s="20">
        <v>46064.0</v>
      </c>
      <c r="B235" s="20">
        <v>46064.0</v>
      </c>
      <c r="C235" s="21">
        <v>-82.0</v>
      </c>
      <c r="D235" s="22"/>
      <c r="E235" s="15" t="b">
        <v>1</v>
      </c>
      <c r="F235" s="17" t="s">
        <v>12</v>
      </c>
      <c r="G235" s="17" t="s">
        <v>210</v>
      </c>
      <c r="H235" s="18">
        <f t="shared" si="1"/>
        <v>-82</v>
      </c>
      <c r="I235" s="19" t="str">
        <f t="shared" si="3"/>
        <v>BONIFICO SEPADistinta: 17708003190290OCIDEF</v>
      </c>
    </row>
    <row r="236">
      <c r="A236" s="20">
        <v>46064.0</v>
      </c>
      <c r="B236" s="20">
        <v>46064.0</v>
      </c>
      <c r="C236" s="21">
        <v>-724.78</v>
      </c>
      <c r="D236" s="22"/>
      <c r="E236" s="15" t="b">
        <v>1</v>
      </c>
      <c r="F236" s="17" t="s">
        <v>12</v>
      </c>
      <c r="G236" s="17" t="s">
        <v>211</v>
      </c>
      <c r="H236" s="18">
        <f t="shared" si="1"/>
        <v>-724.78</v>
      </c>
      <c r="I236" s="19" t="str">
        <f t="shared" si="3"/>
        <v>BONIFICO SEPADistinta: 17707996028660N0ADEF</v>
      </c>
    </row>
    <row r="237">
      <c r="A237" s="20">
        <v>46064.0</v>
      </c>
      <c r="B237" s="20">
        <v>46064.0</v>
      </c>
      <c r="C237" s="21">
        <v>-216.95</v>
      </c>
      <c r="D237" s="22"/>
      <c r="E237" s="15" t="b">
        <v>1</v>
      </c>
      <c r="F237" s="17" t="s">
        <v>12</v>
      </c>
      <c r="G237" s="17" t="s">
        <v>212</v>
      </c>
      <c r="H237" s="18">
        <f t="shared" si="1"/>
        <v>-216.95</v>
      </c>
      <c r="I237" s="19" t="str">
        <f t="shared" si="3"/>
        <v>BONIFICO SEPADistinta: 17707988148630NP1DEF</v>
      </c>
    </row>
    <row r="238">
      <c r="A238" s="23">
        <v>46064.0</v>
      </c>
      <c r="B238" s="23">
        <v>46064.0</v>
      </c>
      <c r="C238" s="21">
        <v>-95.54</v>
      </c>
      <c r="D238" s="22"/>
      <c r="E238" s="15" t="b">
        <v>1</v>
      </c>
      <c r="F238" s="17" t="s">
        <v>12</v>
      </c>
      <c r="G238" s="17" t="s">
        <v>213</v>
      </c>
      <c r="H238" s="18">
        <f t="shared" si="1"/>
        <v>-95.54</v>
      </c>
      <c r="I238" s="19" t="str">
        <f t="shared" si="3"/>
        <v>BONIFICO SEPADistinta: 17707991593670MS7DEF</v>
      </c>
    </row>
    <row r="239">
      <c r="A239" s="23">
        <v>46064.0</v>
      </c>
      <c r="B239" s="23">
        <v>46064.0</v>
      </c>
      <c r="C239" s="21"/>
      <c r="D239" s="22">
        <v>569.0</v>
      </c>
      <c r="E239" s="15" t="b">
        <v>0</v>
      </c>
      <c r="F239" s="17" t="s">
        <v>12</v>
      </c>
      <c r="G239" s="17" t="s">
        <v>214</v>
      </c>
      <c r="H239" s="18">
        <f t="shared" si="1"/>
        <v>569</v>
      </c>
      <c r="I239" s="19" t="str">
        <f t="shared" si="3"/>
        <v>BONIFICO SEPADa NEXI Payments Spa TRN 071000367096NPPASU0000000000IT CIPBITMM per PV 1000001228596 ACCREDITO BANCOMAT 100226 RIF 1120</v>
      </c>
    </row>
    <row r="240">
      <c r="A240" s="23">
        <v>46064.0</v>
      </c>
      <c r="B240" s="23">
        <v>46064.0</v>
      </c>
      <c r="C240" s="21"/>
      <c r="D240" s="22">
        <v>196.0</v>
      </c>
      <c r="E240" s="15" t="b">
        <v>0</v>
      </c>
      <c r="F240" s="17" t="s">
        <v>12</v>
      </c>
      <c r="G240" s="17" t="s">
        <v>215</v>
      </c>
      <c r="H240" s="18">
        <f t="shared" si="1"/>
        <v>196</v>
      </c>
      <c r="I240" s="19" t="str">
        <f t="shared" si="3"/>
        <v>BONIFICO SEPADa NEXI Payments Spa TRN 070995310096NPPASU0000000000IT CIPBITMM per PV 1000001228637 ACCREDITO CIRCUITI INTERNAZ. 10022</v>
      </c>
    </row>
    <row r="241">
      <c r="A241" s="23">
        <v>46064.0</v>
      </c>
      <c r="B241" s="23">
        <v>46064.0</v>
      </c>
      <c r="C241" s="21"/>
      <c r="D241" s="22">
        <v>2571.0</v>
      </c>
      <c r="E241" s="15" t="b">
        <v>0</v>
      </c>
      <c r="F241" s="17" t="s">
        <v>12</v>
      </c>
      <c r="G241" s="17" t="s">
        <v>216</v>
      </c>
      <c r="H241" s="18">
        <f t="shared" si="1"/>
        <v>2571</v>
      </c>
      <c r="I241" s="19" t="str">
        <f t="shared" si="3"/>
        <v>BONIFICO SEPADa NEXI Payments Spa TRN 071000355106NPPASU0000000000IT CIPBITMM per PV 1000001228596 ACCREDITO CIRCUITI INTERNAZ. 10022</v>
      </c>
    </row>
    <row r="242">
      <c r="A242" s="20"/>
      <c r="B242" s="20"/>
      <c r="C242" s="21"/>
      <c r="D242" s="22"/>
      <c r="E242" s="15" t="b">
        <v>0</v>
      </c>
      <c r="F242" s="17"/>
      <c r="G242" s="17"/>
      <c r="H242" s="18">
        <f t="shared" si="1"/>
        <v>0</v>
      </c>
      <c r="I242" s="19" t="str">
        <f t="shared" si="3"/>
        <v/>
      </c>
    </row>
    <row r="243">
      <c r="A243" s="20"/>
      <c r="B243" s="20"/>
      <c r="C243" s="21"/>
      <c r="D243" s="22"/>
      <c r="E243" s="15" t="b">
        <v>0</v>
      </c>
      <c r="F243" s="17"/>
      <c r="G243" s="17"/>
      <c r="H243" s="18">
        <f t="shared" si="1"/>
        <v>0</v>
      </c>
      <c r="I243" s="19" t="str">
        <f t="shared" si="3"/>
        <v/>
      </c>
    </row>
    <row r="244">
      <c r="A244" s="20">
        <v>46064.0</v>
      </c>
      <c r="B244" s="20">
        <v>46064.0</v>
      </c>
      <c r="C244" s="21"/>
      <c r="D244" s="22">
        <v>21.8</v>
      </c>
      <c r="E244" s="15" t="b">
        <v>0</v>
      </c>
      <c r="F244" s="17" t="s">
        <v>28</v>
      </c>
      <c r="G244" s="17" t="s">
        <v>217</v>
      </c>
      <c r="H244" s="18">
        <f t="shared" si="1"/>
        <v>21.8</v>
      </c>
      <c r="I244" s="19" t="str">
        <f t="shared" si="3"/>
        <v>BONIFICODa Satispay Europe S.A. TRN 3cc5b6d79e02405dbf490e7f9b44b4b5 SATYLUL1XXX per Geos ssdr</v>
      </c>
    </row>
    <row r="245">
      <c r="A245" s="20">
        <v>46064.0</v>
      </c>
      <c r="B245" s="20">
        <v>46064.0</v>
      </c>
      <c r="C245" s="21"/>
      <c r="D245" s="22">
        <v>244.0</v>
      </c>
      <c r="E245" s="15" t="b">
        <v>0</v>
      </c>
      <c r="F245" s="17" t="s">
        <v>12</v>
      </c>
      <c r="G245" s="17" t="s">
        <v>218</v>
      </c>
      <c r="H245" s="18">
        <f t="shared" si="1"/>
        <v>244</v>
      </c>
      <c r="I245" s="19" t="str">
        <f t="shared" si="3"/>
        <v>BONIFICO SEPADa ENCANTO CLUB LATINO ASS NE SPOR VA TRN 0306909453360308S90960609606IT BCITITMMXXX per FT 18 del 04/02/26 e FT 21 del</v>
      </c>
    </row>
    <row r="246">
      <c r="A246" s="20">
        <v>46063.0</v>
      </c>
      <c r="B246" s="23">
        <v>46063.0</v>
      </c>
      <c r="C246" s="21">
        <v>-3230.0</v>
      </c>
      <c r="D246" s="22"/>
      <c r="E246" s="15" t="b">
        <v>1</v>
      </c>
      <c r="F246" s="17" t="s">
        <v>12</v>
      </c>
      <c r="G246" s="17" t="s">
        <v>219</v>
      </c>
      <c r="H246" s="18">
        <f t="shared" si="1"/>
        <v>-3230</v>
      </c>
      <c r="I246" s="19" t="str">
        <f t="shared" si="3"/>
        <v>BONIFICO SEPADistinta: 17707116217160BS9DEF</v>
      </c>
    </row>
    <row r="247">
      <c r="A247" s="20">
        <v>46063.0</v>
      </c>
      <c r="B247" s="23">
        <v>46063.0</v>
      </c>
      <c r="C247" s="21">
        <v>-166.0</v>
      </c>
      <c r="D247" s="22"/>
      <c r="E247" s="15" t="b">
        <v>1</v>
      </c>
      <c r="F247" s="17" t="s">
        <v>12</v>
      </c>
      <c r="G247" s="17" t="s">
        <v>220</v>
      </c>
      <c r="H247" s="18">
        <f t="shared" si="1"/>
        <v>-166</v>
      </c>
      <c r="I247" s="19" t="str">
        <f t="shared" si="3"/>
        <v>BONIFICO SEPADistinta: 17707103897360BDADEF</v>
      </c>
    </row>
    <row r="248">
      <c r="A248" s="20">
        <v>46063.0</v>
      </c>
      <c r="B248" s="20">
        <v>46063.0</v>
      </c>
      <c r="C248" s="21">
        <v>-570.0</v>
      </c>
      <c r="D248" s="22"/>
      <c r="E248" s="15" t="b">
        <v>1</v>
      </c>
      <c r="F248" s="17" t="s">
        <v>12</v>
      </c>
      <c r="G248" s="17" t="s">
        <v>221</v>
      </c>
      <c r="H248" s="18">
        <f t="shared" si="1"/>
        <v>-570</v>
      </c>
      <c r="I248" s="19" t="str">
        <f t="shared" si="3"/>
        <v>BONIFICO SEPADistinta: 17707102366060C26DEF</v>
      </c>
    </row>
    <row r="249">
      <c r="A249" s="20">
        <v>46063.0</v>
      </c>
      <c r="B249" s="20">
        <v>46063.0</v>
      </c>
      <c r="C249" s="21"/>
      <c r="D249" s="22">
        <v>867.0</v>
      </c>
      <c r="E249" s="15" t="b">
        <v>0</v>
      </c>
      <c r="F249" s="17" t="s">
        <v>12</v>
      </c>
      <c r="G249" s="17" t="s">
        <v>222</v>
      </c>
      <c r="H249" s="18">
        <f t="shared" si="1"/>
        <v>867</v>
      </c>
      <c r="I249" s="19" t="str">
        <f t="shared" si="3"/>
        <v>BONIFICO SEPADa NEXI Payments Spa TRN 070882703086NPPASU0000000000IT CIPBITMM per PV 1000001228596 ACCREDITO CIRCUITI INTERNAZ. 09022</v>
      </c>
    </row>
    <row r="250">
      <c r="A250" s="20">
        <v>46063.0</v>
      </c>
      <c r="B250" s="20">
        <v>46063.0</v>
      </c>
      <c r="C250" s="21"/>
      <c r="D250" s="22">
        <v>471.0</v>
      </c>
      <c r="E250" s="15" t="b">
        <v>0</v>
      </c>
      <c r="F250" s="17" t="s">
        <v>12</v>
      </c>
      <c r="G250" s="17" t="s">
        <v>223</v>
      </c>
      <c r="H250" s="18">
        <f t="shared" si="1"/>
        <v>471</v>
      </c>
      <c r="I250" s="19" t="str">
        <f t="shared" si="3"/>
        <v>BONIFICO SEPADa NEXI Payments Spa TRN 070882716086NPPASU0000000000IT CIPBITMM per PV 1000001228596 ACCREDITO BANCOMAT 090226 RIF 1119</v>
      </c>
    </row>
    <row r="251">
      <c r="A251" s="20">
        <v>46063.0</v>
      </c>
      <c r="B251" s="20">
        <v>46063.0</v>
      </c>
      <c r="C251" s="21"/>
      <c r="D251" s="22">
        <v>251.0</v>
      </c>
      <c r="E251" s="15" t="b">
        <v>0</v>
      </c>
      <c r="F251" s="17" t="s">
        <v>12</v>
      </c>
      <c r="G251" s="17" t="s">
        <v>224</v>
      </c>
      <c r="H251" s="18">
        <f t="shared" si="1"/>
        <v>251</v>
      </c>
      <c r="I251" s="19" t="str">
        <f t="shared" si="3"/>
        <v>BONIFICO SEPADa NEXI Payments Spa TRN 070883046006NPPASU0000000000IT CIPBITMM per PV 1000001228637 ACCREDITO CIRCUITI INTERNAZ. 09022</v>
      </c>
    </row>
    <row r="252">
      <c r="A252" s="20"/>
      <c r="B252" s="20"/>
      <c r="C252" s="21"/>
      <c r="D252" s="22"/>
      <c r="E252" s="15" t="b">
        <v>0</v>
      </c>
      <c r="F252" s="17"/>
      <c r="G252" s="17"/>
      <c r="H252" s="18">
        <f t="shared" si="1"/>
        <v>0</v>
      </c>
      <c r="I252" s="19" t="str">
        <f t="shared" si="3"/>
        <v/>
      </c>
    </row>
    <row r="253">
      <c r="A253" s="20"/>
      <c r="B253" s="20"/>
      <c r="C253" s="21"/>
      <c r="D253" s="22"/>
      <c r="E253" s="15" t="b">
        <v>0</v>
      </c>
      <c r="F253" s="17"/>
      <c r="G253" s="17"/>
      <c r="H253" s="18">
        <f t="shared" si="1"/>
        <v>0</v>
      </c>
      <c r="I253" s="19" t="str">
        <f t="shared" si="3"/>
        <v/>
      </c>
    </row>
    <row r="254">
      <c r="A254" s="20">
        <v>46062.0</v>
      </c>
      <c r="B254" s="20">
        <v>46062.0</v>
      </c>
      <c r="C254" s="21"/>
      <c r="D254" s="22">
        <v>15.0</v>
      </c>
      <c r="E254" s="15" t="b">
        <v>0</v>
      </c>
      <c r="F254" s="17" t="s">
        <v>12</v>
      </c>
      <c r="G254" s="17" t="s">
        <v>225</v>
      </c>
      <c r="H254" s="18">
        <f t="shared" si="1"/>
        <v>15</v>
      </c>
      <c r="I254" s="19" t="str">
        <f t="shared" si="3"/>
        <v>BONIFICO SEPADa NEXI Payments Spa TRN 070629186046NPPASU0000000000IT CIPBITMM per PV 1000001228596 ACCREDITO BANCOMAT 060226 RIF 1115</v>
      </c>
    </row>
    <row r="255">
      <c r="A255" s="20">
        <v>46062.0</v>
      </c>
      <c r="B255" s="20">
        <v>46062.0</v>
      </c>
      <c r="C255" s="21"/>
      <c r="D255" s="22">
        <v>42.0</v>
      </c>
      <c r="E255" s="15" t="b">
        <v>0</v>
      </c>
      <c r="F255" s="17" t="s">
        <v>12</v>
      </c>
      <c r="G255" s="17" t="s">
        <v>226</v>
      </c>
      <c r="H255" s="18">
        <f t="shared" si="1"/>
        <v>42</v>
      </c>
      <c r="I255" s="19" t="str">
        <f t="shared" si="3"/>
        <v>BONIFICO SEPADa NEXI Payments Spa TRN 070731020096NPPASU0000000000IT CIPBITMM per PV 1000001228637 ACCREDITO CIRCUITI INTERNAZ. 07022</v>
      </c>
    </row>
    <row r="256">
      <c r="A256" s="20">
        <v>46062.0</v>
      </c>
      <c r="B256" s="20">
        <v>46062.0</v>
      </c>
      <c r="C256" s="29"/>
      <c r="D256" s="22">
        <v>445.0</v>
      </c>
      <c r="E256" s="15" t="b">
        <v>0</v>
      </c>
      <c r="F256" s="17" t="s">
        <v>12</v>
      </c>
      <c r="G256" s="17" t="s">
        <v>227</v>
      </c>
      <c r="H256" s="18">
        <f t="shared" si="1"/>
        <v>445</v>
      </c>
      <c r="I256" s="19" t="str">
        <f t="shared" si="3"/>
        <v>BONIFICO SEPADa NEXI Payments Spa TRN 070629170016NPPASU0000000000IT CIPBITMM per PV 1000001228596 ACCREDITO CIRCUITI INTERNAZ. 06022</v>
      </c>
    </row>
    <row r="257">
      <c r="A257" s="20">
        <v>46062.0</v>
      </c>
      <c r="B257" s="20">
        <v>46062.0</v>
      </c>
      <c r="C257" s="21"/>
      <c r="D257" s="22">
        <v>474.0</v>
      </c>
      <c r="E257" s="15" t="b">
        <v>0</v>
      </c>
      <c r="F257" s="17" t="s">
        <v>12</v>
      </c>
      <c r="G257" s="17" t="s">
        <v>228</v>
      </c>
      <c r="H257" s="18">
        <f t="shared" si="1"/>
        <v>474</v>
      </c>
      <c r="I257" s="19" t="str">
        <f t="shared" si="3"/>
        <v>BONIFICO SEPADa NEXI Payments Spa TRN 070629555096NPPASU0000000000IT CIPBITMM per PV 1000001228637 ACCREDITO CIRCUITI INTERNAZ. 06022</v>
      </c>
    </row>
    <row r="258">
      <c r="A258" s="20">
        <v>46062.0</v>
      </c>
      <c r="B258" s="23">
        <v>46062.0</v>
      </c>
      <c r="C258" s="21"/>
      <c r="D258" s="22">
        <v>215.0</v>
      </c>
      <c r="E258" s="15" t="b">
        <v>0</v>
      </c>
      <c r="F258" s="17" t="s">
        <v>12</v>
      </c>
      <c r="G258" s="17" t="s">
        <v>229</v>
      </c>
      <c r="H258" s="18">
        <f t="shared" si="1"/>
        <v>215</v>
      </c>
      <c r="I258" s="19" t="str">
        <f t="shared" si="3"/>
        <v>BONIFICO SEPADa NEXI Payments Spa TRN 070732654056NPPASU0000000000IT CIPBITMM per PV 1000001228596 ACCREDITO CIRCUITI INTERNAZ. 07022</v>
      </c>
    </row>
    <row r="259">
      <c r="A259" s="20">
        <v>46062.0</v>
      </c>
      <c r="B259" s="23">
        <v>46062.0</v>
      </c>
      <c r="C259" s="21"/>
      <c r="D259" s="22">
        <v>146.0</v>
      </c>
      <c r="E259" s="15" t="b">
        <v>0</v>
      </c>
      <c r="F259" s="17" t="s">
        <v>12</v>
      </c>
      <c r="G259" s="17" t="s">
        <v>230</v>
      </c>
      <c r="H259" s="18">
        <f t="shared" si="1"/>
        <v>146</v>
      </c>
      <c r="I259" s="19" t="str">
        <f t="shared" si="3"/>
        <v>BONIFICO SEPADa NEXI Payments Spa TRN 070821841126NPPASU0000000000IT CIPBITMM per PV 1000001228637 ACCREDITO CIRCUITI INTERNAZ. 08022</v>
      </c>
    </row>
    <row r="260">
      <c r="A260" s="20">
        <v>46062.0</v>
      </c>
      <c r="B260" s="20">
        <v>46062.0</v>
      </c>
      <c r="C260" s="21"/>
      <c r="D260" s="22">
        <v>32.5</v>
      </c>
      <c r="E260" s="15" t="b">
        <v>0</v>
      </c>
      <c r="F260" s="17" t="s">
        <v>12</v>
      </c>
      <c r="G260" s="17" t="s">
        <v>231</v>
      </c>
      <c r="H260" s="18">
        <f t="shared" si="1"/>
        <v>32.5</v>
      </c>
      <c r="I260" s="19" t="str">
        <f t="shared" si="3"/>
        <v>BONIFICO SEPADa NEXI Payments Spa TRN 070732662006NPPASU0000000000IT CIPBITMM per PV 1000001228596 ACCREDITO BANCOMAT 070226 RIF 1117</v>
      </c>
    </row>
    <row r="261">
      <c r="A261" s="20">
        <v>46062.0</v>
      </c>
      <c r="B261" s="20">
        <v>46062.0</v>
      </c>
      <c r="C261" s="21"/>
      <c r="D261" s="22">
        <v>44.8</v>
      </c>
      <c r="E261" s="15" t="b">
        <v>0</v>
      </c>
      <c r="F261" s="17" t="s">
        <v>28</v>
      </c>
      <c r="G261" s="17" t="s">
        <v>232</v>
      </c>
      <c r="H261" s="18">
        <f t="shared" si="1"/>
        <v>44.8</v>
      </c>
      <c r="I261" s="19" t="str">
        <f t="shared" si="3"/>
        <v>BONIFICODa Satispay Europe S.A. TRN 3771d8c43be34020835b43dc9019d598 SATYLUL1XXX per Geos ssdr</v>
      </c>
    </row>
    <row r="262">
      <c r="A262" s="20">
        <v>46059.0</v>
      </c>
      <c r="B262" s="20">
        <v>46059.0</v>
      </c>
      <c r="C262" s="21">
        <v>-4230.0</v>
      </c>
      <c r="D262" s="22"/>
      <c r="E262" s="15" t="b">
        <v>1</v>
      </c>
      <c r="F262" s="17" t="s">
        <v>12</v>
      </c>
      <c r="G262" s="17" t="s">
        <v>233</v>
      </c>
      <c r="H262" s="18">
        <f t="shared" si="1"/>
        <v>-4230</v>
      </c>
      <c r="I262" s="19" t="str">
        <f t="shared" si="3"/>
        <v>BONIFICO SEPADistinta: 1770368199974213RDEF</v>
      </c>
    </row>
    <row r="263">
      <c r="A263" s="20">
        <v>46059.0</v>
      </c>
      <c r="B263" s="20">
        <v>46059.0</v>
      </c>
      <c r="C263" s="21">
        <v>-3677.98</v>
      </c>
      <c r="D263" s="22"/>
      <c r="E263" s="15" t="b">
        <v>1</v>
      </c>
      <c r="F263" s="17" t="s">
        <v>12</v>
      </c>
      <c r="G263" s="17" t="s">
        <v>234</v>
      </c>
      <c r="H263" s="18">
        <f t="shared" si="1"/>
        <v>-3677.98</v>
      </c>
      <c r="I263" s="19" t="str">
        <f t="shared" si="3"/>
        <v>BONIFICO SEPADistinta: 17703049255701SD2DEF</v>
      </c>
    </row>
    <row r="264">
      <c r="A264" s="20">
        <v>46059.0</v>
      </c>
      <c r="B264" s="20">
        <v>46059.0</v>
      </c>
      <c r="C264" s="21">
        <v>-49.0</v>
      </c>
      <c r="D264" s="22"/>
      <c r="E264" s="15" t="b">
        <v>1</v>
      </c>
      <c r="F264" s="17" t="s">
        <v>12</v>
      </c>
      <c r="G264" s="17" t="s">
        <v>235</v>
      </c>
      <c r="H264" s="18">
        <f t="shared" si="1"/>
        <v>-49</v>
      </c>
      <c r="I264" s="19" t="str">
        <f t="shared" si="3"/>
        <v>BONIFICO SEPADistinta: 17703734087032228DEF</v>
      </c>
    </row>
    <row r="265">
      <c r="A265" s="20">
        <v>46059.0</v>
      </c>
      <c r="B265" s="20">
        <v>46059.0</v>
      </c>
      <c r="C265" s="21">
        <v>-3101.2</v>
      </c>
      <c r="D265" s="22"/>
      <c r="E265" s="15" t="b">
        <v>1</v>
      </c>
      <c r="F265" s="17" t="s">
        <v>12</v>
      </c>
      <c r="G265" s="17" t="s">
        <v>236</v>
      </c>
      <c r="H265" s="18">
        <f t="shared" si="1"/>
        <v>-3101.2</v>
      </c>
      <c r="I265" s="19" t="str">
        <f t="shared" si="3"/>
        <v>BONIFICO SEPADistinta: 17703043808051TAODEF</v>
      </c>
    </row>
    <row r="266">
      <c r="A266" s="20">
        <v>46059.0</v>
      </c>
      <c r="B266" s="20">
        <v>46059.0</v>
      </c>
      <c r="C266" s="21"/>
      <c r="D266" s="22">
        <v>872.5</v>
      </c>
      <c r="E266" s="15" t="b">
        <v>0</v>
      </c>
      <c r="F266" s="17" t="s">
        <v>12</v>
      </c>
      <c r="G266" s="17" t="s">
        <v>237</v>
      </c>
      <c r="H266" s="18">
        <f t="shared" si="1"/>
        <v>872.5</v>
      </c>
      <c r="I266" s="19" t="str">
        <f t="shared" si="3"/>
        <v>BONIFICO SEPADa NEXI Payments Spa TRN 070516240026NPPASU0000000000IT CIPBITMM per PV 1000001228596 ACCREDITO CIRCUITI INTERNAZ. 05022</v>
      </c>
    </row>
    <row r="267">
      <c r="A267" s="23">
        <v>46059.0</v>
      </c>
      <c r="B267" s="23">
        <v>46059.0</v>
      </c>
      <c r="C267" s="21"/>
      <c r="D267" s="22">
        <v>25.0</v>
      </c>
      <c r="E267" s="15" t="b">
        <v>0</v>
      </c>
      <c r="F267" s="17" t="s">
        <v>12</v>
      </c>
      <c r="G267" s="17" t="s">
        <v>238</v>
      </c>
      <c r="H267" s="18">
        <f t="shared" si="1"/>
        <v>25</v>
      </c>
      <c r="I267" s="19" t="str">
        <f t="shared" si="3"/>
        <v>BONIFICO SEPADa NEXI Payments Spa TRN 070516261106NPPASU0000000000IT CIPBITMM per PV 1000001228596 ACCREDITO BANCOMAT 050226 RIF 1113</v>
      </c>
    </row>
    <row r="268">
      <c r="A268" s="23">
        <v>46059.0</v>
      </c>
      <c r="B268" s="23">
        <v>46059.0</v>
      </c>
      <c r="C268" s="21"/>
      <c r="D268" s="22">
        <v>144.0</v>
      </c>
      <c r="E268" s="15" t="b">
        <v>0</v>
      </c>
      <c r="F268" s="17" t="s">
        <v>12</v>
      </c>
      <c r="G268" s="17" t="s">
        <v>239</v>
      </c>
      <c r="H268" s="18">
        <f t="shared" si="1"/>
        <v>144</v>
      </c>
      <c r="I268" s="19" t="str">
        <f t="shared" si="3"/>
        <v>BONIFICO SEPADa NEXI Payments Spa TRN 070513990016NPPASU0000000000IT CIPBITMM per PV 1000001228637 ACCREDITO CIRCUITI INTERNAZ. 05022</v>
      </c>
    </row>
    <row r="269">
      <c r="A269" s="20"/>
      <c r="B269" s="20"/>
      <c r="C269" s="21"/>
      <c r="D269" s="22"/>
      <c r="E269" s="15" t="b">
        <v>0</v>
      </c>
      <c r="F269" s="17"/>
      <c r="G269" s="17"/>
      <c r="H269" s="18">
        <f t="shared" si="1"/>
        <v>0</v>
      </c>
      <c r="I269" s="19" t="str">
        <f t="shared" si="3"/>
        <v/>
      </c>
    </row>
    <row r="270">
      <c r="A270" s="20"/>
      <c r="B270" s="20"/>
      <c r="C270" s="21"/>
      <c r="D270" s="22"/>
      <c r="E270" s="15" t="b">
        <v>0</v>
      </c>
      <c r="F270" s="17"/>
      <c r="G270" s="17"/>
      <c r="H270" s="18">
        <f t="shared" si="1"/>
        <v>0</v>
      </c>
      <c r="I270" s="19" t="str">
        <f t="shared" si="3"/>
        <v/>
      </c>
    </row>
    <row r="271">
      <c r="A271" s="20">
        <v>46059.0</v>
      </c>
      <c r="B271" s="20">
        <v>46059.0</v>
      </c>
      <c r="C271" s="29"/>
      <c r="D271" s="22">
        <v>1317.6</v>
      </c>
      <c r="E271" s="15" t="b">
        <v>0</v>
      </c>
      <c r="F271" s="17" t="s">
        <v>12</v>
      </c>
      <c r="G271" s="17" t="s">
        <v>240</v>
      </c>
      <c r="H271" s="18">
        <f t="shared" si="1"/>
        <v>1317.6</v>
      </c>
      <c r="I271" s="19" t="str">
        <f t="shared" si="3"/>
        <v>BONIFICO SEPADa NEW WAVE S.R.L. TRN 1101260360235514 UNCRITMM per saldo fatt. n. 713/2025 n.3/2026</v>
      </c>
    </row>
    <row r="272">
      <c r="A272" s="20">
        <v>46058.0</v>
      </c>
      <c r="B272" s="20">
        <v>46058.0</v>
      </c>
      <c r="C272" s="21">
        <v>-21005.0</v>
      </c>
      <c r="D272" s="22"/>
      <c r="E272" s="15" t="b">
        <v>1</v>
      </c>
      <c r="F272" s="17" t="s">
        <v>12</v>
      </c>
      <c r="G272" s="17" t="s">
        <v>241</v>
      </c>
      <c r="H272" s="18">
        <f t="shared" si="1"/>
        <v>-21005</v>
      </c>
      <c r="I272" s="19" t="str">
        <f t="shared" si="3"/>
        <v>BONIFICO SEPADistinta: 17702784277351LVVDEF</v>
      </c>
    </row>
    <row r="273">
      <c r="A273" s="20">
        <v>46058.0</v>
      </c>
      <c r="B273" s="20">
        <v>46058.0</v>
      </c>
      <c r="C273" s="21">
        <v>-500.0</v>
      </c>
      <c r="D273" s="22"/>
      <c r="E273" s="15" t="b">
        <v>1</v>
      </c>
      <c r="F273" s="17" t="s">
        <v>12</v>
      </c>
      <c r="G273" s="17" t="s">
        <v>242</v>
      </c>
      <c r="H273" s="18">
        <f t="shared" si="1"/>
        <v>-500</v>
      </c>
      <c r="I273" s="19" t="str">
        <f t="shared" si="3"/>
        <v>BONIFICO SEPADistinta: 17702833236361NMRDEF</v>
      </c>
    </row>
    <row r="274">
      <c r="A274" s="20">
        <v>46058.0</v>
      </c>
      <c r="B274" s="20">
        <v>46058.0</v>
      </c>
      <c r="C274" s="21"/>
      <c r="D274" s="22">
        <v>42.0</v>
      </c>
      <c r="E274" s="15" t="b">
        <v>0</v>
      </c>
      <c r="F274" s="17" t="s">
        <v>12</v>
      </c>
      <c r="G274" s="17" t="s">
        <v>243</v>
      </c>
      <c r="H274" s="18">
        <f t="shared" si="1"/>
        <v>42</v>
      </c>
      <c r="I274" s="19" t="str">
        <f t="shared" si="3"/>
        <v>BONIFICO SEPADa NEXI Payments Spa TRN 070403991086NPPASU0000000000IT CIPBITMM per PV 1000001228637 ACCREDITO CIRCUITI INTERNAZ. 04022</v>
      </c>
    </row>
    <row r="275">
      <c r="A275" s="20">
        <v>46058.0</v>
      </c>
      <c r="B275" s="20">
        <v>46058.0</v>
      </c>
      <c r="C275" s="29"/>
      <c r="D275" s="22">
        <v>249.0</v>
      </c>
      <c r="E275" s="15" t="b">
        <v>0</v>
      </c>
      <c r="F275" s="17" t="s">
        <v>12</v>
      </c>
      <c r="G275" s="17" t="s">
        <v>244</v>
      </c>
      <c r="H275" s="18">
        <f t="shared" si="1"/>
        <v>249</v>
      </c>
      <c r="I275" s="19" t="str">
        <f t="shared" si="3"/>
        <v>BONIFICO SEPADa NEXI Payments Spa TRN 070403670126NPPASU0000000000IT CIPBITMM per PV 1000001228596 ACCREDITO BANCOMAT 040226 RIF 1112</v>
      </c>
    </row>
    <row r="276">
      <c r="A276" s="20">
        <v>46058.0</v>
      </c>
      <c r="B276" s="20">
        <v>46058.0</v>
      </c>
      <c r="C276" s="21"/>
      <c r="D276" s="22">
        <v>1904.0</v>
      </c>
      <c r="E276" s="15" t="b">
        <v>0</v>
      </c>
      <c r="F276" s="17" t="s">
        <v>12</v>
      </c>
      <c r="G276" s="17" t="s">
        <v>245</v>
      </c>
      <c r="H276" s="18">
        <f t="shared" si="1"/>
        <v>1904</v>
      </c>
      <c r="I276" s="19" t="str">
        <f t="shared" si="3"/>
        <v>BONIFICO SEPADa NEXI Payments Spa TRN 070403660026NPPASU0000000000IT CIPBITMM per PV 1000001228596 ACCREDITO CIRCUITI INTERNAZ. 04022</v>
      </c>
    </row>
    <row r="277">
      <c r="A277" s="20">
        <v>46058.0</v>
      </c>
      <c r="B277" s="23">
        <v>46058.0</v>
      </c>
      <c r="C277" s="21"/>
      <c r="D277" s="22">
        <v>567.1</v>
      </c>
      <c r="E277" s="15" t="b">
        <v>0</v>
      </c>
      <c r="F277" s="17" t="s">
        <v>12</v>
      </c>
      <c r="G277" s="17" t="s">
        <v>246</v>
      </c>
      <c r="H277" s="18">
        <f t="shared" si="1"/>
        <v>567.1</v>
      </c>
      <c r="I277" s="19" t="str">
        <f t="shared" si="3"/>
        <v>BONIFICO SEPADa Scalapay IP S.p.a. TRN 3601826020504511114211440880048-008 CBPSIT31XXX per 2026-02-04 - GEOS S SDRL - Scalapay IP S.p</v>
      </c>
    </row>
    <row r="278">
      <c r="A278" s="20">
        <v>46058.0</v>
      </c>
      <c r="B278" s="23">
        <v>46058.0</v>
      </c>
      <c r="C278" s="21">
        <v>-0.4</v>
      </c>
      <c r="D278" s="22"/>
      <c r="E278" s="15" t="b">
        <v>1</v>
      </c>
      <c r="F278" s="17" t="s">
        <v>101</v>
      </c>
      <c r="G278" s="17" t="s">
        <v>103</v>
      </c>
      <c r="H278" s="18">
        <f t="shared" si="1"/>
        <v>-0.4</v>
      </c>
      <c r="I278" s="19" t="str">
        <f t="shared" si="3"/>
        <v>COMMISSIONI DOMICILIAZIONE (ADDEBITO DIRETTO SEPA)NEXI Payments Spa    CID.IT500540000004107060966             MAN.CL2XV900700884PC0001228636</v>
      </c>
    </row>
    <row r="279">
      <c r="A279" s="20">
        <v>46058.0</v>
      </c>
      <c r="B279" s="20">
        <v>46058.0</v>
      </c>
      <c r="C279" s="21">
        <v>-0.4</v>
      </c>
      <c r="D279" s="22"/>
      <c r="E279" s="15" t="b">
        <v>1</v>
      </c>
      <c r="F279" s="17" t="s">
        <v>101</v>
      </c>
      <c r="G279" s="17" t="s">
        <v>102</v>
      </c>
      <c r="H279" s="18">
        <f t="shared" si="1"/>
        <v>-0.4</v>
      </c>
      <c r="I279" s="19" t="str">
        <f t="shared" si="3"/>
        <v>COMMISSIONI DOMICILIAZIONE (ADDEBITO DIRETTO SEPA)NEXI Payments Spa    CID.IT500540000004107060966             MAN.CL2XV900700799PC0001228595</v>
      </c>
    </row>
    <row r="280">
      <c r="A280" s="20">
        <v>46057.0</v>
      </c>
      <c r="B280" s="20">
        <v>46057.0</v>
      </c>
      <c r="C280" s="21">
        <v>-1360.0</v>
      </c>
      <c r="D280" s="22"/>
      <c r="E280" s="15" t="b">
        <v>1</v>
      </c>
      <c r="F280" s="17" t="s">
        <v>12</v>
      </c>
      <c r="G280" s="17" t="s">
        <v>247</v>
      </c>
      <c r="H280" s="18">
        <f t="shared" si="1"/>
        <v>-1360</v>
      </c>
      <c r="I280" s="19" t="str">
        <f t="shared" si="3"/>
        <v>BONIFICO SEPADistinta: 17702043993031FEDDEF</v>
      </c>
    </row>
    <row r="281">
      <c r="A281" s="20">
        <v>46057.0</v>
      </c>
      <c r="B281" s="20">
        <v>46057.0</v>
      </c>
      <c r="C281" s="21">
        <v>-2780.0</v>
      </c>
      <c r="D281" s="22"/>
      <c r="E281" s="15" t="b">
        <v>1</v>
      </c>
      <c r="F281" s="17" t="s">
        <v>12</v>
      </c>
      <c r="G281" s="17" t="s">
        <v>248</v>
      </c>
      <c r="H281" s="18">
        <f t="shared" si="1"/>
        <v>-2780</v>
      </c>
      <c r="I281" s="19" t="str">
        <f t="shared" si="3"/>
        <v>BONIFICO SEPADistinta: 17701958673091C86DEF</v>
      </c>
    </row>
    <row r="282">
      <c r="A282" s="20">
        <v>46057.0</v>
      </c>
      <c r="B282" s="20">
        <v>46057.0</v>
      </c>
      <c r="C282" s="21">
        <v>-5290.0</v>
      </c>
      <c r="D282" s="22"/>
      <c r="E282" s="15" t="b">
        <v>1</v>
      </c>
      <c r="F282" s="17" t="s">
        <v>12</v>
      </c>
      <c r="G282" s="17" t="s">
        <v>249</v>
      </c>
      <c r="H282" s="18">
        <f t="shared" si="1"/>
        <v>-5290</v>
      </c>
      <c r="I282" s="19" t="str">
        <f t="shared" si="3"/>
        <v>BONIFICO SEPADistinta: 17702014524101EIGDEF</v>
      </c>
    </row>
    <row r="283">
      <c r="A283" s="20">
        <v>46057.0</v>
      </c>
      <c r="B283" s="20">
        <v>46057.0</v>
      </c>
      <c r="C283" s="21">
        <v>-3165.0</v>
      </c>
      <c r="D283" s="22"/>
      <c r="E283" s="15" t="b">
        <v>1</v>
      </c>
      <c r="F283" s="17" t="s">
        <v>12</v>
      </c>
      <c r="G283" s="17" t="s">
        <v>250</v>
      </c>
      <c r="H283" s="18">
        <f t="shared" si="1"/>
        <v>-3165</v>
      </c>
      <c r="I283" s="19" t="str">
        <f t="shared" si="3"/>
        <v>BONIFICO SEPADistinta: 17701997465941DS8DEF</v>
      </c>
    </row>
    <row r="284">
      <c r="A284" s="20">
        <v>46057.0</v>
      </c>
      <c r="B284" s="20">
        <v>46057.0</v>
      </c>
      <c r="C284" s="21">
        <v>-6425.0</v>
      </c>
      <c r="D284" s="22"/>
      <c r="E284" s="15" t="b">
        <v>1</v>
      </c>
      <c r="F284" s="17" t="s">
        <v>12</v>
      </c>
      <c r="G284" s="17" t="s">
        <v>251</v>
      </c>
      <c r="H284" s="18">
        <f t="shared" si="1"/>
        <v>-6425</v>
      </c>
      <c r="I284" s="19" t="str">
        <f t="shared" si="3"/>
        <v>BONIFICO SEPADistinta: 17701983361911DKSDEF</v>
      </c>
    </row>
    <row r="285">
      <c r="A285" s="20">
        <v>46057.0</v>
      </c>
      <c r="B285" s="20">
        <v>46057.0</v>
      </c>
      <c r="C285" s="21">
        <v>-4000.0</v>
      </c>
      <c r="D285" s="22"/>
      <c r="E285" s="15" t="b">
        <v>1</v>
      </c>
      <c r="F285" s="17" t="s">
        <v>12</v>
      </c>
      <c r="G285" s="17" t="s">
        <v>252</v>
      </c>
      <c r="H285" s="18">
        <f t="shared" si="1"/>
        <v>-4000</v>
      </c>
      <c r="I285" s="19" t="str">
        <f t="shared" si="3"/>
        <v>BONIFICO SEPADistinta: 17702017089621F3IDEF</v>
      </c>
    </row>
    <row r="286">
      <c r="A286" s="23">
        <v>46057.0</v>
      </c>
      <c r="B286" s="23">
        <v>46057.0</v>
      </c>
      <c r="C286" s="21">
        <v>-600.0</v>
      </c>
      <c r="D286" s="22"/>
      <c r="E286" s="15" t="b">
        <v>1</v>
      </c>
      <c r="F286" s="17" t="s">
        <v>12</v>
      </c>
      <c r="G286" s="17" t="s">
        <v>253</v>
      </c>
      <c r="H286" s="18">
        <f t="shared" si="1"/>
        <v>-600</v>
      </c>
      <c r="I286" s="19" t="str">
        <f t="shared" si="3"/>
        <v>BONIFICO SEPADistinta: 17702019111121EDTDEF</v>
      </c>
    </row>
    <row r="287">
      <c r="A287" s="23">
        <v>46057.0</v>
      </c>
      <c r="B287" s="23">
        <v>46057.0</v>
      </c>
      <c r="C287" s="21">
        <v>-350.0</v>
      </c>
      <c r="D287" s="22"/>
      <c r="E287" s="15" t="b">
        <v>1</v>
      </c>
      <c r="F287" s="17" t="s">
        <v>12</v>
      </c>
      <c r="G287" s="17" t="s">
        <v>254</v>
      </c>
      <c r="H287" s="18">
        <f t="shared" si="1"/>
        <v>-350</v>
      </c>
      <c r="I287" s="19" t="str">
        <f t="shared" si="3"/>
        <v>BONIFICO SEPADistinta: 177012982205917ECDEF</v>
      </c>
    </row>
    <row r="288">
      <c r="A288" s="23">
        <v>46057.0</v>
      </c>
      <c r="B288" s="23">
        <v>46057.0</v>
      </c>
      <c r="C288" s="21">
        <v>-5035.0</v>
      </c>
      <c r="D288" s="22"/>
      <c r="E288" s="15" t="b">
        <v>1</v>
      </c>
      <c r="F288" s="17" t="s">
        <v>12</v>
      </c>
      <c r="G288" s="17" t="s">
        <v>255</v>
      </c>
      <c r="H288" s="18">
        <f t="shared" si="1"/>
        <v>-5035</v>
      </c>
      <c r="I288" s="19" t="str">
        <f t="shared" si="3"/>
        <v>BONIFICO SEPADistinta: 17701975024691CIPDEF</v>
      </c>
    </row>
    <row r="289">
      <c r="A289" s="23">
        <v>46057.0</v>
      </c>
      <c r="B289" s="23">
        <v>46057.0</v>
      </c>
      <c r="C289" s="21"/>
      <c r="D289" s="22">
        <v>25.0</v>
      </c>
      <c r="E289" s="15" t="b">
        <v>0</v>
      </c>
      <c r="F289" s="17" t="s">
        <v>12</v>
      </c>
      <c r="G289" s="17" t="s">
        <v>256</v>
      </c>
      <c r="H289" s="18">
        <f t="shared" si="1"/>
        <v>25</v>
      </c>
      <c r="I289" s="19" t="str">
        <f t="shared" si="3"/>
        <v>BONIFICO SEPADa NEXI Payments Spa TRN 070290747076NPPASU0000000000IT CIPBITMM per PV 1000001228596 ACCREDITO CIRCUITI INTERNAZ. 03022</v>
      </c>
    </row>
    <row r="290">
      <c r="A290" s="20">
        <v>46057.0</v>
      </c>
      <c r="B290" s="20">
        <v>46057.0</v>
      </c>
      <c r="C290" s="25"/>
      <c r="D290" s="22">
        <v>139.0</v>
      </c>
      <c r="E290" s="15" t="b">
        <v>0</v>
      </c>
      <c r="F290" s="17" t="s">
        <v>12</v>
      </c>
      <c r="G290" s="17" t="s">
        <v>257</v>
      </c>
      <c r="H290" s="18">
        <f t="shared" si="1"/>
        <v>139</v>
      </c>
      <c r="I290" s="19" t="str">
        <f t="shared" si="3"/>
        <v>BONIFICO SEPADa NEXI Payments Spa TRN 070291005056NPPASU0000000000IT CIPBITMM per PV 1000001228637 ACCREDITO CIRCUITI INTERNAZ. 03022</v>
      </c>
    </row>
    <row r="291">
      <c r="A291" s="20">
        <v>46057.0</v>
      </c>
      <c r="B291" s="20">
        <v>46057.0</v>
      </c>
      <c r="C291" s="25"/>
      <c r="D291" s="22">
        <v>475.0</v>
      </c>
      <c r="E291" s="15" t="b">
        <v>0</v>
      </c>
      <c r="F291" s="17" t="s">
        <v>12</v>
      </c>
      <c r="G291" s="17" t="s">
        <v>258</v>
      </c>
      <c r="H291" s="18">
        <f t="shared" si="1"/>
        <v>475</v>
      </c>
      <c r="I291" s="19" t="str">
        <f t="shared" si="3"/>
        <v>BONIFICO SEPADa NEXI Payments Spa TRN 070290760076NPPASU0000000000IT CIPBITMM per PV 1000001228596 ACCREDITO BANCOMAT 030226 RIF 1111</v>
      </c>
    </row>
    <row r="292">
      <c r="A292" s="20">
        <v>46057.0</v>
      </c>
      <c r="B292" s="20">
        <v>46053.0</v>
      </c>
      <c r="C292" s="21">
        <v>-10.0</v>
      </c>
      <c r="D292" s="26"/>
      <c r="E292" s="15" t="b">
        <v>1</v>
      </c>
      <c r="F292" s="17" t="s">
        <v>108</v>
      </c>
      <c r="G292" s="17" t="s">
        <v>259</v>
      </c>
      <c r="H292" s="18">
        <f t="shared" si="1"/>
        <v>-10</v>
      </c>
      <c r="I292" s="19" t="str">
        <f t="shared" si="3"/>
        <v>TENUTA CONTOADDEBITO RELATIVO AL PERIODO DI GENNAIO   2026</v>
      </c>
    </row>
    <row r="293">
      <c r="A293" s="20">
        <v>46057.0</v>
      </c>
      <c r="B293" s="20">
        <v>46053.0</v>
      </c>
      <c r="C293" s="21">
        <v>-5.0</v>
      </c>
      <c r="D293" s="26"/>
      <c r="E293" s="15" t="b">
        <v>1</v>
      </c>
      <c r="F293" s="17" t="s">
        <v>110</v>
      </c>
      <c r="G293" s="17" t="s">
        <v>260</v>
      </c>
      <c r="H293" s="18">
        <f t="shared" si="1"/>
        <v>-5</v>
      </c>
      <c r="I293" s="19" t="str">
        <f t="shared" si="3"/>
        <v>CANONE SERVIZIO COLLEGAMENTO TELEMATICOADDEBITO CANONE DEL SERVIZIO BANCOPOSTAIMPRESA ONLINE RELATIVO AL PERIODO GENNAIO 2026 CONTRATTO N. 0059926216</v>
      </c>
    </row>
    <row r="294">
      <c r="A294" s="20">
        <v>46057.0</v>
      </c>
      <c r="B294" s="20">
        <v>46057.0</v>
      </c>
      <c r="C294" s="21">
        <v>-144.59</v>
      </c>
      <c r="D294" s="26"/>
      <c r="E294" s="15" t="b">
        <v>1</v>
      </c>
      <c r="F294" s="17" t="s">
        <v>112</v>
      </c>
      <c r="G294" s="17" t="s">
        <v>102</v>
      </c>
      <c r="H294" s="18">
        <f t="shared" si="1"/>
        <v>-144.59</v>
      </c>
      <c r="I294" s="19" t="str">
        <f t="shared" si="3"/>
        <v>DOMICILIAZIONE (ADDEBITO DIRETTO SEPA)NEXI Payments Spa    CID.IT500540000004107060966             MAN.CL2XV900700799PC0001228595</v>
      </c>
    </row>
    <row r="295">
      <c r="A295" s="20">
        <v>46057.0</v>
      </c>
      <c r="B295" s="20">
        <v>46057.0</v>
      </c>
      <c r="C295" s="21">
        <v>-43.11</v>
      </c>
      <c r="D295" s="26"/>
      <c r="E295" s="15" t="b">
        <v>1</v>
      </c>
      <c r="F295" s="17" t="s">
        <v>112</v>
      </c>
      <c r="G295" s="17" t="s">
        <v>103</v>
      </c>
      <c r="H295" s="18">
        <f t="shared" si="1"/>
        <v>-43.11</v>
      </c>
      <c r="I295" s="19" t="str">
        <f t="shared" si="3"/>
        <v>DOMICILIAZIONE (ADDEBITO DIRETTO SEPA)NEXI Payments Spa    CID.IT500540000004107060966             MAN.CL2XV900700884PC0001228636</v>
      </c>
    </row>
    <row r="296">
      <c r="A296" s="20">
        <v>46056.0</v>
      </c>
      <c r="B296" s="20">
        <v>46056.0</v>
      </c>
      <c r="C296" s="21">
        <v>-300.0</v>
      </c>
      <c r="D296" s="26"/>
      <c r="E296" s="15" t="b">
        <v>1</v>
      </c>
      <c r="F296" s="17" t="s">
        <v>12</v>
      </c>
      <c r="G296" s="17" t="s">
        <v>261</v>
      </c>
      <c r="H296" s="18">
        <f t="shared" si="1"/>
        <v>-300</v>
      </c>
      <c r="I296" s="19" t="str">
        <f t="shared" si="3"/>
        <v>BONIFICO SEPADistinta: 177010750777110PTDEF</v>
      </c>
    </row>
    <row r="297">
      <c r="A297" s="20">
        <v>46056.0</v>
      </c>
      <c r="B297" s="20">
        <v>46056.0</v>
      </c>
      <c r="C297" s="25"/>
      <c r="D297" s="22">
        <v>480.0</v>
      </c>
      <c r="E297" s="15" t="b">
        <v>0</v>
      </c>
      <c r="F297" s="17" t="s">
        <v>12</v>
      </c>
      <c r="G297" s="17" t="s">
        <v>262</v>
      </c>
      <c r="H297" s="18">
        <f t="shared" si="1"/>
        <v>480</v>
      </c>
      <c r="I297" s="19" t="str">
        <f t="shared" si="3"/>
        <v>BONIFICO SEPADa NEXI Payments Spa TRN 070189770016NPPASU0000000000IT CIPBITMM per PV 1000001228596 ACCREDITO CIRCUITI INTERNAZ. 02022</v>
      </c>
    </row>
    <row r="298">
      <c r="A298" s="20">
        <v>46056.0</v>
      </c>
      <c r="B298" s="20">
        <v>46056.0</v>
      </c>
      <c r="C298" s="25"/>
      <c r="D298" s="22">
        <v>571.6</v>
      </c>
      <c r="E298" s="15" t="b">
        <v>0</v>
      </c>
      <c r="F298" s="17" t="s">
        <v>12</v>
      </c>
      <c r="G298" s="17" t="s">
        <v>263</v>
      </c>
      <c r="H298" s="18">
        <f t="shared" si="1"/>
        <v>571.6</v>
      </c>
      <c r="I298" s="19" t="str">
        <f t="shared" si="3"/>
        <v>BONIFICO SEPADa Scalapay IP S.p.a. TRN 3601826020304524483532537603980-008 CBPSIT31XXX per 2026-02-02 - GEOS S SDRL - Scalapay IP S.p</v>
      </c>
    </row>
    <row r="299">
      <c r="A299" s="20">
        <v>46056.0</v>
      </c>
      <c r="B299" s="20">
        <v>46054.0</v>
      </c>
      <c r="C299" s="21">
        <v>-170.41</v>
      </c>
      <c r="D299" s="26"/>
      <c r="E299" s="15" t="b">
        <v>1</v>
      </c>
      <c r="F299" s="17" t="s">
        <v>123</v>
      </c>
      <c r="G299" s="27" t="s">
        <v>264</v>
      </c>
      <c r="H299" s="18">
        <f t="shared" si="1"/>
        <v>-170.41</v>
      </c>
      <c r="I299" s="19" t="str">
        <f t="shared" si="3"/>
        <v>PAGAMENTO POSGOOGLE *ADS5278163162  01/02/2026 14.17 DUBLIN 2      Op.607179 carta ****0501</v>
      </c>
    </row>
    <row r="300">
      <c r="A300" s="20">
        <v>46056.0</v>
      </c>
      <c r="B300" s="20">
        <v>46053.0</v>
      </c>
      <c r="C300" s="21">
        <v>-8.49</v>
      </c>
      <c r="D300" s="26"/>
      <c r="E300" s="15" t="b">
        <v>1</v>
      </c>
      <c r="F300" s="17" t="s">
        <v>125</v>
      </c>
      <c r="G300" s="28"/>
      <c r="H300" s="18">
        <f t="shared" si="1"/>
        <v>-8.49</v>
      </c>
      <c r="I300" s="19" t="str">
        <f t="shared" si="3"/>
        <v>IMPOSTA DI BOLLO</v>
      </c>
    </row>
    <row r="301">
      <c r="A301" s="20">
        <v>46055.0</v>
      </c>
      <c r="B301" s="20">
        <v>46055.0</v>
      </c>
      <c r="C301" s="21">
        <v>-2597.38</v>
      </c>
      <c r="D301" s="26"/>
      <c r="E301" s="15" t="b">
        <v>1</v>
      </c>
      <c r="F301" s="17" t="s">
        <v>12</v>
      </c>
      <c r="G301" s="17" t="s">
        <v>265</v>
      </c>
      <c r="H301" s="18">
        <f t="shared" si="1"/>
        <v>-2597.38</v>
      </c>
      <c r="I301" s="19" t="str">
        <f t="shared" si="3"/>
        <v>BONIFICO SEPADistinta: 17700315757860PLRDEF</v>
      </c>
    </row>
    <row r="302">
      <c r="A302" s="30">
        <v>46055.0</v>
      </c>
      <c r="B302" s="30">
        <v>46055.0</v>
      </c>
      <c r="C302" s="25">
        <v>-2910.0</v>
      </c>
      <c r="D302" s="26"/>
      <c r="E302" s="15" t="b">
        <v>1</v>
      </c>
      <c r="F302" s="28" t="s">
        <v>12</v>
      </c>
      <c r="G302" s="28" t="s">
        <v>266</v>
      </c>
      <c r="H302" s="18">
        <f t="shared" si="1"/>
        <v>-2910</v>
      </c>
      <c r="I302" s="19" t="str">
        <f t="shared" si="3"/>
        <v>BONIFICO SEPADistinta: 17700279065640OBVDEF</v>
      </c>
    </row>
    <row r="303">
      <c r="A303" s="30">
        <v>46055.0</v>
      </c>
      <c r="B303" s="30">
        <v>46055.0</v>
      </c>
      <c r="C303" s="25">
        <v>-500.0</v>
      </c>
      <c r="D303" s="26"/>
      <c r="E303" s="15" t="b">
        <v>1</v>
      </c>
      <c r="F303" s="28" t="s">
        <v>12</v>
      </c>
      <c r="G303" s="28" t="s">
        <v>267</v>
      </c>
      <c r="H303" s="18">
        <f t="shared" si="1"/>
        <v>-500</v>
      </c>
      <c r="I303" s="19" t="str">
        <f t="shared" si="3"/>
        <v>BONIFICO SEPADistinta: 17700360354350QVCDEF</v>
      </c>
    </row>
    <row r="304">
      <c r="A304" s="20"/>
      <c r="B304" s="20"/>
      <c r="C304" s="21"/>
      <c r="D304" s="22"/>
      <c r="E304" s="15" t="b">
        <v>0</v>
      </c>
      <c r="F304" s="17"/>
      <c r="G304" s="17"/>
      <c r="H304" s="18">
        <f t="shared" si="1"/>
        <v>0</v>
      </c>
      <c r="I304" s="19" t="str">
        <f t="shared" si="3"/>
        <v/>
      </c>
    </row>
    <row r="305">
      <c r="A305" s="20"/>
      <c r="B305" s="20"/>
      <c r="C305" s="21"/>
      <c r="D305" s="22"/>
      <c r="E305" s="15" t="b">
        <v>0</v>
      </c>
      <c r="F305" s="17"/>
      <c r="G305" s="17"/>
      <c r="H305" s="18">
        <f t="shared" si="1"/>
        <v>0</v>
      </c>
      <c r="I305" s="19" t="str">
        <f t="shared" si="3"/>
        <v/>
      </c>
    </row>
    <row r="306">
      <c r="A306" s="20">
        <v>46055.0</v>
      </c>
      <c r="B306" s="20">
        <v>46055.0</v>
      </c>
      <c r="C306" s="21"/>
      <c r="D306" s="22">
        <v>84.0</v>
      </c>
      <c r="E306" s="15" t="b">
        <v>0</v>
      </c>
      <c r="F306" s="17" t="s">
        <v>12</v>
      </c>
      <c r="G306" s="17" t="s">
        <v>268</v>
      </c>
      <c r="H306" s="18">
        <f t="shared" si="1"/>
        <v>84</v>
      </c>
      <c r="I306" s="19" t="str">
        <f t="shared" si="3"/>
        <v>BONIFICO SEPADa NEXI Payments Spa TRN 070122768016NPPASU0000000000IT CIPBITMM per PV 1000001228637 ACCREDITO CIRCUITI INTERNAZ. 01022</v>
      </c>
    </row>
    <row r="307">
      <c r="A307" s="20">
        <v>46055.0</v>
      </c>
      <c r="B307" s="23">
        <v>46055.0</v>
      </c>
      <c r="C307" s="21"/>
      <c r="D307" s="22">
        <v>25.0</v>
      </c>
      <c r="E307" s="15" t="b">
        <v>0</v>
      </c>
      <c r="F307" s="17" t="s">
        <v>12</v>
      </c>
      <c r="G307" s="17" t="s">
        <v>269</v>
      </c>
      <c r="H307" s="18">
        <f t="shared" si="1"/>
        <v>25</v>
      </c>
      <c r="I307" s="19" t="str">
        <f t="shared" si="3"/>
        <v>BONIFICO SEPADa NEXI Payments Spa TRN 070031894106NPPASU0000000000IT CIPBITMM per PV 1000001228596 ACCREDITO BANCOMAT 310126 RIF 1107</v>
      </c>
    </row>
    <row r="308">
      <c r="A308" s="20">
        <v>46055.0</v>
      </c>
      <c r="B308" s="23">
        <v>46055.0</v>
      </c>
      <c r="C308" s="29"/>
      <c r="D308" s="22">
        <v>412.8</v>
      </c>
      <c r="E308" s="15" t="b">
        <v>0</v>
      </c>
      <c r="F308" s="17" t="s">
        <v>12</v>
      </c>
      <c r="G308" s="17" t="s">
        <v>270</v>
      </c>
      <c r="H308" s="18">
        <f t="shared" si="1"/>
        <v>412.8</v>
      </c>
      <c r="I308" s="19" t="str">
        <f t="shared" si="3"/>
        <v>BONIFICO SEPADa NEXI Payments Spa TRN 070031889056NPPASU0000000000IT CIPBITMM per PV 1000001228596 ACCREDITO CIRCUITI INTERNAZ. 31012</v>
      </c>
    </row>
    <row r="309">
      <c r="A309" s="20">
        <v>46055.0</v>
      </c>
      <c r="B309" s="20">
        <v>46055.0</v>
      </c>
      <c r="C309" s="21"/>
      <c r="D309" s="22">
        <v>580.0</v>
      </c>
      <c r="E309" s="15" t="b">
        <v>0</v>
      </c>
      <c r="F309" s="17" t="s">
        <v>12</v>
      </c>
      <c r="G309" s="17" t="s">
        <v>271</v>
      </c>
      <c r="H309" s="18">
        <f t="shared" si="1"/>
        <v>580</v>
      </c>
      <c r="I309" s="19" t="str">
        <f t="shared" si="3"/>
        <v>BONIFICO SEPADa NEXI Payments Spa TRN 069938018076NPPASU0000000000IT CIPBITMM per PV 1000001228596 ACCREDITO CIRCUITI INTERNAZ. 30012</v>
      </c>
    </row>
    <row r="310">
      <c r="A310" s="20">
        <v>46055.0</v>
      </c>
      <c r="B310" s="20">
        <v>46055.0</v>
      </c>
      <c r="C310" s="21"/>
      <c r="D310" s="22">
        <v>182.5</v>
      </c>
      <c r="E310" s="15" t="b">
        <v>0</v>
      </c>
      <c r="F310" s="17" t="s">
        <v>12</v>
      </c>
      <c r="G310" s="17" t="s">
        <v>272</v>
      </c>
      <c r="H310" s="18">
        <f t="shared" si="1"/>
        <v>182.5</v>
      </c>
      <c r="I310" s="19" t="str">
        <f t="shared" si="3"/>
        <v>BONIFICO SEPADa NEXI Payments Spa TRN 069938031076NPPASU0000000000IT CIPBITMM per PV 1000001228596 ACCREDITO BANCOMAT 300126 RIF 1104</v>
      </c>
    </row>
    <row r="311">
      <c r="A311" s="20">
        <v>46055.0</v>
      </c>
      <c r="B311" s="20">
        <v>46055.0</v>
      </c>
      <c r="C311" s="21"/>
      <c r="D311" s="22">
        <v>36.8</v>
      </c>
      <c r="E311" s="15" t="b">
        <v>0</v>
      </c>
      <c r="F311" s="17" t="s">
        <v>28</v>
      </c>
      <c r="G311" s="17" t="s">
        <v>273</v>
      </c>
      <c r="H311" s="18">
        <f t="shared" si="1"/>
        <v>36.8</v>
      </c>
      <c r="I311" s="19" t="str">
        <f t="shared" si="3"/>
        <v>BONIFICODa Satispay Europe S.A. TRN 8435be6c745049b9be750d650fc4f88f SATYLUL1XXX per Geos ssdr</v>
      </c>
    </row>
    <row r="312">
      <c r="A312" s="20"/>
      <c r="B312" s="20"/>
      <c r="C312" s="21"/>
      <c r="D312" s="22"/>
      <c r="E312" s="15" t="b">
        <v>0</v>
      </c>
      <c r="F312" s="17"/>
      <c r="G312" s="17"/>
      <c r="H312" s="18">
        <f t="shared" si="1"/>
        <v>0</v>
      </c>
      <c r="I312" s="19" t="str">
        <f t="shared" si="3"/>
        <v/>
      </c>
    </row>
    <row r="313">
      <c r="A313" s="20">
        <v>46052.0</v>
      </c>
      <c r="B313" s="20">
        <v>46052.0</v>
      </c>
      <c r="C313" s="21"/>
      <c r="D313" s="22">
        <v>315.0</v>
      </c>
      <c r="E313" s="15" t="b">
        <v>0</v>
      </c>
      <c r="F313" s="17" t="s">
        <v>12</v>
      </c>
      <c r="G313" s="17" t="s">
        <v>274</v>
      </c>
      <c r="H313" s="18">
        <f t="shared" si="1"/>
        <v>315</v>
      </c>
      <c r="I313" s="19" t="str">
        <f t="shared" si="3"/>
        <v>BONIFICO SEPADa NEXI Payments Spa TRN 069820384106NPPASU0000000000IT CIPBITMM per PV 1000001228637 ACCREDITO CIRCUITI INTERNAZ. 29012</v>
      </c>
    </row>
    <row r="314">
      <c r="A314" s="20">
        <v>46052.0</v>
      </c>
      <c r="B314" s="20">
        <v>46052.0</v>
      </c>
      <c r="C314" s="29"/>
      <c r="D314" s="22">
        <v>55.0</v>
      </c>
      <c r="E314" s="15" t="b">
        <v>0</v>
      </c>
      <c r="F314" s="17" t="s">
        <v>12</v>
      </c>
      <c r="G314" s="17" t="s">
        <v>275</v>
      </c>
      <c r="H314" s="18">
        <f t="shared" si="1"/>
        <v>55</v>
      </c>
      <c r="I314" s="19" t="str">
        <f t="shared" si="3"/>
        <v>BONIFICO SEPADa NEXI Payments Spa TRN 069819021126NPPASU0000000000IT CIPBITMM per PV 1000001228596 ACCREDITO CIRCUITI INTERNAZ. 29012</v>
      </c>
    </row>
    <row r="315">
      <c r="A315" s="20">
        <v>46052.0</v>
      </c>
      <c r="B315" s="20">
        <v>46052.0</v>
      </c>
      <c r="C315" s="29"/>
      <c r="D315" s="22">
        <v>175.0</v>
      </c>
      <c r="E315" s="15" t="b">
        <v>0</v>
      </c>
      <c r="F315" s="17" t="s">
        <v>12</v>
      </c>
      <c r="G315" s="17" t="s">
        <v>276</v>
      </c>
      <c r="H315" s="18">
        <f t="shared" si="1"/>
        <v>175</v>
      </c>
      <c r="I315" s="19" t="str">
        <f t="shared" si="3"/>
        <v>BONIFICO SEPADa NEXI Payments Spa TRN 069819028066NPPASU0000000000IT CIPBITMM per PV 1000001228596 ACCREDITO BANCOMAT 290126 RIF 1103</v>
      </c>
    </row>
    <row r="316">
      <c r="A316" s="20">
        <v>46051.0</v>
      </c>
      <c r="B316" s="20">
        <v>46051.0</v>
      </c>
      <c r="C316" s="21">
        <v>-890.0</v>
      </c>
      <c r="D316" s="22"/>
      <c r="E316" s="15" t="b">
        <v>1</v>
      </c>
      <c r="F316" s="17" t="s">
        <v>12</v>
      </c>
      <c r="G316" s="17" t="s">
        <v>277</v>
      </c>
      <c r="H316" s="18">
        <f t="shared" si="1"/>
        <v>-890</v>
      </c>
      <c r="I316" s="19" t="str">
        <f t="shared" si="3"/>
        <v>BONIFICO SEPADistinta: 176961314880207T5DEF</v>
      </c>
    </row>
    <row r="317">
      <c r="A317" s="20">
        <v>46051.0</v>
      </c>
      <c r="B317" s="20">
        <v>46051.0</v>
      </c>
      <c r="C317" s="21">
        <v>-200.0</v>
      </c>
      <c r="D317" s="22"/>
      <c r="E317" s="15" t="b">
        <v>1</v>
      </c>
      <c r="F317" s="17" t="s">
        <v>12</v>
      </c>
      <c r="G317" s="17" t="s">
        <v>278</v>
      </c>
      <c r="H317" s="18">
        <f t="shared" si="1"/>
        <v>-200</v>
      </c>
      <c r="I317" s="19" t="str">
        <f t="shared" si="3"/>
        <v>BONIFICO SEPADistinta: 1769672988689018FDEF</v>
      </c>
    </row>
    <row r="318">
      <c r="A318" s="20">
        <v>46051.0</v>
      </c>
      <c r="B318" s="20">
        <v>46051.0</v>
      </c>
      <c r="C318" s="29"/>
      <c r="D318" s="22">
        <v>330.0</v>
      </c>
      <c r="E318" s="15" t="b">
        <v>0</v>
      </c>
      <c r="F318" s="17" t="s">
        <v>12</v>
      </c>
      <c r="G318" s="17" t="s">
        <v>279</v>
      </c>
      <c r="H318" s="18">
        <f t="shared" si="1"/>
        <v>330</v>
      </c>
      <c r="I318" s="19" t="str">
        <f t="shared" si="3"/>
        <v>BONIFICO SEPADa NEXI Payments Spa TRN 069711383016NPPASU0000000000IT CIPBITMM per PV 1000001228596 ACCREDITO CIRCUITI INTERNAZ. 28012</v>
      </c>
    </row>
    <row r="319">
      <c r="A319" s="20">
        <v>46051.0</v>
      </c>
      <c r="B319" s="20">
        <v>46051.0</v>
      </c>
      <c r="C319" s="21"/>
      <c r="D319" s="22">
        <v>380.0</v>
      </c>
      <c r="E319" s="15" t="b">
        <v>0</v>
      </c>
      <c r="F319" s="17" t="s">
        <v>12</v>
      </c>
      <c r="G319" s="17" t="s">
        <v>280</v>
      </c>
      <c r="H319" s="18">
        <f t="shared" si="1"/>
        <v>380</v>
      </c>
      <c r="I319" s="19" t="str">
        <f t="shared" si="3"/>
        <v>BONIFICO SEPADa NEXI Payments Spa TRN 069711396016NPPASU0000000000IT CIPBITMM per PV 1000001228596 ACCREDITO BANCOMAT 280126 RIF 1101</v>
      </c>
    </row>
    <row r="320">
      <c r="A320" s="20">
        <v>46051.0</v>
      </c>
      <c r="B320" s="23">
        <v>46051.0</v>
      </c>
      <c r="C320" s="21"/>
      <c r="D320" s="22">
        <v>189.0</v>
      </c>
      <c r="E320" s="15" t="b">
        <v>0</v>
      </c>
      <c r="F320" s="17" t="s">
        <v>12</v>
      </c>
      <c r="G320" s="17" t="s">
        <v>281</v>
      </c>
      <c r="H320" s="18">
        <f t="shared" si="1"/>
        <v>189</v>
      </c>
      <c r="I320" s="19" t="str">
        <f t="shared" si="3"/>
        <v>BONIFICO SEPADa NEXI Payments Spa TRN 069711158106NPPASU0000000000IT CIPBITMM per PV 1000001228637 ACCREDITO CIRCUITI INTERNAZ. 28012</v>
      </c>
    </row>
    <row r="321">
      <c r="A321" s="20">
        <v>46050.0</v>
      </c>
      <c r="B321" s="23">
        <v>46050.0</v>
      </c>
      <c r="C321" s="21"/>
      <c r="D321" s="22">
        <v>55.0</v>
      </c>
      <c r="E321" s="15" t="b">
        <v>0</v>
      </c>
      <c r="F321" s="17" t="s">
        <v>12</v>
      </c>
      <c r="G321" s="17" t="s">
        <v>282</v>
      </c>
      <c r="H321" s="18">
        <f t="shared" si="1"/>
        <v>55</v>
      </c>
      <c r="I321" s="19" t="str">
        <f t="shared" si="3"/>
        <v>BONIFICO SEPADa NEXI Payments Spa TRN 069603697076NPPASU0000000000IT CIPBITMM per PV 1000001228596 ACCREDITO BANCOMAT 270126 RIF 1100</v>
      </c>
    </row>
    <row r="322">
      <c r="A322" s="20">
        <v>46050.0</v>
      </c>
      <c r="B322" s="20">
        <v>46050.0</v>
      </c>
      <c r="C322" s="21"/>
      <c r="D322" s="22">
        <v>670.0</v>
      </c>
      <c r="E322" s="15" t="b">
        <v>0</v>
      </c>
      <c r="F322" s="17" t="s">
        <v>12</v>
      </c>
      <c r="G322" s="17" t="s">
        <v>283</v>
      </c>
      <c r="H322" s="18">
        <f t="shared" si="1"/>
        <v>670</v>
      </c>
      <c r="I322" s="19" t="str">
        <f t="shared" si="3"/>
        <v>BONIFICO SEPADa NEXI Payments Spa TRN 069603684076NPPASU0000000000IT CIPBITMM per PV 1000001228596 ACCREDITO CIRCUITI INTERNAZ. 27012</v>
      </c>
    </row>
    <row r="323">
      <c r="A323" s="20"/>
      <c r="B323" s="20"/>
      <c r="C323" s="21"/>
      <c r="D323" s="22"/>
      <c r="E323" s="15" t="b">
        <v>0</v>
      </c>
      <c r="F323" s="17"/>
      <c r="G323" s="17"/>
      <c r="H323" s="18">
        <f t="shared" si="1"/>
        <v>0</v>
      </c>
      <c r="I323" s="19" t="str">
        <f t="shared" si="3"/>
        <v/>
      </c>
    </row>
    <row r="324">
      <c r="A324" s="20">
        <v>46050.0</v>
      </c>
      <c r="B324" s="20">
        <v>46050.0</v>
      </c>
      <c r="C324" s="21"/>
      <c r="D324" s="22">
        <v>244.0</v>
      </c>
      <c r="E324" s="15" t="b">
        <v>0</v>
      </c>
      <c r="F324" s="17" t="s">
        <v>12</v>
      </c>
      <c r="G324" s="17" t="s">
        <v>284</v>
      </c>
      <c r="H324" s="18">
        <f t="shared" si="1"/>
        <v>244</v>
      </c>
      <c r="I324" s="19" t="str">
        <f t="shared" si="3"/>
        <v>BONIFICO SEPADa ENCANTO CLUB LATINO ASS NE SPOR VA TRN 0306908984264105S90960609606IT BCITITMMXXX per Pagamento FT 817 19/01 e 12 del</v>
      </c>
    </row>
    <row r="325">
      <c r="A325" s="20">
        <v>46049.0</v>
      </c>
      <c r="B325" s="23">
        <v>46049.0</v>
      </c>
      <c r="C325" s="21"/>
      <c r="D325" s="22">
        <v>1155.0</v>
      </c>
      <c r="E325" s="15" t="b">
        <v>0</v>
      </c>
      <c r="F325" s="17" t="s">
        <v>12</v>
      </c>
      <c r="G325" s="17" t="s">
        <v>285</v>
      </c>
      <c r="H325" s="18">
        <f t="shared" si="1"/>
        <v>1155</v>
      </c>
      <c r="I325" s="19" t="str">
        <f t="shared" si="3"/>
        <v>BONIFICO SEPADa NEXI Payments Spa TRN 069504590126NPPASU0000000000IT CIPBITMM per PV 1000001228596 ACCREDITO CIRCUITI INTERNAZ. 26012</v>
      </c>
    </row>
    <row r="326">
      <c r="A326" s="20">
        <v>46049.0</v>
      </c>
      <c r="B326" s="23">
        <v>46049.0</v>
      </c>
      <c r="C326" s="29"/>
      <c r="D326" s="22">
        <v>50.0</v>
      </c>
      <c r="E326" s="15" t="b">
        <v>0</v>
      </c>
      <c r="F326" s="17" t="s">
        <v>12</v>
      </c>
      <c r="G326" s="17" t="s">
        <v>286</v>
      </c>
      <c r="H326" s="18">
        <f t="shared" si="1"/>
        <v>50</v>
      </c>
      <c r="I326" s="19" t="str">
        <f t="shared" si="3"/>
        <v>BONIFICO SEPADa NEXI Payments Spa TRN 069504598076NPPASU0000000000IT CIPBITMM per PV 1000001228596 ACCREDITO BANCOMAT 260126 RIF 1099</v>
      </c>
    </row>
    <row r="327">
      <c r="A327" s="20">
        <v>46049.0</v>
      </c>
      <c r="B327" s="20">
        <v>46049.0</v>
      </c>
      <c r="C327" s="21"/>
      <c r="D327" s="22">
        <v>88.0</v>
      </c>
      <c r="E327" s="15" t="b">
        <v>0</v>
      </c>
      <c r="F327" s="17" t="s">
        <v>12</v>
      </c>
      <c r="G327" s="17" t="s">
        <v>287</v>
      </c>
      <c r="H327" s="18">
        <f t="shared" si="1"/>
        <v>88</v>
      </c>
      <c r="I327" s="19" t="str">
        <f t="shared" si="3"/>
        <v>BONIFICO SEPADa NEXI Payments Spa TRN 069498502086NPPASU0000000000IT CIPBITMM per PV 1000001228637 ACCREDITO CIRCUITI INTERNAZ. 26012</v>
      </c>
    </row>
    <row r="328">
      <c r="A328" s="20"/>
      <c r="B328" s="20"/>
      <c r="C328" s="21"/>
      <c r="D328" s="22"/>
      <c r="E328" s="15" t="b">
        <v>0</v>
      </c>
      <c r="F328" s="17"/>
      <c r="G328" s="17"/>
      <c r="H328" s="18">
        <f t="shared" si="1"/>
        <v>0</v>
      </c>
      <c r="I328" s="19" t="str">
        <f t="shared" si="3"/>
        <v/>
      </c>
    </row>
    <row r="329">
      <c r="A329" s="20"/>
      <c r="B329" s="20"/>
      <c r="C329" s="21"/>
      <c r="D329" s="22"/>
      <c r="E329" s="15" t="b">
        <v>0</v>
      </c>
      <c r="F329" s="17"/>
      <c r="G329" s="17"/>
      <c r="H329" s="18">
        <f t="shared" si="1"/>
        <v>0</v>
      </c>
      <c r="I329" s="19" t="str">
        <f t="shared" si="3"/>
        <v/>
      </c>
    </row>
    <row r="330">
      <c r="A330" s="20">
        <v>46048.0</v>
      </c>
      <c r="B330" s="20">
        <v>46048.0</v>
      </c>
      <c r="C330" s="21"/>
      <c r="D330" s="22">
        <v>50.0</v>
      </c>
      <c r="E330" s="15" t="b">
        <v>0</v>
      </c>
      <c r="F330" s="17" t="s">
        <v>12</v>
      </c>
      <c r="G330" s="17" t="s">
        <v>288</v>
      </c>
      <c r="H330" s="18">
        <f t="shared" si="1"/>
        <v>50</v>
      </c>
      <c r="I330" s="19" t="str">
        <f t="shared" si="3"/>
        <v>BONIFICO SEPADa NEXI Payments Spa TRN 069351318106NPPASU0000000000IT CIPBITMM per PV 1000001228596 ACCREDITO CIRCUITI INTERNAZ. 24012</v>
      </c>
    </row>
    <row r="331">
      <c r="A331" s="20">
        <v>46048.0</v>
      </c>
      <c r="B331" s="23">
        <v>46048.0</v>
      </c>
      <c r="C331" s="21"/>
      <c r="D331" s="22">
        <v>605.0</v>
      </c>
      <c r="E331" s="15" t="b">
        <v>0</v>
      </c>
      <c r="F331" s="17" t="s">
        <v>12</v>
      </c>
      <c r="G331" s="17" t="s">
        <v>289</v>
      </c>
      <c r="H331" s="18">
        <f t="shared" si="1"/>
        <v>605</v>
      </c>
      <c r="I331" s="19" t="str">
        <f t="shared" si="3"/>
        <v>BONIFICO SEPADa NEXI Payments Spa TRN 069247322016NPPASU0000000000IT CIPBITMM per PV 1000001228596 ACCREDITO CIRCUITI INTERNAZ. 23012</v>
      </c>
    </row>
    <row r="332">
      <c r="A332" s="20">
        <v>46048.0</v>
      </c>
      <c r="B332" s="23">
        <v>46048.0</v>
      </c>
      <c r="C332" s="21"/>
      <c r="D332" s="22">
        <v>45.0</v>
      </c>
      <c r="E332" s="15" t="b">
        <v>0</v>
      </c>
      <c r="F332" s="17" t="s">
        <v>12</v>
      </c>
      <c r="G332" s="17" t="s">
        <v>290</v>
      </c>
      <c r="H332" s="18">
        <f t="shared" si="1"/>
        <v>45</v>
      </c>
      <c r="I332" s="19" t="str">
        <f t="shared" si="3"/>
        <v>BONIFICO SEPADa NEXI Payments Spa TRN 069434246116NPPASU0000000000IT CIPBITMM per PV 1000001228637 ACCREDITO CIRCUITI INTERNAZ. 25012</v>
      </c>
    </row>
    <row r="333">
      <c r="A333" s="20">
        <v>46048.0</v>
      </c>
      <c r="B333" s="20">
        <v>46048.0</v>
      </c>
      <c r="C333" s="21"/>
      <c r="D333" s="22">
        <v>25.0</v>
      </c>
      <c r="E333" s="15" t="b">
        <v>0</v>
      </c>
      <c r="F333" s="17" t="s">
        <v>12</v>
      </c>
      <c r="G333" s="17" t="s">
        <v>291</v>
      </c>
      <c r="H333" s="18">
        <f t="shared" si="1"/>
        <v>25</v>
      </c>
      <c r="I333" s="19" t="str">
        <f t="shared" si="3"/>
        <v>BONIFICO SEPADa NEXI Payments Spa TRN 069247337036NPPASU0000000000IT CIPBITMM per PV 1000001228596 ACCREDITO BANCOMAT 230126 RIF 1095</v>
      </c>
    </row>
    <row r="334">
      <c r="A334" s="20">
        <v>46048.0</v>
      </c>
      <c r="B334" s="20">
        <v>46048.0</v>
      </c>
      <c r="C334" s="21"/>
      <c r="D334" s="22">
        <v>25.0</v>
      </c>
      <c r="E334" s="15" t="b">
        <v>0</v>
      </c>
      <c r="F334" s="17" t="s">
        <v>12</v>
      </c>
      <c r="G334" s="17" t="s">
        <v>292</v>
      </c>
      <c r="H334" s="18">
        <f t="shared" si="1"/>
        <v>25</v>
      </c>
      <c r="I334" s="19" t="str">
        <f t="shared" si="3"/>
        <v>BONIFICO SEPADa NEXI Payments Spa TRN 069351338046NPPASU0000000000IT CIPBITMM per PV 1000001228596 ACCREDITO BANCOMAT 240126 RIF 1096</v>
      </c>
    </row>
    <row r="335">
      <c r="A335" s="20">
        <v>46045.0</v>
      </c>
      <c r="B335" s="20">
        <v>46045.0</v>
      </c>
      <c r="C335" s="21"/>
      <c r="D335" s="22">
        <v>82.0</v>
      </c>
      <c r="E335" s="15" t="b">
        <v>0</v>
      </c>
      <c r="F335" s="17" t="s">
        <v>12</v>
      </c>
      <c r="G335" s="17" t="s">
        <v>293</v>
      </c>
      <c r="H335" s="18">
        <f t="shared" si="1"/>
        <v>82</v>
      </c>
      <c r="I335" s="19" t="str">
        <f t="shared" si="3"/>
        <v>BONIFICO SEPADa NEXI Payments Spa TRN 069134668056NPPASU0000000000IT CIPBITMM per PV 1000001228637 ACCREDITO CIRCUITI INTERNAZ. 22012</v>
      </c>
    </row>
    <row r="336">
      <c r="A336" s="20">
        <v>46045.0</v>
      </c>
      <c r="B336" s="20">
        <v>46045.0</v>
      </c>
      <c r="C336" s="21"/>
      <c r="D336" s="22">
        <v>306.0</v>
      </c>
      <c r="E336" s="15" t="b">
        <v>0</v>
      </c>
      <c r="F336" s="17" t="s">
        <v>12</v>
      </c>
      <c r="G336" s="17" t="s">
        <v>294</v>
      </c>
      <c r="H336" s="18">
        <f t="shared" si="1"/>
        <v>306</v>
      </c>
      <c r="I336" s="19" t="str">
        <f t="shared" si="3"/>
        <v>BONIFICO SEPADa NEXI Payments Spa TRN 069136434036NPPASU0000000000IT CIPBITMM per PV 1000001228596 ACCREDITO CIRCUITI INTERNAZ. 22012</v>
      </c>
    </row>
    <row r="337">
      <c r="A337" s="20">
        <v>46045.0</v>
      </c>
      <c r="B337" s="20">
        <v>46045.0</v>
      </c>
      <c r="C337" s="21"/>
      <c r="D337" s="22">
        <v>25.0</v>
      </c>
      <c r="E337" s="15" t="b">
        <v>0</v>
      </c>
      <c r="F337" s="17" t="s">
        <v>12</v>
      </c>
      <c r="G337" s="17" t="s">
        <v>295</v>
      </c>
      <c r="H337" s="18">
        <f t="shared" si="1"/>
        <v>25</v>
      </c>
      <c r="I337" s="19" t="str">
        <f t="shared" si="3"/>
        <v>BONIFICO SEPADa NEXI Payments Spa TRN 069136447036NPPASU0000000000IT CIPBITMM per PV 1000001228596 ACCREDITO BANCOMAT 220126 RIF 1093</v>
      </c>
    </row>
    <row r="338">
      <c r="A338" s="20">
        <v>46045.0</v>
      </c>
      <c r="B338" s="20">
        <v>46045.0</v>
      </c>
      <c r="C338" s="21"/>
      <c r="D338" s="22">
        <v>1756.95</v>
      </c>
      <c r="E338" s="15" t="b">
        <v>0</v>
      </c>
      <c r="F338" s="17" t="s">
        <v>12</v>
      </c>
      <c r="G338" s="17" t="s">
        <v>296</v>
      </c>
      <c r="H338" s="18">
        <f t="shared" si="1"/>
        <v>1756.95</v>
      </c>
      <c r="I338" s="19" t="str">
        <f t="shared" si="3"/>
        <v>BONIFICO SEPADa Scalapay IP S.p.a. TRN 3601826012304520487070669027166-008 CBPSIT31XXX per 2026-01-22 - GEOS S SDRL - Scalapay IP S.p</v>
      </c>
    </row>
    <row r="339">
      <c r="A339" s="20">
        <v>46045.0</v>
      </c>
      <c r="B339" s="20">
        <v>46045.0</v>
      </c>
      <c r="C339" s="21"/>
      <c r="D339" s="22">
        <v>44.8</v>
      </c>
      <c r="E339" s="15" t="b">
        <v>0</v>
      </c>
      <c r="F339" s="17" t="s">
        <v>28</v>
      </c>
      <c r="G339" s="17" t="s">
        <v>297</v>
      </c>
      <c r="H339" s="18">
        <f t="shared" si="1"/>
        <v>44.8</v>
      </c>
      <c r="I339" s="19" t="str">
        <f t="shared" si="3"/>
        <v>BONIFICODa Satispay Europe S.A. TRN c9cf3b8acb76489cb3bc50247f69ee3d SATYLUL1XXX per Geos ssdr</v>
      </c>
    </row>
    <row r="340">
      <c r="A340" s="23">
        <v>46045.0</v>
      </c>
      <c r="B340" s="23">
        <v>46043.0</v>
      </c>
      <c r="C340" s="21">
        <v>-124.0</v>
      </c>
      <c r="D340" s="31"/>
      <c r="E340" s="15" t="b">
        <v>1</v>
      </c>
      <c r="F340" s="17" t="s">
        <v>123</v>
      </c>
      <c r="G340" s="17" t="s">
        <v>298</v>
      </c>
      <c r="H340" s="18">
        <f t="shared" si="1"/>
        <v>-124</v>
      </c>
      <c r="I340" s="19" t="str">
        <f t="shared" si="3"/>
        <v>PAGAMENTO POSAlaio Cloud Limited    21/01/2026 09.22 Limassol      Op.601637 carta ****0501</v>
      </c>
    </row>
    <row r="341">
      <c r="A341" s="23">
        <v>46044.0</v>
      </c>
      <c r="B341" s="23">
        <v>46044.0</v>
      </c>
      <c r="C341" s="21">
        <v>-5916.5</v>
      </c>
      <c r="D341" s="22"/>
      <c r="E341" s="15" t="b">
        <v>1</v>
      </c>
      <c r="F341" s="17" t="s">
        <v>12</v>
      </c>
      <c r="G341" s="17" t="s">
        <v>299</v>
      </c>
      <c r="H341" s="18">
        <f t="shared" si="1"/>
        <v>-5916.5</v>
      </c>
      <c r="I341" s="19" t="str">
        <f t="shared" si="3"/>
        <v>BONIFICO SEPADistinta: 17690725202600V4UDEF</v>
      </c>
    </row>
    <row r="342">
      <c r="A342" s="23">
        <v>46044.0</v>
      </c>
      <c r="B342" s="23">
        <v>46044.0</v>
      </c>
      <c r="C342" s="21"/>
      <c r="D342" s="22">
        <v>162.5</v>
      </c>
      <c r="E342" s="15" t="b">
        <v>0</v>
      </c>
      <c r="F342" s="17" t="s">
        <v>12</v>
      </c>
      <c r="G342" s="17" t="s">
        <v>300</v>
      </c>
      <c r="H342" s="18">
        <f t="shared" si="1"/>
        <v>162.5</v>
      </c>
      <c r="I342" s="19" t="str">
        <f t="shared" si="3"/>
        <v>BONIFICO SEPADa NEXI Payments Spa TRN 069031799056NPPASU0000000000IT CIPBITMM per PV 1000001228596 ACCREDITO CIRCUITI INTERNAZ. 21012</v>
      </c>
    </row>
    <row r="343">
      <c r="A343" s="23">
        <v>46044.0</v>
      </c>
      <c r="B343" s="23">
        <v>46044.0</v>
      </c>
      <c r="C343" s="21"/>
      <c r="D343" s="22">
        <v>25.0</v>
      </c>
      <c r="E343" s="15" t="b">
        <v>0</v>
      </c>
      <c r="F343" s="17" t="s">
        <v>12</v>
      </c>
      <c r="G343" s="17" t="s">
        <v>301</v>
      </c>
      <c r="H343" s="18">
        <f t="shared" si="1"/>
        <v>25</v>
      </c>
      <c r="I343" s="19" t="str">
        <f t="shared" si="3"/>
        <v>BONIFICO SEPADa NEXI Payments Spa TRN 069031814076NPPASU0000000000IT CIPBITMM per PV 1000001228596 ACCREDITO BANCOMAT 210126 RIF 1092</v>
      </c>
    </row>
    <row r="344">
      <c r="A344" s="20">
        <v>46044.0</v>
      </c>
      <c r="B344" s="20">
        <v>46044.0</v>
      </c>
      <c r="C344" s="25"/>
      <c r="D344" s="22">
        <v>203.35</v>
      </c>
      <c r="E344" s="15" t="b">
        <v>0</v>
      </c>
      <c r="F344" s="17" t="s">
        <v>12</v>
      </c>
      <c r="G344" s="17" t="s">
        <v>302</v>
      </c>
      <c r="H344" s="18">
        <f t="shared" si="1"/>
        <v>203.35</v>
      </c>
      <c r="I344" s="19" t="str">
        <f t="shared" si="3"/>
        <v>BONIFICO SEPADa Scalapay IP S.p.a. TRN 3601826012204532500730550448410-008 CBPSIT31XXX per 2026-01-21 - GEOS S SDRL - Scalapay IP S.p</v>
      </c>
    </row>
    <row r="345">
      <c r="A345" s="20">
        <v>46043.0</v>
      </c>
      <c r="B345" s="20">
        <v>46043.0</v>
      </c>
      <c r="C345" s="21">
        <v>-2000.0</v>
      </c>
      <c r="D345" s="26"/>
      <c r="E345" s="15" t="b">
        <v>1</v>
      </c>
      <c r="F345" s="17" t="s">
        <v>12</v>
      </c>
      <c r="G345" s="17" t="s">
        <v>303</v>
      </c>
      <c r="H345" s="18">
        <f t="shared" si="1"/>
        <v>-2000</v>
      </c>
      <c r="I345" s="19" t="str">
        <f t="shared" si="3"/>
        <v>BONIFICO SEPADistinta: 17689892291710MCFDEF</v>
      </c>
    </row>
    <row r="346">
      <c r="A346" s="20"/>
      <c r="B346" s="20"/>
      <c r="C346" s="21"/>
      <c r="D346" s="22"/>
      <c r="E346" s="15" t="b">
        <v>0</v>
      </c>
      <c r="F346" s="17"/>
      <c r="G346" s="17"/>
      <c r="H346" s="18">
        <f t="shared" si="1"/>
        <v>0</v>
      </c>
      <c r="I346" s="19" t="str">
        <f t="shared" si="3"/>
        <v/>
      </c>
    </row>
    <row r="347">
      <c r="A347" s="20"/>
      <c r="B347" s="20"/>
      <c r="C347" s="21"/>
      <c r="D347" s="22"/>
      <c r="E347" s="15" t="b">
        <v>0</v>
      </c>
      <c r="F347" s="17"/>
      <c r="G347" s="17"/>
      <c r="H347" s="18">
        <f t="shared" si="1"/>
        <v>0</v>
      </c>
      <c r="I347" s="19" t="str">
        <f t="shared" si="3"/>
        <v/>
      </c>
    </row>
    <row r="348">
      <c r="A348" s="20">
        <v>46043.0</v>
      </c>
      <c r="B348" s="20">
        <v>46043.0</v>
      </c>
      <c r="C348" s="29"/>
      <c r="D348" s="22">
        <v>465.0</v>
      </c>
      <c r="E348" s="15" t="b">
        <v>0</v>
      </c>
      <c r="F348" s="17" t="s">
        <v>12</v>
      </c>
      <c r="G348" s="17" t="s">
        <v>304</v>
      </c>
      <c r="H348" s="18">
        <f t="shared" si="1"/>
        <v>465</v>
      </c>
      <c r="I348" s="19" t="str">
        <f t="shared" si="3"/>
        <v>BONIFICO SEPADa NEXI Payments Spa TRN 068920717086NPPASU0000000000IT CIPBITMM per PV 1000001228596 ACCREDITO CIRCUITI INTERNAZ. 20012</v>
      </c>
    </row>
    <row r="349">
      <c r="A349" s="20">
        <v>46043.0</v>
      </c>
      <c r="B349" s="20">
        <v>46043.0</v>
      </c>
      <c r="C349" s="21"/>
      <c r="D349" s="22">
        <v>88.0</v>
      </c>
      <c r="E349" s="15" t="b">
        <v>0</v>
      </c>
      <c r="F349" s="17" t="s">
        <v>12</v>
      </c>
      <c r="G349" s="17" t="s">
        <v>305</v>
      </c>
      <c r="H349" s="18">
        <f t="shared" si="1"/>
        <v>88</v>
      </c>
      <c r="I349" s="19" t="str">
        <f t="shared" si="3"/>
        <v>BONIFICO SEPADa NEXI Payments Spa TRN 068919268026NPPASU0000000000IT CIPBITMM per PV 1000001228637 ACCREDITO CIRCUITI INTERNAZ. 20012</v>
      </c>
    </row>
    <row r="350">
      <c r="A350" s="20">
        <v>46043.0</v>
      </c>
      <c r="B350" s="20">
        <v>46043.0</v>
      </c>
      <c r="C350" s="29"/>
      <c r="D350" s="22">
        <v>50.0</v>
      </c>
      <c r="E350" s="15" t="b">
        <v>0</v>
      </c>
      <c r="F350" s="17" t="s">
        <v>12</v>
      </c>
      <c r="G350" s="17" t="s">
        <v>306</v>
      </c>
      <c r="H350" s="18">
        <f t="shared" si="1"/>
        <v>50</v>
      </c>
      <c r="I350" s="19" t="str">
        <f t="shared" si="3"/>
        <v>BONIFICO SEPADa NEXI Payments Spa TRN 068920731096NPPASU0000000000IT CIPBITMM per PV 1000001228596 ACCREDITO BANCOMAT 200126 RIF 1090</v>
      </c>
    </row>
    <row r="351">
      <c r="A351" s="20">
        <v>46042.0</v>
      </c>
      <c r="B351" s="20">
        <v>46042.0</v>
      </c>
      <c r="C351" s="29"/>
      <c r="D351" s="22">
        <v>450.0</v>
      </c>
      <c r="E351" s="15" t="b">
        <v>0</v>
      </c>
      <c r="F351" s="17" t="s">
        <v>12</v>
      </c>
      <c r="G351" s="17" t="s">
        <v>307</v>
      </c>
      <c r="H351" s="18">
        <f t="shared" si="1"/>
        <v>450</v>
      </c>
      <c r="I351" s="19" t="str">
        <f t="shared" si="3"/>
        <v>BONIFICO SEPADa NEXI Payments Spa TRN 068821145036NPPASU0000000000IT CIPBITMM per PV 1000001228596 ACCREDITO CIRCUITI INTERNAZ. 19012</v>
      </c>
    </row>
    <row r="352">
      <c r="A352" s="20">
        <v>46042.0</v>
      </c>
      <c r="B352" s="20">
        <v>46042.0</v>
      </c>
      <c r="C352" s="21"/>
      <c r="D352" s="22">
        <v>142.0</v>
      </c>
      <c r="E352" s="15" t="b">
        <v>0</v>
      </c>
      <c r="F352" s="17" t="s">
        <v>12</v>
      </c>
      <c r="G352" s="17" t="s">
        <v>308</v>
      </c>
      <c r="H352" s="18">
        <f t="shared" si="1"/>
        <v>142</v>
      </c>
      <c r="I352" s="19" t="str">
        <f t="shared" si="3"/>
        <v>BONIFICO SEPADa NEXI Payments Spa TRN 068821155006NPPASU0000000000IT CIPBITMM per PV 1000001228596 ACCREDITO BANCOMAT 190126 RIF 1089</v>
      </c>
    </row>
    <row r="353">
      <c r="A353" s="20">
        <v>46042.0</v>
      </c>
      <c r="B353" s="23">
        <v>46042.0</v>
      </c>
      <c r="C353" s="21"/>
      <c r="D353" s="22">
        <v>88.0</v>
      </c>
      <c r="E353" s="15" t="b">
        <v>0</v>
      </c>
      <c r="F353" s="17" t="s">
        <v>12</v>
      </c>
      <c r="G353" s="17" t="s">
        <v>309</v>
      </c>
      <c r="H353" s="18">
        <f t="shared" si="1"/>
        <v>88</v>
      </c>
      <c r="I353" s="19" t="str">
        <f t="shared" si="3"/>
        <v>BONIFICO SEPADa NEXI Payments Spa TRN 068821375126NPPASU0000000000IT CIPBITMM per PV 1000001228637 ACCREDITO CIRCUITI INTERNAZ. 19012</v>
      </c>
    </row>
    <row r="354">
      <c r="A354" s="20">
        <v>46042.0</v>
      </c>
      <c r="B354" s="23">
        <v>46039.0</v>
      </c>
      <c r="C354" s="21">
        <v>-20.0</v>
      </c>
      <c r="D354" s="22"/>
      <c r="E354" s="15" t="b">
        <v>1</v>
      </c>
      <c r="F354" s="17" t="s">
        <v>123</v>
      </c>
      <c r="G354" s="17" t="s">
        <v>310</v>
      </c>
      <c r="H354" s="18">
        <f t="shared" si="1"/>
        <v>-20</v>
      </c>
      <c r="I354" s="19" t="str">
        <f t="shared" si="3"/>
        <v>PAGAMENTO POSFIGMA                  17/01/2026 19.19 SAN FRANCISCO Op.603173 carta ****0501</v>
      </c>
    </row>
    <row r="355">
      <c r="A355" s="20">
        <v>46041.0</v>
      </c>
      <c r="B355" s="20">
        <v>46041.0</v>
      </c>
      <c r="C355" s="21"/>
      <c r="D355" s="22">
        <v>704.0</v>
      </c>
      <c r="E355" s="15" t="b">
        <v>0</v>
      </c>
      <c r="F355" s="17" t="s">
        <v>12</v>
      </c>
      <c r="G355" s="17" t="s">
        <v>311</v>
      </c>
      <c r="H355" s="18">
        <f t="shared" si="1"/>
        <v>704</v>
      </c>
      <c r="I355" s="19" t="str">
        <f t="shared" si="3"/>
        <v>BONIFICO SEPADa NEXI Payments Spa TRN 068670898106NPPASU0000000000IT CIPBITMM per PV 1000001228637 ACCREDITO CIRCUITI INTERNAZ. 17012</v>
      </c>
    </row>
    <row r="356">
      <c r="A356" s="20">
        <v>46041.0</v>
      </c>
      <c r="B356" s="20">
        <v>46041.0</v>
      </c>
      <c r="C356" s="21"/>
      <c r="D356" s="22">
        <v>2032.0</v>
      </c>
      <c r="E356" s="15" t="b">
        <v>0</v>
      </c>
      <c r="F356" s="17" t="s">
        <v>12</v>
      </c>
      <c r="G356" s="17" t="s">
        <v>312</v>
      </c>
      <c r="H356" s="18">
        <f t="shared" si="1"/>
        <v>2032</v>
      </c>
      <c r="I356" s="19" t="str">
        <f t="shared" si="3"/>
        <v>BONIFICO SEPADa NEXI Payments Spa TRN 068670153066NPPASU0000000000IT CIPBITMM per PV 1000001228596 ACCREDITO CIRCUITI INTERNAZ. 17012</v>
      </c>
    </row>
    <row r="357">
      <c r="A357" s="20">
        <v>46041.0</v>
      </c>
      <c r="B357" s="20">
        <v>46041.0</v>
      </c>
      <c r="C357" s="21"/>
      <c r="D357" s="22">
        <v>622.0</v>
      </c>
      <c r="E357" s="15" t="b">
        <v>0</v>
      </c>
      <c r="F357" s="17" t="s">
        <v>12</v>
      </c>
      <c r="G357" s="17" t="s">
        <v>313</v>
      </c>
      <c r="H357" s="18">
        <f t="shared" si="1"/>
        <v>622</v>
      </c>
      <c r="I357" s="19" t="str">
        <f t="shared" si="3"/>
        <v>BONIFICO SEPADa NEXI Payments Spa TRN 068670163036NPPASU0000000000IT CIPBITMM per PV 1000001228596 ACCREDITO BANCOMAT 170126 RIF 1087</v>
      </c>
    </row>
    <row r="358">
      <c r="A358" s="20">
        <v>46041.0</v>
      </c>
      <c r="B358" s="20">
        <v>46041.0</v>
      </c>
      <c r="C358" s="21"/>
      <c r="D358" s="22">
        <v>75.0</v>
      </c>
      <c r="E358" s="15" t="b">
        <v>0</v>
      </c>
      <c r="F358" s="17" t="s">
        <v>12</v>
      </c>
      <c r="G358" s="17" t="s">
        <v>314</v>
      </c>
      <c r="H358" s="18">
        <f t="shared" si="1"/>
        <v>75</v>
      </c>
      <c r="I358" s="19" t="str">
        <f t="shared" si="3"/>
        <v>BONIFICO SEPADa NEXI Payments Spa TRN 068754760096NPPASU0000000000IT CIPBITMM per PV 1000001228596 ACCREDITO BANCOMAT 180126 RIF 1088</v>
      </c>
    </row>
    <row r="359">
      <c r="A359" s="20">
        <v>46041.0</v>
      </c>
      <c r="B359" s="20">
        <v>46041.0</v>
      </c>
      <c r="C359" s="21"/>
      <c r="D359" s="22">
        <v>336.0</v>
      </c>
      <c r="E359" s="15" t="b">
        <v>0</v>
      </c>
      <c r="F359" s="17" t="s">
        <v>12</v>
      </c>
      <c r="G359" s="17" t="s">
        <v>315</v>
      </c>
      <c r="H359" s="18">
        <f t="shared" si="1"/>
        <v>336</v>
      </c>
      <c r="I359" s="19" t="str">
        <f t="shared" si="3"/>
        <v>BONIFICO SEPADa NEXI Payments Spa TRN 068754629086NPPASU0000000000IT CIPBITMM per PV 1000001228637 ACCREDITO CIRCUITI INTERNAZ. 18012</v>
      </c>
    </row>
    <row r="360">
      <c r="A360" s="20">
        <v>46041.0</v>
      </c>
      <c r="B360" s="20">
        <v>46041.0</v>
      </c>
      <c r="C360" s="21"/>
      <c r="D360" s="22">
        <v>2072.0</v>
      </c>
      <c r="E360" s="15" t="b">
        <v>0</v>
      </c>
      <c r="F360" s="17" t="s">
        <v>12</v>
      </c>
      <c r="G360" s="17" t="s">
        <v>316</v>
      </c>
      <c r="H360" s="18">
        <f t="shared" si="1"/>
        <v>2072</v>
      </c>
      <c r="I360" s="19" t="str">
        <f t="shared" si="3"/>
        <v>BONIFICO SEPADa NEXI Payments Spa TRN 068572642086NPPASU0000000000IT CIPBITMM per PV 1000001228596 ACCREDITO CIRCUITI INTERNAZ. 16012</v>
      </c>
    </row>
    <row r="361">
      <c r="A361" s="20">
        <v>46041.0</v>
      </c>
      <c r="B361" s="20">
        <v>46041.0</v>
      </c>
      <c r="C361" s="21"/>
      <c r="D361" s="22">
        <v>551.0</v>
      </c>
      <c r="E361" s="15" t="b">
        <v>0</v>
      </c>
      <c r="F361" s="17" t="s">
        <v>12</v>
      </c>
      <c r="G361" s="17" t="s">
        <v>317</v>
      </c>
      <c r="H361" s="18">
        <f t="shared" si="1"/>
        <v>551</v>
      </c>
      <c r="I361" s="19" t="str">
        <f t="shared" si="3"/>
        <v>BONIFICO SEPADa NEXI Payments Spa TRN 068572659126NPPASU0000000000IT CIPBITMM per PV 1000001228596 ACCREDITO BANCOMAT 160126 RIF 1085</v>
      </c>
    </row>
    <row r="362">
      <c r="A362" s="23">
        <v>46041.0</v>
      </c>
      <c r="B362" s="23">
        <v>46041.0</v>
      </c>
      <c r="C362" s="21"/>
      <c r="D362" s="22">
        <v>399.5</v>
      </c>
      <c r="E362" s="15" t="b">
        <v>0</v>
      </c>
      <c r="F362" s="17" t="s">
        <v>12</v>
      </c>
      <c r="G362" s="17" t="s">
        <v>318</v>
      </c>
      <c r="H362" s="18">
        <f t="shared" si="1"/>
        <v>399.5</v>
      </c>
      <c r="I362" s="19" t="str">
        <f t="shared" si="3"/>
        <v>BONIFICO SEPADa NEXI Payments Spa TRN 068754756056NPPASU0000000000IT CIPBITMM per PV 1000001228596 ACCREDITO CIRCUITI INTERNAZ. 18012</v>
      </c>
    </row>
    <row r="363">
      <c r="A363" s="23">
        <v>46041.0</v>
      </c>
      <c r="B363" s="23">
        <v>46041.0</v>
      </c>
      <c r="C363" s="21"/>
      <c r="D363" s="22">
        <v>415.0</v>
      </c>
      <c r="E363" s="15" t="b">
        <v>0</v>
      </c>
      <c r="F363" s="17" t="s">
        <v>12</v>
      </c>
      <c r="G363" s="17" t="s">
        <v>319</v>
      </c>
      <c r="H363" s="18">
        <f t="shared" si="1"/>
        <v>415</v>
      </c>
      <c r="I363" s="19" t="str">
        <f t="shared" si="3"/>
        <v>BONIFICO SEPADa NEXI Payments Spa TRN 068572427016NPPASU0000000000IT CIPBITMM per PV 1000001228637 ACCREDITO CIRCUITI INTERNAZ. 16012</v>
      </c>
    </row>
    <row r="364">
      <c r="A364" s="20"/>
      <c r="B364" s="20"/>
      <c r="C364" s="21"/>
      <c r="D364" s="22"/>
      <c r="E364" s="15" t="b">
        <v>0</v>
      </c>
      <c r="F364" s="17"/>
      <c r="G364" s="17"/>
      <c r="H364" s="18">
        <f t="shared" si="1"/>
        <v>0</v>
      </c>
      <c r="I364" s="19" t="str">
        <f t="shared" si="3"/>
        <v/>
      </c>
    </row>
    <row r="365">
      <c r="A365" s="20"/>
      <c r="B365" s="20"/>
      <c r="C365" s="21"/>
      <c r="D365" s="22"/>
      <c r="E365" s="15" t="b">
        <v>0</v>
      </c>
      <c r="F365" s="17"/>
      <c r="G365" s="17"/>
      <c r="H365" s="18">
        <f t="shared" si="1"/>
        <v>0</v>
      </c>
      <c r="I365" s="19" t="str">
        <f t="shared" si="3"/>
        <v/>
      </c>
    </row>
    <row r="366">
      <c r="A366" s="20">
        <v>46041.0</v>
      </c>
      <c r="B366" s="20">
        <v>46041.0</v>
      </c>
      <c r="C366" s="21"/>
      <c r="D366" s="22">
        <v>324.6</v>
      </c>
      <c r="E366" s="15" t="b">
        <v>0</v>
      </c>
      <c r="F366" s="17" t="s">
        <v>12</v>
      </c>
      <c r="G366" s="17" t="s">
        <v>320</v>
      </c>
      <c r="H366" s="18">
        <f t="shared" si="1"/>
        <v>324.6</v>
      </c>
      <c r="I366" s="19" t="str">
        <f t="shared" si="3"/>
        <v>BONIFICO SEPADa Scalapay IP S.p.a. TRN 3601826011904512422240088443209-008 CBPSIT31XXX per 2026-01-18 - GEOS S SDRL - Scalapay IP S.p</v>
      </c>
    </row>
    <row r="367">
      <c r="A367" s="20">
        <v>46039.0</v>
      </c>
      <c r="B367" s="20">
        <v>46039.0</v>
      </c>
      <c r="C367" s="21"/>
      <c r="D367" s="22">
        <v>2.66</v>
      </c>
      <c r="E367" s="15" t="b">
        <v>0</v>
      </c>
      <c r="F367" s="17" t="s">
        <v>321</v>
      </c>
      <c r="G367" s="17" t="s">
        <v>322</v>
      </c>
      <c r="H367" s="18">
        <f t="shared" si="1"/>
        <v>2.66</v>
      </c>
      <c r="I367" s="19" t="str">
        <f t="shared" si="3"/>
        <v>ACCREDITO PER POSTEPAY CASHBACK BUSINESSPER ACQUISTO DI EURO 531,20 DA AUUM IL 21/12/2025</v>
      </c>
    </row>
    <row r="368">
      <c r="A368" s="20">
        <v>46039.0</v>
      </c>
      <c r="B368" s="20">
        <v>46039.0</v>
      </c>
      <c r="C368" s="29"/>
      <c r="D368" s="22">
        <v>2.22</v>
      </c>
      <c r="E368" s="15" t="b">
        <v>0</v>
      </c>
      <c r="F368" s="17" t="s">
        <v>321</v>
      </c>
      <c r="G368" s="17" t="s">
        <v>323</v>
      </c>
      <c r="H368" s="18">
        <f t="shared" si="1"/>
        <v>2.22</v>
      </c>
      <c r="I368" s="19" t="str">
        <f t="shared" si="3"/>
        <v>ACCREDITO PER POSTEPAY CASHBACK BUSINESSPER ACQUISTO DI EURO 444,19 DA METRO FIL.SAN DONATO M IL 12/12/2025</v>
      </c>
    </row>
    <row r="369">
      <c r="A369" s="20">
        <v>46039.0</v>
      </c>
      <c r="B369" s="20">
        <v>46039.0</v>
      </c>
      <c r="C369" s="29"/>
      <c r="D369" s="22">
        <v>2.16</v>
      </c>
      <c r="E369" s="15" t="b">
        <v>0</v>
      </c>
      <c r="F369" s="17" t="s">
        <v>321</v>
      </c>
      <c r="G369" s="17" t="s">
        <v>324</v>
      </c>
      <c r="H369" s="18">
        <f t="shared" si="1"/>
        <v>2.16</v>
      </c>
      <c r="I369" s="19" t="str">
        <f t="shared" si="3"/>
        <v>ACCREDITO PER POSTEPAY CASHBACK BUSINESSPER ACQUISTO DI EURO 432,00 DA TRIPLES SRL IL 31/10/2025</v>
      </c>
    </row>
    <row r="370">
      <c r="A370" s="20">
        <v>46039.0</v>
      </c>
      <c r="B370" s="20">
        <v>46039.0</v>
      </c>
      <c r="C370" s="21"/>
      <c r="D370" s="22">
        <v>1.4</v>
      </c>
      <c r="E370" s="15" t="b">
        <v>0</v>
      </c>
      <c r="F370" s="17" t="s">
        <v>321</v>
      </c>
      <c r="G370" s="17" t="s">
        <v>325</v>
      </c>
      <c r="H370" s="18">
        <f t="shared" si="1"/>
        <v>1.4</v>
      </c>
      <c r="I370" s="19" t="str">
        <f t="shared" si="3"/>
        <v>ACCREDITO PER POSTEPAY CASHBACK BUSINESSPER ACQUISTO DI EURO 279,09 DA ESSELUNGA RIPAMONTI IL 12/12/2025</v>
      </c>
    </row>
    <row r="371">
      <c r="A371" s="20">
        <v>46039.0</v>
      </c>
      <c r="B371" s="20">
        <v>46039.0</v>
      </c>
      <c r="C371" s="29"/>
      <c r="D371" s="22">
        <v>1.0</v>
      </c>
      <c r="E371" s="15" t="b">
        <v>0</v>
      </c>
      <c r="F371" s="17" t="s">
        <v>321</v>
      </c>
      <c r="G371" s="17" t="s">
        <v>326</v>
      </c>
      <c r="H371" s="18">
        <f t="shared" si="1"/>
        <v>1</v>
      </c>
      <c r="I371" s="19" t="str">
        <f t="shared" si="3"/>
        <v>ACCREDITO PER POSTEPAY CASHBACK BUSINESSPER ACQUISTO DI EURO 200,00 DA GOOGLE *ADS5278163162 IL 25/12/2025</v>
      </c>
    </row>
    <row r="372">
      <c r="A372" s="20">
        <v>46039.0</v>
      </c>
      <c r="B372" s="20">
        <v>46039.0</v>
      </c>
      <c r="C372" s="29"/>
      <c r="D372" s="22">
        <v>0.4</v>
      </c>
      <c r="E372" s="15" t="b">
        <v>0</v>
      </c>
      <c r="F372" s="17" t="s">
        <v>321</v>
      </c>
      <c r="G372" s="17" t="s">
        <v>327</v>
      </c>
      <c r="H372" s="18">
        <f t="shared" si="1"/>
        <v>0.4</v>
      </c>
      <c r="I372" s="19" t="str">
        <f t="shared" si="3"/>
        <v>ACCREDITO PER POSTEPAY CASHBACK BUSINESSPER ACQUISTO DI EURO 80,00 DA TRIPLES SRL IL 28/10/2025</v>
      </c>
    </row>
    <row r="373">
      <c r="A373" s="20">
        <v>46039.0</v>
      </c>
      <c r="B373" s="20">
        <v>46039.0</v>
      </c>
      <c r="C373" s="21"/>
      <c r="D373" s="22">
        <v>0.35</v>
      </c>
      <c r="E373" s="15" t="b">
        <v>0</v>
      </c>
      <c r="F373" s="17" t="s">
        <v>321</v>
      </c>
      <c r="G373" s="17" t="s">
        <v>328</v>
      </c>
      <c r="H373" s="18">
        <f t="shared" si="1"/>
        <v>0.35</v>
      </c>
      <c r="I373" s="19" t="str">
        <f t="shared" si="3"/>
        <v>ACCREDITO PER POSTEPAY CASHBACK BUSINESSPER ACQUISTO DI EURO 70,00 DA MARTESANA S.R.L. IL 07/10/2025</v>
      </c>
    </row>
    <row r="374">
      <c r="A374" s="20">
        <v>46039.0</v>
      </c>
      <c r="B374" s="23">
        <v>46039.0</v>
      </c>
      <c r="C374" s="21"/>
      <c r="D374" s="22">
        <v>0.25</v>
      </c>
      <c r="E374" s="15" t="b">
        <v>0</v>
      </c>
      <c r="F374" s="17" t="s">
        <v>321</v>
      </c>
      <c r="G374" s="17" t="s">
        <v>329</v>
      </c>
      <c r="H374" s="18">
        <f t="shared" si="1"/>
        <v>0.25</v>
      </c>
      <c r="I374" s="19" t="str">
        <f t="shared" si="3"/>
        <v>ACCREDITO PER POSTEPAY CASHBACK BUSINESSPER ACQUISTO DI EURO 50,00 DA CAFFE' VINO VIA BELLEZ IL 08/10/2025</v>
      </c>
    </row>
    <row r="375">
      <c r="A375" s="20">
        <v>46039.0</v>
      </c>
      <c r="B375" s="23">
        <v>46039.0</v>
      </c>
      <c r="C375" s="21"/>
      <c r="D375" s="22">
        <v>0.25</v>
      </c>
      <c r="E375" s="15" t="b">
        <v>0</v>
      </c>
      <c r="F375" s="17" t="s">
        <v>321</v>
      </c>
      <c r="G375" s="17" t="s">
        <v>330</v>
      </c>
      <c r="H375" s="18">
        <f t="shared" si="1"/>
        <v>0.25</v>
      </c>
      <c r="I375" s="19" t="str">
        <f t="shared" si="3"/>
        <v>ACCREDITO PER POSTEPAY CASHBACK BUSINESSPER ACQUISTO DI EURO 50,00 DA Cera una volta IL 07/10/2025</v>
      </c>
    </row>
    <row r="376">
      <c r="A376" s="20">
        <v>46039.0</v>
      </c>
      <c r="B376" s="20">
        <v>46039.0</v>
      </c>
      <c r="C376" s="21"/>
      <c r="D376" s="22">
        <v>0.25</v>
      </c>
      <c r="E376" s="15" t="b">
        <v>0</v>
      </c>
      <c r="F376" s="17" t="s">
        <v>321</v>
      </c>
      <c r="G376" s="17" t="s">
        <v>331</v>
      </c>
      <c r="H376" s="18">
        <f t="shared" si="1"/>
        <v>0.25</v>
      </c>
      <c r="I376" s="19" t="str">
        <f t="shared" si="3"/>
        <v>ACCREDITO PER POSTEPAY CASHBACK BUSINESSPER ACQUISTO DI EURO 50,00 DA GOOGLE *ADS5278163162 IL 04/12/2025</v>
      </c>
    </row>
    <row r="377">
      <c r="A377" s="20">
        <v>46039.0</v>
      </c>
      <c r="B377" s="20">
        <v>46039.0</v>
      </c>
      <c r="C377" s="21"/>
      <c r="D377" s="22">
        <v>0.21</v>
      </c>
      <c r="E377" s="15" t="b">
        <v>0</v>
      </c>
      <c r="F377" s="17" t="s">
        <v>321</v>
      </c>
      <c r="G377" s="17" t="s">
        <v>332</v>
      </c>
      <c r="H377" s="18">
        <f t="shared" si="1"/>
        <v>0.21</v>
      </c>
      <c r="I377" s="19" t="str">
        <f t="shared" si="3"/>
        <v>ACCREDITO PER POSTEPAY CASHBACK BUSINESSPER ACQUISTO DI EURO 42,04 DA ACQUA E SAPONE IL 11/12/2025</v>
      </c>
    </row>
    <row r="378">
      <c r="A378" s="20">
        <v>46039.0</v>
      </c>
      <c r="B378" s="20">
        <v>46039.0</v>
      </c>
      <c r="C378" s="21"/>
      <c r="D378" s="22">
        <v>0.2</v>
      </c>
      <c r="E378" s="15" t="b">
        <v>0</v>
      </c>
      <c r="F378" s="17" t="s">
        <v>321</v>
      </c>
      <c r="G378" s="17" t="s">
        <v>333</v>
      </c>
      <c r="H378" s="18">
        <f t="shared" si="1"/>
        <v>0.2</v>
      </c>
      <c r="I378" s="19" t="str">
        <f t="shared" si="3"/>
        <v>ACCREDITO PER POSTEPAY CASHBACK BUSINESSPER ACQUISTO DI EURO 39,54 DA GOOGLE *ADS5278163162 IL 01/12/2025</v>
      </c>
    </row>
    <row r="379">
      <c r="A379" s="20">
        <v>46039.0</v>
      </c>
      <c r="B379" s="20">
        <v>46039.0</v>
      </c>
      <c r="C379" s="21"/>
      <c r="D379" s="22">
        <v>0.19</v>
      </c>
      <c r="E379" s="15" t="b">
        <v>0</v>
      </c>
      <c r="F379" s="17" t="s">
        <v>321</v>
      </c>
      <c r="G379" s="17" t="s">
        <v>334</v>
      </c>
      <c r="H379" s="18">
        <f t="shared" si="1"/>
        <v>0.19</v>
      </c>
      <c r="I379" s="19" t="str">
        <f t="shared" si="3"/>
        <v>ACCREDITO PER POSTEPAY CASHBACK BUSINESSPER ACQUISTO DI EURO 37,44 DA GOOGLE *ADS5278163162 IL 01/01/2026</v>
      </c>
    </row>
    <row r="380">
      <c r="A380" s="20">
        <v>46039.0</v>
      </c>
      <c r="B380" s="20">
        <v>46039.0</v>
      </c>
      <c r="C380" s="21"/>
      <c r="D380" s="22">
        <v>0.16</v>
      </c>
      <c r="E380" s="15" t="b">
        <v>0</v>
      </c>
      <c r="F380" s="17" t="s">
        <v>321</v>
      </c>
      <c r="G380" s="17" t="s">
        <v>335</v>
      </c>
      <c r="H380" s="18">
        <f t="shared" si="1"/>
        <v>0.16</v>
      </c>
      <c r="I380" s="19" t="str">
        <f t="shared" si="3"/>
        <v>ACCREDITO PER POSTEPAY CASHBACK BUSINESSPER ACQUISTO DI EURO 31,20 DA PAM LOCAL IL 11/12/2025</v>
      </c>
    </row>
    <row r="381">
      <c r="A381" s="20">
        <v>46039.0</v>
      </c>
      <c r="B381" s="20">
        <v>46039.0</v>
      </c>
      <c r="C381" s="21"/>
      <c r="D381" s="22">
        <v>0.12</v>
      </c>
      <c r="E381" s="15" t="b">
        <v>0</v>
      </c>
      <c r="F381" s="17" t="s">
        <v>321</v>
      </c>
      <c r="G381" s="17" t="s">
        <v>336</v>
      </c>
      <c r="H381" s="18">
        <f t="shared" si="1"/>
        <v>0.12</v>
      </c>
      <c r="I381" s="19" t="str">
        <f t="shared" si="3"/>
        <v>ACCREDITO PER POSTEPAY CASHBACK BUSINESSPER ACQUISTO DI EURO 24,76 DA ODSTORE PIAZZA DUOMO IL 28/10/2025</v>
      </c>
    </row>
    <row r="382">
      <c r="A382" s="20">
        <v>46039.0</v>
      </c>
      <c r="B382" s="20">
        <v>46039.0</v>
      </c>
      <c r="C382" s="21"/>
      <c r="D382" s="22">
        <v>0.1</v>
      </c>
      <c r="E382" s="15" t="b">
        <v>0</v>
      </c>
      <c r="F382" s="17" t="s">
        <v>321</v>
      </c>
      <c r="G382" s="17" t="s">
        <v>337</v>
      </c>
      <c r="H382" s="18">
        <f t="shared" si="1"/>
        <v>0.1</v>
      </c>
      <c r="I382" s="19" t="str">
        <f t="shared" si="3"/>
        <v>ACCREDITO PER POSTEPAY CASHBACK BUSINESSPER ACQUISTO DI EURO 20,00 DA FIGMA IL 17/12/2025</v>
      </c>
    </row>
    <row r="383">
      <c r="A383" s="23">
        <v>46039.0</v>
      </c>
      <c r="B383" s="23">
        <v>46039.0</v>
      </c>
      <c r="C383" s="21"/>
      <c r="D383" s="22">
        <v>0.05</v>
      </c>
      <c r="E383" s="15" t="b">
        <v>0</v>
      </c>
      <c r="F383" s="17" t="s">
        <v>321</v>
      </c>
      <c r="G383" s="17" t="s">
        <v>338</v>
      </c>
      <c r="H383" s="18">
        <f t="shared" si="1"/>
        <v>0.05</v>
      </c>
      <c r="I383" s="19" t="str">
        <f t="shared" si="3"/>
        <v>ACCREDITO PER POSTEPAY CASHBACK BUSINESSPER ACQUISTO DI EURO 10,00 DA GOOGLE *ADS5278163162 IL 29/11/2025</v>
      </c>
    </row>
    <row r="384">
      <c r="A384" s="23">
        <v>46038.0</v>
      </c>
      <c r="B384" s="23">
        <v>46038.0</v>
      </c>
      <c r="C384" s="21">
        <v>-7145.54</v>
      </c>
      <c r="D384" s="22"/>
      <c r="E384" s="15" t="b">
        <v>1</v>
      </c>
      <c r="F384" s="17" t="s">
        <v>12</v>
      </c>
      <c r="G384" s="17" t="s">
        <v>339</v>
      </c>
      <c r="H384" s="18">
        <f t="shared" si="1"/>
        <v>-7145.54</v>
      </c>
      <c r="I384" s="19" t="str">
        <f t="shared" si="3"/>
        <v>BONIFICO SEPADistinta: 17685574250171DM2DEF</v>
      </c>
    </row>
    <row r="385">
      <c r="A385" s="20"/>
      <c r="B385" s="20"/>
      <c r="C385" s="21"/>
      <c r="D385" s="22"/>
      <c r="E385" s="15" t="b">
        <v>0</v>
      </c>
      <c r="F385" s="17"/>
      <c r="G385" s="17"/>
      <c r="H385" s="18">
        <f t="shared" si="1"/>
        <v>0</v>
      </c>
      <c r="I385" s="19" t="str">
        <f t="shared" si="3"/>
        <v/>
      </c>
    </row>
    <row r="386">
      <c r="A386" s="20"/>
      <c r="B386" s="20"/>
      <c r="C386" s="21"/>
      <c r="D386" s="22"/>
      <c r="E386" s="15" t="b">
        <v>0</v>
      </c>
      <c r="F386" s="17"/>
      <c r="G386" s="17"/>
      <c r="H386" s="18">
        <f t="shared" si="1"/>
        <v>0</v>
      </c>
      <c r="I386" s="19" t="str">
        <f t="shared" si="3"/>
        <v/>
      </c>
    </row>
    <row r="387">
      <c r="A387" s="20">
        <v>46038.0</v>
      </c>
      <c r="B387" s="20">
        <v>46038.0</v>
      </c>
      <c r="C387" s="21"/>
      <c r="D387" s="22">
        <v>258.0</v>
      </c>
      <c r="E387" s="15" t="b">
        <v>0</v>
      </c>
      <c r="F387" s="17" t="s">
        <v>12</v>
      </c>
      <c r="G387" s="17" t="s">
        <v>340</v>
      </c>
      <c r="H387" s="18">
        <f t="shared" si="1"/>
        <v>258</v>
      </c>
      <c r="I387" s="19" t="str">
        <f t="shared" si="3"/>
        <v>BONIFICO SEPADa NEXI Payments Spa TRN 068458136066NPPASU0000000000IT CIPBITMM per PV 1000001228637 ACCREDITO CIRCUITI INTERNAZ. 15012</v>
      </c>
    </row>
    <row r="388">
      <c r="A388" s="20">
        <v>46038.0</v>
      </c>
      <c r="B388" s="20">
        <v>46038.0</v>
      </c>
      <c r="C388" s="21"/>
      <c r="D388" s="22">
        <v>1706.0</v>
      </c>
      <c r="E388" s="15" t="b">
        <v>0</v>
      </c>
      <c r="F388" s="17" t="s">
        <v>12</v>
      </c>
      <c r="G388" s="17" t="s">
        <v>341</v>
      </c>
      <c r="H388" s="18">
        <f t="shared" si="1"/>
        <v>1706</v>
      </c>
      <c r="I388" s="19" t="str">
        <f t="shared" si="3"/>
        <v>BONIFICO SEPADa NEXI Payments Spa TRN 068458195006NPPASU0000000000IT CIPBITMM per PV 1000001228596 ACCREDITO CIRCUITI INTERNAZ. 15012</v>
      </c>
    </row>
    <row r="389">
      <c r="A389" s="20">
        <v>46038.0</v>
      </c>
      <c r="B389" s="23">
        <v>46038.0</v>
      </c>
      <c r="C389" s="21"/>
      <c r="D389" s="22">
        <v>284.0</v>
      </c>
      <c r="E389" s="15" t="b">
        <v>0</v>
      </c>
      <c r="F389" s="17" t="s">
        <v>12</v>
      </c>
      <c r="G389" s="17" t="s">
        <v>342</v>
      </c>
      <c r="H389" s="18">
        <f t="shared" si="1"/>
        <v>284</v>
      </c>
      <c r="I389" s="19" t="str">
        <f t="shared" si="3"/>
        <v>BONIFICO SEPADa NEXI Payments Spa TRN 068458204096NPPASU0000000000IT CIPBITMM per PV 1000001228596 ACCREDITO BANCOMAT 150126 RIF 1084</v>
      </c>
    </row>
    <row r="390">
      <c r="A390" s="20">
        <v>46038.0</v>
      </c>
      <c r="B390" s="23">
        <v>46038.0</v>
      </c>
      <c r="C390" s="29"/>
      <c r="D390" s="22">
        <v>122.0</v>
      </c>
      <c r="E390" s="15" t="b">
        <v>0</v>
      </c>
      <c r="F390" s="17" t="s">
        <v>12</v>
      </c>
      <c r="G390" s="17" t="s">
        <v>343</v>
      </c>
      <c r="H390" s="18">
        <f t="shared" si="1"/>
        <v>122</v>
      </c>
      <c r="I390" s="19" t="str">
        <f t="shared" si="3"/>
        <v>BONIFICO SEPADa ENCANTO CLUB LATINO ASS NE SPOR VA TRN 0306908656574405S90960609606IT BCITITMMXXX per FT 4 del 14/01/26</v>
      </c>
    </row>
    <row r="391">
      <c r="A391" s="20">
        <v>46038.0</v>
      </c>
      <c r="B391" s="20">
        <v>46038.0</v>
      </c>
      <c r="C391" s="21"/>
      <c r="D391" s="22">
        <v>472.12</v>
      </c>
      <c r="E391" s="15" t="b">
        <v>0</v>
      </c>
      <c r="F391" s="17" t="s">
        <v>12</v>
      </c>
      <c r="G391" s="17" t="s">
        <v>344</v>
      </c>
      <c r="H391" s="18">
        <f t="shared" si="1"/>
        <v>472.12</v>
      </c>
      <c r="I391" s="19" t="str">
        <f t="shared" si="3"/>
        <v>BONIFICO SEPADa IMMOBILIARE MONTE DI PIETA  SRL TRN 0306926049580511483338033380IT BCITITMMXXX per Doc.N. 783</v>
      </c>
    </row>
    <row r="392">
      <c r="A392" s="20">
        <v>46037.0</v>
      </c>
      <c r="B392" s="20">
        <v>46037.0</v>
      </c>
      <c r="C392" s="21"/>
      <c r="D392" s="22">
        <v>2234.5</v>
      </c>
      <c r="E392" s="15" t="b">
        <v>0</v>
      </c>
      <c r="F392" s="17" t="s">
        <v>12</v>
      </c>
      <c r="G392" s="17" t="s">
        <v>345</v>
      </c>
      <c r="H392" s="18">
        <f t="shared" si="1"/>
        <v>2234.5</v>
      </c>
      <c r="I392" s="19" t="str">
        <f t="shared" si="3"/>
        <v>BONIFICO SEPADa NEXI Payments Spa TRN 068353464106NPPASU0000000000IT CIPBITMM per PV 1000001228596 ACCREDITO CIRCUITI INTERNAZ. 14012</v>
      </c>
    </row>
    <row r="393">
      <c r="A393" s="20">
        <v>46037.0</v>
      </c>
      <c r="B393" s="20">
        <v>46037.0</v>
      </c>
      <c r="C393" s="21"/>
      <c r="D393" s="22">
        <v>45.0</v>
      </c>
      <c r="E393" s="15" t="b">
        <v>0</v>
      </c>
      <c r="F393" s="17" t="s">
        <v>12</v>
      </c>
      <c r="G393" s="17" t="s">
        <v>346</v>
      </c>
      <c r="H393" s="18">
        <f t="shared" si="1"/>
        <v>45</v>
      </c>
      <c r="I393" s="19" t="str">
        <f t="shared" si="3"/>
        <v>BONIFICO SEPADa NEXI Payments Spa TRN 068354277046NPPASU0000000000IT CIPBITMM per PV 1000001228637 ACCREDITO CIRCUITI INTERNAZ. 14012</v>
      </c>
    </row>
    <row r="394">
      <c r="A394" s="20">
        <v>46037.0</v>
      </c>
      <c r="B394" s="20">
        <v>46037.0</v>
      </c>
      <c r="C394" s="21"/>
      <c r="D394" s="22">
        <v>309.0</v>
      </c>
      <c r="E394" s="15" t="b">
        <v>0</v>
      </c>
      <c r="F394" s="17" t="s">
        <v>12</v>
      </c>
      <c r="G394" s="17" t="s">
        <v>347</v>
      </c>
      <c r="H394" s="18">
        <f t="shared" si="1"/>
        <v>309</v>
      </c>
      <c r="I394" s="19" t="str">
        <f t="shared" si="3"/>
        <v>BONIFICO SEPADa NEXI Payments Spa TRN 068353481016NPPASU0000000000IT CIPBITMM per PV 1000001228596 ACCREDITO BANCOMAT 140126 RIF 1082</v>
      </c>
    </row>
    <row r="395">
      <c r="A395" s="20">
        <v>46037.0</v>
      </c>
      <c r="B395" s="20">
        <v>46037.0</v>
      </c>
      <c r="C395" s="29"/>
      <c r="D395" s="22">
        <v>605.9</v>
      </c>
      <c r="E395" s="15" t="b">
        <v>0</v>
      </c>
      <c r="F395" s="17" t="s">
        <v>12</v>
      </c>
      <c r="G395" s="17" t="s">
        <v>348</v>
      </c>
      <c r="H395" s="18">
        <f t="shared" si="1"/>
        <v>605.9</v>
      </c>
      <c r="I395" s="19" t="str">
        <f t="shared" si="3"/>
        <v>BONIFICO SEPADa Scalapay IP S.p.a. TRN 3601826011504514091853337088262-008 CBPSIT31XXX per 2026-01-14 - GEOS S SDRL - Scalapay IP S.p</v>
      </c>
    </row>
    <row r="396">
      <c r="A396" s="20">
        <v>46037.0</v>
      </c>
      <c r="B396" s="20">
        <v>46037.0</v>
      </c>
      <c r="C396" s="29"/>
      <c r="D396" s="22">
        <v>384.0</v>
      </c>
      <c r="E396" s="15" t="b">
        <v>0</v>
      </c>
      <c r="F396" s="17" t="s">
        <v>28</v>
      </c>
      <c r="G396" s="17" t="s">
        <v>349</v>
      </c>
      <c r="H396" s="18">
        <f t="shared" si="1"/>
        <v>384</v>
      </c>
      <c r="I396" s="19" t="str">
        <f t="shared" si="3"/>
        <v>BONIFICODa Gympass US LLC TRN GQCK3YQ3WZXD CHASNL2XXXX per WellhubGym</v>
      </c>
    </row>
    <row r="397">
      <c r="A397" s="20">
        <v>46036.0</v>
      </c>
      <c r="B397" s="20">
        <v>46036.0</v>
      </c>
      <c r="C397" s="21">
        <v>-1342.2</v>
      </c>
      <c r="D397" s="22"/>
      <c r="E397" s="15" t="b">
        <v>1</v>
      </c>
      <c r="F397" s="17" t="s">
        <v>12</v>
      </c>
      <c r="G397" s="17" t="s">
        <v>350</v>
      </c>
      <c r="H397" s="18">
        <f t="shared" si="1"/>
        <v>-1342.2</v>
      </c>
      <c r="I397" s="19" t="str">
        <f t="shared" si="3"/>
        <v>BONIFICO SEPADistinta: 17683115750180I4SDEF</v>
      </c>
    </row>
    <row r="398">
      <c r="A398" s="20">
        <v>46036.0</v>
      </c>
      <c r="B398" s="20">
        <v>46036.0</v>
      </c>
      <c r="C398" s="29"/>
      <c r="D398" s="22">
        <v>43.0</v>
      </c>
      <c r="E398" s="15" t="b">
        <v>0</v>
      </c>
      <c r="F398" s="17" t="s">
        <v>12</v>
      </c>
      <c r="G398" s="17" t="s">
        <v>351</v>
      </c>
      <c r="H398" s="18">
        <f t="shared" si="1"/>
        <v>43</v>
      </c>
      <c r="I398" s="19" t="str">
        <f t="shared" si="3"/>
        <v>BONIFICO SEPADa NEXI Payments Spa TRN 068240394016NPPASU0000000000IT CIPBITMM per PV 1000001228637 ACCREDITO CIRCUITI INTERNAZ. 13012</v>
      </c>
    </row>
    <row r="399">
      <c r="A399" s="20">
        <v>46036.0</v>
      </c>
      <c r="B399" s="20">
        <v>46036.0</v>
      </c>
      <c r="C399" s="29"/>
      <c r="D399" s="22">
        <v>50.0</v>
      </c>
      <c r="E399" s="15" t="b">
        <v>0</v>
      </c>
      <c r="F399" s="17" t="s">
        <v>12</v>
      </c>
      <c r="G399" s="17" t="s">
        <v>352</v>
      </c>
      <c r="H399" s="18">
        <f t="shared" si="1"/>
        <v>50</v>
      </c>
      <c r="I399" s="19" t="str">
        <f t="shared" si="3"/>
        <v>BONIFICO SEPADa NEXI Payments Spa TRN 068239881086NPPASU0000000000IT CIPBITMM per PV 1000001228596 ACCREDITO BANCOMAT 130126 RIF 1081</v>
      </c>
    </row>
    <row r="400">
      <c r="A400" s="20">
        <v>46036.0</v>
      </c>
      <c r="B400" s="20">
        <v>46036.0</v>
      </c>
      <c r="C400" s="21"/>
      <c r="D400" s="22">
        <v>865.0</v>
      </c>
      <c r="E400" s="15" t="b">
        <v>0</v>
      </c>
      <c r="F400" s="17" t="s">
        <v>12</v>
      </c>
      <c r="G400" s="17" t="s">
        <v>353</v>
      </c>
      <c r="H400" s="18">
        <f t="shared" si="1"/>
        <v>865</v>
      </c>
      <c r="I400" s="19" t="str">
        <f t="shared" si="3"/>
        <v>BONIFICO SEPADa NEXI Payments Spa TRN 068239872126NPPASU0000000000IT CIPBITMM per PV 1000001228596 ACCREDITO CIRCUITI INTERNAZ. 13012</v>
      </c>
    </row>
    <row r="401">
      <c r="A401" s="20">
        <v>46035.0</v>
      </c>
      <c r="B401" s="23">
        <v>46035.0</v>
      </c>
      <c r="C401" s="21"/>
      <c r="D401" s="22">
        <v>78.0</v>
      </c>
      <c r="E401" s="15" t="b">
        <v>0</v>
      </c>
      <c r="F401" s="17" t="s">
        <v>12</v>
      </c>
      <c r="G401" s="17" t="s">
        <v>354</v>
      </c>
      <c r="H401" s="18">
        <f t="shared" si="1"/>
        <v>78</v>
      </c>
      <c r="I401" s="19" t="str">
        <f t="shared" si="3"/>
        <v>BONIFICO SEPADa NEXI Payments Spa TRN 068136676106NPPASU0000000000IT CIPBITMM per PV 1000001228596 ACCREDITO BANCOMAT 120126 RIF 1080</v>
      </c>
    </row>
    <row r="402">
      <c r="A402" s="20">
        <v>46035.0</v>
      </c>
      <c r="B402" s="23">
        <v>46035.0</v>
      </c>
      <c r="C402" s="21"/>
      <c r="D402" s="22">
        <v>35.0</v>
      </c>
      <c r="E402" s="15" t="b">
        <v>0</v>
      </c>
      <c r="F402" s="17" t="s">
        <v>12</v>
      </c>
      <c r="G402" s="17" t="s">
        <v>355</v>
      </c>
      <c r="H402" s="18">
        <f t="shared" si="1"/>
        <v>35</v>
      </c>
      <c r="I402" s="19" t="str">
        <f t="shared" si="3"/>
        <v>BONIFICO SEPADa NEXI Payments Spa TRN 068147591056NPPASU0000000000IT CIPBITMM per PV 1000001228637 ACCREDITO CIRCUITI INTERNAZ. 12012</v>
      </c>
    </row>
    <row r="403">
      <c r="A403" s="20">
        <v>46035.0</v>
      </c>
      <c r="B403" s="20">
        <v>46035.0</v>
      </c>
      <c r="C403" s="21"/>
      <c r="D403" s="22">
        <v>682.0</v>
      </c>
      <c r="E403" s="15" t="b">
        <v>0</v>
      </c>
      <c r="F403" s="17" t="s">
        <v>12</v>
      </c>
      <c r="G403" s="17" t="s">
        <v>356</v>
      </c>
      <c r="H403" s="18">
        <f t="shared" si="1"/>
        <v>682</v>
      </c>
      <c r="I403" s="19" t="str">
        <f t="shared" si="3"/>
        <v>BONIFICO SEPADa NEXI Payments Spa TRN 068136662096NPPASU0000000000IT CIPBITMM per PV 1000001228596 ACCREDITO CIRCUITI INTERNAZ. 12012</v>
      </c>
    </row>
    <row r="404">
      <c r="A404" s="20">
        <v>46034.0</v>
      </c>
      <c r="B404" s="20">
        <v>46034.0</v>
      </c>
      <c r="C404" s="21"/>
      <c r="D404" s="22">
        <v>25.0</v>
      </c>
      <c r="E404" s="15" t="b">
        <v>0</v>
      </c>
      <c r="F404" s="17" t="s">
        <v>12</v>
      </c>
      <c r="G404" s="17" t="s">
        <v>357</v>
      </c>
      <c r="H404" s="18">
        <f t="shared" si="1"/>
        <v>25</v>
      </c>
      <c r="I404" s="19" t="str">
        <f t="shared" si="3"/>
        <v>BONIFICO SEPADa NEXI Payments Spa TRN 067897211056NPPASU0000000000IT CIPBITMM per PV 1000001228596 ACCREDITO BANCOMAT 090126 RIF 1076</v>
      </c>
    </row>
    <row r="405">
      <c r="A405" s="20">
        <v>46034.0</v>
      </c>
      <c r="B405" s="20">
        <v>46034.0</v>
      </c>
      <c r="C405" s="21"/>
      <c r="D405" s="22">
        <v>50.0</v>
      </c>
      <c r="E405" s="15" t="b">
        <v>0</v>
      </c>
      <c r="F405" s="17" t="s">
        <v>12</v>
      </c>
      <c r="G405" s="17" t="s">
        <v>358</v>
      </c>
      <c r="H405" s="18">
        <f t="shared" si="1"/>
        <v>50</v>
      </c>
      <c r="I405" s="19" t="str">
        <f t="shared" si="3"/>
        <v>BONIFICO SEPADa NEXI Payments Spa TRN 067993851036NPPASU0000000000IT CIPBITMM per PV 1000001228596 ACCREDITO CIRCUITI INTERNAZ. 10012</v>
      </c>
    </row>
    <row r="406">
      <c r="A406" s="20">
        <v>46034.0</v>
      </c>
      <c r="B406" s="20">
        <v>46034.0</v>
      </c>
      <c r="C406" s="21"/>
      <c r="D406" s="22">
        <v>889.0</v>
      </c>
      <c r="E406" s="15" t="b">
        <v>0</v>
      </c>
      <c r="F406" s="17" t="s">
        <v>12</v>
      </c>
      <c r="G406" s="17" t="s">
        <v>359</v>
      </c>
      <c r="H406" s="18">
        <f t="shared" si="1"/>
        <v>889</v>
      </c>
      <c r="I406" s="19" t="str">
        <f t="shared" si="3"/>
        <v>BONIFICO SEPADa NEXI Payments Spa TRN 067897201086NPPASU0000000000IT CIPBITMM per PV 1000001228596 ACCREDITO CIRCUITI INTERNAZ. 09012</v>
      </c>
    </row>
    <row r="407">
      <c r="A407" s="20">
        <v>46034.0</v>
      </c>
      <c r="B407" s="20">
        <v>46034.0</v>
      </c>
      <c r="C407" s="21"/>
      <c r="D407" s="22">
        <v>415.0</v>
      </c>
      <c r="E407" s="15" t="b">
        <v>0</v>
      </c>
      <c r="F407" s="17" t="s">
        <v>12</v>
      </c>
      <c r="G407" s="17" t="s">
        <v>360</v>
      </c>
      <c r="H407" s="18">
        <f t="shared" si="1"/>
        <v>415</v>
      </c>
      <c r="I407" s="19" t="str">
        <f t="shared" si="3"/>
        <v>BONIFICO SEPADa NEXI Payments Spa TRN 067897902076NPPASU0000000000IT CIPBITMM per PV 1000001228637 ACCREDITO CIRCUITI INTERNAZ. 09012</v>
      </c>
    </row>
    <row r="408">
      <c r="A408" s="20">
        <v>46034.0</v>
      </c>
      <c r="B408" s="20">
        <v>46034.0</v>
      </c>
      <c r="C408" s="21"/>
      <c r="D408" s="22">
        <v>624.0</v>
      </c>
      <c r="E408" s="15" t="b">
        <v>0</v>
      </c>
      <c r="F408" s="17" t="s">
        <v>12</v>
      </c>
      <c r="G408" s="17" t="s">
        <v>361</v>
      </c>
      <c r="H408" s="18">
        <f t="shared" si="1"/>
        <v>624</v>
      </c>
      <c r="I408" s="19" t="str">
        <f t="shared" si="3"/>
        <v>BONIFICO SEPADa NEXI Payments Spa TRN 068076155046NPPASU0000000000IT CIPBITMM per PV 1000001228637 ACCREDITO CIRCUITI INTERNAZ. 11012</v>
      </c>
    </row>
    <row r="409">
      <c r="A409" s="20"/>
      <c r="B409" s="20"/>
      <c r="C409" s="21"/>
      <c r="D409" s="22"/>
      <c r="E409" s="15" t="b">
        <v>0</v>
      </c>
      <c r="F409" s="17"/>
      <c r="G409" s="17"/>
      <c r="H409" s="18">
        <f t="shared" si="1"/>
        <v>0</v>
      </c>
      <c r="I409" s="19" t="str">
        <f t="shared" si="3"/>
        <v/>
      </c>
    </row>
    <row r="410">
      <c r="A410" s="20"/>
      <c r="B410" s="20"/>
      <c r="C410" s="21"/>
      <c r="D410" s="22"/>
      <c r="E410" s="15" t="b">
        <v>0</v>
      </c>
      <c r="F410" s="17"/>
      <c r="G410" s="17"/>
      <c r="H410" s="18">
        <f t="shared" si="1"/>
        <v>0</v>
      </c>
      <c r="I410" s="19" t="str">
        <f t="shared" si="3"/>
        <v/>
      </c>
    </row>
    <row r="411">
      <c r="A411" s="20"/>
      <c r="B411" s="20"/>
      <c r="C411" s="21"/>
      <c r="D411" s="22"/>
      <c r="E411" s="15" t="b">
        <v>0</v>
      </c>
      <c r="F411" s="17"/>
      <c r="G411" s="17"/>
      <c r="H411" s="18">
        <f t="shared" si="1"/>
        <v>0</v>
      </c>
      <c r="I411" s="19" t="str">
        <f t="shared" si="3"/>
        <v/>
      </c>
    </row>
    <row r="412">
      <c r="A412" s="20">
        <v>46034.0</v>
      </c>
      <c r="B412" s="20">
        <v>46034.0</v>
      </c>
      <c r="C412" s="25"/>
      <c r="D412" s="22">
        <v>42.8</v>
      </c>
      <c r="E412" s="15" t="b">
        <v>0</v>
      </c>
      <c r="F412" s="17" t="s">
        <v>28</v>
      </c>
      <c r="G412" s="17" t="s">
        <v>362</v>
      </c>
      <c r="H412" s="18">
        <f t="shared" si="1"/>
        <v>42.8</v>
      </c>
      <c r="I412" s="19" t="str">
        <f t="shared" si="3"/>
        <v>BONIFICODa Satispay Europe S.A. TRN 4828c114bc4340bc8dff5b831081dedf SATYLUL1XXX per Geos ssdr</v>
      </c>
    </row>
    <row r="413">
      <c r="A413" s="20">
        <v>46034.0</v>
      </c>
      <c r="B413" s="20">
        <v>46034.0</v>
      </c>
      <c r="C413" s="25"/>
      <c r="D413" s="22">
        <v>6710.0</v>
      </c>
      <c r="E413" s="15" t="b">
        <v>0</v>
      </c>
      <c r="F413" s="17" t="s">
        <v>12</v>
      </c>
      <c r="G413" s="17" t="s">
        <v>363</v>
      </c>
      <c r="H413" s="18">
        <f t="shared" si="1"/>
        <v>6710</v>
      </c>
      <c r="I413" s="19" t="str">
        <f t="shared" si="3"/>
        <v>BONIFICO SEPADa MODULO PROJECT S.R.L. TRN 1101260090582567 UNCRITMM per Fattura n. 01 del 09/01/2026 - Affitto studi Dicembre 2025</v>
      </c>
    </row>
    <row r="414">
      <c r="A414" s="20">
        <v>46034.0</v>
      </c>
      <c r="B414" s="20">
        <v>46034.0</v>
      </c>
      <c r="C414" s="25"/>
      <c r="D414" s="22">
        <v>5637.35</v>
      </c>
      <c r="E414" s="15" t="b">
        <v>0</v>
      </c>
      <c r="F414" s="17" t="s">
        <v>12</v>
      </c>
      <c r="G414" s="17" t="s">
        <v>364</v>
      </c>
      <c r="H414" s="18">
        <f t="shared" si="1"/>
        <v>5637.35</v>
      </c>
      <c r="I414" s="19" t="str">
        <f t="shared" si="3"/>
        <v>BONIFICO SEPADa MODULO PROJECT S.R.L. TRN 1101260090583703 UNCRITMM per Fattura n. 02 del 09/01/2026 - Affitto Studio Dicembre 2025 e</v>
      </c>
    </row>
    <row r="415">
      <c r="A415" s="20">
        <v>46031.0</v>
      </c>
      <c r="B415" s="20">
        <v>46031.0</v>
      </c>
      <c r="C415" s="25"/>
      <c r="D415" s="22">
        <v>466.0</v>
      </c>
      <c r="E415" s="15" t="b">
        <v>0</v>
      </c>
      <c r="F415" s="17" t="s">
        <v>12</v>
      </c>
      <c r="G415" s="17" t="s">
        <v>365</v>
      </c>
      <c r="H415" s="18">
        <f t="shared" si="1"/>
        <v>466</v>
      </c>
      <c r="I415" s="19" t="str">
        <f t="shared" si="3"/>
        <v>BONIFICO SEPADa NEXI Payments Spa TRN 067788271056NPPASU0000000000IT CIPBITMM per PV 1000001228596 ACCREDITO CIRCUITI INTERNAZ. 08012</v>
      </c>
    </row>
    <row r="416">
      <c r="A416" s="20">
        <v>46031.0</v>
      </c>
      <c r="B416" s="20">
        <v>46031.0</v>
      </c>
      <c r="C416" s="25"/>
      <c r="D416" s="22">
        <v>215.0</v>
      </c>
      <c r="E416" s="15" t="b">
        <v>0</v>
      </c>
      <c r="F416" s="17" t="s">
        <v>12</v>
      </c>
      <c r="G416" s="17" t="s">
        <v>366</v>
      </c>
      <c r="H416" s="18">
        <f t="shared" si="1"/>
        <v>215</v>
      </c>
      <c r="I416" s="19" t="str">
        <f t="shared" si="3"/>
        <v>BONIFICO SEPADa NEXI Payments Spa TRN 067788990096NPPASU0000000000IT CIPBITMM per PV 1000001228637 ACCREDITO CIRCUITI INTERNAZ. 08012</v>
      </c>
    </row>
    <row r="417">
      <c r="A417" s="20">
        <v>46031.0</v>
      </c>
      <c r="B417" s="20">
        <v>46031.0</v>
      </c>
      <c r="C417" s="25"/>
      <c r="D417" s="22">
        <v>379.0</v>
      </c>
      <c r="E417" s="15" t="b">
        <v>0</v>
      </c>
      <c r="F417" s="17" t="s">
        <v>12</v>
      </c>
      <c r="G417" s="17" t="s">
        <v>367</v>
      </c>
      <c r="H417" s="18">
        <f t="shared" si="1"/>
        <v>379</v>
      </c>
      <c r="I417" s="19" t="str">
        <f t="shared" si="3"/>
        <v>BONIFICO SEPADa NEXI Payments Spa TRN 067788300086NPPASU0000000000IT CIPBITMM per PV 1000001228596 ACCREDITO BANCOMAT 080126 RIF 1074</v>
      </c>
    </row>
    <row r="418">
      <c r="A418" s="20"/>
      <c r="B418" s="20"/>
      <c r="C418" s="21"/>
      <c r="D418" s="22"/>
      <c r="E418" s="15" t="b">
        <v>0</v>
      </c>
      <c r="F418" s="17"/>
      <c r="G418" s="17"/>
      <c r="H418" s="18">
        <f t="shared" si="1"/>
        <v>0</v>
      </c>
      <c r="I418" s="19" t="str">
        <f t="shared" si="3"/>
        <v/>
      </c>
    </row>
    <row r="419">
      <c r="A419" s="20"/>
      <c r="B419" s="20"/>
      <c r="C419" s="21"/>
      <c r="D419" s="22"/>
      <c r="E419" s="15" t="b">
        <v>0</v>
      </c>
      <c r="F419" s="17"/>
      <c r="G419" s="17"/>
      <c r="H419" s="18">
        <f t="shared" si="1"/>
        <v>0</v>
      </c>
      <c r="I419" s="19" t="str">
        <f t="shared" si="3"/>
        <v/>
      </c>
    </row>
    <row r="420">
      <c r="A420" s="20">
        <v>46031.0</v>
      </c>
      <c r="B420" s="20">
        <v>46031.0</v>
      </c>
      <c r="C420" s="25"/>
      <c r="D420" s="22">
        <v>42.8</v>
      </c>
      <c r="E420" s="15" t="b">
        <v>0</v>
      </c>
      <c r="F420" s="17" t="s">
        <v>28</v>
      </c>
      <c r="G420" s="17" t="s">
        <v>368</v>
      </c>
      <c r="H420" s="18">
        <f t="shared" si="1"/>
        <v>42.8</v>
      </c>
      <c r="I420" s="19" t="str">
        <f t="shared" si="3"/>
        <v>BONIFICODa Satispay Europe S.A. TRN b09f852ef4a544aaaf5d9ccf00c848fc SATYLUL1XXX per Geos ssdr</v>
      </c>
    </row>
    <row r="421">
      <c r="A421" s="20">
        <v>46031.0</v>
      </c>
      <c r="B421" s="20">
        <v>46029.0</v>
      </c>
      <c r="C421" s="21">
        <v>-700.0</v>
      </c>
      <c r="D421" s="26"/>
      <c r="E421" s="15" t="b">
        <v>1</v>
      </c>
      <c r="F421" s="17" t="s">
        <v>123</v>
      </c>
      <c r="G421" s="17" t="s">
        <v>369</v>
      </c>
      <c r="H421" s="18">
        <f t="shared" si="1"/>
        <v>-700</v>
      </c>
      <c r="I421" s="19" t="str">
        <f t="shared" si="3"/>
        <v>PAGAMENTO POSWWW.FEDERGINNASTICA.IT 07/01/2026 12.00 ROMA          Op.606201 carta ****0501</v>
      </c>
    </row>
    <row r="422">
      <c r="A422" s="20">
        <v>46030.0</v>
      </c>
      <c r="B422" s="20">
        <v>46030.0</v>
      </c>
      <c r="C422" s="21">
        <v>-615.17</v>
      </c>
      <c r="D422" s="26"/>
      <c r="E422" s="15" t="b">
        <v>1</v>
      </c>
      <c r="F422" s="17" t="s">
        <v>12</v>
      </c>
      <c r="G422" s="17" t="s">
        <v>370</v>
      </c>
      <c r="H422" s="18">
        <f t="shared" si="1"/>
        <v>-615.17</v>
      </c>
      <c r="I422" s="19" t="str">
        <f t="shared" si="3"/>
        <v>BONIFICO SEPADistinta: 17678621244373H8HDEF</v>
      </c>
    </row>
    <row r="423">
      <c r="A423" s="20">
        <v>46030.0</v>
      </c>
      <c r="B423" s="20">
        <v>46030.0</v>
      </c>
      <c r="C423" s="21">
        <v>-206.92</v>
      </c>
      <c r="D423" s="26"/>
      <c r="E423" s="15" t="b">
        <v>1</v>
      </c>
      <c r="F423" s="17" t="s">
        <v>12</v>
      </c>
      <c r="G423" s="17" t="s">
        <v>371</v>
      </c>
      <c r="H423" s="18">
        <f t="shared" si="1"/>
        <v>-206.92</v>
      </c>
      <c r="I423" s="19" t="str">
        <f t="shared" si="3"/>
        <v>BONIFICO SEPADistinta: 17678766973403M82DEF</v>
      </c>
    </row>
    <row r="424">
      <c r="A424" s="20">
        <v>46030.0</v>
      </c>
      <c r="B424" s="20">
        <v>46030.0</v>
      </c>
      <c r="C424" s="21">
        <v>-346.66</v>
      </c>
      <c r="D424" s="26"/>
      <c r="E424" s="15" t="b">
        <v>1</v>
      </c>
      <c r="F424" s="17" t="s">
        <v>12</v>
      </c>
      <c r="G424" s="17" t="s">
        <v>372</v>
      </c>
      <c r="H424" s="18">
        <f t="shared" si="1"/>
        <v>-346.66</v>
      </c>
      <c r="I424" s="19" t="str">
        <f t="shared" si="3"/>
        <v>BONIFICO SEPADistinta: 17678596476993FJMDEF</v>
      </c>
    </row>
    <row r="425">
      <c r="A425" s="20">
        <v>46030.0</v>
      </c>
      <c r="B425" s="20">
        <v>46030.0</v>
      </c>
      <c r="C425" s="21">
        <v>-401.0</v>
      </c>
      <c r="D425" s="26"/>
      <c r="E425" s="15" t="b">
        <v>1</v>
      </c>
      <c r="F425" s="17" t="s">
        <v>12</v>
      </c>
      <c r="G425" s="17" t="s">
        <v>373</v>
      </c>
      <c r="H425" s="18">
        <f t="shared" si="1"/>
        <v>-401</v>
      </c>
      <c r="I425" s="19" t="str">
        <f t="shared" si="3"/>
        <v>BONIFICO SEPADistinta: 17678593374563GE3DEF</v>
      </c>
    </row>
    <row r="426">
      <c r="A426" s="20">
        <v>46030.0</v>
      </c>
      <c r="B426" s="20">
        <v>46030.0</v>
      </c>
      <c r="C426" s="21">
        <v>-46.24</v>
      </c>
      <c r="D426" s="26"/>
      <c r="E426" s="15" t="b">
        <v>1</v>
      </c>
      <c r="F426" s="17" t="s">
        <v>12</v>
      </c>
      <c r="G426" s="17" t="s">
        <v>374</v>
      </c>
      <c r="H426" s="18">
        <f t="shared" si="1"/>
        <v>-46.24</v>
      </c>
      <c r="I426" s="19" t="str">
        <f t="shared" si="3"/>
        <v>BONIFICO SEPADistinta: 17678622568423GA8DEF</v>
      </c>
    </row>
    <row r="427">
      <c r="A427" s="20">
        <v>46030.0</v>
      </c>
      <c r="B427" s="20">
        <v>46030.0</v>
      </c>
      <c r="C427" s="25"/>
      <c r="D427" s="22">
        <v>335.0</v>
      </c>
      <c r="E427" s="15" t="b">
        <v>0</v>
      </c>
      <c r="F427" s="17" t="s">
        <v>12</v>
      </c>
      <c r="G427" s="17" t="s">
        <v>375</v>
      </c>
      <c r="H427" s="18">
        <f t="shared" si="1"/>
        <v>335</v>
      </c>
      <c r="I427" s="19" t="str">
        <f t="shared" si="3"/>
        <v>BONIFICO SEPADa NEXI Payments Spa TRN 067682798016NPPASU0000000000IT CIPBITMM per PV 1000001228637 ACCREDITO CIRCUITI INTERNAZ. 07012</v>
      </c>
    </row>
    <row r="428">
      <c r="A428" s="20">
        <v>46030.0</v>
      </c>
      <c r="B428" s="20">
        <v>46030.0</v>
      </c>
      <c r="C428" s="25"/>
      <c r="D428" s="22">
        <v>242.0</v>
      </c>
      <c r="E428" s="15" t="b">
        <v>0</v>
      </c>
      <c r="F428" s="17" t="s">
        <v>12</v>
      </c>
      <c r="G428" s="17" t="s">
        <v>376</v>
      </c>
      <c r="H428" s="18">
        <f t="shared" si="1"/>
        <v>242</v>
      </c>
      <c r="I428" s="19" t="str">
        <f t="shared" si="3"/>
        <v>BONIFICO SEPADa NEXI Payments Spa TRN 067678972106NPPASU0000000000IT CIPBITMM per PV 1000001228596 ACCREDITO CIRCUITI INTERNAZ. 07012</v>
      </c>
    </row>
    <row r="429">
      <c r="A429" s="23">
        <v>46030.0</v>
      </c>
      <c r="B429" s="23">
        <v>46030.0</v>
      </c>
      <c r="C429" s="25"/>
      <c r="D429" s="22">
        <v>5030.0</v>
      </c>
      <c r="E429" s="15" t="b">
        <v>0</v>
      </c>
      <c r="F429" s="17" t="s">
        <v>58</v>
      </c>
      <c r="G429" s="17" t="s">
        <v>59</v>
      </c>
      <c r="H429" s="18">
        <f t="shared" si="1"/>
        <v>5030</v>
      </c>
      <c r="I429" s="19" t="str">
        <f t="shared" si="3"/>
        <v>VERSAMENTO CONTANTE IN UPU.P.38530 MILANO 82            POSTAMAT N 76018970575871050                 CARTA 75871050</v>
      </c>
    </row>
    <row r="430">
      <c r="A430" s="23">
        <v>46030.0</v>
      </c>
      <c r="B430" s="23">
        <v>46030.0</v>
      </c>
      <c r="C430" s="21">
        <v>-0.4</v>
      </c>
      <c r="D430" s="26"/>
      <c r="E430" s="15" t="b">
        <v>1</v>
      </c>
      <c r="F430" s="17" t="s">
        <v>101</v>
      </c>
      <c r="G430" s="17" t="s">
        <v>103</v>
      </c>
      <c r="H430" s="18">
        <f t="shared" si="1"/>
        <v>-0.4</v>
      </c>
      <c r="I430" s="19" t="str">
        <f t="shared" si="3"/>
        <v>COMMISSIONI DOMICILIAZIONE (ADDEBITO DIRETTO SEPA)NEXI Payments Spa    CID.IT500540000004107060966             MAN.CL2XV900700884PC0001228636</v>
      </c>
    </row>
    <row r="431">
      <c r="A431" s="23">
        <v>46030.0</v>
      </c>
      <c r="B431" s="23">
        <v>46030.0</v>
      </c>
      <c r="C431" s="21">
        <v>-0.4</v>
      </c>
      <c r="D431" s="26"/>
      <c r="E431" s="15" t="b">
        <v>1</v>
      </c>
      <c r="F431" s="17" t="s">
        <v>101</v>
      </c>
      <c r="G431" s="17" t="s">
        <v>102</v>
      </c>
      <c r="H431" s="18">
        <f t="shared" si="1"/>
        <v>-0.4</v>
      </c>
      <c r="I431" s="19" t="str">
        <f t="shared" si="3"/>
        <v>COMMISSIONI DOMICILIAZIONE (ADDEBITO DIRETTO SEPA)NEXI Payments Spa    CID.IT500540000004107060966             MAN.CL2XV900700799PC0001228595</v>
      </c>
    </row>
    <row r="432">
      <c r="A432" s="23">
        <v>46029.0</v>
      </c>
      <c r="B432" s="23">
        <v>46029.0</v>
      </c>
      <c r="C432" s="21">
        <v>-50.0</v>
      </c>
      <c r="D432" s="26"/>
      <c r="E432" s="15" t="b">
        <v>1</v>
      </c>
      <c r="F432" s="17" t="s">
        <v>12</v>
      </c>
      <c r="G432" s="17" t="s">
        <v>377</v>
      </c>
      <c r="H432" s="18">
        <f t="shared" si="1"/>
        <v>-50</v>
      </c>
      <c r="I432" s="19" t="str">
        <f t="shared" si="3"/>
        <v>BONIFICO SEPADistinta: 176778459946838N0DEF</v>
      </c>
    </row>
    <row r="433">
      <c r="A433" s="23">
        <v>46029.0</v>
      </c>
      <c r="B433" s="23">
        <v>46029.0</v>
      </c>
      <c r="C433" s="25"/>
      <c r="D433" s="22">
        <v>150.0</v>
      </c>
      <c r="E433" s="15" t="b">
        <v>0</v>
      </c>
      <c r="F433" s="17" t="s">
        <v>12</v>
      </c>
      <c r="G433" s="17" t="s">
        <v>378</v>
      </c>
      <c r="H433" s="18">
        <f t="shared" si="1"/>
        <v>150</v>
      </c>
      <c r="I433" s="19" t="str">
        <f t="shared" si="3"/>
        <v>BONIFICO SEPADa NEXI Payments Spa TRN 067551787046NPPASU0000000000IT CIPBITMM per PV 1000001228637 ACCREDITO CIRCUITI INTERNAZ. 05012</v>
      </c>
    </row>
    <row r="434">
      <c r="A434" s="23">
        <v>46029.0</v>
      </c>
      <c r="B434" s="23">
        <v>46029.0</v>
      </c>
      <c r="C434" s="25"/>
      <c r="D434" s="22">
        <v>127.0</v>
      </c>
      <c r="E434" s="15" t="b">
        <v>0</v>
      </c>
      <c r="F434" s="17" t="s">
        <v>12</v>
      </c>
      <c r="G434" s="17" t="s">
        <v>379</v>
      </c>
      <c r="H434" s="18">
        <f t="shared" si="1"/>
        <v>127</v>
      </c>
      <c r="I434" s="19" t="str">
        <f t="shared" si="3"/>
        <v>BONIFICO SEPADa NEXI Payments Spa TRN 067612880106NPPASU0000000000IT CIPBITMM per PV 1000001228637 ACCREDITO CIRCUITI INTERNAZ. 06012</v>
      </c>
    </row>
    <row r="435">
      <c r="A435" s="20"/>
      <c r="B435" s="20"/>
      <c r="C435" s="21"/>
      <c r="D435" s="22"/>
      <c r="E435" s="15" t="b">
        <v>0</v>
      </c>
      <c r="F435" s="17"/>
      <c r="G435" s="17"/>
      <c r="H435" s="18">
        <f t="shared" si="1"/>
        <v>0</v>
      </c>
      <c r="I435" s="19" t="str">
        <f t="shared" si="3"/>
        <v/>
      </c>
    </row>
    <row r="436">
      <c r="A436" s="20">
        <v>46029.0</v>
      </c>
      <c r="B436" s="20">
        <v>46029.0</v>
      </c>
      <c r="C436" s="21">
        <v>-55.41</v>
      </c>
      <c r="D436" s="26"/>
      <c r="E436" s="15" t="b">
        <v>1</v>
      </c>
      <c r="F436" s="17" t="s">
        <v>112</v>
      </c>
      <c r="G436" s="17" t="s">
        <v>102</v>
      </c>
      <c r="H436" s="18">
        <f t="shared" si="1"/>
        <v>-55.41</v>
      </c>
      <c r="I436" s="19" t="str">
        <f t="shared" si="3"/>
        <v>DOMICILIAZIONE (ADDEBITO DIRETTO SEPA)NEXI Payments Spa    CID.IT500540000004107060966             MAN.CL2XV900700799PC0001228595</v>
      </c>
    </row>
    <row r="437">
      <c r="A437" s="20">
        <v>46029.0</v>
      </c>
      <c r="B437" s="20">
        <v>46029.0</v>
      </c>
      <c r="C437" s="21">
        <v>-35.5</v>
      </c>
      <c r="D437" s="26"/>
      <c r="E437" s="15" t="b">
        <v>1</v>
      </c>
      <c r="F437" s="17" t="s">
        <v>112</v>
      </c>
      <c r="G437" s="17" t="s">
        <v>103</v>
      </c>
      <c r="H437" s="18">
        <f t="shared" si="1"/>
        <v>-35.5</v>
      </c>
      <c r="I437" s="19" t="str">
        <f t="shared" si="3"/>
        <v>DOMICILIAZIONE (ADDEBITO DIRETTO SEPA)NEXI Payments Spa    CID.IT500540000004107060966             MAN.CL2XV900700884PC0001228636</v>
      </c>
    </row>
    <row r="438">
      <c r="A438" s="20">
        <v>46028.0</v>
      </c>
      <c r="B438" s="20">
        <v>46028.0</v>
      </c>
      <c r="C438" s="25"/>
      <c r="D438" s="22">
        <v>397.35</v>
      </c>
      <c r="E438" s="15" t="b">
        <v>0</v>
      </c>
      <c r="F438" s="17" t="s">
        <v>12</v>
      </c>
      <c r="G438" s="17" t="s">
        <v>380</v>
      </c>
      <c r="H438" s="18">
        <f t="shared" si="1"/>
        <v>397.35</v>
      </c>
      <c r="I438" s="19" t="str">
        <f t="shared" si="3"/>
        <v>BONIFICO SEPADa Scalapay IP S.p.a. TRN 3601826010604502906315272182117-008 CBPSIT31XXX per 2026-01-05 - GEOS S SDRL - Scalapay IP S.p</v>
      </c>
    </row>
    <row r="439">
      <c r="A439" s="20">
        <v>46027.0</v>
      </c>
      <c r="B439" s="20">
        <v>46027.0</v>
      </c>
      <c r="C439" s="25"/>
      <c r="D439" s="22">
        <v>211.0</v>
      </c>
      <c r="E439" s="15" t="b">
        <v>0</v>
      </c>
      <c r="F439" s="17" t="s">
        <v>12</v>
      </c>
      <c r="G439" s="17" t="s">
        <v>381</v>
      </c>
      <c r="H439" s="18">
        <f t="shared" si="1"/>
        <v>211</v>
      </c>
      <c r="I439" s="19" t="str">
        <f t="shared" si="3"/>
        <v>BONIFICO SEPADa NEXI Payments Spa TRN 067424841036NPPASU0000000000IT CIPBITMM per PV 1000001228637 ACCREDITO CIRCUITI INTERNAZ. 03012</v>
      </c>
    </row>
    <row r="440">
      <c r="A440" s="20">
        <v>46027.0</v>
      </c>
      <c r="B440" s="20">
        <v>46027.0</v>
      </c>
      <c r="C440" s="25"/>
      <c r="D440" s="22">
        <v>43.0</v>
      </c>
      <c r="E440" s="15" t="b">
        <v>0</v>
      </c>
      <c r="F440" s="17" t="s">
        <v>12</v>
      </c>
      <c r="G440" s="17" t="s">
        <v>382</v>
      </c>
      <c r="H440" s="18">
        <f t="shared" si="1"/>
        <v>43</v>
      </c>
      <c r="I440" s="19" t="str">
        <f t="shared" si="3"/>
        <v>BONIFICO SEPADa NEXI Payments Spa TRN 067341954046NPPASU0000000000IT CIPBITMM per PV 1000001228637 ACCREDITO CIRCUITI INTERNAZ. 02012</v>
      </c>
    </row>
    <row r="441">
      <c r="A441" s="20">
        <v>46027.0</v>
      </c>
      <c r="B441" s="20">
        <v>46022.0</v>
      </c>
      <c r="C441" s="21">
        <v>-10.0</v>
      </c>
      <c r="D441" s="26"/>
      <c r="E441" s="15" t="b">
        <v>1</v>
      </c>
      <c r="F441" s="17" t="s">
        <v>108</v>
      </c>
      <c r="G441" s="17" t="s">
        <v>383</v>
      </c>
      <c r="H441" s="18">
        <f t="shared" si="1"/>
        <v>-10</v>
      </c>
      <c r="I441" s="19" t="str">
        <f t="shared" si="3"/>
        <v>TENUTA CONTOADDEBITO RELATIVO AL PERIODO DI DICEMBRE  2025</v>
      </c>
    </row>
    <row r="442">
      <c r="A442" s="20">
        <v>46027.0</v>
      </c>
      <c r="B442" s="20">
        <v>46022.0</v>
      </c>
      <c r="C442" s="21">
        <v>-5.0</v>
      </c>
      <c r="D442" s="26"/>
      <c r="E442" s="15" t="b">
        <v>1</v>
      </c>
      <c r="F442" s="17" t="s">
        <v>110</v>
      </c>
      <c r="G442" s="17" t="s">
        <v>384</v>
      </c>
      <c r="H442" s="18">
        <f t="shared" si="1"/>
        <v>-5</v>
      </c>
      <c r="I442" s="19" t="str">
        <f t="shared" si="3"/>
        <v>CANONE SERVIZIO COLLEGAMENTO TELEMATICOADDEBITO CANONE DEL SERVIZIO BANCOPOSTAIMPRESA ONLINE RELATIVO AL PERIODO DICEMBRE 2025 CONTRATTO N. 0059926216</v>
      </c>
    </row>
    <row r="443">
      <c r="A443" s="20">
        <v>46025.0</v>
      </c>
      <c r="B443" s="20">
        <v>46023.0</v>
      </c>
      <c r="C443" s="21">
        <v>-37.44</v>
      </c>
      <c r="D443" s="26"/>
      <c r="E443" s="15" t="b">
        <v>1</v>
      </c>
      <c r="F443" s="17" t="s">
        <v>123</v>
      </c>
      <c r="G443" s="17" t="s">
        <v>385</v>
      </c>
      <c r="H443" s="18">
        <f t="shared" si="1"/>
        <v>-37.44</v>
      </c>
      <c r="I443" s="19" t="str">
        <f t="shared" si="3"/>
        <v>PAGAMENTO POSGOOGLE *ADS5278163162  01/01/2026 11.09 DUBLIN 2      Op.606827 carta ****0501</v>
      </c>
    </row>
    <row r="444">
      <c r="A444" s="20">
        <v>46025.0</v>
      </c>
      <c r="B444" s="20">
        <v>46022.0</v>
      </c>
      <c r="C444" s="21">
        <v>-8.49</v>
      </c>
      <c r="D444" s="26"/>
      <c r="E444" s="15" t="b">
        <v>1</v>
      </c>
      <c r="F444" s="17" t="s">
        <v>125</v>
      </c>
      <c r="G444" s="28"/>
      <c r="H444" s="18">
        <f t="shared" si="1"/>
        <v>-8.49</v>
      </c>
      <c r="I444" s="19" t="str">
        <f t="shared" si="3"/>
        <v>IMPOSTA DI BOLLO</v>
      </c>
    </row>
    <row r="445">
      <c r="A445" s="20">
        <v>46024.0</v>
      </c>
      <c r="B445" s="20">
        <v>46024.0</v>
      </c>
      <c r="C445" s="25"/>
      <c r="D445" s="22">
        <v>37.0</v>
      </c>
      <c r="E445" s="15" t="b">
        <v>0</v>
      </c>
      <c r="F445" s="17" t="s">
        <v>12</v>
      </c>
      <c r="G445" s="17" t="s">
        <v>386</v>
      </c>
      <c r="H445" s="18">
        <f t="shared" si="1"/>
        <v>37</v>
      </c>
      <c r="I445" s="19" t="str">
        <f t="shared" si="3"/>
        <v>BONIFICO SEPADa NEXI Payments Spa TRN 067311384106NPPASU0000000000IT CIPBITMM per PV 1000001228637 ACCREDITO CIRCUITI INTERNAZ. 01012</v>
      </c>
    </row>
    <row r="446">
      <c r="A446" s="20">
        <v>46024.0</v>
      </c>
      <c r="B446" s="20">
        <v>46024.0</v>
      </c>
      <c r="C446" s="25"/>
      <c r="D446" s="22">
        <v>37.0</v>
      </c>
      <c r="E446" s="15" t="b">
        <v>0</v>
      </c>
      <c r="F446" s="17" t="s">
        <v>12</v>
      </c>
      <c r="G446" s="17" t="s">
        <v>387</v>
      </c>
      <c r="H446" s="18">
        <f t="shared" si="1"/>
        <v>37</v>
      </c>
      <c r="I446" s="19" t="str">
        <f t="shared" si="3"/>
        <v>BONIFICO SEPADa NEXI Payments Spa TRN 067225461046NPPASU0000000000IT CIPBITMM per PV 1000001228637 ACCREDITO CIRCUITI INTERNAZ. 31122</v>
      </c>
    </row>
    <row r="447">
      <c r="A447" s="20">
        <v>46024.0</v>
      </c>
      <c r="B447" s="20">
        <v>46024.0</v>
      </c>
      <c r="C447" s="25"/>
      <c r="D447" s="22">
        <v>259.0</v>
      </c>
      <c r="E447" s="15" t="b">
        <v>0</v>
      </c>
      <c r="F447" s="17" t="s">
        <v>12</v>
      </c>
      <c r="G447" s="17" t="s">
        <v>388</v>
      </c>
      <c r="H447" s="18">
        <f t="shared" si="1"/>
        <v>259</v>
      </c>
      <c r="I447" s="19" t="str">
        <f t="shared" si="3"/>
        <v>BONIFICO SEPADa NEXI Payments Spa TRN 067229959046NPPASU0000000000IT CIPBITMM per PV 1000001228596 ACCREDITO CIRCUITI INTERNAZ. 31122</v>
      </c>
    </row>
    <row r="448">
      <c r="A448" s="23">
        <v>46021.0</v>
      </c>
      <c r="B448" s="23">
        <v>46021.0</v>
      </c>
      <c r="C448" s="21">
        <v>-16850.0</v>
      </c>
      <c r="D448" s="26"/>
      <c r="E448" s="15" t="b">
        <v>1</v>
      </c>
      <c r="F448" s="17" t="s">
        <v>12</v>
      </c>
      <c r="G448" s="17" t="s">
        <v>389</v>
      </c>
      <c r="H448" s="18">
        <f t="shared" si="1"/>
        <v>-16850</v>
      </c>
      <c r="I448" s="19" t="str">
        <f t="shared" si="3"/>
        <v>BONIFICO SEPADistinta: 17670221936881VS7DEF</v>
      </c>
    </row>
    <row r="449">
      <c r="A449" s="23">
        <v>46021.0</v>
      </c>
      <c r="B449" s="23">
        <v>46021.0</v>
      </c>
      <c r="C449" s="21">
        <v>-3181.0</v>
      </c>
      <c r="D449" s="26"/>
      <c r="E449" s="15" t="b">
        <v>1</v>
      </c>
      <c r="F449" s="17" t="s">
        <v>12</v>
      </c>
      <c r="G449" s="17" t="s">
        <v>390</v>
      </c>
      <c r="H449" s="18">
        <f t="shared" si="1"/>
        <v>-3181</v>
      </c>
      <c r="I449" s="19" t="str">
        <f t="shared" si="3"/>
        <v>BONIFICO SEPADistinta: 17670225767171VJBDEF</v>
      </c>
    </row>
    <row r="450">
      <c r="A450" s="23">
        <v>46021.0</v>
      </c>
      <c r="B450" s="23">
        <v>46021.0</v>
      </c>
      <c r="C450" s="21">
        <v>-916.0</v>
      </c>
      <c r="D450" s="26"/>
      <c r="E450" s="15" t="b">
        <v>1</v>
      </c>
      <c r="F450" s="17" t="s">
        <v>12</v>
      </c>
      <c r="G450" s="17" t="s">
        <v>391</v>
      </c>
      <c r="H450" s="18">
        <f t="shared" si="1"/>
        <v>-916</v>
      </c>
      <c r="I450" s="19" t="str">
        <f t="shared" si="3"/>
        <v>BONIFICO SEPADistinta: 176708277928123G2DEF</v>
      </c>
    </row>
    <row r="451">
      <c r="A451" s="23">
        <v>46021.0</v>
      </c>
      <c r="B451" s="23">
        <v>46021.0</v>
      </c>
      <c r="C451" s="21">
        <v>-1708.0</v>
      </c>
      <c r="D451" s="26"/>
      <c r="E451" s="15" t="b">
        <v>1</v>
      </c>
      <c r="F451" s="17" t="s">
        <v>12</v>
      </c>
      <c r="G451" s="17" t="s">
        <v>392</v>
      </c>
      <c r="H451" s="18">
        <f t="shared" si="1"/>
        <v>-1708</v>
      </c>
      <c r="I451" s="19" t="str">
        <f t="shared" si="3"/>
        <v>BONIFICO SEPADistinta: 1767023315125208CDEF</v>
      </c>
    </row>
    <row r="452">
      <c r="A452" s="23">
        <v>46021.0</v>
      </c>
      <c r="B452" s="23">
        <v>46021.0</v>
      </c>
      <c r="C452" s="21">
        <v>-4358.0</v>
      </c>
      <c r="D452" s="26"/>
      <c r="E452" s="15" t="b">
        <v>1</v>
      </c>
      <c r="F452" s="17" t="s">
        <v>12</v>
      </c>
      <c r="G452" s="17" t="s">
        <v>393</v>
      </c>
      <c r="H452" s="18">
        <f t="shared" si="1"/>
        <v>-4358</v>
      </c>
      <c r="I452" s="19" t="str">
        <f t="shared" si="3"/>
        <v>BONIFICO SEPADistinta: 1767081831954239DDEF</v>
      </c>
    </row>
    <row r="453">
      <c r="A453" s="23">
        <v>46021.0</v>
      </c>
      <c r="B453" s="23">
        <v>46021.0</v>
      </c>
      <c r="C453" s="21">
        <v>-3328.0</v>
      </c>
      <c r="D453" s="26"/>
      <c r="E453" s="15" t="b">
        <v>1</v>
      </c>
      <c r="F453" s="17" t="s">
        <v>12</v>
      </c>
      <c r="G453" s="17" t="s">
        <v>394</v>
      </c>
      <c r="H453" s="18">
        <f t="shared" si="1"/>
        <v>-3328</v>
      </c>
      <c r="I453" s="19" t="str">
        <f t="shared" si="3"/>
        <v>BONIFICO SEPADistinta: 17670213871381V8TDEF</v>
      </c>
    </row>
    <row r="454">
      <c r="A454" s="23">
        <v>46021.0</v>
      </c>
      <c r="B454" s="23">
        <v>46021.0</v>
      </c>
      <c r="C454" s="21">
        <v>-7630.0</v>
      </c>
      <c r="D454" s="26"/>
      <c r="E454" s="15" t="b">
        <v>1</v>
      </c>
      <c r="F454" s="17" t="s">
        <v>12</v>
      </c>
      <c r="G454" s="17" t="s">
        <v>395</v>
      </c>
      <c r="H454" s="18">
        <f t="shared" si="1"/>
        <v>-7630</v>
      </c>
      <c r="I454" s="19" t="str">
        <f t="shared" si="3"/>
        <v>BONIFICO SEPADistinta: 176708248259523DJDEF</v>
      </c>
    </row>
    <row r="455">
      <c r="A455" s="23">
        <v>46021.0</v>
      </c>
      <c r="B455" s="23">
        <v>46021.0</v>
      </c>
      <c r="C455" s="25"/>
      <c r="D455" s="22">
        <v>549.4</v>
      </c>
      <c r="E455" s="15" t="b">
        <v>0</v>
      </c>
      <c r="F455" s="17" t="s">
        <v>145</v>
      </c>
      <c r="G455" s="17" t="s">
        <v>396</v>
      </c>
      <c r="H455" s="18">
        <f t="shared" si="1"/>
        <v>549.4</v>
      </c>
      <c r="I455" s="19" t="str">
        <f t="shared" si="3"/>
        <v>BONIFICO SEPA ISTANTANEOTRN POSOIT22XXX IP228aab97d91049628c6720c1966a0d50 DA KINETICVIBE SRL PER Acconto 30 per vostro affitto studio del 22 fe</v>
      </c>
    </row>
    <row r="456">
      <c r="A456" s="23">
        <v>46021.0</v>
      </c>
      <c r="B456" s="23">
        <v>46021.0</v>
      </c>
      <c r="C456" s="25"/>
      <c r="D456" s="22">
        <v>117.0</v>
      </c>
      <c r="E456" s="15" t="b">
        <v>0</v>
      </c>
      <c r="F456" s="17" t="s">
        <v>12</v>
      </c>
      <c r="G456" s="17" t="s">
        <v>397</v>
      </c>
      <c r="H456" s="18">
        <f t="shared" si="1"/>
        <v>117</v>
      </c>
      <c r="I456" s="19" t="str">
        <f t="shared" si="3"/>
        <v>BONIFICO SEPADa NEXI Payments Spa TRN 067047334035NPPASU0000000000IT CIPBITMM per PV 1000001228596 ACCREDITO BANCOMAT 291225 RIF 1061</v>
      </c>
    </row>
    <row r="457">
      <c r="A457" s="23">
        <v>46021.0</v>
      </c>
      <c r="B457" s="23">
        <v>46021.0</v>
      </c>
      <c r="C457" s="25"/>
      <c r="D457" s="22">
        <v>127.0</v>
      </c>
      <c r="E457" s="15" t="b">
        <v>0</v>
      </c>
      <c r="F457" s="17" t="s">
        <v>12</v>
      </c>
      <c r="G457" s="17" t="s">
        <v>398</v>
      </c>
      <c r="H457" s="18">
        <f t="shared" si="1"/>
        <v>127</v>
      </c>
      <c r="I457" s="19" t="str">
        <f t="shared" si="3"/>
        <v>BONIFICO SEPADa NEXI Payments Spa TRN 067046807095NPPASU0000000000IT CIPBITMM per PV 1000001228637 ACCREDITO CIRCUITI INTERNAZ. 29122</v>
      </c>
    </row>
    <row r="458">
      <c r="A458" s="23">
        <v>46021.0</v>
      </c>
      <c r="B458" s="23">
        <v>46021.0</v>
      </c>
      <c r="C458" s="25"/>
      <c r="D458" s="22">
        <v>117.0</v>
      </c>
      <c r="E458" s="15" t="b">
        <v>0</v>
      </c>
      <c r="F458" s="17" t="s">
        <v>12</v>
      </c>
      <c r="G458" s="17" t="s">
        <v>399</v>
      </c>
      <c r="H458" s="18">
        <f t="shared" si="1"/>
        <v>117</v>
      </c>
      <c r="I458" s="19" t="str">
        <f t="shared" si="3"/>
        <v>BONIFICO SEPADa NEXI Payments Spa TRN 067047329115NPPASU0000000000IT CIPBITMM per PV 1000001228596 ACCREDITO CIRCUITI INTERNAZ. 29122</v>
      </c>
    </row>
    <row r="459">
      <c r="A459" s="23">
        <v>46021.0</v>
      </c>
      <c r="B459" s="23">
        <v>46021.0</v>
      </c>
      <c r="C459" s="25"/>
      <c r="D459" s="22">
        <v>244.0</v>
      </c>
      <c r="E459" s="15" t="b">
        <v>0</v>
      </c>
      <c r="F459" s="17" t="s">
        <v>12</v>
      </c>
      <c r="G459" s="17" t="s">
        <v>400</v>
      </c>
      <c r="H459" s="18">
        <f t="shared" si="1"/>
        <v>244</v>
      </c>
      <c r="I459" s="19" t="str">
        <f t="shared" si="3"/>
        <v>BONIFICO SEPADa ENCANTO CLUB LATINO ASS NE SPOR VA TRN 0306908095546405S90960609606IT BCITITMMXXX per Pagamento FT 781 del 22/12/25</v>
      </c>
    </row>
    <row r="460">
      <c r="A460" s="23">
        <v>46021.0</v>
      </c>
      <c r="B460" s="23">
        <v>46016.0</v>
      </c>
      <c r="C460" s="21">
        <v>-200.0</v>
      </c>
      <c r="D460" s="26"/>
      <c r="E460" s="15" t="b">
        <v>1</v>
      </c>
      <c r="F460" s="17" t="s">
        <v>123</v>
      </c>
      <c r="G460" s="27" t="s">
        <v>401</v>
      </c>
      <c r="H460" s="18">
        <f t="shared" si="1"/>
        <v>-200</v>
      </c>
      <c r="I460" s="19" t="str">
        <f t="shared" si="3"/>
        <v>PAGAMENTO POSGOOGLE *ADS5278163162  25/12/2025 07.51 DUBLIN 2      Op.696100 carta ****0501</v>
      </c>
    </row>
    <row r="461">
      <c r="A461" s="23">
        <v>46020.0</v>
      </c>
      <c r="B461" s="23">
        <v>46020.0</v>
      </c>
      <c r="C461" s="21">
        <v>-2205.38</v>
      </c>
      <c r="D461" s="26"/>
      <c r="E461" s="15" t="b">
        <v>1</v>
      </c>
      <c r="F461" s="17" t="s">
        <v>12</v>
      </c>
      <c r="G461" s="17" t="s">
        <v>402</v>
      </c>
      <c r="H461" s="18">
        <f t="shared" si="1"/>
        <v>-2205.38</v>
      </c>
      <c r="I461" s="19" t="str">
        <f t="shared" si="3"/>
        <v>BONIFICO SEPADistinta: 17670071682961S54DEF</v>
      </c>
    </row>
    <row r="462">
      <c r="A462" s="23">
        <v>46020.0</v>
      </c>
      <c r="B462" s="23">
        <v>46020.0</v>
      </c>
      <c r="C462" s="21">
        <v>-1095.0</v>
      </c>
      <c r="D462" s="26"/>
      <c r="E462" s="15" t="b">
        <v>1</v>
      </c>
      <c r="F462" s="17" t="s">
        <v>12</v>
      </c>
      <c r="G462" s="17" t="s">
        <v>403</v>
      </c>
      <c r="H462" s="18">
        <f t="shared" si="1"/>
        <v>-1095</v>
      </c>
      <c r="I462" s="19" t="str">
        <f t="shared" si="3"/>
        <v>BONIFICO SEPADistinta: 17670077827111SAMDEF</v>
      </c>
    </row>
    <row r="463">
      <c r="A463" s="23">
        <v>46020.0</v>
      </c>
      <c r="B463" s="23">
        <v>46020.0</v>
      </c>
      <c r="C463" s="21">
        <v>-2295.0</v>
      </c>
      <c r="D463" s="26"/>
      <c r="E463" s="15" t="b">
        <v>1</v>
      </c>
      <c r="F463" s="17" t="s">
        <v>12</v>
      </c>
      <c r="G463" s="17" t="s">
        <v>404</v>
      </c>
      <c r="H463" s="18">
        <f t="shared" si="1"/>
        <v>-2295</v>
      </c>
      <c r="I463" s="19" t="str">
        <f t="shared" si="3"/>
        <v>BONIFICO SEPADistinta: 17669995291561OCUDEF</v>
      </c>
    </row>
    <row r="464">
      <c r="A464" s="23">
        <v>46020.0</v>
      </c>
      <c r="B464" s="23">
        <v>46020.0</v>
      </c>
      <c r="C464" s="21">
        <v>-3665.0</v>
      </c>
      <c r="D464" s="26"/>
      <c r="E464" s="15" t="b">
        <v>1</v>
      </c>
      <c r="F464" s="17" t="s">
        <v>12</v>
      </c>
      <c r="G464" s="17" t="s">
        <v>405</v>
      </c>
      <c r="H464" s="18">
        <f t="shared" si="1"/>
        <v>-3665</v>
      </c>
      <c r="I464" s="19" t="str">
        <f t="shared" si="3"/>
        <v>BONIFICO SEPADistinta: 17669986215951OOBDEF</v>
      </c>
    </row>
    <row r="465">
      <c r="A465" s="23">
        <v>46020.0</v>
      </c>
      <c r="B465" s="23">
        <v>46020.0</v>
      </c>
      <c r="C465" s="21">
        <v>-1870.0</v>
      </c>
      <c r="D465" s="26"/>
      <c r="E465" s="15" t="b">
        <v>1</v>
      </c>
      <c r="F465" s="17" t="s">
        <v>12</v>
      </c>
      <c r="G465" s="17" t="s">
        <v>406</v>
      </c>
      <c r="H465" s="18">
        <f t="shared" si="1"/>
        <v>-1870</v>
      </c>
      <c r="I465" s="19" t="str">
        <f t="shared" si="3"/>
        <v>BONIFICO SEPADistinta: 17670017901511P9TDEF</v>
      </c>
    </row>
    <row r="466">
      <c r="A466" s="23">
        <v>46020.0</v>
      </c>
      <c r="B466" s="23">
        <v>46020.0</v>
      </c>
      <c r="C466" s="21">
        <v>-1488.19</v>
      </c>
      <c r="D466" s="26"/>
      <c r="E466" s="15" t="b">
        <v>1</v>
      </c>
      <c r="F466" s="17" t="s">
        <v>12</v>
      </c>
      <c r="G466" s="17" t="s">
        <v>407</v>
      </c>
      <c r="H466" s="18">
        <f t="shared" si="1"/>
        <v>-1488.19</v>
      </c>
      <c r="I466" s="19" t="str">
        <f t="shared" si="3"/>
        <v>BONIFICO SEPADistinta: 17669950450041N7FDEF</v>
      </c>
    </row>
    <row r="467">
      <c r="A467" s="23">
        <v>46020.0</v>
      </c>
      <c r="B467" s="23">
        <v>46020.0</v>
      </c>
      <c r="C467" s="21">
        <v>-1616.0</v>
      </c>
      <c r="D467" s="26"/>
      <c r="E467" s="15" t="b">
        <v>1</v>
      </c>
      <c r="F467" s="17" t="s">
        <v>12</v>
      </c>
      <c r="G467" s="17" t="s">
        <v>408</v>
      </c>
      <c r="H467" s="18">
        <f t="shared" si="1"/>
        <v>-1616</v>
      </c>
      <c r="I467" s="19" t="str">
        <f t="shared" si="3"/>
        <v>BONIFICO SEPADistinta: 17670056376261RHLDEF</v>
      </c>
    </row>
    <row r="468">
      <c r="A468" s="23">
        <v>46020.0</v>
      </c>
      <c r="B468" s="23">
        <v>46020.0</v>
      </c>
      <c r="C468" s="21">
        <v>-7855.0</v>
      </c>
      <c r="D468" s="26"/>
      <c r="E468" s="15" t="b">
        <v>1</v>
      </c>
      <c r="F468" s="17" t="s">
        <v>12</v>
      </c>
      <c r="G468" s="17" t="s">
        <v>409</v>
      </c>
      <c r="H468" s="18">
        <f t="shared" si="1"/>
        <v>-7855</v>
      </c>
      <c r="I468" s="19" t="str">
        <f t="shared" si="3"/>
        <v>BONIFICO SEPADistinta: 17669964651831NLMDEF</v>
      </c>
    </row>
    <row r="469">
      <c r="A469" s="23">
        <v>46020.0</v>
      </c>
      <c r="B469" s="23">
        <v>46020.0</v>
      </c>
      <c r="C469" s="21">
        <v>-1690.0</v>
      </c>
      <c r="D469" s="26"/>
      <c r="E469" s="15" t="b">
        <v>1</v>
      </c>
      <c r="F469" s="17" t="s">
        <v>12</v>
      </c>
      <c r="G469" s="17" t="s">
        <v>410</v>
      </c>
      <c r="H469" s="18">
        <f t="shared" si="1"/>
        <v>-1690</v>
      </c>
      <c r="I469" s="19" t="str">
        <f t="shared" si="3"/>
        <v>BONIFICO SEPADistinta: 17670031590421PULDEF</v>
      </c>
    </row>
    <row r="470">
      <c r="A470" s="23">
        <v>46020.0</v>
      </c>
      <c r="B470" s="23">
        <v>46020.0</v>
      </c>
      <c r="C470" s="21">
        <v>-244.0</v>
      </c>
      <c r="D470" s="26"/>
      <c r="E470" s="15" t="b">
        <v>1</v>
      </c>
      <c r="F470" s="17" t="s">
        <v>12</v>
      </c>
      <c r="G470" s="17" t="s">
        <v>411</v>
      </c>
      <c r="H470" s="18">
        <f t="shared" si="1"/>
        <v>-244</v>
      </c>
      <c r="I470" s="19" t="str">
        <f t="shared" si="3"/>
        <v>BONIFICO SEPADistinta: 17670071326911S4JDEF</v>
      </c>
    </row>
    <row r="471">
      <c r="A471" s="20"/>
      <c r="B471" s="20"/>
      <c r="C471" s="21"/>
      <c r="D471" s="22"/>
      <c r="E471" s="15" t="b">
        <v>0</v>
      </c>
      <c r="F471" s="17"/>
      <c r="G471" s="17"/>
      <c r="H471" s="18">
        <f t="shared" si="1"/>
        <v>0</v>
      </c>
      <c r="I471" s="19" t="str">
        <f t="shared" si="3"/>
        <v/>
      </c>
    </row>
    <row r="472">
      <c r="A472" s="20"/>
      <c r="B472" s="20"/>
      <c r="C472" s="21"/>
      <c r="D472" s="22"/>
      <c r="E472" s="15" t="b">
        <v>0</v>
      </c>
      <c r="F472" s="17"/>
      <c r="G472" s="17"/>
      <c r="H472" s="18">
        <f t="shared" si="1"/>
        <v>0</v>
      </c>
      <c r="I472" s="19" t="str">
        <f t="shared" si="3"/>
        <v/>
      </c>
    </row>
    <row r="473">
      <c r="A473" s="23">
        <v>46020.0</v>
      </c>
      <c r="B473" s="23">
        <v>46020.0</v>
      </c>
      <c r="C473" s="21"/>
      <c r="D473" s="22">
        <v>90.0</v>
      </c>
      <c r="E473" s="15" t="b">
        <v>0</v>
      </c>
      <c r="F473" s="17" t="s">
        <v>12</v>
      </c>
      <c r="G473" s="17" t="s">
        <v>412</v>
      </c>
      <c r="H473" s="18">
        <f t="shared" si="1"/>
        <v>90</v>
      </c>
      <c r="I473" s="19" t="str">
        <f t="shared" si="3"/>
        <v>BONIFICO SEPADa NEXI Payments Spa TRN 066975223035NPPASU0000000000IT CIPBITMM per PV 1000001228637 ACCREDITO CIRCUITI INTERNAZ. 28122</v>
      </c>
    </row>
    <row r="474">
      <c r="A474" s="23">
        <v>46020.0</v>
      </c>
      <c r="B474" s="23">
        <v>46020.0</v>
      </c>
      <c r="C474" s="21"/>
      <c r="D474" s="22">
        <v>301.0</v>
      </c>
      <c r="E474" s="15" t="b">
        <v>0</v>
      </c>
      <c r="F474" s="17" t="s">
        <v>12</v>
      </c>
      <c r="G474" s="17" t="s">
        <v>413</v>
      </c>
      <c r="H474" s="18">
        <f t="shared" si="1"/>
        <v>301</v>
      </c>
      <c r="I474" s="19" t="str">
        <f t="shared" si="3"/>
        <v>BONIFICO SEPADa NEXI Payments Spa TRN 066863104095NPPASU0000000000IT CIPBITMM per PV 1000001228637 ACCREDITO CIRCUITI INTERNAZ. 26122</v>
      </c>
    </row>
    <row r="475">
      <c r="A475" s="20">
        <v>46020.0</v>
      </c>
      <c r="B475" s="20">
        <v>46020.0</v>
      </c>
      <c r="C475" s="25"/>
      <c r="D475" s="22">
        <v>43.0</v>
      </c>
      <c r="E475" s="15" t="b">
        <v>0</v>
      </c>
      <c r="F475" s="17" t="s">
        <v>12</v>
      </c>
      <c r="G475" s="17" t="s">
        <v>414</v>
      </c>
      <c r="H475" s="18">
        <f t="shared" si="1"/>
        <v>43</v>
      </c>
      <c r="I475" s="19" t="str">
        <f t="shared" si="3"/>
        <v>BONIFICO SEPADa NEXI Payments Spa TRN 066908412125NPPASU0000000000IT CIPBITMM per PV 1000001228637 ACCREDITO CIRCUITI INTERNAZ. 27122</v>
      </c>
    </row>
    <row r="476">
      <c r="A476" s="20">
        <v>46020.0</v>
      </c>
      <c r="B476" s="20">
        <v>46020.0</v>
      </c>
      <c r="C476" s="25"/>
      <c r="D476" s="22">
        <v>442.0</v>
      </c>
      <c r="E476" s="15" t="b">
        <v>0</v>
      </c>
      <c r="F476" s="17" t="s">
        <v>12</v>
      </c>
      <c r="G476" s="17" t="s">
        <v>415</v>
      </c>
      <c r="H476" s="18">
        <f t="shared" si="1"/>
        <v>442</v>
      </c>
      <c r="I476" s="19" t="str">
        <f t="shared" si="3"/>
        <v>BONIFICO SEPADa NEXI Payments Spa TRN 066823496125NPPASU0000000000IT CIPBITMM per PV 1000001228637 ACCREDITO CIRCUITI INTERNAZ. 25122</v>
      </c>
    </row>
    <row r="477">
      <c r="A477" s="20">
        <v>46015.0</v>
      </c>
      <c r="B477" s="20">
        <v>46015.0</v>
      </c>
      <c r="C477" s="25"/>
      <c r="D477" s="22">
        <v>754.0</v>
      </c>
      <c r="E477" s="15" t="b">
        <v>0</v>
      </c>
      <c r="F477" s="17" t="s">
        <v>12</v>
      </c>
      <c r="G477" s="17" t="s">
        <v>416</v>
      </c>
      <c r="H477" s="18">
        <f t="shared" si="1"/>
        <v>754</v>
      </c>
      <c r="I477" s="19" t="str">
        <f t="shared" si="3"/>
        <v>BONIFICO SEPADa NEXI Payments Spa TRN 066651330055NPPASU0000000000IT CIPBITMM per PV 1000001228637 ACCREDITO CIRCUITI INTERNAZ. 23122</v>
      </c>
    </row>
    <row r="478">
      <c r="A478" s="20">
        <v>46015.0</v>
      </c>
      <c r="B478" s="20">
        <v>46015.0</v>
      </c>
      <c r="C478" s="25"/>
      <c r="D478" s="22">
        <v>117.0</v>
      </c>
      <c r="E478" s="15" t="b">
        <v>0</v>
      </c>
      <c r="F478" s="17" t="s">
        <v>12</v>
      </c>
      <c r="G478" s="17" t="s">
        <v>417</v>
      </c>
      <c r="H478" s="18">
        <f t="shared" si="1"/>
        <v>117</v>
      </c>
      <c r="I478" s="19" t="str">
        <f t="shared" si="3"/>
        <v>BONIFICO SEPADa NEXI Payments Spa TRN 066650841105NPPASU0000000000IT CIPBITMM per PV 1000001228596 ACCREDITO BANCOMAT 231225 RIF 1054</v>
      </c>
    </row>
    <row r="479">
      <c r="A479" s="20">
        <v>46015.0</v>
      </c>
      <c r="B479" s="20">
        <v>46015.0</v>
      </c>
      <c r="C479" s="21">
        <v>-303.39</v>
      </c>
      <c r="D479" s="26"/>
      <c r="E479" s="15" t="b">
        <v>1</v>
      </c>
      <c r="F479" s="17" t="s">
        <v>112</v>
      </c>
      <c r="G479" s="17" t="s">
        <v>418</v>
      </c>
      <c r="H479" s="18">
        <f t="shared" si="1"/>
        <v>-303.39</v>
      </c>
      <c r="I479" s="19" t="str">
        <f t="shared" si="3"/>
        <v>DOMICILIAZIONE (ADDEBITO DIRETTO SEPA)VODAFONE (CCBS)      CID.IT200010000093026890017             MAN.09305930969</v>
      </c>
    </row>
    <row r="480">
      <c r="A480" s="20">
        <v>46014.0</v>
      </c>
      <c r="B480" s="20">
        <v>46014.0</v>
      </c>
      <c r="C480" s="21">
        <v>-4996.6</v>
      </c>
      <c r="D480" s="26"/>
      <c r="E480" s="15" t="b">
        <v>1</v>
      </c>
      <c r="F480" s="17" t="s">
        <v>12</v>
      </c>
      <c r="G480" s="17" t="s">
        <v>419</v>
      </c>
      <c r="H480" s="18">
        <f t="shared" si="1"/>
        <v>-4996.6</v>
      </c>
      <c r="I480" s="19" t="str">
        <f t="shared" si="3"/>
        <v>BONIFICO SEPADistinta: 17664148931480R8UDEF</v>
      </c>
    </row>
    <row r="481">
      <c r="A481" s="20">
        <v>46014.0</v>
      </c>
      <c r="B481" s="20">
        <v>46014.0</v>
      </c>
      <c r="C481" s="21">
        <v>-732.0</v>
      </c>
      <c r="D481" s="26"/>
      <c r="E481" s="15" t="b">
        <v>1</v>
      </c>
      <c r="F481" s="17" t="s">
        <v>12</v>
      </c>
      <c r="G481" s="17" t="s">
        <v>420</v>
      </c>
      <c r="H481" s="18">
        <f t="shared" si="1"/>
        <v>-732</v>
      </c>
      <c r="I481" s="19" t="str">
        <f t="shared" si="3"/>
        <v>BONIFICO SEPADistinta: 1766485738447154JDEF</v>
      </c>
    </row>
    <row r="482">
      <c r="A482" s="20">
        <v>46014.0</v>
      </c>
      <c r="B482" s="20">
        <v>46014.0</v>
      </c>
      <c r="C482" s="25"/>
      <c r="D482" s="22">
        <v>65.0</v>
      </c>
      <c r="E482" s="15" t="b">
        <v>0</v>
      </c>
      <c r="F482" s="17" t="s">
        <v>12</v>
      </c>
      <c r="G482" s="17" t="s">
        <v>421</v>
      </c>
      <c r="H482" s="18">
        <f t="shared" si="1"/>
        <v>65</v>
      </c>
      <c r="I482" s="19" t="str">
        <f t="shared" si="3"/>
        <v>BONIFICO SEPADa NEXI Payments Spa TRN 066536982055NPPASU0000000000IT CIPBITMM per PV 1000001228596 ACCREDITO CIRCUITI INTERNAZ. 22122</v>
      </c>
    </row>
    <row r="483">
      <c r="A483" s="20">
        <v>46014.0</v>
      </c>
      <c r="B483" s="20">
        <v>46014.0</v>
      </c>
      <c r="C483" s="25"/>
      <c r="D483" s="22">
        <v>20.0</v>
      </c>
      <c r="E483" s="15" t="b">
        <v>0</v>
      </c>
      <c r="F483" s="17" t="s">
        <v>12</v>
      </c>
      <c r="G483" s="17" t="s">
        <v>422</v>
      </c>
      <c r="H483" s="18">
        <f t="shared" si="1"/>
        <v>20</v>
      </c>
      <c r="I483" s="19" t="str">
        <f t="shared" si="3"/>
        <v>BONIFICO SEPADa NEXI Payments Spa TRN 066536991015NPPASU0000000000IT CIPBITMM per PV 1000001228596 ACCREDITO BANCOMAT 221225 RIF 1052</v>
      </c>
    </row>
    <row r="484">
      <c r="A484" s="20">
        <v>46014.0</v>
      </c>
      <c r="B484" s="20">
        <v>46014.0</v>
      </c>
      <c r="C484" s="25"/>
      <c r="D484" s="22">
        <v>140.0</v>
      </c>
      <c r="E484" s="15" t="b">
        <v>0</v>
      </c>
      <c r="F484" s="17" t="s">
        <v>12</v>
      </c>
      <c r="G484" s="17" t="s">
        <v>423</v>
      </c>
      <c r="H484" s="18">
        <f t="shared" si="1"/>
        <v>140</v>
      </c>
      <c r="I484" s="19" t="str">
        <f t="shared" si="3"/>
        <v>BONIFICO SEPADa NEXI Payments Spa TRN 066545921005NPPASU0000000000IT CIPBITMM per PV 1000001228637 ACCREDITO CIRCUITI INTERNAZ. 22122</v>
      </c>
    </row>
    <row r="485">
      <c r="A485" s="20">
        <v>46014.0</v>
      </c>
      <c r="B485" s="20">
        <v>46014.0</v>
      </c>
      <c r="C485" s="25"/>
      <c r="D485" s="22">
        <v>6679.5</v>
      </c>
      <c r="E485" s="15" t="b">
        <v>0</v>
      </c>
      <c r="F485" s="17" t="s">
        <v>145</v>
      </c>
      <c r="G485" s="17" t="s">
        <v>424</v>
      </c>
      <c r="H485" s="18">
        <f t="shared" si="1"/>
        <v>6679.5</v>
      </c>
      <c r="I485" s="19" t="str">
        <f t="shared" si="3"/>
        <v>BONIFICO SEPA ISTANTANEOTRN BCITITMMXXX 0306923250678504489468199999IT DA ARGUELLO YURI ALESSANDRO PER AFFITTO STUDIO OTTOBRE NOVEMBRE DICEMBRE</v>
      </c>
    </row>
    <row r="486">
      <c r="A486" s="20">
        <v>46014.0</v>
      </c>
      <c r="B486" s="20">
        <v>46014.0</v>
      </c>
      <c r="C486" s="25"/>
      <c r="D486" s="22">
        <v>658.8</v>
      </c>
      <c r="E486" s="15" t="b">
        <v>0</v>
      </c>
      <c r="F486" s="17" t="s">
        <v>12</v>
      </c>
      <c r="G486" s="17" t="s">
        <v>425</v>
      </c>
      <c r="H486" s="18">
        <f t="shared" si="1"/>
        <v>658.8</v>
      </c>
      <c r="I486" s="19" t="str">
        <f t="shared" si="3"/>
        <v>BONIFICO SEPADa BARNABITI SPORT TEAM SOCIETA' SPORTIVA D TRN VTP25356T0019766480161301600IT POSOIT2106C per saldo fattura 775 v1</v>
      </c>
    </row>
    <row r="487">
      <c r="A487" s="20">
        <v>46014.0</v>
      </c>
      <c r="B487" s="20">
        <v>46014.0</v>
      </c>
      <c r="C487" s="25"/>
      <c r="D487" s="22">
        <v>427.0</v>
      </c>
      <c r="E487" s="15" t="b">
        <v>0</v>
      </c>
      <c r="F487" s="17" t="s">
        <v>12</v>
      </c>
      <c r="G487" s="17" t="s">
        <v>426</v>
      </c>
      <c r="H487" s="18">
        <f t="shared" si="1"/>
        <v>427</v>
      </c>
      <c r="I487" s="19" t="str">
        <f t="shared" si="3"/>
        <v>BONIFICO SEPADa TG NEW CO SRL TRN 0000051296949600486405064050IT CIVIIT2CXXX per SUPP PAGAMENTO FT. N. 778 DEL 19.12.2025</v>
      </c>
    </row>
    <row r="488">
      <c r="A488" s="20">
        <v>46014.0</v>
      </c>
      <c r="B488" s="20">
        <v>46012.0</v>
      </c>
      <c r="C488" s="21">
        <v>-531.2</v>
      </c>
      <c r="D488" s="26"/>
      <c r="E488" s="15" t="b">
        <v>1</v>
      </c>
      <c r="F488" s="17" t="s">
        <v>123</v>
      </c>
      <c r="G488" s="17" t="s">
        <v>427</v>
      </c>
      <c r="H488" s="18">
        <f t="shared" si="1"/>
        <v>-531.2</v>
      </c>
      <c r="I488" s="19" t="str">
        <f t="shared" si="3"/>
        <v>PAGAMENTO POSAUUM                   21/12/2025 14.52 MILANO        Op.699129 carta ****0501</v>
      </c>
    </row>
    <row r="489">
      <c r="A489" s="20">
        <v>46013.0</v>
      </c>
      <c r="B489" s="20">
        <v>46013.0</v>
      </c>
      <c r="C489" s="21">
        <v>-446.0</v>
      </c>
      <c r="D489" s="26"/>
      <c r="E489" s="15" t="b">
        <v>1</v>
      </c>
      <c r="F489" s="17" t="s">
        <v>12</v>
      </c>
      <c r="G489" s="17" t="s">
        <v>428</v>
      </c>
      <c r="H489" s="18">
        <f t="shared" si="1"/>
        <v>-446</v>
      </c>
      <c r="I489" s="19" t="str">
        <f t="shared" si="3"/>
        <v>BONIFICO SEPADistinta: 17663915813150HIFDEF</v>
      </c>
    </row>
    <row r="490">
      <c r="A490" s="23">
        <v>46013.0</v>
      </c>
      <c r="B490" s="23">
        <v>46013.0</v>
      </c>
      <c r="C490" s="25"/>
      <c r="D490" s="22">
        <v>125.0</v>
      </c>
      <c r="E490" s="15" t="b">
        <v>0</v>
      </c>
      <c r="F490" s="17" t="s">
        <v>12</v>
      </c>
      <c r="G490" s="17" t="s">
        <v>429</v>
      </c>
      <c r="H490" s="18">
        <f t="shared" si="1"/>
        <v>125</v>
      </c>
      <c r="I490" s="19" t="str">
        <f t="shared" si="3"/>
        <v>BONIFICO SEPADa NEXI Payments Spa TRN 066457675115NPPASU0000000000IT CIPBITMM per PV 1000001228637 ACCREDITO CIRCUITI INTERNAZ. 21122</v>
      </c>
    </row>
    <row r="491">
      <c r="A491" s="23">
        <v>46013.0</v>
      </c>
      <c r="B491" s="23">
        <v>46013.0</v>
      </c>
      <c r="C491" s="25"/>
      <c r="D491" s="22">
        <v>55.0</v>
      </c>
      <c r="E491" s="15" t="b">
        <v>0</v>
      </c>
      <c r="F491" s="17" t="s">
        <v>12</v>
      </c>
      <c r="G491" s="17" t="s">
        <v>430</v>
      </c>
      <c r="H491" s="18">
        <f t="shared" si="1"/>
        <v>55</v>
      </c>
      <c r="I491" s="19" t="str">
        <f t="shared" si="3"/>
        <v>BONIFICO SEPADa NEXI Payments Spa TRN 066252225005NPPASU0000000000IT CIPBITMM per PV 1000001228596 ACCREDITO CIRCUITI INTERNAZ. 19122</v>
      </c>
    </row>
    <row r="492">
      <c r="A492" s="23">
        <v>46013.0</v>
      </c>
      <c r="B492" s="23">
        <v>46013.0</v>
      </c>
      <c r="C492" s="25"/>
      <c r="D492" s="22">
        <v>155.0</v>
      </c>
      <c r="E492" s="15" t="b">
        <v>0</v>
      </c>
      <c r="F492" s="17" t="s">
        <v>12</v>
      </c>
      <c r="G492" s="17" t="s">
        <v>431</v>
      </c>
      <c r="H492" s="18">
        <f t="shared" si="1"/>
        <v>155</v>
      </c>
      <c r="I492" s="19" t="str">
        <f t="shared" si="3"/>
        <v>BONIFICO SEPADa NEXI Payments Spa TRN 066252238005NPPASU0000000000IT CIPBITMM per PV 1000001228596 ACCREDITO BANCOMAT 191225 RIF 1047</v>
      </c>
    </row>
    <row r="493">
      <c r="A493" s="23">
        <v>46013.0</v>
      </c>
      <c r="B493" s="23">
        <v>46013.0</v>
      </c>
      <c r="C493" s="25"/>
      <c r="D493" s="22">
        <v>20.0</v>
      </c>
      <c r="E493" s="15" t="b">
        <v>0</v>
      </c>
      <c r="F493" s="17" t="s">
        <v>12</v>
      </c>
      <c r="G493" s="17" t="s">
        <v>432</v>
      </c>
      <c r="H493" s="18">
        <f t="shared" si="1"/>
        <v>20</v>
      </c>
      <c r="I493" s="19" t="str">
        <f t="shared" si="3"/>
        <v>BONIFICO SEPADa NEXI Payments Spa TRN 066390726125NPPASU0000000000IT CIPBITMM per PV 1000001228596 ACCREDITO CIRCUITI INTERNAZ. 20122</v>
      </c>
    </row>
    <row r="494">
      <c r="A494" s="20"/>
      <c r="B494" s="20"/>
      <c r="C494" s="21"/>
      <c r="D494" s="22"/>
      <c r="E494" s="15" t="b">
        <v>0</v>
      </c>
      <c r="F494" s="17"/>
      <c r="G494" s="17"/>
      <c r="H494" s="18">
        <f t="shared" si="1"/>
        <v>0</v>
      </c>
      <c r="I494" s="19" t="str">
        <f t="shared" si="3"/>
        <v/>
      </c>
    </row>
    <row r="495">
      <c r="A495" s="20"/>
      <c r="B495" s="20"/>
      <c r="C495" s="21"/>
      <c r="D495" s="22"/>
      <c r="E495" s="15" t="b">
        <v>0</v>
      </c>
      <c r="F495" s="17"/>
      <c r="G495" s="17"/>
      <c r="H495" s="18">
        <f t="shared" si="1"/>
        <v>0</v>
      </c>
      <c r="I495" s="19" t="str">
        <f t="shared" si="3"/>
        <v/>
      </c>
    </row>
    <row r="496">
      <c r="A496" s="23">
        <v>46013.0</v>
      </c>
      <c r="B496" s="23">
        <v>46013.0</v>
      </c>
      <c r="C496" s="21"/>
      <c r="D496" s="22">
        <v>1012.6</v>
      </c>
      <c r="E496" s="15" t="b">
        <v>0</v>
      </c>
      <c r="F496" s="17" t="s">
        <v>12</v>
      </c>
      <c r="G496" s="17" t="s">
        <v>433</v>
      </c>
      <c r="H496" s="18">
        <f t="shared" si="1"/>
        <v>1012.6</v>
      </c>
      <c r="I496" s="19" t="str">
        <f t="shared" si="3"/>
        <v>BONIFICO SEPADa Massimo Nella TRN 17306606604 INGBITD1XXX per Saldo Fattura n.711-V1 del 10.12.2025</v>
      </c>
    </row>
    <row r="497">
      <c r="A497" s="23">
        <v>46010.0</v>
      </c>
      <c r="B497" s="23">
        <v>46010.0</v>
      </c>
      <c r="C497" s="21"/>
      <c r="D497" s="22">
        <v>43.0</v>
      </c>
      <c r="E497" s="15" t="b">
        <v>0</v>
      </c>
      <c r="F497" s="17" t="s">
        <v>12</v>
      </c>
      <c r="G497" s="17" t="s">
        <v>434</v>
      </c>
      <c r="H497" s="18">
        <f t="shared" si="1"/>
        <v>43</v>
      </c>
      <c r="I497" s="19" t="str">
        <f t="shared" si="3"/>
        <v>BONIFICO SEPADa NEXI Payments Spa TRN 066132367025NPPASU0000000000IT CIPBITMM per PV 1000001228637 ACCREDITO CIRCUITI INTERNAZ. 18122</v>
      </c>
    </row>
    <row r="498">
      <c r="A498" s="23">
        <v>46010.0</v>
      </c>
      <c r="B498" s="23">
        <v>46010.0</v>
      </c>
      <c r="C498" s="21"/>
      <c r="D498" s="22">
        <v>20.0</v>
      </c>
      <c r="E498" s="15" t="b">
        <v>0</v>
      </c>
      <c r="F498" s="17" t="s">
        <v>12</v>
      </c>
      <c r="G498" s="17" t="s">
        <v>435</v>
      </c>
      <c r="H498" s="18">
        <f t="shared" si="1"/>
        <v>20</v>
      </c>
      <c r="I498" s="19" t="str">
        <f t="shared" si="3"/>
        <v>BONIFICO SEPADa NEXI Payments Spa TRN 066134414085NPPASU0000000000IT CIPBITMM per PV 1000001228596 ACCREDITO CIRCUITI INTERNAZ. 18122</v>
      </c>
    </row>
    <row r="499">
      <c r="A499" s="20"/>
      <c r="B499" s="20"/>
      <c r="C499" s="21"/>
      <c r="D499" s="22"/>
      <c r="E499" s="15" t="b">
        <v>0</v>
      </c>
      <c r="F499" s="17"/>
      <c r="G499" s="17"/>
      <c r="H499" s="18">
        <f t="shared" si="1"/>
        <v>0</v>
      </c>
      <c r="I499" s="19" t="str">
        <f t="shared" si="3"/>
        <v/>
      </c>
    </row>
    <row r="500">
      <c r="A500" s="20"/>
      <c r="B500" s="20"/>
      <c r="C500" s="21"/>
      <c r="D500" s="22"/>
      <c r="E500" s="15" t="b">
        <v>0</v>
      </c>
      <c r="F500" s="17"/>
      <c r="G500" s="17"/>
      <c r="H500" s="18">
        <f t="shared" si="1"/>
        <v>0</v>
      </c>
      <c r="I500" s="19" t="str">
        <f t="shared" si="3"/>
        <v/>
      </c>
    </row>
    <row r="501">
      <c r="A501" s="20">
        <v>46010.0</v>
      </c>
      <c r="B501" s="20">
        <v>46008.0</v>
      </c>
      <c r="C501" s="21">
        <v>-20.0</v>
      </c>
      <c r="D501" s="22"/>
      <c r="E501" s="15" t="b">
        <v>1</v>
      </c>
      <c r="F501" s="17" t="s">
        <v>123</v>
      </c>
      <c r="G501" s="27" t="s">
        <v>436</v>
      </c>
      <c r="H501" s="18">
        <f t="shared" si="1"/>
        <v>-20</v>
      </c>
      <c r="I501" s="19" t="str">
        <f t="shared" si="3"/>
        <v>PAGAMENTO POSFIGMA                  17/12/2025 09.18 SAN FRANCISCO Op.693266 carta ****0501</v>
      </c>
    </row>
    <row r="502">
      <c r="A502" s="20">
        <v>46009.0</v>
      </c>
      <c r="B502" s="20">
        <v>46009.0</v>
      </c>
      <c r="C502" s="21"/>
      <c r="D502" s="22">
        <v>470.0</v>
      </c>
      <c r="E502" s="15" t="b">
        <v>0</v>
      </c>
      <c r="F502" s="17" t="s">
        <v>12</v>
      </c>
      <c r="G502" s="17" t="s">
        <v>437</v>
      </c>
      <c r="H502" s="18">
        <f t="shared" si="1"/>
        <v>470</v>
      </c>
      <c r="I502" s="19" t="str">
        <f t="shared" si="3"/>
        <v>BONIFICO SEPADa NEXI Payments Spa TRN 066013511055NPPASU0000000000IT CIPBITMM per PV 1000001228596 ACCREDITO CIRCUITI INTERNAZ. 17122</v>
      </c>
    </row>
    <row r="503">
      <c r="A503" s="23">
        <v>46009.0</v>
      </c>
      <c r="B503" s="23">
        <v>46009.0</v>
      </c>
      <c r="C503" s="21"/>
      <c r="D503" s="22">
        <v>129.0</v>
      </c>
      <c r="E503" s="15" t="b">
        <v>0</v>
      </c>
      <c r="F503" s="17" t="s">
        <v>12</v>
      </c>
      <c r="G503" s="17" t="s">
        <v>438</v>
      </c>
      <c r="H503" s="18">
        <f t="shared" si="1"/>
        <v>129</v>
      </c>
      <c r="I503" s="19" t="str">
        <f t="shared" si="3"/>
        <v>BONIFICO SEPADa NEXI Payments Spa TRN 066012304075NPPASU0000000000IT CIPBITMM per PV 1000001228637 ACCREDITO CIRCUITI INTERNAZ. 17122</v>
      </c>
    </row>
    <row r="504">
      <c r="A504" s="23">
        <v>46009.0</v>
      </c>
      <c r="B504" s="23">
        <v>46009.0</v>
      </c>
      <c r="C504" s="21"/>
      <c r="D504" s="22">
        <v>12079.65</v>
      </c>
      <c r="E504" s="15" t="b">
        <v>0</v>
      </c>
      <c r="F504" s="17" t="s">
        <v>12</v>
      </c>
      <c r="G504" s="17" t="s">
        <v>439</v>
      </c>
      <c r="H504" s="18">
        <f t="shared" si="1"/>
        <v>12079.65</v>
      </c>
      <c r="I504" s="19" t="str">
        <f t="shared" si="3"/>
        <v>BONIFICO SEPADa MODULO PROJECT S.R.L. TRN 1101253510255340 UNCRITMM per Fattura n. 774 V1 del 17/12/2025 - Affitto Studio Novembre 20</v>
      </c>
    </row>
    <row r="505">
      <c r="A505" s="23">
        <v>46009.0</v>
      </c>
      <c r="B505" s="23">
        <v>46009.0</v>
      </c>
      <c r="C505" s="21"/>
      <c r="D505" s="22">
        <v>6710.0</v>
      </c>
      <c r="E505" s="15" t="b">
        <v>0</v>
      </c>
      <c r="F505" s="17" t="s">
        <v>12</v>
      </c>
      <c r="G505" s="17" t="s">
        <v>440</v>
      </c>
      <c r="H505" s="18">
        <f t="shared" si="1"/>
        <v>6710</v>
      </c>
      <c r="I505" s="19" t="str">
        <f t="shared" si="3"/>
        <v>BONIFICO SEPADa MODULO PROJECT S.R.L. TRN 1101253510258191 UNCRITMM per Fattura n. 773 V1 del 17/12/2025 - Affitto studi Novembre 202</v>
      </c>
    </row>
    <row r="506">
      <c r="A506" s="23">
        <v>46009.0</v>
      </c>
      <c r="B506" s="23">
        <v>46009.0</v>
      </c>
      <c r="C506" s="21"/>
      <c r="D506" s="22">
        <v>1952.0</v>
      </c>
      <c r="E506" s="15" t="b">
        <v>0</v>
      </c>
      <c r="F506" s="17" t="s">
        <v>12</v>
      </c>
      <c r="G506" s="17" t="s">
        <v>441</v>
      </c>
      <c r="H506" s="18">
        <f t="shared" si="1"/>
        <v>1952</v>
      </c>
      <c r="I506" s="19" t="str">
        <f t="shared" si="3"/>
        <v>BONIFICO SEPADa NEW WAVE S.R.L. TRN 1101253510316340 UNCRITMM per saldo fatt. 645-669-706/2025</v>
      </c>
    </row>
    <row r="507">
      <c r="A507" s="20">
        <v>46008.0</v>
      </c>
      <c r="B507" s="20">
        <v>46008.0</v>
      </c>
      <c r="C507" s="21">
        <v>-4880.0</v>
      </c>
      <c r="D507" s="26"/>
      <c r="E507" s="15" t="b">
        <v>1</v>
      </c>
      <c r="F507" s="17" t="s">
        <v>12</v>
      </c>
      <c r="G507" s="17" t="s">
        <v>442</v>
      </c>
      <c r="H507" s="18">
        <f t="shared" si="1"/>
        <v>-4880</v>
      </c>
      <c r="I507" s="19" t="str">
        <f t="shared" si="3"/>
        <v>BONIFICO SEPADistinta: 17659721358360IQ3DEF</v>
      </c>
    </row>
    <row r="508">
      <c r="A508" s="20">
        <v>46008.0</v>
      </c>
      <c r="B508" s="20">
        <v>46008.0</v>
      </c>
      <c r="C508" s="25"/>
      <c r="D508" s="22">
        <v>188.0</v>
      </c>
      <c r="E508" s="15" t="b">
        <v>0</v>
      </c>
      <c r="F508" s="17" t="s">
        <v>12</v>
      </c>
      <c r="G508" s="17" t="s">
        <v>443</v>
      </c>
      <c r="H508" s="18">
        <f t="shared" si="1"/>
        <v>188</v>
      </c>
      <c r="I508" s="19" t="str">
        <f t="shared" si="3"/>
        <v>BONIFICO SEPADa NEXI Payments Spa TRN 065906966085NPPASU0000000000IT CIPBITMM per PV 1000001228637 ACCREDITO CIRCUITI INTERNAZ. 16122</v>
      </c>
    </row>
    <row r="509">
      <c r="A509" s="20">
        <v>46007.0</v>
      </c>
      <c r="B509" s="20">
        <v>46007.0</v>
      </c>
      <c r="C509" s="21">
        <v>-200.0</v>
      </c>
      <c r="D509" s="26"/>
      <c r="E509" s="15" t="b">
        <v>1</v>
      </c>
      <c r="F509" s="17" t="s">
        <v>12</v>
      </c>
      <c r="G509" s="17" t="s">
        <v>444</v>
      </c>
      <c r="H509" s="18">
        <f t="shared" si="1"/>
        <v>-200</v>
      </c>
      <c r="I509" s="19" t="str">
        <f t="shared" si="3"/>
        <v>BONIFICO SEPADistinta: 1765890499066065ODEF</v>
      </c>
    </row>
    <row r="510">
      <c r="A510" s="20">
        <v>46007.0</v>
      </c>
      <c r="B510" s="20">
        <v>46007.0</v>
      </c>
      <c r="C510" s="21">
        <v>-556.55</v>
      </c>
      <c r="D510" s="26"/>
      <c r="E510" s="15" t="b">
        <v>1</v>
      </c>
      <c r="F510" s="17" t="s">
        <v>12</v>
      </c>
      <c r="G510" s="17" t="s">
        <v>445</v>
      </c>
      <c r="H510" s="18">
        <f t="shared" si="1"/>
        <v>-556.55</v>
      </c>
      <c r="I510" s="19" t="str">
        <f t="shared" si="3"/>
        <v>BONIFICO SEPADistinta: 176587185248500IMDEF</v>
      </c>
    </row>
    <row r="511">
      <c r="A511" s="20">
        <v>46007.0</v>
      </c>
      <c r="B511" s="20">
        <v>46007.0</v>
      </c>
      <c r="C511" s="21">
        <v>-208.36</v>
      </c>
      <c r="D511" s="26"/>
      <c r="E511" s="15" t="b">
        <v>1</v>
      </c>
      <c r="F511" s="17" t="s">
        <v>12</v>
      </c>
      <c r="G511" s="17" t="s">
        <v>446</v>
      </c>
      <c r="H511" s="18">
        <f t="shared" si="1"/>
        <v>-208.36</v>
      </c>
      <c r="I511" s="19" t="str">
        <f t="shared" si="3"/>
        <v>BONIFICO SEPADistinta: 176587141478700GADEF</v>
      </c>
    </row>
    <row r="512">
      <c r="A512" s="20">
        <v>46007.0</v>
      </c>
      <c r="B512" s="20">
        <v>46007.0</v>
      </c>
      <c r="C512" s="21">
        <v>-92.33</v>
      </c>
      <c r="D512" s="26"/>
      <c r="E512" s="15" t="b">
        <v>1</v>
      </c>
      <c r="F512" s="17" t="s">
        <v>12</v>
      </c>
      <c r="G512" s="17" t="s">
        <v>447</v>
      </c>
      <c r="H512" s="18">
        <f t="shared" si="1"/>
        <v>-92.33</v>
      </c>
      <c r="I512" s="19" t="str">
        <f t="shared" si="3"/>
        <v>BONIFICO SEPADistinta: 176587157454000FBDEF</v>
      </c>
    </row>
    <row r="513">
      <c r="A513" s="20">
        <v>46007.0</v>
      </c>
      <c r="B513" s="20">
        <v>46007.0</v>
      </c>
      <c r="C513" s="25"/>
      <c r="D513" s="22">
        <v>45.0</v>
      </c>
      <c r="E513" s="15" t="b">
        <v>0</v>
      </c>
      <c r="F513" s="17" t="s">
        <v>12</v>
      </c>
      <c r="G513" s="17" t="s">
        <v>448</v>
      </c>
      <c r="H513" s="18">
        <f t="shared" si="1"/>
        <v>45</v>
      </c>
      <c r="I513" s="19" t="str">
        <f t="shared" si="3"/>
        <v>BONIFICO SEPADa NEXI Payments Spa TRN 065795558105NPPASU0000000000IT CIPBITMM per PV 1000001228637 ACCREDITO CIRCUITI INTERNAZ. 15122</v>
      </c>
    </row>
    <row r="514">
      <c r="A514" s="20">
        <v>46007.0</v>
      </c>
      <c r="B514" s="20">
        <v>46007.0</v>
      </c>
      <c r="C514" s="25"/>
      <c r="D514" s="22">
        <v>63.0</v>
      </c>
      <c r="E514" s="15" t="b">
        <v>0</v>
      </c>
      <c r="F514" s="17" t="s">
        <v>12</v>
      </c>
      <c r="G514" s="17" t="s">
        <v>449</v>
      </c>
      <c r="H514" s="18">
        <f t="shared" si="1"/>
        <v>63</v>
      </c>
      <c r="I514" s="19" t="str">
        <f t="shared" si="3"/>
        <v>BONIFICO SEPADa NEXI Payments Spa TRN 065788442055NPPASU0000000000IT CIPBITMM per PV 1000001228596 ACCREDITO CIRCUITI INTERNAZ. 15122</v>
      </c>
    </row>
    <row r="515">
      <c r="A515" s="20">
        <v>46007.0</v>
      </c>
      <c r="B515" s="20">
        <v>46003.0</v>
      </c>
      <c r="C515" s="21">
        <v>-444.19</v>
      </c>
      <c r="D515" s="26"/>
      <c r="E515" s="15" t="b">
        <v>1</v>
      </c>
      <c r="F515" s="17" t="s">
        <v>123</v>
      </c>
      <c r="G515" s="17" t="s">
        <v>450</v>
      </c>
      <c r="H515" s="18">
        <f t="shared" si="1"/>
        <v>-444.19</v>
      </c>
      <c r="I515" s="19" t="str">
        <f t="shared" si="3"/>
        <v>PAGAMENTO POSMETRO FIL.SAN DONATO M 12/12/2025 11.26 SAN DONATO MI Op.697899 carta ****0501</v>
      </c>
    </row>
    <row r="516">
      <c r="A516" s="20">
        <v>46006.0</v>
      </c>
      <c r="B516" s="20">
        <v>46003.0</v>
      </c>
      <c r="C516" s="21">
        <v>-279.09</v>
      </c>
      <c r="D516" s="26"/>
      <c r="E516" s="15" t="b">
        <v>1</v>
      </c>
      <c r="F516" s="17" t="s">
        <v>123</v>
      </c>
      <c r="G516" s="17" t="s">
        <v>451</v>
      </c>
      <c r="H516" s="18">
        <f t="shared" si="1"/>
        <v>-279.09</v>
      </c>
      <c r="I516" s="19" t="str">
        <f t="shared" si="3"/>
        <v>PAGAMENTO POSESSELUNGA RIPAMONTI    12/12/2025 12.44 Op. 690034  Carta ****0501</v>
      </c>
    </row>
    <row r="517">
      <c r="A517" s="20">
        <v>46006.0</v>
      </c>
      <c r="B517" s="20">
        <v>46006.0</v>
      </c>
      <c r="C517" s="21">
        <v>-300.0</v>
      </c>
      <c r="D517" s="26"/>
      <c r="E517" s="15" t="b">
        <v>1</v>
      </c>
      <c r="F517" s="17" t="s">
        <v>12</v>
      </c>
      <c r="G517" s="17" t="s">
        <v>452</v>
      </c>
      <c r="H517" s="18">
        <f t="shared" si="1"/>
        <v>-300</v>
      </c>
      <c r="I517" s="19" t="str">
        <f t="shared" si="3"/>
        <v>BONIFICO SEPADistinta: 17658042369320IPPDEF</v>
      </c>
    </row>
    <row r="518">
      <c r="A518" s="20">
        <v>46006.0</v>
      </c>
      <c r="B518" s="20">
        <v>46006.0</v>
      </c>
      <c r="C518" s="25"/>
      <c r="D518" s="22">
        <v>420.0</v>
      </c>
      <c r="E518" s="15" t="b">
        <v>0</v>
      </c>
      <c r="F518" s="17" t="s">
        <v>12</v>
      </c>
      <c r="G518" s="17" t="s">
        <v>453</v>
      </c>
      <c r="H518" s="18">
        <f t="shared" si="1"/>
        <v>420</v>
      </c>
      <c r="I518" s="19" t="str">
        <f t="shared" si="3"/>
        <v>BONIFICO SEPADa NEXI Payments Spa TRN 065512664095NPPASU0000000000IT CIPBITMM per PV 1000001228596 ACCREDITO CIRCUITI INTERNAZ. 12122</v>
      </c>
    </row>
    <row r="519">
      <c r="A519" s="20">
        <v>46006.0</v>
      </c>
      <c r="B519" s="20">
        <v>46006.0</v>
      </c>
      <c r="C519" s="25"/>
      <c r="D519" s="22">
        <v>110.0</v>
      </c>
      <c r="E519" s="15" t="b">
        <v>0</v>
      </c>
      <c r="F519" s="17" t="s">
        <v>12</v>
      </c>
      <c r="G519" s="17" t="s">
        <v>454</v>
      </c>
      <c r="H519" s="18">
        <f t="shared" si="1"/>
        <v>110</v>
      </c>
      <c r="I519" s="19" t="str">
        <f t="shared" si="3"/>
        <v>BONIFICO SEPADa NEXI Payments Spa TRN 065712590085NPPASU0000000000IT CIPBITMM per PV 1000001228637 ACCREDITO CIRCUITI INTERNAZ. 14122</v>
      </c>
    </row>
    <row r="520">
      <c r="A520" s="20">
        <v>46006.0</v>
      </c>
      <c r="B520" s="20">
        <v>46006.0</v>
      </c>
      <c r="C520" s="25"/>
      <c r="D520" s="22">
        <v>845.0</v>
      </c>
      <c r="E520" s="15" t="b">
        <v>0</v>
      </c>
      <c r="F520" s="17" t="s">
        <v>12</v>
      </c>
      <c r="G520" s="17" t="s">
        <v>455</v>
      </c>
      <c r="H520" s="18">
        <f t="shared" si="1"/>
        <v>845</v>
      </c>
      <c r="I520" s="19" t="str">
        <f t="shared" si="3"/>
        <v>BONIFICO SEPADa NEXI Payments Spa TRN 065630123005NPPASU0000000000IT CIPBITMM per PV 1000001228596 ACCREDITO CIRCUITI INTERNAZ. 13122</v>
      </c>
    </row>
    <row r="521">
      <c r="A521" s="20">
        <v>46006.0</v>
      </c>
      <c r="B521" s="20">
        <v>46006.0</v>
      </c>
      <c r="C521" s="25"/>
      <c r="D521" s="22">
        <v>90.0</v>
      </c>
      <c r="E521" s="15" t="b">
        <v>0</v>
      </c>
      <c r="F521" s="17" t="s">
        <v>12</v>
      </c>
      <c r="G521" s="17" t="s">
        <v>456</v>
      </c>
      <c r="H521" s="18">
        <f t="shared" si="1"/>
        <v>90</v>
      </c>
      <c r="I521" s="19" t="str">
        <f t="shared" si="3"/>
        <v>BONIFICO SEPADa NEXI Payments Spa TRN 065712277075NPPASU0000000000IT CIPBITMM per PV 1000001228596 ACCREDITO CIRCUITI INTERNAZ. 14122</v>
      </c>
    </row>
    <row r="522">
      <c r="A522" s="23">
        <v>46006.0</v>
      </c>
      <c r="B522" s="23">
        <v>46006.0</v>
      </c>
      <c r="C522" s="25"/>
      <c r="D522" s="22">
        <v>320.0</v>
      </c>
      <c r="E522" s="15" t="b">
        <v>0</v>
      </c>
      <c r="F522" s="17" t="s">
        <v>12</v>
      </c>
      <c r="G522" s="17" t="s">
        <v>457</v>
      </c>
      <c r="H522" s="18">
        <f t="shared" si="1"/>
        <v>320</v>
      </c>
      <c r="I522" s="19" t="str">
        <f t="shared" si="3"/>
        <v>BONIFICO SEPADa NEXI Payments Spa TRN 065629113045NPPASU0000000000IT CIPBITMM per PV 1000001228637 ACCREDITO CIRCUITI INTERNAZ. 13122</v>
      </c>
    </row>
    <row r="523">
      <c r="A523" s="20"/>
      <c r="B523" s="20"/>
      <c r="C523" s="21"/>
      <c r="D523" s="22"/>
      <c r="E523" s="15" t="b">
        <v>0</v>
      </c>
      <c r="F523" s="17"/>
      <c r="G523" s="17"/>
      <c r="H523" s="18">
        <f t="shared" si="1"/>
        <v>0</v>
      </c>
      <c r="I523" s="19" t="str">
        <f t="shared" si="3"/>
        <v/>
      </c>
    </row>
    <row r="524">
      <c r="A524" s="20"/>
      <c r="B524" s="20"/>
      <c r="C524" s="21"/>
      <c r="D524" s="22"/>
      <c r="E524" s="15" t="b">
        <v>0</v>
      </c>
      <c r="F524" s="17"/>
      <c r="G524" s="17"/>
      <c r="H524" s="18">
        <f t="shared" si="1"/>
        <v>0</v>
      </c>
      <c r="I524" s="19" t="str">
        <f t="shared" si="3"/>
        <v/>
      </c>
    </row>
    <row r="525">
      <c r="A525" s="20">
        <v>46006.0</v>
      </c>
      <c r="B525" s="20">
        <v>46006.0</v>
      </c>
      <c r="C525" s="21"/>
      <c r="D525" s="22">
        <v>19.8</v>
      </c>
      <c r="E525" s="15" t="b">
        <v>0</v>
      </c>
      <c r="F525" s="17" t="s">
        <v>28</v>
      </c>
      <c r="G525" s="17" t="s">
        <v>458</v>
      </c>
      <c r="H525" s="18">
        <f t="shared" si="1"/>
        <v>19.8</v>
      </c>
      <c r="I525" s="19" t="str">
        <f t="shared" si="3"/>
        <v>BONIFICODa Satispay Europe S.A. TRN f78a20d9f0db4bab89addb14221e53ff SATYLUL1XXX per Geos ssdr</v>
      </c>
    </row>
    <row r="526">
      <c r="A526" s="20">
        <v>46006.0</v>
      </c>
      <c r="B526" s="20">
        <v>46006.0</v>
      </c>
      <c r="C526" s="21"/>
      <c r="D526" s="22">
        <v>122.0</v>
      </c>
      <c r="E526" s="15" t="b">
        <v>0</v>
      </c>
      <c r="F526" s="17" t="s">
        <v>12</v>
      </c>
      <c r="G526" s="17" t="s">
        <v>459</v>
      </c>
      <c r="H526" s="18">
        <f t="shared" si="1"/>
        <v>122</v>
      </c>
      <c r="I526" s="19" t="str">
        <f t="shared" si="3"/>
        <v>BONIFICO SEPADa ENCANTO CLUB LATINO ASS NE SPOR VA TRN 0306907622141901S90960609606IT BCITITMMXXX per Pagamento FT 714 del 11/12/2025</v>
      </c>
    </row>
    <row r="527">
      <c r="A527" s="20">
        <v>46006.0</v>
      </c>
      <c r="B527" s="20">
        <v>46006.0</v>
      </c>
      <c r="C527" s="21"/>
      <c r="D527" s="22">
        <v>1024.0</v>
      </c>
      <c r="E527" s="15" t="b">
        <v>0</v>
      </c>
      <c r="F527" s="17" t="s">
        <v>28</v>
      </c>
      <c r="G527" s="17" t="s">
        <v>460</v>
      </c>
      <c r="H527" s="18">
        <f t="shared" si="1"/>
        <v>1024</v>
      </c>
      <c r="I527" s="19" t="str">
        <f t="shared" si="3"/>
        <v>BONIFICODa Gympass US LLC TRN G7HYH3NHSSM3 CHASNL2XXXX per WellhubGym</v>
      </c>
    </row>
    <row r="528">
      <c r="A528" s="20">
        <v>46004.0</v>
      </c>
      <c r="B528" s="20">
        <v>46002.0</v>
      </c>
      <c r="C528" s="21">
        <v>-42.04</v>
      </c>
      <c r="D528" s="22"/>
      <c r="E528" s="15" t="b">
        <v>1</v>
      </c>
      <c r="F528" s="17" t="s">
        <v>123</v>
      </c>
      <c r="G528" s="17" t="s">
        <v>461</v>
      </c>
      <c r="H528" s="18">
        <f t="shared" si="1"/>
        <v>-42.04</v>
      </c>
      <c r="I528" s="19" t="str">
        <f t="shared" si="3"/>
        <v>PAGAMENTO POSACQUA E SAPONE         11/12/2025 10.17 MILANO        Op.690314 carta ****0501</v>
      </c>
    </row>
    <row r="529">
      <c r="A529" s="20">
        <v>46003.0</v>
      </c>
      <c r="B529" s="20">
        <v>46002.0</v>
      </c>
      <c r="C529" s="21">
        <v>-31.2</v>
      </c>
      <c r="D529" s="22"/>
      <c r="E529" s="15" t="b">
        <v>1</v>
      </c>
      <c r="F529" s="17" t="s">
        <v>123</v>
      </c>
      <c r="G529" s="17" t="s">
        <v>462</v>
      </c>
      <c r="H529" s="18">
        <f t="shared" si="1"/>
        <v>-31.2</v>
      </c>
      <c r="I529" s="19" t="str">
        <f t="shared" si="3"/>
        <v>PAGAMENTO POSPAM LOCAL              11/12/2025 10.26 Op. 690788  Carta ****0501</v>
      </c>
    </row>
    <row r="530">
      <c r="A530" s="20">
        <v>46003.0</v>
      </c>
      <c r="B530" s="20">
        <v>46003.0</v>
      </c>
      <c r="C530" s="21">
        <v>-4879.28</v>
      </c>
      <c r="D530" s="22"/>
      <c r="E530" s="15" t="b">
        <v>1</v>
      </c>
      <c r="F530" s="17" t="s">
        <v>12</v>
      </c>
      <c r="G530" s="17" t="s">
        <v>463</v>
      </c>
      <c r="H530" s="18">
        <f t="shared" si="1"/>
        <v>-4879.28</v>
      </c>
      <c r="I530" s="19" t="str">
        <f t="shared" si="3"/>
        <v>BONIFICO SEPADistinta: 1765535076153031QDEF</v>
      </c>
    </row>
    <row r="531">
      <c r="A531" s="23">
        <v>46003.0</v>
      </c>
      <c r="B531" s="23">
        <v>46003.0</v>
      </c>
      <c r="C531" s="21"/>
      <c r="D531" s="22">
        <v>506.0</v>
      </c>
      <c r="E531" s="15" t="b">
        <v>0</v>
      </c>
      <c r="F531" s="17" t="s">
        <v>12</v>
      </c>
      <c r="G531" s="17" t="s">
        <v>464</v>
      </c>
      <c r="H531" s="18">
        <f t="shared" si="1"/>
        <v>506</v>
      </c>
      <c r="I531" s="19" t="str">
        <f t="shared" si="3"/>
        <v>BONIFICO SEPADa NEXI Payments Spa TRN 065414935015NPPASU0000000000IT CIPBITMM per PV 1000001228596 ACCREDITO CIRCUITI INTERNAZ. 11122</v>
      </c>
    </row>
    <row r="532">
      <c r="A532" s="23">
        <v>46003.0</v>
      </c>
      <c r="B532" s="23">
        <v>46003.0</v>
      </c>
      <c r="C532" s="21"/>
      <c r="D532" s="22">
        <v>155.0</v>
      </c>
      <c r="E532" s="15" t="b">
        <v>0</v>
      </c>
      <c r="F532" s="17" t="s">
        <v>12</v>
      </c>
      <c r="G532" s="17" t="s">
        <v>465</v>
      </c>
      <c r="H532" s="18">
        <f t="shared" si="1"/>
        <v>155</v>
      </c>
      <c r="I532" s="19" t="str">
        <f t="shared" si="3"/>
        <v>BONIFICO SEPADa NEXI Payments Spa TRN 065415619095NPPASU0000000000IT CIPBITMM per PV 1000001228637 ACCREDITO CIRCUITI INTERNAZ. 11122</v>
      </c>
    </row>
    <row r="533">
      <c r="A533" s="23">
        <v>46003.0</v>
      </c>
      <c r="B533" s="23">
        <v>46003.0</v>
      </c>
      <c r="C533" s="21"/>
      <c r="D533" s="22">
        <v>420.14</v>
      </c>
      <c r="E533" s="15" t="b">
        <v>0</v>
      </c>
      <c r="F533" s="17" t="s">
        <v>12</v>
      </c>
      <c r="G533" s="17" t="s">
        <v>466</v>
      </c>
      <c r="H533" s="18">
        <f t="shared" si="1"/>
        <v>420.14</v>
      </c>
      <c r="I533" s="19" t="str">
        <f t="shared" si="3"/>
        <v>BONIFICO SEPADa Scalapay IP S.p.a. TRN 3601825121204540729761282218741-008 CBPSIT31XXX per 2025-12-11 - GEOS S SDRL - Scalapay IP S.p</v>
      </c>
    </row>
    <row r="534">
      <c r="A534" s="23">
        <v>46002.0</v>
      </c>
      <c r="B534" s="23">
        <v>46002.0</v>
      </c>
      <c r="C534" s="21">
        <v>-1408.8</v>
      </c>
      <c r="D534" s="22"/>
      <c r="E534" s="15" t="b">
        <v>1</v>
      </c>
      <c r="F534" s="17" t="s">
        <v>12</v>
      </c>
      <c r="G534" s="17" t="s">
        <v>467</v>
      </c>
      <c r="H534" s="18">
        <f t="shared" si="1"/>
        <v>-1408.8</v>
      </c>
      <c r="I534" s="19" t="str">
        <f t="shared" si="3"/>
        <v>BONIFICO SEPADistinta: 176545030105103URDEF</v>
      </c>
    </row>
    <row r="535">
      <c r="A535" s="20">
        <v>46002.0</v>
      </c>
      <c r="B535" s="20">
        <v>46002.0</v>
      </c>
      <c r="C535" s="25"/>
      <c r="D535" s="22">
        <v>265.0</v>
      </c>
      <c r="E535" s="15" t="b">
        <v>0</v>
      </c>
      <c r="F535" s="17" t="s">
        <v>12</v>
      </c>
      <c r="G535" s="17" t="s">
        <v>468</v>
      </c>
      <c r="H535" s="18">
        <f t="shared" si="1"/>
        <v>265</v>
      </c>
      <c r="I535" s="19" t="str">
        <f t="shared" si="3"/>
        <v>BONIFICO SEPADa NEXI Payments Spa TRN 065291379105NPPASU0000000000IT CIPBITMM per PV 1000001228596 ACCREDITO BANCOMAT 101225 RIF 1033</v>
      </c>
    </row>
    <row r="536">
      <c r="A536" s="20">
        <v>46002.0</v>
      </c>
      <c r="B536" s="20">
        <v>46002.0</v>
      </c>
      <c r="C536" s="25"/>
      <c r="D536" s="22">
        <v>200.0</v>
      </c>
      <c r="E536" s="15" t="b">
        <v>0</v>
      </c>
      <c r="F536" s="17" t="s">
        <v>12</v>
      </c>
      <c r="G536" s="17" t="s">
        <v>469</v>
      </c>
      <c r="H536" s="18">
        <f t="shared" si="1"/>
        <v>200</v>
      </c>
      <c r="I536" s="19" t="str">
        <f t="shared" si="3"/>
        <v>BONIFICO SEPADa NEXI Payments Spa TRN 065291567035NPPASU0000000000IT CIPBITMM per PV 1000001228637 ACCREDITO CIRCUITI INTERNAZ. 10122</v>
      </c>
    </row>
    <row r="537">
      <c r="A537" s="20">
        <v>46002.0</v>
      </c>
      <c r="B537" s="20">
        <v>46002.0</v>
      </c>
      <c r="C537" s="25"/>
      <c r="D537" s="22">
        <v>415.0</v>
      </c>
      <c r="E537" s="15" t="b">
        <v>0</v>
      </c>
      <c r="F537" s="17" t="s">
        <v>12</v>
      </c>
      <c r="G537" s="17" t="s">
        <v>470</v>
      </c>
      <c r="H537" s="18">
        <f t="shared" si="1"/>
        <v>415</v>
      </c>
      <c r="I537" s="19" t="str">
        <f t="shared" si="3"/>
        <v>BONIFICO SEPADa NEXI Payments Spa TRN 065291371025NPPASU0000000000IT CIPBITMM per PV 1000001228596 ACCREDITO CIRCUITI INTERNAZ. 10122</v>
      </c>
    </row>
    <row r="538">
      <c r="A538" s="20">
        <v>46002.0</v>
      </c>
      <c r="B538" s="20">
        <v>46002.0</v>
      </c>
      <c r="C538" s="25"/>
      <c r="D538" s="22">
        <v>74.4</v>
      </c>
      <c r="E538" s="15" t="b">
        <v>0</v>
      </c>
      <c r="F538" s="17" t="s">
        <v>28</v>
      </c>
      <c r="G538" s="17" t="s">
        <v>471</v>
      </c>
      <c r="H538" s="18">
        <f t="shared" si="1"/>
        <v>74.4</v>
      </c>
      <c r="I538" s="19" t="str">
        <f t="shared" si="3"/>
        <v>BONIFICODa Satispay Europe S.A. TRN 8dd7f4d3b0864b1796e7f3f93adc1f86 SATYLUL1XXX per Geos ssdr</v>
      </c>
    </row>
    <row r="539">
      <c r="A539" s="20">
        <v>46001.0</v>
      </c>
      <c r="B539" s="20">
        <v>46001.0</v>
      </c>
      <c r="C539" s="21">
        <v>-600.0</v>
      </c>
      <c r="D539" s="26"/>
      <c r="E539" s="15" t="b">
        <v>1</v>
      </c>
      <c r="F539" s="17" t="s">
        <v>12</v>
      </c>
      <c r="G539" s="17" t="s">
        <v>472</v>
      </c>
      <c r="H539" s="18">
        <f t="shared" si="1"/>
        <v>-600</v>
      </c>
      <c r="I539" s="19" t="str">
        <f t="shared" si="3"/>
        <v>BONIFICO SEPADistinta: 17653563303340OGEDEF</v>
      </c>
    </row>
    <row r="540">
      <c r="A540" s="20">
        <v>46001.0</v>
      </c>
      <c r="B540" s="20">
        <v>46001.0</v>
      </c>
      <c r="C540" s="25"/>
      <c r="D540" s="22">
        <v>1720.2</v>
      </c>
      <c r="E540" s="15" t="b">
        <v>0</v>
      </c>
      <c r="F540" s="17" t="s">
        <v>145</v>
      </c>
      <c r="G540" s="17" t="s">
        <v>473</v>
      </c>
      <c r="H540" s="18">
        <f t="shared" si="1"/>
        <v>1720.2</v>
      </c>
      <c r="I540" s="19" t="str">
        <f t="shared" si="3"/>
        <v>BONIFICO SEPA ISTANTANEOTRN BCITITMMXXX 0306922793965306489468199999IT DA ARGUELLO YURI ALESSANDRO PER FATTURA 712 V1 AFFITTO STUDIO SETTEMBRE 2</v>
      </c>
    </row>
    <row r="541">
      <c r="A541" s="20">
        <v>46001.0</v>
      </c>
      <c r="B541" s="20">
        <v>46001.0</v>
      </c>
      <c r="C541" s="25"/>
      <c r="D541" s="22">
        <v>215.0</v>
      </c>
      <c r="E541" s="15" t="b">
        <v>0</v>
      </c>
      <c r="F541" s="17" t="s">
        <v>12</v>
      </c>
      <c r="G541" s="17" t="s">
        <v>474</v>
      </c>
      <c r="H541" s="18">
        <f t="shared" si="1"/>
        <v>215</v>
      </c>
      <c r="I541" s="19" t="str">
        <f t="shared" si="3"/>
        <v>BONIFICO SEPADa NEXI Payments Spa TRN 065165011025NPPASU0000000000IT CIPBITMM per PV 1000001228596 ACCREDITO CIRCUITI INTERNAZ. 09122</v>
      </c>
    </row>
    <row r="542">
      <c r="A542" s="20">
        <v>46001.0</v>
      </c>
      <c r="B542" s="20">
        <v>46001.0</v>
      </c>
      <c r="C542" s="25"/>
      <c r="D542" s="22">
        <v>290.0</v>
      </c>
      <c r="E542" s="15" t="b">
        <v>0</v>
      </c>
      <c r="F542" s="17" t="s">
        <v>12</v>
      </c>
      <c r="G542" s="17" t="s">
        <v>475</v>
      </c>
      <c r="H542" s="18">
        <f t="shared" si="1"/>
        <v>290</v>
      </c>
      <c r="I542" s="19" t="str">
        <f t="shared" si="3"/>
        <v>BONIFICO SEPADa NEXI Payments Spa TRN 065165158065NPPASU0000000000IT CIPBITMM per PV 1000001228637 ACCREDITO CIRCUITI INTERNAZ. 09122</v>
      </c>
    </row>
    <row r="543">
      <c r="A543" s="20">
        <v>46001.0</v>
      </c>
      <c r="B543" s="20">
        <v>46001.0</v>
      </c>
      <c r="C543" s="25"/>
      <c r="D543" s="22">
        <v>70.0</v>
      </c>
      <c r="E543" s="15" t="b">
        <v>0</v>
      </c>
      <c r="F543" s="17" t="s">
        <v>12</v>
      </c>
      <c r="G543" s="17" t="s">
        <v>476</v>
      </c>
      <c r="H543" s="18">
        <f t="shared" si="1"/>
        <v>70</v>
      </c>
      <c r="I543" s="19" t="str">
        <f t="shared" si="3"/>
        <v>BONIFICO SEPADa NEXI Payments Spa TRN 065165020115NPPASU0000000000IT CIPBITMM per PV 1000001228596 ACCREDITO BANCOMAT 091225 RIF 1031</v>
      </c>
    </row>
    <row r="544">
      <c r="A544" s="20"/>
      <c r="B544" s="20"/>
      <c r="C544" s="29"/>
      <c r="D544" s="22"/>
      <c r="E544" s="15" t="b">
        <v>0</v>
      </c>
      <c r="F544" s="17"/>
      <c r="G544" s="17"/>
      <c r="H544" s="18">
        <f t="shared" si="1"/>
        <v>0</v>
      </c>
      <c r="I544" s="19" t="str">
        <f t="shared" si="3"/>
        <v/>
      </c>
    </row>
    <row r="545">
      <c r="A545" s="20"/>
      <c r="B545" s="20"/>
      <c r="C545" s="25"/>
      <c r="D545" s="22"/>
      <c r="E545" s="15" t="b">
        <v>0</v>
      </c>
      <c r="F545" s="17"/>
      <c r="G545" s="17"/>
      <c r="H545" s="18">
        <f t="shared" si="1"/>
        <v>0</v>
      </c>
      <c r="I545" s="19" t="str">
        <f t="shared" si="3"/>
        <v/>
      </c>
    </row>
    <row r="546">
      <c r="A546" s="20">
        <v>46001.0</v>
      </c>
      <c r="B546" s="23">
        <v>46001.0</v>
      </c>
      <c r="C546" s="21"/>
      <c r="D546" s="22">
        <v>19.8</v>
      </c>
      <c r="E546" s="15" t="b">
        <v>0</v>
      </c>
      <c r="F546" s="17" t="s">
        <v>28</v>
      </c>
      <c r="G546" s="17" t="s">
        <v>477</v>
      </c>
      <c r="H546" s="18">
        <f t="shared" si="1"/>
        <v>19.8</v>
      </c>
      <c r="I546" s="19" t="str">
        <f t="shared" si="3"/>
        <v>BONIFICODa Satispay Europe S.A. TRN e5521fdfea87405ba371a8ac66a1dbfa SATYLUL1XXX per Geos ssdr</v>
      </c>
    </row>
    <row r="547">
      <c r="A547" s="20">
        <v>46000.0</v>
      </c>
      <c r="B547" s="20">
        <v>46000.0</v>
      </c>
      <c r="C547" s="21">
        <v>-8020.0</v>
      </c>
      <c r="D547" s="22"/>
      <c r="E547" s="15" t="b">
        <v>1</v>
      </c>
      <c r="F547" s="17" t="s">
        <v>12</v>
      </c>
      <c r="G547" s="17" t="s">
        <v>478</v>
      </c>
      <c r="H547" s="18">
        <f t="shared" si="1"/>
        <v>-8020</v>
      </c>
      <c r="I547" s="19" t="str">
        <f t="shared" si="3"/>
        <v>BONIFICO SEPADistinta: 17652675080950CJGDEF</v>
      </c>
    </row>
    <row r="548">
      <c r="A548" s="20">
        <v>46000.0</v>
      </c>
      <c r="B548" s="20">
        <v>46000.0</v>
      </c>
      <c r="C548" s="21">
        <v>-3371.15</v>
      </c>
      <c r="D548" s="22"/>
      <c r="E548" s="15" t="b">
        <v>1</v>
      </c>
      <c r="F548" s="17" t="s">
        <v>12</v>
      </c>
      <c r="G548" s="17" t="s">
        <v>479</v>
      </c>
      <c r="H548" s="18">
        <f t="shared" si="1"/>
        <v>-3371.15</v>
      </c>
      <c r="I548" s="19" t="str">
        <f t="shared" si="3"/>
        <v>BONIFICO SEPADistinta: 17652721467920EO9DEF</v>
      </c>
    </row>
    <row r="549">
      <c r="A549" s="20">
        <v>46000.0</v>
      </c>
      <c r="B549" s="20">
        <v>46000.0</v>
      </c>
      <c r="C549" s="21">
        <v>-4108.86</v>
      </c>
      <c r="D549" s="22"/>
      <c r="E549" s="15" t="b">
        <v>1</v>
      </c>
      <c r="F549" s="17" t="s">
        <v>12</v>
      </c>
      <c r="G549" s="17" t="s">
        <v>480</v>
      </c>
      <c r="H549" s="18">
        <f t="shared" si="1"/>
        <v>-4108.86</v>
      </c>
      <c r="I549" s="19" t="str">
        <f t="shared" si="3"/>
        <v>BONIFICO SEPADistinta: 17652728139780F07DEF</v>
      </c>
    </row>
    <row r="550">
      <c r="A550" s="20">
        <v>46000.0</v>
      </c>
      <c r="B550" s="20">
        <v>46000.0</v>
      </c>
      <c r="C550" s="21">
        <v>-5423.0</v>
      </c>
      <c r="D550" s="22"/>
      <c r="E550" s="15" t="b">
        <v>1</v>
      </c>
      <c r="F550" s="17" t="s">
        <v>12</v>
      </c>
      <c r="G550" s="17" t="s">
        <v>481</v>
      </c>
      <c r="H550" s="18">
        <f t="shared" si="1"/>
        <v>-5423</v>
      </c>
      <c r="I550" s="19" t="str">
        <f t="shared" si="3"/>
        <v>BONIFICO SEPADistinta: 17652680166830DCGDEF</v>
      </c>
    </row>
    <row r="551">
      <c r="A551" s="20">
        <v>46000.0</v>
      </c>
      <c r="B551" s="20">
        <v>46000.0</v>
      </c>
      <c r="C551" s="21">
        <v>-20847.0</v>
      </c>
      <c r="D551" s="22"/>
      <c r="E551" s="15" t="b">
        <v>1</v>
      </c>
      <c r="F551" s="17" t="s">
        <v>12</v>
      </c>
      <c r="G551" s="17" t="s">
        <v>482</v>
      </c>
      <c r="H551" s="18">
        <f t="shared" si="1"/>
        <v>-20847</v>
      </c>
      <c r="I551" s="19" t="str">
        <f t="shared" si="3"/>
        <v>BONIFICO SEPADistinta: 17652669411590COKDEF</v>
      </c>
    </row>
    <row r="552">
      <c r="A552" s="20">
        <v>46000.0</v>
      </c>
      <c r="B552" s="20">
        <v>46000.0</v>
      </c>
      <c r="C552" s="21"/>
      <c r="D552" s="22">
        <v>52.0</v>
      </c>
      <c r="E552" s="15" t="b">
        <v>0</v>
      </c>
      <c r="F552" s="17" t="s">
        <v>12</v>
      </c>
      <c r="G552" s="17" t="s">
        <v>483</v>
      </c>
      <c r="H552" s="18">
        <f t="shared" si="1"/>
        <v>52</v>
      </c>
      <c r="I552" s="19" t="str">
        <f t="shared" si="3"/>
        <v>BONIFICO SEPADa NEXI Payments Spa TRN 065022908025NPPASU0000000000IT CIPBITMM per PV 1000001228637 ACCREDITO CIRCUITI INTERNAZ. 07122</v>
      </c>
    </row>
    <row r="553">
      <c r="A553" s="20">
        <v>46000.0</v>
      </c>
      <c r="B553" s="20">
        <v>46000.0</v>
      </c>
      <c r="C553" s="21"/>
      <c r="D553" s="22">
        <v>80.0</v>
      </c>
      <c r="E553" s="15" t="b">
        <v>0</v>
      </c>
      <c r="F553" s="17" t="s">
        <v>12</v>
      </c>
      <c r="G553" s="17" t="s">
        <v>484</v>
      </c>
      <c r="H553" s="18">
        <f t="shared" si="1"/>
        <v>80</v>
      </c>
      <c r="I553" s="19" t="str">
        <f t="shared" si="3"/>
        <v>BONIFICO SEPADa NEXI Payments Spa TRN 064841274045NPPASU0000000000IT CIPBITMM per PV 1000001228637 ACCREDITO CIRCUITI INTERNAZ. 05122</v>
      </c>
    </row>
    <row r="554">
      <c r="A554" s="23">
        <v>45997.0</v>
      </c>
      <c r="B554" s="23">
        <v>45995.0</v>
      </c>
      <c r="C554" s="21">
        <v>-50.0</v>
      </c>
      <c r="D554" s="22"/>
      <c r="E554" s="15" t="b">
        <v>1</v>
      </c>
      <c r="F554" s="17" t="s">
        <v>123</v>
      </c>
      <c r="G554" s="27" t="s">
        <v>485</v>
      </c>
      <c r="H554" s="18">
        <f t="shared" si="1"/>
        <v>-50</v>
      </c>
      <c r="I554" s="19" t="str">
        <f t="shared" si="3"/>
        <v>PAGAMENTO POSGOOGLE *ADS5278163162  04/12/2025 09.22 DUBLIN 2      Op.692098 carta ****0501</v>
      </c>
    </row>
    <row r="555">
      <c r="A555" s="23">
        <v>45996.0</v>
      </c>
      <c r="B555" s="23">
        <v>45996.0</v>
      </c>
      <c r="C555" s="21">
        <v>-1765.0</v>
      </c>
      <c r="D555" s="22"/>
      <c r="E555" s="15" t="b">
        <v>1</v>
      </c>
      <c r="F555" s="17" t="s">
        <v>12</v>
      </c>
      <c r="G555" s="17" t="s">
        <v>486</v>
      </c>
      <c r="H555" s="18">
        <f t="shared" si="1"/>
        <v>-1765</v>
      </c>
      <c r="I555" s="19" t="str">
        <f t="shared" si="3"/>
        <v>BONIFICO SEPADistinta: 176485588088529FCDEF</v>
      </c>
    </row>
    <row r="556">
      <c r="A556" s="23">
        <v>45996.0</v>
      </c>
      <c r="B556" s="23">
        <v>45996.0</v>
      </c>
      <c r="C556" s="21">
        <v>-3745.0</v>
      </c>
      <c r="D556" s="22"/>
      <c r="E556" s="15" t="b">
        <v>1</v>
      </c>
      <c r="F556" s="17" t="s">
        <v>12</v>
      </c>
      <c r="G556" s="17" t="s">
        <v>487</v>
      </c>
      <c r="H556" s="18">
        <f t="shared" si="1"/>
        <v>-3745</v>
      </c>
      <c r="I556" s="19" t="str">
        <f t="shared" si="3"/>
        <v>BONIFICO SEPADistinta: 1764855257855299QDEF</v>
      </c>
    </row>
    <row r="557">
      <c r="A557" s="30"/>
      <c r="B557" s="30"/>
      <c r="C557" s="25"/>
      <c r="D557" s="32"/>
      <c r="E557" s="15" t="b">
        <v>0</v>
      </c>
      <c r="F557" s="33"/>
      <c r="G557" s="33"/>
      <c r="H557" s="18">
        <f t="shared" si="1"/>
        <v>0</v>
      </c>
      <c r="I557" s="19" t="str">
        <f t="shared" si="3"/>
        <v/>
      </c>
    </row>
    <row r="558">
      <c r="A558" s="30"/>
      <c r="B558" s="30"/>
      <c r="C558" s="25"/>
      <c r="D558" s="32"/>
      <c r="E558" s="15" t="b">
        <v>0</v>
      </c>
      <c r="F558" s="33"/>
      <c r="G558" s="33"/>
      <c r="H558" s="18">
        <f t="shared" si="1"/>
        <v>0</v>
      </c>
      <c r="I558" s="19" t="str">
        <f t="shared" si="3"/>
        <v/>
      </c>
    </row>
    <row r="559">
      <c r="A559" s="20">
        <v>45996.0</v>
      </c>
      <c r="B559" s="20">
        <v>45996.0</v>
      </c>
      <c r="C559" s="21"/>
      <c r="D559" s="22">
        <v>182.0</v>
      </c>
      <c r="E559" s="15" t="b">
        <v>0</v>
      </c>
      <c r="F559" s="17" t="s">
        <v>12</v>
      </c>
      <c r="G559" s="17" t="s">
        <v>488</v>
      </c>
      <c r="H559" s="18">
        <f t="shared" si="1"/>
        <v>182</v>
      </c>
      <c r="I559" s="19" t="str">
        <f t="shared" si="3"/>
        <v>BONIFICO SEPADa NEXI Payments Spa TRN 064723164125NPPASU0000000000IT CIPBITMM per PV 1000001228637 ACCREDITO CIRCUITI INTERNAZ. 04122</v>
      </c>
    </row>
    <row r="560">
      <c r="A560" s="20">
        <v>45996.0</v>
      </c>
      <c r="B560" s="20">
        <v>45996.0</v>
      </c>
      <c r="C560" s="29"/>
      <c r="D560" s="22">
        <v>1010.0</v>
      </c>
      <c r="E560" s="15" t="b">
        <v>0</v>
      </c>
      <c r="F560" s="17" t="s">
        <v>12</v>
      </c>
      <c r="G560" s="17" t="s">
        <v>489</v>
      </c>
      <c r="H560" s="18">
        <f t="shared" si="1"/>
        <v>1010</v>
      </c>
      <c r="I560" s="19" t="str">
        <f t="shared" si="3"/>
        <v>BONIFICO SEPADa NEXI Payments Spa TRN 064722761125NPPASU0000000000IT CIPBITMM per PV 1000001228596 ACCREDITO CIRCUITI INTERNAZ. 04122</v>
      </c>
    </row>
    <row r="561">
      <c r="A561" s="20">
        <v>45996.0</v>
      </c>
      <c r="B561" s="20">
        <v>45996.0</v>
      </c>
      <c r="C561" s="29"/>
      <c r="D561" s="22">
        <v>80.0</v>
      </c>
      <c r="E561" s="15" t="b">
        <v>0</v>
      </c>
      <c r="F561" s="17" t="s">
        <v>12</v>
      </c>
      <c r="G561" s="17" t="s">
        <v>490</v>
      </c>
      <c r="H561" s="18">
        <f t="shared" si="1"/>
        <v>80</v>
      </c>
      <c r="I561" s="19" t="str">
        <f t="shared" si="3"/>
        <v>BONIFICO SEPADa NEXI Payments Spa TRN 064722772105NPPASU0000000000IT CIPBITMM per PV 1000001228596 ACCREDITO BANCOMAT 041225 RIF 1024</v>
      </c>
    </row>
    <row r="562">
      <c r="A562" s="20">
        <v>45996.0</v>
      </c>
      <c r="B562" s="20">
        <v>45996.0</v>
      </c>
      <c r="C562" s="29"/>
      <c r="D562" s="22">
        <v>420.76</v>
      </c>
      <c r="E562" s="15" t="b">
        <v>0</v>
      </c>
      <c r="F562" s="17" t="s">
        <v>12</v>
      </c>
      <c r="G562" s="17" t="s">
        <v>491</v>
      </c>
      <c r="H562" s="18">
        <f t="shared" si="1"/>
        <v>420.76</v>
      </c>
      <c r="I562" s="19" t="str">
        <f t="shared" si="3"/>
        <v>BONIFICO SEPADa Scalapay IP S.p.a. TRN 3601825120504541477037655366681-008 CBPSIT31XXX per 2025-12-04 - GEOS S SDRL - Scalapay IP S.p</v>
      </c>
    </row>
    <row r="563">
      <c r="A563" s="20">
        <v>45996.0</v>
      </c>
      <c r="B563" s="20">
        <v>45996.0</v>
      </c>
      <c r="C563" s="29"/>
      <c r="D563" s="22">
        <v>39.6</v>
      </c>
      <c r="E563" s="15" t="b">
        <v>0</v>
      </c>
      <c r="F563" s="17" t="s">
        <v>28</v>
      </c>
      <c r="G563" s="17" t="s">
        <v>492</v>
      </c>
      <c r="H563" s="18">
        <f t="shared" si="1"/>
        <v>39.6</v>
      </c>
      <c r="I563" s="19" t="str">
        <f t="shared" si="3"/>
        <v>BONIFICODa Satispay Europe S.A. TRN c9f48affa1ff43579f770383b773d584 SATYLUL1XXX per Geos ssdr</v>
      </c>
    </row>
    <row r="564" ht="15.0" customHeight="1">
      <c r="A564" s="20">
        <v>45996.0</v>
      </c>
      <c r="B564" s="20">
        <v>45996.0</v>
      </c>
      <c r="C564" s="29"/>
      <c r="D564" s="22">
        <v>2013.0</v>
      </c>
      <c r="E564" s="15" t="b">
        <v>0</v>
      </c>
      <c r="F564" s="17" t="s">
        <v>12</v>
      </c>
      <c r="G564" s="17" t="s">
        <v>493</v>
      </c>
      <c r="H564" s="18">
        <f t="shared" si="1"/>
        <v>2013</v>
      </c>
      <c r="I564" s="19" t="str">
        <f t="shared" si="3"/>
        <v>BONIFICO SEPADa NEW WAVE S.R.L. TRN 1101253380269404 UNCRITMM per SALDO FATT. 553-625-626/2025</v>
      </c>
    </row>
    <row r="565">
      <c r="A565" s="20">
        <v>45995.0</v>
      </c>
      <c r="B565" s="20">
        <v>45995.0</v>
      </c>
      <c r="C565" s="21">
        <v>-3450.0</v>
      </c>
      <c r="D565" s="22"/>
      <c r="E565" s="15" t="b">
        <v>1</v>
      </c>
      <c r="F565" s="17" t="s">
        <v>12</v>
      </c>
      <c r="G565" s="17" t="s">
        <v>494</v>
      </c>
      <c r="H565" s="18">
        <f t="shared" si="1"/>
        <v>-3450</v>
      </c>
      <c r="I565" s="19" t="str">
        <f t="shared" si="3"/>
        <v>BONIFICO SEPADistinta: 1764854557644297DDEF</v>
      </c>
    </row>
    <row r="566">
      <c r="A566" s="20">
        <v>45995.0</v>
      </c>
      <c r="B566" s="23">
        <v>45995.0</v>
      </c>
      <c r="C566" s="21">
        <v>-120.0</v>
      </c>
      <c r="D566" s="22"/>
      <c r="E566" s="15" t="b">
        <v>1</v>
      </c>
      <c r="F566" s="17" t="s">
        <v>12</v>
      </c>
      <c r="G566" s="17" t="s">
        <v>495</v>
      </c>
      <c r="H566" s="18">
        <f t="shared" si="1"/>
        <v>-120</v>
      </c>
      <c r="I566" s="19" t="str">
        <f t="shared" si="3"/>
        <v>BONIFICO SEPADistinta: 176485269830428UUDEF</v>
      </c>
    </row>
    <row r="567">
      <c r="A567" s="20">
        <v>45995.0</v>
      </c>
      <c r="B567" s="23">
        <v>45995.0</v>
      </c>
      <c r="C567" s="21">
        <v>-11380.0</v>
      </c>
      <c r="D567" s="22"/>
      <c r="E567" s="15" t="b">
        <v>1</v>
      </c>
      <c r="F567" s="17" t="s">
        <v>12</v>
      </c>
      <c r="G567" s="17" t="s">
        <v>496</v>
      </c>
      <c r="H567" s="18">
        <f t="shared" si="1"/>
        <v>-11380</v>
      </c>
      <c r="I567" s="19" t="str">
        <f t="shared" si="3"/>
        <v>BONIFICO SEPADistinta: 1764853809886296UDEF</v>
      </c>
    </row>
    <row r="568">
      <c r="A568" s="20">
        <v>45995.0</v>
      </c>
      <c r="B568" s="20">
        <v>45995.0</v>
      </c>
      <c r="C568" s="21"/>
      <c r="D568" s="22">
        <v>94.3</v>
      </c>
      <c r="E568" s="15" t="b">
        <v>0</v>
      </c>
      <c r="F568" s="17" t="s">
        <v>28</v>
      </c>
      <c r="G568" s="17" t="s">
        <v>497</v>
      </c>
      <c r="H568" s="18">
        <f t="shared" si="1"/>
        <v>94.3</v>
      </c>
      <c r="I568" s="19" t="str">
        <f t="shared" si="3"/>
        <v>BONIFICODa Satispay Europe S.A. TRN c8ab1515959e4235b6a347f3ad49da9e SATYLUL1XXX per Geos ssdr</v>
      </c>
    </row>
    <row r="569">
      <c r="A569" s="20">
        <v>45995.0</v>
      </c>
      <c r="B569" s="20">
        <v>45995.0</v>
      </c>
      <c r="C569" s="21"/>
      <c r="D569" s="22">
        <v>560.0</v>
      </c>
      <c r="E569" s="15" t="b">
        <v>0</v>
      </c>
      <c r="F569" s="17" t="s">
        <v>12</v>
      </c>
      <c r="G569" s="17" t="s">
        <v>498</v>
      </c>
      <c r="H569" s="18">
        <f t="shared" si="1"/>
        <v>560</v>
      </c>
      <c r="I569" s="19" t="str">
        <f t="shared" si="3"/>
        <v>BONIFICO SEPADa NEXI Payments Spa TRN 064612190065NPPASU0000000000IT CIPBITMM per PV 1000001228596 ACCREDITO CIRCUITI INTERNAZ. 03122</v>
      </c>
    </row>
    <row r="570">
      <c r="A570" s="20">
        <v>45995.0</v>
      </c>
      <c r="B570" s="20">
        <v>45995.0</v>
      </c>
      <c r="C570" s="21"/>
      <c r="D570" s="22">
        <v>340.0</v>
      </c>
      <c r="E570" s="15" t="b">
        <v>0</v>
      </c>
      <c r="F570" s="17" t="s">
        <v>12</v>
      </c>
      <c r="G570" s="17" t="s">
        <v>499</v>
      </c>
      <c r="H570" s="18">
        <f t="shared" si="1"/>
        <v>340</v>
      </c>
      <c r="I570" s="19" t="str">
        <f t="shared" si="3"/>
        <v>BONIFICO SEPADa NEXI Payments Spa TRN 064612423055NPPASU0000000000IT CIPBITMM per PV 1000001228637 ACCREDITO CIRCUITI INTERNAZ. 03122</v>
      </c>
    </row>
    <row r="571">
      <c r="A571" s="20"/>
      <c r="B571" s="20"/>
      <c r="C571" s="29"/>
      <c r="D571" s="22"/>
      <c r="E571" s="15" t="b">
        <v>0</v>
      </c>
      <c r="F571" s="17"/>
      <c r="G571" s="17"/>
      <c r="H571" s="18">
        <f t="shared" si="1"/>
        <v>0</v>
      </c>
      <c r="I571" s="19" t="str">
        <f t="shared" si="3"/>
        <v/>
      </c>
    </row>
    <row r="572">
      <c r="A572" s="20">
        <v>45995.0</v>
      </c>
      <c r="B572" s="23">
        <v>45995.0</v>
      </c>
      <c r="C572" s="29"/>
      <c r="D572" s="22">
        <v>936.09</v>
      </c>
      <c r="E572" s="15" t="b">
        <v>0</v>
      </c>
      <c r="F572" s="17"/>
      <c r="G572" s="17" t="s">
        <v>500</v>
      </c>
      <c r="H572" s="18">
        <f t="shared" si="1"/>
        <v>936.09</v>
      </c>
      <c r="I572" s="19" t="str">
        <f t="shared" si="3"/>
        <v>Da Scalapay IP S.p.a. TRN 3601825120404520212182100983499-008 CBPSIT31XXX per 2025-12-03 - GEOS S SDRL - Scalapay IP S.p</v>
      </c>
    </row>
    <row r="573">
      <c r="A573" s="20">
        <v>45995.0</v>
      </c>
      <c r="B573" s="20">
        <v>45995.0</v>
      </c>
      <c r="C573" s="21">
        <v>-0.4</v>
      </c>
      <c r="D573" s="22"/>
      <c r="E573" s="15" t="b">
        <v>1</v>
      </c>
      <c r="F573" s="17"/>
      <c r="G573" s="17" t="s">
        <v>103</v>
      </c>
      <c r="H573" s="18">
        <f t="shared" si="1"/>
        <v>-0.4</v>
      </c>
      <c r="I573" s="19" t="str">
        <f t="shared" si="3"/>
        <v>NEXI Payments Spa    CID.IT500540000004107060966             MAN.CL2XV900700884PC0001228636</v>
      </c>
    </row>
    <row r="574">
      <c r="A574" s="20">
        <v>45995.0</v>
      </c>
      <c r="B574" s="20">
        <v>45995.0</v>
      </c>
      <c r="C574" s="21">
        <v>-0.4</v>
      </c>
      <c r="D574" s="22"/>
      <c r="E574" s="15" t="b">
        <v>1</v>
      </c>
      <c r="F574" s="17"/>
      <c r="G574" s="17" t="s">
        <v>102</v>
      </c>
      <c r="H574" s="18">
        <f t="shared" si="1"/>
        <v>-0.4</v>
      </c>
      <c r="I574" s="19" t="str">
        <f t="shared" si="3"/>
        <v>NEXI Payments Spa    CID.IT500540000004107060966             MAN.CL2XV900700799PC0001228595</v>
      </c>
    </row>
    <row r="575">
      <c r="A575" s="20">
        <v>45994.0</v>
      </c>
      <c r="B575" s="20">
        <v>45994.0</v>
      </c>
      <c r="C575" s="21"/>
      <c r="D575" s="22">
        <v>20.0</v>
      </c>
      <c r="E575" s="15" t="b">
        <v>0</v>
      </c>
      <c r="F575" s="17"/>
      <c r="G575" s="17" t="s">
        <v>501</v>
      </c>
      <c r="H575" s="18">
        <f t="shared" si="1"/>
        <v>20</v>
      </c>
      <c r="I575" s="19" t="str">
        <f t="shared" si="3"/>
        <v>Da NEXI Payments Spa TRN 064499011055NPPASU0000000000IT CIPBITMM per PV 1000001228596 ACCREDITO BANCOMAT 021225 RIF 1021</v>
      </c>
    </row>
    <row r="576">
      <c r="A576" s="20">
        <v>45994.0</v>
      </c>
      <c r="B576" s="20">
        <v>45994.0</v>
      </c>
      <c r="C576" s="21"/>
      <c r="D576" s="22">
        <v>110.0</v>
      </c>
      <c r="E576" s="15" t="b">
        <v>0</v>
      </c>
      <c r="F576" s="17"/>
      <c r="G576" s="17" t="s">
        <v>502</v>
      </c>
      <c r="H576" s="18">
        <f t="shared" si="1"/>
        <v>110</v>
      </c>
      <c r="I576" s="19" t="str">
        <f t="shared" si="3"/>
        <v>Da NEXI Payments Spa TRN 064499293015NPPASU0000000000IT CIPBITMM per PV 1000001228637 ACCREDITO CIRCUITI INTERNAZ. 02122</v>
      </c>
    </row>
    <row r="577">
      <c r="A577" s="20">
        <v>45994.0</v>
      </c>
      <c r="B577" s="20">
        <v>45994.0</v>
      </c>
      <c r="C577" s="29"/>
      <c r="D577" s="22">
        <v>455.0</v>
      </c>
      <c r="E577" s="15" t="b">
        <v>0</v>
      </c>
      <c r="F577" s="17"/>
      <c r="G577" s="17" t="s">
        <v>503</v>
      </c>
      <c r="H577" s="18">
        <f t="shared" si="1"/>
        <v>455</v>
      </c>
      <c r="I577" s="19" t="str">
        <f t="shared" si="3"/>
        <v>Da NEXI Payments Spa TRN 064498997045NPPASU0000000000IT CIPBITMM per PV 1000001228596 ACCREDITO CIRCUITI INTERNAZ. 02122</v>
      </c>
    </row>
    <row r="578">
      <c r="A578" s="20">
        <v>45994.0</v>
      </c>
      <c r="B578" s="20">
        <v>45994.0</v>
      </c>
      <c r="C578" s="29"/>
      <c r="D578" s="22">
        <v>237.78</v>
      </c>
      <c r="E578" s="15" t="b">
        <v>0</v>
      </c>
      <c r="F578" s="17"/>
      <c r="G578" s="17" t="s">
        <v>504</v>
      </c>
      <c r="H578" s="18">
        <f t="shared" si="1"/>
        <v>237.78</v>
      </c>
      <c r="I578" s="19" t="str">
        <f t="shared" si="3"/>
        <v>Da Scalapay IP S.p.a. TRN 3601825120304511129298435276570-008 CBPSIT31XXX per 2025-12-02 - GEOS S SDRL - Scalapay IP S.p</v>
      </c>
    </row>
    <row r="579">
      <c r="A579" s="20">
        <v>45994.0</v>
      </c>
      <c r="B579" s="20">
        <v>45994.0</v>
      </c>
      <c r="C579" s="29"/>
      <c r="D579" s="22">
        <v>19.8</v>
      </c>
      <c r="E579" s="15" t="b">
        <v>0</v>
      </c>
      <c r="F579" s="17"/>
      <c r="G579" s="17" t="s">
        <v>505</v>
      </c>
      <c r="H579" s="18">
        <f t="shared" si="1"/>
        <v>19.8</v>
      </c>
      <c r="I579" s="19" t="str">
        <f t="shared" si="3"/>
        <v>Da Satispay Europe S.A. TRN 470f26fffac54ae49d4bbbcb86bd2034 SATYLUL1XXX per Geos ssdr</v>
      </c>
    </row>
    <row r="580">
      <c r="A580" s="20">
        <v>45994.0</v>
      </c>
      <c r="B580" s="20">
        <v>45994.0</v>
      </c>
      <c r="C580" s="29"/>
      <c r="D580" s="22">
        <v>427.0</v>
      </c>
      <c r="E580" s="15" t="b">
        <v>0</v>
      </c>
      <c r="F580" s="17"/>
      <c r="G580" s="17" t="s">
        <v>506</v>
      </c>
      <c r="H580" s="18">
        <f t="shared" si="1"/>
        <v>427</v>
      </c>
      <c r="I580" s="19" t="str">
        <f t="shared" si="3"/>
        <v>Da TG NEW CO SRL TRN 0000051289760411486405064050IT CIVIIT2CXXX per SUPP PAGAMENTO FT. N. 705 DEL 01.12.2025</v>
      </c>
    </row>
    <row r="581">
      <c r="A581" s="20">
        <v>45994.0</v>
      </c>
      <c r="B581" s="20">
        <v>45994.0</v>
      </c>
      <c r="C581" s="29"/>
      <c r="D581" s="22">
        <v>122.0</v>
      </c>
      <c r="E581" s="15" t="b">
        <v>0</v>
      </c>
      <c r="F581" s="17"/>
      <c r="G581" s="17" t="s">
        <v>507</v>
      </c>
      <c r="H581" s="18">
        <f t="shared" si="1"/>
        <v>122</v>
      </c>
      <c r="I581" s="19" t="str">
        <f t="shared" si="3"/>
        <v>Da ENCANTO CLUB LATINO ASS NE SPOR VA TRN 0306907247858207S90960609606IT BCITITMMXXX per Pagamento FT 707 del 01/12/25</v>
      </c>
    </row>
    <row r="582">
      <c r="A582" s="20">
        <v>45994.0</v>
      </c>
      <c r="B582" s="20">
        <v>45991.0</v>
      </c>
      <c r="C582" s="21">
        <v>-10.0</v>
      </c>
      <c r="D582" s="22"/>
      <c r="E582" s="15" t="b">
        <v>1</v>
      </c>
      <c r="F582" s="17"/>
      <c r="G582" s="17" t="s">
        <v>508</v>
      </c>
      <c r="H582" s="18">
        <f t="shared" si="1"/>
        <v>-10</v>
      </c>
      <c r="I582" s="19" t="str">
        <f t="shared" si="3"/>
        <v>ADDEBITO RELATIVO AL PERIODO DI NOVEMBRE  2025</v>
      </c>
    </row>
    <row r="583">
      <c r="A583" s="20">
        <v>45994.0</v>
      </c>
      <c r="B583" s="23">
        <v>45991.0</v>
      </c>
      <c r="C583" s="21">
        <v>-5.0</v>
      </c>
      <c r="D583" s="22"/>
      <c r="E583" s="15" t="b">
        <v>1</v>
      </c>
      <c r="F583" s="17"/>
      <c r="G583" s="17" t="s">
        <v>509</v>
      </c>
      <c r="H583" s="18">
        <f t="shared" si="1"/>
        <v>-5</v>
      </c>
      <c r="I583" s="19" t="str">
        <f t="shared" si="3"/>
        <v>ADDEBITO CANONE DEL SERVIZIO BANCOPOSTAIMPRESA ONLINE RELATIVO AL PERIODO NOVEMBRE 2025 CONTRATTO N. 0059926216</v>
      </c>
    </row>
    <row r="584">
      <c r="A584" s="20">
        <v>45994.0</v>
      </c>
      <c r="B584" s="23">
        <v>45994.0</v>
      </c>
      <c r="C584" s="21">
        <v>-209.67</v>
      </c>
      <c r="D584" s="22"/>
      <c r="E584" s="15" t="b">
        <v>1</v>
      </c>
      <c r="F584" s="17"/>
      <c r="G584" s="17" t="s">
        <v>102</v>
      </c>
      <c r="H584" s="18">
        <f t="shared" si="1"/>
        <v>-209.67</v>
      </c>
      <c r="I584" s="19" t="str">
        <f t="shared" si="3"/>
        <v>NEXI Payments Spa    CID.IT500540000004107060966             MAN.CL2XV900700799PC0001228595</v>
      </c>
    </row>
    <row r="585">
      <c r="A585" s="20">
        <v>45994.0</v>
      </c>
      <c r="B585" s="20">
        <v>45994.0</v>
      </c>
      <c r="C585" s="21">
        <v>-64.32</v>
      </c>
      <c r="D585" s="32"/>
      <c r="E585" s="15" t="b">
        <v>1</v>
      </c>
      <c r="F585" s="17"/>
      <c r="G585" s="17" t="s">
        <v>103</v>
      </c>
      <c r="H585" s="18">
        <f t="shared" si="1"/>
        <v>-64.32</v>
      </c>
      <c r="I585" s="19" t="str">
        <f t="shared" si="3"/>
        <v>NEXI Payments Spa    CID.IT500540000004107060966             MAN.CL2XV900700884PC0001228636</v>
      </c>
    </row>
    <row r="586">
      <c r="A586" s="20">
        <v>45994.0</v>
      </c>
      <c r="B586" s="20">
        <v>45992.0</v>
      </c>
      <c r="C586" s="21">
        <v>-39.54</v>
      </c>
      <c r="D586" s="22"/>
      <c r="E586" s="15" t="b">
        <v>1</v>
      </c>
      <c r="F586" s="17"/>
      <c r="G586" s="27" t="s">
        <v>510</v>
      </c>
      <c r="H586" s="18">
        <f t="shared" si="1"/>
        <v>-39.54</v>
      </c>
      <c r="I586" s="19" t="str">
        <f t="shared" si="3"/>
        <v>GOOGLE *ADS5278163162  01/12/2025 14.00 DUBLIN 2      Op.694637 carta ****0501</v>
      </c>
    </row>
    <row r="587">
      <c r="A587" s="20">
        <v>45993.0</v>
      </c>
      <c r="B587" s="20">
        <v>45993.0</v>
      </c>
      <c r="C587" s="21"/>
      <c r="D587" s="22">
        <v>815.0</v>
      </c>
      <c r="E587" s="15" t="b">
        <v>0</v>
      </c>
      <c r="F587" s="17"/>
      <c r="G587" s="17" t="s">
        <v>511</v>
      </c>
      <c r="H587" s="18">
        <f t="shared" si="1"/>
        <v>815</v>
      </c>
      <c r="I587" s="19" t="str">
        <f t="shared" si="3"/>
        <v>Da NEXI Payments Spa TRN 064401414125NPPASU0000000000IT CIPBITMM per PV 1000001228596 ACCREDITO CIRCUITI INTERNAZ. 01122</v>
      </c>
    </row>
    <row r="588">
      <c r="A588" s="20">
        <v>45993.0</v>
      </c>
      <c r="B588" s="20">
        <v>45993.0</v>
      </c>
      <c r="C588" s="21"/>
      <c r="D588" s="22">
        <v>40.0</v>
      </c>
      <c r="E588" s="15" t="b">
        <v>0</v>
      </c>
      <c r="F588" s="17"/>
      <c r="G588" s="17" t="s">
        <v>512</v>
      </c>
      <c r="H588" s="18">
        <f t="shared" si="1"/>
        <v>40</v>
      </c>
      <c r="I588" s="19" t="str">
        <f t="shared" si="3"/>
        <v>Da NEXI Payments Spa TRN 064401426115NPPASU0000000000IT CIPBITMM per PV 1000001228596 ACCREDITO BANCOMAT 011225 RIF 1020</v>
      </c>
    </row>
    <row r="589">
      <c r="A589" s="20">
        <v>45993.0</v>
      </c>
      <c r="B589" s="20">
        <v>45993.0</v>
      </c>
      <c r="C589" s="29"/>
      <c r="D589" s="22">
        <v>275.0</v>
      </c>
      <c r="E589" s="15" t="b">
        <v>0</v>
      </c>
      <c r="F589" s="17"/>
      <c r="G589" s="17" t="s">
        <v>513</v>
      </c>
      <c r="H589" s="18">
        <f t="shared" si="1"/>
        <v>275</v>
      </c>
      <c r="I589" s="19" t="str">
        <f t="shared" si="3"/>
        <v>Da NEXI Payments Spa TRN 064402072075NPPASU0000000000IT CIPBITMM per PV 1000001228637 ACCREDITO CIRCUITI INTERNAZ. 01122</v>
      </c>
    </row>
    <row r="590">
      <c r="A590" s="20">
        <v>45993.0</v>
      </c>
      <c r="B590" s="20">
        <v>45993.0</v>
      </c>
      <c r="C590" s="29"/>
      <c r="D590" s="22">
        <v>1107.04</v>
      </c>
      <c r="E590" s="15" t="b">
        <v>0</v>
      </c>
      <c r="F590" s="17"/>
      <c r="G590" s="17" t="s">
        <v>514</v>
      </c>
      <c r="H590" s="18">
        <f t="shared" si="1"/>
        <v>1107.04</v>
      </c>
      <c r="I590" s="19" t="str">
        <f t="shared" si="3"/>
        <v>Da Scalapay IP S.p.a. TRN 3601825120204510821937148338001-008 CBPSIT31XXX per 2025-12-01 - GEOS S SDRL - Scalapay IP S.p</v>
      </c>
    </row>
    <row r="591">
      <c r="A591" s="20">
        <v>45993.0</v>
      </c>
      <c r="B591" s="20">
        <v>45993.0</v>
      </c>
      <c r="C591" s="21"/>
      <c r="D591" s="22">
        <v>49.8</v>
      </c>
      <c r="E591" s="15" t="b">
        <v>0</v>
      </c>
      <c r="F591" s="17"/>
      <c r="G591" s="17" t="s">
        <v>515</v>
      </c>
      <c r="H591" s="18">
        <f t="shared" si="1"/>
        <v>49.8</v>
      </c>
      <c r="I591" s="19" t="str">
        <f t="shared" si="3"/>
        <v>Da Satispay Europe S.A. TRN 8611559fd21540a5afdfc5228de3dace SATYLUL1XXX per Geos ssdr</v>
      </c>
    </row>
    <row r="592">
      <c r="A592" s="23">
        <v>45993.0</v>
      </c>
      <c r="B592" s="23">
        <v>45993.0</v>
      </c>
      <c r="C592" s="21"/>
      <c r="D592" s="22">
        <v>6950.0</v>
      </c>
      <c r="E592" s="15" t="b">
        <v>0</v>
      </c>
      <c r="F592" s="33"/>
      <c r="G592" s="17" t="s">
        <v>59</v>
      </c>
      <c r="H592" s="18">
        <f t="shared" si="1"/>
        <v>6950</v>
      </c>
      <c r="I592" s="19" t="str">
        <f t="shared" si="3"/>
        <v>U.P.38530 MILANO 82            POSTAMAT N 76018970575871050                 CARTA 75871050</v>
      </c>
    </row>
    <row r="593">
      <c r="A593" s="23">
        <v>45993.0</v>
      </c>
      <c r="B593" s="23">
        <v>45990.0</v>
      </c>
      <c r="C593" s="21">
        <v>-10.0</v>
      </c>
      <c r="D593" s="22"/>
      <c r="E593" s="15" t="b">
        <v>1</v>
      </c>
      <c r="F593" s="33"/>
      <c r="G593" s="27" t="s">
        <v>516</v>
      </c>
      <c r="H593" s="18">
        <f t="shared" si="1"/>
        <v>-10</v>
      </c>
      <c r="I593" s="19" t="str">
        <f t="shared" si="3"/>
        <v>GOOGLE *ADS5278163162  29/11/2025 17.40 DUBLIN 2      Op.690026 carta ****0501</v>
      </c>
    </row>
    <row r="594">
      <c r="A594" s="23">
        <v>45993.0</v>
      </c>
      <c r="B594" s="23">
        <v>45991.0</v>
      </c>
      <c r="C594" s="21">
        <v>-8.21</v>
      </c>
      <c r="D594" s="22"/>
      <c r="E594" s="15" t="b">
        <v>1</v>
      </c>
      <c r="F594" s="33"/>
      <c r="G594" s="34" t="s">
        <v>125</v>
      </c>
      <c r="H594" s="18">
        <f t="shared" si="1"/>
        <v>-8.21</v>
      </c>
      <c r="I594" s="19" t="str">
        <f t="shared" si="3"/>
        <v>IMPOSTA DI BOLLO</v>
      </c>
    </row>
    <row r="595">
      <c r="A595" s="23">
        <v>45992.0</v>
      </c>
      <c r="B595" s="23">
        <v>45992.0</v>
      </c>
      <c r="C595" s="21">
        <v>-1491.45</v>
      </c>
      <c r="D595" s="22"/>
      <c r="E595" s="15" t="b">
        <v>1</v>
      </c>
      <c r="F595" s="33"/>
      <c r="G595" s="17" t="s">
        <v>517</v>
      </c>
      <c r="H595" s="18">
        <f t="shared" si="1"/>
        <v>-1491.45</v>
      </c>
      <c r="I595" s="19" t="str">
        <f t="shared" si="3"/>
        <v>Distinta: 176457801779217RFDEF</v>
      </c>
    </row>
    <row r="596">
      <c r="A596" s="20">
        <v>45992.0</v>
      </c>
      <c r="B596" s="20">
        <v>45992.0</v>
      </c>
      <c r="C596" s="21">
        <v>-732.0</v>
      </c>
      <c r="D596" s="26"/>
      <c r="E596" s="15" t="b">
        <v>1</v>
      </c>
      <c r="F596" s="33"/>
      <c r="G596" s="17" t="s">
        <v>518</v>
      </c>
      <c r="H596" s="18">
        <f t="shared" si="1"/>
        <v>-732</v>
      </c>
      <c r="I596" s="19" t="str">
        <f t="shared" si="3"/>
        <v>Distinta: 1764345041946132UDEF</v>
      </c>
    </row>
    <row r="597">
      <c r="A597" s="30">
        <v>45992.0</v>
      </c>
      <c r="B597" s="30">
        <v>45992.0</v>
      </c>
      <c r="C597" s="25">
        <v>-522.08</v>
      </c>
      <c r="D597" s="26"/>
      <c r="E597" s="15" t="b">
        <v>1</v>
      </c>
      <c r="F597" s="33"/>
      <c r="G597" s="28" t="s">
        <v>519</v>
      </c>
      <c r="H597" s="18">
        <f t="shared" si="1"/>
        <v>-522.08</v>
      </c>
      <c r="I597" s="19" t="str">
        <f t="shared" si="3"/>
        <v>Distinta: 17645948838551CE7DEF</v>
      </c>
    </row>
    <row r="598">
      <c r="A598" s="30">
        <v>45992.0</v>
      </c>
      <c r="B598" s="30">
        <v>45992.0</v>
      </c>
      <c r="C598" s="25">
        <v>-702.0</v>
      </c>
      <c r="D598" s="26"/>
      <c r="E598" s="15" t="b">
        <v>1</v>
      </c>
      <c r="F598" s="33"/>
      <c r="G598" s="28" t="s">
        <v>520</v>
      </c>
      <c r="H598" s="18">
        <f t="shared" si="1"/>
        <v>-702</v>
      </c>
      <c r="I598" s="19" t="str">
        <f t="shared" si="3"/>
        <v>Distinta: 17645956411301CI4DEF</v>
      </c>
    </row>
    <row r="599">
      <c r="A599" s="30">
        <v>45992.0</v>
      </c>
      <c r="B599" s="30">
        <v>45992.0</v>
      </c>
      <c r="C599" s="25"/>
      <c r="D599" s="26">
        <v>182.0</v>
      </c>
      <c r="E599" s="15" t="b">
        <v>0</v>
      </c>
      <c r="F599" s="33"/>
      <c r="G599" s="28" t="s">
        <v>521</v>
      </c>
      <c r="H599" s="18">
        <f t="shared" si="1"/>
        <v>182</v>
      </c>
      <c r="I599" s="19" t="str">
        <f t="shared" si="3"/>
        <v>Da NEXI Payments Spa TRN 064280324045NPPASU0000000000IT CIPBITMM per PV 1000001228637 ACCREDITO CIRCUITI INTERNAZ. 29112</v>
      </c>
    </row>
    <row r="600">
      <c r="A600" s="30">
        <v>45992.0</v>
      </c>
      <c r="B600" s="30">
        <v>45992.0</v>
      </c>
      <c r="C600" s="25"/>
      <c r="D600" s="26">
        <v>190.0</v>
      </c>
      <c r="E600" s="15" t="b">
        <v>0</v>
      </c>
      <c r="F600" s="33"/>
      <c r="G600" s="28" t="s">
        <v>522</v>
      </c>
      <c r="H600" s="18">
        <f t="shared" si="1"/>
        <v>190</v>
      </c>
      <c r="I600" s="19" t="str">
        <f t="shared" si="3"/>
        <v>Da NEXI Payments Spa TRN 064325820005NPPASU0000000000IT CIPBITMM per PV 1000001228637 ACCREDITO CIRCUITI INTERNAZ. 30112</v>
      </c>
    </row>
    <row r="601">
      <c r="A601" s="30">
        <v>45992.0</v>
      </c>
      <c r="B601" s="30">
        <v>45992.0</v>
      </c>
      <c r="C601" s="25"/>
      <c r="D601" s="26">
        <v>226.5</v>
      </c>
      <c r="E601" s="15" t="b">
        <v>0</v>
      </c>
      <c r="F601" s="33"/>
      <c r="G601" s="28" t="s">
        <v>523</v>
      </c>
      <c r="H601" s="18">
        <f t="shared" si="1"/>
        <v>226.5</v>
      </c>
      <c r="I601" s="19" t="str">
        <f t="shared" si="3"/>
        <v>Da NEXI Payments Spa TRN 064279241005NPPASU0000000000IT CIPBITMM per PV 1000001228596 ACCREDITO BANCOMAT 291125 RIF 1017</v>
      </c>
    </row>
    <row r="602">
      <c r="A602" s="30">
        <v>45992.0</v>
      </c>
      <c r="B602" s="30">
        <v>45992.0</v>
      </c>
      <c r="C602" s="25"/>
      <c r="D602" s="26">
        <v>246.5</v>
      </c>
      <c r="E602" s="15" t="b">
        <v>0</v>
      </c>
      <c r="F602" s="33"/>
      <c r="G602" s="28" t="s">
        <v>524</v>
      </c>
      <c r="H602" s="18">
        <f t="shared" si="1"/>
        <v>246.5</v>
      </c>
      <c r="I602" s="19" t="str">
        <f t="shared" si="3"/>
        <v>Da NEXI Payments Spa TRN 064279208065NPPASU0000000000IT CIPBITMM per PV 1000001228596 ACCREDITO CIRCUITI INTERNAZ. 29112</v>
      </c>
    </row>
    <row r="603">
      <c r="A603" s="30">
        <v>45992.0</v>
      </c>
      <c r="B603" s="30">
        <v>45992.0</v>
      </c>
      <c r="C603" s="25"/>
      <c r="D603" s="26">
        <v>170.0</v>
      </c>
      <c r="E603" s="15" t="b">
        <v>0</v>
      </c>
      <c r="F603" s="33"/>
      <c r="G603" s="28" t="s">
        <v>525</v>
      </c>
      <c r="H603" s="18">
        <f t="shared" si="1"/>
        <v>170</v>
      </c>
      <c r="I603" s="19" t="str">
        <f t="shared" si="3"/>
        <v>Da NEXI Payments Spa TRN 064142616055NPPASU0000000000IT CIPBITMM per PV 1000001228637 ACCREDITO CIRCUITI INTERNAZ. 28112</v>
      </c>
    </row>
    <row r="604">
      <c r="A604" s="30">
        <v>45992.0</v>
      </c>
      <c r="B604" s="30">
        <v>45992.0</v>
      </c>
      <c r="C604" s="25"/>
      <c r="D604" s="26">
        <v>683.0</v>
      </c>
      <c r="E604" s="15" t="b">
        <v>0</v>
      </c>
      <c r="F604" s="33"/>
      <c r="G604" s="28" t="s">
        <v>526</v>
      </c>
      <c r="H604" s="18">
        <f t="shared" si="1"/>
        <v>683</v>
      </c>
      <c r="I604" s="19" t="str">
        <f t="shared" si="3"/>
        <v>Da NEXI Payments Spa TRN 064142144015NPPASU0000000000IT CIPBITMM per PV 1000001228596 ACCREDITO BANCOMAT 281125 RIF 1015</v>
      </c>
    </row>
    <row r="605">
      <c r="A605" s="30">
        <v>45992.0</v>
      </c>
      <c r="B605" s="30">
        <v>45992.0</v>
      </c>
      <c r="C605" s="25"/>
      <c r="D605" s="26">
        <v>650.5</v>
      </c>
      <c r="E605" s="15" t="b">
        <v>0</v>
      </c>
      <c r="F605" s="33"/>
      <c r="G605" s="28" t="s">
        <v>527</v>
      </c>
      <c r="H605" s="18">
        <f t="shared" si="1"/>
        <v>650.5</v>
      </c>
      <c r="I605" s="19" t="str">
        <f t="shared" si="3"/>
        <v>Da NEXI Payments Spa TRN 064142129125NPPASU0000000000IT CIPBITMM per PV 1000001228596 ACCREDITO CIRCUITI INTERNAZ. 28112</v>
      </c>
    </row>
    <row r="606">
      <c r="A606" s="30"/>
      <c r="B606" s="30"/>
      <c r="C606" s="29"/>
      <c r="D606" s="32"/>
      <c r="E606" s="15" t="b">
        <v>0</v>
      </c>
      <c r="F606" s="33"/>
      <c r="G606" s="33"/>
      <c r="H606" s="18">
        <f t="shared" si="1"/>
        <v>0</v>
      </c>
      <c r="I606" s="19" t="str">
        <f t="shared" si="3"/>
        <v/>
      </c>
    </row>
    <row r="607">
      <c r="A607" s="30"/>
      <c r="B607" s="30"/>
      <c r="C607" s="29"/>
      <c r="D607" s="32"/>
      <c r="E607" s="15" t="b">
        <v>0</v>
      </c>
      <c r="F607" s="33"/>
      <c r="G607" s="33"/>
      <c r="H607" s="18">
        <f t="shared" si="1"/>
        <v>0</v>
      </c>
      <c r="I607" s="19" t="str">
        <f t="shared" si="3"/>
        <v/>
      </c>
    </row>
    <row r="608">
      <c r="A608" s="20">
        <v>45992.0</v>
      </c>
      <c r="B608" s="20">
        <v>45992.0</v>
      </c>
      <c r="C608" s="21"/>
      <c r="D608" s="22">
        <v>24.8</v>
      </c>
      <c r="E608" s="15" t="b">
        <v>0</v>
      </c>
      <c r="F608" s="17" t="s">
        <v>28</v>
      </c>
      <c r="G608" s="17" t="s">
        <v>528</v>
      </c>
      <c r="H608" s="18">
        <f t="shared" si="1"/>
        <v>24.8</v>
      </c>
      <c r="I608" s="19" t="str">
        <f t="shared" si="3"/>
        <v>BONIFICODa Satispay Europe S.A. TRN e8a25cb4104946a2997abb5a118c169e SATYLUL1XXX per Geos ssdr</v>
      </c>
    </row>
    <row r="609">
      <c r="A609" s="20">
        <v>45989.0</v>
      </c>
      <c r="B609" s="20">
        <v>45989.0</v>
      </c>
      <c r="C609" s="21">
        <v>-7442.0</v>
      </c>
      <c r="D609" s="22"/>
      <c r="E609" s="15" t="b">
        <v>1</v>
      </c>
      <c r="F609" s="17" t="s">
        <v>12</v>
      </c>
      <c r="G609" s="17" t="s">
        <v>529</v>
      </c>
      <c r="H609" s="18">
        <f t="shared" si="1"/>
        <v>-7442</v>
      </c>
      <c r="I609" s="19" t="str">
        <f t="shared" si="3"/>
        <v>BONIFICO SEPADistinta: 17643266746591056DEF</v>
      </c>
    </row>
    <row r="610">
      <c r="A610" s="20">
        <v>45989.0</v>
      </c>
      <c r="B610" s="23">
        <v>45989.0</v>
      </c>
      <c r="C610" s="21"/>
      <c r="D610" s="22">
        <v>602.0</v>
      </c>
      <c r="E610" s="15" t="b">
        <v>0</v>
      </c>
      <c r="F610" s="17" t="s">
        <v>12</v>
      </c>
      <c r="G610" s="17" t="s">
        <v>530</v>
      </c>
      <c r="H610" s="18">
        <f t="shared" si="1"/>
        <v>602</v>
      </c>
      <c r="I610" s="19" t="str">
        <f t="shared" si="3"/>
        <v>BONIFICO SEPADa NEXI Payments Spa TRN 064028419005NPPASU0000000000IT CIPBITMM per PV 1000001228637 ACCREDITO CIRCUITI INTERNAZ. 27112</v>
      </c>
    </row>
    <row r="611">
      <c r="A611" s="20">
        <v>45989.0</v>
      </c>
      <c r="B611" s="23">
        <v>45989.0</v>
      </c>
      <c r="C611" s="29"/>
      <c r="D611" s="22">
        <v>328.5</v>
      </c>
      <c r="E611" s="15" t="b">
        <v>0</v>
      </c>
      <c r="F611" s="17" t="s">
        <v>12</v>
      </c>
      <c r="G611" s="17" t="s">
        <v>531</v>
      </c>
      <c r="H611" s="18">
        <f t="shared" si="1"/>
        <v>328.5</v>
      </c>
      <c r="I611" s="19" t="str">
        <f t="shared" si="3"/>
        <v>BONIFICO SEPADa NEXI Payments Spa TRN 064027428105NPPASU0000000000IT CIPBITMM per PV 1000001228596 ACCREDITO BANCOMAT 271125 RIF 1013</v>
      </c>
    </row>
    <row r="612">
      <c r="A612" s="20">
        <v>45989.0</v>
      </c>
      <c r="B612" s="20">
        <v>45989.0</v>
      </c>
      <c r="C612" s="29"/>
      <c r="D612" s="22">
        <v>630.5</v>
      </c>
      <c r="E612" s="15" t="b">
        <v>0</v>
      </c>
      <c r="F612" s="17" t="s">
        <v>12</v>
      </c>
      <c r="G612" s="17" t="s">
        <v>532</v>
      </c>
      <c r="H612" s="18">
        <f t="shared" si="1"/>
        <v>630.5</v>
      </c>
      <c r="I612" s="19" t="str">
        <f t="shared" si="3"/>
        <v>BONIFICO SEPADa NEXI Payments Spa TRN 064027423055NPPASU0000000000IT CIPBITMM per PV 1000001228596 ACCREDITO CIRCUITI INTERNAZ. 27112</v>
      </c>
    </row>
    <row r="613">
      <c r="A613" s="20">
        <v>45989.0</v>
      </c>
      <c r="B613" s="20">
        <v>45989.0</v>
      </c>
      <c r="C613" s="29"/>
      <c r="D613" s="22">
        <v>579.14</v>
      </c>
      <c r="E613" s="15" t="b">
        <v>0</v>
      </c>
      <c r="F613" s="17" t="s">
        <v>12</v>
      </c>
      <c r="G613" s="17" t="s">
        <v>533</v>
      </c>
      <c r="H613" s="18">
        <f t="shared" si="1"/>
        <v>579.14</v>
      </c>
      <c r="I613" s="19" t="str">
        <f t="shared" si="3"/>
        <v>BONIFICO SEPADa Scalapay IP S.p.a. TRN 3601825112804534376287870748595-008 CBPSIT31XXX per 2025-11-27 - GEOS S SDRL - Scalapay IP S.p</v>
      </c>
    </row>
    <row r="614">
      <c r="A614" s="20">
        <v>45988.0</v>
      </c>
      <c r="B614" s="20">
        <v>45988.0</v>
      </c>
      <c r="C614" s="21">
        <v>-2960.0</v>
      </c>
      <c r="D614" s="22"/>
      <c r="E614" s="15" t="b">
        <v>1</v>
      </c>
      <c r="F614" s="17" t="s">
        <v>12</v>
      </c>
      <c r="G614" s="17" t="s">
        <v>534</v>
      </c>
      <c r="H614" s="18">
        <f t="shared" si="1"/>
        <v>-2960</v>
      </c>
      <c r="I614" s="19" t="str">
        <f t="shared" si="3"/>
        <v>BONIFICO SEPADistinta: 17642390125470O1PDEF</v>
      </c>
    </row>
    <row r="615">
      <c r="A615" s="20">
        <v>45988.0</v>
      </c>
      <c r="B615" s="20">
        <v>45988.0</v>
      </c>
      <c r="C615" s="21"/>
      <c r="D615" s="22">
        <v>1231.0</v>
      </c>
      <c r="E615" s="15" t="b">
        <v>0</v>
      </c>
      <c r="F615" s="17" t="s">
        <v>12</v>
      </c>
      <c r="G615" s="17" t="s">
        <v>535</v>
      </c>
      <c r="H615" s="18">
        <f t="shared" si="1"/>
        <v>1231</v>
      </c>
      <c r="I615" s="19" t="str">
        <f t="shared" si="3"/>
        <v>BONIFICO SEPADa NEXI Payments Spa TRN 063922353015NPPASU0000000000IT CIPBITMM per PV 1000001228596 ACCREDITO CIRCUITI INTERNAZ. 26112</v>
      </c>
    </row>
    <row r="616">
      <c r="A616" s="20">
        <v>45988.0</v>
      </c>
      <c r="B616" s="20">
        <v>45988.0</v>
      </c>
      <c r="C616" s="29"/>
      <c r="D616" s="22">
        <v>260.0</v>
      </c>
      <c r="E616" s="15" t="b">
        <v>0</v>
      </c>
      <c r="F616" s="17" t="s">
        <v>12</v>
      </c>
      <c r="G616" s="17" t="s">
        <v>536</v>
      </c>
      <c r="H616" s="18">
        <f t="shared" si="1"/>
        <v>260</v>
      </c>
      <c r="I616" s="19" t="str">
        <f t="shared" si="3"/>
        <v>BONIFICO SEPADa NEXI Payments Spa TRN 063922361095NPPASU0000000000IT CIPBITMM per PV 1000001228637 ACCREDITO CIRCUITI INTERNAZ. 26112</v>
      </c>
    </row>
    <row r="617">
      <c r="A617" s="20">
        <v>45988.0</v>
      </c>
      <c r="B617" s="20">
        <v>45988.0</v>
      </c>
      <c r="C617" s="29"/>
      <c r="D617" s="22">
        <v>70.0</v>
      </c>
      <c r="E617" s="15" t="b">
        <v>0</v>
      </c>
      <c r="F617" s="17" t="s">
        <v>12</v>
      </c>
      <c r="G617" s="17" t="s">
        <v>537</v>
      </c>
      <c r="H617" s="18">
        <f t="shared" si="1"/>
        <v>70</v>
      </c>
      <c r="I617" s="19" t="str">
        <f t="shared" si="3"/>
        <v>BONIFICO SEPADa NEXI Payments Spa TRN 063922363115NPPASU0000000000IT CIPBITMM per PV 1000001228596 ACCREDITO BANCOMAT 261125 RIF 1012</v>
      </c>
    </row>
    <row r="618">
      <c r="A618" s="20">
        <v>45988.0</v>
      </c>
      <c r="B618" s="20">
        <v>45988.0</v>
      </c>
      <c r="C618" s="29"/>
      <c r="D618" s="22">
        <v>19.8</v>
      </c>
      <c r="E618" s="15" t="b">
        <v>0</v>
      </c>
      <c r="F618" s="17" t="s">
        <v>28</v>
      </c>
      <c r="G618" s="17" t="s">
        <v>538</v>
      </c>
      <c r="H618" s="18">
        <f t="shared" si="1"/>
        <v>19.8</v>
      </c>
      <c r="I618" s="19" t="str">
        <f t="shared" si="3"/>
        <v>BONIFICODa Satispay Europe S.A. TRN b50a565f64f4408ab0ab69b98fd5a696 SATYLUL1XXX per Geos ssdr</v>
      </c>
    </row>
    <row r="619">
      <c r="A619" s="20">
        <v>45988.0</v>
      </c>
      <c r="B619" s="20">
        <v>45988.0</v>
      </c>
      <c r="C619" s="29"/>
      <c r="D619" s="22">
        <v>10665.55</v>
      </c>
      <c r="E619" s="15" t="b">
        <v>0</v>
      </c>
      <c r="F619" s="17" t="s">
        <v>12</v>
      </c>
      <c r="G619" s="17" t="s">
        <v>539</v>
      </c>
      <c r="H619" s="18">
        <f t="shared" si="1"/>
        <v>10665.55</v>
      </c>
      <c r="I619" s="19" t="str">
        <f t="shared" si="3"/>
        <v>BONIFICO SEPADa MODULO PROJECT S.R.L. TRN 1101253300613595 UNCRITMM per Fattura n. 692 del 24/11/2025 - Affitto Studio Ottobre extra</v>
      </c>
    </row>
    <row r="620">
      <c r="A620" s="20">
        <v>45987.0</v>
      </c>
      <c r="B620" s="20">
        <v>45987.0</v>
      </c>
      <c r="C620" s="29"/>
      <c r="D620" s="22">
        <v>434.5</v>
      </c>
      <c r="E620" s="15" t="b">
        <v>0</v>
      </c>
      <c r="F620" s="17" t="s">
        <v>12</v>
      </c>
      <c r="G620" s="17" t="s">
        <v>540</v>
      </c>
      <c r="H620" s="18">
        <f t="shared" si="1"/>
        <v>434.5</v>
      </c>
      <c r="I620" s="19" t="str">
        <f t="shared" si="3"/>
        <v>BONIFICO SEPADa NEXI Payments Spa TRN 063809722025NPPASU0000000000IT CIPBITMM per PV 1000001228596 ACCREDITO BANCOMAT 251125 RIF 1010</v>
      </c>
    </row>
    <row r="621">
      <c r="A621" s="20">
        <v>45987.0</v>
      </c>
      <c r="B621" s="20">
        <v>45987.0</v>
      </c>
      <c r="C621" s="29"/>
      <c r="D621" s="22">
        <v>434.5</v>
      </c>
      <c r="E621" s="15" t="b">
        <v>0</v>
      </c>
      <c r="F621" s="17" t="s">
        <v>12</v>
      </c>
      <c r="G621" s="17" t="s">
        <v>541</v>
      </c>
      <c r="H621" s="18">
        <f t="shared" si="1"/>
        <v>434.5</v>
      </c>
      <c r="I621" s="19" t="str">
        <f t="shared" si="3"/>
        <v>BONIFICO SEPADa NEXI Payments Spa TRN 063809713065NPPASU0000000000IT CIPBITMM per PV 1000001228596 ACCREDITO CIRCUITI INTERNAZ. 25112</v>
      </c>
    </row>
    <row r="622">
      <c r="A622" s="20">
        <v>45987.0</v>
      </c>
      <c r="B622" s="23">
        <v>45987.0</v>
      </c>
      <c r="C622" s="21"/>
      <c r="D622" s="22">
        <v>348.5</v>
      </c>
      <c r="E622" s="15" t="b">
        <v>0</v>
      </c>
      <c r="F622" s="17" t="s">
        <v>12</v>
      </c>
      <c r="G622" s="17" t="s">
        <v>542</v>
      </c>
      <c r="H622" s="18">
        <f t="shared" si="1"/>
        <v>348.5</v>
      </c>
      <c r="I622" s="19" t="str">
        <f t="shared" si="3"/>
        <v>BONIFICO SEPADa NEXI Payments Spa TRN 063814117035NPPASU0000000000IT CIPBITMM per PV 1000001228637 ACCREDITO CIRCUITI INTERNAZ. 25112</v>
      </c>
    </row>
    <row r="623">
      <c r="A623" s="20"/>
      <c r="B623" s="20"/>
      <c r="C623" s="29"/>
      <c r="D623" s="22"/>
      <c r="E623" s="15" t="b">
        <v>0</v>
      </c>
      <c r="F623" s="17"/>
      <c r="G623" s="17"/>
      <c r="H623" s="18">
        <f t="shared" si="1"/>
        <v>0</v>
      </c>
      <c r="I623" s="19" t="str">
        <f t="shared" si="3"/>
        <v/>
      </c>
    </row>
    <row r="624">
      <c r="A624" s="20">
        <v>45986.0</v>
      </c>
      <c r="B624" s="20">
        <v>45986.0</v>
      </c>
      <c r="C624" s="21">
        <v>-434.4</v>
      </c>
      <c r="D624" s="22"/>
      <c r="E624" s="15" t="b">
        <v>1</v>
      </c>
      <c r="F624" s="17" t="s">
        <v>12</v>
      </c>
      <c r="G624" s="17" t="s">
        <v>543</v>
      </c>
      <c r="H624" s="18">
        <f t="shared" si="1"/>
        <v>-434.4</v>
      </c>
      <c r="I624" s="19" t="str">
        <f t="shared" si="3"/>
        <v>BONIFICO SEPADistinta: 176400156489805T7DEF</v>
      </c>
    </row>
    <row r="625">
      <c r="A625" s="20">
        <v>45986.0</v>
      </c>
      <c r="B625" s="20">
        <v>45986.0</v>
      </c>
      <c r="C625" s="21"/>
      <c r="D625" s="22">
        <v>615.0</v>
      </c>
      <c r="E625" s="15" t="b">
        <v>0</v>
      </c>
      <c r="F625" s="17" t="s">
        <v>12</v>
      </c>
      <c r="G625" s="17" t="s">
        <v>544</v>
      </c>
      <c r="H625" s="18">
        <f t="shared" si="1"/>
        <v>615</v>
      </c>
      <c r="I625" s="19" t="str">
        <f t="shared" si="3"/>
        <v>BONIFICO SEPADa NEXI Payments Spa TRN 063719678095NPPASU0000000000IT CIPBITMM per PV 1000001228596 ACCREDITO CIRCUITI INTERNAZ. 24112</v>
      </c>
    </row>
    <row r="626">
      <c r="A626" s="20">
        <v>45986.0</v>
      </c>
      <c r="B626" s="23">
        <v>45986.0</v>
      </c>
      <c r="C626" s="21"/>
      <c r="D626" s="22">
        <v>181.0</v>
      </c>
      <c r="E626" s="15" t="b">
        <v>0</v>
      </c>
      <c r="F626" s="17" t="s">
        <v>12</v>
      </c>
      <c r="G626" s="17" t="s">
        <v>545</v>
      </c>
      <c r="H626" s="18">
        <f t="shared" si="1"/>
        <v>181</v>
      </c>
      <c r="I626" s="19" t="str">
        <f t="shared" si="3"/>
        <v>BONIFICO SEPADa NEXI Payments Spa TRN 063719689075NPPASU0000000000IT CIPBITMM per PV 1000001228596 ACCREDITO BANCOMAT 241125 RIF 1009</v>
      </c>
    </row>
    <row r="627">
      <c r="A627" s="20">
        <v>45986.0</v>
      </c>
      <c r="B627" s="23">
        <v>45986.0</v>
      </c>
      <c r="C627" s="29"/>
      <c r="D627" s="22">
        <v>245.0</v>
      </c>
      <c r="E627" s="15" t="b">
        <v>0</v>
      </c>
      <c r="F627" s="17" t="s">
        <v>12</v>
      </c>
      <c r="G627" s="17" t="s">
        <v>546</v>
      </c>
      <c r="H627" s="18">
        <f t="shared" si="1"/>
        <v>245</v>
      </c>
      <c r="I627" s="19" t="str">
        <f t="shared" si="3"/>
        <v>BONIFICO SEPADa NEXI Payments Spa TRN 063719206055NPPASU0000000000IT CIPBITMM per PV 1000001228637 ACCREDITO CIRCUITI INTERNAZ. 24112</v>
      </c>
    </row>
    <row r="628">
      <c r="A628" s="20">
        <v>45986.0</v>
      </c>
      <c r="B628" s="20">
        <v>45986.0</v>
      </c>
      <c r="C628" s="29"/>
      <c r="D628" s="22">
        <v>244.0</v>
      </c>
      <c r="E628" s="15" t="b">
        <v>0</v>
      </c>
      <c r="F628" s="17" t="s">
        <v>12</v>
      </c>
      <c r="G628" s="17" t="s">
        <v>547</v>
      </c>
      <c r="H628" s="18">
        <f t="shared" si="1"/>
        <v>244</v>
      </c>
      <c r="I628" s="19" t="str">
        <f t="shared" si="3"/>
        <v>BONIFICO SEPADa ENCANTO CLUB LATINO ASS NE SPOR VA TRN 0306906997502705S90960609606IT BCITITMMXXX per Pagamento FT 646 del 17/11 e 67</v>
      </c>
    </row>
    <row r="629">
      <c r="A629" s="20">
        <v>45986.0</v>
      </c>
      <c r="B629" s="20">
        <v>45986.0</v>
      </c>
      <c r="C629" s="29"/>
      <c r="D629" s="22">
        <v>4000.0</v>
      </c>
      <c r="E629" s="15" t="b">
        <v>0</v>
      </c>
      <c r="F629" s="17" t="s">
        <v>58</v>
      </c>
      <c r="G629" s="17" t="s">
        <v>59</v>
      </c>
      <c r="H629" s="18">
        <f t="shared" si="1"/>
        <v>4000</v>
      </c>
      <c r="I629" s="19" t="str">
        <f t="shared" si="3"/>
        <v>VERSAMENTO CONTANTE IN UPU.P.38530 MILANO 82            POSTAMAT N 76018970575871050                 CARTA 75871050</v>
      </c>
    </row>
    <row r="630">
      <c r="A630" s="20">
        <v>45985.0</v>
      </c>
      <c r="B630" s="20">
        <v>45985.0</v>
      </c>
      <c r="C630" s="21">
        <v>-10008.0</v>
      </c>
      <c r="D630" s="22"/>
      <c r="E630" s="15" t="b">
        <v>1</v>
      </c>
      <c r="F630" s="17" t="s">
        <v>12</v>
      </c>
      <c r="G630" s="17" t="s">
        <v>548</v>
      </c>
      <c r="H630" s="18">
        <f t="shared" si="1"/>
        <v>-10008</v>
      </c>
      <c r="I630" s="19" t="str">
        <f t="shared" si="3"/>
        <v>BONIFICO SEPADistinta: 176397651909001EJDEF</v>
      </c>
    </row>
    <row r="631">
      <c r="A631" s="20">
        <v>45985.0</v>
      </c>
      <c r="B631" s="20">
        <v>45985.0</v>
      </c>
      <c r="C631" s="21">
        <v>-2000.0</v>
      </c>
      <c r="D631" s="22"/>
      <c r="E631" s="15" t="b">
        <v>1</v>
      </c>
      <c r="F631" s="17" t="s">
        <v>12</v>
      </c>
      <c r="G631" s="17" t="s">
        <v>549</v>
      </c>
      <c r="H631" s="18">
        <f t="shared" si="1"/>
        <v>-2000</v>
      </c>
      <c r="I631" s="19" t="str">
        <f t="shared" si="3"/>
        <v>BONIFICO SEPADistinta: 176398509644003B5DEF</v>
      </c>
    </row>
    <row r="632">
      <c r="A632" s="20">
        <v>45985.0</v>
      </c>
      <c r="B632" s="20">
        <v>45985.0</v>
      </c>
      <c r="C632" s="29"/>
      <c r="D632" s="22">
        <v>1050.5</v>
      </c>
      <c r="E632" s="15" t="b">
        <v>0</v>
      </c>
      <c r="F632" s="17" t="s">
        <v>12</v>
      </c>
      <c r="G632" s="17" t="s">
        <v>550</v>
      </c>
      <c r="H632" s="18">
        <f t="shared" si="1"/>
        <v>1050.5</v>
      </c>
      <c r="I632" s="19" t="str">
        <f t="shared" si="3"/>
        <v>BONIFICO SEPADa NEXI Payments Spa TRN 063568277065NPPASU0000000000IT CIPBITMM per PV 1000001228596 ACCREDITO CIRCUITI INTERNAZ. 22112</v>
      </c>
    </row>
    <row r="633">
      <c r="A633" s="20">
        <v>45985.0</v>
      </c>
      <c r="B633" s="20">
        <v>45985.0</v>
      </c>
      <c r="C633" s="29"/>
      <c r="D633" s="22">
        <v>358.5</v>
      </c>
      <c r="E633" s="15" t="b">
        <v>0</v>
      </c>
      <c r="F633" s="17" t="s">
        <v>12</v>
      </c>
      <c r="G633" s="17" t="s">
        <v>551</v>
      </c>
      <c r="H633" s="18">
        <f t="shared" si="1"/>
        <v>358.5</v>
      </c>
      <c r="I633" s="19" t="str">
        <f t="shared" si="3"/>
        <v>BONIFICO SEPADa NEXI Payments Spa TRN 063476873055NPPASU0000000000IT CIPBITMM per PV 1000001228637 ACCREDITO CIRCUITI INTERNAZ. 21112</v>
      </c>
    </row>
    <row r="634">
      <c r="A634" s="20">
        <v>45985.0</v>
      </c>
      <c r="B634" s="20">
        <v>45985.0</v>
      </c>
      <c r="C634" s="29"/>
      <c r="D634" s="22">
        <v>234.0</v>
      </c>
      <c r="E634" s="15" t="b">
        <v>0</v>
      </c>
      <c r="F634" s="17" t="s">
        <v>12</v>
      </c>
      <c r="G634" s="17" t="s">
        <v>552</v>
      </c>
      <c r="H634" s="18">
        <f t="shared" si="1"/>
        <v>234</v>
      </c>
      <c r="I634" s="19" t="str">
        <f t="shared" si="3"/>
        <v>BONIFICO SEPADa NEXI Payments Spa TRN 063473567015NPPASU0000000000IT CIPBITMM per PV 1000001228596 ACCREDITO BANCOMAT 211125 RIF 1005</v>
      </c>
    </row>
    <row r="635">
      <c r="A635" s="20">
        <v>45985.0</v>
      </c>
      <c r="B635" s="20">
        <v>45985.0</v>
      </c>
      <c r="C635" s="29"/>
      <c r="D635" s="22">
        <v>20.0</v>
      </c>
      <c r="E635" s="15" t="b">
        <v>0</v>
      </c>
      <c r="F635" s="17" t="s">
        <v>12</v>
      </c>
      <c r="G635" s="17" t="s">
        <v>553</v>
      </c>
      <c r="H635" s="18">
        <f t="shared" si="1"/>
        <v>20</v>
      </c>
      <c r="I635" s="19" t="str">
        <f t="shared" si="3"/>
        <v>BONIFICO SEPADa NEXI Payments Spa TRN 063569562045NPPASU0000000000IT CIPBITMM per PV 1000001228637 ACCREDITO CIRCUITI INTERNAZ. 22112</v>
      </c>
    </row>
    <row r="636">
      <c r="A636" s="20">
        <v>45985.0</v>
      </c>
      <c r="B636" s="20">
        <v>45985.0</v>
      </c>
      <c r="C636" s="29"/>
      <c r="D636" s="22">
        <v>1218.0</v>
      </c>
      <c r="E636" s="15" t="b">
        <v>0</v>
      </c>
      <c r="F636" s="17" t="s">
        <v>12</v>
      </c>
      <c r="G636" s="17" t="s">
        <v>554</v>
      </c>
      <c r="H636" s="18">
        <f t="shared" si="1"/>
        <v>1218</v>
      </c>
      <c r="I636" s="19" t="str">
        <f t="shared" si="3"/>
        <v>BONIFICO SEPADa NEXI Payments Spa TRN 063473546065NPPASU0000000000IT CIPBITMM per PV 1000001228596 ACCREDITO CIRCUITI INTERNAZ. 21112</v>
      </c>
    </row>
    <row r="637">
      <c r="A637" s="20">
        <v>45985.0</v>
      </c>
      <c r="B637" s="20">
        <v>45985.0</v>
      </c>
      <c r="C637" s="29"/>
      <c r="D637" s="22">
        <v>175.0</v>
      </c>
      <c r="E637" s="15" t="b">
        <v>0</v>
      </c>
      <c r="F637" s="17" t="s">
        <v>12</v>
      </c>
      <c r="G637" s="17" t="s">
        <v>555</v>
      </c>
      <c r="H637" s="18">
        <f t="shared" si="1"/>
        <v>175</v>
      </c>
      <c r="I637" s="19" t="str">
        <f t="shared" si="3"/>
        <v>BONIFICO SEPADa NEXI Payments Spa TRN 063568290065NPPASU0000000000IT CIPBITMM per PV 1000001228596 ACCREDITO BANCOMAT 221125 RIF 1007</v>
      </c>
    </row>
    <row r="638">
      <c r="A638" s="20">
        <v>45985.0</v>
      </c>
      <c r="B638" s="23">
        <v>45985.0</v>
      </c>
      <c r="C638" s="21"/>
      <c r="D638" s="22">
        <v>50.0</v>
      </c>
      <c r="E638" s="15" t="b">
        <v>0</v>
      </c>
      <c r="F638" s="17" t="s">
        <v>12</v>
      </c>
      <c r="G638" s="17" t="s">
        <v>556</v>
      </c>
      <c r="H638" s="18">
        <f t="shared" si="1"/>
        <v>50</v>
      </c>
      <c r="I638" s="19" t="str">
        <f t="shared" si="3"/>
        <v>BONIFICO SEPADa NEXI Payments Spa TRN 063655075035NPPASU0000000000IT CIPBITMM per PV 1000001228637 ACCREDITO CIRCUITI INTERNAZ. 23112</v>
      </c>
    </row>
    <row r="639">
      <c r="A639" s="20"/>
      <c r="B639" s="20"/>
      <c r="C639" s="29"/>
      <c r="D639" s="22"/>
      <c r="E639" s="15" t="b">
        <v>0</v>
      </c>
      <c r="F639" s="17"/>
      <c r="G639" s="17"/>
      <c r="H639" s="18">
        <f t="shared" si="1"/>
        <v>0</v>
      </c>
      <c r="I639" s="19" t="str">
        <f t="shared" si="3"/>
        <v/>
      </c>
    </row>
    <row r="640">
      <c r="A640" s="20">
        <v>45982.0</v>
      </c>
      <c r="B640" s="20">
        <v>45982.0</v>
      </c>
      <c r="C640" s="21">
        <v>-2268.74</v>
      </c>
      <c r="D640" s="22"/>
      <c r="E640" s="15" t="b">
        <v>1</v>
      </c>
      <c r="F640" s="17" t="s">
        <v>12</v>
      </c>
      <c r="G640" s="17" t="s">
        <v>557</v>
      </c>
      <c r="H640" s="18">
        <f t="shared" si="1"/>
        <v>-2268.74</v>
      </c>
      <c r="I640" s="19" t="str">
        <f t="shared" si="3"/>
        <v>BONIFICO SEPADistinta: 17636474150390KOUDEF</v>
      </c>
    </row>
    <row r="641">
      <c r="A641" s="20">
        <v>45982.0</v>
      </c>
      <c r="B641" s="20">
        <v>45982.0</v>
      </c>
      <c r="C641" s="21"/>
      <c r="D641" s="22">
        <v>1199.47</v>
      </c>
      <c r="E641" s="15" t="b">
        <v>0</v>
      </c>
      <c r="F641" s="17" t="s">
        <v>12</v>
      </c>
      <c r="G641" s="17" t="s">
        <v>558</v>
      </c>
      <c r="H641" s="18">
        <f t="shared" si="1"/>
        <v>1199.47</v>
      </c>
      <c r="I641" s="19" t="str">
        <f t="shared" si="3"/>
        <v>BONIFICO SEPADa Scalapay IP S.p.a. TRN 3601825112104530866747594161133-008 CBPSIT31XXX per 2025-11-20 - GEOS S SDRL - Scalapay IP S.p</v>
      </c>
    </row>
    <row r="642">
      <c r="A642" s="20">
        <v>45982.0</v>
      </c>
      <c r="B642" s="23">
        <v>45982.0</v>
      </c>
      <c r="C642" s="21"/>
      <c r="D642" s="22">
        <v>230.0</v>
      </c>
      <c r="E642" s="15" t="b">
        <v>0</v>
      </c>
      <c r="F642" s="17" t="s">
        <v>12</v>
      </c>
      <c r="G642" s="17" t="s">
        <v>559</v>
      </c>
      <c r="H642" s="18">
        <f t="shared" si="1"/>
        <v>230</v>
      </c>
      <c r="I642" s="19" t="str">
        <f t="shared" si="3"/>
        <v>BONIFICO SEPADa NEXI Payments Spa TRN 063363740115NPPASU0000000000IT CIPBITMM per PV 1000001228596 ACCREDITO CIRCUITI INTERNAZ. 20112</v>
      </c>
    </row>
    <row r="643">
      <c r="A643" s="20">
        <v>45982.0</v>
      </c>
      <c r="B643" s="23">
        <v>45982.0</v>
      </c>
      <c r="C643" s="29"/>
      <c r="D643" s="22">
        <v>580.0</v>
      </c>
      <c r="E643" s="15" t="b">
        <v>0</v>
      </c>
      <c r="F643" s="17" t="s">
        <v>12</v>
      </c>
      <c r="G643" s="17" t="s">
        <v>560</v>
      </c>
      <c r="H643" s="18">
        <f t="shared" si="1"/>
        <v>580</v>
      </c>
      <c r="I643" s="19" t="str">
        <f t="shared" si="3"/>
        <v>BONIFICO SEPADa NEXI Payments Spa TRN 063363755005NPPASU0000000000IT CIPBITMM per PV 1000001228596 ACCREDITO BANCOMAT 201125 RIF 1003</v>
      </c>
    </row>
    <row r="644">
      <c r="A644" s="20">
        <v>45982.0</v>
      </c>
      <c r="B644" s="20">
        <v>45982.0</v>
      </c>
      <c r="C644" s="29"/>
      <c r="D644" s="22">
        <v>300.0</v>
      </c>
      <c r="E644" s="15" t="b">
        <v>0</v>
      </c>
      <c r="F644" s="17" t="s">
        <v>12</v>
      </c>
      <c r="G644" s="17" t="s">
        <v>561</v>
      </c>
      <c r="H644" s="18">
        <f t="shared" si="1"/>
        <v>300</v>
      </c>
      <c r="I644" s="19" t="str">
        <f t="shared" si="3"/>
        <v>BONIFICO SEPADa NEXI Payments Spa TRN 063363545115NPPASU0000000000IT CIPBITMM per PV 1000001228637 ACCREDITO CIRCUITI INTERNAZ. 20112</v>
      </c>
    </row>
    <row r="645">
      <c r="A645" s="20">
        <v>45982.0</v>
      </c>
      <c r="B645" s="20">
        <v>45978.0</v>
      </c>
      <c r="C645" s="29"/>
      <c r="D645" s="22">
        <v>912.0</v>
      </c>
      <c r="E645" s="15" t="b">
        <v>0</v>
      </c>
      <c r="F645" s="17" t="s">
        <v>28</v>
      </c>
      <c r="G645" s="17" t="s">
        <v>562</v>
      </c>
      <c r="H645" s="18">
        <f t="shared" si="1"/>
        <v>912</v>
      </c>
      <c r="I645" s="19" t="str">
        <f t="shared" si="3"/>
        <v>BONIFICODa Gympass US LLC TRN FV6BR754892S CHASNL2XXXX per WellhubGym</v>
      </c>
    </row>
    <row r="646">
      <c r="A646" s="20">
        <v>45982.0</v>
      </c>
      <c r="B646" s="20">
        <v>45980.0</v>
      </c>
      <c r="C646" s="21"/>
      <c r="D646" s="22">
        <v>169.2</v>
      </c>
      <c r="E646" s="15" t="b">
        <v>0</v>
      </c>
      <c r="F646" s="17" t="s">
        <v>28</v>
      </c>
      <c r="G646" s="17" t="s">
        <v>563</v>
      </c>
      <c r="H646" s="18">
        <f t="shared" si="1"/>
        <v>169.2</v>
      </c>
      <c r="I646" s="19" t="str">
        <f t="shared" si="3"/>
        <v>BONIFICODa Satispay Europe S.A. TRN 2e469669c0554d45be752fa895c444c9 SATYLUL1XXX per Geos ssdr</v>
      </c>
    </row>
    <row r="647">
      <c r="A647" s="30"/>
      <c r="B647" s="30"/>
      <c r="C647" s="29"/>
      <c r="D647" s="32"/>
      <c r="E647" s="15" t="b">
        <v>0</v>
      </c>
      <c r="F647" s="33"/>
      <c r="G647" s="33"/>
      <c r="H647" s="18">
        <f t="shared" si="1"/>
        <v>0</v>
      </c>
      <c r="I647" s="19" t="str">
        <f t="shared" si="3"/>
        <v/>
      </c>
    </row>
    <row r="648">
      <c r="A648" s="30"/>
      <c r="B648" s="30"/>
      <c r="C648" s="29"/>
      <c r="D648" s="32"/>
      <c r="E648" s="15" t="b">
        <v>0</v>
      </c>
      <c r="F648" s="33"/>
      <c r="G648" s="33"/>
      <c r="H648" s="18">
        <f t="shared" si="1"/>
        <v>0</v>
      </c>
      <c r="I648" s="19" t="str">
        <f t="shared" si="3"/>
        <v/>
      </c>
    </row>
    <row r="649">
      <c r="A649" s="20">
        <v>45981.0</v>
      </c>
      <c r="B649" s="23">
        <v>45981.0</v>
      </c>
      <c r="C649" s="21"/>
      <c r="D649" s="22">
        <v>20.0</v>
      </c>
      <c r="E649" s="15" t="b">
        <v>0</v>
      </c>
      <c r="F649" s="17" t="s">
        <v>12</v>
      </c>
      <c r="G649" s="17" t="s">
        <v>564</v>
      </c>
      <c r="H649" s="18">
        <f t="shared" si="1"/>
        <v>20</v>
      </c>
      <c r="I649" s="19" t="str">
        <f t="shared" si="3"/>
        <v>BONIFICO SEPADa NEXI Payments Spa TRN 063258213055NPPASU0000000000IT CIPBITMM per PV 1000001228596 ACCREDITO CIRCUITI INTERNAZ. 19112</v>
      </c>
    </row>
    <row r="650">
      <c r="A650" s="20">
        <v>45981.0</v>
      </c>
      <c r="B650" s="23">
        <v>45981.0</v>
      </c>
      <c r="C650" s="29"/>
      <c r="D650" s="22">
        <v>145.0</v>
      </c>
      <c r="E650" s="15" t="b">
        <v>0</v>
      </c>
      <c r="F650" s="17" t="s">
        <v>12</v>
      </c>
      <c r="G650" s="17" t="s">
        <v>565</v>
      </c>
      <c r="H650" s="18">
        <f t="shared" si="1"/>
        <v>145</v>
      </c>
      <c r="I650" s="19" t="str">
        <f t="shared" si="3"/>
        <v>BONIFICO SEPADa NEXI Payments Spa TRN 063256901065NPPASU0000000000IT CIPBITMM per PV 1000001228637 ACCREDITO CIRCUITI INTERNAZ. 19112</v>
      </c>
    </row>
    <row r="651">
      <c r="A651" s="20">
        <v>45981.0</v>
      </c>
      <c r="B651" s="20">
        <v>45981.0</v>
      </c>
      <c r="C651" s="29"/>
      <c r="D651" s="22">
        <v>50.0</v>
      </c>
      <c r="E651" s="15" t="b">
        <v>0</v>
      </c>
      <c r="F651" s="17" t="s">
        <v>12</v>
      </c>
      <c r="G651" s="17" t="s">
        <v>566</v>
      </c>
      <c r="H651" s="18">
        <f t="shared" si="1"/>
        <v>50</v>
      </c>
      <c r="I651" s="19" t="str">
        <f t="shared" si="3"/>
        <v>BONIFICO SEPADa NEXI Payments Spa TRN 063258231105NPPASU0000000000IT CIPBITMM per PV 1000001228596 ACCREDITO BANCOMAT 191125 RIF 1002</v>
      </c>
    </row>
    <row r="652">
      <c r="A652" s="20">
        <v>45981.0</v>
      </c>
      <c r="B652" s="20">
        <v>45981.0</v>
      </c>
      <c r="C652" s="29"/>
      <c r="D652" s="22">
        <v>383.32</v>
      </c>
      <c r="E652" s="15" t="b">
        <v>0</v>
      </c>
      <c r="F652" s="17" t="s">
        <v>12</v>
      </c>
      <c r="G652" s="17" t="s">
        <v>567</v>
      </c>
      <c r="H652" s="18">
        <f t="shared" si="1"/>
        <v>383.32</v>
      </c>
      <c r="I652" s="19" t="str">
        <f t="shared" si="3"/>
        <v>BONIFICO SEPADa Scalapay IP S.p.a. TRN 3601825112004512432197390606128-008 CBPSIT31XXX per 2025-11-19 - GEOS S SDRL - Scalapay IP S.p</v>
      </c>
    </row>
    <row r="653">
      <c r="A653" s="20">
        <v>45980.0</v>
      </c>
      <c r="B653" s="20">
        <v>45980.0</v>
      </c>
      <c r="C653" s="21">
        <v>-120.0</v>
      </c>
      <c r="D653" s="22"/>
      <c r="E653" s="15" t="b">
        <v>1</v>
      </c>
      <c r="F653" s="17" t="s">
        <v>12</v>
      </c>
      <c r="G653" s="17" t="s">
        <v>568</v>
      </c>
      <c r="H653" s="18">
        <f t="shared" si="1"/>
        <v>-120</v>
      </c>
      <c r="I653" s="19" t="str">
        <f t="shared" si="3"/>
        <v>BONIFICO SEPADistinta: 176353843689608G0DEF</v>
      </c>
    </row>
    <row r="654">
      <c r="A654" s="20">
        <v>45980.0</v>
      </c>
      <c r="B654" s="20">
        <v>45980.0</v>
      </c>
      <c r="C654" s="29"/>
      <c r="D654" s="22">
        <v>544.0</v>
      </c>
      <c r="E654" s="15" t="b">
        <v>0</v>
      </c>
      <c r="F654" s="17" t="s">
        <v>12</v>
      </c>
      <c r="G654" s="17" t="s">
        <v>569</v>
      </c>
      <c r="H654" s="18">
        <f t="shared" si="1"/>
        <v>544</v>
      </c>
      <c r="I654" s="19" t="str">
        <f t="shared" si="3"/>
        <v>BONIFICO SEPADa NEXI Payments Spa TRN 063151484065NPPASU0000000000IT CIPBITMM per PV 1000001228596 ACCREDITO CIRCUITI INTERNAZ. 18112</v>
      </c>
    </row>
    <row r="655">
      <c r="A655" s="20">
        <v>45980.0</v>
      </c>
      <c r="B655" s="20">
        <v>45980.0</v>
      </c>
      <c r="C655" s="35"/>
      <c r="D655" s="36">
        <v>377.95</v>
      </c>
      <c r="E655" s="15" t="b">
        <v>0</v>
      </c>
      <c r="F655" s="17" t="s">
        <v>12</v>
      </c>
      <c r="G655" s="17" t="s">
        <v>570</v>
      </c>
      <c r="H655" s="18">
        <f t="shared" si="1"/>
        <v>377.95</v>
      </c>
      <c r="I655" s="19" t="str">
        <f t="shared" si="3"/>
        <v>BONIFICO SEPADa Scalapay IP S.p.a. TRN 3601825111904500974405929358121-008 CBPSIT31XXX per 2025-11-18 - GEOS S SDRL - Scalapay IP S.p</v>
      </c>
    </row>
    <row r="656">
      <c r="A656" s="20">
        <v>45980.0</v>
      </c>
      <c r="B656" s="20">
        <v>45980.0</v>
      </c>
      <c r="C656" s="37"/>
      <c r="D656" s="38">
        <v>450.0</v>
      </c>
      <c r="E656" s="15" t="b">
        <v>0</v>
      </c>
      <c r="F656" s="17" t="s">
        <v>12</v>
      </c>
      <c r="G656" s="17" t="s">
        <v>571</v>
      </c>
      <c r="H656" s="18">
        <f t="shared" si="1"/>
        <v>450</v>
      </c>
      <c r="I656" s="19" t="str">
        <f t="shared" si="3"/>
        <v>BONIFICO SEPADa NEXI Payments Spa TRN 063152119045NPPASU0000000000IT CIPBITMM per PV 1000001228637 ACCREDITO CIRCUITI INTERNAZ. 18112</v>
      </c>
    </row>
    <row r="657">
      <c r="A657" s="39"/>
      <c r="B657" s="39"/>
      <c r="C657" s="35"/>
      <c r="D657" s="37"/>
      <c r="E657" s="15" t="b">
        <v>0</v>
      </c>
      <c r="F657" s="33"/>
      <c r="G657" s="33"/>
      <c r="H657" s="18">
        <f t="shared" si="1"/>
        <v>0</v>
      </c>
      <c r="I657" s="19" t="str">
        <f t="shared" si="3"/>
        <v/>
      </c>
    </row>
    <row r="658">
      <c r="A658" s="39"/>
      <c r="B658" s="39"/>
      <c r="C658" s="35"/>
      <c r="D658" s="37"/>
      <c r="E658" s="15" t="b">
        <v>0</v>
      </c>
      <c r="F658" s="33"/>
      <c r="G658" s="33"/>
      <c r="H658" s="18">
        <f t="shared" si="1"/>
        <v>0</v>
      </c>
      <c r="I658" s="19" t="str">
        <f t="shared" si="3"/>
        <v/>
      </c>
    </row>
    <row r="659">
      <c r="A659" s="20">
        <v>45980.0</v>
      </c>
      <c r="B659" s="20">
        <v>45980.0</v>
      </c>
      <c r="C659" s="35"/>
      <c r="D659" s="36">
        <v>6710.0</v>
      </c>
      <c r="E659" s="15" t="b">
        <v>0</v>
      </c>
      <c r="F659" s="17" t="s">
        <v>12</v>
      </c>
      <c r="G659" s="17" t="s">
        <v>572</v>
      </c>
      <c r="H659" s="18">
        <f t="shared" si="1"/>
        <v>6710</v>
      </c>
      <c r="I659" s="19" t="str">
        <f t="shared" si="3"/>
        <v>BONIFICO SEPADa MODULO PROJECT S.R.L. TRN 1101253220101285 UNCRITMM per Fattura n. 587 del 06/11/2025 - Affitto studi Ottobre 2025</v>
      </c>
    </row>
    <row r="660">
      <c r="A660" s="20">
        <v>45979.0</v>
      </c>
      <c r="B660" s="20">
        <v>45979.0</v>
      </c>
      <c r="C660" s="40">
        <v>-3450.17</v>
      </c>
      <c r="D660" s="36"/>
      <c r="E660" s="15" t="b">
        <v>1</v>
      </c>
      <c r="F660" s="17" t="s">
        <v>12</v>
      </c>
      <c r="G660" s="17" t="s">
        <v>573</v>
      </c>
      <c r="H660" s="18">
        <f t="shared" si="1"/>
        <v>-3450.17</v>
      </c>
      <c r="I660" s="19" t="str">
        <f t="shared" si="3"/>
        <v>BONIFICO SEPADistinta: 176338885268205NHDEF</v>
      </c>
    </row>
    <row r="661">
      <c r="A661" s="20">
        <v>45979.0</v>
      </c>
      <c r="B661" s="23">
        <v>45979.0</v>
      </c>
      <c r="C661" s="40">
        <v>-70.0</v>
      </c>
      <c r="D661" s="37"/>
      <c r="E661" s="15" t="b">
        <v>1</v>
      </c>
      <c r="F661" s="17" t="s">
        <v>12</v>
      </c>
      <c r="G661" s="17" t="s">
        <v>574</v>
      </c>
      <c r="H661" s="18">
        <f t="shared" si="1"/>
        <v>-70</v>
      </c>
      <c r="I661" s="19" t="str">
        <f t="shared" si="3"/>
        <v>BONIFICO SEPADistinta: 176338891617305U3DEF</v>
      </c>
    </row>
    <row r="662">
      <c r="A662" s="20">
        <v>45979.0</v>
      </c>
      <c r="B662" s="23">
        <v>45979.0</v>
      </c>
      <c r="C662" s="35"/>
      <c r="D662" s="36">
        <v>50.0</v>
      </c>
      <c r="E662" s="15" t="b">
        <v>0</v>
      </c>
      <c r="F662" s="17" t="s">
        <v>12</v>
      </c>
      <c r="G662" s="17" t="s">
        <v>575</v>
      </c>
      <c r="H662" s="18">
        <f t="shared" si="1"/>
        <v>50</v>
      </c>
      <c r="I662" s="19" t="str">
        <f t="shared" si="3"/>
        <v>BONIFICO SEPADa NEXI Payments Spa TRN 063052262005NPPASU0000000000IT CIPBITMM per PV 1000001228596 ACCREDITO BANCOMAT 171125 RIF 9997</v>
      </c>
    </row>
    <row r="663">
      <c r="A663" s="20">
        <v>45979.0</v>
      </c>
      <c r="B663" s="20">
        <v>45979.0</v>
      </c>
      <c r="C663" s="35"/>
      <c r="D663" s="36">
        <v>40.0</v>
      </c>
      <c r="E663" s="15" t="b">
        <v>0</v>
      </c>
      <c r="F663" s="17" t="s">
        <v>12</v>
      </c>
      <c r="G663" s="17" t="s">
        <v>576</v>
      </c>
      <c r="H663" s="18">
        <f t="shared" si="1"/>
        <v>40</v>
      </c>
      <c r="I663" s="19" t="str">
        <f t="shared" si="3"/>
        <v>BONIFICO SEPADa NEXI Payments Spa TRN 063052256075NPPASU0000000000IT CIPBITMM per PV 1000001228596 ACCREDITO CIRCUITI INTERNAZ. 17112</v>
      </c>
    </row>
    <row r="664">
      <c r="A664" s="20">
        <v>45979.0</v>
      </c>
      <c r="B664" s="20">
        <v>45979.0</v>
      </c>
      <c r="C664" s="35"/>
      <c r="D664" s="36">
        <v>105.0</v>
      </c>
      <c r="E664" s="15" t="b">
        <v>0</v>
      </c>
      <c r="F664" s="17" t="s">
        <v>12</v>
      </c>
      <c r="G664" s="17" t="s">
        <v>577</v>
      </c>
      <c r="H664" s="18">
        <f t="shared" si="1"/>
        <v>105</v>
      </c>
      <c r="I664" s="19" t="str">
        <f t="shared" si="3"/>
        <v>BONIFICO SEPADa NEXI Payments Spa TRN 063053165065NPPASU0000000000IT CIPBITMM per PV 1000001228637 ACCREDITO CIRCUITI INTERNAZ. 17112</v>
      </c>
    </row>
    <row r="665">
      <c r="A665" s="20">
        <v>45979.0</v>
      </c>
      <c r="B665" s="20">
        <v>45979.0</v>
      </c>
      <c r="C665" s="29"/>
      <c r="D665" s="22">
        <v>292.8</v>
      </c>
      <c r="E665" s="15" t="b">
        <v>0</v>
      </c>
      <c r="F665" s="17" t="s">
        <v>12</v>
      </c>
      <c r="G665" s="17" t="s">
        <v>578</v>
      </c>
      <c r="H665" s="18">
        <f t="shared" si="1"/>
        <v>292.8</v>
      </c>
      <c r="I665" s="19" t="str">
        <f t="shared" si="3"/>
        <v>BONIFICO SEPADa VISIONAIR SRL TRN 0306906810203501S91211712117IT BCITITMMXXX per Fsttura 641</v>
      </c>
    </row>
    <row r="666">
      <c r="A666" s="20">
        <v>45978.0</v>
      </c>
      <c r="B666" s="20">
        <v>45978.0</v>
      </c>
      <c r="C666" s="29"/>
      <c r="D666" s="22">
        <v>37.0</v>
      </c>
      <c r="E666" s="15" t="b">
        <v>0</v>
      </c>
      <c r="F666" s="17" t="s">
        <v>12</v>
      </c>
      <c r="G666" s="17" t="s">
        <v>579</v>
      </c>
      <c r="H666" s="18">
        <f t="shared" si="1"/>
        <v>37</v>
      </c>
      <c r="I666" s="19" t="str">
        <f t="shared" si="3"/>
        <v>BONIFICO SEPADa NEXI Payments Spa TRN 062986437075NPPASU0000000000IT CIPBITMM per PV 1000001228596 ACCREDITO BANCOMAT 161125 RIF 9984</v>
      </c>
    </row>
    <row r="667">
      <c r="A667" s="20">
        <v>45978.0</v>
      </c>
      <c r="B667" s="20">
        <v>45978.0</v>
      </c>
      <c r="C667" s="29"/>
      <c r="D667" s="22">
        <v>155.0</v>
      </c>
      <c r="E667" s="15" t="b">
        <v>0</v>
      </c>
      <c r="F667" s="17" t="s">
        <v>12</v>
      </c>
      <c r="G667" s="17" t="s">
        <v>580</v>
      </c>
      <c r="H667" s="18">
        <f t="shared" si="1"/>
        <v>155</v>
      </c>
      <c r="I667" s="19" t="str">
        <f t="shared" si="3"/>
        <v>BONIFICO SEPADa NEXI Payments Spa TRN 062904092045NPPASU0000000000IT CIPBITMM per PV 1000001228596 ACCREDITO BANCOMAT 151125 RIF 9974</v>
      </c>
    </row>
    <row r="668">
      <c r="A668" s="20">
        <v>45978.0</v>
      </c>
      <c r="B668" s="20">
        <v>45978.0</v>
      </c>
      <c r="C668" s="29"/>
      <c r="D668" s="22">
        <v>643.5</v>
      </c>
      <c r="E668" s="15" t="b">
        <v>0</v>
      </c>
      <c r="F668" s="17" t="s">
        <v>12</v>
      </c>
      <c r="G668" s="17" t="s">
        <v>581</v>
      </c>
      <c r="H668" s="18">
        <f t="shared" si="1"/>
        <v>643.5</v>
      </c>
      <c r="I668" s="19" t="str">
        <f t="shared" si="3"/>
        <v>BONIFICO SEPADa NEXI Payments Spa TRN 062904744065NPPASU0000000000IT CIPBITMM per PV 1000001228637 ACCREDITO CIRCUITI INTERNAZ. 15112</v>
      </c>
    </row>
    <row r="669">
      <c r="A669" s="20">
        <v>45978.0</v>
      </c>
      <c r="B669" s="20">
        <v>45978.0</v>
      </c>
      <c r="C669" s="29"/>
      <c r="D669" s="22">
        <v>445.0</v>
      </c>
      <c r="E669" s="15" t="b">
        <v>0</v>
      </c>
      <c r="F669" s="17" t="s">
        <v>12</v>
      </c>
      <c r="G669" s="17" t="s">
        <v>582</v>
      </c>
      <c r="H669" s="18">
        <f t="shared" si="1"/>
        <v>445</v>
      </c>
      <c r="I669" s="19" t="str">
        <f t="shared" si="3"/>
        <v>BONIFICO SEPADa NEXI Payments Spa TRN 062809202015NPPASU0000000000IT CIPBITMM per PV 1000001228596 ACCREDITO CIRCUITI INTERNAZ. 14112</v>
      </c>
    </row>
    <row r="670">
      <c r="A670" s="20">
        <v>45978.0</v>
      </c>
      <c r="B670" s="20">
        <v>45978.0</v>
      </c>
      <c r="C670" s="29"/>
      <c r="D670" s="22">
        <v>1097.0</v>
      </c>
      <c r="E670" s="15" t="b">
        <v>0</v>
      </c>
      <c r="F670" s="17" t="s">
        <v>12</v>
      </c>
      <c r="G670" s="41" t="s">
        <v>583</v>
      </c>
      <c r="H670" s="18">
        <f t="shared" si="1"/>
        <v>1097</v>
      </c>
      <c r="I670" s="19" t="str">
        <f t="shared" si="3"/>
        <v>BONIFICO SEPADa NEXI Payments Spa TRN 062807318025NPPASU0000000000IT CIPBITMM per PV 1000001228637 ACCREDITO CIRCUITI INTERNAZ. 14112</v>
      </c>
    </row>
    <row r="671">
      <c r="A671" s="20">
        <v>45978.0</v>
      </c>
      <c r="B671" s="20">
        <v>45978.0</v>
      </c>
      <c r="C671" s="29"/>
      <c r="D671" s="22">
        <v>274.6</v>
      </c>
      <c r="E671" s="15" t="b">
        <v>0</v>
      </c>
      <c r="F671" s="17" t="s">
        <v>12</v>
      </c>
      <c r="G671" s="17" t="s">
        <v>584</v>
      </c>
      <c r="H671" s="18">
        <f t="shared" si="1"/>
        <v>274.6</v>
      </c>
      <c r="I671" s="19" t="str">
        <f t="shared" si="3"/>
        <v>BONIFICO SEPADa NEXI Payments Spa TRN 062809217035NPPASU0000000000IT CIPBITMM per PV 1000001228596 ACCREDITO BANCOMAT 141125 RIF 9958</v>
      </c>
    </row>
    <row r="672">
      <c r="A672" s="20">
        <v>45978.0</v>
      </c>
      <c r="B672" s="20">
        <v>45978.0</v>
      </c>
      <c r="C672" s="29"/>
      <c r="D672" s="22">
        <v>142.0</v>
      </c>
      <c r="E672" s="15" t="b">
        <v>0</v>
      </c>
      <c r="F672" s="17" t="s">
        <v>12</v>
      </c>
      <c r="G672" s="17" t="s">
        <v>585</v>
      </c>
      <c r="H672" s="18">
        <f t="shared" si="1"/>
        <v>142</v>
      </c>
      <c r="I672" s="19" t="str">
        <f t="shared" si="3"/>
        <v>BONIFICO SEPADa NEXI Payments Spa TRN 062986705025NPPASU0000000000IT CIPBITMM per PV 1000001228637 ACCREDITO CIRCUITI INTERNAZ. 16112</v>
      </c>
    </row>
    <row r="673">
      <c r="A673" s="20">
        <v>45978.0</v>
      </c>
      <c r="B673" s="23">
        <v>45978.0</v>
      </c>
      <c r="C673" s="21"/>
      <c r="D673" s="22">
        <v>92.0</v>
      </c>
      <c r="E673" s="15" t="b">
        <v>0</v>
      </c>
      <c r="F673" s="17" t="s">
        <v>12</v>
      </c>
      <c r="G673" s="17" t="s">
        <v>586</v>
      </c>
      <c r="H673" s="18">
        <f t="shared" si="1"/>
        <v>92</v>
      </c>
      <c r="I673" s="19" t="str">
        <f t="shared" si="3"/>
        <v>BONIFICO SEPADa NEXI Payments Spa TRN 062986432025NPPASU0000000000IT CIPBITMM per PV 1000001228596 ACCREDITO CIRCUITI INTERNAZ. 16112</v>
      </c>
    </row>
    <row r="674">
      <c r="A674" s="20">
        <v>45978.0</v>
      </c>
      <c r="B674" s="23">
        <v>45978.0</v>
      </c>
      <c r="C674" s="21"/>
      <c r="D674" s="22">
        <v>1873.5</v>
      </c>
      <c r="E674" s="15" t="b">
        <v>0</v>
      </c>
      <c r="F674" s="17" t="s">
        <v>12</v>
      </c>
      <c r="G674" s="42" t="s">
        <v>587</v>
      </c>
      <c r="H674" s="18">
        <f t="shared" si="1"/>
        <v>1873.5</v>
      </c>
      <c r="I674" s="19" t="str">
        <f t="shared" si="3"/>
        <v>BONIFICO SEPADa NEXI Payments Spa TRN 062904084095NPPASU0000000000IT CIPBITMM per PV 1000001228596 ACCREDITO CIRCUITI INTERNAZ. 15112</v>
      </c>
    </row>
    <row r="675">
      <c r="A675" s="23"/>
      <c r="B675" s="23"/>
      <c r="C675" s="21"/>
      <c r="D675" s="22"/>
      <c r="E675" s="15" t="b">
        <v>0</v>
      </c>
      <c r="F675" s="17"/>
      <c r="G675" s="17"/>
      <c r="H675" s="18">
        <f t="shared" si="1"/>
        <v>0</v>
      </c>
      <c r="I675" s="19" t="str">
        <f t="shared" si="3"/>
        <v/>
      </c>
    </row>
    <row r="676">
      <c r="A676" s="23"/>
      <c r="B676" s="23"/>
      <c r="C676" s="21"/>
      <c r="D676" s="22"/>
      <c r="E676" s="15" t="b">
        <v>0</v>
      </c>
      <c r="F676" s="17"/>
      <c r="G676" s="17"/>
      <c r="H676" s="18">
        <f t="shared" si="1"/>
        <v>0</v>
      </c>
      <c r="I676" s="19" t="str">
        <f t="shared" si="3"/>
        <v/>
      </c>
    </row>
    <row r="677">
      <c r="A677" s="23"/>
      <c r="B677" s="23"/>
      <c r="C677" s="21"/>
      <c r="D677" s="22"/>
      <c r="E677" s="15" t="b">
        <v>0</v>
      </c>
      <c r="F677" s="17"/>
      <c r="G677" s="17"/>
      <c r="H677" s="18">
        <f t="shared" si="1"/>
        <v>0</v>
      </c>
      <c r="I677" s="19" t="str">
        <f t="shared" si="3"/>
        <v/>
      </c>
    </row>
    <row r="678">
      <c r="A678" s="20">
        <v>45978.0</v>
      </c>
      <c r="B678" s="20">
        <v>45978.0</v>
      </c>
      <c r="C678" s="29"/>
      <c r="D678" s="22">
        <v>1715.0</v>
      </c>
      <c r="E678" s="15" t="b">
        <v>0</v>
      </c>
      <c r="F678" s="17" t="s">
        <v>12</v>
      </c>
      <c r="G678" s="17" t="s">
        <v>588</v>
      </c>
      <c r="H678" s="18">
        <f t="shared" si="1"/>
        <v>1715</v>
      </c>
      <c r="I678" s="19" t="str">
        <f t="shared" si="3"/>
        <v>BONIFICO SEPADa CHECKMOOV S.R.L. TRN 0879400002514011480160003200IT CCRTIT2TLAU per Corrisp. ft 315 - dal 01 maggi...</v>
      </c>
    </row>
    <row r="679">
      <c r="A679" s="20">
        <v>45975.0</v>
      </c>
      <c r="B679" s="20">
        <v>45975.0</v>
      </c>
      <c r="C679" s="21">
        <v>-4271.95</v>
      </c>
      <c r="D679" s="22"/>
      <c r="E679" s="15" t="b">
        <v>1</v>
      </c>
      <c r="F679" s="17" t="s">
        <v>12</v>
      </c>
      <c r="G679" s="17" t="s">
        <v>589</v>
      </c>
      <c r="H679" s="18">
        <f t="shared" si="1"/>
        <v>-4271.95</v>
      </c>
      <c r="I679" s="19" t="str">
        <f t="shared" si="3"/>
        <v>BONIFICO SEPADistinta: 176304071039205CEDEF</v>
      </c>
    </row>
    <row r="680">
      <c r="A680" s="23">
        <v>45975.0</v>
      </c>
      <c r="B680" s="23">
        <v>45975.0</v>
      </c>
      <c r="C680" s="21">
        <v>-2714.07</v>
      </c>
      <c r="D680" s="22"/>
      <c r="E680" s="15" t="b">
        <v>1</v>
      </c>
      <c r="F680" s="17" t="s">
        <v>12</v>
      </c>
      <c r="G680" s="17" t="s">
        <v>590</v>
      </c>
      <c r="H680" s="18">
        <f t="shared" si="1"/>
        <v>-2714.07</v>
      </c>
      <c r="I680" s="19" t="str">
        <f t="shared" si="3"/>
        <v>BONIFICO SEPADistinta: 176304140095005FNDEF</v>
      </c>
    </row>
    <row r="681">
      <c r="A681" s="23">
        <v>45975.0</v>
      </c>
      <c r="B681" s="23">
        <v>45975.0</v>
      </c>
      <c r="C681" s="21">
        <v>-40.0</v>
      </c>
      <c r="D681" s="22"/>
      <c r="E681" s="15" t="b">
        <v>1</v>
      </c>
      <c r="F681" s="17" t="s">
        <v>12</v>
      </c>
      <c r="G681" s="17" t="s">
        <v>591</v>
      </c>
      <c r="H681" s="18">
        <f t="shared" si="1"/>
        <v>-40</v>
      </c>
      <c r="I681" s="19" t="str">
        <f t="shared" si="3"/>
        <v>BONIFICO SEPADistinta: 1763041756076062IDEF</v>
      </c>
    </row>
    <row r="682">
      <c r="A682" s="23">
        <v>45975.0</v>
      </c>
      <c r="B682" s="23">
        <v>45975.0</v>
      </c>
      <c r="C682" s="21"/>
      <c r="D682" s="22">
        <v>552.5</v>
      </c>
      <c r="E682" s="15" t="b">
        <v>0</v>
      </c>
      <c r="F682" s="17" t="s">
        <v>12</v>
      </c>
      <c r="G682" s="17" t="s">
        <v>592</v>
      </c>
      <c r="H682" s="18">
        <f t="shared" si="1"/>
        <v>552.5</v>
      </c>
      <c r="I682" s="19" t="str">
        <f t="shared" si="3"/>
        <v>BONIFICO SEPADa NEXI Payments Spa TRN 062706543035NPPASU0000000000IT CIPBITMM per PV 1000001228596 ACCREDITO BANCOMAT 131125 RIF 9942</v>
      </c>
    </row>
    <row r="683">
      <c r="A683" s="23">
        <v>45975.0</v>
      </c>
      <c r="B683" s="23">
        <v>45975.0</v>
      </c>
      <c r="C683" s="21"/>
      <c r="D683" s="22">
        <v>523.5</v>
      </c>
      <c r="E683" s="15" t="b">
        <v>0</v>
      </c>
      <c r="F683" s="17" t="s">
        <v>12</v>
      </c>
      <c r="G683" s="17" t="s">
        <v>593</v>
      </c>
      <c r="H683" s="18">
        <f t="shared" si="1"/>
        <v>523.5</v>
      </c>
      <c r="I683" s="19" t="str">
        <f t="shared" si="3"/>
        <v>BONIFICO SEPADa NEXI Payments Spa TRN 062708757075NPPASU0000000000IT CIPBITMM per PV 1000001228637 ACCREDITO CIRCUITI INTERNAZ. 13112</v>
      </c>
    </row>
    <row r="684">
      <c r="A684" s="20">
        <v>45975.0</v>
      </c>
      <c r="B684" s="20">
        <v>45975.0</v>
      </c>
      <c r="C684" s="25"/>
      <c r="D684" s="22">
        <v>927.5</v>
      </c>
      <c r="E684" s="15" t="b">
        <v>0</v>
      </c>
      <c r="F684" s="17" t="s">
        <v>12</v>
      </c>
      <c r="G684" s="17" t="s">
        <v>594</v>
      </c>
      <c r="H684" s="18">
        <f t="shared" si="1"/>
        <v>927.5</v>
      </c>
      <c r="I684" s="19" t="str">
        <f t="shared" si="3"/>
        <v>BONIFICO SEPADa NEXI Payments Spa TRN 062706531045NPPASU0000000000IT CIPBITMM per PV 1000001228596 ACCREDITO CIRCUITI INTERNAZ. 13112</v>
      </c>
    </row>
    <row r="685">
      <c r="A685" s="23"/>
      <c r="B685" s="23"/>
      <c r="C685" s="21"/>
      <c r="D685" s="22"/>
      <c r="E685" s="15" t="b">
        <v>0</v>
      </c>
      <c r="F685" s="17"/>
      <c r="G685" s="17"/>
      <c r="H685" s="18">
        <f t="shared" si="1"/>
        <v>0</v>
      </c>
      <c r="I685" s="19" t="str">
        <f t="shared" si="3"/>
        <v/>
      </c>
    </row>
    <row r="686">
      <c r="A686" s="23"/>
      <c r="B686" s="23"/>
      <c r="C686" s="21"/>
      <c r="D686" s="22"/>
      <c r="E686" s="15" t="b">
        <v>0</v>
      </c>
      <c r="F686" s="17"/>
      <c r="G686" s="17"/>
      <c r="H686" s="18">
        <f t="shared" si="1"/>
        <v>0</v>
      </c>
      <c r="I686" s="19" t="str">
        <f t="shared" si="3"/>
        <v/>
      </c>
    </row>
    <row r="687">
      <c r="A687" s="20">
        <v>45975.0</v>
      </c>
      <c r="B687" s="20">
        <v>45975.0</v>
      </c>
      <c r="C687" s="21"/>
      <c r="D687" s="22">
        <v>1125.52</v>
      </c>
      <c r="E687" s="15" t="b">
        <v>0</v>
      </c>
      <c r="F687" s="17" t="s">
        <v>12</v>
      </c>
      <c r="G687" s="17" t="s">
        <v>595</v>
      </c>
      <c r="H687" s="18">
        <f t="shared" si="1"/>
        <v>1125.52</v>
      </c>
      <c r="I687" s="19" t="str">
        <f t="shared" si="3"/>
        <v>BONIFICO SEPADa Scalapay IP S.p.a. TRN 3601825111404515350138833990821-008 CBPSIT31XXX per 2025-11-13 - GEOS S SDRL - Scalapay IP S.p</v>
      </c>
    </row>
    <row r="688">
      <c r="A688" s="20">
        <v>45975.0</v>
      </c>
      <c r="B688" s="20">
        <v>45975.0</v>
      </c>
      <c r="C688" s="21"/>
      <c r="D688" s="22">
        <v>54.8</v>
      </c>
      <c r="E688" s="15" t="b">
        <v>0</v>
      </c>
      <c r="F688" s="17" t="s">
        <v>28</v>
      </c>
      <c r="G688" s="17" t="s">
        <v>596</v>
      </c>
      <c r="H688" s="18">
        <f t="shared" si="1"/>
        <v>54.8</v>
      </c>
      <c r="I688" s="19" t="str">
        <f t="shared" si="3"/>
        <v>BONIFICODa Satispay Europe S.A. TRN 024e1ebe1d0c4bfabec7f6da3d0a08e2 SATYLUL1XXX per Geos ssdr</v>
      </c>
    </row>
    <row r="689">
      <c r="A689" s="20">
        <v>45974.0</v>
      </c>
      <c r="B689" s="20">
        <v>45974.0</v>
      </c>
      <c r="C689" s="21"/>
      <c r="D689" s="22">
        <v>387.0</v>
      </c>
      <c r="E689" s="15" t="b">
        <v>0</v>
      </c>
      <c r="F689" s="17" t="s">
        <v>12</v>
      </c>
      <c r="G689" s="17" t="s">
        <v>597</v>
      </c>
      <c r="H689" s="18">
        <f t="shared" si="1"/>
        <v>387</v>
      </c>
      <c r="I689" s="19" t="str">
        <f t="shared" si="3"/>
        <v>BONIFICO SEPADa NEXI Payments Spa TRN 062593355065NPPASU0000000000IT CIPBITMM per PV 1000001228637 ACCREDITO CIRCUITI INTERNAZ. 12112</v>
      </c>
    </row>
    <row r="690">
      <c r="A690" s="20">
        <v>45974.0</v>
      </c>
      <c r="B690" s="20">
        <v>45974.0</v>
      </c>
      <c r="C690" s="29"/>
      <c r="D690" s="22">
        <v>2357.5</v>
      </c>
      <c r="E690" s="15" t="b">
        <v>0</v>
      </c>
      <c r="F690" s="17" t="s">
        <v>12</v>
      </c>
      <c r="G690" s="17" t="s">
        <v>598</v>
      </c>
      <c r="H690" s="18">
        <f t="shared" si="1"/>
        <v>2357.5</v>
      </c>
      <c r="I690" s="19" t="str">
        <f t="shared" si="3"/>
        <v>BONIFICO SEPADa NEXI Payments Spa TRN 062593461085NPPASU0000000000IT CIPBITMM per PV 1000001228596 ACCREDITO CIRCUITI INTERNAZ. 12112</v>
      </c>
    </row>
    <row r="691">
      <c r="A691" s="20">
        <v>45974.0</v>
      </c>
      <c r="B691" s="20">
        <v>45974.0</v>
      </c>
      <c r="C691" s="29"/>
      <c r="D691" s="22">
        <v>399.42</v>
      </c>
      <c r="E691" s="15" t="b">
        <v>0</v>
      </c>
      <c r="F691" s="17" t="s">
        <v>12</v>
      </c>
      <c r="G691" s="17" t="s">
        <v>599</v>
      </c>
      <c r="H691" s="18">
        <f t="shared" si="1"/>
        <v>399.42</v>
      </c>
      <c r="I691" s="19" t="str">
        <f t="shared" si="3"/>
        <v>BONIFICO SEPADa Scalapay IP S.p.a. TRN 3601825111304495320429432063959-008 CBPSIT31XXX per 2025-11-12 - GEOS S SDRL - Scalapay IP S.p</v>
      </c>
    </row>
    <row r="692">
      <c r="A692" s="20">
        <v>45974.0</v>
      </c>
      <c r="B692" s="20">
        <v>45974.0</v>
      </c>
      <c r="C692" s="21"/>
      <c r="D692" s="22">
        <v>2074.0</v>
      </c>
      <c r="E692" s="15" t="b">
        <v>0</v>
      </c>
      <c r="F692" s="17" t="s">
        <v>12</v>
      </c>
      <c r="G692" s="17" t="s">
        <v>600</v>
      </c>
      <c r="H692" s="18">
        <f t="shared" si="1"/>
        <v>2074</v>
      </c>
      <c r="I692" s="19" t="str">
        <f t="shared" si="3"/>
        <v>BONIFICO SEPADa NEW WAVE S.R.L. TRN 1101253160196489 UNCRITMM per SALDO FATT. 363-403-433/2025</v>
      </c>
    </row>
    <row r="693">
      <c r="A693" s="23">
        <v>45974.0</v>
      </c>
      <c r="B693" s="23">
        <v>45974.0</v>
      </c>
      <c r="C693" s="21"/>
      <c r="D693" s="22">
        <v>146.0</v>
      </c>
      <c r="E693" s="15" t="b">
        <v>0</v>
      </c>
      <c r="F693" s="17" t="s">
        <v>12</v>
      </c>
      <c r="G693" s="17" t="s">
        <v>601</v>
      </c>
      <c r="H693" s="18">
        <f t="shared" si="1"/>
        <v>146</v>
      </c>
      <c r="I693" s="19" t="str">
        <f t="shared" si="3"/>
        <v>BONIFICO SEPADa ENCANTO CLUB LATINO ASS NE SPOR VA TRN 0306906644455710S90960609606IT BCITITMMXXX per FT 627 11/11 + Saldo FT 405</v>
      </c>
    </row>
    <row r="694">
      <c r="A694" s="23">
        <v>45973.0</v>
      </c>
      <c r="B694" s="23">
        <v>45973.0</v>
      </c>
      <c r="C694" s="21">
        <v>-4759.34</v>
      </c>
      <c r="D694" s="22"/>
      <c r="E694" s="15" t="b">
        <v>1</v>
      </c>
      <c r="F694" s="17" t="s">
        <v>12</v>
      </c>
      <c r="G694" s="17" t="s">
        <v>602</v>
      </c>
      <c r="H694" s="18">
        <f t="shared" si="1"/>
        <v>-4759.34</v>
      </c>
      <c r="I694" s="19" t="str">
        <f t="shared" si="3"/>
        <v>BONIFICO SEPADistinta: 17629348652150JKJDEF</v>
      </c>
    </row>
    <row r="695">
      <c r="A695" s="23">
        <v>45973.0</v>
      </c>
      <c r="B695" s="23">
        <v>45973.0</v>
      </c>
      <c r="C695" s="21"/>
      <c r="D695" s="22">
        <v>254.0</v>
      </c>
      <c r="E695" s="15" t="b">
        <v>0</v>
      </c>
      <c r="F695" s="17" t="s">
        <v>12</v>
      </c>
      <c r="G695" s="17" t="s">
        <v>603</v>
      </c>
      <c r="H695" s="18">
        <f t="shared" si="1"/>
        <v>254</v>
      </c>
      <c r="I695" s="19" t="str">
        <f t="shared" si="3"/>
        <v>BONIFICO SEPADa NEXI Payments Spa TRN 062490383075NPPASU0000000000IT CIPBITMM per PV 1000001228637 ACCREDITO CIRCUITI INTERNAZ. 11112</v>
      </c>
    </row>
    <row r="696">
      <c r="A696" s="23">
        <v>45973.0</v>
      </c>
      <c r="B696" s="23">
        <v>45973.0</v>
      </c>
      <c r="C696" s="21"/>
      <c r="D696" s="22">
        <v>1152.5</v>
      </c>
      <c r="E696" s="15" t="b">
        <v>0</v>
      </c>
      <c r="F696" s="17" t="s">
        <v>12</v>
      </c>
      <c r="G696" s="17" t="s">
        <v>604</v>
      </c>
      <c r="H696" s="18">
        <f t="shared" si="1"/>
        <v>1152.5</v>
      </c>
      <c r="I696" s="19" t="str">
        <f t="shared" si="3"/>
        <v>BONIFICO SEPADa NEXI Payments Spa TRN 062490769035NPPASU0000000000IT CIPBITMM per PV 1000001228596 ACCREDITO CIRCUITI INTERNAZ. 11112</v>
      </c>
    </row>
    <row r="697">
      <c r="A697" s="20">
        <v>45973.0</v>
      </c>
      <c r="B697" s="20">
        <v>45973.0</v>
      </c>
      <c r="C697" s="25"/>
      <c r="D697" s="22">
        <v>60.0</v>
      </c>
      <c r="E697" s="15" t="b">
        <v>0</v>
      </c>
      <c r="F697" s="17" t="s">
        <v>12</v>
      </c>
      <c r="G697" s="17" t="s">
        <v>605</v>
      </c>
      <c r="H697" s="18">
        <f t="shared" si="1"/>
        <v>60</v>
      </c>
      <c r="I697" s="19" t="str">
        <f t="shared" si="3"/>
        <v>BONIFICO SEPADa NEXI Payments Spa TRN 062490780015NPPASU0000000000IT CIPBITMM per PV 1000001228596 ACCREDITO BANCOMAT 111125 RIF 9913</v>
      </c>
    </row>
    <row r="698">
      <c r="A698" s="23"/>
      <c r="B698" s="23"/>
      <c r="C698" s="21"/>
      <c r="D698" s="22"/>
      <c r="E698" s="15" t="b">
        <v>0</v>
      </c>
      <c r="F698" s="17"/>
      <c r="G698" s="17"/>
      <c r="H698" s="18">
        <f t="shared" si="1"/>
        <v>0</v>
      </c>
      <c r="I698" s="19" t="str">
        <f t="shared" si="3"/>
        <v/>
      </c>
    </row>
    <row r="699">
      <c r="A699" s="23"/>
      <c r="B699" s="23"/>
      <c r="C699" s="21"/>
      <c r="D699" s="22"/>
      <c r="E699" s="15" t="b">
        <v>0</v>
      </c>
      <c r="F699" s="17"/>
      <c r="G699" s="17"/>
      <c r="H699" s="18">
        <f t="shared" si="1"/>
        <v>0</v>
      </c>
      <c r="I699" s="19" t="str">
        <f t="shared" si="3"/>
        <v/>
      </c>
    </row>
    <row r="700">
      <c r="A700" s="20">
        <v>45973.0</v>
      </c>
      <c r="B700" s="20">
        <v>45973.0</v>
      </c>
      <c r="C700" s="29"/>
      <c r="D700" s="22">
        <v>174.2</v>
      </c>
      <c r="E700" s="15" t="b">
        <v>0</v>
      </c>
      <c r="F700" s="17" t="s">
        <v>28</v>
      </c>
      <c r="G700" s="17" t="s">
        <v>606</v>
      </c>
      <c r="H700" s="18">
        <f t="shared" si="1"/>
        <v>174.2</v>
      </c>
      <c r="I700" s="19" t="str">
        <f t="shared" si="3"/>
        <v>BONIFICODa Satispay Europe S.A. TRN e20da1be9aa64bd8976abb9c31126975 SATYLUL1XXX per Geos ssdr</v>
      </c>
    </row>
    <row r="701">
      <c r="A701" s="20">
        <v>45973.0</v>
      </c>
      <c r="B701" s="23">
        <v>45973.0</v>
      </c>
      <c r="C701" s="21"/>
      <c r="D701" s="22">
        <v>956.88</v>
      </c>
      <c r="E701" s="15" t="b">
        <v>0</v>
      </c>
      <c r="F701" s="17" t="s">
        <v>12</v>
      </c>
      <c r="G701" s="17" t="s">
        <v>607</v>
      </c>
      <c r="H701" s="18">
        <f t="shared" si="1"/>
        <v>956.88</v>
      </c>
      <c r="I701" s="19" t="str">
        <f t="shared" si="3"/>
        <v>BONIFICO SEPADa Scalapay IP S.p.a. TRN 3601825111204500724955525803823-008 CBPSIT31XXX per 2025-11-11 - GEOS S SDRL - Scalapay IP S.p</v>
      </c>
    </row>
    <row r="702">
      <c r="A702" s="20">
        <v>45972.0</v>
      </c>
      <c r="B702" s="23">
        <v>45972.0</v>
      </c>
      <c r="C702" s="21">
        <v>-557.8</v>
      </c>
      <c r="D702" s="22"/>
      <c r="E702" s="15" t="b">
        <v>1</v>
      </c>
      <c r="F702" s="17" t="s">
        <v>12</v>
      </c>
      <c r="G702" s="17" t="s">
        <v>608</v>
      </c>
      <c r="H702" s="18">
        <f t="shared" si="1"/>
        <v>-557.8</v>
      </c>
      <c r="I702" s="19" t="str">
        <f t="shared" si="3"/>
        <v>BONIFICO SEPADistinta: 176278372900206JMDEF</v>
      </c>
    </row>
    <row r="703">
      <c r="A703" s="20">
        <v>45972.0</v>
      </c>
      <c r="B703" s="20">
        <v>45972.0</v>
      </c>
      <c r="C703" s="21">
        <v>-300.66</v>
      </c>
      <c r="D703" s="32"/>
      <c r="E703" s="15" t="b">
        <v>1</v>
      </c>
      <c r="F703" s="17" t="s">
        <v>12</v>
      </c>
      <c r="G703" s="17" t="s">
        <v>609</v>
      </c>
      <c r="H703" s="18">
        <f t="shared" si="1"/>
        <v>-300.66</v>
      </c>
      <c r="I703" s="19" t="str">
        <f t="shared" si="3"/>
        <v>BONIFICO SEPADistinta: 176278293881306FLDEF</v>
      </c>
    </row>
    <row r="704">
      <c r="A704" s="20">
        <v>45972.0</v>
      </c>
      <c r="B704" s="20">
        <v>45972.0</v>
      </c>
      <c r="C704" s="21"/>
      <c r="D704" s="22">
        <v>32.0</v>
      </c>
      <c r="E704" s="15" t="b">
        <v>0</v>
      </c>
      <c r="F704" s="17" t="s">
        <v>12</v>
      </c>
      <c r="G704" s="17" t="s">
        <v>610</v>
      </c>
      <c r="H704" s="18">
        <f t="shared" si="1"/>
        <v>32</v>
      </c>
      <c r="I704" s="19" t="str">
        <f t="shared" si="3"/>
        <v>BONIFICO SEPADa NEXI Payments Spa TRN 062371188095NPPASU0000000000IT CIPBITMM per PV 1000001228637 ACCREDITO CIRCUITI INTERNAZ. 10112</v>
      </c>
    </row>
    <row r="705">
      <c r="A705" s="20">
        <v>45972.0</v>
      </c>
      <c r="B705" s="20">
        <v>45972.0</v>
      </c>
      <c r="C705" s="21"/>
      <c r="D705" s="22">
        <v>472.5</v>
      </c>
      <c r="E705" s="15" t="b">
        <v>0</v>
      </c>
      <c r="F705" s="17" t="s">
        <v>12</v>
      </c>
      <c r="G705" s="17" t="s">
        <v>611</v>
      </c>
      <c r="H705" s="18">
        <f t="shared" si="1"/>
        <v>472.5</v>
      </c>
      <c r="I705" s="19" t="str">
        <f t="shared" si="3"/>
        <v>BONIFICO SEPADa NEXI Payments Spa TRN 062370284025NPPASU0000000000IT CIPBITMM per PV 1000001228596 ACCREDITO BANCOMAT 101125 RIF 9899</v>
      </c>
    </row>
    <row r="706">
      <c r="A706" s="20">
        <v>45972.0</v>
      </c>
      <c r="B706" s="20">
        <v>45972.0</v>
      </c>
      <c r="C706" s="21"/>
      <c r="D706" s="22">
        <v>1553.5</v>
      </c>
      <c r="E706" s="15" t="b">
        <v>0</v>
      </c>
      <c r="F706" s="17" t="s">
        <v>12</v>
      </c>
      <c r="G706" s="17" t="s">
        <v>612</v>
      </c>
      <c r="H706" s="18">
        <f t="shared" si="1"/>
        <v>1553.5</v>
      </c>
      <c r="I706" s="19" t="str">
        <f t="shared" si="3"/>
        <v>BONIFICO SEPADa NEXI Payments Spa TRN 062370277085NPPASU0000000000IT CIPBITMM per PV 1000001228596 ACCREDITO CIRCUITI INTERNAZ. 10112</v>
      </c>
    </row>
    <row r="707">
      <c r="A707" s="20">
        <v>45972.0</v>
      </c>
      <c r="B707" s="20">
        <v>45972.0</v>
      </c>
      <c r="C707" s="29"/>
      <c r="D707" s="22">
        <v>188.8</v>
      </c>
      <c r="E707" s="15" t="b">
        <v>0</v>
      </c>
      <c r="F707" s="17" t="s">
        <v>12</v>
      </c>
      <c r="G707" s="17" t="s">
        <v>613</v>
      </c>
      <c r="H707" s="18">
        <f t="shared" si="1"/>
        <v>188.8</v>
      </c>
      <c r="I707" s="19" t="str">
        <f t="shared" si="3"/>
        <v>BONIFICO SEPADa Scalapay IP S.p.a. TRN 3601825111104500808085208774254-008 CBPSIT31XXX per 2025-11-10 - GEOS S SDRL - Scalapay IP S.p</v>
      </c>
    </row>
    <row r="708">
      <c r="A708" s="20">
        <v>45972.0</v>
      </c>
      <c r="B708" s="20">
        <v>45972.0</v>
      </c>
      <c r="C708" s="29"/>
      <c r="D708" s="22">
        <v>76.55</v>
      </c>
      <c r="E708" s="15" t="b">
        <v>0</v>
      </c>
      <c r="F708" s="17" t="s">
        <v>28</v>
      </c>
      <c r="G708" s="17" t="s">
        <v>614</v>
      </c>
      <c r="H708" s="18">
        <f t="shared" si="1"/>
        <v>76.55</v>
      </c>
      <c r="I708" s="19" t="str">
        <f t="shared" si="3"/>
        <v>BONIFICODa Satispay Europe S.A. TRN 2fe24ab331504f52ac64befbe6b863f6 SATYLUL1XXX per Geos ssdr</v>
      </c>
    </row>
    <row r="709">
      <c r="A709" s="20">
        <v>45971.0</v>
      </c>
      <c r="B709" s="20">
        <v>45971.0</v>
      </c>
      <c r="C709" s="21">
        <v>-500.0</v>
      </c>
      <c r="D709" s="22"/>
      <c r="E709" s="15" t="b">
        <v>1</v>
      </c>
      <c r="F709" s="17" t="s">
        <v>12</v>
      </c>
      <c r="G709" s="17" t="s">
        <v>615</v>
      </c>
      <c r="H709" s="18">
        <f t="shared" si="1"/>
        <v>-500</v>
      </c>
      <c r="I709" s="19" t="str">
        <f t="shared" si="3"/>
        <v>BONIFICO SEPADistinta: 176276535964101D9DEF</v>
      </c>
    </row>
    <row r="710">
      <c r="A710" s="23">
        <v>45971.0</v>
      </c>
      <c r="B710" s="23">
        <v>45971.0</v>
      </c>
      <c r="C710" s="21"/>
      <c r="D710" s="22">
        <v>217.0</v>
      </c>
      <c r="E710" s="15" t="b">
        <v>0</v>
      </c>
      <c r="F710" s="17" t="s">
        <v>12</v>
      </c>
      <c r="G710" s="17" t="s">
        <v>616</v>
      </c>
      <c r="H710" s="18">
        <f t="shared" si="1"/>
        <v>217</v>
      </c>
      <c r="I710" s="19" t="str">
        <f t="shared" si="3"/>
        <v>BONIFICO SEPADa NEXI Payments Spa TRN 062136490005NPPASU0000000000IT CIPBITMM per PV 1000001228637 ACCREDITO CIRCUITI INTERNAZ. 07112</v>
      </c>
    </row>
    <row r="711">
      <c r="A711" s="23">
        <v>45971.0</v>
      </c>
      <c r="B711" s="23">
        <v>45971.0</v>
      </c>
      <c r="C711" s="21"/>
      <c r="D711" s="22">
        <v>15.0</v>
      </c>
      <c r="E711" s="15" t="b">
        <v>0</v>
      </c>
      <c r="F711" s="17" t="s">
        <v>12</v>
      </c>
      <c r="G711" s="17" t="s">
        <v>617</v>
      </c>
      <c r="H711" s="18">
        <f t="shared" si="1"/>
        <v>15</v>
      </c>
      <c r="I711" s="19" t="str">
        <f t="shared" si="3"/>
        <v>BONIFICO SEPADa NEXI Payments Spa TRN 062300651105NPPASU0000000000IT CIPBITMM per PV 1000001228596 ACCREDITO BANCOMAT 091125 RIF 9886</v>
      </c>
    </row>
    <row r="712">
      <c r="A712" s="23">
        <v>45971.0</v>
      </c>
      <c r="B712" s="23">
        <v>45971.0</v>
      </c>
      <c r="C712" s="21"/>
      <c r="D712" s="22">
        <v>101.0</v>
      </c>
      <c r="E712" s="15" t="b">
        <v>0</v>
      </c>
      <c r="F712" s="17" t="s">
        <v>12</v>
      </c>
      <c r="G712" s="17" t="s">
        <v>618</v>
      </c>
      <c r="H712" s="18">
        <f t="shared" si="1"/>
        <v>101</v>
      </c>
      <c r="I712" s="19" t="str">
        <f t="shared" si="3"/>
        <v>BONIFICO SEPADa NEXI Payments Spa TRN 062300613115NPPASU0000000000IT CIPBITMM per PV 1000001228637 ACCREDITO CIRCUITI INTERNAZ. 09112</v>
      </c>
    </row>
    <row r="713">
      <c r="A713" s="23">
        <v>45971.0</v>
      </c>
      <c r="B713" s="23">
        <v>45971.0</v>
      </c>
      <c r="C713" s="21"/>
      <c r="D713" s="22">
        <v>1417.5</v>
      </c>
      <c r="E713" s="15" t="b">
        <v>0</v>
      </c>
      <c r="F713" s="17" t="s">
        <v>12</v>
      </c>
      <c r="G713" s="17" t="s">
        <v>619</v>
      </c>
      <c r="H713" s="18">
        <f t="shared" si="1"/>
        <v>1417.5</v>
      </c>
      <c r="I713" s="19" t="str">
        <f t="shared" si="3"/>
        <v>BONIFICO SEPADa NEXI Payments Spa TRN 062138591085NPPASU0000000000IT CIPBITMM per PV 1000001228596 ACCREDITO CIRCUITI INTERNAZ. 07112</v>
      </c>
    </row>
    <row r="714">
      <c r="A714" s="20">
        <v>45971.0</v>
      </c>
      <c r="B714" s="20">
        <v>45971.0</v>
      </c>
      <c r="C714" s="25"/>
      <c r="D714" s="22">
        <v>329.0</v>
      </c>
      <c r="E714" s="15" t="b">
        <v>0</v>
      </c>
      <c r="F714" s="17" t="s">
        <v>12</v>
      </c>
      <c r="G714" s="17" t="s">
        <v>620</v>
      </c>
      <c r="H714" s="18">
        <f t="shared" si="1"/>
        <v>329</v>
      </c>
      <c r="I714" s="19" t="str">
        <f t="shared" si="3"/>
        <v>BONIFICO SEPADa NEXI Payments Spa TRN 062230935005NPPASU0000000000IT CIPBITMM per PV 1000001228637 ACCREDITO CIRCUITI INTERNAZ. 08112</v>
      </c>
    </row>
    <row r="715">
      <c r="A715" s="20">
        <v>45971.0</v>
      </c>
      <c r="B715" s="20">
        <v>45971.0</v>
      </c>
      <c r="C715" s="25"/>
      <c r="D715" s="22">
        <v>1231.0</v>
      </c>
      <c r="E715" s="15" t="b">
        <v>0</v>
      </c>
      <c r="F715" s="17" t="s">
        <v>12</v>
      </c>
      <c r="G715" s="17" t="s">
        <v>621</v>
      </c>
      <c r="H715" s="18">
        <f t="shared" si="1"/>
        <v>1231</v>
      </c>
      <c r="I715" s="19" t="str">
        <f t="shared" si="3"/>
        <v>BONIFICO SEPADa NEXI Payments Spa TRN 062230042045NPPASU0000000000IT CIPBITMM per PV 1000001228596 ACCREDITO CIRCUITI INTERNAZ. 08112</v>
      </c>
    </row>
    <row r="716">
      <c r="A716" s="20">
        <v>45971.0</v>
      </c>
      <c r="B716" s="20">
        <v>45971.0</v>
      </c>
      <c r="C716" s="25"/>
      <c r="D716" s="22">
        <v>1328.27</v>
      </c>
      <c r="E716" s="15" t="b">
        <v>0</v>
      </c>
      <c r="F716" s="17" t="s">
        <v>12</v>
      </c>
      <c r="G716" s="17" t="s">
        <v>622</v>
      </c>
      <c r="H716" s="18">
        <f t="shared" si="1"/>
        <v>1328.27</v>
      </c>
      <c r="I716" s="19" t="str">
        <f t="shared" si="3"/>
        <v>BONIFICO SEPADa Scalapay IP S.p.a. TRN 3601825111004505070273909724436-008 CBPSIT31XXX per 2025-11-09 - GEOS S SDRL - Scalapay IP S.p</v>
      </c>
    </row>
    <row r="717">
      <c r="A717" s="20">
        <v>45971.0</v>
      </c>
      <c r="B717" s="20">
        <v>45971.0</v>
      </c>
      <c r="C717" s="25"/>
      <c r="D717" s="22">
        <v>335.0</v>
      </c>
      <c r="E717" s="15" t="b">
        <v>0</v>
      </c>
      <c r="F717" s="17" t="s">
        <v>12</v>
      </c>
      <c r="G717" s="17" t="s">
        <v>623</v>
      </c>
      <c r="H717" s="18">
        <f t="shared" si="1"/>
        <v>335</v>
      </c>
      <c r="I717" s="19" t="str">
        <f t="shared" si="3"/>
        <v>BONIFICO SEPADa NEXI Payments Spa TRN 062230052015NPPASU0000000000IT CIPBITMM per PV 1000001228596 ACCREDITO BANCOMAT 081125 RIF 9876</v>
      </c>
    </row>
    <row r="718">
      <c r="A718" s="23"/>
      <c r="B718" s="23"/>
      <c r="C718" s="21"/>
      <c r="D718" s="22"/>
      <c r="E718" s="15" t="b">
        <v>0</v>
      </c>
      <c r="F718" s="17"/>
      <c r="G718" s="17"/>
      <c r="H718" s="18">
        <f t="shared" si="1"/>
        <v>0</v>
      </c>
      <c r="I718" s="19" t="str">
        <f t="shared" si="3"/>
        <v/>
      </c>
    </row>
    <row r="719">
      <c r="A719" s="23"/>
      <c r="B719" s="23"/>
      <c r="C719" s="21"/>
      <c r="D719" s="22"/>
      <c r="E719" s="15" t="b">
        <v>0</v>
      </c>
      <c r="F719" s="17"/>
      <c r="G719" s="17"/>
      <c r="H719" s="18">
        <f t="shared" si="1"/>
        <v>0</v>
      </c>
      <c r="I719" s="19" t="str">
        <f t="shared" si="3"/>
        <v/>
      </c>
    </row>
    <row r="720">
      <c r="A720" s="23"/>
      <c r="B720" s="23"/>
      <c r="C720" s="21"/>
      <c r="D720" s="22"/>
      <c r="E720" s="15" t="b">
        <v>0</v>
      </c>
      <c r="F720" s="17"/>
      <c r="G720" s="17"/>
      <c r="H720" s="18">
        <f t="shared" si="1"/>
        <v>0</v>
      </c>
      <c r="I720" s="19" t="str">
        <f t="shared" si="3"/>
        <v/>
      </c>
    </row>
    <row r="721">
      <c r="A721" s="20">
        <v>45971.0</v>
      </c>
      <c r="B721" s="20">
        <v>45971.0</v>
      </c>
      <c r="C721" s="29"/>
      <c r="D721" s="22">
        <v>51.6</v>
      </c>
      <c r="E721" s="15" t="b">
        <v>0</v>
      </c>
      <c r="F721" s="17" t="s">
        <v>28</v>
      </c>
      <c r="G721" s="17" t="s">
        <v>624</v>
      </c>
      <c r="H721" s="18">
        <f t="shared" si="1"/>
        <v>51.6</v>
      </c>
      <c r="I721" s="19" t="str">
        <f t="shared" si="3"/>
        <v>BONIFICODa Satispay Europe S.A. TRN 0d03697bd9a240fbb26f67e36c5ae98d SATYLUL1XXX per Geos ssdr</v>
      </c>
    </row>
    <row r="722">
      <c r="A722" s="20">
        <v>45968.0</v>
      </c>
      <c r="B722" s="20">
        <v>45968.0</v>
      </c>
      <c r="C722" s="29"/>
      <c r="D722" s="22">
        <v>467.5</v>
      </c>
      <c r="E722" s="15" t="b">
        <v>0</v>
      </c>
      <c r="F722" s="17" t="s">
        <v>12</v>
      </c>
      <c r="G722" s="17" t="s">
        <v>625</v>
      </c>
      <c r="H722" s="18">
        <f t="shared" si="1"/>
        <v>467.5</v>
      </c>
      <c r="I722" s="19" t="str">
        <f t="shared" si="3"/>
        <v>BONIFICO SEPADa NEXI Payments Spa TRN 062028217045NPPASU0000000000IT CIPBITMM per PV 1000001228596 ACCREDITO CIRCUITI INTERNAZ. 06112</v>
      </c>
    </row>
    <row r="723">
      <c r="A723" s="20">
        <v>45968.0</v>
      </c>
      <c r="B723" s="20">
        <v>45968.0</v>
      </c>
      <c r="C723" s="29"/>
      <c r="D723" s="22">
        <v>109.0</v>
      </c>
      <c r="E723" s="15" t="b">
        <v>0</v>
      </c>
      <c r="F723" s="17" t="s">
        <v>12</v>
      </c>
      <c r="G723" s="17" t="s">
        <v>626</v>
      </c>
      <c r="H723" s="18">
        <f t="shared" si="1"/>
        <v>109</v>
      </c>
      <c r="I723" s="19" t="str">
        <f t="shared" si="3"/>
        <v>BONIFICO SEPADa NEXI Payments Spa TRN 062023899025NPPASU0000000000IT CIPBITMM per PV 1000001228637 ACCREDITO CIRCUITI INTERNAZ. 06112</v>
      </c>
    </row>
    <row r="724">
      <c r="A724" s="20">
        <v>45968.0</v>
      </c>
      <c r="B724" s="20">
        <v>45968.0</v>
      </c>
      <c r="C724" s="29"/>
      <c r="D724" s="22">
        <v>20.0</v>
      </c>
      <c r="E724" s="15" t="b">
        <v>0</v>
      </c>
      <c r="F724" s="17" t="s">
        <v>12</v>
      </c>
      <c r="G724" s="17" t="s">
        <v>627</v>
      </c>
      <c r="H724" s="18">
        <f t="shared" si="1"/>
        <v>20</v>
      </c>
      <c r="I724" s="19" t="str">
        <f t="shared" si="3"/>
        <v>BONIFICO SEPADa NEXI Payments Spa TRN 062028230045NPPASU0000000000IT CIPBITMM per PV 1000001228596 ACCREDITO BANCOMAT 061125 RIF 9844</v>
      </c>
    </row>
    <row r="725">
      <c r="A725" s="23"/>
      <c r="B725" s="23"/>
      <c r="C725" s="21"/>
      <c r="D725" s="22"/>
      <c r="E725" s="15" t="b">
        <v>0</v>
      </c>
      <c r="F725" s="17"/>
      <c r="G725" s="17"/>
      <c r="H725" s="18">
        <f t="shared" si="1"/>
        <v>0</v>
      </c>
      <c r="I725" s="19" t="str">
        <f t="shared" si="3"/>
        <v/>
      </c>
    </row>
    <row r="726">
      <c r="A726" s="23"/>
      <c r="B726" s="23"/>
      <c r="C726" s="21"/>
      <c r="D726" s="22"/>
      <c r="E726" s="15" t="b">
        <v>0</v>
      </c>
      <c r="F726" s="17"/>
      <c r="G726" s="17"/>
      <c r="H726" s="18">
        <f t="shared" si="1"/>
        <v>0</v>
      </c>
      <c r="I726" s="19" t="str">
        <f t="shared" si="3"/>
        <v/>
      </c>
    </row>
    <row r="727">
      <c r="A727" s="20">
        <v>45968.0</v>
      </c>
      <c r="B727" s="20">
        <v>45968.0</v>
      </c>
      <c r="C727" s="29"/>
      <c r="D727" s="22">
        <v>402.2</v>
      </c>
      <c r="E727" s="15" t="b">
        <v>0</v>
      </c>
      <c r="F727" s="17" t="s">
        <v>12</v>
      </c>
      <c r="G727" s="17" t="s">
        <v>628</v>
      </c>
      <c r="H727" s="18">
        <f t="shared" si="1"/>
        <v>402.2</v>
      </c>
      <c r="I727" s="19" t="str">
        <f t="shared" si="3"/>
        <v>BONIFICO SEPADa Scalapay IP S.p.a. TRN 3601825110704524529368812978431-008 CBPSIT31XXX per 2025-11-06 - GEOS S SDRL - Scalapay IP S.p</v>
      </c>
    </row>
    <row r="728">
      <c r="A728" s="20">
        <v>45968.0</v>
      </c>
      <c r="B728" s="20">
        <v>45968.0</v>
      </c>
      <c r="C728" s="29"/>
      <c r="D728" s="22">
        <v>122.0</v>
      </c>
      <c r="E728" s="15" t="b">
        <v>0</v>
      </c>
      <c r="F728" s="17" t="s">
        <v>12</v>
      </c>
      <c r="G728" s="17" t="s">
        <v>629</v>
      </c>
      <c r="H728" s="18">
        <f t="shared" si="1"/>
        <v>122</v>
      </c>
      <c r="I728" s="19" t="str">
        <f t="shared" si="3"/>
        <v>BONIFICO SEPADa ENCANTO CLUB LATINO ASS NE SPOR VA TRN 0306906469117503S90960609606IT BCITITMMXXX per Pagamento FT 554 del 05/11/25</v>
      </c>
    </row>
    <row r="729">
      <c r="A729" s="20">
        <v>45967.0</v>
      </c>
      <c r="B729" s="20">
        <v>45967.0</v>
      </c>
      <c r="C729" s="29"/>
      <c r="D729" s="22">
        <v>402.2</v>
      </c>
      <c r="E729" s="15" t="b">
        <v>0</v>
      </c>
      <c r="F729" s="17" t="s">
        <v>12</v>
      </c>
      <c r="G729" s="17" t="s">
        <v>630</v>
      </c>
      <c r="H729" s="18">
        <f t="shared" si="1"/>
        <v>402.2</v>
      </c>
      <c r="I729" s="19" t="str">
        <f t="shared" si="3"/>
        <v>BONIFICO SEPADa Scalapay IP S.p.a. TRN 3601825110604500125439114074783-008 CBPSIT31XXX per 2025-11-05 - GEOS S SDRL - Scalapay IP S.p</v>
      </c>
    </row>
    <row r="730">
      <c r="A730" s="20">
        <v>45967.0</v>
      </c>
      <c r="B730" s="20">
        <v>45967.0</v>
      </c>
      <c r="C730" s="29"/>
      <c r="D730" s="22">
        <v>1665.0</v>
      </c>
      <c r="E730" s="15" t="b">
        <v>0</v>
      </c>
      <c r="F730" s="17" t="s">
        <v>12</v>
      </c>
      <c r="G730" s="17" t="s">
        <v>631</v>
      </c>
      <c r="H730" s="18">
        <f t="shared" si="1"/>
        <v>1665</v>
      </c>
      <c r="I730" s="19" t="str">
        <f t="shared" si="3"/>
        <v>BONIFICO SEPADa NEXI Payments Spa TRN 061915176115NPPASU0000000000IT CIPBITMM per PV 1000001228596 ACCREDITO CIRCUITI INTERNAZ. 05112</v>
      </c>
    </row>
    <row r="731">
      <c r="A731" s="20">
        <v>45967.0</v>
      </c>
      <c r="B731" s="20">
        <v>45967.0</v>
      </c>
      <c r="C731" s="29"/>
      <c r="D731" s="22">
        <v>657.5</v>
      </c>
      <c r="E731" s="15" t="b">
        <v>0</v>
      </c>
      <c r="F731" s="17" t="s">
        <v>12</v>
      </c>
      <c r="G731" s="17" t="s">
        <v>632</v>
      </c>
      <c r="H731" s="18">
        <f t="shared" si="1"/>
        <v>657.5</v>
      </c>
      <c r="I731" s="19" t="str">
        <f t="shared" si="3"/>
        <v>BONIFICO SEPADa NEXI Payments Spa TRN 061915186085NPPASU0000000000IT CIPBITMM per PV 1000001228596 ACCREDITO BANCOMAT 051125 RIF 9829</v>
      </c>
    </row>
    <row r="732">
      <c r="A732" s="20">
        <v>45967.0</v>
      </c>
      <c r="B732" s="20">
        <v>45967.0</v>
      </c>
      <c r="C732" s="29"/>
      <c r="D732" s="22">
        <v>326.0</v>
      </c>
      <c r="E732" s="15" t="b">
        <v>0</v>
      </c>
      <c r="F732" s="17" t="s">
        <v>12</v>
      </c>
      <c r="G732" s="17" t="s">
        <v>633</v>
      </c>
      <c r="H732" s="18">
        <f t="shared" si="1"/>
        <v>326</v>
      </c>
      <c r="I732" s="19" t="str">
        <f t="shared" si="3"/>
        <v>BONIFICO SEPADa NEXI Payments Spa TRN 061916361005NPPASU0000000000IT CIPBITMM per PV 1000001228637 ACCREDITO CIRCUITI INTERNAZ. 05112</v>
      </c>
    </row>
    <row r="733">
      <c r="A733" s="20">
        <v>45967.0</v>
      </c>
      <c r="B733" s="20">
        <v>45967.0</v>
      </c>
      <c r="C733" s="29"/>
      <c r="D733" s="22">
        <v>36.8</v>
      </c>
      <c r="E733" s="15" t="b">
        <v>0</v>
      </c>
      <c r="F733" s="17" t="s">
        <v>28</v>
      </c>
      <c r="G733" s="17" t="s">
        <v>634</v>
      </c>
      <c r="H733" s="18">
        <f t="shared" si="1"/>
        <v>36.8</v>
      </c>
      <c r="I733" s="19" t="str">
        <f t="shared" si="3"/>
        <v>BONIFICODa Satispay Europe S.A. TRN f74b6b04bc55497dbba5a00eb67b6b3b SATYLUL1XXX per Geos ssdr</v>
      </c>
    </row>
    <row r="734">
      <c r="A734" s="20">
        <v>45967.0</v>
      </c>
      <c r="B734" s="23">
        <v>45967.0</v>
      </c>
      <c r="C734" s="21">
        <v>-0.4</v>
      </c>
      <c r="D734" s="32"/>
      <c r="E734" s="15" t="b">
        <v>1</v>
      </c>
      <c r="F734" s="17" t="s">
        <v>101</v>
      </c>
      <c r="G734" s="17" t="s">
        <v>103</v>
      </c>
      <c r="H734" s="18">
        <f t="shared" si="1"/>
        <v>-0.4</v>
      </c>
      <c r="I734" s="19" t="str">
        <f t="shared" si="3"/>
        <v>COMMISSIONI DOMICILIAZIONE (ADDEBITO DIRETTO SEPA)NEXI Payments Spa    CID.IT500540000004107060966             MAN.CL2XV900700884PC0001228636</v>
      </c>
    </row>
    <row r="735">
      <c r="A735" s="20">
        <v>45967.0</v>
      </c>
      <c r="B735" s="23">
        <v>45967.0</v>
      </c>
      <c r="C735" s="21">
        <v>-0.4</v>
      </c>
      <c r="D735" s="32"/>
      <c r="E735" s="15" t="b">
        <v>1</v>
      </c>
      <c r="F735" s="17" t="s">
        <v>101</v>
      </c>
      <c r="G735" s="17" t="s">
        <v>102</v>
      </c>
      <c r="H735" s="18">
        <f t="shared" si="1"/>
        <v>-0.4</v>
      </c>
      <c r="I735" s="19" t="str">
        <f t="shared" si="3"/>
        <v>COMMISSIONI DOMICILIAZIONE (ADDEBITO DIRETTO SEPA)NEXI Payments Spa    CID.IT500540000004107060966             MAN.CL2XV900700799PC0001228595</v>
      </c>
    </row>
    <row r="736">
      <c r="A736" s="20">
        <v>45966.0</v>
      </c>
      <c r="B736" s="20">
        <v>45966.0</v>
      </c>
      <c r="C736" s="21">
        <v>-35.0</v>
      </c>
      <c r="D736" s="32"/>
      <c r="E736" s="15" t="b">
        <v>1</v>
      </c>
      <c r="F736" s="17" t="s">
        <v>12</v>
      </c>
      <c r="G736" s="17" t="s">
        <v>635</v>
      </c>
      <c r="H736" s="18">
        <f t="shared" si="1"/>
        <v>-35</v>
      </c>
      <c r="I736" s="19" t="str">
        <f t="shared" si="3"/>
        <v>BONIFICO SEPADistinta: 176233292516029S2DEF</v>
      </c>
    </row>
    <row r="737">
      <c r="A737" s="20">
        <v>45966.0</v>
      </c>
      <c r="B737" s="20">
        <v>45966.0</v>
      </c>
      <c r="C737" s="21">
        <v>-11953.0</v>
      </c>
      <c r="D737" s="32"/>
      <c r="E737" s="15" t="b">
        <v>1</v>
      </c>
      <c r="F737" s="17" t="s">
        <v>12</v>
      </c>
      <c r="G737" s="17" t="s">
        <v>636</v>
      </c>
      <c r="H737" s="18">
        <f t="shared" si="1"/>
        <v>-11953</v>
      </c>
      <c r="I737" s="19" t="str">
        <f t="shared" si="3"/>
        <v>BONIFICO SEPADistinta: 176234896622135CFDEF</v>
      </c>
    </row>
    <row r="738">
      <c r="A738" s="20">
        <v>45966.0</v>
      </c>
      <c r="B738" s="20">
        <v>45966.0</v>
      </c>
      <c r="C738" s="21">
        <v>-22130.0</v>
      </c>
      <c r="D738" s="32"/>
      <c r="E738" s="15" t="b">
        <v>1</v>
      </c>
      <c r="F738" s="17" t="s">
        <v>12</v>
      </c>
      <c r="G738" s="17" t="s">
        <v>637</v>
      </c>
      <c r="H738" s="18">
        <f t="shared" si="1"/>
        <v>-22130</v>
      </c>
      <c r="I738" s="19" t="str">
        <f t="shared" si="3"/>
        <v>BONIFICO SEPADistinta: 17623474086242F0JDEF</v>
      </c>
    </row>
    <row r="739">
      <c r="A739" s="20">
        <v>45966.0</v>
      </c>
      <c r="B739" s="20">
        <v>45966.0</v>
      </c>
      <c r="C739" s="21">
        <v>-6981.0</v>
      </c>
      <c r="D739" s="32"/>
      <c r="E739" s="15" t="b">
        <v>1</v>
      </c>
      <c r="F739" s="17" t="s">
        <v>12</v>
      </c>
      <c r="G739" s="17" t="s">
        <v>638</v>
      </c>
      <c r="H739" s="18">
        <f t="shared" si="1"/>
        <v>-6981</v>
      </c>
      <c r="I739" s="19" t="str">
        <f t="shared" si="3"/>
        <v>BONIFICO SEPADistinta: 176234791862235AHDEF</v>
      </c>
    </row>
    <row r="740">
      <c r="A740" s="20">
        <v>45966.0</v>
      </c>
      <c r="B740" s="20">
        <v>45966.0</v>
      </c>
      <c r="C740" s="29"/>
      <c r="D740" s="22">
        <v>106.0</v>
      </c>
      <c r="E740" s="15" t="b">
        <v>0</v>
      </c>
      <c r="F740" s="17" t="s">
        <v>12</v>
      </c>
      <c r="G740" s="17" t="s">
        <v>639</v>
      </c>
      <c r="H740" s="18">
        <f t="shared" si="1"/>
        <v>106</v>
      </c>
      <c r="I740" s="19" t="str">
        <f t="shared" si="3"/>
        <v>BONIFICO SEPADa NEXI Payments Spa TRN 061804073065NPPASU0000000000IT CIPBITMM per PV 1000001228637 ACCREDITO CIRCUITI INTERNAZ. 04112</v>
      </c>
    </row>
    <row r="741">
      <c r="A741" s="20">
        <v>45966.0</v>
      </c>
      <c r="B741" s="20">
        <v>45966.0</v>
      </c>
      <c r="C741" s="29"/>
      <c r="D741" s="22">
        <v>387.5</v>
      </c>
      <c r="E741" s="15" t="b">
        <v>0</v>
      </c>
      <c r="F741" s="17" t="s">
        <v>12</v>
      </c>
      <c r="G741" s="17" t="s">
        <v>640</v>
      </c>
      <c r="H741" s="18">
        <f t="shared" si="1"/>
        <v>387.5</v>
      </c>
      <c r="I741" s="19" t="str">
        <f t="shared" si="3"/>
        <v>BONIFICO SEPADa NEXI Payments Spa TRN 061799499085NPPASU0000000000IT CIPBITMM per PV 1000001228596 ACCREDITO BANCOMAT 041125 RIF 9814</v>
      </c>
    </row>
    <row r="742">
      <c r="A742" s="20">
        <v>45966.0</v>
      </c>
      <c r="B742" s="20">
        <v>45966.0</v>
      </c>
      <c r="C742" s="29"/>
      <c r="D742" s="22">
        <v>1345.5</v>
      </c>
      <c r="E742" s="15" t="b">
        <v>0</v>
      </c>
      <c r="F742" s="17" t="s">
        <v>12</v>
      </c>
      <c r="G742" s="17" t="s">
        <v>641</v>
      </c>
      <c r="H742" s="18">
        <f t="shared" si="1"/>
        <v>1345.5</v>
      </c>
      <c r="I742" s="19" t="str">
        <f t="shared" si="3"/>
        <v>BONIFICO SEPADa NEXI Payments Spa TRN 061799490125NPPASU0000000000IT CIPBITMM per PV 1000001228596 ACCREDITO CIRCUITI INTERNAZ. 04112</v>
      </c>
    </row>
    <row r="743">
      <c r="A743" s="23"/>
      <c r="B743" s="23"/>
      <c r="C743" s="21"/>
      <c r="D743" s="22"/>
      <c r="E743" s="15" t="b">
        <v>0</v>
      </c>
      <c r="F743" s="17"/>
      <c r="G743" s="17"/>
      <c r="H743" s="18">
        <f t="shared" si="1"/>
        <v>0</v>
      </c>
      <c r="I743" s="19" t="str">
        <f t="shared" si="3"/>
        <v/>
      </c>
    </row>
    <row r="744">
      <c r="A744" s="30">
        <v>45966.0</v>
      </c>
      <c r="B744" s="43">
        <v>45961.0</v>
      </c>
      <c r="C744" s="29">
        <v>-10.0</v>
      </c>
      <c r="D744" s="32"/>
      <c r="E744" s="15" t="b">
        <v>1</v>
      </c>
      <c r="F744" s="33" t="s">
        <v>108</v>
      </c>
      <c r="G744" s="33" t="s">
        <v>642</v>
      </c>
      <c r="H744" s="18">
        <f t="shared" si="1"/>
        <v>-10</v>
      </c>
      <c r="I744" s="19" t="str">
        <f t="shared" si="3"/>
        <v>TENUTA CONTOADDEBITO RELATIVO AL PERIODO DI OTTOBRE   2025</v>
      </c>
    </row>
    <row r="745">
      <c r="A745" s="30">
        <v>45966.0</v>
      </c>
      <c r="B745" s="43">
        <v>45961.0</v>
      </c>
      <c r="C745" s="29">
        <v>-5.0</v>
      </c>
      <c r="D745" s="32"/>
      <c r="E745" s="15" t="b">
        <v>1</v>
      </c>
      <c r="F745" s="33" t="s">
        <v>110</v>
      </c>
      <c r="G745" s="33" t="s">
        <v>643</v>
      </c>
      <c r="H745" s="18">
        <f t="shared" si="1"/>
        <v>-5</v>
      </c>
      <c r="I745" s="19" t="str">
        <f t="shared" si="3"/>
        <v>CANONE SERVIZIO COLLEGAMENTO TELEMATICOADDEBITO CANONE DEL SERVIZIO BANCOPOSTAIMPRESA ONLINE RELATIVO AL PERIODO OTTOBRE 2025 CONTRATTO N. 0059926216</v>
      </c>
    </row>
    <row r="746">
      <c r="A746" s="30">
        <v>45966.0</v>
      </c>
      <c r="B746" s="30">
        <v>45966.0</v>
      </c>
      <c r="C746" s="29">
        <v>-353.08</v>
      </c>
      <c r="D746" s="32"/>
      <c r="E746" s="15" t="b">
        <v>1</v>
      </c>
      <c r="F746" s="33" t="s">
        <v>112</v>
      </c>
      <c r="G746" s="33" t="s">
        <v>102</v>
      </c>
      <c r="H746" s="18">
        <f t="shared" si="1"/>
        <v>-353.08</v>
      </c>
      <c r="I746" s="19" t="str">
        <f t="shared" si="3"/>
        <v>DOMICILIAZIONE (ADDEBITO DIRETTO SEPA)NEXI Payments Spa    CID.IT500540000004107060966             MAN.CL2XV900700799PC0001228595</v>
      </c>
    </row>
    <row r="747">
      <c r="A747" s="30">
        <v>45966.0</v>
      </c>
      <c r="B747" s="30">
        <v>45966.0</v>
      </c>
      <c r="C747" s="29">
        <v>-123.33</v>
      </c>
      <c r="D747" s="32"/>
      <c r="E747" s="15" t="b">
        <v>1</v>
      </c>
      <c r="F747" s="33" t="s">
        <v>112</v>
      </c>
      <c r="G747" s="33" t="s">
        <v>103</v>
      </c>
      <c r="H747" s="18">
        <f t="shared" si="1"/>
        <v>-123.33</v>
      </c>
      <c r="I747" s="19" t="str">
        <f t="shared" si="3"/>
        <v>DOMICILIAZIONE (ADDEBITO DIRETTO SEPA)NEXI Payments Spa    CID.IT500540000004107060966             MAN.CL2XV900700884PC0001228636</v>
      </c>
    </row>
    <row r="748">
      <c r="A748" s="30">
        <v>45965.0</v>
      </c>
      <c r="B748" s="30">
        <v>45965.0</v>
      </c>
      <c r="C748" s="29">
        <v>-522.08</v>
      </c>
      <c r="D748" s="32"/>
      <c r="E748" s="15" t="b">
        <v>1</v>
      </c>
      <c r="F748" s="33" t="s">
        <v>12</v>
      </c>
      <c r="G748" s="33" t="s">
        <v>644</v>
      </c>
      <c r="H748" s="18">
        <f t="shared" si="1"/>
        <v>-522.08</v>
      </c>
      <c r="I748" s="19" t="str">
        <f t="shared" si="3"/>
        <v>BONIFICO SEPADistinta: 17622427746402ME9DEF</v>
      </c>
    </row>
    <row r="749">
      <c r="A749" s="30">
        <v>45965.0</v>
      </c>
      <c r="B749" s="30">
        <v>45965.0</v>
      </c>
      <c r="C749" s="29">
        <v>-2895.0</v>
      </c>
      <c r="D749" s="32"/>
      <c r="E749" s="15" t="b">
        <v>1</v>
      </c>
      <c r="F749" s="33" t="s">
        <v>12</v>
      </c>
      <c r="G749" s="33" t="s">
        <v>645</v>
      </c>
      <c r="H749" s="18">
        <f t="shared" si="1"/>
        <v>-2895</v>
      </c>
      <c r="I749" s="19" t="str">
        <f t="shared" si="3"/>
        <v>BONIFICO SEPADistinta: 17622455683932N1MDEF</v>
      </c>
    </row>
    <row r="750">
      <c r="A750" s="30">
        <v>45965.0</v>
      </c>
      <c r="B750" s="30">
        <v>45965.0</v>
      </c>
      <c r="C750" s="29">
        <v>-4145.0</v>
      </c>
      <c r="D750" s="32"/>
      <c r="E750" s="15" t="b">
        <v>1</v>
      </c>
      <c r="F750" s="33" t="s">
        <v>12</v>
      </c>
      <c r="G750" s="33" t="s">
        <v>646</v>
      </c>
      <c r="H750" s="18">
        <f t="shared" si="1"/>
        <v>-4145</v>
      </c>
      <c r="I750" s="19" t="str">
        <f t="shared" si="3"/>
        <v>BONIFICO SEPADistinta: 17622436432981V9MDEF</v>
      </c>
    </row>
    <row r="751">
      <c r="A751" s="30">
        <v>45965.0</v>
      </c>
      <c r="B751" s="30">
        <v>45965.0</v>
      </c>
      <c r="C751" s="29">
        <v>-4605.0</v>
      </c>
      <c r="D751" s="32"/>
      <c r="E751" s="15" t="b">
        <v>1</v>
      </c>
      <c r="F751" s="33" t="s">
        <v>12</v>
      </c>
      <c r="G751" s="33" t="s">
        <v>647</v>
      </c>
      <c r="H751" s="18">
        <f t="shared" si="1"/>
        <v>-4605</v>
      </c>
      <c r="I751" s="19" t="str">
        <f t="shared" si="3"/>
        <v>BONIFICO SEPADistinta: 17622447769312N0VDEF</v>
      </c>
    </row>
    <row r="752">
      <c r="A752" s="30">
        <v>45965.0</v>
      </c>
      <c r="B752" s="30">
        <v>45965.0</v>
      </c>
      <c r="C752" s="29">
        <v>-1000.0</v>
      </c>
      <c r="D752" s="32"/>
      <c r="E752" s="15" t="b">
        <v>1</v>
      </c>
      <c r="F752" s="33" t="s">
        <v>12</v>
      </c>
      <c r="G752" s="33" t="s">
        <v>648</v>
      </c>
      <c r="H752" s="18">
        <f t="shared" si="1"/>
        <v>-1000</v>
      </c>
      <c r="I752" s="19" t="str">
        <f t="shared" si="3"/>
        <v>BONIFICO SEPADistinta: 17622426231532MD6DEF</v>
      </c>
    </row>
    <row r="753">
      <c r="A753" s="30">
        <v>45965.0</v>
      </c>
      <c r="B753" s="30">
        <v>45965.0</v>
      </c>
      <c r="C753" s="29"/>
      <c r="D753" s="32">
        <v>228.0</v>
      </c>
      <c r="E753" s="15" t="b">
        <v>0</v>
      </c>
      <c r="F753" s="33" t="s">
        <v>12</v>
      </c>
      <c r="G753" s="33" t="s">
        <v>649</v>
      </c>
      <c r="H753" s="18">
        <f t="shared" si="1"/>
        <v>228</v>
      </c>
      <c r="I753" s="19" t="str">
        <f t="shared" si="3"/>
        <v>BONIFICO SEPADa NEXI Payments Spa TRN 061713258095NPPASU0000000000IT CIPBITMM per PV 1000001228637 ACCREDITO CIRCUITI INTERNAZ. 03112</v>
      </c>
    </row>
    <row r="754">
      <c r="A754" s="30">
        <v>45965.0</v>
      </c>
      <c r="B754" s="30">
        <v>45965.0</v>
      </c>
      <c r="C754" s="29"/>
      <c r="D754" s="32">
        <v>3238.0</v>
      </c>
      <c r="E754" s="15" t="b">
        <v>0</v>
      </c>
      <c r="F754" s="33" t="s">
        <v>12</v>
      </c>
      <c r="G754" s="33" t="s">
        <v>650</v>
      </c>
      <c r="H754" s="18">
        <f t="shared" si="1"/>
        <v>3238</v>
      </c>
      <c r="I754" s="19" t="str">
        <f t="shared" si="3"/>
        <v>BONIFICO SEPADa NEXI Payments Spa TRN 061712513055NPPASU0000000000IT CIPBITMM per PV 1000001228596 ACCREDITO CIRCUITI INTERNAZ. 03112</v>
      </c>
    </row>
    <row r="755">
      <c r="A755" s="30">
        <v>45965.0</v>
      </c>
      <c r="B755" s="30">
        <v>45965.0</v>
      </c>
      <c r="C755" s="29"/>
      <c r="D755" s="32">
        <v>785.04</v>
      </c>
      <c r="E755" s="15" t="b">
        <v>0</v>
      </c>
      <c r="F755" s="33" t="s">
        <v>12</v>
      </c>
      <c r="G755" s="33" t="s">
        <v>651</v>
      </c>
      <c r="H755" s="18">
        <f t="shared" si="1"/>
        <v>785.04</v>
      </c>
      <c r="I755" s="19" t="str">
        <f t="shared" si="3"/>
        <v>BONIFICO SEPADa Scalapay IP S.p.a. TRN 3601825110404495987676449887117-008 CBPSIT31XXX per 2025-11-03 - GEOS S SDRL - Scalapay IP S.p</v>
      </c>
    </row>
    <row r="756">
      <c r="A756" s="30">
        <v>45965.0</v>
      </c>
      <c r="B756" s="43">
        <v>45961.0</v>
      </c>
      <c r="C756" s="29">
        <v>-432.0</v>
      </c>
      <c r="D756" s="32"/>
      <c r="E756" s="15" t="b">
        <v>1</v>
      </c>
      <c r="F756" s="33" t="s">
        <v>123</v>
      </c>
      <c r="G756" s="33" t="s">
        <v>652</v>
      </c>
      <c r="H756" s="18">
        <f t="shared" si="1"/>
        <v>-432</v>
      </c>
      <c r="I756" s="19" t="str">
        <f t="shared" si="3"/>
        <v>PAGAMENTO POSTRIPLES SRL            31/10/2025 11.02 MILANO        Op.687406 carta ****0501</v>
      </c>
    </row>
    <row r="757">
      <c r="A757" s="30">
        <v>45965.0</v>
      </c>
      <c r="B757" s="43">
        <v>45961.0</v>
      </c>
      <c r="C757" s="29">
        <v>-8.49</v>
      </c>
      <c r="D757" s="32"/>
      <c r="E757" s="15" t="b">
        <v>1</v>
      </c>
      <c r="F757" s="33" t="s">
        <v>125</v>
      </c>
      <c r="G757" s="33"/>
      <c r="H757" s="18">
        <f t="shared" si="1"/>
        <v>-8.49</v>
      </c>
      <c r="I757" s="19" t="str">
        <f t="shared" si="3"/>
        <v>IMPOSTA DI BOLLO</v>
      </c>
    </row>
    <row r="758">
      <c r="A758" s="30">
        <v>45964.0</v>
      </c>
      <c r="B758" s="30">
        <v>45964.0</v>
      </c>
      <c r="C758" s="29">
        <v>-4912.94</v>
      </c>
      <c r="D758" s="32"/>
      <c r="E758" s="15" t="b">
        <v>1</v>
      </c>
      <c r="F758" s="33" t="s">
        <v>12</v>
      </c>
      <c r="G758" s="33" t="s">
        <v>653</v>
      </c>
      <c r="H758" s="18">
        <f t="shared" si="1"/>
        <v>-4912.94</v>
      </c>
      <c r="I758" s="19" t="str">
        <f t="shared" si="3"/>
        <v>BONIFICO SEPADistinta: 17621634791771NIRDEF</v>
      </c>
    </row>
    <row r="759">
      <c r="A759" s="30">
        <v>45964.0</v>
      </c>
      <c r="B759" s="30">
        <v>45964.0</v>
      </c>
      <c r="C759" s="29">
        <v>-13075.0</v>
      </c>
      <c r="D759" s="32"/>
      <c r="E759" s="15" t="b">
        <v>1</v>
      </c>
      <c r="F759" s="33" t="s">
        <v>12</v>
      </c>
      <c r="G759" s="33" t="s">
        <v>654</v>
      </c>
      <c r="H759" s="18">
        <f t="shared" si="1"/>
        <v>-13075</v>
      </c>
      <c r="I759" s="19" t="str">
        <f t="shared" si="3"/>
        <v>BONIFICO SEPADistinta: 17621655620921OCCDEF</v>
      </c>
    </row>
    <row r="760">
      <c r="A760" s="30">
        <v>45964.0</v>
      </c>
      <c r="B760" s="30">
        <v>45964.0</v>
      </c>
      <c r="C760" s="29"/>
      <c r="D760" s="32">
        <v>543.0</v>
      </c>
      <c r="E760" s="15" t="b">
        <v>0</v>
      </c>
      <c r="F760" s="33" t="s">
        <v>12</v>
      </c>
      <c r="G760" s="33" t="s">
        <v>655</v>
      </c>
      <c r="H760" s="18">
        <f t="shared" si="1"/>
        <v>543</v>
      </c>
      <c r="I760" s="19" t="str">
        <f t="shared" si="3"/>
        <v>BONIFICO SEPADa NEXI Payments Spa TRN 061508008035NPPASU0000000000IT CIPBITMM per PV 1000001228596 ACCREDITO BANCOMAT 311025 RIF 9763</v>
      </c>
    </row>
    <row r="761">
      <c r="A761" s="30">
        <v>45964.0</v>
      </c>
      <c r="B761" s="30">
        <v>45964.0</v>
      </c>
      <c r="C761" s="29"/>
      <c r="D761" s="32">
        <v>836.0</v>
      </c>
      <c r="E761" s="15" t="b">
        <v>0</v>
      </c>
      <c r="F761" s="33" t="s">
        <v>12</v>
      </c>
      <c r="G761" s="33" t="s">
        <v>656</v>
      </c>
      <c r="H761" s="18">
        <f t="shared" si="1"/>
        <v>836</v>
      </c>
      <c r="I761" s="19" t="str">
        <f t="shared" si="3"/>
        <v>BONIFICO SEPADa NEXI Payments Spa TRN 061508001095NPPASU0000000000IT CIPBITMM per PV 1000001228596 ACCREDITO CIRCUITI INTERNAZ. 31102</v>
      </c>
    </row>
    <row r="762">
      <c r="A762" s="30">
        <v>45964.0</v>
      </c>
      <c r="B762" s="30">
        <v>45964.0</v>
      </c>
      <c r="C762" s="29"/>
      <c r="D762" s="32">
        <v>565.0</v>
      </c>
      <c r="E762" s="15" t="b">
        <v>0</v>
      </c>
      <c r="F762" s="33" t="s">
        <v>12</v>
      </c>
      <c r="G762" s="33" t="s">
        <v>657</v>
      </c>
      <c r="H762" s="18">
        <f t="shared" si="1"/>
        <v>565</v>
      </c>
      <c r="I762" s="19" t="str">
        <f t="shared" si="3"/>
        <v>BONIFICO SEPADa NEXI Payments Spa TRN 061643278085NPPASU0000000000IT CIPBITMM per PV 1000001228637 ACCREDITO CIRCUITI INTERNAZ. 02112</v>
      </c>
    </row>
    <row r="763">
      <c r="A763" s="30">
        <v>45964.0</v>
      </c>
      <c r="B763" s="30">
        <v>45964.0</v>
      </c>
      <c r="C763" s="29"/>
      <c r="D763" s="32">
        <v>148.0</v>
      </c>
      <c r="E763" s="15" t="b">
        <v>0</v>
      </c>
      <c r="F763" s="33" t="s">
        <v>12</v>
      </c>
      <c r="G763" s="33" t="s">
        <v>658</v>
      </c>
      <c r="H763" s="18">
        <f t="shared" si="1"/>
        <v>148</v>
      </c>
      <c r="I763" s="19" t="str">
        <f t="shared" si="3"/>
        <v>BONIFICO SEPADa NEXI Payments Spa TRN 061593968075NPPASU0000000000IT CIPBITMM per PV 1000001228637 ACCREDITO CIRCUITI INTERNAZ. 01112</v>
      </c>
    </row>
    <row r="764">
      <c r="A764" s="30">
        <v>45964.0</v>
      </c>
      <c r="B764" s="30">
        <v>45964.0</v>
      </c>
      <c r="C764" s="29"/>
      <c r="D764" s="32">
        <v>358.0</v>
      </c>
      <c r="E764" s="15" t="b">
        <v>0</v>
      </c>
      <c r="F764" s="17"/>
      <c r="G764" s="33" t="s">
        <v>659</v>
      </c>
      <c r="H764" s="18">
        <f t="shared" si="1"/>
        <v>358</v>
      </c>
      <c r="I764" s="19" t="str">
        <f t="shared" si="3"/>
        <v>Da NEXI Payments Spa TRN 061507225005NPPASU0000000000IT CIPBITMM per PV 1000001228637 ACCREDITO CIRCUITI INTERNAZ. 31102</v>
      </c>
    </row>
    <row r="765">
      <c r="A765" s="23"/>
      <c r="B765" s="23"/>
      <c r="C765" s="21"/>
      <c r="D765" s="22"/>
      <c r="E765" s="15" t="b">
        <v>0</v>
      </c>
      <c r="F765" s="17"/>
      <c r="G765" s="17"/>
      <c r="H765" s="18">
        <f t="shared" si="1"/>
        <v>0</v>
      </c>
      <c r="I765" s="19" t="str">
        <f t="shared" si="3"/>
        <v/>
      </c>
    </row>
    <row r="766">
      <c r="A766" s="20">
        <v>45961.0</v>
      </c>
      <c r="B766" s="20">
        <v>45961.0</v>
      </c>
      <c r="C766" s="29"/>
      <c r="D766" s="22">
        <v>1890.0</v>
      </c>
      <c r="E766" s="15" t="b">
        <v>0</v>
      </c>
      <c r="F766" s="17" t="s">
        <v>12</v>
      </c>
      <c r="G766" s="17" t="s">
        <v>660</v>
      </c>
      <c r="H766" s="18">
        <f t="shared" si="1"/>
        <v>1890</v>
      </c>
      <c r="I766" s="19" t="str">
        <f t="shared" si="3"/>
        <v>BONIFICO SEPADa NEXI Payments Spa TRN 061386355045NPPASU0000000000IT CIPBITMM per PV 1000001228596 ACCREDITO CIRCUITI INTERNAZ. 30102</v>
      </c>
    </row>
    <row r="767">
      <c r="A767" s="20">
        <v>45961.0</v>
      </c>
      <c r="B767" s="20">
        <v>45961.0</v>
      </c>
      <c r="C767" s="21"/>
      <c r="D767" s="22">
        <v>926.1</v>
      </c>
      <c r="E767" s="15" t="b">
        <v>0</v>
      </c>
      <c r="F767" s="17" t="s">
        <v>12</v>
      </c>
      <c r="G767" s="17" t="s">
        <v>661</v>
      </c>
      <c r="H767" s="18">
        <f t="shared" si="1"/>
        <v>926.1</v>
      </c>
      <c r="I767" s="19" t="str">
        <f t="shared" si="3"/>
        <v>BONIFICO SEPADa Scalapay IP S.p.a. TRN 3601825103104505752403956458237-008 CBPSIT31XXX per 2025-10-30 - GEOS S SDRL - Scalapay IP S.p</v>
      </c>
    </row>
    <row r="768">
      <c r="A768" s="20">
        <v>45961.0</v>
      </c>
      <c r="B768" s="20">
        <v>45961.0</v>
      </c>
      <c r="C768" s="21"/>
      <c r="D768" s="22">
        <v>45.0</v>
      </c>
      <c r="E768" s="15" t="b">
        <v>0</v>
      </c>
      <c r="F768" s="17" t="s">
        <v>12</v>
      </c>
      <c r="G768" s="17" t="s">
        <v>662</v>
      </c>
      <c r="H768" s="18">
        <f t="shared" si="1"/>
        <v>45</v>
      </c>
      <c r="I768" s="19" t="str">
        <f t="shared" si="3"/>
        <v>BONIFICO SEPADa NEXI Payments Spa TRN 061386366025NPPASU0000000000IT CIPBITMM per PV 1000001228596 ACCREDITO BANCOMAT 301025 RIF 9739</v>
      </c>
    </row>
    <row r="769">
      <c r="A769" s="20">
        <v>45961.0</v>
      </c>
      <c r="B769" s="20">
        <v>45961.0</v>
      </c>
      <c r="C769" s="38"/>
      <c r="D769" s="22">
        <v>50.0</v>
      </c>
      <c r="E769" s="15" t="b">
        <v>0</v>
      </c>
      <c r="F769" s="17" t="s">
        <v>12</v>
      </c>
      <c r="G769" s="17" t="s">
        <v>663</v>
      </c>
      <c r="H769" s="18">
        <f t="shared" si="1"/>
        <v>50</v>
      </c>
      <c r="I769" s="19" t="str">
        <f t="shared" si="3"/>
        <v>BONIFICO SEPADa NEXI Payments Spa TRN 061387172025NPPASU0000000000IT CIPBITMM per PV 1000001228637 ACCREDITO CIRCUITI INTERNAZ. 30102</v>
      </c>
    </row>
    <row r="770">
      <c r="A770" s="44"/>
      <c r="B770" s="44"/>
      <c r="C770" s="45"/>
      <c r="D770" s="45"/>
      <c r="E770" s="15" t="b">
        <v>0</v>
      </c>
      <c r="F770" s="45"/>
      <c r="G770" s="45"/>
      <c r="H770" s="18">
        <f t="shared" si="1"/>
        <v>0</v>
      </c>
      <c r="I770" s="19" t="str">
        <f t="shared" si="3"/>
        <v/>
      </c>
    </row>
    <row r="771">
      <c r="A771" s="44"/>
      <c r="B771" s="44"/>
      <c r="C771" s="45"/>
      <c r="D771" s="45"/>
      <c r="E771" s="15" t="b">
        <v>0</v>
      </c>
      <c r="F771" s="45"/>
      <c r="G771" s="45"/>
      <c r="H771" s="18">
        <f t="shared" si="1"/>
        <v>0</v>
      </c>
      <c r="I771" s="19" t="str">
        <f t="shared" si="3"/>
        <v/>
      </c>
    </row>
    <row r="772">
      <c r="A772" s="46">
        <v>45960.0</v>
      </c>
      <c r="B772" s="46">
        <v>45960.0</v>
      </c>
      <c r="C772" s="47">
        <v>-5813.0</v>
      </c>
      <c r="D772" s="47"/>
      <c r="E772" s="15" t="b">
        <v>1</v>
      </c>
      <c r="F772" s="47" t="s">
        <v>12</v>
      </c>
      <c r="G772" s="47" t="s">
        <v>664</v>
      </c>
      <c r="H772" s="18">
        <f t="shared" si="1"/>
        <v>-5813</v>
      </c>
      <c r="I772" s="19" t="str">
        <f t="shared" si="3"/>
        <v>BONIFICO SEPADistinta: 176181482991216C5DEF</v>
      </c>
    </row>
    <row r="773">
      <c r="A773" s="46">
        <v>45960.0</v>
      </c>
      <c r="B773" s="46">
        <v>45960.0</v>
      </c>
      <c r="C773" s="47"/>
      <c r="D773" s="47">
        <v>621.0</v>
      </c>
      <c r="E773" s="15" t="b">
        <v>0</v>
      </c>
      <c r="F773" s="47" t="s">
        <v>12</v>
      </c>
      <c r="G773" s="47" t="s">
        <v>665</v>
      </c>
      <c r="H773" s="18">
        <f t="shared" si="1"/>
        <v>621</v>
      </c>
      <c r="I773" s="19" t="str">
        <f t="shared" si="3"/>
        <v>BONIFICO SEPADa NEXI Payments Spa TRN 061287055115NPPASU0000000000IT CIPBITMM per PV 1000001228596 ACCREDITO BANCOMAT 291025 RIF 9724</v>
      </c>
    </row>
    <row r="774">
      <c r="A774" s="46">
        <v>45960.0</v>
      </c>
      <c r="B774" s="46">
        <v>45960.0</v>
      </c>
      <c r="C774" s="47"/>
      <c r="D774" s="47">
        <v>40.0</v>
      </c>
      <c r="E774" s="15" t="b">
        <v>0</v>
      </c>
      <c r="F774" s="47" t="s">
        <v>12</v>
      </c>
      <c r="G774" s="47" t="s">
        <v>666</v>
      </c>
      <c r="H774" s="18">
        <f t="shared" si="1"/>
        <v>40</v>
      </c>
      <c r="I774" s="19" t="str">
        <f t="shared" si="3"/>
        <v>BONIFICO SEPADa NEXI Payments Spa TRN 061287043125NPPASU0000000000IT CIPBITMM per PV 1000001228596 ACCREDITO CIRCUITI INTERNAZ. 29102</v>
      </c>
    </row>
    <row r="775">
      <c r="A775" s="46">
        <v>45960.0</v>
      </c>
      <c r="B775" s="46">
        <v>45960.0</v>
      </c>
      <c r="C775" s="47"/>
      <c r="D775" s="47">
        <v>139.0</v>
      </c>
      <c r="E775" s="15" t="b">
        <v>0</v>
      </c>
      <c r="F775" s="47" t="s">
        <v>12</v>
      </c>
      <c r="G775" s="47" t="s">
        <v>667</v>
      </c>
      <c r="H775" s="18">
        <f t="shared" si="1"/>
        <v>139</v>
      </c>
      <c r="I775" s="19" t="str">
        <f t="shared" si="3"/>
        <v>BONIFICO SEPADa NEXI Payments Spa TRN 061286927005NPPASU0000000000IT CIPBITMM per PV 1000001228637 ACCREDITO CIRCUITI INTERNAZ. 29102</v>
      </c>
    </row>
    <row r="776">
      <c r="A776" s="46">
        <v>45960.0</v>
      </c>
      <c r="B776" s="46">
        <v>45960.0</v>
      </c>
      <c r="C776" s="47"/>
      <c r="D776" s="47">
        <v>2318.0</v>
      </c>
      <c r="E776" s="15" t="b">
        <v>0</v>
      </c>
      <c r="F776" s="47" t="s">
        <v>145</v>
      </c>
      <c r="G776" s="47" t="s">
        <v>668</v>
      </c>
      <c r="H776" s="18">
        <f t="shared" si="1"/>
        <v>2318</v>
      </c>
      <c r="I776" s="19" t="str">
        <f t="shared" si="3"/>
        <v>BONIFICO SEPA ISTANTANEOTRN UNCRITMMXXX 1191253036437103 DA ARTECORPO APS PER Vs fattura 404 del 27.10.25 per affitto locali</v>
      </c>
    </row>
    <row r="777">
      <c r="A777" s="46">
        <v>45960.0</v>
      </c>
      <c r="B777" s="46">
        <v>45960.0</v>
      </c>
      <c r="C777" s="47"/>
      <c r="D777" s="47">
        <v>76.25</v>
      </c>
      <c r="E777" s="15" t="b">
        <v>0</v>
      </c>
      <c r="F777" s="47" t="s">
        <v>145</v>
      </c>
      <c r="G777" s="47" t="s">
        <v>669</v>
      </c>
      <c r="H777" s="18">
        <f t="shared" si="1"/>
        <v>76.25</v>
      </c>
      <c r="I777" s="19" t="str">
        <f t="shared" si="3"/>
        <v>BONIFICO SEPA ISTANTANEOTRN BCITITM3XXX 0323925590031912481600199999IT DA BRUGANELLI SONIA  MADONIA ANGELO PER Affitto studio del 29 ottobre 202</v>
      </c>
    </row>
    <row r="778">
      <c r="A778" s="46">
        <v>45960.0</v>
      </c>
      <c r="B778" s="46">
        <v>45960.0</v>
      </c>
      <c r="C778" s="47"/>
      <c r="D778" s="47">
        <v>450.0</v>
      </c>
      <c r="E778" s="15" t="b">
        <v>0</v>
      </c>
      <c r="F778" s="47" t="s">
        <v>12</v>
      </c>
      <c r="G778" s="47" t="s">
        <v>670</v>
      </c>
      <c r="H778" s="18">
        <f t="shared" si="1"/>
        <v>450</v>
      </c>
      <c r="I778" s="19" t="str">
        <f t="shared" si="3"/>
        <v>BONIFICO SEPADa FONDAZIONE ROBERTO BOLLE E T S TRN 0323906182464209S90160001600IT BCITITM3XXX per Fatt. N.316 del 15-09-2025</v>
      </c>
    </row>
    <row r="779">
      <c r="A779" s="46">
        <v>45960.0</v>
      </c>
      <c r="B779" s="46">
        <v>45958.0</v>
      </c>
      <c r="C779" s="47">
        <v>-80.0</v>
      </c>
      <c r="D779" s="47"/>
      <c r="E779" s="15" t="b">
        <v>1</v>
      </c>
      <c r="F779" s="47" t="s">
        <v>123</v>
      </c>
      <c r="G779" s="47" t="s">
        <v>671</v>
      </c>
      <c r="H779" s="18">
        <f t="shared" si="1"/>
        <v>-80</v>
      </c>
      <c r="I779" s="19" t="str">
        <f t="shared" si="3"/>
        <v>PAGAMENTO POSTRIPLES SRL            28/10/2025 11.19 MILANO        Op.685976 carta ****0501</v>
      </c>
    </row>
    <row r="780">
      <c r="A780" s="46">
        <v>45960.0</v>
      </c>
      <c r="B780" s="46">
        <v>45958.0</v>
      </c>
      <c r="C780" s="47">
        <v>-24.76</v>
      </c>
      <c r="D780" s="47"/>
      <c r="E780" s="15" t="b">
        <v>1</v>
      </c>
      <c r="F780" s="47" t="s">
        <v>123</v>
      </c>
      <c r="G780" s="47" t="s">
        <v>672</v>
      </c>
      <c r="H780" s="18">
        <f t="shared" si="1"/>
        <v>-24.76</v>
      </c>
      <c r="I780" s="19" t="str">
        <f t="shared" si="3"/>
        <v>PAGAMENTO POSODSTORE PIAZZA DUOMO   28/10/2025 14.52 MILANO        Op.682639 carta ****0501</v>
      </c>
    </row>
    <row r="781">
      <c r="A781" s="46">
        <v>45959.0</v>
      </c>
      <c r="B781" s="46">
        <v>45959.0</v>
      </c>
      <c r="C781" s="47"/>
      <c r="D781" s="47">
        <v>321.0</v>
      </c>
      <c r="E781" s="15" t="b">
        <v>0</v>
      </c>
      <c r="F781" s="47" t="s">
        <v>12</v>
      </c>
      <c r="G781" s="47" t="s">
        <v>673</v>
      </c>
      <c r="H781" s="18">
        <f t="shared" si="1"/>
        <v>321</v>
      </c>
      <c r="I781" s="19" t="str">
        <f t="shared" si="3"/>
        <v>BONIFICO SEPADa NEXI Payments Spa TRN 061171015095NPPASU0000000000IT CIPBITMM per PV 1000001228637 ACCREDITO CIRCUITI INTERNAZ. 28102</v>
      </c>
    </row>
    <row r="782">
      <c r="A782" s="46">
        <v>45959.0</v>
      </c>
      <c r="B782" s="46">
        <v>45959.0</v>
      </c>
      <c r="C782" s="47"/>
      <c r="D782" s="47">
        <v>311.0</v>
      </c>
      <c r="E782" s="15" t="b">
        <v>0</v>
      </c>
      <c r="F782" s="47" t="s">
        <v>12</v>
      </c>
      <c r="G782" s="47" t="s">
        <v>674</v>
      </c>
      <c r="H782" s="18">
        <f t="shared" si="1"/>
        <v>311</v>
      </c>
      <c r="I782" s="19" t="str">
        <f t="shared" si="3"/>
        <v>BONIFICO SEPADa NEXI Payments Spa TRN 061170580035NPPASU0000000000IT CIPBITMM per PV 1000001228596 ACCREDITO BANCOMAT 281025 RIF 9709</v>
      </c>
    </row>
    <row r="783">
      <c r="A783" s="46">
        <v>45959.0</v>
      </c>
      <c r="B783" s="46">
        <v>45959.0</v>
      </c>
      <c r="C783" s="47"/>
      <c r="D783" s="47">
        <v>821.0</v>
      </c>
      <c r="E783" s="15" t="b">
        <v>0</v>
      </c>
      <c r="F783" s="47" t="s">
        <v>12</v>
      </c>
      <c r="G783" s="47" t="s">
        <v>675</v>
      </c>
      <c r="H783" s="18">
        <f t="shared" si="1"/>
        <v>821</v>
      </c>
      <c r="I783" s="19" t="str">
        <f t="shared" si="3"/>
        <v>BONIFICO SEPADa NEXI Payments Spa TRN 061170568045NPPASU0000000000IT CIPBITMM per PV 1000001228596 ACCREDITO CIRCUITI INTERNAZ. 28102</v>
      </c>
    </row>
    <row r="784">
      <c r="A784" s="46">
        <v>45959.0</v>
      </c>
      <c r="B784" s="46">
        <v>45959.0</v>
      </c>
      <c r="C784" s="48"/>
      <c r="D784" s="48">
        <v>373.14</v>
      </c>
      <c r="E784" s="15" t="b">
        <v>0</v>
      </c>
      <c r="F784" s="48" t="s">
        <v>12</v>
      </c>
      <c r="G784" s="48" t="s">
        <v>676</v>
      </c>
      <c r="H784" s="18">
        <f t="shared" si="1"/>
        <v>373.14</v>
      </c>
      <c r="I784" s="19" t="str">
        <f t="shared" si="3"/>
        <v>BONIFICO SEPADa Scalapay IP S.p.a. TRN 3601825102904494116405236044963-008 CBPSIT31XXX per 2025-10-28 - GEOS S SDRL - Scalapay IP S.p</v>
      </c>
    </row>
    <row r="785">
      <c r="A785" s="46"/>
      <c r="B785" s="46"/>
      <c r="C785" s="48"/>
      <c r="D785" s="48"/>
      <c r="E785" s="15" t="b">
        <v>0</v>
      </c>
      <c r="F785" s="45"/>
      <c r="G785" s="45"/>
      <c r="H785" s="18">
        <f t="shared" si="1"/>
        <v>0</v>
      </c>
      <c r="I785" s="19" t="str">
        <f t="shared" si="3"/>
        <v/>
      </c>
    </row>
    <row r="786">
      <c r="A786" s="44"/>
      <c r="B786" s="44"/>
      <c r="C786" s="45"/>
      <c r="D786" s="45"/>
      <c r="E786" s="15" t="b">
        <v>0</v>
      </c>
      <c r="F786" s="45"/>
      <c r="G786" s="45"/>
      <c r="H786" s="18">
        <f t="shared" si="1"/>
        <v>0</v>
      </c>
      <c r="I786" s="19" t="str">
        <f t="shared" si="3"/>
        <v/>
      </c>
    </row>
    <row r="787">
      <c r="A787" s="49">
        <v>45959.0</v>
      </c>
      <c r="B787" s="49">
        <v>45959.0</v>
      </c>
      <c r="C787" s="45"/>
      <c r="D787" s="45">
        <v>220.0</v>
      </c>
      <c r="E787" s="15" t="b">
        <v>0</v>
      </c>
      <c r="F787" s="45"/>
      <c r="G787" s="45" t="s">
        <v>677</v>
      </c>
      <c r="H787" s="18">
        <f t="shared" si="1"/>
        <v>220</v>
      </c>
      <c r="I787" s="19" t="str">
        <f t="shared" si="3"/>
        <v>Da ENCANTO CLUB LATINO ASS NE SPOR VA TRN 0306906130660509S90960609606IT BCITITMMXXX per Pagamento FT 405 del 27/10/25</v>
      </c>
    </row>
    <row r="788">
      <c r="A788" s="49">
        <v>45958.0</v>
      </c>
      <c r="B788" s="49">
        <v>45958.0</v>
      </c>
      <c r="C788" s="45">
        <v>-549.0</v>
      </c>
      <c r="D788" s="45"/>
      <c r="E788" s="15" t="b">
        <v>1</v>
      </c>
      <c r="F788" s="45"/>
      <c r="G788" s="45" t="s">
        <v>678</v>
      </c>
      <c r="H788" s="18">
        <f t="shared" si="1"/>
        <v>-549</v>
      </c>
      <c r="I788" s="19" t="str">
        <f t="shared" si="3"/>
        <v>Distinta: 17616403449461F2CDEF</v>
      </c>
    </row>
    <row r="789">
      <c r="A789" s="49">
        <v>45958.0</v>
      </c>
      <c r="B789" s="49">
        <v>45958.0</v>
      </c>
      <c r="C789" s="45">
        <v>-695.4</v>
      </c>
      <c r="D789" s="45"/>
      <c r="E789" s="15" t="b">
        <v>1</v>
      </c>
      <c r="F789" s="45"/>
      <c r="G789" s="45" t="s">
        <v>679</v>
      </c>
      <c r="H789" s="18">
        <f t="shared" si="1"/>
        <v>-695.4</v>
      </c>
      <c r="I789" s="19" t="str">
        <f t="shared" si="3"/>
        <v>Distinta: 17616413573981F9EDEF</v>
      </c>
    </row>
    <row r="790">
      <c r="A790" s="49">
        <v>45958.0</v>
      </c>
      <c r="B790" s="49">
        <v>45958.0</v>
      </c>
      <c r="C790" s="45"/>
      <c r="D790" s="45">
        <v>74.0</v>
      </c>
      <c r="E790" s="15" t="b">
        <v>0</v>
      </c>
      <c r="F790" s="45"/>
      <c r="G790" s="45" t="s">
        <v>680</v>
      </c>
      <c r="H790" s="18">
        <f t="shared" si="1"/>
        <v>74</v>
      </c>
      <c r="I790" s="19" t="str">
        <f t="shared" si="3"/>
        <v>Da NEXI Payments Spa TRN 061086268095NPPASU0000000000IT CIPBITMM per PV 1000001228637 ACCREDITO CIRCUITI INTERNAZ. 27102</v>
      </c>
    </row>
    <row r="791">
      <c r="A791" s="49">
        <v>45958.0</v>
      </c>
      <c r="B791" s="49">
        <v>45958.0</v>
      </c>
      <c r="C791" s="45"/>
      <c r="D791" s="45">
        <v>500.0</v>
      </c>
      <c r="E791" s="15" t="b">
        <v>0</v>
      </c>
      <c r="F791" s="45"/>
      <c r="G791" s="45" t="s">
        <v>681</v>
      </c>
      <c r="H791" s="18">
        <f t="shared" si="1"/>
        <v>500</v>
      </c>
      <c r="I791" s="19" t="str">
        <f t="shared" si="3"/>
        <v>Da NEXI Payments Spa TRN 061081598065NPPASU0000000000IT CIPBITMM per PV 1000001228596 ACCREDITO CIRCUITI INTERNAZ. 27102</v>
      </c>
    </row>
    <row r="792">
      <c r="A792" s="49">
        <v>45958.0</v>
      </c>
      <c r="B792" s="49">
        <v>45958.0</v>
      </c>
      <c r="C792" s="45"/>
      <c r="D792" s="45">
        <v>349.0</v>
      </c>
      <c r="E792" s="15" t="b">
        <v>0</v>
      </c>
      <c r="F792" s="45"/>
      <c r="G792" s="45" t="s">
        <v>682</v>
      </c>
      <c r="H792" s="18">
        <f t="shared" si="1"/>
        <v>349</v>
      </c>
      <c r="I792" s="19" t="str">
        <f t="shared" si="3"/>
        <v>Da NEXI Payments Spa TRN 061081607025NPPASU0000000000IT CIPBITMM per PV 1000001228596 ACCREDITO BANCOMAT 271025 RIF 9695</v>
      </c>
    </row>
    <row r="793">
      <c r="A793" s="49">
        <v>45958.0</v>
      </c>
      <c r="B793" s="49">
        <v>45958.0</v>
      </c>
      <c r="C793" s="45"/>
      <c r="D793" s="45">
        <v>1138.08</v>
      </c>
      <c r="E793" s="15" t="b">
        <v>0</v>
      </c>
      <c r="F793" s="45"/>
      <c r="G793" s="45" t="s">
        <v>683</v>
      </c>
      <c r="H793" s="18">
        <f t="shared" si="1"/>
        <v>1138.08</v>
      </c>
      <c r="I793" s="19" t="str">
        <f t="shared" si="3"/>
        <v>Da Scalapay IP S.p.a. TRN 3601825102804493319712760246676-008 CBPSIT31XXX per 2025-10-27 - GEOS S SDRL - Scalapay IP S.p</v>
      </c>
    </row>
    <row r="794">
      <c r="A794" s="49">
        <v>45958.0</v>
      </c>
      <c r="B794" s="49">
        <v>45958.0</v>
      </c>
      <c r="C794" s="47"/>
      <c r="D794" s="45">
        <v>3800.0</v>
      </c>
      <c r="E794" s="15" t="b">
        <v>0</v>
      </c>
      <c r="F794" s="45"/>
      <c r="G794" s="45" t="s">
        <v>59</v>
      </c>
      <c r="H794" s="18">
        <f t="shared" si="1"/>
        <v>3800</v>
      </c>
      <c r="I794" s="19" t="str">
        <f t="shared" si="3"/>
        <v>U.P.38530 MILANO 82            POSTAMAT N 76018970575871050                 CARTA 75871050</v>
      </c>
    </row>
    <row r="795">
      <c r="A795" s="49">
        <v>45957.0</v>
      </c>
      <c r="B795" s="49">
        <v>45957.0</v>
      </c>
      <c r="C795" s="45"/>
      <c r="D795" s="45">
        <v>492.0</v>
      </c>
      <c r="E795" s="15" t="b">
        <v>0</v>
      </c>
      <c r="F795" s="45"/>
      <c r="G795" s="45" t="s">
        <v>684</v>
      </c>
      <c r="H795" s="18">
        <f t="shared" si="1"/>
        <v>492</v>
      </c>
      <c r="I795" s="19" t="str">
        <f t="shared" si="3"/>
        <v>Da NEXI Payments Spa TRN 060931544115NPPASU0000000000IT CIPBITMM per PV 1000001228637 ACCREDITO CIRCUITI INTERNAZ. 25102</v>
      </c>
    </row>
    <row r="796">
      <c r="A796" s="49">
        <v>45957.0</v>
      </c>
      <c r="B796" s="49">
        <v>45957.0</v>
      </c>
      <c r="C796" s="45"/>
      <c r="D796" s="45">
        <v>20.0</v>
      </c>
      <c r="E796" s="15" t="b">
        <v>0</v>
      </c>
      <c r="F796" s="45"/>
      <c r="G796" s="45" t="s">
        <v>685</v>
      </c>
      <c r="H796" s="18">
        <f t="shared" si="1"/>
        <v>20</v>
      </c>
      <c r="I796" s="19" t="str">
        <f t="shared" si="3"/>
        <v>Da NEXI Payments Spa TRN 060930333095NPPASU0000000000IT CIPBITMM per PV 1000001228596 ACCREDITO BANCOMAT 251025 RIF 9671</v>
      </c>
    </row>
    <row r="797">
      <c r="A797" s="49">
        <v>45957.0</v>
      </c>
      <c r="B797" s="49">
        <v>45957.0</v>
      </c>
      <c r="C797" s="45"/>
      <c r="D797" s="45">
        <v>45.0</v>
      </c>
      <c r="E797" s="15" t="b">
        <v>0</v>
      </c>
      <c r="F797" s="45"/>
      <c r="G797" s="45" t="s">
        <v>686</v>
      </c>
      <c r="H797" s="18">
        <f t="shared" si="1"/>
        <v>45</v>
      </c>
      <c r="I797" s="19" t="str">
        <f t="shared" si="3"/>
        <v>Da NEXI Payments Spa TRN 061012507105NPPASU0000000000IT CIPBITMM per PV 1000001228596 ACCREDITO CIRCUITI INTERNAZ. 26102</v>
      </c>
    </row>
    <row r="798">
      <c r="A798" s="49">
        <v>45957.0</v>
      </c>
      <c r="B798" s="49">
        <v>45957.0</v>
      </c>
      <c r="C798" s="45"/>
      <c r="D798" s="45">
        <v>1058.5</v>
      </c>
      <c r="E798" s="15" t="b">
        <v>0</v>
      </c>
      <c r="F798" s="45"/>
      <c r="G798" s="45" t="s">
        <v>687</v>
      </c>
      <c r="H798" s="18">
        <f t="shared" si="1"/>
        <v>1058.5</v>
      </c>
      <c r="I798" s="19" t="str">
        <f t="shared" si="3"/>
        <v>Da NEXI Payments Spa TRN 060930325015NPPASU0000000000IT CIPBITMM per PV 1000001228596 ACCREDITO CIRCUITI INTERNAZ. 25102</v>
      </c>
    </row>
    <row r="799">
      <c r="A799" s="49">
        <v>45957.0</v>
      </c>
      <c r="B799" s="49">
        <v>45957.0</v>
      </c>
      <c r="C799" s="45"/>
      <c r="D799" s="45">
        <v>35.0</v>
      </c>
      <c r="E799" s="15" t="b">
        <v>0</v>
      </c>
      <c r="F799" s="45"/>
      <c r="G799" s="45" t="s">
        <v>688</v>
      </c>
      <c r="H799" s="18">
        <f t="shared" si="1"/>
        <v>35</v>
      </c>
      <c r="I799" s="19" t="str">
        <f t="shared" si="3"/>
        <v>Da NEXI Payments Spa TRN 061012515055NPPASU0000000000IT CIPBITMM per PV 1000001228596 ACCREDITO BANCOMAT 261025 RIF 9681</v>
      </c>
    </row>
    <row r="800">
      <c r="A800" s="49">
        <v>45957.0</v>
      </c>
      <c r="B800" s="49">
        <v>45957.0</v>
      </c>
      <c r="C800" s="45"/>
      <c r="D800" s="45">
        <v>1367.0</v>
      </c>
      <c r="E800" s="15" t="b">
        <v>0</v>
      </c>
      <c r="F800" s="45"/>
      <c r="G800" s="45" t="s">
        <v>689</v>
      </c>
      <c r="H800" s="18">
        <f t="shared" si="1"/>
        <v>1367</v>
      </c>
      <c r="I800" s="19" t="str">
        <f t="shared" si="3"/>
        <v>Da Scalapay IP S.p.a. TRN 3601825102704501997106631603773-008 CBPSIT31XXX per 2025-10-26 - GEOS S SDRL - Scalapay IP S.p</v>
      </c>
    </row>
    <row r="801">
      <c r="A801" s="44">
        <v>45957.0</v>
      </c>
      <c r="B801" s="44">
        <v>45957.0</v>
      </c>
      <c r="C801" s="48"/>
      <c r="D801" s="45">
        <v>482.0</v>
      </c>
      <c r="E801" s="15" t="b">
        <v>0</v>
      </c>
      <c r="F801" s="45"/>
      <c r="G801" s="45" t="s">
        <v>690</v>
      </c>
      <c r="H801" s="18">
        <f t="shared" si="1"/>
        <v>482</v>
      </c>
      <c r="I801" s="19" t="str">
        <f t="shared" si="3"/>
        <v>Da NEXI Payments Spa TRN 060835327075NPPASU0000000000IT CIPBITMM per PV 1000001228596 ACCREDITO CIRCUITI INTERNAZ. 24102</v>
      </c>
    </row>
    <row r="802">
      <c r="A802" s="44">
        <v>45957.0</v>
      </c>
      <c r="B802" s="44">
        <v>45957.0</v>
      </c>
      <c r="C802" s="48"/>
      <c r="D802" s="45">
        <v>159.0</v>
      </c>
      <c r="E802" s="15" t="b">
        <v>0</v>
      </c>
      <c r="F802" s="45"/>
      <c r="G802" s="45" t="s">
        <v>691</v>
      </c>
      <c r="H802" s="18">
        <f t="shared" si="1"/>
        <v>159</v>
      </c>
      <c r="I802" s="19" t="str">
        <f t="shared" si="3"/>
        <v>Da NEXI Payments Spa TRN 061012450055NPPASU0000000000IT CIPBITMM per PV 1000001228637 ACCREDITO CIRCUITI INTERNAZ. 26102</v>
      </c>
    </row>
    <row r="803">
      <c r="A803" s="49">
        <v>45957.0</v>
      </c>
      <c r="B803" s="49">
        <v>45957.0</v>
      </c>
      <c r="C803" s="48"/>
      <c r="D803" s="45">
        <v>164.0</v>
      </c>
      <c r="E803" s="15" t="b">
        <v>0</v>
      </c>
      <c r="F803" s="45"/>
      <c r="G803" s="45" t="s">
        <v>692</v>
      </c>
      <c r="H803" s="18">
        <f t="shared" si="1"/>
        <v>164</v>
      </c>
      <c r="I803" s="19" t="str">
        <f t="shared" si="3"/>
        <v>Da NEXI Payments Spa TRN 060836218015NPPASU0000000000IT CIPBITMM per PV 1000001228637 ACCREDITO CIRCUITI INTERNAZ. 24102</v>
      </c>
    </row>
    <row r="804">
      <c r="A804" s="44"/>
      <c r="B804" s="44"/>
      <c r="C804" s="45"/>
      <c r="D804" s="45"/>
      <c r="E804" s="15" t="b">
        <v>0</v>
      </c>
      <c r="F804" s="45"/>
      <c r="G804" s="45"/>
      <c r="H804" s="18">
        <f t="shared" si="1"/>
        <v>0</v>
      </c>
      <c r="I804" s="19" t="str">
        <f t="shared" si="3"/>
        <v/>
      </c>
    </row>
    <row r="805">
      <c r="A805" s="44"/>
      <c r="B805" s="44"/>
      <c r="C805" s="45"/>
      <c r="D805" s="45"/>
      <c r="E805" s="15" t="b">
        <v>0</v>
      </c>
      <c r="F805" s="45"/>
      <c r="G805" s="45"/>
      <c r="H805" s="18">
        <f t="shared" si="1"/>
        <v>0</v>
      </c>
      <c r="I805" s="19" t="str">
        <f t="shared" si="3"/>
        <v/>
      </c>
    </row>
    <row r="806">
      <c r="A806" s="44"/>
      <c r="B806" s="44"/>
      <c r="C806" s="45"/>
      <c r="D806" s="45"/>
      <c r="E806" s="15" t="b">
        <v>0</v>
      </c>
      <c r="F806" s="45"/>
      <c r="G806" s="45"/>
      <c r="H806" s="18">
        <f t="shared" si="1"/>
        <v>0</v>
      </c>
      <c r="I806" s="19" t="str">
        <f t="shared" si="3"/>
        <v/>
      </c>
    </row>
    <row r="807">
      <c r="A807" s="49">
        <v>45957.0</v>
      </c>
      <c r="B807" s="49">
        <v>45957.0</v>
      </c>
      <c r="C807" s="45"/>
      <c r="D807" s="45">
        <v>81.6</v>
      </c>
      <c r="E807" s="15" t="b">
        <v>0</v>
      </c>
      <c r="F807" s="45" t="s">
        <v>28</v>
      </c>
      <c r="G807" s="45" t="s">
        <v>693</v>
      </c>
      <c r="H807" s="18">
        <f t="shared" si="1"/>
        <v>81.6</v>
      </c>
      <c r="I807" s="19" t="str">
        <f t="shared" si="3"/>
        <v>BONIFICODa Satispay Europe S.A. TRN e3ff2aa007de4df59141ed515ba57e4b SATYLUL1XXX per Geos ssdr</v>
      </c>
    </row>
    <row r="808">
      <c r="A808" s="49">
        <v>45957.0</v>
      </c>
      <c r="B808" s="49">
        <v>45957.0</v>
      </c>
      <c r="C808" s="45">
        <v>-386.35</v>
      </c>
      <c r="D808" s="45"/>
      <c r="E808" s="15" t="b">
        <v>1</v>
      </c>
      <c r="F808" s="45" t="s">
        <v>112</v>
      </c>
      <c r="G808" s="45" t="s">
        <v>418</v>
      </c>
      <c r="H808" s="18">
        <f t="shared" si="1"/>
        <v>-386.35</v>
      </c>
      <c r="I808" s="19" t="str">
        <f t="shared" si="3"/>
        <v>DOMICILIAZIONE (ADDEBITO DIRETTO SEPA)VODAFONE (CCBS)      CID.IT200010000093026890017             MAN.09305930969</v>
      </c>
    </row>
    <row r="809">
      <c r="A809" s="49">
        <v>45956.0</v>
      </c>
      <c r="B809" s="49">
        <v>45956.0</v>
      </c>
      <c r="C809" s="45"/>
      <c r="D809" s="45">
        <v>146.4</v>
      </c>
      <c r="E809" s="15" t="b">
        <v>0</v>
      </c>
      <c r="F809" s="45" t="s">
        <v>145</v>
      </c>
      <c r="G809" s="45" t="s">
        <v>694</v>
      </c>
      <c r="H809" s="18">
        <f t="shared" si="1"/>
        <v>146.4</v>
      </c>
      <c r="I809" s="19" t="str">
        <f t="shared" si="3"/>
        <v>BONIFICO SEPA ISTANTANEOTRN POSOIT22XXX IP25102608562547480160220138IT DA KINETICVIBE SRL PER affitto studio del 26/10</v>
      </c>
    </row>
    <row r="810">
      <c r="A810" s="49">
        <v>45955.0</v>
      </c>
      <c r="B810" s="49">
        <v>45955.0</v>
      </c>
      <c r="C810" s="45"/>
      <c r="D810" s="45">
        <v>1708.0</v>
      </c>
      <c r="E810" s="15" t="b">
        <v>0</v>
      </c>
      <c r="F810" s="45" t="s">
        <v>145</v>
      </c>
      <c r="G810" s="45" t="s">
        <v>695</v>
      </c>
      <c r="H810" s="18">
        <f t="shared" si="1"/>
        <v>1708</v>
      </c>
      <c r="I810" s="19" t="str">
        <f t="shared" si="3"/>
        <v>BONIFICO SEPA ISTANTANEOTRN UNCRITMMXXX 1191252983458111 DA NEW WAVE S.R.L. PER Saldo Vs.fatture n.320-332-335/2025.</v>
      </c>
    </row>
    <row r="811">
      <c r="A811" s="49">
        <v>45954.0</v>
      </c>
      <c r="B811" s="49">
        <v>45954.0</v>
      </c>
      <c r="C811" s="45">
        <v>-1000.0</v>
      </c>
      <c r="D811" s="45"/>
      <c r="E811" s="15" t="b">
        <v>1</v>
      </c>
      <c r="F811" s="45" t="s">
        <v>12</v>
      </c>
      <c r="G811" s="45" t="s">
        <v>696</v>
      </c>
      <c r="H811" s="18">
        <f t="shared" si="1"/>
        <v>-1000</v>
      </c>
      <c r="I811" s="19" t="str">
        <f t="shared" si="3"/>
        <v>BONIFICO SEPADistinta: 17613005075050A7GDEF</v>
      </c>
    </row>
    <row r="812">
      <c r="A812" s="49">
        <v>45954.0</v>
      </c>
      <c r="B812" s="49">
        <v>45954.0</v>
      </c>
      <c r="C812" s="45"/>
      <c r="D812" s="45">
        <v>444.0</v>
      </c>
      <c r="E812" s="15" t="b">
        <v>0</v>
      </c>
      <c r="F812" s="45" t="s">
        <v>12</v>
      </c>
      <c r="G812" s="45" t="s">
        <v>697</v>
      </c>
      <c r="H812" s="18">
        <f t="shared" si="1"/>
        <v>444</v>
      </c>
      <c r="I812" s="19" t="str">
        <f t="shared" si="3"/>
        <v>BONIFICO SEPADa NEXI Payments Spa TRN 060726023075NPPASU0000000000IT CIPBITMM per PV 1000001228637 ACCREDITO CIRCUITI INTERNAZ. 23102</v>
      </c>
    </row>
    <row r="813">
      <c r="A813" s="49">
        <v>45954.0</v>
      </c>
      <c r="B813" s="49">
        <v>45954.0</v>
      </c>
      <c r="C813" s="45"/>
      <c r="D813" s="45">
        <v>284.0</v>
      </c>
      <c r="E813" s="15" t="b">
        <v>0</v>
      </c>
      <c r="F813" s="45" t="s">
        <v>12</v>
      </c>
      <c r="G813" s="45" t="s">
        <v>698</v>
      </c>
      <c r="H813" s="18">
        <f t="shared" si="1"/>
        <v>284</v>
      </c>
      <c r="I813" s="19" t="str">
        <f t="shared" si="3"/>
        <v>BONIFICO SEPADa NEXI Payments Spa TRN 060725822015NPPASU0000000000IT CIPBITMM per PV 1000001228596 ACCREDITO BANCOMAT 231025 RIF 9638</v>
      </c>
    </row>
    <row r="814">
      <c r="A814" s="49">
        <v>45954.0</v>
      </c>
      <c r="B814" s="49">
        <v>45954.0</v>
      </c>
      <c r="C814" s="45"/>
      <c r="D814" s="45">
        <v>1022.3</v>
      </c>
      <c r="E814" s="15" t="b">
        <v>0</v>
      </c>
      <c r="F814" s="45" t="s">
        <v>12</v>
      </c>
      <c r="G814" s="45" t="s">
        <v>699</v>
      </c>
      <c r="H814" s="18">
        <f t="shared" si="1"/>
        <v>1022.3</v>
      </c>
      <c r="I814" s="19" t="str">
        <f t="shared" si="3"/>
        <v>BONIFICO SEPADa Scalapay IP S.p.a. TRN 3601825102404511816048743654659-008 CBPSIT31XXX per 2025-10-23 - GEOS S SDRL - Scalapay IP S.p</v>
      </c>
    </row>
    <row r="815">
      <c r="A815" s="49">
        <v>45954.0</v>
      </c>
      <c r="B815" s="49">
        <v>45954.0</v>
      </c>
      <c r="C815" s="45"/>
      <c r="D815" s="45">
        <v>95.0</v>
      </c>
      <c r="E815" s="15" t="b">
        <v>0</v>
      </c>
      <c r="F815" s="45" t="s">
        <v>12</v>
      </c>
      <c r="G815" s="45" t="s">
        <v>700</v>
      </c>
      <c r="H815" s="18">
        <f t="shared" si="1"/>
        <v>95</v>
      </c>
      <c r="I815" s="19" t="str">
        <f t="shared" si="3"/>
        <v>BONIFICO SEPADa NEXI Payments Spa TRN 060725807125NPPASU0000000000IT CIPBITMM per PV 1000001228596 ACCREDITO CIRCUITI INTERNAZ. 23102</v>
      </c>
    </row>
    <row r="816">
      <c r="A816" s="44"/>
      <c r="B816" s="44"/>
      <c r="C816" s="45"/>
      <c r="D816" s="45"/>
      <c r="E816" s="15" t="b">
        <v>0</v>
      </c>
      <c r="F816" s="45"/>
      <c r="G816" s="45"/>
      <c r="H816" s="18">
        <f t="shared" si="1"/>
        <v>0</v>
      </c>
      <c r="I816" s="19" t="str">
        <f t="shared" si="3"/>
        <v/>
      </c>
    </row>
    <row r="817">
      <c r="A817" s="49"/>
      <c r="B817" s="49"/>
      <c r="C817" s="48"/>
      <c r="D817" s="45"/>
      <c r="E817" s="15" t="b">
        <v>0</v>
      </c>
      <c r="F817" s="45"/>
      <c r="G817" s="45"/>
      <c r="H817" s="18">
        <f t="shared" si="1"/>
        <v>0</v>
      </c>
      <c r="I817" s="19" t="str">
        <f t="shared" si="3"/>
        <v/>
      </c>
    </row>
    <row r="818">
      <c r="A818" s="49">
        <v>45954.0</v>
      </c>
      <c r="B818" s="49">
        <v>45954.0</v>
      </c>
      <c r="C818" s="45"/>
      <c r="D818" s="45">
        <v>14.8</v>
      </c>
      <c r="E818" s="15" t="b">
        <v>0</v>
      </c>
      <c r="F818" s="45" t="s">
        <v>28</v>
      </c>
      <c r="G818" s="45" t="s">
        <v>701</v>
      </c>
      <c r="H818" s="18">
        <f t="shared" si="1"/>
        <v>14.8</v>
      </c>
      <c r="I818" s="19" t="str">
        <f t="shared" si="3"/>
        <v>BONIFICODa Satispay Europe S.A. TRN 9aaaf8f6362e4bd683298214efed4d70 SATYLUL1XXX per Geos ssdr</v>
      </c>
    </row>
    <row r="819">
      <c r="A819" s="49">
        <v>45953.0</v>
      </c>
      <c r="B819" s="49">
        <v>45953.0</v>
      </c>
      <c r="C819" s="45">
        <v>-27.0</v>
      </c>
      <c r="D819" s="45"/>
      <c r="E819" s="15" t="b">
        <v>1</v>
      </c>
      <c r="F819" s="45" t="s">
        <v>12</v>
      </c>
      <c r="G819" s="45" t="s">
        <v>702</v>
      </c>
      <c r="H819" s="18">
        <f t="shared" si="1"/>
        <v>-27</v>
      </c>
      <c r="I819" s="19" t="str">
        <f t="shared" si="3"/>
        <v>BONIFICO SEPADistinta: 17611422282290L0VDEF</v>
      </c>
    </row>
    <row r="820">
      <c r="A820" s="49">
        <v>45953.0</v>
      </c>
      <c r="B820" s="49">
        <v>45953.0</v>
      </c>
      <c r="C820" s="45"/>
      <c r="D820" s="45">
        <v>512.0</v>
      </c>
      <c r="E820" s="15" t="b">
        <v>0</v>
      </c>
      <c r="F820" s="45" t="s">
        <v>12</v>
      </c>
      <c r="G820" s="45" t="s">
        <v>703</v>
      </c>
      <c r="H820" s="18">
        <f t="shared" si="1"/>
        <v>512</v>
      </c>
      <c r="I820" s="19" t="str">
        <f t="shared" si="3"/>
        <v>BONIFICO SEPADa NEXI Payments Spa TRN 060623862005NPPASU0000000000IT CIPBITMM per PV 1000001228596 ACCREDITO CIRCUITI INTERNAZ. 22102</v>
      </c>
    </row>
    <row r="821">
      <c r="A821" s="49">
        <v>45953.0</v>
      </c>
      <c r="B821" s="49">
        <v>45953.0</v>
      </c>
      <c r="C821" s="45"/>
      <c r="D821" s="45">
        <v>402.5</v>
      </c>
      <c r="E821" s="15" t="b">
        <v>0</v>
      </c>
      <c r="F821" s="45" t="s">
        <v>12</v>
      </c>
      <c r="G821" s="45" t="s">
        <v>704</v>
      </c>
      <c r="H821" s="18">
        <f t="shared" si="1"/>
        <v>402.5</v>
      </c>
      <c r="I821" s="19" t="str">
        <f t="shared" si="3"/>
        <v>BONIFICO SEPADa NEXI Payments Spa TRN 060623873115NPPASU0000000000IT CIPBITMM per PV 1000001228596 ACCREDITO BANCOMAT 221025 RIF 9623</v>
      </c>
    </row>
    <row r="822">
      <c r="A822" s="49">
        <v>45953.0</v>
      </c>
      <c r="B822" s="49">
        <v>45953.0</v>
      </c>
      <c r="C822" s="45"/>
      <c r="D822" s="45">
        <v>238.0</v>
      </c>
      <c r="E822" s="15" t="b">
        <v>0</v>
      </c>
      <c r="F822" s="45" t="s">
        <v>12</v>
      </c>
      <c r="G822" s="45" t="s">
        <v>705</v>
      </c>
      <c r="H822" s="18">
        <f t="shared" si="1"/>
        <v>238</v>
      </c>
      <c r="I822" s="19" t="str">
        <f t="shared" si="3"/>
        <v>BONIFICO SEPADa NEXI Payments Spa TRN 060623320045NPPASU0000000000IT CIPBITMM per PV 1000001228637 ACCREDITO CIRCUITI INTERNAZ. 22102</v>
      </c>
    </row>
    <row r="823">
      <c r="A823" s="49">
        <v>45953.0</v>
      </c>
      <c r="B823" s="49">
        <v>45953.0</v>
      </c>
      <c r="C823" s="45"/>
      <c r="D823" s="45">
        <v>690.91</v>
      </c>
      <c r="E823" s="15" t="b">
        <v>0</v>
      </c>
      <c r="F823" s="45" t="s">
        <v>12</v>
      </c>
      <c r="G823" s="45" t="s">
        <v>706</v>
      </c>
      <c r="H823" s="18">
        <f t="shared" si="1"/>
        <v>690.91</v>
      </c>
      <c r="I823" s="19" t="str">
        <f t="shared" si="3"/>
        <v>BONIFICO SEPADa Scalapay IP S.p.a. TRN 3601825102304501927993432772864-008 CBPSIT31XXX per 2025-10-22 - GEOS S SDRL - Scalapay IP S.p</v>
      </c>
    </row>
    <row r="824">
      <c r="A824" s="49">
        <v>45953.0</v>
      </c>
      <c r="B824" s="49">
        <v>45953.0</v>
      </c>
      <c r="C824" s="45">
        <v>-0.4</v>
      </c>
      <c r="D824" s="45"/>
      <c r="E824" s="15" t="b">
        <v>1</v>
      </c>
      <c r="F824" s="45" t="s">
        <v>101</v>
      </c>
      <c r="G824" s="45" t="s">
        <v>183</v>
      </c>
      <c r="H824" s="18">
        <f t="shared" si="1"/>
        <v>-0.4</v>
      </c>
      <c r="I824" s="19" t="str">
        <f t="shared" si="3"/>
        <v>COMMISSIONI DOMICILIAZIONE (ADDEBITO DIRETTO SEPA)NEXI P.              CID.IT500100000004107060966             MAN.792254495131800006</v>
      </c>
    </row>
    <row r="825">
      <c r="A825" s="49">
        <v>45952.0</v>
      </c>
      <c r="B825" s="49">
        <v>45952.0</v>
      </c>
      <c r="C825" s="45">
        <v>-464.0</v>
      </c>
      <c r="D825" s="45"/>
      <c r="E825" s="15" t="b">
        <v>1</v>
      </c>
      <c r="F825" s="45" t="s">
        <v>12</v>
      </c>
      <c r="G825" s="45" t="s">
        <v>707</v>
      </c>
      <c r="H825" s="18">
        <f t="shared" si="1"/>
        <v>-464</v>
      </c>
      <c r="I825" s="19" t="str">
        <f t="shared" si="3"/>
        <v>BONIFICO SEPADistinta: 17611302906820JRFDEF</v>
      </c>
    </row>
    <row r="826">
      <c r="A826" s="49">
        <v>45952.0</v>
      </c>
      <c r="B826" s="49">
        <v>45952.0</v>
      </c>
      <c r="C826" s="45">
        <v>-1098.0</v>
      </c>
      <c r="D826" s="45"/>
      <c r="E826" s="15" t="b">
        <v>1</v>
      </c>
      <c r="F826" s="45" t="s">
        <v>12</v>
      </c>
      <c r="G826" s="45" t="s">
        <v>708</v>
      </c>
      <c r="H826" s="18">
        <f t="shared" si="1"/>
        <v>-1098</v>
      </c>
      <c r="I826" s="19" t="str">
        <f t="shared" si="3"/>
        <v>BONIFICO SEPADistinta: 17611181204630GPNDEF</v>
      </c>
    </row>
    <row r="827">
      <c r="A827" s="49">
        <v>45952.0</v>
      </c>
      <c r="B827" s="49">
        <v>45952.0</v>
      </c>
      <c r="C827" s="45"/>
      <c r="D827" s="45">
        <v>830.0</v>
      </c>
      <c r="E827" s="15" t="b">
        <v>0</v>
      </c>
      <c r="F827" s="45" t="s">
        <v>12</v>
      </c>
      <c r="G827" s="45" t="s">
        <v>709</v>
      </c>
      <c r="H827" s="18">
        <f t="shared" si="1"/>
        <v>830</v>
      </c>
      <c r="I827" s="19" t="str">
        <f t="shared" si="3"/>
        <v>BONIFICO SEPADa NEXI Payments Spa TRN 060514965045NPPASU0000000000IT CIPBITMM per PV 1000001228596 ACCREDITO BANCOMAT 211025 RIF 9609</v>
      </c>
    </row>
    <row r="828">
      <c r="A828" s="49">
        <v>45952.0</v>
      </c>
      <c r="B828" s="49">
        <v>45952.0</v>
      </c>
      <c r="C828" s="45"/>
      <c r="D828" s="45">
        <v>1661.22</v>
      </c>
      <c r="E828" s="15" t="b">
        <v>0</v>
      </c>
      <c r="F828" s="45" t="s">
        <v>12</v>
      </c>
      <c r="G828" s="45" t="s">
        <v>710</v>
      </c>
      <c r="H828" s="18">
        <f t="shared" si="1"/>
        <v>1661.22</v>
      </c>
      <c r="I828" s="19" t="str">
        <f t="shared" si="3"/>
        <v>BONIFICO SEPADa Scalapay IP S.p.a. TRN 3601825102204491586902308030798-008 CBPSIT31XXX per 2025-10-21 - GEOS S SDRL - Scalapay IP S.p</v>
      </c>
    </row>
    <row r="829">
      <c r="A829" s="49">
        <v>45952.0</v>
      </c>
      <c r="B829" s="49">
        <v>45952.0</v>
      </c>
      <c r="C829" s="45"/>
      <c r="D829" s="45">
        <v>2329.0</v>
      </c>
      <c r="E829" s="15" t="b">
        <v>0</v>
      </c>
      <c r="F829" s="45" t="s">
        <v>12</v>
      </c>
      <c r="G829" s="45" t="s">
        <v>711</v>
      </c>
      <c r="H829" s="18">
        <f t="shared" si="1"/>
        <v>2329</v>
      </c>
      <c r="I829" s="19" t="str">
        <f t="shared" si="3"/>
        <v>BONIFICO SEPADa NEXI Payments Spa TRN 060514947125NPPASU0000000000IT CIPBITMM per PV 1000001228596 ACCREDITO CIRCUITI INTERNAZ. 21102</v>
      </c>
    </row>
    <row r="830">
      <c r="A830" s="49">
        <v>45952.0</v>
      </c>
      <c r="B830" s="49">
        <v>45952.0</v>
      </c>
      <c r="C830" s="45"/>
      <c r="D830" s="45">
        <v>185.0</v>
      </c>
      <c r="E830" s="15" t="b">
        <v>0</v>
      </c>
      <c r="F830" s="45" t="s">
        <v>12</v>
      </c>
      <c r="G830" s="45" t="s">
        <v>712</v>
      </c>
      <c r="H830" s="18">
        <f t="shared" si="1"/>
        <v>185</v>
      </c>
      <c r="I830" s="19" t="str">
        <f t="shared" si="3"/>
        <v>BONIFICO SEPADa NEXI Payments Spa TRN 060515041025NPPASU0000000000IT CIPBITMM per PV 1000001228637 ACCREDITO CIRCUITI INTERNAZ. 21102</v>
      </c>
    </row>
    <row r="831">
      <c r="A831" s="50">
        <v>45952.0</v>
      </c>
      <c r="B831" s="50">
        <v>45952.0</v>
      </c>
      <c r="C831" s="47"/>
      <c r="D831" s="47">
        <v>5800.0</v>
      </c>
      <c r="E831" s="15" t="b">
        <v>0</v>
      </c>
      <c r="F831" s="47" t="s">
        <v>58</v>
      </c>
      <c r="G831" s="47" t="s">
        <v>713</v>
      </c>
      <c r="H831" s="18">
        <f t="shared" si="1"/>
        <v>5800</v>
      </c>
      <c r="I831" s="19" t="str">
        <f t="shared" si="3"/>
        <v>VERSAMENTO CONTANTE IN UPU.P. 38530 MILANO 82</v>
      </c>
    </row>
    <row r="832">
      <c r="A832" s="44"/>
      <c r="B832" s="44"/>
      <c r="C832" s="45"/>
      <c r="D832" s="48"/>
      <c r="E832" s="15" t="b">
        <v>0</v>
      </c>
      <c r="F832" s="45"/>
      <c r="G832" s="45"/>
      <c r="H832" s="18">
        <f t="shared" si="1"/>
        <v>0</v>
      </c>
      <c r="I832" s="19" t="str">
        <f t="shared" si="3"/>
        <v/>
      </c>
    </row>
    <row r="833">
      <c r="A833" s="49">
        <v>45952.0</v>
      </c>
      <c r="B833" s="49">
        <v>45952.0</v>
      </c>
      <c r="C833" s="47"/>
      <c r="D833" s="45">
        <v>36.8</v>
      </c>
      <c r="E833" s="15" t="b">
        <v>0</v>
      </c>
      <c r="F833" s="45" t="s">
        <v>28</v>
      </c>
      <c r="G833" s="45" t="s">
        <v>714</v>
      </c>
      <c r="H833" s="18">
        <f t="shared" si="1"/>
        <v>36.8</v>
      </c>
      <c r="I833" s="19" t="str">
        <f t="shared" si="3"/>
        <v>BONIFICODa Satispay Europe S.A. TRN 4c187016f0be4759a4a14cba01d9fc3f SATYLUL1XXX per Geos ssdr</v>
      </c>
    </row>
    <row r="834">
      <c r="A834" s="49">
        <v>45952.0</v>
      </c>
      <c r="B834" s="49">
        <v>45952.0</v>
      </c>
      <c r="C834" s="45"/>
      <c r="D834" s="45">
        <v>201.3</v>
      </c>
      <c r="E834" s="15" t="b">
        <v>0</v>
      </c>
      <c r="F834" s="45" t="s">
        <v>12</v>
      </c>
      <c r="G834" s="45" t="s">
        <v>715</v>
      </c>
      <c r="H834" s="18">
        <f t="shared" si="1"/>
        <v>201.3</v>
      </c>
      <c r="I834" s="19" t="str">
        <f t="shared" si="3"/>
        <v>BONIFICO SEPADa DE MATTEIS STEFANIA TRN 0303229302025821480160001600IT BACRIT22XXX per GEOS SSD Fattura n.</v>
      </c>
    </row>
    <row r="835">
      <c r="A835" s="49">
        <v>45952.0</v>
      </c>
      <c r="B835" s="49">
        <v>45952.0</v>
      </c>
      <c r="C835" s="45">
        <v>-108.09</v>
      </c>
      <c r="D835" s="45"/>
      <c r="E835" s="15" t="b">
        <v>1</v>
      </c>
      <c r="F835" s="45" t="s">
        <v>112</v>
      </c>
      <c r="G835" s="45" t="s">
        <v>183</v>
      </c>
      <c r="H835" s="18">
        <f t="shared" si="1"/>
        <v>-108.09</v>
      </c>
      <c r="I835" s="19" t="str">
        <f t="shared" si="3"/>
        <v>DOMICILIAZIONE (ADDEBITO DIRETTO SEPA)NEXI P.              CID.IT500100000004107060966             MAN.792254495131800006</v>
      </c>
    </row>
    <row r="836">
      <c r="A836" s="49">
        <v>45951.0</v>
      </c>
      <c r="B836" s="49">
        <v>45951.0</v>
      </c>
      <c r="C836" s="45"/>
      <c r="D836" s="45">
        <v>170.0</v>
      </c>
      <c r="E836" s="15" t="b">
        <v>0</v>
      </c>
      <c r="F836" s="45" t="s">
        <v>145</v>
      </c>
      <c r="G836" s="45" t="s">
        <v>716</v>
      </c>
      <c r="H836" s="18">
        <f t="shared" si="1"/>
        <v>170</v>
      </c>
      <c r="I836" s="19" t="str">
        <f t="shared" si="3"/>
        <v>BONIFICO SEPA ISTANTANEOTRN FIBKITMMXXX 0329625365498802480160101601IT DA STABILINI LINDA PER Pagamento fattura 339v1</v>
      </c>
    </row>
    <row r="837">
      <c r="A837" s="49">
        <v>45951.0</v>
      </c>
      <c r="B837" s="49">
        <v>45951.0</v>
      </c>
      <c r="C837" s="45"/>
      <c r="D837" s="45">
        <v>382.8</v>
      </c>
      <c r="E837" s="15" t="b">
        <v>0</v>
      </c>
      <c r="F837" s="45" t="s">
        <v>12</v>
      </c>
      <c r="G837" s="45" t="s">
        <v>717</v>
      </c>
      <c r="H837" s="18">
        <f t="shared" si="1"/>
        <v>382.8</v>
      </c>
      <c r="I837" s="19" t="str">
        <f t="shared" si="3"/>
        <v>BONIFICO SEPADa Scalapay IP S.p.a. TRN 3601825102104491536493001874091-008 CBPSIT31XXX per 2025-10-20 - GEOS S SDRL - Scalapay IP S.p</v>
      </c>
    </row>
    <row r="838">
      <c r="A838" s="49">
        <v>45951.0</v>
      </c>
      <c r="B838" s="49">
        <v>45951.0</v>
      </c>
      <c r="C838" s="45"/>
      <c r="D838" s="45">
        <v>82.0</v>
      </c>
      <c r="E838" s="15" t="b">
        <v>0</v>
      </c>
      <c r="F838" s="45" t="s">
        <v>12</v>
      </c>
      <c r="G838" s="45" t="s">
        <v>718</v>
      </c>
      <c r="H838" s="18">
        <f t="shared" si="1"/>
        <v>82</v>
      </c>
      <c r="I838" s="19" t="str">
        <f t="shared" si="3"/>
        <v>BONIFICO SEPADa NEXI Payments Spa TRN 060414153075NPPASU0000000000IT CIPBITMM per PV 1000001228637 ACCREDITO CIRCUITI INTERNAZ. 20102</v>
      </c>
    </row>
    <row r="839">
      <c r="A839" s="49">
        <v>45951.0</v>
      </c>
      <c r="B839" s="49">
        <v>45951.0</v>
      </c>
      <c r="C839" s="45"/>
      <c r="D839" s="45">
        <v>1278.0</v>
      </c>
      <c r="E839" s="15" t="b">
        <v>0</v>
      </c>
      <c r="F839" s="45" t="s">
        <v>12</v>
      </c>
      <c r="G839" s="45" t="s">
        <v>719</v>
      </c>
      <c r="H839" s="18">
        <f t="shared" si="1"/>
        <v>1278</v>
      </c>
      <c r="I839" s="19" t="str">
        <f t="shared" si="3"/>
        <v>BONIFICO SEPADa NEXI Payments Spa TRN 060413748055NPPASU0000000000IT CIPBITMM per PV 1000001228596 ACCREDITO BANCOMAT 201025 RIF 9594</v>
      </c>
    </row>
    <row r="840">
      <c r="A840" s="49">
        <v>45951.0</v>
      </c>
      <c r="B840" s="49">
        <v>45951.0</v>
      </c>
      <c r="C840" s="45"/>
      <c r="D840" s="45">
        <v>1844.0</v>
      </c>
      <c r="E840" s="15" t="b">
        <v>0</v>
      </c>
      <c r="F840" s="45" t="s">
        <v>12</v>
      </c>
      <c r="G840" s="45" t="s">
        <v>720</v>
      </c>
      <c r="H840" s="18">
        <f t="shared" si="1"/>
        <v>1844</v>
      </c>
      <c r="I840" s="19" t="str">
        <f t="shared" si="3"/>
        <v>BONIFICO SEPADa NEXI Payments Spa TRN 060413743005NPPASU0000000000IT CIPBITMM per PV 1000001228596 ACCREDITO CIRCUITI INTERNAZ. 20102</v>
      </c>
    </row>
    <row r="841">
      <c r="A841" s="49">
        <v>45950.0</v>
      </c>
      <c r="B841" s="49">
        <v>45950.0</v>
      </c>
      <c r="C841" s="45">
        <v>-1908.39</v>
      </c>
      <c r="D841" s="45"/>
      <c r="E841" s="15" t="b">
        <v>1</v>
      </c>
      <c r="F841" s="45" t="s">
        <v>12</v>
      </c>
      <c r="G841" s="45" t="s">
        <v>721</v>
      </c>
      <c r="H841" s="18">
        <f t="shared" si="1"/>
        <v>-1908.39</v>
      </c>
      <c r="I841" s="19" t="str">
        <f t="shared" si="3"/>
        <v>BONIFICO SEPADistinta: 176094554733500PODEF</v>
      </c>
    </row>
    <row r="842">
      <c r="A842" s="49">
        <v>45950.0</v>
      </c>
      <c r="B842" s="49">
        <v>45950.0</v>
      </c>
      <c r="C842" s="45">
        <v>-145.0</v>
      </c>
      <c r="D842" s="45"/>
      <c r="E842" s="15" t="b">
        <v>1</v>
      </c>
      <c r="F842" s="45" t="s">
        <v>12</v>
      </c>
      <c r="G842" s="45" t="s">
        <v>722</v>
      </c>
      <c r="H842" s="18">
        <f t="shared" si="1"/>
        <v>-145</v>
      </c>
      <c r="I842" s="19" t="str">
        <f t="shared" si="3"/>
        <v>BONIFICO SEPADistinta: 176094903901201NCDEF</v>
      </c>
    </row>
    <row r="843">
      <c r="A843" s="49">
        <v>45950.0</v>
      </c>
      <c r="B843" s="49">
        <v>45950.0</v>
      </c>
      <c r="C843" s="45"/>
      <c r="D843" s="45">
        <v>1822.5</v>
      </c>
      <c r="E843" s="15" t="b">
        <v>0</v>
      </c>
      <c r="F843" s="45" t="s">
        <v>12</v>
      </c>
      <c r="G843" s="45" t="s">
        <v>723</v>
      </c>
      <c r="H843" s="18">
        <f t="shared" si="1"/>
        <v>1822.5</v>
      </c>
      <c r="I843" s="19" t="str">
        <f t="shared" si="3"/>
        <v>BONIFICO SEPADa NEXI Payments Spa TRN 060208033025NPPASU0000000000IT CIPBITMM per PV 1000001228596 ACCREDITO CIRCUITI INTERNAZ. 17102</v>
      </c>
    </row>
    <row r="844">
      <c r="A844" s="49">
        <v>45950.0</v>
      </c>
      <c r="B844" s="49">
        <v>45950.0</v>
      </c>
      <c r="C844" s="45"/>
      <c r="D844" s="45">
        <v>117.0</v>
      </c>
      <c r="E844" s="15" t="b">
        <v>0</v>
      </c>
      <c r="F844" s="45" t="s">
        <v>12</v>
      </c>
      <c r="G844" s="45" t="s">
        <v>724</v>
      </c>
      <c r="H844" s="18">
        <f t="shared" si="1"/>
        <v>117</v>
      </c>
      <c r="I844" s="19" t="str">
        <f t="shared" si="3"/>
        <v>BONIFICO SEPADa NEXI Payments Spa TRN 060208659045NPPASU0000000000IT CIPBITMM per PV 1000001228637 ACCREDITO CIRCUITI INTERNAZ. 17102</v>
      </c>
    </row>
    <row r="845">
      <c r="A845" s="49">
        <v>45950.0</v>
      </c>
      <c r="B845" s="49">
        <v>45950.0</v>
      </c>
      <c r="C845" s="45"/>
      <c r="D845" s="45">
        <v>237.5</v>
      </c>
      <c r="E845" s="15" t="b">
        <v>0</v>
      </c>
      <c r="F845" s="45" t="s">
        <v>12</v>
      </c>
      <c r="G845" s="45" t="s">
        <v>725</v>
      </c>
      <c r="H845" s="18">
        <f t="shared" si="1"/>
        <v>237.5</v>
      </c>
      <c r="I845" s="19" t="str">
        <f t="shared" si="3"/>
        <v>BONIFICO SEPADa NEXI Payments Spa TRN 060208042115NPPASU0000000000IT CIPBITMM per PV 1000001228596 ACCREDITO BANCOMAT 171025 RIF 9553</v>
      </c>
    </row>
    <row r="846">
      <c r="A846" s="49">
        <v>45950.0</v>
      </c>
      <c r="B846" s="49">
        <v>45950.0</v>
      </c>
      <c r="C846" s="45"/>
      <c r="D846" s="45">
        <v>430.0</v>
      </c>
      <c r="E846" s="15" t="b">
        <v>0</v>
      </c>
      <c r="F846" s="45" t="s">
        <v>12</v>
      </c>
      <c r="G846" s="45" t="s">
        <v>726</v>
      </c>
      <c r="H846" s="18">
        <f t="shared" si="1"/>
        <v>430</v>
      </c>
      <c r="I846" s="19" t="str">
        <f t="shared" si="3"/>
        <v>BONIFICO SEPADa NEXI Payments Spa TRN 060266745065NPPASU0000000000IT CIPBITMM per PV 1000001228596 ACCREDITO CIRCUITI INTERNAZ. 18102</v>
      </c>
    </row>
    <row r="847">
      <c r="A847" s="49">
        <v>45950.0</v>
      </c>
      <c r="B847" s="49">
        <v>45950.0</v>
      </c>
      <c r="C847" s="45"/>
      <c r="D847" s="45">
        <v>90.0</v>
      </c>
      <c r="E847" s="15" t="b">
        <v>0</v>
      </c>
      <c r="F847" s="45" t="s">
        <v>12</v>
      </c>
      <c r="G847" s="45" t="s">
        <v>727</v>
      </c>
      <c r="H847" s="18">
        <f t="shared" si="1"/>
        <v>90</v>
      </c>
      <c r="I847" s="19" t="str">
        <f t="shared" si="3"/>
        <v>BONIFICO SEPADa NEXI Payments Spa TRN 060268281085NPPASU0000000000IT CIPBITMM per PV 1000001228637 ACCREDITO CIRCUITI INTERNAZ. 18102</v>
      </c>
    </row>
    <row r="848">
      <c r="A848" s="49">
        <v>45950.0</v>
      </c>
      <c r="B848" s="49">
        <v>45950.0</v>
      </c>
      <c r="C848" s="45"/>
      <c r="D848" s="45">
        <v>20.0</v>
      </c>
      <c r="E848" s="15" t="b">
        <v>0</v>
      </c>
      <c r="F848" s="45" t="s">
        <v>12</v>
      </c>
      <c r="G848" s="45" t="s">
        <v>728</v>
      </c>
      <c r="H848" s="18">
        <f t="shared" si="1"/>
        <v>20</v>
      </c>
      <c r="I848" s="19" t="str">
        <f t="shared" si="3"/>
        <v>BONIFICO SEPADa NEXI Payments Spa TRN 060266754025NPPASU0000000000IT CIPBITMM per PV 1000001228596 ACCREDITO BANCOMAT 181025 RIF 9570</v>
      </c>
    </row>
    <row r="849">
      <c r="A849" s="49">
        <v>45950.0</v>
      </c>
      <c r="B849" s="49">
        <v>45950.0</v>
      </c>
      <c r="C849" s="45"/>
      <c r="D849" s="45">
        <v>165.0</v>
      </c>
      <c r="E849" s="15" t="b">
        <v>0</v>
      </c>
      <c r="F849" s="45" t="s">
        <v>12</v>
      </c>
      <c r="G849" s="45" t="s">
        <v>729</v>
      </c>
      <c r="H849" s="18">
        <f t="shared" si="1"/>
        <v>165</v>
      </c>
      <c r="I849" s="19" t="str">
        <f t="shared" si="3"/>
        <v>BONIFICO SEPADa NEXI Payments Spa TRN 060345341045NPPASU0000000000IT CIPBITMM per PV 1000001228637 ACCREDITO CIRCUITI INTERNAZ. 19102</v>
      </c>
    </row>
    <row r="850">
      <c r="A850" s="49">
        <v>45950.0</v>
      </c>
      <c r="B850" s="49">
        <v>45950.0</v>
      </c>
      <c r="C850" s="45"/>
      <c r="D850" s="45">
        <v>37.0</v>
      </c>
      <c r="E850" s="15" t="b">
        <v>0</v>
      </c>
      <c r="F850" s="45" t="s">
        <v>12</v>
      </c>
      <c r="G850" s="45" t="s">
        <v>730</v>
      </c>
      <c r="H850" s="18">
        <f t="shared" si="1"/>
        <v>37</v>
      </c>
      <c r="I850" s="19" t="str">
        <f t="shared" si="3"/>
        <v>BONIFICO SEPADa NEXI Payments Spa TRN 060345357075NPPASU0000000000IT CIPBITMM per PV 1000001228596 ACCREDITO CIRCUITI INTERNAZ. 19102</v>
      </c>
    </row>
    <row r="851">
      <c r="A851" s="49">
        <v>45950.0</v>
      </c>
      <c r="B851" s="49">
        <v>45950.0</v>
      </c>
      <c r="C851" s="45"/>
      <c r="D851" s="45">
        <v>1710.75</v>
      </c>
      <c r="E851" s="15" t="b">
        <v>0</v>
      </c>
      <c r="F851" s="45" t="s">
        <v>12</v>
      </c>
      <c r="G851" s="45" t="s">
        <v>731</v>
      </c>
      <c r="H851" s="18">
        <f t="shared" si="1"/>
        <v>1710.75</v>
      </c>
      <c r="I851" s="19" t="str">
        <f t="shared" si="3"/>
        <v>BONIFICO SEPADa Scalapay IP S.p.a. TRN 3601825102004494258019555942435-008 CBPSIT31XXX per 2025-10-19 - GEOS S SDRL - Scalapay IP S.p</v>
      </c>
    </row>
    <row r="852">
      <c r="A852" s="44"/>
      <c r="B852" s="44"/>
      <c r="C852" s="45"/>
      <c r="D852" s="48"/>
      <c r="E852" s="15" t="b">
        <v>0</v>
      </c>
      <c r="F852" s="45"/>
      <c r="G852" s="45"/>
      <c r="H852" s="18">
        <f t="shared" si="1"/>
        <v>0</v>
      </c>
      <c r="I852" s="19" t="str">
        <f t="shared" si="3"/>
        <v/>
      </c>
    </row>
    <row r="853">
      <c r="A853" s="49">
        <v>45947.0</v>
      </c>
      <c r="B853" s="49">
        <v>45947.0</v>
      </c>
      <c r="C853" s="45"/>
      <c r="D853" s="45">
        <v>492.0</v>
      </c>
      <c r="E853" s="15" t="b">
        <v>0</v>
      </c>
      <c r="F853" s="45" t="s">
        <v>12</v>
      </c>
      <c r="G853" s="45" t="s">
        <v>732</v>
      </c>
      <c r="H853" s="18">
        <f t="shared" si="1"/>
        <v>492</v>
      </c>
      <c r="I853" s="19" t="str">
        <f t="shared" si="3"/>
        <v>BONIFICO SEPADa NEXI Payments Spa TRN 060057118045NPPASU0000000000IT CIPBITMM per PV 1000001228637 ACCREDITO CIRCUITI INTERNAZ. 16102</v>
      </c>
    </row>
    <row r="854">
      <c r="A854" s="49">
        <v>45947.0</v>
      </c>
      <c r="B854" s="49">
        <v>45947.0</v>
      </c>
      <c r="C854" s="45"/>
      <c r="D854" s="45">
        <v>1005.0</v>
      </c>
      <c r="E854" s="15" t="b">
        <v>0</v>
      </c>
      <c r="F854" s="45" t="s">
        <v>12</v>
      </c>
      <c r="G854" s="45" t="s">
        <v>733</v>
      </c>
      <c r="H854" s="18">
        <f t="shared" si="1"/>
        <v>1005</v>
      </c>
      <c r="I854" s="19" t="str">
        <f t="shared" si="3"/>
        <v>BONIFICO SEPADa NEXI Payments Spa TRN 060059129005NPPASU0000000000IT CIPBITMM per PV 1000001228596 ACCREDITO BANCOMAT 161025 RIF 9537</v>
      </c>
    </row>
    <row r="855">
      <c r="A855" s="49">
        <v>45947.0</v>
      </c>
      <c r="B855" s="49">
        <v>45947.0</v>
      </c>
      <c r="C855" s="45"/>
      <c r="D855" s="45">
        <v>1614.0</v>
      </c>
      <c r="E855" s="15" t="b">
        <v>0</v>
      </c>
      <c r="F855" s="45" t="s">
        <v>12</v>
      </c>
      <c r="G855" s="45" t="s">
        <v>734</v>
      </c>
      <c r="H855" s="18">
        <f t="shared" si="1"/>
        <v>1614</v>
      </c>
      <c r="I855" s="19" t="str">
        <f t="shared" si="3"/>
        <v>BONIFICO SEPADa NEXI Payments Spa TRN 060059113105NPPASU0000000000IT CIPBITMM per PV 1000001228596 ACCREDITO CIRCUITI INTERNAZ. 16102</v>
      </c>
    </row>
    <row r="856">
      <c r="A856" s="44"/>
      <c r="B856" s="44"/>
      <c r="C856" s="45"/>
      <c r="D856" s="48"/>
      <c r="E856" s="15" t="b">
        <v>0</v>
      </c>
      <c r="F856" s="45"/>
      <c r="G856" s="45"/>
      <c r="H856" s="18">
        <f t="shared" si="1"/>
        <v>0</v>
      </c>
      <c r="I856" s="19" t="str">
        <f t="shared" si="3"/>
        <v/>
      </c>
    </row>
    <row r="857">
      <c r="A857" s="44"/>
      <c r="B857" s="44"/>
      <c r="C857" s="45"/>
      <c r="D857" s="48"/>
      <c r="E857" s="15" t="b">
        <v>0</v>
      </c>
      <c r="F857" s="45"/>
      <c r="G857" s="45"/>
      <c r="H857" s="18">
        <f t="shared" si="1"/>
        <v>0</v>
      </c>
      <c r="I857" s="19" t="str">
        <f t="shared" si="3"/>
        <v/>
      </c>
    </row>
    <row r="858">
      <c r="A858" s="49">
        <v>45947.0</v>
      </c>
      <c r="B858" s="49">
        <v>45947.0</v>
      </c>
      <c r="C858" s="45"/>
      <c r="D858" s="45">
        <v>968.95</v>
      </c>
      <c r="E858" s="15" t="b">
        <v>0</v>
      </c>
      <c r="F858" s="45" t="s">
        <v>12</v>
      </c>
      <c r="G858" s="45" t="s">
        <v>735</v>
      </c>
      <c r="H858" s="18">
        <f t="shared" si="1"/>
        <v>968.95</v>
      </c>
      <c r="I858" s="19" t="str">
        <f t="shared" si="3"/>
        <v>BONIFICO SEPADa Scalapay IP S.p.a. TRN 3601825101704512322560046424011-008 CBPSIT31XXX per 2025-10-16 - GEOS S SDRL - Scalapay IP S.p</v>
      </c>
    </row>
    <row r="859">
      <c r="A859" s="49">
        <v>45947.0</v>
      </c>
      <c r="B859" s="49">
        <v>45947.0</v>
      </c>
      <c r="C859" s="45"/>
      <c r="D859" s="45">
        <v>19.8</v>
      </c>
      <c r="E859" s="15" t="b">
        <v>0</v>
      </c>
      <c r="F859" s="45" t="s">
        <v>28</v>
      </c>
      <c r="G859" s="45" t="s">
        <v>736</v>
      </c>
      <c r="H859" s="18">
        <f t="shared" si="1"/>
        <v>19.8</v>
      </c>
      <c r="I859" s="19" t="str">
        <f t="shared" si="3"/>
        <v>BONIFICODa Satispay Europe S.A. TRN 8bf0e0ee4a014aa6a6655d34923a7b66 SATYLUL1XXX per Geos ssdr</v>
      </c>
    </row>
    <row r="860">
      <c r="A860" s="49">
        <v>45946.0</v>
      </c>
      <c r="B860" s="49">
        <v>45946.0</v>
      </c>
      <c r="C860" s="45"/>
      <c r="D860" s="45">
        <v>280.95</v>
      </c>
      <c r="E860" s="15" t="b">
        <v>0</v>
      </c>
      <c r="F860" s="45" t="s">
        <v>12</v>
      </c>
      <c r="G860" s="45" t="s">
        <v>737</v>
      </c>
      <c r="H860" s="18">
        <f t="shared" si="1"/>
        <v>280.95</v>
      </c>
      <c r="I860" s="19" t="str">
        <f t="shared" si="3"/>
        <v>BONIFICO SEPADa Scalapay IP S.p.a. TRN 3601825101604494972062745905896-008 CBPSIT31XXX per 2025-10-15 - GEOS S SDRL - Scalapay IP S.p</v>
      </c>
    </row>
    <row r="861">
      <c r="A861" s="49">
        <v>45946.0</v>
      </c>
      <c r="B861" s="49">
        <v>45946.0</v>
      </c>
      <c r="C861" s="45"/>
      <c r="D861" s="45">
        <v>815.0</v>
      </c>
      <c r="E861" s="15" t="b">
        <v>0</v>
      </c>
      <c r="F861" s="45" t="s">
        <v>12</v>
      </c>
      <c r="G861" s="45" t="s">
        <v>738</v>
      </c>
      <c r="H861" s="18">
        <f t="shared" si="1"/>
        <v>815</v>
      </c>
      <c r="I861" s="19" t="str">
        <f t="shared" si="3"/>
        <v>BONIFICO SEPADa NEXI Payments Spa TRN 059952680085NPPASU0000000000IT CIPBITMM per PV 1000001228596 ACCREDITO BANCOMAT 151025 RIF 9522</v>
      </c>
    </row>
    <row r="862">
      <c r="A862" s="49">
        <v>45946.0</v>
      </c>
      <c r="B862" s="49">
        <v>45946.0</v>
      </c>
      <c r="C862" s="45"/>
      <c r="D862" s="45">
        <v>699.0</v>
      </c>
      <c r="E862" s="15" t="b">
        <v>0</v>
      </c>
      <c r="F862" s="45" t="s">
        <v>12</v>
      </c>
      <c r="G862" s="45" t="s">
        <v>739</v>
      </c>
      <c r="H862" s="18">
        <f t="shared" si="1"/>
        <v>699</v>
      </c>
      <c r="I862" s="19" t="str">
        <f t="shared" si="3"/>
        <v>BONIFICO SEPADa NEXI Payments Spa TRN 059953762115NPPASU0000000000IT CIPBITMM per PV 1000001228637 ACCREDITO CIRCUITI INTERNAZ. 15102</v>
      </c>
    </row>
    <row r="863">
      <c r="A863" s="49">
        <v>45946.0</v>
      </c>
      <c r="B863" s="49">
        <v>45946.0</v>
      </c>
      <c r="C863" s="45"/>
      <c r="D863" s="45">
        <v>1650.0</v>
      </c>
      <c r="E863" s="15" t="b">
        <v>0</v>
      </c>
      <c r="F863" s="45" t="s">
        <v>12</v>
      </c>
      <c r="G863" s="45" t="s">
        <v>740</v>
      </c>
      <c r="H863" s="18">
        <f t="shared" si="1"/>
        <v>1650</v>
      </c>
      <c r="I863" s="19" t="str">
        <f t="shared" si="3"/>
        <v>BONIFICO SEPADa NEXI Payments Spa TRN 059952676045NPPASU0000000000IT CIPBITMM per PV 1000001228596 ACCREDITO CIRCUITI INTERNAZ. 15102</v>
      </c>
    </row>
    <row r="864">
      <c r="A864" s="49">
        <v>45945.0</v>
      </c>
      <c r="B864" s="49">
        <v>45945.0</v>
      </c>
      <c r="C864" s="45">
        <v>-1100.0</v>
      </c>
      <c r="D864" s="45"/>
      <c r="E864" s="15" t="b">
        <v>1</v>
      </c>
      <c r="F864" s="45" t="s">
        <v>12</v>
      </c>
      <c r="G864" s="45" t="s">
        <v>741</v>
      </c>
      <c r="H864" s="18">
        <f t="shared" si="1"/>
        <v>-1100</v>
      </c>
      <c r="I864" s="19" t="str">
        <f t="shared" si="3"/>
        <v>BONIFICO SEPADistinta: 17605147758200O8LDEF</v>
      </c>
    </row>
    <row r="865">
      <c r="A865" s="49">
        <v>45945.0</v>
      </c>
      <c r="B865" s="49">
        <v>45945.0</v>
      </c>
      <c r="C865" s="45"/>
      <c r="D865" s="45">
        <v>20.0</v>
      </c>
      <c r="E865" s="15" t="b">
        <v>0</v>
      </c>
      <c r="F865" s="45" t="s">
        <v>12</v>
      </c>
      <c r="G865" s="45" t="s">
        <v>742</v>
      </c>
      <c r="H865" s="18">
        <f t="shared" si="1"/>
        <v>20</v>
      </c>
      <c r="I865" s="19" t="str">
        <f t="shared" si="3"/>
        <v>BONIFICO SEPADa NEXI Payments Spa TRN 059849386125NPPASU0000000000IT CIPBITMM per PV 1000001228596 ACCREDITO BANCOMAT 141025 RIF 9507</v>
      </c>
    </row>
    <row r="866">
      <c r="A866" s="49">
        <v>45945.0</v>
      </c>
      <c r="B866" s="49">
        <v>45945.0</v>
      </c>
      <c r="C866" s="45"/>
      <c r="D866" s="45">
        <v>212.0</v>
      </c>
      <c r="E866" s="15" t="b">
        <v>0</v>
      </c>
      <c r="F866" s="45" t="s">
        <v>12</v>
      </c>
      <c r="G866" s="45" t="s">
        <v>743</v>
      </c>
      <c r="H866" s="18">
        <f t="shared" si="1"/>
        <v>212</v>
      </c>
      <c r="I866" s="19" t="str">
        <f t="shared" si="3"/>
        <v>BONIFICO SEPADa NEXI Payments Spa TRN 059850500085NPPASU0000000000IT CIPBITMM per PV 1000001228637 ACCREDITO CIRCUITI INTERNAZ. 14102</v>
      </c>
    </row>
    <row r="867">
      <c r="A867" s="49">
        <v>45945.0</v>
      </c>
      <c r="B867" s="49">
        <v>45945.0</v>
      </c>
      <c r="C867" s="45"/>
      <c r="D867" s="45">
        <v>2143.89</v>
      </c>
      <c r="E867" s="15" t="b">
        <v>0</v>
      </c>
      <c r="F867" s="45" t="s">
        <v>12</v>
      </c>
      <c r="G867" s="45" t="s">
        <v>744</v>
      </c>
      <c r="H867" s="18">
        <f t="shared" si="1"/>
        <v>2143.89</v>
      </c>
      <c r="I867" s="19" t="str">
        <f t="shared" si="3"/>
        <v>BONIFICO SEPADa Scalapay IP S.p.a. TRN 3601825101504495146340111284712-008 CBPSIT31XXX per 2025-10-14 - GEOS S SDRL - Scalapay IP S.p</v>
      </c>
    </row>
    <row r="868">
      <c r="A868" s="49">
        <v>45945.0</v>
      </c>
      <c r="B868" s="49">
        <v>45945.0</v>
      </c>
      <c r="C868" s="45"/>
      <c r="D868" s="45">
        <v>875.0</v>
      </c>
      <c r="E868" s="15" t="b">
        <v>0</v>
      </c>
      <c r="F868" s="45" t="s">
        <v>12</v>
      </c>
      <c r="G868" s="45" t="s">
        <v>745</v>
      </c>
      <c r="H868" s="18">
        <f t="shared" si="1"/>
        <v>875</v>
      </c>
      <c r="I868" s="19" t="str">
        <f t="shared" si="3"/>
        <v>BONIFICO SEPADa NEXI Payments Spa TRN 059849373125NPPASU0000000000IT CIPBITMM per PV 1000001228596 ACCREDITO CIRCUITI INTERNAZ. 14102</v>
      </c>
    </row>
    <row r="869">
      <c r="A869" s="49"/>
      <c r="B869" s="49"/>
      <c r="C869" s="45"/>
      <c r="D869" s="45"/>
      <c r="E869" s="15" t="b">
        <v>0</v>
      </c>
      <c r="F869" s="45"/>
      <c r="G869" s="45"/>
      <c r="H869" s="18">
        <f t="shared" si="1"/>
        <v>0</v>
      </c>
      <c r="I869" s="19" t="str">
        <f t="shared" si="3"/>
        <v/>
      </c>
    </row>
    <row r="870">
      <c r="A870" s="49"/>
      <c r="B870" s="49"/>
      <c r="C870" s="45"/>
      <c r="D870" s="45"/>
      <c r="E870" s="15" t="b">
        <v>0</v>
      </c>
      <c r="F870" s="45"/>
      <c r="G870" s="45"/>
      <c r="H870" s="18">
        <f t="shared" si="1"/>
        <v>0</v>
      </c>
      <c r="I870" s="19" t="str">
        <f t="shared" si="3"/>
        <v/>
      </c>
    </row>
    <row r="871">
      <c r="A871" s="44"/>
      <c r="B871" s="44"/>
      <c r="C871" s="45"/>
      <c r="D871" s="45"/>
      <c r="E871" s="15" t="b">
        <v>0</v>
      </c>
      <c r="F871" s="45"/>
      <c r="G871" s="45"/>
      <c r="H871" s="18">
        <f t="shared" si="1"/>
        <v>0</v>
      </c>
      <c r="I871" s="19" t="str">
        <f t="shared" si="3"/>
        <v/>
      </c>
    </row>
    <row r="872">
      <c r="A872" s="49">
        <v>45945.0</v>
      </c>
      <c r="B872" s="49">
        <v>45945.0</v>
      </c>
      <c r="C872" s="45"/>
      <c r="D872" s="45">
        <v>336.0</v>
      </c>
      <c r="E872" s="15" t="b">
        <v>0</v>
      </c>
      <c r="F872" s="45" t="s">
        <v>28</v>
      </c>
      <c r="G872" s="45" t="s">
        <v>746</v>
      </c>
      <c r="H872" s="18">
        <f t="shared" si="1"/>
        <v>336</v>
      </c>
      <c r="I872" s="19" t="str">
        <f t="shared" si="3"/>
        <v>BONIFICODa Gympass US LLC TRN FDNBGQ5KL5N6 CHASNL2XXXX per WellhubGym</v>
      </c>
    </row>
    <row r="873">
      <c r="A873" s="49">
        <v>45945.0</v>
      </c>
      <c r="B873" s="49">
        <v>45945.0</v>
      </c>
      <c r="C873" s="47"/>
      <c r="D873" s="45">
        <v>122.0</v>
      </c>
      <c r="E873" s="15" t="b">
        <v>0</v>
      </c>
      <c r="F873" s="45" t="s">
        <v>12</v>
      </c>
      <c r="G873" s="45" t="s">
        <v>747</v>
      </c>
      <c r="H873" s="18">
        <f t="shared" si="1"/>
        <v>122</v>
      </c>
      <c r="I873" s="19" t="str">
        <f t="shared" si="3"/>
        <v>BONIFICO SEPADa ENCANTO CLUB LATINO ASS NE SPOR VA TRN 0306905753023900S90960609606IT BCITITMMXXX per Pagamento FT 362 del 13/10/25</v>
      </c>
    </row>
    <row r="874">
      <c r="A874" s="49">
        <v>45944.0</v>
      </c>
      <c r="B874" s="49">
        <v>45944.0</v>
      </c>
      <c r="C874" s="45">
        <v>-1812.5</v>
      </c>
      <c r="D874" s="45"/>
      <c r="E874" s="15" t="b">
        <v>1</v>
      </c>
      <c r="F874" s="45" t="s">
        <v>12</v>
      </c>
      <c r="G874" s="45" t="s">
        <v>748</v>
      </c>
      <c r="H874" s="18">
        <f t="shared" si="1"/>
        <v>-1812.5</v>
      </c>
      <c r="I874" s="19" t="str">
        <f t="shared" si="3"/>
        <v>BONIFICO SEPADistinta: 176042918408707THDEF</v>
      </c>
    </row>
    <row r="875">
      <c r="A875" s="49">
        <v>45944.0</v>
      </c>
      <c r="B875" s="49">
        <v>45944.0</v>
      </c>
      <c r="C875" s="45">
        <v>-156.51</v>
      </c>
      <c r="D875" s="47"/>
      <c r="E875" s="15" t="b">
        <v>1</v>
      </c>
      <c r="F875" s="45" t="s">
        <v>12</v>
      </c>
      <c r="G875" s="45" t="s">
        <v>749</v>
      </c>
      <c r="H875" s="18">
        <f t="shared" si="1"/>
        <v>-156.51</v>
      </c>
      <c r="I875" s="19" t="str">
        <f t="shared" si="3"/>
        <v>BONIFICO SEPADistinta: 1760428784141089NDEF</v>
      </c>
    </row>
    <row r="876">
      <c r="A876" s="49">
        <v>45944.0</v>
      </c>
      <c r="B876" s="49">
        <v>45944.0</v>
      </c>
      <c r="C876" s="45">
        <v>-635.96</v>
      </c>
      <c r="D876" s="45"/>
      <c r="E876" s="15" t="b">
        <v>1</v>
      </c>
      <c r="F876" s="45" t="s">
        <v>12</v>
      </c>
      <c r="G876" s="45" t="s">
        <v>750</v>
      </c>
      <c r="H876" s="18">
        <f t="shared" si="1"/>
        <v>-635.96</v>
      </c>
      <c r="I876" s="19" t="str">
        <f t="shared" si="3"/>
        <v>BONIFICO SEPADistinta: 17604286758990DL4DEF</v>
      </c>
    </row>
    <row r="877">
      <c r="A877" s="49">
        <v>45944.0</v>
      </c>
      <c r="B877" s="49">
        <v>45944.0</v>
      </c>
      <c r="C877" s="45">
        <v>-218.34</v>
      </c>
      <c r="D877" s="45"/>
      <c r="E877" s="15" t="b">
        <v>1</v>
      </c>
      <c r="F877" s="45" t="s">
        <v>12</v>
      </c>
      <c r="G877" s="45" t="s">
        <v>751</v>
      </c>
      <c r="H877" s="18">
        <f t="shared" si="1"/>
        <v>-218.34</v>
      </c>
      <c r="I877" s="19" t="str">
        <f t="shared" si="3"/>
        <v>BONIFICO SEPADistinta: 176042832496507ONDEF</v>
      </c>
    </row>
    <row r="878">
      <c r="A878" s="49">
        <v>45944.0</v>
      </c>
      <c r="B878" s="49">
        <v>45944.0</v>
      </c>
      <c r="C878" s="45"/>
      <c r="D878" s="45">
        <v>1675.0</v>
      </c>
      <c r="E878" s="15" t="b">
        <v>0</v>
      </c>
      <c r="F878" s="45" t="s">
        <v>12</v>
      </c>
      <c r="G878" s="45" t="s">
        <v>752</v>
      </c>
      <c r="H878" s="18">
        <f t="shared" si="1"/>
        <v>1675</v>
      </c>
      <c r="I878" s="19" t="str">
        <f t="shared" si="3"/>
        <v>BONIFICO SEPADa NEXI Payments Spa TRN 059752275115NPPASU0000000000IT CIPBITMM per PV 1000001228596 ACCREDITO CIRCUITI INTERNAZ. 13102</v>
      </c>
    </row>
    <row r="879">
      <c r="A879" s="49">
        <v>45944.0</v>
      </c>
      <c r="B879" s="49">
        <v>45944.0</v>
      </c>
      <c r="C879" s="45"/>
      <c r="D879" s="45">
        <v>635.0</v>
      </c>
      <c r="E879" s="15" t="b">
        <v>0</v>
      </c>
      <c r="F879" s="45" t="s">
        <v>12</v>
      </c>
      <c r="G879" s="45" t="s">
        <v>753</v>
      </c>
      <c r="H879" s="18">
        <f t="shared" si="1"/>
        <v>635</v>
      </c>
      <c r="I879" s="19" t="str">
        <f t="shared" si="3"/>
        <v>BONIFICO SEPADa NEXI Payments Spa TRN 059752286095NPPASU0000000000IT CIPBITMM per PV 1000001228596 ACCREDITO BANCOMAT 131025 RIF 9492</v>
      </c>
    </row>
    <row r="880">
      <c r="A880" s="49">
        <v>45944.0</v>
      </c>
      <c r="B880" s="49">
        <v>45944.0</v>
      </c>
      <c r="C880" s="45"/>
      <c r="D880" s="45">
        <v>542.0</v>
      </c>
      <c r="E880" s="15" t="b">
        <v>0</v>
      </c>
      <c r="F880" s="45" t="s">
        <v>12</v>
      </c>
      <c r="G880" s="45" t="s">
        <v>754</v>
      </c>
      <c r="H880" s="18">
        <f t="shared" si="1"/>
        <v>542</v>
      </c>
      <c r="I880" s="19" t="str">
        <f t="shared" si="3"/>
        <v>BONIFICO SEPADa NEXI Payments Spa TRN 059752443105NPPASU0000000000IT CIPBITMM per PV 1000001228637 ACCREDITO CIRCUITI INTERNAZ. 13102</v>
      </c>
    </row>
    <row r="881">
      <c r="A881" s="49">
        <v>45944.0</v>
      </c>
      <c r="B881" s="49">
        <v>45944.0</v>
      </c>
      <c r="C881" s="45"/>
      <c r="D881" s="45">
        <v>3355.18</v>
      </c>
      <c r="E881" s="15" t="b">
        <v>0</v>
      </c>
      <c r="F881" s="45" t="s">
        <v>12</v>
      </c>
      <c r="G881" s="45" t="s">
        <v>755</v>
      </c>
      <c r="H881" s="18">
        <f t="shared" si="1"/>
        <v>3355.18</v>
      </c>
      <c r="I881" s="19" t="str">
        <f t="shared" si="3"/>
        <v>BONIFICO SEPADa Scalapay IP S.p.a. TRN 3601825101404493514725896344088-008 CBPSIT31XXX per 2025-10-13 - GEOS S SDRL - Scalapay IP S.p</v>
      </c>
    </row>
    <row r="882">
      <c r="A882" s="49">
        <v>45944.0</v>
      </c>
      <c r="B882" s="49">
        <v>45944.0</v>
      </c>
      <c r="C882" s="45"/>
      <c r="D882" s="45">
        <v>170.8</v>
      </c>
      <c r="E882" s="15" t="b">
        <v>0</v>
      </c>
      <c r="F882" s="45" t="s">
        <v>12</v>
      </c>
      <c r="G882" s="45" t="s">
        <v>756</v>
      </c>
      <c r="H882" s="18">
        <f t="shared" si="1"/>
        <v>170.8</v>
      </c>
      <c r="I882" s="19" t="str">
        <f t="shared" si="3"/>
        <v>BONIFICO SEPADa STABILINI LINDA TRN 0329605551252907480160033040IT FIBKITMMXXX per Pagamento fattura 339v1</v>
      </c>
    </row>
    <row r="883">
      <c r="A883" s="49">
        <v>45944.0</v>
      </c>
      <c r="B883" s="49">
        <v>45944.0</v>
      </c>
      <c r="C883" s="45"/>
      <c r="D883" s="45">
        <v>2000.0</v>
      </c>
      <c r="E883" s="15" t="b">
        <v>0</v>
      </c>
      <c r="F883" s="45" t="s">
        <v>12</v>
      </c>
      <c r="G883" s="45" t="s">
        <v>757</v>
      </c>
      <c r="H883" s="18">
        <f t="shared" si="1"/>
        <v>2000</v>
      </c>
      <c r="I883" s="19" t="str">
        <f t="shared" si="3"/>
        <v>BONIFICO SEPADa REGIONE LOMBARDIA TRN 0306926991196208480979009790IT BCITITMMXXX per MAND. N. 47028- 34311 CUPE84J25000130002 SALDO C</v>
      </c>
    </row>
    <row r="884">
      <c r="A884" s="49">
        <v>45944.0</v>
      </c>
      <c r="B884" s="49">
        <v>45944.0</v>
      </c>
      <c r="C884" s="45"/>
      <c r="D884" s="45">
        <v>5000.0</v>
      </c>
      <c r="E884" s="15" t="b">
        <v>0</v>
      </c>
      <c r="F884" s="45" t="s">
        <v>58</v>
      </c>
      <c r="G884" s="45" t="s">
        <v>59</v>
      </c>
      <c r="H884" s="18">
        <f t="shared" si="1"/>
        <v>5000</v>
      </c>
      <c r="I884" s="19" t="str">
        <f t="shared" si="3"/>
        <v>VERSAMENTO CONTANTE IN UPU.P.38530 MILANO 82            POSTAMAT N 76018970575871050                 CARTA 75871050</v>
      </c>
    </row>
    <row r="885">
      <c r="A885" s="49">
        <v>45943.0</v>
      </c>
      <c r="B885" s="49">
        <v>45943.0</v>
      </c>
      <c r="C885" s="45">
        <v>-626.08</v>
      </c>
      <c r="D885" s="45"/>
      <c r="E885" s="15" t="b">
        <v>1</v>
      </c>
      <c r="F885" s="45" t="s">
        <v>12</v>
      </c>
      <c r="G885" s="45" t="s">
        <v>758</v>
      </c>
      <c r="H885" s="18">
        <f t="shared" si="1"/>
        <v>-626.08</v>
      </c>
      <c r="I885" s="19" t="str">
        <f t="shared" si="3"/>
        <v>BONIFICO SEPADistinta: 17601039324330HFRDEF</v>
      </c>
    </row>
    <row r="886">
      <c r="A886" s="49">
        <v>45943.0</v>
      </c>
      <c r="B886" s="49">
        <v>45943.0</v>
      </c>
      <c r="C886" s="45"/>
      <c r="D886" s="45">
        <v>251.0</v>
      </c>
      <c r="E886" s="15" t="b">
        <v>0</v>
      </c>
      <c r="F886" s="45" t="s">
        <v>12</v>
      </c>
      <c r="G886" s="45" t="s">
        <v>759</v>
      </c>
      <c r="H886" s="18">
        <f t="shared" si="1"/>
        <v>251</v>
      </c>
      <c r="I886" s="19" t="str">
        <f t="shared" si="3"/>
        <v>BONIFICO SEPADa NEXI Payments Spa TRN 059675431105NPPASU0000000000IT CIPBITMM per PV 1000001228637 ACCREDITO CIRCUITI INTERNAZ. 12102</v>
      </c>
    </row>
    <row r="887">
      <c r="A887" s="49">
        <v>45943.0</v>
      </c>
      <c r="B887" s="49">
        <v>45943.0</v>
      </c>
      <c r="C887" s="45"/>
      <c r="D887" s="45">
        <v>689.0</v>
      </c>
      <c r="E887" s="15" t="b">
        <v>0</v>
      </c>
      <c r="F887" s="45" t="s">
        <v>12</v>
      </c>
      <c r="G887" s="45" t="s">
        <v>760</v>
      </c>
      <c r="H887" s="18">
        <f t="shared" si="1"/>
        <v>689</v>
      </c>
      <c r="I887" s="19" t="str">
        <f t="shared" si="3"/>
        <v>BONIFICO SEPADa NEXI Payments Spa TRN 059511070085NPPASU0000000000IT CIPBITMM per PV 1000001228637 ACCREDITO CIRCUITI INTERNAZ. 10102</v>
      </c>
    </row>
    <row r="888">
      <c r="A888" s="49">
        <v>45943.0</v>
      </c>
      <c r="B888" s="49">
        <v>45943.0</v>
      </c>
      <c r="C888" s="45"/>
      <c r="D888" s="45">
        <v>732.62</v>
      </c>
      <c r="E888" s="15" t="b">
        <v>0</v>
      </c>
      <c r="F888" s="45" t="s">
        <v>12</v>
      </c>
      <c r="G888" s="45" t="s">
        <v>761</v>
      </c>
      <c r="H888" s="18">
        <f t="shared" si="1"/>
        <v>732.62</v>
      </c>
      <c r="I888" s="19" t="str">
        <f t="shared" si="3"/>
        <v>BONIFICO SEPADa Scalapay IP S.p.a. TRN 3601825101304502896370598950870-008 CBPSIT31XXX per 2025-10-12 - GEOS S SDRL - Scalapay IP S.p</v>
      </c>
    </row>
    <row r="889">
      <c r="A889" s="49">
        <v>45943.0</v>
      </c>
      <c r="B889" s="49">
        <v>45943.0</v>
      </c>
      <c r="C889" s="45"/>
      <c r="D889" s="45">
        <v>723.0</v>
      </c>
      <c r="E889" s="15" t="b">
        <v>0</v>
      </c>
      <c r="F889" s="45" t="s">
        <v>12</v>
      </c>
      <c r="G889" s="45" t="s">
        <v>762</v>
      </c>
      <c r="H889" s="18">
        <f t="shared" si="1"/>
        <v>723</v>
      </c>
      <c r="I889" s="19" t="str">
        <f t="shared" si="3"/>
        <v>BONIFICO SEPADa NEXI Payments Spa TRN 059601743065NPPASU0000000000IT CIPBITMM per PV 1000001228637 ACCREDITO CIRCUITI INTERNAZ. 11102</v>
      </c>
    </row>
    <row r="890">
      <c r="A890" s="49">
        <v>45943.0</v>
      </c>
      <c r="B890" s="49">
        <v>45943.0</v>
      </c>
      <c r="C890" s="45"/>
      <c r="D890" s="45">
        <v>1435.0</v>
      </c>
      <c r="E890" s="15" t="b">
        <v>0</v>
      </c>
      <c r="F890" s="45" t="s">
        <v>12</v>
      </c>
      <c r="G890" s="45" t="s">
        <v>763</v>
      </c>
      <c r="H890" s="18">
        <f t="shared" si="1"/>
        <v>1435</v>
      </c>
      <c r="I890" s="19" t="str">
        <f t="shared" si="3"/>
        <v>BONIFICO SEPADa NEXI Payments Spa TRN 059510377045NPPASU0000000000IT CIPBITMM per PV 1000001228596 ACCREDITO CIRCUITI INTERNAZ. 10102</v>
      </c>
    </row>
    <row r="891">
      <c r="A891" s="49">
        <v>45943.0</v>
      </c>
      <c r="B891" s="49">
        <v>45943.0</v>
      </c>
      <c r="C891" s="45"/>
      <c r="D891" s="45">
        <v>1540.0</v>
      </c>
      <c r="E891" s="15" t="b">
        <v>0</v>
      </c>
      <c r="F891" s="45" t="s">
        <v>12</v>
      </c>
      <c r="G891" s="45" t="s">
        <v>764</v>
      </c>
      <c r="H891" s="18">
        <f t="shared" si="1"/>
        <v>1540</v>
      </c>
      <c r="I891" s="19" t="str">
        <f t="shared" si="3"/>
        <v>BONIFICO SEPADa NEXI Payments Spa TRN 059603620115NPPASU0000000000IT CIPBITMM per PV 1000001228596 ACCREDITO CIRCUITI INTERNAZ. 11102</v>
      </c>
    </row>
    <row r="892">
      <c r="A892" s="44"/>
      <c r="B892" s="44"/>
      <c r="C892" s="45"/>
      <c r="D892" s="45"/>
      <c r="E892" s="15" t="b">
        <v>0</v>
      </c>
      <c r="F892" s="45"/>
      <c r="G892" s="45"/>
      <c r="H892" s="18">
        <f t="shared" si="1"/>
        <v>0</v>
      </c>
      <c r="I892" s="19" t="str">
        <f t="shared" si="3"/>
        <v/>
      </c>
    </row>
    <row r="893">
      <c r="A893" s="44"/>
      <c r="B893" s="44"/>
      <c r="C893" s="45"/>
      <c r="D893" s="45"/>
      <c r="E893" s="15" t="b">
        <v>0</v>
      </c>
      <c r="F893" s="45"/>
      <c r="G893" s="45"/>
      <c r="H893" s="18">
        <f t="shared" si="1"/>
        <v>0</v>
      </c>
      <c r="I893" s="19" t="str">
        <f t="shared" si="3"/>
        <v/>
      </c>
    </row>
    <row r="894">
      <c r="A894" s="49">
        <v>45940.0</v>
      </c>
      <c r="B894" s="49">
        <v>45940.0</v>
      </c>
      <c r="C894" s="45"/>
      <c r="D894" s="45">
        <v>2575.0</v>
      </c>
      <c r="E894" s="15" t="b">
        <v>0</v>
      </c>
      <c r="F894" s="45" t="s">
        <v>12</v>
      </c>
      <c r="G894" s="45" t="s">
        <v>765</v>
      </c>
      <c r="H894" s="18">
        <f t="shared" si="1"/>
        <v>2575</v>
      </c>
      <c r="I894" s="19" t="str">
        <f t="shared" si="3"/>
        <v>BONIFICO SEPADa NEXI Payments Spa TRN 059397074095NPPASU0000000000IT CIPBITMM per PV 1000001228596 ACCREDITO CIRCUITI INTERNAZ. 09102</v>
      </c>
    </row>
    <row r="895">
      <c r="A895" s="49">
        <v>45940.0</v>
      </c>
      <c r="B895" s="49">
        <v>45940.0</v>
      </c>
      <c r="C895" s="45"/>
      <c r="D895" s="45">
        <v>448.0</v>
      </c>
      <c r="E895" s="15" t="b">
        <v>0</v>
      </c>
      <c r="F895" s="45" t="s">
        <v>12</v>
      </c>
      <c r="G895" s="45" t="s">
        <v>766</v>
      </c>
      <c r="H895" s="18">
        <f t="shared" si="1"/>
        <v>448</v>
      </c>
      <c r="I895" s="19" t="str">
        <f t="shared" si="3"/>
        <v>BONIFICO SEPADa NEXI Payments Spa TRN 059398065125NPPASU0000000000IT CIPBITMM per PV 1000001228637 ACCREDITO CIRCUITI INTERNAZ. 09102</v>
      </c>
    </row>
    <row r="896">
      <c r="A896" s="49">
        <v>45940.0</v>
      </c>
      <c r="B896" s="49">
        <v>45940.0</v>
      </c>
      <c r="C896" s="45"/>
      <c r="D896" s="45">
        <v>1788.42</v>
      </c>
      <c r="E896" s="15" t="b">
        <v>0</v>
      </c>
      <c r="F896" s="45" t="s">
        <v>12</v>
      </c>
      <c r="G896" s="45" t="s">
        <v>767</v>
      </c>
      <c r="H896" s="18">
        <f t="shared" si="1"/>
        <v>1788.42</v>
      </c>
      <c r="I896" s="19" t="str">
        <f t="shared" si="3"/>
        <v>BONIFICO SEPADa Scalapay IP S.p.a. TRN 3601825101004505418486739964425-008 CBPSIT31XXX per 2025-10-09 - GEOS S SDRL - Scalapay IP S.p</v>
      </c>
    </row>
    <row r="897">
      <c r="A897" s="49">
        <v>45940.0</v>
      </c>
      <c r="B897" s="49">
        <v>45940.0</v>
      </c>
      <c r="C897" s="45"/>
      <c r="D897" s="45">
        <v>780.0</v>
      </c>
      <c r="E897" s="15" t="b">
        <v>0</v>
      </c>
      <c r="F897" s="45" t="s">
        <v>12</v>
      </c>
      <c r="G897" s="45" t="s">
        <v>768</v>
      </c>
      <c r="H897" s="18">
        <f t="shared" si="1"/>
        <v>780</v>
      </c>
      <c r="I897" s="19" t="str">
        <f t="shared" si="3"/>
        <v>BONIFICO SEPADa NEXI Payments Spa TRN 059397085075NPPASU0000000000IT CIPBITMM per PV 1000001228596 ACCREDITO BANCOMAT 091025 RIF 9434</v>
      </c>
    </row>
    <row r="898">
      <c r="A898" s="50">
        <v>45940.0</v>
      </c>
      <c r="B898" s="50">
        <v>45940.0</v>
      </c>
      <c r="C898" s="47"/>
      <c r="D898" s="47">
        <v>7000.0</v>
      </c>
      <c r="E898" s="15" t="b">
        <v>0</v>
      </c>
      <c r="F898" s="47" t="s">
        <v>58</v>
      </c>
      <c r="G898" s="47" t="s">
        <v>713</v>
      </c>
      <c r="H898" s="18">
        <f t="shared" si="1"/>
        <v>7000</v>
      </c>
      <c r="I898" s="19" t="str">
        <f t="shared" si="3"/>
        <v>VERSAMENTO CONTANTE IN UPU.P. 38530 MILANO 82</v>
      </c>
    </row>
    <row r="899">
      <c r="A899" s="44"/>
      <c r="B899" s="44"/>
      <c r="C899" s="45"/>
      <c r="D899" s="45"/>
      <c r="E899" s="15" t="b">
        <v>0</v>
      </c>
      <c r="F899" s="45"/>
      <c r="G899" s="45"/>
      <c r="H899" s="18">
        <f t="shared" si="1"/>
        <v>0</v>
      </c>
      <c r="I899" s="19" t="str">
        <f t="shared" si="3"/>
        <v/>
      </c>
    </row>
    <row r="900">
      <c r="A900" s="44"/>
      <c r="B900" s="44"/>
      <c r="C900" s="45"/>
      <c r="D900" s="45"/>
      <c r="E900" s="15" t="b">
        <v>0</v>
      </c>
      <c r="F900" s="45"/>
      <c r="G900" s="45"/>
      <c r="H900" s="18">
        <f t="shared" si="1"/>
        <v>0</v>
      </c>
      <c r="I900" s="19" t="str">
        <f t="shared" si="3"/>
        <v/>
      </c>
    </row>
    <row r="901">
      <c r="A901" s="49">
        <v>45940.0</v>
      </c>
      <c r="B901" s="49">
        <v>45940.0</v>
      </c>
      <c r="C901" s="45"/>
      <c r="D901" s="45">
        <v>73.6</v>
      </c>
      <c r="E901" s="15" t="b">
        <v>0</v>
      </c>
      <c r="F901" s="45" t="s">
        <v>28</v>
      </c>
      <c r="G901" s="45" t="s">
        <v>769</v>
      </c>
      <c r="H901" s="18">
        <f t="shared" si="1"/>
        <v>73.6</v>
      </c>
      <c r="I901" s="19" t="str">
        <f t="shared" si="3"/>
        <v>BONIFICODa Satispay Europe S.A. TRN 7f4135e00f5742a6a3b5e8a29fa290e4 SATYLUL1XXX per Geos ssdr</v>
      </c>
    </row>
    <row r="902">
      <c r="A902" s="49">
        <v>45940.0</v>
      </c>
      <c r="B902" s="49">
        <v>45938.0</v>
      </c>
      <c r="C902" s="45">
        <v>-50.0</v>
      </c>
      <c r="D902" s="45"/>
      <c r="E902" s="15" t="b">
        <v>1</v>
      </c>
      <c r="F902" s="45" t="s">
        <v>123</v>
      </c>
      <c r="G902" s="45" t="s">
        <v>770</v>
      </c>
      <c r="H902" s="18">
        <f t="shared" si="1"/>
        <v>-50</v>
      </c>
      <c r="I902" s="19" t="str">
        <f t="shared" si="3"/>
        <v>PAGAMENTO POSCAFFE' VINO VIA BELLEZ 08/10/2025 12.59 MILANO        Op.674990 carta ****0501</v>
      </c>
    </row>
    <row r="903">
      <c r="A903" s="49">
        <v>45939.0</v>
      </c>
      <c r="B903" s="49">
        <v>45939.0</v>
      </c>
      <c r="C903" s="45">
        <v>-7764.7</v>
      </c>
      <c r="D903" s="45"/>
      <c r="E903" s="15" t="b">
        <v>1</v>
      </c>
      <c r="F903" s="45" t="s">
        <v>12</v>
      </c>
      <c r="G903" s="45" t="s">
        <v>771</v>
      </c>
      <c r="H903" s="18">
        <f t="shared" si="1"/>
        <v>-7764.7</v>
      </c>
      <c r="I903" s="19" t="str">
        <f t="shared" si="3"/>
        <v>BONIFICO SEPADistinta: 1760000869785043GDEF</v>
      </c>
    </row>
    <row r="904">
      <c r="A904" s="49">
        <v>45939.0</v>
      </c>
      <c r="B904" s="49">
        <v>45939.0</v>
      </c>
      <c r="C904" s="45">
        <v>-388.0</v>
      </c>
      <c r="D904" s="45"/>
      <c r="E904" s="15" t="b">
        <v>1</v>
      </c>
      <c r="F904" s="45" t="s">
        <v>12</v>
      </c>
      <c r="G904" s="45" t="s">
        <v>772</v>
      </c>
      <c r="H904" s="18">
        <f t="shared" si="1"/>
        <v>-388</v>
      </c>
      <c r="I904" s="19" t="str">
        <f t="shared" si="3"/>
        <v>BONIFICO SEPADistinta: 17599281565820DT0DEF</v>
      </c>
    </row>
    <row r="905">
      <c r="A905" s="49">
        <v>45939.0</v>
      </c>
      <c r="B905" s="49">
        <v>45939.0</v>
      </c>
      <c r="C905" s="45">
        <v>-1647.0</v>
      </c>
      <c r="D905" s="45"/>
      <c r="E905" s="15" t="b">
        <v>1</v>
      </c>
      <c r="F905" s="45" t="s">
        <v>12</v>
      </c>
      <c r="G905" s="45" t="s">
        <v>773</v>
      </c>
      <c r="H905" s="18">
        <f t="shared" si="1"/>
        <v>-1647</v>
      </c>
      <c r="I905" s="19" t="str">
        <f t="shared" si="3"/>
        <v>BONIFICO SEPADistinta: 176000095137201V3DEF</v>
      </c>
    </row>
    <row r="906">
      <c r="A906" s="49">
        <v>45939.0</v>
      </c>
      <c r="B906" s="49">
        <v>45939.0</v>
      </c>
      <c r="C906" s="45">
        <v>-2000.0</v>
      </c>
      <c r="D906" s="45"/>
      <c r="E906" s="15" t="b">
        <v>1</v>
      </c>
      <c r="F906" s="45" t="s">
        <v>12</v>
      </c>
      <c r="G906" s="45" t="s">
        <v>774</v>
      </c>
      <c r="H906" s="18">
        <f t="shared" si="1"/>
        <v>-2000</v>
      </c>
      <c r="I906" s="19" t="str">
        <f t="shared" si="3"/>
        <v>BONIFICO SEPADistinta: 176000023024903PLDEF</v>
      </c>
    </row>
    <row r="907">
      <c r="A907" s="49">
        <v>45939.0</v>
      </c>
      <c r="B907" s="49">
        <v>45939.0</v>
      </c>
      <c r="C907" s="45">
        <v>-2000.0</v>
      </c>
      <c r="D907" s="47"/>
      <c r="E907" s="15" t="b">
        <v>1</v>
      </c>
      <c r="F907" s="45" t="s">
        <v>12</v>
      </c>
      <c r="G907" s="45" t="s">
        <v>775</v>
      </c>
      <c r="H907" s="18">
        <f t="shared" si="1"/>
        <v>-2000</v>
      </c>
      <c r="I907" s="19" t="str">
        <f t="shared" si="3"/>
        <v>BONIFICO SEPADistinta: 176000040478601NJDEF</v>
      </c>
    </row>
    <row r="908">
      <c r="A908" s="49">
        <v>45939.0</v>
      </c>
      <c r="B908" s="49">
        <v>45939.0</v>
      </c>
      <c r="C908" s="45"/>
      <c r="D908" s="45">
        <v>1315.0</v>
      </c>
      <c r="E908" s="15" t="b">
        <v>0</v>
      </c>
      <c r="F908" s="45" t="s">
        <v>12</v>
      </c>
      <c r="G908" s="45" t="s">
        <v>776</v>
      </c>
      <c r="H908" s="18">
        <f t="shared" si="1"/>
        <v>1315</v>
      </c>
      <c r="I908" s="19" t="str">
        <f t="shared" si="3"/>
        <v>BONIFICO SEPADa NEXI Payments Spa TRN 059284414075NPPASU0000000000IT CIPBITMM per PV 1000001228596 ACCREDITO BANCOMAT 081025 RIF 9419</v>
      </c>
    </row>
    <row r="909">
      <c r="A909" s="49">
        <v>45939.0</v>
      </c>
      <c r="B909" s="49">
        <v>45939.0</v>
      </c>
      <c r="C909" s="45"/>
      <c r="D909" s="45">
        <v>1319.0</v>
      </c>
      <c r="E909" s="15" t="b">
        <v>0</v>
      </c>
      <c r="F909" s="45" t="s">
        <v>12</v>
      </c>
      <c r="G909" s="45" t="s">
        <v>777</v>
      </c>
      <c r="H909" s="18">
        <f t="shared" si="1"/>
        <v>1319</v>
      </c>
      <c r="I909" s="19" t="str">
        <f t="shared" si="3"/>
        <v>BONIFICO SEPADa NEXI Payments Spa TRN 059285303125NPPASU0000000000IT CIPBITMM per PV 1000001228637 ACCREDITO CIRCUITI INTERNAZ. 08102</v>
      </c>
    </row>
    <row r="910">
      <c r="A910" s="49">
        <v>45939.0</v>
      </c>
      <c r="B910" s="49">
        <v>45939.0</v>
      </c>
      <c r="C910" s="45"/>
      <c r="D910" s="45">
        <v>2225.0</v>
      </c>
      <c r="E910" s="15" t="b">
        <v>0</v>
      </c>
      <c r="F910" s="45" t="s">
        <v>12</v>
      </c>
      <c r="G910" s="45" t="s">
        <v>778</v>
      </c>
      <c r="H910" s="18">
        <f t="shared" si="1"/>
        <v>2225</v>
      </c>
      <c r="I910" s="19" t="str">
        <f t="shared" si="3"/>
        <v>BONIFICO SEPADa NEXI Payments Spa TRN 059284403095NPPASU0000000000IT CIPBITMM per PV 1000001228596 ACCREDITO CIRCUITI INTERNAZ. 08102</v>
      </c>
    </row>
    <row r="911">
      <c r="A911" s="49">
        <v>45939.0</v>
      </c>
      <c r="B911" s="49">
        <v>45939.0</v>
      </c>
      <c r="C911" s="45"/>
      <c r="D911" s="45">
        <v>2810.98</v>
      </c>
      <c r="E911" s="15" t="b">
        <v>0</v>
      </c>
      <c r="F911" s="45" t="s">
        <v>12</v>
      </c>
      <c r="G911" s="45" t="s">
        <v>779</v>
      </c>
      <c r="H911" s="18">
        <f t="shared" si="1"/>
        <v>2810.98</v>
      </c>
      <c r="I911" s="19" t="str">
        <f t="shared" si="3"/>
        <v>BONIFICO SEPADa Scalapay IP S.p.a. TRN 3601825100904492644138248535189-008 CBPSIT31XXX per 2025-10-08 - GEOS S SDRL - Scalapay IP S.p</v>
      </c>
    </row>
    <row r="912">
      <c r="A912" s="44">
        <v>45939.0</v>
      </c>
      <c r="B912" s="44">
        <v>45939.0</v>
      </c>
      <c r="C912" s="48"/>
      <c r="D912" s="45">
        <v>366.0</v>
      </c>
      <c r="E912" s="15" t="b">
        <v>0</v>
      </c>
      <c r="F912" s="45" t="s">
        <v>12</v>
      </c>
      <c r="G912" s="45" t="s">
        <v>780</v>
      </c>
      <c r="H912" s="18">
        <f t="shared" si="1"/>
        <v>366</v>
      </c>
      <c r="I912" s="19" t="str">
        <f t="shared" si="3"/>
        <v>BONIFICO SEPADa ENCANTO CLUB LATINO ASS NE SPOR VA TRN 0306905578240806S90960609606IT BCITITMMXXX per Pagamento FT 334 del 06/10/25</v>
      </c>
    </row>
    <row r="913">
      <c r="A913" s="44">
        <v>45939.0</v>
      </c>
      <c r="B913" s="44">
        <v>45939.0</v>
      </c>
      <c r="C913" s="48"/>
      <c r="D913" s="45">
        <v>201.3</v>
      </c>
      <c r="E913" s="15" t="b">
        <v>0</v>
      </c>
      <c r="F913" s="45" t="s">
        <v>12</v>
      </c>
      <c r="G913" s="45" t="s">
        <v>781</v>
      </c>
      <c r="H913" s="18">
        <f t="shared" si="1"/>
        <v>201.3</v>
      </c>
      <c r="I913" s="19" t="str">
        <f t="shared" si="3"/>
        <v>BONIFICO SEPADa ROSEMARY FERRARI SRL TRN 5034902123865276480160001600IT BAPPIT22 per Geos SSD - saldo ft 331 del 25/09/2025</v>
      </c>
    </row>
    <row r="914">
      <c r="A914" s="49">
        <v>45939.0</v>
      </c>
      <c r="B914" s="49">
        <v>45937.0</v>
      </c>
      <c r="C914" s="45">
        <v>-70.0</v>
      </c>
      <c r="D914" s="48"/>
      <c r="E914" s="15" t="b">
        <v>1</v>
      </c>
      <c r="F914" s="45" t="s">
        <v>123</v>
      </c>
      <c r="G914" s="45" t="s">
        <v>782</v>
      </c>
      <c r="H914" s="18">
        <f t="shared" si="1"/>
        <v>-70</v>
      </c>
      <c r="I914" s="19" t="str">
        <f t="shared" si="3"/>
        <v>PAGAMENTO POSMARTESANA S.R.L.       07/10/2025 10.49 MILANO        Op.672114 carta ****0501</v>
      </c>
    </row>
    <row r="915">
      <c r="A915" s="49">
        <v>45939.0</v>
      </c>
      <c r="B915" s="49">
        <v>45937.0</v>
      </c>
      <c r="C915" s="45">
        <v>-50.0</v>
      </c>
      <c r="D915" s="48"/>
      <c r="E915" s="15" t="b">
        <v>1</v>
      </c>
      <c r="F915" s="45" t="s">
        <v>123</v>
      </c>
      <c r="G915" s="45" t="s">
        <v>783</v>
      </c>
      <c r="H915" s="18">
        <f t="shared" si="1"/>
        <v>-50</v>
      </c>
      <c r="I915" s="19" t="str">
        <f t="shared" si="3"/>
        <v>PAGAMENTO POSCera una volta         07/10/2025 11.40 Milano        Op.674940 carta ****0501</v>
      </c>
    </row>
    <row r="916">
      <c r="A916" s="49">
        <v>45939.0</v>
      </c>
      <c r="B916" s="49">
        <v>45939.0</v>
      </c>
      <c r="C916" s="48"/>
      <c r="D916" s="45">
        <v>0.32</v>
      </c>
      <c r="E916" s="15" t="b">
        <v>0</v>
      </c>
      <c r="F916" s="45" t="s">
        <v>321</v>
      </c>
      <c r="G916" s="45" t="s">
        <v>784</v>
      </c>
      <c r="H916" s="18">
        <f t="shared" si="1"/>
        <v>0.32</v>
      </c>
      <c r="I916" s="19" t="str">
        <f t="shared" si="3"/>
        <v>ACCREDITO PER POSTEPAY CASHBACK BUSINESSPER ACQUISTO DI EURO 65,00 DA BAR QUADRONNO IL 16/09/2025</v>
      </c>
    </row>
    <row r="917">
      <c r="A917" s="49">
        <v>45939.0</v>
      </c>
      <c r="B917" s="49">
        <v>45939.0</v>
      </c>
      <c r="C917" s="48"/>
      <c r="D917" s="45">
        <v>0.32</v>
      </c>
      <c r="E917" s="15" t="b">
        <v>0</v>
      </c>
      <c r="F917" s="45" t="s">
        <v>321</v>
      </c>
      <c r="G917" s="45" t="s">
        <v>785</v>
      </c>
      <c r="H917" s="18">
        <f t="shared" si="1"/>
        <v>0.32</v>
      </c>
      <c r="I917" s="19" t="str">
        <f t="shared" si="3"/>
        <v>ACCREDITO PER POSTEPAY CASHBACK BUSINESSPER ACQUISTO DI EURO 65,00 DA PASTICCERIA MASSIMO 19 IL 16/09/2025</v>
      </c>
    </row>
    <row r="918">
      <c r="A918" s="49">
        <v>45939.0</v>
      </c>
      <c r="B918" s="49">
        <v>45939.0</v>
      </c>
      <c r="C918" s="48"/>
      <c r="D918" s="45">
        <v>0.25</v>
      </c>
      <c r="E918" s="15" t="b">
        <v>0</v>
      </c>
      <c r="F918" s="45" t="s">
        <v>321</v>
      </c>
      <c r="G918" s="45" t="s">
        <v>786</v>
      </c>
      <c r="H918" s="18">
        <f t="shared" si="1"/>
        <v>0.25</v>
      </c>
      <c r="I918" s="19" t="str">
        <f t="shared" si="3"/>
        <v>ACCREDITO PER POSTEPAY CASHBACK BUSINESSPER ACQUISTO DI EURO 50,00 DA BAR D'ESTE IL 16/09/2025</v>
      </c>
    </row>
    <row r="919">
      <c r="A919" s="49">
        <v>45938.0</v>
      </c>
      <c r="B919" s="49">
        <v>45938.0</v>
      </c>
      <c r="C919" s="45">
        <v>-5512.0</v>
      </c>
      <c r="D919" s="48"/>
      <c r="E919" s="15" t="b">
        <v>1</v>
      </c>
      <c r="F919" s="45" t="s">
        <v>12</v>
      </c>
      <c r="G919" s="45" t="s">
        <v>787</v>
      </c>
      <c r="H919" s="18">
        <f t="shared" si="1"/>
        <v>-5512</v>
      </c>
      <c r="I919" s="19" t="str">
        <f t="shared" si="3"/>
        <v>BONIFICO SEPADistinta: 175984234830807IHDEF</v>
      </c>
    </row>
    <row r="920">
      <c r="A920" s="49">
        <v>45938.0</v>
      </c>
      <c r="B920" s="49">
        <v>45938.0</v>
      </c>
      <c r="C920" s="45">
        <v>-3328.0</v>
      </c>
      <c r="D920" s="48"/>
      <c r="E920" s="15" t="b">
        <v>1</v>
      </c>
      <c r="F920" s="45" t="s">
        <v>12</v>
      </c>
      <c r="G920" s="45" t="s">
        <v>788</v>
      </c>
      <c r="H920" s="18">
        <f t="shared" si="1"/>
        <v>-3328</v>
      </c>
      <c r="I920" s="19" t="str">
        <f t="shared" si="3"/>
        <v>BONIFICO SEPADistinta: 175984138842905JJDEF</v>
      </c>
    </row>
    <row r="921">
      <c r="A921" s="49">
        <v>45938.0</v>
      </c>
      <c r="B921" s="49">
        <v>45938.0</v>
      </c>
      <c r="C921" s="45">
        <v>-732.0</v>
      </c>
      <c r="D921" s="48"/>
      <c r="E921" s="15" t="b">
        <v>1</v>
      </c>
      <c r="F921" s="45" t="s">
        <v>12</v>
      </c>
      <c r="G921" s="45" t="s">
        <v>789</v>
      </c>
      <c r="H921" s="18">
        <f t="shared" si="1"/>
        <v>-732</v>
      </c>
      <c r="I921" s="19" t="str">
        <f t="shared" si="3"/>
        <v>BONIFICO SEPADistinta: 17599124840150DQPDEF</v>
      </c>
    </row>
    <row r="922">
      <c r="A922" s="49">
        <v>45938.0</v>
      </c>
      <c r="B922" s="49">
        <v>45938.0</v>
      </c>
      <c r="C922" s="45">
        <v>-6425.0</v>
      </c>
      <c r="D922" s="48"/>
      <c r="E922" s="15" t="b">
        <v>1</v>
      </c>
      <c r="F922" s="45" t="s">
        <v>12</v>
      </c>
      <c r="G922" s="45" t="s">
        <v>790</v>
      </c>
      <c r="H922" s="18">
        <f t="shared" si="1"/>
        <v>-6425</v>
      </c>
      <c r="I922" s="19" t="str">
        <f t="shared" si="3"/>
        <v>BONIFICO SEPADistinta: 175984260836607JPDEF</v>
      </c>
    </row>
    <row r="923">
      <c r="A923" s="49">
        <v>45938.0</v>
      </c>
      <c r="B923" s="49">
        <v>45938.0</v>
      </c>
      <c r="C923" s="45">
        <v>-415.0</v>
      </c>
      <c r="D923" s="48"/>
      <c r="E923" s="15" t="b">
        <v>1</v>
      </c>
      <c r="F923" s="45" t="s">
        <v>12</v>
      </c>
      <c r="G923" s="45" t="s">
        <v>791</v>
      </c>
      <c r="H923" s="18">
        <f t="shared" si="1"/>
        <v>-415</v>
      </c>
      <c r="I923" s="19" t="str">
        <f t="shared" si="3"/>
        <v>BONIFICO SEPADistinta: 17599150054520EOQDEF</v>
      </c>
    </row>
    <row r="924">
      <c r="A924" s="49">
        <v>45938.0</v>
      </c>
      <c r="B924" s="49">
        <v>45938.0</v>
      </c>
      <c r="C924" s="48"/>
      <c r="D924" s="45">
        <v>3422.35</v>
      </c>
      <c r="E924" s="15" t="b">
        <v>0</v>
      </c>
      <c r="F924" s="45" t="s">
        <v>12</v>
      </c>
      <c r="G924" s="45" t="s">
        <v>792</v>
      </c>
      <c r="H924" s="18">
        <f t="shared" si="1"/>
        <v>3422.35</v>
      </c>
      <c r="I924" s="19" t="str">
        <f t="shared" si="3"/>
        <v>BONIFICO SEPADa Scalapay IP S.p.a. TRN 3601825100804493401923651575310-008 CBPSIT31XXX per 2025-10-07 - GEOS S SDRL - Scalapay IP S.p</v>
      </c>
    </row>
    <row r="925">
      <c r="A925" s="49">
        <v>45938.0</v>
      </c>
      <c r="B925" s="49">
        <v>45938.0</v>
      </c>
      <c r="C925" s="48"/>
      <c r="D925" s="45">
        <v>339.0</v>
      </c>
      <c r="E925" s="15" t="b">
        <v>0</v>
      </c>
      <c r="F925" s="45" t="s">
        <v>12</v>
      </c>
      <c r="G925" s="45" t="s">
        <v>793</v>
      </c>
      <c r="H925" s="18">
        <f t="shared" si="1"/>
        <v>339</v>
      </c>
      <c r="I925" s="19" t="str">
        <f t="shared" si="3"/>
        <v>BONIFICO SEPADa NEXI Payments Spa TRN 059197612065NPPASU0000000000IT CIPBITMM per PV 1000001228637 ACCREDITO CIRCUITI INTERNAZ. 07102</v>
      </c>
    </row>
    <row r="926">
      <c r="A926" s="49">
        <v>45938.0</v>
      </c>
      <c r="B926" s="49">
        <v>45938.0</v>
      </c>
      <c r="C926" s="48"/>
      <c r="D926" s="45">
        <v>3666.0</v>
      </c>
      <c r="E926" s="15" t="b">
        <v>0</v>
      </c>
      <c r="F926" s="45" t="s">
        <v>12</v>
      </c>
      <c r="G926" s="45" t="s">
        <v>794</v>
      </c>
      <c r="H926" s="18">
        <f t="shared" si="1"/>
        <v>3666</v>
      </c>
      <c r="I926" s="19" t="str">
        <f t="shared" si="3"/>
        <v>BONIFICO SEPADa NEXI Payments Spa TRN 059196104065NPPASU0000000000IT CIPBITMM per PV 1000001228596 ACCREDITO CIRCUITI INTERNAZ. 07102</v>
      </c>
    </row>
    <row r="927">
      <c r="A927" s="49">
        <v>45938.0</v>
      </c>
      <c r="B927" s="49">
        <v>45938.0</v>
      </c>
      <c r="C927" s="48"/>
      <c r="D927" s="45">
        <v>835.0</v>
      </c>
      <c r="E927" s="15" t="b">
        <v>0</v>
      </c>
      <c r="F927" s="45" t="s">
        <v>12</v>
      </c>
      <c r="G927" s="45" t="s">
        <v>795</v>
      </c>
      <c r="H927" s="18">
        <f t="shared" si="1"/>
        <v>835</v>
      </c>
      <c r="I927" s="19" t="str">
        <f t="shared" si="3"/>
        <v>BONIFICO SEPADa NEXI Payments Spa TRN 059196120095NPPASU0000000000IT CIPBITMM per PV 1000001228596 ACCREDITO BANCOMAT 071025 RIF 9404</v>
      </c>
    </row>
    <row r="928">
      <c r="A928" s="44"/>
      <c r="B928" s="44"/>
      <c r="C928" s="45"/>
      <c r="D928" s="45"/>
      <c r="E928" s="15" t="b">
        <v>0</v>
      </c>
      <c r="F928" s="45"/>
      <c r="G928" s="45"/>
      <c r="H928" s="18">
        <f t="shared" si="1"/>
        <v>0</v>
      </c>
      <c r="I928" s="19" t="str">
        <f t="shared" si="3"/>
        <v/>
      </c>
    </row>
    <row r="929">
      <c r="A929" s="44"/>
      <c r="B929" s="44"/>
      <c r="C929" s="45"/>
      <c r="D929" s="45"/>
      <c r="E929" s="15" t="b">
        <v>0</v>
      </c>
      <c r="F929" s="45"/>
      <c r="G929" s="45"/>
      <c r="H929" s="18">
        <f t="shared" si="1"/>
        <v>0</v>
      </c>
      <c r="I929" s="19" t="str">
        <f t="shared" si="3"/>
        <v/>
      </c>
    </row>
    <row r="930">
      <c r="A930" s="44"/>
      <c r="B930" s="44"/>
      <c r="C930" s="45"/>
      <c r="D930" s="45"/>
      <c r="E930" s="15" t="b">
        <v>0</v>
      </c>
      <c r="F930" s="45"/>
      <c r="G930" s="45"/>
      <c r="H930" s="18">
        <f t="shared" si="1"/>
        <v>0</v>
      </c>
      <c r="I930" s="19" t="str">
        <f t="shared" si="3"/>
        <v/>
      </c>
    </row>
    <row r="931">
      <c r="A931" s="49">
        <v>45938.0</v>
      </c>
      <c r="B931" s="49">
        <v>45938.0</v>
      </c>
      <c r="C931" s="45"/>
      <c r="D931" s="45">
        <v>36.8</v>
      </c>
      <c r="E931" s="15" t="b">
        <v>0</v>
      </c>
      <c r="F931" s="45" t="s">
        <v>28</v>
      </c>
      <c r="G931" s="45" t="s">
        <v>796</v>
      </c>
      <c r="H931" s="18">
        <f t="shared" si="1"/>
        <v>36.8</v>
      </c>
      <c r="I931" s="19" t="str">
        <f t="shared" si="3"/>
        <v>BONIFICODa Satispay Europe S.A. TRN bb916d4685434abe8d5012c184c7dac2 SATYLUL1XXX per Geos ssdr</v>
      </c>
    </row>
    <row r="932">
      <c r="A932" s="49">
        <v>45937.0</v>
      </c>
      <c r="B932" s="49">
        <v>45937.0</v>
      </c>
      <c r="C932" s="51">
        <v>-21549.0</v>
      </c>
      <c r="D932" s="45"/>
      <c r="E932" s="15" t="b">
        <v>1</v>
      </c>
      <c r="F932" s="45" t="s">
        <v>12</v>
      </c>
      <c r="G932" s="45" t="s">
        <v>797</v>
      </c>
      <c r="H932" s="18">
        <f t="shared" si="1"/>
        <v>-21549</v>
      </c>
      <c r="I932" s="19" t="str">
        <f t="shared" si="3"/>
        <v>BONIFICO SEPADistinta: 17598392792690733DEF</v>
      </c>
    </row>
    <row r="933">
      <c r="A933" s="49">
        <v>45937.0</v>
      </c>
      <c r="B933" s="49">
        <v>45937.0</v>
      </c>
      <c r="C933" s="45"/>
      <c r="D933" s="45">
        <v>3904.48</v>
      </c>
      <c r="E933" s="15" t="b">
        <v>0</v>
      </c>
      <c r="F933" s="45" t="s">
        <v>12</v>
      </c>
      <c r="G933" s="45" t="s">
        <v>798</v>
      </c>
      <c r="H933" s="18">
        <f t="shared" si="1"/>
        <v>3904.48</v>
      </c>
      <c r="I933" s="19" t="str">
        <f t="shared" si="3"/>
        <v>BONIFICO SEPADa Scalapay IP S.p.a. TRN 3601825100704493145140749452293-008 CBPSIT31XXX per 2025-10-06 - GEOS S SDRL - Scalapay IP S.p</v>
      </c>
    </row>
    <row r="934">
      <c r="A934" s="49">
        <v>45937.0</v>
      </c>
      <c r="B934" s="49">
        <v>45937.0</v>
      </c>
      <c r="C934" s="45"/>
      <c r="D934" s="45">
        <v>3243.2</v>
      </c>
      <c r="E934" s="15" t="b">
        <v>0</v>
      </c>
      <c r="F934" s="45" t="s">
        <v>12</v>
      </c>
      <c r="G934" s="45" t="s">
        <v>799</v>
      </c>
      <c r="H934" s="18">
        <f t="shared" si="1"/>
        <v>3243.2</v>
      </c>
      <c r="I934" s="19" t="str">
        <f t="shared" si="3"/>
        <v>BONIFICO SEPADa NEXI Payments Spa TRN 059081610035NPPASU0000000000IT CIPBITMM per PV 1000001228596 ACCREDITO CIRCUITI INTERNAZ. 06102</v>
      </c>
    </row>
    <row r="935">
      <c r="A935" s="49">
        <v>45937.0</v>
      </c>
      <c r="B935" s="49">
        <v>45937.0</v>
      </c>
      <c r="C935" s="45"/>
      <c r="D935" s="45">
        <v>1370.0</v>
      </c>
      <c r="E935" s="15" t="b">
        <v>0</v>
      </c>
      <c r="F935" s="45" t="s">
        <v>12</v>
      </c>
      <c r="G935" s="45" t="s">
        <v>800</v>
      </c>
      <c r="H935" s="18">
        <f t="shared" si="1"/>
        <v>1370</v>
      </c>
      <c r="I935" s="19" t="str">
        <f t="shared" si="3"/>
        <v>BONIFICO SEPADa NEXI Payments Spa TRN 059081621015NPPASU0000000000IT CIPBITMM per PV 1000001228596 ACCREDITO BANCOMAT 061025 RIF 9389</v>
      </c>
    </row>
    <row r="936">
      <c r="A936" s="49">
        <v>45937.0</v>
      </c>
      <c r="B936" s="49">
        <v>45937.0</v>
      </c>
      <c r="C936" s="45"/>
      <c r="D936" s="45">
        <v>227.0</v>
      </c>
      <c r="E936" s="15" t="b">
        <v>0</v>
      </c>
      <c r="F936" s="45" t="s">
        <v>12</v>
      </c>
      <c r="G936" s="45" t="s">
        <v>801</v>
      </c>
      <c r="H936" s="18">
        <f t="shared" si="1"/>
        <v>227</v>
      </c>
      <c r="I936" s="19" t="str">
        <f t="shared" si="3"/>
        <v>BONIFICO SEPADa NEXI Payments Spa TRN 059082340055NPPASU0000000000IT CIPBITMM per PV 1000001228637 ACCREDITO CIRCUITI INTERNAZ. 06102</v>
      </c>
    </row>
    <row r="937">
      <c r="A937" s="49">
        <v>45937.0</v>
      </c>
      <c r="B937" s="49">
        <v>45937.0</v>
      </c>
      <c r="C937" s="45"/>
      <c r="D937" s="45">
        <v>854.0</v>
      </c>
      <c r="E937" s="15" t="b">
        <v>0</v>
      </c>
      <c r="F937" s="45" t="s">
        <v>12</v>
      </c>
      <c r="G937" s="45" t="s">
        <v>802</v>
      </c>
      <c r="H937" s="18">
        <f t="shared" si="1"/>
        <v>854</v>
      </c>
      <c r="I937" s="19" t="str">
        <f t="shared" si="3"/>
        <v>BONIFICO SEPADa NEW WAVE S.R.L. TRN 1101252790441468 UNCRITMM per saldo fatt. 295 del 21/07/25</v>
      </c>
    </row>
    <row r="938">
      <c r="A938" s="49">
        <v>45936.0</v>
      </c>
      <c r="B938" s="49">
        <v>45936.0</v>
      </c>
      <c r="C938" s="45">
        <v>-3294.0</v>
      </c>
      <c r="D938" s="45"/>
      <c r="E938" s="15" t="b">
        <v>1</v>
      </c>
      <c r="F938" s="45" t="s">
        <v>12</v>
      </c>
      <c r="G938" s="45" t="s">
        <v>803</v>
      </c>
      <c r="H938" s="18">
        <f t="shared" si="1"/>
        <v>-3294</v>
      </c>
      <c r="I938" s="19" t="str">
        <f t="shared" si="3"/>
        <v>BONIFICO SEPADistinta: 17597507871174HIADEF</v>
      </c>
    </row>
    <row r="939">
      <c r="A939" s="49">
        <v>45936.0</v>
      </c>
      <c r="B939" s="49">
        <v>45936.0</v>
      </c>
      <c r="C939" s="45">
        <v>-8820.0</v>
      </c>
      <c r="D939" s="47"/>
      <c r="E939" s="15" t="b">
        <v>1</v>
      </c>
      <c r="F939" s="45" t="s">
        <v>12</v>
      </c>
      <c r="G939" s="45" t="s">
        <v>804</v>
      </c>
      <c r="H939" s="18">
        <f t="shared" si="1"/>
        <v>-8820</v>
      </c>
      <c r="I939" s="19" t="str">
        <f t="shared" si="3"/>
        <v>BONIFICO SEPADistinta: 175974028798039H9DEF</v>
      </c>
    </row>
    <row r="940">
      <c r="A940" s="49">
        <v>45936.0</v>
      </c>
      <c r="B940" s="49">
        <v>45936.0</v>
      </c>
      <c r="C940" s="45">
        <v>-3685.0</v>
      </c>
      <c r="D940" s="45"/>
      <c r="E940" s="15" t="b">
        <v>1</v>
      </c>
      <c r="F940" s="45" t="s">
        <v>12</v>
      </c>
      <c r="G940" s="45" t="s">
        <v>805</v>
      </c>
      <c r="H940" s="18">
        <f t="shared" si="1"/>
        <v>-3685</v>
      </c>
      <c r="I940" s="19" t="str">
        <f t="shared" si="3"/>
        <v>BONIFICO SEPADistinta: 17597439124924ED7DEF</v>
      </c>
    </row>
    <row r="941">
      <c r="A941" s="49">
        <v>45936.0</v>
      </c>
      <c r="B941" s="49">
        <v>45936.0</v>
      </c>
      <c r="C941" s="45">
        <v>-2880.0</v>
      </c>
      <c r="D941" s="45"/>
      <c r="E941" s="15" t="b">
        <v>1</v>
      </c>
      <c r="F941" s="45" t="s">
        <v>12</v>
      </c>
      <c r="G941" s="45" t="s">
        <v>806</v>
      </c>
      <c r="H941" s="18">
        <f t="shared" si="1"/>
        <v>-2880</v>
      </c>
      <c r="I941" s="19" t="str">
        <f t="shared" si="3"/>
        <v>BONIFICO SEPADistinta: 17597419603754DVNDEF</v>
      </c>
    </row>
    <row r="942">
      <c r="A942" s="49">
        <v>45936.0</v>
      </c>
      <c r="B942" s="49">
        <v>45936.0</v>
      </c>
      <c r="C942" s="45">
        <v>-1430.0</v>
      </c>
      <c r="D942" s="45"/>
      <c r="E942" s="15" t="b">
        <v>1</v>
      </c>
      <c r="F942" s="45" t="s">
        <v>12</v>
      </c>
      <c r="G942" s="45" t="s">
        <v>807</v>
      </c>
      <c r="H942" s="18">
        <f t="shared" si="1"/>
        <v>-1430</v>
      </c>
      <c r="I942" s="19" t="str">
        <f t="shared" si="3"/>
        <v>BONIFICO SEPADistinta: 17597446702124EPNDEF</v>
      </c>
    </row>
    <row r="943">
      <c r="A943" s="49">
        <v>45936.0</v>
      </c>
      <c r="B943" s="49">
        <v>45936.0</v>
      </c>
      <c r="C943" s="45"/>
      <c r="D943" s="45">
        <v>2892.65</v>
      </c>
      <c r="E943" s="15" t="b">
        <v>0</v>
      </c>
      <c r="F943" s="45" t="s">
        <v>12</v>
      </c>
      <c r="G943" s="45" t="s">
        <v>808</v>
      </c>
      <c r="H943" s="18">
        <f t="shared" si="1"/>
        <v>2892.65</v>
      </c>
      <c r="I943" s="19" t="str">
        <f t="shared" si="3"/>
        <v>BONIFICO SEPADa Scalapay IP S.p.a. TRN 3601825100610355952217168375128-008 CBPSIT31XXX per 2025-10-05 - GEOS S SDRL - Scalapay IP S.p</v>
      </c>
    </row>
    <row r="944">
      <c r="A944" s="44">
        <v>45936.0</v>
      </c>
      <c r="B944" s="44">
        <v>45936.0</v>
      </c>
      <c r="C944" s="48"/>
      <c r="D944" s="45">
        <v>169.0</v>
      </c>
      <c r="E944" s="15" t="b">
        <v>0</v>
      </c>
      <c r="F944" s="45" t="s">
        <v>12</v>
      </c>
      <c r="G944" s="45" t="s">
        <v>809</v>
      </c>
      <c r="H944" s="18">
        <f t="shared" si="1"/>
        <v>169</v>
      </c>
      <c r="I944" s="19" t="str">
        <f t="shared" si="3"/>
        <v>BONIFICO SEPADa NEXI Payments Spa TRN 059014314085NPPASU0000000000IT CIPBITMM per PV 1000001228637 ACCREDITO CIRCUITI INTERNAZ. 05102</v>
      </c>
    </row>
    <row r="945">
      <c r="A945" s="44">
        <v>45936.0</v>
      </c>
      <c r="B945" s="44">
        <v>45936.0</v>
      </c>
      <c r="C945" s="48"/>
      <c r="D945" s="45">
        <v>620.0</v>
      </c>
      <c r="E945" s="15" t="b">
        <v>0</v>
      </c>
      <c r="F945" s="45" t="s">
        <v>12</v>
      </c>
      <c r="G945" s="45" t="s">
        <v>810</v>
      </c>
      <c r="H945" s="18">
        <f t="shared" si="1"/>
        <v>620</v>
      </c>
      <c r="I945" s="19" t="str">
        <f t="shared" si="3"/>
        <v>BONIFICO SEPADa NEXI Payments Spa TRN 058935172105NPPASU0000000000IT CIPBITMM per PV 1000001228596 ACCREDITO BANCOMAT 041025 RIF 9365</v>
      </c>
    </row>
    <row r="946">
      <c r="A946" s="49">
        <v>45936.0</v>
      </c>
      <c r="B946" s="49">
        <v>45936.0</v>
      </c>
      <c r="C946" s="48"/>
      <c r="D946" s="45">
        <v>1385.0</v>
      </c>
      <c r="E946" s="15" t="b">
        <v>0</v>
      </c>
      <c r="F946" s="45" t="s">
        <v>12</v>
      </c>
      <c r="G946" s="45" t="s">
        <v>811</v>
      </c>
      <c r="H946" s="18">
        <f t="shared" si="1"/>
        <v>1385</v>
      </c>
      <c r="I946" s="19" t="str">
        <f t="shared" si="3"/>
        <v>BONIFICO SEPADa NEXI Payments Spa TRN 058839043035NPPASU0000000000IT CIPBITMM per PV 1000001228596 ACCREDITO CIRCUITI INTERNAZ. 03102</v>
      </c>
    </row>
    <row r="947">
      <c r="A947" s="49">
        <v>45936.0</v>
      </c>
      <c r="B947" s="49">
        <v>45936.0</v>
      </c>
      <c r="C947" s="48"/>
      <c r="D947" s="45">
        <v>745.0</v>
      </c>
      <c r="E947" s="15" t="b">
        <v>0</v>
      </c>
      <c r="F947" s="45" t="s">
        <v>12</v>
      </c>
      <c r="G947" s="45" t="s">
        <v>812</v>
      </c>
      <c r="H947" s="18">
        <f t="shared" si="1"/>
        <v>745</v>
      </c>
      <c r="I947" s="19" t="str">
        <f t="shared" si="3"/>
        <v>BONIFICO SEPADa NEXI Payments Spa TRN 058935018125NPPASU0000000000IT CIPBITMM per PV 1000001228637 ACCREDITO CIRCUITI INTERNAZ. 04102</v>
      </c>
    </row>
    <row r="948">
      <c r="A948" s="49">
        <v>45936.0</v>
      </c>
      <c r="B948" s="49">
        <v>45936.0</v>
      </c>
      <c r="C948" s="48"/>
      <c r="D948" s="45">
        <v>205.0</v>
      </c>
      <c r="E948" s="15" t="b">
        <v>0</v>
      </c>
      <c r="F948" s="45" t="s">
        <v>12</v>
      </c>
      <c r="G948" s="45" t="s">
        <v>813</v>
      </c>
      <c r="H948" s="18">
        <f t="shared" si="1"/>
        <v>205</v>
      </c>
      <c r="I948" s="19" t="str">
        <f t="shared" si="3"/>
        <v>BONIFICO SEPADa NEXI Payments Spa TRN 058838677015NPPASU0000000000IT CIPBITMM per PV 1000001228637 ACCREDITO CIRCUITI INTERNAZ. 03102</v>
      </c>
    </row>
    <row r="949">
      <c r="A949" s="49">
        <v>45936.0</v>
      </c>
      <c r="B949" s="49">
        <v>45936.0</v>
      </c>
      <c r="C949" s="48"/>
      <c r="D949" s="45">
        <v>1035.0</v>
      </c>
      <c r="E949" s="15" t="b">
        <v>0</v>
      </c>
      <c r="F949" s="45" t="s">
        <v>12</v>
      </c>
      <c r="G949" s="45" t="s">
        <v>814</v>
      </c>
      <c r="H949" s="18">
        <f t="shared" si="1"/>
        <v>1035</v>
      </c>
      <c r="I949" s="19" t="str">
        <f t="shared" si="3"/>
        <v>BONIFICO SEPADa NEXI Payments Spa TRN 058935157085NPPASU0000000000IT CIPBITMM per PV 1000001228596 ACCREDITO CIRCUITI INTERNAZ. 04102</v>
      </c>
    </row>
    <row r="950">
      <c r="A950" s="49">
        <v>45936.0</v>
      </c>
      <c r="B950" s="49">
        <v>45936.0</v>
      </c>
      <c r="C950" s="48"/>
      <c r="D950" s="45">
        <v>505.0</v>
      </c>
      <c r="E950" s="15" t="b">
        <v>0</v>
      </c>
      <c r="F950" s="45" t="s">
        <v>12</v>
      </c>
      <c r="G950" s="45" t="s">
        <v>815</v>
      </c>
      <c r="H950" s="18">
        <f t="shared" si="1"/>
        <v>505</v>
      </c>
      <c r="I950" s="19" t="str">
        <f t="shared" si="3"/>
        <v>BONIFICO SEPADa NEXI Payments Spa TRN 058839053005NPPASU0000000000IT CIPBITMM per PV 1000001228596 ACCREDITO BANCOMAT 031025 RIF 9348</v>
      </c>
    </row>
    <row r="951">
      <c r="A951" s="44"/>
      <c r="B951" s="44"/>
      <c r="C951" s="47"/>
      <c r="D951" s="45"/>
      <c r="E951" s="15" t="b">
        <v>0</v>
      </c>
      <c r="F951" s="45"/>
      <c r="G951" s="45"/>
      <c r="H951" s="18">
        <f t="shared" si="1"/>
        <v>0</v>
      </c>
      <c r="I951" s="19" t="str">
        <f t="shared" si="3"/>
        <v/>
      </c>
    </row>
    <row r="952">
      <c r="A952" s="44"/>
      <c r="B952" s="44"/>
      <c r="C952" s="45"/>
      <c r="D952" s="47"/>
      <c r="E952" s="15" t="b">
        <v>0</v>
      </c>
      <c r="F952" s="45"/>
      <c r="G952" s="45"/>
      <c r="H952" s="18">
        <f t="shared" si="1"/>
        <v>0</v>
      </c>
      <c r="I952" s="19" t="str">
        <f t="shared" si="3"/>
        <v/>
      </c>
    </row>
    <row r="953">
      <c r="A953" s="49">
        <v>45936.0</v>
      </c>
      <c r="B953" s="49">
        <v>45936.0</v>
      </c>
      <c r="C953" s="45"/>
      <c r="D953" s="45">
        <v>39.8</v>
      </c>
      <c r="E953" s="15" t="b">
        <v>0</v>
      </c>
      <c r="F953" s="45" t="s">
        <v>28</v>
      </c>
      <c r="G953" s="45" t="s">
        <v>816</v>
      </c>
      <c r="H953" s="18">
        <f t="shared" si="1"/>
        <v>39.8</v>
      </c>
      <c r="I953" s="19" t="str">
        <f t="shared" si="3"/>
        <v>BONIFICODa Satispay Europe S.A. TRN 172f63f938f84b6da1bf621ea529dd6e SATYLUL1XXX per Geos ssdr</v>
      </c>
    </row>
    <row r="954">
      <c r="A954" s="49">
        <v>45936.0</v>
      </c>
      <c r="B954" s="49">
        <v>45936.0</v>
      </c>
      <c r="C954" s="45">
        <v>-0.4</v>
      </c>
      <c r="D954" s="45"/>
      <c r="E954" s="15" t="b">
        <v>1</v>
      </c>
      <c r="F954" s="45" t="s">
        <v>101</v>
      </c>
      <c r="G954" s="45" t="s">
        <v>102</v>
      </c>
      <c r="H954" s="18">
        <f t="shared" si="1"/>
        <v>-0.4</v>
      </c>
      <c r="I954" s="19" t="str">
        <f t="shared" si="3"/>
        <v>COMMISSIONI DOMICILIAZIONE (ADDEBITO DIRETTO SEPA)NEXI Payments Spa    CID.IT500540000004107060966             MAN.CL2XV900700799PC0001228595</v>
      </c>
    </row>
    <row r="955">
      <c r="A955" s="49">
        <v>45936.0</v>
      </c>
      <c r="B955" s="49">
        <v>45936.0</v>
      </c>
      <c r="C955" s="45">
        <v>-0.4</v>
      </c>
      <c r="D955" s="45"/>
      <c r="E955" s="15" t="b">
        <v>1</v>
      </c>
      <c r="F955" s="45" t="s">
        <v>101</v>
      </c>
      <c r="G955" s="45" t="s">
        <v>103</v>
      </c>
      <c r="H955" s="18">
        <f t="shared" si="1"/>
        <v>-0.4</v>
      </c>
      <c r="I955" s="19" t="str">
        <f t="shared" si="3"/>
        <v>COMMISSIONI DOMICILIAZIONE (ADDEBITO DIRETTO SEPA)NEXI Payments Spa    CID.IT500540000004107060966             MAN.CL2XV900700884PC0001228636</v>
      </c>
    </row>
    <row r="956">
      <c r="A956" s="49">
        <v>45936.0</v>
      </c>
      <c r="B956" s="49">
        <v>45930.0</v>
      </c>
      <c r="C956" s="45">
        <v>-5.0</v>
      </c>
      <c r="D956" s="45"/>
      <c r="E956" s="15" t="b">
        <v>1</v>
      </c>
      <c r="F956" s="45" t="s">
        <v>817</v>
      </c>
      <c r="G956" s="45" t="s">
        <v>818</v>
      </c>
      <c r="H956" s="18">
        <f t="shared" si="1"/>
        <v>-5</v>
      </c>
      <c r="I956" s="19" t="str">
        <f t="shared" si="3"/>
        <v>COMMISSIONE SOSTITUZIONE CARTA DI DEBITOCOMMISSIONE SOSTITUZIONE CARTA</v>
      </c>
    </row>
    <row r="957">
      <c r="A957" s="49">
        <v>45933.0</v>
      </c>
      <c r="B957" s="49">
        <v>45933.0</v>
      </c>
      <c r="C957" s="45"/>
      <c r="D957" s="45">
        <v>732.0</v>
      </c>
      <c r="E957" s="15" t="b">
        <v>0</v>
      </c>
      <c r="F957" s="45" t="s">
        <v>145</v>
      </c>
      <c r="G957" s="45" t="s">
        <v>819</v>
      </c>
      <c r="H957" s="18">
        <f t="shared" si="1"/>
        <v>732</v>
      </c>
      <c r="I957" s="19" t="str">
        <f t="shared" si="3"/>
        <v>BONIFICO SEPA ISTANTANEOTRN UNCRITMMXXX 1191252766423591 DA NEW WAVE S.R.L. PER saldo fatt. 299 del 29/07/2025</v>
      </c>
    </row>
    <row r="958">
      <c r="A958" s="49">
        <v>45933.0</v>
      </c>
      <c r="B958" s="49">
        <v>45933.0</v>
      </c>
      <c r="C958" s="45"/>
      <c r="D958" s="45">
        <v>1691.0</v>
      </c>
      <c r="E958" s="15" t="b">
        <v>0</v>
      </c>
      <c r="F958" s="45" t="s">
        <v>12</v>
      </c>
      <c r="G958" s="45" t="s">
        <v>820</v>
      </c>
      <c r="H958" s="18">
        <f t="shared" si="1"/>
        <v>1691</v>
      </c>
      <c r="I958" s="19" t="str">
        <f t="shared" si="3"/>
        <v>BONIFICO SEPADa NEXI Payments Spa TRN 058738373055NPPASU0000000000IT CIPBITMM per PV 1000001228637 ACCREDITO CIRCUITI INTERNAZ. 02102</v>
      </c>
    </row>
    <row r="959">
      <c r="A959" s="49">
        <v>45933.0</v>
      </c>
      <c r="B959" s="49">
        <v>45933.0</v>
      </c>
      <c r="C959" s="45"/>
      <c r="D959" s="45">
        <v>2415.0</v>
      </c>
      <c r="E959" s="15" t="b">
        <v>0</v>
      </c>
      <c r="F959" s="45" t="s">
        <v>12</v>
      </c>
      <c r="G959" s="45" t="s">
        <v>821</v>
      </c>
      <c r="H959" s="18">
        <f t="shared" si="1"/>
        <v>2415</v>
      </c>
      <c r="I959" s="19" t="str">
        <f t="shared" si="3"/>
        <v>BONIFICO SEPADa NEXI Payments Spa TRN 058739225125NPPASU0000000000IT CIPBITMM per PV 1000001228596 ACCREDITO CIRCUITI INTERNAZ. 02102</v>
      </c>
    </row>
    <row r="960">
      <c r="A960" s="49">
        <v>45933.0</v>
      </c>
      <c r="B960" s="49">
        <v>45933.0</v>
      </c>
      <c r="C960" s="45"/>
      <c r="D960" s="45">
        <v>2510.5</v>
      </c>
      <c r="E960" s="15" t="b">
        <v>0</v>
      </c>
      <c r="F960" s="45" t="s">
        <v>12</v>
      </c>
      <c r="G960" s="45" t="s">
        <v>822</v>
      </c>
      <c r="H960" s="18">
        <f t="shared" si="1"/>
        <v>2510.5</v>
      </c>
      <c r="I960" s="19" t="str">
        <f t="shared" si="3"/>
        <v>BONIFICO SEPADa NEXI Payments Spa TRN 058739238125NPPASU0000000000IT CIPBITMM per PV 1000001228596 ACCREDITO BANCOMAT 021025 RIF 9332</v>
      </c>
    </row>
    <row r="961">
      <c r="A961" s="49">
        <v>45933.0</v>
      </c>
      <c r="B961" s="49">
        <v>45933.0</v>
      </c>
      <c r="C961" s="45"/>
      <c r="D961" s="45">
        <v>4874.17</v>
      </c>
      <c r="E961" s="15" t="b">
        <v>0</v>
      </c>
      <c r="F961" s="45" t="s">
        <v>12</v>
      </c>
      <c r="G961" s="45" t="s">
        <v>823</v>
      </c>
      <c r="H961" s="18">
        <f t="shared" si="1"/>
        <v>4874.17</v>
      </c>
      <c r="I961" s="19" t="str">
        <f t="shared" si="3"/>
        <v>BONIFICO SEPADa Scalapay IP S.p.a. TRN 3601825100304510540212901862970-008 CBPSIT31XXX per 2025-10-02 - GEOS S SDRL - Scalapay IP S.p</v>
      </c>
    </row>
    <row r="962">
      <c r="A962" s="49">
        <v>45933.0</v>
      </c>
      <c r="B962" s="49">
        <v>45930.0</v>
      </c>
      <c r="C962" s="45">
        <v>-10.0</v>
      </c>
      <c r="D962" s="45"/>
      <c r="E962" s="15" t="b">
        <v>1</v>
      </c>
      <c r="F962" s="45" t="s">
        <v>108</v>
      </c>
      <c r="G962" s="45" t="s">
        <v>824</v>
      </c>
      <c r="H962" s="18">
        <f t="shared" si="1"/>
        <v>-10</v>
      </c>
      <c r="I962" s="19" t="str">
        <f t="shared" si="3"/>
        <v>TENUTA CONTOADDEBITO RELATIVO AL PERIODO DI SETTEMBRE 2025</v>
      </c>
    </row>
    <row r="963">
      <c r="A963" s="49">
        <v>45933.0</v>
      </c>
      <c r="B963" s="49">
        <v>45930.0</v>
      </c>
      <c r="C963" s="45">
        <v>-5.0</v>
      </c>
      <c r="D963" s="45"/>
      <c r="E963" s="15" t="b">
        <v>1</v>
      </c>
      <c r="F963" s="45" t="s">
        <v>110</v>
      </c>
      <c r="G963" s="45" t="s">
        <v>825</v>
      </c>
      <c r="H963" s="18">
        <f t="shared" si="1"/>
        <v>-5</v>
      </c>
      <c r="I963" s="19" t="str">
        <f t="shared" si="3"/>
        <v>CANONE SERVIZIO COLLEGAMENTO TELEMATICOADDEBITO CANONE DEL SERVIZIO BANCOPOSTAIMPRESA ONLINE RELATIVO AL PERIODO SETTEMBRE 2025 CONTRATTO N. 0059926216</v>
      </c>
    </row>
    <row r="964">
      <c r="A964" s="49">
        <v>45933.0</v>
      </c>
      <c r="B964" s="49">
        <v>45933.0</v>
      </c>
      <c r="C964" s="45">
        <v>-1053.03</v>
      </c>
      <c r="D964" s="45"/>
      <c r="E964" s="15" t="b">
        <v>1</v>
      </c>
      <c r="F964" s="45" t="s">
        <v>112</v>
      </c>
      <c r="G964" s="45" t="s">
        <v>102</v>
      </c>
      <c r="H964" s="18">
        <f t="shared" si="1"/>
        <v>-1053.03</v>
      </c>
      <c r="I964" s="19" t="str">
        <f t="shared" si="3"/>
        <v>DOMICILIAZIONE (ADDEBITO DIRETTO SEPA)NEXI Payments Spa    CID.IT500540000004107060966             MAN.CL2XV900700799PC0001228595</v>
      </c>
    </row>
    <row r="965">
      <c r="A965" s="49">
        <v>45933.0</v>
      </c>
      <c r="B965" s="49">
        <v>45933.0</v>
      </c>
      <c r="C965" s="45">
        <v>-617.34</v>
      </c>
      <c r="D965" s="45"/>
      <c r="E965" s="15" t="b">
        <v>1</v>
      </c>
      <c r="F965" s="45" t="s">
        <v>112</v>
      </c>
      <c r="G965" s="45" t="s">
        <v>103</v>
      </c>
      <c r="H965" s="18">
        <f t="shared" si="1"/>
        <v>-617.34</v>
      </c>
      <c r="I965" s="19" t="str">
        <f t="shared" si="3"/>
        <v>DOMICILIAZIONE (ADDEBITO DIRETTO SEPA)NEXI Payments Spa    CID.IT500540000004107060966             MAN.CL2XV900700884PC0001228636</v>
      </c>
    </row>
    <row r="966">
      <c r="A966" s="49">
        <v>45932.0</v>
      </c>
      <c r="B966" s="49">
        <v>45932.0</v>
      </c>
      <c r="C966" s="45">
        <v>-5174.0</v>
      </c>
      <c r="D966" s="47"/>
      <c r="E966" s="15" t="b">
        <v>1</v>
      </c>
      <c r="F966" s="45" t="s">
        <v>12</v>
      </c>
      <c r="G966" s="45" t="s">
        <v>826</v>
      </c>
      <c r="H966" s="18">
        <f t="shared" si="1"/>
        <v>-5174</v>
      </c>
      <c r="I966" s="19" t="str">
        <f t="shared" si="3"/>
        <v>BONIFICO SEPADistinta: 17593315698813IFVDEF</v>
      </c>
    </row>
    <row r="967">
      <c r="A967" s="49">
        <v>45932.0</v>
      </c>
      <c r="B967" s="49">
        <v>45932.0</v>
      </c>
      <c r="C967" s="45"/>
      <c r="D967" s="45">
        <v>1665.0</v>
      </c>
      <c r="E967" s="15" t="b">
        <v>0</v>
      </c>
      <c r="F967" s="45" t="s">
        <v>12</v>
      </c>
      <c r="G967" s="45" t="s">
        <v>827</v>
      </c>
      <c r="H967" s="18">
        <f t="shared" si="1"/>
        <v>1665</v>
      </c>
      <c r="I967" s="19" t="str">
        <f t="shared" si="3"/>
        <v>BONIFICO SEPADa NEXI Payments Spa TRN 058636400045NPPASU0000000000IT CIPBITMM per PV 1000001228596 ACCREDITO BANCOMAT 011025 RIF 9316</v>
      </c>
    </row>
    <row r="968">
      <c r="A968" s="49">
        <v>45932.0</v>
      </c>
      <c r="B968" s="49">
        <v>45932.0</v>
      </c>
      <c r="C968" s="45"/>
      <c r="D968" s="45">
        <v>4182.0</v>
      </c>
      <c r="E968" s="15" t="b">
        <v>0</v>
      </c>
      <c r="F968" s="45" t="s">
        <v>12</v>
      </c>
      <c r="G968" s="45" t="s">
        <v>828</v>
      </c>
      <c r="H968" s="18">
        <f t="shared" si="1"/>
        <v>4182</v>
      </c>
      <c r="I968" s="19" t="str">
        <f t="shared" si="3"/>
        <v>BONIFICO SEPADa NEXI Payments Spa TRN 058636380105NPPASU0000000000IT CIPBITMM per PV 1000001228596 ACCREDITO CIRCUITI INTERNAZ. 01102</v>
      </c>
    </row>
    <row r="969">
      <c r="A969" s="49">
        <v>45932.0</v>
      </c>
      <c r="B969" s="49">
        <v>45932.0</v>
      </c>
      <c r="C969" s="45"/>
      <c r="D969" s="45">
        <v>4772.82</v>
      </c>
      <c r="E969" s="15" t="b">
        <v>0</v>
      </c>
      <c r="F969" s="45" t="s">
        <v>12</v>
      </c>
      <c r="G969" s="45" t="s">
        <v>829</v>
      </c>
      <c r="H969" s="18">
        <f t="shared" si="1"/>
        <v>4772.82</v>
      </c>
      <c r="I969" s="19" t="str">
        <f t="shared" si="3"/>
        <v>BONIFICO SEPADa Scalapay IP S.p.a. TRN 3601825100204493718836201927603-008 CBPSIT31XXX per 2025-10-01 - GEOS S SDRL - Scalapay IP S.p</v>
      </c>
    </row>
    <row r="970">
      <c r="A970" s="49">
        <v>45932.0</v>
      </c>
      <c r="B970" s="49">
        <v>45932.0</v>
      </c>
      <c r="C970" s="45"/>
      <c r="D970" s="45">
        <v>3340.0</v>
      </c>
      <c r="E970" s="15" t="b">
        <v>0</v>
      </c>
      <c r="F970" s="45" t="s">
        <v>12</v>
      </c>
      <c r="G970" s="45" t="s">
        <v>830</v>
      </c>
      <c r="H970" s="18">
        <f t="shared" si="1"/>
        <v>3340</v>
      </c>
      <c r="I970" s="19" t="str">
        <f t="shared" si="3"/>
        <v>BONIFICO SEPADa NEXI Payments Spa TRN 058636634045NPPASU0000000000IT CIPBITMM per PV 1000001228637 ACCREDITO CIRCUITI INTERNAZ. 01102</v>
      </c>
    </row>
    <row r="971">
      <c r="A971" s="44">
        <v>45932.0</v>
      </c>
      <c r="B971" s="44">
        <v>45930.0</v>
      </c>
      <c r="C971" s="45">
        <v>-8.21</v>
      </c>
      <c r="D971" s="48"/>
      <c r="E971" s="15" t="b">
        <v>1</v>
      </c>
      <c r="F971" s="45" t="s">
        <v>125</v>
      </c>
      <c r="G971" s="48"/>
      <c r="H971" s="18">
        <f t="shared" si="1"/>
        <v>-8.21</v>
      </c>
      <c r="I971" s="19" t="str">
        <f t="shared" si="3"/>
        <v>IMPOSTA DI BOLLO</v>
      </c>
    </row>
    <row r="972">
      <c r="A972" s="44">
        <v>45931.0</v>
      </c>
      <c r="B972" s="44">
        <v>45931.0</v>
      </c>
      <c r="C972" s="45">
        <v>-312.0</v>
      </c>
      <c r="D972" s="48"/>
      <c r="E972" s="15" t="b">
        <v>1</v>
      </c>
      <c r="F972" s="45" t="s">
        <v>12</v>
      </c>
      <c r="G972" s="45" t="s">
        <v>831</v>
      </c>
      <c r="H972" s="18">
        <f t="shared" si="1"/>
        <v>-312</v>
      </c>
      <c r="I972" s="19" t="str">
        <f t="shared" si="3"/>
        <v>BONIFICO SEPADistinta: 17593137194323DQVDEF</v>
      </c>
    </row>
    <row r="973">
      <c r="A973" s="49">
        <v>45931.0</v>
      </c>
      <c r="B973" s="49">
        <v>45931.0</v>
      </c>
      <c r="C973" s="48"/>
      <c r="D973" s="45">
        <v>737.0</v>
      </c>
      <c r="E973" s="15" t="b">
        <v>0</v>
      </c>
      <c r="F973" s="45" t="s">
        <v>12</v>
      </c>
      <c r="G973" s="45" t="s">
        <v>832</v>
      </c>
      <c r="H973" s="18">
        <f t="shared" si="1"/>
        <v>737</v>
      </c>
      <c r="I973" s="19" t="str">
        <f t="shared" si="3"/>
        <v>BONIFICO SEPADa NEXI Payments Spa TRN 058519189015NPPASU0000000000IT CIPBITMM per PV 1000001228637 ACCREDITO CIRCUITI INTERNAZ. 30092</v>
      </c>
    </row>
    <row r="974">
      <c r="A974" s="49">
        <v>45931.0</v>
      </c>
      <c r="B974" s="49">
        <v>45931.0</v>
      </c>
      <c r="C974" s="48"/>
      <c r="D974" s="45">
        <v>1057.0</v>
      </c>
      <c r="E974" s="15" t="b">
        <v>0</v>
      </c>
      <c r="F974" s="45" t="s">
        <v>12</v>
      </c>
      <c r="G974" s="45" t="s">
        <v>833</v>
      </c>
      <c r="H974" s="18">
        <f t="shared" si="1"/>
        <v>1057</v>
      </c>
      <c r="I974" s="19" t="str">
        <f t="shared" si="3"/>
        <v>BONIFICO SEPADa NEXI Payments Spa TRN 058513231105NPPASU0000000000IT CIPBITMM per PV 1000001228596 ACCREDITO BANCOMAT 300925 RIF 9300</v>
      </c>
    </row>
    <row r="975">
      <c r="A975" s="49">
        <v>45931.0</v>
      </c>
      <c r="B975" s="49">
        <v>45931.0</v>
      </c>
      <c r="C975" s="48"/>
      <c r="D975" s="45">
        <v>4794.0</v>
      </c>
      <c r="E975" s="15" t="b">
        <v>0</v>
      </c>
      <c r="F975" s="45" t="s">
        <v>12</v>
      </c>
      <c r="G975" s="45" t="s">
        <v>834</v>
      </c>
      <c r="H975" s="18">
        <f t="shared" si="1"/>
        <v>4794</v>
      </c>
      <c r="I975" s="19" t="str">
        <f t="shared" si="3"/>
        <v>BONIFICO SEPADa NEXI Payments Spa TRN 058513227065NPPASU0000000000IT CIPBITMM per PV 1000001228596 ACCREDITO CIRCUITI INTERNAZ. 30092</v>
      </c>
    </row>
    <row r="976">
      <c r="A976" s="49">
        <v>45931.0</v>
      </c>
      <c r="B976" s="49">
        <v>45931.0</v>
      </c>
      <c r="C976" s="48"/>
      <c r="D976" s="45">
        <v>4028.17</v>
      </c>
      <c r="E976" s="15" t="b">
        <v>0</v>
      </c>
      <c r="F976" s="45" t="s">
        <v>12</v>
      </c>
      <c r="G976" s="45" t="s">
        <v>835</v>
      </c>
      <c r="H976" s="18">
        <f t="shared" si="1"/>
        <v>4028.17</v>
      </c>
      <c r="I976" s="19" t="str">
        <f t="shared" si="3"/>
        <v>BONIFICO SEPADa Scalapay IP S.p.a. TRN 3601825100104495008557521592052-008 CBPSIT31XXX per 2025-09-30 - GEOS S SDRL - Scalapay IP S.p</v>
      </c>
    </row>
    <row r="977">
      <c r="A977" s="46"/>
      <c r="B977" s="46"/>
      <c r="C977" s="51"/>
      <c r="D977" s="47"/>
      <c r="E977" s="15" t="b">
        <v>0</v>
      </c>
      <c r="F977" s="47"/>
      <c r="G977" s="47"/>
      <c r="H977" s="18">
        <f t="shared" si="1"/>
        <v>0</v>
      </c>
      <c r="I977" s="19" t="str">
        <f t="shared" si="3"/>
        <v/>
      </c>
    </row>
    <row r="978">
      <c r="A978" s="46"/>
      <c r="B978" s="46"/>
      <c r="C978" s="47"/>
      <c r="D978" s="47"/>
      <c r="E978" s="15" t="b">
        <v>0</v>
      </c>
      <c r="F978" s="47"/>
      <c r="G978" s="47"/>
      <c r="H978" s="18">
        <f t="shared" si="1"/>
        <v>0</v>
      </c>
      <c r="I978" s="19" t="str">
        <f t="shared" si="3"/>
        <v/>
      </c>
    </row>
    <row r="979">
      <c r="A979" s="49">
        <v>45931.0</v>
      </c>
      <c r="B979" s="49">
        <v>45931.0</v>
      </c>
      <c r="C979" s="45"/>
      <c r="D979" s="45">
        <v>89.8</v>
      </c>
      <c r="E979" s="15" t="b">
        <v>0</v>
      </c>
      <c r="F979" s="45" t="s">
        <v>28</v>
      </c>
      <c r="G979" s="45" t="s">
        <v>836</v>
      </c>
      <c r="H979" s="18">
        <f t="shared" si="1"/>
        <v>89.8</v>
      </c>
      <c r="I979" s="19" t="str">
        <f t="shared" si="3"/>
        <v>BONIFICODa Satispay Europe S.A. TRN a4944257cd094c75ad877e42c9ca1401 SATYLUL1XXX per Geos ssdr</v>
      </c>
    </row>
    <row r="980">
      <c r="A980" s="49">
        <v>45930.0</v>
      </c>
      <c r="B980" s="49">
        <v>45930.0</v>
      </c>
      <c r="C980" s="45">
        <v>-2329.42</v>
      </c>
      <c r="D980" s="45"/>
      <c r="E980" s="15" t="b">
        <v>1</v>
      </c>
      <c r="F980" s="45" t="s">
        <v>12</v>
      </c>
      <c r="G980" s="45" t="s">
        <v>837</v>
      </c>
      <c r="H980" s="18">
        <f t="shared" si="1"/>
        <v>-2329.42</v>
      </c>
      <c r="I980" s="19" t="str">
        <f t="shared" si="3"/>
        <v>BONIFICO SEPADistinta: 175921689169529JQDEF</v>
      </c>
    </row>
    <row r="981">
      <c r="A981" s="49">
        <v>45930.0</v>
      </c>
      <c r="B981" s="49">
        <v>45930.0</v>
      </c>
      <c r="C981" s="45"/>
      <c r="D981" s="45">
        <v>6297.0</v>
      </c>
      <c r="E981" s="15" t="b">
        <v>0</v>
      </c>
      <c r="F981" s="45" t="s">
        <v>12</v>
      </c>
      <c r="G981" s="45" t="s">
        <v>838</v>
      </c>
      <c r="H981" s="18">
        <f t="shared" si="1"/>
        <v>6297</v>
      </c>
      <c r="I981" s="19" t="str">
        <f t="shared" si="3"/>
        <v>BONIFICO SEPADa NEXI Payments Spa TRN 058422630065NPPASU0000000000IT CIPBITMM per PV 1000001228596 ACCREDITO CIRCUITI INTERNAZ. 29092</v>
      </c>
    </row>
    <row r="982">
      <c r="A982" s="49">
        <v>45930.0</v>
      </c>
      <c r="B982" s="49">
        <v>45930.0</v>
      </c>
      <c r="C982" s="45"/>
      <c r="D982" s="45">
        <v>1805.0</v>
      </c>
      <c r="E982" s="15" t="b">
        <v>0</v>
      </c>
      <c r="F982" s="45" t="s">
        <v>12</v>
      </c>
      <c r="G982" s="45" t="s">
        <v>839</v>
      </c>
      <c r="H982" s="18">
        <f t="shared" si="1"/>
        <v>1805</v>
      </c>
      <c r="I982" s="19" t="str">
        <f t="shared" si="3"/>
        <v>BONIFICO SEPADa NEXI Payments Spa TRN 058423969065NPPASU0000000000IT CIPBITMM per PV 1000001228637 ACCREDITO CIRCUITI INTERNAZ. 29092</v>
      </c>
    </row>
    <row r="983">
      <c r="A983" s="49">
        <v>45930.0</v>
      </c>
      <c r="B983" s="49">
        <v>45930.0</v>
      </c>
      <c r="C983" s="45"/>
      <c r="D983" s="45">
        <v>1720.0</v>
      </c>
      <c r="E983" s="15" t="b">
        <v>0</v>
      </c>
      <c r="F983" s="45" t="s">
        <v>12</v>
      </c>
      <c r="G983" s="45" t="s">
        <v>840</v>
      </c>
      <c r="H983" s="18">
        <f t="shared" si="1"/>
        <v>1720</v>
      </c>
      <c r="I983" s="19" t="str">
        <f t="shared" si="3"/>
        <v>BONIFICO SEPADa NEXI Payments Spa TRN 058422638015NPPASU0000000000IT CIPBITMM per PV 1000001228596 ACCREDITO BANCOMAT 290925 RIF 9277</v>
      </c>
    </row>
    <row r="984">
      <c r="A984" s="49">
        <v>45930.0</v>
      </c>
      <c r="B984" s="49">
        <v>45930.0</v>
      </c>
      <c r="C984" s="45"/>
      <c r="D984" s="45">
        <v>3572.97</v>
      </c>
      <c r="E984" s="15" t="b">
        <v>0</v>
      </c>
      <c r="F984" s="45" t="s">
        <v>12</v>
      </c>
      <c r="G984" s="45" t="s">
        <v>841</v>
      </c>
      <c r="H984" s="18">
        <f t="shared" si="1"/>
        <v>3572.97</v>
      </c>
      <c r="I984" s="19" t="str">
        <f t="shared" si="3"/>
        <v>BONIFICO SEPADa Scalapay IP S.p.a. TRN 3601825093004492656100570758431-008 CBPSIT31XXX per 2025-09-29 - GEOS S SDRL - Scalapay IP S.p</v>
      </c>
    </row>
    <row r="985">
      <c r="A985" s="49">
        <v>45930.0</v>
      </c>
      <c r="B985" s="49">
        <v>45930.0</v>
      </c>
      <c r="C985" s="45"/>
      <c r="D985" s="45">
        <v>44.8</v>
      </c>
      <c r="E985" s="15" t="b">
        <v>0</v>
      </c>
      <c r="F985" s="45" t="s">
        <v>28</v>
      </c>
      <c r="G985" s="45" t="s">
        <v>842</v>
      </c>
      <c r="H985" s="18">
        <f t="shared" si="1"/>
        <v>44.8</v>
      </c>
      <c r="I985" s="19" t="str">
        <f t="shared" si="3"/>
        <v>BONIFICODa Satispay Europe S.A. TRN 20ad9b4062bb4c48adef602e5757c890 SATYLUL1XXX per Geos ssdr</v>
      </c>
    </row>
    <row r="986">
      <c r="A986" s="49">
        <v>45929.0</v>
      </c>
      <c r="B986" s="49">
        <v>45929.0</v>
      </c>
      <c r="C986" s="45"/>
      <c r="D986" s="45">
        <v>9811.0</v>
      </c>
      <c r="E986" s="15" t="b">
        <v>0</v>
      </c>
      <c r="F986" s="45" t="s">
        <v>12</v>
      </c>
      <c r="G986" s="45" t="s">
        <v>843</v>
      </c>
      <c r="H986" s="18">
        <f t="shared" si="1"/>
        <v>9811</v>
      </c>
      <c r="I986" s="19" t="str">
        <f t="shared" si="3"/>
        <v>BONIFICO SEPADa NEXI Payments Spa TRN 058175625015NPPASU0000000000IT CIPBITMM per PV 1000001228596 ACCREDITO CIRCUITI INTERNAZ. 26092</v>
      </c>
    </row>
    <row r="987">
      <c r="A987" s="49">
        <v>45929.0</v>
      </c>
      <c r="B987" s="49">
        <v>45929.0</v>
      </c>
      <c r="C987" s="45"/>
      <c r="D987" s="45">
        <v>3895.0</v>
      </c>
      <c r="E987" s="15" t="b">
        <v>0</v>
      </c>
      <c r="F987" s="45" t="s">
        <v>12</v>
      </c>
      <c r="G987" s="45" t="s">
        <v>844</v>
      </c>
      <c r="H987" s="18">
        <f t="shared" si="1"/>
        <v>3895</v>
      </c>
      <c r="I987" s="19" t="str">
        <f t="shared" si="3"/>
        <v>BONIFICO SEPADa NEXI Payments Spa TRN 058179120125NPPASU0000000000IT CIPBITMM per PV 1000001228637 ACCREDITO CIRCUITI INTERNAZ. 26092</v>
      </c>
    </row>
    <row r="988">
      <c r="A988" s="49">
        <v>45929.0</v>
      </c>
      <c r="B988" s="49">
        <v>45929.0</v>
      </c>
      <c r="C988" s="45"/>
      <c r="D988" s="45">
        <v>4603.0</v>
      </c>
      <c r="E988" s="15" t="b">
        <v>0</v>
      </c>
      <c r="F988" s="45" t="s">
        <v>12</v>
      </c>
      <c r="G988" s="45" t="s">
        <v>845</v>
      </c>
      <c r="H988" s="18">
        <f t="shared" si="1"/>
        <v>4603</v>
      </c>
      <c r="I988" s="19" t="str">
        <f t="shared" si="3"/>
        <v>BONIFICO SEPADa NEXI Payments Spa TRN 058175639025NPPASU0000000000IT CIPBITMM per PV 1000001228596 ACCREDITO BANCOMAT 260925 RIF 9235</v>
      </c>
    </row>
    <row r="989">
      <c r="A989" s="49">
        <v>45929.0</v>
      </c>
      <c r="B989" s="49">
        <v>45929.0</v>
      </c>
      <c r="C989" s="45"/>
      <c r="D989" s="45">
        <v>3390.0</v>
      </c>
      <c r="E989" s="15" t="b">
        <v>0</v>
      </c>
      <c r="F989" s="45" t="s">
        <v>12</v>
      </c>
      <c r="G989" s="45" t="s">
        <v>846</v>
      </c>
      <c r="H989" s="18">
        <f t="shared" si="1"/>
        <v>3390</v>
      </c>
      <c r="I989" s="19" t="str">
        <f t="shared" si="3"/>
        <v>BONIFICO SEPADa NEXI Payments Spa TRN 058276499085NPPASU0000000000IT CIPBITMM per PV 1000001228596 ACCREDITO CIRCUITI INTERNAZ. 27092</v>
      </c>
    </row>
    <row r="990">
      <c r="A990" s="49">
        <v>45929.0</v>
      </c>
      <c r="B990" s="49">
        <v>45929.0</v>
      </c>
      <c r="C990" s="45"/>
      <c r="D990" s="45">
        <v>647.0</v>
      </c>
      <c r="E990" s="15" t="b">
        <v>0</v>
      </c>
      <c r="F990" s="45" t="s">
        <v>12</v>
      </c>
      <c r="G990" s="45" t="s">
        <v>847</v>
      </c>
      <c r="H990" s="18">
        <f t="shared" si="1"/>
        <v>647</v>
      </c>
      <c r="I990" s="19" t="str">
        <f t="shared" si="3"/>
        <v>BONIFICO SEPADa NEXI Payments Spa TRN 058276069075NPPASU0000000000IT CIPBITMM per PV 1000001228637 ACCREDITO CIRCUITI INTERNAZ. 27092</v>
      </c>
    </row>
    <row r="991">
      <c r="A991" s="49">
        <v>45929.0</v>
      </c>
      <c r="B991" s="49">
        <v>45929.0</v>
      </c>
      <c r="C991" s="45"/>
      <c r="D991" s="45">
        <v>1955.0</v>
      </c>
      <c r="E991" s="15" t="b">
        <v>0</v>
      </c>
      <c r="F991" s="45" t="s">
        <v>12</v>
      </c>
      <c r="G991" s="45" t="s">
        <v>848</v>
      </c>
      <c r="H991" s="18">
        <f t="shared" si="1"/>
        <v>1955</v>
      </c>
      <c r="I991" s="19" t="str">
        <f t="shared" si="3"/>
        <v>BONIFICO SEPADa NEXI Payments Spa TRN 058276510065NPPASU0000000000IT CIPBITMM per PV 1000001228596 ACCREDITO BANCOMAT 270925 RIF 9252</v>
      </c>
    </row>
    <row r="992">
      <c r="A992" s="49">
        <v>45929.0</v>
      </c>
      <c r="B992" s="49">
        <v>45929.0</v>
      </c>
      <c r="C992" s="45"/>
      <c r="D992" s="45">
        <v>1345.0</v>
      </c>
      <c r="E992" s="15" t="b">
        <v>0</v>
      </c>
      <c r="F992" s="45" t="s">
        <v>12</v>
      </c>
      <c r="G992" s="45" t="s">
        <v>849</v>
      </c>
      <c r="H992" s="18">
        <f t="shared" si="1"/>
        <v>1345</v>
      </c>
      <c r="I992" s="19" t="str">
        <f t="shared" si="3"/>
        <v>BONIFICO SEPADa NEXI Payments Spa TRN 058375820095NPPASU0000000000IT CIPBITMM per PV 1000001228637 ACCREDITO CIRCUITI INTERNAZ. 28092</v>
      </c>
    </row>
    <row r="993">
      <c r="A993" s="49">
        <v>45929.0</v>
      </c>
      <c r="B993" s="49">
        <v>45929.0</v>
      </c>
      <c r="C993" s="45"/>
      <c r="D993" s="45">
        <v>5414.57</v>
      </c>
      <c r="E993" s="15" t="b">
        <v>0</v>
      </c>
      <c r="F993" s="45" t="s">
        <v>12</v>
      </c>
      <c r="G993" s="45" t="s">
        <v>850</v>
      </c>
      <c r="H993" s="18">
        <f t="shared" si="1"/>
        <v>5414.57</v>
      </c>
      <c r="I993" s="19" t="str">
        <f t="shared" si="3"/>
        <v>BONIFICO SEPADa Scalapay IP S.p.a. TRN 3601825092904494671165613208997-008 CBPSIT31XXX per 2025-09-28 - GEOS S SDRL - Scalapay IP S.p</v>
      </c>
    </row>
    <row r="994">
      <c r="A994" s="50">
        <v>45929.0</v>
      </c>
      <c r="B994" s="50">
        <v>45929.0</v>
      </c>
      <c r="C994" s="47"/>
      <c r="D994" s="47">
        <v>7000.0</v>
      </c>
      <c r="E994" s="15" t="b">
        <v>0</v>
      </c>
      <c r="F994" s="47" t="s">
        <v>58</v>
      </c>
      <c r="G994" s="47" t="s">
        <v>713</v>
      </c>
      <c r="H994" s="18">
        <f t="shared" si="1"/>
        <v>7000</v>
      </c>
      <c r="I994" s="19" t="str">
        <f t="shared" si="3"/>
        <v>VERSAMENTO CONTANTE IN UPU.P. 38530 MILANO 82</v>
      </c>
    </row>
    <row r="995">
      <c r="A995" s="49"/>
      <c r="B995" s="49"/>
      <c r="C995" s="45"/>
      <c r="D995" s="45"/>
      <c r="E995" s="15" t="b">
        <v>0</v>
      </c>
      <c r="F995" s="45"/>
      <c r="G995" s="45"/>
      <c r="H995" s="18">
        <f t="shared" si="1"/>
        <v>0</v>
      </c>
      <c r="I995" s="19" t="str">
        <f t="shared" si="3"/>
        <v/>
      </c>
    </row>
    <row r="996">
      <c r="A996" s="50">
        <v>45929.0</v>
      </c>
      <c r="B996" s="50">
        <v>45929.0</v>
      </c>
      <c r="C996" s="47"/>
      <c r="D996" s="47">
        <v>671.0</v>
      </c>
      <c r="E996" s="15" t="b">
        <v>0</v>
      </c>
      <c r="F996" s="47" t="s">
        <v>12</v>
      </c>
      <c r="G996" s="47" t="s">
        <v>851</v>
      </c>
      <c r="H996" s="18">
        <f t="shared" si="1"/>
        <v>671</v>
      </c>
      <c r="I996" s="19" t="str">
        <f t="shared" si="3"/>
        <v>BONIFICO SEPADa NEW WAVE S.R.L. TRN 1101252690345922 UNCRITMM per SALDO FATT. 289 DEL 14.07.2025</v>
      </c>
    </row>
    <row r="997">
      <c r="A997" s="50">
        <v>45926.0</v>
      </c>
      <c r="B997" s="50">
        <v>45926.0</v>
      </c>
      <c r="C997" s="47">
        <v>-1478.65</v>
      </c>
      <c r="D997" s="47"/>
      <c r="E997" s="15" t="b">
        <v>1</v>
      </c>
      <c r="F997" s="47" t="s">
        <v>12</v>
      </c>
      <c r="G997" s="47" t="s">
        <v>852</v>
      </c>
      <c r="H997" s="18">
        <f t="shared" si="1"/>
        <v>-1478.65</v>
      </c>
      <c r="I997" s="19" t="str">
        <f t="shared" si="3"/>
        <v>BONIFICO SEPADistinta: 17588756366342EE7DEF</v>
      </c>
    </row>
    <row r="998">
      <c r="A998" s="50"/>
      <c r="B998" s="50"/>
      <c r="C998" s="47"/>
      <c r="D998" s="47"/>
      <c r="E998" s="15" t="b">
        <v>0</v>
      </c>
      <c r="F998" s="47"/>
      <c r="G998" s="47"/>
      <c r="H998" s="18">
        <f t="shared" si="1"/>
        <v>0</v>
      </c>
      <c r="I998" s="19" t="str">
        <f t="shared" si="3"/>
        <v/>
      </c>
    </row>
    <row r="999">
      <c r="A999" s="50"/>
      <c r="B999" s="50"/>
      <c r="C999" s="47"/>
      <c r="D999" s="47"/>
      <c r="E999" s="15" t="b">
        <v>0</v>
      </c>
      <c r="F999" s="47"/>
      <c r="G999" s="47"/>
      <c r="H999" s="18">
        <f t="shared" si="1"/>
        <v>0</v>
      </c>
      <c r="I999" s="19" t="str">
        <f t="shared" si="3"/>
        <v/>
      </c>
    </row>
    <row r="1000">
      <c r="A1000" s="49">
        <v>45926.0</v>
      </c>
      <c r="B1000" s="49">
        <v>45926.0</v>
      </c>
      <c r="C1000" s="45"/>
      <c r="D1000" s="45">
        <v>9784.8</v>
      </c>
      <c r="E1000" s="15" t="b">
        <v>0</v>
      </c>
      <c r="F1000" s="45" t="s">
        <v>12</v>
      </c>
      <c r="G1000" s="45" t="s">
        <v>853</v>
      </c>
      <c r="H1000" s="18">
        <f t="shared" si="1"/>
        <v>9784.8</v>
      </c>
      <c r="I1000" s="19" t="str">
        <f t="shared" si="3"/>
        <v>BONIFICO SEPADa Scalapay IP S.p.a. TRN 3601825092604562011915388676143-008 CBPSIT31XXX per 2025-09-25 - GEOS S SDRL - Scalapay IP S.p</v>
      </c>
    </row>
    <row r="1001">
      <c r="A1001" s="49">
        <v>45925.0</v>
      </c>
      <c r="B1001" s="49">
        <v>45925.0</v>
      </c>
      <c r="C1001" s="45">
        <v>-2253.86</v>
      </c>
      <c r="D1001" s="45"/>
      <c r="E1001" s="15" t="b">
        <v>1</v>
      </c>
      <c r="F1001" s="45" t="s">
        <v>12</v>
      </c>
      <c r="G1001" s="45" t="s">
        <v>854</v>
      </c>
      <c r="H1001" s="18">
        <f t="shared" si="1"/>
        <v>-2253.86</v>
      </c>
      <c r="I1001" s="19" t="str">
        <f t="shared" si="3"/>
        <v>BONIFICO SEPADistinta: 1758790948982285TDEF</v>
      </c>
    </row>
    <row r="1002">
      <c r="A1002" s="49">
        <v>45925.0</v>
      </c>
      <c r="B1002" s="49">
        <v>45925.0</v>
      </c>
      <c r="C1002" s="45">
        <v>-80.0</v>
      </c>
      <c r="D1002" s="45"/>
      <c r="E1002" s="15" t="b">
        <v>1</v>
      </c>
      <c r="F1002" s="45" t="s">
        <v>12</v>
      </c>
      <c r="G1002" s="45" t="s">
        <v>855</v>
      </c>
      <c r="H1002" s="18">
        <f t="shared" si="1"/>
        <v>-80</v>
      </c>
      <c r="I1002" s="19" t="str">
        <f t="shared" si="3"/>
        <v>BONIFICO SEPADistinta: 17587847111682696DEF</v>
      </c>
    </row>
    <row r="1003">
      <c r="A1003" s="49">
        <v>45925.0</v>
      </c>
      <c r="B1003" s="49">
        <v>45925.0</v>
      </c>
      <c r="C1003" s="45">
        <v>-305.0</v>
      </c>
      <c r="D1003" s="45"/>
      <c r="E1003" s="15" t="b">
        <v>1</v>
      </c>
      <c r="F1003" s="45" t="s">
        <v>12</v>
      </c>
      <c r="G1003" s="45" t="s">
        <v>856</v>
      </c>
      <c r="H1003" s="18">
        <f t="shared" si="1"/>
        <v>-305</v>
      </c>
      <c r="I1003" s="19" t="str">
        <f t="shared" si="3"/>
        <v>BONIFICO SEPADistinta: 1758784575086267SDEF</v>
      </c>
    </row>
    <row r="1004">
      <c r="A1004" s="49">
        <v>45925.0</v>
      </c>
      <c r="B1004" s="49">
        <v>45925.0</v>
      </c>
      <c r="C1004" s="45"/>
      <c r="D1004" s="45">
        <v>1515.0</v>
      </c>
      <c r="E1004" s="15" t="b">
        <v>0</v>
      </c>
      <c r="F1004" s="45" t="s">
        <v>12</v>
      </c>
      <c r="G1004" s="45" t="s">
        <v>857</v>
      </c>
      <c r="H1004" s="18">
        <f t="shared" si="1"/>
        <v>1515</v>
      </c>
      <c r="I1004" s="19" t="str">
        <f t="shared" si="3"/>
        <v>BONIFICO SEPADa NEXI Payments Spa TRN 058043668075NPPASU0000000000IT CIPBITMM per PV 1000001228596 ACCREDITO BANCOMAT 240925 RIF 9203</v>
      </c>
    </row>
    <row r="1005">
      <c r="A1005" s="49">
        <v>45925.0</v>
      </c>
      <c r="B1005" s="49">
        <v>45925.0</v>
      </c>
      <c r="C1005" s="45"/>
      <c r="D1005" s="45">
        <v>8086.0</v>
      </c>
      <c r="E1005" s="15" t="b">
        <v>0</v>
      </c>
      <c r="F1005" s="45" t="s">
        <v>12</v>
      </c>
      <c r="G1005" s="45" t="s">
        <v>858</v>
      </c>
      <c r="H1005" s="18">
        <f t="shared" si="1"/>
        <v>8086</v>
      </c>
      <c r="I1005" s="19" t="str">
        <f t="shared" si="3"/>
        <v>BONIFICO SEPADa NEXI Payments Spa TRN 058043653055NPPASU0000000000IT CIPBITMM per PV 1000001228596 ACCREDITO CIRCUITI INTERNAZ. 24092</v>
      </c>
    </row>
    <row r="1006">
      <c r="A1006" s="49">
        <v>45925.0</v>
      </c>
      <c r="B1006" s="49">
        <v>45925.0</v>
      </c>
      <c r="C1006" s="45"/>
      <c r="D1006" s="45">
        <v>2563.0</v>
      </c>
      <c r="E1006" s="15" t="b">
        <v>0</v>
      </c>
      <c r="F1006" s="45" t="s">
        <v>12</v>
      </c>
      <c r="G1006" s="45" t="s">
        <v>859</v>
      </c>
      <c r="H1006" s="18">
        <f t="shared" si="1"/>
        <v>2563</v>
      </c>
      <c r="I1006" s="19" t="str">
        <f t="shared" si="3"/>
        <v>BONIFICO SEPADa NEXI Payments Spa TRN 058043552085NPPASU0000000000IT CIPBITMM per PV 1000001228637 ACCREDITO CIRCUITI INTERNAZ. 24092</v>
      </c>
    </row>
    <row r="1007">
      <c r="A1007" s="49">
        <v>45925.0</v>
      </c>
      <c r="B1007" s="49">
        <v>45925.0</v>
      </c>
      <c r="C1007" s="45"/>
      <c r="D1007" s="45">
        <v>6445.6</v>
      </c>
      <c r="E1007" s="15" t="b">
        <v>0</v>
      </c>
      <c r="F1007" s="45" t="s">
        <v>12</v>
      </c>
      <c r="G1007" s="45" t="s">
        <v>860</v>
      </c>
      <c r="H1007" s="18">
        <f t="shared" si="1"/>
        <v>6445.6</v>
      </c>
      <c r="I1007" s="19" t="str">
        <f t="shared" si="3"/>
        <v>BONIFICO SEPADa Scalapay IP S.p.a. TRN 3601825092504480492854034686649-008 CBPSIT31XXX per 2025-09-24 - GEOS S SDRL - Scalapay IP S.p</v>
      </c>
    </row>
    <row r="1008">
      <c r="A1008" s="49">
        <v>45924.0</v>
      </c>
      <c r="B1008" s="49">
        <v>45924.0</v>
      </c>
      <c r="C1008" s="45"/>
      <c r="D1008" s="45">
        <v>2352.0</v>
      </c>
      <c r="E1008" s="15" t="b">
        <v>0</v>
      </c>
      <c r="F1008" s="45" t="s">
        <v>12</v>
      </c>
      <c r="G1008" s="45" t="s">
        <v>861</v>
      </c>
      <c r="H1008" s="18">
        <f t="shared" si="1"/>
        <v>2352</v>
      </c>
      <c r="I1008" s="19" t="str">
        <f t="shared" si="3"/>
        <v>BONIFICO SEPADa NEXI Payments Spa TRN 057941323115NPPASU0000000000IT CIPBITMM per PV 1000001228637 ACCREDITO CIRCUITI INTERNAZ. 23092</v>
      </c>
    </row>
    <row r="1009">
      <c r="A1009" s="49">
        <v>45924.0</v>
      </c>
      <c r="B1009" s="49">
        <v>45924.0</v>
      </c>
      <c r="C1009" s="45"/>
      <c r="D1009" s="45">
        <v>6078.97</v>
      </c>
      <c r="E1009" s="15" t="b">
        <v>0</v>
      </c>
      <c r="F1009" s="45" t="s">
        <v>12</v>
      </c>
      <c r="G1009" s="45" t="s">
        <v>862</v>
      </c>
      <c r="H1009" s="18">
        <f t="shared" si="1"/>
        <v>6078.97</v>
      </c>
      <c r="I1009" s="19" t="str">
        <f t="shared" si="3"/>
        <v>BONIFICO SEPADa Scalapay IP S.p.a. TRN 3601825092404491384018264376612-008 CBPSIT31XXX per 2025-09-23 - GEOS S SDRL - Scalapay IP S.p</v>
      </c>
    </row>
    <row r="1010">
      <c r="A1010" s="49">
        <v>45924.0</v>
      </c>
      <c r="B1010" s="49">
        <v>45924.0</v>
      </c>
      <c r="C1010" s="45"/>
      <c r="D1010" s="45">
        <v>2498.0</v>
      </c>
      <c r="E1010" s="15" t="b">
        <v>0</v>
      </c>
      <c r="F1010" s="45" t="s">
        <v>12</v>
      </c>
      <c r="G1010" s="45" t="s">
        <v>863</v>
      </c>
      <c r="H1010" s="18">
        <f t="shared" si="1"/>
        <v>2498</v>
      </c>
      <c r="I1010" s="19" t="str">
        <f t="shared" si="3"/>
        <v>BONIFICO SEPADa NEXI Payments Spa TRN 057942090115NPPASU0000000000IT CIPBITMM per PV 1000001228596 ACCREDITO BANCOMAT 230925 RIF 9188</v>
      </c>
    </row>
    <row r="1011">
      <c r="A1011" s="49">
        <v>45924.0</v>
      </c>
      <c r="B1011" s="49">
        <v>45924.0</v>
      </c>
      <c r="C1011" s="45"/>
      <c r="D1011" s="45">
        <v>5598.0</v>
      </c>
      <c r="E1011" s="15" t="b">
        <v>0</v>
      </c>
      <c r="F1011" s="45" t="s">
        <v>12</v>
      </c>
      <c r="G1011" s="45" t="s">
        <v>864</v>
      </c>
      <c r="H1011" s="18">
        <f t="shared" si="1"/>
        <v>5598</v>
      </c>
      <c r="I1011" s="19" t="str">
        <f t="shared" si="3"/>
        <v>BONIFICO SEPADa NEXI Payments Spa TRN 057942077115NPPASU0000000000IT CIPBITMM per PV 1000001228596 ACCREDITO CIRCUITI INTERNAZ. 23092</v>
      </c>
    </row>
    <row r="1012">
      <c r="A1012" s="44"/>
      <c r="B1012" s="44"/>
      <c r="C1012" s="45"/>
      <c r="D1012" s="45"/>
      <c r="E1012" s="15" t="b">
        <v>0</v>
      </c>
      <c r="F1012" s="45"/>
      <c r="G1012" s="45"/>
      <c r="H1012" s="18">
        <f t="shared" si="1"/>
        <v>0</v>
      </c>
      <c r="I1012" s="19" t="str">
        <f t="shared" si="3"/>
        <v/>
      </c>
    </row>
    <row r="1013">
      <c r="A1013" s="44"/>
      <c r="B1013" s="44"/>
      <c r="C1013" s="45"/>
      <c r="D1013" s="45"/>
      <c r="E1013" s="15" t="b">
        <v>0</v>
      </c>
      <c r="F1013" s="45"/>
      <c r="G1013" s="45"/>
      <c r="H1013" s="18">
        <f t="shared" si="1"/>
        <v>0</v>
      </c>
      <c r="I1013" s="19" t="str">
        <f t="shared" si="3"/>
        <v/>
      </c>
    </row>
    <row r="1014">
      <c r="A1014" s="44"/>
      <c r="B1014" s="44"/>
      <c r="C1014" s="45"/>
      <c r="D1014" s="47"/>
      <c r="E1014" s="15" t="b">
        <v>0</v>
      </c>
      <c r="F1014" s="45"/>
      <c r="G1014" s="45"/>
      <c r="H1014" s="18">
        <f t="shared" si="1"/>
        <v>0</v>
      </c>
      <c r="I1014" s="19" t="str">
        <f t="shared" si="3"/>
        <v/>
      </c>
    </row>
    <row r="1015">
      <c r="A1015" s="49"/>
      <c r="B1015" s="49"/>
      <c r="C1015" s="45"/>
      <c r="D1015" s="45"/>
      <c r="E1015" s="15" t="b">
        <v>0</v>
      </c>
      <c r="F1015" s="45"/>
      <c r="G1015" s="45"/>
      <c r="H1015" s="18">
        <f t="shared" si="1"/>
        <v>0</v>
      </c>
      <c r="I1015" s="19" t="str">
        <f t="shared" si="3"/>
        <v/>
      </c>
    </row>
    <row r="1016">
      <c r="A1016" s="49">
        <v>45924.0</v>
      </c>
      <c r="B1016" s="49">
        <v>45924.0</v>
      </c>
      <c r="C1016" s="45"/>
      <c r="D1016" s="45">
        <v>26.8</v>
      </c>
      <c r="E1016" s="15" t="b">
        <v>0</v>
      </c>
      <c r="F1016" s="45" t="s">
        <v>28</v>
      </c>
      <c r="G1016" s="45" t="s">
        <v>865</v>
      </c>
      <c r="H1016" s="18">
        <f t="shared" si="1"/>
        <v>26.8</v>
      </c>
      <c r="I1016" s="19" t="str">
        <f t="shared" si="3"/>
        <v>BONIFICODa Satispay Europe S.A. TRN ff325403ff6341bab76a26dd546d7e4e SATYLUL1XXX per Geos ssdr</v>
      </c>
    </row>
    <row r="1017">
      <c r="A1017" s="49">
        <v>45923.0</v>
      </c>
      <c r="B1017" s="49">
        <v>45923.0</v>
      </c>
      <c r="C1017" s="45"/>
      <c r="D1017" s="45">
        <v>6383.5</v>
      </c>
      <c r="E1017" s="15" t="b">
        <v>0</v>
      </c>
      <c r="F1017" s="45" t="s">
        <v>12</v>
      </c>
      <c r="G1017" s="45" t="s">
        <v>866</v>
      </c>
      <c r="H1017" s="18">
        <f t="shared" si="1"/>
        <v>6383.5</v>
      </c>
      <c r="I1017" s="19" t="str">
        <f t="shared" si="3"/>
        <v>BONIFICO SEPADa NEXI Payments Spa TRN 057878858115NPPASU0000000000IT CIPBITMM per PV 1000001228596 ACCREDITO CIRCUITI INTERNAZ. 22092</v>
      </c>
    </row>
    <row r="1018" ht="16.5" customHeight="1">
      <c r="A1018" s="52">
        <v>45923.0</v>
      </c>
      <c r="B1018" s="52">
        <v>45923.0</v>
      </c>
      <c r="C1018" s="53"/>
      <c r="D1018" s="53">
        <v>3271.5</v>
      </c>
      <c r="E1018" s="15" t="b">
        <v>0</v>
      </c>
      <c r="F1018" s="53" t="s">
        <v>12</v>
      </c>
      <c r="G1018" s="53" t="s">
        <v>867</v>
      </c>
      <c r="H1018" s="18">
        <f t="shared" si="1"/>
        <v>3271.5</v>
      </c>
      <c r="I1018" s="19" t="str">
        <f t="shared" si="3"/>
        <v>BONIFICO SEPADa NEXI Payments Spa TRN 057878867075NPPASU0000000000IT CIPBITMM per PV 1000001228596 ACCREDITO BANCOMAT 220925 RIF 9173</v>
      </c>
    </row>
    <row r="1019">
      <c r="A1019" s="49">
        <v>45923.0</v>
      </c>
      <c r="B1019" s="49">
        <v>45923.0</v>
      </c>
      <c r="C1019" s="45"/>
      <c r="D1019" s="45">
        <v>5037.0</v>
      </c>
      <c r="E1019" s="15" t="b">
        <v>0</v>
      </c>
      <c r="F1019" s="45" t="s">
        <v>12</v>
      </c>
      <c r="G1019" s="45" t="s">
        <v>868</v>
      </c>
      <c r="H1019" s="18">
        <f t="shared" si="1"/>
        <v>5037</v>
      </c>
      <c r="I1019" s="19" t="str">
        <f t="shared" si="3"/>
        <v>BONIFICO SEPADa NEXI Payments Spa TRN 057879075075NPPASU0000000000IT CIPBITMM per PV 1000001228637 ACCREDITO CIRCUITI INTERNAZ. 22092</v>
      </c>
    </row>
    <row r="1020">
      <c r="A1020" s="49">
        <v>45923.0</v>
      </c>
      <c r="B1020" s="49">
        <v>45923.0</v>
      </c>
      <c r="C1020" s="45"/>
      <c r="D1020" s="45">
        <v>7008.87</v>
      </c>
      <c r="E1020" s="15" t="b">
        <v>0</v>
      </c>
      <c r="F1020" s="45" t="s">
        <v>12</v>
      </c>
      <c r="G1020" s="45" t="s">
        <v>869</v>
      </c>
      <c r="H1020" s="18">
        <f t="shared" si="1"/>
        <v>7008.87</v>
      </c>
      <c r="I1020" s="19" t="str">
        <f t="shared" si="3"/>
        <v>BONIFICO SEPADa Scalapay IP S.p.a. TRN 3601825092304494077145130903195-008 CBPSIT31XXX per 2025-09-22 - GEOS S SDRL - Scalapay IP S.p</v>
      </c>
    </row>
    <row r="1021">
      <c r="A1021" s="49">
        <v>45922.0</v>
      </c>
      <c r="B1021" s="49">
        <v>45922.0</v>
      </c>
      <c r="C1021" s="45"/>
      <c r="D1021" s="45">
        <v>1616.0</v>
      </c>
      <c r="E1021" s="15" t="b">
        <v>0</v>
      </c>
      <c r="F1021" s="45" t="s">
        <v>12</v>
      </c>
      <c r="G1021" s="45" t="s">
        <v>870</v>
      </c>
      <c r="H1021" s="18">
        <f t="shared" si="1"/>
        <v>1616</v>
      </c>
      <c r="I1021" s="19" t="str">
        <f t="shared" si="3"/>
        <v>BONIFICO SEPADa NEXI Payments Spa TRN 057641272005NPPASU0000000000IT CIPBITMM per PV 1000001228596 ACCREDITO BANCOMAT 190925 RIF 9130</v>
      </c>
    </row>
    <row r="1022">
      <c r="A1022" s="49">
        <v>45922.0</v>
      </c>
      <c r="B1022" s="49">
        <v>45922.0</v>
      </c>
      <c r="C1022" s="45"/>
      <c r="D1022" s="45">
        <v>3537.0</v>
      </c>
      <c r="E1022" s="15" t="b">
        <v>0</v>
      </c>
      <c r="F1022" s="45" t="s">
        <v>12</v>
      </c>
      <c r="G1022" s="45" t="s">
        <v>871</v>
      </c>
      <c r="H1022" s="18">
        <f t="shared" si="1"/>
        <v>3537</v>
      </c>
      <c r="I1022" s="19" t="str">
        <f t="shared" si="3"/>
        <v>BONIFICO SEPADa NEXI Payments Spa TRN 057641191105NPPASU0000000000IT CIPBITMM per PV 1000001228637 ACCREDITO CIRCUITI INTERNAZ. 19092</v>
      </c>
    </row>
    <row r="1023">
      <c r="A1023" s="49">
        <v>45922.0</v>
      </c>
      <c r="B1023" s="49">
        <v>45922.0</v>
      </c>
      <c r="C1023" s="51"/>
      <c r="D1023" s="45">
        <v>3920.0</v>
      </c>
      <c r="E1023" s="15" t="b">
        <v>0</v>
      </c>
      <c r="F1023" s="45" t="s">
        <v>12</v>
      </c>
      <c r="G1023" s="45" t="s">
        <v>872</v>
      </c>
      <c r="H1023" s="18">
        <f t="shared" si="1"/>
        <v>3920</v>
      </c>
      <c r="I1023" s="19" t="str">
        <f t="shared" si="3"/>
        <v>BONIFICO SEPADa NEXI Payments Spa TRN 057728761125NPPASU0000000000IT CIPBITMM per PV 1000001228596 ACCREDITO CIRCUITI INTERNAZ. 20092</v>
      </c>
    </row>
    <row r="1024">
      <c r="A1024" s="49">
        <v>45922.0</v>
      </c>
      <c r="B1024" s="49">
        <v>45922.0</v>
      </c>
      <c r="C1024" s="45"/>
      <c r="D1024" s="45">
        <v>505.0</v>
      </c>
      <c r="E1024" s="15" t="b">
        <v>0</v>
      </c>
      <c r="F1024" s="45" t="s">
        <v>12</v>
      </c>
      <c r="G1024" s="45" t="s">
        <v>873</v>
      </c>
      <c r="H1024" s="18">
        <f t="shared" si="1"/>
        <v>505</v>
      </c>
      <c r="I1024" s="19" t="str">
        <f t="shared" si="3"/>
        <v>BONIFICO SEPADa NEXI Payments Spa TRN 057728781065NPPASU0000000000IT CIPBITMM per PV 1000001228596 ACCREDITO BANCOMAT 200925 RIF 9148</v>
      </c>
    </row>
    <row r="1025">
      <c r="A1025" s="49">
        <v>45922.0</v>
      </c>
      <c r="B1025" s="49">
        <v>45922.0</v>
      </c>
      <c r="C1025" s="45"/>
      <c r="D1025" s="45">
        <v>4592.5</v>
      </c>
      <c r="E1025" s="15" t="b">
        <v>0</v>
      </c>
      <c r="F1025" s="45" t="s">
        <v>12</v>
      </c>
      <c r="G1025" s="45" t="s">
        <v>874</v>
      </c>
      <c r="H1025" s="18">
        <f t="shared" si="1"/>
        <v>4592.5</v>
      </c>
      <c r="I1025" s="19" t="str">
        <f t="shared" si="3"/>
        <v>BONIFICO SEPADa NEXI Payments Spa TRN 057641257115NPPASU0000000000IT CIPBITMM per PV 1000001228596 ACCREDITO CIRCUITI INTERNAZ. 19092</v>
      </c>
    </row>
    <row r="1026">
      <c r="A1026" s="49">
        <v>45922.0</v>
      </c>
      <c r="B1026" s="49">
        <v>45922.0</v>
      </c>
      <c r="C1026" s="45"/>
      <c r="D1026" s="45">
        <v>3502.0</v>
      </c>
      <c r="E1026" s="15" t="b">
        <v>0</v>
      </c>
      <c r="F1026" s="45" t="s">
        <v>12</v>
      </c>
      <c r="G1026" s="45" t="s">
        <v>875</v>
      </c>
      <c r="H1026" s="18">
        <f t="shared" si="1"/>
        <v>3502</v>
      </c>
      <c r="I1026" s="19" t="str">
        <f t="shared" si="3"/>
        <v>BONIFICO SEPADa NEXI Payments Spa TRN 057729123105NPPASU0000000000IT CIPBITMM per PV 1000001228637 ACCREDITO CIRCUITI INTERNAZ. 20092</v>
      </c>
    </row>
    <row r="1027">
      <c r="A1027" s="49">
        <v>45922.0</v>
      </c>
      <c r="B1027" s="49">
        <v>45922.0</v>
      </c>
      <c r="C1027" s="51"/>
      <c r="D1027" s="45">
        <v>2551.0</v>
      </c>
      <c r="E1027" s="15" t="b">
        <v>0</v>
      </c>
      <c r="F1027" s="45" t="s">
        <v>12</v>
      </c>
      <c r="G1027" s="45" t="s">
        <v>876</v>
      </c>
      <c r="H1027" s="18">
        <f t="shared" si="1"/>
        <v>2551</v>
      </c>
      <c r="I1027" s="19" t="str">
        <f t="shared" si="3"/>
        <v>BONIFICO SEPADa NEXI Payments Spa TRN 057780325055NPPASU0000000000IT CIPBITMM per PV 1000001228637 ACCREDITO CIRCUITI INTERNAZ. 21092</v>
      </c>
    </row>
    <row r="1028">
      <c r="A1028" s="49"/>
      <c r="B1028" s="49"/>
      <c r="C1028" s="51"/>
      <c r="D1028" s="45"/>
      <c r="E1028" s="15" t="b">
        <v>0</v>
      </c>
      <c r="F1028" s="45"/>
      <c r="G1028" s="45"/>
      <c r="H1028" s="18">
        <f t="shared" si="1"/>
        <v>0</v>
      </c>
      <c r="I1028" s="19" t="str">
        <f t="shared" si="3"/>
        <v/>
      </c>
    </row>
    <row r="1029">
      <c r="A1029" s="49"/>
      <c r="B1029" s="49"/>
      <c r="C1029" s="51"/>
      <c r="D1029" s="45"/>
      <c r="E1029" s="15" t="b">
        <v>0</v>
      </c>
      <c r="F1029" s="45"/>
      <c r="G1029" s="45"/>
      <c r="H1029" s="18">
        <f t="shared" si="1"/>
        <v>0</v>
      </c>
      <c r="I1029" s="19" t="str">
        <f t="shared" si="3"/>
        <v/>
      </c>
    </row>
    <row r="1030">
      <c r="A1030" s="49">
        <v>45922.0</v>
      </c>
      <c r="B1030" s="49">
        <v>45922.0</v>
      </c>
      <c r="C1030" s="51"/>
      <c r="D1030" s="45">
        <v>6429.53</v>
      </c>
      <c r="E1030" s="15" t="b">
        <v>0</v>
      </c>
      <c r="F1030" s="45" t="s">
        <v>12</v>
      </c>
      <c r="G1030" s="45" t="s">
        <v>877</v>
      </c>
      <c r="H1030" s="18">
        <f t="shared" si="1"/>
        <v>6429.53</v>
      </c>
      <c r="I1030" s="19" t="str">
        <f t="shared" si="3"/>
        <v>BONIFICO SEPADa Scalapay IP S.p.a. TRN 3601825092204481808870347979977-008 CBPSIT31XXX per 2025-09-21 - GEOS S SDRL - Scalapay IP S.p</v>
      </c>
    </row>
    <row r="1031">
      <c r="A1031" s="49">
        <v>45922.0</v>
      </c>
      <c r="B1031" s="49">
        <v>45922.0</v>
      </c>
      <c r="C1031" s="51"/>
      <c r="D1031" s="45">
        <v>427.0</v>
      </c>
      <c r="E1031" s="15" t="b">
        <v>0</v>
      </c>
      <c r="F1031" s="45" t="s">
        <v>12</v>
      </c>
      <c r="G1031" s="45" t="s">
        <v>878</v>
      </c>
      <c r="H1031" s="18">
        <f t="shared" si="1"/>
        <v>427</v>
      </c>
      <c r="I1031" s="19" t="str">
        <f t="shared" si="3"/>
        <v>BONIFICO SEPADa TG NEW CO SRL TRN 0000051270946104486405064050IT CIVIIT2CXXX per SUPP PAGAMENTO FATTURA N.319 DEL 18/09/2025</v>
      </c>
    </row>
    <row r="1032">
      <c r="A1032" s="49">
        <v>45919.0</v>
      </c>
      <c r="B1032" s="49">
        <v>45919.0</v>
      </c>
      <c r="C1032" s="51">
        <v>-729.0</v>
      </c>
      <c r="D1032" s="45"/>
      <c r="E1032" s="15" t="b">
        <v>1</v>
      </c>
      <c r="F1032" s="45" t="s">
        <v>12</v>
      </c>
      <c r="G1032" s="45" t="s">
        <v>879</v>
      </c>
      <c r="H1032" s="18">
        <f t="shared" si="1"/>
        <v>-729</v>
      </c>
      <c r="I1032" s="19" t="str">
        <f t="shared" si="3"/>
        <v>BONIFICO SEPADistinta: 175820167956011SLDEF</v>
      </c>
    </row>
    <row r="1033">
      <c r="A1033" s="49">
        <v>45919.0</v>
      </c>
      <c r="B1033" s="49">
        <v>45919.0</v>
      </c>
      <c r="C1033" s="51"/>
      <c r="D1033" s="45">
        <v>3793.0</v>
      </c>
      <c r="E1033" s="15" t="b">
        <v>0</v>
      </c>
      <c r="F1033" s="45" t="s">
        <v>12</v>
      </c>
      <c r="G1033" s="45" t="s">
        <v>880</v>
      </c>
      <c r="H1033" s="18">
        <f t="shared" si="1"/>
        <v>3793</v>
      </c>
      <c r="I1033" s="19" t="str">
        <f t="shared" si="3"/>
        <v>BONIFICO SEPADa NEXI Payments Spa TRN 057498059085NPPASU0000000000IT CIPBITMM per PV 1000001228596 ACCREDITO BANCOMAT 180925 RIF 9113</v>
      </c>
    </row>
    <row r="1034">
      <c r="A1034" s="49">
        <v>45919.0</v>
      </c>
      <c r="B1034" s="49">
        <v>45919.0</v>
      </c>
      <c r="C1034" s="51"/>
      <c r="D1034" s="45">
        <v>7913.23</v>
      </c>
      <c r="E1034" s="15" t="b">
        <v>0</v>
      </c>
      <c r="F1034" s="45" t="s">
        <v>12</v>
      </c>
      <c r="G1034" s="45" t="s">
        <v>881</v>
      </c>
      <c r="H1034" s="18">
        <f t="shared" si="1"/>
        <v>7913.23</v>
      </c>
      <c r="I1034" s="19" t="str">
        <f t="shared" si="3"/>
        <v>BONIFICO SEPADa Scalapay IP S.p.a. TRN 3601825091904505493000784501091-008 CBPSIT31XXX per 2025-09-18 - GEOS S SDRL - Scalapay IP S.p</v>
      </c>
    </row>
    <row r="1035">
      <c r="A1035" s="49">
        <v>45919.0</v>
      </c>
      <c r="B1035" s="49">
        <v>45919.0</v>
      </c>
      <c r="C1035" s="45"/>
      <c r="D1035" s="45">
        <v>8426.0</v>
      </c>
      <c r="E1035" s="15" t="b">
        <v>0</v>
      </c>
      <c r="F1035" s="45" t="s">
        <v>12</v>
      </c>
      <c r="G1035" s="45" t="s">
        <v>882</v>
      </c>
      <c r="H1035" s="18">
        <f t="shared" si="1"/>
        <v>8426</v>
      </c>
      <c r="I1035" s="19" t="str">
        <f t="shared" si="3"/>
        <v>BONIFICO SEPADa NEXI Payments Spa TRN 057498050125NPPASU0000000000IT CIPBITMM per PV 1000001228596 ACCREDITO CIRCUITI INTERNAZ. 18092</v>
      </c>
    </row>
    <row r="1036">
      <c r="A1036" s="49">
        <v>45919.0</v>
      </c>
      <c r="B1036" s="49">
        <v>45919.0</v>
      </c>
      <c r="C1036" s="45"/>
      <c r="D1036" s="45">
        <v>3914.0</v>
      </c>
      <c r="E1036" s="15" t="b">
        <v>0</v>
      </c>
      <c r="F1036" s="45" t="s">
        <v>12</v>
      </c>
      <c r="G1036" s="45" t="s">
        <v>883</v>
      </c>
      <c r="H1036" s="18">
        <f t="shared" si="1"/>
        <v>3914</v>
      </c>
      <c r="I1036" s="19" t="str">
        <f t="shared" si="3"/>
        <v>BONIFICO SEPADa NEXI Payments Spa TRN 057497797065NPPASU0000000000IT CIPBITMM per PV 1000001228637 ACCREDITO CIRCUITI INTERNAZ. 18092</v>
      </c>
    </row>
    <row r="1037">
      <c r="A1037" s="44"/>
      <c r="B1037" s="44"/>
      <c r="C1037" s="51"/>
      <c r="D1037" s="47"/>
      <c r="E1037" s="15" t="b">
        <v>0</v>
      </c>
      <c r="F1037" s="45"/>
      <c r="G1037" s="45"/>
      <c r="H1037" s="18">
        <f t="shared" si="1"/>
        <v>0</v>
      </c>
      <c r="I1037" s="19" t="str">
        <f t="shared" si="3"/>
        <v/>
      </c>
    </row>
    <row r="1038">
      <c r="A1038" s="49"/>
      <c r="B1038" s="49"/>
      <c r="C1038" s="51"/>
      <c r="D1038" s="45"/>
      <c r="E1038" s="15" t="b">
        <v>0</v>
      </c>
      <c r="F1038" s="45"/>
      <c r="G1038" s="45"/>
      <c r="H1038" s="18">
        <f t="shared" si="1"/>
        <v>0</v>
      </c>
      <c r="I1038" s="19" t="str">
        <f t="shared" si="3"/>
        <v/>
      </c>
    </row>
    <row r="1039">
      <c r="A1039" s="49">
        <v>45918.0</v>
      </c>
      <c r="B1039" s="49">
        <v>45918.0</v>
      </c>
      <c r="C1039" s="45"/>
      <c r="D1039" s="45">
        <v>7015.0</v>
      </c>
      <c r="E1039" s="15" t="b">
        <v>0</v>
      </c>
      <c r="F1039" s="45" t="s">
        <v>12</v>
      </c>
      <c r="G1039" s="45" t="s">
        <v>884</v>
      </c>
      <c r="H1039" s="18">
        <f t="shared" si="1"/>
        <v>7015</v>
      </c>
      <c r="I1039" s="19" t="str">
        <f t="shared" si="3"/>
        <v>BONIFICO SEPADa NEXI Payments Spa TRN 057397742125NPPASU0000000000IT CIPBITMM per PV 1000001228596 ACCREDITO CIRCUITI INTERNAZ. 17092</v>
      </c>
    </row>
    <row r="1040">
      <c r="A1040" s="49">
        <v>45918.0</v>
      </c>
      <c r="B1040" s="49">
        <v>45918.0</v>
      </c>
      <c r="C1040" s="45"/>
      <c r="D1040" s="45">
        <v>2419.0</v>
      </c>
      <c r="E1040" s="15" t="b">
        <v>0</v>
      </c>
      <c r="F1040" s="45" t="s">
        <v>12</v>
      </c>
      <c r="G1040" s="45" t="s">
        <v>885</v>
      </c>
      <c r="H1040" s="18">
        <f t="shared" si="1"/>
        <v>2419</v>
      </c>
      <c r="I1040" s="19" t="str">
        <f t="shared" si="3"/>
        <v>BONIFICO SEPADa NEXI Payments Spa TRN 057397764085NPPASU0000000000IT CIPBITMM per PV 1000001228596 ACCREDITO BANCOMAT 170925 RIF 9098</v>
      </c>
    </row>
    <row r="1041">
      <c r="A1041" s="49">
        <v>45918.0</v>
      </c>
      <c r="B1041" s="49">
        <v>45918.0</v>
      </c>
      <c r="C1041" s="51"/>
      <c r="D1041" s="45">
        <v>4340.0</v>
      </c>
      <c r="E1041" s="15" t="b">
        <v>0</v>
      </c>
      <c r="F1041" s="45" t="s">
        <v>12</v>
      </c>
      <c r="G1041" s="45" t="s">
        <v>886</v>
      </c>
      <c r="H1041" s="18">
        <f t="shared" si="1"/>
        <v>4340</v>
      </c>
      <c r="I1041" s="19" t="str">
        <f t="shared" si="3"/>
        <v>BONIFICO SEPADa NEXI Payments Spa TRN 057389645015NPPASU0000000000IT CIPBITMM per PV 1000001228637 ACCREDITO CIRCUITI INTERNAZ. 17092</v>
      </c>
    </row>
    <row r="1042">
      <c r="A1042" s="49">
        <v>45918.0</v>
      </c>
      <c r="B1042" s="49">
        <v>45918.0</v>
      </c>
      <c r="C1042" s="45"/>
      <c r="D1042" s="45">
        <v>4280.1</v>
      </c>
      <c r="E1042" s="15" t="b">
        <v>0</v>
      </c>
      <c r="F1042" s="45" t="s">
        <v>12</v>
      </c>
      <c r="G1042" s="45" t="s">
        <v>887</v>
      </c>
      <c r="H1042" s="18">
        <f t="shared" si="1"/>
        <v>4280.1</v>
      </c>
      <c r="I1042" s="19" t="str">
        <f t="shared" si="3"/>
        <v>BONIFICO SEPADa Scalapay IP S.p.a. TRN 3601825091804493376332376756110-008 CBPSIT31XXX per 2025-09-17 - GEOS S SDRL - Scalapay IP S.p</v>
      </c>
    </row>
    <row r="1043">
      <c r="A1043" s="49">
        <v>45918.0</v>
      </c>
      <c r="B1043" s="49">
        <v>45918.0</v>
      </c>
      <c r="C1043" s="51"/>
      <c r="D1043" s="45">
        <v>122.0</v>
      </c>
      <c r="E1043" s="15" t="b">
        <v>0</v>
      </c>
      <c r="F1043" s="45" t="s">
        <v>12</v>
      </c>
      <c r="G1043" s="45" t="s">
        <v>888</v>
      </c>
      <c r="H1043" s="18">
        <f t="shared" si="1"/>
        <v>122</v>
      </c>
      <c r="I1043" s="19" t="str">
        <f t="shared" si="3"/>
        <v>BONIFICO SEPADa ENCANTO CLUB LATINO ASS NE SPOR VA TRN 0306904916229500S90960609606IT BCITITMMXXX per Pagamento FT 317 del 15/09/2025</v>
      </c>
    </row>
    <row r="1044">
      <c r="A1044" s="49">
        <v>45918.0</v>
      </c>
      <c r="B1044" s="49">
        <v>45916.0</v>
      </c>
      <c r="C1044" s="45">
        <v>-65.0</v>
      </c>
      <c r="D1044" s="45"/>
      <c r="E1044" s="15" t="b">
        <v>1</v>
      </c>
      <c r="F1044" s="45" t="s">
        <v>123</v>
      </c>
      <c r="G1044" s="45" t="s">
        <v>889</v>
      </c>
      <c r="H1044" s="18">
        <f t="shared" si="1"/>
        <v>-65</v>
      </c>
      <c r="I1044" s="19" t="str">
        <f t="shared" si="3"/>
        <v>PAGAMENTO POSBAR QUADRONNO          16/09/2025 11.04 MILANO        Op.675216 carta ****0124</v>
      </c>
    </row>
    <row r="1045">
      <c r="A1045" s="49">
        <v>45918.0</v>
      </c>
      <c r="B1045" s="49">
        <v>45916.0</v>
      </c>
      <c r="C1045" s="51">
        <v>-65.0</v>
      </c>
      <c r="D1045" s="45"/>
      <c r="E1045" s="15" t="b">
        <v>1</v>
      </c>
      <c r="F1045" s="45" t="s">
        <v>123</v>
      </c>
      <c r="G1045" s="45" t="s">
        <v>890</v>
      </c>
      <c r="H1045" s="18">
        <f t="shared" si="1"/>
        <v>-65</v>
      </c>
      <c r="I1045" s="19" t="str">
        <f t="shared" si="3"/>
        <v>PAGAMENTO POSPASTICCERIA MASSIMO 19 16/09/2025 10.48 MILANO        Op.677030 carta ****0124</v>
      </c>
    </row>
    <row r="1046">
      <c r="A1046" s="49">
        <v>45918.0</v>
      </c>
      <c r="B1046" s="49">
        <v>45916.0</v>
      </c>
      <c r="C1046" s="45">
        <v>-50.0</v>
      </c>
      <c r="D1046" s="45"/>
      <c r="E1046" s="15" t="b">
        <v>1</v>
      </c>
      <c r="F1046" s="45" t="s">
        <v>123</v>
      </c>
      <c r="G1046" s="45" t="s">
        <v>891</v>
      </c>
      <c r="H1046" s="18">
        <f t="shared" si="1"/>
        <v>-50</v>
      </c>
      <c r="I1046" s="19" t="str">
        <f t="shared" si="3"/>
        <v>PAGAMENTO POSBAR D'ESTE             16/09/2025 11.24 MILANO        Op.672631 carta ****0124</v>
      </c>
    </row>
    <row r="1047">
      <c r="A1047" s="49">
        <v>45917.0</v>
      </c>
      <c r="B1047" s="49">
        <v>45917.0</v>
      </c>
      <c r="C1047" s="45"/>
      <c r="D1047" s="45">
        <v>4435.02</v>
      </c>
      <c r="E1047" s="15" t="b">
        <v>0</v>
      </c>
      <c r="F1047" s="45" t="s">
        <v>12</v>
      </c>
      <c r="G1047" s="45" t="s">
        <v>892</v>
      </c>
      <c r="H1047" s="18">
        <f t="shared" si="1"/>
        <v>4435.02</v>
      </c>
      <c r="I1047" s="19" t="str">
        <f t="shared" si="3"/>
        <v>BONIFICO SEPADa Scalapay IP S.p.a. TRN 3601825091708345326962130510133-008 CBPSIT31XXX per 2025-09-16 - GEOS S SDRL - Scalapay IP S.p</v>
      </c>
    </row>
    <row r="1048">
      <c r="A1048" s="49">
        <v>45917.0</v>
      </c>
      <c r="B1048" s="49">
        <v>45917.0</v>
      </c>
      <c r="C1048" s="51"/>
      <c r="D1048" s="45">
        <v>2185.0</v>
      </c>
      <c r="E1048" s="15" t="b">
        <v>0</v>
      </c>
      <c r="F1048" s="45" t="s">
        <v>12</v>
      </c>
      <c r="G1048" s="45" t="s">
        <v>893</v>
      </c>
      <c r="H1048" s="18">
        <f t="shared" si="1"/>
        <v>2185</v>
      </c>
      <c r="I1048" s="19" t="str">
        <f t="shared" si="3"/>
        <v>BONIFICO SEPADa NEXI Payments Spa TRN 057283385035NPPASU0000000000IT CIPBITMM per PV 1000001228596 ACCREDITO BANCOMAT 160925 RIF 9082</v>
      </c>
    </row>
    <row r="1049">
      <c r="A1049" s="49">
        <v>45917.0</v>
      </c>
      <c r="B1049" s="49">
        <v>45917.0</v>
      </c>
      <c r="C1049" s="51"/>
      <c r="D1049" s="45">
        <v>8999.0</v>
      </c>
      <c r="E1049" s="15" t="b">
        <v>0</v>
      </c>
      <c r="F1049" s="45" t="s">
        <v>12</v>
      </c>
      <c r="G1049" s="45" t="s">
        <v>894</v>
      </c>
      <c r="H1049" s="18">
        <f t="shared" si="1"/>
        <v>8999</v>
      </c>
      <c r="I1049" s="19" t="str">
        <f t="shared" si="3"/>
        <v>BONIFICO SEPADa NEXI Payments Spa TRN 057283367115NPPASU0000000000IT CIPBITMM per PV 1000001228596 ACCREDITO CIRCUITI INTERNAZ. 16092</v>
      </c>
    </row>
    <row r="1050">
      <c r="A1050" s="49">
        <v>45917.0</v>
      </c>
      <c r="B1050" s="49">
        <v>45917.0</v>
      </c>
      <c r="C1050" s="45"/>
      <c r="D1050" s="45">
        <v>3504.0</v>
      </c>
      <c r="E1050" s="15" t="b">
        <v>0</v>
      </c>
      <c r="F1050" s="45" t="s">
        <v>12</v>
      </c>
      <c r="G1050" s="45" t="s">
        <v>895</v>
      </c>
      <c r="H1050" s="18">
        <f t="shared" si="1"/>
        <v>3504</v>
      </c>
      <c r="I1050" s="19" t="str">
        <f t="shared" si="3"/>
        <v>BONIFICO SEPADa NEXI Payments Spa TRN 057284780075NPPASU0000000000IT CIPBITMM per PV 1000001228637 ACCREDITO CIRCUITI INTERNAZ. 16092</v>
      </c>
    </row>
    <row r="1051">
      <c r="A1051" s="46"/>
      <c r="B1051" s="46"/>
      <c r="C1051" s="47"/>
      <c r="D1051" s="47"/>
      <c r="E1051" s="15" t="b">
        <v>0</v>
      </c>
      <c r="F1051" s="47"/>
      <c r="G1051" s="47"/>
      <c r="H1051" s="18">
        <f t="shared" si="1"/>
        <v>0</v>
      </c>
      <c r="I1051" s="19" t="str">
        <f t="shared" si="3"/>
        <v/>
      </c>
    </row>
    <row r="1052">
      <c r="A1052" s="49">
        <v>45916.0</v>
      </c>
      <c r="B1052" s="49">
        <v>45916.0</v>
      </c>
      <c r="C1052" s="51">
        <v>-2000.0</v>
      </c>
      <c r="D1052" s="45"/>
      <c r="E1052" s="15" t="b">
        <v>1</v>
      </c>
      <c r="F1052" s="45" t="s">
        <v>12</v>
      </c>
      <c r="G1052" s="45" t="s">
        <v>896</v>
      </c>
      <c r="H1052" s="18">
        <f t="shared" si="1"/>
        <v>-2000</v>
      </c>
      <c r="I1052" s="19" t="str">
        <f t="shared" si="3"/>
        <v>BONIFICO SEPADistinta: 175794586801108D4DEF</v>
      </c>
    </row>
    <row r="1053">
      <c r="A1053" s="49">
        <v>45916.0</v>
      </c>
      <c r="B1053" s="49">
        <v>45916.0</v>
      </c>
      <c r="C1053" s="45"/>
      <c r="D1053" s="45">
        <v>3237.0</v>
      </c>
      <c r="E1053" s="15" t="b">
        <v>0</v>
      </c>
      <c r="F1053" s="45" t="s">
        <v>12</v>
      </c>
      <c r="G1053" s="45" t="s">
        <v>897</v>
      </c>
      <c r="H1053" s="18">
        <f t="shared" si="1"/>
        <v>3237</v>
      </c>
      <c r="I1053" s="19" t="str">
        <f t="shared" si="3"/>
        <v>BONIFICO SEPADa Scalapay IP S.p.a. TRN 3601825091604492523047509136930-008 CBPSIT31XXX per 2025-09-15 - GEOS S SDRL - Scalapay IP S.p</v>
      </c>
    </row>
    <row r="1054">
      <c r="A1054" s="49">
        <v>45916.0</v>
      </c>
      <c r="B1054" s="49">
        <v>45916.0</v>
      </c>
      <c r="C1054" s="45"/>
      <c r="D1054" s="45">
        <v>9365.0</v>
      </c>
      <c r="E1054" s="15" t="b">
        <v>0</v>
      </c>
      <c r="F1054" s="45" t="s">
        <v>12</v>
      </c>
      <c r="G1054" s="45" t="s">
        <v>898</v>
      </c>
      <c r="H1054" s="18">
        <f t="shared" si="1"/>
        <v>9365</v>
      </c>
      <c r="I1054" s="19" t="str">
        <f t="shared" si="3"/>
        <v>BONIFICO SEPADa NEXI Payments Spa TRN 057225029045NPPASU0000000000IT CIPBITMM per PV 1000001228596 ACCREDITO CIRCUITI INTERNAZ. 15092</v>
      </c>
    </row>
    <row r="1055">
      <c r="A1055" s="49">
        <v>45916.0</v>
      </c>
      <c r="B1055" s="49">
        <v>45916.0</v>
      </c>
      <c r="C1055" s="45"/>
      <c r="D1055" s="45">
        <v>4797.0</v>
      </c>
      <c r="E1055" s="15" t="b">
        <v>0</v>
      </c>
      <c r="F1055" s="45" t="s">
        <v>12</v>
      </c>
      <c r="G1055" s="45" t="s">
        <v>899</v>
      </c>
      <c r="H1055" s="18">
        <f t="shared" si="1"/>
        <v>4797</v>
      </c>
      <c r="I1055" s="19" t="str">
        <f t="shared" si="3"/>
        <v>BONIFICO SEPADa NEXI Payments Spa TRN 057225043055NPPASU0000000000IT CIPBITMM per PV 1000001228596 ACCREDITO BANCOMAT 150925 RIF 9066</v>
      </c>
    </row>
    <row r="1056">
      <c r="A1056" s="49">
        <v>45916.0</v>
      </c>
      <c r="B1056" s="49">
        <v>45916.0</v>
      </c>
      <c r="C1056" s="45"/>
      <c r="D1056" s="45">
        <v>6584.0</v>
      </c>
      <c r="E1056" s="15" t="b">
        <v>0</v>
      </c>
      <c r="F1056" s="45" t="s">
        <v>12</v>
      </c>
      <c r="G1056" s="45" t="s">
        <v>900</v>
      </c>
      <c r="H1056" s="18">
        <f t="shared" si="1"/>
        <v>6584</v>
      </c>
      <c r="I1056" s="19" t="str">
        <f t="shared" si="3"/>
        <v>BONIFICO SEPADa NEXI Payments Spa TRN 057224465125NPPASU0000000000IT CIPBITMM per PV 1000001228637 ACCREDITO CIRCUITI INTERNAZ. 15092</v>
      </c>
    </row>
    <row r="1057">
      <c r="A1057" s="49">
        <v>45915.0</v>
      </c>
      <c r="B1057" s="49">
        <v>45915.0</v>
      </c>
      <c r="C1057" s="45"/>
      <c r="D1057" s="45">
        <v>2839.0</v>
      </c>
      <c r="E1057" s="15" t="b">
        <v>0</v>
      </c>
      <c r="F1057" s="45" t="s">
        <v>12</v>
      </c>
      <c r="G1057" s="45" t="s">
        <v>901</v>
      </c>
      <c r="H1057" s="18">
        <f t="shared" si="1"/>
        <v>2839</v>
      </c>
      <c r="I1057" s="19" t="str">
        <f t="shared" si="3"/>
        <v>BONIFICO SEPADa NEXI Payments Spa TRN 056950899055NPPASU0000000000IT CIPBITMM per PV 1000001228637 ACCREDITO CIRCUITI INTERNAZ. 12092</v>
      </c>
    </row>
    <row r="1058">
      <c r="A1058" s="49">
        <v>45915.0</v>
      </c>
      <c r="B1058" s="49">
        <v>45915.0</v>
      </c>
      <c r="C1058" s="45"/>
      <c r="D1058" s="45">
        <v>2721.5</v>
      </c>
      <c r="E1058" s="15" t="b">
        <v>0</v>
      </c>
      <c r="F1058" s="45" t="s">
        <v>12</v>
      </c>
      <c r="G1058" s="45" t="s">
        <v>902</v>
      </c>
      <c r="H1058" s="18">
        <f t="shared" si="1"/>
        <v>2721.5</v>
      </c>
      <c r="I1058" s="19" t="str">
        <f t="shared" si="3"/>
        <v>BONIFICO SEPADa NEXI Payments Spa TRN 056950653065NPPASU0000000000IT CIPBITMM per PV 1000001228596 ACCREDITO CIRCUITI INTERNAZ. 12092</v>
      </c>
    </row>
    <row r="1059">
      <c r="A1059" s="49">
        <v>45915.0</v>
      </c>
      <c r="B1059" s="49">
        <v>45915.0</v>
      </c>
      <c r="C1059" s="51"/>
      <c r="D1059" s="45">
        <v>695.0</v>
      </c>
      <c r="E1059" s="15" t="b">
        <v>0</v>
      </c>
      <c r="F1059" s="45" t="s">
        <v>12</v>
      </c>
      <c r="G1059" s="45" t="s">
        <v>903</v>
      </c>
      <c r="H1059" s="18">
        <f t="shared" si="1"/>
        <v>695</v>
      </c>
      <c r="I1059" s="19" t="str">
        <f t="shared" si="3"/>
        <v>BONIFICO SEPADa NEXI Payments Spa TRN 056950679065NPPASU0000000000IT CIPBITMM per PV 1000001228596 ACCREDITO BANCOMAT 120925 RIF 9023</v>
      </c>
    </row>
    <row r="1060">
      <c r="A1060" s="49">
        <v>45915.0</v>
      </c>
      <c r="B1060" s="49">
        <v>45915.0</v>
      </c>
      <c r="C1060" s="51"/>
      <c r="D1060" s="45">
        <v>2060.0</v>
      </c>
      <c r="E1060" s="15" t="b">
        <v>0</v>
      </c>
      <c r="F1060" s="45" t="s">
        <v>12</v>
      </c>
      <c r="G1060" s="45" t="s">
        <v>904</v>
      </c>
      <c r="H1060" s="18">
        <f t="shared" si="1"/>
        <v>2060</v>
      </c>
      <c r="I1060" s="19" t="str">
        <f t="shared" si="3"/>
        <v>BONIFICO SEPADa NEXI Payments Spa TRN 057122954055NPPASU0000000000IT CIPBITMM per PV 1000001228637 ACCREDITO CIRCUITI INTERNAZ. 14092</v>
      </c>
    </row>
    <row r="1061">
      <c r="A1061" s="49">
        <v>45915.0</v>
      </c>
      <c r="B1061" s="49">
        <v>45915.0</v>
      </c>
      <c r="C1061" s="51"/>
      <c r="D1061" s="45">
        <v>3269.0</v>
      </c>
      <c r="E1061" s="15" t="b">
        <v>0</v>
      </c>
      <c r="F1061" s="45" t="s">
        <v>12</v>
      </c>
      <c r="G1061" s="45" t="s">
        <v>905</v>
      </c>
      <c r="H1061" s="18">
        <f t="shared" si="1"/>
        <v>3269</v>
      </c>
      <c r="I1061" s="19" t="str">
        <f t="shared" si="3"/>
        <v>BONIFICO SEPADa NEXI Payments Spa TRN 057042291075NPPASU0000000000IT CIPBITMM per PV 1000001228596 ACCREDITO BANCOMAT 130925 RIF 9040</v>
      </c>
    </row>
    <row r="1062">
      <c r="A1062" s="49">
        <v>45915.0</v>
      </c>
      <c r="B1062" s="49">
        <v>45915.0</v>
      </c>
      <c r="C1062" s="51"/>
      <c r="D1062" s="45">
        <v>2992.0</v>
      </c>
      <c r="E1062" s="15" t="b">
        <v>0</v>
      </c>
      <c r="F1062" s="45" t="s">
        <v>12</v>
      </c>
      <c r="G1062" s="45" t="s">
        <v>906</v>
      </c>
      <c r="H1062" s="18">
        <f t="shared" si="1"/>
        <v>2992</v>
      </c>
      <c r="I1062" s="19" t="str">
        <f t="shared" si="3"/>
        <v>BONIFICO SEPADa NEXI Payments Spa TRN 057042236045NPPASU0000000000IT CIPBITMM per PV 1000001228637 ACCREDITO CIRCUITI INTERNAZ. 13092</v>
      </c>
    </row>
    <row r="1063">
      <c r="A1063" s="49">
        <v>45915.0</v>
      </c>
      <c r="B1063" s="49">
        <v>45915.0</v>
      </c>
      <c r="C1063" s="51"/>
      <c r="D1063" s="45">
        <v>2466.5</v>
      </c>
      <c r="E1063" s="15" t="b">
        <v>0</v>
      </c>
      <c r="F1063" s="45" t="s">
        <v>12</v>
      </c>
      <c r="G1063" s="45" t="s">
        <v>907</v>
      </c>
      <c r="H1063" s="18">
        <f t="shared" si="1"/>
        <v>2466.5</v>
      </c>
      <c r="I1063" s="19" t="str">
        <f t="shared" si="3"/>
        <v>BONIFICO SEPADa NEXI Payments Spa TRN 057042276055NPPASU0000000000IT CIPBITMM per PV 1000001228596 ACCREDITO CIRCUITI INTERNAZ. 13092</v>
      </c>
    </row>
    <row r="1064">
      <c r="A1064" s="49"/>
      <c r="B1064" s="49"/>
      <c r="C1064" s="45"/>
      <c r="D1064" s="45"/>
      <c r="E1064" s="15" t="b">
        <v>0</v>
      </c>
      <c r="F1064" s="45"/>
      <c r="G1064" s="45"/>
      <c r="H1064" s="18">
        <f t="shared" si="1"/>
        <v>0</v>
      </c>
      <c r="I1064" s="19" t="str">
        <f t="shared" si="3"/>
        <v/>
      </c>
    </row>
    <row r="1065">
      <c r="A1065" s="49">
        <v>45915.0</v>
      </c>
      <c r="B1065" s="49">
        <v>45915.0</v>
      </c>
      <c r="C1065" s="51"/>
      <c r="D1065" s="45">
        <v>8104.81</v>
      </c>
      <c r="E1065" s="15" t="b">
        <v>0</v>
      </c>
      <c r="F1065" s="45" t="s">
        <v>12</v>
      </c>
      <c r="G1065" s="45" t="s">
        <v>908</v>
      </c>
      <c r="H1065" s="18">
        <f t="shared" si="1"/>
        <v>8104.81</v>
      </c>
      <c r="I1065" s="19" t="str">
        <f t="shared" si="3"/>
        <v>BONIFICO SEPADa Scalapay IP S.p.a. TRN 3601825091504494124751012271642-008 CBPSIT31XXX per 2025-09-14 - GEOS S SDRL - Scalapay IP S.p</v>
      </c>
    </row>
    <row r="1066">
      <c r="A1066" s="49">
        <v>45912.0</v>
      </c>
      <c r="B1066" s="49">
        <v>45912.0</v>
      </c>
      <c r="C1066" s="51">
        <v>-107.05</v>
      </c>
      <c r="D1066" s="45"/>
      <c r="E1066" s="15" t="b">
        <v>1</v>
      </c>
      <c r="F1066" s="45" t="s">
        <v>12</v>
      </c>
      <c r="G1066" s="45" t="s">
        <v>909</v>
      </c>
      <c r="H1066" s="18">
        <f t="shared" si="1"/>
        <v>-107.05</v>
      </c>
      <c r="I1066" s="19" t="str">
        <f t="shared" si="3"/>
        <v>BONIFICO SEPADistinta: 17576650948400TNVDEF</v>
      </c>
    </row>
    <row r="1067">
      <c r="A1067" s="49">
        <v>45912.0</v>
      </c>
      <c r="B1067" s="49">
        <v>45912.0</v>
      </c>
      <c r="C1067" s="45">
        <v>-290.0</v>
      </c>
      <c r="D1067" s="45"/>
      <c r="E1067" s="15" t="b">
        <v>0</v>
      </c>
      <c r="F1067" s="45" t="s">
        <v>12</v>
      </c>
      <c r="G1067" s="45" t="s">
        <v>910</v>
      </c>
      <c r="H1067" s="18">
        <f t="shared" si="1"/>
        <v>-290</v>
      </c>
      <c r="I1067" s="19" t="str">
        <f t="shared" si="3"/>
        <v>BONIFICO SEPADistinta: 17576693712190VA7DEF</v>
      </c>
    </row>
    <row r="1068">
      <c r="A1068" s="49">
        <v>45912.0</v>
      </c>
      <c r="B1068" s="49">
        <v>45912.0</v>
      </c>
      <c r="C1068" s="45">
        <v>-643.92</v>
      </c>
      <c r="D1068" s="45"/>
      <c r="E1068" s="15" t="b">
        <v>1</v>
      </c>
      <c r="F1068" s="45" t="s">
        <v>12</v>
      </c>
      <c r="G1068" s="45" t="s">
        <v>911</v>
      </c>
      <c r="H1068" s="18">
        <f t="shared" si="1"/>
        <v>-643.92</v>
      </c>
      <c r="I1068" s="19" t="str">
        <f t="shared" si="3"/>
        <v>BONIFICO SEPADistinta: 17576649608620U2NDEF</v>
      </c>
    </row>
    <row r="1069">
      <c r="A1069" s="49">
        <v>45912.0</v>
      </c>
      <c r="B1069" s="49">
        <v>45912.0</v>
      </c>
      <c r="C1069" s="45">
        <v>-164.8</v>
      </c>
      <c r="D1069" s="45"/>
      <c r="E1069" s="15" t="b">
        <v>1</v>
      </c>
      <c r="F1069" s="45" t="s">
        <v>12</v>
      </c>
      <c r="G1069" s="45" t="s">
        <v>912</v>
      </c>
      <c r="H1069" s="18">
        <f t="shared" si="1"/>
        <v>-164.8</v>
      </c>
      <c r="I1069" s="19" t="str">
        <f t="shared" si="3"/>
        <v>BONIFICO SEPADistinta: 17576654123160P27DEF</v>
      </c>
    </row>
    <row r="1070">
      <c r="A1070" s="49">
        <v>45912.0</v>
      </c>
      <c r="B1070" s="49">
        <v>45912.0</v>
      </c>
      <c r="C1070" s="45"/>
      <c r="D1070" s="45">
        <v>2593.0</v>
      </c>
      <c r="E1070" s="15" t="b">
        <v>0</v>
      </c>
      <c r="F1070" s="45" t="s">
        <v>12</v>
      </c>
      <c r="G1070" s="45" t="s">
        <v>913</v>
      </c>
      <c r="H1070" s="18">
        <f t="shared" si="1"/>
        <v>2593</v>
      </c>
      <c r="I1070" s="19" t="str">
        <f t="shared" si="3"/>
        <v>BONIFICO SEPADa Scalapay IP S.p.a. TRN 3601825091210142536780726879833-008 CBPSIT31XXX per 2025-09-11 - GEOS S SDRL - Scalapay IP S.p</v>
      </c>
    </row>
    <row r="1071">
      <c r="A1071" s="49">
        <v>45912.0</v>
      </c>
      <c r="B1071" s="49">
        <v>45912.0</v>
      </c>
      <c r="C1071" s="51"/>
      <c r="D1071" s="45">
        <v>1440.0</v>
      </c>
      <c r="E1071" s="15" t="b">
        <v>0</v>
      </c>
      <c r="F1071" s="45" t="s">
        <v>12</v>
      </c>
      <c r="G1071" s="45" t="s">
        <v>914</v>
      </c>
      <c r="H1071" s="18">
        <f t="shared" si="1"/>
        <v>1440</v>
      </c>
      <c r="I1071" s="19" t="str">
        <f t="shared" si="3"/>
        <v>BONIFICO SEPADa NEXI Payments Spa TRN 056843930005NPPASU0000000000IT CIPBITMM per PV 1000001228596 ACCREDITO CIRCUITI INTERNAZ. 11092</v>
      </c>
    </row>
    <row r="1072">
      <c r="A1072" s="49">
        <v>45912.0</v>
      </c>
      <c r="B1072" s="49">
        <v>45912.0</v>
      </c>
      <c r="C1072" s="45"/>
      <c r="D1072" s="45">
        <v>3135.0</v>
      </c>
      <c r="E1072" s="15" t="b">
        <v>0</v>
      </c>
      <c r="F1072" s="45" t="s">
        <v>12</v>
      </c>
      <c r="G1072" s="45" t="s">
        <v>915</v>
      </c>
      <c r="H1072" s="18">
        <f t="shared" si="1"/>
        <v>3135</v>
      </c>
      <c r="I1072" s="19" t="str">
        <f t="shared" si="3"/>
        <v>BONIFICO SEPADa NEXI Payments Spa TRN 056843320015NPPASU0000000000IT CIPBITMM per PV 1000001228637 ACCREDITO CIRCUITI INTERNAZ. 11092</v>
      </c>
    </row>
    <row r="1073">
      <c r="A1073" s="49">
        <v>45912.0</v>
      </c>
      <c r="B1073" s="49">
        <v>45912.0</v>
      </c>
      <c r="C1073" s="51"/>
      <c r="D1073" s="45">
        <v>1699.5</v>
      </c>
      <c r="E1073" s="15" t="b">
        <v>0</v>
      </c>
      <c r="F1073" s="45" t="s">
        <v>12</v>
      </c>
      <c r="G1073" s="45" t="s">
        <v>916</v>
      </c>
      <c r="H1073" s="18">
        <f t="shared" si="1"/>
        <v>1699.5</v>
      </c>
      <c r="I1073" s="19" t="str">
        <f t="shared" si="3"/>
        <v>BONIFICO SEPADa NEXI Payments Spa TRN 056843947045NPPASU0000000000IT CIPBITMM per PV 1000001228596 ACCREDITO BANCOMAT 110925 RIF 9006</v>
      </c>
    </row>
    <row r="1074">
      <c r="A1074" s="44"/>
      <c r="B1074" s="44"/>
      <c r="C1074" s="51"/>
      <c r="D1074" s="45"/>
      <c r="E1074" s="15" t="b">
        <v>0</v>
      </c>
      <c r="F1074" s="45"/>
      <c r="G1074" s="45"/>
      <c r="H1074" s="18">
        <f t="shared" si="1"/>
        <v>0</v>
      </c>
      <c r="I1074" s="19" t="str">
        <f t="shared" si="3"/>
        <v/>
      </c>
    </row>
    <row r="1075">
      <c r="A1075" s="49"/>
      <c r="B1075" s="49"/>
      <c r="C1075" s="45"/>
      <c r="D1075" s="45"/>
      <c r="E1075" s="15" t="b">
        <v>0</v>
      </c>
      <c r="F1075" s="45"/>
      <c r="G1075" s="45"/>
      <c r="H1075" s="18">
        <f t="shared" si="1"/>
        <v>0</v>
      </c>
      <c r="I1075" s="19" t="str">
        <f t="shared" si="3"/>
        <v/>
      </c>
    </row>
    <row r="1076">
      <c r="A1076" s="49">
        <v>45911.0</v>
      </c>
      <c r="B1076" s="49">
        <v>45911.0</v>
      </c>
      <c r="C1076" s="45">
        <v>-160.0</v>
      </c>
      <c r="D1076" s="45"/>
      <c r="E1076" s="15" t="b">
        <v>1</v>
      </c>
      <c r="F1076" s="45" t="s">
        <v>12</v>
      </c>
      <c r="G1076" s="45" t="s">
        <v>917</v>
      </c>
      <c r="H1076" s="18">
        <f t="shared" si="1"/>
        <v>-160</v>
      </c>
      <c r="I1076" s="19" t="str">
        <f t="shared" si="3"/>
        <v>BONIFICO SEPADistinta: 17575141626390D74DEF</v>
      </c>
    </row>
    <row r="1077">
      <c r="A1077" s="49">
        <v>45911.0</v>
      </c>
      <c r="B1077" s="49">
        <v>45911.0</v>
      </c>
      <c r="C1077" s="45"/>
      <c r="D1077" s="45">
        <v>4431.0</v>
      </c>
      <c r="E1077" s="15" t="b">
        <v>0</v>
      </c>
      <c r="F1077" s="45" t="s">
        <v>12</v>
      </c>
      <c r="G1077" s="45" t="s">
        <v>918</v>
      </c>
      <c r="H1077" s="18">
        <f t="shared" si="1"/>
        <v>4431</v>
      </c>
      <c r="I1077" s="19" t="str">
        <f t="shared" si="3"/>
        <v>BONIFICO SEPADa NEXI Payments Spa TRN 056732819005NPPASU0000000000IT CIPBITMM per PV 1000001228637 ACCREDITO CIRCUITI INTERNAZ. 10092</v>
      </c>
    </row>
    <row r="1078">
      <c r="A1078" s="49">
        <v>45911.0</v>
      </c>
      <c r="B1078" s="49">
        <v>45911.0</v>
      </c>
      <c r="C1078" s="51"/>
      <c r="D1078" s="45">
        <v>5277.0</v>
      </c>
      <c r="E1078" s="15" t="b">
        <v>0</v>
      </c>
      <c r="F1078" s="45" t="s">
        <v>12</v>
      </c>
      <c r="G1078" s="45" t="s">
        <v>919</v>
      </c>
      <c r="H1078" s="18">
        <f t="shared" si="1"/>
        <v>5277</v>
      </c>
      <c r="I1078" s="19" t="str">
        <f t="shared" si="3"/>
        <v>BONIFICO SEPADa NEXI Payments Spa TRN 056732068035NPPASU0000000000IT CIPBITMM per PV 1000001228596 ACCREDITO CIRCUITI INTERNAZ. 10092</v>
      </c>
    </row>
    <row r="1079">
      <c r="A1079" s="49">
        <v>45911.0</v>
      </c>
      <c r="B1079" s="49">
        <v>45911.0</v>
      </c>
      <c r="C1079" s="45"/>
      <c r="D1079" s="45">
        <v>1182.35</v>
      </c>
      <c r="E1079" s="15" t="b">
        <v>0</v>
      </c>
      <c r="F1079" s="45" t="s">
        <v>12</v>
      </c>
      <c r="G1079" s="45" t="s">
        <v>920</v>
      </c>
      <c r="H1079" s="18">
        <f t="shared" si="1"/>
        <v>1182.35</v>
      </c>
      <c r="I1079" s="19" t="str">
        <f t="shared" si="3"/>
        <v>BONIFICO SEPADa Scalapay IP S.p.a. TRN 3601825091104494005160617348124-008 CBPSIT31XXX per 2025-09-10 - GEOS S SDRL - Scalapay IP S.p</v>
      </c>
    </row>
    <row r="1080">
      <c r="A1080" s="49">
        <v>45911.0</v>
      </c>
      <c r="B1080" s="49">
        <v>45911.0</v>
      </c>
      <c r="C1080" s="45"/>
      <c r="D1080" s="45">
        <v>690.0</v>
      </c>
      <c r="E1080" s="15" t="b">
        <v>0</v>
      </c>
      <c r="F1080" s="45" t="s">
        <v>12</v>
      </c>
      <c r="G1080" s="45" t="s">
        <v>921</v>
      </c>
      <c r="H1080" s="18">
        <f t="shared" si="1"/>
        <v>690</v>
      </c>
      <c r="I1080" s="19" t="str">
        <f t="shared" si="3"/>
        <v>BONIFICO SEPADa NEXI Payments Spa TRN 056732085075NPPASU0000000000IT CIPBITMM per PV 1000001228596 ACCREDITO BANCOMAT 100925 RIF 8989</v>
      </c>
    </row>
    <row r="1081">
      <c r="A1081" s="49">
        <v>45911.0</v>
      </c>
      <c r="B1081" s="49">
        <v>45911.0</v>
      </c>
      <c r="C1081" s="51"/>
      <c r="D1081" s="45">
        <v>768.6</v>
      </c>
      <c r="E1081" s="15" t="b">
        <v>0</v>
      </c>
      <c r="F1081" s="45" t="s">
        <v>12</v>
      </c>
      <c r="G1081" s="45" t="s">
        <v>922</v>
      </c>
      <c r="H1081" s="18">
        <f t="shared" si="1"/>
        <v>768.6</v>
      </c>
      <c r="I1081" s="19" t="str">
        <f t="shared" si="3"/>
        <v>BONIFICO SEPADa BNG S.R.L. TRN 2509092332151226480160401600IT58876 MICSITM1XXX per Fatt 305</v>
      </c>
    </row>
    <row r="1082">
      <c r="A1082" s="49">
        <v>45910.0</v>
      </c>
      <c r="B1082" s="49">
        <v>45910.0</v>
      </c>
      <c r="C1082" s="51">
        <v>-1129.72</v>
      </c>
      <c r="D1082" s="45"/>
      <c r="E1082" s="15" t="b">
        <v>1</v>
      </c>
      <c r="F1082" s="45" t="s">
        <v>12</v>
      </c>
      <c r="G1082" s="45" t="s">
        <v>923</v>
      </c>
      <c r="H1082" s="18">
        <f t="shared" si="1"/>
        <v>-1129.72</v>
      </c>
      <c r="I1082" s="19" t="str">
        <f t="shared" si="3"/>
        <v>BONIFICO SEPADistinta: 175742563473107PMDEF</v>
      </c>
    </row>
    <row r="1083">
      <c r="A1083" s="49">
        <v>45910.0</v>
      </c>
      <c r="B1083" s="49">
        <v>45910.0</v>
      </c>
      <c r="C1083" s="45">
        <v>-18.0</v>
      </c>
      <c r="D1083" s="45"/>
      <c r="E1083" s="15" t="b">
        <v>1</v>
      </c>
      <c r="F1083" s="45" t="s">
        <v>12</v>
      </c>
      <c r="G1083" s="45" t="s">
        <v>924</v>
      </c>
      <c r="H1083" s="18">
        <f t="shared" si="1"/>
        <v>-18</v>
      </c>
      <c r="I1083" s="19" t="str">
        <f t="shared" si="3"/>
        <v>BONIFICO SEPADistinta: 17575064648460BR6DEF</v>
      </c>
    </row>
    <row r="1084">
      <c r="A1084" s="49">
        <v>45910.0</v>
      </c>
      <c r="B1084" s="49">
        <v>45910.0</v>
      </c>
      <c r="C1084" s="45">
        <v>-682.0</v>
      </c>
      <c r="D1084" s="45"/>
      <c r="E1084" s="15" t="b">
        <v>1</v>
      </c>
      <c r="F1084" s="45" t="s">
        <v>12</v>
      </c>
      <c r="G1084" s="45" t="s">
        <v>925</v>
      </c>
      <c r="H1084" s="18">
        <f t="shared" si="1"/>
        <v>-682</v>
      </c>
      <c r="I1084" s="19" t="str">
        <f t="shared" si="3"/>
        <v>BONIFICO SEPADistinta: 17575062343760BSIDEF</v>
      </c>
    </row>
    <row r="1085">
      <c r="A1085" s="49">
        <v>45910.0</v>
      </c>
      <c r="B1085" s="49">
        <v>45910.0</v>
      </c>
      <c r="C1085" s="45"/>
      <c r="D1085" s="45">
        <v>4967.0</v>
      </c>
      <c r="E1085" s="15" t="b">
        <v>0</v>
      </c>
      <c r="F1085" s="45" t="s">
        <v>12</v>
      </c>
      <c r="G1085" s="45" t="s">
        <v>926</v>
      </c>
      <c r="H1085" s="18">
        <f t="shared" si="1"/>
        <v>4967</v>
      </c>
      <c r="I1085" s="19" t="str">
        <f t="shared" si="3"/>
        <v>BONIFICO SEPADa NEXI Payments Spa TRN 056633594045NPPASU0000000000IT CIPBITMM per PV 1000001228637 ACCREDITO CIRCUITI INTERNAZ. 09092</v>
      </c>
    </row>
    <row r="1086">
      <c r="A1086" s="49">
        <v>45910.0</v>
      </c>
      <c r="B1086" s="49">
        <v>45910.0</v>
      </c>
      <c r="C1086" s="45"/>
      <c r="D1086" s="45">
        <v>6390.0</v>
      </c>
      <c r="E1086" s="15" t="b">
        <v>0</v>
      </c>
      <c r="F1086" s="45" t="s">
        <v>12</v>
      </c>
      <c r="G1086" s="45" t="s">
        <v>927</v>
      </c>
      <c r="H1086" s="18">
        <f t="shared" si="1"/>
        <v>6390</v>
      </c>
      <c r="I1086" s="19" t="str">
        <f t="shared" si="3"/>
        <v>BONIFICO SEPADa NEXI Payments Spa TRN 056632855065NPPASU0000000000IT CIPBITMM per PV 1000001228596 ACCREDITO CIRCUITI INTERNAZ. 09092</v>
      </c>
    </row>
    <row r="1087">
      <c r="A1087" s="49">
        <v>45910.0</v>
      </c>
      <c r="B1087" s="49">
        <v>45910.0</v>
      </c>
      <c r="C1087" s="45"/>
      <c r="D1087" s="45">
        <v>4474.32</v>
      </c>
      <c r="E1087" s="15" t="b">
        <v>0</v>
      </c>
      <c r="F1087" s="45" t="s">
        <v>12</v>
      </c>
      <c r="G1087" s="45" t="s">
        <v>928</v>
      </c>
      <c r="H1087" s="18">
        <f t="shared" si="1"/>
        <v>4474.32</v>
      </c>
      <c r="I1087" s="19" t="str">
        <f t="shared" si="3"/>
        <v>BONIFICO SEPADa Scalapay IP S.p.a. TRN 3601825091004493162251595618140-008 CBPSIT31XXX per 2025-09-09 - GEOS S SDRL - Scalapay IP S.p</v>
      </c>
    </row>
    <row r="1088">
      <c r="A1088" s="49">
        <v>45910.0</v>
      </c>
      <c r="B1088" s="49">
        <v>45910.0</v>
      </c>
      <c r="C1088" s="45"/>
      <c r="D1088" s="45">
        <v>3240.0</v>
      </c>
      <c r="E1088" s="15" t="b">
        <v>0</v>
      </c>
      <c r="F1088" s="45" t="s">
        <v>12</v>
      </c>
      <c r="G1088" s="45" t="s">
        <v>929</v>
      </c>
      <c r="H1088" s="18">
        <f t="shared" si="1"/>
        <v>3240</v>
      </c>
      <c r="I1088" s="19" t="str">
        <f t="shared" si="3"/>
        <v>BONIFICO SEPADa NEXI Payments Spa TRN 056632867055NPPASU0000000000IT CIPBITMM per PV 1000001228596 ACCREDITO BANCOMAT 090925 RIF 8974</v>
      </c>
    </row>
    <row r="1089">
      <c r="A1089" s="49"/>
      <c r="B1089" s="49"/>
      <c r="C1089" s="48"/>
      <c r="D1089" s="45"/>
      <c r="E1089" s="15" t="b">
        <v>0</v>
      </c>
      <c r="F1089" s="45"/>
      <c r="G1089" s="45"/>
      <c r="H1089" s="18">
        <f t="shared" si="1"/>
        <v>0</v>
      </c>
      <c r="I1089" s="19" t="str">
        <f t="shared" si="3"/>
        <v/>
      </c>
    </row>
    <row r="1090">
      <c r="A1090" s="49">
        <v>45909.0</v>
      </c>
      <c r="B1090" s="49">
        <v>45909.0</v>
      </c>
      <c r="C1090" s="45">
        <v>-4000.0</v>
      </c>
      <c r="D1090" s="45"/>
      <c r="E1090" s="15" t="b">
        <v>1</v>
      </c>
      <c r="F1090" s="45" t="s">
        <v>12</v>
      </c>
      <c r="G1090" s="45" t="s">
        <v>930</v>
      </c>
      <c r="H1090" s="18">
        <f t="shared" si="1"/>
        <v>-4000</v>
      </c>
      <c r="I1090" s="19" t="str">
        <f t="shared" si="3"/>
        <v>BONIFICO SEPADistinta: 175733956880603I2DEF</v>
      </c>
    </row>
    <row r="1091">
      <c r="A1091" s="49">
        <v>45909.0</v>
      </c>
      <c r="B1091" s="49">
        <v>45909.0</v>
      </c>
      <c r="C1091" s="45"/>
      <c r="D1091" s="45">
        <v>2335.0</v>
      </c>
      <c r="E1091" s="15" t="b">
        <v>0</v>
      </c>
      <c r="F1091" s="45" t="s">
        <v>12</v>
      </c>
      <c r="G1091" s="45" t="s">
        <v>931</v>
      </c>
      <c r="H1091" s="18">
        <f t="shared" si="1"/>
        <v>2335</v>
      </c>
      <c r="I1091" s="19" t="str">
        <f t="shared" si="3"/>
        <v>BONIFICO SEPADa NEXI Payments Spa TRN 056569055105NPPASU0000000000IT CIPBITMM per PV 1000001228596 ACCREDITO BANCOMAT 080925 RIF 8959</v>
      </c>
    </row>
    <row r="1092">
      <c r="A1092" s="49">
        <v>45909.0</v>
      </c>
      <c r="B1092" s="49">
        <v>45909.0</v>
      </c>
      <c r="C1092" s="45"/>
      <c r="D1092" s="45">
        <v>1345.0</v>
      </c>
      <c r="E1092" s="15" t="b">
        <v>0</v>
      </c>
      <c r="F1092" s="45" t="s">
        <v>12</v>
      </c>
      <c r="G1092" s="45" t="s">
        <v>932</v>
      </c>
      <c r="H1092" s="18">
        <f t="shared" si="1"/>
        <v>1345</v>
      </c>
      <c r="I1092" s="19" t="str">
        <f t="shared" si="3"/>
        <v>BONIFICO SEPADa NEXI Payments Spa TRN 056575516105NPPASU0000000000IT CIPBITMM per PV 1000001228637 ACCREDITO CIRCUITI INTERNAZ. 08092</v>
      </c>
    </row>
    <row r="1093">
      <c r="A1093" s="49">
        <v>45909.0</v>
      </c>
      <c r="B1093" s="49">
        <v>45909.0</v>
      </c>
      <c r="C1093" s="45"/>
      <c r="D1093" s="45">
        <v>3214.35</v>
      </c>
      <c r="E1093" s="15" t="b">
        <v>0</v>
      </c>
      <c r="F1093" s="45" t="s">
        <v>12</v>
      </c>
      <c r="G1093" s="45" t="s">
        <v>933</v>
      </c>
      <c r="H1093" s="18">
        <f t="shared" si="1"/>
        <v>3214.35</v>
      </c>
      <c r="I1093" s="19" t="str">
        <f t="shared" si="3"/>
        <v>BONIFICO SEPADa Scalapay IP S.p.a. TRN 3601825090904504411990466243229-008 CBPSIT31XXX per 2025-09-08 - GEOS S SDRL - Scalapay IP S.p</v>
      </c>
    </row>
    <row r="1094">
      <c r="A1094" s="49">
        <v>45909.0</v>
      </c>
      <c r="B1094" s="49">
        <v>45909.0</v>
      </c>
      <c r="C1094" s="51"/>
      <c r="D1094" s="45">
        <v>7875.0</v>
      </c>
      <c r="E1094" s="15" t="b">
        <v>0</v>
      </c>
      <c r="F1094" s="45" t="s">
        <v>12</v>
      </c>
      <c r="G1094" s="45" t="s">
        <v>934</v>
      </c>
      <c r="H1094" s="18">
        <f t="shared" si="1"/>
        <v>7875</v>
      </c>
      <c r="I1094" s="19" t="str">
        <f t="shared" si="3"/>
        <v>BONIFICO SEPADa NEXI Payments Spa TRN 056569046015NPPASU0000000000IT CIPBITMM per PV 1000001228596 ACCREDITO CIRCUITI INTERNAZ. 08092</v>
      </c>
    </row>
    <row r="1095">
      <c r="A1095" s="49">
        <v>45908.0</v>
      </c>
      <c r="B1095" s="49">
        <v>45908.0</v>
      </c>
      <c r="C1095" s="51">
        <v>-522.08</v>
      </c>
      <c r="D1095" s="45"/>
      <c r="E1095" s="15" t="b">
        <v>1</v>
      </c>
      <c r="F1095" s="45" t="s">
        <v>12</v>
      </c>
      <c r="G1095" s="45" t="s">
        <v>935</v>
      </c>
      <c r="H1095" s="18">
        <f t="shared" si="1"/>
        <v>-522.08</v>
      </c>
      <c r="I1095" s="19" t="str">
        <f t="shared" si="3"/>
        <v>BONIFICO SEPADistinta: 17573139482322E8GDEF</v>
      </c>
    </row>
    <row r="1096">
      <c r="A1096" s="49">
        <v>45908.0</v>
      </c>
      <c r="B1096" s="49">
        <v>45908.0</v>
      </c>
      <c r="C1096" s="51"/>
      <c r="D1096" s="45">
        <v>1510.0</v>
      </c>
      <c r="E1096" s="15" t="b">
        <v>0</v>
      </c>
      <c r="F1096" s="45" t="s">
        <v>12</v>
      </c>
      <c r="G1096" s="45" t="s">
        <v>936</v>
      </c>
      <c r="H1096" s="18">
        <f t="shared" si="1"/>
        <v>1510</v>
      </c>
      <c r="I1096" s="19" t="str">
        <f t="shared" si="3"/>
        <v>BONIFICO SEPADa NEXI Payments Spa TRN 056304245105NPPASU0000000000IT CIPBITMM per PV 1000001228596 ACCREDITO BANCOMAT 050925 RIF 8916</v>
      </c>
    </row>
    <row r="1097">
      <c r="A1097" s="49">
        <v>45908.0</v>
      </c>
      <c r="B1097" s="49">
        <v>45908.0</v>
      </c>
      <c r="C1097" s="51"/>
      <c r="D1097" s="45">
        <v>1975.0</v>
      </c>
      <c r="E1097" s="15" t="b">
        <v>0</v>
      </c>
      <c r="F1097" s="45" t="s">
        <v>12</v>
      </c>
      <c r="G1097" s="45" t="s">
        <v>937</v>
      </c>
      <c r="H1097" s="18">
        <f t="shared" si="1"/>
        <v>1975</v>
      </c>
      <c r="I1097" s="19" t="str">
        <f t="shared" si="3"/>
        <v>BONIFICO SEPADa NEXI Payments Spa TRN 056310345005NPPASU0000000000IT CIPBITMM per PV 1000001228637 ACCREDITO CIRCUITI INTERNAZ. 05092</v>
      </c>
    </row>
    <row r="1098">
      <c r="A1098" s="49">
        <v>45908.0</v>
      </c>
      <c r="B1098" s="49">
        <v>45908.0</v>
      </c>
      <c r="C1098" s="51"/>
      <c r="D1098" s="45">
        <v>4050.0</v>
      </c>
      <c r="E1098" s="15" t="b">
        <v>0</v>
      </c>
      <c r="F1098" s="45" t="s">
        <v>12</v>
      </c>
      <c r="G1098" s="45" t="s">
        <v>938</v>
      </c>
      <c r="H1098" s="18">
        <f t="shared" si="1"/>
        <v>4050</v>
      </c>
      <c r="I1098" s="19" t="str">
        <f t="shared" si="3"/>
        <v>BONIFICO SEPADa NEXI Payments Spa TRN 056304232105NPPASU0000000000IT CIPBITMM per PV 1000001228596 ACCREDITO CIRCUITI INTERNAZ. 05092</v>
      </c>
    </row>
    <row r="1099">
      <c r="A1099" s="49">
        <v>45908.0</v>
      </c>
      <c r="B1099" s="49">
        <v>45908.0</v>
      </c>
      <c r="C1099" s="51"/>
      <c r="D1099" s="45">
        <v>405.0</v>
      </c>
      <c r="E1099" s="15" t="b">
        <v>0</v>
      </c>
      <c r="F1099" s="45" t="s">
        <v>12</v>
      </c>
      <c r="G1099" s="45" t="s">
        <v>939</v>
      </c>
      <c r="H1099" s="18">
        <f t="shared" si="1"/>
        <v>405</v>
      </c>
      <c r="I1099" s="19" t="str">
        <f t="shared" si="3"/>
        <v>BONIFICO SEPADa NEXI Payments Spa TRN 056390741045NPPASU0000000000IT CIPBITMM per PV 1000001228596 ACCREDITO BANCOMAT 060925 RIF 8933</v>
      </c>
    </row>
    <row r="1100">
      <c r="A1100" s="49">
        <v>45908.0</v>
      </c>
      <c r="B1100" s="49">
        <v>45908.0</v>
      </c>
      <c r="C1100" s="51"/>
      <c r="D1100" s="45">
        <v>544.0</v>
      </c>
      <c r="E1100" s="15" t="b">
        <v>0</v>
      </c>
      <c r="F1100" s="45" t="s">
        <v>12</v>
      </c>
      <c r="G1100" s="45" t="s">
        <v>940</v>
      </c>
      <c r="H1100" s="18">
        <f t="shared" si="1"/>
        <v>544</v>
      </c>
      <c r="I1100" s="19" t="str">
        <f t="shared" si="3"/>
        <v>BONIFICO SEPADa NEXI Payments Spa TRN 056471085085NPPASU0000000000IT CIPBITMM per PV 1000001228637 ACCREDITO CIRCUITI INTERNAZ. 07092</v>
      </c>
    </row>
    <row r="1101">
      <c r="A1101" s="49">
        <v>45908.0</v>
      </c>
      <c r="B1101" s="49">
        <v>45908.0</v>
      </c>
      <c r="C1101" s="45"/>
      <c r="D1101" s="45">
        <v>50.0</v>
      </c>
      <c r="E1101" s="15" t="b">
        <v>0</v>
      </c>
      <c r="F1101" s="45" t="s">
        <v>12</v>
      </c>
      <c r="G1101" s="45" t="s">
        <v>941</v>
      </c>
      <c r="H1101" s="18">
        <f t="shared" si="1"/>
        <v>50</v>
      </c>
      <c r="I1101" s="19" t="str">
        <f t="shared" si="3"/>
        <v>BONIFICO SEPADa NEXI Payments Spa TRN 056391550075NPPASU0000000000IT CIPBITMM per PV 1000001228637 ACCREDITO CIRCUITI INTERNAZ. 06092</v>
      </c>
    </row>
    <row r="1102">
      <c r="A1102" s="49">
        <v>45908.0</v>
      </c>
      <c r="B1102" s="49">
        <v>45908.0</v>
      </c>
      <c r="C1102" s="45"/>
      <c r="D1102" s="45">
        <v>2308.0</v>
      </c>
      <c r="E1102" s="15" t="b">
        <v>0</v>
      </c>
      <c r="F1102" s="45" t="s">
        <v>12</v>
      </c>
      <c r="G1102" s="45" t="s">
        <v>942</v>
      </c>
      <c r="H1102" s="18">
        <f t="shared" si="1"/>
        <v>2308</v>
      </c>
      <c r="I1102" s="19" t="str">
        <f t="shared" si="3"/>
        <v>BONIFICO SEPADa NEXI Payments Spa TRN 056390728045NPPASU0000000000IT CIPBITMM per PV 1000001228596 ACCREDITO CIRCUITI INTERNAZ. 06092</v>
      </c>
    </row>
    <row r="1103">
      <c r="A1103" s="49">
        <v>45908.0</v>
      </c>
      <c r="B1103" s="49">
        <v>45908.0</v>
      </c>
      <c r="C1103" s="45"/>
      <c r="D1103" s="45">
        <v>959.6</v>
      </c>
      <c r="E1103" s="15" t="b">
        <v>0</v>
      </c>
      <c r="F1103" s="45" t="s">
        <v>12</v>
      </c>
      <c r="G1103" s="45" t="s">
        <v>943</v>
      </c>
      <c r="H1103" s="18">
        <f t="shared" si="1"/>
        <v>959.6</v>
      </c>
      <c r="I1103" s="19" t="str">
        <f t="shared" si="3"/>
        <v>BONIFICO SEPADa Scalapay IP S.p.a. TRN 3601825090804514897130499980422-008 CBPSIT31XXX per 2025-09-07 - GEOS S SDRL - Scalapay IP S.p</v>
      </c>
    </row>
    <row r="1104">
      <c r="A1104" s="49"/>
      <c r="B1104" s="49"/>
      <c r="C1104" s="47"/>
      <c r="D1104" s="45"/>
      <c r="E1104" s="15" t="b">
        <v>0</v>
      </c>
      <c r="F1104" s="45"/>
      <c r="G1104" s="45"/>
      <c r="H1104" s="18">
        <f t="shared" si="1"/>
        <v>0</v>
      </c>
      <c r="I1104" s="19" t="str">
        <f t="shared" si="3"/>
        <v/>
      </c>
    </row>
    <row r="1105">
      <c r="A1105" s="49">
        <v>45905.0</v>
      </c>
      <c r="B1105" s="49">
        <v>45905.0</v>
      </c>
      <c r="C1105" s="45">
        <v>-10091.19</v>
      </c>
      <c r="D1105" s="45"/>
      <c r="E1105" s="15" t="b">
        <v>1</v>
      </c>
      <c r="F1105" s="45" t="s">
        <v>12</v>
      </c>
      <c r="G1105" s="45" t="s">
        <v>944</v>
      </c>
      <c r="H1105" s="18">
        <f t="shared" si="1"/>
        <v>-10091.19</v>
      </c>
      <c r="I1105" s="19" t="str">
        <f t="shared" si="3"/>
        <v>BONIFICO SEPADistinta: 17570746029681QSBDEF</v>
      </c>
    </row>
    <row r="1106">
      <c r="A1106" s="49">
        <v>45905.0</v>
      </c>
      <c r="B1106" s="49">
        <v>45905.0</v>
      </c>
      <c r="C1106" s="51">
        <v>-3000.0</v>
      </c>
      <c r="D1106" s="45"/>
      <c r="E1106" s="15" t="b">
        <v>1</v>
      </c>
      <c r="F1106" s="45" t="s">
        <v>12</v>
      </c>
      <c r="G1106" s="45" t="s">
        <v>945</v>
      </c>
      <c r="H1106" s="18">
        <f t="shared" si="1"/>
        <v>-3000</v>
      </c>
      <c r="I1106" s="19" t="str">
        <f t="shared" si="3"/>
        <v>BONIFICO SEPADistinta: 17570747658491P14DEF</v>
      </c>
    </row>
    <row r="1107">
      <c r="A1107" s="49">
        <v>45905.0</v>
      </c>
      <c r="B1107" s="49">
        <v>45905.0</v>
      </c>
      <c r="C1107" s="45">
        <v>-2500.0</v>
      </c>
      <c r="D1107" s="51"/>
      <c r="E1107" s="15" t="b">
        <v>1</v>
      </c>
      <c r="F1107" s="51" t="s">
        <v>12</v>
      </c>
      <c r="G1107" s="45" t="s">
        <v>946</v>
      </c>
      <c r="H1107" s="18">
        <f t="shared" si="1"/>
        <v>-2500</v>
      </c>
      <c r="I1107" s="19" t="str">
        <f t="shared" si="3"/>
        <v>BONIFICO SEPADistinta: 17569019970901MG3DEF</v>
      </c>
    </row>
    <row r="1108">
      <c r="A1108" s="49">
        <v>45905.0</v>
      </c>
      <c r="B1108" s="49">
        <v>45905.0</v>
      </c>
      <c r="C1108" s="45"/>
      <c r="D1108" s="45">
        <v>415.0</v>
      </c>
      <c r="E1108" s="15" t="b">
        <v>0</v>
      </c>
      <c r="F1108" s="45" t="s">
        <v>12</v>
      </c>
      <c r="G1108" s="45" t="s">
        <v>947</v>
      </c>
      <c r="H1108" s="18">
        <f t="shared" si="1"/>
        <v>415</v>
      </c>
      <c r="I1108" s="19" t="str">
        <f t="shared" si="3"/>
        <v>BONIFICO SEPADa NEXI Payments Spa TRN 056194533055NPPASU0000000000IT CIPBITMM per PV 1000001228596 ACCREDITO BANCOMAT 040925 RIF 8899</v>
      </c>
    </row>
    <row r="1109">
      <c r="A1109" s="49">
        <v>45905.0</v>
      </c>
      <c r="B1109" s="49">
        <v>45905.0</v>
      </c>
      <c r="C1109" s="51"/>
      <c r="D1109" s="45">
        <v>3265.0</v>
      </c>
      <c r="E1109" s="15" t="b">
        <v>0</v>
      </c>
      <c r="F1109" s="45" t="s">
        <v>12</v>
      </c>
      <c r="G1109" s="45" t="s">
        <v>948</v>
      </c>
      <c r="H1109" s="18">
        <f t="shared" si="1"/>
        <v>3265</v>
      </c>
      <c r="I1109" s="19" t="str">
        <f t="shared" si="3"/>
        <v>BONIFICO SEPADa NEXI Payments Spa TRN 056206767065NPPASU0000000000IT CIPBITMM per PV 1000001228637 ACCREDITO CIRCUITI INTERNAZ. 04092</v>
      </c>
    </row>
    <row r="1110">
      <c r="A1110" s="49">
        <v>45905.0</v>
      </c>
      <c r="B1110" s="49">
        <v>45905.0</v>
      </c>
      <c r="C1110" s="51"/>
      <c r="D1110" s="45">
        <v>284.0</v>
      </c>
      <c r="E1110" s="15" t="b">
        <v>0</v>
      </c>
      <c r="F1110" s="45" t="s">
        <v>12</v>
      </c>
      <c r="G1110" s="45" t="s">
        <v>949</v>
      </c>
      <c r="H1110" s="18">
        <f t="shared" si="1"/>
        <v>284</v>
      </c>
      <c r="I1110" s="19" t="str">
        <f t="shared" si="3"/>
        <v>BONIFICO SEPADa NEXI Payments Spa TRN 056194522075NPPASU0000000000IT CIPBITMM per PV 1000001228596 ACCREDITO CIRCUITI INTERNAZ. 04092</v>
      </c>
    </row>
    <row r="1111">
      <c r="A1111" s="49">
        <v>45905.0</v>
      </c>
      <c r="B1111" s="49">
        <v>45905.0</v>
      </c>
      <c r="C1111" s="45"/>
      <c r="D1111" s="45">
        <v>3151.27</v>
      </c>
      <c r="E1111" s="15" t="b">
        <v>0</v>
      </c>
      <c r="F1111" s="45" t="s">
        <v>12</v>
      </c>
      <c r="G1111" s="45" t="s">
        <v>950</v>
      </c>
      <c r="H1111" s="18">
        <f t="shared" si="1"/>
        <v>3151.27</v>
      </c>
      <c r="I1111" s="19" t="str">
        <f t="shared" si="3"/>
        <v>BONIFICO SEPADa Scalapay IP S.p.a. TRN 3601825090504504844473562706283-008 CBPSIT31XXX per 2025-09-04 - GEOS S SDRL - Scalapay IP S.p</v>
      </c>
    </row>
    <row r="1112">
      <c r="A1112" s="49">
        <v>45904.0</v>
      </c>
      <c r="B1112" s="49">
        <v>45904.0</v>
      </c>
      <c r="C1112" s="51"/>
      <c r="D1112" s="45">
        <v>1371.85</v>
      </c>
      <c r="E1112" s="15" t="b">
        <v>0</v>
      </c>
      <c r="F1112" s="45" t="s">
        <v>12</v>
      </c>
      <c r="G1112" s="45" t="s">
        <v>951</v>
      </c>
      <c r="H1112" s="18">
        <f t="shared" si="1"/>
        <v>1371.85</v>
      </c>
      <c r="I1112" s="19" t="str">
        <f t="shared" si="3"/>
        <v>BONIFICO SEPADa Scalapay IP S.p.a. TRN 3601825090404491763558306964844-008 CBPSIT31XXX per 2025-09-03 - GEOS S SDRL - Scalapay IP S.p</v>
      </c>
    </row>
    <row r="1113">
      <c r="A1113" s="49">
        <v>45904.0</v>
      </c>
      <c r="B1113" s="49">
        <v>45904.0</v>
      </c>
      <c r="C1113" s="45"/>
      <c r="D1113" s="45">
        <v>2165.0</v>
      </c>
      <c r="E1113" s="15" t="b">
        <v>0</v>
      </c>
      <c r="F1113" s="45" t="s">
        <v>12</v>
      </c>
      <c r="G1113" s="45" t="s">
        <v>952</v>
      </c>
      <c r="H1113" s="18">
        <f t="shared" si="1"/>
        <v>2165</v>
      </c>
      <c r="I1113" s="19" t="str">
        <f t="shared" si="3"/>
        <v>BONIFICO SEPADa NEXI Payments Spa TRN 056106914065NPPASU0000000000IT CIPBITMM per PV 1000001228637 ACCREDITO CIRCUITI INTERNAZ. 03092</v>
      </c>
    </row>
    <row r="1114">
      <c r="A1114" s="49">
        <v>45904.0</v>
      </c>
      <c r="B1114" s="49">
        <v>45904.0</v>
      </c>
      <c r="C1114" s="45"/>
      <c r="D1114" s="45">
        <v>1770.0</v>
      </c>
      <c r="E1114" s="15" t="b">
        <v>0</v>
      </c>
      <c r="F1114" s="45" t="s">
        <v>12</v>
      </c>
      <c r="G1114" s="45" t="s">
        <v>953</v>
      </c>
      <c r="H1114" s="18">
        <f t="shared" si="1"/>
        <v>1770</v>
      </c>
      <c r="I1114" s="19" t="str">
        <f t="shared" si="3"/>
        <v>BONIFICO SEPADa NEXI Payments Spa TRN 056106310005NPPASU0000000000IT CIPBITMM per PV 1000001228596 ACCREDITO CIRCUITI INTERNAZ. 03092</v>
      </c>
    </row>
    <row r="1115">
      <c r="A1115" s="49">
        <v>45904.0</v>
      </c>
      <c r="B1115" s="49">
        <v>45904.0</v>
      </c>
      <c r="C1115" s="45"/>
      <c r="D1115" s="45">
        <v>311.1</v>
      </c>
      <c r="E1115" s="15" t="b">
        <v>0</v>
      </c>
      <c r="F1115" s="45" t="s">
        <v>28</v>
      </c>
      <c r="G1115" s="45" t="s">
        <v>954</v>
      </c>
      <c r="H1115" s="18">
        <f t="shared" si="1"/>
        <v>311.1</v>
      </c>
      <c r="I1115" s="19" t="str">
        <f t="shared" si="3"/>
        <v>BONIFICODa LIO MALLORCA MARITIMO S.L TRN A8968TI109315246 CAIXESBBXXX per PAGO DE S/FRA 300 V1</v>
      </c>
    </row>
    <row r="1116">
      <c r="A1116" s="49">
        <v>45904.0</v>
      </c>
      <c r="B1116" s="49">
        <v>45904.0</v>
      </c>
      <c r="C1116" s="45">
        <v>-0.4</v>
      </c>
      <c r="D1116" s="45"/>
      <c r="E1116" s="15" t="b">
        <v>1</v>
      </c>
      <c r="F1116" s="45" t="s">
        <v>101</v>
      </c>
      <c r="G1116" s="45" t="s">
        <v>102</v>
      </c>
      <c r="H1116" s="18">
        <f t="shared" si="1"/>
        <v>-0.4</v>
      </c>
      <c r="I1116" s="19" t="str">
        <f t="shared" si="3"/>
        <v>COMMISSIONI DOMICILIAZIONE (ADDEBITO DIRETTO SEPA)NEXI Payments Spa    CID.IT500540000004107060966             MAN.CL2XV900700799PC0001228595</v>
      </c>
    </row>
    <row r="1117">
      <c r="A1117" s="49">
        <v>45904.0</v>
      </c>
      <c r="B1117" s="49">
        <v>45904.0</v>
      </c>
      <c r="C1117" s="45">
        <v>-0.4</v>
      </c>
      <c r="D1117" s="45"/>
      <c r="E1117" s="15" t="b">
        <v>1</v>
      </c>
      <c r="F1117" s="45" t="s">
        <v>101</v>
      </c>
      <c r="G1117" s="45" t="s">
        <v>103</v>
      </c>
      <c r="H1117" s="18">
        <f t="shared" si="1"/>
        <v>-0.4</v>
      </c>
      <c r="I1117" s="19" t="str">
        <f t="shared" si="3"/>
        <v>COMMISSIONI DOMICILIAZIONE (ADDEBITO DIRETTO SEPA)NEXI Payments Spa    CID.IT500540000004107060966             MAN.CL2XV900700884PC0001228636</v>
      </c>
    </row>
    <row r="1118">
      <c r="A1118" s="49">
        <v>45903.0</v>
      </c>
      <c r="B1118" s="49">
        <v>45903.0</v>
      </c>
      <c r="C1118" s="51"/>
      <c r="D1118" s="45">
        <v>382.8</v>
      </c>
      <c r="E1118" s="15" t="b">
        <v>0</v>
      </c>
      <c r="F1118" s="45" t="s">
        <v>12</v>
      </c>
      <c r="G1118" s="45" t="s">
        <v>955</v>
      </c>
      <c r="H1118" s="18">
        <f t="shared" si="1"/>
        <v>382.8</v>
      </c>
      <c r="I1118" s="19" t="str">
        <f t="shared" si="3"/>
        <v>BONIFICO SEPADa Scalapay IP S.p.a. TRN 3601825090304503252060356764967-008 CBPSIT31XXX per 2025-09-02 - GEOS S SDRL - Scalapay IP S.p</v>
      </c>
    </row>
    <row r="1119">
      <c r="A1119" s="49">
        <v>45903.0</v>
      </c>
      <c r="B1119" s="49">
        <v>45903.0</v>
      </c>
      <c r="C1119" s="45"/>
      <c r="D1119" s="45">
        <v>1325.0</v>
      </c>
      <c r="E1119" s="15" t="b">
        <v>0</v>
      </c>
      <c r="F1119" s="45" t="s">
        <v>12</v>
      </c>
      <c r="G1119" s="45" t="s">
        <v>956</v>
      </c>
      <c r="H1119" s="18">
        <f t="shared" si="1"/>
        <v>1325</v>
      </c>
      <c r="I1119" s="19" t="str">
        <f t="shared" si="3"/>
        <v>BONIFICO SEPADa NEXI Payments Spa TRN 056016782035NPPASU0000000000IT CIPBITMM per PV 1000001228596 ACCREDITO BANCOMAT 020925 RIF 8867</v>
      </c>
    </row>
    <row r="1120">
      <c r="A1120" s="49">
        <v>45903.0</v>
      </c>
      <c r="B1120" s="49">
        <v>45903.0</v>
      </c>
      <c r="C1120" s="45"/>
      <c r="D1120" s="45">
        <v>885.0</v>
      </c>
      <c r="E1120" s="15" t="b">
        <v>0</v>
      </c>
      <c r="F1120" s="45" t="s">
        <v>12</v>
      </c>
      <c r="G1120" s="45" t="s">
        <v>957</v>
      </c>
      <c r="H1120" s="18">
        <f t="shared" si="1"/>
        <v>885</v>
      </c>
      <c r="I1120" s="19" t="str">
        <f t="shared" si="3"/>
        <v>BONIFICO SEPADa NEXI Payments Spa TRN 056018620085NPPASU0000000000IT CIPBITMM per PV 1000001228637 ACCREDITO CIRCUITI INTERNAZ. 02092</v>
      </c>
    </row>
    <row r="1121">
      <c r="A1121" s="49">
        <v>45903.0</v>
      </c>
      <c r="B1121" s="49">
        <v>45903.0</v>
      </c>
      <c r="C1121" s="45"/>
      <c r="D1121" s="45">
        <v>3326.5</v>
      </c>
      <c r="E1121" s="15" t="b">
        <v>0</v>
      </c>
      <c r="F1121" s="45" t="s">
        <v>12</v>
      </c>
      <c r="G1121" s="45" t="s">
        <v>958</v>
      </c>
      <c r="H1121" s="18">
        <f t="shared" si="1"/>
        <v>3326.5</v>
      </c>
      <c r="I1121" s="19" t="str">
        <f t="shared" si="3"/>
        <v>BONIFICO SEPADa NEXI Payments Spa TRN 056016763105NPPASU0000000000IT CIPBITMM per PV 1000001228596 ACCREDITO CIRCUITI INTERNAZ. 02092</v>
      </c>
    </row>
    <row r="1122">
      <c r="A1122" s="49">
        <v>45903.0</v>
      </c>
      <c r="B1122" s="49">
        <v>45900.0</v>
      </c>
      <c r="C1122" s="45">
        <v>-10.0</v>
      </c>
      <c r="D1122" s="45"/>
      <c r="E1122" s="15" t="b">
        <v>1</v>
      </c>
      <c r="F1122" s="45" t="s">
        <v>108</v>
      </c>
      <c r="G1122" s="45" t="s">
        <v>959</v>
      </c>
      <c r="H1122" s="18">
        <f t="shared" si="1"/>
        <v>-10</v>
      </c>
      <c r="I1122" s="19" t="str">
        <f t="shared" si="3"/>
        <v>TENUTA CONTOADDEBITO RELATIVO AL PERIODO DI AGOSTO    2025</v>
      </c>
    </row>
    <row r="1123">
      <c r="A1123" s="49">
        <v>45903.0</v>
      </c>
      <c r="B1123" s="49">
        <v>45900.0</v>
      </c>
      <c r="C1123" s="45">
        <v>-5.0</v>
      </c>
      <c r="D1123" s="45"/>
      <c r="E1123" s="15" t="b">
        <v>1</v>
      </c>
      <c r="F1123" s="45" t="s">
        <v>110</v>
      </c>
      <c r="G1123" s="45" t="s">
        <v>960</v>
      </c>
      <c r="H1123" s="18">
        <f t="shared" si="1"/>
        <v>-5</v>
      </c>
      <c r="I1123" s="19" t="str">
        <f t="shared" si="3"/>
        <v>CANONE SERVIZIO COLLEGAMENTO TELEMATICOADDEBITO CANONE DEL SERVIZIO BANCOPOSTAIMPRESA ONLINE RELATIVO AL PERIODO AGOSTO 2025 CONTRATTO N. 0059926216</v>
      </c>
    </row>
    <row r="1124">
      <c r="A1124" s="49">
        <v>45903.0</v>
      </c>
      <c r="B1124" s="49">
        <v>45903.0</v>
      </c>
      <c r="C1124" s="45">
        <v>-64.84</v>
      </c>
      <c r="D1124" s="45"/>
      <c r="E1124" s="15" t="b">
        <v>1</v>
      </c>
      <c r="F1124" s="45" t="s">
        <v>112</v>
      </c>
      <c r="G1124" s="45" t="s">
        <v>103</v>
      </c>
      <c r="H1124" s="18">
        <f t="shared" si="1"/>
        <v>-64.84</v>
      </c>
      <c r="I1124" s="19" t="str">
        <f t="shared" si="3"/>
        <v>DOMICILIAZIONE (ADDEBITO DIRETTO SEPA)NEXI Payments Spa    CID.IT500540000004107060966             MAN.CL2XV900700884PC0001228636</v>
      </c>
    </row>
    <row r="1125">
      <c r="A1125" s="49">
        <v>45903.0</v>
      </c>
      <c r="B1125" s="49">
        <v>45903.0</v>
      </c>
      <c r="C1125" s="45">
        <v>-41.09</v>
      </c>
      <c r="D1125" s="45"/>
      <c r="E1125" s="15" t="b">
        <v>1</v>
      </c>
      <c r="F1125" s="45" t="s">
        <v>112</v>
      </c>
      <c r="G1125" s="45" t="s">
        <v>102</v>
      </c>
      <c r="H1125" s="18">
        <f t="shared" si="1"/>
        <v>-41.09</v>
      </c>
      <c r="I1125" s="19" t="str">
        <f t="shared" si="3"/>
        <v>DOMICILIAZIONE (ADDEBITO DIRETTO SEPA)NEXI Payments Spa    CID.IT500540000004107060966             MAN.CL2XV900700799PC0001228595</v>
      </c>
    </row>
    <row r="1126">
      <c r="A1126" s="49">
        <v>45902.0</v>
      </c>
      <c r="B1126" s="49">
        <v>45902.0</v>
      </c>
      <c r="C1126" s="45">
        <v>-2283.0</v>
      </c>
      <c r="D1126" s="45"/>
      <c r="E1126" s="15" t="b">
        <v>1</v>
      </c>
      <c r="F1126" s="45" t="s">
        <v>12</v>
      </c>
      <c r="G1126" s="45" t="s">
        <v>961</v>
      </c>
      <c r="H1126" s="18">
        <f t="shared" si="1"/>
        <v>-2283</v>
      </c>
      <c r="I1126" s="19" t="str">
        <f t="shared" si="3"/>
        <v>BONIFICO SEPADistinta: 175673379404312PCDEF</v>
      </c>
    </row>
    <row r="1127">
      <c r="A1127" s="49">
        <v>45902.0</v>
      </c>
      <c r="B1127" s="49">
        <v>45902.0</v>
      </c>
      <c r="C1127" s="45"/>
      <c r="D1127" s="45">
        <v>2243.0</v>
      </c>
      <c r="E1127" s="15" t="b">
        <v>0</v>
      </c>
      <c r="F1127" s="45" t="s">
        <v>12</v>
      </c>
      <c r="G1127" s="45" t="s">
        <v>962</v>
      </c>
      <c r="H1127" s="18">
        <f t="shared" si="1"/>
        <v>2243</v>
      </c>
      <c r="I1127" s="19" t="str">
        <f t="shared" si="3"/>
        <v>BONIFICO SEPADa NEXI Payments Spa TRN 055896281125NPPASU0000000000IT CIPBITMM per PV 1000001228596 ACCREDITO CIRCUITI INTERNAZ. 01092</v>
      </c>
    </row>
    <row r="1128">
      <c r="A1128" s="49">
        <v>45902.0</v>
      </c>
      <c r="B1128" s="49">
        <v>45902.0</v>
      </c>
      <c r="C1128" s="45"/>
      <c r="D1128" s="45">
        <v>1445.0</v>
      </c>
      <c r="E1128" s="15" t="b">
        <v>0</v>
      </c>
      <c r="F1128" s="45" t="s">
        <v>12</v>
      </c>
      <c r="G1128" s="45" t="s">
        <v>963</v>
      </c>
      <c r="H1128" s="18">
        <f t="shared" si="1"/>
        <v>1445</v>
      </c>
      <c r="I1128" s="19" t="str">
        <f t="shared" si="3"/>
        <v>BONIFICO SEPADa NEXI Payments Spa TRN 055896669105NPPASU0000000000IT CIPBITMM per PV 1000001228637 ACCREDITO CIRCUITI INTERNAZ. 01092</v>
      </c>
    </row>
    <row r="1129">
      <c r="A1129" s="44">
        <v>45902.0</v>
      </c>
      <c r="B1129" s="44">
        <v>45900.0</v>
      </c>
      <c r="C1129" s="45">
        <v>-8.49</v>
      </c>
      <c r="D1129" s="48"/>
      <c r="E1129" s="15" t="b">
        <v>1</v>
      </c>
      <c r="F1129" s="45" t="s">
        <v>125</v>
      </c>
      <c r="G1129" s="48"/>
      <c r="H1129" s="18">
        <f t="shared" si="1"/>
        <v>-8.49</v>
      </c>
      <c r="I1129" s="19" t="str">
        <f t="shared" si="3"/>
        <v>IMPOSTA DI BOLLO</v>
      </c>
    </row>
    <row r="1130">
      <c r="A1130" s="44">
        <v>45901.0</v>
      </c>
      <c r="B1130" s="44">
        <v>45901.0</v>
      </c>
      <c r="C1130" s="45">
        <v>-346.66</v>
      </c>
      <c r="D1130" s="48"/>
      <c r="E1130" s="15" t="b">
        <v>1</v>
      </c>
      <c r="F1130" s="45" t="s">
        <v>12</v>
      </c>
      <c r="G1130" s="45" t="s">
        <v>964</v>
      </c>
      <c r="H1130" s="18">
        <f t="shared" si="1"/>
        <v>-346.66</v>
      </c>
      <c r="I1130" s="19" t="str">
        <f t="shared" si="3"/>
        <v>BONIFICO SEPADistinta: 17567093091650SG0DEF</v>
      </c>
    </row>
    <row r="1131">
      <c r="A1131" s="49">
        <v>45901.0</v>
      </c>
      <c r="B1131" s="49">
        <v>45901.0</v>
      </c>
      <c r="C1131" s="45">
        <v>-500.0</v>
      </c>
      <c r="D1131" s="48"/>
      <c r="E1131" s="15" t="b">
        <v>1</v>
      </c>
      <c r="F1131" s="45" t="s">
        <v>12</v>
      </c>
      <c r="G1131" s="45" t="s">
        <v>965</v>
      </c>
      <c r="H1131" s="18">
        <f t="shared" si="1"/>
        <v>-500</v>
      </c>
      <c r="I1131" s="19" t="str">
        <f t="shared" si="3"/>
        <v>BONIFICO SEPADistinta: 17564813545530O35DEF</v>
      </c>
    </row>
    <row r="1132">
      <c r="A1132" s="49">
        <v>45901.0</v>
      </c>
      <c r="B1132" s="49">
        <v>45901.0</v>
      </c>
      <c r="C1132" s="48"/>
      <c r="D1132" s="45">
        <v>860.0</v>
      </c>
      <c r="E1132" s="15" t="b">
        <v>0</v>
      </c>
      <c r="F1132" s="45" t="s">
        <v>12</v>
      </c>
      <c r="G1132" s="45" t="s">
        <v>966</v>
      </c>
      <c r="H1132" s="18">
        <f t="shared" si="1"/>
        <v>860</v>
      </c>
      <c r="I1132" s="19" t="str">
        <f t="shared" si="3"/>
        <v>BONIFICO SEPADa NEXI Payments Spa TRN 055709383025NPPASU0000000000IT CIPBITMM per PV 1000001228637 ACCREDITO CIRCUITI INTERNAZ. 29082</v>
      </c>
    </row>
    <row r="1133">
      <c r="A1133" s="49">
        <v>45901.0</v>
      </c>
      <c r="B1133" s="49">
        <v>45901.0</v>
      </c>
      <c r="C1133" s="48"/>
      <c r="D1133" s="45">
        <v>1337.0</v>
      </c>
      <c r="E1133" s="15" t="b">
        <v>0</v>
      </c>
      <c r="F1133" s="45" t="s">
        <v>12</v>
      </c>
      <c r="G1133" s="45" t="s">
        <v>967</v>
      </c>
      <c r="H1133" s="18">
        <f t="shared" si="1"/>
        <v>1337</v>
      </c>
      <c r="I1133" s="19" t="str">
        <f t="shared" si="3"/>
        <v>BONIFICO SEPADa NEXI Payments Spa TRN 055709071025NPPASU0000000000IT CIPBITMM per PV 1000001228596 ACCREDITO CIRCUITI INTERNAZ. 29082</v>
      </c>
    </row>
    <row r="1134">
      <c r="A1134" s="49">
        <v>45901.0</v>
      </c>
      <c r="B1134" s="49">
        <v>45901.0</v>
      </c>
      <c r="C1134" s="54"/>
      <c r="D1134" s="45">
        <v>422.0</v>
      </c>
      <c r="E1134" s="15" t="b">
        <v>0</v>
      </c>
      <c r="F1134" s="45" t="s">
        <v>12</v>
      </c>
      <c r="G1134" s="45" t="s">
        <v>968</v>
      </c>
      <c r="H1134" s="18">
        <f t="shared" si="1"/>
        <v>422</v>
      </c>
      <c r="I1134" s="19" t="str">
        <f t="shared" si="3"/>
        <v>BONIFICO SEPADa NEXI Payments Spa TRN 055828425035NPPASU0000000000IT CIPBITMM per PV 1000001228637 ACCREDITO CIRCUITI INTERNAZ. 31082</v>
      </c>
    </row>
    <row r="1135">
      <c r="A1135" s="49">
        <v>45901.0</v>
      </c>
      <c r="B1135" s="49">
        <v>45901.0</v>
      </c>
      <c r="C1135" s="54"/>
      <c r="D1135" s="45">
        <v>466.0</v>
      </c>
      <c r="E1135" s="15" t="b">
        <v>0</v>
      </c>
      <c r="F1135" s="45" t="s">
        <v>12</v>
      </c>
      <c r="G1135" s="45" t="s">
        <v>969</v>
      </c>
      <c r="H1135" s="18">
        <f t="shared" si="1"/>
        <v>466</v>
      </c>
      <c r="I1135" s="19" t="str">
        <f t="shared" si="3"/>
        <v>BONIFICO SEPADa NEXI Payments Spa TRN 055793015055NPPASU0000000000IT CIPBITMM per PV 1000001228637 ACCREDITO CIRCUITI INTERNAZ. 30082</v>
      </c>
    </row>
    <row r="1136">
      <c r="A1136" s="49">
        <v>45901.0</v>
      </c>
      <c r="B1136" s="49">
        <v>45901.0</v>
      </c>
      <c r="C1136" s="48"/>
      <c r="D1136" s="51">
        <v>955.2</v>
      </c>
      <c r="E1136" s="15" t="b">
        <v>0</v>
      </c>
      <c r="F1136" s="45" t="s">
        <v>12</v>
      </c>
      <c r="G1136" s="45" t="s">
        <v>970</v>
      </c>
      <c r="H1136" s="18">
        <f t="shared" si="1"/>
        <v>955.2</v>
      </c>
      <c r="I1136" s="19" t="str">
        <f t="shared" si="3"/>
        <v>BONIFICO SEPADa Scalapay IP S.p.a. TRN 3601825090104503058453051287163-008 CBPSIT31XXX per 2025-08-31 - GEOS S SDRL - Scalapay IP S.p</v>
      </c>
    </row>
    <row r="1137">
      <c r="A1137" s="49">
        <v>45901.0</v>
      </c>
      <c r="B1137" s="49">
        <v>45901.0</v>
      </c>
      <c r="C1137" s="54"/>
      <c r="D1137" s="45">
        <v>395.0</v>
      </c>
      <c r="E1137" s="15" t="b">
        <v>0</v>
      </c>
      <c r="F1137" s="45" t="s">
        <v>12</v>
      </c>
      <c r="G1137" s="45" t="s">
        <v>971</v>
      </c>
      <c r="H1137" s="18">
        <f t="shared" si="1"/>
        <v>395</v>
      </c>
      <c r="I1137" s="19" t="str">
        <f t="shared" si="3"/>
        <v>BONIFICO SEPADa NEXI Payments Spa TRN 055795402005NPPASU0000000000IT CIPBITMM per PV 1000001228596 ACCREDITO BANCOMAT 300825 RIF 8818</v>
      </c>
    </row>
    <row r="1138">
      <c r="A1138" s="55">
        <v>45901.0</v>
      </c>
      <c r="B1138" s="56">
        <v>45901.0</v>
      </c>
      <c r="C1138" s="57"/>
      <c r="D1138" s="58">
        <v>1325.0</v>
      </c>
      <c r="E1138" s="59" t="b">
        <v>0</v>
      </c>
      <c r="F1138" s="58" t="s">
        <v>12</v>
      </c>
      <c r="G1138" s="58" t="s">
        <v>972</v>
      </c>
      <c r="H1138" s="60">
        <f t="shared" si="1"/>
        <v>1325</v>
      </c>
      <c r="I1138" s="61" t="str">
        <f t="shared" si="3"/>
        <v>BONIFICO SEPADa NEXI Payments Spa TRN 055795382065NPPASU0000000000IT CIPBITMM per PV 1000001228596 ACCREDITO CIRCUITI INTERNAZ. 30082</v>
      </c>
    </row>
    <row r="1139" ht="37.5" customHeight="1">
      <c r="A1139" s="62" t="s">
        <v>973</v>
      </c>
      <c r="B1139" s="63"/>
      <c r="C1139" s="64"/>
      <c r="D1139" s="65">
        <v>160457.68</v>
      </c>
      <c r="E1139" s="66"/>
      <c r="F1139" s="66"/>
      <c r="G1139" s="67"/>
      <c r="H1139" s="67"/>
      <c r="I1139" s="67"/>
    </row>
    <row r="1140">
      <c r="A1140" s="68" t="s">
        <v>974</v>
      </c>
      <c r="B1140" s="69"/>
      <c r="C1140" s="70" t="s">
        <v>975</v>
      </c>
      <c r="D1140" s="66"/>
      <c r="E1140" s="66"/>
      <c r="F1140" s="66"/>
      <c r="G1140" s="71"/>
      <c r="H1140" s="67"/>
      <c r="I1140" s="67"/>
    </row>
    <row r="1141">
      <c r="A1141" s="72" t="s">
        <v>976</v>
      </c>
      <c r="C1141" s="73" t="s">
        <v>977</v>
      </c>
      <c r="D1141" s="74"/>
      <c r="E1141" s="74"/>
      <c r="F1141" s="74"/>
      <c r="G1141" s="75"/>
      <c r="H1141" s="75"/>
      <c r="I1141" s="75"/>
    </row>
    <row r="1142">
      <c r="A1142" s="76" t="s">
        <v>978</v>
      </c>
      <c r="B1142" s="69"/>
      <c r="C1142" s="77" t="s">
        <v>979</v>
      </c>
      <c r="D1142" s="74"/>
      <c r="E1142" s="74"/>
      <c r="F1142" s="74"/>
      <c r="G1142" s="78"/>
      <c r="H1142" s="78"/>
      <c r="I1142" s="78"/>
    </row>
    <row r="1143">
      <c r="A1143" s="79" t="s">
        <v>980</v>
      </c>
      <c r="C1143" s="80"/>
      <c r="D1143" s="74"/>
      <c r="E1143" s="74"/>
      <c r="F1143" s="74"/>
      <c r="G1143" s="78"/>
      <c r="H1143" s="78"/>
      <c r="I1143" s="78"/>
    </row>
    <row r="1144">
      <c r="A1144" s="81" t="s">
        <v>981</v>
      </c>
      <c r="B1144" s="82"/>
      <c r="C1144" s="80"/>
      <c r="D1144" s="74"/>
      <c r="E1144" s="74"/>
      <c r="F1144" s="74"/>
      <c r="G1144" s="78"/>
      <c r="H1144" s="78"/>
      <c r="I1144" s="78"/>
    </row>
    <row r="1145">
      <c r="A1145" s="83" t="s">
        <v>982</v>
      </c>
      <c r="B1145" s="84"/>
      <c r="C1145" s="80"/>
      <c r="D1145" s="74"/>
      <c r="E1145" s="74"/>
      <c r="F1145" s="74"/>
      <c r="G1145" s="78"/>
      <c r="H1145" s="78"/>
      <c r="I1145" s="78"/>
    </row>
  </sheetData>
  <mergeCells count="9">
    <mergeCell ref="A1144:B1144"/>
    <mergeCell ref="A1145:B1145"/>
    <mergeCell ref="A1:B1"/>
    <mergeCell ref="F1:I1"/>
    <mergeCell ref="A1139:C1139"/>
    <mergeCell ref="A1140:B1140"/>
    <mergeCell ref="A1141:B1141"/>
    <mergeCell ref="A1142:B1142"/>
    <mergeCell ref="A1143:B1143"/>
  </mergeCells>
  <conditionalFormatting sqref="A3:D654 E3:I1138 A665:D1138">
    <cfRule type="expression" dxfId="0" priority="1">
      <formula>$E3=TRUE</formula>
    </cfRule>
  </conditionalFormatting>
  <conditionalFormatting sqref="C1:D654 C665:D1139">
    <cfRule type="cellIs" dxfId="1" priority="2" operator="less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13.13"/>
  </cols>
  <sheetData>
    <row r="2">
      <c r="A2" s="39">
        <v>46119.0</v>
      </c>
      <c r="B2" s="39">
        <v>46119.0</v>
      </c>
      <c r="C2" s="35"/>
      <c r="D2" s="37">
        <v>100.0</v>
      </c>
      <c r="E2" s="37">
        <v>48.0</v>
      </c>
      <c r="F2" s="35" t="s">
        <v>983</v>
      </c>
      <c r="G2" s="35" t="s">
        <v>12</v>
      </c>
      <c r="H2" s="85"/>
      <c r="I2" s="85"/>
    </row>
    <row r="3">
      <c r="A3" s="39">
        <v>46119.0</v>
      </c>
      <c r="B3" s="39">
        <v>46119.0</v>
      </c>
      <c r="C3" s="35"/>
      <c r="D3" s="37">
        <v>140.0</v>
      </c>
      <c r="E3" s="37">
        <v>48.0</v>
      </c>
      <c r="F3" s="35" t="s">
        <v>984</v>
      </c>
      <c r="G3" s="35" t="s">
        <v>12</v>
      </c>
      <c r="H3" s="85"/>
      <c r="I3" s="85"/>
    </row>
    <row r="4">
      <c r="A4" s="39">
        <v>46119.0</v>
      </c>
      <c r="B4" s="39">
        <v>46119.0</v>
      </c>
      <c r="C4" s="37">
        <v>-76.55</v>
      </c>
      <c r="D4" s="35"/>
      <c r="E4" s="35" t="s">
        <v>985</v>
      </c>
      <c r="F4" s="35" t="s">
        <v>102</v>
      </c>
      <c r="G4" s="35" t="s">
        <v>112</v>
      </c>
      <c r="H4" s="85"/>
      <c r="I4" s="85"/>
      <c r="J4" s="85"/>
    </row>
    <row r="5">
      <c r="A5" s="39">
        <v>46119.0</v>
      </c>
      <c r="B5" s="39">
        <v>46119.0</v>
      </c>
      <c r="C5" s="37">
        <v>-21.58</v>
      </c>
      <c r="D5" s="35"/>
      <c r="E5" s="35" t="s">
        <v>985</v>
      </c>
      <c r="F5" s="35" t="s">
        <v>103</v>
      </c>
      <c r="G5" s="35" t="s">
        <v>112</v>
      </c>
      <c r="H5" s="85"/>
      <c r="I5" s="85"/>
      <c r="J5" s="85"/>
    </row>
    <row r="6">
      <c r="A6" s="39">
        <v>46115.0</v>
      </c>
      <c r="B6" s="39">
        <v>46112.0</v>
      </c>
      <c r="C6" s="37">
        <v>-10.0</v>
      </c>
      <c r="D6" s="35"/>
      <c r="E6" s="37">
        <v>1606.0</v>
      </c>
      <c r="F6" s="35" t="s">
        <v>986</v>
      </c>
      <c r="G6" s="35" t="s">
        <v>108</v>
      </c>
      <c r="H6" s="85"/>
      <c r="I6" s="85"/>
      <c r="J6" s="85"/>
    </row>
    <row r="7">
      <c r="A7" s="39">
        <v>46115.0</v>
      </c>
      <c r="B7" s="39">
        <v>46112.0</v>
      </c>
      <c r="C7" s="37">
        <v>-5.0</v>
      </c>
      <c r="D7" s="35"/>
      <c r="E7" s="37">
        <v>516.0</v>
      </c>
      <c r="F7" s="35" t="s">
        <v>987</v>
      </c>
      <c r="G7" s="35" t="s">
        <v>110</v>
      </c>
      <c r="H7" s="85"/>
      <c r="I7" s="85"/>
    </row>
    <row r="8">
      <c r="A8" s="39">
        <v>46114.0</v>
      </c>
      <c r="B8" s="39">
        <v>46114.0</v>
      </c>
      <c r="C8" s="37">
        <v>-5960.0</v>
      </c>
      <c r="D8" s="35"/>
      <c r="E8" s="37">
        <v>26.0</v>
      </c>
      <c r="F8" s="35" t="s">
        <v>988</v>
      </c>
      <c r="G8" s="35" t="s">
        <v>12</v>
      </c>
      <c r="H8" s="85"/>
      <c r="I8" s="85"/>
      <c r="J8" s="85"/>
    </row>
    <row r="9">
      <c r="A9" s="39">
        <v>46114.0</v>
      </c>
      <c r="B9" s="39">
        <v>46114.0</v>
      </c>
      <c r="C9" s="37">
        <v>-6593.07</v>
      </c>
      <c r="D9" s="35"/>
      <c r="E9" s="37">
        <v>26.0</v>
      </c>
      <c r="F9" s="35" t="s">
        <v>989</v>
      </c>
      <c r="G9" s="35" t="s">
        <v>12</v>
      </c>
      <c r="H9" s="85"/>
      <c r="I9" s="85"/>
      <c r="J9" s="85"/>
    </row>
    <row r="10">
      <c r="A10" s="39">
        <v>46114.0</v>
      </c>
      <c r="B10" s="39">
        <v>46114.0</v>
      </c>
      <c r="C10" s="37">
        <v>-4898.81</v>
      </c>
      <c r="D10" s="35"/>
      <c r="E10" s="37">
        <v>26.0</v>
      </c>
      <c r="F10" s="35" t="s">
        <v>990</v>
      </c>
      <c r="G10" s="35" t="s">
        <v>12</v>
      </c>
      <c r="H10" s="85"/>
      <c r="I10" s="85"/>
      <c r="J10" s="85"/>
    </row>
    <row r="11">
      <c r="A11" s="39">
        <v>46114.0</v>
      </c>
      <c r="B11" s="39">
        <v>46114.0</v>
      </c>
      <c r="C11" s="37">
        <v>-7856.8</v>
      </c>
      <c r="D11" s="35"/>
      <c r="E11" s="37">
        <v>26.0</v>
      </c>
      <c r="F11" s="35" t="s">
        <v>991</v>
      </c>
      <c r="G11" s="35" t="s">
        <v>12</v>
      </c>
      <c r="H11" s="85"/>
      <c r="I11" s="85"/>
      <c r="J11" s="85"/>
    </row>
    <row r="12">
      <c r="A12" s="39">
        <v>46114.0</v>
      </c>
      <c r="B12" s="39">
        <v>46114.0</v>
      </c>
      <c r="C12" s="37">
        <v>-250.0</v>
      </c>
      <c r="D12" s="35"/>
      <c r="E12" s="37">
        <v>26.0</v>
      </c>
      <c r="F12" s="35" t="s">
        <v>992</v>
      </c>
      <c r="G12" s="35" t="s">
        <v>12</v>
      </c>
      <c r="H12" s="85"/>
      <c r="I12" s="85"/>
      <c r="J12" s="85"/>
    </row>
    <row r="13">
      <c r="A13" s="39">
        <v>46114.0</v>
      </c>
      <c r="B13" s="39">
        <v>46114.0</v>
      </c>
      <c r="C13" s="37">
        <v>-5590.0</v>
      </c>
      <c r="D13" s="35"/>
      <c r="E13" s="37">
        <v>26.0</v>
      </c>
      <c r="F13" s="35" t="s">
        <v>993</v>
      </c>
      <c r="G13" s="35" t="s">
        <v>12</v>
      </c>
      <c r="H13" s="85"/>
      <c r="I13" s="85"/>
      <c r="J13" s="85"/>
    </row>
    <row r="14">
      <c r="A14" s="39">
        <v>46114.0</v>
      </c>
      <c r="B14" s="39">
        <v>46114.0</v>
      </c>
      <c r="C14" s="35"/>
      <c r="D14" s="37">
        <v>100.0</v>
      </c>
      <c r="E14" s="37">
        <v>48.0</v>
      </c>
      <c r="F14" s="35" t="s">
        <v>994</v>
      </c>
      <c r="G14" s="35" t="s">
        <v>12</v>
      </c>
      <c r="H14" s="85"/>
      <c r="I14" s="85"/>
      <c r="J14" s="85"/>
    </row>
    <row r="15">
      <c r="A15" s="39">
        <v>46114.0</v>
      </c>
      <c r="B15" s="39">
        <v>46114.0</v>
      </c>
      <c r="C15" s="35"/>
      <c r="D15" s="37">
        <v>139.0</v>
      </c>
      <c r="E15" s="37">
        <v>48.0</v>
      </c>
      <c r="F15" s="35" t="s">
        <v>995</v>
      </c>
      <c r="G15" s="35" t="s">
        <v>12</v>
      </c>
      <c r="H15" s="85"/>
      <c r="I15" s="85"/>
      <c r="J15" s="85"/>
    </row>
    <row r="16">
      <c r="A16" s="39">
        <v>46114.0</v>
      </c>
      <c r="B16" s="39">
        <v>46112.0</v>
      </c>
      <c r="C16" s="37">
        <v>-8.49</v>
      </c>
      <c r="D16" s="35"/>
      <c r="E16" s="37">
        <v>19.0</v>
      </c>
      <c r="F16" s="35"/>
      <c r="G16" s="35" t="s">
        <v>125</v>
      </c>
      <c r="H16" s="85"/>
      <c r="I16" s="85"/>
    </row>
    <row r="17">
      <c r="A17" s="39">
        <v>46113.0</v>
      </c>
      <c r="B17" s="39">
        <v>46113.0</v>
      </c>
      <c r="C17" s="37">
        <v>-4000.0</v>
      </c>
      <c r="D17" s="35"/>
      <c r="E17" s="37">
        <v>26.0</v>
      </c>
      <c r="F17" s="35" t="s">
        <v>996</v>
      </c>
      <c r="G17" s="35" t="s">
        <v>12</v>
      </c>
      <c r="H17" s="85"/>
      <c r="I17" s="85"/>
    </row>
    <row r="18">
      <c r="A18" s="39">
        <v>46113.0</v>
      </c>
      <c r="B18" s="39">
        <v>46113.0</v>
      </c>
      <c r="C18" s="37">
        <v>-18765.0</v>
      </c>
      <c r="D18" s="35"/>
      <c r="E18" s="37">
        <v>26.0</v>
      </c>
      <c r="F18" s="35" t="s">
        <v>997</v>
      </c>
      <c r="G18" s="35" t="s">
        <v>12</v>
      </c>
      <c r="H18" s="85"/>
      <c r="I18" s="85"/>
    </row>
    <row r="19">
      <c r="A19" s="39">
        <v>46113.0</v>
      </c>
      <c r="B19" s="39">
        <v>46113.0</v>
      </c>
      <c r="C19" s="37">
        <v>-3340.0</v>
      </c>
      <c r="D19" s="35"/>
      <c r="E19" s="37">
        <v>26.0</v>
      </c>
      <c r="F19" s="35" t="s">
        <v>998</v>
      </c>
      <c r="G19" s="35" t="s">
        <v>12</v>
      </c>
      <c r="H19" s="85"/>
      <c r="I19" s="85"/>
    </row>
    <row r="20">
      <c r="A20" s="39">
        <v>46113.0</v>
      </c>
      <c r="B20" s="39">
        <v>46113.0</v>
      </c>
      <c r="C20" s="37">
        <v>-465.92</v>
      </c>
      <c r="D20" s="35"/>
      <c r="E20" s="37">
        <v>26.0</v>
      </c>
      <c r="F20" s="35" t="s">
        <v>999</v>
      </c>
      <c r="G20" s="35" t="s">
        <v>12</v>
      </c>
      <c r="H20" s="85"/>
      <c r="I20" s="85"/>
    </row>
    <row r="21">
      <c r="A21" s="39">
        <v>46113.0</v>
      </c>
      <c r="B21" s="39">
        <v>46113.0</v>
      </c>
      <c r="C21" s="37">
        <v>-180.0</v>
      </c>
      <c r="D21" s="35"/>
      <c r="E21" s="37">
        <v>26.0</v>
      </c>
      <c r="F21" s="35" t="s">
        <v>1000</v>
      </c>
      <c r="G21" s="35" t="s">
        <v>12</v>
      </c>
      <c r="H21" s="85"/>
      <c r="I21" s="85"/>
    </row>
    <row r="22">
      <c r="A22" s="39">
        <v>46113.0</v>
      </c>
      <c r="B22" s="39">
        <v>46113.0</v>
      </c>
      <c r="C22" s="37">
        <v>-2500.0</v>
      </c>
      <c r="D22" s="35"/>
      <c r="E22" s="37">
        <v>26.0</v>
      </c>
      <c r="F22" s="35" t="s">
        <v>1001</v>
      </c>
      <c r="G22" s="35" t="s">
        <v>12</v>
      </c>
      <c r="H22" s="85"/>
      <c r="I22" s="85"/>
    </row>
    <row r="23">
      <c r="A23" s="39">
        <v>46113.0</v>
      </c>
      <c r="B23" s="39">
        <v>46113.0</v>
      </c>
      <c r="C23" s="37">
        <v>-3565.0</v>
      </c>
      <c r="D23" s="35"/>
      <c r="E23" s="37">
        <v>26.0</v>
      </c>
      <c r="F23" s="35" t="s">
        <v>1002</v>
      </c>
      <c r="G23" s="35" t="s">
        <v>12</v>
      </c>
      <c r="H23" s="85"/>
      <c r="I23" s="85"/>
    </row>
    <row r="24">
      <c r="A24" s="39">
        <v>46113.0</v>
      </c>
      <c r="B24" s="39">
        <v>46113.0</v>
      </c>
      <c r="C24" s="35"/>
      <c r="D24" s="37">
        <v>75.0</v>
      </c>
      <c r="E24" s="37">
        <v>48.0</v>
      </c>
      <c r="F24" s="35" t="s">
        <v>1003</v>
      </c>
      <c r="G24" s="35" t="s">
        <v>12</v>
      </c>
      <c r="H24" s="85"/>
      <c r="I24" s="85"/>
    </row>
    <row r="25">
      <c r="A25" s="39">
        <v>46113.0</v>
      </c>
      <c r="B25" s="39">
        <v>46113.0</v>
      </c>
      <c r="C25" s="35"/>
      <c r="D25" s="37">
        <v>40.0</v>
      </c>
      <c r="E25" s="37">
        <v>48.0</v>
      </c>
      <c r="F25" s="35" t="s">
        <v>1004</v>
      </c>
      <c r="G25" s="35" t="s">
        <v>12</v>
      </c>
      <c r="H25" s="85"/>
      <c r="I25" s="85"/>
    </row>
    <row r="26">
      <c r="A26" s="39">
        <v>46112.0</v>
      </c>
      <c r="B26" s="39">
        <v>46112.0</v>
      </c>
      <c r="C26" s="35"/>
      <c r="D26" s="37">
        <v>140.0</v>
      </c>
      <c r="E26" s="37">
        <v>48.0</v>
      </c>
      <c r="F26" s="35" t="s">
        <v>1005</v>
      </c>
      <c r="G26" s="35" t="s">
        <v>12</v>
      </c>
      <c r="H26" s="85"/>
      <c r="I26" s="85"/>
    </row>
    <row r="27">
      <c r="A27" s="39">
        <v>46112.0</v>
      </c>
      <c r="B27" s="39">
        <v>46112.0</v>
      </c>
      <c r="C27" s="35"/>
      <c r="D27" s="37">
        <v>368.0</v>
      </c>
      <c r="E27" s="37">
        <v>48.0</v>
      </c>
      <c r="F27" s="35" t="s">
        <v>1006</v>
      </c>
      <c r="G27" s="35" t="s">
        <v>12</v>
      </c>
      <c r="H27" s="85"/>
      <c r="I27" s="85"/>
    </row>
    <row r="28">
      <c r="A28" s="39">
        <v>46112.0</v>
      </c>
      <c r="B28" s="39">
        <v>46112.0</v>
      </c>
      <c r="C28" s="35"/>
      <c r="D28" s="37">
        <v>241.0</v>
      </c>
      <c r="E28" s="37">
        <v>48.0</v>
      </c>
      <c r="F28" s="35" t="s">
        <v>1007</v>
      </c>
      <c r="G28" s="35" t="s">
        <v>12</v>
      </c>
      <c r="H28" s="85"/>
      <c r="I28" s="85"/>
    </row>
    <row r="29">
      <c r="A29" s="39">
        <v>46112.0</v>
      </c>
      <c r="B29" s="39">
        <v>46112.0</v>
      </c>
      <c r="C29" s="85"/>
      <c r="D29" s="86">
        <v>679.36</v>
      </c>
      <c r="E29" s="86">
        <v>48.0</v>
      </c>
      <c r="F29" s="85" t="s">
        <v>1008</v>
      </c>
      <c r="G29" s="85" t="s">
        <v>12</v>
      </c>
      <c r="H29" s="85"/>
    </row>
    <row r="30">
      <c r="A30" s="39">
        <v>46111.0</v>
      </c>
      <c r="B30" s="39">
        <v>46111.0</v>
      </c>
      <c r="C30" s="85"/>
      <c r="D30" s="86">
        <v>196.0</v>
      </c>
      <c r="E30" s="86">
        <v>48.0</v>
      </c>
      <c r="F30" s="85" t="s">
        <v>1009</v>
      </c>
      <c r="G30" s="85" t="s">
        <v>12</v>
      </c>
      <c r="H30" s="85"/>
    </row>
    <row r="31">
      <c r="A31" s="39">
        <v>46111.0</v>
      </c>
      <c r="B31" s="39">
        <v>46111.0</v>
      </c>
      <c r="C31" s="85"/>
      <c r="D31" s="86">
        <v>75.0</v>
      </c>
      <c r="E31" s="86">
        <v>48.0</v>
      </c>
      <c r="F31" s="85" t="s">
        <v>1010</v>
      </c>
      <c r="G31" s="85" t="s">
        <v>12</v>
      </c>
      <c r="H31" s="85"/>
    </row>
    <row r="32">
      <c r="A32" s="39">
        <v>46111.0</v>
      </c>
      <c r="B32" s="39">
        <v>46111.0</v>
      </c>
      <c r="C32" s="85"/>
      <c r="D32" s="86">
        <v>165.0</v>
      </c>
      <c r="E32" s="86">
        <v>48.0</v>
      </c>
      <c r="F32" s="85" t="s">
        <v>1011</v>
      </c>
      <c r="G32" s="85" t="s">
        <v>12</v>
      </c>
      <c r="H32" s="85"/>
    </row>
    <row r="33">
      <c r="A33" s="39">
        <v>46111.0</v>
      </c>
      <c r="B33" s="39">
        <v>46111.0</v>
      </c>
      <c r="C33" s="85"/>
      <c r="D33" s="86">
        <v>300.0</v>
      </c>
      <c r="E33" s="86">
        <v>48.0</v>
      </c>
      <c r="F33" s="85" t="s">
        <v>1012</v>
      </c>
      <c r="G33" s="85" t="s">
        <v>12</v>
      </c>
      <c r="H33" s="85"/>
    </row>
    <row r="34">
      <c r="A34" s="87"/>
      <c r="B34" s="87"/>
    </row>
    <row r="35">
      <c r="A35" s="87"/>
      <c r="B35" s="87"/>
    </row>
    <row r="36">
      <c r="A36" s="87"/>
      <c r="B36" s="87"/>
    </row>
    <row r="37">
      <c r="A37" s="87"/>
      <c r="B37" s="87"/>
    </row>
    <row r="38">
      <c r="A38" s="87"/>
      <c r="B38" s="87"/>
    </row>
    <row r="39">
      <c r="A39" s="87"/>
      <c r="B39" s="87"/>
    </row>
    <row r="40">
      <c r="A40" s="87"/>
      <c r="B40" s="87"/>
    </row>
    <row r="41">
      <c r="A41" s="87"/>
      <c r="B41" s="87"/>
    </row>
    <row r="42">
      <c r="A42" s="87"/>
      <c r="B42" s="87"/>
    </row>
    <row r="43">
      <c r="A43" s="88"/>
      <c r="B43" s="88"/>
    </row>
    <row r="44">
      <c r="A44" s="88"/>
      <c r="B44" s="88"/>
    </row>
    <row r="45">
      <c r="A45" s="88"/>
      <c r="B45" s="88"/>
    </row>
    <row r="46">
      <c r="A46" s="88"/>
      <c r="B46" s="88"/>
    </row>
    <row r="47">
      <c r="A47" s="88"/>
      <c r="B47" s="88"/>
    </row>
    <row r="48">
      <c r="A48" s="88"/>
      <c r="B48" s="88"/>
    </row>
    <row r="49">
      <c r="A49" s="88"/>
      <c r="B49" s="88"/>
    </row>
    <row r="50">
      <c r="A50" s="88"/>
      <c r="B50" s="88"/>
    </row>
    <row r="51">
      <c r="A51" s="88"/>
      <c r="B51" s="88"/>
    </row>
    <row r="52">
      <c r="A52" s="88"/>
      <c r="B52" s="88"/>
    </row>
    <row r="53">
      <c r="A53" s="88"/>
      <c r="B53" s="88"/>
    </row>
    <row r="54">
      <c r="A54" s="88"/>
      <c r="B54" s="88"/>
    </row>
    <row r="55">
      <c r="A55" s="88"/>
      <c r="B55" s="88"/>
    </row>
    <row r="56">
      <c r="A56" s="88"/>
      <c r="B56" s="88"/>
    </row>
    <row r="57">
      <c r="A57" s="88"/>
      <c r="B57" s="88"/>
    </row>
    <row r="58">
      <c r="A58" s="88"/>
      <c r="B58" s="88"/>
    </row>
    <row r="59">
      <c r="A59" s="88"/>
      <c r="B59" s="88"/>
    </row>
    <row r="60">
      <c r="A60" s="88"/>
      <c r="B60" s="88"/>
    </row>
    <row r="61">
      <c r="A61" s="88"/>
      <c r="B61" s="88"/>
    </row>
    <row r="62">
      <c r="A62" s="88"/>
      <c r="B62" s="88"/>
    </row>
    <row r="63">
      <c r="A63" s="88"/>
      <c r="B63" s="88"/>
    </row>
    <row r="64">
      <c r="A64" s="88"/>
      <c r="B64" s="88"/>
    </row>
    <row r="65">
      <c r="A65" s="88"/>
      <c r="B65" s="88"/>
    </row>
    <row r="66">
      <c r="A66" s="88"/>
      <c r="B66" s="88"/>
    </row>
    <row r="67">
      <c r="A67" s="88"/>
      <c r="B67" s="88"/>
    </row>
    <row r="68">
      <c r="A68" s="88"/>
      <c r="B68" s="88"/>
    </row>
    <row r="69">
      <c r="A69" s="88"/>
      <c r="B69" s="8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2.63"/>
    <col customWidth="1" min="6" max="6" width="44.0"/>
    <col customWidth="1" min="7" max="7" width="34.38"/>
  </cols>
  <sheetData>
    <row r="1">
      <c r="A1" s="89" t="s">
        <v>1013</v>
      </c>
      <c r="B1" s="90" t="s">
        <v>1014</v>
      </c>
      <c r="C1" s="90" t="s">
        <v>1015</v>
      </c>
      <c r="D1" s="91" t="s">
        <v>1016</v>
      </c>
      <c r="E1" s="92" t="s">
        <v>1017</v>
      </c>
      <c r="F1" s="93" t="s">
        <v>1018</v>
      </c>
      <c r="G1" s="93" t="s">
        <v>1019</v>
      </c>
    </row>
    <row r="2">
      <c r="A2" s="94">
        <v>45901.0</v>
      </c>
      <c r="B2" s="95">
        <v>-346.66</v>
      </c>
      <c r="C2" s="96"/>
      <c r="D2" s="95">
        <v>1.0</v>
      </c>
      <c r="E2" s="97" t="s">
        <v>12</v>
      </c>
      <c r="F2" s="97" t="s">
        <v>964</v>
      </c>
      <c r="G2" s="97" t="s">
        <v>964</v>
      </c>
    </row>
    <row r="3">
      <c r="A3" s="94">
        <v>45901.0</v>
      </c>
      <c r="B3" s="95">
        <v>-500.0</v>
      </c>
      <c r="C3" s="96"/>
      <c r="D3" s="95">
        <v>1.0</v>
      </c>
      <c r="E3" s="97" t="s">
        <v>12</v>
      </c>
      <c r="F3" s="97" t="s">
        <v>965</v>
      </c>
      <c r="G3" s="97" t="s">
        <v>965</v>
      </c>
    </row>
    <row r="4">
      <c r="A4" s="94">
        <v>45901.0</v>
      </c>
      <c r="B4" s="96"/>
      <c r="C4" s="95">
        <v>860.0</v>
      </c>
      <c r="D4" s="95">
        <v>1.0</v>
      </c>
      <c r="E4" s="97" t="s">
        <v>12</v>
      </c>
      <c r="F4" s="97" t="s">
        <v>966</v>
      </c>
      <c r="G4" s="97" t="s">
        <v>966</v>
      </c>
    </row>
    <row r="5">
      <c r="A5" s="94">
        <v>45901.0</v>
      </c>
      <c r="B5" s="96"/>
      <c r="C5" s="95">
        <v>1337.0</v>
      </c>
      <c r="D5" s="95">
        <v>1.0</v>
      </c>
      <c r="E5" s="97" t="s">
        <v>12</v>
      </c>
      <c r="F5" s="97" t="s">
        <v>967</v>
      </c>
      <c r="G5" s="97" t="s">
        <v>967</v>
      </c>
    </row>
    <row r="6">
      <c r="A6" s="94">
        <v>45901.0</v>
      </c>
      <c r="B6" s="96"/>
      <c r="C6" s="95">
        <v>422.0</v>
      </c>
      <c r="D6" s="95">
        <v>1.0</v>
      </c>
      <c r="E6" s="97" t="s">
        <v>12</v>
      </c>
      <c r="F6" s="97" t="s">
        <v>968</v>
      </c>
      <c r="G6" s="97" t="s">
        <v>968</v>
      </c>
    </row>
    <row r="7">
      <c r="A7" s="94">
        <v>45901.0</v>
      </c>
      <c r="B7" s="96"/>
      <c r="C7" s="95">
        <v>466.0</v>
      </c>
      <c r="D7" s="95">
        <v>1.0</v>
      </c>
      <c r="E7" s="97" t="s">
        <v>12</v>
      </c>
      <c r="F7" s="97" t="s">
        <v>969</v>
      </c>
      <c r="G7" s="97" t="s">
        <v>969</v>
      </c>
    </row>
    <row r="8">
      <c r="A8" s="94">
        <v>45901.0</v>
      </c>
      <c r="B8" s="96"/>
      <c r="C8" s="95">
        <v>955.2</v>
      </c>
      <c r="D8" s="95">
        <v>1.0</v>
      </c>
      <c r="E8" s="97" t="s">
        <v>12</v>
      </c>
      <c r="F8" s="97" t="s">
        <v>970</v>
      </c>
      <c r="G8" s="97" t="s">
        <v>970</v>
      </c>
    </row>
    <row r="9">
      <c r="A9" s="94">
        <v>45901.0</v>
      </c>
      <c r="B9" s="96"/>
      <c r="C9" s="95">
        <v>395.0</v>
      </c>
      <c r="D9" s="95">
        <v>1.0</v>
      </c>
      <c r="E9" s="97" t="s">
        <v>12</v>
      </c>
      <c r="F9" s="97" t="s">
        <v>971</v>
      </c>
      <c r="G9" s="97" t="s">
        <v>971</v>
      </c>
    </row>
    <row r="10">
      <c r="A10" s="94">
        <v>45901.0</v>
      </c>
      <c r="B10" s="96"/>
      <c r="C10" s="95">
        <v>1325.0</v>
      </c>
      <c r="D10" s="95">
        <v>1.0</v>
      </c>
      <c r="E10" s="97" t="s">
        <v>12</v>
      </c>
      <c r="F10" s="97" t="s">
        <v>972</v>
      </c>
      <c r="G10" s="97" t="s">
        <v>972</v>
      </c>
    </row>
    <row r="11">
      <c r="A11" s="94">
        <v>45902.0</v>
      </c>
      <c r="B11" s="95">
        <v>-2283.0</v>
      </c>
      <c r="C11" s="96"/>
      <c r="D11" s="95">
        <v>1.0</v>
      </c>
      <c r="E11" s="97" t="s">
        <v>12</v>
      </c>
      <c r="F11" s="97" t="s">
        <v>961</v>
      </c>
      <c r="G11" s="97" t="s">
        <v>961</v>
      </c>
    </row>
    <row r="12">
      <c r="A12" s="94">
        <v>45902.0</v>
      </c>
      <c r="B12" s="96"/>
      <c r="C12" s="95">
        <v>2243.0</v>
      </c>
      <c r="D12" s="95">
        <v>1.0</v>
      </c>
      <c r="E12" s="97" t="s">
        <v>12</v>
      </c>
      <c r="F12" s="97" t="s">
        <v>962</v>
      </c>
      <c r="G12" s="97" t="s">
        <v>962</v>
      </c>
    </row>
    <row r="13">
      <c r="A13" s="94">
        <v>45902.0</v>
      </c>
      <c r="B13" s="96"/>
      <c r="C13" s="95">
        <v>1445.0</v>
      </c>
      <c r="D13" s="95">
        <v>1.0</v>
      </c>
      <c r="E13" s="97" t="s">
        <v>12</v>
      </c>
      <c r="F13" s="97" t="s">
        <v>963</v>
      </c>
      <c r="G13" s="97" t="s">
        <v>963</v>
      </c>
    </row>
    <row r="14">
      <c r="A14" s="94">
        <v>45902.0</v>
      </c>
      <c r="B14" s="95">
        <v>-8.49</v>
      </c>
      <c r="C14" s="96"/>
      <c r="D14" s="96"/>
      <c r="E14" s="97" t="s">
        <v>125</v>
      </c>
      <c r="F14" s="93"/>
      <c r="G14" s="93"/>
    </row>
    <row r="15">
      <c r="A15" s="94">
        <v>45903.0</v>
      </c>
      <c r="B15" s="95">
        <v>-2500.0</v>
      </c>
      <c r="C15" s="96"/>
      <c r="D15" s="95">
        <v>1.0</v>
      </c>
      <c r="E15" s="97" t="s">
        <v>12</v>
      </c>
      <c r="F15" s="97" t="s">
        <v>946</v>
      </c>
      <c r="G15" s="97" t="s">
        <v>946</v>
      </c>
    </row>
    <row r="16">
      <c r="A16" s="94">
        <v>45903.0</v>
      </c>
      <c r="B16" s="96"/>
      <c r="C16" s="95">
        <v>382.8</v>
      </c>
      <c r="D16" s="95">
        <v>1.0</v>
      </c>
      <c r="E16" s="97" t="s">
        <v>12</v>
      </c>
      <c r="F16" s="97" t="s">
        <v>955</v>
      </c>
      <c r="G16" s="97" t="s">
        <v>955</v>
      </c>
    </row>
    <row r="17">
      <c r="A17" s="94">
        <v>45903.0</v>
      </c>
      <c r="B17" s="96"/>
      <c r="C17" s="95">
        <v>1325.0</v>
      </c>
      <c r="D17" s="95">
        <v>1.0</v>
      </c>
      <c r="E17" s="97" t="s">
        <v>12</v>
      </c>
      <c r="F17" s="97" t="s">
        <v>956</v>
      </c>
      <c r="G17" s="97" t="s">
        <v>956</v>
      </c>
    </row>
    <row r="18">
      <c r="A18" s="94">
        <v>45903.0</v>
      </c>
      <c r="B18" s="96"/>
      <c r="C18" s="95">
        <v>885.0</v>
      </c>
      <c r="D18" s="95">
        <v>1.0</v>
      </c>
      <c r="E18" s="97" t="s">
        <v>12</v>
      </c>
      <c r="F18" s="97" t="s">
        <v>957</v>
      </c>
      <c r="G18" s="97" t="s">
        <v>957</v>
      </c>
    </row>
    <row r="19">
      <c r="A19" s="94">
        <v>45903.0</v>
      </c>
      <c r="B19" s="96"/>
      <c r="C19" s="95">
        <v>3326.5</v>
      </c>
      <c r="D19" s="95">
        <v>1.0</v>
      </c>
      <c r="E19" s="97" t="s">
        <v>12</v>
      </c>
      <c r="F19" s="97" t="s">
        <v>958</v>
      </c>
      <c r="G19" s="97" t="s">
        <v>958</v>
      </c>
    </row>
    <row r="20">
      <c r="A20" s="94">
        <v>45903.0</v>
      </c>
      <c r="B20" s="95">
        <v>-10.0</v>
      </c>
      <c r="C20" s="96"/>
      <c r="D20" s="96"/>
      <c r="E20" s="97" t="s">
        <v>108</v>
      </c>
      <c r="F20" s="97" t="s">
        <v>959</v>
      </c>
      <c r="G20" s="97" t="s">
        <v>959</v>
      </c>
    </row>
    <row r="21">
      <c r="A21" s="94">
        <v>45903.0</v>
      </c>
      <c r="B21" s="95">
        <v>-5.0</v>
      </c>
      <c r="C21" s="96"/>
      <c r="D21" s="95">
        <v>7.0</v>
      </c>
      <c r="E21" s="97" t="s">
        <v>110</v>
      </c>
      <c r="F21" s="97" t="s">
        <v>960</v>
      </c>
      <c r="G21" s="97" t="s">
        <v>960</v>
      </c>
    </row>
    <row r="22">
      <c r="A22" s="94">
        <v>45903.0</v>
      </c>
      <c r="B22" s="95">
        <v>-64.84</v>
      </c>
      <c r="C22" s="96"/>
      <c r="D22" s="95">
        <v>8.0</v>
      </c>
      <c r="E22" s="97" t="s">
        <v>112</v>
      </c>
      <c r="F22" s="97" t="s">
        <v>103</v>
      </c>
      <c r="G22" s="97" t="s">
        <v>103</v>
      </c>
    </row>
    <row r="23">
      <c r="A23" s="94">
        <v>45903.0</v>
      </c>
      <c r="B23" s="95">
        <v>-41.09</v>
      </c>
      <c r="C23" s="96"/>
      <c r="D23" s="95">
        <v>8.0</v>
      </c>
      <c r="E23" s="97" t="s">
        <v>112</v>
      </c>
      <c r="F23" s="97" t="s">
        <v>102</v>
      </c>
      <c r="G23" s="97" t="s">
        <v>102</v>
      </c>
    </row>
    <row r="24">
      <c r="A24" s="94">
        <v>45904.0</v>
      </c>
      <c r="B24" s="96"/>
      <c r="C24" s="95">
        <v>1371.85</v>
      </c>
      <c r="D24" s="95">
        <v>1.0</v>
      </c>
      <c r="E24" s="97" t="s">
        <v>12</v>
      </c>
      <c r="F24" s="97" t="s">
        <v>951</v>
      </c>
      <c r="G24" s="97" t="s">
        <v>951</v>
      </c>
    </row>
    <row r="25">
      <c r="A25" s="94">
        <v>45904.0</v>
      </c>
      <c r="B25" s="96"/>
      <c r="C25" s="95">
        <v>2165.0</v>
      </c>
      <c r="D25" s="95">
        <v>1.0</v>
      </c>
      <c r="E25" s="97" t="s">
        <v>12</v>
      </c>
      <c r="F25" s="97" t="s">
        <v>952</v>
      </c>
      <c r="G25" s="97" t="s">
        <v>952</v>
      </c>
    </row>
    <row r="26">
      <c r="A26" s="94">
        <v>45904.0</v>
      </c>
      <c r="B26" s="96"/>
      <c r="C26" s="95">
        <v>1770.0</v>
      </c>
      <c r="D26" s="95">
        <v>1.0</v>
      </c>
      <c r="E26" s="97" t="s">
        <v>12</v>
      </c>
      <c r="F26" s="97" t="s">
        <v>953</v>
      </c>
      <c r="G26" s="97" t="s">
        <v>953</v>
      </c>
    </row>
    <row r="27">
      <c r="A27" s="94">
        <v>45904.0</v>
      </c>
      <c r="B27" s="96"/>
      <c r="C27" s="95">
        <v>311.1</v>
      </c>
      <c r="D27" s="95">
        <v>1.0</v>
      </c>
      <c r="E27" s="97" t="s">
        <v>28</v>
      </c>
      <c r="F27" s="97" t="s">
        <v>954</v>
      </c>
      <c r="G27" s="97" t="s">
        <v>954</v>
      </c>
    </row>
    <row r="28">
      <c r="A28" s="94">
        <v>45904.0</v>
      </c>
      <c r="B28" s="95">
        <v>-0.4</v>
      </c>
      <c r="C28" s="96"/>
      <c r="D28" s="95">
        <v>5.0</v>
      </c>
      <c r="E28" s="97" t="s">
        <v>101</v>
      </c>
      <c r="F28" s="97" t="s">
        <v>102</v>
      </c>
      <c r="G28" s="97" t="s">
        <v>102</v>
      </c>
    </row>
    <row r="29">
      <c r="A29" s="94">
        <v>45904.0</v>
      </c>
      <c r="B29" s="95">
        <v>-0.4</v>
      </c>
      <c r="C29" s="96"/>
      <c r="D29" s="95">
        <v>5.0</v>
      </c>
      <c r="E29" s="97" t="s">
        <v>101</v>
      </c>
      <c r="F29" s="97" t="s">
        <v>103</v>
      </c>
      <c r="G29" s="97" t="s">
        <v>103</v>
      </c>
    </row>
    <row r="30">
      <c r="A30" s="94">
        <v>45905.0</v>
      </c>
      <c r="B30" s="95">
        <v>-10091.19</v>
      </c>
      <c r="C30" s="96"/>
      <c r="D30" s="95">
        <v>1.0</v>
      </c>
      <c r="E30" s="97" t="s">
        <v>12</v>
      </c>
      <c r="F30" s="97" t="s">
        <v>944</v>
      </c>
      <c r="G30" s="97" t="s">
        <v>944</v>
      </c>
    </row>
    <row r="31">
      <c r="A31" s="94">
        <v>45905.0</v>
      </c>
      <c r="B31" s="95">
        <v>-3000.0</v>
      </c>
      <c r="C31" s="96"/>
      <c r="D31" s="95">
        <v>1.0</v>
      </c>
      <c r="E31" s="97" t="s">
        <v>12</v>
      </c>
      <c r="F31" s="97" t="s">
        <v>945</v>
      </c>
      <c r="G31" s="97" t="s">
        <v>945</v>
      </c>
    </row>
    <row r="32">
      <c r="A32" s="94">
        <v>45905.0</v>
      </c>
      <c r="B32" s="96"/>
      <c r="C32" s="95">
        <v>415.0</v>
      </c>
      <c r="D32" s="95">
        <v>1.0</v>
      </c>
      <c r="E32" s="97" t="s">
        <v>12</v>
      </c>
      <c r="F32" s="97" t="s">
        <v>947</v>
      </c>
      <c r="G32" s="97" t="s">
        <v>947</v>
      </c>
    </row>
    <row r="33">
      <c r="A33" s="94">
        <v>45905.0</v>
      </c>
      <c r="B33" s="96"/>
      <c r="C33" s="95">
        <v>3265.0</v>
      </c>
      <c r="D33" s="95">
        <v>1.0</v>
      </c>
      <c r="E33" s="97" t="s">
        <v>12</v>
      </c>
      <c r="F33" s="97" t="s">
        <v>948</v>
      </c>
      <c r="G33" s="97" t="s">
        <v>948</v>
      </c>
    </row>
    <row r="34">
      <c r="A34" s="94">
        <v>45905.0</v>
      </c>
      <c r="B34" s="96"/>
      <c r="C34" s="95">
        <v>284.0</v>
      </c>
      <c r="D34" s="95">
        <v>1.0</v>
      </c>
      <c r="E34" s="97" t="s">
        <v>12</v>
      </c>
      <c r="F34" s="97" t="s">
        <v>949</v>
      </c>
      <c r="G34" s="97" t="s">
        <v>949</v>
      </c>
    </row>
    <row r="35">
      <c r="A35" s="94">
        <v>45905.0</v>
      </c>
      <c r="B35" s="96"/>
      <c r="C35" s="95">
        <v>3151.27</v>
      </c>
      <c r="D35" s="95">
        <v>1.0</v>
      </c>
      <c r="E35" s="97" t="s">
        <v>12</v>
      </c>
      <c r="F35" s="97" t="s">
        <v>950</v>
      </c>
      <c r="G35" s="97" t="s">
        <v>950</v>
      </c>
    </row>
    <row r="36">
      <c r="A36" s="94">
        <v>45908.0</v>
      </c>
      <c r="B36" s="95">
        <v>-522.08</v>
      </c>
      <c r="C36" s="96"/>
      <c r="D36" s="95">
        <v>1.0</v>
      </c>
      <c r="E36" s="97" t="s">
        <v>12</v>
      </c>
      <c r="F36" s="97" t="s">
        <v>935</v>
      </c>
      <c r="G36" s="97" t="s">
        <v>935</v>
      </c>
    </row>
    <row r="37">
      <c r="A37" s="94">
        <v>45908.0</v>
      </c>
      <c r="B37" s="96"/>
      <c r="C37" s="95">
        <v>1510.0</v>
      </c>
      <c r="D37" s="95">
        <v>1.0</v>
      </c>
      <c r="E37" s="97" t="s">
        <v>12</v>
      </c>
      <c r="F37" s="97" t="s">
        <v>936</v>
      </c>
      <c r="G37" s="97" t="s">
        <v>936</v>
      </c>
    </row>
    <row r="38">
      <c r="A38" s="94">
        <v>45908.0</v>
      </c>
      <c r="B38" s="96"/>
      <c r="C38" s="95">
        <v>1975.0</v>
      </c>
      <c r="D38" s="95">
        <v>1.0</v>
      </c>
      <c r="E38" s="97" t="s">
        <v>12</v>
      </c>
      <c r="F38" s="97" t="s">
        <v>937</v>
      </c>
      <c r="G38" s="97" t="s">
        <v>937</v>
      </c>
    </row>
    <row r="39">
      <c r="A39" s="94">
        <v>45908.0</v>
      </c>
      <c r="B39" s="96"/>
      <c r="C39" s="95">
        <v>4050.0</v>
      </c>
      <c r="D39" s="95">
        <v>1.0</v>
      </c>
      <c r="E39" s="97" t="s">
        <v>12</v>
      </c>
      <c r="F39" s="97" t="s">
        <v>938</v>
      </c>
      <c r="G39" s="97" t="s">
        <v>938</v>
      </c>
    </row>
    <row r="40">
      <c r="A40" s="94">
        <v>45908.0</v>
      </c>
      <c r="B40" s="96"/>
      <c r="C40" s="95">
        <v>405.0</v>
      </c>
      <c r="D40" s="95">
        <v>1.0</v>
      </c>
      <c r="E40" s="97" t="s">
        <v>12</v>
      </c>
      <c r="F40" s="97" t="s">
        <v>939</v>
      </c>
      <c r="G40" s="97" t="s">
        <v>939</v>
      </c>
    </row>
    <row r="41">
      <c r="A41" s="94">
        <v>45908.0</v>
      </c>
      <c r="B41" s="96"/>
      <c r="C41" s="95">
        <v>544.0</v>
      </c>
      <c r="D41" s="95">
        <v>1.0</v>
      </c>
      <c r="E41" s="98" t="s">
        <v>12</v>
      </c>
      <c r="F41" s="97" t="s">
        <v>940</v>
      </c>
      <c r="G41" s="97" t="s">
        <v>940</v>
      </c>
    </row>
    <row r="42">
      <c r="A42" s="94">
        <v>45908.0</v>
      </c>
      <c r="B42" s="96"/>
      <c r="C42" s="95">
        <v>50.0</v>
      </c>
      <c r="D42" s="95">
        <v>1.0</v>
      </c>
      <c r="E42" s="97" t="s">
        <v>12</v>
      </c>
      <c r="F42" s="97" t="s">
        <v>941</v>
      </c>
      <c r="G42" s="97" t="s">
        <v>941</v>
      </c>
    </row>
    <row r="43">
      <c r="A43" s="94">
        <v>45908.0</v>
      </c>
      <c r="B43" s="96"/>
      <c r="C43" s="95">
        <v>2308.0</v>
      </c>
      <c r="D43" s="95">
        <v>1.0</v>
      </c>
      <c r="E43" s="97" t="s">
        <v>12</v>
      </c>
      <c r="F43" s="97" t="s">
        <v>942</v>
      </c>
      <c r="G43" s="97" t="s">
        <v>942</v>
      </c>
    </row>
    <row r="44">
      <c r="A44" s="94">
        <v>45908.0</v>
      </c>
      <c r="B44" s="96"/>
      <c r="C44" s="95">
        <v>959.6</v>
      </c>
      <c r="D44" s="95">
        <v>1.0</v>
      </c>
      <c r="E44" s="97" t="s">
        <v>12</v>
      </c>
      <c r="F44" s="97" t="s">
        <v>943</v>
      </c>
      <c r="G44" s="97" t="s">
        <v>943</v>
      </c>
    </row>
    <row r="45">
      <c r="A45" s="94">
        <v>45909.0</v>
      </c>
      <c r="B45" s="95">
        <v>-4000.0</v>
      </c>
      <c r="C45" s="96"/>
      <c r="D45" s="95">
        <v>1.0</v>
      </c>
      <c r="E45" s="98" t="s">
        <v>12</v>
      </c>
      <c r="F45" s="97" t="s">
        <v>930</v>
      </c>
      <c r="G45" s="97" t="s">
        <v>930</v>
      </c>
    </row>
    <row r="46">
      <c r="A46" s="94">
        <v>45909.0</v>
      </c>
      <c r="B46" s="96"/>
      <c r="C46" s="95">
        <v>2335.0</v>
      </c>
      <c r="D46" s="95">
        <v>1.0</v>
      </c>
      <c r="E46" s="98" t="s">
        <v>12</v>
      </c>
      <c r="F46" s="97" t="s">
        <v>931</v>
      </c>
      <c r="G46" s="97" t="s">
        <v>931</v>
      </c>
    </row>
    <row r="47">
      <c r="A47" s="94">
        <v>45909.0</v>
      </c>
      <c r="B47" s="96"/>
      <c r="C47" s="95">
        <v>1345.0</v>
      </c>
      <c r="D47" s="95">
        <v>1.0</v>
      </c>
      <c r="E47" s="97" t="s">
        <v>12</v>
      </c>
      <c r="F47" s="97" t="s">
        <v>932</v>
      </c>
      <c r="G47" s="97" t="s">
        <v>932</v>
      </c>
    </row>
    <row r="48">
      <c r="A48" s="94">
        <v>45909.0</v>
      </c>
      <c r="B48" s="96"/>
      <c r="C48" s="95">
        <v>3214.35</v>
      </c>
      <c r="D48" s="95">
        <v>1.0</v>
      </c>
      <c r="E48" s="97" t="s">
        <v>12</v>
      </c>
      <c r="F48" s="97" t="s">
        <v>933</v>
      </c>
      <c r="G48" s="97" t="s">
        <v>933</v>
      </c>
    </row>
    <row r="49">
      <c r="A49" s="94">
        <v>45909.0</v>
      </c>
      <c r="B49" s="96"/>
      <c r="C49" s="95">
        <v>7875.0</v>
      </c>
      <c r="D49" s="95">
        <v>1.0</v>
      </c>
      <c r="E49" s="97" t="s">
        <v>12</v>
      </c>
      <c r="F49" s="97" t="s">
        <v>934</v>
      </c>
      <c r="G49" s="97" t="s">
        <v>934</v>
      </c>
    </row>
    <row r="50">
      <c r="A50" s="94">
        <v>45910.0</v>
      </c>
      <c r="B50" s="95">
        <v>-1129.72</v>
      </c>
      <c r="C50" s="96"/>
      <c r="D50" s="95">
        <v>1.0</v>
      </c>
      <c r="E50" s="98" t="s">
        <v>12</v>
      </c>
      <c r="F50" s="97" t="s">
        <v>923</v>
      </c>
      <c r="G50" s="97" t="s">
        <v>923</v>
      </c>
    </row>
    <row r="51">
      <c r="A51" s="94">
        <v>45910.0</v>
      </c>
      <c r="B51" s="95">
        <v>-18.0</v>
      </c>
      <c r="C51" s="96"/>
      <c r="D51" s="95">
        <v>1.0</v>
      </c>
      <c r="E51" s="97" t="s">
        <v>12</v>
      </c>
      <c r="F51" s="97" t="s">
        <v>924</v>
      </c>
      <c r="G51" s="97" t="s">
        <v>924</v>
      </c>
    </row>
    <row r="52">
      <c r="A52" s="94">
        <v>45910.0</v>
      </c>
      <c r="B52" s="95">
        <v>-682.0</v>
      </c>
      <c r="C52" s="96"/>
      <c r="D52" s="95">
        <v>1.0</v>
      </c>
      <c r="E52" s="97" t="s">
        <v>12</v>
      </c>
      <c r="F52" s="97" t="s">
        <v>925</v>
      </c>
      <c r="G52" s="97" t="s">
        <v>925</v>
      </c>
    </row>
    <row r="53">
      <c r="A53" s="94">
        <v>45910.0</v>
      </c>
      <c r="B53" s="96"/>
      <c r="C53" s="95">
        <v>4967.0</v>
      </c>
      <c r="D53" s="95">
        <v>1.0</v>
      </c>
      <c r="E53" s="97" t="s">
        <v>12</v>
      </c>
      <c r="F53" s="97" t="s">
        <v>926</v>
      </c>
      <c r="G53" s="97" t="s">
        <v>926</v>
      </c>
    </row>
    <row r="54">
      <c r="A54" s="94">
        <v>45910.0</v>
      </c>
      <c r="B54" s="96"/>
      <c r="C54" s="95">
        <v>6390.0</v>
      </c>
      <c r="D54" s="95">
        <v>1.0</v>
      </c>
      <c r="E54" s="97" t="s">
        <v>12</v>
      </c>
      <c r="F54" s="97" t="s">
        <v>927</v>
      </c>
      <c r="G54" s="97" t="s">
        <v>927</v>
      </c>
    </row>
    <row r="55">
      <c r="A55" s="94">
        <v>45910.0</v>
      </c>
      <c r="B55" s="96"/>
      <c r="C55" s="95">
        <v>4474.32</v>
      </c>
      <c r="D55" s="95">
        <v>1.0</v>
      </c>
      <c r="E55" s="97" t="s">
        <v>12</v>
      </c>
      <c r="F55" s="97" t="s">
        <v>928</v>
      </c>
      <c r="G55" s="97" t="s">
        <v>928</v>
      </c>
    </row>
    <row r="56">
      <c r="A56" s="94">
        <v>45910.0</v>
      </c>
      <c r="B56" s="96"/>
      <c r="C56" s="95">
        <v>3240.0</v>
      </c>
      <c r="D56" s="95">
        <v>1.0</v>
      </c>
      <c r="E56" s="97" t="s">
        <v>12</v>
      </c>
      <c r="F56" s="97" t="s">
        <v>929</v>
      </c>
      <c r="G56" s="97" t="s">
        <v>929</v>
      </c>
    </row>
    <row r="57">
      <c r="A57" s="94">
        <v>45911.0</v>
      </c>
      <c r="B57" s="95">
        <v>-160.0</v>
      </c>
      <c r="C57" s="96"/>
      <c r="D57" s="95">
        <v>1.0</v>
      </c>
      <c r="E57" s="97" t="s">
        <v>12</v>
      </c>
      <c r="F57" s="97" t="s">
        <v>917</v>
      </c>
      <c r="G57" s="97" t="s">
        <v>917</v>
      </c>
    </row>
    <row r="58">
      <c r="A58" s="94">
        <v>45911.0</v>
      </c>
      <c r="B58" s="96"/>
      <c r="C58" s="95">
        <v>4431.0</v>
      </c>
      <c r="D58" s="95">
        <v>1.0</v>
      </c>
      <c r="E58" s="97" t="s">
        <v>12</v>
      </c>
      <c r="F58" s="97" t="s">
        <v>918</v>
      </c>
      <c r="G58" s="97" t="s">
        <v>918</v>
      </c>
    </row>
    <row r="59">
      <c r="A59" s="94">
        <v>45911.0</v>
      </c>
      <c r="B59" s="96"/>
      <c r="C59" s="95">
        <v>5277.0</v>
      </c>
      <c r="D59" s="95">
        <v>1.0</v>
      </c>
      <c r="E59" s="97" t="s">
        <v>12</v>
      </c>
      <c r="F59" s="97" t="s">
        <v>919</v>
      </c>
      <c r="G59" s="97" t="s">
        <v>919</v>
      </c>
    </row>
    <row r="60">
      <c r="A60" s="94">
        <v>45911.0</v>
      </c>
      <c r="B60" s="96"/>
      <c r="C60" s="95">
        <v>1182.35</v>
      </c>
      <c r="D60" s="95">
        <v>1.0</v>
      </c>
      <c r="E60" s="97" t="s">
        <v>12</v>
      </c>
      <c r="F60" s="97" t="s">
        <v>920</v>
      </c>
      <c r="G60" s="97" t="s">
        <v>920</v>
      </c>
    </row>
    <row r="61">
      <c r="A61" s="94">
        <v>45911.0</v>
      </c>
      <c r="B61" s="96"/>
      <c r="C61" s="95">
        <v>690.0</v>
      </c>
      <c r="D61" s="95">
        <v>1.0</v>
      </c>
      <c r="E61" s="97" t="s">
        <v>12</v>
      </c>
      <c r="F61" s="97" t="s">
        <v>921</v>
      </c>
      <c r="G61" s="97" t="s">
        <v>921</v>
      </c>
    </row>
    <row r="62">
      <c r="A62" s="94">
        <v>45911.0</v>
      </c>
      <c r="B62" s="96"/>
      <c r="C62" s="95">
        <v>768.6</v>
      </c>
      <c r="D62" s="95">
        <v>1.0</v>
      </c>
      <c r="E62" s="97" t="s">
        <v>12</v>
      </c>
      <c r="F62" s="97" t="s">
        <v>922</v>
      </c>
      <c r="G62" s="97" t="s">
        <v>922</v>
      </c>
    </row>
    <row r="63">
      <c r="A63" s="94">
        <v>45912.0</v>
      </c>
      <c r="B63" s="95">
        <v>-107.05</v>
      </c>
      <c r="C63" s="96"/>
      <c r="D63" s="95">
        <v>1.0</v>
      </c>
      <c r="E63" s="97" t="s">
        <v>12</v>
      </c>
      <c r="F63" s="97" t="s">
        <v>909</v>
      </c>
      <c r="G63" s="97" t="s">
        <v>909</v>
      </c>
    </row>
    <row r="64">
      <c r="A64" s="94">
        <v>45912.0</v>
      </c>
      <c r="B64" s="95">
        <v>-290.0</v>
      </c>
      <c r="C64" s="96"/>
      <c r="D64" s="95">
        <v>1.0</v>
      </c>
      <c r="E64" s="97" t="s">
        <v>12</v>
      </c>
      <c r="F64" s="97" t="s">
        <v>910</v>
      </c>
      <c r="G64" s="97" t="s">
        <v>910</v>
      </c>
    </row>
    <row r="65">
      <c r="A65" s="94">
        <v>45912.0</v>
      </c>
      <c r="B65" s="95">
        <v>-643.92</v>
      </c>
      <c r="C65" s="96"/>
      <c r="D65" s="95">
        <v>1.0</v>
      </c>
      <c r="E65" s="97" t="s">
        <v>12</v>
      </c>
      <c r="F65" s="97" t="s">
        <v>911</v>
      </c>
      <c r="G65" s="97" t="s">
        <v>911</v>
      </c>
    </row>
    <row r="66">
      <c r="A66" s="94">
        <v>45912.0</v>
      </c>
      <c r="B66" s="95">
        <v>-164.8</v>
      </c>
      <c r="C66" s="96"/>
      <c r="D66" s="95">
        <v>1.0</v>
      </c>
      <c r="E66" s="97" t="s">
        <v>12</v>
      </c>
      <c r="F66" s="97" t="s">
        <v>912</v>
      </c>
      <c r="G66" s="97" t="s">
        <v>912</v>
      </c>
    </row>
    <row r="67">
      <c r="A67" s="94">
        <v>45912.0</v>
      </c>
      <c r="B67" s="96"/>
      <c r="C67" s="95">
        <v>2593.0</v>
      </c>
      <c r="D67" s="95">
        <v>1.0</v>
      </c>
      <c r="E67" s="97" t="s">
        <v>12</v>
      </c>
      <c r="F67" s="97" t="s">
        <v>913</v>
      </c>
      <c r="G67" s="97" t="s">
        <v>913</v>
      </c>
    </row>
    <row r="68">
      <c r="A68" s="94">
        <v>45912.0</v>
      </c>
      <c r="B68" s="96"/>
      <c r="C68" s="95">
        <v>1440.0</v>
      </c>
      <c r="D68" s="95">
        <v>1.0</v>
      </c>
      <c r="E68" s="97" t="s">
        <v>12</v>
      </c>
      <c r="F68" s="97" t="s">
        <v>914</v>
      </c>
      <c r="G68" s="97" t="s">
        <v>914</v>
      </c>
    </row>
    <row r="69">
      <c r="A69" s="94">
        <v>45912.0</v>
      </c>
      <c r="B69" s="96"/>
      <c r="C69" s="95">
        <v>3135.0</v>
      </c>
      <c r="D69" s="95">
        <v>1.0</v>
      </c>
      <c r="E69" s="97" t="s">
        <v>12</v>
      </c>
      <c r="F69" s="97" t="s">
        <v>915</v>
      </c>
      <c r="G69" s="97" t="s">
        <v>915</v>
      </c>
    </row>
    <row r="70">
      <c r="A70" s="94">
        <v>45912.0</v>
      </c>
      <c r="B70" s="96"/>
      <c r="C70" s="95">
        <v>1699.5</v>
      </c>
      <c r="D70" s="95">
        <v>1.0</v>
      </c>
      <c r="E70" s="97" t="s">
        <v>12</v>
      </c>
      <c r="F70" s="97" t="s">
        <v>916</v>
      </c>
      <c r="G70" s="97" t="s">
        <v>916</v>
      </c>
    </row>
    <row r="71">
      <c r="A71" s="94">
        <v>45915.0</v>
      </c>
      <c r="B71" s="96"/>
      <c r="C71" s="95">
        <v>2839.0</v>
      </c>
      <c r="D71" s="95">
        <v>1.0</v>
      </c>
      <c r="E71" s="97" t="s">
        <v>12</v>
      </c>
      <c r="F71" s="97" t="s">
        <v>901</v>
      </c>
      <c r="G71" s="97" t="s">
        <v>901</v>
      </c>
    </row>
    <row r="72">
      <c r="A72" s="94">
        <v>45915.0</v>
      </c>
      <c r="B72" s="96"/>
      <c r="C72" s="95">
        <v>2721.5</v>
      </c>
      <c r="D72" s="95">
        <v>1.0</v>
      </c>
      <c r="E72" s="97" t="s">
        <v>12</v>
      </c>
      <c r="F72" s="97" t="s">
        <v>902</v>
      </c>
      <c r="G72" s="97" t="s">
        <v>902</v>
      </c>
    </row>
    <row r="73">
      <c r="A73" s="94">
        <v>45915.0</v>
      </c>
      <c r="B73" s="96"/>
      <c r="C73" s="95">
        <v>695.0</v>
      </c>
      <c r="D73" s="95">
        <v>1.0</v>
      </c>
      <c r="E73" s="97" t="s">
        <v>12</v>
      </c>
      <c r="F73" s="97" t="s">
        <v>903</v>
      </c>
      <c r="G73" s="97" t="s">
        <v>903</v>
      </c>
    </row>
    <row r="74">
      <c r="A74" s="94">
        <v>45915.0</v>
      </c>
      <c r="B74" s="96"/>
      <c r="C74" s="95">
        <v>2060.0</v>
      </c>
      <c r="D74" s="95">
        <v>1.0</v>
      </c>
      <c r="E74" s="97" t="s">
        <v>12</v>
      </c>
      <c r="F74" s="97" t="s">
        <v>904</v>
      </c>
      <c r="G74" s="97" t="s">
        <v>904</v>
      </c>
    </row>
    <row r="75">
      <c r="A75" s="94">
        <v>45915.0</v>
      </c>
      <c r="B75" s="96"/>
      <c r="C75" s="95">
        <v>3269.0</v>
      </c>
      <c r="D75" s="95">
        <v>1.0</v>
      </c>
      <c r="E75" s="97" t="s">
        <v>12</v>
      </c>
      <c r="F75" s="97" t="s">
        <v>905</v>
      </c>
      <c r="G75" s="97" t="s">
        <v>905</v>
      </c>
    </row>
    <row r="76">
      <c r="A76" s="94">
        <v>45915.0</v>
      </c>
      <c r="B76" s="96"/>
      <c r="C76" s="95">
        <v>2992.0</v>
      </c>
      <c r="D76" s="95">
        <v>1.0</v>
      </c>
      <c r="E76" s="97" t="s">
        <v>12</v>
      </c>
      <c r="F76" s="97" t="s">
        <v>906</v>
      </c>
      <c r="G76" s="97" t="s">
        <v>906</v>
      </c>
    </row>
    <row r="77">
      <c r="A77" s="94">
        <v>45915.0</v>
      </c>
      <c r="B77" s="96"/>
      <c r="C77" s="95">
        <v>2466.5</v>
      </c>
      <c r="D77" s="95">
        <v>1.0</v>
      </c>
      <c r="E77" s="97" t="s">
        <v>12</v>
      </c>
      <c r="F77" s="97" t="s">
        <v>907</v>
      </c>
      <c r="G77" s="97" t="s">
        <v>907</v>
      </c>
    </row>
    <row r="78">
      <c r="A78" s="94">
        <v>45915.0</v>
      </c>
      <c r="B78" s="96"/>
      <c r="C78" s="95">
        <v>8104.81</v>
      </c>
      <c r="D78" s="95">
        <v>1.0</v>
      </c>
      <c r="E78" s="97" t="s">
        <v>12</v>
      </c>
      <c r="F78" s="97" t="s">
        <v>908</v>
      </c>
      <c r="G78" s="97" t="s">
        <v>908</v>
      </c>
    </row>
    <row r="79">
      <c r="A79" s="94">
        <v>45916.0</v>
      </c>
      <c r="B79" s="95">
        <v>-2000.0</v>
      </c>
      <c r="C79" s="96"/>
      <c r="D79" s="95">
        <v>1.0</v>
      </c>
      <c r="E79" s="97" t="s">
        <v>12</v>
      </c>
      <c r="F79" s="97" t="s">
        <v>896</v>
      </c>
      <c r="G79" s="97" t="s">
        <v>896</v>
      </c>
    </row>
    <row r="80">
      <c r="A80" s="94">
        <v>45916.0</v>
      </c>
      <c r="B80" s="96"/>
      <c r="C80" s="95">
        <v>3237.0</v>
      </c>
      <c r="D80" s="95">
        <v>1.0</v>
      </c>
      <c r="E80" s="97" t="s">
        <v>12</v>
      </c>
      <c r="F80" s="97" t="s">
        <v>897</v>
      </c>
      <c r="G80" s="97" t="s">
        <v>897</v>
      </c>
    </row>
    <row r="81">
      <c r="A81" s="94">
        <v>45916.0</v>
      </c>
      <c r="B81" s="96"/>
      <c r="C81" s="95">
        <v>9365.0</v>
      </c>
      <c r="D81" s="95">
        <v>1.0</v>
      </c>
      <c r="E81" s="97" t="s">
        <v>12</v>
      </c>
      <c r="F81" s="97" t="s">
        <v>898</v>
      </c>
      <c r="G81" s="97" t="s">
        <v>898</v>
      </c>
    </row>
    <row r="82">
      <c r="A82" s="94">
        <v>45916.0</v>
      </c>
      <c r="B82" s="96"/>
      <c r="C82" s="95">
        <v>4797.0</v>
      </c>
      <c r="D82" s="95">
        <v>1.0</v>
      </c>
      <c r="E82" s="97" t="s">
        <v>12</v>
      </c>
      <c r="F82" s="97" t="s">
        <v>899</v>
      </c>
      <c r="G82" s="97" t="s">
        <v>899</v>
      </c>
    </row>
    <row r="83">
      <c r="A83" s="94">
        <v>45916.0</v>
      </c>
      <c r="B83" s="96"/>
      <c r="C83" s="95">
        <v>6584.0</v>
      </c>
      <c r="D83" s="95">
        <v>1.0</v>
      </c>
      <c r="E83" s="97" t="s">
        <v>12</v>
      </c>
      <c r="F83" s="97" t="s">
        <v>900</v>
      </c>
      <c r="G83" s="97" t="s">
        <v>900</v>
      </c>
    </row>
    <row r="84">
      <c r="A84" s="94">
        <v>45917.0</v>
      </c>
      <c r="B84" s="96"/>
      <c r="C84" s="95">
        <v>4435.02</v>
      </c>
      <c r="D84" s="95">
        <v>1.0</v>
      </c>
      <c r="E84" s="97" t="s">
        <v>12</v>
      </c>
      <c r="F84" s="97" t="s">
        <v>892</v>
      </c>
      <c r="G84" s="97" t="s">
        <v>892</v>
      </c>
    </row>
    <row r="85">
      <c r="A85" s="94">
        <v>45917.0</v>
      </c>
      <c r="B85" s="96"/>
      <c r="C85" s="95">
        <v>2185.0</v>
      </c>
      <c r="D85" s="95">
        <v>1.0</v>
      </c>
      <c r="E85" s="97" t="s">
        <v>12</v>
      </c>
      <c r="F85" s="97" t="s">
        <v>893</v>
      </c>
      <c r="G85" s="97" t="s">
        <v>893</v>
      </c>
    </row>
    <row r="86">
      <c r="A86" s="94">
        <v>45917.0</v>
      </c>
      <c r="B86" s="96"/>
      <c r="C86" s="95">
        <v>8999.0</v>
      </c>
      <c r="D86" s="95">
        <v>1.0</v>
      </c>
      <c r="E86" s="97" t="s">
        <v>12</v>
      </c>
      <c r="F86" s="97" t="s">
        <v>894</v>
      </c>
      <c r="G86" s="97" t="s">
        <v>894</v>
      </c>
    </row>
    <row r="87">
      <c r="A87" s="94">
        <v>45917.0</v>
      </c>
      <c r="B87" s="96"/>
      <c r="C87" s="95">
        <v>3504.0</v>
      </c>
      <c r="D87" s="95">
        <v>1.0</v>
      </c>
      <c r="E87" s="97" t="s">
        <v>12</v>
      </c>
      <c r="F87" s="97" t="s">
        <v>895</v>
      </c>
      <c r="G87" s="97" t="s">
        <v>895</v>
      </c>
    </row>
    <row r="88">
      <c r="A88" s="94">
        <v>45918.0</v>
      </c>
      <c r="B88" s="96"/>
      <c r="C88" s="95">
        <v>7015.0</v>
      </c>
      <c r="D88" s="95">
        <v>1.0</v>
      </c>
      <c r="E88" s="97" t="s">
        <v>12</v>
      </c>
      <c r="F88" s="97" t="s">
        <v>884</v>
      </c>
      <c r="G88" s="97" t="s">
        <v>884</v>
      </c>
    </row>
    <row r="89">
      <c r="A89" s="94">
        <v>45918.0</v>
      </c>
      <c r="B89" s="96"/>
      <c r="C89" s="95">
        <v>2419.0</v>
      </c>
      <c r="D89" s="95">
        <v>1.0</v>
      </c>
      <c r="E89" s="97" t="s">
        <v>12</v>
      </c>
      <c r="F89" s="97" t="s">
        <v>885</v>
      </c>
      <c r="G89" s="97" t="s">
        <v>885</v>
      </c>
    </row>
    <row r="90">
      <c r="A90" s="94">
        <v>45918.0</v>
      </c>
      <c r="B90" s="96"/>
      <c r="C90" s="95">
        <v>4340.0</v>
      </c>
      <c r="D90" s="95">
        <v>1.0</v>
      </c>
      <c r="E90" s="97" t="s">
        <v>12</v>
      </c>
      <c r="F90" s="97" t="s">
        <v>886</v>
      </c>
      <c r="G90" s="97" t="s">
        <v>886</v>
      </c>
    </row>
    <row r="91">
      <c r="A91" s="94">
        <v>45918.0</v>
      </c>
      <c r="B91" s="96"/>
      <c r="C91" s="95">
        <v>4280.1</v>
      </c>
      <c r="D91" s="95">
        <v>1.0</v>
      </c>
      <c r="E91" s="97" t="s">
        <v>12</v>
      </c>
      <c r="F91" s="97" t="s">
        <v>887</v>
      </c>
      <c r="G91" s="97" t="s">
        <v>887</v>
      </c>
    </row>
    <row r="92">
      <c r="A92" s="94">
        <v>45918.0</v>
      </c>
      <c r="B92" s="96"/>
      <c r="C92" s="95">
        <v>122.0</v>
      </c>
      <c r="D92" s="95">
        <v>1.0</v>
      </c>
      <c r="E92" s="97" t="s">
        <v>12</v>
      </c>
      <c r="F92" s="97" t="s">
        <v>888</v>
      </c>
      <c r="G92" s="97" t="s">
        <v>888</v>
      </c>
    </row>
    <row r="93">
      <c r="A93" s="94">
        <v>45918.0</v>
      </c>
      <c r="B93" s="95">
        <v>-65.0</v>
      </c>
      <c r="C93" s="96"/>
      <c r="D93" s="95">
        <v>7.0</v>
      </c>
      <c r="E93" s="97" t="s">
        <v>123</v>
      </c>
      <c r="F93" s="97" t="s">
        <v>889</v>
      </c>
      <c r="G93" s="97" t="s">
        <v>889</v>
      </c>
    </row>
    <row r="94">
      <c r="A94" s="94">
        <v>45918.0</v>
      </c>
      <c r="B94" s="95">
        <v>-65.0</v>
      </c>
      <c r="C94" s="96"/>
      <c r="D94" s="95">
        <v>7.0</v>
      </c>
      <c r="E94" s="97" t="s">
        <v>123</v>
      </c>
      <c r="F94" s="97" t="s">
        <v>890</v>
      </c>
      <c r="G94" s="97" t="s">
        <v>890</v>
      </c>
    </row>
    <row r="95">
      <c r="A95" s="94">
        <v>45918.0</v>
      </c>
      <c r="B95" s="95">
        <v>-50.0</v>
      </c>
      <c r="C95" s="96"/>
      <c r="D95" s="95">
        <v>7.0</v>
      </c>
      <c r="E95" s="97" t="s">
        <v>123</v>
      </c>
      <c r="F95" s="97" t="s">
        <v>891</v>
      </c>
      <c r="G95" s="97" t="s">
        <v>891</v>
      </c>
    </row>
    <row r="96">
      <c r="A96" s="94">
        <v>45919.0</v>
      </c>
      <c r="B96" s="95">
        <v>-729.0</v>
      </c>
      <c r="C96" s="96"/>
      <c r="D96" s="95">
        <v>1.0</v>
      </c>
      <c r="E96" s="97" t="s">
        <v>12</v>
      </c>
      <c r="F96" s="97" t="s">
        <v>879</v>
      </c>
      <c r="G96" s="97" t="s">
        <v>879</v>
      </c>
    </row>
    <row r="97">
      <c r="A97" s="94">
        <v>45919.0</v>
      </c>
      <c r="B97" s="96"/>
      <c r="C97" s="95">
        <v>3793.0</v>
      </c>
      <c r="D97" s="95">
        <v>1.0</v>
      </c>
      <c r="E97" s="97" t="s">
        <v>12</v>
      </c>
      <c r="F97" s="97" t="s">
        <v>880</v>
      </c>
      <c r="G97" s="97" t="s">
        <v>880</v>
      </c>
    </row>
    <row r="98">
      <c r="A98" s="94">
        <v>45919.0</v>
      </c>
      <c r="B98" s="96"/>
      <c r="C98" s="95">
        <v>7913.23</v>
      </c>
      <c r="D98" s="95">
        <v>1.0</v>
      </c>
      <c r="E98" s="97" t="s">
        <v>12</v>
      </c>
      <c r="F98" s="97" t="s">
        <v>881</v>
      </c>
      <c r="G98" s="97" t="s">
        <v>881</v>
      </c>
    </row>
    <row r="99">
      <c r="A99" s="94">
        <v>45919.0</v>
      </c>
      <c r="B99" s="96"/>
      <c r="C99" s="95">
        <v>8426.0</v>
      </c>
      <c r="D99" s="95">
        <v>1.0</v>
      </c>
      <c r="E99" s="97" t="s">
        <v>12</v>
      </c>
      <c r="F99" s="97" t="s">
        <v>882</v>
      </c>
      <c r="G99" s="97" t="s">
        <v>882</v>
      </c>
    </row>
    <row r="100">
      <c r="A100" s="94">
        <v>45919.0</v>
      </c>
      <c r="B100" s="96"/>
      <c r="C100" s="95">
        <v>3914.0</v>
      </c>
      <c r="D100" s="95">
        <v>1.0</v>
      </c>
      <c r="E100" s="97" t="s">
        <v>12</v>
      </c>
      <c r="F100" s="97" t="s">
        <v>883</v>
      </c>
      <c r="G100" s="97" t="s">
        <v>883</v>
      </c>
    </row>
    <row r="101">
      <c r="A101" s="94">
        <v>45922.0</v>
      </c>
      <c r="B101" s="96"/>
      <c r="C101" s="95">
        <v>1616.0</v>
      </c>
      <c r="D101" s="95">
        <v>1.0</v>
      </c>
      <c r="E101" s="97" t="s">
        <v>12</v>
      </c>
      <c r="F101" s="97" t="s">
        <v>870</v>
      </c>
      <c r="G101" s="97" t="s">
        <v>870</v>
      </c>
    </row>
    <row r="102">
      <c r="A102" s="94">
        <v>45922.0</v>
      </c>
      <c r="B102" s="96"/>
      <c r="C102" s="95">
        <v>3537.0</v>
      </c>
      <c r="D102" s="95">
        <v>1.0</v>
      </c>
      <c r="E102" s="97" t="s">
        <v>12</v>
      </c>
      <c r="F102" s="97" t="s">
        <v>871</v>
      </c>
      <c r="G102" s="97" t="s">
        <v>871</v>
      </c>
    </row>
    <row r="103">
      <c r="A103" s="94">
        <v>45922.0</v>
      </c>
      <c r="B103" s="96"/>
      <c r="C103" s="95">
        <v>3920.0</v>
      </c>
      <c r="D103" s="95">
        <v>1.0</v>
      </c>
      <c r="E103" s="97" t="s">
        <v>12</v>
      </c>
      <c r="F103" s="97" t="s">
        <v>872</v>
      </c>
      <c r="G103" s="97" t="s">
        <v>872</v>
      </c>
    </row>
    <row r="104">
      <c r="A104" s="94">
        <v>45922.0</v>
      </c>
      <c r="B104" s="96"/>
      <c r="C104" s="95">
        <v>505.0</v>
      </c>
      <c r="D104" s="95">
        <v>1.0</v>
      </c>
      <c r="E104" s="97" t="s">
        <v>12</v>
      </c>
      <c r="F104" s="97" t="s">
        <v>873</v>
      </c>
      <c r="G104" s="97" t="s">
        <v>873</v>
      </c>
    </row>
    <row r="105">
      <c r="A105" s="94">
        <v>45922.0</v>
      </c>
      <c r="B105" s="96"/>
      <c r="C105" s="95">
        <v>4592.5</v>
      </c>
      <c r="D105" s="95">
        <v>1.0</v>
      </c>
      <c r="E105" s="97" t="s">
        <v>12</v>
      </c>
      <c r="F105" s="97" t="s">
        <v>874</v>
      </c>
      <c r="G105" s="97" t="s">
        <v>874</v>
      </c>
    </row>
    <row r="106">
      <c r="A106" s="94">
        <v>45922.0</v>
      </c>
      <c r="B106" s="96"/>
      <c r="C106" s="95">
        <v>3502.0</v>
      </c>
      <c r="D106" s="95">
        <v>1.0</v>
      </c>
      <c r="E106" s="97" t="s">
        <v>12</v>
      </c>
      <c r="F106" s="97" t="s">
        <v>875</v>
      </c>
      <c r="G106" s="97" t="s">
        <v>875</v>
      </c>
    </row>
    <row r="107">
      <c r="A107" s="94">
        <v>45922.0</v>
      </c>
      <c r="B107" s="96"/>
      <c r="C107" s="95">
        <v>2551.0</v>
      </c>
      <c r="D107" s="95">
        <v>1.0</v>
      </c>
      <c r="E107" s="97" t="s">
        <v>12</v>
      </c>
      <c r="F107" s="97" t="s">
        <v>876</v>
      </c>
      <c r="G107" s="97" t="s">
        <v>876</v>
      </c>
    </row>
    <row r="108">
      <c r="A108" s="94">
        <v>45922.0</v>
      </c>
      <c r="B108" s="96"/>
      <c r="C108" s="95">
        <v>6429.53</v>
      </c>
      <c r="D108" s="95">
        <v>1.0</v>
      </c>
      <c r="E108" s="97" t="s">
        <v>12</v>
      </c>
      <c r="F108" s="97" t="s">
        <v>877</v>
      </c>
      <c r="G108" s="97" t="s">
        <v>877</v>
      </c>
    </row>
    <row r="109">
      <c r="A109" s="94">
        <v>45922.0</v>
      </c>
      <c r="B109" s="96"/>
      <c r="C109" s="95">
        <v>427.0</v>
      </c>
      <c r="D109" s="95">
        <v>1.0</v>
      </c>
      <c r="E109" s="97" t="s">
        <v>12</v>
      </c>
      <c r="F109" s="97" t="s">
        <v>878</v>
      </c>
      <c r="G109" s="97" t="s">
        <v>878</v>
      </c>
    </row>
    <row r="110">
      <c r="A110" s="94">
        <v>45923.0</v>
      </c>
      <c r="B110" s="96"/>
      <c r="C110" s="95">
        <v>6383.5</v>
      </c>
      <c r="D110" s="95">
        <v>1.0</v>
      </c>
      <c r="E110" s="97" t="s">
        <v>12</v>
      </c>
      <c r="F110" s="97" t="s">
        <v>866</v>
      </c>
      <c r="G110" s="97" t="s">
        <v>866</v>
      </c>
    </row>
    <row r="111">
      <c r="A111" s="94">
        <v>45923.0</v>
      </c>
      <c r="B111" s="96"/>
      <c r="C111" s="95">
        <v>3271.5</v>
      </c>
      <c r="D111" s="95">
        <v>1.0</v>
      </c>
      <c r="E111" s="97" t="s">
        <v>12</v>
      </c>
      <c r="F111" s="97" t="s">
        <v>867</v>
      </c>
      <c r="G111" s="97" t="s">
        <v>867</v>
      </c>
    </row>
    <row r="112">
      <c r="A112" s="94">
        <v>45923.0</v>
      </c>
      <c r="B112" s="96"/>
      <c r="C112" s="95">
        <v>5037.0</v>
      </c>
      <c r="D112" s="95">
        <v>1.0</v>
      </c>
      <c r="E112" s="97" t="s">
        <v>12</v>
      </c>
      <c r="F112" s="97" t="s">
        <v>868</v>
      </c>
      <c r="G112" s="97" t="s">
        <v>868</v>
      </c>
    </row>
    <row r="113">
      <c r="A113" s="94">
        <v>45923.0</v>
      </c>
      <c r="B113" s="96"/>
      <c r="C113" s="95">
        <v>7008.87</v>
      </c>
      <c r="D113" s="95">
        <v>1.0</v>
      </c>
      <c r="E113" s="97" t="s">
        <v>12</v>
      </c>
      <c r="F113" s="97" t="s">
        <v>869</v>
      </c>
      <c r="G113" s="97" t="s">
        <v>869</v>
      </c>
    </row>
    <row r="114">
      <c r="A114" s="99">
        <v>45924.0</v>
      </c>
      <c r="B114" s="96"/>
      <c r="C114" s="95">
        <v>2352.0</v>
      </c>
      <c r="D114" s="95">
        <v>1.0</v>
      </c>
      <c r="E114" s="97" t="s">
        <v>12</v>
      </c>
      <c r="F114" s="97" t="s">
        <v>861</v>
      </c>
      <c r="G114" s="97" t="s">
        <v>861</v>
      </c>
    </row>
    <row r="115">
      <c r="A115" s="99">
        <v>45924.0</v>
      </c>
      <c r="B115" s="96"/>
      <c r="C115" s="95">
        <v>6078.97</v>
      </c>
      <c r="D115" s="95">
        <v>1.0</v>
      </c>
      <c r="E115" s="97" t="s">
        <v>12</v>
      </c>
      <c r="F115" s="97" t="s">
        <v>862</v>
      </c>
      <c r="G115" s="97" t="s">
        <v>862</v>
      </c>
    </row>
    <row r="116">
      <c r="A116" s="99">
        <v>45924.0</v>
      </c>
      <c r="B116" s="96"/>
      <c r="C116" s="95">
        <v>2498.0</v>
      </c>
      <c r="D116" s="95">
        <v>1.0</v>
      </c>
      <c r="E116" s="98" t="s">
        <v>12</v>
      </c>
      <c r="F116" s="97" t="s">
        <v>863</v>
      </c>
      <c r="G116" s="97" t="s">
        <v>863</v>
      </c>
    </row>
    <row r="117">
      <c r="A117" s="94">
        <v>45924.0</v>
      </c>
      <c r="B117" s="96"/>
      <c r="C117" s="95">
        <v>5598.0</v>
      </c>
      <c r="D117" s="95">
        <v>1.0</v>
      </c>
      <c r="E117" s="98" t="s">
        <v>12</v>
      </c>
      <c r="F117" s="97" t="s">
        <v>864</v>
      </c>
      <c r="G117" s="97" t="s">
        <v>864</v>
      </c>
    </row>
    <row r="118">
      <c r="A118" s="94">
        <v>45924.0</v>
      </c>
      <c r="B118" s="96"/>
      <c r="C118" s="95">
        <v>26.8</v>
      </c>
      <c r="D118" s="95">
        <v>1.0</v>
      </c>
      <c r="E118" s="97" t="s">
        <v>28</v>
      </c>
      <c r="F118" s="97" t="s">
        <v>865</v>
      </c>
      <c r="G118" s="97" t="s">
        <v>865</v>
      </c>
    </row>
    <row r="119">
      <c r="A119" s="94">
        <v>45925.0</v>
      </c>
      <c r="B119" s="95">
        <v>-2253.86</v>
      </c>
      <c r="C119" s="96"/>
      <c r="D119" s="95">
        <v>1.0</v>
      </c>
      <c r="E119" s="97" t="s">
        <v>12</v>
      </c>
      <c r="F119" s="97" t="s">
        <v>854</v>
      </c>
      <c r="G119" s="97" t="s">
        <v>854</v>
      </c>
    </row>
    <row r="120">
      <c r="A120" s="94">
        <v>45925.0</v>
      </c>
      <c r="B120" s="95">
        <v>-80.0</v>
      </c>
      <c r="C120" s="96"/>
      <c r="D120" s="95">
        <v>1.0</v>
      </c>
      <c r="E120" s="97" t="s">
        <v>12</v>
      </c>
      <c r="F120" s="97" t="s">
        <v>855</v>
      </c>
      <c r="G120" s="97" t="s">
        <v>855</v>
      </c>
    </row>
    <row r="121">
      <c r="A121" s="94">
        <v>45925.0</v>
      </c>
      <c r="B121" s="95">
        <v>-305.0</v>
      </c>
      <c r="C121" s="96"/>
      <c r="D121" s="95">
        <v>1.0</v>
      </c>
      <c r="E121" s="97" t="s">
        <v>12</v>
      </c>
      <c r="F121" s="97" t="s">
        <v>856</v>
      </c>
      <c r="G121" s="97" t="s">
        <v>856</v>
      </c>
    </row>
    <row r="122">
      <c r="A122" s="99">
        <v>45925.0</v>
      </c>
      <c r="B122" s="96"/>
      <c r="C122" s="95">
        <v>1515.0</v>
      </c>
      <c r="D122" s="95">
        <v>1.0</v>
      </c>
      <c r="E122" s="97" t="s">
        <v>12</v>
      </c>
      <c r="F122" s="97" t="s">
        <v>857</v>
      </c>
      <c r="G122" s="97" t="s">
        <v>857</v>
      </c>
    </row>
    <row r="123">
      <c r="A123" s="99">
        <v>45925.0</v>
      </c>
      <c r="B123" s="96"/>
      <c r="C123" s="95">
        <v>8086.0</v>
      </c>
      <c r="D123" s="95">
        <v>1.0</v>
      </c>
      <c r="E123" s="97" t="s">
        <v>12</v>
      </c>
      <c r="F123" s="97" t="s">
        <v>858</v>
      </c>
      <c r="G123" s="97" t="s">
        <v>858</v>
      </c>
    </row>
    <row r="124">
      <c r="A124" s="99">
        <v>45925.0</v>
      </c>
      <c r="B124" s="96"/>
      <c r="C124" s="95">
        <v>2563.0</v>
      </c>
      <c r="D124" s="95">
        <v>1.0</v>
      </c>
      <c r="E124" s="97" t="s">
        <v>12</v>
      </c>
      <c r="F124" s="97" t="s">
        <v>859</v>
      </c>
      <c r="G124" s="97" t="s">
        <v>859</v>
      </c>
    </row>
    <row r="125">
      <c r="A125" s="99">
        <v>45925.0</v>
      </c>
      <c r="B125" s="96"/>
      <c r="C125" s="95">
        <v>6445.6</v>
      </c>
      <c r="D125" s="95">
        <v>1.0</v>
      </c>
      <c r="E125" s="97" t="s">
        <v>12</v>
      </c>
      <c r="F125" s="97" t="s">
        <v>860</v>
      </c>
      <c r="G125" s="97" t="s">
        <v>860</v>
      </c>
    </row>
    <row r="126">
      <c r="A126" s="94">
        <v>45926.0</v>
      </c>
      <c r="B126" s="95">
        <v>-1478.65</v>
      </c>
      <c r="C126" s="96"/>
      <c r="D126" s="95">
        <v>1.0</v>
      </c>
      <c r="E126" s="97" t="s">
        <v>12</v>
      </c>
      <c r="F126" s="97" t="s">
        <v>852</v>
      </c>
      <c r="G126" s="97" t="s">
        <v>852</v>
      </c>
    </row>
    <row r="127">
      <c r="A127" s="99">
        <v>45926.0</v>
      </c>
      <c r="B127" s="96"/>
      <c r="C127" s="95">
        <v>9784.8</v>
      </c>
      <c r="D127" s="95">
        <v>1.0</v>
      </c>
      <c r="E127" s="97" t="s">
        <v>12</v>
      </c>
      <c r="F127" s="97" t="s">
        <v>853</v>
      </c>
      <c r="G127" s="97" t="s">
        <v>853</v>
      </c>
    </row>
    <row r="128">
      <c r="A128" s="94">
        <v>45929.0</v>
      </c>
      <c r="B128" s="89"/>
      <c r="C128" s="95">
        <v>9811.0</v>
      </c>
      <c r="D128" s="95">
        <v>1.0</v>
      </c>
      <c r="E128" s="97" t="s">
        <v>12</v>
      </c>
      <c r="F128" s="97" t="s">
        <v>843</v>
      </c>
      <c r="G128" s="97" t="s">
        <v>843</v>
      </c>
      <c r="K128" s="92" t="s">
        <v>1020</v>
      </c>
      <c r="L128" s="42">
        <v>7.0</v>
      </c>
    </row>
    <row r="129">
      <c r="A129" s="94">
        <v>45929.0</v>
      </c>
      <c r="B129" s="89"/>
      <c r="C129" s="95">
        <v>3895.0</v>
      </c>
      <c r="D129" s="95">
        <v>1.0</v>
      </c>
      <c r="E129" s="97" t="s">
        <v>12</v>
      </c>
      <c r="F129" s="97" t="s">
        <v>844</v>
      </c>
      <c r="G129" s="97" t="s">
        <v>844</v>
      </c>
      <c r="K129" s="92" t="s">
        <v>108</v>
      </c>
      <c r="L129" s="42">
        <v>8.0</v>
      </c>
    </row>
    <row r="130">
      <c r="A130" s="94">
        <v>45929.0</v>
      </c>
      <c r="B130" s="89"/>
      <c r="C130" s="95">
        <v>4603.0</v>
      </c>
      <c r="D130" s="95">
        <v>1.0</v>
      </c>
      <c r="E130" s="97" t="s">
        <v>12</v>
      </c>
      <c r="F130" s="97" t="s">
        <v>845</v>
      </c>
      <c r="G130" s="97" t="s">
        <v>845</v>
      </c>
      <c r="K130" s="92" t="s">
        <v>1021</v>
      </c>
      <c r="L130" s="42">
        <v>9.0</v>
      </c>
    </row>
    <row r="131">
      <c r="A131" s="99">
        <v>45929.0</v>
      </c>
      <c r="B131" s="89"/>
      <c r="C131" s="95">
        <v>3390.0</v>
      </c>
      <c r="D131" s="95">
        <v>1.0</v>
      </c>
      <c r="E131" s="97" t="s">
        <v>12</v>
      </c>
      <c r="F131" s="97" t="s">
        <v>846</v>
      </c>
      <c r="G131" s="97" t="s">
        <v>846</v>
      </c>
      <c r="K131" s="92" t="s">
        <v>1022</v>
      </c>
      <c r="L131" s="42">
        <v>10.0</v>
      </c>
    </row>
    <row r="132">
      <c r="A132" s="99">
        <v>45929.0</v>
      </c>
      <c r="B132" s="89"/>
      <c r="C132" s="95">
        <v>647.0</v>
      </c>
      <c r="D132" s="95">
        <v>1.0</v>
      </c>
      <c r="E132" s="97" t="s">
        <v>12</v>
      </c>
      <c r="F132" s="97" t="s">
        <v>847</v>
      </c>
      <c r="G132" s="97" t="s">
        <v>847</v>
      </c>
    </row>
    <row r="133">
      <c r="A133" s="99">
        <v>45929.0</v>
      </c>
      <c r="B133" s="89"/>
      <c r="C133" s="95">
        <v>1955.0</v>
      </c>
      <c r="D133" s="95">
        <v>1.0</v>
      </c>
      <c r="E133" s="97" t="s">
        <v>12</v>
      </c>
      <c r="F133" s="97" t="s">
        <v>848</v>
      </c>
      <c r="G133" s="97" t="s">
        <v>848</v>
      </c>
    </row>
    <row r="134">
      <c r="A134" s="94">
        <v>45929.0</v>
      </c>
      <c r="B134" s="96"/>
      <c r="C134" s="95">
        <v>1345.0</v>
      </c>
      <c r="D134" s="95">
        <v>1.0</v>
      </c>
      <c r="E134" s="97" t="s">
        <v>12</v>
      </c>
      <c r="F134" s="97" t="s">
        <v>849</v>
      </c>
      <c r="G134" s="97" t="s">
        <v>849</v>
      </c>
    </row>
    <row r="135">
      <c r="A135" s="94">
        <v>45929.0</v>
      </c>
      <c r="B135" s="96"/>
      <c r="C135" s="95">
        <v>5414.57</v>
      </c>
      <c r="D135" s="95">
        <v>1.0</v>
      </c>
      <c r="E135" s="97" t="s">
        <v>12</v>
      </c>
      <c r="F135" s="97" t="s">
        <v>850</v>
      </c>
      <c r="G135" s="97" t="s">
        <v>850</v>
      </c>
    </row>
    <row r="136">
      <c r="A136" s="94">
        <v>45929.0</v>
      </c>
      <c r="B136" s="96"/>
      <c r="C136" s="95">
        <v>671.0</v>
      </c>
      <c r="D136" s="95">
        <v>1.0</v>
      </c>
      <c r="E136" s="97" t="s">
        <v>12</v>
      </c>
      <c r="F136" s="97" t="s">
        <v>851</v>
      </c>
      <c r="G136" s="97" t="s">
        <v>851</v>
      </c>
    </row>
    <row r="137">
      <c r="A137" s="99">
        <v>45929.0</v>
      </c>
      <c r="B137" s="96"/>
      <c r="C137" s="95">
        <v>7000.0</v>
      </c>
      <c r="D137" s="95"/>
      <c r="E137" s="97" t="s">
        <v>58</v>
      </c>
      <c r="F137" s="97" t="s">
        <v>713</v>
      </c>
      <c r="G137" s="97" t="s">
        <v>713</v>
      </c>
    </row>
    <row r="138">
      <c r="A138" s="94">
        <v>45930.0</v>
      </c>
      <c r="B138" s="95">
        <v>-2329.42</v>
      </c>
      <c r="C138" s="89"/>
      <c r="D138" s="95">
        <v>1.0</v>
      </c>
      <c r="E138" s="97" t="s">
        <v>12</v>
      </c>
      <c r="F138" s="97" t="s">
        <v>837</v>
      </c>
      <c r="G138" s="97" t="s">
        <v>837</v>
      </c>
      <c r="K138" s="92" t="s">
        <v>1023</v>
      </c>
      <c r="L138" s="42">
        <v>1.0</v>
      </c>
    </row>
    <row r="139">
      <c r="A139" s="94">
        <v>45930.0</v>
      </c>
      <c r="B139" s="89"/>
      <c r="C139" s="95">
        <v>6297.0</v>
      </c>
      <c r="D139" s="95">
        <v>1.0</v>
      </c>
      <c r="E139" s="97" t="s">
        <v>12</v>
      </c>
      <c r="F139" s="97" t="s">
        <v>838</v>
      </c>
      <c r="G139" s="97" t="s">
        <v>838</v>
      </c>
      <c r="K139" s="92" t="s">
        <v>1024</v>
      </c>
      <c r="L139" s="42">
        <v>2.0</v>
      </c>
    </row>
    <row r="140">
      <c r="A140" s="94">
        <v>45930.0</v>
      </c>
      <c r="B140" s="89"/>
      <c r="C140" s="95">
        <v>1805.0</v>
      </c>
      <c r="D140" s="95">
        <v>1.0</v>
      </c>
      <c r="E140" s="97" t="s">
        <v>12</v>
      </c>
      <c r="F140" s="97" t="s">
        <v>839</v>
      </c>
      <c r="G140" s="97" t="s">
        <v>839</v>
      </c>
      <c r="K140" s="100" t="s">
        <v>1025</v>
      </c>
      <c r="L140" s="42">
        <v>3.0</v>
      </c>
    </row>
    <row r="141">
      <c r="A141" s="94">
        <v>45930.0</v>
      </c>
      <c r="B141" s="89"/>
      <c r="C141" s="95">
        <v>1720.0</v>
      </c>
      <c r="D141" s="95">
        <v>1.0</v>
      </c>
      <c r="E141" s="97" t="s">
        <v>12</v>
      </c>
      <c r="F141" s="97" t="s">
        <v>840</v>
      </c>
      <c r="G141" s="97" t="s">
        <v>840</v>
      </c>
      <c r="K141" s="92" t="s">
        <v>1026</v>
      </c>
      <c r="L141" s="42">
        <v>4.0</v>
      </c>
    </row>
    <row r="142">
      <c r="A142" s="94">
        <v>45930.0</v>
      </c>
      <c r="B142" s="89"/>
      <c r="C142" s="95">
        <v>3572.97</v>
      </c>
      <c r="D142" s="95">
        <v>1.0</v>
      </c>
      <c r="E142" s="97" t="s">
        <v>12</v>
      </c>
      <c r="F142" s="97" t="s">
        <v>841</v>
      </c>
      <c r="G142" s="97" t="s">
        <v>841</v>
      </c>
      <c r="K142" s="92" t="s">
        <v>1027</v>
      </c>
      <c r="L142" s="42">
        <v>5.0</v>
      </c>
    </row>
    <row r="143">
      <c r="A143" s="94">
        <v>45930.0</v>
      </c>
      <c r="B143" s="89"/>
      <c r="C143" s="95">
        <v>44.8</v>
      </c>
      <c r="D143" s="95">
        <v>1.0</v>
      </c>
      <c r="E143" s="97" t="s">
        <v>28</v>
      </c>
      <c r="F143" s="97" t="s">
        <v>842</v>
      </c>
      <c r="G143" s="97" t="s">
        <v>842</v>
      </c>
      <c r="K143" s="92" t="s">
        <v>1028</v>
      </c>
      <c r="L143" s="42">
        <v>6.0</v>
      </c>
    </row>
    <row r="144">
      <c r="A144" s="101"/>
      <c r="B144" s="90"/>
      <c r="C144" s="90"/>
      <c r="D144" s="91"/>
      <c r="E144" s="92"/>
      <c r="F144" s="93"/>
      <c r="G144" s="93"/>
    </row>
    <row r="145">
      <c r="A145" s="101"/>
      <c r="B145" s="90"/>
      <c r="C145" s="90"/>
      <c r="D145" s="91"/>
      <c r="E145" s="92"/>
      <c r="F145" s="93"/>
      <c r="G145" s="93"/>
    </row>
    <row r="146">
      <c r="A146" s="101"/>
      <c r="B146" s="90"/>
      <c r="C146" s="90"/>
      <c r="D146" s="91"/>
      <c r="E146" s="92"/>
      <c r="F146" s="93"/>
      <c r="G146" s="93"/>
    </row>
    <row r="147">
      <c r="A147" s="102"/>
      <c r="B147" s="90"/>
      <c r="C147" s="90"/>
      <c r="D147" s="91"/>
      <c r="E147" s="92"/>
      <c r="F147" s="93"/>
      <c r="G147" s="93"/>
    </row>
    <row r="148">
      <c r="A148" s="101"/>
      <c r="B148" s="90"/>
      <c r="C148" s="90"/>
      <c r="D148" s="91"/>
      <c r="E148" s="92"/>
      <c r="F148" s="93"/>
      <c r="G148" s="93"/>
    </row>
    <row r="149">
      <c r="A149" s="102"/>
      <c r="B149" s="90"/>
      <c r="C149" s="90"/>
      <c r="D149" s="91"/>
      <c r="E149" s="92"/>
      <c r="F149" s="93"/>
      <c r="G149" s="93"/>
    </row>
    <row r="150">
      <c r="A150" s="102"/>
      <c r="B150" s="90"/>
      <c r="C150" s="90"/>
      <c r="D150" s="91"/>
      <c r="E150" s="92"/>
      <c r="F150" s="93"/>
      <c r="G150" s="93"/>
    </row>
    <row r="151">
      <c r="A151" s="102"/>
      <c r="B151" s="90"/>
      <c r="C151" s="90"/>
      <c r="D151" s="91"/>
      <c r="E151" s="92"/>
      <c r="F151" s="93"/>
      <c r="G151" s="93"/>
    </row>
    <row r="152">
      <c r="A152" s="101"/>
      <c r="B152" s="90"/>
      <c r="C152" s="90"/>
      <c r="D152" s="91"/>
      <c r="E152" s="92"/>
      <c r="F152" s="93"/>
      <c r="G152" s="93"/>
    </row>
    <row r="153">
      <c r="A153" s="101"/>
      <c r="B153" s="90"/>
      <c r="C153" s="90"/>
      <c r="D153" s="91"/>
      <c r="E153" s="92"/>
      <c r="F153" s="93"/>
      <c r="G153" s="93"/>
    </row>
    <row r="154">
      <c r="A154" s="101"/>
      <c r="B154" s="90"/>
      <c r="C154" s="90"/>
      <c r="D154" s="91"/>
      <c r="E154" s="92"/>
      <c r="F154" s="93"/>
      <c r="G154" s="93"/>
    </row>
    <row r="155">
      <c r="A155" s="101"/>
      <c r="B155" s="90"/>
      <c r="C155" s="90"/>
      <c r="D155" s="91"/>
      <c r="E155" s="92"/>
      <c r="F155" s="93"/>
      <c r="G155" s="93"/>
    </row>
    <row r="156">
      <c r="A156" s="101"/>
      <c r="B156" s="90"/>
      <c r="C156" s="90"/>
      <c r="D156" s="91"/>
      <c r="E156" s="92"/>
      <c r="F156" s="93"/>
      <c r="G156" s="93"/>
    </row>
    <row r="157">
      <c r="A157" s="101"/>
      <c r="B157" s="90"/>
      <c r="C157" s="90"/>
      <c r="D157" s="91"/>
      <c r="E157" s="92"/>
      <c r="F157" s="93"/>
      <c r="G157" s="93"/>
    </row>
    <row r="158">
      <c r="A158" s="101"/>
      <c r="B158" s="90"/>
      <c r="C158" s="90"/>
      <c r="D158" s="91"/>
      <c r="E158" s="92"/>
      <c r="F158" s="93"/>
      <c r="G158" s="93"/>
    </row>
    <row r="159">
      <c r="A159" s="101"/>
      <c r="B159" s="90"/>
      <c r="C159" s="90"/>
      <c r="D159" s="91"/>
      <c r="E159" s="92"/>
      <c r="F159" s="93"/>
      <c r="G159" s="93"/>
    </row>
    <row r="160">
      <c r="A160" s="101"/>
      <c r="B160" s="90"/>
      <c r="C160" s="90"/>
      <c r="D160" s="91"/>
      <c r="E160" s="92"/>
      <c r="F160" s="93"/>
      <c r="G160" s="93"/>
    </row>
    <row r="161">
      <c r="A161" s="101"/>
      <c r="B161" s="90"/>
      <c r="C161" s="90"/>
      <c r="D161" s="91"/>
      <c r="E161" s="92"/>
      <c r="F161" s="93"/>
      <c r="G161" s="93"/>
    </row>
    <row r="162">
      <c r="A162" s="101"/>
      <c r="B162" s="90"/>
      <c r="C162" s="90"/>
      <c r="D162" s="91"/>
      <c r="E162" s="92"/>
      <c r="F162" s="93"/>
      <c r="G162" s="93"/>
    </row>
    <row r="163">
      <c r="A163" s="101"/>
      <c r="B163" s="90"/>
      <c r="C163" s="90"/>
      <c r="D163" s="91"/>
      <c r="E163" s="92"/>
      <c r="F163" s="93"/>
      <c r="G163" s="93"/>
    </row>
    <row r="164">
      <c r="A164" s="101"/>
      <c r="B164" s="90"/>
      <c r="C164" s="90"/>
      <c r="D164" s="91"/>
      <c r="E164" s="92"/>
      <c r="F164" s="93"/>
      <c r="G164" s="93"/>
    </row>
    <row r="165">
      <c r="A165" s="101"/>
      <c r="B165" s="90"/>
      <c r="C165" s="90"/>
      <c r="D165" s="91"/>
      <c r="E165" s="92"/>
      <c r="F165" s="93"/>
      <c r="G165" s="93"/>
    </row>
    <row r="166">
      <c r="A166" s="101"/>
      <c r="B166" s="90"/>
      <c r="C166" s="90"/>
      <c r="D166" s="91"/>
      <c r="E166" s="92"/>
      <c r="F166" s="93"/>
      <c r="G166" s="93"/>
    </row>
    <row r="167">
      <c r="A167" s="101"/>
      <c r="B167" s="90"/>
      <c r="C167" s="90"/>
      <c r="D167" s="91"/>
      <c r="E167" s="92"/>
      <c r="F167" s="93"/>
      <c r="G167" s="93"/>
    </row>
    <row r="168">
      <c r="A168" s="101"/>
      <c r="B168" s="90"/>
      <c r="C168" s="90"/>
      <c r="D168" s="91"/>
      <c r="E168" s="92"/>
      <c r="F168" s="93"/>
      <c r="G168" s="93"/>
    </row>
    <row r="169">
      <c r="A169" s="101"/>
      <c r="B169" s="90"/>
      <c r="C169" s="90"/>
      <c r="D169" s="91"/>
      <c r="E169" s="92"/>
      <c r="F169" s="93"/>
      <c r="G169" s="93"/>
    </row>
    <row r="170">
      <c r="A170" s="102"/>
      <c r="B170" s="90"/>
      <c r="C170" s="90"/>
      <c r="D170" s="91"/>
      <c r="E170" s="92"/>
      <c r="F170" s="93"/>
      <c r="G170" s="93"/>
    </row>
    <row r="171">
      <c r="A171" s="102"/>
      <c r="B171" s="90"/>
      <c r="C171" s="90"/>
      <c r="D171" s="91"/>
      <c r="E171" s="92"/>
      <c r="F171" s="93"/>
      <c r="G171" s="93"/>
    </row>
    <row r="172">
      <c r="A172" s="102"/>
      <c r="B172" s="90"/>
      <c r="C172" s="90"/>
      <c r="D172" s="91"/>
      <c r="E172" s="92"/>
      <c r="F172" s="93"/>
      <c r="G172" s="93"/>
    </row>
    <row r="173">
      <c r="A173" s="101"/>
      <c r="B173" s="90"/>
      <c r="C173" s="90"/>
      <c r="D173" s="91"/>
      <c r="E173" s="92"/>
      <c r="F173" s="93"/>
      <c r="G173" s="93"/>
    </row>
    <row r="174">
      <c r="A174" s="101"/>
      <c r="B174" s="90"/>
      <c r="C174" s="90"/>
      <c r="D174" s="91"/>
      <c r="E174" s="92"/>
      <c r="F174" s="93"/>
      <c r="G174" s="93"/>
    </row>
    <row r="175">
      <c r="A175" s="102"/>
      <c r="B175" s="90"/>
      <c r="C175" s="90"/>
      <c r="D175" s="91"/>
      <c r="E175" s="92"/>
      <c r="F175" s="93"/>
      <c r="G175" s="93"/>
    </row>
    <row r="176">
      <c r="A176" s="101"/>
      <c r="B176" s="90"/>
      <c r="C176" s="90"/>
      <c r="D176" s="91"/>
      <c r="E176" s="92"/>
      <c r="F176" s="93"/>
      <c r="G176" s="93"/>
    </row>
    <row r="177">
      <c r="A177" s="101"/>
      <c r="B177" s="90"/>
      <c r="C177" s="90"/>
      <c r="D177" s="91"/>
      <c r="E177" s="92"/>
      <c r="F177" s="93"/>
      <c r="G177" s="93"/>
    </row>
    <row r="178">
      <c r="A178" s="101"/>
      <c r="B178" s="90"/>
      <c r="C178" s="90"/>
      <c r="D178" s="91"/>
      <c r="E178" s="92"/>
      <c r="F178" s="93"/>
      <c r="G178" s="93"/>
    </row>
    <row r="179">
      <c r="A179" s="101"/>
      <c r="B179" s="90"/>
      <c r="C179" s="90"/>
      <c r="D179" s="91"/>
      <c r="E179" s="92"/>
      <c r="F179" s="93"/>
      <c r="G179" s="93"/>
    </row>
    <row r="180">
      <c r="A180" s="101"/>
      <c r="B180" s="90"/>
      <c r="C180" s="90"/>
      <c r="D180" s="91"/>
      <c r="E180" s="92"/>
      <c r="F180" s="93"/>
      <c r="G180" s="93"/>
    </row>
    <row r="181">
      <c r="A181" s="101"/>
      <c r="B181" s="90"/>
      <c r="C181" s="90"/>
      <c r="D181" s="91"/>
      <c r="E181" s="92"/>
      <c r="F181" s="93"/>
      <c r="G181" s="93"/>
    </row>
    <row r="182">
      <c r="A182" s="101"/>
      <c r="B182" s="90"/>
      <c r="C182" s="90"/>
      <c r="D182" s="91"/>
      <c r="E182" s="92"/>
      <c r="F182" s="93"/>
      <c r="G182" s="93"/>
    </row>
    <row r="183">
      <c r="A183" s="102"/>
      <c r="B183" s="90"/>
      <c r="C183" s="90"/>
      <c r="D183" s="91"/>
      <c r="E183" s="92"/>
      <c r="F183" s="93"/>
      <c r="G183" s="93"/>
    </row>
    <row r="184">
      <c r="A184" s="102"/>
      <c r="B184" s="90"/>
      <c r="C184" s="90"/>
      <c r="D184" s="91"/>
      <c r="E184" s="92"/>
      <c r="F184" s="93"/>
      <c r="G184" s="93"/>
    </row>
    <row r="185">
      <c r="A185" s="102"/>
      <c r="B185" s="90"/>
      <c r="C185" s="90"/>
      <c r="D185" s="91"/>
      <c r="E185" s="92"/>
      <c r="F185" s="93"/>
      <c r="G185" s="93"/>
    </row>
    <row r="186">
      <c r="A186" s="102"/>
      <c r="B186" s="90"/>
      <c r="C186" s="90"/>
      <c r="D186" s="91"/>
      <c r="E186" s="92"/>
      <c r="F186" s="93"/>
      <c r="G186" s="93"/>
    </row>
    <row r="187">
      <c r="A187" s="102"/>
      <c r="B187" s="90"/>
      <c r="C187" s="90"/>
      <c r="D187" s="91"/>
      <c r="E187" s="92"/>
      <c r="F187" s="93"/>
      <c r="G187" s="93"/>
    </row>
    <row r="188">
      <c r="A188" s="101"/>
      <c r="B188" s="90"/>
      <c r="C188" s="90"/>
      <c r="D188" s="91"/>
      <c r="E188" s="100"/>
      <c r="F188" s="93"/>
      <c r="G188" s="93"/>
    </row>
    <row r="189">
      <c r="A189" s="101"/>
      <c r="B189" s="90"/>
      <c r="C189" s="90"/>
      <c r="D189" s="91"/>
      <c r="E189" s="100"/>
      <c r="F189" s="93"/>
      <c r="G189" s="93"/>
    </row>
    <row r="190">
      <c r="A190" s="101"/>
      <c r="B190" s="90"/>
      <c r="C190" s="90"/>
      <c r="D190" s="91"/>
      <c r="E190" s="100"/>
      <c r="F190" s="93"/>
      <c r="G190" s="93"/>
    </row>
    <row r="191">
      <c r="A191" s="101"/>
      <c r="B191" s="90"/>
      <c r="C191" s="90"/>
      <c r="D191" s="91"/>
      <c r="E191" s="92"/>
      <c r="F191" s="93"/>
      <c r="G191" s="93"/>
    </row>
    <row r="192">
      <c r="A192" s="101"/>
      <c r="B192" s="90"/>
      <c r="C192" s="90"/>
      <c r="D192" s="91"/>
      <c r="E192" s="92"/>
      <c r="F192" s="93"/>
      <c r="G192" s="93"/>
    </row>
    <row r="193">
      <c r="A193" s="101"/>
      <c r="B193" s="90"/>
      <c r="C193" s="90"/>
      <c r="D193" s="91"/>
      <c r="E193" s="92"/>
      <c r="F193" s="93"/>
      <c r="G193" s="93"/>
    </row>
    <row r="194">
      <c r="A194" s="101"/>
      <c r="B194" s="90"/>
      <c r="C194" s="90"/>
      <c r="D194" s="91"/>
      <c r="E194" s="92"/>
      <c r="F194" s="93"/>
      <c r="G194" s="93"/>
    </row>
    <row r="195">
      <c r="A195" s="101"/>
      <c r="B195" s="90"/>
      <c r="C195" s="90"/>
      <c r="D195" s="91"/>
      <c r="E195" s="92"/>
      <c r="F195" s="93"/>
      <c r="G195" s="93"/>
    </row>
    <row r="196">
      <c r="A196" s="101"/>
      <c r="B196" s="90"/>
      <c r="C196" s="90"/>
      <c r="D196" s="91"/>
      <c r="E196" s="92"/>
      <c r="F196" s="93"/>
      <c r="G196" s="93"/>
    </row>
    <row r="197">
      <c r="A197" s="101"/>
      <c r="B197" s="90"/>
      <c r="C197" s="90"/>
      <c r="D197" s="91"/>
      <c r="E197" s="92"/>
      <c r="F197" s="93"/>
      <c r="G197" s="93"/>
    </row>
    <row r="198">
      <c r="A198" s="102"/>
      <c r="B198" s="90"/>
      <c r="C198" s="90"/>
      <c r="D198" s="91"/>
      <c r="E198" s="92"/>
      <c r="F198" s="93"/>
      <c r="G198" s="93"/>
    </row>
    <row r="199">
      <c r="A199" s="102"/>
      <c r="B199" s="90"/>
      <c r="C199" s="90"/>
      <c r="D199" s="91"/>
      <c r="E199" s="92"/>
      <c r="F199" s="93"/>
      <c r="G199" s="93"/>
    </row>
    <row r="200">
      <c r="A200" s="101"/>
      <c r="B200" s="90"/>
      <c r="C200" s="90"/>
      <c r="D200" s="91"/>
      <c r="E200" s="92"/>
      <c r="F200" s="93"/>
      <c r="G200" s="93"/>
    </row>
    <row r="201">
      <c r="A201" s="101"/>
      <c r="B201" s="90"/>
      <c r="C201" s="90"/>
      <c r="D201" s="91"/>
      <c r="E201" s="92"/>
      <c r="F201" s="93"/>
      <c r="G201" s="93"/>
    </row>
    <row r="202">
      <c r="A202" s="101"/>
      <c r="B202" s="90"/>
      <c r="C202" s="90"/>
      <c r="D202" s="91"/>
      <c r="E202" s="92"/>
      <c r="F202" s="93"/>
      <c r="G202" s="93"/>
    </row>
    <row r="203">
      <c r="A203" s="101"/>
      <c r="B203" s="90"/>
      <c r="C203" s="90"/>
      <c r="D203" s="91"/>
      <c r="E203" s="92"/>
      <c r="F203" s="93"/>
      <c r="G203" s="93"/>
    </row>
    <row r="204">
      <c r="A204" s="101"/>
      <c r="B204" s="90"/>
      <c r="C204" s="90"/>
      <c r="D204" s="91"/>
      <c r="E204" s="92"/>
      <c r="F204" s="93"/>
      <c r="G204" s="93"/>
    </row>
    <row r="205">
      <c r="A205" s="101"/>
      <c r="B205" s="90"/>
      <c r="C205" s="90"/>
      <c r="D205" s="91"/>
      <c r="E205" s="92"/>
      <c r="F205" s="93"/>
      <c r="G205" s="93"/>
    </row>
    <row r="206">
      <c r="A206" s="101"/>
      <c r="B206" s="90"/>
      <c r="C206" s="90"/>
      <c r="D206" s="91"/>
      <c r="E206" s="92"/>
      <c r="F206" s="93"/>
      <c r="G206" s="93"/>
    </row>
    <row r="207">
      <c r="A207" s="101"/>
      <c r="B207" s="90"/>
      <c r="C207" s="90"/>
      <c r="D207" s="91"/>
      <c r="E207" s="92"/>
      <c r="F207" s="93"/>
      <c r="G207" s="93"/>
    </row>
    <row r="208">
      <c r="A208" s="101"/>
      <c r="B208" s="90"/>
      <c r="C208" s="90"/>
      <c r="D208" s="91"/>
      <c r="E208" s="92"/>
      <c r="F208" s="93"/>
      <c r="G208" s="93"/>
    </row>
    <row r="209">
      <c r="A209" s="101"/>
      <c r="B209" s="90"/>
      <c r="C209" s="90"/>
      <c r="D209" s="91"/>
      <c r="E209" s="92"/>
      <c r="F209" s="93"/>
      <c r="G209" s="93"/>
    </row>
    <row r="210">
      <c r="A210" s="101"/>
      <c r="B210" s="90"/>
      <c r="C210" s="90"/>
      <c r="D210" s="91"/>
      <c r="E210" s="92"/>
      <c r="F210" s="93"/>
      <c r="G210" s="93"/>
    </row>
    <row r="211">
      <c r="A211" s="101"/>
      <c r="B211" s="90"/>
      <c r="C211" s="90"/>
      <c r="D211" s="91"/>
      <c r="E211" s="92"/>
      <c r="F211" s="93"/>
      <c r="G211" s="93"/>
    </row>
    <row r="212">
      <c r="A212" s="101"/>
      <c r="B212" s="90"/>
      <c r="C212" s="90"/>
      <c r="D212" s="91"/>
      <c r="E212" s="92"/>
      <c r="F212" s="93"/>
      <c r="G212" s="93"/>
    </row>
    <row r="213">
      <c r="A213" s="101"/>
      <c r="B213" s="90"/>
      <c r="C213" s="90"/>
      <c r="D213" s="91"/>
      <c r="E213" s="92"/>
      <c r="F213" s="93"/>
      <c r="G213" s="93"/>
    </row>
    <row r="214">
      <c r="A214" s="101"/>
      <c r="B214" s="90"/>
      <c r="C214" s="90"/>
      <c r="D214" s="91"/>
      <c r="E214" s="92"/>
      <c r="F214" s="93"/>
      <c r="G214" s="93"/>
    </row>
    <row r="215">
      <c r="A215" s="101"/>
      <c r="B215" s="90"/>
      <c r="C215" s="90"/>
      <c r="D215" s="91"/>
      <c r="E215" s="92"/>
      <c r="F215" s="93"/>
      <c r="G215" s="93"/>
    </row>
    <row r="216">
      <c r="A216" s="102"/>
      <c r="B216" s="90"/>
      <c r="C216" s="90"/>
      <c r="D216" s="91"/>
      <c r="E216" s="92"/>
      <c r="F216" s="93"/>
      <c r="G216" s="93"/>
    </row>
    <row r="217">
      <c r="A217" s="102"/>
      <c r="B217" s="90"/>
      <c r="C217" s="90"/>
      <c r="D217" s="91"/>
      <c r="E217" s="92"/>
      <c r="F217" s="93"/>
      <c r="G217" s="93"/>
    </row>
    <row r="218">
      <c r="A218" s="102"/>
      <c r="B218" s="90"/>
      <c r="C218" s="90"/>
      <c r="D218" s="91"/>
      <c r="E218" s="92"/>
      <c r="F218" s="93"/>
      <c r="G218" s="93"/>
    </row>
    <row r="219">
      <c r="A219" s="101"/>
      <c r="B219" s="90"/>
      <c r="C219" s="90"/>
      <c r="D219" s="91"/>
      <c r="E219" s="92"/>
      <c r="F219" s="93"/>
      <c r="G219" s="93"/>
    </row>
    <row r="220">
      <c r="A220" s="101"/>
      <c r="B220" s="90"/>
      <c r="C220" s="90"/>
      <c r="D220" s="91"/>
      <c r="E220" s="92"/>
      <c r="F220" s="93"/>
      <c r="G220" s="93"/>
    </row>
    <row r="221">
      <c r="A221" s="102"/>
      <c r="B221" s="90"/>
      <c r="C221" s="90"/>
      <c r="D221" s="91"/>
      <c r="E221" s="92"/>
      <c r="F221" s="93"/>
      <c r="G221" s="93"/>
    </row>
    <row r="222">
      <c r="A222" s="101"/>
      <c r="B222" s="90"/>
      <c r="C222" s="90"/>
      <c r="D222" s="91"/>
      <c r="E222" s="92"/>
      <c r="F222" s="93"/>
      <c r="G222" s="93"/>
    </row>
    <row r="223">
      <c r="A223" s="101"/>
      <c r="B223" s="90"/>
      <c r="C223" s="90"/>
      <c r="D223" s="91"/>
      <c r="E223" s="92"/>
      <c r="F223" s="93"/>
      <c r="G223" s="93"/>
    </row>
    <row r="224">
      <c r="A224" s="101"/>
      <c r="B224" s="90"/>
      <c r="C224" s="90"/>
      <c r="D224" s="91"/>
      <c r="E224" s="92"/>
      <c r="F224" s="93"/>
      <c r="G224" s="93"/>
    </row>
    <row r="225">
      <c r="A225" s="102"/>
      <c r="B225" s="90"/>
      <c r="C225" s="90"/>
      <c r="D225" s="91"/>
      <c r="E225" s="92"/>
      <c r="F225" s="93"/>
      <c r="G225" s="93"/>
    </row>
    <row r="226">
      <c r="A226" s="101"/>
      <c r="B226" s="90"/>
      <c r="C226" s="90"/>
      <c r="D226" s="91"/>
      <c r="E226" s="92"/>
      <c r="F226" s="93"/>
      <c r="G226" s="93"/>
    </row>
    <row r="227">
      <c r="A227" s="102"/>
      <c r="B227" s="90"/>
      <c r="C227" s="90"/>
      <c r="D227" s="91"/>
      <c r="E227" s="92"/>
      <c r="F227" s="93"/>
      <c r="G227" s="93"/>
    </row>
    <row r="228">
      <c r="A228" s="102"/>
      <c r="B228" s="90"/>
      <c r="C228" s="90"/>
      <c r="D228" s="91"/>
      <c r="E228" s="92"/>
      <c r="F228" s="93"/>
      <c r="G228" s="93"/>
    </row>
    <row r="229">
      <c r="A229" s="102"/>
      <c r="B229" s="90"/>
      <c r="C229" s="90"/>
      <c r="D229" s="91"/>
      <c r="E229" s="92"/>
      <c r="F229" s="93"/>
      <c r="G229" s="93"/>
    </row>
    <row r="230">
      <c r="A230" s="101"/>
      <c r="B230" s="90"/>
      <c r="C230" s="90"/>
      <c r="D230" s="91"/>
      <c r="E230" s="92"/>
      <c r="F230" s="93"/>
      <c r="G230" s="93"/>
    </row>
    <row r="231">
      <c r="A231" s="101"/>
      <c r="B231" s="90"/>
      <c r="C231" s="90"/>
      <c r="D231" s="91"/>
      <c r="E231" s="92"/>
      <c r="F231" s="93"/>
      <c r="G231" s="93"/>
    </row>
    <row r="232">
      <c r="A232" s="101"/>
      <c r="B232" s="90"/>
      <c r="C232" s="90"/>
      <c r="D232" s="91"/>
      <c r="E232" s="92"/>
      <c r="F232" s="93"/>
      <c r="G232" s="93"/>
    </row>
    <row r="233">
      <c r="A233" s="101"/>
      <c r="B233" s="90"/>
      <c r="C233" s="90"/>
      <c r="D233" s="91"/>
      <c r="E233" s="92"/>
      <c r="F233" s="93"/>
      <c r="G233" s="93"/>
    </row>
    <row r="234">
      <c r="A234" s="101"/>
      <c r="B234" s="90"/>
      <c r="C234" s="90"/>
      <c r="D234" s="91"/>
      <c r="E234" s="92"/>
      <c r="F234" s="93"/>
      <c r="G234" s="93"/>
    </row>
    <row r="235">
      <c r="A235" s="101"/>
      <c r="B235" s="90"/>
      <c r="C235" s="90"/>
      <c r="D235" s="91"/>
      <c r="E235" s="92"/>
      <c r="F235" s="93"/>
      <c r="G235" s="93"/>
    </row>
    <row r="236">
      <c r="A236" s="102"/>
      <c r="B236" s="90"/>
      <c r="C236" s="90"/>
      <c r="D236" s="91"/>
      <c r="E236" s="92"/>
      <c r="F236" s="93"/>
      <c r="G236" s="93"/>
    </row>
    <row r="237">
      <c r="A237" s="102"/>
      <c r="B237" s="90"/>
      <c r="C237" s="90"/>
      <c r="D237" s="91"/>
      <c r="E237" s="92"/>
      <c r="F237" s="93"/>
      <c r="G237" s="93"/>
    </row>
    <row r="238">
      <c r="A238" s="101"/>
      <c r="B238" s="90"/>
      <c r="C238" s="90"/>
      <c r="D238" s="91"/>
      <c r="E238" s="92"/>
      <c r="F238" s="93"/>
      <c r="G238" s="93"/>
    </row>
    <row r="239">
      <c r="A239" s="102"/>
      <c r="B239" s="90"/>
      <c r="C239" s="90"/>
      <c r="D239" s="91"/>
      <c r="E239" s="92"/>
      <c r="F239" s="93"/>
      <c r="G239" s="93"/>
    </row>
    <row r="240">
      <c r="A240" s="101"/>
      <c r="B240" s="90"/>
      <c r="C240" s="90"/>
      <c r="D240" s="91"/>
      <c r="E240" s="92"/>
      <c r="F240" s="93"/>
      <c r="G240" s="93"/>
    </row>
    <row r="241">
      <c r="A241" s="102"/>
      <c r="B241" s="90"/>
      <c r="C241" s="90"/>
      <c r="D241" s="91"/>
      <c r="E241" s="92"/>
      <c r="F241" s="93"/>
      <c r="G241" s="93"/>
    </row>
    <row r="242">
      <c r="A242" s="101"/>
      <c r="B242" s="90"/>
      <c r="C242" s="90"/>
      <c r="D242" s="91"/>
      <c r="E242" s="92"/>
      <c r="F242" s="93"/>
      <c r="G242" s="93"/>
    </row>
    <row r="243">
      <c r="A243" s="102"/>
      <c r="B243" s="90"/>
      <c r="C243" s="90"/>
      <c r="D243" s="91"/>
      <c r="E243" s="92"/>
      <c r="F243" s="93"/>
      <c r="G243" s="93"/>
    </row>
    <row r="244">
      <c r="A244" s="101"/>
      <c r="B244" s="90"/>
      <c r="C244" s="90"/>
      <c r="D244" s="91"/>
      <c r="E244" s="92"/>
      <c r="F244" s="93"/>
      <c r="G244" s="93"/>
    </row>
    <row r="245">
      <c r="A245" s="101"/>
      <c r="B245" s="90"/>
      <c r="C245" s="90"/>
      <c r="D245" s="91"/>
      <c r="E245" s="92"/>
      <c r="F245" s="93"/>
      <c r="G245" s="93"/>
    </row>
    <row r="246">
      <c r="A246" s="101"/>
      <c r="B246" s="90"/>
      <c r="C246" s="90"/>
      <c r="D246" s="91"/>
      <c r="E246" s="92"/>
      <c r="F246" s="93"/>
      <c r="G246" s="93"/>
    </row>
    <row r="247">
      <c r="A247" s="101"/>
      <c r="B247" s="90"/>
      <c r="C247" s="90"/>
      <c r="D247" s="91"/>
      <c r="E247" s="92"/>
      <c r="F247" s="93"/>
      <c r="G247" s="93"/>
    </row>
    <row r="248">
      <c r="A248" s="101"/>
      <c r="B248" s="90"/>
      <c r="C248" s="90"/>
      <c r="D248" s="91"/>
      <c r="E248" s="92"/>
      <c r="F248" s="93"/>
      <c r="G248" s="93"/>
    </row>
    <row r="249">
      <c r="A249" s="101"/>
      <c r="B249" s="90"/>
      <c r="C249" s="90"/>
      <c r="D249" s="91"/>
      <c r="E249" s="92"/>
      <c r="F249" s="93"/>
      <c r="G249" s="93"/>
    </row>
    <row r="250">
      <c r="A250" s="101"/>
      <c r="B250" s="90"/>
      <c r="C250" s="90"/>
      <c r="D250" s="91"/>
      <c r="E250" s="92"/>
      <c r="F250" s="93"/>
      <c r="G250" s="93"/>
    </row>
    <row r="251">
      <c r="A251" s="101"/>
      <c r="B251" s="90"/>
      <c r="C251" s="90"/>
      <c r="D251" s="91"/>
      <c r="E251" s="92"/>
      <c r="F251" s="93"/>
      <c r="G251" s="93"/>
    </row>
    <row r="252">
      <c r="A252" s="101"/>
      <c r="B252" s="90"/>
      <c r="C252" s="90"/>
      <c r="D252" s="91"/>
      <c r="E252" s="92"/>
      <c r="F252" s="93"/>
      <c r="G252" s="93"/>
    </row>
    <row r="253">
      <c r="A253" s="101"/>
      <c r="B253" s="90"/>
      <c r="C253" s="90"/>
      <c r="D253" s="91"/>
      <c r="E253" s="92"/>
      <c r="F253" s="93"/>
      <c r="G253" s="93"/>
    </row>
    <row r="254">
      <c r="A254" s="101"/>
      <c r="B254" s="90"/>
      <c r="C254" s="90"/>
      <c r="D254" s="91"/>
      <c r="E254" s="92"/>
      <c r="F254" s="93"/>
      <c r="G254" s="93"/>
    </row>
    <row r="255">
      <c r="A255" s="101"/>
      <c r="B255" s="90"/>
      <c r="C255" s="90"/>
      <c r="D255" s="91"/>
      <c r="E255" s="92"/>
      <c r="F255" s="93"/>
      <c r="G255" s="93"/>
    </row>
    <row r="256">
      <c r="A256" s="101"/>
      <c r="B256" s="90"/>
      <c r="C256" s="90"/>
      <c r="D256" s="91"/>
      <c r="E256" s="92"/>
      <c r="F256" s="93"/>
      <c r="G256" s="93"/>
    </row>
    <row r="257">
      <c r="A257" s="101"/>
      <c r="B257" s="90"/>
      <c r="C257" s="90"/>
      <c r="D257" s="91"/>
      <c r="E257" s="92"/>
      <c r="F257" s="93"/>
      <c r="G257" s="93"/>
    </row>
    <row r="258">
      <c r="A258" s="101"/>
      <c r="B258" s="90"/>
      <c r="C258" s="90"/>
      <c r="D258" s="91"/>
      <c r="E258" s="92"/>
      <c r="F258" s="93"/>
      <c r="G258" s="93"/>
    </row>
    <row r="259">
      <c r="A259" s="101"/>
      <c r="B259" s="90"/>
      <c r="C259" s="90"/>
      <c r="D259" s="91"/>
      <c r="E259" s="92"/>
      <c r="F259" s="93"/>
      <c r="G259" s="93"/>
    </row>
    <row r="260">
      <c r="A260" s="101"/>
      <c r="B260" s="90"/>
      <c r="C260" s="90"/>
      <c r="D260" s="91"/>
      <c r="E260" s="92"/>
      <c r="F260" s="93"/>
      <c r="G260" s="93"/>
    </row>
    <row r="261">
      <c r="A261" s="101"/>
      <c r="B261" s="90"/>
      <c r="C261" s="90"/>
      <c r="D261" s="91"/>
      <c r="E261" s="92"/>
      <c r="F261" s="93"/>
      <c r="G261" s="93"/>
    </row>
    <row r="262">
      <c r="A262" s="101"/>
      <c r="B262" s="90"/>
      <c r="C262" s="90"/>
      <c r="D262" s="91"/>
      <c r="E262" s="92"/>
      <c r="F262" s="93"/>
      <c r="G262" s="93"/>
    </row>
    <row r="263">
      <c r="A263" s="101"/>
      <c r="B263" s="90"/>
      <c r="C263" s="90"/>
      <c r="D263" s="91"/>
      <c r="E263" s="92"/>
      <c r="F263" s="93"/>
      <c r="G263" s="93"/>
    </row>
    <row r="264">
      <c r="A264" s="101"/>
      <c r="B264" s="90"/>
      <c r="C264" s="90"/>
      <c r="D264" s="91"/>
      <c r="E264" s="92"/>
      <c r="F264" s="93"/>
      <c r="G264" s="93"/>
    </row>
    <row r="265">
      <c r="A265" s="101"/>
      <c r="B265" s="90"/>
      <c r="C265" s="90"/>
      <c r="D265" s="91"/>
      <c r="E265" s="100"/>
      <c r="F265" s="93"/>
      <c r="G265" s="93"/>
    </row>
    <row r="266">
      <c r="A266" s="101"/>
      <c r="B266" s="90"/>
      <c r="C266" s="90"/>
      <c r="D266" s="91"/>
      <c r="E266" s="100"/>
      <c r="F266" s="93"/>
      <c r="G266" s="93"/>
    </row>
    <row r="267">
      <c r="A267" s="102"/>
      <c r="B267" s="90"/>
      <c r="C267" s="90"/>
      <c r="D267" s="91"/>
      <c r="E267" s="92"/>
      <c r="F267" s="93"/>
      <c r="G267" s="93"/>
    </row>
    <row r="268">
      <c r="A268" s="101"/>
      <c r="B268" s="90"/>
      <c r="C268" s="90"/>
      <c r="D268" s="91"/>
      <c r="E268" s="92"/>
      <c r="F268" s="93"/>
      <c r="G268" s="93"/>
    </row>
    <row r="269">
      <c r="A269" s="102"/>
      <c r="B269" s="90"/>
      <c r="C269" s="90"/>
      <c r="D269" s="91"/>
      <c r="E269" s="92"/>
      <c r="F269" s="93"/>
      <c r="G269" s="93"/>
    </row>
    <row r="270">
      <c r="A270" s="102"/>
      <c r="B270" s="90"/>
      <c r="C270" s="90"/>
      <c r="D270" s="91"/>
      <c r="E270" s="92"/>
      <c r="F270" s="93"/>
      <c r="G270" s="93"/>
    </row>
    <row r="271">
      <c r="A271" s="101"/>
      <c r="B271" s="90"/>
      <c r="C271" s="90"/>
      <c r="D271" s="91"/>
      <c r="E271" s="92"/>
      <c r="F271" s="93"/>
      <c r="G271" s="93"/>
    </row>
    <row r="272">
      <c r="A272" s="101"/>
      <c r="B272" s="90"/>
      <c r="C272" s="90"/>
      <c r="D272" s="91"/>
      <c r="E272" s="92"/>
      <c r="F272" s="93"/>
      <c r="G272" s="93"/>
    </row>
    <row r="273">
      <c r="A273" s="101"/>
      <c r="B273" s="90"/>
      <c r="C273" s="90"/>
      <c r="D273" s="91"/>
      <c r="E273" s="92"/>
      <c r="F273" s="93"/>
      <c r="G273" s="93"/>
    </row>
    <row r="274">
      <c r="A274" s="102"/>
      <c r="B274" s="90"/>
      <c r="C274" s="90"/>
      <c r="D274" s="91"/>
      <c r="E274" s="92"/>
      <c r="F274" s="93"/>
      <c r="G274" s="93"/>
    </row>
    <row r="275">
      <c r="A275" s="102"/>
      <c r="B275" s="90"/>
      <c r="C275" s="90"/>
      <c r="D275" s="91"/>
      <c r="E275" s="92"/>
      <c r="F275" s="93"/>
      <c r="G275" s="93"/>
    </row>
    <row r="276">
      <c r="A276" s="101"/>
      <c r="B276" s="90"/>
      <c r="C276" s="90"/>
      <c r="D276" s="91"/>
      <c r="E276" s="92"/>
      <c r="F276" s="93"/>
      <c r="G276" s="93"/>
    </row>
    <row r="277">
      <c r="A277" s="101"/>
      <c r="B277" s="90"/>
      <c r="C277" s="90"/>
      <c r="D277" s="91"/>
      <c r="E277" s="92"/>
      <c r="F277" s="93"/>
      <c r="G277" s="93"/>
    </row>
    <row r="278">
      <c r="A278" s="101"/>
      <c r="B278" s="90"/>
      <c r="C278" s="90"/>
      <c r="D278" s="91"/>
      <c r="E278" s="92"/>
      <c r="F278" s="93"/>
      <c r="G278" s="93"/>
    </row>
    <row r="279">
      <c r="A279" s="101"/>
      <c r="B279" s="90"/>
      <c r="C279" s="90"/>
      <c r="D279" s="91"/>
      <c r="E279" s="92"/>
      <c r="F279" s="93"/>
      <c r="G279" s="93"/>
    </row>
    <row r="280">
      <c r="A280" s="101"/>
      <c r="B280" s="90"/>
      <c r="C280" s="90"/>
      <c r="D280" s="91"/>
      <c r="E280" s="92"/>
      <c r="F280" s="93"/>
      <c r="G280" s="93"/>
    </row>
    <row r="281">
      <c r="A281" s="101"/>
      <c r="B281" s="90"/>
      <c r="C281" s="90"/>
      <c r="D281" s="91"/>
      <c r="E281" s="92"/>
      <c r="F281" s="93"/>
      <c r="G281" s="93"/>
    </row>
    <row r="282">
      <c r="A282" s="101"/>
      <c r="B282" s="90"/>
      <c r="C282" s="90"/>
      <c r="D282" s="91"/>
      <c r="E282" s="92"/>
      <c r="F282" s="93"/>
      <c r="G282" s="93"/>
    </row>
    <row r="283">
      <c r="A283" s="101"/>
      <c r="B283" s="90"/>
      <c r="C283" s="90"/>
      <c r="D283" s="91"/>
      <c r="E283" s="100"/>
      <c r="F283" s="93"/>
      <c r="G283" s="93"/>
    </row>
    <row r="284">
      <c r="A284" s="101"/>
      <c r="B284" s="90"/>
      <c r="C284" s="90"/>
      <c r="D284" s="91"/>
      <c r="E284" s="100"/>
      <c r="F284" s="93"/>
      <c r="G284" s="93"/>
    </row>
    <row r="285">
      <c r="A285" s="102"/>
      <c r="B285" s="90"/>
      <c r="C285" s="90"/>
      <c r="D285" s="91"/>
      <c r="E285" s="92"/>
      <c r="F285" s="93"/>
      <c r="G285" s="93"/>
    </row>
    <row r="286">
      <c r="A286" s="102"/>
      <c r="B286" s="90"/>
      <c r="C286" s="90"/>
      <c r="D286" s="91"/>
      <c r="E286" s="92"/>
      <c r="F286" s="93"/>
      <c r="G286" s="93"/>
    </row>
    <row r="287">
      <c r="A287" s="101"/>
      <c r="B287" s="90"/>
      <c r="C287" s="90"/>
      <c r="D287" s="91"/>
      <c r="E287" s="92"/>
      <c r="F287" s="93"/>
      <c r="G287" s="93"/>
    </row>
    <row r="288">
      <c r="A288" s="101"/>
      <c r="B288" s="90"/>
      <c r="C288" s="90"/>
      <c r="D288" s="91"/>
      <c r="E288" s="92"/>
      <c r="F288" s="93"/>
      <c r="G288" s="93"/>
    </row>
    <row r="289">
      <c r="A289" s="102"/>
      <c r="B289" s="90"/>
      <c r="C289" s="90"/>
      <c r="D289" s="91"/>
      <c r="E289" s="92"/>
      <c r="F289" s="93"/>
      <c r="G289" s="93"/>
    </row>
    <row r="290">
      <c r="A290" s="102"/>
      <c r="B290" s="90"/>
      <c r="C290" s="90"/>
      <c r="D290" s="91"/>
      <c r="E290" s="92"/>
      <c r="F290" s="93"/>
      <c r="G290" s="93"/>
    </row>
    <row r="291">
      <c r="A291" s="101"/>
      <c r="B291" s="90"/>
      <c r="C291" s="90"/>
      <c r="D291" s="91"/>
      <c r="E291" s="92"/>
      <c r="F291" s="93"/>
      <c r="G291" s="93"/>
    </row>
    <row r="292">
      <c r="A292" s="102"/>
      <c r="B292" s="90"/>
      <c r="C292" s="90"/>
      <c r="D292" s="91"/>
      <c r="E292" s="92"/>
      <c r="F292" s="93"/>
      <c r="G292" s="93"/>
    </row>
    <row r="293">
      <c r="A293" s="101"/>
      <c r="B293" s="90"/>
      <c r="C293" s="90"/>
      <c r="D293" s="91"/>
      <c r="E293" s="92"/>
      <c r="F293" s="93"/>
      <c r="G293" s="93"/>
    </row>
    <row r="294">
      <c r="A294" s="101"/>
      <c r="B294" s="90"/>
      <c r="C294" s="90"/>
      <c r="D294" s="91"/>
      <c r="E294" s="92"/>
      <c r="F294" s="93"/>
      <c r="G294" s="93"/>
    </row>
    <row r="295">
      <c r="A295" s="101"/>
      <c r="B295" s="90"/>
      <c r="C295" s="90"/>
      <c r="D295" s="91"/>
      <c r="E295" s="92"/>
      <c r="F295" s="93"/>
      <c r="G295" s="93"/>
    </row>
    <row r="296">
      <c r="A296" s="102"/>
      <c r="B296" s="90"/>
      <c r="C296" s="90"/>
      <c r="D296" s="91"/>
      <c r="E296" s="92"/>
      <c r="F296" s="93"/>
      <c r="G296" s="93"/>
    </row>
    <row r="297">
      <c r="A297" s="101"/>
      <c r="B297" s="90"/>
      <c r="C297" s="90"/>
      <c r="D297" s="91"/>
      <c r="E297" s="92"/>
      <c r="F297" s="93"/>
      <c r="G297" s="93"/>
    </row>
    <row r="298">
      <c r="A298" s="101"/>
      <c r="B298" s="90"/>
      <c r="C298" s="90"/>
      <c r="D298" s="91"/>
      <c r="E298" s="92"/>
      <c r="F298" s="93"/>
      <c r="G298" s="93"/>
    </row>
    <row r="299">
      <c r="A299" s="101"/>
      <c r="B299" s="90"/>
      <c r="C299" s="90"/>
      <c r="D299" s="91"/>
      <c r="E299" s="92"/>
      <c r="F299" s="93"/>
      <c r="G299" s="93"/>
    </row>
    <row r="300">
      <c r="A300" s="101"/>
      <c r="B300" s="90"/>
      <c r="C300" s="90"/>
      <c r="D300" s="91"/>
      <c r="E300" s="92"/>
      <c r="F300" s="93"/>
      <c r="G300" s="93"/>
    </row>
    <row r="301">
      <c r="A301" s="101"/>
      <c r="B301" s="90"/>
      <c r="C301" s="90"/>
      <c r="D301" s="91"/>
      <c r="E301" s="92"/>
      <c r="F301" s="93"/>
      <c r="G301" s="93"/>
    </row>
    <row r="302">
      <c r="A302" s="101"/>
      <c r="B302" s="90"/>
      <c r="C302" s="90"/>
      <c r="D302" s="91"/>
      <c r="E302" s="92"/>
      <c r="F302" s="93"/>
      <c r="G302" s="93"/>
    </row>
    <row r="303">
      <c r="A303" s="101"/>
      <c r="B303" s="90"/>
      <c r="C303" s="90"/>
      <c r="D303" s="91"/>
      <c r="E303" s="92"/>
      <c r="F303" s="93"/>
      <c r="G303" s="93"/>
    </row>
    <row r="304">
      <c r="A304" s="101"/>
      <c r="B304" s="90"/>
      <c r="C304" s="90"/>
      <c r="D304" s="91"/>
      <c r="E304" s="92"/>
      <c r="F304" s="93"/>
      <c r="G304" s="93"/>
    </row>
    <row r="305">
      <c r="A305" s="101"/>
      <c r="B305" s="90"/>
      <c r="C305" s="90"/>
      <c r="D305" s="91"/>
      <c r="E305" s="92"/>
      <c r="F305" s="93"/>
      <c r="G305" s="93"/>
    </row>
    <row r="306">
      <c r="A306" s="101"/>
      <c r="B306" s="90"/>
      <c r="C306" s="90"/>
      <c r="D306" s="91"/>
      <c r="E306" s="92"/>
      <c r="F306" s="93"/>
      <c r="G306" s="93"/>
    </row>
    <row r="307">
      <c r="A307" s="101"/>
      <c r="B307" s="90"/>
      <c r="C307" s="90"/>
      <c r="D307" s="91"/>
      <c r="E307" s="92"/>
      <c r="F307" s="93"/>
      <c r="G307" s="93"/>
    </row>
    <row r="308">
      <c r="A308" s="101"/>
      <c r="B308" s="90"/>
      <c r="C308" s="90"/>
      <c r="D308" s="91"/>
      <c r="E308" s="92"/>
      <c r="F308" s="93"/>
      <c r="G308" s="93"/>
    </row>
    <row r="309">
      <c r="A309" s="101"/>
      <c r="B309" s="90"/>
      <c r="C309" s="90"/>
      <c r="D309" s="91"/>
      <c r="E309" s="92"/>
      <c r="F309" s="93"/>
      <c r="G309" s="93"/>
    </row>
    <row r="310">
      <c r="A310" s="101"/>
      <c r="B310" s="90"/>
      <c r="C310" s="90"/>
      <c r="D310" s="91"/>
      <c r="E310" s="92"/>
      <c r="F310" s="93"/>
      <c r="G310" s="93"/>
    </row>
    <row r="311">
      <c r="A311" s="102"/>
      <c r="B311" s="90"/>
      <c r="C311" s="90"/>
      <c r="D311" s="91"/>
      <c r="E311" s="92"/>
      <c r="F311" s="93"/>
      <c r="G311" s="93"/>
    </row>
    <row r="312">
      <c r="A312" s="102"/>
      <c r="B312" s="90"/>
      <c r="C312" s="90"/>
      <c r="D312" s="91"/>
      <c r="E312" s="92"/>
      <c r="F312" s="93"/>
      <c r="G312" s="93"/>
    </row>
    <row r="313">
      <c r="A313" s="101"/>
      <c r="B313" s="90"/>
      <c r="C313" s="90"/>
      <c r="D313" s="91"/>
      <c r="E313" s="92"/>
      <c r="F313" s="93"/>
      <c r="G313" s="93"/>
    </row>
    <row r="314">
      <c r="A314" s="102"/>
      <c r="B314" s="90"/>
      <c r="C314" s="90"/>
      <c r="D314" s="91"/>
      <c r="E314" s="92"/>
      <c r="F314" s="93"/>
      <c r="G314" s="93"/>
    </row>
    <row r="315">
      <c r="A315" s="101"/>
      <c r="B315" s="90"/>
      <c r="C315" s="90"/>
      <c r="D315" s="91"/>
      <c r="E315" s="92"/>
      <c r="F315" s="93"/>
      <c r="G315" s="93"/>
    </row>
    <row r="316">
      <c r="A316" s="101"/>
      <c r="B316" s="90"/>
      <c r="C316" s="90"/>
      <c r="D316" s="91"/>
      <c r="E316" s="100"/>
      <c r="F316" s="93"/>
      <c r="G316" s="93"/>
    </row>
    <row r="317">
      <c r="A317" s="101"/>
      <c r="B317" s="90"/>
      <c r="C317" s="90"/>
      <c r="D317" s="91"/>
      <c r="E317" s="100"/>
      <c r="F317" s="93"/>
      <c r="G317" s="93"/>
    </row>
    <row r="318">
      <c r="A318" s="101"/>
      <c r="B318" s="90"/>
      <c r="C318" s="90"/>
      <c r="D318" s="91"/>
      <c r="E318" s="92"/>
      <c r="F318" s="93"/>
      <c r="G318" s="93"/>
    </row>
    <row r="319">
      <c r="A319" s="101"/>
      <c r="B319" s="90"/>
      <c r="C319" s="90"/>
      <c r="D319" s="91"/>
      <c r="E319" s="92"/>
      <c r="F319" s="93"/>
      <c r="G319" s="93"/>
    </row>
    <row r="320">
      <c r="A320" s="101"/>
      <c r="B320" s="90"/>
      <c r="C320" s="90"/>
      <c r="D320" s="91"/>
      <c r="E320" s="92"/>
      <c r="F320" s="93"/>
      <c r="G320" s="93"/>
    </row>
    <row r="321">
      <c r="A321" s="101"/>
      <c r="B321" s="90"/>
      <c r="C321" s="90"/>
      <c r="D321" s="91"/>
      <c r="E321" s="92"/>
      <c r="F321" s="93"/>
      <c r="G321" s="93"/>
    </row>
    <row r="322">
      <c r="A322" s="101"/>
      <c r="B322" s="90"/>
      <c r="C322" s="90"/>
      <c r="D322" s="91"/>
      <c r="E322" s="92"/>
      <c r="F322" s="93"/>
      <c r="G322" s="93"/>
    </row>
    <row r="323">
      <c r="A323" s="101"/>
      <c r="B323" s="90"/>
      <c r="C323" s="90"/>
      <c r="D323" s="91"/>
      <c r="E323" s="92"/>
      <c r="F323" s="93"/>
      <c r="G323" s="93"/>
    </row>
    <row r="324">
      <c r="A324" s="101"/>
      <c r="B324" s="90"/>
      <c r="C324" s="90"/>
      <c r="D324" s="91"/>
      <c r="E324" s="92"/>
      <c r="F324" s="93"/>
      <c r="G324" s="93"/>
    </row>
    <row r="325">
      <c r="A325" s="101"/>
      <c r="B325" s="90"/>
      <c r="C325" s="90"/>
      <c r="D325" s="91"/>
      <c r="E325" s="92"/>
      <c r="F325" s="93"/>
      <c r="G325" s="93"/>
    </row>
    <row r="326">
      <c r="A326" s="101"/>
      <c r="B326" s="90"/>
      <c r="C326" s="90"/>
      <c r="D326" s="91"/>
      <c r="E326" s="92"/>
      <c r="F326" s="93"/>
      <c r="G326" s="93"/>
    </row>
    <row r="327">
      <c r="A327" s="101"/>
      <c r="B327" s="90"/>
      <c r="C327" s="90"/>
      <c r="D327" s="91"/>
      <c r="E327" s="100"/>
      <c r="F327" s="93"/>
      <c r="G327" s="93"/>
    </row>
    <row r="328">
      <c r="A328" s="101"/>
      <c r="B328" s="90"/>
      <c r="C328" s="90"/>
      <c r="D328" s="91"/>
      <c r="E328" s="100"/>
      <c r="F328" s="93"/>
      <c r="G328" s="93"/>
    </row>
    <row r="329">
      <c r="A329" s="101"/>
      <c r="B329" s="90"/>
      <c r="C329" s="90"/>
      <c r="D329" s="91"/>
      <c r="E329" s="92"/>
      <c r="F329" s="93"/>
      <c r="G329" s="93"/>
    </row>
    <row r="330">
      <c r="A330" s="101"/>
      <c r="B330" s="90"/>
      <c r="C330" s="90"/>
      <c r="D330" s="91"/>
      <c r="E330" s="92"/>
      <c r="F330" s="93"/>
      <c r="G330" s="93"/>
    </row>
    <row r="331">
      <c r="A331" s="101"/>
      <c r="B331" s="90"/>
      <c r="C331" s="90"/>
      <c r="D331" s="91"/>
      <c r="E331" s="92"/>
      <c r="F331" s="93"/>
      <c r="G331" s="93"/>
    </row>
    <row r="332">
      <c r="A332" s="101"/>
      <c r="B332" s="90"/>
      <c r="C332" s="90"/>
      <c r="D332" s="91"/>
      <c r="E332" s="92"/>
      <c r="F332" s="93"/>
      <c r="G332" s="93"/>
    </row>
    <row r="333">
      <c r="A333" s="101"/>
      <c r="B333" s="90"/>
      <c r="C333" s="90"/>
      <c r="D333" s="91"/>
      <c r="E333" s="92"/>
      <c r="F333" s="93"/>
      <c r="G333" s="93"/>
    </row>
    <row r="334">
      <c r="A334" s="101"/>
      <c r="B334" s="90"/>
      <c r="C334" s="90"/>
      <c r="D334" s="91"/>
      <c r="E334" s="92"/>
      <c r="F334" s="93"/>
      <c r="G334" s="93"/>
    </row>
    <row r="335">
      <c r="A335" s="101"/>
      <c r="B335" s="90"/>
      <c r="C335" s="90"/>
      <c r="D335" s="91"/>
      <c r="E335" s="92"/>
      <c r="F335" s="93"/>
      <c r="G335" s="93"/>
    </row>
    <row r="336">
      <c r="A336" s="101"/>
      <c r="B336" s="90"/>
      <c r="C336" s="90"/>
      <c r="D336" s="91"/>
      <c r="E336" s="92"/>
      <c r="F336" s="93"/>
      <c r="G336" s="93"/>
    </row>
    <row r="337">
      <c r="A337" s="101"/>
      <c r="B337" s="90"/>
      <c r="C337" s="90"/>
      <c r="D337" s="91"/>
      <c r="E337" s="92"/>
      <c r="F337" s="93"/>
      <c r="G337" s="93"/>
    </row>
    <row r="338">
      <c r="A338" s="101"/>
      <c r="B338" s="90"/>
      <c r="C338" s="90"/>
      <c r="D338" s="91"/>
      <c r="E338" s="92"/>
      <c r="F338" s="93"/>
      <c r="G338" s="93"/>
    </row>
    <row r="339">
      <c r="A339" s="101"/>
      <c r="B339" s="90"/>
      <c r="C339" s="90"/>
      <c r="D339" s="91"/>
      <c r="E339" s="92"/>
      <c r="F339" s="93"/>
      <c r="G339" s="93"/>
    </row>
    <row r="340">
      <c r="A340" s="101"/>
      <c r="B340" s="90"/>
      <c r="C340" s="90"/>
      <c r="D340" s="91"/>
      <c r="E340" s="92"/>
      <c r="F340" s="93"/>
      <c r="G340" s="93"/>
    </row>
    <row r="341">
      <c r="A341" s="101"/>
      <c r="B341" s="90"/>
      <c r="C341" s="90"/>
      <c r="D341" s="91"/>
      <c r="E341" s="92"/>
      <c r="F341" s="93"/>
      <c r="G341" s="93"/>
    </row>
    <row r="342">
      <c r="A342" s="101"/>
      <c r="B342" s="90"/>
      <c r="C342" s="90"/>
      <c r="D342" s="91"/>
      <c r="E342" s="92"/>
      <c r="F342" s="93"/>
      <c r="G342" s="93"/>
    </row>
    <row r="343">
      <c r="A343" s="101"/>
      <c r="B343" s="90"/>
      <c r="C343" s="90"/>
      <c r="D343" s="91"/>
      <c r="E343" s="92"/>
      <c r="F343" s="93"/>
      <c r="G343" s="93"/>
    </row>
    <row r="344">
      <c r="A344" s="102"/>
      <c r="B344" s="90"/>
      <c r="C344" s="90"/>
      <c r="D344" s="91"/>
      <c r="E344" s="92"/>
      <c r="F344" s="93"/>
      <c r="G344" s="93"/>
    </row>
    <row r="345">
      <c r="A345" s="102"/>
      <c r="B345" s="90"/>
      <c r="C345" s="90"/>
      <c r="D345" s="91"/>
      <c r="E345" s="92"/>
      <c r="F345" s="93"/>
      <c r="G345" s="93"/>
    </row>
    <row r="346">
      <c r="A346" s="102"/>
      <c r="B346" s="90"/>
      <c r="C346" s="90"/>
      <c r="D346" s="91"/>
      <c r="E346" s="92"/>
      <c r="F346" s="93"/>
      <c r="G346" s="93"/>
    </row>
    <row r="347">
      <c r="A347" s="101"/>
      <c r="B347" s="90"/>
      <c r="C347" s="90"/>
      <c r="D347" s="91"/>
      <c r="E347" s="92"/>
      <c r="F347" s="93"/>
      <c r="G347" s="93"/>
    </row>
    <row r="348">
      <c r="A348" s="101"/>
      <c r="B348" s="90"/>
      <c r="C348" s="90"/>
      <c r="D348" s="91"/>
      <c r="E348" s="92"/>
      <c r="F348" s="93"/>
      <c r="G348" s="93"/>
    </row>
    <row r="349">
      <c r="A349" s="102"/>
      <c r="B349" s="90"/>
      <c r="C349" s="90"/>
      <c r="D349" s="91"/>
      <c r="E349" s="92"/>
      <c r="F349" s="93"/>
      <c r="G349" s="93"/>
    </row>
    <row r="350">
      <c r="A350" s="101"/>
      <c r="B350" s="90"/>
      <c r="C350" s="90"/>
      <c r="D350" s="91"/>
      <c r="E350" s="92"/>
      <c r="F350" s="93"/>
      <c r="G350" s="93"/>
    </row>
    <row r="351">
      <c r="A351" s="102"/>
      <c r="B351" s="90"/>
      <c r="C351" s="90"/>
      <c r="D351" s="91"/>
      <c r="E351" s="92"/>
      <c r="F351" s="93"/>
      <c r="G351" s="93"/>
    </row>
    <row r="352">
      <c r="A352" s="101"/>
      <c r="B352" s="90"/>
      <c r="C352" s="90"/>
      <c r="D352" s="91"/>
      <c r="E352" s="92"/>
      <c r="F352" s="93"/>
      <c r="G352" s="93"/>
    </row>
    <row r="353">
      <c r="A353" s="101"/>
      <c r="B353" s="90"/>
      <c r="C353" s="90"/>
      <c r="D353" s="91"/>
      <c r="E353" s="92"/>
      <c r="F353" s="93"/>
      <c r="G353" s="93"/>
    </row>
    <row r="354">
      <c r="A354" s="102"/>
      <c r="B354" s="90"/>
      <c r="C354" s="90"/>
      <c r="D354" s="91"/>
      <c r="E354" s="92"/>
      <c r="F354" s="93"/>
      <c r="G354" s="93"/>
    </row>
    <row r="355">
      <c r="A355" s="101"/>
      <c r="B355" s="90"/>
      <c r="C355" s="90"/>
      <c r="D355" s="91"/>
      <c r="E355" s="92"/>
      <c r="F355" s="93"/>
      <c r="G355" s="93"/>
    </row>
    <row r="356">
      <c r="A356" s="101"/>
      <c r="B356" s="90"/>
      <c r="C356" s="90"/>
      <c r="D356" s="91"/>
      <c r="E356" s="92"/>
      <c r="F356" s="93"/>
      <c r="G356" s="93"/>
    </row>
    <row r="357">
      <c r="A357" s="101"/>
      <c r="B357" s="90"/>
      <c r="C357" s="90"/>
      <c r="D357" s="91"/>
      <c r="E357" s="92"/>
      <c r="F357" s="93"/>
      <c r="G357" s="93"/>
    </row>
    <row r="358">
      <c r="A358" s="102"/>
      <c r="B358" s="90"/>
      <c r="C358" s="90"/>
      <c r="D358" s="91"/>
      <c r="E358" s="92"/>
      <c r="F358" s="93"/>
      <c r="G358" s="93"/>
    </row>
    <row r="359">
      <c r="A359" s="101"/>
      <c r="B359" s="90"/>
      <c r="C359" s="90"/>
      <c r="D359" s="91"/>
      <c r="E359" s="92"/>
      <c r="F359" s="93"/>
      <c r="G359" s="93"/>
    </row>
    <row r="360">
      <c r="A360" s="101"/>
      <c r="B360" s="90"/>
      <c r="C360" s="90"/>
      <c r="D360" s="91"/>
      <c r="E360" s="92"/>
      <c r="F360" s="93"/>
      <c r="G360" s="93"/>
    </row>
    <row r="361">
      <c r="A361" s="101"/>
      <c r="B361" s="90"/>
      <c r="C361" s="90"/>
      <c r="D361" s="91"/>
      <c r="E361" s="92"/>
      <c r="F361" s="93"/>
      <c r="G361" s="93"/>
    </row>
    <row r="362">
      <c r="A362" s="101"/>
      <c r="B362" s="90"/>
      <c r="C362" s="90"/>
      <c r="D362" s="91"/>
      <c r="E362" s="92"/>
      <c r="F362" s="93"/>
      <c r="G362" s="93"/>
    </row>
    <row r="363">
      <c r="A363" s="101"/>
      <c r="B363" s="90"/>
      <c r="C363" s="90"/>
      <c r="D363" s="91"/>
      <c r="E363" s="92"/>
      <c r="F363" s="93"/>
      <c r="G363" s="93"/>
    </row>
    <row r="364">
      <c r="A364" s="102"/>
      <c r="B364" s="90"/>
      <c r="C364" s="90"/>
      <c r="D364" s="91"/>
      <c r="E364" s="92"/>
      <c r="F364" s="93"/>
      <c r="G364" s="93"/>
    </row>
    <row r="365">
      <c r="A365" s="101"/>
      <c r="B365" s="90"/>
      <c r="C365" s="90"/>
      <c r="D365" s="91"/>
      <c r="E365" s="92"/>
      <c r="F365" s="93"/>
      <c r="G365" s="93"/>
    </row>
    <row r="366">
      <c r="A366" s="101"/>
      <c r="B366" s="90"/>
      <c r="C366" s="90"/>
      <c r="D366" s="91"/>
      <c r="E366" s="92"/>
      <c r="F366" s="93"/>
      <c r="G366" s="93"/>
    </row>
    <row r="367">
      <c r="A367" s="101"/>
      <c r="B367" s="90"/>
      <c r="C367" s="90"/>
      <c r="D367" s="91"/>
      <c r="E367" s="92"/>
      <c r="F367" s="93"/>
      <c r="G367" s="93"/>
    </row>
    <row r="368">
      <c r="A368" s="102"/>
      <c r="B368" s="90"/>
      <c r="C368" s="90"/>
      <c r="D368" s="91"/>
      <c r="E368" s="92"/>
      <c r="F368" s="93"/>
      <c r="G368" s="93"/>
    </row>
    <row r="369">
      <c r="A369" s="101"/>
      <c r="B369" s="90"/>
      <c r="C369" s="90"/>
      <c r="D369" s="91"/>
      <c r="E369" s="92"/>
      <c r="F369" s="93"/>
      <c r="G369" s="93"/>
    </row>
    <row r="370">
      <c r="A370" s="101"/>
      <c r="B370" s="90"/>
      <c r="C370" s="90"/>
      <c r="D370" s="91"/>
      <c r="E370" s="92"/>
      <c r="F370" s="93"/>
      <c r="G370" s="93"/>
    </row>
    <row r="371">
      <c r="A371" s="101"/>
      <c r="B371" s="90"/>
      <c r="C371" s="90"/>
      <c r="D371" s="91"/>
      <c r="E371" s="92"/>
      <c r="F371" s="93"/>
      <c r="G371" s="93"/>
    </row>
    <row r="372">
      <c r="A372" s="101"/>
      <c r="B372" s="90"/>
      <c r="C372" s="90"/>
      <c r="D372" s="91"/>
      <c r="E372" s="92"/>
      <c r="F372" s="93"/>
      <c r="G372" s="93"/>
    </row>
    <row r="373">
      <c r="A373" s="101"/>
      <c r="B373" s="90"/>
      <c r="C373" s="90"/>
      <c r="D373" s="91"/>
      <c r="E373" s="92"/>
      <c r="F373" s="93"/>
      <c r="G373" s="93"/>
    </row>
    <row r="374">
      <c r="A374" s="101"/>
      <c r="B374" s="90"/>
      <c r="C374" s="90"/>
      <c r="D374" s="91"/>
      <c r="E374" s="92"/>
      <c r="F374" s="93"/>
      <c r="G374" s="93"/>
    </row>
    <row r="375">
      <c r="A375" s="101"/>
      <c r="B375" s="90"/>
      <c r="C375" s="90"/>
      <c r="D375" s="91"/>
      <c r="E375" s="92"/>
      <c r="F375" s="93"/>
      <c r="G375" s="93"/>
    </row>
    <row r="376">
      <c r="A376" s="102"/>
      <c r="B376" s="90"/>
      <c r="C376" s="90"/>
      <c r="D376" s="91"/>
      <c r="E376" s="92"/>
      <c r="F376" s="93"/>
      <c r="G376" s="93"/>
    </row>
    <row r="377">
      <c r="A377" s="101"/>
      <c r="B377" s="90"/>
      <c r="C377" s="90"/>
      <c r="D377" s="91"/>
      <c r="E377" s="92"/>
      <c r="F377" s="93"/>
      <c r="G377" s="93"/>
    </row>
    <row r="378">
      <c r="A378" s="101"/>
      <c r="B378" s="90"/>
      <c r="C378" s="90"/>
      <c r="D378" s="91"/>
      <c r="E378" s="92"/>
      <c r="F378" s="93"/>
      <c r="G378" s="93"/>
    </row>
    <row r="379">
      <c r="A379" s="101"/>
      <c r="B379" s="90"/>
      <c r="C379" s="90"/>
      <c r="D379" s="91"/>
      <c r="E379" s="92"/>
      <c r="F379" s="93"/>
      <c r="G379" s="93"/>
    </row>
    <row r="380">
      <c r="A380" s="101"/>
      <c r="B380" s="90"/>
      <c r="C380" s="90"/>
      <c r="D380" s="91"/>
      <c r="E380" s="92"/>
      <c r="F380" s="93"/>
      <c r="G380" s="93"/>
    </row>
    <row r="381">
      <c r="A381" s="101"/>
      <c r="B381" s="90"/>
      <c r="C381" s="90"/>
      <c r="D381" s="91"/>
      <c r="E381" s="92"/>
      <c r="F381" s="93"/>
      <c r="G381" s="93"/>
    </row>
    <row r="382">
      <c r="A382" s="101"/>
      <c r="B382" s="90"/>
      <c r="C382" s="90"/>
      <c r="D382" s="91"/>
      <c r="E382" s="92"/>
      <c r="F382" s="93"/>
      <c r="G382" s="93"/>
    </row>
    <row r="383">
      <c r="A383" s="101"/>
      <c r="B383" s="90"/>
      <c r="C383" s="90"/>
      <c r="D383" s="91"/>
      <c r="E383" s="92"/>
      <c r="F383" s="93"/>
      <c r="G383" s="93"/>
    </row>
    <row r="384">
      <c r="A384" s="101"/>
      <c r="B384" s="90"/>
      <c r="C384" s="90"/>
      <c r="D384" s="91"/>
      <c r="E384" s="92"/>
      <c r="F384" s="93"/>
      <c r="G384" s="93"/>
    </row>
    <row r="385">
      <c r="A385" s="101"/>
      <c r="B385" s="90"/>
      <c r="C385" s="90"/>
      <c r="D385" s="91"/>
      <c r="E385" s="92"/>
      <c r="F385" s="93"/>
      <c r="G385" s="93"/>
    </row>
    <row r="386">
      <c r="A386" s="101"/>
      <c r="B386" s="90"/>
      <c r="C386" s="90"/>
      <c r="D386" s="91"/>
      <c r="E386" s="92"/>
      <c r="F386" s="93"/>
      <c r="G386" s="93"/>
    </row>
    <row r="387">
      <c r="A387" s="101"/>
      <c r="B387" s="90"/>
      <c r="C387" s="90"/>
      <c r="D387" s="91"/>
      <c r="E387" s="92"/>
      <c r="F387" s="93"/>
      <c r="G387" s="93"/>
    </row>
    <row r="388">
      <c r="A388" s="102"/>
      <c r="B388" s="90"/>
      <c r="C388" s="90"/>
      <c r="D388" s="91"/>
      <c r="E388" s="92"/>
      <c r="F388" s="93"/>
      <c r="G388" s="93"/>
    </row>
    <row r="389">
      <c r="A389" s="101"/>
      <c r="B389" s="90"/>
      <c r="C389" s="90"/>
      <c r="D389" s="91"/>
      <c r="E389" s="92"/>
      <c r="F389" s="93"/>
      <c r="G389" s="93"/>
    </row>
    <row r="390">
      <c r="A390" s="102"/>
      <c r="B390" s="90"/>
      <c r="C390" s="90"/>
      <c r="D390" s="91"/>
      <c r="E390" s="92"/>
      <c r="F390" s="93"/>
      <c r="G390" s="93"/>
    </row>
    <row r="391">
      <c r="A391" s="101"/>
      <c r="B391" s="90"/>
      <c r="C391" s="90"/>
      <c r="D391" s="91"/>
      <c r="E391" s="92"/>
      <c r="F391" s="93"/>
      <c r="G391" s="93"/>
    </row>
    <row r="392">
      <c r="A392" s="101"/>
      <c r="B392" s="90"/>
      <c r="C392" s="90"/>
      <c r="D392" s="91"/>
      <c r="E392" s="92"/>
      <c r="F392" s="93"/>
      <c r="G392" s="93"/>
    </row>
    <row r="393">
      <c r="A393" s="101"/>
      <c r="B393" s="90"/>
      <c r="C393" s="90"/>
      <c r="D393" s="91"/>
      <c r="E393" s="92"/>
      <c r="F393" s="93"/>
      <c r="G393" s="93"/>
    </row>
    <row r="394">
      <c r="A394" s="101"/>
      <c r="B394" s="90"/>
      <c r="C394" s="90"/>
      <c r="D394" s="91"/>
      <c r="E394" s="92"/>
      <c r="F394" s="93"/>
      <c r="G394" s="93"/>
    </row>
    <row r="395">
      <c r="A395" s="101"/>
      <c r="B395" s="90"/>
      <c r="C395" s="90"/>
      <c r="D395" s="91"/>
      <c r="E395" s="100"/>
      <c r="F395" s="93"/>
      <c r="G395" s="93"/>
    </row>
    <row r="396">
      <c r="A396" s="101"/>
      <c r="B396" s="90"/>
      <c r="C396" s="90"/>
      <c r="D396" s="91"/>
      <c r="E396" s="100"/>
      <c r="F396" s="93"/>
      <c r="G396" s="93"/>
    </row>
    <row r="397">
      <c r="A397" s="101"/>
      <c r="B397" s="90"/>
      <c r="C397" s="90"/>
      <c r="D397" s="91"/>
      <c r="E397" s="100"/>
      <c r="F397" s="93"/>
      <c r="G397" s="93"/>
    </row>
    <row r="398">
      <c r="A398" s="101"/>
      <c r="B398" s="90"/>
      <c r="C398" s="90"/>
      <c r="D398" s="91"/>
      <c r="E398" s="92"/>
      <c r="F398" s="93"/>
      <c r="G398" s="93"/>
    </row>
    <row r="399">
      <c r="A399" s="101"/>
      <c r="B399" s="90"/>
      <c r="C399" s="90"/>
      <c r="D399" s="91"/>
      <c r="E399" s="92"/>
      <c r="F399" s="93"/>
      <c r="G399" s="93"/>
    </row>
    <row r="400">
      <c r="A400" s="101"/>
      <c r="B400" s="90"/>
      <c r="C400" s="90"/>
      <c r="D400" s="91"/>
      <c r="E400" s="92"/>
      <c r="F400" s="93"/>
      <c r="G400" s="93"/>
    </row>
    <row r="401">
      <c r="A401" s="101"/>
      <c r="B401" s="90"/>
      <c r="C401" s="90"/>
      <c r="D401" s="91"/>
      <c r="E401" s="92"/>
      <c r="F401" s="93"/>
      <c r="G401" s="93"/>
    </row>
    <row r="402">
      <c r="A402" s="102"/>
      <c r="B402" s="90"/>
      <c r="C402" s="90"/>
      <c r="D402" s="91"/>
      <c r="E402" s="92"/>
      <c r="F402" s="93"/>
      <c r="G402" s="93"/>
    </row>
    <row r="403">
      <c r="A403" s="102"/>
      <c r="B403" s="90"/>
      <c r="C403" s="90"/>
      <c r="D403" s="91"/>
      <c r="E403" s="100"/>
      <c r="F403" s="93"/>
      <c r="G403" s="93"/>
    </row>
    <row r="404">
      <c r="A404" s="102"/>
      <c r="B404" s="90"/>
      <c r="C404" s="90"/>
      <c r="D404" s="91"/>
      <c r="E404" s="92"/>
      <c r="F404" s="93"/>
      <c r="G404" s="93"/>
    </row>
    <row r="405">
      <c r="A405" s="102"/>
      <c r="B405" s="90"/>
      <c r="C405" s="90"/>
      <c r="D405" s="91"/>
      <c r="E405" s="92"/>
      <c r="F405" s="93"/>
      <c r="G405" s="93"/>
    </row>
    <row r="406">
      <c r="A406" s="102"/>
      <c r="B406" s="90"/>
      <c r="C406" s="90"/>
      <c r="D406" s="91"/>
      <c r="E406" s="92"/>
      <c r="F406" s="93"/>
      <c r="G406" s="93"/>
    </row>
    <row r="407">
      <c r="A407" s="102"/>
      <c r="B407" s="90"/>
      <c r="C407" s="90"/>
      <c r="D407" s="91"/>
      <c r="E407" s="92"/>
      <c r="F407" s="93"/>
      <c r="G407" s="93"/>
    </row>
    <row r="408">
      <c r="A408" s="101"/>
      <c r="B408" s="90"/>
      <c r="C408" s="90"/>
      <c r="D408" s="91"/>
      <c r="E408" s="92"/>
      <c r="F408" s="93"/>
      <c r="G408" s="93"/>
    </row>
    <row r="409">
      <c r="A409" s="101"/>
      <c r="B409" s="90"/>
      <c r="C409" s="90"/>
      <c r="D409" s="91"/>
      <c r="E409" s="92"/>
      <c r="F409" s="93"/>
      <c r="G409" s="93"/>
    </row>
    <row r="410">
      <c r="A410" s="101"/>
      <c r="B410" s="90"/>
      <c r="C410" s="90"/>
      <c r="D410" s="91"/>
      <c r="E410" s="92"/>
      <c r="F410" s="93"/>
      <c r="G410" s="93"/>
    </row>
    <row r="411">
      <c r="A411" s="101"/>
      <c r="B411" s="90"/>
      <c r="C411" s="90"/>
      <c r="D411" s="91"/>
      <c r="E411" s="92"/>
      <c r="F411" s="93"/>
      <c r="G411" s="93"/>
    </row>
    <row r="412">
      <c r="A412" s="101"/>
      <c r="B412" s="90"/>
      <c r="C412" s="90"/>
      <c r="D412" s="91"/>
      <c r="E412" s="92"/>
      <c r="F412" s="93"/>
      <c r="G412" s="93"/>
    </row>
    <row r="413">
      <c r="A413" s="101"/>
      <c r="B413" s="90"/>
      <c r="C413" s="90"/>
      <c r="D413" s="91"/>
      <c r="E413" s="92"/>
      <c r="F413" s="93"/>
      <c r="G413" s="93"/>
    </row>
    <row r="414">
      <c r="A414" s="101"/>
      <c r="B414" s="90"/>
      <c r="C414" s="90"/>
      <c r="D414" s="91"/>
      <c r="E414" s="92"/>
      <c r="F414" s="93"/>
      <c r="G414" s="93"/>
    </row>
    <row r="415">
      <c r="A415" s="101"/>
      <c r="B415" s="90"/>
      <c r="C415" s="90"/>
      <c r="D415" s="91"/>
      <c r="E415" s="92"/>
      <c r="F415" s="93"/>
      <c r="G415" s="93"/>
    </row>
    <row r="416">
      <c r="A416" s="101"/>
      <c r="B416" s="90"/>
      <c r="C416" s="90"/>
      <c r="D416" s="91"/>
      <c r="E416" s="92"/>
      <c r="F416" s="93"/>
      <c r="G416" s="93"/>
    </row>
    <row r="417">
      <c r="A417" s="101"/>
      <c r="B417" s="90"/>
      <c r="C417" s="90"/>
      <c r="D417" s="91"/>
      <c r="E417" s="92"/>
      <c r="F417" s="93"/>
      <c r="G417" s="93"/>
    </row>
    <row r="418">
      <c r="A418" s="102"/>
      <c r="B418" s="90"/>
      <c r="C418" s="90"/>
      <c r="D418" s="91"/>
      <c r="E418" s="92"/>
      <c r="F418" s="93"/>
      <c r="G418" s="93"/>
    </row>
    <row r="419">
      <c r="A419" s="102"/>
      <c r="B419" s="90"/>
      <c r="C419" s="90"/>
      <c r="D419" s="91"/>
      <c r="E419" s="92"/>
      <c r="F419" s="93"/>
      <c r="G419" s="93"/>
    </row>
    <row r="420">
      <c r="A420" s="102"/>
      <c r="B420" s="90"/>
      <c r="C420" s="90"/>
      <c r="D420" s="91"/>
      <c r="E420" s="92"/>
      <c r="F420" s="93"/>
      <c r="G420" s="93"/>
    </row>
    <row r="421">
      <c r="A421" s="102"/>
      <c r="B421" s="90"/>
      <c r="C421" s="90"/>
      <c r="D421" s="91"/>
      <c r="E421" s="92"/>
      <c r="F421" s="93"/>
      <c r="G421" s="93"/>
    </row>
    <row r="422">
      <c r="A422" s="102"/>
      <c r="B422" s="90"/>
      <c r="C422" s="90"/>
      <c r="D422" s="91"/>
      <c r="E422" s="92"/>
      <c r="F422" s="93"/>
      <c r="G422" s="93"/>
    </row>
    <row r="423">
      <c r="A423" s="102"/>
      <c r="B423" s="90"/>
      <c r="C423" s="90"/>
      <c r="D423" s="91"/>
      <c r="E423" s="92"/>
      <c r="F423" s="93"/>
      <c r="G423" s="93"/>
    </row>
    <row r="424">
      <c r="A424" s="101"/>
      <c r="B424" s="90"/>
      <c r="C424" s="90"/>
      <c r="D424" s="91"/>
      <c r="E424" s="92"/>
      <c r="F424" s="93"/>
      <c r="G424" s="93"/>
    </row>
    <row r="425">
      <c r="A425" s="102"/>
      <c r="B425" s="90"/>
      <c r="C425" s="90"/>
      <c r="D425" s="91"/>
      <c r="E425" s="92"/>
      <c r="F425" s="93"/>
      <c r="G425" s="93"/>
    </row>
    <row r="426">
      <c r="A426" s="101"/>
      <c r="B426" s="90"/>
      <c r="C426" s="90"/>
      <c r="D426" s="91"/>
      <c r="E426" s="92"/>
      <c r="F426" s="93"/>
      <c r="G426" s="93"/>
    </row>
    <row r="427">
      <c r="A427" s="102"/>
      <c r="B427" s="90"/>
      <c r="C427" s="90"/>
      <c r="D427" s="91"/>
      <c r="E427" s="92"/>
      <c r="F427" s="93"/>
      <c r="G427" s="93"/>
    </row>
    <row r="428">
      <c r="A428" s="102"/>
      <c r="B428" s="90"/>
      <c r="C428" s="90"/>
      <c r="D428" s="91"/>
      <c r="E428" s="92"/>
      <c r="F428" s="93"/>
      <c r="G428" s="93"/>
    </row>
    <row r="429">
      <c r="A429" s="101"/>
      <c r="B429" s="90"/>
      <c r="C429" s="90"/>
      <c r="D429" s="91"/>
      <c r="E429" s="92"/>
      <c r="F429" s="93"/>
      <c r="G429" s="93"/>
    </row>
    <row r="430">
      <c r="A430" s="102"/>
      <c r="B430" s="90"/>
      <c r="C430" s="90"/>
      <c r="D430" s="91"/>
      <c r="E430" s="92"/>
      <c r="F430" s="93"/>
      <c r="G430" s="93"/>
    </row>
    <row r="431">
      <c r="A431" s="102"/>
      <c r="B431" s="90"/>
      <c r="C431" s="90"/>
      <c r="D431" s="91"/>
      <c r="E431" s="92"/>
      <c r="F431" s="93"/>
      <c r="G431" s="93"/>
    </row>
    <row r="432">
      <c r="A432" s="101"/>
      <c r="B432" s="90"/>
      <c r="C432" s="90"/>
      <c r="D432" s="91"/>
      <c r="E432" s="92"/>
      <c r="F432" s="93"/>
      <c r="G432" s="93"/>
    </row>
    <row r="433">
      <c r="A433" s="102"/>
      <c r="B433" s="90"/>
      <c r="C433" s="90"/>
      <c r="D433" s="91"/>
      <c r="E433" s="92"/>
      <c r="F433" s="93"/>
      <c r="G433" s="93"/>
    </row>
    <row r="434">
      <c r="A434" s="102"/>
      <c r="B434" s="90"/>
      <c r="C434" s="90"/>
      <c r="D434" s="91"/>
      <c r="E434" s="92"/>
      <c r="F434" s="93"/>
      <c r="G434" s="93"/>
    </row>
    <row r="435">
      <c r="A435" s="101"/>
      <c r="B435" s="90"/>
      <c r="C435" s="90"/>
      <c r="D435" s="91"/>
      <c r="E435" s="92"/>
      <c r="F435" s="93"/>
      <c r="G435" s="93"/>
    </row>
    <row r="436">
      <c r="A436" s="102"/>
      <c r="B436" s="90"/>
      <c r="C436" s="90"/>
      <c r="D436" s="91"/>
      <c r="E436" s="92"/>
      <c r="F436" s="93"/>
      <c r="G436" s="93"/>
    </row>
    <row r="437">
      <c r="A437" s="102"/>
      <c r="B437" s="90"/>
      <c r="C437" s="90"/>
      <c r="D437" s="91"/>
      <c r="E437" s="92"/>
      <c r="F437" s="93"/>
      <c r="G437" s="93"/>
    </row>
    <row r="438">
      <c r="A438" s="102"/>
      <c r="B438" s="90"/>
      <c r="C438" s="90"/>
      <c r="D438" s="91"/>
      <c r="E438" s="92"/>
      <c r="F438" s="93"/>
      <c r="G438" s="93"/>
    </row>
    <row r="439">
      <c r="A439" s="101"/>
      <c r="B439" s="90"/>
      <c r="C439" s="90"/>
      <c r="D439" s="91"/>
      <c r="E439" s="92"/>
      <c r="F439" s="93"/>
      <c r="G439" s="93"/>
    </row>
    <row r="440">
      <c r="A440" s="102"/>
      <c r="B440" s="90"/>
      <c r="C440" s="90"/>
      <c r="D440" s="91"/>
      <c r="E440" s="92"/>
      <c r="F440" s="93"/>
      <c r="G440" s="93"/>
    </row>
    <row r="441">
      <c r="A441" s="102"/>
      <c r="B441" s="90"/>
      <c r="C441" s="90"/>
      <c r="D441" s="91"/>
      <c r="E441" s="92"/>
      <c r="F441" s="93"/>
      <c r="G441" s="93"/>
    </row>
    <row r="442">
      <c r="A442" s="101"/>
      <c r="B442" s="90"/>
      <c r="C442" s="90"/>
      <c r="D442" s="91"/>
      <c r="E442" s="92"/>
      <c r="F442" s="93"/>
      <c r="G442" s="93"/>
    </row>
    <row r="443">
      <c r="A443" s="101"/>
      <c r="B443" s="90"/>
      <c r="C443" s="90"/>
      <c r="D443" s="91"/>
      <c r="E443" s="92"/>
      <c r="F443" s="93"/>
      <c r="G443" s="93"/>
    </row>
    <row r="444">
      <c r="A444" s="101"/>
      <c r="B444" s="90"/>
      <c r="C444" s="90"/>
      <c r="D444" s="91"/>
      <c r="E444" s="92"/>
      <c r="F444" s="93"/>
      <c r="G444" s="93"/>
    </row>
    <row r="445">
      <c r="A445" s="101"/>
      <c r="B445" s="90"/>
      <c r="C445" s="90"/>
      <c r="D445" s="91"/>
      <c r="E445" s="92"/>
      <c r="F445" s="93"/>
      <c r="G445" s="93"/>
    </row>
    <row r="446">
      <c r="A446" s="101"/>
      <c r="B446" s="90"/>
      <c r="C446" s="90"/>
      <c r="D446" s="91"/>
      <c r="E446" s="92"/>
      <c r="F446" s="93"/>
      <c r="G446" s="93"/>
    </row>
    <row r="447">
      <c r="A447" s="101"/>
      <c r="B447" s="90"/>
      <c r="C447" s="90"/>
      <c r="D447" s="91"/>
      <c r="E447" s="92"/>
      <c r="F447" s="93"/>
      <c r="G447" s="93"/>
    </row>
    <row r="448">
      <c r="A448" s="102"/>
      <c r="B448" s="90"/>
      <c r="C448" s="90"/>
      <c r="D448" s="91"/>
      <c r="E448" s="92"/>
      <c r="F448" s="93"/>
      <c r="G448" s="93"/>
    </row>
    <row r="449">
      <c r="A449" s="101"/>
      <c r="B449" s="90"/>
      <c r="C449" s="90"/>
      <c r="D449" s="91"/>
      <c r="E449" s="92"/>
      <c r="F449" s="93"/>
      <c r="G449" s="93"/>
    </row>
    <row r="450">
      <c r="A450" s="102"/>
      <c r="B450" s="90"/>
      <c r="C450" s="90"/>
      <c r="D450" s="91"/>
      <c r="E450" s="92"/>
      <c r="F450" s="93"/>
      <c r="G450" s="93"/>
    </row>
    <row r="451">
      <c r="A451" s="102"/>
      <c r="B451" s="90"/>
      <c r="C451" s="90"/>
      <c r="D451" s="91"/>
      <c r="E451" s="92"/>
      <c r="F451" s="93"/>
      <c r="G451" s="93"/>
    </row>
    <row r="452">
      <c r="A452" s="102"/>
      <c r="B452" s="90"/>
      <c r="C452" s="90"/>
      <c r="D452" s="91"/>
      <c r="E452" s="92"/>
      <c r="F452" s="93"/>
      <c r="G452" s="93"/>
    </row>
    <row r="453">
      <c r="A453" s="102"/>
      <c r="B453" s="90"/>
      <c r="C453" s="90"/>
      <c r="D453" s="91"/>
      <c r="E453" s="92"/>
      <c r="F453" s="93"/>
      <c r="G453" s="93"/>
    </row>
    <row r="454">
      <c r="A454" s="102"/>
      <c r="B454" s="90"/>
      <c r="C454" s="90"/>
      <c r="D454" s="91"/>
      <c r="E454" s="92"/>
      <c r="F454" s="93"/>
      <c r="G454" s="93"/>
    </row>
    <row r="455">
      <c r="A455" s="102"/>
      <c r="B455" s="90"/>
      <c r="C455" s="90"/>
      <c r="D455" s="91"/>
      <c r="E455" s="100"/>
      <c r="F455" s="93"/>
      <c r="G455" s="93"/>
    </row>
    <row r="456">
      <c r="A456" s="102"/>
      <c r="B456" s="90"/>
      <c r="C456" s="90"/>
      <c r="D456" s="91"/>
      <c r="E456" s="100"/>
      <c r="F456" s="93"/>
      <c r="G456" s="93"/>
    </row>
    <row r="457">
      <c r="A457" s="102"/>
      <c r="B457" s="90"/>
      <c r="C457" s="90"/>
      <c r="D457" s="91"/>
      <c r="E457" s="92"/>
      <c r="F457" s="93"/>
      <c r="G457" s="93"/>
    </row>
    <row r="458">
      <c r="A458" s="102"/>
      <c r="B458" s="90"/>
      <c r="C458" s="90"/>
      <c r="D458" s="91"/>
      <c r="E458" s="92"/>
      <c r="F458" s="93"/>
      <c r="G458" s="93"/>
    </row>
    <row r="459">
      <c r="A459" s="102"/>
      <c r="B459" s="90"/>
      <c r="C459" s="90"/>
      <c r="D459" s="91"/>
      <c r="E459" s="92"/>
      <c r="F459" s="93"/>
      <c r="G459" s="93"/>
    </row>
    <row r="460">
      <c r="A460" s="102"/>
      <c r="B460" s="90"/>
      <c r="C460" s="90"/>
      <c r="D460" s="91"/>
      <c r="E460" s="92"/>
      <c r="F460" s="93"/>
      <c r="G460" s="93"/>
    </row>
    <row r="461">
      <c r="A461" s="102"/>
      <c r="B461" s="90"/>
      <c r="C461" s="90"/>
      <c r="D461" s="91"/>
      <c r="E461" s="92"/>
      <c r="F461" s="93"/>
      <c r="G461" s="93"/>
    </row>
    <row r="462">
      <c r="A462" s="102"/>
      <c r="B462" s="90"/>
      <c r="C462" s="90"/>
      <c r="D462" s="91"/>
      <c r="E462" s="92"/>
      <c r="F462" s="93"/>
      <c r="G462" s="93"/>
    </row>
    <row r="463">
      <c r="A463" s="101"/>
      <c r="B463" s="90"/>
      <c r="C463" s="90"/>
      <c r="D463" s="91"/>
      <c r="E463" s="92"/>
      <c r="F463" s="93"/>
      <c r="G463" s="93"/>
    </row>
    <row r="464">
      <c r="A464" s="101"/>
      <c r="B464" s="90"/>
      <c r="C464" s="90"/>
      <c r="D464" s="91"/>
      <c r="E464" s="92"/>
      <c r="F464" s="93"/>
      <c r="G464" s="93"/>
    </row>
    <row r="465">
      <c r="A465" s="101"/>
      <c r="B465" s="90"/>
      <c r="C465" s="90"/>
      <c r="D465" s="91"/>
      <c r="E465" s="92"/>
      <c r="F465" s="93"/>
      <c r="G465" s="93"/>
    </row>
    <row r="466">
      <c r="A466" s="101"/>
      <c r="B466" s="90"/>
      <c r="C466" s="90"/>
      <c r="D466" s="91"/>
      <c r="E466" s="92"/>
      <c r="F466" s="93"/>
      <c r="G466" s="93"/>
    </row>
    <row r="467">
      <c r="A467" s="101"/>
      <c r="B467" s="90"/>
      <c r="C467" s="90"/>
      <c r="D467" s="91"/>
      <c r="E467" s="92"/>
      <c r="F467" s="93"/>
      <c r="G467" s="93"/>
    </row>
    <row r="468">
      <c r="A468" s="102"/>
      <c r="B468" s="90"/>
      <c r="C468" s="90"/>
      <c r="D468" s="91"/>
      <c r="E468" s="92"/>
      <c r="F468" s="93"/>
      <c r="G468" s="93"/>
    </row>
    <row r="469">
      <c r="A469" s="102"/>
      <c r="B469" s="90"/>
      <c r="C469" s="90"/>
      <c r="D469" s="91"/>
      <c r="E469" s="92"/>
      <c r="F469" s="93"/>
      <c r="G469" s="93"/>
    </row>
    <row r="470">
      <c r="A470" s="101"/>
      <c r="B470" s="90"/>
      <c r="C470" s="90"/>
      <c r="D470" s="91"/>
      <c r="E470" s="92"/>
      <c r="F470" s="93"/>
      <c r="G470" s="93"/>
    </row>
    <row r="471">
      <c r="A471" s="102"/>
      <c r="B471" s="90"/>
      <c r="C471" s="90"/>
      <c r="D471" s="91"/>
      <c r="E471" s="92"/>
      <c r="F471" s="93"/>
      <c r="G471" s="93"/>
    </row>
    <row r="472">
      <c r="A472" s="101"/>
      <c r="B472" s="90"/>
      <c r="C472" s="90"/>
      <c r="D472" s="91"/>
      <c r="E472" s="92"/>
      <c r="F472" s="93"/>
      <c r="G472" s="93"/>
    </row>
    <row r="473">
      <c r="A473" s="101"/>
      <c r="B473" s="90"/>
      <c r="C473" s="90"/>
      <c r="D473" s="91"/>
      <c r="E473" s="92"/>
      <c r="F473" s="93"/>
      <c r="G473" s="93"/>
    </row>
    <row r="474">
      <c r="A474" s="101"/>
      <c r="B474" s="90"/>
      <c r="C474" s="90"/>
      <c r="D474" s="91"/>
      <c r="E474" s="92"/>
      <c r="F474" s="93"/>
      <c r="G474" s="93"/>
    </row>
    <row r="475">
      <c r="A475" s="101"/>
      <c r="B475" s="90"/>
      <c r="C475" s="90"/>
      <c r="D475" s="91"/>
      <c r="E475" s="92"/>
      <c r="F475" s="93"/>
      <c r="G475" s="93"/>
    </row>
    <row r="476">
      <c r="A476" s="102"/>
      <c r="B476" s="90"/>
      <c r="C476" s="90"/>
      <c r="D476" s="91"/>
      <c r="E476" s="92"/>
      <c r="F476" s="93"/>
      <c r="G476" s="93"/>
    </row>
    <row r="477">
      <c r="A477" s="101"/>
      <c r="B477" s="90"/>
      <c r="C477" s="90"/>
      <c r="D477" s="91"/>
      <c r="E477" s="92"/>
      <c r="F477" s="93"/>
      <c r="G477" s="93"/>
    </row>
    <row r="478">
      <c r="A478" s="101"/>
      <c r="B478" s="90"/>
      <c r="C478" s="90"/>
      <c r="D478" s="91"/>
      <c r="E478" s="92"/>
      <c r="F478" s="93"/>
      <c r="G478" s="93"/>
    </row>
    <row r="479">
      <c r="A479" s="101"/>
      <c r="B479" s="90"/>
      <c r="C479" s="90"/>
      <c r="D479" s="91"/>
      <c r="E479" s="92"/>
      <c r="F479" s="93"/>
      <c r="G479" s="93"/>
    </row>
    <row r="480">
      <c r="A480" s="101"/>
      <c r="B480" s="90"/>
      <c r="C480" s="90"/>
      <c r="D480" s="91"/>
      <c r="E480" s="92"/>
      <c r="F480" s="93"/>
      <c r="G480" s="93"/>
    </row>
    <row r="481">
      <c r="A481" s="101"/>
      <c r="B481" s="90"/>
      <c r="C481" s="90"/>
      <c r="D481" s="91"/>
      <c r="E481" s="92"/>
      <c r="F481" s="93"/>
      <c r="G481" s="93"/>
    </row>
    <row r="482">
      <c r="A482" s="102"/>
      <c r="B482" s="90"/>
      <c r="C482" s="90"/>
      <c r="D482" s="91"/>
      <c r="E482" s="92"/>
      <c r="F482" s="93"/>
      <c r="G482" s="93"/>
    </row>
    <row r="483">
      <c r="A483" s="102"/>
      <c r="B483" s="90"/>
      <c r="C483" s="90"/>
      <c r="D483" s="91"/>
      <c r="E483" s="92"/>
      <c r="F483" s="93"/>
      <c r="G483" s="93"/>
    </row>
    <row r="484">
      <c r="A484" s="102"/>
      <c r="B484" s="90"/>
      <c r="C484" s="90"/>
      <c r="D484" s="91"/>
      <c r="E484" s="92"/>
      <c r="F484" s="93"/>
      <c r="G484" s="93"/>
    </row>
    <row r="485">
      <c r="A485" s="102"/>
      <c r="B485" s="90"/>
      <c r="C485" s="90"/>
      <c r="D485" s="91"/>
      <c r="E485" s="92"/>
      <c r="F485" s="93"/>
      <c r="G485" s="93"/>
    </row>
    <row r="486">
      <c r="A486" s="101"/>
      <c r="B486" s="90"/>
      <c r="C486" s="90"/>
      <c r="D486" s="91"/>
      <c r="E486" s="92"/>
      <c r="F486" s="93"/>
      <c r="G486" s="93"/>
    </row>
    <row r="487">
      <c r="A487" s="102"/>
      <c r="B487" s="90"/>
      <c r="C487" s="90"/>
      <c r="D487" s="91"/>
      <c r="E487" s="92"/>
      <c r="F487" s="93"/>
      <c r="G487" s="93"/>
    </row>
    <row r="488">
      <c r="A488" s="101"/>
      <c r="B488" s="90"/>
      <c r="C488" s="90"/>
      <c r="D488" s="91"/>
      <c r="E488" s="92"/>
      <c r="F488" s="93"/>
      <c r="G488" s="93"/>
    </row>
    <row r="489">
      <c r="A489" s="102"/>
      <c r="B489" s="90"/>
      <c r="C489" s="90"/>
      <c r="D489" s="91"/>
      <c r="E489" s="92"/>
      <c r="F489" s="93"/>
      <c r="G489" s="93"/>
    </row>
    <row r="490">
      <c r="A490" s="101"/>
      <c r="B490" s="90"/>
      <c r="C490" s="90"/>
      <c r="D490" s="91"/>
      <c r="E490" s="92"/>
      <c r="F490" s="93"/>
      <c r="G490" s="93"/>
    </row>
    <row r="491">
      <c r="A491" s="101"/>
      <c r="B491" s="90"/>
      <c r="C491" s="90"/>
      <c r="D491" s="91"/>
      <c r="E491" s="92"/>
      <c r="F491" s="93"/>
      <c r="G491" s="93"/>
    </row>
    <row r="492">
      <c r="A492" s="101"/>
      <c r="B492" s="90"/>
      <c r="C492" s="90"/>
      <c r="D492" s="91"/>
      <c r="E492" s="92"/>
      <c r="F492" s="93"/>
      <c r="G492" s="93"/>
    </row>
    <row r="493">
      <c r="A493" s="102"/>
      <c r="B493" s="90"/>
      <c r="C493" s="90"/>
      <c r="D493" s="91"/>
      <c r="E493" s="92"/>
      <c r="F493" s="93"/>
      <c r="G493" s="93"/>
    </row>
    <row r="494">
      <c r="A494" s="102"/>
      <c r="B494" s="90"/>
      <c r="C494" s="90"/>
      <c r="D494" s="91"/>
      <c r="E494" s="92"/>
      <c r="F494" s="93"/>
      <c r="G494" s="93"/>
    </row>
    <row r="495">
      <c r="A495" s="101"/>
      <c r="B495" s="90"/>
      <c r="C495" s="90"/>
      <c r="D495" s="91"/>
      <c r="E495" s="92"/>
      <c r="F495" s="93"/>
      <c r="G495" s="93"/>
    </row>
    <row r="496">
      <c r="A496" s="101"/>
      <c r="B496" s="90"/>
      <c r="C496" s="90"/>
      <c r="D496" s="91"/>
      <c r="E496" s="92"/>
      <c r="F496" s="93"/>
      <c r="G496" s="93"/>
    </row>
    <row r="497">
      <c r="A497" s="102"/>
      <c r="B497" s="90"/>
      <c r="C497" s="90"/>
      <c r="D497" s="91"/>
      <c r="E497" s="92"/>
      <c r="F497" s="93"/>
      <c r="G497" s="93"/>
    </row>
    <row r="498">
      <c r="A498" s="102"/>
      <c r="B498" s="90"/>
      <c r="C498" s="90"/>
      <c r="D498" s="91"/>
      <c r="E498" s="92"/>
      <c r="F498" s="93"/>
      <c r="G498" s="93"/>
    </row>
    <row r="499">
      <c r="A499" s="101"/>
      <c r="B499" s="90"/>
      <c r="C499" s="90"/>
      <c r="D499" s="91"/>
      <c r="E499" s="92"/>
      <c r="F499" s="93"/>
      <c r="G499" s="93"/>
    </row>
    <row r="500">
      <c r="A500" s="101"/>
      <c r="B500" s="90"/>
      <c r="C500" s="90"/>
      <c r="D500" s="91"/>
      <c r="E500" s="92"/>
      <c r="F500" s="93"/>
      <c r="G500" s="93"/>
    </row>
    <row r="501">
      <c r="A501" s="101"/>
      <c r="B501" s="90"/>
      <c r="C501" s="90"/>
      <c r="D501" s="91"/>
      <c r="E501" s="92"/>
      <c r="F501" s="93"/>
      <c r="G501" s="93"/>
    </row>
    <row r="502">
      <c r="A502" s="101"/>
      <c r="B502" s="90"/>
      <c r="C502" s="90"/>
      <c r="D502" s="91"/>
      <c r="E502" s="92"/>
      <c r="F502" s="93"/>
      <c r="G502" s="93"/>
    </row>
    <row r="503">
      <c r="A503" s="101"/>
      <c r="B503" s="90"/>
      <c r="C503" s="90"/>
      <c r="D503" s="91"/>
      <c r="E503" s="92"/>
      <c r="F503" s="93"/>
      <c r="G503" s="93"/>
    </row>
    <row r="504">
      <c r="A504" s="102"/>
      <c r="B504" s="90"/>
      <c r="C504" s="90"/>
      <c r="D504" s="91"/>
      <c r="E504" s="92"/>
      <c r="F504" s="93"/>
      <c r="G504" s="93"/>
    </row>
    <row r="505">
      <c r="A505" s="102"/>
      <c r="B505" s="90"/>
      <c r="C505" s="90"/>
      <c r="D505" s="91"/>
      <c r="E505" s="92"/>
      <c r="F505" s="93"/>
      <c r="G505" s="93"/>
    </row>
    <row r="506">
      <c r="A506" s="101"/>
      <c r="B506" s="90"/>
      <c r="C506" s="90"/>
      <c r="D506" s="91"/>
      <c r="E506" s="92"/>
      <c r="F506" s="93"/>
      <c r="G506" s="93"/>
    </row>
    <row r="507">
      <c r="A507" s="102"/>
      <c r="B507" s="90"/>
      <c r="C507" s="90"/>
      <c r="D507" s="91"/>
      <c r="E507" s="92"/>
      <c r="F507" s="93"/>
      <c r="G507" s="93"/>
    </row>
    <row r="508">
      <c r="A508" s="102"/>
      <c r="B508" s="90"/>
      <c r="C508" s="90"/>
      <c r="D508" s="91"/>
      <c r="E508" s="92"/>
      <c r="F508" s="93"/>
      <c r="G508" s="93"/>
    </row>
    <row r="509">
      <c r="A509" s="101"/>
      <c r="B509" s="90"/>
      <c r="C509" s="90"/>
      <c r="D509" s="91"/>
      <c r="E509" s="92"/>
      <c r="F509" s="93"/>
      <c r="G509" s="93"/>
    </row>
    <row r="510">
      <c r="A510" s="102"/>
      <c r="B510" s="90"/>
      <c r="C510" s="90"/>
      <c r="D510" s="91"/>
      <c r="E510" s="92"/>
      <c r="F510" s="93"/>
      <c r="G510" s="93"/>
    </row>
    <row r="511">
      <c r="A511" s="101"/>
      <c r="B511" s="90"/>
      <c r="C511" s="90"/>
      <c r="D511" s="91"/>
      <c r="E511" s="92"/>
      <c r="F511" s="93"/>
      <c r="G511" s="93"/>
    </row>
    <row r="512">
      <c r="A512" s="102"/>
      <c r="B512" s="90"/>
      <c r="C512" s="90"/>
      <c r="D512" s="91"/>
      <c r="E512" s="92"/>
      <c r="F512" s="93"/>
      <c r="G512" s="93"/>
    </row>
    <row r="513">
      <c r="A513" s="101"/>
      <c r="B513" s="90"/>
      <c r="C513" s="90"/>
      <c r="D513" s="91"/>
      <c r="E513" s="92"/>
      <c r="F513" s="93"/>
      <c r="G513" s="93"/>
    </row>
    <row r="514">
      <c r="A514" s="101"/>
      <c r="B514" s="90"/>
      <c r="C514" s="90"/>
      <c r="D514" s="91"/>
      <c r="E514" s="92"/>
      <c r="F514" s="93"/>
      <c r="G514" s="93"/>
    </row>
    <row r="515">
      <c r="A515" s="102"/>
      <c r="B515" s="90"/>
      <c r="C515" s="90"/>
      <c r="D515" s="91"/>
      <c r="E515" s="92"/>
      <c r="F515" s="93"/>
      <c r="G515" s="93"/>
    </row>
    <row r="516">
      <c r="A516" s="101"/>
      <c r="B516" s="90"/>
      <c r="C516" s="90"/>
      <c r="D516" s="91"/>
      <c r="E516" s="92"/>
      <c r="F516" s="93"/>
      <c r="G516" s="93"/>
    </row>
    <row r="517">
      <c r="A517" s="101"/>
      <c r="B517" s="90"/>
      <c r="C517" s="90"/>
      <c r="D517" s="91"/>
      <c r="E517" s="92"/>
      <c r="F517" s="93"/>
      <c r="G517" s="93"/>
    </row>
    <row r="518">
      <c r="A518" s="101"/>
      <c r="B518" s="90"/>
      <c r="C518" s="90"/>
      <c r="D518" s="91"/>
      <c r="E518" s="92"/>
      <c r="F518" s="93"/>
      <c r="G518" s="93"/>
    </row>
    <row r="519">
      <c r="A519" s="101"/>
      <c r="B519" s="90"/>
      <c r="C519" s="90"/>
      <c r="D519" s="91"/>
      <c r="E519" s="92"/>
      <c r="F519" s="93"/>
      <c r="G519" s="93"/>
    </row>
    <row r="520">
      <c r="A520" s="101"/>
      <c r="B520" s="90"/>
      <c r="C520" s="90"/>
      <c r="D520" s="91"/>
      <c r="E520" s="92"/>
      <c r="F520" s="93"/>
      <c r="G520" s="93"/>
    </row>
    <row r="521">
      <c r="A521" s="102"/>
      <c r="B521" s="90"/>
      <c r="C521" s="90"/>
      <c r="D521" s="91"/>
      <c r="E521" s="92"/>
      <c r="F521" s="93"/>
      <c r="G521" s="93"/>
    </row>
    <row r="522">
      <c r="A522" s="101"/>
      <c r="B522" s="90"/>
      <c r="C522" s="90"/>
      <c r="D522" s="91"/>
      <c r="E522" s="92"/>
      <c r="F522" s="93"/>
      <c r="G522" s="93"/>
    </row>
    <row r="523">
      <c r="A523" s="101"/>
      <c r="B523" s="90"/>
      <c r="C523" s="90"/>
      <c r="D523" s="91"/>
      <c r="E523" s="92"/>
      <c r="F523" s="93"/>
      <c r="G523" s="93"/>
    </row>
    <row r="524">
      <c r="A524" s="102"/>
      <c r="B524" s="90"/>
      <c r="C524" s="90"/>
      <c r="D524" s="91"/>
      <c r="E524" s="92"/>
      <c r="F524" s="93"/>
      <c r="G524" s="93"/>
    </row>
    <row r="525">
      <c r="A525" s="102"/>
      <c r="B525" s="90"/>
      <c r="C525" s="90"/>
      <c r="D525" s="91"/>
      <c r="E525" s="92"/>
      <c r="F525" s="93"/>
      <c r="G525" s="93"/>
    </row>
    <row r="526">
      <c r="A526" s="101"/>
      <c r="B526" s="90"/>
      <c r="C526" s="90"/>
      <c r="D526" s="91"/>
      <c r="E526" s="92"/>
      <c r="F526" s="93"/>
      <c r="G526" s="93"/>
    </row>
    <row r="527">
      <c r="A527" s="102"/>
      <c r="B527" s="90"/>
      <c r="C527" s="90"/>
      <c r="D527" s="91"/>
      <c r="E527" s="92"/>
      <c r="F527" s="93"/>
      <c r="G527" s="93"/>
    </row>
    <row r="528">
      <c r="A528" s="102"/>
      <c r="B528" s="90"/>
      <c r="C528" s="90"/>
      <c r="D528" s="91"/>
      <c r="E528" s="92"/>
      <c r="F528" s="93"/>
      <c r="G528" s="93"/>
    </row>
    <row r="529">
      <c r="A529" s="101"/>
      <c r="B529" s="90"/>
      <c r="C529" s="90"/>
      <c r="D529" s="91"/>
      <c r="E529" s="92"/>
      <c r="F529" s="93"/>
      <c r="G529" s="93"/>
    </row>
    <row r="530">
      <c r="A530" s="101"/>
      <c r="B530" s="90"/>
      <c r="C530" s="90"/>
      <c r="D530" s="91"/>
      <c r="E530" s="100"/>
      <c r="F530" s="93"/>
      <c r="G530" s="93"/>
    </row>
    <row r="531">
      <c r="A531" s="101"/>
      <c r="B531" s="90"/>
      <c r="C531" s="90"/>
      <c r="D531" s="91"/>
      <c r="E531" s="92"/>
      <c r="F531" s="93"/>
      <c r="G531" s="93"/>
    </row>
    <row r="532">
      <c r="A532" s="102"/>
      <c r="B532" s="90"/>
      <c r="C532" s="90"/>
      <c r="D532" s="91"/>
      <c r="E532" s="100"/>
      <c r="F532" s="93"/>
      <c r="G532" s="93"/>
    </row>
    <row r="533">
      <c r="A533" s="101"/>
      <c r="B533" s="90"/>
      <c r="C533" s="90"/>
      <c r="D533" s="91"/>
      <c r="E533" s="100"/>
      <c r="F533" s="93"/>
      <c r="G533" s="93"/>
    </row>
    <row r="534">
      <c r="A534" s="101"/>
      <c r="B534" s="90"/>
      <c r="C534" s="90"/>
      <c r="D534" s="91"/>
      <c r="E534" s="92"/>
      <c r="F534" s="93"/>
      <c r="G534" s="93"/>
    </row>
    <row r="535">
      <c r="A535" s="102"/>
      <c r="B535" s="90"/>
      <c r="C535" s="90"/>
      <c r="D535" s="91"/>
      <c r="E535" s="92"/>
      <c r="F535" s="93"/>
      <c r="G535" s="93"/>
    </row>
    <row r="536">
      <c r="A536" s="101"/>
      <c r="B536" s="90"/>
      <c r="C536" s="90"/>
      <c r="D536" s="91"/>
      <c r="E536" s="92"/>
      <c r="F536" s="93"/>
      <c r="G536" s="93"/>
    </row>
    <row r="537">
      <c r="A537" s="101"/>
      <c r="B537" s="90"/>
      <c r="C537" s="90"/>
      <c r="D537" s="91"/>
      <c r="E537" s="92"/>
      <c r="F537" s="93"/>
      <c r="G537" s="93"/>
    </row>
    <row r="538">
      <c r="A538" s="101"/>
      <c r="B538" s="90"/>
      <c r="C538" s="90"/>
      <c r="D538" s="91"/>
      <c r="E538" s="92"/>
      <c r="F538" s="93"/>
      <c r="G538" s="93"/>
    </row>
    <row r="539">
      <c r="A539" s="101"/>
      <c r="B539" s="90"/>
      <c r="C539" s="90"/>
      <c r="D539" s="91"/>
      <c r="E539" s="92"/>
      <c r="F539" s="93"/>
      <c r="G539" s="93"/>
    </row>
    <row r="540">
      <c r="A540" s="101"/>
      <c r="B540" s="90"/>
      <c r="C540" s="90"/>
      <c r="D540" s="91"/>
      <c r="E540" s="92"/>
      <c r="F540" s="93"/>
      <c r="G540" s="93"/>
    </row>
    <row r="541">
      <c r="A541" s="101"/>
      <c r="B541" s="90"/>
      <c r="C541" s="90"/>
      <c r="D541" s="91"/>
      <c r="E541" s="92"/>
      <c r="F541" s="93"/>
      <c r="G541" s="93"/>
    </row>
    <row r="542">
      <c r="A542" s="101"/>
      <c r="B542" s="90"/>
      <c r="C542" s="90"/>
      <c r="D542" s="91"/>
      <c r="E542" s="92"/>
      <c r="F542" s="93"/>
      <c r="G542" s="93"/>
    </row>
    <row r="543">
      <c r="A543" s="102"/>
      <c r="B543" s="90"/>
      <c r="C543" s="90"/>
      <c r="D543" s="91"/>
      <c r="E543" s="92"/>
      <c r="F543" s="93"/>
      <c r="G543" s="93"/>
    </row>
    <row r="544">
      <c r="A544" s="102"/>
      <c r="B544" s="90"/>
      <c r="C544" s="90"/>
      <c r="D544" s="91"/>
      <c r="E544" s="92"/>
      <c r="F544" s="93"/>
      <c r="G544" s="93"/>
    </row>
    <row r="545">
      <c r="A545" s="102"/>
      <c r="B545" s="90"/>
      <c r="C545" s="90"/>
      <c r="D545" s="91"/>
      <c r="E545" s="92"/>
      <c r="F545" s="93"/>
      <c r="G545" s="93"/>
    </row>
    <row r="546">
      <c r="A546" s="101"/>
      <c r="B546" s="90"/>
      <c r="C546" s="90"/>
      <c r="D546" s="91"/>
      <c r="E546" s="92"/>
      <c r="F546" s="93"/>
      <c r="G546" s="93"/>
    </row>
    <row r="547">
      <c r="A547" s="101"/>
      <c r="B547" s="90"/>
      <c r="C547" s="90"/>
      <c r="D547" s="91"/>
      <c r="E547" s="92"/>
      <c r="F547" s="93"/>
      <c r="G547" s="93"/>
    </row>
    <row r="548">
      <c r="A548" s="101"/>
      <c r="B548" s="90"/>
      <c r="C548" s="90"/>
      <c r="D548" s="91"/>
      <c r="E548" s="92"/>
      <c r="F548" s="93"/>
      <c r="G548" s="93"/>
    </row>
    <row r="549">
      <c r="A549" s="101"/>
      <c r="B549" s="90"/>
      <c r="C549" s="90"/>
      <c r="D549" s="91"/>
      <c r="E549" s="92"/>
      <c r="F549" s="93"/>
      <c r="G549" s="93"/>
    </row>
    <row r="550">
      <c r="A550" s="102"/>
      <c r="B550" s="90"/>
      <c r="C550" s="90"/>
      <c r="D550" s="91"/>
      <c r="E550" s="92"/>
      <c r="F550" s="93"/>
      <c r="G550" s="93"/>
    </row>
    <row r="551">
      <c r="A551" s="102"/>
      <c r="B551" s="90"/>
      <c r="C551" s="90"/>
      <c r="D551" s="91"/>
      <c r="E551" s="92"/>
      <c r="F551" s="93"/>
      <c r="G551" s="93"/>
    </row>
    <row r="552">
      <c r="A552" s="102"/>
      <c r="B552" s="90"/>
      <c r="C552" s="90"/>
      <c r="D552" s="91"/>
      <c r="E552" s="92"/>
      <c r="F552" s="93"/>
      <c r="G552" s="93"/>
    </row>
    <row r="553">
      <c r="A553" s="102"/>
      <c r="B553" s="90"/>
      <c r="C553" s="90"/>
      <c r="D553" s="91"/>
      <c r="E553" s="92"/>
      <c r="F553" s="93"/>
      <c r="G553" s="93"/>
    </row>
    <row r="554">
      <c r="A554" s="102"/>
      <c r="B554" s="90"/>
      <c r="C554" s="90"/>
      <c r="D554" s="91"/>
      <c r="E554" s="92"/>
      <c r="F554" s="93"/>
      <c r="G554" s="93"/>
    </row>
    <row r="555">
      <c r="A555" s="102"/>
      <c r="B555" s="90"/>
      <c r="C555" s="90"/>
      <c r="D555" s="91"/>
      <c r="E555" s="92"/>
      <c r="F555" s="93"/>
      <c r="G555" s="93"/>
    </row>
    <row r="556">
      <c r="A556" s="102"/>
      <c r="B556" s="90"/>
      <c r="C556" s="90"/>
      <c r="D556" s="91"/>
      <c r="E556" s="92"/>
      <c r="F556" s="93"/>
      <c r="G556" s="93"/>
    </row>
    <row r="557">
      <c r="A557" s="102"/>
      <c r="B557" s="90"/>
      <c r="C557" s="90"/>
      <c r="D557" s="91"/>
      <c r="E557" s="92"/>
      <c r="F557" s="93"/>
      <c r="G557" s="93"/>
    </row>
    <row r="558">
      <c r="A558" s="102"/>
      <c r="B558" s="90"/>
      <c r="C558" s="90"/>
      <c r="D558" s="91"/>
      <c r="E558" s="92"/>
      <c r="F558" s="93"/>
      <c r="G558" s="93"/>
    </row>
    <row r="559">
      <c r="A559" s="102"/>
      <c r="B559" s="90"/>
      <c r="C559" s="90"/>
      <c r="D559" s="91"/>
      <c r="E559" s="92"/>
      <c r="F559" s="93"/>
      <c r="G559" s="93"/>
    </row>
    <row r="560">
      <c r="A560" s="102"/>
      <c r="B560" s="90"/>
      <c r="C560" s="90"/>
      <c r="D560" s="91"/>
      <c r="E560" s="92"/>
      <c r="F560" s="93"/>
      <c r="G560" s="93"/>
    </row>
    <row r="561">
      <c r="A561" s="102"/>
      <c r="B561" s="90"/>
      <c r="C561" s="90"/>
      <c r="D561" s="91"/>
      <c r="E561" s="92"/>
      <c r="F561" s="93"/>
      <c r="G561" s="93"/>
    </row>
    <row r="562">
      <c r="A562" s="101"/>
      <c r="B562" s="90"/>
      <c r="C562" s="90"/>
      <c r="D562" s="91"/>
      <c r="E562" s="92"/>
      <c r="F562" s="93"/>
      <c r="G562" s="93"/>
    </row>
    <row r="563">
      <c r="A563" s="102"/>
      <c r="B563" s="90"/>
      <c r="C563" s="90"/>
      <c r="D563" s="91"/>
      <c r="E563" s="92"/>
      <c r="F563" s="93"/>
      <c r="G563" s="93"/>
    </row>
    <row r="564">
      <c r="A564" s="102"/>
      <c r="B564" s="90"/>
      <c r="C564" s="90"/>
      <c r="D564" s="91"/>
      <c r="E564" s="92"/>
      <c r="F564" s="93"/>
      <c r="G564" s="93"/>
    </row>
    <row r="565">
      <c r="A565" s="102"/>
      <c r="B565" s="90"/>
      <c r="C565" s="90"/>
      <c r="D565" s="91"/>
      <c r="E565" s="92"/>
      <c r="F565" s="93"/>
      <c r="G565" s="93"/>
    </row>
    <row r="566">
      <c r="A566" s="101"/>
      <c r="B566" s="90"/>
      <c r="C566" s="90"/>
      <c r="D566" s="91"/>
      <c r="E566" s="92"/>
      <c r="F566" s="93"/>
      <c r="G566" s="93"/>
    </row>
    <row r="567">
      <c r="A567" s="102"/>
      <c r="B567" s="90"/>
      <c r="C567" s="90"/>
      <c r="D567" s="91"/>
      <c r="E567" s="92"/>
      <c r="F567" s="93"/>
      <c r="G567" s="93"/>
    </row>
    <row r="568">
      <c r="A568" s="102"/>
      <c r="B568" s="90"/>
      <c r="C568" s="90"/>
      <c r="D568" s="91"/>
      <c r="E568" s="92"/>
      <c r="F568" s="93"/>
      <c r="G568" s="93"/>
    </row>
    <row r="569">
      <c r="A569" s="101"/>
      <c r="B569" s="90"/>
      <c r="C569" s="90"/>
      <c r="D569" s="91"/>
      <c r="E569" s="92"/>
      <c r="F569" s="93"/>
      <c r="G569" s="93"/>
    </row>
    <row r="570">
      <c r="A570" s="101"/>
      <c r="B570" s="90"/>
      <c r="C570" s="90"/>
      <c r="D570" s="91"/>
      <c r="E570" s="92"/>
      <c r="F570" s="93"/>
      <c r="G570" s="93"/>
    </row>
    <row r="571">
      <c r="A571" s="102"/>
      <c r="B571" s="90"/>
      <c r="C571" s="90"/>
      <c r="D571" s="91"/>
      <c r="E571" s="92"/>
      <c r="F571" s="93"/>
      <c r="G571" s="93"/>
    </row>
    <row r="572">
      <c r="A572" s="101"/>
      <c r="B572" s="90"/>
      <c r="C572" s="90"/>
      <c r="D572" s="91"/>
      <c r="E572" s="92"/>
      <c r="F572" s="93"/>
      <c r="G572" s="93"/>
    </row>
    <row r="573">
      <c r="A573" s="102"/>
      <c r="B573" s="90"/>
      <c r="C573" s="90"/>
      <c r="D573" s="91"/>
      <c r="E573" s="92"/>
      <c r="F573" s="93"/>
      <c r="G573" s="93"/>
    </row>
    <row r="574">
      <c r="A574" s="101"/>
      <c r="B574" s="90"/>
      <c r="C574" s="90"/>
      <c r="D574" s="91"/>
      <c r="E574" s="92"/>
      <c r="F574" s="93"/>
      <c r="G574" s="93"/>
    </row>
    <row r="575">
      <c r="A575" s="102"/>
      <c r="B575" s="90"/>
      <c r="C575" s="90"/>
      <c r="D575" s="91"/>
      <c r="E575" s="92"/>
      <c r="F575" s="93"/>
      <c r="G575" s="93"/>
    </row>
    <row r="576">
      <c r="A576" s="102"/>
      <c r="B576" s="90"/>
      <c r="C576" s="90"/>
      <c r="D576" s="91"/>
      <c r="E576" s="92"/>
      <c r="F576" s="93"/>
      <c r="G576" s="93"/>
    </row>
    <row r="577">
      <c r="A577" s="102"/>
      <c r="B577" s="90"/>
      <c r="C577" s="90"/>
      <c r="D577" s="91"/>
      <c r="E577" s="92"/>
      <c r="F577" s="93"/>
      <c r="G577" s="93"/>
    </row>
    <row r="578">
      <c r="A578" s="102"/>
      <c r="B578" s="90"/>
      <c r="C578" s="90"/>
      <c r="D578" s="91"/>
      <c r="E578" s="92"/>
      <c r="F578" s="93"/>
      <c r="G578" s="93"/>
    </row>
    <row r="579">
      <c r="A579" s="102"/>
      <c r="B579" s="90"/>
      <c r="C579" s="90"/>
      <c r="D579" s="91"/>
      <c r="E579" s="92"/>
      <c r="F579" s="93"/>
      <c r="G579" s="93"/>
    </row>
    <row r="580">
      <c r="A580" s="102"/>
      <c r="B580" s="90"/>
      <c r="C580" s="90"/>
      <c r="D580" s="91"/>
      <c r="E580" s="92"/>
      <c r="F580" s="93"/>
      <c r="G580" s="93"/>
    </row>
    <row r="581">
      <c r="A581" s="101"/>
      <c r="B581" s="90"/>
      <c r="C581" s="90"/>
      <c r="D581" s="91"/>
      <c r="E581" s="92"/>
      <c r="F581" s="93"/>
      <c r="G581" s="93"/>
    </row>
    <row r="582">
      <c r="A582" s="102"/>
      <c r="B582" s="90"/>
      <c r="C582" s="90"/>
      <c r="D582" s="91"/>
      <c r="E582" s="92"/>
      <c r="F582" s="93"/>
      <c r="G582" s="93"/>
    </row>
    <row r="583">
      <c r="A583" s="102"/>
      <c r="B583" s="90"/>
      <c r="C583" s="90"/>
      <c r="D583" s="91"/>
      <c r="E583" s="92"/>
      <c r="F583" s="93"/>
      <c r="G583" s="93"/>
    </row>
    <row r="584">
      <c r="A584" s="102"/>
      <c r="B584" s="90"/>
      <c r="C584" s="90"/>
      <c r="D584" s="91"/>
      <c r="E584" s="100"/>
      <c r="F584" s="93"/>
      <c r="G584" s="93"/>
    </row>
    <row r="585">
      <c r="A585" s="102"/>
      <c r="B585" s="90"/>
      <c r="C585" s="90"/>
      <c r="D585" s="91"/>
      <c r="E585" s="100"/>
      <c r="F585" s="93"/>
      <c r="G585" s="93"/>
    </row>
    <row r="586">
      <c r="A586" s="102"/>
      <c r="B586" s="90"/>
      <c r="C586" s="90"/>
      <c r="D586" s="91"/>
      <c r="E586" s="92"/>
      <c r="F586" s="93"/>
      <c r="G586" s="93"/>
    </row>
    <row r="587">
      <c r="A587" s="102"/>
      <c r="B587" s="90"/>
      <c r="C587" s="90"/>
      <c r="D587" s="91"/>
      <c r="E587" s="92"/>
      <c r="F587" s="93"/>
      <c r="G587" s="93"/>
    </row>
    <row r="588">
      <c r="A588" s="102"/>
      <c r="B588" s="90"/>
      <c r="C588" s="90"/>
      <c r="D588" s="91"/>
      <c r="E588" s="92"/>
      <c r="F588" s="93"/>
      <c r="G588" s="93"/>
    </row>
    <row r="589">
      <c r="A589" s="102"/>
      <c r="B589" s="90"/>
      <c r="C589" s="90"/>
      <c r="D589" s="91"/>
      <c r="E589" s="92"/>
      <c r="F589" s="93"/>
      <c r="G589" s="93"/>
    </row>
    <row r="590">
      <c r="A590" s="101"/>
      <c r="B590" s="90"/>
      <c r="C590" s="90"/>
      <c r="D590" s="91"/>
      <c r="E590" s="92"/>
      <c r="F590" s="93"/>
      <c r="G590" s="93"/>
    </row>
    <row r="591">
      <c r="A591" s="102"/>
      <c r="B591" s="90"/>
      <c r="C591" s="90"/>
      <c r="D591" s="91"/>
      <c r="E591" s="92"/>
      <c r="F591" s="93"/>
      <c r="G591" s="93"/>
    </row>
    <row r="592">
      <c r="A592" s="101"/>
      <c r="B592" s="90"/>
      <c r="C592" s="90"/>
      <c r="D592" s="91"/>
      <c r="E592" s="92"/>
      <c r="F592" s="93"/>
      <c r="G592" s="93"/>
    </row>
    <row r="593">
      <c r="A593" s="101"/>
      <c r="B593" s="90"/>
      <c r="C593" s="90"/>
      <c r="D593" s="91"/>
      <c r="E593" s="92"/>
      <c r="F593" s="93"/>
      <c r="G593" s="93"/>
    </row>
    <row r="594">
      <c r="A594" s="101"/>
      <c r="B594" s="90"/>
      <c r="C594" s="90"/>
      <c r="D594" s="91"/>
      <c r="E594" s="92"/>
      <c r="F594" s="93"/>
      <c r="G594" s="93"/>
    </row>
    <row r="595">
      <c r="A595" s="102"/>
      <c r="B595" s="90"/>
      <c r="C595" s="90"/>
      <c r="D595" s="91"/>
      <c r="E595" s="92"/>
      <c r="F595" s="93"/>
      <c r="G595" s="93"/>
    </row>
    <row r="596">
      <c r="A596" s="102"/>
      <c r="B596" s="90"/>
      <c r="C596" s="90"/>
      <c r="D596" s="91"/>
      <c r="E596" s="92"/>
      <c r="F596" s="93"/>
      <c r="G596" s="93"/>
    </row>
    <row r="597">
      <c r="A597" s="102"/>
      <c r="B597" s="90"/>
      <c r="C597" s="90"/>
      <c r="D597" s="91"/>
      <c r="E597" s="92"/>
      <c r="F597" s="93"/>
      <c r="G597" s="93"/>
    </row>
    <row r="598">
      <c r="A598" s="102"/>
      <c r="B598" s="90"/>
      <c r="C598" s="90"/>
      <c r="D598" s="91"/>
      <c r="E598" s="92"/>
      <c r="F598" s="93"/>
      <c r="G598" s="93"/>
    </row>
    <row r="599">
      <c r="A599" s="102"/>
      <c r="B599" s="90"/>
      <c r="C599" s="90"/>
      <c r="D599" s="91"/>
      <c r="E599" s="92"/>
      <c r="F599" s="93"/>
      <c r="G599" s="93"/>
    </row>
    <row r="600">
      <c r="A600" s="101"/>
      <c r="B600" s="90"/>
      <c r="C600" s="90"/>
      <c r="D600" s="91"/>
      <c r="E600" s="92"/>
      <c r="F600" s="93"/>
      <c r="G600" s="93"/>
    </row>
    <row r="601">
      <c r="A601" s="102"/>
      <c r="B601" s="90"/>
      <c r="C601" s="90"/>
      <c r="D601" s="91"/>
      <c r="E601" s="92"/>
      <c r="F601" s="93"/>
      <c r="G601" s="93"/>
    </row>
    <row r="602">
      <c r="A602" s="102"/>
      <c r="B602" s="90"/>
      <c r="C602" s="90"/>
      <c r="D602" s="91"/>
      <c r="E602" s="92"/>
      <c r="F602" s="93"/>
      <c r="G602" s="93"/>
    </row>
    <row r="603">
      <c r="A603" s="102"/>
      <c r="B603" s="90"/>
      <c r="C603" s="90"/>
      <c r="D603" s="91"/>
      <c r="E603" s="92"/>
      <c r="F603" s="93"/>
      <c r="G603" s="93"/>
    </row>
    <row r="604">
      <c r="A604" s="101"/>
      <c r="B604" s="90"/>
      <c r="C604" s="90"/>
      <c r="D604" s="91"/>
      <c r="E604" s="92"/>
      <c r="F604" s="93"/>
      <c r="G604" s="93"/>
    </row>
    <row r="605">
      <c r="A605" s="101"/>
      <c r="B605" s="90"/>
      <c r="C605" s="90"/>
      <c r="D605" s="91"/>
      <c r="E605" s="92"/>
      <c r="F605" s="93"/>
      <c r="G605" s="93"/>
    </row>
    <row r="606">
      <c r="A606" s="101"/>
      <c r="B606" s="90"/>
      <c r="C606" s="90"/>
      <c r="D606" s="91"/>
      <c r="E606" s="92"/>
      <c r="F606" s="93"/>
      <c r="G606" s="93"/>
    </row>
    <row r="607">
      <c r="A607" s="101"/>
      <c r="B607" s="90"/>
      <c r="C607" s="90"/>
      <c r="D607" s="91"/>
      <c r="E607" s="92"/>
      <c r="F607" s="93"/>
      <c r="G607" s="93"/>
    </row>
    <row r="608">
      <c r="A608" s="102"/>
      <c r="B608" s="90"/>
      <c r="C608" s="90"/>
      <c r="D608" s="91"/>
      <c r="E608" s="92"/>
      <c r="F608" s="93"/>
      <c r="G608" s="93"/>
    </row>
    <row r="609">
      <c r="A609" s="102"/>
      <c r="B609" s="90"/>
      <c r="C609" s="90"/>
      <c r="D609" s="91"/>
      <c r="E609" s="92"/>
      <c r="F609" s="93"/>
      <c r="G609" s="93"/>
    </row>
    <row r="610">
      <c r="A610" s="102"/>
      <c r="B610" s="90"/>
      <c r="C610" s="90"/>
      <c r="D610" s="91"/>
      <c r="E610" s="92"/>
      <c r="F610" s="93"/>
      <c r="G610" s="93"/>
    </row>
    <row r="611">
      <c r="A611" s="101"/>
      <c r="B611" s="90"/>
      <c r="C611" s="90"/>
      <c r="D611" s="91"/>
      <c r="E611" s="92"/>
      <c r="F611" s="93"/>
      <c r="G611" s="93"/>
    </row>
    <row r="612">
      <c r="A612" s="101"/>
      <c r="B612" s="90"/>
      <c r="C612" s="90"/>
      <c r="D612" s="91"/>
      <c r="E612" s="92"/>
      <c r="F612" s="93"/>
      <c r="G612" s="93"/>
    </row>
    <row r="613">
      <c r="A613" s="102"/>
      <c r="B613" s="90"/>
      <c r="C613" s="90"/>
      <c r="D613" s="91"/>
      <c r="E613" s="92"/>
      <c r="F613" s="93"/>
      <c r="G613" s="93"/>
    </row>
    <row r="614">
      <c r="A614" s="101"/>
      <c r="B614" s="90"/>
      <c r="C614" s="90"/>
      <c r="D614" s="91"/>
      <c r="E614" s="92"/>
      <c r="F614" s="93"/>
      <c r="G614" s="93"/>
    </row>
    <row r="615">
      <c r="A615" s="101"/>
      <c r="B615" s="90"/>
      <c r="C615" s="90"/>
      <c r="D615" s="91"/>
      <c r="E615" s="92"/>
      <c r="F615" s="93"/>
      <c r="G615" s="93"/>
    </row>
    <row r="616">
      <c r="A616" s="101"/>
      <c r="B616" s="90"/>
      <c r="C616" s="90"/>
      <c r="D616" s="91"/>
      <c r="E616" s="92"/>
      <c r="F616" s="93"/>
      <c r="G616" s="93"/>
    </row>
    <row r="617">
      <c r="A617" s="101"/>
      <c r="B617" s="90"/>
      <c r="C617" s="90"/>
      <c r="D617" s="91"/>
      <c r="E617" s="92"/>
      <c r="F617" s="93"/>
      <c r="G617" s="93"/>
    </row>
    <row r="618">
      <c r="A618" s="102"/>
      <c r="B618" s="90"/>
      <c r="C618" s="90"/>
      <c r="D618" s="91"/>
      <c r="E618" s="92"/>
      <c r="F618" s="93"/>
      <c r="G618" s="93"/>
    </row>
    <row r="619">
      <c r="A619" s="102"/>
      <c r="B619" s="90"/>
      <c r="C619" s="90"/>
      <c r="D619" s="91"/>
      <c r="E619" s="92"/>
      <c r="F619" s="93"/>
      <c r="G619" s="93"/>
    </row>
    <row r="620">
      <c r="A620" s="102"/>
      <c r="B620" s="90"/>
      <c r="C620" s="90"/>
      <c r="D620" s="91"/>
      <c r="E620" s="92"/>
      <c r="F620" s="93"/>
      <c r="G620" s="93"/>
    </row>
    <row r="621">
      <c r="A621" s="102"/>
      <c r="B621" s="90"/>
      <c r="C621" s="90"/>
      <c r="D621" s="91"/>
      <c r="E621" s="92"/>
      <c r="F621" s="93"/>
      <c r="G621" s="93"/>
    </row>
    <row r="622">
      <c r="A622" s="101"/>
      <c r="B622" s="90"/>
      <c r="C622" s="90"/>
      <c r="D622" s="91"/>
      <c r="E622" s="92"/>
      <c r="F622" s="93"/>
      <c r="G622" s="93"/>
    </row>
    <row r="623">
      <c r="A623" s="102"/>
      <c r="B623" s="90"/>
      <c r="C623" s="90"/>
      <c r="D623" s="91"/>
      <c r="E623" s="92"/>
      <c r="F623" s="93"/>
      <c r="G623" s="93"/>
    </row>
    <row r="624">
      <c r="A624" s="102"/>
      <c r="B624" s="90"/>
      <c r="C624" s="90"/>
      <c r="D624" s="91"/>
      <c r="E624" s="92"/>
      <c r="F624" s="93"/>
      <c r="G624" s="93"/>
    </row>
    <row r="625">
      <c r="A625" s="102"/>
      <c r="B625" s="90"/>
      <c r="C625" s="90"/>
      <c r="D625" s="91"/>
      <c r="E625" s="92"/>
      <c r="F625" s="93"/>
      <c r="G625" s="93"/>
    </row>
    <row r="626">
      <c r="A626" s="102"/>
      <c r="B626" s="90"/>
      <c r="C626" s="90"/>
      <c r="D626" s="91"/>
      <c r="E626" s="92"/>
      <c r="F626" s="93"/>
      <c r="G626" s="93"/>
    </row>
    <row r="627">
      <c r="A627" s="102"/>
      <c r="B627" s="90"/>
      <c r="C627" s="90"/>
      <c r="D627" s="91"/>
      <c r="E627" s="92"/>
      <c r="F627" s="93"/>
      <c r="G627" s="93"/>
    </row>
    <row r="628">
      <c r="A628" s="102"/>
      <c r="B628" s="90"/>
      <c r="C628" s="90"/>
      <c r="D628" s="91"/>
      <c r="E628" s="92"/>
      <c r="F628" s="93"/>
      <c r="G628" s="93"/>
    </row>
    <row r="629">
      <c r="A629" s="102"/>
      <c r="B629" s="90"/>
      <c r="C629" s="90"/>
      <c r="D629" s="91"/>
      <c r="E629" s="92"/>
      <c r="F629" s="93"/>
      <c r="G629" s="93"/>
    </row>
    <row r="630">
      <c r="A630" s="102"/>
      <c r="B630" s="90"/>
      <c r="C630" s="90"/>
      <c r="D630" s="91"/>
      <c r="E630" s="92"/>
      <c r="F630" s="93"/>
      <c r="G630" s="93"/>
    </row>
    <row r="631">
      <c r="A631" s="102"/>
      <c r="B631" s="90"/>
      <c r="C631" s="90"/>
      <c r="D631" s="91"/>
      <c r="E631" s="92"/>
      <c r="F631" s="93"/>
      <c r="G631" s="93"/>
    </row>
    <row r="632">
      <c r="A632" s="102"/>
      <c r="B632" s="90"/>
      <c r="C632" s="90"/>
      <c r="D632" s="91"/>
      <c r="E632" s="92"/>
      <c r="F632" s="93"/>
      <c r="G632" s="93"/>
    </row>
    <row r="633">
      <c r="A633" s="102"/>
      <c r="B633" s="90"/>
      <c r="C633" s="90"/>
      <c r="D633" s="91"/>
      <c r="E633" s="92"/>
      <c r="F633" s="93"/>
      <c r="G633" s="93"/>
    </row>
    <row r="634">
      <c r="A634" s="102"/>
      <c r="B634" s="90"/>
      <c r="C634" s="90"/>
      <c r="D634" s="91"/>
      <c r="E634" s="92"/>
      <c r="F634" s="93"/>
      <c r="G634" s="93"/>
    </row>
    <row r="635">
      <c r="A635" s="102"/>
      <c r="B635" s="90"/>
      <c r="C635" s="90"/>
      <c r="D635" s="91"/>
      <c r="E635" s="100"/>
      <c r="F635" s="93"/>
      <c r="G635" s="93"/>
    </row>
    <row r="636">
      <c r="A636" s="102"/>
      <c r="B636" s="90"/>
      <c r="C636" s="90"/>
      <c r="D636" s="91"/>
      <c r="E636" s="92"/>
      <c r="F636" s="93"/>
      <c r="G636" s="93"/>
    </row>
    <row r="637">
      <c r="A637" s="102"/>
      <c r="B637" s="90"/>
      <c r="C637" s="90"/>
      <c r="D637" s="91"/>
      <c r="E637" s="92"/>
      <c r="F637" s="93"/>
      <c r="G637" s="93"/>
    </row>
    <row r="638">
      <c r="A638" s="102"/>
      <c r="B638" s="90"/>
      <c r="C638" s="90"/>
      <c r="D638" s="91"/>
      <c r="E638" s="92"/>
      <c r="F638" s="93"/>
      <c r="G638" s="93"/>
    </row>
    <row r="639">
      <c r="A639" s="102"/>
      <c r="B639" s="90"/>
      <c r="C639" s="90"/>
      <c r="D639" s="91"/>
      <c r="E639" s="92"/>
      <c r="F639" s="93"/>
      <c r="G639" s="93"/>
    </row>
    <row r="640">
      <c r="A640" s="102"/>
      <c r="B640" s="90"/>
      <c r="C640" s="90"/>
      <c r="D640" s="91"/>
      <c r="E640" s="92"/>
      <c r="F640" s="93"/>
      <c r="G640" s="93"/>
    </row>
    <row r="641">
      <c r="A641" s="102"/>
      <c r="B641" s="90"/>
      <c r="C641" s="90"/>
      <c r="D641" s="91"/>
      <c r="E641" s="92"/>
      <c r="F641" s="93"/>
      <c r="G641" s="93"/>
    </row>
    <row r="642">
      <c r="A642" s="102"/>
      <c r="B642" s="90"/>
      <c r="C642" s="90"/>
      <c r="D642" s="91"/>
      <c r="E642" s="92"/>
      <c r="F642" s="93"/>
      <c r="G642" s="93"/>
    </row>
    <row r="643">
      <c r="A643" s="102"/>
      <c r="B643" s="90"/>
      <c r="C643" s="90"/>
      <c r="D643" s="91"/>
      <c r="E643" s="92"/>
      <c r="F643" s="93"/>
      <c r="G643" s="93"/>
    </row>
    <row r="644">
      <c r="A644" s="102"/>
      <c r="B644" s="90"/>
      <c r="C644" s="90"/>
      <c r="D644" s="91"/>
      <c r="E644" s="100"/>
      <c r="F644" s="93"/>
      <c r="G644" s="93"/>
    </row>
    <row r="645">
      <c r="A645" s="102"/>
      <c r="B645" s="90"/>
      <c r="C645" s="90"/>
      <c r="D645" s="91"/>
      <c r="E645" s="100"/>
      <c r="F645" s="93"/>
      <c r="G645" s="93"/>
    </row>
    <row r="646">
      <c r="A646" s="102"/>
      <c r="B646" s="90"/>
      <c r="C646" s="90"/>
      <c r="D646" s="91"/>
      <c r="E646" s="92"/>
      <c r="F646" s="93"/>
      <c r="G646" s="93"/>
    </row>
    <row r="647">
      <c r="A647" s="102"/>
      <c r="B647" s="90"/>
      <c r="C647" s="90"/>
      <c r="D647" s="91"/>
      <c r="E647" s="92"/>
      <c r="F647" s="93"/>
      <c r="G647" s="93"/>
    </row>
    <row r="648">
      <c r="A648" s="102"/>
      <c r="B648" s="90"/>
      <c r="C648" s="90"/>
      <c r="D648" s="91"/>
      <c r="E648" s="92"/>
      <c r="F648" s="93"/>
      <c r="G648" s="93"/>
    </row>
    <row r="649">
      <c r="A649" s="102"/>
      <c r="B649" s="90"/>
      <c r="C649" s="90"/>
      <c r="D649" s="91"/>
      <c r="E649" s="92"/>
      <c r="F649" s="93"/>
      <c r="G649" s="93"/>
    </row>
    <row r="650">
      <c r="A650" s="102"/>
      <c r="B650" s="90"/>
      <c r="C650" s="90"/>
      <c r="D650" s="91"/>
      <c r="E650" s="92"/>
      <c r="F650" s="93"/>
      <c r="G650" s="93"/>
    </row>
    <row r="651">
      <c r="A651" s="102"/>
      <c r="B651" s="90"/>
      <c r="C651" s="90"/>
      <c r="D651" s="91"/>
      <c r="E651" s="92"/>
      <c r="F651" s="93"/>
      <c r="G651" s="93"/>
    </row>
    <row r="652">
      <c r="A652" s="101"/>
      <c r="B652" s="90"/>
      <c r="C652" s="90"/>
      <c r="D652" s="91"/>
      <c r="E652" s="92"/>
      <c r="F652" s="93"/>
      <c r="G652" s="93"/>
    </row>
    <row r="653">
      <c r="A653" s="102"/>
      <c r="B653" s="90"/>
      <c r="C653" s="90"/>
      <c r="D653" s="91"/>
      <c r="E653" s="92"/>
      <c r="F653" s="93"/>
      <c r="G653" s="93"/>
    </row>
    <row r="654">
      <c r="A654" s="102"/>
      <c r="B654" s="90"/>
      <c r="C654" s="90"/>
      <c r="D654" s="91"/>
      <c r="E654" s="92"/>
      <c r="F654" s="93"/>
      <c r="G654" s="93"/>
    </row>
    <row r="655">
      <c r="A655" s="102"/>
      <c r="B655" s="90"/>
      <c r="C655" s="90"/>
      <c r="D655" s="91"/>
      <c r="E655" s="100"/>
      <c r="F655" s="93"/>
      <c r="G655" s="93"/>
    </row>
    <row r="656">
      <c r="A656" s="102"/>
      <c r="B656" s="90"/>
      <c r="C656" s="90"/>
      <c r="D656" s="91"/>
      <c r="E656" s="92"/>
      <c r="F656" s="93"/>
      <c r="G656" s="93"/>
    </row>
    <row r="657">
      <c r="A657" s="102"/>
      <c r="B657" s="90"/>
      <c r="C657" s="90"/>
      <c r="D657" s="91"/>
      <c r="E657" s="92"/>
      <c r="F657" s="93"/>
      <c r="G657" s="93"/>
    </row>
    <row r="658">
      <c r="A658" s="102"/>
      <c r="B658" s="90"/>
      <c r="C658" s="90"/>
      <c r="D658" s="91"/>
      <c r="E658" s="92"/>
      <c r="F658" s="93"/>
      <c r="G658" s="93"/>
    </row>
    <row r="659">
      <c r="A659" s="102"/>
      <c r="B659" s="90"/>
      <c r="C659" s="90"/>
      <c r="D659" s="91"/>
      <c r="E659" s="92"/>
      <c r="F659" s="93"/>
      <c r="G659" s="93"/>
    </row>
    <row r="660">
      <c r="A660" s="102"/>
      <c r="B660" s="90"/>
      <c r="C660" s="90"/>
      <c r="D660" s="91"/>
      <c r="E660" s="92"/>
      <c r="F660" s="93"/>
      <c r="G660" s="93"/>
    </row>
    <row r="661">
      <c r="A661" s="102"/>
      <c r="B661" s="90"/>
      <c r="C661" s="90"/>
      <c r="D661" s="91"/>
      <c r="E661" s="92"/>
      <c r="F661" s="93"/>
      <c r="G661" s="93"/>
    </row>
    <row r="662">
      <c r="A662" s="102"/>
      <c r="B662" s="90"/>
      <c r="C662" s="90"/>
      <c r="D662" s="91"/>
      <c r="E662" s="92"/>
      <c r="F662" s="93"/>
      <c r="G662" s="93"/>
    </row>
    <row r="663">
      <c r="A663" s="102"/>
      <c r="B663" s="90"/>
      <c r="C663" s="90"/>
      <c r="D663" s="91"/>
      <c r="E663" s="92"/>
      <c r="F663" s="93"/>
      <c r="G663" s="93"/>
    </row>
    <row r="664">
      <c r="A664" s="102"/>
      <c r="B664" s="90"/>
      <c r="C664" s="90"/>
      <c r="D664" s="91"/>
      <c r="E664" s="92"/>
      <c r="F664" s="93"/>
      <c r="G664" s="93"/>
    </row>
    <row r="665">
      <c r="A665" s="102"/>
      <c r="B665" s="90"/>
      <c r="C665" s="90"/>
      <c r="D665" s="91"/>
      <c r="E665" s="92"/>
      <c r="F665" s="93"/>
      <c r="G665" s="93"/>
    </row>
    <row r="666">
      <c r="A666" s="101"/>
      <c r="B666" s="90"/>
      <c r="C666" s="90"/>
      <c r="D666" s="91"/>
      <c r="E666" s="92"/>
      <c r="F666" s="93"/>
      <c r="G666" s="93"/>
    </row>
    <row r="667">
      <c r="A667" s="101"/>
      <c r="B667" s="90"/>
      <c r="C667" s="90"/>
      <c r="D667" s="91"/>
      <c r="E667" s="92"/>
      <c r="F667" s="93"/>
      <c r="G667" s="93"/>
    </row>
    <row r="668">
      <c r="A668" s="102"/>
      <c r="B668" s="90"/>
      <c r="C668" s="90"/>
      <c r="D668" s="91"/>
      <c r="E668" s="92"/>
      <c r="F668" s="93"/>
      <c r="G668" s="93"/>
    </row>
    <row r="669">
      <c r="A669" s="102"/>
      <c r="B669" s="90"/>
      <c r="C669" s="90"/>
      <c r="D669" s="91"/>
      <c r="E669" s="92"/>
      <c r="F669" s="93"/>
      <c r="G669" s="93"/>
    </row>
    <row r="670">
      <c r="A670" s="102"/>
      <c r="B670" s="90"/>
      <c r="C670" s="90"/>
      <c r="D670" s="91"/>
      <c r="E670" s="92"/>
      <c r="F670" s="93"/>
      <c r="G670" s="93"/>
    </row>
    <row r="671">
      <c r="A671" s="101"/>
      <c r="B671" s="90"/>
      <c r="C671" s="90"/>
      <c r="D671" s="91"/>
      <c r="E671" s="92"/>
      <c r="F671" s="93"/>
      <c r="G671" s="93"/>
    </row>
    <row r="672">
      <c r="A672" s="101"/>
      <c r="B672" s="90"/>
      <c r="C672" s="90"/>
      <c r="D672" s="91"/>
      <c r="E672" s="92"/>
      <c r="F672" s="93"/>
      <c r="G672" s="93"/>
    </row>
    <row r="673">
      <c r="A673" s="101"/>
      <c r="B673" s="90"/>
      <c r="C673" s="90"/>
      <c r="D673" s="91"/>
      <c r="E673" s="92"/>
      <c r="F673" s="93"/>
      <c r="G673" s="93"/>
    </row>
    <row r="674">
      <c r="A674" s="102"/>
      <c r="B674" s="90"/>
      <c r="C674" s="90"/>
      <c r="D674" s="91"/>
      <c r="E674" s="92"/>
      <c r="F674" s="93"/>
      <c r="G674" s="93"/>
    </row>
    <row r="675">
      <c r="A675" s="102"/>
      <c r="B675" s="90"/>
      <c r="C675" s="90"/>
      <c r="D675" s="91"/>
      <c r="E675" s="92"/>
      <c r="F675" s="93"/>
      <c r="G675" s="93"/>
    </row>
    <row r="676">
      <c r="A676" s="102"/>
      <c r="B676" s="90"/>
      <c r="C676" s="90"/>
      <c r="D676" s="91"/>
      <c r="E676" s="92"/>
      <c r="F676" s="93"/>
      <c r="G676" s="93"/>
    </row>
    <row r="677">
      <c r="A677" s="101"/>
      <c r="B677" s="90"/>
      <c r="C677" s="90"/>
      <c r="D677" s="91"/>
      <c r="E677" s="92"/>
      <c r="F677" s="93"/>
      <c r="G677" s="93"/>
    </row>
    <row r="678">
      <c r="A678" s="102"/>
      <c r="B678" s="90"/>
      <c r="C678" s="90"/>
      <c r="D678" s="91"/>
      <c r="E678" s="92"/>
      <c r="F678" s="93"/>
      <c r="G678" s="93"/>
    </row>
    <row r="679">
      <c r="A679" s="101"/>
      <c r="B679" s="90"/>
      <c r="C679" s="90"/>
      <c r="D679" s="91"/>
      <c r="E679" s="92"/>
      <c r="F679" s="93"/>
      <c r="G679" s="93"/>
    </row>
    <row r="680">
      <c r="A680" s="101"/>
      <c r="B680" s="90"/>
      <c r="C680" s="90"/>
      <c r="D680" s="91"/>
      <c r="E680" s="92"/>
      <c r="F680" s="93"/>
      <c r="G680" s="93"/>
    </row>
    <row r="681">
      <c r="A681" s="102"/>
      <c r="B681" s="90"/>
      <c r="C681" s="90"/>
      <c r="D681" s="91"/>
      <c r="E681" s="92"/>
      <c r="F681" s="93"/>
      <c r="G681" s="93"/>
    </row>
    <row r="682">
      <c r="A682" s="102"/>
      <c r="B682" s="90"/>
      <c r="C682" s="90"/>
      <c r="D682" s="91"/>
      <c r="E682" s="92"/>
      <c r="F682" s="93"/>
      <c r="G682" s="93"/>
    </row>
    <row r="683">
      <c r="A683" s="102"/>
      <c r="B683" s="90"/>
      <c r="C683" s="90"/>
      <c r="D683" s="91"/>
      <c r="E683" s="92"/>
      <c r="F683" s="93"/>
      <c r="G683" s="93"/>
    </row>
    <row r="684">
      <c r="A684" s="101"/>
      <c r="B684" s="90"/>
      <c r="C684" s="90"/>
      <c r="D684" s="91"/>
      <c r="E684" s="92"/>
      <c r="F684" s="93"/>
      <c r="G684" s="93"/>
    </row>
    <row r="685">
      <c r="A685" s="102"/>
      <c r="B685" s="90"/>
      <c r="C685" s="90"/>
      <c r="D685" s="91"/>
      <c r="E685" s="92"/>
      <c r="F685" s="93"/>
      <c r="G685" s="93"/>
    </row>
    <row r="686">
      <c r="A686" s="101"/>
      <c r="B686" s="90"/>
      <c r="C686" s="90"/>
      <c r="D686" s="91"/>
      <c r="E686" s="92"/>
      <c r="F686" s="93"/>
      <c r="G686" s="93"/>
    </row>
    <row r="687">
      <c r="A687" s="102"/>
      <c r="B687" s="90"/>
      <c r="C687" s="90"/>
      <c r="D687" s="91"/>
      <c r="E687" s="92"/>
      <c r="F687" s="93"/>
      <c r="G687" s="93"/>
    </row>
    <row r="688">
      <c r="A688" s="102"/>
      <c r="B688" s="90"/>
      <c r="C688" s="90"/>
      <c r="D688" s="91"/>
      <c r="E688" s="92"/>
      <c r="F688" s="93"/>
      <c r="G688" s="93"/>
    </row>
    <row r="689">
      <c r="A689" s="101"/>
      <c r="B689" s="90"/>
      <c r="C689" s="90"/>
      <c r="D689" s="91"/>
      <c r="E689" s="92"/>
      <c r="F689" s="93"/>
      <c r="G689" s="93"/>
    </row>
    <row r="690">
      <c r="A690" s="102"/>
      <c r="B690" s="90"/>
      <c r="C690" s="90"/>
      <c r="D690" s="91"/>
      <c r="E690" s="92"/>
      <c r="F690" s="93"/>
      <c r="G690" s="93"/>
    </row>
    <row r="691">
      <c r="A691" s="102"/>
      <c r="B691" s="90"/>
      <c r="C691" s="90"/>
      <c r="D691" s="91"/>
      <c r="E691" s="92"/>
      <c r="F691" s="93"/>
      <c r="G691" s="93"/>
    </row>
    <row r="692">
      <c r="A692" s="102"/>
      <c r="B692" s="90"/>
      <c r="C692" s="90"/>
      <c r="D692" s="91"/>
      <c r="E692" s="92"/>
      <c r="F692" s="93"/>
      <c r="G692" s="93"/>
    </row>
    <row r="693">
      <c r="A693" s="102"/>
      <c r="B693" s="90"/>
      <c r="C693" s="90"/>
      <c r="D693" s="91"/>
      <c r="E693" s="92"/>
      <c r="F693" s="93"/>
      <c r="G693" s="93"/>
    </row>
    <row r="694">
      <c r="A694" s="101"/>
      <c r="B694" s="90"/>
      <c r="C694" s="90"/>
      <c r="D694" s="91"/>
      <c r="E694" s="92"/>
      <c r="F694" s="93"/>
      <c r="G694" s="93"/>
    </row>
    <row r="695">
      <c r="A695" s="101"/>
      <c r="B695" s="90"/>
      <c r="C695" s="90"/>
      <c r="D695" s="91"/>
      <c r="E695" s="92"/>
      <c r="F695" s="93"/>
      <c r="G695" s="93"/>
    </row>
    <row r="696">
      <c r="A696" s="102"/>
      <c r="B696" s="90"/>
      <c r="C696" s="90"/>
      <c r="D696" s="91"/>
      <c r="E696" s="92"/>
      <c r="F696" s="93"/>
      <c r="G696" s="93"/>
    </row>
    <row r="697">
      <c r="A697" s="101"/>
      <c r="B697" s="90"/>
      <c r="C697" s="90"/>
      <c r="D697" s="91"/>
      <c r="E697" s="92"/>
      <c r="F697" s="93"/>
      <c r="G697" s="93"/>
    </row>
    <row r="698">
      <c r="A698" s="102"/>
      <c r="B698" s="90"/>
      <c r="C698" s="90"/>
      <c r="D698" s="91"/>
      <c r="E698" s="92"/>
      <c r="F698" s="93"/>
      <c r="G698" s="93"/>
    </row>
    <row r="699">
      <c r="A699" s="102"/>
      <c r="B699" s="90"/>
      <c r="C699" s="90"/>
      <c r="D699" s="91"/>
      <c r="E699" s="92"/>
      <c r="F699" s="93"/>
      <c r="G699" s="93"/>
    </row>
    <row r="700">
      <c r="A700" s="102"/>
      <c r="B700" s="90"/>
      <c r="C700" s="90"/>
      <c r="D700" s="91"/>
      <c r="E700" s="92"/>
      <c r="F700" s="93"/>
      <c r="G700" s="93"/>
    </row>
    <row r="701">
      <c r="A701" s="102"/>
      <c r="B701" s="90"/>
      <c r="C701" s="90"/>
      <c r="D701" s="91"/>
      <c r="E701" s="92"/>
      <c r="F701" s="93"/>
      <c r="G701" s="93"/>
    </row>
    <row r="702">
      <c r="A702" s="102"/>
      <c r="B702" s="90"/>
      <c r="C702" s="90"/>
      <c r="D702" s="91"/>
      <c r="E702" s="92"/>
      <c r="F702" s="93"/>
      <c r="G702" s="93"/>
    </row>
    <row r="703">
      <c r="A703" s="101"/>
      <c r="B703" s="90"/>
      <c r="C703" s="90"/>
      <c r="D703" s="91"/>
      <c r="E703" s="92"/>
      <c r="F703" s="93"/>
      <c r="G703" s="93"/>
    </row>
    <row r="704">
      <c r="A704" s="102"/>
      <c r="B704" s="90"/>
      <c r="C704" s="90"/>
      <c r="D704" s="91"/>
      <c r="E704" s="92"/>
      <c r="F704" s="93"/>
      <c r="G704" s="93"/>
    </row>
    <row r="705">
      <c r="A705" s="102"/>
      <c r="B705" s="90"/>
      <c r="C705" s="90"/>
      <c r="D705" s="91"/>
      <c r="E705" s="92"/>
      <c r="F705" s="93"/>
      <c r="G705" s="93"/>
    </row>
    <row r="706">
      <c r="A706" s="102"/>
      <c r="B706" s="90"/>
      <c r="C706" s="90"/>
      <c r="D706" s="91"/>
      <c r="E706" s="92"/>
      <c r="F706" s="93"/>
      <c r="G706" s="93"/>
    </row>
    <row r="707">
      <c r="A707" s="101"/>
      <c r="B707" s="90"/>
      <c r="C707" s="90"/>
      <c r="D707" s="91"/>
      <c r="E707" s="92"/>
      <c r="F707" s="93"/>
      <c r="G707" s="93"/>
    </row>
    <row r="708">
      <c r="A708" s="101"/>
      <c r="B708" s="90"/>
      <c r="C708" s="90"/>
      <c r="D708" s="91"/>
      <c r="E708" s="92"/>
      <c r="F708" s="93"/>
      <c r="G708" s="93"/>
    </row>
    <row r="709">
      <c r="A709" s="102"/>
      <c r="B709" s="90"/>
      <c r="C709" s="90"/>
      <c r="D709" s="91"/>
      <c r="E709" s="92"/>
      <c r="F709" s="93"/>
      <c r="G709" s="93"/>
    </row>
    <row r="710">
      <c r="A710" s="102"/>
      <c r="B710" s="90"/>
      <c r="C710" s="90"/>
      <c r="D710" s="91"/>
      <c r="E710" s="92"/>
      <c r="F710" s="93"/>
      <c r="G710" s="93"/>
    </row>
    <row r="711">
      <c r="A711" s="102"/>
      <c r="B711" s="90"/>
      <c r="C711" s="90"/>
      <c r="D711" s="91"/>
      <c r="E711" s="92"/>
      <c r="F711" s="93"/>
      <c r="G711" s="93"/>
    </row>
    <row r="712">
      <c r="A712" s="102"/>
      <c r="B712" s="90"/>
      <c r="C712" s="90"/>
      <c r="D712" s="91"/>
      <c r="E712" s="92"/>
      <c r="F712" s="93"/>
      <c r="G712" s="93"/>
    </row>
    <row r="713">
      <c r="A713" s="102"/>
      <c r="B713" s="90"/>
      <c r="C713" s="90"/>
      <c r="D713" s="91"/>
      <c r="E713" s="92"/>
      <c r="F713" s="93"/>
      <c r="G713" s="93"/>
    </row>
    <row r="714">
      <c r="A714" s="102"/>
      <c r="B714" s="90"/>
      <c r="C714" s="90"/>
      <c r="D714" s="91"/>
      <c r="E714" s="92"/>
      <c r="F714" s="93"/>
      <c r="G714" s="93"/>
    </row>
    <row r="715">
      <c r="A715" s="102"/>
      <c r="B715" s="90"/>
      <c r="C715" s="90"/>
      <c r="D715" s="91"/>
      <c r="E715" s="92"/>
      <c r="F715" s="93"/>
      <c r="G715" s="93"/>
    </row>
    <row r="716">
      <c r="A716" s="102"/>
      <c r="B716" s="90"/>
      <c r="C716" s="90"/>
      <c r="D716" s="91"/>
      <c r="E716" s="92"/>
      <c r="F716" s="93"/>
      <c r="G716" s="93"/>
    </row>
    <row r="717">
      <c r="A717" s="102"/>
      <c r="B717" s="90"/>
      <c r="C717" s="90"/>
      <c r="D717" s="91"/>
      <c r="E717" s="100"/>
      <c r="F717" s="93"/>
      <c r="G717" s="93"/>
    </row>
    <row r="718">
      <c r="A718" s="102"/>
      <c r="B718" s="90"/>
      <c r="C718" s="90"/>
      <c r="D718" s="91"/>
      <c r="E718" s="92"/>
      <c r="F718" s="93"/>
      <c r="G718" s="93"/>
    </row>
    <row r="719">
      <c r="A719" s="102"/>
      <c r="B719" s="90"/>
      <c r="C719" s="90"/>
      <c r="D719" s="91"/>
      <c r="E719" s="92"/>
      <c r="F719" s="93"/>
      <c r="G719" s="93"/>
    </row>
    <row r="720">
      <c r="A720" s="102"/>
      <c r="B720" s="90"/>
      <c r="C720" s="90"/>
      <c r="D720" s="91"/>
      <c r="E720" s="92"/>
      <c r="F720" s="93"/>
      <c r="G720" s="93"/>
    </row>
    <row r="721">
      <c r="A721" s="102"/>
      <c r="B721" s="90"/>
      <c r="C721" s="90"/>
      <c r="D721" s="91"/>
      <c r="E721" s="92"/>
      <c r="F721" s="93"/>
      <c r="G721" s="93"/>
    </row>
    <row r="722">
      <c r="A722" s="102"/>
      <c r="B722" s="90"/>
      <c r="C722" s="90"/>
      <c r="D722" s="91"/>
      <c r="E722" s="92"/>
      <c r="F722" s="93"/>
      <c r="G722" s="93"/>
    </row>
    <row r="723">
      <c r="A723" s="102"/>
      <c r="B723" s="90"/>
      <c r="C723" s="90"/>
      <c r="D723" s="91"/>
      <c r="E723" s="92"/>
      <c r="F723" s="93"/>
      <c r="G723" s="93"/>
    </row>
    <row r="724">
      <c r="A724" s="102"/>
      <c r="B724" s="90"/>
      <c r="C724" s="90"/>
      <c r="D724" s="91"/>
      <c r="E724" s="92"/>
      <c r="F724" s="93"/>
      <c r="G724" s="93"/>
    </row>
    <row r="725">
      <c r="A725" s="102"/>
      <c r="B725" s="90"/>
      <c r="C725" s="90"/>
      <c r="D725" s="91"/>
      <c r="E725" s="92"/>
      <c r="F725" s="93"/>
      <c r="G725" s="93"/>
    </row>
    <row r="726">
      <c r="A726" s="101"/>
      <c r="B726" s="90"/>
      <c r="C726" s="90"/>
      <c r="D726" s="91"/>
      <c r="E726" s="92"/>
      <c r="F726" s="93"/>
      <c r="G726" s="93"/>
    </row>
    <row r="727">
      <c r="A727" s="101"/>
      <c r="B727" s="90"/>
      <c r="C727" s="90"/>
      <c r="D727" s="91"/>
      <c r="E727" s="100"/>
      <c r="F727" s="93"/>
      <c r="G727" s="93"/>
    </row>
    <row r="728">
      <c r="A728" s="101"/>
      <c r="B728" s="90"/>
      <c r="C728" s="90"/>
      <c r="D728" s="91"/>
      <c r="E728" s="100"/>
      <c r="F728" s="93"/>
      <c r="G728" s="93"/>
    </row>
    <row r="729">
      <c r="A729" s="102"/>
      <c r="B729" s="90"/>
      <c r="C729" s="90"/>
      <c r="D729" s="91"/>
      <c r="E729" s="92"/>
      <c r="F729" s="93"/>
      <c r="G729" s="93"/>
    </row>
    <row r="730">
      <c r="A730" s="102"/>
      <c r="B730" s="90"/>
      <c r="C730" s="90"/>
      <c r="D730" s="91"/>
      <c r="E730" s="92"/>
      <c r="F730" s="93"/>
      <c r="G730" s="93"/>
    </row>
    <row r="731">
      <c r="A731" s="102"/>
      <c r="B731" s="90"/>
      <c r="C731" s="90"/>
      <c r="D731" s="91"/>
      <c r="E731" s="92"/>
      <c r="F731" s="93"/>
      <c r="G731" s="93"/>
    </row>
    <row r="732">
      <c r="A732" s="101"/>
      <c r="B732" s="90"/>
      <c r="C732" s="90"/>
      <c r="D732" s="91"/>
      <c r="E732" s="92"/>
      <c r="F732" s="93"/>
      <c r="G732" s="93"/>
    </row>
    <row r="733">
      <c r="A733" s="102"/>
      <c r="B733" s="90"/>
      <c r="C733" s="90"/>
      <c r="D733" s="91"/>
      <c r="E733" s="92"/>
      <c r="F733" s="93"/>
      <c r="G733" s="93"/>
    </row>
    <row r="734">
      <c r="A734" s="102"/>
      <c r="B734" s="90"/>
      <c r="C734" s="90"/>
      <c r="D734" s="91"/>
      <c r="E734" s="92"/>
      <c r="F734" s="93"/>
      <c r="G734" s="93"/>
    </row>
    <row r="735">
      <c r="A735" s="102"/>
      <c r="B735" s="90"/>
      <c r="C735" s="90"/>
      <c r="D735" s="91"/>
      <c r="E735" s="92"/>
      <c r="F735" s="93"/>
      <c r="G735" s="93"/>
    </row>
    <row r="736">
      <c r="A736" s="102"/>
      <c r="B736" s="90"/>
      <c r="C736" s="90"/>
      <c r="D736" s="91"/>
      <c r="E736" s="92"/>
      <c r="F736" s="93"/>
      <c r="G736" s="93"/>
    </row>
    <row r="737">
      <c r="A737" s="102"/>
      <c r="B737" s="90"/>
      <c r="C737" s="90"/>
      <c r="D737" s="91"/>
      <c r="E737" s="92"/>
      <c r="F737" s="93"/>
      <c r="G737" s="93"/>
    </row>
    <row r="738">
      <c r="A738" s="102"/>
      <c r="B738" s="90"/>
      <c r="C738" s="90"/>
      <c r="D738" s="91"/>
      <c r="E738" s="92"/>
      <c r="F738" s="93"/>
      <c r="G738" s="93"/>
    </row>
    <row r="739">
      <c r="A739" s="102"/>
      <c r="B739" s="90"/>
      <c r="C739" s="90"/>
      <c r="D739" s="91"/>
      <c r="E739" s="92"/>
      <c r="F739" s="93"/>
      <c r="G739" s="93"/>
    </row>
    <row r="740">
      <c r="A740" s="102"/>
      <c r="B740" s="90"/>
      <c r="C740" s="90"/>
      <c r="D740" s="91"/>
      <c r="E740" s="92"/>
      <c r="F740" s="93"/>
      <c r="G740" s="93"/>
    </row>
    <row r="741">
      <c r="A741" s="102"/>
      <c r="B741" s="90"/>
      <c r="C741" s="90"/>
      <c r="D741" s="91"/>
      <c r="E741" s="92"/>
      <c r="F741" s="93"/>
      <c r="G741" s="93"/>
    </row>
    <row r="742">
      <c r="A742" s="101"/>
      <c r="B742" s="90"/>
      <c r="C742" s="90"/>
      <c r="D742" s="91"/>
      <c r="E742" s="92"/>
      <c r="F742" s="93"/>
      <c r="G742" s="93"/>
    </row>
    <row r="743">
      <c r="A743" s="102"/>
      <c r="B743" s="90"/>
      <c r="C743" s="90"/>
      <c r="D743" s="91"/>
      <c r="E743" s="92"/>
      <c r="F743" s="93"/>
      <c r="G743" s="93"/>
    </row>
    <row r="744">
      <c r="A744" s="101"/>
      <c r="B744" s="90"/>
      <c r="C744" s="90"/>
      <c r="D744" s="91"/>
      <c r="E744" s="92"/>
      <c r="F744" s="93"/>
      <c r="G744" s="93"/>
    </row>
    <row r="745">
      <c r="A745" s="101"/>
      <c r="B745" s="90"/>
      <c r="C745" s="90"/>
      <c r="D745" s="91"/>
      <c r="E745" s="92"/>
      <c r="F745" s="93"/>
      <c r="G745" s="93"/>
    </row>
    <row r="746">
      <c r="A746" s="102"/>
      <c r="B746" s="90"/>
      <c r="C746" s="90"/>
      <c r="D746" s="91"/>
      <c r="E746" s="92"/>
      <c r="F746" s="93"/>
      <c r="G746" s="93"/>
    </row>
    <row r="747">
      <c r="A747" s="102"/>
      <c r="B747" s="90"/>
      <c r="C747" s="90"/>
      <c r="D747" s="91"/>
      <c r="E747" s="92"/>
      <c r="F747" s="93"/>
      <c r="G747" s="93"/>
    </row>
    <row r="748">
      <c r="A748" s="102"/>
      <c r="B748" s="90"/>
      <c r="C748" s="90"/>
      <c r="D748" s="91"/>
      <c r="E748" s="92"/>
      <c r="F748" s="93"/>
      <c r="G748" s="93"/>
    </row>
    <row r="749">
      <c r="A749" s="102"/>
      <c r="B749" s="90"/>
      <c r="C749" s="90"/>
      <c r="D749" s="91"/>
      <c r="E749" s="92"/>
      <c r="F749" s="93"/>
      <c r="G749" s="93"/>
    </row>
    <row r="750">
      <c r="A750" s="102"/>
      <c r="B750" s="90"/>
      <c r="C750" s="90"/>
      <c r="D750" s="91"/>
      <c r="E750" s="92"/>
      <c r="F750" s="93"/>
      <c r="G750" s="93"/>
    </row>
    <row r="751">
      <c r="A751" s="102"/>
      <c r="B751" s="90"/>
      <c r="C751" s="90"/>
      <c r="D751" s="91"/>
      <c r="E751" s="92"/>
      <c r="F751" s="93"/>
      <c r="G751" s="93"/>
    </row>
    <row r="752">
      <c r="A752" s="102"/>
      <c r="B752" s="90"/>
      <c r="C752" s="90"/>
      <c r="D752" s="91"/>
      <c r="E752" s="92"/>
      <c r="F752" s="93"/>
      <c r="G752" s="93"/>
    </row>
    <row r="753">
      <c r="A753" s="102"/>
      <c r="B753" s="90"/>
      <c r="C753" s="90"/>
      <c r="D753" s="91"/>
      <c r="E753" s="92"/>
      <c r="F753" s="93"/>
      <c r="G753" s="93"/>
    </row>
    <row r="754">
      <c r="A754" s="102"/>
      <c r="B754" s="90"/>
      <c r="C754" s="90"/>
      <c r="D754" s="91"/>
      <c r="E754" s="92"/>
      <c r="F754" s="93"/>
      <c r="G754" s="93"/>
    </row>
    <row r="755">
      <c r="A755" s="102"/>
      <c r="B755" s="90"/>
      <c r="C755" s="90"/>
      <c r="D755" s="91"/>
      <c r="E755" s="92"/>
      <c r="F755" s="93"/>
      <c r="G755" s="93"/>
    </row>
    <row r="756">
      <c r="A756" s="102"/>
      <c r="B756" s="90"/>
      <c r="C756" s="90"/>
      <c r="D756" s="91"/>
      <c r="E756" s="92"/>
      <c r="F756" s="93"/>
      <c r="G756" s="93"/>
    </row>
    <row r="757">
      <c r="A757" s="102"/>
      <c r="B757" s="90"/>
      <c r="C757" s="90"/>
      <c r="D757" s="91"/>
      <c r="E757" s="92"/>
      <c r="F757" s="93"/>
      <c r="G757" s="93"/>
    </row>
    <row r="758">
      <c r="A758" s="102"/>
      <c r="B758" s="90"/>
      <c r="C758" s="90"/>
      <c r="D758" s="91"/>
      <c r="E758" s="100"/>
      <c r="F758" s="93"/>
      <c r="G758" s="93"/>
    </row>
    <row r="759">
      <c r="A759" s="102"/>
      <c r="B759" s="90"/>
      <c r="C759" s="90"/>
      <c r="D759" s="91"/>
      <c r="E759" s="92"/>
      <c r="F759" s="93"/>
      <c r="G759" s="93"/>
    </row>
    <row r="760">
      <c r="A760" s="102"/>
      <c r="B760" s="90"/>
      <c r="C760" s="90"/>
      <c r="D760" s="91"/>
      <c r="E760" s="92"/>
      <c r="F760" s="93"/>
      <c r="G760" s="93"/>
    </row>
    <row r="761">
      <c r="A761" s="102"/>
      <c r="B761" s="90"/>
      <c r="C761" s="90"/>
      <c r="D761" s="91"/>
      <c r="E761" s="92"/>
      <c r="F761" s="93"/>
      <c r="G761" s="93"/>
    </row>
    <row r="762">
      <c r="A762" s="102"/>
      <c r="B762" s="90"/>
      <c r="C762" s="90"/>
      <c r="D762" s="91"/>
      <c r="E762" s="92"/>
      <c r="F762" s="93"/>
      <c r="G762" s="93"/>
    </row>
    <row r="763">
      <c r="A763" s="102"/>
      <c r="B763" s="90"/>
      <c r="C763" s="90"/>
      <c r="D763" s="91"/>
      <c r="E763" s="100"/>
      <c r="F763" s="93"/>
      <c r="G763" s="93"/>
    </row>
    <row r="764">
      <c r="A764" s="39"/>
      <c r="B764" s="103"/>
      <c r="C764" s="104"/>
      <c r="D764" s="91"/>
      <c r="E764" s="100"/>
      <c r="F764" s="105"/>
      <c r="G764" s="105"/>
    </row>
    <row r="765">
      <c r="A765" s="39"/>
      <c r="B765" s="103"/>
      <c r="C765" s="104"/>
      <c r="D765" s="91"/>
      <c r="E765" s="92"/>
      <c r="F765" s="105"/>
      <c r="G765" s="105"/>
    </row>
    <row r="766">
      <c r="A766" s="39"/>
      <c r="B766" s="103"/>
      <c r="C766" s="104"/>
      <c r="D766" s="91"/>
      <c r="E766" s="92"/>
      <c r="F766" s="105"/>
      <c r="G766" s="105"/>
    </row>
    <row r="767">
      <c r="A767" s="39"/>
      <c r="B767" s="103"/>
      <c r="C767" s="104"/>
      <c r="D767" s="91"/>
      <c r="E767" s="92"/>
      <c r="F767" s="105"/>
      <c r="G767" s="105"/>
    </row>
    <row r="768">
      <c r="A768" s="39"/>
      <c r="B768" s="103"/>
      <c r="C768" s="104"/>
      <c r="D768" s="91"/>
      <c r="E768" s="100"/>
      <c r="F768" s="105"/>
      <c r="G768" s="105"/>
    </row>
    <row r="769">
      <c r="A769" s="39"/>
      <c r="B769" s="104"/>
      <c r="C769" s="103"/>
      <c r="D769" s="91"/>
      <c r="E769" s="100"/>
      <c r="F769" s="105"/>
      <c r="G769" s="105"/>
    </row>
    <row r="770">
      <c r="A770" s="39"/>
      <c r="B770" s="103"/>
      <c r="C770" s="104"/>
      <c r="D770" s="91"/>
      <c r="E770" s="92"/>
      <c r="F770" s="105"/>
      <c r="G770" s="105"/>
    </row>
    <row r="771">
      <c r="A771" s="39"/>
      <c r="B771" s="103"/>
      <c r="C771" s="104"/>
      <c r="D771" s="91"/>
      <c r="E771" s="100"/>
      <c r="F771" s="105"/>
      <c r="G771" s="105"/>
    </row>
    <row r="772">
      <c r="A772" s="39"/>
      <c r="B772" s="103"/>
      <c r="C772" s="104"/>
      <c r="D772" s="91"/>
      <c r="E772" s="92"/>
      <c r="F772" s="105"/>
      <c r="G772" s="105"/>
    </row>
    <row r="773">
      <c r="A773" s="39"/>
      <c r="B773" s="104"/>
      <c r="C773" s="103"/>
      <c r="D773" s="91"/>
      <c r="E773" s="92"/>
      <c r="F773" s="105"/>
      <c r="G773" s="105"/>
    </row>
    <row r="774">
      <c r="A774" s="39"/>
      <c r="B774" s="104"/>
      <c r="C774" s="103"/>
      <c r="D774" s="91"/>
      <c r="E774" s="92"/>
      <c r="F774" s="105"/>
      <c r="G774" s="105"/>
    </row>
    <row r="775">
      <c r="A775" s="39"/>
      <c r="B775" s="103"/>
      <c r="C775" s="104"/>
      <c r="D775" s="91"/>
      <c r="E775" s="92"/>
      <c r="F775" s="105"/>
      <c r="G775" s="105"/>
    </row>
    <row r="776">
      <c r="A776" s="102"/>
      <c r="B776" s="90"/>
      <c r="C776" s="90"/>
      <c r="D776" s="91"/>
      <c r="E776" s="92"/>
      <c r="F776" s="93"/>
      <c r="G776" s="93"/>
    </row>
    <row r="777">
      <c r="A777" s="106"/>
      <c r="B777" s="90"/>
      <c r="C777" s="90"/>
      <c r="D777" s="91"/>
      <c r="E777" s="92"/>
      <c r="F777" s="93"/>
      <c r="G777" s="93"/>
    </row>
    <row r="778">
      <c r="A778" s="106"/>
      <c r="B778" s="90"/>
      <c r="C778" s="90"/>
      <c r="D778" s="91"/>
      <c r="E778" s="92"/>
      <c r="F778" s="93"/>
      <c r="G778" s="93"/>
    </row>
    <row r="779">
      <c r="D779" s="91"/>
      <c r="E779" s="93"/>
      <c r="F779" s="93"/>
      <c r="G779" s="93"/>
    </row>
    <row r="780">
      <c r="D780" s="91"/>
      <c r="E780" s="93"/>
      <c r="F780" s="93"/>
      <c r="G780" s="93"/>
    </row>
    <row r="781">
      <c r="D781" s="91"/>
      <c r="E781" s="93"/>
      <c r="F781" s="93"/>
      <c r="G781" s="93"/>
    </row>
    <row r="782">
      <c r="D782" s="91"/>
      <c r="E782" s="93"/>
      <c r="F782" s="93"/>
      <c r="G782" s="93"/>
    </row>
    <row r="783">
      <c r="D783" s="91"/>
      <c r="E783" s="93"/>
      <c r="F783" s="93"/>
      <c r="G783" s="93"/>
    </row>
    <row r="784">
      <c r="D784" s="91"/>
      <c r="E784" s="93"/>
      <c r="F784" s="93"/>
      <c r="G784" s="93"/>
    </row>
    <row r="785">
      <c r="D785" s="91"/>
      <c r="E785" s="93"/>
      <c r="F785" s="93"/>
      <c r="G785" s="93"/>
    </row>
    <row r="786">
      <c r="D786" s="91"/>
      <c r="E786" s="93"/>
      <c r="F786" s="93"/>
      <c r="G786" s="93"/>
    </row>
    <row r="787">
      <c r="D787" s="91"/>
      <c r="E787" s="93"/>
      <c r="F787" s="93"/>
      <c r="G787" s="93"/>
    </row>
    <row r="788">
      <c r="D788" s="91"/>
      <c r="E788" s="93"/>
      <c r="F788" s="93"/>
      <c r="G788" s="93"/>
    </row>
    <row r="789">
      <c r="D789" s="91"/>
      <c r="E789" s="93"/>
      <c r="F789" s="93"/>
      <c r="G789" s="93"/>
    </row>
    <row r="790">
      <c r="D790" s="91"/>
      <c r="E790" s="93"/>
      <c r="F790" s="93"/>
      <c r="G790" s="93"/>
    </row>
    <row r="791">
      <c r="D791" s="91"/>
      <c r="E791" s="93"/>
      <c r="F791" s="93"/>
      <c r="G791" s="93"/>
    </row>
    <row r="792">
      <c r="D792" s="91"/>
      <c r="E792" s="93"/>
      <c r="F792" s="93"/>
      <c r="G792" s="93"/>
    </row>
    <row r="793">
      <c r="D793" s="91"/>
      <c r="E793" s="93"/>
      <c r="F793" s="93"/>
      <c r="G793" s="93"/>
    </row>
    <row r="794">
      <c r="D794" s="91"/>
      <c r="E794" s="93"/>
      <c r="F794" s="93"/>
      <c r="G794" s="93"/>
    </row>
    <row r="795">
      <c r="D795" s="91"/>
      <c r="E795" s="93"/>
      <c r="F795" s="93"/>
      <c r="G795" s="93"/>
    </row>
    <row r="796">
      <c r="D796" s="91"/>
      <c r="E796" s="93"/>
      <c r="F796" s="93"/>
      <c r="G796" s="93"/>
    </row>
    <row r="797">
      <c r="D797" s="91"/>
      <c r="E797" s="93"/>
      <c r="F797" s="93"/>
      <c r="G797" s="93"/>
    </row>
    <row r="798">
      <c r="D798" s="91"/>
      <c r="E798" s="93"/>
      <c r="F798" s="93"/>
      <c r="G798" s="93"/>
    </row>
    <row r="799">
      <c r="D799" s="91"/>
      <c r="E799" s="93"/>
      <c r="F799" s="93"/>
      <c r="G799" s="93"/>
    </row>
    <row r="800">
      <c r="D800" s="91"/>
      <c r="E800" s="93"/>
      <c r="F800" s="93"/>
      <c r="G800" s="93"/>
    </row>
    <row r="801">
      <c r="D801" s="91"/>
      <c r="E801" s="93"/>
      <c r="F801" s="93"/>
      <c r="G801" s="93"/>
    </row>
    <row r="802">
      <c r="D802" s="91"/>
      <c r="E802" s="93"/>
      <c r="F802" s="93"/>
      <c r="G802" s="93"/>
    </row>
    <row r="803">
      <c r="D803" s="91"/>
      <c r="E803" s="93"/>
      <c r="F803" s="93"/>
      <c r="G803" s="93"/>
    </row>
    <row r="804">
      <c r="D804" s="91"/>
      <c r="E804" s="93"/>
      <c r="F804" s="93"/>
      <c r="G804" s="93"/>
    </row>
    <row r="805">
      <c r="D805" s="91"/>
      <c r="E805" s="93"/>
      <c r="F805" s="93"/>
      <c r="G805" s="93"/>
    </row>
    <row r="806">
      <c r="D806" s="91"/>
      <c r="E806" s="93"/>
      <c r="F806" s="93"/>
      <c r="G806" s="93"/>
    </row>
    <row r="807">
      <c r="D807" s="91"/>
      <c r="E807" s="93"/>
      <c r="F807" s="93"/>
      <c r="G807" s="93"/>
    </row>
    <row r="808">
      <c r="D808" s="91"/>
      <c r="E808" s="93"/>
      <c r="F808" s="93"/>
      <c r="G808" s="93"/>
    </row>
    <row r="809">
      <c r="D809" s="91"/>
      <c r="E809" s="93"/>
      <c r="F809" s="93"/>
      <c r="G809" s="93"/>
    </row>
    <row r="810">
      <c r="D810" s="91"/>
      <c r="E810" s="93"/>
      <c r="F810" s="93"/>
      <c r="G810" s="93"/>
    </row>
    <row r="811">
      <c r="D811" s="91"/>
      <c r="E811" s="93"/>
      <c r="F811" s="93"/>
      <c r="G811" s="93"/>
    </row>
    <row r="812">
      <c r="D812" s="91"/>
      <c r="E812" s="93"/>
      <c r="F812" s="93"/>
      <c r="G812" s="93"/>
    </row>
    <row r="813">
      <c r="D813" s="91"/>
      <c r="E813" s="93"/>
      <c r="F813" s="93"/>
      <c r="G813" s="93"/>
    </row>
    <row r="814">
      <c r="D814" s="91"/>
      <c r="E814" s="93"/>
      <c r="F814" s="93"/>
      <c r="G814" s="93"/>
    </row>
    <row r="815">
      <c r="D815" s="91"/>
      <c r="E815" s="93"/>
      <c r="F815" s="93"/>
      <c r="G815" s="93"/>
    </row>
    <row r="816">
      <c r="D816" s="91"/>
      <c r="E816" s="93"/>
      <c r="F816" s="93"/>
      <c r="G816" s="93"/>
    </row>
    <row r="817">
      <c r="D817" s="91"/>
      <c r="E817" s="93"/>
      <c r="F817" s="93"/>
      <c r="G817" s="93"/>
    </row>
    <row r="818">
      <c r="D818" s="91"/>
      <c r="E818" s="93"/>
      <c r="F818" s="93"/>
      <c r="G818" s="93"/>
    </row>
    <row r="819">
      <c r="D819" s="91"/>
      <c r="E819" s="93"/>
      <c r="F819" s="93"/>
      <c r="G819" s="93"/>
    </row>
    <row r="820">
      <c r="D820" s="91"/>
      <c r="E820" s="93"/>
      <c r="F820" s="93"/>
      <c r="G820" s="93"/>
    </row>
    <row r="821">
      <c r="D821" s="91"/>
      <c r="E821" s="93"/>
      <c r="F821" s="93"/>
      <c r="G821" s="93"/>
    </row>
    <row r="822">
      <c r="D822" s="91"/>
      <c r="E822" s="93"/>
      <c r="F822" s="93"/>
      <c r="G822" s="93"/>
    </row>
    <row r="823">
      <c r="D823" s="91"/>
      <c r="E823" s="93"/>
      <c r="F823" s="93"/>
      <c r="G823" s="93"/>
    </row>
    <row r="824">
      <c r="D824" s="91"/>
      <c r="E824" s="93"/>
      <c r="F824" s="93"/>
      <c r="G824" s="93"/>
    </row>
    <row r="825">
      <c r="D825" s="91"/>
      <c r="E825" s="93"/>
      <c r="F825" s="93"/>
      <c r="G825" s="93"/>
    </row>
    <row r="826">
      <c r="D826" s="91"/>
      <c r="E826" s="93"/>
      <c r="F826" s="93"/>
      <c r="G826" s="93"/>
    </row>
    <row r="827">
      <c r="D827" s="91"/>
      <c r="E827" s="93"/>
      <c r="F827" s="93"/>
      <c r="G827" s="93"/>
    </row>
    <row r="828">
      <c r="D828" s="91"/>
      <c r="E828" s="93"/>
      <c r="F828" s="93"/>
      <c r="G828" s="93"/>
    </row>
    <row r="829">
      <c r="D829" s="91"/>
      <c r="E829" s="93"/>
      <c r="F829" s="93"/>
      <c r="G829" s="93"/>
    </row>
    <row r="830">
      <c r="D830" s="91"/>
      <c r="E830" s="93"/>
      <c r="F830" s="93"/>
      <c r="G830" s="93"/>
    </row>
    <row r="831">
      <c r="D831" s="91"/>
      <c r="E831" s="93"/>
      <c r="F831" s="93"/>
      <c r="G831" s="93"/>
    </row>
    <row r="832">
      <c r="D832" s="91"/>
      <c r="E832" s="93"/>
      <c r="F832" s="93"/>
      <c r="G832" s="93"/>
    </row>
    <row r="833">
      <c r="D833" s="91"/>
      <c r="E833" s="93"/>
      <c r="F833" s="93"/>
      <c r="G833" s="93"/>
    </row>
    <row r="834">
      <c r="D834" s="91"/>
      <c r="E834" s="93"/>
      <c r="F834" s="93"/>
      <c r="G834" s="93"/>
    </row>
    <row r="835">
      <c r="D835" s="91"/>
      <c r="E835" s="93"/>
      <c r="F835" s="93"/>
      <c r="G835" s="93"/>
    </row>
    <row r="836">
      <c r="D836" s="91"/>
      <c r="E836" s="93"/>
      <c r="F836" s="93"/>
      <c r="G836" s="93"/>
    </row>
    <row r="837">
      <c r="D837" s="91"/>
      <c r="E837" s="93"/>
      <c r="F837" s="93"/>
      <c r="G837" s="93"/>
    </row>
    <row r="838">
      <c r="D838" s="91"/>
      <c r="E838" s="93"/>
      <c r="F838" s="93"/>
      <c r="G838" s="93"/>
    </row>
    <row r="839">
      <c r="D839" s="91"/>
      <c r="E839" s="93"/>
      <c r="F839" s="93"/>
      <c r="G839" s="93"/>
    </row>
    <row r="840">
      <c r="D840" s="91"/>
      <c r="E840" s="93"/>
      <c r="F840" s="93"/>
      <c r="G840" s="93"/>
    </row>
    <row r="841">
      <c r="D841" s="91"/>
      <c r="E841" s="93"/>
      <c r="F841" s="93"/>
      <c r="G841" s="93"/>
    </row>
    <row r="842">
      <c r="D842" s="91"/>
      <c r="E842" s="93"/>
      <c r="F842" s="93"/>
      <c r="G842" s="93"/>
    </row>
    <row r="843">
      <c r="D843" s="91"/>
      <c r="E843" s="93"/>
      <c r="F843" s="93"/>
      <c r="G843" s="93"/>
    </row>
    <row r="844">
      <c r="D844" s="91"/>
      <c r="E844" s="93"/>
      <c r="F844" s="93"/>
      <c r="G844" s="93"/>
    </row>
    <row r="845">
      <c r="D845" s="91"/>
      <c r="E845" s="93"/>
      <c r="F845" s="93"/>
      <c r="G845" s="93"/>
    </row>
    <row r="846">
      <c r="D846" s="91"/>
      <c r="E846" s="93"/>
      <c r="F846" s="93"/>
      <c r="G846" s="93"/>
    </row>
    <row r="847">
      <c r="D847" s="91"/>
      <c r="E847" s="93"/>
      <c r="F847" s="93"/>
      <c r="G847" s="93"/>
    </row>
    <row r="848">
      <c r="D848" s="91"/>
      <c r="E848" s="93"/>
      <c r="F848" s="93"/>
      <c r="G848" s="93"/>
    </row>
    <row r="849">
      <c r="D849" s="91"/>
      <c r="E849" s="93"/>
      <c r="F849" s="93"/>
      <c r="G849" s="93"/>
    </row>
    <row r="850">
      <c r="D850" s="91"/>
      <c r="E850" s="93"/>
      <c r="F850" s="93"/>
      <c r="G850" s="93"/>
    </row>
    <row r="851">
      <c r="D851" s="91"/>
      <c r="E851" s="93"/>
      <c r="F851" s="93"/>
      <c r="G851" s="93"/>
    </row>
    <row r="852">
      <c r="D852" s="91"/>
      <c r="E852" s="93"/>
      <c r="F852" s="93"/>
      <c r="G852" s="93"/>
    </row>
    <row r="853">
      <c r="D853" s="91"/>
      <c r="E853" s="93"/>
      <c r="F853" s="93"/>
      <c r="G853" s="93"/>
    </row>
    <row r="854">
      <c r="D854" s="91"/>
      <c r="E854" s="93"/>
      <c r="F854" s="93"/>
      <c r="G854" s="93"/>
    </row>
    <row r="855">
      <c r="D855" s="91"/>
      <c r="E855" s="93"/>
      <c r="F855" s="93"/>
      <c r="G855" s="93"/>
    </row>
    <row r="856">
      <c r="D856" s="91"/>
      <c r="E856" s="93"/>
      <c r="F856" s="93"/>
      <c r="G856" s="93"/>
    </row>
    <row r="857">
      <c r="D857" s="91"/>
      <c r="E857" s="93"/>
      <c r="F857" s="93"/>
      <c r="G857" s="93"/>
    </row>
    <row r="858">
      <c r="D858" s="91"/>
      <c r="E858" s="93"/>
      <c r="F858" s="93"/>
      <c r="G858" s="93"/>
    </row>
    <row r="859">
      <c r="D859" s="91"/>
      <c r="E859" s="93"/>
      <c r="F859" s="93"/>
      <c r="G859" s="93"/>
    </row>
    <row r="860">
      <c r="D860" s="91"/>
      <c r="E860" s="93"/>
      <c r="F860" s="93"/>
      <c r="G860" s="93"/>
    </row>
    <row r="861">
      <c r="D861" s="91"/>
      <c r="E861" s="93"/>
      <c r="F861" s="93"/>
      <c r="G861" s="93"/>
    </row>
    <row r="862">
      <c r="D862" s="91"/>
      <c r="E862" s="93"/>
      <c r="F862" s="93"/>
      <c r="G862" s="93"/>
    </row>
    <row r="863">
      <c r="D863" s="91"/>
      <c r="E863" s="93"/>
      <c r="F863" s="93"/>
      <c r="G863" s="93"/>
    </row>
    <row r="864">
      <c r="D864" s="91"/>
      <c r="E864" s="93"/>
      <c r="F864" s="93"/>
      <c r="G864" s="93"/>
    </row>
    <row r="865">
      <c r="D865" s="91"/>
      <c r="E865" s="93"/>
      <c r="F865" s="93"/>
      <c r="G865" s="93"/>
    </row>
    <row r="866">
      <c r="D866" s="91"/>
      <c r="E866" s="93"/>
      <c r="F866" s="93"/>
      <c r="G866" s="93"/>
    </row>
    <row r="867">
      <c r="D867" s="91"/>
      <c r="E867" s="93"/>
      <c r="F867" s="93"/>
      <c r="G867" s="93"/>
    </row>
    <row r="868">
      <c r="D868" s="91"/>
      <c r="E868" s="93"/>
      <c r="F868" s="93"/>
      <c r="G868" s="93"/>
    </row>
    <row r="869">
      <c r="D869" s="91"/>
      <c r="E869" s="93"/>
      <c r="F869" s="93"/>
      <c r="G869" s="93"/>
    </row>
    <row r="870">
      <c r="D870" s="91"/>
      <c r="E870" s="93"/>
      <c r="F870" s="93"/>
      <c r="G870" s="93"/>
    </row>
    <row r="871">
      <c r="D871" s="91"/>
      <c r="E871" s="93"/>
      <c r="F871" s="93"/>
      <c r="G871" s="93"/>
    </row>
    <row r="872">
      <c r="D872" s="91"/>
      <c r="E872" s="93"/>
      <c r="F872" s="93"/>
      <c r="G872" s="93"/>
    </row>
    <row r="873">
      <c r="D873" s="91"/>
      <c r="E873" s="93"/>
      <c r="F873" s="93"/>
      <c r="G873" s="93"/>
    </row>
    <row r="874">
      <c r="D874" s="91"/>
      <c r="E874" s="93"/>
      <c r="F874" s="93"/>
      <c r="G874" s="93"/>
    </row>
    <row r="875">
      <c r="D875" s="91"/>
      <c r="E875" s="93"/>
      <c r="F875" s="93"/>
      <c r="G875" s="93"/>
    </row>
    <row r="876">
      <c r="D876" s="91"/>
      <c r="E876" s="93"/>
      <c r="F876" s="93"/>
      <c r="G876" s="93"/>
    </row>
    <row r="877">
      <c r="D877" s="91"/>
      <c r="E877" s="93"/>
      <c r="F877" s="93"/>
      <c r="G877" s="93"/>
    </row>
    <row r="878">
      <c r="D878" s="91"/>
      <c r="E878" s="93"/>
      <c r="F878" s="93"/>
      <c r="G878" s="93"/>
    </row>
    <row r="879">
      <c r="D879" s="91"/>
      <c r="E879" s="93"/>
      <c r="F879" s="93"/>
      <c r="G879" s="93"/>
    </row>
    <row r="880">
      <c r="D880" s="91"/>
      <c r="E880" s="93"/>
      <c r="F880" s="93"/>
      <c r="G880" s="93"/>
    </row>
    <row r="881">
      <c r="D881" s="91"/>
      <c r="E881" s="93"/>
      <c r="F881" s="93"/>
      <c r="G881" s="93"/>
    </row>
    <row r="882">
      <c r="D882" s="91"/>
      <c r="E882" s="93"/>
      <c r="F882" s="93"/>
      <c r="G882" s="93"/>
    </row>
    <row r="883">
      <c r="D883" s="91"/>
      <c r="E883" s="93"/>
      <c r="F883" s="93"/>
      <c r="G883" s="93"/>
    </row>
    <row r="884">
      <c r="D884" s="91"/>
      <c r="E884" s="93"/>
      <c r="F884" s="93"/>
      <c r="G884" s="93"/>
    </row>
    <row r="885">
      <c r="D885" s="91"/>
      <c r="E885" s="93"/>
      <c r="F885" s="93"/>
      <c r="G885" s="93"/>
    </row>
    <row r="886">
      <c r="D886" s="91"/>
      <c r="E886" s="93"/>
      <c r="F886" s="93"/>
      <c r="G886" s="93"/>
    </row>
    <row r="887">
      <c r="D887" s="91"/>
      <c r="E887" s="93"/>
      <c r="F887" s="93"/>
      <c r="G887" s="93"/>
    </row>
    <row r="888">
      <c r="D888" s="91"/>
      <c r="E888" s="93"/>
      <c r="F888" s="93"/>
      <c r="G888" s="93"/>
    </row>
    <row r="889">
      <c r="D889" s="91"/>
      <c r="E889" s="93"/>
      <c r="F889" s="93"/>
      <c r="G889" s="93"/>
    </row>
    <row r="890">
      <c r="D890" s="91"/>
      <c r="E890" s="93"/>
      <c r="F890" s="93"/>
      <c r="G890" s="93"/>
    </row>
    <row r="891">
      <c r="D891" s="91"/>
      <c r="E891" s="93"/>
      <c r="F891" s="93"/>
      <c r="G891" s="93"/>
    </row>
    <row r="892">
      <c r="D892" s="91"/>
      <c r="E892" s="93"/>
      <c r="F892" s="93"/>
      <c r="G892" s="93"/>
    </row>
    <row r="893">
      <c r="D893" s="91"/>
      <c r="E893" s="93"/>
      <c r="F893" s="93"/>
      <c r="G893" s="93"/>
    </row>
    <row r="894">
      <c r="D894" s="91"/>
      <c r="E894" s="93"/>
      <c r="F894" s="93"/>
      <c r="G894" s="93"/>
    </row>
    <row r="895">
      <c r="D895" s="91"/>
      <c r="E895" s="93"/>
      <c r="F895" s="93"/>
      <c r="G895" s="93"/>
    </row>
    <row r="896">
      <c r="D896" s="91"/>
      <c r="E896" s="93"/>
      <c r="F896" s="93"/>
      <c r="G896" s="93"/>
    </row>
    <row r="897">
      <c r="D897" s="91"/>
      <c r="E897" s="93"/>
      <c r="F897" s="93"/>
      <c r="G897" s="93"/>
    </row>
    <row r="898">
      <c r="D898" s="91"/>
      <c r="E898" s="93"/>
      <c r="F898" s="93"/>
      <c r="G898" s="93"/>
    </row>
    <row r="899">
      <c r="D899" s="91"/>
      <c r="E899" s="93"/>
      <c r="F899" s="93"/>
      <c r="G899" s="93"/>
    </row>
    <row r="900">
      <c r="D900" s="91"/>
      <c r="E900" s="93"/>
      <c r="F900" s="93"/>
      <c r="G900" s="93"/>
    </row>
    <row r="901">
      <c r="D901" s="91"/>
      <c r="E901" s="93"/>
      <c r="F901" s="93"/>
      <c r="G901" s="93"/>
    </row>
    <row r="902">
      <c r="D902" s="91"/>
      <c r="E902" s="93"/>
      <c r="F902" s="93"/>
      <c r="G902" s="93"/>
    </row>
    <row r="903">
      <c r="D903" s="91"/>
      <c r="E903" s="93"/>
      <c r="F903" s="93"/>
      <c r="G903" s="93"/>
    </row>
    <row r="904">
      <c r="D904" s="91"/>
      <c r="E904" s="93"/>
      <c r="F904" s="93"/>
      <c r="G904" s="93"/>
    </row>
    <row r="905">
      <c r="D905" s="91"/>
      <c r="E905" s="93"/>
      <c r="F905" s="93"/>
      <c r="G905" s="93"/>
    </row>
    <row r="906">
      <c r="D906" s="91"/>
      <c r="E906" s="93"/>
      <c r="F906" s="93"/>
      <c r="G906" s="93"/>
    </row>
    <row r="907">
      <c r="D907" s="91"/>
      <c r="E907" s="93"/>
      <c r="F907" s="93"/>
      <c r="G907" s="93"/>
    </row>
    <row r="908">
      <c r="D908" s="91"/>
      <c r="E908" s="93"/>
      <c r="F908" s="93"/>
      <c r="G908" s="93"/>
    </row>
    <row r="909">
      <c r="D909" s="91"/>
      <c r="E909" s="93"/>
      <c r="F909" s="93"/>
      <c r="G909" s="93"/>
    </row>
    <row r="910">
      <c r="D910" s="91"/>
      <c r="E910" s="93"/>
      <c r="F910" s="93"/>
      <c r="G910" s="93"/>
    </row>
    <row r="911">
      <c r="D911" s="91"/>
      <c r="E911" s="93"/>
      <c r="F911" s="93"/>
      <c r="G911" s="93"/>
    </row>
    <row r="912">
      <c r="D912" s="91"/>
      <c r="E912" s="93"/>
      <c r="F912" s="93"/>
      <c r="G912" s="93"/>
    </row>
    <row r="913">
      <c r="D913" s="91"/>
      <c r="E913" s="93"/>
      <c r="F913" s="93"/>
      <c r="G913" s="93"/>
    </row>
    <row r="914">
      <c r="D914" s="91"/>
      <c r="E914" s="93"/>
      <c r="F914" s="93"/>
      <c r="G914" s="93"/>
    </row>
    <row r="915">
      <c r="D915" s="91"/>
      <c r="E915" s="93"/>
      <c r="F915" s="93"/>
      <c r="G915" s="93"/>
    </row>
    <row r="916">
      <c r="D916" s="91"/>
      <c r="E916" s="93"/>
      <c r="F916" s="93"/>
      <c r="G916" s="93"/>
    </row>
    <row r="917">
      <c r="D917" s="91"/>
      <c r="E917" s="93"/>
      <c r="F917" s="93"/>
      <c r="G917" s="93"/>
    </row>
    <row r="918">
      <c r="D918" s="91"/>
      <c r="E918" s="93"/>
      <c r="F918" s="93"/>
      <c r="G918" s="93"/>
    </row>
    <row r="919">
      <c r="D919" s="91"/>
      <c r="E919" s="93"/>
      <c r="F919" s="93"/>
      <c r="G919" s="93"/>
    </row>
    <row r="920">
      <c r="D920" s="91"/>
      <c r="E920" s="93"/>
      <c r="F920" s="93"/>
      <c r="G920" s="93"/>
    </row>
    <row r="921">
      <c r="D921" s="91"/>
      <c r="E921" s="93"/>
      <c r="F921" s="93"/>
      <c r="G921" s="93"/>
    </row>
    <row r="922">
      <c r="D922" s="91"/>
      <c r="E922" s="93"/>
      <c r="F922" s="93"/>
      <c r="G922" s="93"/>
    </row>
    <row r="923">
      <c r="D923" s="91"/>
      <c r="E923" s="93"/>
      <c r="F923" s="93"/>
      <c r="G923" s="93"/>
    </row>
    <row r="924">
      <c r="D924" s="91"/>
      <c r="E924" s="93"/>
      <c r="F924" s="93"/>
      <c r="G924" s="93"/>
    </row>
    <row r="925">
      <c r="D925" s="91"/>
      <c r="E925" s="93"/>
      <c r="F925" s="93"/>
      <c r="G925" s="93"/>
    </row>
    <row r="926">
      <c r="D926" s="91"/>
      <c r="E926" s="93"/>
      <c r="F926" s="93"/>
      <c r="G926" s="93"/>
    </row>
    <row r="927">
      <c r="D927" s="91"/>
      <c r="E927" s="93"/>
      <c r="F927" s="93"/>
      <c r="G927" s="93"/>
    </row>
    <row r="928">
      <c r="D928" s="91"/>
      <c r="E928" s="93"/>
      <c r="F928" s="93"/>
      <c r="G928" s="93"/>
    </row>
    <row r="929">
      <c r="D929" s="91"/>
      <c r="E929" s="93"/>
      <c r="F929" s="93"/>
      <c r="G929" s="93"/>
    </row>
    <row r="930">
      <c r="D930" s="91"/>
      <c r="E930" s="93"/>
      <c r="F930" s="93"/>
      <c r="G930" s="93"/>
    </row>
    <row r="931">
      <c r="D931" s="91"/>
      <c r="E931" s="93"/>
      <c r="F931" s="93"/>
      <c r="G931" s="93"/>
    </row>
    <row r="932">
      <c r="D932" s="91"/>
      <c r="E932" s="93"/>
      <c r="F932" s="93"/>
      <c r="G932" s="93"/>
    </row>
    <row r="933">
      <c r="D933" s="91"/>
      <c r="E933" s="93"/>
      <c r="F933" s="93"/>
      <c r="G933" s="93"/>
    </row>
    <row r="934">
      <c r="D934" s="91"/>
      <c r="E934" s="93"/>
      <c r="F934" s="93"/>
      <c r="G934" s="93"/>
    </row>
    <row r="935">
      <c r="D935" s="91"/>
      <c r="E935" s="93"/>
      <c r="F935" s="93"/>
      <c r="G935" s="93"/>
    </row>
    <row r="936">
      <c r="D936" s="91"/>
      <c r="E936" s="93"/>
      <c r="F936" s="93"/>
      <c r="G936" s="93"/>
    </row>
    <row r="937">
      <c r="D937" s="91"/>
      <c r="E937" s="93"/>
      <c r="F937" s="93"/>
      <c r="G937" s="93"/>
    </row>
    <row r="938">
      <c r="D938" s="91"/>
      <c r="E938" s="93"/>
      <c r="F938" s="93"/>
      <c r="G938" s="93"/>
    </row>
    <row r="939">
      <c r="D939" s="91"/>
      <c r="E939" s="93"/>
      <c r="F939" s="93"/>
      <c r="G939" s="93"/>
    </row>
    <row r="940">
      <c r="D940" s="91"/>
      <c r="E940" s="93"/>
      <c r="F940" s="93"/>
      <c r="G940" s="93"/>
    </row>
    <row r="941">
      <c r="D941" s="91"/>
      <c r="E941" s="93"/>
      <c r="F941" s="93"/>
      <c r="G941" s="93"/>
    </row>
    <row r="942">
      <c r="D942" s="91"/>
      <c r="E942" s="93"/>
      <c r="F942" s="93"/>
      <c r="G942" s="93"/>
    </row>
    <row r="943">
      <c r="D943" s="91"/>
      <c r="E943" s="93"/>
      <c r="F943" s="93"/>
      <c r="G943" s="93"/>
    </row>
    <row r="944">
      <c r="D944" s="91"/>
      <c r="E944" s="93"/>
      <c r="F944" s="93"/>
      <c r="G944" s="93"/>
    </row>
    <row r="945">
      <c r="D945" s="91"/>
      <c r="E945" s="93"/>
      <c r="F945" s="93"/>
      <c r="G945" s="93"/>
    </row>
    <row r="946">
      <c r="D946" s="91"/>
      <c r="E946" s="93"/>
      <c r="F946" s="93"/>
      <c r="G946" s="93"/>
    </row>
    <row r="947">
      <c r="D947" s="91"/>
      <c r="E947" s="93"/>
      <c r="F947" s="93"/>
      <c r="G947" s="93"/>
    </row>
    <row r="948">
      <c r="D948" s="91"/>
      <c r="E948" s="93"/>
      <c r="F948" s="93"/>
      <c r="G948" s="93"/>
    </row>
    <row r="949">
      <c r="D949" s="91"/>
      <c r="E949" s="93"/>
      <c r="F949" s="93"/>
      <c r="G949" s="93"/>
    </row>
    <row r="950">
      <c r="D950" s="91"/>
      <c r="E950" s="93"/>
      <c r="F950" s="93"/>
      <c r="G950" s="93"/>
    </row>
    <row r="951">
      <c r="D951" s="91"/>
      <c r="E951" s="93"/>
      <c r="F951" s="93"/>
      <c r="G951" s="93"/>
    </row>
    <row r="952">
      <c r="D952" s="91"/>
      <c r="E952" s="93"/>
      <c r="F952" s="93"/>
      <c r="G952" s="93"/>
    </row>
    <row r="953">
      <c r="D953" s="91"/>
      <c r="E953" s="93"/>
      <c r="F953" s="93"/>
      <c r="G953" s="93"/>
    </row>
    <row r="954">
      <c r="D954" s="91"/>
      <c r="E954" s="93"/>
      <c r="F954" s="93"/>
      <c r="G954" s="93"/>
    </row>
    <row r="955">
      <c r="D955" s="91"/>
      <c r="E955" s="93"/>
      <c r="F955" s="93"/>
      <c r="G955" s="93"/>
    </row>
    <row r="956">
      <c r="D956" s="91"/>
      <c r="E956" s="93"/>
      <c r="F956" s="93"/>
      <c r="G956" s="93"/>
    </row>
    <row r="957">
      <c r="D957" s="91"/>
      <c r="E957" s="93"/>
      <c r="F957" s="93"/>
      <c r="G957" s="93"/>
    </row>
    <row r="958">
      <c r="D958" s="91"/>
      <c r="E958" s="93"/>
      <c r="F958" s="93"/>
      <c r="G958" s="93"/>
    </row>
    <row r="959">
      <c r="D959" s="91"/>
      <c r="E959" s="93"/>
      <c r="F959" s="93"/>
      <c r="G959" s="93"/>
    </row>
    <row r="960">
      <c r="D960" s="91"/>
      <c r="E960" s="93"/>
      <c r="F960" s="93"/>
      <c r="G960" s="93"/>
    </row>
    <row r="961">
      <c r="D961" s="91"/>
      <c r="E961" s="93"/>
      <c r="F961" s="93"/>
      <c r="G961" s="93"/>
    </row>
    <row r="962">
      <c r="D962" s="91"/>
      <c r="E962" s="93"/>
      <c r="F962" s="93"/>
      <c r="G962" s="93"/>
    </row>
    <row r="963">
      <c r="D963" s="91"/>
      <c r="E963" s="93"/>
      <c r="F963" s="93"/>
      <c r="G963" s="93"/>
    </row>
    <row r="964">
      <c r="D964" s="91"/>
      <c r="E964" s="93"/>
      <c r="F964" s="93"/>
      <c r="G964" s="93"/>
    </row>
    <row r="965">
      <c r="D965" s="91"/>
      <c r="E965" s="93"/>
      <c r="F965" s="93"/>
      <c r="G965" s="93"/>
    </row>
    <row r="966">
      <c r="D966" s="91"/>
      <c r="E966" s="93"/>
      <c r="F966" s="93"/>
      <c r="G966" s="93"/>
    </row>
    <row r="967">
      <c r="D967" s="91"/>
      <c r="E967" s="93"/>
      <c r="F967" s="93"/>
      <c r="G967" s="93"/>
    </row>
    <row r="968">
      <c r="D968" s="91"/>
      <c r="E968" s="93"/>
      <c r="F968" s="93"/>
      <c r="G968" s="93"/>
    </row>
    <row r="969">
      <c r="D969" s="91"/>
      <c r="E969" s="93"/>
      <c r="F969" s="93"/>
      <c r="G969" s="93"/>
    </row>
    <row r="970">
      <c r="D970" s="91"/>
      <c r="E970" s="93"/>
      <c r="F970" s="93"/>
      <c r="G970" s="93"/>
    </row>
    <row r="971">
      <c r="D971" s="91"/>
      <c r="E971" s="93"/>
      <c r="F971" s="93"/>
      <c r="G971" s="93"/>
    </row>
    <row r="972">
      <c r="D972" s="91"/>
      <c r="E972" s="93"/>
      <c r="F972" s="93"/>
      <c r="G972" s="93"/>
    </row>
    <row r="973">
      <c r="D973" s="91"/>
      <c r="E973" s="93"/>
      <c r="F973" s="93"/>
      <c r="G973" s="93"/>
    </row>
    <row r="974">
      <c r="D974" s="91"/>
      <c r="E974" s="93"/>
      <c r="F974" s="93"/>
      <c r="G974" s="93"/>
    </row>
    <row r="975">
      <c r="D975" s="91"/>
      <c r="E975" s="93"/>
      <c r="F975" s="93"/>
      <c r="G975" s="93"/>
    </row>
    <row r="976">
      <c r="D976" s="91"/>
      <c r="E976" s="93"/>
      <c r="F976" s="93"/>
      <c r="G976" s="93"/>
    </row>
    <row r="977">
      <c r="D977" s="91"/>
      <c r="E977" s="93"/>
      <c r="F977" s="93"/>
      <c r="G977" s="93"/>
    </row>
    <row r="978">
      <c r="D978" s="91"/>
      <c r="E978" s="93"/>
      <c r="F978" s="93"/>
      <c r="G978" s="93"/>
    </row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63"/>
    <col customWidth="1" min="5" max="5" width="18.38"/>
    <col customWidth="1" min="6" max="6" width="22.75"/>
  </cols>
  <sheetData>
    <row r="1">
      <c r="A1" s="107" t="s">
        <v>1029</v>
      </c>
      <c r="B1" s="107" t="s">
        <v>5</v>
      </c>
      <c r="C1" s="107" t="s">
        <v>6</v>
      </c>
      <c r="D1" s="107" t="s">
        <v>1030</v>
      </c>
      <c r="E1" s="107" t="s">
        <v>9</v>
      </c>
      <c r="F1" s="107" t="s">
        <v>1031</v>
      </c>
    </row>
    <row r="2">
      <c r="A2" s="108">
        <v>46045.0</v>
      </c>
      <c r="B2" s="109"/>
      <c r="C2" s="107">
        <v>82.0</v>
      </c>
      <c r="D2" s="107">
        <v>1.0</v>
      </c>
      <c r="E2" s="107" t="s">
        <v>293</v>
      </c>
      <c r="F2" s="107" t="s">
        <v>12</v>
      </c>
    </row>
    <row r="3">
      <c r="A3" s="108">
        <v>46045.0</v>
      </c>
      <c r="B3" s="109"/>
      <c r="C3" s="107">
        <v>306.0</v>
      </c>
      <c r="D3" s="107">
        <v>1.0</v>
      </c>
      <c r="E3" s="107" t="s">
        <v>294</v>
      </c>
      <c r="F3" s="107" t="s">
        <v>12</v>
      </c>
    </row>
    <row r="4">
      <c r="A4" s="108">
        <v>46045.0</v>
      </c>
      <c r="B4" s="109"/>
      <c r="C4" s="107">
        <v>25.0</v>
      </c>
      <c r="D4" s="107">
        <v>1.0</v>
      </c>
      <c r="E4" s="107" t="s">
        <v>295</v>
      </c>
      <c r="F4" s="107" t="s">
        <v>12</v>
      </c>
    </row>
    <row r="5">
      <c r="A5" s="108">
        <v>46045.0</v>
      </c>
      <c r="B5" s="109"/>
      <c r="C5" s="107" t="s">
        <v>1032</v>
      </c>
      <c r="D5" s="107">
        <v>1.0</v>
      </c>
      <c r="E5" s="107" t="s">
        <v>296</v>
      </c>
      <c r="F5" s="107" t="s">
        <v>12</v>
      </c>
    </row>
    <row r="6">
      <c r="A6" s="108">
        <v>46045.0</v>
      </c>
      <c r="B6" s="109"/>
      <c r="C6" s="107" t="s">
        <v>1033</v>
      </c>
      <c r="D6" s="107">
        <v>2.0</v>
      </c>
      <c r="E6" s="107" t="s">
        <v>297</v>
      </c>
      <c r="F6" s="107" t="s">
        <v>28</v>
      </c>
    </row>
    <row r="7">
      <c r="A7" s="108">
        <v>46045.0</v>
      </c>
      <c r="B7" s="107">
        <v>-124.0</v>
      </c>
      <c r="C7" s="109"/>
      <c r="D7" s="107">
        <v>3.0</v>
      </c>
      <c r="E7" s="107" t="s">
        <v>298</v>
      </c>
      <c r="F7" s="107" t="s">
        <v>123</v>
      </c>
    </row>
    <row r="8">
      <c r="A8" s="108">
        <v>46044.0</v>
      </c>
      <c r="B8" s="107" t="s">
        <v>1034</v>
      </c>
      <c r="C8" s="109"/>
      <c r="D8" s="107">
        <v>4.0</v>
      </c>
      <c r="E8" s="107" t="s">
        <v>299</v>
      </c>
      <c r="F8" s="107" t="s">
        <v>12</v>
      </c>
    </row>
    <row r="9">
      <c r="A9" s="108">
        <v>46044.0</v>
      </c>
      <c r="B9" s="109"/>
      <c r="C9" s="107" t="s">
        <v>1035</v>
      </c>
      <c r="D9" s="107">
        <v>1.0</v>
      </c>
      <c r="E9" s="107" t="s">
        <v>300</v>
      </c>
      <c r="F9" s="107" t="s">
        <v>12</v>
      </c>
    </row>
    <row r="10">
      <c r="A10" s="108">
        <v>46044.0</v>
      </c>
      <c r="B10" s="109"/>
      <c r="C10" s="107">
        <v>25.0</v>
      </c>
      <c r="D10" s="107">
        <v>1.0</v>
      </c>
      <c r="E10" s="107" t="s">
        <v>301</v>
      </c>
      <c r="F10" s="107" t="s">
        <v>12</v>
      </c>
    </row>
    <row r="11">
      <c r="A11" s="108">
        <v>46044.0</v>
      </c>
      <c r="B11" s="109"/>
      <c r="C11" s="107" t="s">
        <v>1036</v>
      </c>
      <c r="D11" s="107">
        <v>1.0</v>
      </c>
      <c r="E11" s="107" t="s">
        <v>302</v>
      </c>
      <c r="F11" s="107" t="s">
        <v>12</v>
      </c>
    </row>
    <row r="12">
      <c r="A12" s="108">
        <v>46043.0</v>
      </c>
      <c r="B12" s="107">
        <v>-2000.0</v>
      </c>
      <c r="C12" s="109"/>
      <c r="D12" s="107">
        <v>4.0</v>
      </c>
      <c r="E12" s="107" t="s">
        <v>303</v>
      </c>
      <c r="F12" s="107" t="s">
        <v>12</v>
      </c>
    </row>
    <row r="13">
      <c r="A13" s="108">
        <v>46043.0</v>
      </c>
      <c r="B13" s="109"/>
      <c r="C13" s="107">
        <v>465.0</v>
      </c>
      <c r="D13" s="107">
        <v>1.0</v>
      </c>
      <c r="E13" s="107" t="s">
        <v>304</v>
      </c>
      <c r="F13" s="107" t="s">
        <v>12</v>
      </c>
    </row>
    <row r="14">
      <c r="A14" s="108">
        <v>46043.0</v>
      </c>
      <c r="B14" s="109"/>
      <c r="C14" s="107">
        <v>88.0</v>
      </c>
      <c r="D14" s="107">
        <v>1.0</v>
      </c>
      <c r="E14" s="107" t="s">
        <v>305</v>
      </c>
      <c r="F14" s="107" t="s">
        <v>12</v>
      </c>
    </row>
    <row r="15">
      <c r="A15" s="108">
        <v>46043.0</v>
      </c>
      <c r="B15" s="109"/>
      <c r="C15" s="107">
        <v>50.0</v>
      </c>
      <c r="D15" s="107">
        <v>1.0</v>
      </c>
      <c r="E15" s="107" t="s">
        <v>306</v>
      </c>
      <c r="F15" s="107" t="s">
        <v>12</v>
      </c>
    </row>
    <row r="16">
      <c r="A16" s="108">
        <v>46042.0</v>
      </c>
      <c r="B16" s="109"/>
      <c r="C16" s="107">
        <v>450.0</v>
      </c>
      <c r="D16" s="107">
        <v>1.0</v>
      </c>
      <c r="E16" s="107" t="s">
        <v>307</v>
      </c>
      <c r="F16" s="107" t="s">
        <v>12</v>
      </c>
    </row>
    <row r="17">
      <c r="A17" s="108">
        <v>46042.0</v>
      </c>
      <c r="B17" s="109"/>
      <c r="C17" s="107">
        <v>142.0</v>
      </c>
      <c r="D17" s="107">
        <v>1.0</v>
      </c>
      <c r="E17" s="107" t="s">
        <v>308</v>
      </c>
      <c r="F17" s="107" t="s">
        <v>12</v>
      </c>
    </row>
    <row r="18">
      <c r="A18" s="108">
        <v>46042.0</v>
      </c>
      <c r="B18" s="109"/>
      <c r="C18" s="107">
        <v>88.0</v>
      </c>
      <c r="D18" s="107">
        <v>1.0</v>
      </c>
      <c r="E18" s="107" t="s">
        <v>309</v>
      </c>
      <c r="F18" s="107" t="s">
        <v>12</v>
      </c>
    </row>
    <row r="19">
      <c r="A19" s="108">
        <v>46042.0</v>
      </c>
      <c r="B19" s="107">
        <v>-20.0</v>
      </c>
      <c r="C19" s="109"/>
      <c r="D19" s="107">
        <v>3.0</v>
      </c>
      <c r="E19" s="107" t="s">
        <v>310</v>
      </c>
      <c r="F19" s="107" t="s">
        <v>123</v>
      </c>
    </row>
    <row r="20">
      <c r="A20" s="108">
        <v>46041.0</v>
      </c>
      <c r="B20" s="109"/>
      <c r="C20" s="107">
        <v>704.0</v>
      </c>
      <c r="D20" s="107">
        <v>1.0</v>
      </c>
      <c r="E20" s="107" t="s">
        <v>311</v>
      </c>
      <c r="F20" s="107" t="s">
        <v>12</v>
      </c>
    </row>
    <row r="21">
      <c r="A21" s="108">
        <v>46041.0</v>
      </c>
      <c r="B21" s="109"/>
      <c r="C21" s="107">
        <v>2032.0</v>
      </c>
      <c r="D21" s="107">
        <v>1.0</v>
      </c>
      <c r="E21" s="107" t="s">
        <v>312</v>
      </c>
      <c r="F21" s="107" t="s">
        <v>12</v>
      </c>
    </row>
    <row r="22">
      <c r="A22" s="108">
        <v>46041.0</v>
      </c>
      <c r="B22" s="109"/>
      <c r="C22" s="107">
        <v>622.0</v>
      </c>
      <c r="D22" s="107">
        <v>1.0</v>
      </c>
      <c r="E22" s="107" t="s">
        <v>313</v>
      </c>
      <c r="F22" s="107" t="s">
        <v>12</v>
      </c>
    </row>
    <row r="23">
      <c r="A23" s="108">
        <v>46041.0</v>
      </c>
      <c r="B23" s="109"/>
      <c r="C23" s="107">
        <v>75.0</v>
      </c>
      <c r="D23" s="107">
        <v>1.0</v>
      </c>
      <c r="E23" s="107" t="s">
        <v>314</v>
      </c>
      <c r="F23" s="107" t="s">
        <v>12</v>
      </c>
    </row>
    <row r="24">
      <c r="A24" s="108">
        <v>46041.0</v>
      </c>
      <c r="B24" s="109"/>
      <c r="C24" s="107">
        <v>336.0</v>
      </c>
      <c r="D24" s="107">
        <v>1.0</v>
      </c>
      <c r="E24" s="107" t="s">
        <v>315</v>
      </c>
      <c r="F24" s="107" t="s">
        <v>12</v>
      </c>
    </row>
    <row r="25">
      <c r="A25" s="108">
        <v>46041.0</v>
      </c>
      <c r="B25" s="109"/>
      <c r="C25" s="107">
        <v>2072.0</v>
      </c>
      <c r="D25" s="107">
        <v>1.0</v>
      </c>
      <c r="E25" s="107" t="s">
        <v>316</v>
      </c>
      <c r="F25" s="107" t="s">
        <v>12</v>
      </c>
    </row>
    <row r="26">
      <c r="A26" s="108">
        <v>46041.0</v>
      </c>
      <c r="B26" s="109"/>
      <c r="C26" s="107">
        <v>551.0</v>
      </c>
      <c r="D26" s="107">
        <v>1.0</v>
      </c>
      <c r="E26" s="107" t="s">
        <v>317</v>
      </c>
      <c r="F26" s="107" t="s">
        <v>12</v>
      </c>
    </row>
    <row r="27">
      <c r="A27" s="108">
        <v>46041.0</v>
      </c>
      <c r="B27" s="109"/>
      <c r="C27" s="107" t="s">
        <v>1037</v>
      </c>
      <c r="D27" s="107">
        <v>1.0</v>
      </c>
      <c r="E27" s="107" t="s">
        <v>318</v>
      </c>
      <c r="F27" s="107" t="s">
        <v>12</v>
      </c>
    </row>
    <row r="28">
      <c r="A28" s="108">
        <v>46041.0</v>
      </c>
      <c r="B28" s="109"/>
      <c r="C28" s="107">
        <v>415.0</v>
      </c>
      <c r="D28" s="107">
        <v>1.0</v>
      </c>
      <c r="E28" s="107" t="s">
        <v>319</v>
      </c>
      <c r="F28" s="107" t="s">
        <v>12</v>
      </c>
    </row>
    <row r="29">
      <c r="A29" s="108">
        <v>46041.0</v>
      </c>
      <c r="B29" s="109"/>
      <c r="C29" s="107" t="s">
        <v>1038</v>
      </c>
      <c r="D29" s="107">
        <v>1.0</v>
      </c>
      <c r="E29" s="107" t="s">
        <v>320</v>
      </c>
      <c r="F29" s="107" t="s">
        <v>12</v>
      </c>
    </row>
    <row r="30">
      <c r="A30" s="108">
        <v>46039.0</v>
      </c>
      <c r="B30" s="109"/>
      <c r="C30" s="107" t="s">
        <v>1039</v>
      </c>
      <c r="D30" s="107">
        <v>5.0</v>
      </c>
      <c r="E30" s="107" t="s">
        <v>322</v>
      </c>
      <c r="F30" s="107" t="s">
        <v>321</v>
      </c>
    </row>
    <row r="31">
      <c r="A31" s="108">
        <v>46039.0</v>
      </c>
      <c r="B31" s="109"/>
      <c r="C31" s="107" t="s">
        <v>1040</v>
      </c>
      <c r="D31" s="107">
        <v>5.0</v>
      </c>
      <c r="E31" s="107" t="s">
        <v>323</v>
      </c>
      <c r="F31" s="107" t="s">
        <v>321</v>
      </c>
    </row>
    <row r="32">
      <c r="A32" s="108">
        <v>46039.0</v>
      </c>
      <c r="B32" s="109"/>
      <c r="C32" s="107" t="s">
        <v>1041</v>
      </c>
      <c r="D32" s="107">
        <v>5.0</v>
      </c>
      <c r="E32" s="107" t="s">
        <v>324</v>
      </c>
      <c r="F32" s="107" t="s">
        <v>321</v>
      </c>
    </row>
    <row r="33">
      <c r="A33" s="108">
        <v>46039.0</v>
      </c>
      <c r="B33" s="109"/>
      <c r="C33" s="107" t="s">
        <v>1042</v>
      </c>
      <c r="D33" s="107">
        <v>5.0</v>
      </c>
      <c r="E33" s="107" t="s">
        <v>325</v>
      </c>
      <c r="F33" s="107" t="s">
        <v>321</v>
      </c>
    </row>
    <row r="34">
      <c r="A34" s="108">
        <v>46039.0</v>
      </c>
      <c r="B34" s="109"/>
      <c r="C34" s="107">
        <v>1.0</v>
      </c>
      <c r="D34" s="107">
        <v>5.0</v>
      </c>
      <c r="E34" s="107" t="s">
        <v>326</v>
      </c>
      <c r="F34" s="107" t="s">
        <v>321</v>
      </c>
    </row>
    <row r="35">
      <c r="A35" s="108">
        <v>46039.0</v>
      </c>
      <c r="B35" s="109"/>
      <c r="C35" s="107" t="s">
        <v>1043</v>
      </c>
      <c r="D35" s="107">
        <v>5.0</v>
      </c>
      <c r="E35" s="107" t="s">
        <v>327</v>
      </c>
      <c r="F35" s="107" t="s">
        <v>321</v>
      </c>
    </row>
    <row r="36">
      <c r="A36" s="108">
        <v>46039.0</v>
      </c>
      <c r="B36" s="109"/>
      <c r="C36" s="107" t="s">
        <v>1044</v>
      </c>
      <c r="D36" s="107">
        <v>5.0</v>
      </c>
      <c r="E36" s="107" t="s">
        <v>328</v>
      </c>
      <c r="F36" s="107" t="s">
        <v>321</v>
      </c>
    </row>
    <row r="37">
      <c r="A37" s="108">
        <v>46039.0</v>
      </c>
      <c r="B37" s="109"/>
      <c r="C37" s="107" t="s">
        <v>1045</v>
      </c>
      <c r="D37" s="107">
        <v>5.0</v>
      </c>
      <c r="E37" s="107" t="s">
        <v>329</v>
      </c>
      <c r="F37" s="107" t="s">
        <v>321</v>
      </c>
    </row>
    <row r="38">
      <c r="A38" s="108">
        <v>46039.0</v>
      </c>
      <c r="B38" s="109"/>
      <c r="C38" s="107" t="s">
        <v>1045</v>
      </c>
      <c r="D38" s="107">
        <v>5.0</v>
      </c>
      <c r="E38" s="107" t="s">
        <v>330</v>
      </c>
      <c r="F38" s="107" t="s">
        <v>321</v>
      </c>
    </row>
    <row r="39">
      <c r="A39" s="108">
        <v>46039.0</v>
      </c>
      <c r="B39" s="109"/>
      <c r="C39" s="107" t="s">
        <v>1045</v>
      </c>
      <c r="D39" s="107">
        <v>5.0</v>
      </c>
      <c r="E39" s="107" t="s">
        <v>331</v>
      </c>
      <c r="F39" s="107" t="s">
        <v>321</v>
      </c>
    </row>
    <row r="40">
      <c r="A40" s="108">
        <v>46039.0</v>
      </c>
      <c r="B40" s="109"/>
      <c r="C40" s="107" t="s">
        <v>1046</v>
      </c>
      <c r="D40" s="107">
        <v>5.0</v>
      </c>
      <c r="E40" s="107" t="s">
        <v>332</v>
      </c>
      <c r="F40" s="107" t="s">
        <v>321</v>
      </c>
    </row>
    <row r="41">
      <c r="A41" s="108">
        <v>46039.0</v>
      </c>
      <c r="B41" s="109"/>
      <c r="C41" s="107" t="s">
        <v>1047</v>
      </c>
      <c r="D41" s="107">
        <v>5.0</v>
      </c>
      <c r="E41" s="107" t="s">
        <v>333</v>
      </c>
      <c r="F41" s="107" t="s">
        <v>321</v>
      </c>
    </row>
    <row r="42">
      <c r="A42" s="108">
        <v>46039.0</v>
      </c>
      <c r="B42" s="109"/>
      <c r="C42" s="107" t="s">
        <v>1048</v>
      </c>
      <c r="D42" s="107">
        <v>5.0</v>
      </c>
      <c r="E42" s="107" t="s">
        <v>334</v>
      </c>
      <c r="F42" s="107" t="s">
        <v>321</v>
      </c>
    </row>
    <row r="43">
      <c r="A43" s="108">
        <v>46039.0</v>
      </c>
      <c r="B43" s="109"/>
      <c r="C43" s="107" t="s">
        <v>1049</v>
      </c>
      <c r="D43" s="107">
        <v>5.0</v>
      </c>
      <c r="E43" s="107" t="s">
        <v>335</v>
      </c>
      <c r="F43" s="107" t="s">
        <v>321</v>
      </c>
    </row>
    <row r="44">
      <c r="A44" s="108">
        <v>46039.0</v>
      </c>
      <c r="B44" s="109"/>
      <c r="C44" s="107" t="s">
        <v>1050</v>
      </c>
      <c r="D44" s="107">
        <v>5.0</v>
      </c>
      <c r="E44" s="107" t="s">
        <v>336</v>
      </c>
      <c r="F44" s="107" t="s">
        <v>321</v>
      </c>
    </row>
    <row r="45">
      <c r="A45" s="108">
        <v>46039.0</v>
      </c>
      <c r="B45" s="109"/>
      <c r="C45" s="107" t="s">
        <v>1051</v>
      </c>
      <c r="D45" s="107">
        <v>5.0</v>
      </c>
      <c r="E45" s="107" t="s">
        <v>337</v>
      </c>
      <c r="F45" s="107" t="s">
        <v>321</v>
      </c>
    </row>
    <row r="46">
      <c r="A46" s="108">
        <v>46039.0</v>
      </c>
      <c r="B46" s="109"/>
      <c r="C46" s="107" t="s">
        <v>1052</v>
      </c>
      <c r="D46" s="107">
        <v>5.0</v>
      </c>
      <c r="E46" s="107" t="s">
        <v>338</v>
      </c>
      <c r="F46" s="107" t="s">
        <v>321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1053</v>
      </c>
    </row>
    <row r="2">
      <c r="A2" s="42" t="s">
        <v>1054</v>
      </c>
    </row>
    <row r="3">
      <c r="A3" s="42" t="s">
        <v>1055</v>
      </c>
    </row>
    <row r="4">
      <c r="A4" s="42" t="s">
        <v>1056</v>
      </c>
    </row>
    <row r="5">
      <c r="A5" s="42" t="s">
        <v>1057</v>
      </c>
    </row>
    <row r="6">
      <c r="A6" s="42" t="s">
        <v>1058</v>
      </c>
    </row>
    <row r="7">
      <c r="A7" s="42" t="s">
        <v>1059</v>
      </c>
    </row>
    <row r="8">
      <c r="A8" s="42" t="s">
        <v>1060</v>
      </c>
    </row>
    <row r="9">
      <c r="A9" s="42" t="s">
        <v>1061</v>
      </c>
    </row>
    <row r="10">
      <c r="A10" s="42" t="s">
        <v>1062</v>
      </c>
    </row>
    <row r="11">
      <c r="A11" s="42" t="s">
        <v>1063</v>
      </c>
    </row>
    <row r="12">
      <c r="A12" s="42" t="s">
        <v>1064</v>
      </c>
    </row>
    <row r="13">
      <c r="A13" s="42" t="s">
        <v>1065</v>
      </c>
    </row>
    <row r="14">
      <c r="A14" s="42" t="s">
        <v>1066</v>
      </c>
    </row>
    <row r="15">
      <c r="A15" s="42" t="s">
        <v>1067</v>
      </c>
    </row>
    <row r="16">
      <c r="A16" s="42" t="s">
        <v>1068</v>
      </c>
    </row>
    <row r="17">
      <c r="A17" s="42" t="s">
        <v>1069</v>
      </c>
    </row>
    <row r="18">
      <c r="A18" s="42" t="s">
        <v>1070</v>
      </c>
    </row>
    <row r="19">
      <c r="A19" s="42" t="s">
        <v>1071</v>
      </c>
    </row>
    <row r="20">
      <c r="A20" s="42" t="s">
        <v>1072</v>
      </c>
    </row>
    <row r="21">
      <c r="A21" s="42" t="s">
        <v>1073</v>
      </c>
    </row>
    <row r="22">
      <c r="A22" s="42" t="s">
        <v>1074</v>
      </c>
    </row>
    <row r="23">
      <c r="A23" s="42" t="s">
        <v>1075</v>
      </c>
    </row>
    <row r="24">
      <c r="A24" s="42" t="s">
        <v>1076</v>
      </c>
    </row>
    <row r="25">
      <c r="A25" s="42" t="s">
        <v>1077</v>
      </c>
    </row>
    <row r="26">
      <c r="A26" s="42" t="s">
        <v>1078</v>
      </c>
    </row>
    <row r="27">
      <c r="A27" s="42" t="s">
        <v>1079</v>
      </c>
    </row>
    <row r="28">
      <c r="A28" s="42" t="s">
        <v>1080</v>
      </c>
    </row>
    <row r="29">
      <c r="A29" s="42" t="s">
        <v>1081</v>
      </c>
    </row>
    <row r="30">
      <c r="A30" s="42" t="s">
        <v>1082</v>
      </c>
    </row>
    <row r="31">
      <c r="A31" s="42" t="s">
        <v>1083</v>
      </c>
    </row>
    <row r="32">
      <c r="A32" s="42" t="s">
        <v>1084</v>
      </c>
    </row>
    <row r="33">
      <c r="A33" s="42" t="s">
        <v>1085</v>
      </c>
    </row>
    <row r="34">
      <c r="A34" s="42" t="s">
        <v>1086</v>
      </c>
    </row>
    <row r="35">
      <c r="A35" s="42" t="s">
        <v>1087</v>
      </c>
    </row>
    <row r="36">
      <c r="A36" s="42" t="s">
        <v>1088</v>
      </c>
    </row>
    <row r="37">
      <c r="A37" s="42" t="s">
        <v>1089</v>
      </c>
    </row>
    <row r="38">
      <c r="A38" s="42" t="s">
        <v>1090</v>
      </c>
    </row>
    <row r="39">
      <c r="A39" s="42" t="s">
        <v>1091</v>
      </c>
    </row>
    <row r="40">
      <c r="A40" s="42" t="s">
        <v>1092</v>
      </c>
    </row>
    <row r="41">
      <c r="A41" s="42" t="s">
        <v>1093</v>
      </c>
    </row>
    <row r="42">
      <c r="A42" s="42" t="s">
        <v>1094</v>
      </c>
    </row>
    <row r="43">
      <c r="A43" s="42" t="s">
        <v>1095</v>
      </c>
    </row>
    <row r="44">
      <c r="A44" s="42" t="s">
        <v>1096</v>
      </c>
    </row>
    <row r="45">
      <c r="A45" s="42" t="s">
        <v>1097</v>
      </c>
    </row>
    <row r="46">
      <c r="A46" s="42" t="s">
        <v>1098</v>
      </c>
    </row>
  </sheetData>
  <drawing r:id="rId1"/>
</worksheet>
</file>