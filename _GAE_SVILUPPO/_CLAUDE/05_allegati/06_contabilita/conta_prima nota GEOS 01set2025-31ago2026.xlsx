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5-2026" sheetId="1" r:id="rId4"/>
    <sheet state="visible" name="PAGAMENTI e SCAD" sheetId="2" r:id="rId5"/>
    <sheet state="visible" name="SCADENZE" sheetId="3" r:id="rId6"/>
    <sheet state="visible" name="REGISTRAZIONI" sheetId="4" r:id="rId7"/>
    <sheet state="visible" name="Appunti" sheetId="5"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312">
      <text>
        <t xml:space="preserve">questo importo è compreso i fondi cassa dati a :
Joel
Alex
Estefany
Nura
Giuditta</t>
      </text>
    </comment>
    <comment authorId="0" ref="F3313">
      <text>
        <t xml:space="preserve">cella collegata al file "Movimenti POSTE dal 01set2025 al 31ago2026"</t>
      </text>
    </comment>
    <comment authorId="0" ref="H3313">
      <text>
        <t xml:space="preserve">cella collegata al file "Movimenti Soldo dal 01set2025 al 31ago2026"</t>
      </text>
    </comment>
    <comment authorId="0" ref="J3313">
      <text>
        <t xml:space="preserve">cella collegata al file "Movimenti BPM dal 01set2025 al 31ago2026"</t>
      </text>
    </comment>
    <comment authorId="0" ref="L3313">
      <text>
        <t xml:space="preserve">cella collegata al file "Movimenti PostePay dal 01set2025 al 31ago2026"</t>
      </text>
    </comment>
    <comment authorId="0" ref="B3318">
      <text>
        <t xml:space="preserve">FATTURE COMMERCIALI
AFFITTI SALA
DOTTORE
</t>
      </text>
    </comment>
    <comment authorId="0" ref="B3319">
      <text>
        <t xml:space="preserve">urgente</t>
      </text>
    </comment>
    <comment authorId="0" ref="C3319">
      <text>
        <t xml:space="preserve">ogni volta che il commento viene risolto bisogna rimettere il colore bianco</t>
      </text>
    </comment>
    <comment authorId="0" ref="C3320">
      <text>
        <t xml:space="preserve">NEXI
SATISPAY
SCALAPAY
STRIPE
PAYPAL</t>
      </text>
    </comment>
    <comment authorId="0" ref="C3324">
      <text>
        <t xml:space="preserve">riportare tutti i movimenti negativi riguardo i versamenti assegni, giro fondi, versamenti contanti, ecc, </t>
      </text>
    </comment>
    <comment authorId="0" ref="C3332">
      <text>
        <t xml:space="preserve">questo importo è stato preso da Athena nella gestione precedente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tc={10823336-b8ad-49cb-850e-ab99087618e6}</author>
  </authors>
  <commentList>
    <comment authorId="0" ref="D1">
      <text>
        <t xml:space="preserve">per identificare più rapidamente i commenti cambiamo il colore alla casella</t>
      </text>
    </comment>
    <comment authorId="0" ref="E3">
      <text>
        <t xml:space="preserve">IMPORTANTE:
Cambiando lo stato della tendina, automaticamente si colora la riga come da legenda.</t>
      </text>
    </comment>
    <comment authorId="0" ref="B172">
      <text>
        <t xml:space="preserve">questa cella è collegata direttamente alla cella del totale file compensi e cambia colore in base agli importi 
(arancio significa che dobbiamo pagare; verde il pagamento è stato fatto).</t>
      </text>
    </comment>
    <comment authorId="1" xr:uid="{10823336-b8ad-49cb-850e-ab99087618e6}" ref="C177">
      <text>
        <t xml:space="preserve">[Threaded comment]
 Your version of Excel allows you to read this threaded comment; however, any edits to it will get removed if the file is opened in a newer version of Excel. Learn more: https://go.microsoft.com/fwlink/?linkid=870924
Comment:
	@ammstudio15@gmail.com devi aggiornare questa parte e inoltre voglio le date di quando hai effettuato i pagamenti. inoltre ogni volta devi essere autorizzato perchè tu invii un messaggio nelle chat/gruppi/icarichi di riferimento con link. Quando ieri ti ho chiesto TUTTI i pagamenti, intendevo tutti!!!
Attività assegnata a ammstudio15@gmail.com
Reply:
	qui devi aggiornare l'import range a me non lo fa fare
Reply:
	fatto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3">
      <text>
        <t xml:space="preserve">Quando qualcuno in segreteria chiede la fattura per affitto sala o lezione privata, bisogna spiegare che alla quota va sommato il costo dell'iva. 
Se la richiedono comunque, bisogna fare il pagamento con ricevuta fiscale: il blocchetto si trova al primo piano, nell'armadio bianco in ufficio. Se invece la ricevuta è per l'acquisto delle scarpe con carta/pos, il costo rimane 100€ incluso iva.
A fine serata bisogna segnare l'entrata nella chiusura e riportare il totale delle ricevute fiscali della giornata nel registro dei corrispettivi.</t>
      </text>
    </comment>
  </commentList>
</comments>
</file>

<file path=xl/sharedStrings.xml><?xml version="1.0" encoding="utf-8"?>
<sst xmlns="http://schemas.openxmlformats.org/spreadsheetml/2006/main" count="4467" uniqueCount="2107">
  <si>
    <t>2025-2026</t>
  </si>
  <si>
    <t>CASSA</t>
  </si>
  <si>
    <t>• CONTO POSTE ITALIANE
3909 (aperto 28nov2018)</t>
  </si>
  <si>
    <t>• SOLDO 6305
(aperto il 10dic2020)</t>
  </si>
  <si>
    <t>• CONTO BANCO BPM
NUOVO 9195 (aperto 09ott2019)</t>
  </si>
  <si>
    <t>CARTA PostePay
xxxx xxxx xxxx 4459
(aperto il 14set2016)</t>
  </si>
  <si>
    <t>Data</t>
  </si>
  <si>
    <t>Categoria</t>
  </si>
  <si>
    <t>Descrizione</t>
  </si>
  <si>
    <t>Movimento</t>
  </si>
  <si>
    <t>Saldo</t>
  </si>
  <si>
    <t>SALDO iniziale</t>
  </si>
  <si>
    <t xml:space="preserve">Pagamento fatture </t>
  </si>
  <si>
    <t>BONIFICO SEPADistinta: 17567093091650SG0DEF Andriani Roberta</t>
  </si>
  <si>
    <t xml:space="preserve">spese varie </t>
  </si>
  <si>
    <t>BONIFICO SEPADistinta: 17564813545530O35DEF SEF ITALIA SSD A RL</t>
  </si>
  <si>
    <t>incassi istituzionali</t>
  </si>
  <si>
    <t>BONIFICO SEPADa NEXI Payments Spa TRN 055709383025NPPASU0000000000IT CIPBITMM per PV 1000001228637 ACCREDITO CIRCUITI INTERNAZ. 29082</t>
  </si>
  <si>
    <t>BONIFICO SEPADa NEXI Payments Spa TRN 055709071025NPPASU0000000000IT CIPBITMM per PV 1000001228596 ACCREDITO CIRCUITI INTERNAZ. 29082</t>
  </si>
  <si>
    <t>BONIFICO SEPADa NEXI Payments Spa TRN 055828425035NPPASU0000000000IT CIPBITMM per PV 1000001228637 ACCREDITO CIRCUITI INTERNAZ. 31082</t>
  </si>
  <si>
    <t>BONIFICO SEPADa NEXI Payments Spa TRN 055793015055NPPASU0000000000IT CIPBITMM per PV 1000001228637 ACCREDITO CIRCUITI INTERNAZ. 30082</t>
  </si>
  <si>
    <t>BONIFICO SEPADa Scalapay IP S.p.a. TRN 3601825090104503058453051287163-008 CBPSIT31XXX per 2025-08-31 - GEOS S SDRL - Scalapay IP S.p 25/08 985€</t>
  </si>
  <si>
    <t>BONIFICO SEPADa NEXI Payments Spa TRN 055795402005NPPASU0000000000IT CIPBITMM per PV 1000001228596 ACCREDITO BANCOMAT 300825 RIF 8818</t>
  </si>
  <si>
    <t>BONIFICO SEPADa NEXI Payments Spa TRN 055795382065NPPASU0000000000IT CIPBITMM per PV 1000001228596 ACCREDITO CIRCUITI INTERNAZ. 30082</t>
  </si>
  <si>
    <t xml:space="preserve"> € 1.410,00 attività  +         € 75,00 tess contanti</t>
  </si>
  <si>
    <t>BONIF. VS. FAVORE - BON.DA SALVAGGIO GINEVRA - SALVAGGIO GINEVRA - Quota attivita euro 415</t>
  </si>
  <si>
    <t>AMZN Mktp IT*RK3I89FE4\5 rue plaetis\800-279-6620\L2338     LUXLUX</t>
  </si>
  <si>
    <t>BONIFICO SEPADistinta: 175673379404312PCDEF TYSHCHUK MYKOLA</t>
  </si>
  <si>
    <t>BONIFICO SEPADa NEXI Payments Spa TRN 055896281125NPPASU0000000000IT CIPBITMM per PV 1000001228596 ACCREDITO CIRCUITI INTERNAZ. 01092</t>
  </si>
  <si>
    <t>BONIFICO SEPADa NEXI Payments Spa TRN 055896669105NPPASU0000000000IT CIPBITMM per PV 1000001228637 ACCREDITO CIRCUITI INTERNAZ. 01092</t>
  </si>
  <si>
    <t>IMPOSTA DI BOLLO</t>
  </si>
  <si>
    <t>BONIF. VS. FAVORE - BON.DA SAFINA VITA MARIA - Sofia di liberto, integrazione quota attivita' ,n. Due corsi euro 503, di cui 25 di tesseramento</t>
  </si>
  <si>
    <t>BONIF. VS. FAVORE - BON.DA BELLAERA GIORGIO - Matilde Alma Bellaera - Quota corso "Cerchio e tessuti" del martedi' alle 17.30 + iscrizione anno 2025-2026</t>
  </si>
  <si>
    <t>ADDEBITO DIRETTO SDD - SDD CORE: L332640600105288000 ISTITUTO PER IL CREDITO SPORTIVO</t>
  </si>
  <si>
    <t>ADDEBITO DIRETTO SDD - SDD CORE: 4SNJ224ZUATKL PayPal Europe S.a.r.l. et Cie S.C.A</t>
  </si>
  <si>
    <t>BONIF. VS. FAVORE - BON.DA REHO PAOLO - REHO PAOLO Quota attivita</t>
  </si>
  <si>
    <t>BONIF. VS. FAVORE - BON.DA BIRTIG DAFNE - DAFNE BIRTIG Quota attivita euro 705</t>
  </si>
  <si>
    <t>BONIF. VS. FAVORE - BON.DA ELISA MARTELLOSIO - Martellosio Elisa quota attivita 390 euro</t>
  </si>
  <si>
    <t>BONIF. VS. FAVORE - BON.DA LUDOVICA LATINI GUICCIARDI - Ludovica Latini Guicciardi quota</t>
  </si>
  <si>
    <t>BONIF. VS. FAVORE - BON.DA NEXI Payments Spa - PV 1000001228627 ACCREDITO BANCOMAT 010925 RIF 885245603899</t>
  </si>
  <si>
    <t xml:space="preserve"> € 150,00 attività +          € 25,00 tess contanti</t>
  </si>
  <si>
    <t>BONIFICO SEPADa Scalapay IP S.p.a. TRN 3601825090304503252060356764967-008 CBPSIT31XXX per 2025-09-02 - GEOS S SDRL - Scalapay IP S.p 395€ 27/08</t>
  </si>
  <si>
    <t>BONIFICO SEPADa NEXI Payments Spa TRN 056016782035NPPASU0000000000IT CIPBITMM per PV 1000001228596 ACCREDITO BANCOMAT 020925 RIF 8867</t>
  </si>
  <si>
    <t>BONIFICO SEPADa NEXI Payments Spa TRN 056018620085NPPASU0000000000IT CIPBITMM per PV 1000001228637 ACCREDITO CIRCUITI INTERNAZ. 02092</t>
  </si>
  <si>
    <t>BONIFICO SEPADa NEXI Payments Spa TRN 056016763105NPPASU0000000000IT CIPBITMM per PV 1000001228596 ACCREDITO CIRCUITI INTERNAZ. 02092</t>
  </si>
  <si>
    <t xml:space="preserve"> € 220,00  attività +         € 50,00 tess contanti</t>
  </si>
  <si>
    <t>TENUTA CONTOADDEBITO RELATIVO AL PERIODO DI AGOSTO    2025</t>
  </si>
  <si>
    <t>CANONE SERVIZIO COLLEGAMENTO TELEMATICOADDEBITO CANONE DEL SERVIZIO BANCOPOSTAIMPRESA ONLINE RELATIVO AL PERIODO AGOSTO 2025 CONTRATTO N. 0059926216</t>
  </si>
  <si>
    <t>DOMICILIAZIONE (ADDEBITO DIRETTO SEPA)NEXI Payments Spa    CID.IT500540000004107060966             MAN.CL2XV900700884PC0001228636</t>
  </si>
  <si>
    <t>DOMICILIAZIONE (ADDEBITO DIRETTO SEPA)NEXI Payments Spa    CID.IT500540000004107060966             MAN.CL2XV900700799PC0001228595</t>
  </si>
  <si>
    <t>BONIF. VS. FAVORE - BON.DA GENTA LORENZA - Lorenza Genta Quota attivita 200</t>
  </si>
  <si>
    <t>BONIF. VS. FAVORE - BON.DA AIELLO ALESSIA - AIELLO ALESSIA Quota attivita E705</t>
  </si>
  <si>
    <t>ADDEBITO DIRETTO SDD - SDD CORE: CL2XV900700805PC0001228626 NEXI Payments Spa</t>
  </si>
  <si>
    <t>BONIF. VS. FAVORE - BON.DA CAPUANI CLAUDIO - CAPUANI SOFIA quota attivita</t>
  </si>
  <si>
    <t>BONIF. VS. FAVORE - BON.DA STELLATO LAURA - STELLATO LAURA Quota attivita euro 705</t>
  </si>
  <si>
    <t>BONIF. VS. FAVORE - BON.DA NEXI Payments Spa - PV 1000001228627 ACCREDITO BANCOMAT 020925 RIF 886792708099</t>
  </si>
  <si>
    <t>BONIF. VS. FAVORE - BON.DA NEXI Payments Spa - PV 1000001228627 ACCREDITO CIRCUITI INTERNAZ. 020925 RIF 886792704599</t>
  </si>
  <si>
    <t xml:space="preserve">Finanziamenti </t>
  </si>
  <si>
    <t>RIMBORSO FINANZ. - MUTUO N.4080 4779232 RATA 03/09/2025</t>
  </si>
  <si>
    <t>BONIFICO SEPADa Scalapay IP S.p.a. TRN 3601825090404491763558306964844-008 CBPSIT31XXX per 2025-09-03 - GEOS S SDRL - Scalapay IP S.p</t>
  </si>
  <si>
    <t xml:space="preserve"> € 150,00 attività contanti</t>
  </si>
  <si>
    <t>BONIFICO SEPADa NEXI Payments Spa TRN 056106914065NPPASU0000000000IT CIPBITMM per PV 1000001228637 ACCREDITO CIRCUITI INTERNAZ. 03092</t>
  </si>
  <si>
    <t>BONIFICO SEPADa NEXI Payments Spa TRN 056106310005NPPASU0000000000IT CIPBITMM per PV 1000001228596 ACCREDITO CIRCUITI INTERNAZ. 03092</t>
  </si>
  <si>
    <t>Incasso commerciali</t>
  </si>
  <si>
    <t>BONIFICODa LIO MALLORCA MARITIMO S.L TRN A8968TI109315246 CAIXESBBXXX per PAGO DE S/FRA 300 V1</t>
  </si>
  <si>
    <t>COMMISSIONI DOMICILIAZIONE (ADDEBITO DIRETTO SEPA)NEXI Payments Spa    CID.IT500540000004107060966             MAN.CL2XV900700799PC0001228595</t>
  </si>
  <si>
    <t>COMMISSIONI DOMICILIAZIONE (ADDEBITO DIRETTO SEPA)NEXI Payments Spa    CID.IT500540000004107060966             MAN.CL2XV900700884PC0001228636</t>
  </si>
  <si>
    <t>BONIF. VS. FAVORE - BON.DA NEXI Payments Spa - PV 1000001228627 ACCREDITO CIRCUITI INTERNAZ. 030925 RIF 888359183599</t>
  </si>
  <si>
    <t>BONIF. VS. FAVORE - BON.DA NEXI Payments Spa - PV 1000001228627 ACCREDITO BANCOMAT 030925 RIF 888359186699</t>
  </si>
  <si>
    <t>BONIF. VS. FAVORE - BON.DA MARIA D.AMATO - D.AMATO MARIA Quota attivita E335</t>
  </si>
  <si>
    <t xml:space="preserve">stipendi Dipendenti </t>
  </si>
  <si>
    <t>BONIFICO SEPADistinta: 17570746029681QSBDEF BONILLA ZAVALA KEVIN ALEXANDER 1.235,00 FUMAGALLI GIUDITTA 1.655,00 JANNELLI SARA 1.392,00 MALDONADO XIOMARA ALEXANDRA 1.385,00 MOUSTAFA ISRA HANI MOHAMED 800,19 SEGURA PINEDA SANDRA ESTEFANY 1.360,00 VILLON BAJANA JOEL ERNESTO 1.164,00 VILLALTA QUINTANILLA ZOILA GUADALUPE 800,00 JHASSIER BLANCO DE LA ROSA 300,00</t>
  </si>
  <si>
    <t>BONIFICO SEPADistinta: 17570747658491P14DEF AMBROSIO GAETANO 1.500,00 ARRIVABENE ELISA</t>
  </si>
  <si>
    <t>BONIFICO SEPADistinta: 17569019970901MG3DEF MANTICE SANTO</t>
  </si>
  <si>
    <t>BONIFICO SEPADa NEXI Payments Spa TRN 056194533055NPPASU0000000000IT CIPBITMM per PV 1000001228596 ACCREDITO BANCOMAT 040925 RIF 8899</t>
  </si>
  <si>
    <t>BONIFICO SEPADa NEXI Payments Spa TRN 056206767065NPPASU0000000000IT CIPBITMM per PV 1000001228637 ACCREDITO CIRCUITI INTERNAZ. 04092</t>
  </si>
  <si>
    <t>BONIFICO SEPADa NEXI Payments Spa TRN 056194522075NPPASU0000000000IT CIPBITMM per PV 1000001228596 ACCREDITO CIRCUITI INTERNAZ. 04092</t>
  </si>
  <si>
    <t>BONIFICO SEPADa Scalapay IP S.p.a. TRN 3601825090504504844473562706283-008 CBPSIT31XXX per 2025-09-04 - GEOS S SDRL - Scalapay IP S.p</t>
  </si>
  <si>
    <t xml:space="preserve"> € 90,00 attività contanti</t>
  </si>
  <si>
    <t>BONIF. VS. FAVORE - BON.DA FRAGASSI SIRIA - LUPOLI FRANCESCA QUOTA ATTIVITA 395</t>
  </si>
  <si>
    <t>BONIF. VS. FAVORE - BON.DA BRAMBILLA CLAUDIA PALESE LUCA - MADDALENA PALESE BRA MBILLA Quota attivit a euro 395</t>
  </si>
  <si>
    <t>BONIF. VS. FAVORE - BON.DA PANSERA ELISA - Pansera Elisa Quota attivita euro 580</t>
  </si>
  <si>
    <t>BONIF. VS. FAVORE - BON.DA ROSSI DIEGO - Margherita Rossi quota attivita</t>
  </si>
  <si>
    <t xml:space="preserve"> € 100,00 attività contanti</t>
  </si>
  <si>
    <t>- BON.DA PETTENUZZO MARTINA MARTINA PETTENUZZO</t>
  </si>
  <si>
    <t>- BON.DA MENCARINI LETIZIA AASSVE ARNSTEIN LIA AASSVE Quota attivit. PILATES</t>
  </si>
  <si>
    <t>- BON.DA POMINI MATTEO VERONELLI NICOLETTA POMINI COSTANZA QUOTA ATTIVIT EURO280</t>
  </si>
  <si>
    <t>BONIF. VS. FAVORE - BON.DA NEXI Payments Spa - PV 1000001228627 ACCREDITO CIRCUITI INTERNAZ. 060925 RIF 893323827399</t>
  </si>
  <si>
    <t>BONIF. VS. FAVORE - BON.DA NEXI Payments Spa - PV 1000001228627 ACCREDITO BANCOMAT 050925 RIF 891609215999</t>
  </si>
  <si>
    <t>BONIF. VS. FAVORE - BON.DA NEXI Payments Spa - PV 1000001228627 ACCREDITO CIRCUITI INTERNAZ. 050925 RIF 891609211399</t>
  </si>
  <si>
    <t>BONIF. VS. FAVORE - BON.DA LOMARTIRE GIAMBATTISTA - Lomartire Raffaele</t>
  </si>
  <si>
    <t xml:space="preserve">BONIFICO SEPADistinta: 17573139482322E8GDEF Valentina Barbieri </t>
  </si>
  <si>
    <t>BONIFICO SEPADa NEXI Payments Spa TRN 056304245105NPPASU0000000000IT CIPBITMM per PV 1000001228596 ACCREDITO BANCOMAT 050925 RIF 8916</t>
  </si>
  <si>
    <t>BONIFICO SEPADa NEXI Payments Spa TRN 056310345005NPPASU0000000000IT CIPBITMM per PV 1000001228637 ACCREDITO CIRCUITI INTERNAZ. 05092</t>
  </si>
  <si>
    <t>BONIFICO SEPADa NEXI Payments Spa TRN 056304232105NPPASU0000000000IT CIPBITMM per PV 1000001228596 ACCREDITO CIRCUITI INTERNAZ. 05092</t>
  </si>
  <si>
    <t>BONIFICO SEPADa NEXI Payments Spa TRN 056390741045NPPASU0000000000IT CIPBITMM per PV 1000001228596 ACCREDITO BANCOMAT 060925 RIF 8933</t>
  </si>
  <si>
    <t>BONIFICO SEPADa NEXI Payments Spa TRN 056471085085NPPASU0000000000IT CIPBITMM per PV 1000001228637 ACCREDITO CIRCUITI INTERNAZ. 07092</t>
  </si>
  <si>
    <t>BONIFICO SEPADa NEXI Payments Spa TRN 056391550075NPPASU0000000000IT CIPBITMM per PV 1000001228637 ACCREDITO CIRCUITI INTERNAZ. 06092</t>
  </si>
  <si>
    <t>BONIFICO SEPADa NEXI Payments Spa TRN 056390728045NPPASU0000000000IT CIPBITMM per PV 1000001228596 ACCREDITO CIRCUITI INTERNAZ. 06092</t>
  </si>
  <si>
    <t>BONIFICO SEPADa Scalapay IP S.p.a. TRN 3601825090804514897130499980422-008 CBPSIT31XXX per 2025-09-07 - GEOS S SDRL - Scalapay IP S.p</t>
  </si>
  <si>
    <t xml:space="preserve"> € 1.670,00 attività +	 € 75,00 tess contanti</t>
  </si>
  <si>
    <t>- BON.DA BERLUSCONI ELEONORA PAGAMENTO CORSO HIP HOP - F.B.</t>
  </si>
  <si>
    <t xml:space="preserve">BONIFICO SEPADistinta: 175733956880603I2DEF Gaetano Ambrosio 2000€ Elisa Arrivabene 2000€ </t>
  </si>
  <si>
    <t>BONIFICO SEPADa NEXI Payments Spa TRN 056569055105NPPASU0000000000IT CIPBITMM per PV 1000001228596 ACCREDITO BANCOMAT 080925 RIF 8959</t>
  </si>
  <si>
    <t>BONIFICO SEPADa NEXI Payments Spa TRN 056575516105NPPASU0000000000IT CIPBITMM per PV 1000001228637 ACCREDITO CIRCUITI INTERNAZ. 08092</t>
  </si>
  <si>
    <t>BONIFICO SEPADa Scalapay IP S.p.a. TRN 3601825090904504411990466243229-008 CBPSIT31XXX per 2025-09-08 - GEOS S SDRL - Scalapay IP S.p</t>
  </si>
  <si>
    <t>BONIFICO SEPADa NEXI Payments Spa TRN 056569046015NPPASU0000000000IT CIPBITMM per PV 1000001228596 ACCREDITO CIRCUITI INTERNAZ. 08092</t>
  </si>
  <si>
    <t>BONIF. VS. FAVORE - BON.DA NEXI Payments Spa - PV 1000001228627 ACCREDITO BANCOMAT 080925 RIF 895919078099</t>
  </si>
  <si>
    <t>BONIF. VS. FAVORE - BON.DA NEXI Payments Spa - PV 1000001228627 ACCREDITO CIRCUITI INTERNAZ. 080925 RIF 895919073899</t>
  </si>
  <si>
    <t xml:space="preserve"> € 170,00 attività contanti</t>
  </si>
  <si>
    <t>Pagamento Apple Pay APPLE.COM/BILL 07/09/2025 18.35 ITUNES.COM Op. 667998</t>
  </si>
  <si>
    <t>BONIF. VS. FAVORE - BON.DA RIZZA RA Riboldi Sara quota euro 395</t>
  </si>
  <si>
    <t>BONIF. VS. FAVORE - BON.DA NEXI Payments Spa - PV 1000001228627 ACCREDITO BANCOMAT 090925 RIF 897431804999</t>
  </si>
  <si>
    <t>BONIF. VS. FAVORE - BON.DA NEXI Payments Spa - PV 1000001228627 ACCREDITO CIRCUITI INTERNAZ. 090925 RIF 897431801099</t>
  </si>
  <si>
    <t>BONIF. VS. FAVORE - BON.DA CALDARINI MORGANA CALDARINI BRUNO - Attivita Giulia Rosso</t>
  </si>
  <si>
    <t>BONIFICO SEPADistinta: 175742563473107PMDEF Bertolesi Srl</t>
  </si>
  <si>
    <t xml:space="preserve">BONIFICO SEPADistinta: 17575064648460BR6DEF OPES Comitato Regionale Lombardia	</t>
  </si>
  <si>
    <t xml:space="preserve">BONIFICO SEPADistinta: 17575062343760BSIDEF OPES Comitato Regionale Lombardia	</t>
  </si>
  <si>
    <t>BONIFICO SEPADa NEXI Payments Spa TRN 056633594045NPPASU0000000000IT CIPBITMM per PV 1000001228637 ACCREDITO CIRCUITI INTERNAZ. 09092</t>
  </si>
  <si>
    <t>BONIFICO SEPADa NEXI Payments Spa TRN 056632855065NPPASU0000000000IT CIPBITMM per PV 1000001228596 ACCREDITO CIRCUITI INTERNAZ. 09092</t>
  </si>
  <si>
    <t>BONIFICO SEPADa Scalapay IP S.p.a. TRN 3601825091004493162251595618140-008 CBPSIT31XXX per 2025-09-09 - GEOS S SDRL - Scalapay IP S.p</t>
  </si>
  <si>
    <t>BONIFICO SEPADa NEXI Payments Spa TRN 056632867055NPPASU0000000000IT CIPBITMM per PV 1000001228596 ACCREDITO BANCOMAT 090925 RIF 8974</t>
  </si>
  <si>
    <t xml:space="preserve"> € 890,00 attività + € 75,00 tess contanti</t>
  </si>
  <si>
    <t>AMZN Mktp IT*Z897J5FT4\5 rue plaetis\800-279-6620\L2338     LUXLUX</t>
  </si>
  <si>
    <t>- BON.DA APICELLA MASSIMO TRECCIOLA LAURA Apicella Claudia Quota attivita 337 euro</t>
  </si>
  <si>
    <t>BONIFICO SEPADistinta: 17575141626390D74DEF SIVIDA SRL</t>
  </si>
  <si>
    <t>BONIFICO SEPADa NEXI Payments Spa TRN 056732819005NPPASU0000000000IT CIPBITMM per PV 1000001228637 ACCREDITO CIRCUITI INTERNAZ. 10092</t>
  </si>
  <si>
    <t>BONIFICO SEPADa NEXI Payments Spa TRN 056732068035NPPASU0000000000IT CIPBITMM per PV 1000001228596 ACCREDITO CIRCUITI INTERNAZ. 10092</t>
  </si>
  <si>
    <t>BONIFICO SEPADa Scalapay IP S.p.a. TRN 3601825091104494005160617348124-008 CBPSIT31XXX per 2025-09-10 - GEOS S SDRL - Scalapay IP S.p</t>
  </si>
  <si>
    <t>BONIFICO SEPADa NEXI Payments Spa TRN 056732085075NPPASU0000000000IT CIPBITMM per PV 1000001228596 ACCREDITO BANCOMAT 100925 RIF 8989</t>
  </si>
  <si>
    <t>BONIFICO SEPADa BNG S.R.L. TRN 2509092332151226480160401600IT58876 MICSITM1XXX per Fatt 305</t>
  </si>
  <si>
    <t>BONIF. VS. FAVORE - BON.DA NEXI Payments Spa - PV 1000001228627 ACCREDITO BANCOMAT 100925 RIF 898993686399</t>
  </si>
  <si>
    <t>BONIF. VS. FAVORE - BON.DA NEXI Payments Spa - PV 1000001228627 ACCREDITO CIRCUITI INTERNAZ. 100925 RIF 898993683099</t>
  </si>
  <si>
    <t xml:space="preserve"> € 499,00 attività +	 € 25,00 tess contanti</t>
  </si>
  <si>
    <t>- BON.DA LALA ADRIANA LALA ADRIANA Quota attivita' 1950,00</t>
  </si>
  <si>
    <t>- BON.DA MAGI AN MAGI ANGELICA Quota corsi + quota tesseramento</t>
  </si>
  <si>
    <t>- BON.DA BIANCO MASSIMILIANO CLOTILDE BIANCO QUOTA ANNIALE + TESSERAMENTO CORSO CAPOEIRA</t>
  </si>
  <si>
    <t>TFR</t>
  </si>
  <si>
    <t>BONIFICO SEPADistinta: 17576650948400TNVDEF HDI Assicurazioni S.P.A Tfr Segura</t>
  </si>
  <si>
    <t>BONIFICO SEPADistinta: 17576693712190VA7DEF Gta Srl</t>
  </si>
  <si>
    <t xml:space="preserve">BONIFICO SEPADistinta: 17576649608620U2NDEF Perin Galamini e Gianesin Srl Tfr Ambrosio 203,08 Perin Galamini e Gianesin Srl Tfr Arrivabene 202,86 Perin Galamini e Gianesin Srl Fumagalli 141,51 Perin Galamini e Gianesin Srl Jannelli 96,47        </t>
  </si>
  <si>
    <t xml:space="preserve">BONIFICO SEPADistinta: 17576654123160P27DEF Generali Italia SPA Tfr Maldonado 110,45€ Tfr Villon 54,35€ </t>
  </si>
  <si>
    <t>BONIFICO SEPADa Scalapay IP S.p.a. TRN 3601825091210142536780726879833-008 CBPSIT31XXX per 2025-09-11 - GEOS S SDRL - Scalapay IP S.p</t>
  </si>
  <si>
    <t>BONIFICO SEPADa NEXI Payments Spa TRN 056843930005NPPASU0000000000IT CIPBITMM per PV 1000001228596 ACCREDITO CIRCUITI INTERNAZ. 11092</t>
  </si>
  <si>
    <t>BONIFICO SEPADa NEXI Payments Spa TRN 056843320015NPPASU0000000000IT CIPBITMM per PV 1000001228637 ACCREDITO CIRCUITI INTERNAZ. 11092</t>
  </si>
  <si>
    <t>BONIFICO SEPADa NEXI Payments Spa TRN 056843947045NPPASU0000000000IT CIPBITMM per PV 1000001228596 ACCREDITO BANCOMAT 110925 RIF 9006</t>
  </si>
  <si>
    <t>BONIF. VS. FAVORE - BON.DA BELLELLI ANNA - BELLELLI ANNA</t>
  </si>
  <si>
    <t>BONIF. VS. FAVORE - BON.DA NEXI Payments Spa - PV 1000001228627 ACCREDITO CIRCUITI INTERNAZ. 110925 RIF 900610631399</t>
  </si>
  <si>
    <t xml:space="preserve"> € 590,00  attività +        € 50,00 tess contanti</t>
  </si>
  <si>
    <t>KKstore, manutanezione (scontrino)</t>
  </si>
  <si>
    <t>AMZN Mktp IT*HK5WP55A5\5 rue plaetis\800-279-6620\L2338     LUXLUX</t>
  </si>
  <si>
    <t>AMZN Mktp IT*2R1KW40N5\5 rue plaetis\800-279-6620\L2338     LUXLUX</t>
  </si>
  <si>
    <t>EASYJET000KB6QLZ3\AMSTERDAM AIRPORT SC\SCHIPHOL\1118CP    NLDNLD</t>
  </si>
  <si>
    <t>AMZN Mktp IT*0U4PT4L35\5 rue plaetis\800-279-6620\L2338     LUXLUX</t>
  </si>
  <si>
    <t xml:space="preserve">Lavaggio tessuti </t>
  </si>
  <si>
    <t>BONIFICO SEPADa Scalapay IP S.p.a. TRN 3601825091504494124751012271642-008 CBPSIT31XXX per 2025-09-14 - GEOS S SDRL - Scalapay IP S.p</t>
  </si>
  <si>
    <t>- BON.DA KATAGIRI YUKI Bigi Bianca Quota attivit 415</t>
  </si>
  <si>
    <t>- BON.DA STRIPPOLI G.,SINISGALLO C. ISCRIZIONE CORSO SALSA E HIP HOP STRIPPOLI ELENA E STRIP</t>
  </si>
  <si>
    <t>BONIF. VS. FAVORE - BON.DA DI VITTORIO ALESSANDRO ANNESINI MON Valeria Di Vittorio iscrizione 2 corsi + tes</t>
  </si>
  <si>
    <t>BONIF. VS. FAVORE - BON.DA ROMINA INES CERVIGNI Cervigni Romina Quota cerchio 985</t>
  </si>
  <si>
    <t>BONIF. VS. FAVORE - BON.DA NEXI Payments Spa - PV 1000001228627 ACCREDITO CIRCUITI INTERNAZ. 130925 RIF 904048738499</t>
  </si>
  <si>
    <t>BONIF. VS. FAVORE - BON.DA NEXI Payments Spa - PV 1000001228627 ACCREDITO CIRCUITI INTERNAZ. 120925 RIF 902315109299</t>
  </si>
  <si>
    <t>BONIF. VS. FAVORE - BON.DA NEXI Payments Spa - PV 1000001228627 ACCREDITO BANCOMAT 120925 RIF 902315114599</t>
  </si>
  <si>
    <t>BONIF. VS. FAVORE - BON.DA ZECCA LUISA - Sara Zanoletti quota attivita</t>
  </si>
  <si>
    <t>BONIFICO SEPADa NEXI Payments Spa TRN 056950899055NPPASU0000000000IT CIPBITMM per PV 1000001228637 ACCREDITO CIRCUITI INTERNAZ. 12092</t>
  </si>
  <si>
    <t>BONIFICO SEPADa NEXI Payments Spa TRN 056950653065NPPASU0000000000IT CIPBITMM per PV 1000001228596 ACCREDITO CIRCUITI INTERNAZ. 12092</t>
  </si>
  <si>
    <t>BONIFICO SEPADa NEXI Payments Spa TRN 056950679065NPPASU0000000000IT CIPBITMM per PV 1000001228596 ACCREDITO BANCOMAT 120925 RIF 9023</t>
  </si>
  <si>
    <t>BONIFICO SEPADa NEXI Payments Spa TRN 057122954055NPPASU0000000000IT CIPBITMM per PV 1000001228637 ACCREDITO CIRCUITI INTERNAZ. 14092</t>
  </si>
  <si>
    <t>BONIFICO SEPADa NEXI Payments Spa TRN 057042291075NPPASU0000000000IT CIPBITMM per PV 1000001228596 ACCREDITO BANCOMAT 130925 RIF 9040</t>
  </si>
  <si>
    <t>BONIFICO SEPADa NEXI Payments Spa TRN 057042236045NPPASU0000000000IT CIPBITMM per PV 1000001228637 ACCREDITO CIRCUITI INTERNAZ. 13092</t>
  </si>
  <si>
    <t>BONIFICO SEPADa NEXI Payments Spa TRN 057042276055NPPASU0000000000IT CIPBITMM per PV 1000001228596 ACCREDITO CIRCUITI INTERNAZ. 13092</t>
  </si>
  <si>
    <t xml:space="preserve"> € 1.425,00 attività +	 € 75,00 tess contanti</t>
  </si>
  <si>
    <t>- BON.DA D ALESSIO SARA DALESSIO SARA annuale heels</t>
  </si>
  <si>
    <t>- BON.DA BOFFI MICHELA BOFFI MICHELA quota attivita 10 euro</t>
  </si>
  <si>
    <t>F24</t>
  </si>
  <si>
    <t>I24 AGENZIA ENTRATE - PAG.TO TELEMATICO - DATA INCASSO 16/09/2025 2025-09-15-22.30.46.483233047927</t>
  </si>
  <si>
    <t>- BON.DA NEXI Payments Spa PV 1000001228627 ACCREDITO CIRCUITI INTERNAZ. 150925 RIF 90667629</t>
  </si>
  <si>
    <t>- BON.DA NEXI Payments Spa PV 1000001228627 ACCREDITO BANCOMAT 150925 RIF 906676296099</t>
  </si>
  <si>
    <t>- BON.DA LENI CHIARA Iscrizione corsi Chiara Leni</t>
  </si>
  <si>
    <t>girofondi</t>
  </si>
  <si>
    <t xml:space="preserve">BONIFICO SEPADistinta: 175794586801108D4DEF Giro fondi da Poste a Soldo </t>
  </si>
  <si>
    <t>BONIFICO SEPADa Scalapay IP S.p.a. TRN 3601825091604492523047509136930-008 CBPSIT31XXX per 2025-09-15 - GEOS S SDRL - Scalapay IP S.p</t>
  </si>
  <si>
    <t>BONIFICO SEPADa NEXI Payments Spa TRN 057225029045NPPASU0000000000IT CIPBITMM per PV 1000001228596 ACCREDITO CIRCUITI INTERNAZ. 15092</t>
  </si>
  <si>
    <t>BONIFICO SEPADa NEXI Payments Spa TRN 057225043055NPPASU0000000000IT CIPBITMM per PV 1000001228596 ACCREDITO BANCOMAT 150925 RIF 9066</t>
  </si>
  <si>
    <t>BONIFICO SEPADa NEXI Payments Spa TRN 057224465125NPPASU0000000000IT CIPBITMM per PV 1000001228637 ACCREDITO CIRCUITI INTERNAZ. 15092</t>
  </si>
  <si>
    <t xml:space="preserve"> € 1.454,00 attività +	 € 75,00 tess contanti</t>
  </si>
  <si>
    <t>Amazon.it*MK5FQ1KB5\5 Rue Plaetis\www.amazon.it\L2338     LUXLUX</t>
  </si>
  <si>
    <t>- BON.DA DEL CORNO FILIPPO Del Corno Viola quota attivita</t>
  </si>
  <si>
    <t>- BON.DA AVV PAOLO FEDERICO VILLANI COLTRI-VILLANI MARIA VITTORIA E MARGHERITA QUOTA ATTIVIT</t>
  </si>
  <si>
    <t>- BON.DA PAGANO GIUSEPPE E NATALE MONICA Pagano Vittoria Quota attivita' 395</t>
  </si>
  <si>
    <t>Ferramenta (scontrino)</t>
  </si>
  <si>
    <t xml:space="preserve"> € 1.604,00 attività +         € 100,00 tess contanti</t>
  </si>
  <si>
    <t>BONIFICO SEPADa Scalapay IP S.p.a. TRN 3601825091708345326962130510133-008 CBPSIT31XXX per 2025-09-16 - GEOS S SDRL - Scalapay IP S.p</t>
  </si>
  <si>
    <t>BONIFICO SEPADa NEXI Payments Spa TRN 057283385035NPPASU0000000000IT CIPBITMM per PV 1000001228596 ACCREDITO BANCOMAT 160925 RIF 9082</t>
  </si>
  <si>
    <t>BONIFICO SEPADa NEXI Payments Spa TRN 057283367115NPPASU0000000000IT CIPBITMM per PV 1000001228596 ACCREDITO CIRCUITI INTERNAZ. 16092</t>
  </si>
  <si>
    <t>BONIFICO SEPADa NEXI Payments Spa TRN 057284780075NPPASU0000000000IT CIPBITMM per PV 1000001228637 ACCREDITO CIRCUITI INTERNAZ. 16092</t>
  </si>
  <si>
    <t>BONIF. VS. FAVORE - BON.DA NEXI Payments Spa - PV 1000001228627 ACCREDITO CIRCUITI INTERNAZ. 160925 RIF 908235336499</t>
  </si>
  <si>
    <t>BONIF. VS. FAVORE - BON.DA NEXI Payments Spa - PV 1000001228627 ACCREDITO BANCOMAT 160925 RIF 908235340499</t>
  </si>
  <si>
    <t>girofondi da Poste</t>
  </si>
  <si>
    <t xml:space="preserve"> € 390,00 attività contanti</t>
  </si>
  <si>
    <t>BONIFICO SEPADa NEXI Payments Spa TRN 057397742125NPPASU0000000000IT CIPBITMM per PV 1000001228596 ACCREDITO CIRCUITI INTERNAZ. 17092</t>
  </si>
  <si>
    <t>BONIFICO SEPADa NEXI Payments Spa TRN 057397764085NPPASU0000000000IT CIPBITMM per PV 1000001228596 ACCREDITO BANCOMAT 170925 RIF 9098</t>
  </si>
  <si>
    <t>BONIFICO SEPADa NEXI Payments Spa TRN 057389645015NPPASU0000000000IT CIPBITMM per PV 1000001228637 ACCREDITO CIRCUITI INTERNAZ. 17092</t>
  </si>
  <si>
    <t>BONIFICO SEPADa Scalapay IP S.p.a. TRN 3601825091804493376332376756110-008 CBPSIT31XXX per 2025-09-17 - GEOS S SDRL - Scalapay IP S.p</t>
  </si>
  <si>
    <t>BONIFICO SEPADa ENCANTO CLUB LATINO ASS NE SPOR VA TRN 0306904916229500S90960609606IT BCITITMMXXX per Pagamento FT 317 del 15/09/2025</t>
  </si>
  <si>
    <t>PAGAMENTO POSBAR QUADRONNO          16/09/2025 11.04 MILANO        Op.675216 carta ****0124</t>
  </si>
  <si>
    <t>PAGAMENTO POSPASTICCERIA MASSIMO 19 16/09/2025 10.48 MILANO        Op.677030 carta ****0124</t>
  </si>
  <si>
    <t>PAGAMENTO POSBAR D'ESTE             16/09/2025 11.24 MILANO        Op.672631 carta ****0124</t>
  </si>
  <si>
    <t>BONIF. VS. FAVORE - BON.DA PILATI ALESSANDRA E SCANZONI DIEGO - ELENA SCANZONI Quota attivita'</t>
  </si>
  <si>
    <t>BONIF. VS. FAVORE - BON.DA NEXI Payments Spa - PV 1000001228627 ACCREDITO BANCOMAT 170925 RIF 909809515099</t>
  </si>
  <si>
    <t>BONIF. VS. FAVORE - BON.DA NEXI Payments Spa - PV 1000001228627 ACCREDITO CIRCUITI INTERNAZ. 170925 RIF 909809511199</t>
  </si>
  <si>
    <t>AMZN Mktp IT*PZ1IM99J5\5 rue plaetis\800-279-6620\L2338     LUXLUX</t>
  </si>
  <si>
    <t>BONIF. VS. FAVORE - BON.DA BACCHI CHIARA Bacchi Chiara Quota atti vit</t>
  </si>
  <si>
    <t>BONIF. VS. FAVORE - BON.DA CITARELLA ROBERTO NICOLA PIETRO UMBER Citarella Carlotta quota attivita 335</t>
  </si>
  <si>
    <t>BONIF. VS. FAVORE - BON.DA MOCCO JACOPO MOCCO JACOPO Quota attivi ta Euro 544 Studio Gem Iscrizione 2 Corsi</t>
  </si>
  <si>
    <t>BONIF. VS. FAVORE - BON.DA PREZIOSO ANTONIO AMBROGIO PREZIOSO</t>
  </si>
  <si>
    <t>BONIFICO SEPADistinta: 175820167956011SLDEF TYSHCHUK MYKOLA</t>
  </si>
  <si>
    <t>BONIFICO SEPADa NEXI Payments Spa TRN 057498059085NPPASU0000000000IT CIPBITMM per PV 1000001228596 ACCREDITO BANCOMAT 180925 RIF 9113</t>
  </si>
  <si>
    <t>BONIFICO SEPADa Scalapay IP S.p.a. TRN 3601825091904505493000784501091-008 CBPSIT31XXX per 2025-09-18 - GEOS S SDRL - Scalapay IP S.p</t>
  </si>
  <si>
    <t>BONIFICO SEPADa NEXI Payments Spa TRN 057498050125NPPASU0000000000IT CIPBITMM per PV 1000001228596 ACCREDITO CIRCUITI INTERNAZ. 18092</t>
  </si>
  <si>
    <t>BONIFICO SEPADa NEXI Payments Spa TRN 057497797065NPPASU0000000000IT CIPBITMM per PV 1000001228637 ACCREDITO CIRCUITI INTERNAZ. 18092</t>
  </si>
  <si>
    <t>BONIF. VS. FAVORE - BON.DA NEXI Payments Spa - PV 1000001228627 ACCREDITO CIRCUITI INTERNAZ. 180925 RIF 911397649199</t>
  </si>
  <si>
    <t>BONIF. VS. FAVORE - BON.DA NEXI Payments Spa - PV 1000001228627 ACCREDITO BANCOMAT 180925 RIF 911397652199</t>
  </si>
  <si>
    <t xml:space="preserve"> € 294,50 attività +	 € 25,00 tess contanti</t>
  </si>
  <si>
    <t>BONIF. VS. FAVORE - BON.DA EMANUELA PALAZZO - PALAZZO EMANUELA Quota attivita 1325</t>
  </si>
  <si>
    <t>BONIF. VS. FAVORE - BON.DA SCARTEDDU GIULIA - SCARTEDDU GIULIA Quota attivita Euro 280</t>
  </si>
  <si>
    <t>AMZN Mktp IT*B68KT08E5\5 rue plaetis\800-279-6620\L2338     LUXLUX</t>
  </si>
  <si>
    <t>AMZN Mktp IT*GD0CO9OX5\5 rue plaetis\800-279-6620\L2338     LUXLUX</t>
  </si>
  <si>
    <t>OPTISIGNS DIGITAL SIGN\7676 Hillmont Street, 290N\HOUSTON\77040     TX USA</t>
  </si>
  <si>
    <t xml:space="preserve"> € 404,50 attività +	 € 25,00 tess contanti</t>
  </si>
  <si>
    <t>BONIFICO SEPADa Scalapay IP S.p.a. TRN 3601825092204481808870347979977-008 CBPSIT31XXX per 2025-09-21 - GEOS S SDRL - Scalapay IP S.p</t>
  </si>
  <si>
    <t>BONIFICO SEPADa TG NEW CO SRL TRN 0000051270946104486405064050IT CIVIIT2CXXX per SUPP PAGAMENTO FATTURA N.319 DEL 18/09/2025</t>
  </si>
  <si>
    <t>BONIF. VS. FAVORE - BON.DA MLLE YMANE HAMULI HAMULI YMANE - Quota attivita 305E</t>
  </si>
  <si>
    <t>BONIF. VS. FAVORE - BON.DA ZUCCA SOFIA ZUCCA SOFIA</t>
  </si>
  <si>
    <t>BONIF. VS. FAVORE - BON.DA RUGGIERO ALESSIA ADELAIDE RUGGIERO ALESSIA - Quota attivita E 415</t>
  </si>
  <si>
    <t>BONIF. VS. FAVORE - BON.DA NEXI Payments Spa - PV 1000001228627 ACCREDITO BANCOMAT 200925 RIF 914813737899</t>
  </si>
  <si>
    <t>BONIF. VS. FAVORE - BON.DA NEXI Payments Spa - PV 1000001228627 ACCREDITO CIRCUITI INTERNAZ. 200925 RIF 914813733299</t>
  </si>
  <si>
    <t>BONIF. VS. FAVORE - BON.DA NEXI Payments Spa - PV 1000001228627 ACCREDITO CIRCUITI INTERNAZ. 190925 RIF 913081120799</t>
  </si>
  <si>
    <t>BONIF. VS. FAVORE - BON.DA NEXI Payments Spa - PV 1000001228627 ACCREDITO BANCOMAT 190925 RIF 913081125199</t>
  </si>
  <si>
    <t>BONIFICO SEPADa NEXI Payments Spa TRN 057641272005NPPASU0000000000IT CIPBITMM per PV 1000001228596 ACCREDITO BANCOMAT 190925 RIF 9130</t>
  </si>
  <si>
    <t>BONIFICO SEPADa NEXI Payments Spa TRN 057641191105NPPASU0000000000IT CIPBITMM per PV 1000001228637 ACCREDITO CIRCUITI INTERNAZ. 19092</t>
  </si>
  <si>
    <t>BONIFICO SEPADa NEXI Payments Spa TRN 057728761125NPPASU0000000000IT CIPBITMM per PV 1000001228596 ACCREDITO CIRCUITI INTERNAZ. 20092</t>
  </si>
  <si>
    <t>BONIFICO SEPADa NEXI Payments Spa TRN 057728781065NPPASU0000000000IT CIPBITMM per PV 1000001228596 ACCREDITO BANCOMAT 200925 RIF 9148</t>
  </si>
  <si>
    <t>BONIFICO SEPADa NEXI Payments Spa TRN 057641257115NPPASU0000000000IT CIPBITMM per PV 1000001228596 ACCREDITO CIRCUITI INTERNAZ. 19092</t>
  </si>
  <si>
    <t>BONIFICO SEPADa NEXI Payments Spa TRN 057729123105NPPASU0000000000IT CIPBITMM per PV 1000001228637 ACCREDITO CIRCUITI INTERNAZ. 20092</t>
  </si>
  <si>
    <t>BONIFICO SEPADa NEXI Payments Spa TRN 057780325055NPPASU0000000000IT CIPBITMM per PV 1000001228637 ACCREDITO CIRCUITI INTERNAZ. 21092</t>
  </si>
  <si>
    <t xml:space="preserve"> € 2.564,00 attività +	 € 150,00 tess contanti</t>
  </si>
  <si>
    <t>AMZN Mktp IT*S58HV4RS5\5 rue plaetis\800-279-6620\L2338     LUXLUX</t>
  </si>
  <si>
    <t>SITEGROUND HOSTING\Calle de Prim 19\MADRID\28004     M  ESP</t>
  </si>
  <si>
    <t>BONIF. VS. FAVORE - BON.DA CICCIARELLO CHIARA CICCIARELLO CHIARA Quota attivit</t>
  </si>
  <si>
    <t>BONIFICO SEPADa NEXI Payments Spa TRN 057878858115NPPASU0000000000IT CIPBITMM per PV 1000001228596 ACCREDITO CIRCUITI INTERNAZ. 22092</t>
  </si>
  <si>
    <t>BONIFICO SEPADa NEXI Payments Spa TRN 057878867075NPPASU0000000000IT CIPBITMM per PV 1000001228596 ACCREDITO BANCOMAT 220925 RIF 9173</t>
  </si>
  <si>
    <t>BONIFICO SEPADa NEXI Payments Spa TRN 057879075075NPPASU0000000000IT CIPBITMM per PV 1000001228637 ACCREDITO CIRCUITI INTERNAZ. 22092</t>
  </si>
  <si>
    <t>BONIFICO SEPADa Scalapay IP S.p.a. TRN 3601825092304494077145130903195-008 CBPSIT31XXX per 2025-09-22 - GEOS S SDRL - Scalapay IP S.p</t>
  </si>
  <si>
    <t>BONIF. VS. FAVORE - BON.DA NEXI Payments Spa - PV 1000001228627 ACCREDITO BANCOMAT 220925 RIF 917340309599</t>
  </si>
  <si>
    <t>BONIF. VS. FAVORE - BON.DA NEXI Payments Spa - PV 1000001228627 ACCREDITO CIRCUITI INTERNAZ. 220925 RIF 917340306399</t>
  </si>
  <si>
    <t xml:space="preserve"> € 1.150,50 attività +	 € 75,00 tess contanti</t>
  </si>
  <si>
    <t>BONIFICODa Satispay Europe S.A. TRN ff325403ff6341bab76a26dd546d7e4e SATYLUL1XXX per Geos ssdr</t>
  </si>
  <si>
    <t>BONIF. VS. FAVORE - BON.DA MINICHILLI ALESSANDRO MINICHILLI BENED ETTA Quota attivita 665 euro</t>
  </si>
  <si>
    <t>BONIF. VS. FAVORE - BON.DA NEXI Payments Spa - PV 1000001228627 ACCREDITO CIRCUITI INTERNAZ. 230925 RIF 918848199099</t>
  </si>
  <si>
    <t>BONIF. VS. FAVORE - BON.DA NEXI Payments Spa - PV 1000001228627 ACCREDITO BANCOMAT 230925 RIF 918848201999</t>
  </si>
  <si>
    <t>BONIF. VS. FAVORE - BON.DA GIOVANELLI CARLO ANTONIO MARIO - Giovanelli Sveva - hip hop quota 312+ 25</t>
  </si>
  <si>
    <t>BONIFICO SEPADa NEXI Payments Spa TRN 057941323115NPPASU0000000000IT CIPBITMM per PV 1000001228637 ACCREDITO CIRCUITI INTERNAZ. 23092</t>
  </si>
  <si>
    <t>BONIFICO SEPADa Scalapay IP S.p.a. TRN 3601825092404491384018264376612-008 CBPSIT31XXX per 2025-09-23 - GEOS S SDRL - Scalapay IP S.p</t>
  </si>
  <si>
    <t>BONIFICO SEPADa NEXI Payments Spa TRN 057942090115NPPASU0000000000IT CIPBITMM per PV 1000001228596 ACCREDITO BANCOMAT 230925 RIF 9188</t>
  </si>
  <si>
    <t>BONIFICO SEPADa NEXI Payments Spa TRN 057942077115NPPASU0000000000IT CIPBITMM per PV 1000001228596 ACCREDITO CIRCUITI INTERNAZ. 23092</t>
  </si>
  <si>
    <t xml:space="preserve"> € 722,00 attività +	 € 50,00 tess conattni</t>
  </si>
  <si>
    <t>BONIFICO SEPADistinta: 1758790948982285TDEF Wika srls 518,70 Fitness Service Di Giansanti Cesare 1.735,16</t>
  </si>
  <si>
    <t>BONIFICO SEPADistinta: 17587847111682696DEF BURLACU MAXIM reso</t>
  </si>
  <si>
    <t>BONIFICO SEPADistinta: 1758784575086267SDEF RITEL SRL</t>
  </si>
  <si>
    <t>BONIFICO SEPADa NEXI Payments Spa TRN 058043668075NPPASU0000000000IT CIPBITMM per PV 1000001228596 ACCREDITO BANCOMAT 240925 RIF 9203</t>
  </si>
  <si>
    <t>BONIFICO SEPADa NEXI Payments Spa TRN 058043653055NPPASU0000000000IT CIPBITMM per PV 1000001228596 ACCREDITO CIRCUITI INTERNAZ. 24092</t>
  </si>
  <si>
    <t>BONIFICO SEPADa NEXI Payments Spa TRN 058043552085NPPASU0000000000IT CIPBITMM per PV 1000001228637 ACCREDITO CIRCUITI INTERNAZ. 24092</t>
  </si>
  <si>
    <t>BONIFICO SEPADa Scalapay IP S.p.a. TRN 3601825092504480492854034686649-008 CBPSIT31XXX per 2025-09-24 - GEOS S SDRL - Scalapay IP S.p</t>
  </si>
  <si>
    <t>BONIF. VS. FAVORE - BON.DA NEXI Payments Spa - PV 1000001228627 ACCREDITO BANCOMAT 240925 RIF 920358158799</t>
  </si>
  <si>
    <t>BONIF. VS. FAVORE - BON.DA NEXI Payments Spa - PV 1000001228627 ACCREDITO CIRCUITI INTERNAZ. 240925 RIF 920358155399</t>
  </si>
  <si>
    <t xml:space="preserve"> € 1.700,00 attività +	 € 25,00 tess contanti</t>
  </si>
  <si>
    <t>BONIF. VS. FAVORE - BON.DA FABRIZIO ANTONIO TRIA - TRIA FABRIZIO ANTONIO E MARIOTTI CHIARA QUOTA ATTIVITA 705 CADAUNO</t>
  </si>
  <si>
    <t>OPENAI *CHATGPT SUBSCR\548 Market Street PMB 97273\SAN FRANCISCO\94104-5401CANUSA</t>
  </si>
  <si>
    <t>BONIFICO SEPADa Scalapay IP S.p.a. TRN 3601825092604562011915388676143-008 CBPSIT31XXX per 2025-09-25 - GEOS S SDRL - Scalapay IP S.p</t>
  </si>
  <si>
    <t>BONIF. VS. FAVORE - BON.DA MARIA CRISTINA MANCA Iscrizione e Cors o Danza REBECCA MARTINI</t>
  </si>
  <si>
    <t>BONIF. VS. FAVORE - BON.DA MARIA CRISTINA MANCA Iscrizione e cors o danza LETIZIA MARTINI</t>
  </si>
  <si>
    <t>Distinta: 17588756366342EE7DEF 	FREDDY SPA</t>
  </si>
  <si>
    <t>BONIF. VS. FAVORE - BON.DA MANAIGO CARLOTTA - CORSO BREAKDANCE EDOARDO LORENZO</t>
  </si>
  <si>
    <t xml:space="preserve"> € 560,00 attività +	 € 25,00 tess contanti</t>
  </si>
  <si>
    <t xml:space="preserve"> € 1.065,00 attività +	 € 75,00 tess conatanti</t>
  </si>
  <si>
    <t>Da NEW WAVE S.R.L. TRN 1101252690345922 UNCRITMM per SALDO FATT. 289 DEL 14.07.2025</t>
  </si>
  <si>
    <t>BONIF. VS. FAVORE - BON.DA TOFFANO MO Lanza Bianca Sofia quota at tivita' 365 Eur</t>
  </si>
  <si>
    <t xml:space="preserve">Versamento Contanti </t>
  </si>
  <si>
    <t>BONIF. VS. FAVORE - BON.DA NEXI Payments Spa - PV 1000001228627 ACCREDITO BANCOMAT 260925 RIF 923547415799</t>
  </si>
  <si>
    <t>BONIF. VS. FAVORE - BON.DA NEXI Payments Spa - PV 1000001228627 ACCREDITO BANCOMAT 270925 RIF 925254487499</t>
  </si>
  <si>
    <t>BONIF. VS. FAVORE - BON.DA NEXI Payments Spa - PV 1000001228627 ACCREDITO CIRCUITI INTERNAZ. 260925 RIF 923547412099</t>
  </si>
  <si>
    <t>BONIF. VS. FAVORE - BON.DA NEXI Payments Spa - PV 1000001228627 ACCREDITO CIRCUITI INTERNAZ. 270925 RIF 925254484599</t>
  </si>
  <si>
    <t>BONIF. VS. FAVORE - BON.DA MARIO ASPRIELLO - x figlia Aspriello Eva quota corso salsa e baciata</t>
  </si>
  <si>
    <t>BONIFICO SEPADa NEXI Payments Spa TRN 058175625015NPPASU0000000000IT CIPBITMM per PV 1000001228596 ACCREDITO CIRCUITI INTERNAZ. 26092</t>
  </si>
  <si>
    <t>BONIFICO SEPADa NEXI Payments Spa TRN 058179120125NPPASU0000000000IT CIPBITMM per PV 1000001228637 ACCREDITO CIRCUITI INTERNAZ. 26092</t>
  </si>
  <si>
    <t>BONIFICO SEPADa NEXI Payments Spa TRN 058175639025NPPASU0000000000IT CIPBITMM per PV 1000001228596 ACCREDITO BANCOMAT 260925 RIF 9235</t>
  </si>
  <si>
    <t>BONIFICO SEPADa NEXI Payments Spa TRN 058276499085NPPASU0000000000IT CIPBITMM per PV 1000001228596 ACCREDITO CIRCUITI INTERNAZ. 27092</t>
  </si>
  <si>
    <t>BONIFICO SEPADa NEXI Payments Spa TRN 058276069075NPPASU0000000000IT CIPBITMM per PV 1000001228637 ACCREDITO CIRCUITI INTERNAZ. 27092</t>
  </si>
  <si>
    <t>BONIFICO SEPADa NEXI Payments Spa TRN 058276510065NPPASU0000000000IT CIPBITMM per PV 1000001228596 ACCREDITO BANCOMAT 270925 RIF 9252</t>
  </si>
  <si>
    <t>BONIFICO SEPADa NEXI Payments Spa TRN 058375820095NPPASU0000000000IT CIPBITMM per PV 1000001228637 ACCREDITO CIRCUITI INTERNAZ. 28092</t>
  </si>
  <si>
    <t>BONIFICO SEPADa Scalapay IP S.p.a. TRN 3601825092904494671165613208997-008 CBPSIT31XXX per 2025-09-28 - GEOS S SDRL - Scalapay IP S.p</t>
  </si>
  <si>
    <t>VERSAMENTO CONTANTE IN UPU.P. 38530 MILANO 82</t>
  </si>
  <si>
    <t xml:space="preserve"> € 1.255,00 attività +         € 75,00 tess contanti</t>
  </si>
  <si>
    <t>AMZN Mktp IT*GA30958H5\5 rue plaetis\800-279-6620\L2338     LUXLUX</t>
  </si>
  <si>
    <t>AMZN Mktp IT*LZ72R6AZ5\5 rue plaetis\800-279-6620\L2338     LUXLUX</t>
  </si>
  <si>
    <t>BONIF. VS. FAVORE - BON.DA DELLA BELLA FRANCESCA Maggi Carolina q uota attivita euro 415</t>
  </si>
  <si>
    <t>BONIF. VS. FAVORE - BON.DA ANTINORI VALENTINA LEONARDI DANILO Leo nardi Asia iscrizione moderna lunedi + tesser</t>
  </si>
  <si>
    <t>ADDEBITO DIRETTO SDD - SDD CORE: 3F3811ALA01667167 FASTWEB SPA</t>
  </si>
  <si>
    <t>BONIF. VS. FAVORE - BON.DA GALVANO SALVATORE IACONO MANNO VINC Galvano Lorena -Corso salsa e bachata</t>
  </si>
  <si>
    <t>BONIFICO SEPADistinta: 175921689169529JQDEF GENCA AUGUSTO 549,00 Brescianini e Co srl 1.780,42</t>
  </si>
  <si>
    <t>BONIFICO SEPADa NEXI Payments Spa TRN 058422630065NPPASU0000000000IT CIPBITMM per PV 1000001228596 ACCREDITO CIRCUITI INTERNAZ. 29092</t>
  </si>
  <si>
    <t>BONIFICO SEPADa NEXI Payments Spa TRN 058423969065NPPASU0000000000IT CIPBITMM per PV 1000001228637 ACCREDITO CIRCUITI INTERNAZ. 29092</t>
  </si>
  <si>
    <t>BONIFICO SEPADa NEXI Payments Spa TRN 058422638015NPPASU0000000000IT CIPBITMM per PV 1000001228596 ACCREDITO BANCOMAT 290925 RIF 9277</t>
  </si>
  <si>
    <t>BONIFICO SEPADa Scalapay IP S.p.a. TRN 3601825093004492656100570758431-008 CBPSIT31XXX per 2025-09-29 - GEOS S SDRL - Scalapay IP S.p</t>
  </si>
  <si>
    <t>BONIFICODa Satispay Europe S.A. TRN 20ad9b4062bb4c48adef602e5757c890 SATYLUL1XXX per Geos ssdr</t>
  </si>
  <si>
    <t>BONIF. VS. FAVORE - BON.DA NEXI Payments Spa - PV 1000001228627 ACCREDITO CIRCUITI INTERNAZ. 290925 RIF 927790911899</t>
  </si>
  <si>
    <t>BONIF. VS. FAVORE - BON.DA NEXI Payments Spa - PV 1000001228627 ACCREDITO BANCOMAT 290925 RIF 927790914699</t>
  </si>
  <si>
    <t xml:space="preserve"> € 622,00 attività +         € 25,00 tess contanti</t>
  </si>
  <si>
    <t>Manutenzione (scontrino)</t>
  </si>
  <si>
    <t>INT. E COMP. - COMPETENZE</t>
  </si>
  <si>
    <t>BONIFICODa Satispay Europe S.A. TRN a4944257cd094c75ad877e42c9ca1401 SATYLUL1XXX per Geos ssdr</t>
  </si>
  <si>
    <t>VOSTRA DISPOSIZIONE - VS.DISP. RIF. MBVT18069662/00712125 FAVORE ON LINE TOURS ITALIA SRL NOTPROVIDE - Conferma Contratto - Viaggio Cuba</t>
  </si>
  <si>
    <t>COMM.SU BONIFICI - RIF.MBVT18069662 COMM.BON. TELEMATICO SCT/IST</t>
  </si>
  <si>
    <t>BONIF. VS. FAVORE - BON.DA NEXI Payments Spa - PV 1000001228627 ACCREDITO BANCOMAT 300925 RIF 930079938799</t>
  </si>
  <si>
    <t>BONIF. VS. FAVORE - BON.DA NEXI Payments Spa - PV 1000001228627 ACCREDITO CIRCUITI INTERNAZ. 300925 RIF 930079928599</t>
  </si>
  <si>
    <t xml:space="preserve"> € 675,00 attività +	 € 100,00 tess contanti</t>
  </si>
  <si>
    <t>BONIFICO SEPADistinta: 17593137194323DQVDEF Calderoni Gioele	Reso</t>
  </si>
  <si>
    <t>BONIFICO SEPADa NEXI Payments Spa TRN 058519189015NPPASU0000000000IT CIPBITMM per PV 1000001228637 ACCREDITO CIRCUITI INTERNAZ. 30092</t>
  </si>
  <si>
    <t>BONIFICO SEPADa NEXI Payments Spa TRN 058513231105NPPASU0000000000IT CIPBITMM per PV 1000001228596 ACCREDITO BANCOMAT 300925 RIF 9300</t>
  </si>
  <si>
    <t>BONIFICO SEPADa NEXI Payments Spa TRN 058513227065NPPASU0000000000IT CIPBITMM per PV 1000001228596 ACCREDITO CIRCUITI INTERNAZ. 30092</t>
  </si>
  <si>
    <t>BONIFICO SEPADa Scalapay IP S.p.a. TRN 3601825100104495008557521592052-008 CBPSIT31XXX per 2025-09-30 - GEOS S SDRL - Scalapay IP S.p</t>
  </si>
  <si>
    <t>IMP. BOLLO CC/LR - DA 01/07/2025 A 30/09/2025</t>
  </si>
  <si>
    <t>AMZN Mktp IT*ZN25A6GP5\5 rue plaetis\800-279-6620\L2338     LUXLUX</t>
  </si>
  <si>
    <t>Canone carta Annuale</t>
  </si>
  <si>
    <t>BONIF. VS. FAVORE - BON.DA RONCHINI ALESSANDRO, ANGELETTI PAOLA R ONCHINI MARGHERITA CORSO DANZA E ISCRIZIONE</t>
  </si>
  <si>
    <t>BONIF. VS. FAVORE - BON.DA NEXI Payments Spa - PV 1000001228627 ACCREDITO CIRCUITI INTERNAZ. 011025 RIF 931659267199</t>
  </si>
  <si>
    <t>BONIF. VS. FAVORE - BON.DA MASSALONGO SARA - Sara Massalongo Quota attivita euro 370.50</t>
  </si>
  <si>
    <t>BONIFICO SEPADistinta: 17593315698813IFVDEF NEMBRI MASSIMILIANO</t>
  </si>
  <si>
    <t>BONIFICO SEPADa NEXI Payments Spa TRN 058636400045NPPASU0000000000IT CIPBITMM per PV 1000001228596 ACCREDITO BANCOMAT 011025 RIF 9316</t>
  </si>
  <si>
    <t>BONIFICO SEPADa NEXI Payments Spa TRN 058636380105NPPASU0000000000IT CIPBITMM per PV 1000001228596 ACCREDITO CIRCUITI INTERNAZ. 01102</t>
  </si>
  <si>
    <t>BONIFICO SEPADa Scalapay IP S.p.a. TRN 3601825100204493718836201927603-008 CBPSIT31XXX per 2025-10-01 - GEOS S SDRL - Scalapay IP S.p</t>
  </si>
  <si>
    <t>BONIFICO SEPADa NEXI Payments Spa TRN 058636634045NPPASU0000000000IT CIPBITMM per PV 1000001228637 ACCREDITO CIRCUITI INTERNAZ. 01102</t>
  </si>
  <si>
    <t>BONIF. VS. FAVORE - BON.DA DACATRA ELEONORA SHARON Dacatra Eleono ra Sharon Quota 585</t>
  </si>
  <si>
    <t>BONIF. VS. FAVORE - BON.DA VELOCCI SERENA pasqua sveva olga quota attivit</t>
  </si>
  <si>
    <t>BONIF. VS. FAVORE - BON.DA BIANCONI CATERINA CATERINA BIANCONI CORSO POLE DANCE GIOVEDI 2</t>
  </si>
  <si>
    <t xml:space="preserve"> € 555,00 attività +	 € 75,00 tess contanti</t>
  </si>
  <si>
    <t>BONIFICO SEPA ISTANTANEOTRN UNCRITMMXXX 1191252766423591 DA NEW WAVE S.R.L. PER saldo fatt. 299 del 29/07/2025</t>
  </si>
  <si>
    <t>BONIFICO SEPADa NEXI Payments Spa TRN 058738373055NPPASU0000000000IT CIPBITMM per PV 1000001228637 ACCREDITO CIRCUITI INTERNAZ. 02102</t>
  </si>
  <si>
    <t>BONIFICO SEPADa NEXI Payments Spa TRN 058739225125NPPASU0000000000IT CIPBITMM per PV 1000001228596 ACCREDITO CIRCUITI INTERNAZ. 02102</t>
  </si>
  <si>
    <t>BONIFICO SEPADa NEXI Payments Spa TRN 058739238125NPPASU0000000000IT CIPBITMM per PV 1000001228596 ACCREDITO BANCOMAT 021025 RIF 9332</t>
  </si>
  <si>
    <t>BONIFICO SEPADa Scalapay IP S.p.a. TRN 3601825100304510540212901862970-008 CBPSIT31XXX per 2025-10-02 - GEOS S SDRL - Scalapay IP S.p</t>
  </si>
  <si>
    <t>TENUTA CONTOADDEBITO RELATIVO AL PERIODO DI SETTEMBRE 2025</t>
  </si>
  <si>
    <t>CANONE SERVIZIO COLLEGAMENTO TELEMATICOADDEBITO CANONE DEL SERVIZIO BANCOPOSTAIMPRESA ONLINE RELATIVO AL PERIODO SETTEMBRE 2025 CONTRATTO N. 0059926216</t>
  </si>
  <si>
    <t>BONIF. VS. FAVORE - BON.DA NEXI Payments Spa - PV 1000001228627 ACCREDITO BANCOMAT 021025 RIF 933210636999</t>
  </si>
  <si>
    <t>BONIF. VS. FAVORE - BON.DA NEXI Payments Spa - PV 1000001228627 ACCREDITO CIRCUITI INTERNAZ. 021025 RIF 933210631899</t>
  </si>
  <si>
    <t>BONIF. VS. FAVORE - BON.DA RONCHINI ALESSANDRO, ANGELETTI PAOLA - AURORA RONCHINI CORSO VIDEO DANCE E QUOTA ISCRIZIONE</t>
  </si>
  <si>
    <t>BONIF. VS. FAVORE - BON.DA GIOVETTI ELENA - GIOVETTI ELENA, Quota attivita 315 euro, Samba Base</t>
  </si>
  <si>
    <t>RIMBORSO FINANZ. - MUTUO N.4080 4779232 RATA 03/10/2025</t>
  </si>
  <si>
    <t xml:space="preserve"> € 135,00 attività contanti</t>
  </si>
  <si>
    <t>kKstore, manutanezione (scontrino) + ferramenta (scontrino)</t>
  </si>
  <si>
    <t>BONIFICODa Satispay Europe S.A. TRN 172f63f938f84b6da1bf621ea529dd6e SATYLUL1XXX per Geos ssdr</t>
  </si>
  <si>
    <t>COMMISSIONE SOSTITUZIONE CARTA DI DEBITOCOMMISSIONE SOSTITUZIONE CARTA</t>
  </si>
  <si>
    <t>BONIF. VS. FAVORE - BON.DA SORBINO GIOVANNI MARIA Quota attivita - Ginevra Sorbino</t>
  </si>
  <si>
    <t>BONIF. VS. FAVORE - BON.DA BIANCONI CATERINA FIORONI FEDERICO Fio roni Gregorio</t>
  </si>
  <si>
    <t>BONIF. VS. FAVORE - BON.DA CASERTA GIANMARCO ANTONIO CASERTA MARIA MADDALENA Quota attivita. Euro</t>
  </si>
  <si>
    <t xml:space="preserve"> € 11,30 attività +	 € 250,00 tess contanti</t>
  </si>
  <si>
    <t>BONIFICO SEPADistinta: 17597507871174HIADEF Naitana Livio 1.830,00 Naitana Livio 1.464,00</t>
  </si>
  <si>
    <t xml:space="preserve">stipendi collaboratori ( insegnanti ) </t>
  </si>
  <si>
    <t>BONIFICO SEPADistinta: 175974028798039H9DEF ALMEIDA DOS SANTOS RONALD 420,00 SPAGNOLO SILVIA 300,00 VASSALLO MARGHERITA 375,00 DI GENNARO ANTONELLA 50,00 Anna Benedetti 385,00 ARAUJO CRUZ CARLOS WAGNER 3.485,00 BELLAY DAVID LAURENT 1.750,00 DI CARLO ERICA 300,00 GALLUZZO AMBRA 240,00 GRANDE SILVIA 900,00 PIGAZZI CRISTIANA 105,00 PUGGIONI SAMUEL 510,00</t>
  </si>
  <si>
    <t>BONIFICO SEPADistinta: 17597439124924ED7DEF MUZIO LUCIANA 60,00 FELLER CARLO 60,00 DE PONTES CAROLINA 200,00 D'ARIENZO GIULIA 300,00 CUGGE NICHOLAS 180,00 CONTI ANNACHIARA 130,00 CIANI GAIA 190,00 MIRAM MARTHE ROSE CELINE 390,00 MELE ROBERTO 450,00 MARINO ALESSANDRA 380,00 MALIN ILARIA 275,00 MAGARRO ALDRIN 250,00 LUISETTO FABIO 320,00 GEDDO ERIKA 150,00 FRANZINI TIBALDEO ANNA PAOLA ANTONIA LUISA CARLA 350,00</t>
  </si>
  <si>
    <t>BONIFICO SEPADistinta: 17597419603754DVNDEF CARIZZONI SIMONE 475,00 BARTOLINI ELISA 50,00 AVILA LOZANO JORGE ALBERTO 300,00 ASSABI DAISY 230,00 ARUTA FRANCESCO PAOLO 180,00 CAPELLI CONSUELO 330,00 CAMPOBELLO MARTINA 140,00 BORDONI MARGHERITA 50,00 BONU PIETRO 120,00 BONCRISTIANO ALESSANDRO LORIS 275,00 BONACINA GRETA 120,00 ANTONUCCI KATIA 450,00 BATTISTELLA STEFANO 160,00</t>
  </si>
  <si>
    <t>BONIFICO SEPADistinta: 17597446702124EPNDEF NICETA AURELIO 50,00 ROY ILAGOU 175,00 RUSSO RAFFAELLA 80,00 SANTORO ELEONORA 100,00 TAZZI LEONARDO 25,00 TIUTINA VICTORIIA 120,00 PACILLO CECILIA 100,00 PALAZZOTTO GIUSY 200,00 PELLEGRINO FILOMENA 160,00 PILLITTERI MARTINA 60,00 POZZOLI DENNIS 50,00 RANDAZZO GIUSEPPINA 170,00 ROBERTI IRENE 40,00 ROSSI CLAUDIO 100,00</t>
  </si>
  <si>
    <t>BONIFICO SEPADa Scalapay IP S.p.a. TRN 3601825100610355952217168375128-008 CBPSIT31XXX per 2025-10-05 - GEOS S SDRL - Scalapay IP S.p</t>
  </si>
  <si>
    <t>BONIFICO SEPADa NEXI Payments Spa TRN 059014314085NPPASU0000000000IT CIPBITMM per PV 1000001228637 ACCREDITO CIRCUITI INTERNAZ. 05102</t>
  </si>
  <si>
    <t>BONIFICO SEPADa NEXI Payments Spa TRN 058935172105NPPASU0000000000IT CIPBITMM per PV 1000001228596 ACCREDITO BANCOMAT 041025 RIF 9365</t>
  </si>
  <si>
    <t>BONIFICO SEPADa NEXI Payments Spa TRN 058839043035NPPASU0000000000IT CIPBITMM per PV 1000001228596 ACCREDITO CIRCUITI INTERNAZ. 03102</t>
  </si>
  <si>
    <t>BONIFICO SEPADa NEXI Payments Spa TRN 058935018125NPPASU0000000000IT CIPBITMM per PV 1000001228637 ACCREDITO CIRCUITI INTERNAZ. 04102</t>
  </si>
  <si>
    <t>BONIFICO SEPADa NEXI Payments Spa TRN 058838677015NPPASU0000000000IT CIPBITMM per PV 1000001228637 ACCREDITO CIRCUITI INTERNAZ. 03102</t>
  </si>
  <si>
    <t>BONIFICO SEPADa NEXI Payments Spa TRN 058935157085NPPASU0000000000IT CIPBITMM per PV 1000001228596 ACCREDITO CIRCUITI INTERNAZ. 04102</t>
  </si>
  <si>
    <t>BONIFICO SEPADa NEXI Payments Spa TRN 058839053005NPPASU0000000000IT CIPBITMM per PV 1000001228596 ACCREDITO BANCOMAT 031025 RIF 9348</t>
  </si>
  <si>
    <t>BONIF. VS. FAVORE - BON.DA NEXI Payments Spa - PV 1000001228627 ACCREDITO BANCOMAT 041025 RIF 936535229199</t>
  </si>
  <si>
    <t>BONIF. VS. FAVORE - BON.DA NEXI Payments Spa - PV 1000001228627 ACCREDITO CIRCUITI INTERNAZ. 041025 RIF 936535226499</t>
  </si>
  <si>
    <t>BONIF. VS. FAVORE - BON.DA NEXI Payments Spa - PV 1000001228627 ACCREDITO CIRCUITI INTERNAZ. 031025 RIF 934832884599</t>
  </si>
  <si>
    <t>BONIF. VS. FAVORE - BON.DA NEXI Payments Spa - PV 1000001228627 ACCREDITO BANCOMAT 031025 RIF 934832888899</t>
  </si>
  <si>
    <t>BONIFICO SEPADistinta: 17598392792690733DEF AMBROSIO GAETANO 2.000,00 SEGURA PINEDA SANDRA ESTEFANY 1.850,00 VILLON BAJANA JOEL ERNESTO 1.145,00 VILLALTA QUINTANILLA ZOILA GUADALUPE 1.300,00 VOLPE GIULIA 680,00 ARRIVABENE ELISA 2.000,00 BONILLA ZAVALA KEVIN ALEXANDER 1.500,00 FUMAGALLI GIUDITTA 1.724,00 JANNELLI SARA 1.800,00 MALDONADO XIOMARA ALEXANDRA 1.900,00 HASSIER BLANCO DE LA ROSA 1.300,00	BE67 9050 8922 8687 MANTICE SANTO 2600,00 MOUSTAFA ISRA HANI MOHAMED 1.750,00</t>
  </si>
  <si>
    <t>BONIFICO SEPADa Scalapay IP S.p.a. TRN 3601825100704493145140749452293-008 CBPSIT31XXX per 2025-10-06 - GEOS S SDRL - Scalapay IP S.p</t>
  </si>
  <si>
    <t>BONIFICO SEPADa NEXI Payments Spa TRN 059081610035NPPASU0000000000IT CIPBITMM per PV 1000001228596 ACCREDITO CIRCUITI INTERNAZ. 06102</t>
  </si>
  <si>
    <t>BONIFICO SEPADa NEXI Payments Spa TRN 059081621015NPPASU0000000000IT CIPBITMM per PV 1000001228596 ACCREDITO BANCOMAT 061025 RIF 9389</t>
  </si>
  <si>
    <t>BONIFICO SEPADa NEXI Payments Spa TRN 059082340055NPPASU0000000000IT CIPBITMM per PV 1000001228637 ACCREDITO CIRCUITI INTERNAZ. 06102</t>
  </si>
  <si>
    <t>BONIFICO SEPADa NEW WAVE S.R.L. TRN 1101252790441468 UNCRITMM per saldo fatt. 295 del 21/07/25</t>
  </si>
  <si>
    <t>BONIF. VS. FAVORE - BON.DA TRAPANI MARIO - Trapani Tayla Isaro / Quota Corso, EURO 395 Quota corso Hip Hop + Tesseramento</t>
  </si>
  <si>
    <t>BONIF. VS. FAVORE - BON.DA PECCI MARA - BERRA LAVINIA - Quota attivita euro 395</t>
  </si>
  <si>
    <t>BONIF. VS. FAVORE - BON.DA MARASCA BENEDETTA - Trussoni Ginevra Quota attivita annuale e rinnovo iscrizione</t>
  </si>
  <si>
    <t>BONIF. VS. FAVORE - BON.DA NEXI Payments Spa - PV 1000001228627 ACCREDITO BANCOMAT 061025 RIF 938967838999</t>
  </si>
  <si>
    <t>BONIF. VS. FAVORE - BON.DA NEXI Payments Spa - PV 1000001228627 ACCREDITO CIRCUITI INTERNAZ. 061025 RIF 938967835399</t>
  </si>
  <si>
    <t xml:space="preserve"> € 516,00  attività +        € 50,00 tess contanti</t>
  </si>
  <si>
    <t>BONIF. VS. FAVORE - BON.DA BIAGI FRANCESCA - Frizzi Alice, quota 2 corsi</t>
  </si>
  <si>
    <t>BONIFICODa Satispay Europe S.A. TRN bb916d4685434abe8d5012c184c7dac2 SATYLUL1XXX per Geos ssdr</t>
  </si>
  <si>
    <t>BONIF. VS. FAVORE - BON.DA RIOLO CLAUDIA Riolo Claudia Quota atti vita euro 395</t>
  </si>
  <si>
    <t>BONIF. VS. FAVORE - BON.DA IVANKA TODOROVA KOLOVA Vivian Annoni G uza</t>
  </si>
  <si>
    <t>BONIF. VS. FAVORE - BON.DA LONARDI RICCARDO LONARDI RICCARDO- Quota attivita. euro415</t>
  </si>
  <si>
    <t xml:space="preserve"> € 610,00  attività +        € 125,00 tess contanti</t>
  </si>
  <si>
    <t>BONIFICO SEPADistinta: 175984234830807IHDEF BORRI CLAUDIA 138,00 CEGLIE CINZIA 924,00 DUTTA AMBER AURORA LUISA 697,00 FURIA FEDERICA 1.003,00 KUQI DORIAN 672,00 MARICI GRAZIANA 377,00 MAZZAROLO ELISA 495,00 PICCIRILLO ANDREA 1.206,00</t>
  </si>
  <si>
    <t>BONIFICO SEPADistinta: 175984138842905JJDEF SatisWelfare S.p.A</t>
  </si>
  <si>
    <t>BONIFICO SEPADistinta: 17599124840150DQPDEF GENCA AUGUSTO</t>
  </si>
  <si>
    <t>BONIFICO SEPADistinta: 175984260836607JPDEF SETTI GIULIA 1.250,00 STANISCI ANGELA 689,00 TODISCO GIADA 428,00 AMBROSIO GAETANO 2.029,00 ARRIVABENE ELISA 2.029,00</t>
  </si>
  <si>
    <t>BONIFICO SEPADistinta: 17599150054520EOQDEF Massari Fabio Reso</t>
  </si>
  <si>
    <t>BONIFICO SEPADa Scalapay IP S.p.a. TRN 3601825100804493401923651575310-008 CBPSIT31XXX per 2025-10-07 - GEOS S SDRL - Scalapay IP S.p</t>
  </si>
  <si>
    <t>BONIFICO SEPADa NEXI Payments Spa TRN 059197612065NPPASU0000000000IT CIPBITMM per PV 1000001228637 ACCREDITO CIRCUITI INTERNAZ. 07102</t>
  </si>
  <si>
    <t>BONIFICO SEPADa NEXI Payments Spa TRN 059196104065NPPASU0000000000IT CIPBITMM per PV 1000001228596 ACCREDITO CIRCUITI INTERNAZ. 07102</t>
  </si>
  <si>
    <t>BONIFICO SEPADa NEXI Payments Spa TRN 059196120095NPPASU0000000000IT CIPBITMM per PV 1000001228596 ACCREDITO BANCOMAT 071025 RIF 9404</t>
  </si>
  <si>
    <t>BONIF. VS. FAVORE - BON.DA NEXI Payments Spa - PV 1000001228627 ACCREDITO CIRCUITI INTERNAZ. 071025 RIF 940447551399</t>
  </si>
  <si>
    <t>FACEBK *PLP352HTD2\Merrion Road\FACEBOOK.COM\D04 X2K5  IRLIRL</t>
  </si>
  <si>
    <t xml:space="preserve"> € 1.577,00 attività +	 € 50,00 tess contanti</t>
  </si>
  <si>
    <t>BONIFICO SEPADistinta: 1760000869785043GDEF ARIETE DUE DI CAJAHUARINGA JASMIN 3.102,00 ARIETE DUE DI CAJAHUARINGA JASMIN 1.002,00 Palamara Donato 202,00 Lorenzelli Paola 3.458,70</t>
  </si>
  <si>
    <t>BONIFICO SEPADistinta: 17599281565820DT0DEF GARIANO GIULIO</t>
  </si>
  <si>
    <t xml:space="preserve">BONIFICO SEPADistinta: 176000095137201V3DEF Marco Caccialupi	</t>
  </si>
  <si>
    <t xml:space="preserve">BONIFICO SEPADistinta: 176000023024903PLDEF da Poste a Postepay </t>
  </si>
  <si>
    <t xml:space="preserve">BONIFICO SEPADistinta: 176000040478601NJDEF da Poste a Soldo </t>
  </si>
  <si>
    <t>BONIFICO SEPADa NEXI Payments Spa TRN 059284414075NPPASU0000000000IT CIPBITMM per PV 1000001228596 ACCREDITO BANCOMAT 081025 RIF 9419</t>
  </si>
  <si>
    <t>BONIFICO SEPADa NEXI Payments Spa TRN 059285303125NPPASU0000000000IT CIPBITMM per PV 1000001228637 ACCREDITO CIRCUITI INTERNAZ. 08102</t>
  </si>
  <si>
    <t>BONIFICO SEPADa NEXI Payments Spa TRN 059284403095NPPASU0000000000IT CIPBITMM per PV 1000001228596 ACCREDITO CIRCUITI INTERNAZ. 08102</t>
  </si>
  <si>
    <t>BONIFICO SEPADa Scalapay IP S.p.a. TRN 3601825100904492644138248535189-008 CBPSIT31XXX per 2025-10-08 - GEOS S SDRL - Scalapay IP S.p</t>
  </si>
  <si>
    <t>BONIFICO SEPADa ENCANTO CLUB LATINO ASS NE SPOR VA TRN 0306905578240806S90960609606IT BCITITMMXXX per Pagamento FT 334 del 06/10/25</t>
  </si>
  <si>
    <t>BONIFICO SEPADa ROSEMARY FERRARI SRL TRN 5034902123865276480160001600IT BAPPIT22 per Geos SSD - saldo ft 331 del 25/09/2025</t>
  </si>
  <si>
    <t>PAGAMENTO POSMARTESANA S.R.L.       07/10/2025 10.49 MILANO        Op.672114 carta ****0501</t>
  </si>
  <si>
    <t>PAGAMENTO POSCera una volta         07/10/2025 11.40 Milano        Op.674940 carta ****0501</t>
  </si>
  <si>
    <t xml:space="preserve">entrate varie </t>
  </si>
  <si>
    <t>ACCREDITO PER POSTEPAY CASHBACK BUSINESSPER ACQUISTO DI EURO 65,00 DA BAR QUADRONNO IL 16/09/2025</t>
  </si>
  <si>
    <t>ACCREDITO PER POSTEPAY CASHBACK BUSINESSPER ACQUISTO DI EURO 65,00 DA PASTICCERIA MASSIMO 19 IL 16/09/2025</t>
  </si>
  <si>
    <t>ACCREDITO PER POSTEPAY CASHBACK BUSINESSPER ACQUISTO DI EURO 50,00 DA BAR D'ESTE IL 16/09/2025</t>
  </si>
  <si>
    <t>BONIF. VS. FAVORE - BON.DA DE MARCH ADRIANA ANNA - adriana de march quota attivita E550</t>
  </si>
  <si>
    <t>BONIF. VS. FAVORE - BON.DA DE VITA FABRIZIA - ISCRIZIONE SECONDO CORSO THAO PEYRIDIEU</t>
  </si>
  <si>
    <t>BONIF. VS. FAVORE - BON.DA ASP IMMES E PAT-CASSA ECON.COMUNITA' - Princess Joy Magampon quota attivit.</t>
  </si>
  <si>
    <t>BONIF. VS. FAVORE - BON.DA ASP IMMES E PAT-CASSA ECON.COMUNITA' - Micaela Samantha Bottoni quota attivit.</t>
  </si>
  <si>
    <t>BONIF. VS. FAVORE - BON.DA NEXI Payments Spa - PV 1000001228627 ACCREDITO BANCOMAT 081025 RIF 941949225899</t>
  </si>
  <si>
    <t>BONIF. VS. FAVORE - BON.DA NEXI Payments Spa - PV 1000001228627 ACCREDITO CIRCUITI INTERNAZ. 081025 RIF 941949222099</t>
  </si>
  <si>
    <t>BONIF. VS. FAVORE - BON.DA Ekaterina Gulyanskaya - GULYANSKY ELLA , GULYANSKY EVA</t>
  </si>
  <si>
    <t>AMAZON* QM3A315A5\38 Avenue John F Kennedy\LUXEMBOURG\1855      DUBLUX</t>
  </si>
  <si>
    <t>BONIFICO SEPA Da GEOS S SDRL TRN EA25100949465781480160099999IT BPPIITRRXXX PER Girofondo Geos da Poste a Postepay</t>
  </si>
  <si>
    <t>Pagamento Apple Pay APPLE.COM/BILL 07/10/2025 10.35 ITUNES.COM Op. 673742</t>
  </si>
  <si>
    <t xml:space="preserve"> € 1.323,00 attività +	 € 50,00 tess contanti</t>
  </si>
  <si>
    <t>BONIFICODa Satispay Europe S.A. TRN 7f4135e00f5742a6a3b5e8a29fa290e4 SATYLUL1XXX per Geos ssdr</t>
  </si>
  <si>
    <t>PAGAMENTO POSCAFFE' VINO VIA BELLEZ 08/10/2025 12.59 MILANO        Op.674990 carta ****0501</t>
  </si>
  <si>
    <t>BONIFICO SEPADa NEXI Payments Spa TRN 059397074095NPPASU0000000000IT CIPBITMM per PV 1000001228596 ACCREDITO CIRCUITI INTERNAZ. 09102</t>
  </si>
  <si>
    <t>BONIFICO SEPADa NEXI Payments Spa TRN 059398065125NPPASU0000000000IT CIPBITMM per PV 1000001228637 ACCREDITO CIRCUITI INTERNAZ. 09102</t>
  </si>
  <si>
    <t>BONIFICO SEPADa Scalapay IP S.p.a. TRN 3601825101004505418486739964425-008 CBPSIT31XXX per 2025-10-09 - GEOS S SDRL - Scalapay IP S.p</t>
  </si>
  <si>
    <t>BONIFICO SEPADa NEXI Payments Spa TRN 059397085075NPPASU0000000000IT CIPBITMM per PV 1000001228596 ACCREDITO BANCOMAT 091025 RIF 9434</t>
  </si>
  <si>
    <t>BONIF. VS. FAVORE - BON.DA NEXI Payments Spa - PV 1000001228627 ACCREDITO CIRCUITI INTERNAZ. 091025 RIF 943472165199</t>
  </si>
  <si>
    <t>BONIF. VS. FAVORE - BON.DA NEXI Payments Spa - PV 1000001228627 ACCREDITO BANCOMAT 091025 RIF 943472168499</t>
  </si>
  <si>
    <t>BONIF. VS. FAVORE - BON.DA CURTO ELISA - Curto Elisa Quota attivita Euro 200</t>
  </si>
  <si>
    <t>BONIF. VS. FAVORE - BON.DA VIVIANI DI TIZIANO VIVIANI - VIVIANI LINDA -QUOTA ATTIVITA' 395 EURO</t>
  </si>
  <si>
    <t>BONIF. VS. FAVORE - BON.DA DELLA BEFFA BENEDETTO DELLA BEFFA LUDO VICA</t>
  </si>
  <si>
    <t>BONIF. VS. FAVORE - BON.DA BABINI STEFANO Maria Sole Babini - Quo ta attivita 134 euro</t>
  </si>
  <si>
    <t>Girofondi da Poste</t>
  </si>
  <si>
    <t>Pagamento E-Commerce WWW.AMAZON.* 9A6G08WS5 09/10/2025 02.18 LUXEMBOURG Op. 674939</t>
  </si>
  <si>
    <t xml:space="preserve"> € 415,00 attività + 	 € 125,00 tess contanti</t>
  </si>
  <si>
    <t>BONIFICO SEPADistinta: 17601039324330HFRDEF Barbieri valentina</t>
  </si>
  <si>
    <t>BONIFICO SEPADa NEXI Payments Spa TRN 059675431105NPPASU0000000000IT CIPBITMM per PV 1000001228637 ACCREDITO CIRCUITI INTERNAZ. 12102</t>
  </si>
  <si>
    <t>BONIFICO SEPADa NEXI Payments Spa TRN 059511070085NPPASU0000000000IT CIPBITMM per PV 1000001228637 ACCREDITO CIRCUITI INTERNAZ. 10102</t>
  </si>
  <si>
    <t>BONIFICO SEPADa Scalapay IP S.p.a. TRN 3601825101304502896370598950870-008 CBPSIT31XXX per 2025-10-12 - GEOS S SDRL - Scalapay IP S.p</t>
  </si>
  <si>
    <t>BONIFICO SEPADa NEXI Payments Spa TRN 059601743065NPPASU0000000000IT CIPBITMM per PV 1000001228637 ACCREDITO CIRCUITI INTERNAZ. 11102</t>
  </si>
  <si>
    <t>BONIFICO SEPADa NEXI Payments Spa TRN 059510377045NPPASU0000000000IT CIPBITMM per PV 1000001228596 ACCREDITO CIRCUITI INTERNAZ. 10102</t>
  </si>
  <si>
    <t>BONIFICO SEPADa NEXI Payments Spa TRN 059603620115NPPASU0000000000IT CIPBITMM per PV 1000001228596 ACCREDITO CIRCUITI INTERNAZ. 11102</t>
  </si>
  <si>
    <t>BONIF. VS. FAVORE - BON.DA NEXI Payments Spa - PV 1000001228627 ACCREDITO BANCOMAT 111025 RIF 946830916199</t>
  </si>
  <si>
    <t>BONIF. VS. FAVORE - BON.DA NEXI Payments Spa - PV 1000001228627 ACCREDITO BANCOMAT 101025 RIF 945119398199</t>
  </si>
  <si>
    <t>BONIF. VS. FAVORE - BON.DA NEXI Payments Spa - PV 1000001228627 ACCREDITO CIRCUITI INTERNAZ. 101025 RIF 945119393799</t>
  </si>
  <si>
    <t>BONIF. VS. FAVORE - BON.DA NEXI Payments Spa - PV 1000001228627 ACCREDITO CIRCUITI INTERNAZ. 111025 RIF 946830913099</t>
  </si>
  <si>
    <t xml:space="preserve"> € 45,00 	attività +  € 75,00 tess contanti</t>
  </si>
  <si>
    <t xml:space="preserve">Versamento contanti </t>
  </si>
  <si>
    <t>spese struttura</t>
  </si>
  <si>
    <t>BONIFICO SEPADistinta: 176042918408707THDEF IMMOBILIARE MONTE DI PIETA' SRL 1.250,00 IMMOBILIARE MONTE DI PIETA' SRL 562,50</t>
  </si>
  <si>
    <t>BONIFICO SEPADistinta: 1760428784141089NDEF HDI Assicurazioni Tfr Segura</t>
  </si>
  <si>
    <t>BONIFICO SEPADistinta: 17604286758990DL4DEF Perin Galamini e Gianesin Srl Tfr Ambrosio 171,17 Perin Galamini e Gianesin Srl Tfr Jannelli 150,03 Perin Galamini e Gianesin Srl Tfr Arrivabene 161,67 Perin Galamini e Gianesin Srl Tfr Fumagalli 153,09</t>
  </si>
  <si>
    <t>BONIFICO SEPADistinta: 176042832496507ONDEF Generali Italia SPA Tfr Maldonado , Villon</t>
  </si>
  <si>
    <t>BONIFICO SEPADa NEXI Payments Spa TRN 059752275115NPPASU0000000000IT CIPBITMM per PV 1000001228596 ACCREDITO CIRCUITI INTERNAZ. 13102</t>
  </si>
  <si>
    <t>BONIFICO SEPADa NEXI Payments Spa TRN 059752286095NPPASU0000000000IT CIPBITMM per PV 1000001228596 ACCREDITO BANCOMAT 131025 RIF 9492</t>
  </si>
  <si>
    <t>BONIFICO SEPADa NEXI Payments Spa TRN 059752443105NPPASU0000000000IT CIPBITMM per PV 1000001228637 ACCREDITO CIRCUITI INTERNAZ. 13102</t>
  </si>
  <si>
    <t>BONIFICO SEPADa Scalapay IP S.p.a. TRN 3601825101404493514725896344088-008 CBPSIT31XXX per 2025-10-13 - GEOS S SDRL - Scalapay IP S.p</t>
  </si>
  <si>
    <t>BONIFICO SEPADa STABILINI LINDA TRN 0329605551252907480160033040IT FIBKITMMXXX per Pagamento fattura 339v1</t>
  </si>
  <si>
    <t>BONIFICO SEPADa REGIONE LOMBARDIA TRN 0306926991196208480979009790IT BCITITMMXXX per MAND. N. 47028- 34311 CUPE84J25000130002 SALDO C</t>
  </si>
  <si>
    <t>VERSAMENTO CONTANTE IN UPU.P.38530 MILANO 82            POSTAMAT N 76018970575871050                 CARTA 75871050</t>
  </si>
  <si>
    <t>BONIF. VS. FAVORE - BON.DA CALOGERA LUCA - Calogera Caterina, corso tessuti, euro 415</t>
  </si>
  <si>
    <t>BONIF. VS. FAVORE - BON.DA FRANCESCHI GIULIA - Pancaldi Matilde - quota attivita 351,50</t>
  </si>
  <si>
    <t>BONIF. VS. FAVORE - BON.DA NEXI Payments Spa - PV 1000001228627 ACCREDITO CIRCUITI INTERNAZ. 131025 RIF 949282226599</t>
  </si>
  <si>
    <t>BONIF. VS. FAVORE - BON.DA NEXI Payments Spa - PV 1000001228627 ACCREDITO BANCOMAT 131025 RIF 949282231199</t>
  </si>
  <si>
    <t>BONIF. VS. FAVORE - BON.DA DE FRANCESCHINI LAURA - BERTOLOTTI GIULIA QUOTA ATTIVITA' EURO 395</t>
  </si>
  <si>
    <t>BONIF. VS. FAVORE - BON.DA MLLE AMBRE-STEPHANIE AUGUET - Danza</t>
  </si>
  <si>
    <t>VOSTRA DISPOSIZIONE - VS.DISP. RIF. MB0B55908484/90678566 FAVORE IMMOBILIARE MONTE DI PIETA' SRL - ADD.TOT - IMMOBILIARE MONTE DI PIETA' SRL N 250000112H del 08ott2025</t>
  </si>
  <si>
    <t>COMM.SU BONIFICI - NS RIF. MB0B55908484 SPESE E COMM.</t>
  </si>
  <si>
    <t>AMZN Mktp IT*EN5IR6R05\5 rue plaetis\800-279-6620\L2338     LUXLUX</t>
  </si>
  <si>
    <t xml:space="preserve"> € 212,50 attività +	 € 75,00 tess contanti</t>
  </si>
  <si>
    <t>BONIFICODa Gympass US LLC TRN FDNBGQ5KL5N6 CHASNL2XXXX per WellhubGym</t>
  </si>
  <si>
    <t>BONIFICO SEPADa ENCANTO CLUB LATINO ASS NE SPOR VA TRN 0306905753023900S90960609606IT BCITITMMXXX per Pagamento FT 362 del 13/10/25</t>
  </si>
  <si>
    <t>BONIF. VS. FAVORE - BON.DA DE BENEDETTI DARIO De Benedetti Carola Quota 415</t>
  </si>
  <si>
    <t xml:space="preserve">BONIFICO SEPADistinta: 17605147758200O8LDEF Michele Serra </t>
  </si>
  <si>
    <t>BONIFICO SEPADa NEXI Payments Spa TRN 059849386125NPPASU0000000000IT CIPBITMM per PV 1000001228596 ACCREDITO BANCOMAT 141025 RIF 9507</t>
  </si>
  <si>
    <t>BONIFICO SEPADa NEXI Payments Spa TRN 059850500085NPPASU0000000000IT CIPBITMM per PV 1000001228637 ACCREDITO CIRCUITI INTERNAZ. 14102</t>
  </si>
  <si>
    <t>BONIFICO SEPADa Scalapay IP S.p.a. TRN 3601825101504495146340111284712-008 CBPSIT31XXX per 2025-10-14 - GEOS S SDRL - Scalapay IP S.p</t>
  </si>
  <si>
    <t>BONIFICO SEPADa NEXI Payments Spa TRN 059849373125NPPASU0000000000IT CIPBITMM per PV 1000001228596 ACCREDITO CIRCUITI INTERNAZ. 14102</t>
  </si>
  <si>
    <t>BONIF. VS. FAVORE - BON.DA VIGNOZZI VERONICA - Veronica Vignozzi quota attivita 825</t>
  </si>
  <si>
    <t>BONIF. VS. FAVORE - BON.DA NEXI Payments Spa - PV 1000001228627 ACCREDITO BANCOMAT 141025 RIF 950754739799</t>
  </si>
  <si>
    <t>BONIF. VS. FAVORE - BON.DA NEXI Payments Spa - PV 1000001228627 ACCREDITO CIRCUITI INTERNAZ. 141025 RIF 950754735899</t>
  </si>
  <si>
    <t>BONIFICO SEPADa Scalapay IP S.p.a. TRN 3601825101604494972062745905896-008 CBPSIT31XXX per 2025-10-15 - GEOS S SDRL - Scalapay IP S.p</t>
  </si>
  <si>
    <t>BONIFICO SEPADa NEXI Payments Spa TRN 059952680085NPPASU0000000000IT CIPBITMM per PV 1000001228596 ACCREDITO BANCOMAT 151025 RIF 9522</t>
  </si>
  <si>
    <t>BONIFICO SEPADa NEXI Payments Spa TRN 059953762115NPPASU0000000000IT CIPBITMM per PV 1000001228637 ACCREDITO CIRCUITI INTERNAZ. 15102</t>
  </si>
  <si>
    <t>BONIFICO SEPADa NEXI Payments Spa TRN 059952676045NPPASU0000000000IT CIPBITMM per PV 1000001228596 ACCREDITO CIRCUITI INTERNAZ. 15102</t>
  </si>
  <si>
    <t>I24 AGENZIA ENTRATE - PAG.TO TELEMATICO - DATA INCASSO 16/10/2025 2025-10-15-22.30.45.525609002797</t>
  </si>
  <si>
    <t>I24 AGENZIA ENTRATE - PAG.TO TELEMATICO - DATA INCASSO 16/10/2025 2025-10-15-22.30.45.525609002798</t>
  </si>
  <si>
    <t>BONIF. VS. FAVORE - BON.DA D AMBROSIO LAURA - Capone Fiammetta Quota attivita 131</t>
  </si>
  <si>
    <t>BONIF. VS. FAVORE - BON.DA DI VITA ANGELO - DI VITA ANGELO - Quota attivita' Euro 390</t>
  </si>
  <si>
    <t>BONIF. VS. FAVORE - BON.DA NEXI Payments Spa - PV 1000001228627 ACCREDITO CIRCUITI INTERNAZ. 151025 RIF 952247700699</t>
  </si>
  <si>
    <t>BONIF. VS. FAVORE - BON.DA NEXI Payments Spa - PV 1000001228627 ACCREDITO BANCOMAT 151025 RIF 952247704099</t>
  </si>
  <si>
    <t>BONIF. VS. FAVORE - BON.DA NASSIMI JASMIN - Jasmin Nassimi quota corso salsa</t>
  </si>
  <si>
    <t xml:space="preserve"> € 370,00 attività +	 € 75,00 tess contanti</t>
  </si>
  <si>
    <t>FACEBK *5GM7J4MSD2\Merrion Road\FACEBOOK.COM\D04 X2K5  IRLIRL</t>
  </si>
  <si>
    <t>BONIFICO SEPADa Scalapay IP S.p.a. TRN 3601825101704512322560046424011-008 CBPSIT31XXX per 2025-10-16 - GEOS S SDRL - Scalapay IP S.p</t>
  </si>
  <si>
    <t>BONIFICODa Satispay Europe S.A. TRN 8bf0e0ee4a014aa6a6655d34923a7b66 SATYLUL1XXX per Geos ssdr</t>
  </si>
  <si>
    <t>BONIFICO SEPADa NEXI Payments Spa TRN 060057118045NPPASU0000000000IT CIPBITMM per PV 1000001228637 ACCREDITO CIRCUITI INTERNAZ. 16102</t>
  </si>
  <si>
    <t>BONIFICO SEPADa NEXI Payments Spa TRN 060059129005NPPASU0000000000IT CIPBITMM per PV 1000001228596 ACCREDITO BANCOMAT 161025 RIF 9537</t>
  </si>
  <si>
    <t>BONIFICO SEPADa NEXI Payments Spa TRN 060059113105NPPASU0000000000IT CIPBITMM per PV 1000001228596 ACCREDITO CIRCUITI INTERNAZ. 16102</t>
  </si>
  <si>
    <t>BONIF. VS. FAVORE - BON.DA NEXI Payments Spa - PV 1000001228627 ACCREDITO BANCOMAT 161025 RIF 953758257599</t>
  </si>
  <si>
    <t>BONIF. VS. FAVORE - BON.DA NEXI Payments Spa - PV 1000001228627 ACCREDITO CIRCUITI INTERNAZ. 161025 RIF 953758253499</t>
  </si>
  <si>
    <t>BONIF. VS. FAVORE - BON.DA FILIPPO GALLI - GALLI MATILDE -QUOTA ATTIVITA 450</t>
  </si>
  <si>
    <t>BONIF. VS. FAVORE - BON.DA BUSCONE NOEMI, DE AGOSTINI ALESSAND - De Agostini Anita - Quota attivita 395 EUR</t>
  </si>
  <si>
    <t>Amazon.it*7748A9HV5\5 Rue Plaetis\www.amazon.it\L2338     LUXLUX</t>
  </si>
  <si>
    <t xml:space="preserve"> € 300,00 attività +	 € 25,00 tess contanti</t>
  </si>
  <si>
    <t>BONIFICO SEPADistinta: 176094554733500PODEF Magnetic Media Network Spa 554,19 € Magnetic Media Network Spa 1354,20€</t>
  </si>
  <si>
    <t>BONIFICO SEPADistinta: 176094903901201NCDEF GTA SRL ( Hotel ) saldo</t>
  </si>
  <si>
    <t>BONIFICO SEPADa NEXI Payments Spa TRN 060208033025NPPASU0000000000IT CIPBITMM per PV 1000001228596 ACCREDITO CIRCUITI INTERNAZ. 17102</t>
  </si>
  <si>
    <t>BONIFICO SEPADa NEXI Payments Spa TRN 060208659045NPPASU0000000000IT CIPBITMM per PV 1000001228637 ACCREDITO CIRCUITI INTERNAZ. 17102</t>
  </si>
  <si>
    <t>BONIFICO SEPADa NEXI Payments Spa TRN 060208042115NPPASU0000000000IT CIPBITMM per PV 1000001228596 ACCREDITO BANCOMAT 171025 RIF 9553</t>
  </si>
  <si>
    <t>BONIFICO SEPADa NEXI Payments Spa TRN 060266745065NPPASU0000000000IT CIPBITMM per PV 1000001228596 ACCREDITO CIRCUITI INTERNAZ. 18102</t>
  </si>
  <si>
    <t>BONIFICO SEPADa NEXI Payments Spa TRN 060268281085NPPASU0000000000IT CIPBITMM per PV 1000001228637 ACCREDITO CIRCUITI INTERNAZ. 18102</t>
  </si>
  <si>
    <t>BONIFICO SEPADa NEXI Payments Spa TRN 060266754025NPPASU0000000000IT CIPBITMM per PV 1000001228596 ACCREDITO BANCOMAT 181025 RIF 9570</t>
  </si>
  <si>
    <t>BONIFICO SEPADa NEXI Payments Spa TRN 060345341045NPPASU0000000000IT CIPBITMM per PV 1000001228637 ACCREDITO CIRCUITI INTERNAZ. 19102</t>
  </si>
  <si>
    <t>BONIFICO SEPADa NEXI Payments Spa TRN 060345357075NPPASU0000000000IT CIPBITMM per PV 1000001228596 ACCREDITO CIRCUITI INTERNAZ. 19102</t>
  </si>
  <si>
    <t>BONIFICO SEPADa Scalapay IP S.p.a. TRN 3601825102004494258019555942435-008 CBPSIT31XXX per 2025-10-19 - GEOS S SDRL - Scalapay IP S.p</t>
  </si>
  <si>
    <t>BONIF. VS. FAVORE - BON.DA NEXI Payments Spa - PV 1000001228627 ACCREDITO CIRCUITI INTERNAZ. 181025 RIF 957075701199</t>
  </si>
  <si>
    <t>BONIF. VS. FAVORE - BON.DA NEXI Payments Spa - PV 1000001228627 ACCREDITO BANCOMAT 181025 RIF 957075705499</t>
  </si>
  <si>
    <t>BONIF. VS. FAVORE - BON.DA NEXI Payments Spa - PV 1000001228627 ACCREDITO CIRCUITI INTERNAZ. 171025 RIF 955380960599</t>
  </si>
  <si>
    <t xml:space="preserve"> € 225,00 attività +	 € 75,00 tess contanti</t>
  </si>
  <si>
    <t>BONIFICO SEPA ISTANTANEOTRN FIBKITMMXXX 0329625365498802480160101601IT DA STABILINI LINDA PER Pagamento fattura 339v1</t>
  </si>
  <si>
    <t>BONIFICO SEPADa Scalapay IP S.p.a. TRN 3601825102104491536493001874091-008 CBPSIT31XXX per 2025-10-20 - GEOS S SDRL - Scalapay IP S.p</t>
  </si>
  <si>
    <t>BONIFICO SEPADa NEXI Payments Spa TRN 060414153075NPPASU0000000000IT CIPBITMM per PV 1000001228637 ACCREDITO CIRCUITI INTERNAZ. 20102</t>
  </si>
  <si>
    <t>BONIFICO SEPADa NEXI Payments Spa TRN 060413748055NPPASU0000000000IT CIPBITMM per PV 1000001228596 ACCREDITO BANCOMAT 201025 RIF 9594</t>
  </si>
  <si>
    <t>BONIFICO SEPADa NEXI Payments Spa TRN 060413743005NPPASU0000000000IT CIPBITMM per PV 1000001228596 ACCREDITO CIRCUITI INTERNAZ. 20102</t>
  </si>
  <si>
    <t>BONIF. VS. FAVORE - BON.DA NEXI Payments Spa - PV 1000001228627 ACCREDITO CIRCUITI INTERNAZ. 201025 RIF 959481330199</t>
  </si>
  <si>
    <t>BONIF. VS. FAVORE - BON.DA BRUNO DANIELA, BIANCO ELDA - Mattia Romano quota attivita 86 euro</t>
  </si>
  <si>
    <t xml:space="preserve"> € 30,00 attività + 	 € 25,00 tess contanti</t>
  </si>
  <si>
    <t>FACEBK *TUQK55MTD2\Merrion Road\DUBLIN\D04 X2K5  IRLIRL</t>
  </si>
  <si>
    <t xml:space="preserve"> € 870,00 attività +	 € 25,00 tess contanti</t>
  </si>
  <si>
    <t>BONIFICODa Satispay Europe S.A. TRN 4c187016f0be4759a4a14cba01d9fc3f SATYLUL1XXX per Geos ssdr</t>
  </si>
  <si>
    <t>BONIFICO SEPADa DE MATTEIS STEFANIA TRN 0303229302025821480160001600IT BACRIT22XXX per GEOS SSD Fattura n.</t>
  </si>
  <si>
    <t>DOMICILIAZIONE (ADDEBITO DIRETTO SEPA)NEXI P.              CID.IT500100000004107060966             MAN.792254495131800006</t>
  </si>
  <si>
    <t>BONIFICO SEPADistinta: 17611302906820JRFDEF Bacchin Adele Reso</t>
  </si>
  <si>
    <t xml:space="preserve">BONIFICO SEPADistinta: 17611181204630GPNDEF Valentina vernia ( Banana ) </t>
  </si>
  <si>
    <t>BONIFICO SEPADa NEXI Payments Spa TRN 060514965045NPPASU0000000000IT CIPBITMM per PV 1000001228596 ACCREDITO BANCOMAT 211025 RIF 9609</t>
  </si>
  <si>
    <t>BONIFICO SEPADa Scalapay IP S.p.a. TRN 3601825102204491586902308030798-008 CBPSIT31XXX per 2025-10-21 - GEOS S SDRL - Scalapay IP S.p</t>
  </si>
  <si>
    <t>BONIFICO SEPADa NEXI Payments Spa TRN 060514947125NPPASU0000000000IT CIPBITMM per PV 1000001228596 ACCREDITO CIRCUITI INTERNAZ. 21102</t>
  </si>
  <si>
    <t>BONIFICO SEPADa NEXI Payments Spa TRN 060515041025NPPASU0000000000IT CIPBITMM per PV 1000001228637 ACCREDITO CIRCUITI INTERNAZ. 21102</t>
  </si>
  <si>
    <t>BONIF. VS. FAVORE - BON.DA NEXI Payments Spa - PV 1000001228627 ACCREDITO BANCOMAT 211025 RIF 960916415799</t>
  </si>
  <si>
    <t>BONIF. VS. FAVORE - BON.DA NEXI Payments Spa - PV 1000001228627 ACCREDITO CIRCUITI INTERNAZ. 211025 RIF 960916411699</t>
  </si>
  <si>
    <t>BONIF. VS. FAVORE - BON.DA TORTAROLO MASSIMILIANO - TORTAROLO VANESSA - QUOTA ATTIVITA' 35</t>
  </si>
  <si>
    <t>BONIFICO SEPADistinta: 17611422282290L0VDEF Straropoli Alessandra reso</t>
  </si>
  <si>
    <t>BONIFICO SEPADa NEXI Payments Spa TRN 060623862005NPPASU0000000000IT CIPBITMM per PV 1000001228596 ACCREDITO CIRCUITI INTERNAZ. 22102</t>
  </si>
  <si>
    <t>BONIFICO SEPADa NEXI Payments Spa TRN 060623873115NPPASU0000000000IT CIPBITMM per PV 1000001228596 ACCREDITO BANCOMAT 221025 RIF 9623</t>
  </si>
  <si>
    <t>BONIFICO SEPADa NEXI Payments Spa TRN 060623320045NPPASU0000000000IT CIPBITMM per PV 1000001228637 ACCREDITO CIRCUITI INTERNAZ. 22102</t>
  </si>
  <si>
    <t>BONIFICO SEPADa Scalapay IP S.p.a. TRN 3601825102304501927993432772864-008 CBPSIT31XXX per 2025-10-22 - GEOS S SDRL - Scalapay IP S.p</t>
  </si>
  <si>
    <t>COMMISSIONI DOMICILIAZIONE (ADDEBITO DIRETTO SEPA)NEXI P.              CID.IT500100000004107060966             MAN.792254495131800006</t>
  </si>
  <si>
    <t>BONIF. VS. FAVORE - BON.DA ON LINE TOURS ITALIA S R L - REEMBOLSO 267397 Y 266667 /25 ON LINE TOURS ITALIA</t>
  </si>
  <si>
    <t>BONIF. VS. FAVORE - BON.DA WADUGE TILINI MAURY - Waduge inoshika Maury quata attiva 76,00</t>
  </si>
  <si>
    <t>BONIF. VS. FAVORE - BON.DA NEXI Payments Spa - PV 1000001228627 ACCREDITO CIRCUITI INTERNAZ. 221025 RIF 962372440199</t>
  </si>
  <si>
    <t>BONIF. VS. FAVORE - BON.DA NEXI Payments Spa - PV 1000001228627 ACCREDITO BANCOMAT 221025 RIF 962372443199</t>
  </si>
  <si>
    <t xml:space="preserve"> € 245,00 attività contanti</t>
  </si>
  <si>
    <t>BONIFICODa Satispay Europe S.A. TRN 9aaaf8f6362e4bd683298214efed4d70 SATYLUL1XXX per Geos ssdr</t>
  </si>
  <si>
    <t>BONIFICO SEPADistinta: 17613005075050A7GDEF COMITATO PROVINCIALE PISA ENDAS</t>
  </si>
  <si>
    <t>BONIFICO SEPADa NEXI Payments Spa TRN 060726023075NPPASU0000000000IT CIPBITMM per PV 1000001228637 ACCREDITO CIRCUITI INTERNAZ. 23102</t>
  </si>
  <si>
    <t>BONIFICO SEPADa NEXI Payments Spa TRN 060725822015NPPASU0000000000IT CIPBITMM per PV 1000001228596 ACCREDITO BANCOMAT 231025 RIF 9638</t>
  </si>
  <si>
    <t>BONIFICO SEPADa Scalapay IP S.p.a. TRN 3601825102404511816048743654659-008 CBPSIT31XXX per 2025-10-23 - GEOS S SDRL - Scalapay IP S.p</t>
  </si>
  <si>
    <t>BONIFICO SEPADa NEXI Payments Spa TRN 060725807125NPPASU0000000000IT CIPBITMM per PV 1000001228596 ACCREDITO CIRCUITI INTERNAZ. 23102</t>
  </si>
  <si>
    <t>BONIF. VS. FAVORE - BON.DA FIORENZA MARIA PIA CIANI - COMOLLI ANNA MARIA QUOTA ATTIVITA TIMOR STEFFENS EURO 43</t>
  </si>
  <si>
    <t>BONIF. VS. FAVORE - BON.DA NEXI Payments Spa - PV 1000001228627 ACCREDITO BANCOMAT 231025 RIF 963816081799</t>
  </si>
  <si>
    <t>BONIF. VS. FAVORE - BON.DA NEXI Payments Spa - PV 1000001228627 ACCREDITO CIRCUITI INTERNAZ. 231025 RIF 963816077799</t>
  </si>
  <si>
    <t>BONIF. VS. FAVORE - BON.DA STRULOVITZ SAMIRA TOCCI ALESSANDRO - EDITH TOCCI</t>
  </si>
  <si>
    <t>BONIF. VS. FAVORE - BON.DA CODENOTTI MARCO - Maddalena Codenotti Quota attivita</t>
  </si>
  <si>
    <t>Amazon.it*V728E8555\5 Rue Plaetis\LUXEMBOURG\L2338     LUXLUX</t>
  </si>
  <si>
    <t>BONIFICO SEPA ISTANTANEOTRN UNCRITMMXXX 1191252983458111 DA NEW WAVE S.R.L. PER Saldo Vs.fatture n.320-332-335/2025.</t>
  </si>
  <si>
    <t>BONIF. VS. FAVORE - BON.DA PASINI PAOLO, BARRAK NADIA - BARRAK NADIA Quota attivita euro 35</t>
  </si>
  <si>
    <t xml:space="preserve"> € 20,00 attività contanti</t>
  </si>
  <si>
    <t>BONIFICO SEPA ISTANTANEOTRN POSOIT22XXX IP25102608562547480160220138IT DA KINETICVIBE SRL PER affitto studio del 26/10</t>
  </si>
  <si>
    <t>BONIFICODa Satispay Europe S.A. TRN e3ff2aa007de4df59141ed515ba57e4b SATYLUL1XXX per Geos ssdr</t>
  </si>
  <si>
    <t>DOMICILIAZIONE (ADDEBITO DIRETTO SEPA)VODAFONE (CCBS)      CID.IT200010000093026890017             MAN.09305930969</t>
  </si>
  <si>
    <t>Da NEXI Payments Spa TRN 060931544115NPPASU0000000000IT CIPBITMM per PV 1000001228637 ACCREDITO CIRCUITI INTERNAZ. 25102</t>
  </si>
  <si>
    <t>Da NEXI Payments Spa TRN 060930333095NPPASU0000000000IT CIPBITMM per PV 1000001228596 ACCREDITO BANCOMAT 251025 RIF 9671</t>
  </si>
  <si>
    <t>Da NEXI Payments Spa TRN 061012507105NPPASU0000000000IT CIPBITMM per PV 1000001228596 ACCREDITO CIRCUITI INTERNAZ. 26102</t>
  </si>
  <si>
    <t>Da NEXI Payments Spa TRN 060930325015NPPASU0000000000IT CIPBITMM per PV 1000001228596 ACCREDITO CIRCUITI INTERNAZ. 25102</t>
  </si>
  <si>
    <t>Da NEXI Payments Spa TRN 061012515055NPPASU0000000000IT CIPBITMM per PV 1000001228596 ACCREDITO BANCOMAT 261025 RIF 9681</t>
  </si>
  <si>
    <t>Da Scalapay IP S.p.a. TRN 3601825102704501997106631603773-008 CBPSIT31XXX per 2025-10-26 - GEOS S SDRL - Scalapay IP S.p</t>
  </si>
  <si>
    <t>Da NEXI Payments Spa TRN 060835327075NPPASU0000000000IT CIPBITMM per PV 1000001228596 ACCREDITO CIRCUITI INTERNAZ. 24102</t>
  </si>
  <si>
    <t>Da NEXI Payments Spa TRN 061012450055NPPASU0000000000IT CIPBITMM per PV 1000001228637 ACCREDITO CIRCUITI INTERNAZ. 26102</t>
  </si>
  <si>
    <t>Da NEXI Payments Spa TRN 060836218015NPPASU0000000000IT CIPBITMM per PV 1000001228637 ACCREDITO CIRCUITI INTERNAZ. 24102</t>
  </si>
  <si>
    <t>BONIF. VS. FAVORE - BON.DA NEXI Payments Spa - PV 1000001228627 ACCREDITO BANCOMAT 251025 RIF 967115103599</t>
  </si>
  <si>
    <t>BONIF. VS. FAVORE - BON.DA NEXI Payments Spa - PV 1000001228627 ACCREDITO CIRCUITI INTERNAZ. 251025 RIF 967115099699</t>
  </si>
  <si>
    <t xml:space="preserve"> € 25,00 tess contanti</t>
  </si>
  <si>
    <t>FACEBK *MU9FP79TD2\Merrion Road\DUBLIN\D04 X2K5  IRLIRL</t>
  </si>
  <si>
    <t>WWW.FEDERDANZA.IT\VIALE DELLO STADIO OLIMP\ROMA\00135     RM ITA</t>
  </si>
  <si>
    <t xml:space="preserve">Versamneto contanti </t>
  </si>
  <si>
    <t xml:space="preserve">Distinta: 17616403449461F2CDEF Genca Augusto </t>
  </si>
  <si>
    <t>Distinta: 17616413573981F9EDEF Noord Uffici SAS 256,20 Noord Uffici SAS 439,20</t>
  </si>
  <si>
    <t>Da NEXI Payments Spa TRN 061086268095NPPASU0000000000IT CIPBITMM per PV 1000001228637 ACCREDITO CIRCUITI INTERNAZ. 27102</t>
  </si>
  <si>
    <t>Da NEXI Payments Spa TRN 061081598065NPPASU0000000000IT CIPBITMM per PV 1000001228596 ACCREDITO CIRCUITI INTERNAZ. 27102</t>
  </si>
  <si>
    <t>Da NEXI Payments Spa TRN 061081607025NPPASU0000000000IT CIPBITMM per PV 1000001228596 ACCREDITO BANCOMAT 271025 RIF 9695</t>
  </si>
  <si>
    <t>Da Scalapay IP S.p.a. TRN 3601825102804493319712760246676-008 CBPSIT31XXX per 2025-10-27 - GEOS S SDRL - Scalapay IP S.p</t>
  </si>
  <si>
    <t>U.P.38530 MILANO 82            POSTAMAT N 76018970575871050                 CARTA 75871050</t>
  </si>
  <si>
    <t>BONIF. VS. FAVORE - BON.DA FRANCO BURGOS BLANCA - Blanca Franco BurgosQuota attivita 232 euro</t>
  </si>
  <si>
    <t>BONIF. VS. FAVORE - BON.DA JESURUM RACHELE - Anna fezzi - quota aerea 131 euro</t>
  </si>
  <si>
    <t>BONIF. VS. FAVORE - BON.DA NEXI Payments Spa - PV 1000001228627 ACCREDITO BANCOMAT 271025 RIF 969535412899</t>
  </si>
  <si>
    <t>BONIF. VS. FAVORE - BON.DA NEXI Payments Spa - PV 1000001228627 ACCREDITO CIRCUITI INTERNAZ. 271025 RIF 969535408999</t>
  </si>
  <si>
    <t xml:space="preserve"> € 816,00 attività +	 € 100,00 tess contanti</t>
  </si>
  <si>
    <t>AMZN Mktp IT*UM72W37L5\5 rue plaetis\LUXEMBOURG\L2338     LUXLUX</t>
  </si>
  <si>
    <t>Da ENCANTO CLUB LATINO ASS NE SPOR VA TRN 0306906130660509S90960609606IT BCITITMMXXX per Pagamento FT 405 del 27/10/25</t>
  </si>
  <si>
    <t>BONIFICO SEPADa NEXI Payments Spa TRN 061171015095NPPASU0000000000IT CIPBITMM per PV 1000001228637 ACCREDITO CIRCUITI INTERNAZ. 28102</t>
  </si>
  <si>
    <t>BONIFICO SEPADa NEXI Payments Spa TRN 061170580035NPPASU0000000000IT CIPBITMM per PV 1000001228596 ACCREDITO BANCOMAT 281025 RIF 9709</t>
  </si>
  <si>
    <t>BONIFICO SEPADa NEXI Payments Spa TRN 061170568045NPPASU0000000000IT CIPBITMM per PV 1000001228596 ACCREDITO CIRCUITI INTERNAZ. 28102</t>
  </si>
  <si>
    <t>BONIFICO SEPADa Scalapay IP S.p.a. TRN 3601825102904494116405236044963-008 CBPSIT31XXX per 2025-10-28 - GEOS S SDRL - Scalapay IP S.p</t>
  </si>
  <si>
    <t>FACEBK *GNNN955TD2\Merrion Road\DUBLIN\D04 X2K5  IRLIRL</t>
  </si>
  <si>
    <t xml:space="preserve">BONIFICO SEPADistinta: 176181482991216C5DEF Nembri Massimiliano </t>
  </si>
  <si>
    <t>BONIFICO SEPADa NEXI Payments Spa TRN 061287055115NPPASU0000000000IT CIPBITMM per PV 1000001228596 ACCREDITO BANCOMAT 291025 RIF 9724</t>
  </si>
  <si>
    <t>BONIFICO SEPADa NEXI Payments Spa TRN 061287043125NPPASU0000000000IT CIPBITMM per PV 1000001228596 ACCREDITO CIRCUITI INTERNAZ. 29102</t>
  </si>
  <si>
    <t>BONIFICO SEPADa NEXI Payments Spa TRN 061286927005NPPASU0000000000IT CIPBITMM per PV 1000001228637 ACCREDITO CIRCUITI INTERNAZ. 29102</t>
  </si>
  <si>
    <t>BONIFICO SEPA ISTANTANEOTRN UNCRITMMXXX 1191253036437103 DA ARTECORPO APS PER Vs fattura 404 del 27.10.25 per affitto locali</t>
  </si>
  <si>
    <t>BONIFICO SEPA ISTANTANEOTRN BCITITM3XXX 0323925590031912481600199999IT DA BRUGANELLI SONIA  MADONIA ANGELO PER Affitto studio del 29 ottobre 202</t>
  </si>
  <si>
    <t>BONIFICO SEPADa FONDAZIONE ROBERTO BOLLE E T S TRN 0323906182464209S90160001600IT BCITITM3XXX per Fatt. N.316 del 15-09-2025</t>
  </si>
  <si>
    <t xml:space="preserve">PAGAMENTO POSTRIPLES SRL            28/10/2025 11.19 MILANO        Op.685976 carta ****0501 ( acconto X riparazione Boiler ) </t>
  </si>
  <si>
    <t xml:space="preserve">PAGAMENTO POSODSTORE PIAZZA DUOMO   28/10/2025 14.52 MILANO        Op.682639 carta ****0501 ( caramelle Halloween ) </t>
  </si>
  <si>
    <t>BONIF. VS. FAVORE - BON.DA NEXI Payments Spa - PV 1000001228627 ACCREDITO BANCOMAT 291025 RIF 972473011499</t>
  </si>
  <si>
    <t>BONIF. VS. FAVORE - BON.DA NEXI Payments Spa - PV 1000001228627 ACCREDITO CIRCUITI INTERNAZ. 291025 RIF 972473007499</t>
  </si>
  <si>
    <t xml:space="preserve"> € 464,00 attività +	 € 50,00 tess contanti</t>
  </si>
  <si>
    <t>ADDEBITO DIRETTO SDD - SDD B2B : 4701032143001 ADIDAS ITALY SPA</t>
  </si>
  <si>
    <t xml:space="preserve">Isabel Seabra fatt n 516 del 31ott2024 ( mese di Ottobre ) </t>
  </si>
  <si>
    <t>BONIFICO SEPADa NEXI Payments Spa TRN 061386355045NPPASU0000000000IT CIPBITMM per PV 1000001228596 ACCREDITO CIRCUITI INTERNAZ. 30102</t>
  </si>
  <si>
    <t>BONIFICO SEPADa Scalapay IP S.p.a. TRN 3601825103104505752403956458237-008 CBPSIT31XXX per 2025-10-30 - GEOS S SDRL - Scalapay IP S.p</t>
  </si>
  <si>
    <t>BONIFICO SEPADa NEXI Payments Spa TRN 061386366025NPPASU0000000000IT CIPBITMM per PV 1000001228596 ACCREDITO BANCOMAT 301025 RIF 9739</t>
  </si>
  <si>
    <t>BONIFICO SEPADa NEXI Payments Spa TRN 061387172025NPPASU0000000000IT CIPBITMM per PV 1000001228637 ACCREDITO CIRCUITI INTERNAZ. 30102</t>
  </si>
  <si>
    <t>BONIF. VS. FAVORE - BON.DA NEXI Payments Spa - PV 1000001228627 ACCREDITO BANCOMAT 301025 RIF 973949371299</t>
  </si>
  <si>
    <t>BONIF. VS. FAVORE - BON.DA NEXI Payments Spa - PV 1000001228627 ACCREDITO CIRCUITI INTERNAZ. 301025 RIF 973949367499</t>
  </si>
  <si>
    <t>BONIF. VS. FAVORE - BON.DA CADEO FEDERICA - Lemos Michelle quota attivita commercial dance</t>
  </si>
  <si>
    <t xml:space="preserve"> € 35,00 attività +	 € 25,00 tess contanti</t>
  </si>
  <si>
    <t>BONIF. VS. FAVORE - BON.DA TUCCIMEI FILIPPO E GONZALEZ STELLA MA - Tuccimei Mia e Tea quota attivita</t>
  </si>
  <si>
    <t>BONIFICO SEPADistinta: 17621634791771NIRDEF SYCURCOM di Claudio Bazzoni 366,00 SYCURCOM di Claudio Bazzoni 4.546,94</t>
  </si>
  <si>
    <t>BONIFICO SEPADistinta: 17621655620921OCCDEF ALMEIDA DOS SANTOS RONALD 450,00 SPAGNOLO SILVIA 400,00 DI GENNARO ANTONELLA 100,00 VASSALLO MARGHERITA 475,00 CENZON ALICE  70,00 Anna Benedetti 760,00 ARAUJO CRUZ CARLOS WAGNER 4.785,00 BELLAY DAVID LAURENT 2.200,00 DI CARLO ERICA 960,00 GALLUZZO AMBRA 120,00 GRANDE SILVIA 1.675,00 PIGAZZI CRISTIANA 140,00 PUGGIONI SAMUEL 940,00</t>
  </si>
  <si>
    <t>BONIFICO SEPADa NEXI Payments Spa TRN 061508008035NPPASU0000000000IT CIPBITMM per PV 1000001228596 ACCREDITO BANCOMAT 311025 RIF 9763</t>
  </si>
  <si>
    <t>BONIFICO SEPADa NEXI Payments Spa TRN 061508001095NPPASU0000000000IT CIPBITMM per PV 1000001228596 ACCREDITO CIRCUITI INTERNAZ. 31102</t>
  </si>
  <si>
    <t>BONIFICO SEPADa NEXI Payments Spa TRN 061643278085NPPASU0000000000IT CIPBITMM per PV 1000001228637 ACCREDITO CIRCUITI INTERNAZ. 02112</t>
  </si>
  <si>
    <t>BONIFICO SEPADa NEXI Payments Spa TRN 061593968075NPPASU0000000000IT CIPBITMM per PV 1000001228637 ACCREDITO CIRCUITI INTERNAZ. 01112</t>
  </si>
  <si>
    <t>Da NEXI Payments Spa TRN 061507225005NPPASU0000000000IT CIPBITMM per PV 1000001228637 ACCREDITO CIRCUITI INTERNAZ. 31102</t>
  </si>
  <si>
    <t>BONIF. VS. FAVORE - BON.DA NEXI Payments Spa - PV 1000001228627 ACCREDITO CIRCUITI INTERNAZ. 311025 RIF 976388477099</t>
  </si>
  <si>
    <t>RIMBORSO FINANZ. - MUTUO N.4080 4779232 RATA 03/11/2025</t>
  </si>
  <si>
    <t>FACEBK *MMZJH4RSD2\Merrion Road\DUBLIN\D04 X2K5  IRLIRL</t>
  </si>
  <si>
    <t xml:space="preserve"> € 330,00 attività +	 € 25,00 tess contanti</t>
  </si>
  <si>
    <t xml:space="preserve">BONIFICO SEPADistinta: 17622427746402ME9DEF Valentina Barbieri	</t>
  </si>
  <si>
    <t>BONIFICO SEPADistinta: 17622455683932N1MDEF MUZIO LUCIANA 150,00 ROY ILAGOU 320,00 RUSSO RAFFAELLA 195,00 SANTORO ELEONORA 100,00 TAZZI LEONARDO 125,00 TIUTINA VICTORIIA 200,00 PACILLO CECILIA 200,00 PALAZZOTTO GIUSY 400,00 PELLEGRINO FILOMENA 400,00 PILLITTERI MARTINA 180,00 POZZOLI DENNIS 25,00 RANDAZZO GIUSEPPINA 200,00 ROBERTI IRENE 200,00 ROSSI CLAUDIO 200,00</t>
  </si>
  <si>
    <t>BONIFICO SEPADistinta: 17622436432981V9MDEF CAMPOBELLO MARTINA 580,00 BARTOLINI ELISA 250,00 AVILA LOZANO JORGE ALBERTO 435,00 ASSABI DAISY 240,00 ARUTA FRANCESCO PAOLO 450,00 BORDONI MARGHERITA 250,00 CAPELLI CONSUELO 200,00 BONU PIETRO 340,00 BONCRISTIANO ALESSANDRO LORIS 670,00 BONACINA GRETA 160,00 BISOFFI ELISA 220,00 BERNICCHIA ASIA 150,00 BATTISTELLA STEFANO 200,00</t>
  </si>
  <si>
    <t>BONIFICO SEPADistinta: 17622447769312N0VDEF MAGARRO ALDRIN 375,00 CONTI ANNACHIARA 400,00 CIANI GAIA 175,00 MELE ROBERTO 840,00 LUISETTO FABIO 570,00 LOMBARDI FLAVIO 220,00 GEDDO ERIKA 425,00 FRANZINI TIBALDEO ANNA PAOLA ANTONIA LUISA CARLA 400,00 FELLER CARLO 150,00 DE PONTES CAROLINA 200,00 D'ARIENZO GIULIA 400,00 CUGGE NICHOLAS 450,00</t>
  </si>
  <si>
    <t>BONIFICO SEPADistinta: 17622426231532MD6DEF Creativity in Motion ( Timor )</t>
  </si>
  <si>
    <t>BONIFICO SEPADa NEXI Payments Spa TRN 061713258095NPPASU0000000000IT CIPBITMM per PV 1000001228637 ACCREDITO CIRCUITI INTERNAZ. 03112</t>
  </si>
  <si>
    <t>BONIFICO SEPADa NEXI Payments Spa TRN 061712513055NPPASU0000000000IT CIPBITMM per PV 1000001228596 ACCREDITO CIRCUITI INTERNAZ. 03112</t>
  </si>
  <si>
    <t>BONIFICO SEPADa Scalapay IP S.p.a. TRN 3601825110404495987676449887117-008 CBPSIT31XXX per 2025-11-03 - GEOS S SDRL - Scalapay IP S.p</t>
  </si>
  <si>
    <t>PAGAMENTO POSTRIPLES SRL            31/10/2025 11.02 MILANO        Op.687406 carta ****0501</t>
  </si>
  <si>
    <t>BONIF. VS. FAVORE - BON.DA LUPOLI FRANCESCO - Francesco Lupoli quota attivit Total Body E155</t>
  </si>
  <si>
    <t>BONIF. VS. FAVORE - BON.DA NEXI Payments Spa - PV 1000001228627 ACCREDITO BANCOMAT 031125 RIF 980045795099</t>
  </si>
  <si>
    <t>BONIF. VS. FAVORE - BON.DA NEXI Payments Spa - PV 1000001228627 ACCREDITO CIRCUITI INTERNAZ. 031125 RIF 980045792199</t>
  </si>
  <si>
    <t xml:space="preserve"> € 42,50 attività contanti</t>
  </si>
  <si>
    <t>TENUTA CONTOADDEBITO RELATIVO AL PERIODO DI OTTOBRE   2025</t>
  </si>
  <si>
    <t>CANONE SERVIZIO COLLEGAMENTO TELEMATICOADDEBITO CANONE DEL SERVIZIO BANCOPOSTAIMPRESA ONLINE RELATIVO AL PERIODO OTTOBRE 2025 CONTRATTO N. 0059926216</t>
  </si>
  <si>
    <t>BONIFICO SEPADistinta: 176233292516029S2DEF RUSSO RAFFAELLA</t>
  </si>
  <si>
    <t>BONIFICO SEPADistinta: 176234896622135CFDEF MARINO ALESSANDRA 818,00 AMBROSIO GAETANO 2.000,00 MAZZAROLO ELISA 862,00 MIRAM MARTHE ROSE CELINE 805,00 PICCIRILLO ANDREA 1.569,00 SARACCHI STEFANO 291,00 TODISCO GIADA 1.009,00 ARRIVABENE ELISA 2.000,00 SETTI GIULIA 1.715,00 STANISCI ANGELA 884,00</t>
  </si>
  <si>
    <t xml:space="preserve">BONIFICO SEPADistinta: 17623474086242F0JDEF AMBROSIO GAETANO 2.000,00 VILLALTA QUINTANILLA ZOILA GUADALUPE 1.300,00 JHASSIER BLANCO DE LA ROSA 1.300,00 VOLPE GIULIA 950,00 ARRIVABENE ELISA  2.000,00 BONILLA ZAVALA KEVIN ALEXANDER 1.550,00 FUMAGALLI GIUDITTA 1.850,00 JANNELLI SARA 1.680,00 MALDONADO XIOMARA ALEXANDRA 1.950,00 MOUSTAFA ISRA HANI MOHAMED 1.700,00 MANTICE SANTO 2.500,00 SEGURA PINEDA SANDRA ESTEFANY 1.800,00 VILLON BAJANA JOEL ERNESTO 1.550,00        </t>
  </si>
  <si>
    <t>BONIFICO SEPADistinta: 176234791862235AHDEF MARICI GRAZIANA 690,00 ANTONUCCI KATIA 682,00 MALIN ILARIA 431,00 KUQI DORIAN 940,00 GARIANO GIULIO 694,00 FURIA FEDERICA 611,00 DUTTA AMBER AURORA LUISA 767,00 CEGLIE CINZIA 1.188,00 CARIZZONI SIMONE 496,00 BORRI CLAUDIA 482,00</t>
  </si>
  <si>
    <t>BONIFICO SEPADa NEXI Payments Spa TRN 061804073065NPPASU0000000000IT CIPBITMM per PV 1000001228637 ACCREDITO CIRCUITI INTERNAZ. 04112</t>
  </si>
  <si>
    <t>BONIFICO SEPADa NEXI Payments Spa TRN 061799499085NPPASU0000000000IT CIPBITMM per PV 1000001228596 ACCREDITO BANCOMAT 041125 RIF 9814</t>
  </si>
  <si>
    <t>BONIFICO SEPADa NEXI Payments Spa TRN 061799490125NPPASU0000000000IT CIPBITMM per PV 1000001228596 ACCREDITO CIRCUITI INTERNAZ. 04112</t>
  </si>
  <si>
    <t>BONIF. VS. FAVORE - BON.DA DELL'ACQUA CHIARA - Parenti Indira - quota arrivita cerchio e tessuto 395 euro</t>
  </si>
  <si>
    <t>BONIF. VS. FAVORE - BON.DA NEXI Payments Spa - PV 1000001228627 ACCREDITO CIRCUITI INTERNAZ. 041125 RIF 981494695399</t>
  </si>
  <si>
    <t>BONIF. VS. FAVORE - BON.DA NEXI Payments Spa - PV 1000001228627 ACCREDITO BANCOMAT 041125 RIF 981494698799</t>
  </si>
  <si>
    <t xml:space="preserve"> € 307,00 attività +	 € 25,00 tess contanti</t>
  </si>
  <si>
    <t>BONIFICO SEPADa Scalapay IP S.p.a. TRN 3601825110604500125439114074783-008 CBPSIT31XXX per 2025-11-05 - GEOS S SDRL - Scalapay IP S.p</t>
  </si>
  <si>
    <t>BONIFICO SEPADa NEXI Payments Spa TRN 061915176115NPPASU0000000000IT CIPBITMM per PV 1000001228596 ACCREDITO CIRCUITI INTERNAZ. 05112</t>
  </si>
  <si>
    <t>BONIFICO SEPADa NEXI Payments Spa TRN 061915186085NPPASU0000000000IT CIPBITMM per PV 1000001228596 ACCREDITO BANCOMAT 051125 RIF 9829</t>
  </si>
  <si>
    <t>BONIFICO SEPADa NEXI Payments Spa TRN 061916361005NPPASU0000000000IT CIPBITMM per PV 1000001228637 ACCREDITO CIRCUITI INTERNAZ. 05112</t>
  </si>
  <si>
    <t>BONIFICODa Satispay Europe S.A. TRN f74b6b04bc55497dbba5a00eb67b6b3b SATYLUL1XXX per Geos ssdr</t>
  </si>
  <si>
    <t>BONIF. VS. FAVORE - BON.DA MENCARINI LETIZIA AASSVE ARNSTEIN - LIA AASSVE Quota attivita total body</t>
  </si>
  <si>
    <t>BONIF. VS. FAVORE - BON.DA NEXI Payments Spa - PV 1000001228627 ACCREDITO CIRCUITI INTERNAZ. 051125 RIF 982939251199</t>
  </si>
  <si>
    <t>BONIF. VS. FAVORE - BON.DA NEXI Payments Spa - PV 1000001228627 ACCREDITO BANCOMAT 051125 RIF 982939255199</t>
  </si>
  <si>
    <t>FACEBK *Z5LQM5ZSD2\Merrion Road\DUBLIN\D04 X2K5  IRLIRL</t>
  </si>
  <si>
    <t>BONIFICO SEPADa Scalapay IP S.p.a. TRN 3601825110704524529368812978431-008 CBPSIT31XXX per 2025-11-06 - GEOS S SDRL - Scalapay IP S.p</t>
  </si>
  <si>
    <t>BONIFICO SEPADa ENCANTO CLUB LATINO ASS NE SPOR VA TRN 0306906469117503S90960609606IT BCITITMMXXX per Pagamento FT 554 del 05/11/25</t>
  </si>
  <si>
    <t>BONIFICO SEPADa NEXI Payments Spa TRN 062028217045NPPASU0000000000IT CIPBITMM per PV 1000001228596 ACCREDITO CIRCUITI INTERNAZ. 06112</t>
  </si>
  <si>
    <t>BONIFICO SEPADa NEXI Payments Spa TRN 062023899025NPPASU0000000000IT CIPBITMM per PV 1000001228637 ACCREDITO CIRCUITI INTERNAZ. 06112</t>
  </si>
  <si>
    <t>BONIFICO SEPADa NEXI Payments Spa TRN 062028230045NPPASU0000000000IT CIPBITMM per PV 1000001228596 ACCREDITO BANCOMAT 061125 RIF 9844</t>
  </si>
  <si>
    <t>BONIF. VS. FAVORE - BON.DA NEXI Payments Spa - PV 1000001228627 ACCREDITO CIRCUITI INTERNAZ. 061125 RIF 984406757599</t>
  </si>
  <si>
    <t>BONIF. VS. FAVORE - BON.DA NEXI Payments Spa - PV 1000001228627 ACCREDITO BANCOMAT 061125 RIF 984406760699</t>
  </si>
  <si>
    <t xml:space="preserve"> € 220,00 attività contanti</t>
  </si>
  <si>
    <t>BONIFICODa Satispay Europe S.A. TRN 0d03697bd9a240fbb26f67e36c5ae98d SATYLUL1XXX per Geos ssdr</t>
  </si>
  <si>
    <t xml:space="preserve"> € 65,00 attività +	 € 25,00 tess contanti</t>
  </si>
  <si>
    <t>Ferramenta copie chiavi (scontino)</t>
  </si>
  <si>
    <t xml:space="preserve">BONIFICO SEPADistinta: 176276535964101D9 DEF SEF ITALIA SSD A RL ( Libertas )         </t>
  </si>
  <si>
    <t>BONIFICO SEPADa NEXI Payments Spa TRN 062136490005NPPASU0000000000IT CIPBITMM per PV 1000001228637 ACCREDITO CIRCUITI INTERNAZ. 07112</t>
  </si>
  <si>
    <t>BONIFICO SEPADa NEXI Payments Spa TRN 062300651105NPPASU0000000000IT CIPBITMM per PV 1000001228596 ACCREDITO BANCOMAT 091125 RIF 9886</t>
  </si>
  <si>
    <t>BONIFICO SEPADa NEXI Payments Spa TRN 062300613115NPPASU0000000000IT CIPBITMM per PV 1000001228637 ACCREDITO CIRCUITI INTERNAZ. 09112</t>
  </si>
  <si>
    <t>BONIFICO SEPADa NEXI Payments Spa TRN 062138591085NPPASU0000000000IT CIPBITMM per PV 1000001228596 ACCREDITO CIRCUITI INTERNAZ. 07112</t>
  </si>
  <si>
    <t>BONIFICO SEPADa NEXI Payments Spa TRN 062230935005NPPASU0000000000IT CIPBITMM per PV 1000001228637 ACCREDITO CIRCUITI INTERNAZ. 08112</t>
  </si>
  <si>
    <t>BONIFICO SEPADa NEXI Payments Spa TRN 062230042045NPPASU0000000000IT CIPBITMM per PV 1000001228596 ACCREDITO CIRCUITI INTERNAZ. 08112</t>
  </si>
  <si>
    <t>BONIFICO SEPADa Scalapay IP S.p.a. TRN 3601825111004505070273909724436-008 CBPSIT31XXX per 2025-11-09 - GEOS S SDRL - Scalapay IP S.p</t>
  </si>
  <si>
    <t>BONIFICO SEPADa NEXI Payments Spa TRN 062230052015NPPASU0000000000IT CIPBITMM per PV 1000001228596 ACCREDITO BANCOMAT 081125 RIF 9876</t>
  </si>
  <si>
    <t>BONIF. VS. FAVORE - BON.DA NEXI Payments Spa - PV 1000001228627 ACCREDITO BANCOMAT 081125 RIF 987616917699</t>
  </si>
  <si>
    <t>BONIF. VS. FAVORE - BON.DA NEXI Payments Spa - PV 1000001228627 ACCREDITO CIRCUITI INTERNAZ. 081125 RIF 987616913899</t>
  </si>
  <si>
    <t>BONIF. VS. FAVORE - BON.DA NEXI Payments Spa - PV 1000001228627 ACCREDITO BANCOMAT 071125 RIF 985967914899</t>
  </si>
  <si>
    <t>BONIF. VS. FAVORE - BON.DA NEXI Payments Spa - PV 1000001228627 ACCREDITO CIRCUITI INTERNAZ. 071125 RIF 985967910299</t>
  </si>
  <si>
    <t xml:space="preserve"> € 25,00 attività contanti</t>
  </si>
  <si>
    <t>BONIFICO SEPADistinta: 176278372900206JMDEF Perin Galamini e Gianesin Srl Tfr Ambrosio 171,18 Perin Galamini e Gianesin Srl Tfr Arrivabene 143,84 Perin Galamini e Gianesin Srl Tfr Fumagalli 140,11 Perin Galamini e Gianesin Srl Tfr Jannelli 102,67</t>
  </si>
  <si>
    <t>BONIFICO SEPADistinta: 176278293881306FLDEF Generali Italia SPA Tfr  Maldonado , Villon 196,77 HDI Assicurazioni S.P.A Tfr Segura 103,89</t>
  </si>
  <si>
    <t>BONIFICO SEPADa NEXI Payments Spa TRN 062371188095NPPASU0000000000IT CIPBITMM per PV 1000001228637 ACCREDITO CIRCUITI INTERNAZ. 10112</t>
  </si>
  <si>
    <t>BONIFICO SEPADa NEXI Payments Spa TRN 062370284025NPPASU0000000000IT CIPBITMM per PV 1000001228596 ACCREDITO BANCOMAT 101125 RIF 9899</t>
  </si>
  <si>
    <t>BONIFICO SEPADa NEXI Payments Spa TRN 062370277085NPPASU0000000000IT CIPBITMM per PV 1000001228596 ACCREDITO CIRCUITI INTERNAZ. 10112</t>
  </si>
  <si>
    <t>BONIFICO SEPADa Scalapay IP S.p.a. TRN 3601825111104500808085208774254-008 CBPSIT31XXX per 2025-11-10 - GEOS S SDRL - Scalapay IP S.p</t>
  </si>
  <si>
    <t>BONIFICODa Satispay Europe S.A. TRN 2fe24ab331504f52ac64befbe6b863f6 SATYLUL1XXX per Geos ssdr</t>
  </si>
  <si>
    <t>BONIF. VS. FAVORE - BON.DA NEXI Payments Spa - PV 1000001228627 ACCREDITO BANCOMAT 101125 RIF 989932406299</t>
  </si>
  <si>
    <t>BONIF. VS. FAVORE - BON.DA NEXI Payments Spa - PV 1000001228627 ACCREDITO CIRCUITI INTERNAZ. 101125 RIF 989932402699</t>
  </si>
  <si>
    <t>BONIF. VS. FAVORE - BON.DA LOMARTIRE GIAMBATTISTA - Raffaele Lomartire</t>
  </si>
  <si>
    <t>BONIFICODa Satispay Europe S.A. TRN e20da1be9aa64bd8976abb9c31126975 SATYLUL1XXX per Geos ssdr</t>
  </si>
  <si>
    <t>BONIFICO SEPADa Scalapay IP S.p.a. TRN 3601825111204500724955525803823-008 CBPSIT31XXX per 2025-11-11 - GEOS S SDRL - Scalapay IP S.p</t>
  </si>
  <si>
    <t>BONIF. VS. FAVORE - BON.DA POMINI MATTEO POMINI COSTANZA quota at tivit mono settimanale gioved .</t>
  </si>
  <si>
    <t>BONIFICO SEPADistinta: 17629348652150JKJDEF ARIETE DUE DI CAJAHUARINGA JASMIN 3.102,00 ARIETE DUE DI CAJAHUARINGA JASMIN 1.415,34 Palamara Donato 242,00</t>
  </si>
  <si>
    <t>BONIFICO SEPADa NEXI Payments Spa TRN 062490383075NPPASU0000000000IT CIPBITMM per PV 1000001228637 ACCREDITO CIRCUITI INTERNAZ. 11112</t>
  </si>
  <si>
    <t>BONIFICO SEPADa NEXI Payments Spa TRN 062490769035NPPASU0000000000IT CIPBITMM per PV 1000001228596 ACCREDITO CIRCUITI INTERNAZ. 11112</t>
  </si>
  <si>
    <t>BONIFICO SEPADa NEXI Payments Spa TRN 062490780015NPPASU0000000000IT CIPBITMM per PV 1000001228596 ACCREDITO BANCOMAT 111125 RIF 9913</t>
  </si>
  <si>
    <t>BONIF. VS. FAVORE - BON.DA NEXI Payments Spa - PV 1000001228627 ACCREDITO BANCOMAT 111125 RIF 991358594799</t>
  </si>
  <si>
    <t>BONIF. VS. FAVORE - BON.DA NEXI Payments Spa - PV 1000001228627 ACCREDITO CIRCUITI INTERNAZ. 111125 RIF 991358590899</t>
  </si>
  <si>
    <t xml:space="preserve"> € 480,00 attività +	 € 25,00 tess contanti</t>
  </si>
  <si>
    <t>BONIFICO SEPADa NEXI Payments Spa TRN 062593355065NPPASU0000000000IT CIPBITMM per PV 1000001228637 ACCREDITO CIRCUITI INTERNAZ. 12112</t>
  </si>
  <si>
    <t>BONIFICO SEPADa NEXI Payments Spa TRN 062593461085NPPASU0000000000IT CIPBITMM per PV 1000001228596 ACCREDITO CIRCUITI INTERNAZ. 12112</t>
  </si>
  <si>
    <t>BONIFICO SEPADa Scalapay IP S.p.a. TRN 3601825111304495320429432063959-008 CBPSIT31XXX per 2025-11-12 - GEOS S SDRL - Scalapay IP S.p</t>
  </si>
  <si>
    <t>BONIFICO SEPADa NEW WAVE S.R.L. TRN 1101253160196489 UNCRITMM per SALDO FATT. 363-403-433/2025</t>
  </si>
  <si>
    <t>BONIFICO SEPADa ENCANTO CLUB LATINO ASS NE SPOR VA TRN 0306906644455710S90960609606IT BCITITMMXXX per FT 627 11/11 + Saldo FT 405</t>
  </si>
  <si>
    <t>BONIF. VS. FAVORE - BON.DA NEXI Payments Spa - PV 1000001228627 ACCREDITO CIRCUITI INTERNAZ. 121125 RIF 992795773199</t>
  </si>
  <si>
    <t>BONIF. VS. FAVORE - BON.DA NEXI Payments Spa - PV 1000001228627 ACCREDITO BANCOMAT 121125 RIF 992795777899</t>
  </si>
  <si>
    <t xml:space="preserve"> € 430,00 attività contanti</t>
  </si>
  <si>
    <t>FACEBK *UH4QX6MSD2\Merrion Road\DUBLIN\D04 X2K5  IRLIRL</t>
  </si>
  <si>
    <t>BONIFICO SEPADa Scalapay IP S.p.a. TRN 3601825111404515350138833990821-008 CBPSIT31XXX per 2025-11-13 - GEOS S SDRL - Scalapay IP S.p</t>
  </si>
  <si>
    <t>BONIFICODa Satispay Europe S.A. TRN 024e1ebe1d0c4bfabec7f6da3d0a08e2 SATYLUL1XXX per Geos ssdr</t>
  </si>
  <si>
    <t>BONIFICO SEPADistinta: 176304071039205CEDEF Bernardini Laura 418,00 Boscolo Giulia 600,00 Caprioli Claudio 971,15 Kamizele Carlos 873,60 Serra Michele 707,20 Zanchetta Marco 702,00</t>
  </si>
  <si>
    <t>BONIFICO SEPADistinta: 176304140095005FNDEF Bertoni Giacomo 145,50 Di Marzo Federica 90,00 Farioli Cristina 480,00 Futia Agostino 140,00 Maccio Lorenzo 267,00 Murgianu Giulia 641,57 Zavaglia Alessia 60,00 Nazzari Federica 610,00 Zhair Yusef 280,00</t>
  </si>
  <si>
    <t>BONIFICO SEPADistinta: 1763041756076062IDEF Rossari Simone</t>
  </si>
  <si>
    <t>BONIFICO SEPADa NEXI Payments Spa TRN 062706543035NPPASU0000000000IT CIPBITMM per PV 1000001228596 ACCREDITO BANCOMAT 131125 RIF 9942</t>
  </si>
  <si>
    <t>BONIFICO SEPADa NEXI Payments Spa TRN 062708757075NPPASU0000000000IT CIPBITMM per PV 1000001228637 ACCREDITO CIRCUITI INTERNAZ. 13112</t>
  </si>
  <si>
    <t>BONIFICO SEPADa NEXI Payments Spa TRN 062706531045NPPASU0000000000IT CIPBITMM per PV 1000001228596 ACCREDITO CIRCUITI INTERNAZ. 13112</t>
  </si>
  <si>
    <t>BONIF. VS. FAVORE - BON.DA NEXI Payments Spa - PV 1000001228627 ACCREDITO CIRCUITI INTERNAZ. 131125 RIF 994253708199</t>
  </si>
  <si>
    <t>BONIF. VS. FAVORE - BON.DA NEXI Payments Spa - PV 1000001228627 ACCREDITO BANCOMAT 131125 RIF 994253711899</t>
  </si>
  <si>
    <t xml:space="preserve"> € 307,50 attività +	 € 25,00 tess contanti</t>
  </si>
  <si>
    <t>Raccomandata sinistro Sabatini</t>
  </si>
  <si>
    <t>AMZN Mktp IT*IF4J99WF5\5 rue plaetis\LUXEMBOURG\L2338     LUXLUX</t>
  </si>
  <si>
    <t xml:space="preserve"> € 712,50 attività +	 € 25,00 tess contanti</t>
  </si>
  <si>
    <t>BONIFICO SEPADa CHECKMOOV S.R.L. TRN 0879400002514011480160003200IT CCRTIT2TLAU per Corrisp. ft 315 - dal 01 maggi...</t>
  </si>
  <si>
    <t>I24 AGENZIA ENTRATE - PAG.TO TELEMATICO - DATA INCASSO 17/11/2025 2025-11-14-22.31.36.175336032532</t>
  </si>
  <si>
    <t>I24 AGENZIA ENTRATE - PAG.TO TELEMATICO - DATA INCASSO 17/11/2025 2025-11-14-22.31.36.175336032533</t>
  </si>
  <si>
    <t>I24 AGENZIA ENTRATE - PAG.TO TELEMATICO - DATA INCASSO 17/11/2025 2025-11-14-22.31.36.175336032534</t>
  </si>
  <si>
    <t>I24 AGENZIA ENTRATE - PAG.TO TELEMATICO - DATA INCASSO 17/11/2025 2025-11-14-22.36.31.591134010544</t>
  </si>
  <si>
    <t>BONIFICO SEPADa NEXI Payments Spa TRN 062986437075NPPASU0000000000IT CIPBITMM per PV 1000001228596 ACCREDITO BANCOMAT 161125 RIF 9984</t>
  </si>
  <si>
    <t>BONIFICO SEPADa NEXI Payments Spa TRN 062904092045NPPASU0000000000IT CIPBITMM per PV 1000001228596 ACCREDITO BANCOMAT 151125 RIF 9974</t>
  </si>
  <si>
    <t>BONIFICO SEPADa NEXI Payments Spa TRN 062904744065NPPASU0000000000IT CIPBITMM per PV 1000001228637 ACCREDITO CIRCUITI INTERNAZ. 15112</t>
  </si>
  <si>
    <t>BONIFICO SEPADa NEXI Payments Spa TRN 062809202015NPPASU0000000000IT CIPBITMM per PV 1000001228596 ACCREDITO CIRCUITI INTERNAZ. 14112</t>
  </si>
  <si>
    <t>BONIFICO SEPADa NEXI Payments Spa TRN 062807318025NPPASU0000000000IT CIPBITMM per PV 1000001228637 ACCREDITO CIRCUITI INTERNAZ. 14112</t>
  </si>
  <si>
    <t>BONIFICO SEPADa NEXI Payments Spa TRN 062809217035NPPASU0000000000IT CIPBITMM per PV 1000001228596 ACCREDITO BANCOMAT 141125 RIF 9958</t>
  </si>
  <si>
    <t>BONIFICO SEPADa NEXI Payments Spa TRN 062986705025NPPASU0000000000IT CIPBITMM per PV 1000001228637 ACCREDITO CIRCUITI INTERNAZ. 16112</t>
  </si>
  <si>
    <t>BONIFICO SEPADa NEXI Payments Spa TRN 062986432025NPPASU0000000000IT CIPBITMM per PV 1000001228596 ACCREDITO CIRCUITI INTERNAZ. 16112</t>
  </si>
  <si>
    <t>BONIFICO SEPADa NEXI Payments Spa TRN 062904084095NPPASU0000000000IT CIPBITMM per PV 1000001228596 ACCREDITO CIRCUITI INTERNAZ. 15112</t>
  </si>
  <si>
    <t>BONIF. VS. FAVORE - BON.DA NEXI Payments Spa - PV 1000001228627 ACCREDITO BANCOMAT 151125 RIF 997475262699</t>
  </si>
  <si>
    <t>BONIF. VS. FAVORE - BON.DA NEXI Payments Spa - PV 1000001228627 ACCREDITO BANCOMAT 141125 RIF 995835459799</t>
  </si>
  <si>
    <t>BONIF. VS. FAVORE - BON.DA NEXI Payments Spa - PV 1000001228627 ACCREDITO CIRCUITI INTERNAZ. 141125 RIF 995835456599</t>
  </si>
  <si>
    <t xml:space="preserve"> € 110,00 attività contanti</t>
  </si>
  <si>
    <t>BONIF. VS. FAVORE - BON.DA NEXI Payments Spa - PV 1000001228627 ACCREDITO CIRCUITI INTERNAZ. 151125 RIF 997475258699</t>
  </si>
  <si>
    <t>BONIFICO SEPADistinta: 176338885268205NHDEF FREDDY SPA</t>
  </si>
  <si>
    <t>BONIFICO SEPADistinta: 176338891617305U3DEF A.S.D. Brianza Danza Festival</t>
  </si>
  <si>
    <t>BONIFICO SEPADa NEXI Payments Spa TRN 063052262005NPPASU0000000000IT CIPBITMM per PV 1000001228596 ACCREDITO BANCOMAT 171125 RIF 9997</t>
  </si>
  <si>
    <t>BONIFICO SEPADa NEXI Payments Spa TRN 063052256075NPPASU0000000000IT CIPBITMM per PV 1000001228596 ACCREDITO CIRCUITI INTERNAZ. 17112</t>
  </si>
  <si>
    <t>BONIFICO SEPADa NEXI Payments Spa TRN 063053165065NPPASU0000000000IT CIPBITMM per PV 1000001228637 ACCREDITO CIRCUITI INTERNAZ. 17112</t>
  </si>
  <si>
    <t>BONIFICO SEPADa VISIONAIR SRL TRN 0306906810203501S91211712117IT BCITITMMXXX per Fsttura 641</t>
  </si>
  <si>
    <t>BONIF. VS. FAVORE - BON.DA NEXI Payments Spa - PV 1000001228627 ACCREDITO BANCOMAT 171125 RIF 999736584899</t>
  </si>
  <si>
    <t>BONIF. VS. FAVORE - BON.DA NEXI Payments Spa - PV 1000001228627 ACCREDITO CIRCUITI INTERNAZ. 171125 RIF 999736581599</t>
  </si>
  <si>
    <t xml:space="preserve"> € 45,00 attività contanti</t>
  </si>
  <si>
    <t>BONIFICO SEPADa MODULO PROJECT S.R.L. TRN 1101253220101285 UNCRITMM per Fattura n. 587 del 06/11/2025 - Affitto studi Ottobre 2025</t>
  </si>
  <si>
    <t>BONIFICO SEPADistinta: 176353843689608G0DEF Stroscio Fabio</t>
  </si>
  <si>
    <t>BONIFICO SEPADa NEXI Payments Spa TRN 063151484065NPPASU0000000000IT CIPBITMM per PV 1000001228596 ACCREDITO CIRCUITI INTERNAZ. 18112</t>
  </si>
  <si>
    <t>BONIFICO SEPADa Scalapay IP S.p.a. TRN 3601825111904500974405929358121-008 CBPSIT31XXX per 2025-11-18 - GEOS S SDRL - Scalapay IP S.p</t>
  </si>
  <si>
    <t>BONIFICO SEPADa NEXI Payments Spa TRN 063152119045NPPASU0000000000IT CIPBITMM per PV 1000001228637 ACCREDITO CIRCUITI INTERNAZ. 18112</t>
  </si>
  <si>
    <t>BONIF. VS. FAVORE - BON.DA VIGNOZZI ROBERTO MEZZANO CRISTINA - VIGNOZI GIORGIA - QUOTA ATTIVITA</t>
  </si>
  <si>
    <t>BONIF. VS. FAVORE - BON.DA NEXI Payments Spa - PV 1000001228627 ACCREDITO BANCOMAT 181125 RIF 1001111848299</t>
  </si>
  <si>
    <t xml:space="preserve"> € 110,00 attività +	 € 25,00 tess conmtanti</t>
  </si>
  <si>
    <t>BONIFICO SEPADa NEXI Payments Spa TRN 063258213055NPPASU0000000000IT CIPBITMM per PV 1000001228596 ACCREDITO CIRCUITI INTERNAZ. 19112</t>
  </si>
  <si>
    <t>BONIFICO SEPADa NEXI Payments Spa TRN 063256901065NPPASU0000000000IT CIPBITMM per PV 1000001228637 ACCREDITO CIRCUITI INTERNAZ. 19112</t>
  </si>
  <si>
    <t>BONIFICO SEPADa NEXI Payments Spa TRN 063258231105NPPASU0000000000IT CIPBITMM per PV 1000001228596 ACCREDITO BANCOMAT 191125 RIF 1002</t>
  </si>
  <si>
    <t>BONIFICO SEPADa Scalapay IP S.p.a. TRN 3601825112004512432197390606128-008 CBPSIT31XXX per 2025-11-19 - GEOS S SDRL - Scalapay IP S.p</t>
  </si>
  <si>
    <t>BONIF. VS. FAVORE - BON.DA NEXI Payments Spa - PV 1000001228627 ACCREDITO CIRCUITI INTERNAZ. 191125 RIF 1002542966099</t>
  </si>
  <si>
    <t xml:space="preserve"> € 45,00 attività +	 € 25,00 tess contanti</t>
  </si>
  <si>
    <t>AMZN Mktp IT*Z32WY9GV4\5 rue plaetis\LUXEMBOURG\L2338     LUXLUX</t>
  </si>
  <si>
    <t>BONIFICO SEPADistinta: 17636474150390KOUDEF TYSHCHUK MIKOLA 462,00 IMMOBILIARE MONTE DI PIETA' SRL 1.036,00 Fitness Service Di Giansanti Cesare 770,74</t>
  </si>
  <si>
    <t>BONIFICO SEPADa Scalapay IP S.p.a. TRN 3601825112104530866747594161133-008 CBPSIT31XXX per 2025-11-20 - GEOS S SDRL - Scalapay IP S.p</t>
  </si>
  <si>
    <t>BONIFICO SEPADa NEXI Payments Spa TRN 063363740115NPPASU0000000000IT CIPBITMM per PV 1000001228596 ACCREDITO CIRCUITI INTERNAZ. 20112</t>
  </si>
  <si>
    <t>BONIFICO SEPADa NEXI Payments Spa TRN 063363755005NPPASU0000000000IT CIPBITMM per PV 1000001228596 ACCREDITO BANCOMAT 201125 RIF 1003</t>
  </si>
  <si>
    <t>BONIFICO SEPADa NEXI Payments Spa TRN 063363545115NPPASU0000000000IT CIPBITMM per PV 1000001228637 ACCREDITO CIRCUITI INTERNAZ. 20112</t>
  </si>
  <si>
    <t>BONIFICODa Gympass US LLC TRN FV6BR754892S CHASNL2XXXX per WellhubGym</t>
  </si>
  <si>
    <t>BONIFICODa Satispay Europe S.A. TRN 2e469669c0554d45be752fa895c444c9 SATYLUL1XXX per Geos ssdr</t>
  </si>
  <si>
    <t xml:space="preserve"> € 762,00 attività +	 € 25,00 tess contanti</t>
  </si>
  <si>
    <t>Amazon.it*Z386146U4\5 Rue Plaetis\LUXEMBOURG\L2338     LUXLUX</t>
  </si>
  <si>
    <t>FACEBK *3ETCA75TD2\Merrion Road\DUBLIN\D04 X2K5  IRLIRL</t>
  </si>
  <si>
    <t xml:space="preserve"> € 25,00 tes contanti</t>
  </si>
  <si>
    <t xml:space="preserve"> € 40,00 attività +	 € 125,00 tess contanti</t>
  </si>
  <si>
    <t xml:space="preserve">BONIFICO SEPADistinta: 176397651909001EJDEF NEMBRI MASSIMILIANO	</t>
  </si>
  <si>
    <t>BONIFICO SEPADistinta: 176398509644003B5DEF Gaetano Ambrosio girofondi Soldo</t>
  </si>
  <si>
    <t>BONIFICO SEPADa NEXI Payments Spa TRN 063568277065NPPASU0000000000IT CIPBITMM per PV 1000001228596 ACCREDITO CIRCUITI INTERNAZ. 22112</t>
  </si>
  <si>
    <t>BONIFICO SEPADa NEXI Payments Spa TRN 063476873055NPPASU0000000000IT CIPBITMM per PV 1000001228637 ACCREDITO CIRCUITI INTERNAZ. 21112</t>
  </si>
  <si>
    <t>BONIFICO SEPADa NEXI Payments Spa TRN 063473567015NPPASU0000000000IT CIPBITMM per PV 1000001228596 ACCREDITO BANCOMAT 211125 RIF 1005</t>
  </si>
  <si>
    <t>BONIFICO SEPADa NEXI Payments Spa TRN 063569562045NPPASU0000000000IT CIPBITMM per PV 1000001228637 ACCREDITO CIRCUITI INTERNAZ. 22112</t>
  </si>
  <si>
    <t>BONIFICO SEPADa NEXI Payments Spa TRN 063473546065NPPASU0000000000IT CIPBITMM per PV 1000001228596 ACCREDITO CIRCUITI INTERNAZ. 21112</t>
  </si>
  <si>
    <t>BONIFICO SEPADa NEXI Payments Spa TRN 063568290065NPPASU0000000000IT CIPBITMM per PV 1000001228596 ACCREDITO BANCOMAT 221125 RIF 1007</t>
  </si>
  <si>
    <t>BONIFICO SEPADa NEXI Payments Spa TRN 063655075035NPPASU0000000000IT CIPBITMM per PV 1000001228637 ACCREDITO CIRCUITI INTERNAZ. 23112</t>
  </si>
  <si>
    <t>BONIF. VS. FAVORE - BON.DA NEXI Payments Spa - PV 1000001228627 ACCREDITO CIRCUITI INTERNAZ. 211125 RIF 1005553168399</t>
  </si>
  <si>
    <t>BONIF. VS. FAVORE - BON.DA NEXI Payments Spa - PV 1000001228627 ACCREDITO BANCOMAT 211125 RIF 1005553172399</t>
  </si>
  <si>
    <t>BONIF. VS. FAVORE - BON.DA NEXI Payments Spa - PV 1000001228627 ACCREDITO BANCOMAT 221125 RIF 1007180135199</t>
  </si>
  <si>
    <t>BONIF. VS. FAVORE - BON.DA NEXI Payments Spa - PV 1000001228627 ACCREDITO CIRCUITI INTERNAZ. 221125 RIF 1007180131799</t>
  </si>
  <si>
    <t>BONIFICO SEPADistinta: 176400156489805T7DEF Losa Cristina</t>
  </si>
  <si>
    <t>BONIFICO SEPADa NEXI Payments Spa TRN 063719678095NPPASU0000000000IT CIPBITMM per PV 1000001228596 ACCREDITO CIRCUITI INTERNAZ. 24112</t>
  </si>
  <si>
    <t>BONIFICO SEPADa NEXI Payments Spa TRN 063719689075NPPASU0000000000IT CIPBITMM per PV 1000001228596 ACCREDITO BANCOMAT 241125 RIF 1009</t>
  </si>
  <si>
    <t>BONIFICO SEPADa NEXI Payments Spa TRN 063719206055NPPASU0000000000IT CIPBITMM per PV 1000001228637 ACCREDITO CIRCUITI INTERNAZ. 24112</t>
  </si>
  <si>
    <t>BONIFICO SEPADa ENCANTO CLUB LATINO ASS NE SPOR VA TRN 0306906997502705S90960609606IT BCITITMMXXX per Pagamento FT 646 del 17/11 e 67</t>
  </si>
  <si>
    <t>BONIF. VS. FAVORE - BON.DA NEXI Payments Spa - PV 1000001228627 ACCREDITO CIRCUITI INTERNAZ. 241125 RIF 1009449684399</t>
  </si>
  <si>
    <t>BONIF. VS. FAVORE - BON.DA NEXI Payments Spa - PV 1000001228627 ACCREDITO BANCOMAT 241125 RIF 1009449687299</t>
  </si>
  <si>
    <t>Giro fondi da Poste</t>
  </si>
  <si>
    <t>Amazon.it*ZL1E76HQ4\5 Rue Plaetis\LUXEMBOURG\L2338     LUXLUX</t>
  </si>
  <si>
    <t xml:space="preserve"> € 215,00 attività +	 € 25,00 tess conatnti</t>
  </si>
  <si>
    <t>BONIFICO SEPADa NEXI Payments Spa TRN 063809722025NPPASU0000000000IT CIPBITMM per PV 1000001228596 ACCREDITO BANCOMAT 251125 RIF 1010</t>
  </si>
  <si>
    <t>BONIFICO SEPADa NEXI Payments Spa TRN 063809713065NPPASU0000000000IT CIPBITMM per PV 1000001228596 ACCREDITO CIRCUITI INTERNAZ. 25112</t>
  </si>
  <si>
    <t>BONIFICO SEPADa NEXI Payments Spa TRN 063814117035NPPASU0000000000IT CIPBITMM per PV 1000001228637 ACCREDITO CIRCUITI INTERNAZ. 25112</t>
  </si>
  <si>
    <t>BONIF. VS. FAVORE - BON.DA NEXI Payments Spa - PV 1000001228627 ACCREDITO CIRCUITI INTERNAZ. 251125 RIF 1010828777399</t>
  </si>
  <si>
    <t>Pagamento E-Commerce AMZN Mktp IT*ZL24P9HC4 24/11/2025 08.43 LUXEMBOURG Op. 689906</t>
  </si>
  <si>
    <t xml:space="preserve">BONIFICO SEPADistinta: 17642390125470O1PDEF NEMBRI MASSIMILIANO	</t>
  </si>
  <si>
    <t>BONIFICO SEPADa NEXI Payments Spa TRN 063922353015NPPASU0000000000IT CIPBITMM per PV 1000001228596 ACCREDITO CIRCUITI INTERNAZ. 26112</t>
  </si>
  <si>
    <t>BONIFICO SEPADa NEXI Payments Spa TRN 063922361095NPPASU0000000000IT CIPBITMM per PV 1000001228637 ACCREDITO CIRCUITI INTERNAZ. 26112</t>
  </si>
  <si>
    <t>BONIFICO SEPADa NEXI Payments Spa TRN 063922363115NPPASU0000000000IT CIPBITMM per PV 1000001228596 ACCREDITO BANCOMAT 261125 RIF 1012</t>
  </si>
  <si>
    <t>BONIFICODa Satispay Europe S.A. TRN b50a565f64f4408ab0ab69b98fd5a696 SATYLUL1XXX per Geos ssdr</t>
  </si>
  <si>
    <t>BONIFICO SEPADa MODULO PROJECT S.R.L. TRN 1101253300613595 UNCRITMM per Fattura n. 692 del 24/11/2025 - Affitto Studio Ottobre extra</t>
  </si>
  <si>
    <t>BONIF. VS. FAVORE - BON.DA MALTSEVA EKATERINA - EKATERINA MALTSEVA</t>
  </si>
  <si>
    <t>BONIF. VS. FAVORE - BON.DA NEXI Payments Spa - PV 1000001228627 ACCREDITO CIRCUITI INTERNAZ. 261125 RIF 1012258015599</t>
  </si>
  <si>
    <t>BONIF. VS. FAVORE - BON.DA NEXI Payments Spa - PV 1000001228627 ACCREDITO BANCOMAT 261125 RIF 1012258019199</t>
  </si>
  <si>
    <t xml:space="preserve"> € 241,00 attività contanti</t>
  </si>
  <si>
    <t>AMZN Mktp IT*ZR0YJ3ZA4\5 rue plaetis\LUXEMBOURG\L2338     LUXLUX</t>
  </si>
  <si>
    <t xml:space="preserve">Isabel Seabra fatt n709 del 02dic2025 ( mese di Novembre ) </t>
  </si>
  <si>
    <t>BONIFICO SEPADistinta: 17643266746591056DEF GENCA AUGUSTO 854,00 OSA SRL 6.588,00</t>
  </si>
  <si>
    <t>BONIFICO SEPADa NEXI Payments Spa TRN 064028419005NPPASU0000000000IT CIPBITMM per PV 1000001228637 ACCREDITO CIRCUITI INTERNAZ. 27112</t>
  </si>
  <si>
    <t>BONIFICO SEPADa NEXI Payments Spa TRN 064027428105NPPASU0000000000IT CIPBITMM per PV 1000001228596 ACCREDITO BANCOMAT 271125 RIF 1013</t>
  </si>
  <si>
    <t>BONIFICO SEPADa NEXI Payments Spa TRN 064027423055NPPASU0000000000IT CIPBITMM per PV 1000001228596 ACCREDITO CIRCUITI INTERNAZ. 27112</t>
  </si>
  <si>
    <t>BONIFICO SEPADa Scalapay IP S.p.a. TRN 3601825112804534376287870748595-008 CBPSIT31XXX per 2025-11-27 - GEOS S SDRL - Scalapay IP S.p</t>
  </si>
  <si>
    <t>BONIF. VS. FAVORE - BON.DA NEXI Payments Spa - PV 1000001228627 ACCREDITO BANCOMAT 271125 RIF 1013752910399</t>
  </si>
  <si>
    <t>BONIF. VS. FAVORE - BON.DA NEXI Payments Spa - PV 1000001228627 ACCREDITO CIRCUITI INTERNAZ. 271125 RIF 1013752906799</t>
  </si>
  <si>
    <t xml:space="preserve"> € 544,00 atticità +	 € 25,00 tess contanti</t>
  </si>
  <si>
    <t>FACEBK *VLSKN6RSD2\Merrion Road\DUBLIN\D04 X2K5  IRLIRL</t>
  </si>
  <si>
    <t>Pagamento E-Commerce AMZN Mktp IT*ZR36M8JA4 27/11/2025 03.04 LUXEMBOURG Op. 683557</t>
  </si>
  <si>
    <t>BONIFICODa Satispay Europe S.A. TRN e8a25cb4104946a2997abb5a118c169e SATYLUL1XXX per Geos ssdr</t>
  </si>
  <si>
    <t>Distinta: 176457801779217RFDEF SERIGRAFIA BONANOMI</t>
  </si>
  <si>
    <t>Distinta: 1764345041946132UDEF Naitana Livio</t>
  </si>
  <si>
    <t xml:space="preserve">Distinta: 17645948838551CE7DEF Barbieri Valentina	</t>
  </si>
  <si>
    <t>Distinta: 17645956411301CI4DEF Dal Pra Matteo</t>
  </si>
  <si>
    <t>Da NEXI Payments Spa TRN 064280324045NPPASU0000000000IT CIPBITMM per PV 1000001228637 ACCREDITO CIRCUITI INTERNAZ. 29112</t>
  </si>
  <si>
    <t>Da NEXI Payments Spa TRN 064325820005NPPASU0000000000IT CIPBITMM per PV 1000001228637 ACCREDITO CIRCUITI INTERNAZ. 30112</t>
  </si>
  <si>
    <t>Da NEXI Payments Spa TRN 064279241005NPPASU0000000000IT CIPBITMM per PV 1000001228596 ACCREDITO BANCOMAT 291125 RIF 1017</t>
  </si>
  <si>
    <t>Da NEXI Payments Spa TRN 064279208065NPPASU0000000000IT CIPBITMM per PV 1000001228596 ACCREDITO CIRCUITI INTERNAZ. 29112</t>
  </si>
  <si>
    <t>Da NEXI Payments Spa TRN 064142616055NPPASU0000000000IT CIPBITMM per PV 1000001228637 ACCREDITO CIRCUITI INTERNAZ. 28112</t>
  </si>
  <si>
    <t>Da NEXI Payments Spa TRN 064142144015NPPASU0000000000IT CIPBITMM per PV 1000001228596 ACCREDITO BANCOMAT 281125 RIF 1015</t>
  </si>
  <si>
    <t>Da NEXI Payments Spa TRN 064142129125NPPASU0000000000IT CIPBITMM per PV 1000001228596 ACCREDITO CIRCUITI INTERNAZ. 28112</t>
  </si>
  <si>
    <t>ADDEBITO DIRETTO SDD - SDD CORE: 51804416510 BCS BIOMEDICAL COMPUTERING SYSTEMS SRL</t>
  </si>
  <si>
    <t>PAG. UTENZE VARIE - BOLL.CBILL COMUNE DI MILANO CBILL 002000007378680433</t>
  </si>
  <si>
    <t>COMMISSIONI - BOLL.CBILL COMUNE DI MILANO CBILL 002000007378680433</t>
  </si>
  <si>
    <t>BONIF. VS. FAVORE - BON.DA NEXI Payments Spa - PV 1000001228627 ACCREDITO BANCOMAT 281125 RIF 1015368210799</t>
  </si>
  <si>
    <t>BONIF. VS. FAVORE - BON.DA NEXI Payments Spa - PV 1000001228627 ACCREDITO CIRCUITI INTERNAZ. 281125 RIF 1015368206499</t>
  </si>
  <si>
    <t>BONIF. VS. FAVORE - BON.DA NEXI Payments Spa - PV 1000001228627 ACCREDITO CIRCUITI INTERNAZ. 291125 RIF 1017079543699</t>
  </si>
  <si>
    <t xml:space="preserve"> € 370,00 attività +	 € 25,00 tess contanti</t>
  </si>
  <si>
    <t>Da NEXI Payments Spa TRN 064401414125NPPASU0000000000IT CIPBITMM per PV 1000001228596 ACCREDITO CIRCUITI INTERNAZ. 01122</t>
  </si>
  <si>
    <t>Da NEXI Payments Spa TRN 064401426115NPPASU0000000000IT CIPBITMM per PV 1000001228596 ACCREDITO BANCOMAT 011225 RIF 1020</t>
  </si>
  <si>
    <t>Da NEXI Payments Spa TRN 064402072075NPPASU0000000000IT CIPBITMM per PV 1000001228637 ACCREDITO CIRCUITI INTERNAZ. 01122</t>
  </si>
  <si>
    <t>Da Scalapay IP S.p.a. TRN 3601825120204510821937148338001-008 CBPSIT31XXX per 2025-12-01 - GEOS S SDRL - Scalapay IP S.p</t>
  </si>
  <si>
    <t>Da Satispay Europe S.A. TRN 8611559fd21540a5afdfc5228de3dace SATYLUL1XXX per Geos ssdr</t>
  </si>
  <si>
    <t>GOOGLE *ADS5278163162  29/11/2025 17.40 DUBLIN 2      Op.690026 carta ****0501</t>
  </si>
  <si>
    <t>BONIF. VS. FAVORE - BON.DA NEXI Payments Spa - PV 1000001228627 ACCREDITO CIRCUITI INTERNAZ. 011225 RIF 1020359834399</t>
  </si>
  <si>
    <t>BONIF. VS. FAVORE - BON.DA NEXI Payments Spa - PV 1000001228627 ACCREDITO BANCOMAT 011225 RIF 1020359838099</t>
  </si>
  <si>
    <t xml:space="preserve"> € 173,20 attività contanti</t>
  </si>
  <si>
    <t>AMZN Mktp IT*ZX7NC0834\5 rue plaetis\LUXEMBOURG\L2338     LUXLUX</t>
  </si>
  <si>
    <t>Da NEXI Payments Spa TRN 064499011055NPPASU0000000000IT CIPBITMM per PV 1000001228596 ACCREDITO BANCOMAT 021225 RIF 1021</t>
  </si>
  <si>
    <t>Da NEXI Payments Spa TRN 064499293015NPPASU0000000000IT CIPBITMM per PV 1000001228637 ACCREDITO CIRCUITI INTERNAZ. 02122</t>
  </si>
  <si>
    <t>Da NEXI Payments Spa TRN 064498997045NPPASU0000000000IT CIPBITMM per PV 1000001228596 ACCREDITO CIRCUITI INTERNAZ. 02122</t>
  </si>
  <si>
    <t>Da Scalapay IP S.p.a. TRN 3601825120304511129298435276570-008 CBPSIT31XXX per 2025-12-02 - GEOS S SDRL - Scalapay IP S.p</t>
  </si>
  <si>
    <t>Da Satispay Europe S.A. TRN 470f26fffac54ae49d4bbbcb86bd2034 SATYLUL1XXX per Geos ssdr</t>
  </si>
  <si>
    <t>Da TG NEW CO SRL TRN 0000051289760411486405064050IT CIVIIT2CXXX per SUPP PAGAMENTO FT. N. 705 DEL 01.12.2025</t>
  </si>
  <si>
    <t>Da ENCANTO CLUB LATINO ASS NE SPOR VA TRN 0306907247858207S90960609606IT BCITITMMXXX per Pagamento FT 707 del 01/12/25</t>
  </si>
  <si>
    <t>ADDEBITO RELATIVO AL PERIODO DI NOVEMBRE  2025</t>
  </si>
  <si>
    <t>ADDEBITO CANONE DEL SERVIZIO BANCOPOSTAIMPRESA ONLINE RELATIVO AL PERIODO NOVEMBRE 2025 CONTRATTO N. 0059926216</t>
  </si>
  <si>
    <t>NEXI Payments Spa    CID.IT500540000004107060966             MAN.CL2XV900700799PC0001228595</t>
  </si>
  <si>
    <t>NEXI Payments Spa    CID.IT500540000004107060966             MAN.CL2XV900700884PC0001228636</t>
  </si>
  <si>
    <t>GOOGLE *ADS5278163162  01/12/2025 14.00 DUBLIN 2      Op.694637 carta ****0501</t>
  </si>
  <si>
    <t>BONIF. VS. FAVORE - BON.DA LOVIGLIO LU - Nicoletti Antonella Quota attivita euro 255</t>
  </si>
  <si>
    <t>BONIF. VS. FAVORE - BON.DA NEXI Payments Spa - PV 1000001228627 ACCREDITO CIRCUITI INTERNAZ. 021225 RIF 1021818341199</t>
  </si>
  <si>
    <t>BONIF. VS. FAVORE - BON.DA MORERA CARLO - Morera Carlo quota attivita 278,50 Ambrosino Camilla quota attivita 278,50</t>
  </si>
  <si>
    <t>RIMBORSO FINANZ. - MUTUO N.4080 4779232 RATA 03/12/2025</t>
  </si>
  <si>
    <t xml:space="preserve"> € 180,00 attività contanti</t>
  </si>
  <si>
    <t>Da Scalapay IP S.p.a. TRN 3601825120404520212182100983499-008 CBPSIT31XXX per 2025-12-03 - GEOS S SDRL - Scalapay IP S.p</t>
  </si>
  <si>
    <t>BONIFICO SEPADistinta: 1764854557644297DDEF CUGGE NICHOLAS 395,00 BERNICCHIA ASIA 60,00 BATTISTELLA STEFANO 160,00 AVILA LOZANO JORGE ALBERTO ARUTA FRANCESCO PAOLO 360,00 CONTI ANNACHIARA 400,00 CIANI GAIA 260,00 CAPELLI CONSUELO 220,00 CAMPOBELLO MARTINA 320,00 BORDONI MARGHERITA 200,00 BONU PIETRO 340,00 BONACINA GRETA	 160,00 BISOFFI ELISA 200,00</t>
  </si>
  <si>
    <t>BONIFICO SEPADistinta: 176485269830428UUDEF ROSSOLAB A.S.D</t>
  </si>
  <si>
    <t>BONIFICO SEPADistinta: 1764853809886296UDEF ALMEIDA DOS SANTOS RONALD 540,00 SPAGNOLO SILVIA 400,00 VASSALLO MARGHERITA 500,00 DI GENNARO ANTONELLA 100,00 CENZON ALICE 150,00 Anna Benedetti 615,00 ARAUJO CRUZ CARLOS WAGNER 3.770,00 BELLAY DAVID LAURENT 2.000,00 DI CARLO ERICA 780,00 GALLUZZO AMBRA 240,00 GRANDE SILVIA 1.330,00 PIGAZZI CRISTIANA 105,00 PUGGIONI SAMUEL 850,00</t>
  </si>
  <si>
    <t>BONIFICODa Satispay Europe S.A. TRN c8ab1515959e4235b6a347f3ad49da9e SATYLUL1XXX per Geos ssdr</t>
  </si>
  <si>
    <t>BONIFICO SEPADa NEXI Payments Spa TRN 064612190065NPPASU0000000000IT CIPBITMM per PV 1000001228596 ACCREDITO CIRCUITI INTERNAZ. 03122</t>
  </si>
  <si>
    <t>BONIFICO SEPADa NEXI Payments Spa TRN 064612423055NPPASU0000000000IT CIPBITMM per PV 1000001228637 ACCREDITO CIRCUITI INTERNAZ. 03122</t>
  </si>
  <si>
    <t>BONIF. VS. FAVORE - BON.DA NEXI Payments Spa - PV 1000001228627 ACCREDITO BANCOMAT 031225 RIF 1023301559199</t>
  </si>
  <si>
    <t>BONIFICO SEPADa NEXI Payments Spa TRN 064723164125NPPASU0000000000IT CIPBITMM per PV 1000001228637 ACCREDITO CIRCUITI INTERNAZ. 04122</t>
  </si>
  <si>
    <t>BONIFICO SEPADa NEXI Payments Spa TRN 064722761125NPPASU0000000000IT CIPBITMM per PV 1000001228596 ACCREDITO CIRCUITI INTERNAZ. 04122</t>
  </si>
  <si>
    <t>BONIFICO SEPADa NEXI Payments Spa TRN 064722772105NPPASU0000000000IT CIPBITMM per PV 1000001228596 ACCREDITO BANCOMAT 041225 RIF 1024</t>
  </si>
  <si>
    <t>BONIFICO SEPADa Scalapay IP S.p.a. TRN 3601825120504541477037655366681-008 CBPSIT31XXX per 2025-12-04 - GEOS S SDRL - Scalapay IP S.p</t>
  </si>
  <si>
    <t>BONIFICODa Satispay Europe S.A. TRN c9f48affa1ff43579f770383b773d584 SATYLUL1XXX per Geos ssdr</t>
  </si>
  <si>
    <t>BONIFICO SEPADa NEW WAVE S.R.L. TRN 1101253380269404 UNCRITMM per SALDO FATT. 553-625-626/2025</t>
  </si>
  <si>
    <t>BONIFICO SEPADistinta: 176485588088529FCDEF PELLEGRINO FILOMENA 320,00 TIUTINA VICTORIIA 120,00 PILLITTERI MARTINA 90,00 RANDAZZO GIUSEPPINA 260,00 ROBERTI IRENE 180,00 ROSSI CLAUDIO 200,00 ROY ILAGOU 260,00 RUSSO RAFFAELLA 160,00 SANTORO ELEONORA 75,00 TAZZI LEONARDO 100,00</t>
  </si>
  <si>
    <t>BONIFICO SEPADistinta: 1764855257855299QDEF PACILLO CECILIA 200,00 FELLER CARLO 120,00 DE PONTES CAROLINA 190,00 D'ARIENZO GIULIA 400,00 PALAZZOTTO GIUSY 400,00 NICETA AURELIO 95,00 MUZIO LUCIANA 120,00 MELE ROBERTOEUR 600,00 MAGARRO ALDRIN 225,00 LUISETTO FABIO 520,00 LOMBARDI FLAVIO 200,00 GEDDO ERIKA 275,00 FRANZINI TIBALDEO ANNA PAOLA ANTONIA LUISA CARLA 400,00</t>
  </si>
  <si>
    <t>BONIF. VS. FAVORE - BON.DA NEXI Payments Spa - PV 1000001228627 ACCREDITO BANCOMAT 041225 RIF 1024794356699</t>
  </si>
  <si>
    <t>BONIF. VS. FAVORE - BON.DA NEXI Payments Spa - PV 1000001228627 ACCREDITO CIRCUITI INTERNAZ. 041225 RIF 1024794352799</t>
  </si>
  <si>
    <t>KKstore (scontrino)</t>
  </si>
  <si>
    <t>PAGAMENTO POSGOOGLE *ADS5278163162  04/12/2025 09.22 DUBLIN 2      Op.692098 carta ****0501</t>
  </si>
  <si>
    <t>BONIFICO SEPADistinta: 17652675080950CJGDEF KUQI DORIAN 870,00 STANISCI ANGELA 758,00 TODISCO GIADA 898,00 MALIN ILARIA         302,00 MARICI GRAZIANA 448,00 MARINO ALESSANDRA 655,00 MAZZAROLO ELISA 689,00 MIRAM MARTHE ROSE CELINE 445,00 PICCIRILLO ANDREA 1.482,00 SARACCHI STEFANO 246,00 SETTI GIULIA 1.227,00</t>
  </si>
  <si>
    <t>BONIFICO SEPADistinta: 17652721467920EO9DEF Boscolo Giulia 640,00 Caprioli Claudio 971,15 Losa Cristina 803,20 Serra Michele 956,80</t>
  </si>
  <si>
    <t>BONIFICO SEPADistinta: 17652728139780F07DEF Bertoni Giacomo 261,00 Zhair Yusef 630,00 Rognoni Riccardo 400,00 Di Marzo Federica 90,00 Farioli Cristina 686,00 Futia Agostino 210,00 Maccio Lorenzo 266,00 Nazzari Federica 795,00 Murgianu Giulia 590,80 Stroscio Fabio 120,00 Zavaglia Alessia 60,00</t>
  </si>
  <si>
    <t>BONIFICO SEPADistinta: 17652680166830DCGDEF CEGLIE CINZIA 1.056,00 GARIANO GIULIO 639,00 ANTONUCCI KATIA 610,00 ASSABI DAISY 406,00 BARTOLINI ELISA 173,00 BONCRISTIANO ALESSANDRO LORIS 542,00 BORRI CLAUDIA 345,00 CARIZZONI SIMONE 323,00 DUTTA AMBER AURORA LUISA 693,00 FURIA FEDERICA 636,00</t>
  </si>
  <si>
    <t xml:space="preserve">BONIFICO SEPADistinta: 17652669411590COKDEF VILLALTA QUINTANILLA ZOILA GUADALUPE 1.300,00 MOUSTAFA ISRA HANI MOHAMED 1.650,00 SEGURA PINEDA SANDRA ESTEFANY 1.700,00 VILLON BAJANA JOEL ERNESTO 1.700,00 JHASSIER BLANCO DE LA ROSA 1.300,00 VOLPE GIULIA 900,00 AMBROSIO GAETANO 2.000,00 ARRIVABENE ELISA 2.000,00 BONILLA ZAVALA KEVIN ALEXANDER 497,00 FUMAGALLI GIUDITTA 1.800,00 MANTICE SANTO 2.500,00 JANNELLI SARA 1.700,00 MALDONADO XIOMARA ALEXANDRA 1.800,00        </t>
  </si>
  <si>
    <t>BONIFICO SEPADa NEXI Payments Spa TRN 065022908025NPPASU0000000000IT CIPBITMM per PV 1000001228637 ACCREDITO CIRCUITI INTERNAZ. 07122</t>
  </si>
  <si>
    <t>BONIFICO SEPADa NEXI Payments Spa TRN 064841274045NPPASU0000000000IT CIPBITMM per PV 1000001228637 ACCREDITO CIRCUITI INTERNAZ. 05122</t>
  </si>
  <si>
    <t>BONIF. VS. FAVORE - BON.DA LOTTA LUCA - Lotta Luca Quota attivita' euro 156</t>
  </si>
  <si>
    <t>VOSTRA DISPOSIZIONE - VS.DISP. RIF. MB0B82486492/90448840 FAVORE AMBROSIO GAETANO - ADD.TOT - rimborso collaboratore Novembre 2025</t>
  </si>
  <si>
    <t>VOSTRA DISPOSIZIONE - VS.DISP. RIF. MB0B82486976/90449737 FAVORE ARRIVABENE ELISA - ADD.TOT - rimborso collaboratore Novembre 2025</t>
  </si>
  <si>
    <t>COMM.SU BONIFICI - NS RIF. MB0B82486492 SPESE E COMM.</t>
  </si>
  <si>
    <t>COMM.SU BONIFICI - NS RIF. MB0B82486976 SPESE E COMM.</t>
  </si>
  <si>
    <t>BONIF. VS. FAVORE - BON.DA NEXI Payments Spa - PV 1000001228627 ACCREDITO CIRCUITI INTERNAZ. 051225 RIF 1026433760699</t>
  </si>
  <si>
    <t>BONIF. VS. FAVORE - BON.DA NEXI Payments Spa - PV 1000001228627 ACCREDITO BANCOMAT 061225 RIF 1028194783499</t>
  </si>
  <si>
    <t>BONIF. VS. FAVORE - BON.DA NEXI Payments Spa - PV 1000001228627 ACCREDITO CIRCUITI INTERNAZ. 061225 RIF 1028194779199</t>
  </si>
  <si>
    <t>BONIF. VS. FAVORE - BON.DA NEXI Payments Spa - PV 1000001228627 ACCREDITO BANCOMAT 051225 RIF 1026433764199</t>
  </si>
  <si>
    <t xml:space="preserve"> € 190,00 attività +	 € 25,00 tess contanti</t>
  </si>
  <si>
    <t>BONIFICODa Satispay Europe S.A. TRN e5521fdfea87405ba371a8ac66a1dbfa SATYLUL1XXX per Geos ssdr</t>
  </si>
  <si>
    <t>BONIFICO SEPADistinta: 17653563303340OGEDEF Tiziano Coiro ( Kumo )</t>
  </si>
  <si>
    <t>BONIFICO SEPA ISTANTANEOTRN BCITITMMXXX 0306922793965306489468199999IT DA ARGUELLO YURI ALESSANDRO PER FATTURA 712 V1 AFFITTO STUDIO SETTEMBRE 2</t>
  </si>
  <si>
    <t>BONIFICO SEPADa NEXI Payments Spa TRN 065165011025NPPASU0000000000IT CIPBITMM per PV 1000001228596 ACCREDITO CIRCUITI INTERNAZ. 09122</t>
  </si>
  <si>
    <t>BONIFICO SEPADa NEXI Payments Spa TRN 065165158065NPPASU0000000000IT CIPBITMM per PV 1000001228637 ACCREDITO CIRCUITI INTERNAZ. 09122</t>
  </si>
  <si>
    <t>BONIFICO SEPADa NEXI Payments Spa TRN 065165020115NPPASU0000000000IT CIPBITMM per PV 1000001228596 ACCREDITO BANCOMAT 091225 RIF 1031</t>
  </si>
  <si>
    <t>BONIF. VS. FAVORE - BON.DA NEXI Payments Spa - PV 1000001228627 ACCREDITO CIRCUITI INTERNAZ. 091225 RIF 1031937562099</t>
  </si>
  <si>
    <t>BONIF. VS. FAVORE - BON.DA NEXI Payments Spa - PV 1000001228627 ACCREDITO BANCOMAT 091225 RIF 1031937564699</t>
  </si>
  <si>
    <t xml:space="preserve"> € 70,00 attività contanti</t>
  </si>
  <si>
    <t>BONIFICO SEPADistinta: 176545030105103URDEF Kamizele Carlos 436,80 Quecchia Vanessa 972,00</t>
  </si>
  <si>
    <t>BONIFICO SEPADa NEXI Payments Spa TRN 065291379105NPPASU0000000000IT CIPBITMM per PV 1000001228596 ACCREDITO BANCOMAT 101225 RIF 1033</t>
  </si>
  <si>
    <t>BONIFICO SEPADa NEXI Payments Spa TRN 065291567035NPPASU0000000000IT CIPBITMM per PV 1000001228637 ACCREDITO CIRCUITI INTERNAZ. 10122</t>
  </si>
  <si>
    <t>BONIFICO SEPADa NEXI Payments Spa TRN 065291371025NPPASU0000000000IT CIPBITMM per PV 1000001228596 ACCREDITO CIRCUITI INTERNAZ. 10122</t>
  </si>
  <si>
    <t>BONIFICODa Satispay Europe S.A. TRN 8dd7f4d3b0864b1796e7f3f93adc1f86 SATYLUL1XXX per Geos ssdr</t>
  </si>
  <si>
    <t>BONIF. VS. FAVORE - BON.DA NEXI Payments Spa - PV 1000001228627 ACCREDITO CIRCUITI INTERNAZ. 101225 RIF 1033480490999</t>
  </si>
  <si>
    <t>BONIF. VS. FAVORE - BON.DA NEXI Payments Spa - PV 1000001228627 ACCREDITO BANCOMAT 101225 RIF 1033480495499</t>
  </si>
  <si>
    <t xml:space="preserve"> € 274,50 attività contanti</t>
  </si>
  <si>
    <t>PAGAMENTO POSPAM LOCAL              11/12/2025 10.26 Op. 690788  Carta ****0501</t>
  </si>
  <si>
    <t>BONIFICO SEPADistinta: 1765535076153031QDEF ARIETE DUE DI CAJAHUARINGA JASMIN 3.102,00 C.E.A.M srl 102,48 ARIETE DUE DI CAJAHUARINGA JASMIN 1.062,00 Palamara Donato 320,00 SYCURCOM di Claudio Bazzoni 292,80</t>
  </si>
  <si>
    <t>BONIFICO SEPADa NEXI Payments Spa TRN 065414935015NPPASU0000000000IT CIPBITMM per PV 1000001228596 ACCREDITO CIRCUITI INTERNAZ. 11122</t>
  </si>
  <si>
    <t>BONIFICO SEPADa NEXI Payments Spa TRN 065415619095NPPASU0000000000IT CIPBITMM per PV 1000001228637 ACCREDITO CIRCUITI INTERNAZ. 11122</t>
  </si>
  <si>
    <t>BONIFICO SEPADa Scalapay IP S.p.a. TRN 3601825121204540729761282218741-008 CBPSIT31XXX per 2025-12-11 - GEOS S SDRL - Scalapay IP S.p</t>
  </si>
  <si>
    <t>BONIF. VS. FAVORE - BON.DA NEXI Payments Spa - PV 1000001228627 ACCREDITO CIRCUITI INTERNAZ. 111225 RIF 1035049502499</t>
  </si>
  <si>
    <t>BONIF. VS. FAVORE - BON.DA NEXI Payments Spa - PV 1000001228627 ACCREDITO BANCOMAT 111225 RIF 1035049505699</t>
  </si>
  <si>
    <t xml:space="preserve"> € 50,00 attività contanti</t>
  </si>
  <si>
    <t>Amazon Prime\5 rue Plaetis\LUXEMBOURG\L2338     LUXLUX</t>
  </si>
  <si>
    <t>PAGAMENTO POSACQUA E SAPONE         11/12/2025 10.17 MILANO        Op.690314 carta ****0501</t>
  </si>
  <si>
    <t>BONIFICODa Satispay Europe S.A. TRN f78a20d9f0db4bab89addb14221e53ff SATYLUL1XXX per Geos ssdr</t>
  </si>
  <si>
    <t>BONIFICO SEPADa ENCANTO CLUB LATINO ASS NE SPOR VA TRN 0306907622141901S90960609606IT BCITITMMXXX per Pagamento FT 714 del 11/12/2025</t>
  </si>
  <si>
    <t>BONIFICODa Gympass US LLC TRN G7HYH3NHSSM3 CHASNL2XXXX per WellhubGym</t>
  </si>
  <si>
    <t>BONIF. VS. FAVORE - BON.DA NEXI Payments Spa PV 1000001228627 ACC REDITO CIRCUITI INTERNAZ. 131225 RIF 10384668</t>
  </si>
  <si>
    <t>PAGAMENTO POSESSELUNGA RIPAMONTI    12/12/2025 12.44 Op. 690034  Carta ****0501</t>
  </si>
  <si>
    <t>BONIFICO SEPADistinta: 17658042369320IPPDEF Colciago Susanna RESO</t>
  </si>
  <si>
    <t>BONIFICO SEPADa NEXI Payments Spa TRN 065512664095NPPASU0000000000IT CIPBITMM per PV 1000001228596 ACCREDITO CIRCUITI INTERNAZ. 12122</t>
  </si>
  <si>
    <t>BONIFICO SEPADa NEXI Payments Spa TRN 065712590085NPPASU0000000000IT CIPBITMM per PV 1000001228637 ACCREDITO CIRCUITI INTERNAZ. 14122</t>
  </si>
  <si>
    <t>BONIFICO SEPADa NEXI Payments Spa TRN 065630123005NPPASU0000000000IT CIPBITMM per PV 1000001228596 ACCREDITO CIRCUITI INTERNAZ. 13122</t>
  </si>
  <si>
    <t>BONIFICO SEPADa NEXI Payments Spa TRN 065712277075NPPASU0000000000IT CIPBITMM per PV 1000001228596 ACCREDITO CIRCUITI INTERNAZ. 14122</t>
  </si>
  <si>
    <t>BONIFICO SEPADa NEXI Payments Spa TRN 065629113045NPPASU0000000000IT CIPBITMM per PV 1000001228637 ACCREDITO CIRCUITI INTERNAZ. 13122</t>
  </si>
  <si>
    <t>BONIFICO SEPADistinta: 1765890499066065ODEF Nerea Perez Rincon</t>
  </si>
  <si>
    <t>BONIFICO SEPADistinta: 176587185248500IMDEF Perin Galamini e Gianesin Srl tfr Ambrosio 166,49 Perin Galamini e Gianesin Srl tfr Arrivabene 143,83 Perin Galamini e Gianesin Srl 139,62 tfr Fumagalli Perin Galamini e Gianesin Srl	 tfr Jannelli 106,61</t>
  </si>
  <si>
    <t>BONIFICO SEPADistinta: 176587141478700GADEF Generali Italia SPA tfr maldonado e Villon</t>
  </si>
  <si>
    <t xml:space="preserve">BONIFICO SEPADistinta: 176587157454000FBDEF HDI Assicurazioni S.P.A tfr Segura </t>
  </si>
  <si>
    <t>BONIFICO SEPADa NEXI Payments Spa TRN 065795558105NPPASU0000000000IT CIPBITMM per PV 1000001228637 ACCREDITO CIRCUITI INTERNAZ. 15122</t>
  </si>
  <si>
    <t>BONIFICO SEPADa NEXI Payments Spa TRN 065788442055NPPASU0000000000IT CIPBITMM per PV 1000001228596 ACCREDITO CIRCUITI INTERNAZ. 15122</t>
  </si>
  <si>
    <t>PAGAMENTO POSMETRO FIL.SAN DONATO M 12/12/2025 11.26 SAN DONATO MI Op.697899 carta ****0501</t>
  </si>
  <si>
    <t>I24 AGENZIA ENTRATE - PAG.TO TELEMATICO - DATA INCASSO 16/12/2025 2025-12-15-22.33.17.322634007611</t>
  </si>
  <si>
    <t>BONIF. VS. FAVORE - BON.DA NEXI Payments Spa - PV 1000001228627 ACCREDITO BANCOMAT 151225 RIF 1041119617399</t>
  </si>
  <si>
    <t xml:space="preserve"> € 30,00 attività contanti</t>
  </si>
  <si>
    <t xml:space="preserve">BONIFICO SEPADistinta: 17659721358360IQ3DEF Seghieri srl </t>
  </si>
  <si>
    <t>BONIFICO SEPADa NEXI Payments Spa TRN 065906966085NPPASU0000000000IT CIPBITMM per PV 1000001228637 ACCREDITO CIRCUITI INTERNAZ. 16122</t>
  </si>
  <si>
    <t>BONIFICO SEPADa NEXI Payments Spa TRN 066013511055NPPASU0000000000IT CIPBITMM per PV 1000001228596 ACCREDITO CIRCUITI INTERNAZ. 17122</t>
  </si>
  <si>
    <t>BONIFICO SEPADa NEXI Payments Spa TRN 066012304075NPPASU0000000000IT CIPBITMM per PV 1000001228637 ACCREDITO CIRCUITI INTERNAZ. 17122</t>
  </si>
  <si>
    <t>BONIFICO SEPADa MODULO PROJECT S.R.L. TRN 1101253510255340 UNCRITMM per Fattura n. 774 V1 del 17/12/2025 - Affitto Studio Novembre 20</t>
  </si>
  <si>
    <t>BONIFICO SEPADa MODULO PROJECT S.R.L. TRN 1101253510258191 UNCRITMM per Fattura n. 773 V1 del 17/12/2025 - Affitto studi Novembre 202</t>
  </si>
  <si>
    <t>BONIFICO SEPADa NEW WAVE S.R.L. TRN 1101253510316340 UNCRITMM per saldo fatt. 645-669-706/2025</t>
  </si>
  <si>
    <t>BONIF. VS. FAVORE - BON.DA PELLEGRINI S.P.A. - Pellegrini Spa - RIF. .692.6925110 17/11/2025</t>
  </si>
  <si>
    <t>PAGAMENTO POSFIGMA                  17/12/2025 09.18 SAN FRANCISCO Op.693266 carta ****0501</t>
  </si>
  <si>
    <t>BONIFICO SEPADa NEXI Payments Spa TRN 066132367025NPPASU0000000000IT CIPBITMM per PV 1000001228637 ACCREDITO CIRCUITI INTERNAZ. 18122</t>
  </si>
  <si>
    <t>BONIFICO SEPADa NEXI Payments Spa TRN 066134414085NPPASU0000000000IT CIPBITMM per PV 1000001228596 ACCREDITO CIRCUITI INTERNAZ. 18122</t>
  </si>
  <si>
    <t>BONIF. VS. FAVORE - BON.DA NEXI Payments Spa - PV 1000001228627 ACCREDITO BANCOMAT 181225 RIF 1046002384399</t>
  </si>
  <si>
    <t>BONIF. VS. FAVORE - BON.DA NEXI Payments Spa - PV 1000001228627 ACCREDITO CIRCUITI INTERNAZ. 181225 RIF 1046002380999</t>
  </si>
  <si>
    <t xml:space="preserve"> € 360,00 attività contanti</t>
  </si>
  <si>
    <t>WWW.WOSNIC.COM\PIAZZALE GIUSTINIANI 20\MESTRE\30170     VENITA</t>
  </si>
  <si>
    <t>BONIF. VS. FAVORE - BON.DA GERVASIO DARIO ALEX - Barbotto Daniela - Quota attivita 250 euro</t>
  </si>
  <si>
    <t>BONIFICO SEPADa Massimo Nella TRN 17306606604 INGBITD1XXX per Saldo Fattura n.711-V1 del 10.12.2025</t>
  </si>
  <si>
    <t>BONIF. VS. FAVORE - BON.DA Q D A QUICI DANCE ART Quota partecipaz ione attivita Quici Carolina</t>
  </si>
  <si>
    <t xml:space="preserve"> € 774,00 attività +	 € 25,00 tess contanti</t>
  </si>
  <si>
    <t>BONIFICO SEPADistinta: 17663915813150HIFDEF SUNNEXT S.r.l. 244,00 Palamara Donato</t>
  </si>
  <si>
    <t>BONIFICO SEPADa NEXI Payments Spa TRN 066457675115NPPASU0000000000IT CIPBITMM per PV 1000001228637 ACCREDITO CIRCUITI INTERNAZ. 21122</t>
  </si>
  <si>
    <t>BONIFICO SEPADa NEXI Payments Spa TRN 066252225005NPPASU0000000000IT CIPBITMM per PV 1000001228596 ACCREDITO CIRCUITI INTERNAZ. 19122</t>
  </si>
  <si>
    <t>BONIFICO SEPADa NEXI Payments Spa TRN 066252238005NPPASU0000000000IT CIPBITMM per PV 1000001228596 ACCREDITO BANCOMAT 191225 RIF 1047</t>
  </si>
  <si>
    <t>BONIFICO SEPADa NEXI Payments Spa TRN 066390726125NPPASU0000000000IT CIPBITMM per PV 1000001228596 ACCREDITO CIRCUITI INTERNAZ. 20122</t>
  </si>
  <si>
    <t>BONIF. VS. FAVORE - BON.DA MAIA MAURO - Marianna Maia - quota attivita da definire e tessera</t>
  </si>
  <si>
    <t>BONIF. VS. FAVORE - BON.DA NEXI Payments Spa - PV 1000001228627 ACCREDITO BANCOMAT 191225 RIF 1047809215699</t>
  </si>
  <si>
    <t>BONIF. VS. FAVORE - BON.DA NEXI Payments Spa - PV 1000001228627 ACCREDITO CIRCUITI INTERNAZ. 191225 RIF 1047809210999</t>
  </si>
  <si>
    <t>BONIF. VS. FAVORE - BON.DA NEXI Payments Spa - PV 1000001228627 ACCREDITO CIRCUITI INTERNAZ. 201225 RIF 1049533045099</t>
  </si>
  <si>
    <t>FACEBK *FEELXADTD2\Merrion Road\DUBLIN\D04 X2K5  IRLIRL</t>
  </si>
  <si>
    <t xml:space="preserve"> € 330,00 attività contanti</t>
  </si>
  <si>
    <t xml:space="preserve">BONIFICO SEPADistinta: 17664148931480R8UDEF GRILLO SANTI	</t>
  </si>
  <si>
    <t>BONIFICO SEPADistinta: 1766485738447154JDEF Genca Augusto</t>
  </si>
  <si>
    <t>BONIFICO SEPADa NEXI Payments Spa TRN 066536982055NPPASU0000000000IT CIPBITMM per PV 1000001228596 ACCREDITO CIRCUITI INTERNAZ. 22122</t>
  </si>
  <si>
    <t>BONIFICO SEPADa NEXI Payments Spa TRN 066536991015NPPASU0000000000IT CIPBITMM per PV 1000001228596 ACCREDITO BANCOMAT 221225 RIF 1052</t>
  </si>
  <si>
    <t>BONIFICO SEPADa NEXI Payments Spa TRN 066545921005NPPASU0000000000IT CIPBITMM per PV 1000001228637 ACCREDITO CIRCUITI INTERNAZ. 22122</t>
  </si>
  <si>
    <t>BONIFICO SEPA ISTANTANEOTRN BCITITMMXXX 0306923250678504489468199999IT DA ARGUELLO YURI ALESSANDRO PER AFFITTO STUDIO OTTOBRE NOVEMBRE DICEMBRE</t>
  </si>
  <si>
    <t>BONIFICO SEPADa BARNABITI SPORT TEAM SOCIETA' SPORTIVA D TRN VTP25356T0019766480161301600IT POSOIT2106C per saldo fattura 775 v1</t>
  </si>
  <si>
    <t>BONIFICO SEPADa TG NEW CO SRL TRN 0000051296949600486405064050IT CIVIIT2CXXX per SUPP PAGAMENTO FT. N. 778 DEL 19.12.2025</t>
  </si>
  <si>
    <t>PAGAMENTO POSAUUM                   21/12/2025 14.52 MILANO        Op.699129 carta ****0501</t>
  </si>
  <si>
    <t>BONIF. VS. FAVORE - BON.DA NEXI Payments Spa - PV 1000001228627 ACCREDITO BANCOMAT 221225 RIF 1052894923499</t>
  </si>
  <si>
    <t>BONIFICO SEPADa NEXI Payments Spa TRN 066651330055NPPASU0000000000IT CIPBITMM per PV 1000001228637 ACCREDITO CIRCUITI INTERNAZ. 23122</t>
  </si>
  <si>
    <t>BONIFICO SEPADa NEXI Payments Spa TRN 066650841105NPPASU0000000000IT CIPBITMM per PV 1000001228596 ACCREDITO BANCOMAT 231225 RIF 1054</t>
  </si>
  <si>
    <t>BONIF. VS. FAVORE - BON.DA NEXI Payments Spa - PV 1000001228627 ACCREDITO BANCOMAT 231225 RIF 1054897449999</t>
  </si>
  <si>
    <t>BONIF. VS. FAVORE - BON.DA NEXI Payments Spa - PV 1000001228627 ACCREDITO CIRCUITI INTERNAZ. 231225 RIF 1054897445899</t>
  </si>
  <si>
    <t>BONIFICO SEPADa NEXI Payments Spa TRN 066975223035NPPASU0000000000IT CIPBITMM per PV 1000001228637 ACCREDITO CIRCUITI INTERNAZ. 28122</t>
  </si>
  <si>
    <t>BONIFICO SEPADa NEXI Payments Spa TRN 066863104095NPPASU0000000000IT CIPBITMM per PV 1000001228637 ACCREDITO CIRCUITI INTERNAZ. 26122</t>
  </si>
  <si>
    <t>BONIFICO SEPADa NEXI Payments Spa TRN 066908412125NPPASU0000000000IT CIPBITMM per PV 1000001228637 ACCREDITO CIRCUITI INTERNAZ. 27122</t>
  </si>
  <si>
    <t>BONIFICO SEPADa NEXI Payments Spa TRN 066823496125NPPASU0000000000IT CIPBITMM per PV 1000001228637 ACCREDITO CIRCUITI INTERNAZ. 25122</t>
  </si>
  <si>
    <t>I24 AGENZIA ENTRATE - PAG.TO TELEMATICO - DATA INCASSO 29/12/2025 2025-12-24-22.30.25.490841032754</t>
  </si>
  <si>
    <t xml:space="preserve"> € 203,00 attività contanti</t>
  </si>
  <si>
    <t>BONIFICO SEPADistinta: 17670071682961S54DEF BOSCOLO ANZOLETTI GIULIA 160,00 Caprioli Claudio 456,98 Dal Pra Matteo 82,00 Serra Michele 374,40 Quecchia Vanessa 289,60 Zanchetta Marco 842,40</t>
  </si>
  <si>
    <t>BONIFICO SEPADistinta: 17670077827111SAMDEF Futia Agostino 210,00 Zavaglia Alessia 120,00 YUSEF ZAHIR 245,00 RICCARDO ROGNONI 400,00 GIACOMO BERTONI 120,00</t>
  </si>
  <si>
    <t>BONIFICO SEPADistinta: 17669995291561OCUDEF ANNACHIARA CONTI 300,00 ARUTA FRANCESCO PAOLO 270,00 GAYA CIANI 175,00 CAPELLI CONSUELO 220,00 CAMPOBELLO MARTINA         320,00 MARGHERITA BORDONI150,00 BONU PIETRO 340,00 BONACINA GRETA 120,00 BISOFFI ELISA 150,00 BERNICCHIA ASIA 130,00 BATTISTELLA STEFANO 120,00</t>
  </si>
  <si>
    <t>BONIFICO SEPADistinta: 17669986215951OOBDEF NEMBRI MASSIMILIANO VALENTINO</t>
  </si>
  <si>
    <t>BONIFICO SEPADistinta: 17670017901511P9TDEF PACILLO CECILIA 100,00 Giulia D Arienzo 200,00 CUGGE NICHOLAS 250,00 NICETA AURELIO 75,00 MUZIO LUCIANA 60,00 MELE ROBERTO 510,00 MAGARRO ALDRIN MEDEL 60,00 FLAVIO ENRICO LOMBARDI 150,00 DE PONTES CAROLINA 100,00 ANNA PAOLA ANTONIA FRANZINI TIBALDEO 275,00 FELLER CARLO 90,00</t>
  </si>
  <si>
    <t>BONIFICO SEPADistinta: 17669950450041N7FDEF VALENTINA BARBIERI 520,00 SERIGRAFIA BONANOMI DI ATTILIO BONANOMI 968,19</t>
  </si>
  <si>
    <t>BONIFICO SEPADistinta: 17670056376261RHLDEF Erika Locatelli 66,00 BELLAY DAVID LAURENT 1.550,00</t>
  </si>
  <si>
    <t>BONIFICO SEPADistinta: 17669964651831NLMDEF ALMEIDA DOS SANTOS RONALD 440,00 VASSALLO MARGHERITA 375,00 DI GENNARO ANTONELLA 75,00 CENZON ALICE 150,00 Anna Benedetti 525,00 ARAUJO CRUZ CARLOS WAGNER 3.060,00 DI CARLO ERICA 540,00 GALLUZZO AMBRA 245,00 GRANDE SILVIA 1.375,00 PUGGIONI SAMUEL 690,00 PIGAZZI CRISTIANA 105,00 SPAGNOLO SILVIA 275,00</t>
  </si>
  <si>
    <t>BONIFICO SEPADistinta: 17670031590421PULDEF PALAZZOTTO GIUSY 240,00 TAZZI LEONARDO 75,00 VIKTORIIA TIUTINA 180,00 FILOMENA PELLEGRINO 290,00 PILLITTERI MARTINA 90,00 RANDAZZO GIUSEPPINA ERMINIA 110,00 ROBERTI IRENE 80,00 SANTORO ELEONORA 75,00 ROSSI CLAUDIO 150,00 ROY ILAGOU 210,00 RUSSO RAFFAELLA 190,00</t>
  </si>
  <si>
    <t>BONIFICO SEPADistinta: 17670071326911S4JDEF Losa Cristina</t>
  </si>
  <si>
    <t>BONIFICO SEPADistinta: 17670221936881VS7DEF AMBROSIO GAETANO 2.000,00 ARRIVABENE ELISA 2.000,00 BONILLA ZAVALA KEVIN ALEXANDER 2.000,00 FUMAGALLI GIUDITTA 1.700,00 JANNELLI SARA 1.600,00 XIOMARA ALEXANDRA MALDONADO TORRES 1.700,00 MANTICE SANTO 2.500,00 MOUSTAFA ISRAA HANI MOHAMED 1.650,00 VILLON BAJANA JOEL ERNESTO 1.700,00</t>
  </si>
  <si>
    <t>BONIFICO SEPADistinta: 17670225767171VJBDEF VILLALTA QUINTANILLA ZOILA GUADALUPE 1.200,00 JHASSIER BLANCO DE LA ROSA 1.200,00	BE67 9050 8922 8687 SEGURA PINEDA SANDRA ESTEFANY 781,00</t>
  </si>
  <si>
    <t>BONIFICO SEPADistinta: 176708277928123G2DEF Farioli Cristina 228,00 Murgianu Giulia 269,00 Maccio Lorenzo 134,00 Nazzari Federica 285,00</t>
  </si>
  <si>
    <t>BONIFICO SEPADistinta: 1767023315125208CDEF GEDDO ERIKA 410,00 GARIANO GIULIO 513,00 FURIA FEDERICA 785,00</t>
  </si>
  <si>
    <t>BONIFICO SEPADistinta: 1767081831954239DDEF ANTONUCCI KATIA 589,00 ASSABI DAISY 206,00 KUQI DORIAN 621,00 AMBER AURORA LUISA DUTTA 518,00 CARIZZONI SIMONE 194,00 CEGLIE CINZIA 924,00 BORRI CLAUDIA 327,00 BONCRISTIANO ALESSANDRO LORIS 506,00 BARTOLINI ELISA 129,00 AVILA LOZANO JORGE ALBERTO 344,00</t>
  </si>
  <si>
    <t>BONIFICO SEPADistinta: 17670213871381V8TDEF SatisWelfare S.p.A</t>
  </si>
  <si>
    <t>BONIFICO SEPADistinta: 176708248259523DJDEF LUISETTO FABIO 482,00 STANISCI ANGELA 393,00 TODISCO GIADA 914,00 MALIN ILARIA 172,00 MARINO ALESSANDRA 466,00 MARICI GRAZIANA 349,00 MIRAM MARTHE ROSE CELINE        497,00 ANDREA PICCIRILLO 1.207,00 MAZZAROLO ELISA 560,00 SARACCHI STEFANO 1.641,00  SETTI GIULIA 949,00</t>
  </si>
  <si>
    <t>BONIFICO SEPA ISTANTANEOTRN POSOIT22XXX IP228aab97d91049628c6720c1966a0d50 DA KINETICVIBE SRL PER Acconto 30 per vostro affitto studio del 22 fe</t>
  </si>
  <si>
    <t>BONIFICO SEPADa NEXI Payments Spa TRN 067047334035NPPASU0000000000IT CIPBITMM per PV 1000001228596 ACCREDITO BANCOMAT 291225 RIF 1061</t>
  </si>
  <si>
    <t>BONIFICO SEPADa NEXI Payments Spa TRN 067046807095NPPASU0000000000IT CIPBITMM per PV 1000001228637 ACCREDITO CIRCUITI INTERNAZ. 29122</t>
  </si>
  <si>
    <t>BONIFICO SEPADa NEXI Payments Spa TRN 067047329115NPPASU0000000000IT CIPBITMM per PV 1000001228596 ACCREDITO CIRCUITI INTERNAZ. 29122</t>
  </si>
  <si>
    <t>BONIFICO SEPADa ENCANTO CLUB LATINO ASS NE SPOR VA TRN 0306908095546405S90960609606IT BCITITMMXXX per Pagamento FT 781 del 22/12/25</t>
  </si>
  <si>
    <t>PAGAMENTO POSGOOGLE *ADS5278163162  25/12/2025 07.51 DUBLIN 2      Op.696100 carta ****0501</t>
  </si>
  <si>
    <t>VOSTRA DISPOSIZIONE - VS.DISP. RIF. MB0B94426591/90446525 FAVORE AMBROSIO GAETANO - ADD.TOT - rimborso collaboratore Dicembre 2025</t>
  </si>
  <si>
    <t>VOSTRA DISPOSIZIONE - VS.DISP. RIF. MB0B94426788/90446854 FAVORE ARRIVABENE ELISA - ADD.TOT - rimborso collaboratore Dicembre 2025</t>
  </si>
  <si>
    <t>COMM.SU BONIFICI - NS RIF. MB0B94426591 SPESE E COMM.</t>
  </si>
  <si>
    <t>COMM.SU BONIFICI - NS RIF. MB0B94426788 SPESE E COMM.</t>
  </si>
  <si>
    <t>BONIF. VS. FAVORE - BON.DA NEXI Payments Spa - PV 1000001228627 ACCREDITO BANCOMAT 301225 RIF 1063125381499</t>
  </si>
  <si>
    <t>INT. E COMP. - INTERESSI CREDITORI</t>
  </si>
  <si>
    <t>ADDEBITO IMPOSTA BOLLO ADDEBITO IMPOSTA BOLLO</t>
  </si>
  <si>
    <t>BONIFICO SEPADa NEXI Payments Spa TRN 067311384106NPPASU0000000000IT CIPBITMM per PV 1000001228637 ACCREDITO CIRCUITI INTERNAZ. 01012</t>
  </si>
  <si>
    <t>BONIFICO SEPADa NEXI Payments Spa TRN 067225461046NPPASU0000000000IT CIPBITMM per PV 1000001228637 ACCREDITO CIRCUITI INTERNAZ. 31122</t>
  </si>
  <si>
    <t>BONIFICO SEPADa NEXI Payments Spa TRN 067229959046NPPASU0000000000IT CIPBITMM per PV 1000001228596 ACCREDITO CIRCUITI INTERNAZ. 31122</t>
  </si>
  <si>
    <t>BONIF. VS. FAVORE - BON.DA TROTTI ROBERTA - Colombo Angelica - quota attivit</t>
  </si>
  <si>
    <t>BONIF. VS. FAVORE - BON.DA BRUNO STEFANIA - Bruno Stefania Iscrizione</t>
  </si>
  <si>
    <t>PAGAMENTO POSGOOGLE *ADS5278163162  01/01/2026 11.09 DUBLIN 2      Op.606827 carta ****0501</t>
  </si>
  <si>
    <t>RIMBORSO FINANZ. - MUTUO N.4080 4779232 RATA 03/01/2026</t>
  </si>
  <si>
    <t>IMP. BOLLO CC/LR - DA 01/10/2025 A 31/12/2025</t>
  </si>
  <si>
    <t>BONIFICO SEPADa NEXI Payments Spa TRN 067424841036NPPASU0000000000IT CIPBITMM per PV 1000001228637 ACCREDITO CIRCUITI INTERNAZ. 03012</t>
  </si>
  <si>
    <t>BONIFICO SEPADa NEXI Payments Spa TRN 067341954046NPPASU0000000000IT CIPBITMM per PV 1000001228637 ACCREDITO CIRCUITI INTERNAZ. 02012</t>
  </si>
  <si>
    <t>TENUTA CONTOADDEBITO RELATIVO AL PERIODO DI DICEMBRE  2025</t>
  </si>
  <si>
    <t>CANONE SERVIZIO COLLEGAMENTO TELEMATICOADDEBITO CANONE DEL SERVIZIO BANCOPOSTAIMPRESA ONLINE RELATIVO AL PERIODO DICEMBRE 2025 CONTRATTO N. 0059926216</t>
  </si>
  <si>
    <t>BONIFICO SEPADa Scalapay IP S.p.a. TRN 3601826010604502906315272182117-008 CBPSIT31XXX per 2026-01-05 - GEOS S SDRL - Scalapay IP S.p</t>
  </si>
  <si>
    <t>BONIFICO SEPADistinta: 176778459946838N0DEF AssoDanza Italia</t>
  </si>
  <si>
    <t>BONIFICO SEPADa NEXI Payments Spa TRN 067551787046NPPASU0000000000IT CIPBITMM per PV 1000001228637 ACCREDITO CIRCUITI INTERNAZ. 05012</t>
  </si>
  <si>
    <t>BONIFICO SEPADa NEXI Payments Spa TRN 067612880106NPPASU0000000000IT CIPBITMM per PV 1000001228637 ACCREDITO CIRCUITI INTERNAZ. 06012</t>
  </si>
  <si>
    <t>FACEBK *J2RDP9HTD2\Merrion Road\DUBLIN\D04 X2K5  IRLIRL</t>
  </si>
  <si>
    <t>1PASSWORD\4711 Yonge St. 10th Floor\TORONTO\M2N6K8    ON CAN</t>
  </si>
  <si>
    <t>BONIFICO SEPADistinta: 17678621244373H8HDEF Perin Galamini e Gianesin Srl TFR Ambrosio 166,56 Perin Galamini e Gianesin Srl TFR Arrivabene 234,86 Perin Galamini e Gianesin TFR Fumagalli 117,50 Perin Galamini e Gianesin Srl TFR Jannelli 96,25</t>
  </si>
  <si>
    <t xml:space="preserve">BONIFICO SEPADistinta: 17678766973403M82DEF 	Generali Italia SPA	 TFR , Maldonado - Villon </t>
  </si>
  <si>
    <t>BONIFICO SEPADistinta: 17678596476993FJMDEF Andriani Roberta ( Bonora )</t>
  </si>
  <si>
    <t>BONIFICO SEPADistinta: 17678593374563GE3DEF 	CENTRO SPORTIVO EDUCATIVO NAZIONALE -COMIT. PROV. MILANO</t>
  </si>
  <si>
    <t>BONIFICO SEPADistinta: 17678622568423GA8DEF HDI Assicurazioni S.P.A TFR Segura</t>
  </si>
  <si>
    <t>BONIFICO SEPADa NEXI Payments Spa TRN 067682798016NPPASU0000000000IT CIPBITMM per PV 1000001228637 ACCREDITO CIRCUITI INTERNAZ. 07012</t>
  </si>
  <si>
    <t>BONIFICO SEPADa NEXI Payments Spa TRN 067678972106NPPASU0000000000IT CIPBITMM per PV 1000001228596 ACCREDITO CIRCUITI INTERNAZ. 07012</t>
  </si>
  <si>
    <t>BONIF. VS. FAVORE - BON.DA NEXI Payments Spa - PV 1000001228627 ACCREDITO CIRCUITI INTERNAZ. 070126 RIF 1073622773699</t>
  </si>
  <si>
    <t xml:space="preserve"> € 284,00 attività +	 € 100,00 tess contanti</t>
  </si>
  <si>
    <t>AMZN Mktp IT*ZC8ZI7HL4\5 rue plaetis\LUXEMBOURG\L2338     LUXLUX</t>
  </si>
  <si>
    <t>BONIFICODa Satispay Europe S.A. TRN b09f852ef4a544aaaf5d9ccf00c848fc SATYLUL1XXX per Geos ssdr</t>
  </si>
  <si>
    <t>PAGAMENTO POSWWW.FEDERGINNASTICA.IT 07/01/2026 12.00 ROMA          Op.606201 carta ****0501</t>
  </si>
  <si>
    <t>BONIFICO SEPADa NEXI Payments Spa TRN 067788271056NPPASU0000000000IT CIPBITMM per PV 1000001228596 ACCREDITO CIRCUITI INTERNAZ. 08012</t>
  </si>
  <si>
    <t>BONIFICO SEPADa NEXI Payments Spa TRN 067788990096NPPASU0000000000IT CIPBITMM per PV 1000001228637 ACCREDITO CIRCUITI INTERNAZ. 08012</t>
  </si>
  <si>
    <t>BONIFICO SEPADa NEXI Payments Spa TRN 067788300086NPPASU0000000000IT CIPBITMM per PV 1000001228596 ACCREDITO BANCOMAT 080126 RIF 1074</t>
  </si>
  <si>
    <t>BONIF. VS. FAVORE - BON.DA NEXI Payments Spa - PV 1000001228627 ACCREDITO CIRCUITI INTERNAZ. 080126 RIF 1074989847599</t>
  </si>
  <si>
    <t xml:space="preserve"> € 25,00 	attività +  € 50,00 tess contanti</t>
  </si>
  <si>
    <t>lavaggio tessuti</t>
  </si>
  <si>
    <t>BONIFICODa Satispay Europe S.A. TRN 4828c114bc4340bc8dff5b831081dedf SATYLUL1XXX per Geos ssdr</t>
  </si>
  <si>
    <t>BONIFICO SEPADa MODULO PROJECT S.R.L. TRN 1101260090582567 UNCRITMM per Fattura n. 01 del 09/01/2026 - Affitto studi Dicembre 2025</t>
  </si>
  <si>
    <t>BONIFICO SEPADa MODULO PROJECT S.R.L. TRN 1101260090583703 UNCRITMM per Fattura n. 02 del 09/01/2026 - Affitto Studio Dicembre 2025 e</t>
  </si>
  <si>
    <t>BONIF. VS. FAVORE - BON.DA NEXI Payments Spa - PV 1000001228627 ACCREDITO CIRCUITI INTERNAZ. 100126 RIF 1077945986799</t>
  </si>
  <si>
    <t>BONIF. VS. FAVORE - BON.DA NEXI Payments Spa - PV 1000001228627 ACCREDITO BANCOMAT 100126 RIF 1077945989499</t>
  </si>
  <si>
    <t>BONIF. VS. FAVORE - BON.DA NEXI Payments Spa - PV 1000001228627 ACCREDITO CIRCUITI INTERNAZ. 090126 RIF 1076443741699</t>
  </si>
  <si>
    <t>BONIF. VS. FAVORE - BON.DA NEXI Payments Spa - PV 1000001228627 ACCREDITO BANCOMAT 090126 RIF 1076443745099</t>
  </si>
  <si>
    <t>BONIFICO SEPADa NEXI Payments Spa TRN 067897211056NPPASU0000000000IT CIPBITMM per PV 1000001228596 ACCREDITO BANCOMAT 090126 RIF 1076</t>
  </si>
  <si>
    <t>BONIFICO SEPADa NEXI Payments Spa TRN 067993851036NPPASU0000000000IT CIPBITMM per PV 1000001228596 ACCREDITO CIRCUITI INTERNAZ. 10012</t>
  </si>
  <si>
    <t>BONIFICO SEPADa NEXI Payments Spa TRN 067897201086NPPASU0000000000IT CIPBITMM per PV 1000001228596 ACCREDITO CIRCUITI INTERNAZ. 09012</t>
  </si>
  <si>
    <t>BONIFICO SEPADa NEXI Payments Spa TRN 067897902076NPPASU0000000000IT CIPBITMM per PV 1000001228637 ACCREDITO CIRCUITI INTERNAZ. 09012</t>
  </si>
  <si>
    <t>BONIFICO SEPADa NEXI Payments Spa TRN 068076155046NPPASU0000000000IT CIPBITMM per PV 1000001228637 ACCREDITO CIRCUITI INTERNAZ. 11012</t>
  </si>
  <si>
    <t xml:space="preserve"> € 115,00 Attività +	 € 50,00 tess contanti</t>
  </si>
  <si>
    <t>AMZN Mktp IT*Z79O50ZK4\5 rue plaetis\LUXEMBOURG\L2338     LUXLUX</t>
  </si>
  <si>
    <t>BONIFICO SEPADa NEXI Payments Spa TRN 068136676106NPPASU0000000000IT CIPBITMM per PV 1000001228596 ACCREDITO BANCOMAT 120126 RIF 1080</t>
  </si>
  <si>
    <t>BONIFICO SEPADa NEXI Payments Spa TRN 068147591056NPPASU0000000000IT CIPBITMM per PV 1000001228637 ACCREDITO CIRCUITI INTERNAZ. 12012</t>
  </si>
  <si>
    <t>BONIFICO SEPADa NEXI Payments Spa TRN 068136662096NPPASU0000000000IT CIPBITMM per PV 1000001228596 ACCREDITO CIRCUITI INTERNAZ. 12012</t>
  </si>
  <si>
    <t>BONIF. VS. FAVORE - BON.DA NEXI Payments Spa - PV 1000001228627 ACCREDITO CIRCUITI INTERNAZ. 120126 RIF 1080145099499</t>
  </si>
  <si>
    <t xml:space="preserve"> € 220,00 attività + € 25,00 tess contanti</t>
  </si>
  <si>
    <t>AMZN Mktp IT*Z72C98AY4\5 rue plaetis\LUXEMBOURG\L2338     LUXLUX</t>
  </si>
  <si>
    <t xml:space="preserve">BONIFICO SEPADistinta: 17683115750180I4SDEF BRESCIANINI CO.	</t>
  </si>
  <si>
    <t>BONIFICO SEPADa NEXI Payments Spa TRN 068240394016NPPASU0000000000IT CIPBITMM per PV 1000001228637 ACCREDITO CIRCUITI INTERNAZ. 13012</t>
  </si>
  <si>
    <t>BONIFICO SEPADa NEXI Payments Spa TRN 068239881086NPPASU0000000000IT CIPBITMM per PV 1000001228596 ACCREDITO BANCOMAT 130126 RIF 1081</t>
  </si>
  <si>
    <t>BONIFICO SEPADa NEXI Payments Spa TRN 068239872126NPPASU0000000000IT CIPBITMM per PV 1000001228596 ACCREDITO CIRCUITI INTERNAZ. 13012</t>
  </si>
  <si>
    <t>BONIF. VS. FAVORE - BON.DA MACIEL DA SILVA BRUNA - bruna maciel da silva quota attivita</t>
  </si>
  <si>
    <t>BONIF. VS. FAVORE - BON.DA NEXI Payments Spa - PV 1000001228627 ACCREDITO BANCOMAT 130126 RIF 1081534261199</t>
  </si>
  <si>
    <t>BONIF. VS. FAVORE - BON.DA NEXI Payments Spa - PV 1000001228627 ACCREDITO CIRCUITI INTERNAZ. 130126 RIF 1081534257499</t>
  </si>
  <si>
    <t xml:space="preserve"> € 293,00 attività +	 € 25,00 tess contanti</t>
  </si>
  <si>
    <t>AMZN Mktp IT*Z79LK1QM4\5 rue plaetis\LUXEMBOURG\L2338     LUXLUX</t>
  </si>
  <si>
    <t>BONIFICO SEPADa NEXI Payments Spa TRN 068353464106NPPASU0000000000IT CIPBITMM per PV 1000001228596 ACCREDITO CIRCUITI INTERNAZ. 14012</t>
  </si>
  <si>
    <t>BONIFICO SEPADa NEXI Payments Spa TRN 068354277046NPPASU0000000000IT CIPBITMM per PV 1000001228637 ACCREDITO CIRCUITI INTERNAZ. 14012</t>
  </si>
  <si>
    <t>BONIFICO SEPADa NEXI Payments Spa TRN 068353481016NPPASU0000000000IT CIPBITMM per PV 1000001228596 ACCREDITO BANCOMAT 140126 RIF 1082</t>
  </si>
  <si>
    <t>BONIFICO SEPADa Scalapay IP S.p.a. TRN 3601826011504514091853337088262-008 CBPSIT31XXX per 2026-01-14 - GEOS S SDRL - Scalapay IP S.p</t>
  </si>
  <si>
    <t>BONIFICODa Gympass US LLC TRN GQCK3YQ3WZXD CHASNL2XXXX per WellhubGym</t>
  </si>
  <si>
    <t>BONIF. VS. FAVORE - BON.DA KUSTOL YANA - KUSTOL YANA</t>
  </si>
  <si>
    <t>BONIF. VS. FAVORE - BON.DA MARSURA LUCIA - MARSURA LUCIA - Quota attivita 117</t>
  </si>
  <si>
    <t>BONIF. VS. FAVORE - BON.DA NEXI Payments Spa - PV 1000001228627 ACCREDITO BANCOMAT 140126 RIF 1082939371999</t>
  </si>
  <si>
    <t>BONIF. VS. FAVORE - BON.DA NEXI Payments Spa - PV 1000001228627 ACCREDITO CIRCUITI INTERNAZ. 140126 RIF 1082939368399</t>
  </si>
  <si>
    <t>BONIF. VS. FAVORE - BON.DA VECCHIO CARLOTTA - Vecchio Carlotta quota corso BS base lunedi promo</t>
  </si>
  <si>
    <t>BONIF. VS. FAVORE - BON.DA BEATRICE BASTIANELLO - Bastianello beatrice quota attivita</t>
  </si>
  <si>
    <t>SPESE - FATTURA NUMIA N. 029503 DEL 2026-01-14 NEGOZIO : 4951318 / 00004</t>
  </si>
  <si>
    <t xml:space="preserve"> € 177,50 attività +	 € 25,00 tess contanti</t>
  </si>
  <si>
    <t>BONIFICO SEPADa NEXI Payments Spa TRN 068458136066NPPASU0000000000IT CIPBITMM per PV 1000001228637 ACCREDITO CIRCUITI INTERNAZ. 15012</t>
  </si>
  <si>
    <t>BONIFICO SEPADa NEXI Payments Spa TRN 068458195006NPPASU0000000000IT CIPBITMM per PV 1000001228596 ACCREDITO CIRCUITI INTERNAZ. 15012</t>
  </si>
  <si>
    <t>BONIFICO SEPADa NEXI Payments Spa TRN 068458204096NPPASU0000000000IT CIPBITMM per PV 1000001228596 ACCREDITO BANCOMAT 150126 RIF 1084</t>
  </si>
  <si>
    <t>BONIFICO SEPADa ENCANTO CLUB LATINO ASS NE SPOR VA TRN 0306908656574405S90960609606IT BCITITMMXXX per FT 4 del 14/01/26</t>
  </si>
  <si>
    <t>BONIFICO SEPADa IMMOBILIARE MONTE DI PIETA  SRL TRN 0306926049580511483338033380IT BCITITMMXXX per Doc.N. 783</t>
  </si>
  <si>
    <t>I24 AGENZIA ENTRATE - PAG.TO TELEMATICO - DATA INCASSO 16/01/2026 2026-01-15-22.30.39.059526036371</t>
  </si>
  <si>
    <t>I24 AGENZIA ENTRATE - PAG.TO TELEMATICO - DATA INCASSO 16/01/2026 2026-01-15-22.30.39.059526036372</t>
  </si>
  <si>
    <t>BONIF. VS. FAVORE - BON.DA SOLIMEO FEDERICA Solimeo Federica Quota attivita 117</t>
  </si>
  <si>
    <t>BONIFICO SEPADistinta: 17685574250171DM2DEF Magnetic Media Network Spa 5.644,94 Cuadro Srl 1.500,60</t>
  </si>
  <si>
    <t>BONIF. VS. FAVORE - BON.DA NEXI Payments Spa - PV 1000001228627 ACCREDITO CIRCUITI INTERNAZ. 150126 RIF 1084365302399</t>
  </si>
  <si>
    <t>BONIF. VS. FAVORE - BON.DA NEXI Payments Spa - PV 1000001228627 ACCREDITO BANCOMAT 150126 RIF 1084365307399</t>
  </si>
  <si>
    <t xml:space="preserve"> € 93,00 attività + 	 € 25,00 tess contanti</t>
  </si>
  <si>
    <t>cartoleria (scontrino)</t>
  </si>
  <si>
    <t>ACCREDITO PER POSTEPAY CASHBACK BUSINESSPER ACQUISTO DI EURO 531,20 DA AUUM IL 21/12/2025</t>
  </si>
  <si>
    <t>ACCREDITO PER POSTEPAY CASHBACK BUSINESSPER ACQUISTO DI EURO 444,19 DA METRO FIL.SAN DONATO M IL 12/12/2025</t>
  </si>
  <si>
    <t>ACCREDITO PER POSTEPAY CASHBACK BUSINESSPER ACQUISTO DI EURO 432,00 DA TRIPLES SRL IL 31/10/2025</t>
  </si>
  <si>
    <t>ACCREDITO PER POSTEPAY CASHBACK BUSINESSPER ACQUISTO DI EURO 279,09 DA ESSELUNGA RIPAMONTI IL 12/12/2025</t>
  </si>
  <si>
    <t>ACCREDITO PER POSTEPAY CASHBACK BUSINESSPER ACQUISTO DI EURO 200,00 DA GOOGLE *ADS5278163162 IL 25/12/2025</t>
  </si>
  <si>
    <t>ACCREDITO PER POSTEPAY CASHBACK BUSINESSPER ACQUISTO DI EURO 80,00 DA TRIPLES SRL IL 28/10/2025</t>
  </si>
  <si>
    <t>ACCREDITO PER POSTEPAY CASHBACK BUSINESSPER ACQUISTO DI EURO 70,00 DA MARTESANA S.R.L. IL 07/10/2025</t>
  </si>
  <si>
    <t>ACCREDITO PER POSTEPAY CASHBACK BUSINESSPER ACQUISTO DI EURO 50,00 DA CAFFE' VINO VIA BELLEZ IL 08/10/2025</t>
  </si>
  <si>
    <t>ACCREDITO PER POSTEPAY CASHBACK BUSINESSPER ACQUISTO DI EURO 50,00 DA Cera una volta IL 07/10/2025</t>
  </si>
  <si>
    <t>ACCREDITO PER POSTEPAY CASHBACK BUSINESSPER ACQUISTO DI EURO 50,00 DA GOOGLE *ADS5278163162 IL 04/12/2025</t>
  </si>
  <si>
    <t>ACCREDITO PER POSTEPAY CASHBACK BUSINESSPER ACQUISTO DI EURO 42,04 DA ACQUA E SAPONE IL 11/12/2025</t>
  </si>
  <si>
    <t>ACCREDITO PER POSTEPAY CASHBACK BUSINESSPER ACQUISTO DI EURO 39,54 DA GOOGLE *ADS5278163162 IL 01/12/2025</t>
  </si>
  <si>
    <t>ACCREDITO PER POSTEPAY CASHBACK BUSINESSPER ACQUISTO DI EURO 37,44 DA GOOGLE *ADS5278163162 IL 01/01/2026</t>
  </si>
  <si>
    <t>ACCREDITO PER POSTEPAY CASHBACK BUSINESSPER ACQUISTO DI EURO 31,20 DA PAM LOCAL IL 11/12/2025</t>
  </si>
  <si>
    <t>ACCREDITO PER POSTEPAY CASHBACK BUSINESSPER ACQUISTO DI EURO 24,76 DA ODSTORE PIAZZA DUOMO IL 28/10/2025</t>
  </si>
  <si>
    <t>ACCREDITO PER POSTEPAY CASHBACK BUSINESSPER ACQUISTO DI EURO 20,00 DA FIGMA IL 17/12/2025</t>
  </si>
  <si>
    <t>ACCREDITO PER POSTEPAY CASHBACK BUSINESSPER ACQUISTO DI EURO 10,00 DA GOOGLE *ADS5278163162 IL 29/11/2025</t>
  </si>
  <si>
    <t>BONIF. VS. FAVORE - BON.DA BIAGI FRANCESCA - Corso functional training giov 18.30</t>
  </si>
  <si>
    <t>BONIF. VS. FAVORE - BON.DA LUCA BRESCIANI - PAGAMENTO CORSO SALSA E BACHATA LUCA BRESCIANI E GIORGIA PAROLIN</t>
  </si>
  <si>
    <t>BONIF. VS. FAVORE - BON.DA KATIUSCIA PADULA</t>
  </si>
  <si>
    <t>BONIF. VS. FAVORE - BON.DA Anne-Christine Schmitt Molinaro - MOLINARO GAIA QUOTA ATTIVITA</t>
  </si>
  <si>
    <t>BONIF. VS. FAVORE - BON.DA GIORDANO CAMILLA - giordano camilla quota attivita</t>
  </si>
  <si>
    <t>BONIF. VS. FAVORE - BON.DA MORRA ANNACHIARA - morra annachiara quota attivita 117</t>
  </si>
  <si>
    <t xml:space="preserve"> € 1.099,00 attività +  € 100,00 tess contanti</t>
  </si>
  <si>
    <t xml:space="preserve"> € 500,00 tess contanti</t>
  </si>
  <si>
    <t>BONIFICO SEPADa Scalapay IP S.p.a. TRN 3601826011904512422240088443209-008 CBPSIT31XXX per 2026-01-18 - GEOS S SDRL - Scalapay IP S.p</t>
  </si>
  <si>
    <t>BONIF. VS. FAVORE - BON.DA MOSCARIELLO VALENTINA Moscariello Valentina Quota bachata</t>
  </si>
  <si>
    <t>BONIF. VS. FAVORE - BON.DA GESUALDO MICHELE JANETH RAZALO</t>
  </si>
  <si>
    <t>BONIF. VS. FAVORE - BON.DA OLIVERI ELISABETTA Solinas Vittoria quota attivita</t>
  </si>
  <si>
    <t>BONIFICO SEPADa NEXI Payments Spa TRN 068670898106NPPASU0000000000IT CIPBITMM per PV 1000001228637 ACCREDITO CIRCUITI INTERNAZ. 17012</t>
  </si>
  <si>
    <t>BONIFICO SEPADa NEXI Payments Spa TRN 068670153066NPPASU0000000000IT CIPBITMM per PV 1000001228596 ACCREDITO CIRCUITI INTERNAZ. 17012</t>
  </si>
  <si>
    <t>BONIFICO SEPADa NEXI Payments Spa TRN 068670163036NPPASU0000000000IT CIPBITMM per PV 1000001228596 ACCREDITO BANCOMAT 170126 RIF 1087</t>
  </si>
  <si>
    <t>BONIFICO SEPADa NEXI Payments Spa TRN 068754760096NPPASU0000000000IT CIPBITMM per PV 1000001228596 ACCREDITO BANCOMAT 180126 RIF 1088</t>
  </si>
  <si>
    <t>BONIFICO SEPADa NEXI Payments Spa TRN 068754629086NPPASU0000000000IT CIPBITMM per PV 1000001228637 ACCREDITO CIRCUITI INTERNAZ. 18012</t>
  </si>
  <si>
    <t>BONIFICO SEPADa NEXI Payments Spa TRN 068572642086NPPASU0000000000IT CIPBITMM per PV 1000001228596 ACCREDITO CIRCUITI INTERNAZ. 16012</t>
  </si>
  <si>
    <t>BONIFICO SEPADa NEXI Payments Spa TRN 068572659126NPPASU0000000000IT CIPBITMM per PV 1000001228596 ACCREDITO BANCOMAT 160126 RIF 1085</t>
  </si>
  <si>
    <t>BONIFICO SEPADa NEXI Payments Spa TRN 068754756056NPPASU0000000000IT CIPBITMM per PV 1000001228596 ACCREDITO CIRCUITI INTERNAZ. 18012</t>
  </si>
  <si>
    <t>BONIFICO SEPADa NEXI Payments Spa TRN 068572427016NPPASU0000000000IT CIPBITMM per PV 1000001228637 ACCREDITO CIRCUITI INTERNAZ. 16012</t>
  </si>
  <si>
    <t>BONIF. VS. FAVORE - BON.DA DEPASCALE INES - DEPASCALE INES e IACONO MASSIMO: Quota attivita EUR 259 a persona</t>
  </si>
  <si>
    <t>BONIF. VS. FAVORE - BON.DA NEXI Payments Spa - PV 1000001228627 ACCREDITO BANCOMAT 160126 RIF 1085885608699</t>
  </si>
  <si>
    <t>BONIF. VS. FAVORE - BON.DA NEXI Payments Spa - PV 1000001228627 ACCREDITO CIRCUITI INTERNAZ. 160126 RIF 1085885605499</t>
  </si>
  <si>
    <t>BONIF. VS. FAVORE - BON.DA NEXI Payments Spa - PV 1000001228627 ACCREDITO BANCOMAT 170126 RIF 1087471927499</t>
  </si>
  <si>
    <t>BONIF. VS. FAVORE - BON.DA NEXI Payments Spa - PV 1000001228627 ACCREDITO CIRCUITI INTERNAZ. 170126 RIF 1087471922899</t>
  </si>
  <si>
    <t xml:space="preserve"> € 254,00 attività +	 € 25,00 tess contanti</t>
  </si>
  <si>
    <t>BONIFICO SEPADa NEXI Payments Spa TRN 068821145036NPPASU0000000000IT CIPBITMM per PV 1000001228596 ACCREDITO CIRCUITI INTERNAZ. 19012</t>
  </si>
  <si>
    <t>BONIFICO SEPADa NEXI Payments Spa TRN 068821155006NPPASU0000000000IT CIPBITMM per PV 1000001228596 ACCREDITO BANCOMAT 190126 RIF 1089</t>
  </si>
  <si>
    <t>BONIFICO SEPADa NEXI Payments Spa TRN 068821375126NPPASU0000000000IT CIPBITMM per PV 1000001228637 ACCREDITO CIRCUITI INTERNAZ. 19012</t>
  </si>
  <si>
    <t>PAGAMENTO POSFIGMA                  17/01/2026 19.19 SAN FRANCISCO Op.603173 carta ****0501</t>
  </si>
  <si>
    <t>BONIF. VS. FAVORE - BON.DA PILOTTA MASSIMO - -PILOTTA MASSIMO: Quota attivit E 259</t>
  </si>
  <si>
    <t>BONIF. VS. FAVORE - BON.DA Alice Saitta - LUCIA TREMONTI - CORSO AGGIUNTIVO 1</t>
  </si>
  <si>
    <t>BONIF. VS. FAVORE - BON.DA NEXI Payments Spa - PV 1000001228627 ACCREDITO BANCOMAT 190126 RIF 1089658030299</t>
  </si>
  <si>
    <t>BONIF. VS. FAVORE - BON.DA NEXI Payments Spa - PV 1000001228627 ACCREDITO CIRCUITI INTERNAZ. 190126 RIF 1089658026199</t>
  </si>
  <si>
    <t xml:space="preserve"> € 274,00 attività +	 € 125,00 tess contanti</t>
  </si>
  <si>
    <t>BONIFICO SEPADa NEXI Payments Spa TRN 068920717086NPPASU0000000000IT CIPBITMM per PV 1000001228596 ACCREDITO CIRCUITI INTERNAZ. 20012</t>
  </si>
  <si>
    <t>BONIFICO SEPADa NEXI Payments Spa TRN 068919268026NPPASU0000000000IT CIPBITMM per PV 1000001228637 ACCREDITO CIRCUITI INTERNAZ. 20012</t>
  </si>
  <si>
    <t>BONIFICO SEPADa NEXI Payments Spa TRN 068920731096NPPASU0000000000IT CIPBITMM per PV 1000001228596 ACCREDITO BANCOMAT 200126 RIF 1090</t>
  </si>
  <si>
    <t xml:space="preserve">BONIFICO SEPADistinta: 17689892291710MCFDEF Girofondi da Poste a Soldo </t>
  </si>
  <si>
    <t>BONIF. VS. FAVORE - BON.DA NEXI Payments Spa - PV 1000001228627 ACCREDITO CIRCUITI INTERNAZ. 200126 RIF 1090983605499</t>
  </si>
  <si>
    <t>BONIF. VS. FAVORE - BON.DA NEXI Payments Spa - PV 1000001228627 ACCREDITO BANCOMAT 200126 RIF 1090983608799</t>
  </si>
  <si>
    <t xml:space="preserve"> € 15,00 attività contanti</t>
  </si>
  <si>
    <t>FACEBK *YDSHKCMTD2\Merrion Road\DUBLIN\D04 X2K5  IRLIRL</t>
  </si>
  <si>
    <t>BONIFICO SEPADistinta: 17690725202600V4UDEF CAJAHUARINGA ROSADO JASMIN ROCIO ARIETE DUE DI CAJAHUARINGA JASMIN 3.102,00 CAJAHUARINGA ROSADO JASMIN ROCIO ARIETE DUE DI CAJAHUARINGA JASMIN 1.002,00 IMMOBILIARE MONTE DI PIETA SRL 562,50 IMMOBILIARE MONTE DI PIETA SRL 1.250,00</t>
  </si>
  <si>
    <t>BONIFICO SEPADa NEXI Payments Spa TRN 069031799056NPPASU0000000000IT CIPBITMM per PV 1000001228596 ACCREDITO CIRCUITI INTERNAZ. 21012</t>
  </si>
  <si>
    <t>BONIFICO SEPADa NEXI Payments Spa TRN 069031814076NPPASU0000000000IT CIPBITMM per PV 1000001228596 ACCREDITO BANCOMAT 210126 RIF 1092</t>
  </si>
  <si>
    <t>BONIFICO SEPADa Scalapay IP S.p.a. TRN 3601826012204532500730550448410-008 CBPSIT31XXX per 2026-01-21 - GEOS S SDRL - Scalapay IP S.p</t>
  </si>
  <si>
    <t>VOSTRA DISPOSIZIONE - VS.DISP. RIF. MB0B05043074/90443059 FAVORE IMMOBILIARE MONTE DI PIETA' SRL - ADD.TOT - IMMOBILIARE MONTE DI PIETA' SRL N 260000027H del 13gen2026</t>
  </si>
  <si>
    <t>COMM.SU BONIFICI - NS RIF. MB0B05043074 SPESE E COMM.</t>
  </si>
  <si>
    <t>BONIF. VS. FAVORE - BON.DA NEXI Payments Spa - PV 1000001228627 ACCREDITO CIRCUITI INTERNAZ. 210126 RIF 1092382071599</t>
  </si>
  <si>
    <t xml:space="preserve"> € 270,00 attività +        € 50,00 tess contanti</t>
  </si>
  <si>
    <t>giro fondi da Poste</t>
  </si>
  <si>
    <t>BONIFICO SEPADa NEXI Payments Spa TRN 069134668056NPPASU0000000000IT CIPBITMM per PV 1000001228637 ACCREDITO CIRCUITI INTERNAZ. 22012</t>
  </si>
  <si>
    <t>BONIFICO SEPADa NEXI Payments Spa TRN 069136434036NPPASU0000000000IT CIPBITMM per PV 1000001228596 ACCREDITO CIRCUITI INTERNAZ. 22012</t>
  </si>
  <si>
    <t>BONIFICO SEPADa NEXI Payments Spa TRN 069136447036NPPASU0000000000IT CIPBITMM per PV 1000001228596 ACCREDITO BANCOMAT 220126 RIF 1093</t>
  </si>
  <si>
    <t>BONIFICO SEPADa Scalapay IP S.p.a. TRN 3601826012304520487070669027166-008 CBPSIT31XXX per 2026-01-22 - GEOS S SDRL - Scalapay IP S.p</t>
  </si>
  <si>
    <t>BONIFICODa Satispay Europe S.A. TRN c9cf3b8acb76489cb3bc50247f69ee3d SATYLUL1XXX per Geos ssdr</t>
  </si>
  <si>
    <t>PAGAMENTO POSAlaio Cloud Limited    21/01/2026 09.22 Limassol      Op.601637 carta ****0501</t>
  </si>
  <si>
    <t>BONIF. VS. FAVORE - BON.DA SALVAGNI LAURA - Gift Card Lambiase Alessandra Quota attivita Eur120</t>
  </si>
  <si>
    <t>BONIF. VS. FAVORE - BON.DA NEXI Payments Spa - PV 1000001228627 ACCREDITO CIRCUITI INTERNAZ. 220126 RIF 1093834429499</t>
  </si>
  <si>
    <t xml:space="preserve"> € 22,50 attività +	 € 25,00 tess contanti</t>
  </si>
  <si>
    <t>BONIFICO SEPADa NEXI Payments Spa TRN 069351318106NPPASU0000000000IT CIPBITMM per PV 1000001228596 ACCREDITO CIRCUITI INTERNAZ. 24012</t>
  </si>
  <si>
    <t>BONIFICO SEPADa NEXI Payments Spa TRN 069247322016NPPASU0000000000IT CIPBITMM per PV 1000001228596 ACCREDITO CIRCUITI INTERNAZ. 23012</t>
  </si>
  <si>
    <t>BONIFICO SEPADa NEXI Payments Spa TRN 069434246116NPPASU0000000000IT CIPBITMM per PV 1000001228637 ACCREDITO CIRCUITI INTERNAZ. 25012</t>
  </si>
  <si>
    <t>BONIFICO SEPADa NEXI Payments Spa TRN 069247337036NPPASU0000000000IT CIPBITMM per PV 1000001228596 ACCREDITO BANCOMAT 230126 RIF 1095</t>
  </si>
  <si>
    <t>BONIFICO SEPADa NEXI Payments Spa TRN 069351338046NPPASU0000000000IT CIPBITMM per PV 1000001228596 ACCREDITO BANCOMAT 240126 RIF 1096</t>
  </si>
  <si>
    <t>BONIF. VS. FAVORE - BON.DA NEXI Payments Spa - PV 1000001228627 ACCREDITO BANCOMAT 230126 RIF 1095382254199</t>
  </si>
  <si>
    <t>BONIF. VS. FAVORE - BON.DA NEXI Payments Spa - PV 1000001228627 ACCREDITO CIRCUITI INTERNAZ. 240126 RIF 1096949549499</t>
  </si>
  <si>
    <t>BONIF. VS. FAVORE - BON.DA NEXI Payments Spa - PV 1000001228627 ACCREDITO BANCOMAT 240126 RIF 1096949552999</t>
  </si>
  <si>
    <t>BONIF. VS. FAVORE - BON.DA NEXI Payments Spa - PV 1000001228627 ACCREDITO CIRCUITI INTERNAZ. 230126 RIF 1095382251099</t>
  </si>
  <si>
    <t xml:space="preserve"> € 620,00 attività +	 € 75,00 tess contanti</t>
  </si>
  <si>
    <t>BONIFICO SEPADa NEXI Payments Spa TRN 069504590126NPPASU0000000000IT CIPBITMM per PV 1000001228596 ACCREDITO CIRCUITI INTERNAZ. 26012</t>
  </si>
  <si>
    <t>BONIFICO SEPADa NEXI Payments Spa TRN 069504598076NPPASU0000000000IT CIPBITMM per PV 1000001228596 ACCREDITO BANCOMAT 260126 RIF 1099</t>
  </si>
  <si>
    <t>BONIFICO SEPADa NEXI Payments Spa TRN 069498502086NPPASU0000000000IT CIPBITMM per PV 1000001228637 ACCREDITO CIRCUITI INTERNAZ. 26012</t>
  </si>
  <si>
    <t>BONIF. VS. FAVORE - BON.DA PERISSUTTI PAOLO - Perissutti Aurora Liliana</t>
  </si>
  <si>
    <t>BONIF. VS. FAVORE - BON.DA NEXI Payments Spa - PV 1000001228627 ACCREDITO CIRCUITI INTERNAZ. 260126 RIF 1099177036999</t>
  </si>
  <si>
    <t xml:space="preserve"> € 50,00 tess contanti</t>
  </si>
  <si>
    <t>BONIFICO SEPADa ENCANTO CLUB LATINO ASS NE SPOR VA TRN 0306908984264105S90960609606IT BCITITMMXXX per Pagamento FT 817 19/01 e 12 del</t>
  </si>
  <si>
    <t>BONIF. VS. FAVORE - BON.DA PAGLIARA ROBERTO Pagliara Benedetta - quota attivita</t>
  </si>
  <si>
    <t>BONIFICO SEPADa NEXI Payments Spa TRN 069603697076NPPASU0000000000IT CIPBITMM per PV 1000001228596 ACCREDITO BANCOMAT 270126 RIF 1100</t>
  </si>
  <si>
    <t>BONIFICO SEPADa NEXI Payments Spa TRN 069603684076NPPASU0000000000IT CIPBITMM per PV 1000001228596 ACCREDITO CIRCUITI INTERNAZ. 27012</t>
  </si>
  <si>
    <t>BONIF. VS. FAVORE - BON.DA NEXI Payments Spa - PV 1000001228627 ACCREDITO BANCOMAT 270126 RIF 1100597653799</t>
  </si>
  <si>
    <t>BONIF. VS. FAVORE - BON.DA NEXI Payments Spa - PV 1000001228627 ACCREDITO CIRCUITI INTERNAZ. 270126 RIF 1100597650199</t>
  </si>
  <si>
    <t xml:space="preserve"> € 150,00 tess contanti</t>
  </si>
  <si>
    <t>BONIFICO SEPADistinta: 176961314880207T5DEF GENCA AUGUSTO</t>
  </si>
  <si>
    <t>BONIFICO SEPADistinta: 1769672988689018FDEF SPORT E FITNESS ASD</t>
  </si>
  <si>
    <t>BONIFICO SEPADa NEXI Payments Spa TRN 069711383016NPPASU0000000000IT CIPBITMM per PV 1000001228596 ACCREDITO CIRCUITI INTERNAZ. 28012</t>
  </si>
  <si>
    <t>BONIFICO SEPADa NEXI Payments Spa TRN 069711396016NPPASU0000000000IT CIPBITMM per PV 1000001228596 ACCREDITO BANCOMAT 280126 RIF 1101</t>
  </si>
  <si>
    <t>BONIFICO SEPADa NEXI Payments Spa TRN 069711158106NPPASU0000000000IT CIPBITMM per PV 1000001228637 ACCREDITO CIRCUITI INTERNAZ. 28012</t>
  </si>
  <si>
    <t>BONIF. VS. FAVORE - BON.DA GENTILE BEATRICE AUGUSTA - GENTILE BEATRICE - Quota attivita' EUR 325</t>
  </si>
  <si>
    <t>BONIF. VS. FAVORE - BON.DA CATTANI BENEDETTA - CATTANI BENEDETTA - Quota attivita 180 euro</t>
  </si>
  <si>
    <t>BONIF. VS. FAVORE - BON.DA NEXI Payments Spa - PV 1000001228627 ACCREDITO BANCOMAT 280126 RIF 1101941554599</t>
  </si>
  <si>
    <t>BONIF. VS. FAVORE - BON.DA NEXI Payments Spa - PV 1000001228627 ACCREDITO CIRCUITI INTERNAZ. 280126 RIF 1101941549999</t>
  </si>
  <si>
    <t xml:space="preserve"> € 220,00 attività  contanti</t>
  </si>
  <si>
    <t>BONIFICO SEPADa NEXI Payments Spa TRN 069820384106NPPASU0000000000IT CIPBITMM per PV 1000001228637 ACCREDITO CIRCUITI INTERNAZ. 29012</t>
  </si>
  <si>
    <t>BONIFICO SEPADa NEXI Payments Spa TRN 069819021126NPPASU0000000000IT CIPBITMM per PV 1000001228596 ACCREDITO CIRCUITI INTERNAZ. 29012</t>
  </si>
  <si>
    <t>BONIFICO SEPADa NEXI Payments Spa TRN 069819028066NPPASU0000000000IT CIPBITMM per PV 1000001228596 ACCREDITO BANCOMAT 290126 RIF 1103</t>
  </si>
  <si>
    <t>BONIF. VS. FAVORE - BON.DA NEXI Payments Spa - PV 1000001228627 ACCREDITO CIRCUITI INTERNAZ. 290126 RIF 1103373997899</t>
  </si>
  <si>
    <t>BONIF. VS. FAVORE - BON.DA NEXI Payments Spa - PV 1000001228627 ACCREDITO BANCOMAT 290126 RIF 1103374000799</t>
  </si>
  <si>
    <t xml:space="preserve"> € 315,00 attività +	 € 25,00 tess contanti</t>
  </si>
  <si>
    <t>raccomandata sinistro Baldari.</t>
  </si>
  <si>
    <t>BONIF. VS. FAVORE - BON.DA CIRILLO ALESSANDRO - CIRILLO ALESSANDRO - quota attivita 280 euro</t>
  </si>
  <si>
    <t>BONIFICO SEPADa NEXI Payments Spa TRN 070122768016NPPASU0000000000IT CIPBITMM per PV 1000001228637 ACCREDITO CIRCUITI INTERNAZ. 01022</t>
  </si>
  <si>
    <t>BONIFICO SEPADa NEXI Payments Spa TRN 070031894106NPPASU0000000000IT CIPBITMM per PV 1000001228596 ACCREDITO BANCOMAT 310126 RIF 1107</t>
  </si>
  <si>
    <t>BONIFICO SEPADa NEXI Payments Spa TRN 070031889056NPPASU0000000000IT CIPBITMM per PV 1000001228596 ACCREDITO CIRCUITI INTERNAZ. 31012</t>
  </si>
  <si>
    <t>BONIFICO SEPADa NEXI Payments Spa TRN 069938018076NPPASU0000000000IT CIPBITMM per PV 1000001228596 ACCREDITO CIRCUITI INTERNAZ. 30012</t>
  </si>
  <si>
    <t>BONIFICO SEPADa NEXI Payments Spa TRN 069938031076NPPASU0000000000IT CIPBITMM per PV 1000001228596 ACCREDITO BANCOMAT 300126 RIF 1104</t>
  </si>
  <si>
    <t>BONIFICODa Satispay Europe S.A. TRN 8435be6c745049b9be750d650fc4f88f SATYLUL1XXX per Geos ssdr</t>
  </si>
  <si>
    <t>ADDEBITO DIRETTO SDD - SDD CORE: 3F3811ALA01667167 FASTWEB SpA</t>
  </si>
  <si>
    <t>BONIF. VS. FAVORE - BON.DA PayPal Europe S.a.r.l. et Cie S.C.A YY W1047968974592/PAYPAL</t>
  </si>
  <si>
    <t xml:space="preserve"> € 210,00 attività +	 € 125,00 tess contanti</t>
  </si>
  <si>
    <t>BONIFICO SEPADistinta: 17700315757860PLRDEF Naitana Livio 671,00 Noord Uffici SAS 439,20 Noord Uffici SAS 1.047,98 IL PARADISO DELLA BRUGOLA S.A.S. DI IOSC A SERGIO C. 439,20</t>
  </si>
  <si>
    <t>BONIFICO SEPADistinta: 17700279065640OBVDEF NEMBRI MASSIMILIANO VALENTINO</t>
  </si>
  <si>
    <t>BONIFICO SEPADistinta: 17700360354350QVCDEF SEF ITALIA SSD A RL</t>
  </si>
  <si>
    <t>BONIF. VS. FAVORE - BON.DA NEXI Payments Spa - PV 1000001228627 ACCREDITO CIRCUITI INTERNAZ. 310126 RIF 1107303851699</t>
  </si>
  <si>
    <t>BONIF. VS. FAVORE - BON.DA NEXI Payments Spa - PV 1000001228627 ACCREDITO BANCOMAT 300126 RIF 1104917204499</t>
  </si>
  <si>
    <t>BONIF. VS. FAVORE - BON.DA NEXI Payments Spa - PV 1000001228627 ACCREDITO BANCOMAT 310126 RIF 1107303858799</t>
  </si>
  <si>
    <t>Amazon.it*JE5Z67GL5\5 Rue Plaetis\LUXEMBOURG\L2338     LUXLUX</t>
  </si>
  <si>
    <t>AMAZON* IY0WK9O35\38 Avenue John F Kennedy\LUXEMBOURG\1855      DUBLUX</t>
  </si>
  <si>
    <t xml:space="preserve"> € 259,00 attività +	 € 100,00 tess contanti</t>
  </si>
  <si>
    <t>BONIFICO SEPADistinta: 177010750777110PTDEF SEF ITALIA SSD A RL</t>
  </si>
  <si>
    <t>BONIFICO SEPADa NEXI Payments Spa TRN 070189770016NPPASU0000000000IT CIPBITMM per PV 1000001228596 ACCREDITO CIRCUITI INTERNAZ. 02022</t>
  </si>
  <si>
    <t>BONIFICO SEPADa Scalapay IP S.p.a. TRN 3601826020304524483532537603980-008 CBPSIT31XXX per 2026-02-02 - GEOS S SDRL - Scalapay IP S.p</t>
  </si>
  <si>
    <t>PAGAMENTO POSGOOGLE *ADS5278163162  01/02/2026 14.17 DUBLIN 2      Op.607179 carta ****0501</t>
  </si>
  <si>
    <t>BONIF. VS. FAVORE - BON.DA NEXI Payments Spa - PV 1000001228627 ACCREDITO CIRCUITI INTERNAZ. 020226 RIF 1109697676499</t>
  </si>
  <si>
    <t>RIMBORSO FINANZ. - MUTUO N.4080 4779232 RATA 03/02/2026</t>
  </si>
  <si>
    <t>AMAZON* DX0NZ2FU5\38 Avenue John F Kennedy\LUXEMBOURG\1855      DUBLUX</t>
  </si>
  <si>
    <t>AMZN Mktp IT*OR6UT6535\5 rue plaetis\LUXEMBOURG\L2338     LUXLUX</t>
  </si>
  <si>
    <t>BONIFICO SEPADistinta: 17702043993031FEDDEF ALMEIDA DOS SANTOS RONALD 565,00 GALLUZZO AMBRA 120,00 PIGAZZI CRISTIANA 110,00 VASSALLO MARGHERITA 270,00 DI GENNARO ANTONELLA 75,00 CENZON ALICE 220,00</t>
  </si>
  <si>
    <t>BONIFICO SEPADistinta: 17701958673091C86DEF MARGHERITA BORDONI 170,00 ASSABI DAISY 220,00 ARUTA FRANCESCO PAOLO 270,00 ANTONUCCI KATIA 570,00 BONU PIETRO 210,00 BONCRISTIANO ALESSANDRO LORIS 455,00 BONACINA GRETA 90,00  BERNICCHIA ASIA 50,00 BISOFFI ELISA 195,00 BARTOLINI ELISA 170,00 BATTISTELLA STEFANO 160,00 AVILA LOZANO JORGE ALBERTO 220,00</t>
  </si>
  <si>
    <t>BONIFICO SEPADistinta: 17702014524101EIGDEF SANTORO ELEONORA 50,00 SARACCHI STEFANO 1.710,00 SETTI GIULIA 1.860,00 STANISCI ANGELA 600,00 TAZZI LEONARDO 45,00 VIKTORIIA TIUTINA 210,00 TODISCO GIADA 790,00 MARIYA EMILOVA VAKLINOVA 25,00</t>
  </si>
  <si>
    <t>BONIFICO SEPADistinta: 17701997465941DS8DEF ROBERTI IRENE 160,00 PACILLO CECILIA 170,00 NICETA AURELIO 45,00 RUSSO RAFFAELLA 130,00 ROY ILAGOU 270,00 ROSSI CLAUDIO 200,00 RANDAZZO GIUSEPPINA ERMINIA 320,00 PILLITTERI MARTINA 60,00 ANDREA PICCIRILLO 1.330,00 FILOMENA PELLEGRINO 180,00 PALAZZOTTO GIUSY 300,00</t>
  </si>
  <si>
    <t>BONIFICO SEPADistinta: 17701983361911DKSDEF MUZIO LUCIANA 120,00 LUISETTO FABIO 380,00 KUQI DORIAN 910,00 GEDDO ERIKA 240,00 GARIANO GIULIO 610,00 MIRAM MARTHE ROSE CELINE 750,00 MELE ROBERTO 450,00 MAZZAROLO ELISA 850,00 MARINO ALESSANDRA 680,00 MARICI GRAZIANA 730,00 FLAVIO ENRICO LOMBARDI 170,00 MALIN ILARIA 375,00 MAGARRO ALDRIN MEDEL 160,00</t>
  </si>
  <si>
    <t>BONIFICO SEPADistinta: 17702017089621F3IDEF GAETANO AMBROSIO 2.000,00 ELISA ARRIVABENE 2.000,00</t>
  </si>
  <si>
    <t>BONIFICO SEPADistinta: 17702019111121EDTDEF SEF ITALIA SSD A RL</t>
  </si>
  <si>
    <t>BONIFICO SEPADistinta: 177012982205917ECDEF SEF ITALIA SSD A RL</t>
  </si>
  <si>
    <t>BONIFICO SEPADistinta: 17701975024691CIPDEF FURIA FEDERICA 620,00 GAYA CIANI 230,00 CARIZZONI SIMONE 245,00 CAPELLI CONSUELO 120,00 CAMPOBELLO MARTINA 290,00 BORRI CLAUDIA 500,00 ANNA PAOLA ANTONIA FRANZINI TIBALDEO 315,00 FELLER CARLO 120,00 AMBER AURORA LUISA DUTTA 565,00 DE PONTES CAROLINA 100,00 Giulia D Arienzo 370,00 CUGGE NICHOLAS 360,00 ANNACHIARA CONTI 300,00 CEGLIE CINZIA 900,00</t>
  </si>
  <si>
    <t>BONIFICO SEPADa NEXI Payments Spa TRN 070290747076NPPASU0000000000IT CIPBITMM per PV 1000001228596 ACCREDITO CIRCUITI INTERNAZ. 03022</t>
  </si>
  <si>
    <t>BONIFICO SEPADa NEXI Payments Spa TRN 070291005056NPPASU0000000000IT CIPBITMM per PV 1000001228637 ACCREDITO CIRCUITI INTERNAZ. 03022</t>
  </si>
  <si>
    <t>BONIFICO SEPADa NEXI Payments Spa TRN 070290760076NPPASU0000000000IT CIPBITMM per PV 1000001228596 ACCREDITO BANCOMAT 030226 RIF 1111</t>
  </si>
  <si>
    <t>TENUTA CONTOADDEBITO RELATIVO AL PERIODO DI GENNAIO   2026</t>
  </si>
  <si>
    <t>CANONE SERVIZIO COLLEGAMENTO TELEMATICOADDEBITO CANONE DEL SERVIZIO BANCOPOSTAIMPRESA ONLINE RELATIVO AL PERIODO GENNAIO 2026 CONTRATTO N. 0059926216</t>
  </si>
  <si>
    <t>BONIF. VS. FAVORE - BON.DA NEXI Payments Spa - PV 1000001228627 ACCREDITO BANCOMAT 030226 RIF 1111088683199</t>
  </si>
  <si>
    <t>BONIF. VS. FAVORE - BON.DA NEXI Payments Spa - PV 1000001228627 ACCREDITO CIRCUITI INTERNAZ. 030226 RIF 1111088679299</t>
  </si>
  <si>
    <t xml:space="preserve"> € 25,00 attività + 	 € 50,00 tess contanti</t>
  </si>
  <si>
    <t>BONIFICO SEPADistinta: 17702784277351LVVDEF AMBROSIO GAETANO 2.000,00 ALESSIA LESLY VARGAS SARAVIA 500,00 VILLALTA QUINTANILLA ZOILA GUADALUPE 1.250,00 JHASSIER BLANCO DE LA ROSA 1.250,00 ARRIVABENE ELISA 2.000,00 BONILLA ZAVALA KEVIN ALEXANDER 1.600,00 FUMAGALLI GIUDITTA 1.705,00 JANNELLI SARA 1.500,00 XIOMARA ALEXANDRA MALDONADO TORRES 1.700,00 MOUSTAFA ISRAA HANI MOHAMED 1.700,00 MANTICE SANTO 2.500,00 SEGURA PINEDA SANDRA ESTEFANY 1.600,00 VILLON BAJANA JOEL ERNESTO 1.700,00</t>
  </si>
  <si>
    <t>BONIFICO SEPADistinta: 17702833236361NMRDEF Cavaliere Alessio</t>
  </si>
  <si>
    <t>BONIFICO SEPADa NEXI Payments Spa TRN 070403991086NPPASU0000000000IT CIPBITMM per PV 1000001228637 ACCREDITO CIRCUITI INTERNAZ. 04022</t>
  </si>
  <si>
    <t>BONIFICO SEPADa NEXI Payments Spa TRN 070403670126NPPASU0000000000IT CIPBITMM per PV 1000001228596 ACCREDITO BANCOMAT 040226 RIF 1112</t>
  </si>
  <si>
    <t>BONIFICO SEPADa NEXI Payments Spa TRN 070403660026NPPASU0000000000IT CIPBITMM per PV 1000001228596 ACCREDITO CIRCUITI INTERNAZ. 04022</t>
  </si>
  <si>
    <t>BONIFICO SEPADa Scalapay IP S.p.a. TRN 3601826020504511114211440880048-008 CBPSIT31XXX per 2026-02-04 - GEOS S SDRL - Scalapay IP S.p</t>
  </si>
  <si>
    <t>BONIF. VS. FAVORE - BON.DA NEXI Payments Spa - PV 1000001228627 ACCREDITO CIRCUITI INTERNAZ. 040226 RIF 1112448422499</t>
  </si>
  <si>
    <t>BONIF. VS. FAVORE - BON.DA NEXI Payments Spa - PV 1000001228627 ACCREDITO BANCOMAT 040226 RIF 1112448425499</t>
  </si>
  <si>
    <t>BONIFICO SEPADa NEW WAVE S.R.L. TRN 1101260360235514 UNCRITMM per saldo fatt. n. 713/2025 n.3/2026</t>
  </si>
  <si>
    <t>BONIFICO SEPADistinta: 1770368199974213RDEF Anna Benedetti 700,00 BELLAY DAVID LAURENT 1.610,00 GRANDE SILVIA 1.620,00 SPAGNOLO SILVIA 300,00</t>
  </si>
  <si>
    <t>BONIFICO SEPADistinta: 17703049255701SD2DEF LAURA DILETTA BERNARDINI 594,80 BOSCOLO ANZOLETTI GIULIA 600,00 Caprioli Claudio 654,78 Quecchia Vanessa 353,20 Chiocchetti Arianna 202,00 Losa Cristina 583,20 Serra Michele 690,00</t>
  </si>
  <si>
    <t>BONIFICO SEPADistinta: 17703734087032228DEF BRIANZA DANZA FESTIVAL</t>
  </si>
  <si>
    <t>BONIFICO SEPADistinta: 17703043808051TAODEF GIACOMO BERTONI 55,00 RICCARDO ROGNONI 370,00 Di Marzo Federica 60,00 Farioli Cristina 390,00 Kamizele Carlos 700,00	IT56 Maccio Lorenzo 280,00 Murgianu Giulia 514,60 Nazzari Federica 521,60 Russo Pietro 60,00 YUSEF ZAHIR 150,00</t>
  </si>
  <si>
    <t>BONIFICO SEPADa NEXI Payments Spa TRN 070516240026NPPASU0000000000IT CIPBITMM per PV 1000001228596 ACCREDITO CIRCUITI INTERNAZ. 05022</t>
  </si>
  <si>
    <t>BONIFICO SEPADa NEXI Payments Spa TRN 070516261106NPPASU0000000000IT CIPBITMM per PV 1000001228596 ACCREDITO BANCOMAT 050226 RIF 1113</t>
  </si>
  <si>
    <t>BONIFICO SEPADa NEXI Payments Spa TRN 070513990016NPPASU0000000000IT CIPBITMM per PV 1000001228637 ACCREDITO CIRCUITI INTERNAZ. 05022</t>
  </si>
  <si>
    <t>BONIF. VS. FAVORE - BON.DA NEXI Payments Spa - PV 1000001228627 ACCREDITO CIRCUITI INTERNAZ. 050226 RIF 1113903277499</t>
  </si>
  <si>
    <t>BONIF. VS. FAVORE - BON.DA SCARTEDDU GIULIA - SCARTEDDU GIULIA Quota attivita E280</t>
  </si>
  <si>
    <t xml:space="preserve"> € 142,50 attività +	 € 25,00 tess contanti</t>
  </si>
  <si>
    <t xml:space="preserve"> € 15,00 attività +	 € 25,00 tess contanti</t>
  </si>
  <si>
    <t>BONIFICO SEPADa NEXI Payments Spa TRN 070629186046NPPASU0000000000IT CIPBITMM per PV 1000001228596 ACCREDITO BANCOMAT 060226 RIF 1115</t>
  </si>
  <si>
    <t>BONIFICO SEPADa NEXI Payments Spa TRN 070731020096NPPASU0000000000IT CIPBITMM per PV 1000001228637 ACCREDITO CIRCUITI INTERNAZ. 07022</t>
  </si>
  <si>
    <t>BONIFICO SEPADa NEXI Payments Spa TRN 070629170016NPPASU0000000000IT CIPBITMM per PV 1000001228596 ACCREDITO CIRCUITI INTERNAZ. 06022</t>
  </si>
  <si>
    <t>BONIFICO SEPADa NEXI Payments Spa TRN 070629555096NPPASU0000000000IT CIPBITMM per PV 1000001228637 ACCREDITO CIRCUITI INTERNAZ. 06022</t>
  </si>
  <si>
    <t>BONIFICO SEPADa NEXI Payments Spa TRN 070732654056NPPASU0000000000IT CIPBITMM per PV 1000001228596 ACCREDITO CIRCUITI INTERNAZ. 07022</t>
  </si>
  <si>
    <t>BONIFICO SEPADa NEXI Payments Spa TRN 070821841126NPPASU0000000000IT CIPBITMM per PV 1000001228637 ACCREDITO CIRCUITI INTERNAZ. 08022</t>
  </si>
  <si>
    <t>BONIFICO SEPADa NEXI Payments Spa TRN 070732662006NPPASU0000000000IT CIPBITMM per PV 1000001228596 ACCREDITO BANCOMAT 070226 RIF 1117</t>
  </si>
  <si>
    <t>BONIFICODa Satispay Europe S.A. TRN 3771d8c43be34020835b43dc9019d598 SATYLUL1XXX per Geos ssdr</t>
  </si>
  <si>
    <t>BONIF. VS. FAVORE - BON.DA LOMARTIRE GIAMBATTISTA - Raffaele Lomartire (pacchetto lezione Simone Carizzoni).</t>
  </si>
  <si>
    <t>BONIF. VS. FAVORE - BON.DA NEXI Payments Spa - PV 1000001228627 ACCREDITO CIRCUITI INTERNAZ. 060226 RIF 1115460119999</t>
  </si>
  <si>
    <t>BONIF. VS. FAVORE - BON.DA NEXI Payments Spa - PV 1000001228627 ACCREDITO CIRCUITI INTERNAZ. 070226 RIF 1117076412899</t>
  </si>
  <si>
    <t xml:space="preserve"> € 85,00 attività +	 € 50,00 tess contanti</t>
  </si>
  <si>
    <t>AMAZON* Z674S7P45\38 Avenue John F Kennedy\LUXEMBOURG\1855      DUBLUX</t>
  </si>
  <si>
    <t>BONIFICO SEPADistinta: 17707116217160BS9DEF PUGGIONI SAMUEL 520,00 ARAUJO CRUZ CARLOS WAGNER 2.710,00</t>
  </si>
  <si>
    <t xml:space="preserve">BONIFICO SEPADistinta: 17707103897360BDADEF CORNACCHIA YOHARA	</t>
  </si>
  <si>
    <t>BONIFICO SEPADistinta: 17707102366060C26DEF DI CARLO ERICA</t>
  </si>
  <si>
    <t>BONIFICO SEPADa NEXI Payments Spa TRN 070882703086NPPASU0000000000IT CIPBITMM per PV 1000001228596 ACCREDITO CIRCUITI INTERNAZ. 09022</t>
  </si>
  <si>
    <t>BONIFICO SEPADa NEXI Payments Spa TRN 070882716086NPPASU0000000000IT CIPBITMM per PV 1000001228596 ACCREDITO BANCOMAT 090226 RIF 1119</t>
  </si>
  <si>
    <t>BONIFICO SEPADa NEXI Payments Spa TRN 070883046006NPPASU0000000000IT CIPBITMM per PV 1000001228637 ACCREDITO CIRCUITI INTERNAZ. 09022</t>
  </si>
  <si>
    <t>BONIF. VS. FAVORE - BON.DA NEXI Payments Spa - PV 1000001228627 ACCREDITO CIRCUITI INTERNAZ. 090226 RIF 1119369950199</t>
  </si>
  <si>
    <t>BONIF. VS. FAVORE - BON.DA NEXI Payments Spa - PV 1000001228627 ACCREDITO BANCOMAT 090226 RIF 1119369953399</t>
  </si>
  <si>
    <t xml:space="preserve"> € 400,00 attività +	 € 100,00 tess contanti</t>
  </si>
  <si>
    <t>BONIFICODa Satispay Europe S.A. TRN 3cc5b6d79e02405dbf490e7f9b44b4b5 SATYLUL1XXX per Geos ssdr</t>
  </si>
  <si>
    <t>BONIFICO SEPADa ENCANTO CLUB LATINO ASS NE SPOR VA TRN 0306909453360308S90960609606IT BCITITMMXXX per FT 18 del 04/02/26 e FT 21 del</t>
  </si>
  <si>
    <t>BONIFICO SEPADistinta: 17708003190290OCIDEF Dal Pra Matteo</t>
  </si>
  <si>
    <t>BONIFICO SEPADistinta: 17707996028660N0ADEF Ambrosio tfr Perin Galamini e Gianesin Srl 179,81 Arrivabene tfr Perin Galamini e Gianesin Srl 186,62 Fumagalli tfr Perin Galamini e Gianesin Srl 130,09 Jannelli tfr Perin Galamini e Gianesin Srl 108,20 Hani Perin Galamini e Gianesin Srl 120,06</t>
  </si>
  <si>
    <t xml:space="preserve">BONIFICO SEPADistinta: 17707988148630NP1DEF Generali Italia SPA Tfr Maldonado e Villon </t>
  </si>
  <si>
    <t>BONIFICO SEPADistinta: 17707991593670MS7DEF HDI Assicurazioni S.P.A Tfr Segura</t>
  </si>
  <si>
    <t>BONIFICO SEPADa NEXI Payments Spa TRN 071000367096NPPASU0000000000IT CIPBITMM per PV 1000001228596 ACCREDITO BANCOMAT 100226 RIF 1120</t>
  </si>
  <si>
    <t>BONIFICO SEPADa NEXI Payments Spa TRN 070995310096NPPASU0000000000IT CIPBITMM per PV 1000001228637 ACCREDITO CIRCUITI INTERNAZ. 10022</t>
  </si>
  <si>
    <t>BONIFICO SEPADa NEXI Payments Spa TRN 071000355106NPPASU0000000000IT CIPBITMM per PV 1000001228596 ACCREDITO CIRCUITI INTERNAZ. 10022</t>
  </si>
  <si>
    <t>BONIF. VS. FAVORE - BON.DA NEXI Payments Spa - PV 1000001228627 ACCREDITO CIRCUITI INTERNAZ. 100226 RIF 1120791963999</t>
  </si>
  <si>
    <t>BONIF. VS. FAVORE - BON.DA NEXI Payments Spa - PV 1000001228627 ACCREDITO BANCOMAT 100226 RIF 1120791967599</t>
  </si>
  <si>
    <t>BONIF. VS. FAVORE - BON.DA POMINI MATTEO - POMINI COSTANZA - QUOTA ATTIVIT EURO280</t>
  </si>
  <si>
    <t>BONIF. VS. FAVORE - BON.DA MAZZELLI GIUSEPPE - Biglietti saggio 12 giugno Mazzelli Caterina</t>
  </si>
  <si>
    <t xml:space="preserve"> € 43,00 attività +	 € 50,00 tess contanti</t>
  </si>
  <si>
    <t>AMAZON* WO25C0YG5\38 Avenue John F Kennedy\LUXEMBOURG\1855      DUBLUX</t>
  </si>
  <si>
    <t xml:space="preserve">BONIFICO SEPADistinta: 177089135570312NBDEF Zanchetta Marco </t>
  </si>
  <si>
    <t>BONIFICO SEPADa NEXI Payments Spa TRN 071109556116NPPASU0000000000IT CIPBITMM per PV 1000001228596 ACCREDITO BANCOMAT 110226 RIF 1122</t>
  </si>
  <si>
    <t>BONIFICO SEPADa NEXI Payments Spa TRN 071109537056NPPASU0000000000IT CIPBITMM per PV 1000001228596 ACCREDITO CIRCUITI INTERNAZ. 11022</t>
  </si>
  <si>
    <t>BONIFICO SEPADa NEXI Payments Spa TRN 071109035106NPPASU0000000000IT CIPBITMM per PV 1000001228637 ACCREDITO CIRCUITI INTERNAZ. 11022</t>
  </si>
  <si>
    <t>BONIF. VS. FAVORE - BON.DA LUDOVICA LATINI GUICCIARDI - Disposizione bonifico</t>
  </si>
  <si>
    <t>BONIF. VS. FAVORE - BON.DA NEXI Payments Spa - PV 1000001228627 ACCREDITO BANCOMAT 110226 RIF 1122240117299</t>
  </si>
  <si>
    <t>BONIF. VS. FAVORE - BON.DA NEXI Payments Spa - PV 1000001228627 ACCREDITO CIRCUITI INTERNAZ. 110226 RIF 1122240114599</t>
  </si>
  <si>
    <t xml:space="preserve"> € 75,00 tess contanti</t>
  </si>
  <si>
    <t>FACEBK *U5MKPG9TD2\Merrion Road\DUBLIN\D04 X2K5  IRLIRL</t>
  </si>
  <si>
    <t>AMAZON* VJ29A7FU5\38 Avenue John F Kennedy\LUXEMBOURG\1855      DUBLUX</t>
  </si>
  <si>
    <t xml:space="preserve">BONIFICO SEPADistinta: 1770911369629170DDEF Croce Alessia </t>
  </si>
  <si>
    <t>BONIFICO SEPADa NEXI Payments Spa TRN 071220689076NPPASU0000000000IT CIPBITMM per PV 1000001228637 ACCREDITO CIRCUITI INTERNAZ. 12022</t>
  </si>
  <si>
    <t>BONIFICO SEPADa NEXI Payments Spa TRN 071220737036NPPASU0000000000IT CIPBITMM per PV 1000001228596 ACCREDITO BANCOMAT 120226 RIF 1123</t>
  </si>
  <si>
    <t>BONIFICO SEPADa NEXI Payments Spa TRN 071220724036NPPASU0000000000IT CIPBITMM per PV 1000001228596 ACCREDITO CIRCUITI INTERNAZ. 12022</t>
  </si>
  <si>
    <t>BONIFICODa Satispay Europe S.A. TRN 6910b506737d4e0daef9730dc579f9b1 SATYLUL1XXX per Geos ssdr</t>
  </si>
  <si>
    <t>BONIFICODa Gympass US LLC TRN H3XHL2S34SSB CHASNL2XXXX per WellhubGym</t>
  </si>
  <si>
    <t>BONIFICO SEPADa MODULO PROJECT S.R.L. TRN 1101260430539264 UNCRITMM per Fattura n. 61 del 12/02/2026 - Affitto Studio Gennaio extra</t>
  </si>
  <si>
    <t>BONIFICO SEPADa MODULO PROJECT S.R.L. TRN 1101260430539887 UNCRITMM per Affitto studi Gennaio 2026</t>
  </si>
  <si>
    <t>BONIFICO SEPADa MODULO PROJECT S.R.L. TRN 1101260430540507 UNCRITMM per Fattura n. 63 del 12/02/2026 - Affitto sale Modulo extra genn</t>
  </si>
  <si>
    <t>BONIF. VS. FAVORE - BON.DA NEXI Payments Spa - PV 1000001228627 ACCREDITO BANCOMAT 120226 RIF 1123697938099</t>
  </si>
  <si>
    <t>BONIF. VS. FAVORE - BON.DA NEXI Payments Spa - PV 1000001228627 ACCREDITO CIRCUITI INTERNAZ. 120226 RIF 1123697934299</t>
  </si>
  <si>
    <t>BONIF. VS. FAVORE - BON.DA ANGELO CRIPPA - Crippa Francesca quota attivita euro 300</t>
  </si>
  <si>
    <t xml:space="preserve"> € 55,00 	attività + € 100,00 tess contanti</t>
  </si>
  <si>
    <t xml:space="preserve"> € 275,00 attività +	 € 25,00 tess contanti</t>
  </si>
  <si>
    <t>€ 50,00 tess contanti</t>
  </si>
  <si>
    <t>BONIFICO SEPADa Scalapay IP S.p.a. TRN 3601826021604513598848463302639-008 CBPSIT31XXX per 2026-02-15 - GEOS S SDRL - Scalapay IP S.p</t>
  </si>
  <si>
    <t>BONIFICODa Satispay Europe S.A. TRN 0f5d169fc60d4a21ba680027aafc911f SATYLUL1XXX per Geos ssdr</t>
  </si>
  <si>
    <t>I24 AGENZIA ENTRATE - PAG.TO TELEMATICO - DATA INCASSO 16/02/2026 2026-02-13-22.44.41.600440019612</t>
  </si>
  <si>
    <t>I24 AGENZIA ENTRATE - PAG.TO TELEMATICO - DATA INCASSO 16/02/2026 2026-02-13-22.44.41.600440019613</t>
  </si>
  <si>
    <t>BONIFICO SEPADistinta: 17712456823671Q1PDEF CIBU KO SOCIETA' SPORTIVA DILETTANTISTICA SRL</t>
  </si>
  <si>
    <t>BONIFICO SEPADistinta: 1771247079791059ADEF SEF ITALIA SSD A RL</t>
  </si>
  <si>
    <t>BONIFICO SEPADistinta: 17712465885961Q5GDEF Lo Iacono Michele</t>
  </si>
  <si>
    <t>BONIFICO SEPADa NEXI Payments Spa TRN 071338186106NPPASU0000000000IT CIPBITMM per PV 1000001228596 ACCREDITO CIRCUITI INTERNAZ. 13022</t>
  </si>
  <si>
    <t>BONIFICO SEPADa NEXI Payments Spa TRN 071441096126NPPASU0000000000IT CIPBITMM per PV 1000001228637 ACCREDITO CIRCUITI INTERNAZ. 14022</t>
  </si>
  <si>
    <t>BONIFICO SEPADa NEXI Payments Spa TRN 071440677096NPPASU0000000000IT CIPBITMM per PV 1000001228596 ACCREDITO CIRCUITI INTERNAZ. 14022</t>
  </si>
  <si>
    <t>BONIFICO SEPADa NEXI Payments Spa TRN 071337128056NPPASU0000000000IT CIPBITMM per PV 1000001228637 ACCREDITO CIRCUITI INTERNAZ. 13022</t>
  </si>
  <si>
    <t>BONIFICO SEPADa NEXI Payments Spa TRN 071536610026NPPASU0000000000IT CIPBITMM per PV 1000001228596 ACCREDITO BANCOMAT 150226 RIF 1128</t>
  </si>
  <si>
    <t>BONIFICO SEPADa NEXI Payments Spa TRN 071532778056NPPASU0000000000IT CIPBITMM per PV 1000001228637 ACCREDITO CIRCUITI INTERNAZ. 15022</t>
  </si>
  <si>
    <t>BONIFICO SEPADa NEXI Payments Spa TRN 071536598036NPPASU0000000000IT CIPBITMM per PV 1000001228596 ACCREDITO CIRCUITI INTERNAZ. 15022</t>
  </si>
  <si>
    <t>BONIFICO SEPADa NEXI Payments Spa TRN 071338204026NPPASU0000000000IT CIPBITMM per PV 1000001228596 ACCREDITO BANCOMAT 130226 RIF 1125</t>
  </si>
  <si>
    <t>BONIF. VS. FAVORE - BON.DA NEXI Payments Spa - PV 1000001228627 ACCREDITO BANCOMAT 140226 RIF 1127082086299</t>
  </si>
  <si>
    <t>BONIF. VS. FAVORE - BON.DA NEXI Payments Spa - PV 1000001228627 ACCREDITO CIRCUITI INTERNAZ. 140226 RIF 1127082083699</t>
  </si>
  <si>
    <t>BONIF. VS. FAVORE - BON.DA NEXI Payments Spa - PV 1000001228627 ACCREDITO BANCOMAT 130226 RIF 1125361605299</t>
  </si>
  <si>
    <t>BONIF. VS. FAVORE - BON.DA NEXI Payments Spa - PV 1000001228627 ACCREDITO CIRCUITI INTERNAZ. 130226 RIF 1125361600299</t>
  </si>
  <si>
    <t>BONIFICO SEPADistinta: 1771324134012032CDEF SEF ITALIA SSD A RL</t>
  </si>
  <si>
    <t>BONIFICO SEPADa Scalapay IP S.p.a. TRN 3601826021708193320886166232172-008 CBPSIT31XXX per 2026-02-16 - GEOS S SDRL - Scalapay IP S.p</t>
  </si>
  <si>
    <t>BONIFICO SEPADa NEXI Payments Spa TRN 071594188036NPPASU0000000000IT CIPBITMM per PV 1000001228596 ACCREDITO BANCOMAT 160226 RIF 1129</t>
  </si>
  <si>
    <t>BONIFICO SEPADa NEXI Payments Spa TRN 071594177056NPPASU0000000000IT CIPBITMM per PV 1000001228596 ACCREDITO CIRCUITI INTERNAZ. 16022</t>
  </si>
  <si>
    <t>BONIFICO SEPADa NEXI Payments Spa TRN 071593848016NPPASU0000000000IT CIPBITMM per PV 1000001228637 ACCREDITO CIRCUITI INTERNAZ. 16022</t>
  </si>
  <si>
    <t>BONIF. VS. FAVORE - BON.DA VECCHI VALENTINA - Valentina Vecchi Quota Attivita</t>
  </si>
  <si>
    <t>BONIF. VS. FAVORE - BON.DA NEXI Payments Spa - PV 1000001228627 ACCREDITO CIRCUITI INTERNAZ. 160226 RIF 1129507751299</t>
  </si>
  <si>
    <t>BONIF. VS. FAVORE - BON.DA NEXI Payments Spa - PV 1000001228627 ACCREDITO BANCOMAT 160226 RIF 1129507755299</t>
  </si>
  <si>
    <t>BONIFICODa Satispay Europe S.A. TRN be7d1df20217430389c4573871fc215e SATYLUL1XXX per Geos ssdr</t>
  </si>
  <si>
    <t>BONIFICO SEPADa NEXI Payments Spa TRN 071704676046NPPASU0000000000IT CIPBITMM per PV 1000001228596 ACCREDITO CIRCUITI INTERNAZ. 17022</t>
  </si>
  <si>
    <t>BONIFICO SEPADa NEXI Payments Spa TRN 071705194026NPPASU0000000000IT CIPBITMM per PV 1000001228637 ACCREDITO CIRCUITI INTERNAZ. 17022</t>
  </si>
  <si>
    <t>BONIF. VS. FAVORE - BON.DA NEXI Payments Spa - PV 1000001228627 ACCREDITO CIRCUITI INTERNAZ. 170226 RIF 1130950851699</t>
  </si>
  <si>
    <t xml:space="preserve"> € 665,00 attività +	 € 100,00 tess contanti</t>
  </si>
  <si>
    <t>AMAZON* N78CX7I25\38 Avenue John F Kennedy\LUXEMBOURG\1855      DUBLUX</t>
  </si>
  <si>
    <t>AMAZON* 1R2AV4W45\38 Avenue John F Kennedy\LUXEMBOURG\1855      DUBLUX</t>
  </si>
  <si>
    <t>BONIFICO SEPADa NEXI Payments Spa TRN 071816300106NPPASU0000000000IT CIPBITMM per PV 1000001228596 ACCREDITO CIRCUITI INTERNAZ. 18022</t>
  </si>
  <si>
    <t>BONIFICO SEPADa NEXI Payments Spa TRN 071816310076NPPASU0000000000IT CIPBITMM per PV 1000001228596 ACCREDITO BANCOMAT 180226 RIF 1132</t>
  </si>
  <si>
    <t>BONIFICO SEPADa NEXI Payments Spa TRN 071815209116NPPASU0000000000IT CIPBITMM per PV 1000001228637 ACCREDITO CIRCUITI INTERNAZ. 18022</t>
  </si>
  <si>
    <t>PAGAMENTO POSFIGMA                  17/02/2026 19.33 SAN FRANCISCO Op.612937 carta ****0501</t>
  </si>
  <si>
    <t>BONIF. VS. FAVORE - BON.DA NEXI Payments Spa - PV 1000001228627 ACCREDITO CIRCUITI INTERNAZ. 180226 RIF 1132418771199</t>
  </si>
  <si>
    <t>BONIFICO SEPADa Scalapay IP S.p.a. TRN 3601826022004525831019166159486-008 CBPSIT31XXX per 2026-02-19 - GEOS S SDRL - Scalapay IP S.p</t>
  </si>
  <si>
    <t>BONIFICO SEPADa KINETICVIBE SRL TRN VTP26050T0005752480160201600IT POSOIT2105N per Saldo per vs affitto studio del 22 Febbraio 2026</t>
  </si>
  <si>
    <t>BONIFICO SEPADistinta: 17715777270670RHGDEF IMMOBILIARE MONTE DI PIETA' SRL 16.964,69 Locatelli Erika 30,00 Bruzzese davide 317,00</t>
  </si>
  <si>
    <t>BONIFICO SEPADa NEXI Payments Spa TRN 071923554016NPPASU0000000000IT CIPBITMM per PV 1000001228596 ACCREDITO BANCOMAT 190226 RIF 1133</t>
  </si>
  <si>
    <t>BONIFICO SEPADa NEXI Payments Spa TRN 071923216016NPPASU0000000000IT CIPBITMM per PV 1000001228637 ACCREDITO CIRCUITI INTERNAZ. 19022</t>
  </si>
  <si>
    <t>BONIFICO SEPADa NEXI Payments Spa TRN 071923545056NPPASU0000000000IT CIPBITMM per PV 1000001228596 ACCREDITO CIRCUITI INTERNAZ. 19022</t>
  </si>
  <si>
    <t>BONIF. VS. FAVORE - BON.DA NEXI Payments Spa - PV 1000001228627 ACCREDITO CIRCUITI INTERNAZ. 190226 RIF 1133857117599</t>
  </si>
  <si>
    <t xml:space="preserve"> € 334,00 attività contanti</t>
  </si>
  <si>
    <t xml:space="preserve"> € 305,00 attività +	 € 175,00 tess contanti</t>
  </si>
  <si>
    <t>Da NEXI Payments Spa TRN 072044586036NPPASU0000000000IT CIPBITMM per PV 1000001228596 ACCREDITO CIRCUITI INTERNAZ. 20022</t>
  </si>
  <si>
    <t>BONIFICO SEPADa NEXI Payments Spa TRN 072150181126NPPASU0000000000IT CIPBITMM per PV 1000001228596 ACCREDITO CIRCUITI INTERNAZ. 21022</t>
  </si>
  <si>
    <t>BONIFICO SEPADa NEXI Payments Spa TRN 072050030006NPPASU0000000000IT CIPBITMM per PV 1000001228637 ACCREDITO CIRCUITI INTERNAZ. 20022</t>
  </si>
  <si>
    <t>BONIFICO SEPADa NEXI Payments Spa TRN 072242262016NPPASU0000000000IT CIPBITMM per PV 1000001228596 ACCREDITO BANCOMAT 220226 RIF 1138</t>
  </si>
  <si>
    <t>BONIFICO SEPADa NEXI Payments Spa TRN 072238805026NPPASU0000000000IT CIPBITMM per PV 1000001228637 ACCREDITO CIRCUITI INTERNAZ. 22022</t>
  </si>
  <si>
    <t>BONIFICO SEPADa NEXI Payments Spa TRN 072150688126NPPASU0000000000IT CIPBITMM per PV 1000001228637 ACCREDITO CIRCUITI INTERNAZ. 21022</t>
  </si>
  <si>
    <t>BONIF. VS. FAVORE - BON.DA CRISAN GIOVANNA ALESSIA - Quota Crisan Giovanna</t>
  </si>
  <si>
    <t>BONIF. VS. FAVORE - BON.DA NEXI Payments Spa - PV 1000001228627 ACCREDITO CIRCUITI INTERNAZ. 200226 RIF 1135489676899</t>
  </si>
  <si>
    <t>BONIF. VS. FAVORE - BON.DA NEXI Payments Spa - PV 1000001228627 ACCREDITO BANCOMAT 210226 RIF 1137221328699</t>
  </si>
  <si>
    <t>BONIF. VS. FAVORE - BON.DA NEXI Payments Spa - PV 1000001228627 ACCREDITO CIRCUITI INTERNAZ. 210226 RIF 1137221324799</t>
  </si>
  <si>
    <t>FACEBK *VB8RJDHTD2\Merrion Road\DUBLIN\D04 X2K5  IRLIRL</t>
  </si>
  <si>
    <t>AMAZON* 358XD04X5\38 Avenue John F Kennedy\LUXEMBOURG\1855      DUBLUX</t>
  </si>
  <si>
    <t>BONIFICO SEPADistinta: 17719379691291HFVDEF SEF ITALIA SSD A RL</t>
  </si>
  <si>
    <t>BONIFICO SEPADistinta: 17719296086191GIKDEF reso ELISABETTA OLIVERI</t>
  </si>
  <si>
    <t>BONIFICO SEPADa NEXI Payments Spa TRN 072307140096NPPASU0000000000IT CIPBITMM per PV 1000001228637 ACCREDITO CIRCUITI INTERNAZ. 23022</t>
  </si>
  <si>
    <t>BONIFICO SEPADa NEXI Payments Spa TRN 072306919096NPPASU0000000000IT CIPBITMM per PV 1000001228596 ACCREDITO CIRCUITI INTERNAZ. 23022</t>
  </si>
  <si>
    <t>BONIFICO SEPADa NEXI Payments Spa TRN 072306924016NPPASU0000000000IT CIPBITMM per PV 1000001228596 ACCREDITO BANCOMAT 230226 RIF 1139</t>
  </si>
  <si>
    <t>PAGAMENTO POSAlaio Cloud Limited    21/02/2026 07.51 Limassol      Op.612496 carta ****0501</t>
  </si>
  <si>
    <t>SPESE - BOLLO CTR POS NUMIA N. 000000060000620801</t>
  </si>
  <si>
    <t>BONIF. VS. FAVORE - BON.DA NEXI Payments Spa - PV 1000001228627 ACCREDITO BANCOMAT 230226 RIF 1139627521199</t>
  </si>
  <si>
    <t>BONIF. VS. FAVORE - BON.DA NEXI Payments Spa - PV 1000001228627 ACCREDITO CIRCUITI INTERNAZ. 230226 RIF 1139627518099</t>
  </si>
  <si>
    <t xml:space="preserve"> € 65,00 Attività + 	 € 50,00 tess contanti</t>
  </si>
  <si>
    <t>AMAZON* BC26U1DT5\38 Avenue John F Kennedy\LUXEMBOURG\1855      DUBLUX</t>
  </si>
  <si>
    <t>BONIFICO SEPADistinta: 17720111981471MCJDEF GENCA AUGUSTO 280,60 GENCA AUGUSTO 549,00 LOIACONO EMANUEL 2.300,00</t>
  </si>
  <si>
    <t>BONIFICO SEPADa NEXI Payments Spa TRN 072420599046NPPASU0000000000IT CIPBITMM per PV 1000001228596 ACCREDITO CIRCUITI INTERNAZ. 24022</t>
  </si>
  <si>
    <t>BONIFICO SEPADa NEXI Payments Spa TRN 072420617096NPPASU0000000000IT CIPBITMM per PV 1000001228596 ACCREDITO BANCOMAT 240226 RIF 1141</t>
  </si>
  <si>
    <t>BONIFICO SEPADa NEXI Payments Spa TRN 072420939066NPPASU0000000000IT CIPBITMM per PV 1000001228637 ACCREDITO CIRCUITI INTERNAZ. 24022</t>
  </si>
  <si>
    <t>DOMICILIAZIONE (ADDEBITO DIRETTO SEPA)FASTWEB S.p.A.       CID.IT200010000093026890017             MAN.09305930969</t>
  </si>
  <si>
    <t>BONIF. VS. FAVORE - BON.DA NEXI Payments Spa - PV 1000001228627 ACCREDITO BANCOMAT 240226 RIF 1141061477899</t>
  </si>
  <si>
    <t xml:space="preserve"> € 25,00 attività +	 € 125,00 tess contanti</t>
  </si>
  <si>
    <t>ferramenta (scontrino)</t>
  </si>
  <si>
    <t xml:space="preserve">Isabel Seabra fatt n 159 del26feb2026 ( mese di Febbraio ) </t>
  </si>
  <si>
    <t>BONIFICO SEPADa TG NEW CO SRL TRN 0000051312562701486405064050IT CIVIIT2CXXX per SUPP PAGAMENTO FT. N. 72 DEL 25.02.2026</t>
  </si>
  <si>
    <t>BONIFICO SEPADa NEXI Payments Spa TRN 072538303066NPPASU0000000000IT CIPBITMM per PV 1000001228637 ACCREDITO CIRCUITI INTERNAZ. 25022</t>
  </si>
  <si>
    <t>BONIFICO SEPADa NEXI Payments Spa TRN 072535726036NPPASU0000000000IT CIPBITMM per PV 1000001228596 ACCREDITO CIRCUITI INTERNAZ. 25022</t>
  </si>
  <si>
    <t>BONIFICO SEPADa NEXI Payments Spa TRN 072535738026NPPASU0000000000IT CIPBITMM per PV 1000001228596 ACCREDITO BANCOMAT 250226 RIF 1142</t>
  </si>
  <si>
    <t>BONIFICO SEPA ISTANTANEOTRN EUBAITM1XXX 0000626022608581976671598928890-008 DA 93 DM S.R.L. PER FT 74 e 75 del 26.02.26</t>
  </si>
  <si>
    <t>BONIF. VS. FAVORE - BON.DA NEXI Payments Spa - PV 1000001228627 ACCREDITO CIRCUITI INTERNAZ. 250226 RIF 1142522231499</t>
  </si>
  <si>
    <t>BONIF. VS. FAVORE - BON.DA NEXI Payments Spa - PV 1000001228627 ACCREDITO BANCOMAT 250226 RIF 1142522234799</t>
  </si>
  <si>
    <t xml:space="preserve">BONIFICO SEPADistinta: 177218805868329LVDEF Fabio Pagani (BLSD e primo soccorso ) </t>
  </si>
  <si>
    <t>BONIFICODa Satispay Europe S.A. TRN 2ab7203f3b694cfcaef86a23c8e4079c SATYLUL1XXX per Geos ssdr</t>
  </si>
  <si>
    <t>BONIFICO SEPADa NEXI Payments Spa TRN 072647942036NPPASU0000000000IT CIPBITMM per PV 1000001228637 ACCREDITO CIRCUITI INTERNAZ. 26022</t>
  </si>
  <si>
    <t>BONIFICO SEPADa Scalapay IP S.p.a. TRN 3601826022704531720119022693789-008 CBPSIT31XXX per 2026-02-26 - GEOS S SDRL - Scalapay IP S.p</t>
  </si>
  <si>
    <t>BONIFICO SEPADa NEXI Payments Spa TRN 072647069016NPPASU0000000000IT CIPBITMM per PV 1000001228596 ACCREDITO CIRCUITI INTERNAZ. 26022</t>
  </si>
  <si>
    <t>BONIFICO SEPADa ORASESTA SPA TRN 5034901525006056482020001600IT BAPPIT22 per ORASESTA SPA - GEOS S.S.D. A RL C.F. 09305930969 RIF. 14</t>
  </si>
  <si>
    <t>BONIF. VS. FAVORE - BON.DA NEXI Payments Spa - PV 1000001228627 ACCREDITO CIRCUITI INTERNAZ. 260226 RIF 1144010515099</t>
  </si>
  <si>
    <t>BONIF. VS. FAVORE - BON.DA MEMOLLARI XHESIKA - MEMOLLARI XHESIKA - Quota attivita. E25</t>
  </si>
  <si>
    <t xml:space="preserve"> € 25,00 attività +	 € 25,00 tess contanti</t>
  </si>
  <si>
    <t>AMAZON* N43KZ6ML5\38 Avenue John F Kennedy\LUXEMBOURG\1855      DUBLUX</t>
  </si>
  <si>
    <t>GOOGLE*GOOGLE ONE\70 SIR JOHN ROGERSON'S QUAY\DUBLIN\D02 R296     IRL</t>
  </si>
  <si>
    <t xml:space="preserve"> € 170,00 attività +	 € 25,00 tess contanti</t>
  </si>
  <si>
    <t xml:space="preserve"> € 27,00 attività contanti</t>
  </si>
  <si>
    <t>BONIFICO SEPADa BCS BIOMEDICAL COMPUTERING SYSTEMS SRL TRN 0306928043769000485127051270IT BCITITMMXXX per NOTA CREDITO N.507666/D DEL</t>
  </si>
  <si>
    <t xml:space="preserve"> € 310,00 attività +	 € 25,00 tess contanti</t>
  </si>
  <si>
    <t>BONIFICODa Satispay Europe S.A. TRN 67763ee066a94416aaaf786c0db5b79d SATYLUL1XXX per Geos ssdr</t>
  </si>
  <si>
    <t>BONIFICO SEPADa Scalapay IP S.p.a. TRN 3601826030208372938948139880222-008 CBPSIT31XXX per 2026-03-01 - GEOS S SDRL - Scalapay IP S.p</t>
  </si>
  <si>
    <t>BONIFICO SEPADa NEXI Payments Spa TRN 072874287056NPPASU0000000000IT CIPBITMM per PV 1000001228596 ACCREDITO BANCOMAT 280226 RIF 1148</t>
  </si>
  <si>
    <t>BONIFICO SEPADa NEXI Payments Spa TRN 072874278096NPPASU0000000000IT CIPBITMM per PV 1000001228596 ACCREDITO CIRCUITI INTERNAZ. 28022</t>
  </si>
  <si>
    <t>BONIFICO SEPADa NEXI Payments Spa TRN 072760418036NPPASU0000000000IT CIPBITMM per PV 1000001228596 ACCREDITO CIRCUITI INTERNAZ. 27022</t>
  </si>
  <si>
    <t>BONIFICO SEPADa NEXI Payments Spa TRN 072865953046NPPASU0000000000IT CIPBITMM per PV 1000001228637 ACCREDITO CIRCUITI INTERNAZ. 28022</t>
  </si>
  <si>
    <t>BONIFICO SEPADa NEXI Payments Spa TRN 072760438106NPPASU0000000000IT CIPBITMM per PV 1000001228596 ACCREDITO BANCOMAT 270226 RIF 1145</t>
  </si>
  <si>
    <t>BONIFICO SEPADa NEXI Payments Spa TRN 072952464006NPPASU0000000000IT CIPBITMM per PV 1000001228637 ACCREDITO CIRCUITI INTERNAZ. 01032</t>
  </si>
  <si>
    <t>BONIFICO SEPADa NEXI Payments Spa TRN 072760673116NPPASU0000000000IT CIPBITMM per PV 1000001228637 ACCREDITO CIRCUITI INTERNAZ. 27022</t>
  </si>
  <si>
    <t>BONIF. VS. FAVORE - BON.DA NEXI Payments Spa - PV 1000001228627 ACCREDITO CIRCUITI INTERNAZ. 270226 RIF 1145646986699</t>
  </si>
  <si>
    <t>BONIF. VS. FAVORE - BON.DA NEXI Payments Spa - PV 1000001228627 ACCREDITO BANCOMAT 280226 RIF 1148121854099</t>
  </si>
  <si>
    <t>BONIF. VS. FAVORE - BON.DA NEXI Payments Spa - PV 1000001228627 ACCREDITO CIRCUITI INTERNAZ. 280226 RIF 1148121844699</t>
  </si>
  <si>
    <t>BONIFICO SEPADistinta: 1772537704453316CDEF RUSSO RAFFAELLA 160,00 SARACCHI STEFANO 2.870,00 SETTI GIULIA 2.100,00 STANISCI ANGELA 880,00 TAZZI LEONARDO 100,00 VIKTORIIA TIUTINA 320,00 TODISCO GIADA 1.340,00 MARIYA EMILOVA VAKLINOVA 100,00</t>
  </si>
  <si>
    <t>BONIFICO SEPADistinta: 17725327076582V8CDEF BONU PIETRO 220,00 BARTOLINI ELISA 225,00 AVILA LOZANO JORGE ALBERTO 460,00 ARUTA FRANCESCO PAOLO 270,00 ASSABI DAISY 280,00 ANTONUCCI KATIA 700,00 BORRI CLAUDIA 480,00 CAMPOBELLO MARTINA 300,00 MARGHERITA BORDONI 200,00 BONCRISTIANO ALESSANDRO LORIS 620,00 BONACINA GRETA 160,00 BERNICCHIA ASIA 160,00 BISOFFI ELISA 275,00 BATTISTELLA STEFANO 120,00</t>
  </si>
  <si>
    <t xml:space="preserve">BONIFICO SEPADistinta: 177253796563932RRDEF GAETANO AMBROSIO 2.000,00 ELISA ARRIVABENE 2.000,00	</t>
  </si>
  <si>
    <t>BONIFICO SEPADistinta: 1772536925254325UDEF ROY ILAGOU 385,00 NICETA AURELIO 100,00 ROBERTI IRENE 200,00 RANDAZZO GIUSEPPINA ERMINIA 140,00 ROSSI CLAUDIO 235,00 PILLITTERI MARTINA 150,00 ANDREA PICCIRILLO 1.540,00 PALAZZOTTO GIUSY 400,00 FILOMENA PELLEGRINO 560,00 PACILLO CECILIA 200,00</t>
  </si>
  <si>
    <t>BONIFICO SEPADistinta: 177253415142431AUDEF FURIA FEDERICA 700,00 CARIZZONI SIMONE 300,00 CAPELLI CONSUELO 200,00 ANNA PAOLA ANTONIA FRANZINI TIBALDEO 325,00 FELLER CARLO 120,00 AMBER AURORA LUISA DUTTA 925,00 DE PONTES CAROLINA 200,00 Giulia D Arienzo 400,00 ANNACHIARA CONTI 300,00 GAYA CIANI 300,00 CEGLIE CINZIA 1.200,00</t>
  </si>
  <si>
    <t>BONIFICO SEPADistinta: 1772535901292322TDEF MUZIO LUCIANA 120,00 FLAVIO ENRICO LOMBARDI 200,00 KUQI DORIAN 880,00 360,00 GARIANO GIULIO 735,00 MIRAM MARTHE ROSE CELINE 720,00 MELE ROBERTO 480,00 MAZZAROLO ELISA 900,00 MARINO ALESSANDRA 630,00 MARICI GRAZIANA 985,00 MALIN ILARIA 400,00 MAGARRO ALDRIN MEDEL 285,00 LUISETTO FABIO 580,00</t>
  </si>
  <si>
    <t>BONIFICO SEPADistinta: 17725316240143090DEF GRANDE SILVIA 1.375,00 NEMBRI MASSIMILIANO VALENTINO 3.130,00</t>
  </si>
  <si>
    <t>BONIFICO SEPADa NEXI Payments Spa TRN 073024322076NPPASU0000000000IT CIPBITMM per PV 1000001228596 ACCREDITO CIRCUITI INTERNAZ. 02032</t>
  </si>
  <si>
    <t>BONIFICO SEPADa NEXI Payments Spa TRN 073035189066NPPASU0000000000IT CIPBITMM per PV 1000001228637 ACCREDITO CIRCUITI INTERNAZ. 02032</t>
  </si>
  <si>
    <t>BONIFICO SEPADa ENCANTO CLUB LATINO ASS NE SPOR VA TRN 0306909968289109S90960609606IT BCITITMMXXX per FT 66 del 17/02/26 e 70 del 25/</t>
  </si>
  <si>
    <t>PAGAMENTO POSGOOGLE *ADS5278163162  01/03/2026 10.47 DUBLIN 2      Op.612887 carta ****0501</t>
  </si>
  <si>
    <t>BONIF. VS. FAVORE - BON.DA NEXI Payments Spa - PV 1000001228627 ACCREDITO CIRCUITI INTERNAZ. 020326 RIF 1150618506199</t>
  </si>
  <si>
    <t>BONIF. VS. FAVORE - BON.DA NEXI Payments Spa - PV 1000001228627 ACCREDITO BANCOMAT 020326 RIF 1150618509699</t>
  </si>
  <si>
    <t>BONIF. VS. FAVORE - BON.DA TUCCIMEI FILIPPO E GONZALEZ STELLA MA - Mia e Tea Tuccimei Quota attivita euro 50</t>
  </si>
  <si>
    <t>RIMBORSO FINANZ. - MUTUO N.4080 4779232 RATA 03/03/2026</t>
  </si>
  <si>
    <t xml:space="preserve"> € 970,00 attività +	 € 100,00 tess contanti</t>
  </si>
  <si>
    <t xml:space="preserve">BONIFICO SEPADistinta: 17726236810013BGTDEF La rotonda </t>
  </si>
  <si>
    <t>BONIFICO SEPADa NEXI Payments Spa TRN 073139549026NPPASU0000000000IT CIPBITMM per PV 1000001228596 ACCREDITO CIRCUITI INTERNAZ. 03032</t>
  </si>
  <si>
    <t>BONIFICO SEPADa NEXI Payments Spa TRN 073139568086NPPASU0000000000IT CIPBITMM per PV 1000001228596 ACCREDITO BANCOMAT 030326 RIF 1152</t>
  </si>
  <si>
    <t>BONIFICO SEPADa Scalapay IP S.p.a. TRN 3601826030404504539221898999387-008 CBPSIT31XXX per 2026-03-03 - GEOS S SDRL - Scalapay IP S.p</t>
  </si>
  <si>
    <t>TENUTA CONTOADDEBITO RELATIVO AL PERIODO DI FEBBRAIO  2026</t>
  </si>
  <si>
    <t>CANONE SERVIZIO COLLEGAMENTO TELEMATICOADDEBITO CANONE DEL SERVIZIO BANCOPOSTAIMPRESA ONLINE RELATIVO AL PERIODO FEBBRAIO 2026 CONTRATTO N. 0059926216</t>
  </si>
  <si>
    <t>BONIF. VS. FAVORE - BON.DA NEXI Payments Spa - PV 1000001228627 ACCREDITO BANCOMAT 030326 RIF 1152100876599</t>
  </si>
  <si>
    <t>BONIF. VS. FAVORE - BON.DA NEXI Payments Spa - PV 1000001228627 ACCREDITO CIRCUITI INTERNAZ. 030326 RIF 1152100872099</t>
  </si>
  <si>
    <t>BONIFICO SEPADa NEXI Payments Spa TRN 073255816106NPPASU0000000000IT CIPBITMM per PV 1000001228596 ACCREDITO BANCOMAT 040326 RIF 1153</t>
  </si>
  <si>
    <t>BONIFICO SEPADa NEXI Payments Spa TRN 073255802096NPPASU0000000000IT CIPBITMM per PV 1000001228596 ACCREDITO CIRCUITI INTERNAZ. 04032</t>
  </si>
  <si>
    <t>BONIF. VS. FAVORE - BON.DA NEXI Payments Spa - PV 1000001228627 ACCREDITO CIRCUITI INTERNAZ. 040326 RIF 1153587298099</t>
  </si>
  <si>
    <t>Cartoleria (scontrino)</t>
  </si>
  <si>
    <t xml:space="preserve"> € 25,00 attività + € 25,00 tess contanti</t>
  </si>
  <si>
    <t xml:space="preserve">BONIFICO SEPADistinta: 177279132563303UEDEF SatisWelfare S.p.A.	</t>
  </si>
  <si>
    <t>BONIFICO SEPADistinta: 17727893758950339DEF TEAMSYSTEM SPA 948,67 TEAMSYSTEM SPA 85,40 Brescianini e Co srl 1.818,48 ARIETE DUE DI CAJAHUARINGA JASMIN 4.402,00 Dr. Grillo Santi 4.443,00</t>
  </si>
  <si>
    <t>BONIFICO SEPADistinta: 17727191078570336DEF ALMEIDA DOS SANTOS RONALD 650,00 Anna Benedetti 835,00 BELLAY DAVID LAURENT 2.000,00 ARAUJO CRUZ CARLOS WAGNER 4.170,00 DI GENNARO ANTONELLA 150,00 CENZON ALICE 325,00</t>
  </si>
  <si>
    <t>BONIFICO SEPADistinta: 17727897042920BAQDEF CUGGE NICHOLAS 270,00 PIGAZZI CRISTIANA 105,00</t>
  </si>
  <si>
    <t>BONIFICO SEPADistinta: 177280258612107OLDEF LAURA DILETTA BERNARDINI 626,00 Zanchetta Marco 608,40 BOSCOLO ANZOLETTI GIULIA 520,00 Caprioli Claudio 971,15 Chiocchetti Arianna 202,00 Farioli Cristina 660,00 CORNACCHIA YOHARA 197,20 Losa Cristina 720,00 Quecchia Vanessa 539,60 Serra Michele 990,00</t>
  </si>
  <si>
    <t>BONIFICO SEPADistinta: 177280332023207N1DEF GIACOMO BERTONI 436,50 RICCARDO ROGNONI 498,60 Kamizele Carlos 630,00 Maccio Lorenzo 280,00 Murgianu Giulia 579,60 Russo Pietro 120,00 Stroscio Fabio 148,55 Zavaglia Alessia  YUSEF ZAHIR 105,00 30,00</t>
  </si>
  <si>
    <t>BONIFICO SEPADistinta: 17728017493730FGBDEF AMBROSIO GAETANO 2.000,00 VILLALTA QUINTANILLA ZOILA GUADALUPE 700,00 JHASSIER BLANCO DE LA ROSA 1.400,00 RUTH ESTEFANIA CAICHE REYES 975,00 DOVA STEFANO 975,00 ARRIVABENE ELISA 2.000,00 BONILLA ZAVALA KEVIN ALEXANDER 1.650,00 FUMAGALLI GIUDITTA 1.700,00 JANNELLI SARA 1.600,00 MALDONADO XIOMARA ALEXANDRA 1.750,00 MANTICE SANTO 2.500,00 MOUSTAFA ISRA HANI MOHAMED 	1.700,00 SEGURA PINEDA SANDRA ESTEFANY 1.800,00 VILLON BAJANA JOEL ERNESTO 1.700,00</t>
  </si>
  <si>
    <t>BONIFICO SEPADa NEXI Payments Spa TRN 073377034036NPPASU0000000000IT CIPBITMM per PV 1000001228596 ACCREDITO BANCOMAT 050326 RIF 1155</t>
  </si>
  <si>
    <t>BONIFICO SEPADa NEXI Payments Spa TRN 073377029116NPPASU0000000000IT CIPBITMM per PV 1000001228596 ACCREDITO CIRCUITI INTERNAZ. 05032</t>
  </si>
  <si>
    <t>BONIF. VS. FAVORE - BON.DA SUTERA LOREDANA - Sofia scaglione quota attivita</t>
  </si>
  <si>
    <t>BONIF. VS. FAVORE - BON.DA NEXI Payments Spa - PV 1000001228627 ACCREDITO CIRCUITI INTERNAZ. 050326 RIF 1155095562899</t>
  </si>
  <si>
    <t>BONIFICO SEPADa NEXI Payments Spa TRN 073714969036NPPASU0000000000IT CIPBITMM per PV 1000001228637 ACCREDITO CIRCUITI INTERNAZ. 08032</t>
  </si>
  <si>
    <t>BONIFICO SEPADa NEXI Payments Spa TRN 073601805046NPPASU0000000000IT CIPBITMM per PV 1000001228596 ACCREDITO CIRCUITI INTERNAZ. 07032</t>
  </si>
  <si>
    <t>BONIFICO SEPADa NEXI Payments Spa TRN 073493223116NPPASU0000000000IT CIPBITMM per PV 1000001228596 ACCREDITO CIRCUITI INTERNAZ. 06032</t>
  </si>
  <si>
    <t>BONIFICO SEPADa NEXI Payments Spa TRN 073601813126NPPASU0000000000IT CIPBITMM per PV 1000001228596 ACCREDITO BANCOMAT 070326 RIF 1158</t>
  </si>
  <si>
    <t>BONIFICO SEPADa NEXI Payments Spa TRN 073493237126NPPASU0000000000IT CIPBITMM per PV 1000001228596 ACCREDITO BANCOMAT 060326 RIF 1156</t>
  </si>
  <si>
    <t>BONIFICO SEPADa NEXI Payments Spa TRN 073492499026NPPASU0000000000IT CIPBITMM per PV 1000001228637 ACCREDITO CIRCUITI INTERNAZ. 06032</t>
  </si>
  <si>
    <t>BONIF. VS. FAVORE - BON.DA NEXI Payments Spa - PV 1000001228627 ACCREDITO CIRCUITI INTERNAZ. 070326 RIF 1158447996599</t>
  </si>
  <si>
    <t>BONIF. VS. FAVORE - BON.DA NEXI Payments Spa - PV 1000001228627 ACCREDITO BANCOMAT 060326 RIF 1156721396099</t>
  </si>
  <si>
    <t>BONIF. VS. FAVORE - BON.DA NEXI Payments Spa - PV 1000001228627 ACCREDITO CIRCUITI INTERNAZ. 060326 RIF 1156721393099</t>
  </si>
  <si>
    <t>BONIF. VS. FAVORE - BON.DA Tatiana Shukhman - Shukhman Tatiana - Quota attivita E 210</t>
  </si>
  <si>
    <t xml:space="preserve"> € 185,00 attività +	 € 100,00 tess contanti</t>
  </si>
  <si>
    <t>BONIFICO SEPADistinta: 17731279801491259DEF DI CARLO ERICA 670,00 PUGGIONI SAMUEL 740,00 SPAGNOLO SILVIA 300,00 VASSALLO MARGHERITA 450,00</t>
  </si>
  <si>
    <t>BONIFICO SEPADistinta: 177312961577411NPDEF Perin Galamini e Gianesin Ambrosio 185,83 Perin Galamini e Gianesin Srl Arrivabene 191,60 Perin Galamini e Gianesin Fumagalli  Srl 145,49 Perin Galamini e Gianesin Srl Jannelli 106,08 Perin Galamini e Gianesin  Nura Hani120,61</t>
  </si>
  <si>
    <t xml:space="preserve">BONIFICO SEPADistinta: 17731287732721296DEF Maldonado , Villon </t>
  </si>
  <si>
    <t xml:space="preserve">BONIFICO SEPADistinta: 17731289595730PI9DEF Segura </t>
  </si>
  <si>
    <t>BONIFICO SEPADa NEXI Payments Spa TRN 073778690116NPPASU0000000000IT CIPBITMM per PV 1000001228637 ACCREDITO CIRCUITI INTERNAZ. 09032</t>
  </si>
  <si>
    <t>BONIFICO SEPADa NEXI Payments Spa TRN 073778664116NPPASU0000000000IT CIPBITMM per PV 1000001228596 ACCREDITO CIRCUITI INTERNAZ. 09032</t>
  </si>
  <si>
    <t>BONIFICO SEPADa Scalapay IP S.p.a. TRN 3601826031004505581348532151576-008 CBPSIT31XXX per 2026-03-09 - GEOS S SDRL - Scalapay IP S.p</t>
  </si>
  <si>
    <t>BONIFICODa Satispay Europe S.A. TRN 6d26c56f8ab046da8fd38f023a597ad7 SATYLUL1XXX per Geos ssdr</t>
  </si>
  <si>
    <t>BONIF. VS. FAVORE - BON.DA NEXI Payments Spa - PV 1000001228627 ACCREDITO CIRCUITI INTERNAZ. 090326 RIF 1160896636999</t>
  </si>
  <si>
    <t>BONIF. VS. FAVORE - BON.DA NEXI Payments Spa - PV 1000001228627 ACCREDITO BANCOMAT 090326 RIF 1160896639699</t>
  </si>
  <si>
    <t xml:space="preserve"> € 443,00 attività +	 € 50,00 tess contanti</t>
  </si>
  <si>
    <t>BONIFICO SEPADa NEXI Payments Spa TRN 073873147106NPPASU0000000000IT CIPBITMM per PV 1000001228637 ACCREDITO CIRCUITI INTERNAZ. 10032</t>
  </si>
  <si>
    <t>BONIFICO SEPADa NEXI Payments Spa TRN 073872995016NPPASU0000000000IT CIPBITMM per PV 1000001228596 ACCREDITO CIRCUITI INTERNAZ. 10032</t>
  </si>
  <si>
    <t>BONIFICO SEPADistinta: 17732248881881FPJDEF Dal Pra Matteo</t>
  </si>
  <si>
    <t>BONIF. VS. FAVORE - BON.DA NEXI Payments Spa - PV 1000001228627 ACCREDITO CIRCUITI INTERNAZ. 100326 RIF 1162351501699</t>
  </si>
  <si>
    <t>BONIF. VS. FAVORE - BON.DA NEXI Payments Spa - PV 1000001228627 ACCREDITO BANCOMAT 100326 RIF 1162351504499</t>
  </si>
  <si>
    <t xml:space="preserve"> € 115,00 attività contanti</t>
  </si>
  <si>
    <t>BONIFICO SEPADistinta: 17733197851771RESDEF CENTRO D'ARTE SAUVAGE A.S.D.</t>
  </si>
  <si>
    <t>BONIFICO SEPADistinta: 17732417258531IIMDEF Saccardi Manuela</t>
  </si>
  <si>
    <t>BONIFICO SEPADa NEXI Payments Spa TRN 074024048076NPPASU0000000000IT CIPBITMM per PV 1000001228637 ACCREDITO CIRCUITI INTERNAZ. 11032</t>
  </si>
  <si>
    <t>BONIFICO SEPADa NEXI Payments Spa TRN 074024384056NPPASU0000000000IT CIPBITMM per PV 1000001228596 ACCREDITO BANCOMAT 110326 RIF 1163</t>
  </si>
  <si>
    <t>BONIFICO SEPADa NEXI Payments Spa TRN 074024370046NPPASU0000000000IT CIPBITMM per PV 1000001228596 ACCREDITO CIRCUITI INTERNAZ. 11032</t>
  </si>
  <si>
    <t>BONIFICODa Satispay Europe S.A. TRN 7cfd24d44ffc48b58d9dd67513ba8f3b SATYLUL1XXX per Geos ssdr</t>
  </si>
  <si>
    <t>BONIFICO SEPADa ENCANTO CLUB LATINO ASS NE SPOR VA TRN 0306910335298912S90960609606IT BCITITMMXXX per FT 126 e 129 del 09/03/26</t>
  </si>
  <si>
    <t>BONIF. VS. FAVORE - BON.DA NEXI Payments Spa - PV 1000001228627 ACCREDITO CIRCUITI INTERNAZ. 110326 RIF 1163827346699</t>
  </si>
  <si>
    <t>BONIF. VS. FAVORE - BON.DA NEXI Payments Spa - PV 1000001228627 ACCREDITO BANCOMAT 110326 RIF 1163827350499</t>
  </si>
  <si>
    <t>BONIFICO SEPADistinta: 17733306787601KSADEF Visura S.p.a.</t>
  </si>
  <si>
    <t>BONIFICO SEPADistinta: 177339150182420E1DEF Apple Dis Int.</t>
  </si>
  <si>
    <t>BONIFICO SEPADa NEXI Payments Spa TRN 074151269106NPPASU0000000000IT CIPBITMM per PV 1000001228596 ACCREDITO CIRCUITI INTERNAZ. 12032</t>
  </si>
  <si>
    <t>BONIFICO SEPADa NEXI Payments Spa TRN 074151592086NPPASU0000000000IT CIPBITMM per PV 1000001228637 ACCREDITO CIRCUITI INTERNAZ. 12032</t>
  </si>
  <si>
    <t>BONIFICO SEPADa NEXI Payments Spa TRN 074151283116NPPASU0000000000IT CIPBITMM per PV 1000001228596 ACCREDITO BANCOMAT 120326 RIF 1165</t>
  </si>
  <si>
    <t>BONIFICODa Satispay Europe S.A. TRN 1333d4277b1a483aa5b57e8c5deb73e5 SATYLUL1XXX per Geos ssdr</t>
  </si>
  <si>
    <t>BONIF. VS. FAVORE - BON.DA NEXI Payments Spa - PV 1000001228627 ACCREDITO CIRCUITI INTERNAZ. 120326 RIF 1165308418299</t>
  </si>
  <si>
    <t>BONIF. VS. FAVORE - BON.DA NEXI Payments Spa - PV 1000001228627 ACCREDITO BANCOMAT 120326 RIF 1165308422099</t>
  </si>
  <si>
    <t xml:space="preserve"> € 235,00 attività +	 € 25,00 tess contanti</t>
  </si>
  <si>
    <t xml:space="preserve"> € 140,00 attività contanti</t>
  </si>
  <si>
    <t>BONIFICO SEPADa NEXI Payments Spa TRN 074361211026NPPASU0000000000IT CIPBITMM per PV 1000001228637 ACCREDITO CIRCUITI INTERNAZ. 14032</t>
  </si>
  <si>
    <t>BONIFICO SEPADa NEXI Payments Spa TRN 074230163076NPPASU0000000000IT CIPBITMM per PV 1000001228596 ACCREDITO BANCOMAT 130326 RIF 1166</t>
  </si>
  <si>
    <t>BONIFICO SEPADa NEXI Payments Spa TRN 074427700096NPPASU0000000000IT CIPBITMM per PV 1000001228637 ACCREDITO CIRCUITI INTERNAZ. 15032</t>
  </si>
  <si>
    <t>BONIFICO SEPADa NEXI Payments Spa TRN 074361031046NPPASU0000000000IT CIPBITMM per PV 1000001228596 ACCREDITO CIRCUITI INTERNAZ. 14032</t>
  </si>
  <si>
    <t>BONIFICO SEPADa NEXI Payments Spa TRN 074361034076NPPASU0000000000IT CIPBITMM per PV 1000001228596 ACCREDITO BANCOMAT 140326 RIF 1168</t>
  </si>
  <si>
    <t>BONIFICO SEPADa NEXI Payments Spa TRN 074232008066NPPASU0000000000IT CIPBITMM per PV 1000001228637 ACCREDITO CIRCUITI INTERNAZ. 13032</t>
  </si>
  <si>
    <t>BONIFICO SEPADa NEXI Payments Spa TRN 074230150076NPPASU0000000000IT CIPBITMM per PV 1000001228596 ACCREDITO CIRCUITI INTERNAZ. 13032</t>
  </si>
  <si>
    <t>BONIFICO SEPADa NEXI Payments Spa TRN 074427547126NPPASU0000000000IT CIPBITMM per PV 1000001228596 ACCREDITO CIRCUITI INTERNAZ. 15032</t>
  </si>
  <si>
    <t>BONIFICO SEPADa Scalapay IP S.p.a. TRN 3601826031604531124393299027492-008 CBPSIT31XXX per 2026-03-15 - GEOS S SDRL - Scalapay IP S.p</t>
  </si>
  <si>
    <t>BONIFICO SEPADa MODULO PROJECT S.R.L. TRN 1101260720220729 UNCRITMM per Fattura n. 131 V1 del 11/03/2026 - Affitto Studio Febbraio ex</t>
  </si>
  <si>
    <t>BONIFICO SEPADa MODULO PROJECT S.R.L. TRN 1101260720224493 UNCRITMM per Fattura n. 132 V1 del 11/03/2026 - Affitto sale febbraio 2026</t>
  </si>
  <si>
    <t>BONIFICODa Gympass US LLC TRN HJYDLG9N3VM2 CHASNL2XXXX per WellhubGym</t>
  </si>
  <si>
    <t>I24 AGENZIA ENTRATE - PAG.TO TELEMATICO - DATA INCASSO 16/03/2026 2026-03-13-22.31.02.415073044085</t>
  </si>
  <si>
    <t>DISP.GIRO CONTO - SI RICHIEDE RIMBORSO UNA TANTUM DI 65,32EURO</t>
  </si>
  <si>
    <t>BONIFICO SEPADistinta: 177365656252625NBDEF Opes Danza Societa Sportiva Dilettantistica A R.L. 819,00 ROSSOLAB A.S.D.160,00</t>
  </si>
  <si>
    <t>BONIF. VS. FAVORE - BON.DA NEXI Payments Spa - PV 1000001228627 ACCREDITO CIRCUITI INTERNAZ. 130326 RIF 1166950278499</t>
  </si>
  <si>
    <t>BONIF. VS. FAVORE - BON.DA NEXI Payments Spa - PV 1000001228627 ACCREDITO CIRCUITI INTERNAZ. 140326 RIF 1168621949299</t>
  </si>
  <si>
    <t>BONIF. VS. FAVORE - BON.DA NEXI Payments Spa - PV 1000001228627 ACCREDITO BANCOMAT 140326 RIF 1168621953099</t>
  </si>
  <si>
    <t>BONIF. VS. FAVORE - BON.DA LOMARTIRE GIAMBATTISTA - Lomartire Raffaele pacchetto lezioni Simone Carizzoni</t>
  </si>
  <si>
    <t>BONIFICO SEPADistinta: 17737452372392NIMDEF Sport Grand Tour srl</t>
  </si>
  <si>
    <t>BONIFICO SEPADistinta: 17737315895022KPMDEF Yanedis Martinez Daniels</t>
  </si>
  <si>
    <t>BONIFICO SEPADa NEXI Payments Spa TRN 074499180026NPPASU0000000000IT CIPBITMM per PV 1000001228596 ACCREDITO BANCOMAT 160326 RIF 1171</t>
  </si>
  <si>
    <t>BONIFICO SEPADa NEXI Payments Spa TRN 074499169046NPPASU0000000000IT CIPBITMM per PV 1000001228596 ACCREDITO CIRCUITI INTERNAZ. 16032</t>
  </si>
  <si>
    <t>BONIF. VS. FAVORE - BON.DA FILOSO CINZIA - Filoso Cinzia integrazione per open fitness</t>
  </si>
  <si>
    <t xml:space="preserve"> € 115,00 attività +         € 25,00 tess contanti</t>
  </si>
  <si>
    <t>BONIFICO SEPADa NEXI Payments Spa TRN 074624441086NPPASU0000000000IT CIPBITMM per PV 1000001228596 ACCREDITO CIRCUITI INTERNAZ. 17032</t>
  </si>
  <si>
    <t>BONIFICO SEPADa NEXI Payments Spa TRN 074624676096NPPASU0000000000IT CIPBITMM per PV 1000001228637 ACCREDITO CIRCUITI INTERNAZ. 17032</t>
  </si>
  <si>
    <t>BONIF. VS. FAVORE - BON.DA NEXI Payments Spa - PV 1000001228627 ACCREDITO CIRCUITI INTERNAZ. 170326 RIF 1172491458499</t>
  </si>
  <si>
    <t>BONIFICO SEPADa NEXI Payments Spa TRN 074734148086NPPASU0000000000IT CIPBITMM per PV 1000001228596 ACCREDITO CIRCUITI INTERNAZ. 18032</t>
  </si>
  <si>
    <t>BONIFICO SEPADa NEXI Payments Spa TRN 074735256116NPPASU0000000000IT CIPBITMM per PV 1000001228637 ACCREDITO CIRCUITI INTERNAZ. 18032</t>
  </si>
  <si>
    <t>BONIF. VS. FAVORE - BON.DA NEXI Payments Spa - PV 1000001228627 ACCREDITO CIRCUITI INTERNAZ. 180326 RIF 1174003734499</t>
  </si>
  <si>
    <t xml:space="preserve"> € 47,50 attività +	 € 25,00 tess contanti</t>
  </si>
  <si>
    <t>BONIFICO SEPADa NEXI Payments Spa TRN 074853379036NPPASU0000000000IT CIPBITMM per PV 1000001228596 ACCREDITO CIRCUITI INTERNAZ. 19032</t>
  </si>
  <si>
    <t xml:space="preserve"> € 20,00 attività +  € 25,00 tess contanti</t>
  </si>
  <si>
    <t xml:space="preserve"> € 60,00 attività contanti</t>
  </si>
  <si>
    <t>BONIFICO SEPADistinta: 17740182645230MKEDEF IL PARADISO DELLA BRUGOLA S.A.S. DI IOSC A SERGIO C. VALENTINA BARBIERI 106,08</t>
  </si>
  <si>
    <t>BONIFICO SEPADa NEXI Payments Spa TRN 075079314116NPPASU0000000000IT CIPBITMM per PV 1000001228596 ACCREDITO CIRCUITI INTERNAZ. 21032</t>
  </si>
  <si>
    <t>BONIFICO SEPADa NEXI Payments Spa TRN 075079330016NPPASU0000000000IT CIPBITMM per PV 1000001228596 ACCREDITO BANCOMAT 210326 RIF 1179</t>
  </si>
  <si>
    <t>BONIFICO SEPADa NEXI Payments Spa TRN 075079256056NPPASU0000000000IT CIPBITMM per PV 1000001228637 ACCREDITO CIRCUITI INTERNAZ. 21032</t>
  </si>
  <si>
    <t>BONIFICO SEPADa NEXI Payments Spa TRN 074971159036NPPASU0000000000IT CIPBITMM per PV 1000001228596 ACCREDITO CIRCUITI INTERNAZ. 20032</t>
  </si>
  <si>
    <t>BONIFICO SEPADa NEXI Payments Spa TRN 074971178096NPPASU0000000000IT CIPBITMM per PV 1000001228596 ACCREDITO BANCOMAT 200326 RIF 1177</t>
  </si>
  <si>
    <t>BONIF. VS. FAVORE - BON.DA COSENZA SILVIA, ZAMPAGLIONE PAOLO - Cosenza Silvia, quota attivita 800 E</t>
  </si>
  <si>
    <t>BONIF. VS. FAVORE - BON.DA NEXI Payments Spa - PV 1000001228627 ACCREDITO CIRCUITI INTERNAZ. 200326 RIF 1177299968699</t>
  </si>
  <si>
    <t>BONIF. VS. FAVORE - BON.DA NEXI Payments Spa - PV 1000001228627 ACCREDITO CIRCUITI INTERNAZ. 210326 RIF 1179056965399</t>
  </si>
  <si>
    <t>BONIF. VS. FAVORE - BON.DA NEXI Payments Spa - PV 1000001228627 ACCREDITO BANCOMAT 210326 RIF 1179056969499</t>
  </si>
  <si>
    <t xml:space="preserve"> € 420,00 attività +	 € 25,00 tess contanti</t>
  </si>
  <si>
    <t xml:space="preserve">BONIFICO SEPADistinta: 177435109419118B9DEF ASSOCIAZIONE CULTURALEGISELLE A.S.D.	</t>
  </si>
  <si>
    <t>BONIFICO SEPADa NEXI Payments Spa TRN 075236758126NPPASU0000000000IT CIPBITMM per PV 1000001228637 ACCREDITO CIRCUITI INTERNAZ. 23032</t>
  </si>
  <si>
    <t>BONIFICO SEPADa NEXI Payments Spa TRN 075236493076NPPASU0000000000IT CIPBITMM per PV 1000001228596 ACCREDITO BANCOMAT 230326 RIF 1181</t>
  </si>
  <si>
    <t>BONIFICO SEPADa NEXI Payments Spa TRN 075236483106NPPASU0000000000IT CIPBITMM per PV 1000001228596 ACCREDITO CIRCUITI INTERNAZ. 23032</t>
  </si>
  <si>
    <t>BONIFICODa Satispay Europe S.A. TRN 019d1d30c2bf73cc8ffc40f9bb975976 SATYLUL1XXX per Geos ssdr</t>
  </si>
  <si>
    <t>BONIF. VS. FAVORE - BON.DA NEXI Payments Spa - PV 1000001228627 ACCREDITO CIRCUITI INTERNAZ. 230326 RIF 1181526072999</t>
  </si>
  <si>
    <t>BONIFICO SEPADistinta: 17743667359621B9SDEF Rotonda Srl</t>
  </si>
  <si>
    <t xml:space="preserve">BONIFICO SEPADistinta: 17733213803571JOODEF SIAE SOCIETA' ITALIANA DEGLI AUTORI ED EDITORI	</t>
  </si>
  <si>
    <t>BONIFICO SEPADa NEXI Payments Spa TRN 075348199046NPPASU0000000000IT CIPBITMM per PV 1000001228596 ACCREDITO CIRCUITI INTERNAZ. 24032</t>
  </si>
  <si>
    <t>BONIFICO SEPADa NEXI Payments Spa TRN 075348215076NPPASU0000000000IT CIPBITMM per PV 1000001228596 ACCREDITO BANCOMAT 240326 RIF 1183</t>
  </si>
  <si>
    <t>BONIFICO SEPADa ENCANTO CLUB LATINO ASS NE SPOR VA TRN 0306910675383506S90960609606IT BCITITMMXXX per FT serate 13/03 e 20/03</t>
  </si>
  <si>
    <t>BONIF. VS. FAVORE - BON.DA NEXI Payments Spa - PV 1000001228627 ACCREDITO BANCOMAT 240326 RIF 1183008453599</t>
  </si>
  <si>
    <t>BONIFICO SEPADistinta: 17745118903831KR5DEF CAJAHUARINGA ROSADO JASMIN ROCIO ARIETE DUE DI CAJAHUARINGA JASMIN 4.102,00 RITEL SRL 317,20 Locatelli Erika 30,00 GENCA AUGUSTO 549,00</t>
  </si>
  <si>
    <t>BONIFICO SEPADa NEXI Payments Spa TRN 075473849096NPPASU0000000000IT CIPBITMM per PV 1000001228637 ACCREDITO CIRCUITI INTERNAZ. 25032</t>
  </si>
  <si>
    <t>BONIFICO SEPADa NEXI Payments Spa TRN 075473115036NPPASU0000000000IT CIPBITMM per PV 1000001228596 ACCREDITO CIRCUITI INTERNAZ. 25032</t>
  </si>
  <si>
    <t>BONIFICO SEPADa NAVONE DANIELA PAOLA TRN 5034004870536084480160001633IT BAPPIT22 per fattura n. 151 V1 del 24.03.26</t>
  </si>
  <si>
    <t>BONIF. VS. FAVORE - BON.DA NEXI Payments Spa - PV 1000001228627 ACCREDITO CIRCUITI INTERNAZ. 250326 RIF 1184523676199</t>
  </si>
  <si>
    <t>BONIFICO SEPADa NEXI Payments Spa TRN 075595962006NPPASU0000000000IT CIPBITMM per PV 1000001228596 ACCREDITO CIRCUITI INTERNAZ. 26032</t>
  </si>
  <si>
    <t>BONIFICO SEPADa SCUOLA LEONARDO DA VINCI MILAN TRN 1101260850012737 UNCRITMM per FATTURA 133/V1 DEL 11/03/2026</t>
  </si>
  <si>
    <t>BONIF. VS. FAVORE - BON.DA NEXI Payments Spa PV 1000001228627 ACC REDITO CIRCUITI INTERNAZ. 260326 RIF 11860015</t>
  </si>
  <si>
    <t xml:space="preserve"> € 425,00 attività +	 € 25,00 tess contanti</t>
  </si>
  <si>
    <t xml:space="preserve"> € 575,00 attività +	 € 25,00 tess contanti</t>
  </si>
  <si>
    <t xml:space="preserve">Isabel Seabra fatt n 160 del 30mar2026 ( mese di Marzo ) </t>
  </si>
  <si>
    <t xml:space="preserve"> € 90,00 attività +	 € 25,00 tess contanti</t>
  </si>
  <si>
    <t>BONIF. VS. FAVORE - BON.DA NEXI Payments Spa - PV 1000001228627 ACCREDITO CIRCUITI INTERNAZ. 270326 RIF 1187657267599</t>
  </si>
  <si>
    <t>BONIF. VS. FAVORE - BON.DA NEXI Payments Spa - PV 1000001228627 ACCREDITO BANCOMAT 270326 RIF 1187657272399</t>
  </si>
  <si>
    <t>I24 AGENZIA ENTRATE - PAG.TO TELEMATICO - DATA INCASSO 31/03/2026 2026-03-30-22.30.21.027929009560</t>
  </si>
  <si>
    <t>BONIF. VS. FAVORE - BON.DA NEXI Payments Spa - PV 1000001228627 ACCREDITO CIRCUITI INTERNAZ. 300326 RIF 1191936854999</t>
  </si>
  <si>
    <t>IMP. BOLLO CC/LR - DA 01/01/2026 A 31/03/2026</t>
  </si>
  <si>
    <t>BONIF. VS. FAVORE - BON.DA GANCITANO ROSSELLA - Agate Jole quota attivita</t>
  </si>
  <si>
    <t>RIMBORSO FINANZ. - MUTUO N.4080 4779232 RATA 03/04/2026</t>
  </si>
  <si>
    <t>BONIF. VS. FAVORE - BON.DA NEXI Payments Spa PV 1000001228627 ACC REDITO CIRCUITI INTERNAZ. 020426 RIF 11976836</t>
  </si>
  <si>
    <t>BONIF. VS. FAVORE - BON.DA VENTURINI MARIANNA,VENTURINI GIUSEPPE Burani Sara iscrizione campus estivo per danz</t>
  </si>
  <si>
    <t>TOTALE</t>
  </si>
  <si>
    <t>SALDO DISPONIBILE Banca o Carta</t>
  </si>
  <si>
    <t>DIFFERENZA Prima nota - Banca</t>
  </si>
  <si>
    <t xml:space="preserve">controllo dettagliato USCITE con movimenti estratto conto </t>
  </si>
  <si>
    <t>La differenza dovrebbe essere sempre a zero, quando è con il segno meno, vuol dire che mancano da segnare delle entrate.
Quando invece la casella è verde, vuol dire che bisogna segnare le uscite.</t>
  </si>
  <si>
    <t xml:space="preserve">controllo dettagliato ENTRATE con movimenti estratto conto </t>
  </si>
  <si>
    <t>CONTROLLO BONIFICI CORSI</t>
  </si>
  <si>
    <t>CONTROLLO ENTRATE DIVERSE</t>
  </si>
  <si>
    <t>DA CONTROLLARE</t>
  </si>
  <si>
    <t>COMMENTO - APPUNTO</t>
  </si>
  <si>
    <t>CONTROLLO DETTAGLIATO ENTRATE ECOMMERCE</t>
  </si>
  <si>
    <t>corsi attività sportiva 2026/2027</t>
  </si>
  <si>
    <t>Banche + Cassa TOTALE DISPONIBILE</t>
  </si>
  <si>
    <t xml:space="preserve"> </t>
  </si>
  <si>
    <t>Totale movimenti interni</t>
  </si>
  <si>
    <t>Totale movimenti in entrata</t>
  </si>
  <si>
    <t>Totale movimenti in uscita</t>
  </si>
  <si>
    <t xml:space="preserve"> Subtotale ENTRATE</t>
  </si>
  <si>
    <t>Subtotale USCITE</t>
  </si>
  <si>
    <t>TOTALE ENTRATE 2024-2025</t>
  </si>
  <si>
    <t>TOTALE USCITE 2024-2025</t>
  </si>
  <si>
    <t>Saldo gestione 2024-2025</t>
  </si>
  <si>
    <t>TOTALE entrate 25-26 + Anticipazione quote prese 24-25</t>
  </si>
  <si>
    <t>di cui Anticipazione quote 25-26 prese nella gestione 2024-2025</t>
  </si>
  <si>
    <t>Anticipazioni per la prossima stagione 26-27</t>
  </si>
  <si>
    <r>
      <rPr>
        <rFont val="Arial"/>
        <color rgb="FF000000"/>
        <sz val="10.0"/>
      </rPr>
      <t>Ricavo/</t>
    </r>
    <r>
      <rPr>
        <rFont val="Arial"/>
        <color rgb="FFFF0000"/>
        <sz val="10.0"/>
      </rPr>
      <t>Perdita/</t>
    </r>
    <r>
      <rPr>
        <rFont val="Arial"/>
        <color rgb="FF000000"/>
        <sz val="10.0"/>
      </rPr>
      <t xml:space="preserve">Disponibilità </t>
    </r>
    <r>
      <rPr>
        <rFont val="Arial"/>
        <color rgb="FFFF0000"/>
        <sz val="10.0"/>
      </rPr>
      <t xml:space="preserve"> </t>
    </r>
    <r>
      <rPr>
        <rFont val="Arial"/>
        <color rgb="FF000000"/>
        <sz val="10.0"/>
      </rPr>
      <t>2024-2025</t>
    </r>
  </si>
  <si>
    <t>TOTALE entrate 25-26 - anticipazioni 26-27</t>
  </si>
  <si>
    <t>PAGAMENTI</t>
  </si>
  <si>
    <t>legenda:</t>
  </si>
  <si>
    <t>RICORDARE - 
SOLLECITARE</t>
  </si>
  <si>
    <t>CONTROLLARE</t>
  </si>
  <si>
    <t>IN SCADENZA</t>
  </si>
  <si>
    <t>DA PAGARE</t>
  </si>
  <si>
    <t>PAGATO</t>
  </si>
  <si>
    <t>INCASSATO</t>
  </si>
  <si>
    <t>ERRORE</t>
  </si>
  <si>
    <t>PAGARE URGENTE</t>
  </si>
  <si>
    <t>IN ATTESA</t>
  </si>
  <si>
    <t>DESCRIZIONE</t>
  </si>
  <si>
    <t>USCITE - DARE</t>
  </si>
  <si>
    <t>ENTRATE - AVERE</t>
  </si>
  <si>
    <t>DATA PAGAMENTO - SCADENZA</t>
  </si>
  <si>
    <t>STATO</t>
  </si>
  <si>
    <t>NOTE</t>
  </si>
  <si>
    <t>DETTAGLI</t>
  </si>
  <si>
    <t>Brescianini e Co srl 8496/A/2025 del 29ago2025</t>
  </si>
  <si>
    <t>IT97B0306920604000013863166</t>
  </si>
  <si>
    <t>Service di Marco Caccialupi fatt n 55 del 09set2025</t>
  </si>
  <si>
    <t>IT03O0306920705100000013795</t>
  </si>
  <si>
    <t>B.C.S SRL fatt N 507343/D del 08set2025</t>
  </si>
  <si>
    <t>RID</t>
  </si>
  <si>
    <t>IT95W0310451270000000000511</t>
  </si>
  <si>
    <t>RITEL SRL fatt n 161/F del 17set2025</t>
  </si>
  <si>
    <t>IT18U0310433920000000070555</t>
  </si>
  <si>
    <t>Magnetic Media Network Spa fatt n 251202494 del 18set2025</t>
  </si>
  <si>
    <t>IT48J0306933920625024029934</t>
  </si>
  <si>
    <t xml:space="preserve">Fitness Service Di Giansanti Cesare </t>
  </si>
  <si>
    <t>IT09U0503450110000000217629</t>
  </si>
  <si>
    <t>Magnetic Media Network Spa fatt n 251205218 del 23set2025</t>
  </si>
  <si>
    <t>Noord Uffici SAS fat n 4779/00 del 18set2025</t>
  </si>
  <si>
    <t>IT88Q0832951550000000600127</t>
  </si>
  <si>
    <t>Naitana Livio fatt n50 del 28set2025</t>
  </si>
  <si>
    <t>IT84R0200801631000004471222</t>
  </si>
  <si>
    <t>Noord Uffici SAS fat n 5445/00 del 30set2025</t>
  </si>
  <si>
    <t>Naitana Livio fatt n53 del 05ott2025</t>
  </si>
  <si>
    <t>GENCA AUGUSTO n 48 del 07ott2025</t>
  </si>
  <si>
    <t>IT82Q0306234210000002718570</t>
  </si>
  <si>
    <t>ARIETE DUE DI CAJAHUARINGA JASMIN n128 del 06ott2025</t>
  </si>
  <si>
    <t>IT64W0310432970000000400029</t>
  </si>
  <si>
    <t>ARIETE DUE DI CAJAHUARINGA JASMIN n129 del 06ott2025</t>
  </si>
  <si>
    <t>Palamara Donato Fatt n 31 del 06ott2025</t>
  </si>
  <si>
    <t>IT21B0503401795000000064205</t>
  </si>
  <si>
    <t>Lorenzelli Paola fatt n 196 del 30sett2025</t>
  </si>
  <si>
    <t>IT06V0538732930000035244686</t>
  </si>
  <si>
    <t>SERIGRAFIA BONANOMI fatt n 312/FE del 30sett2025</t>
  </si>
  <si>
    <t>IT61U0306951270100000006572</t>
  </si>
  <si>
    <t>SUNNEXT.srl n 1063 del 08ott2025</t>
  </si>
  <si>
    <t>IT23O0538720701000047536842</t>
  </si>
  <si>
    <t>IMMOBILIARE MONTE DI PIETA' SRL N 250000284H del 08ott2025</t>
  </si>
  <si>
    <t>IT82U0306933380000018820188</t>
  </si>
  <si>
    <t>IMMOBILIARE MONTE DI PIETA' SRL N 250000283H del 08ott2025</t>
  </si>
  <si>
    <t>IMMOBILIARE MONTE DI PIETA' SRL N 250000112H del 08ott2025</t>
  </si>
  <si>
    <t>SYCURCOM di Claudio Bazzoni fatt n 2025-00312 del 30ott2025</t>
  </si>
  <si>
    <t>IT39K0200801610000102464791</t>
  </si>
  <si>
    <t>SYCURCOM di Claudio Bazzoni fatt n 2025-00314 del 30ott2025</t>
  </si>
  <si>
    <t>SERIGRAFIA BONANOMI fatt n 363/FE del 31ott2025</t>
  </si>
  <si>
    <t>ARIETE DUE DI CAJAHUARINGA JASMIN n140 del 04nov2025</t>
  </si>
  <si>
    <t>ARIETE DUE DI CAJAHUARINGA JASMIN n141 del 04nov2025</t>
  </si>
  <si>
    <t>Palamara Donato Fatt n 35 del 05nov2025</t>
  </si>
  <si>
    <t>TYSHCHUK MIKOLA fatt n 15 del 16nov2025</t>
  </si>
  <si>
    <t>IT03Z0103033680000007159771</t>
  </si>
  <si>
    <t>IMMOBILIARE MONTE DI PIETA' SRL N 250000338H del 10nov2025</t>
  </si>
  <si>
    <t>Fitness Service Di Giansanti Cesare fatt n 298 del 08nov2025</t>
  </si>
  <si>
    <t>Brescianini e Co srl 11544/A/2025/ del 14nov2025</t>
  </si>
  <si>
    <t>GENCA AUGUSTO n 58 del 25nov2025</t>
  </si>
  <si>
    <t>Naitana Livio fatt n63 del 24nov2025</t>
  </si>
  <si>
    <t>C.E.A.M srl fatt n 18421 FTE del 21nov2025</t>
  </si>
  <si>
    <t>IT48E0843051060000000980030</t>
  </si>
  <si>
    <t>ARIETE DUE DI CAJAHUARINGA JASMIN n152 del 03dic2025</t>
  </si>
  <si>
    <t>ARIETE DUE DI CAJAHUARINGA JASMIN n153 del 03dic2025</t>
  </si>
  <si>
    <t>Palamara Donato Fatt n 39 del 06dic2025</t>
  </si>
  <si>
    <t>SYCURCOM di Claudio Bazzoni fatt n 2025-00353 del 11dic2025</t>
  </si>
  <si>
    <t>Noord Uffici SAS fat n 7085/00 del 10dic2026</t>
  </si>
  <si>
    <t>Seghieri SRL fatt n 2025 834</t>
  </si>
  <si>
    <t>IT85E0503432930000000000513</t>
  </si>
  <si>
    <t>Magnetic Media Network Spa fatt n 251207865 del 18dic2025</t>
  </si>
  <si>
    <t>Palamara Donato Fatt n 41 del 21dic2025</t>
  </si>
  <si>
    <t>Noord Uffici SAS fat n 7507/00 del 29dic2026</t>
  </si>
  <si>
    <t xml:space="preserve">Cuadro Srl fatt n 82 31dic2025 </t>
  </si>
  <si>
    <t>IT31X0325012700010000198717</t>
  </si>
  <si>
    <t>ARIETE DUE DI CAJAHUARINGA JASMIN n09 del 11gen2026</t>
  </si>
  <si>
    <t>ARIETE DUE DI CAJAHUARINGA JASMIN n10 del 11gen2026</t>
  </si>
  <si>
    <t>IMMOBILIARE MONTE DI PIETA' SRL N 260000027H del 13gen2026</t>
  </si>
  <si>
    <t>IMMOBILIARE MONTE DI PIETA' SRL N 260000028H del 13gen2026</t>
  </si>
  <si>
    <t>IMMOBILIARE MONTE DI PIETA' SRL N 260000029H del 13gen2026</t>
  </si>
  <si>
    <t>Il Paradiso della Brugola Sas fatt n14 del 23gen2026</t>
  </si>
  <si>
    <t>IT98O0503433582000000005453</t>
  </si>
  <si>
    <t>TEAMSYSTEM SPA FATT N 1802/3A</t>
  </si>
  <si>
    <t>IT81V0306921306100000006125</t>
  </si>
  <si>
    <t>Naitana Livio fatt n04 del 01feb2026</t>
  </si>
  <si>
    <t>TEAMSYSTEM SPA FATT N 3897/3A</t>
  </si>
  <si>
    <t>IMMOBILIARE MONTE DI PIETA' SRL N 260000072H del 05feb2026</t>
  </si>
  <si>
    <t>Brescianini e Co srl 754/A/2026 del 30gen2026</t>
  </si>
  <si>
    <t>GENCA AUGUSTO n 12 del 11feb2026</t>
  </si>
  <si>
    <t>Recupero spese Replit</t>
  </si>
  <si>
    <t>Lo Iacono Michele fatt n 2/2026 del 11/02/2026</t>
  </si>
  <si>
    <t>Videomaker</t>
  </si>
  <si>
    <t>IT58E0200801603000104726795</t>
  </si>
  <si>
    <t>Locatelli Erika fatt n 3/2026 del 13feb2026</t>
  </si>
  <si>
    <t>IT28D0306952480100000006358</t>
  </si>
  <si>
    <t>Bruzzese davide fatt n 18/O del 13feb2026</t>
  </si>
  <si>
    <t>IT51V0306951730000006789155</t>
  </si>
  <si>
    <t>ARIETE DUE DI CAJAHUARINGA JASMIN n20 del 12feb2026</t>
  </si>
  <si>
    <t>GENCA AUGUSTO n 13 del 23feb2026</t>
  </si>
  <si>
    <t>23/02/0206</t>
  </si>
  <si>
    <t>LOIACONO EMANUEL FATT 21/1 del 23feb2026</t>
  </si>
  <si>
    <t>IT34U0200805061000010583625</t>
  </si>
  <si>
    <t xml:space="preserve">Fabio Pagani 17/FE del 25feb2026 </t>
  </si>
  <si>
    <t>IT08H0760110900001025855592</t>
  </si>
  <si>
    <t>Dr. Grillo Santi  competenze al 31.12.2025, stagione 25/26</t>
  </si>
  <si>
    <t>IT92J0538782290 000047564155</t>
  </si>
  <si>
    <t>ARIETE DUE DI CAJAHUARINGA JASMIN n35 del 09mar2026</t>
  </si>
  <si>
    <t>Il Paradiso della Brugola Sas fatt n144 del 09mar2026</t>
  </si>
  <si>
    <t>RITEL SRL fatt n 44/F del 17mar2026</t>
  </si>
  <si>
    <t>Service di Marco Caccialupi fatt n 09 del 12mar2026</t>
  </si>
  <si>
    <t>Barbieri Valentina fatt n 11/2026 del 18mar2026</t>
  </si>
  <si>
    <t>IT15L0364601600526740424410</t>
  </si>
  <si>
    <t>Locatelli Erika fatt n 4/2026 del 02mar2026</t>
  </si>
  <si>
    <t>Brescianini e Co srl 2256/A/2026 del 16mar2026</t>
  </si>
  <si>
    <t>Naitana Livio fatt n15 del 25mar2026</t>
  </si>
  <si>
    <t>TYSHCHUK MIKOLA fatt n 04 del 01apr2026</t>
  </si>
  <si>
    <t>Noord Uffici SAS fat n 1264/00 del 31mar2026</t>
  </si>
  <si>
    <t>ARIETE DUE DI CAJAHUARINGA JASMIN n47 del 05apr2026</t>
  </si>
  <si>
    <t>Checkmoov Srl n 315 del 2sett2025</t>
  </si>
  <si>
    <t>FONDAZIONE ROBERTO BOLLE E.T.S. n 316 del 15set2025</t>
  </si>
  <si>
    <t>NEW WAVE S.R.L. fatt n 320 del 22set2025</t>
  </si>
  <si>
    <t>NEW WAVE S.R.L. fatt n 332 del 29set2025</t>
  </si>
  <si>
    <t>NEW WAVE S.R.L. fatt n 335 del 06ott2025</t>
  </si>
  <si>
    <t>Stabilini Linda N 339 del 08ott2025</t>
  </si>
  <si>
    <t>DE MATTEIS STEFANIA n 340 del 08ott2025</t>
  </si>
  <si>
    <t>NEW WAVE S.R.L. fatt n 363 del 13ott2025</t>
  </si>
  <si>
    <t>NEW WAVE S.R.L. fatt n 403 del 21ott2025</t>
  </si>
  <si>
    <t>NEW WAVE S.R.L. fatt n 433 del 27ott2025</t>
  </si>
  <si>
    <t>Encanto Club Latino ASD n 405 del 27ott2025</t>
  </si>
  <si>
    <t>ARTECORPO APS n 404 del 27ott2025</t>
  </si>
  <si>
    <t>NEW WAVE S.R.L. fatt n 553 del 05nov2025</t>
  </si>
  <si>
    <t>NEW WAVE S.R.L. fatt n 625 del 10nov2025</t>
  </si>
  <si>
    <t>NEW WAVE S.R.L. fatt n 626 del 10nov2025</t>
  </si>
  <si>
    <t>NEW WAVE S.R.L. fatt n 645 del 17nov2025</t>
  </si>
  <si>
    <t>NEW WAVE S.R.L. fatt n 669 del 24nov2025</t>
  </si>
  <si>
    <t>Pellegrini SPA divisione welfare solutions n 642 del 17nov25</t>
  </si>
  <si>
    <t>NEW WAVE S.R.L. fatt n 706 del 01dic2025</t>
  </si>
  <si>
    <t>Dott. Massimo Nella n 711 del 10dic2025</t>
  </si>
  <si>
    <t>NEW WAVE S.R.L. fatt n 713 del 13dic2025</t>
  </si>
  <si>
    <t>NEW WAVE S.R.L. fatt n 782 del 22dic2025</t>
  </si>
  <si>
    <t>NEW WAVE S.R.L. fatt n 3 del 13gen2025</t>
  </si>
  <si>
    <t>Dott. Massimo Nella n 777 del 19dic2025</t>
  </si>
  <si>
    <t>NEW WAVE S.R.L. fatt n 7 del 19gen2026</t>
  </si>
  <si>
    <t>NEW WAVE S.R.L. fatt n 11 del 27gen2026</t>
  </si>
  <si>
    <t>Ora Sesta n 14 del 29gen2026</t>
  </si>
  <si>
    <t>NEW WAVE S.R.L. fatt n 17 del 04feb2026</t>
  </si>
  <si>
    <t>NEW WAVE S.R.L. fatt n 20 del 09feb2026</t>
  </si>
  <si>
    <t>NEW WAVE S.R.L. fatt n 65 del 17feb2026</t>
  </si>
  <si>
    <t>Encanto Club Latino ASD n 66 del 17feb2026</t>
  </si>
  <si>
    <t>Encanto Club Latino ASD n 70 del 25feb2026</t>
  </si>
  <si>
    <t>NEW WAVE S.R.L. fatt n 71 del 25feb2026</t>
  </si>
  <si>
    <t>Checkmoov Srl n 76 del 26feb2026</t>
  </si>
  <si>
    <t>NEW WAVE S.R.L. fatt n 127 del 09mar2026</t>
  </si>
  <si>
    <t>NEW WAVE S.R.L. fatt n 128 del 09mar2025</t>
  </si>
  <si>
    <t>NEW WAVE S.R.L. fatt n 136 del 18mar2026</t>
  </si>
  <si>
    <t>NEW WAVE S.R.L. fatt n 147 del 19mar2025</t>
  </si>
  <si>
    <t>NEW WAVE S.R.L. fatt n 149 del 23mar2025</t>
  </si>
  <si>
    <t>NEW WAVE S.R.L. fatt n 158 del 31mar2025</t>
  </si>
  <si>
    <t>SOSPESI</t>
  </si>
  <si>
    <t>Conter srl</t>
  </si>
  <si>
    <t>credito deposito cauzionale (17ott e 14nov 2016)</t>
  </si>
  <si>
    <t>COMPENSI</t>
  </si>
  <si>
    <t>2024-2025_COMPENSI insegnanti - collaboratori - dipendenti</t>
  </si>
  <si>
    <t xml:space="preserve">2-6-7-8 ottobre </t>
  </si>
  <si>
    <t xml:space="preserve">30 ott- 3-4-5 novembre </t>
  </si>
  <si>
    <t xml:space="preserve">27 nov- 4-59 dicembre </t>
  </si>
  <si>
    <t xml:space="preserve">27-28 dicembre </t>
  </si>
  <si>
    <t xml:space="preserve">2-5-6-10-11-13Febbraio </t>
  </si>
  <si>
    <t>SCADENZE</t>
  </si>
  <si>
    <t>RICORDARE</t>
  </si>
  <si>
    <t>ID</t>
  </si>
  <si>
    <t>IMPORTANTE</t>
  </si>
  <si>
    <t>DATA SCADENZA</t>
  </si>
  <si>
    <t xml:space="preserve">ORARIO </t>
  </si>
  <si>
    <t>D+E</t>
  </si>
  <si>
    <t>Collegato allo script</t>
  </si>
  <si>
    <t>CHI DEVE FARLO</t>
  </si>
  <si>
    <t>LINK</t>
  </si>
  <si>
    <t>MANUALE DI COME SI FA</t>
  </si>
  <si>
    <t>fattura Isabel, Seabra (solostage)</t>
  </si>
  <si>
    <t>emettere fattura fine mese di 500€ (lei pagherà in contanti acconto 700€ e saldo 600€)</t>
  </si>
  <si>
    <t>qra37vf19o23l94h74i9r0aqcg@google.com</t>
  </si>
  <si>
    <t>Amministrazione</t>
  </si>
  <si>
    <t>fare verbali</t>
  </si>
  <si>
    <t>gqqg70ii5gk0vnd7fc7959puc4@google.com</t>
  </si>
  <si>
    <t>Gae-ELI</t>
  </si>
  <si>
    <t>fattura MODULO PROJECT</t>
  </si>
  <si>
    <t>emettere fattura mensile: affitto sale  5000€ + iva</t>
  </si>
  <si>
    <t>pclofe4lrglde4d0087q0o2gdk@google.com</t>
  </si>
  <si>
    <t>Ariete Pulizie</t>
  </si>
  <si>
    <t>controllare di avere DURC aggiornato</t>
  </si>
  <si>
    <t>fikfvhasjcb1rbc04mghlbeqbg@google.com</t>
  </si>
  <si>
    <t xml:space="preserve">archiviare su drive i cedolini dipendenti </t>
  </si>
  <si>
    <t xml:space="preserve">Divisi per mese e per stagione ( verificare dal 21-22 in poi ) che tutte le cartelle siano piene </t>
  </si>
  <si>
    <t>grgjtrdss9825pt4e613q6o0do@google.com</t>
  </si>
  <si>
    <t>https://drive.google.com/drive/folders/0B6JrcjCM1-JnVHFiWkxnalRNVG8?resourcekey=0-jcXKoA0By5c2Wup8XegQ1w</t>
  </si>
  <si>
    <t xml:space="preserve">fattura Dott. Nella, Dott. Nisi e Arguello </t>
  </si>
  <si>
    <t>emettere fattura mensile: numero di visite moltiplicate per 10€ + Iva</t>
  </si>
  <si>
    <t>l5iea7lc7atq6ensqi1qdr3kn0@google.com</t>
  </si>
  <si>
    <t>https://drive.google.com/open?id=1bhMHnuIj3_gHKyw2jXh11SF1YPeGdCW5s0UumDE-1PQ</t>
  </si>
  <si>
    <t>protocollare fatture nella cartella del commercialista</t>
  </si>
  <si>
    <t>controllare da settembre ad oggi</t>
  </si>
  <si>
    <t>9bhqqajmoeo0j089qo6g1e2gao@google.com</t>
  </si>
  <si>
    <t>aggiornare file delle immobilizzazioni materiali acquistate con relative garanzie</t>
  </si>
  <si>
    <t>g78qbiil6gviuu7ssp9vljk0qg@google.com</t>
  </si>
  <si>
    <t>https://docs.google.com/spreadsheets/d/1HQidLBpagMxHAXZXb8nATJ-ItHwpeZ_uRbE8t3W6HQQ/edit?usp=sharing</t>
  </si>
  <si>
    <t>controllo estintori</t>
  </si>
  <si>
    <t>CEAM SRL chiamerà per controllo estintori (nuovo contratto)</t>
  </si>
  <si>
    <t>ijq9ne6v6dvi4gri40i5trpdl4@google.com</t>
  </si>
  <si>
    <t>https://trello.com/c/KaC9XXYZ</t>
  </si>
  <si>
    <t xml:space="preserve">Trello </t>
  </si>
  <si>
    <t xml:space="preserve">ricordarsi di ricaricare la carta soldo ( 2000 ) </t>
  </si>
  <si>
    <t>lq896ng78j7mn7puhkher6mtj8@google.com</t>
  </si>
  <si>
    <t>https://trello.com/c/7hIEarQ7</t>
  </si>
  <si>
    <t>rinnovare convenzioni e accordi</t>
  </si>
  <si>
    <t xml:space="preserve">accordi: Isabel, Zaccaria, Modulo, Filly </t>
  </si>
  <si>
    <t>aak7gcldkhj06pg8942ih2ml6s@google.com</t>
  </si>
  <si>
    <t>rinnovo abbonamento Fiscosport</t>
  </si>
  <si>
    <t>o93ce52v7k8rgf3me72s8vuum4@google.com</t>
  </si>
  <si>
    <t>https://trello.com/c/rcxySOdx</t>
  </si>
  <si>
    <t>rinnovo affiliazione OPES e ENDAS</t>
  </si>
  <si>
    <t>verificare che venga sempre fatto</t>
  </si>
  <si>
    <t>mm7158ase9s3jk1q5cfkp1bujs@google.com</t>
  </si>
  <si>
    <t>https://trello.com/c/WxcYfuFK</t>
  </si>
  <si>
    <t>rinnovo affiliazione LIBERTAS</t>
  </si>
  <si>
    <t>rljc4ghi1kag1cbcoo0hh0q8oc@google.com</t>
  </si>
  <si>
    <t>https://trello.com/c/9ju2w8Fo</t>
  </si>
  <si>
    <t xml:space="preserve">preparare lettere di incarico istruttori e collaboratori </t>
  </si>
  <si>
    <t xml:space="preserve">dal 01/09 al 31/07   inviare tutte le ricevute via email </t>
  </si>
  <si>
    <t>vr58mn4nil4587p3hodd1d85og@google.com</t>
  </si>
  <si>
    <t>https://trello.com/c/65MuVhkM</t>
  </si>
  <si>
    <t>preparare lettere di incarico professionale</t>
  </si>
  <si>
    <t xml:space="preserve">dal 01/09 al 31/07 inviare tutte le ricevute via email </t>
  </si>
  <si>
    <t>mhlbfb9qadascgomorqkncambc@google.com</t>
  </si>
  <si>
    <t>controllo documentazione istruttori</t>
  </si>
  <si>
    <t>di ognuno dobbiamo avere in archivio: c.i. e c.f., dichiarazione firmata, diploma, tesserino CONI
caricare su Drive la scansione di tutti i documenti SEMPRE a inzio anno e durante</t>
  </si>
  <si>
    <t>2vmpkbhgqdnl8mrddhpmrgrim0@google.com</t>
  </si>
  <si>
    <t>https://drive.google.com/drive/folders/1oe9JudfwknzNJyPIY1biz4jXL0KLBVV_</t>
  </si>
  <si>
    <t>acquisto tessere assicurazione enti</t>
  </si>
  <si>
    <t>Libertas.endas,opes,figi,fids (Alexandra assegna i numeri ai tesserati)</t>
  </si>
  <si>
    <t>3fk2pabda4bjbhf9i1gffl02f0@google.com</t>
  </si>
  <si>
    <t>https://trello.com/c/4xUm9xXC</t>
  </si>
  <si>
    <t xml:space="preserve">controllo Defibrillatore </t>
  </si>
  <si>
    <t>SUNNEXT SRL chiamerà per controllo defibrillatore (abbiamo un contratto)</t>
  </si>
  <si>
    <t>ksdsmlr238pb871jmauk677rp8@google.com</t>
  </si>
  <si>
    <t>https://trello.com/c/lIR5WQHb</t>
  </si>
  <si>
    <t>rinnovo abbonamento fatt elettronica aruba</t>
  </si>
  <si>
    <t>RINNOVO AUTOMATICO</t>
  </si>
  <si>
    <t>gt95d6pef57m7nu8ikaiqn42ko@google.com</t>
  </si>
  <si>
    <t>https://trello.com/c/IQRwzSr0</t>
  </si>
  <si>
    <t>stampare aggiornamento certificato CONI</t>
  </si>
  <si>
    <t xml:space="preserve">scaricare dal RAS </t>
  </si>
  <si>
    <t>9duca1ebtq6hsga43vjip0cd80@google.com</t>
  </si>
  <si>
    <t>https://trello.com/c/m9iOLceA</t>
  </si>
  <si>
    <t>CAMPAGNA SU FB</t>
  </si>
  <si>
    <t>Periodicamente Massi dovà inviare ad amministrazione le fatture di riferimento per ogni campagna fatta e finita… Controllare sempre il credito su PostePay che non dovrà mai scendere sotto i 300euro</t>
  </si>
  <si>
    <t>92t66fca1q1iuokcoappf3vpb8@google.com</t>
  </si>
  <si>
    <t xml:space="preserve">Credito Sportivo ( ICS) </t>
  </si>
  <si>
    <t>rid automatico</t>
  </si>
  <si>
    <t>31o7ir2ub2s6dibu3muvckt5rs@google.com</t>
  </si>
  <si>
    <t>https://trello.com/c/vkz4W3YM</t>
  </si>
  <si>
    <t>BPM finanziamento</t>
  </si>
  <si>
    <t>ihnthpkfov7kee1kv06laqmpls@google.com</t>
  </si>
  <si>
    <t>https://trello.com/c/09HrKLAU</t>
  </si>
  <si>
    <t xml:space="preserve">richiesta conteggi Orasesta ed emissione fattura </t>
  </si>
  <si>
    <t xml:space="preserve">rif. commerciale Roberto Miranda </t>
  </si>
  <si>
    <t>sd1e7hiaaqh7aegus0mu3b8dbk@google.com</t>
  </si>
  <si>
    <t>https://trello.com/c/6DGD1eq3</t>
  </si>
  <si>
    <t>rinnovo affiliazione CSEN + polizza rc annuale + tesserare almeno 20 persone</t>
  </si>
  <si>
    <t>ikmhsbb7ik064h62n971pia2c8@google.com</t>
  </si>
  <si>
    <t>https://trello.com/c/6av4eBOK</t>
  </si>
  <si>
    <t>rinnovo AssoDanza Italia</t>
  </si>
  <si>
    <t>account per Geos ( Elisa Arrivabene )</t>
  </si>
  <si>
    <t>bpotbp2haa92bql5pluiak5434@google.com</t>
  </si>
  <si>
    <t>https://trello.com/c/GIE6g1jD</t>
  </si>
  <si>
    <t>creare file sconti ed eccezioni</t>
  </si>
  <si>
    <t>manca ancora l'elenco delle persone che pagano meno</t>
  </si>
  <si>
    <t>dnam7luehu8q7idvpnrs554g20@google.com</t>
  </si>
  <si>
    <t>Elisa</t>
  </si>
  <si>
    <t xml:space="preserve">comunicare compensi annuali dipendente pubblico </t>
  </si>
  <si>
    <t xml:space="preserve">protocollo.generale@pec.consiglio.regione.lombardia.it ( pec Furia ) </t>
  </si>
  <si>
    <t>pijdhob9q6oddbp051k3188udg@google.com</t>
  </si>
  <si>
    <t>rinnovo affiliazione FGI + tesserare almeno 20 atleti</t>
  </si>
  <si>
    <t>eud0vva2cis02cqsm0q82rn738@google.com</t>
  </si>
  <si>
    <t>https://trello.com/c/UiCJyGK6</t>
  </si>
  <si>
    <t>rinnovo affiliazione FIDS + tesserare allievi Assabi</t>
  </si>
  <si>
    <t>a9vhjpvlf4invv7gk60p6jj8v4@google.com</t>
  </si>
  <si>
    <t>https://trello.com/c/dcRJgiPg</t>
  </si>
  <si>
    <t>rinnovo tesserini tecnici istruttori (iscrizione albo ex  CONI)</t>
  </si>
  <si>
    <t>accordo con Libertas per quota annuale 20€ - contatto con dott. Pantano 3498095165</t>
  </si>
  <si>
    <t>l1kkfoc2bk4buvdj2kg2ad98qk@google.com</t>
  </si>
  <si>
    <t>https://trello.com/c/yB9WfTuI</t>
  </si>
  <si>
    <t>rinnovo permesso annuale SIAE</t>
  </si>
  <si>
    <t xml:space="preserve">far riferimento al canone annuale pagato l'anno prima + saggi </t>
  </si>
  <si>
    <t>n116iltjcm00ogmhvavh8q2v3g@google.com</t>
  </si>
  <si>
    <t>https://trello.com/c/t9ZlvmyQ</t>
  </si>
  <si>
    <t xml:space="preserve">rinnovo pec aruba </t>
  </si>
  <si>
    <t>ha1fkakoh7f1k4632pefi5ldak@google.com</t>
  </si>
  <si>
    <t>REGISTRAZIONI/CONTABILITÀ ATHENA</t>
  </si>
  <si>
    <t>PERIODO</t>
  </si>
  <si>
    <t>DATA</t>
  </si>
  <si>
    <t>Studio Gem/Studio Grillo</t>
  </si>
  <si>
    <t xml:space="preserve">entro il 15 del mese </t>
  </si>
  <si>
    <t>registrazione spese banca</t>
  </si>
  <si>
    <t>https://drive.google.com/open?id=1K2pDp0goQQ_6fRBAmNJFsoNzih935cZateXtRUduVB0</t>
  </si>
  <si>
    <t>registrazione scontrini</t>
  </si>
  <si>
    <t>registrazione ricevute acquisti</t>
  </si>
  <si>
    <t>registrazione fatture emesse</t>
  </si>
  <si>
    <t>registrazione pagamenti fatture</t>
  </si>
  <si>
    <t>https://drive.google.com/open?id=1TPwoOJPuZpQ9jS3r45Lb8L1y871vFwJvc8TJfY2NvDQ</t>
  </si>
  <si>
    <t xml:space="preserve">mensile </t>
  </si>
  <si>
    <t>registazione fatture e ricevute Google e Facebook</t>
  </si>
  <si>
    <t xml:space="preserve"> conto postepay</t>
  </si>
  <si>
    <t>ogni giorno</t>
  </si>
  <si>
    <t>registrazione entrate</t>
  </si>
  <si>
    <t>rif. Elisa</t>
  </si>
  <si>
    <t>ogni inizio mese</t>
  </si>
  <si>
    <t xml:space="preserve">registrazione ricevute compensi istruttori sportivi e pagamenti </t>
  </si>
  <si>
    <t>cedolini collaboratori sportivi con compenso fino a 5000€</t>
  </si>
  <si>
    <t>https://drive.google.com/open?id=1aKo1mLe5Ao8y_Pt3a4zlV4vUHq8ao2PW9W-F2_MSrw4</t>
  </si>
  <si>
    <t>registrazione stipendi</t>
  </si>
  <si>
    <t>registrazione pagamento stipendi</t>
  </si>
  <si>
    <t>cedolini dipendenti e cololaboratori che hanno superato i 5000€</t>
  </si>
  <si>
    <t>https://drive.google.com/open?id=1KUMvEGY7vnEdIRKZtWvHLHqde7ADmJuzO2Zm8kUk1kg</t>
  </si>
  <si>
    <t>registrazione corrispettivi</t>
  </si>
  <si>
    <r>
      <rPr>
        <rFont val="&quot;Helvetica Neue&quot;, Arial"/>
        <sz val="12.0"/>
      </rPr>
      <t xml:space="preserve">ogni giorno trascrivere nel </t>
    </r>
    <r>
      <rPr>
        <rFont val="&quot;Helvetica Neue&quot;, Arial"/>
        <b/>
        <sz val="12.0"/>
      </rPr>
      <t>registro corrispettivi</t>
    </r>
    <r>
      <rPr>
        <rFont val="&quot;Helvetica Neue&quot;, Arial"/>
        <sz val="12.0"/>
      </rPr>
      <t xml:space="preserve"> le ricevute fiscali emesse per vendita scarpe, abbigliamento, affitto sala, lezioni private (per chi la richiede) ecc
--&gt; nella prima nota vanno registrate le entrate con ricevuta fiscale, come per le entrate istituzionali.
--&gt; in </t>
    </r>
    <r>
      <rPr>
        <rFont val="&quot;Helvetica Neue&quot;, Arial"/>
        <b/>
        <sz val="12.0"/>
      </rPr>
      <t>athena</t>
    </r>
    <r>
      <rPr>
        <rFont val="&quot;Helvetica Neue&quot;, Arial"/>
        <sz val="12.0"/>
      </rPr>
      <t xml:space="preserve"> i corrispettivi vengono registrati dallo </t>
    </r>
    <r>
      <rPr>
        <rFont val="&quot;Helvetica Neue&quot;, Arial"/>
        <b/>
        <sz val="12.0"/>
      </rPr>
      <t>Studio Grillo</t>
    </r>
    <r>
      <rPr>
        <rFont val="&quot;Helvetica Neue&quot;, Arial"/>
        <sz val="12.0"/>
      </rPr>
      <t xml:space="preserve"> ogni trimestre, quando ricevono le scansioni del registro corrispettivi per il calcolo del versamento Iva</t>
    </r>
  </si>
  <si>
    <t>https://trello.com/c/mi5Fcg9L</t>
  </si>
  <si>
    <t>inseirimento e pagamento F24 vari (dipendenti e consulenti, istruttori sportivi)</t>
  </si>
  <si>
    <t>inviare allo Studio Grillo fatture professionisti o ricevute istruttori per i quali vanno versate ritenute o addizionali</t>
  </si>
  <si>
    <t>Studio Grillo</t>
  </si>
  <si>
    <t>ogni 16 dei mesi:
febbraio
maggio
agosto
novembre</t>
  </si>
  <si>
    <t>versamento IVA trimestrale</t>
  </si>
  <si>
    <t>inviare allo Studio Grillo 2 settimane prima della scadenza le scansioni del registro corrispettivi mensili del trimestre di riferimento; lo Studio Grillo invierà il mod F24 per il pagamento e registrerà i corrispettivi trimestrali in Athena</t>
  </si>
  <si>
    <t>registrazione fatture in ordine di protocollo</t>
  </si>
  <si>
    <t>Appunti Amministrazione</t>
  </si>
  <si>
    <t>Bacheca TRELLO</t>
  </si>
  <si>
    <t>in questo foglio scrivono:Eli, Santo,Gae</t>
  </si>
  <si>
    <t>PRIORITÀ</t>
  </si>
  <si>
    <t>CHI SCRIVE</t>
  </si>
  <si>
    <t>COMMENTO</t>
  </si>
  <si>
    <t>LINK o FOTO o VIDEO</t>
  </si>
  <si>
    <t>FATTO IL (data)</t>
  </si>
  <si>
    <t>FATTO</t>
  </si>
  <si>
    <t>Santo</t>
  </si>
  <si>
    <t xml:space="preserve">Mandare Pec ad Athena </t>
  </si>
  <si>
    <t>Spett.le TeamSystem S.p.A.,
con la presente desideriamo formalizzare un reclamo in merito alla grave e prolungata mancanza di assistenzarelativa al nostro Gestionale Sportivi in Cloud.
Da tempo abbiamo aperto numerosi ticket di assistenza, ricevendo risposte tardive o, in molti casi, nessun riscontro.
In particolare segnaliamo quanto segue:
abbiamo acquistato il modulo Cespiti, ma non siamo mai stati contattati;
non è stata fornita alcuna integrazione, formazione o supporto operativo;
abbiamo acquistato un’ora di consulenza, in quanto avevamo quesiti urgenti, ma non abbiamo ricevuto alcun contatto né alcuna consulenza;
nonostante i ripetuti solleciti, non siamo mai stati ricontattati da un tecnico.
L’unica persona con cui abbiamo avuto un riscontro è stata la sig.ra Madalina, che ringraziamo per la disponibilità e la cortesia dimostrate.
La stessa ci ha fornito i riferimenti del tecnico che dovrebbe seguirci, il quale è stato da noi contattato sia via email sia telefonicamente, senza tuttavia ottenere alcuna risposta.
È ormai trascorso un lasso di tempo inaccettabile, considerati:
i servizi regolarmente acquistati,
le necessità operative urgenti,
e il rapporto contrattuale in essere.
Alla luce di quanto sopra, chiediamo cortesemente ma con fermezza di sapere:
quali siano le vostre intenzioni,
come intendiate procedere,
e in quali tempi verrà finalmente garantita l’assistenza dovuta.
Restiamo in attesa di un vostro sollecito e concreto riscontro, auspicando una rapida risoluzione della situazione.
Cordiali saluti</t>
  </si>
  <si>
    <t xml:space="preserve">Finire di completare i file del controllo di gestione per la stagione iniziata 25-26 </t>
  </si>
  <si>
    <t xml:space="preserve">richiedere cespiti al commercialsta </t>
  </si>
  <si>
    <t>BPM(Questione Tecnica): fissare incontro per verificare se possiamo scaricare il documento XML dei movimenti bancari e importarlo sul gestionale.</t>
  </si>
  <si>
    <t xml:space="preserve">dobbiamo chiamere al numero di assistenza </t>
  </si>
  <si>
    <t>Livio (Elettricista): appuntamento per testare i punti rete con l’elettricista.</t>
  </si>
  <si>
    <t xml:space="preserve">mi deve comunicare una nuova data </t>
  </si>
  <si>
    <t xml:space="preserve">Registrare riepilogo paghe Dicembre </t>
  </si>
  <si>
    <t xml:space="preserve">Registrare pagamenti stipendi Novembre </t>
  </si>
  <si>
    <t>registrare account per cripto valute</t>
  </si>
  <si>
    <t xml:space="preserve">Poste bisogna chiamare direttamente il numero dell'assitenza </t>
  </si>
  <si>
    <t xml:space="preserve">appuntamento con Athena </t>
  </si>
  <si>
    <t>15/01/2025 alle 15.00</t>
  </si>
  <si>
    <t xml:space="preserve">Antelma centralino ( contatto Livio ) </t>
  </si>
  <si>
    <t xml:space="preserve">per il momento non ci interessa </t>
  </si>
  <si>
    <t xml:space="preserve">Appuntamento con MMN per sitemare punto 1 , sono in attesa </t>
  </si>
  <si>
    <t xml:space="preserve">Sistemare registrazioni su Athena ( Scalapay - Online ) </t>
  </si>
  <si>
    <t xml:space="preserve">Mandare email tecnica a Girotti Team system </t>
  </si>
  <si>
    <t>poertare locandina in gelateria e nelle scuole per il Campus</t>
  </si>
  <si>
    <t>Fissare appuntamento con Cesare e suo Staff</t>
  </si>
  <si>
    <t>Mandare email a Arte e Corpo per liberare le uscite</t>
  </si>
  <si>
    <t xml:space="preserve">completare la registrazione delle fatture estere </t>
  </si>
  <si>
    <t xml:space="preserve">riordinare il cartaceo in archivio </t>
  </si>
  <si>
    <t xml:space="preserve">Mandare email a Grillo </t>
  </si>
  <si>
    <t>Crediti quote Associative/Partecipazione scheda a cui non riescono ad accedere CHIEDERE ad ATHENA</t>
  </si>
  <si>
    <t>mandare email a chi ha la partita Iva</t>
  </si>
  <si>
    <t xml:space="preserve">fare versamenti TFR </t>
  </si>
  <si>
    <t xml:space="preserve">completare registrazioni Gennaio </t>
  </si>
  <si>
    <t>Controllare elenco insegannti su Athena</t>
  </si>
  <si>
    <t xml:space="preserve">Analizzare spese e pagare fattura </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</si>
</sst>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dd/MM/yyyy"/>
    <numFmt numFmtId="165" formatCode="_-[$€-2]* #,##0.00_-;_-[$€-2]* \-#,##0.00_-;_-[$€-2]* &quot;-&quot;??_-;_-@"/>
    <numFmt numFmtId="166" formatCode="m/d/yyyy h:mm:ss"/>
    <numFmt numFmtId="167" formatCode="[$€-2]\ #,##0.00"/>
    <numFmt numFmtId="168" formatCode="dd/mm/yyyy"/>
    <numFmt numFmtId="169" formatCode="d/m/yyyy"/>
    <numFmt numFmtId="170" formatCode="h.mm"/>
    <numFmt numFmtId="171" formatCode="d&quot; &quot;mmm&quot; &quot;yyyy"/>
    <numFmt numFmtId="172" formatCode="h&quot;.&quot;mm"/>
    <numFmt numFmtId="173" formatCode="dd/mm/yyyy h.mm"/>
  </numFmts>
  <fonts count="56">
    <font>
      <sz val="10.0"/>
      <color rgb="FF000000"/>
      <name val="Helvetica Neue"/>
    </font>
    <font>
      <b/>
      <sz val="10.0"/>
      <color rgb="FF000000"/>
      <name val="Arial"/>
    </font>
    <font>
      <b/>
      <sz val="24.0"/>
      <color rgb="FF000000"/>
      <name val="Arial"/>
    </font>
    <font/>
    <font>
      <b/>
      <u/>
      <sz val="10.0"/>
      <color rgb="FF0000FF"/>
      <name val="Arial"/>
    </font>
    <font>
      <name val="Arial"/>
    </font>
    <font>
      <sz val="10.0"/>
      <color rgb="FF000000"/>
      <name val="Arial"/>
    </font>
    <font>
      <sz val="11.0"/>
      <name val="Arial"/>
    </font>
    <font>
      <color rgb="FF000000"/>
      <name val="Arial"/>
    </font>
    <font>
      <b/>
      <sz val="10.0"/>
      <color rgb="FF000000"/>
      <name val="Texta"/>
    </font>
    <font>
      <sz val="10.0"/>
      <color rgb="FF000000"/>
      <name val="Texta"/>
    </font>
    <font>
      <sz val="11.0"/>
      <color rgb="FF000000"/>
      <name val="Arial"/>
    </font>
    <font>
      <sz val="10.0"/>
      <name val="Arial"/>
    </font>
    <font>
      <sz val="11.0"/>
      <color rgb="FF000000"/>
      <name val="Texta"/>
    </font>
    <font>
      <sz val="10.0"/>
      <color rgb="FFFFFF00"/>
      <name val="Arial"/>
    </font>
    <font>
      <sz val="10.0"/>
      <color rgb="FF000000"/>
      <name val="Roboto"/>
    </font>
    <font>
      <sz val="10.0"/>
      <color rgb="FFC53929"/>
      <name val="Arial"/>
    </font>
    <font>
      <b/>
      <sz val="10.0"/>
      <name val="Arial"/>
    </font>
    <font>
      <sz val="11.0"/>
      <color rgb="FFC53929"/>
      <name val="Arial"/>
    </font>
    <font>
      <sz val="11.0"/>
      <color rgb="FFFFFF00"/>
      <name val="Arial"/>
    </font>
    <font>
      <sz val="11.0"/>
      <color rgb="FFFF0000"/>
      <name val="Arial"/>
    </font>
    <font>
      <sz val="10.0"/>
      <color rgb="FFFF0000"/>
      <name val="Arial"/>
    </font>
    <font>
      <sz val="8.0"/>
      <color rgb="FF000000"/>
      <name val="Arial"/>
    </font>
    <font>
      <b/>
      <sz val="8.0"/>
      <color rgb="FF000000"/>
      <name val="Arial"/>
    </font>
    <font>
      <color rgb="FFFF0000"/>
      <name val="Arial"/>
    </font>
    <font>
      <b/>
      <sz val="10.0"/>
      <color rgb="FFFF0000"/>
      <name val="Arial"/>
    </font>
    <font>
      <b/>
      <sz val="18.0"/>
      <color rgb="FF000000"/>
    </font>
    <font>
      <sz val="10.0"/>
    </font>
    <font>
      <b/>
      <sz val="10.0"/>
    </font>
    <font>
      <name val="Helvetica Neue"/>
    </font>
    <font>
      <b/>
      <name val="Arial"/>
    </font>
    <font>
      <name val="'ArialMT'"/>
    </font>
    <font>
      <color rgb="FF000000"/>
      <name val="Aptos"/>
    </font>
    <font>
      <color rgb="FF000000"/>
      <name val="Helvetica Neue"/>
    </font>
    <font>
      <sz val="10.0"/>
      <color rgb="FF000000"/>
      <name val="Helvetica"/>
    </font>
    <font>
      <color rgb="FF212529"/>
      <name val="&quot;Open Sans&quot;"/>
    </font>
    <font>
      <b/>
      <u/>
      <sz val="10.0"/>
      <color rgb="FF0000FF"/>
      <name val="Arial"/>
    </font>
    <font>
      <b/>
      <sz val="9.0"/>
      <name val="Arial"/>
    </font>
    <font>
      <b/>
      <sz val="12.0"/>
    </font>
    <font>
      <sz val="12.0"/>
      <name val="&quot;Helvetica Neue&quot;"/>
    </font>
    <font>
      <sz val="12.0"/>
      <color rgb="FF000000"/>
      <name val="Arial"/>
    </font>
    <font>
      <sz val="12.0"/>
      <name val="Arial"/>
    </font>
    <font>
      <u/>
      <sz val="12.0"/>
      <color rgb="FF1155CC"/>
      <name val="&quot;Helvetica Neue&quot;"/>
    </font>
    <font>
      <u/>
      <sz val="12.0"/>
      <color rgb="FF1155CC"/>
      <name val="&quot;Helvetica Neue&quot;"/>
    </font>
    <font>
      <u/>
      <sz val="12.0"/>
      <color rgb="FF0000FF"/>
      <name val="&quot;Helvetica Neue&quot;"/>
    </font>
    <font>
      <b/>
      <sz val="12.0"/>
      <name val="&quot;Helvetica Neue&quot;"/>
    </font>
    <font>
      <sz val="12.0"/>
      <name val="Helvetica Neue"/>
    </font>
    <font>
      <u/>
      <sz val="12.0"/>
      <color rgb="FF0000FF"/>
      <name val="&quot;Helvetica Neue&quot;"/>
    </font>
    <font>
      <sz val="12.0"/>
    </font>
    <font>
      <name val="&quot;Helvetica Neue&quot;"/>
    </font>
    <font>
      <u/>
      <sz val="12.0"/>
      <color rgb="FF1155CC"/>
      <name val="&quot;Helvetica Neue&quot;"/>
    </font>
    <font>
      <u/>
      <sz val="12.0"/>
      <color rgb="FF1155CC"/>
      <name val="&quot;Helvetica Neue&quot;"/>
    </font>
    <font>
      <u/>
      <color rgb="FF0000FF"/>
      <name val="&quot;Helvetica Neue&quot;"/>
    </font>
    <font>
      <b/>
      <u/>
      <sz val="10.0"/>
      <color rgb="FF0000FF"/>
      <name val="Arial"/>
    </font>
    <font>
      <b/>
      <sz val="30.0"/>
      <name val="Arial"/>
    </font>
    <font>
      <sz val="9.0"/>
    </font>
  </fonts>
  <fills count="26">
    <fill>
      <patternFill patternType="none"/>
    </fill>
    <fill>
      <patternFill patternType="lightGray"/>
    </fill>
    <fill>
      <patternFill patternType="solid">
        <fgColor rgb="FFD5A6BD"/>
        <bgColor rgb="FFD5A6BD"/>
      </patternFill>
    </fill>
    <fill>
      <patternFill patternType="solid">
        <fgColor rgb="FFD9D9D9"/>
        <bgColor rgb="FFD9D9D9"/>
      </patternFill>
    </fill>
    <fill>
      <patternFill patternType="solid">
        <fgColor rgb="FFEAD1DC"/>
        <bgColor rgb="FFEAD1DC"/>
      </patternFill>
    </fill>
    <fill>
      <patternFill patternType="solid">
        <fgColor rgb="FFFFFF00"/>
        <bgColor rgb="FFFFFF00"/>
      </patternFill>
    </fill>
    <fill>
      <patternFill patternType="solid">
        <fgColor rgb="FFF1C232"/>
        <bgColor rgb="FFF1C232"/>
      </patternFill>
    </fill>
    <fill>
      <patternFill patternType="solid">
        <fgColor rgb="FF00FF00"/>
        <bgColor rgb="FF00FF00"/>
      </patternFill>
    </fill>
    <fill>
      <patternFill patternType="solid">
        <fgColor rgb="FFB4A7D6"/>
        <bgColor rgb="FFB4A7D6"/>
      </patternFill>
    </fill>
    <fill>
      <patternFill patternType="solid">
        <fgColor rgb="FFF9CB9C"/>
        <bgColor rgb="FFF9CB9C"/>
      </patternFill>
    </fill>
    <fill>
      <patternFill patternType="solid">
        <fgColor rgb="FFFFFFFF"/>
        <bgColor rgb="FFFFFFFF"/>
      </patternFill>
    </fill>
    <fill>
      <patternFill patternType="solid">
        <fgColor rgb="FF8E7CC3"/>
        <bgColor rgb="FF8E7CC3"/>
      </patternFill>
    </fill>
    <fill>
      <patternFill patternType="solid">
        <fgColor rgb="FFBDC0BF"/>
        <bgColor rgb="FFBDC0BF"/>
      </patternFill>
    </fill>
    <fill>
      <patternFill patternType="solid">
        <fgColor rgb="FFDBDBDB"/>
        <bgColor rgb="FFDBDBDB"/>
      </patternFill>
    </fill>
    <fill>
      <patternFill patternType="solid">
        <fgColor rgb="FF00FFFF"/>
        <bgColor rgb="FF00FFFF"/>
      </patternFill>
    </fill>
    <fill>
      <patternFill patternType="solid">
        <fgColor rgb="FFDD7E6B"/>
        <bgColor rgb="FFDD7E6B"/>
      </patternFill>
    </fill>
    <fill>
      <patternFill patternType="solid">
        <fgColor rgb="FFC9DAF8"/>
        <bgColor rgb="FFC9DAF8"/>
      </patternFill>
    </fill>
    <fill>
      <patternFill patternType="solid">
        <fgColor rgb="FFCFE2F3"/>
        <bgColor rgb="FFCFE2F3"/>
      </patternFill>
    </fill>
    <fill>
      <patternFill patternType="solid">
        <fgColor rgb="FFEA9999"/>
        <bgColor rgb="FFEA9999"/>
      </patternFill>
    </fill>
    <fill>
      <patternFill patternType="solid">
        <fgColor rgb="FFB6D7A8"/>
        <bgColor rgb="FFB6D7A8"/>
      </patternFill>
    </fill>
    <fill>
      <patternFill patternType="solid">
        <fgColor rgb="FFFF0000"/>
        <bgColor rgb="FFFF0000"/>
      </patternFill>
    </fill>
    <fill>
      <patternFill patternType="solid">
        <fgColor rgb="FFFF9900"/>
        <bgColor rgb="FFFF9900"/>
      </patternFill>
    </fill>
    <fill>
      <patternFill patternType="solid">
        <fgColor rgb="FFC27BA0"/>
        <bgColor rgb="FFC27BA0"/>
      </patternFill>
    </fill>
    <fill>
      <patternFill patternType="solid">
        <fgColor rgb="FF93C47D"/>
        <bgColor rgb="FF93C47D"/>
      </patternFill>
    </fill>
    <fill>
      <patternFill patternType="solid">
        <fgColor rgb="FFE6B8AF"/>
        <bgColor rgb="FFE6B8AF"/>
      </patternFill>
    </fill>
    <fill>
      <patternFill patternType="solid">
        <fgColor rgb="FFB7B7B7"/>
        <bgColor rgb="FFB7B7B7"/>
      </patternFill>
    </fill>
  </fills>
  <borders count="71">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right style="thin">
        <color rgb="FFCCCCCC"/>
      </right>
      <top style="thin">
        <color rgb="FFCCCCCC"/>
      </top>
      <bottom style="thin">
        <color rgb="FFCCCCCC"/>
      </bottom>
    </border>
    <border>
      <left style="thin">
        <color rgb="FFCCCCCC"/>
      </left>
      <right style="thin">
        <color rgb="FFCCCCCC"/>
      </right>
      <top style="thin">
        <color rgb="FFCCCCCC"/>
      </top>
    </border>
    <border>
      <right style="thin">
        <color rgb="FFB7B7B7"/>
      </right>
      <top style="thin">
        <color rgb="FFB7B7B7"/>
      </top>
      <bottom style="thin">
        <color rgb="FFB7B7B7"/>
      </bottom>
    </border>
    <border>
      <right style="thin">
        <color rgb="FFB7B7B7"/>
      </right>
      <bottom style="thin">
        <color rgb="FFD9D9D9"/>
      </bottom>
    </border>
    <border>
      <right style="thin">
        <color rgb="FFB7B7B7"/>
      </right>
      <top style="thin">
        <color rgb="FFD9D9D9"/>
      </top>
      <bottom style="thin">
        <color rgb="FFD9D9D9"/>
      </bottom>
    </border>
    <border>
      <top style="thin">
        <color rgb="FFD9D9D9"/>
      </top>
      <bottom style="thin">
        <color rgb="FFD9D9D9"/>
      </bottom>
    </border>
    <border>
      <right style="thin">
        <color rgb="FFD9D9D9"/>
      </right>
      <top style="thin">
        <color rgb="FFD9D9D9"/>
      </top>
      <bottom style="thin">
        <color rgb="FFD9D9D9"/>
      </bottom>
    </border>
    <border>
      <left style="thin">
        <color rgb="FFEFEFEF"/>
      </left>
      <right style="thin">
        <color rgb="FFEFEFEF"/>
      </right>
      <top style="thin">
        <color rgb="FFD9D9D9"/>
      </top>
      <bottom style="thin">
        <color rgb="FFD9D9D9"/>
      </bottom>
    </border>
    <border>
      <left style="thin">
        <color rgb="FFD9D9D9"/>
      </left>
      <right style="thin">
        <color rgb="FFD9D9D9"/>
      </right>
      <top style="thin">
        <color rgb="FFD9D9D9"/>
      </top>
      <bottom style="thin">
        <color rgb="FFD9D9D9"/>
      </bottom>
    </border>
    <border>
      <top style="thin">
        <color rgb="FFCCCCCC"/>
      </top>
      <bottom style="thin">
        <color rgb="FFCCCCCC"/>
      </bottom>
    </border>
    <border>
      <top style="thin">
        <color rgb="FFCCCCCC"/>
      </top>
      <bottom style="thin">
        <color rgb="FFD9D9D9"/>
      </bottom>
    </border>
    <border>
      <right style="thin">
        <color rgb="FFB7B7B7"/>
      </right>
      <top style="thin">
        <color rgb="FFD9D9D9"/>
      </top>
      <bottom style="thin">
        <color rgb="FFCCCCCC"/>
      </bottom>
    </border>
    <border>
      <right style="thin">
        <color rgb="FFB7B7B7"/>
      </right>
      <top style="thin">
        <color rgb="FFD9D9D9"/>
      </top>
      <bottom style="thin">
        <color rgb="FFB7B7B7"/>
      </bottom>
    </border>
    <border>
      <right style="thin">
        <color rgb="FFB7B7B7"/>
      </right>
      <top style="thin">
        <color rgb="FFB7B7B7"/>
      </top>
      <bottom style="thin">
        <color rgb="FFCCCCCC"/>
      </bottom>
    </border>
    <border>
      <right style="thin">
        <color rgb="FFB7B7B7"/>
      </right>
      <top style="thin">
        <color rgb="FFCCCCCC"/>
      </top>
      <bottom style="thin">
        <color rgb="FFCCCCCC"/>
      </bottom>
    </border>
    <border>
      <bottom style="thin">
        <color rgb="FFD9D9D9"/>
      </bottom>
    </border>
    <border>
      <right style="thin">
        <color rgb="FFB7B7B7"/>
      </right>
      <top style="thin">
        <color rgb="FFCCCCCC"/>
      </top>
      <bottom style="thin">
        <color rgb="FFD9D9D9"/>
      </bottom>
    </border>
    <border>
      <top style="thin">
        <color rgb="FFD9D9D9"/>
      </top>
      <bottom style="thin">
        <color rgb="FFCCCCCC"/>
      </bottom>
    </border>
    <border>
      <bottom style="thin">
        <color rgb="FFCCCCCC"/>
      </bottom>
    </border>
    <border>
      <top style="thin">
        <color rgb="FFCCCCCC"/>
      </top>
    </border>
    <border>
      <right style="thin">
        <color rgb="FFB7B7B7"/>
      </right>
      <top style="thin">
        <color rgb="FFCCCCCC"/>
      </top>
      <bottom style="thin">
        <color rgb="FFB7B7B7"/>
      </bottom>
    </border>
    <border>
      <bottom style="thin">
        <color rgb="FFDDDDDD"/>
      </bottom>
    </border>
    <border>
      <top style="thin">
        <color rgb="FFD9D9D9"/>
      </top>
      <bottom style="thin">
        <color rgb="FFB7B7B7"/>
      </bottom>
    </border>
    <border>
      <top style="thin">
        <color rgb="FFB7B7B7"/>
      </top>
      <bottom style="thin">
        <color rgb="FFB7B7B7"/>
      </bottom>
    </border>
    <border>
      <right style="thin">
        <color rgb="FFD9D9D9"/>
      </right>
      <top style="thin">
        <color rgb="FFB7B7B7"/>
      </top>
      <bottom style="thin">
        <color rgb="FFB7B7B7"/>
      </bottom>
    </border>
    <border>
      <left style="thin">
        <color rgb="FFEFEFEF"/>
      </left>
      <right style="thin">
        <color rgb="FFEFEFEF"/>
      </right>
      <top style="thin">
        <color rgb="FFEFEFEF"/>
      </top>
      <bottom style="thin">
        <color rgb="FFEFEFEF"/>
      </bottom>
    </border>
    <border>
      <right style="thin">
        <color rgb="FFD9D9D9"/>
      </right>
      <bottom style="thin">
        <color rgb="FFCCCCCC"/>
      </bottom>
    </border>
    <border>
      <right style="thin">
        <color rgb="FFD9D9D9"/>
      </right>
      <top style="thin">
        <color rgb="FFCCCCCC"/>
      </top>
      <bottom style="thin">
        <color rgb="FFCCCCCC"/>
      </bottom>
    </border>
    <border>
      <right style="thin">
        <color rgb="FFB7B7B7"/>
      </right>
      <top style="thin">
        <color rgb="FFB7B7B7"/>
      </top>
    </border>
    <border>
      <right style="thin">
        <color rgb="FFEFEFEF"/>
      </right>
      <top style="thin">
        <color rgb="FFCCCCCC"/>
      </top>
      <bottom style="thin">
        <color rgb="FFCCCCCC"/>
      </bottom>
    </border>
    <border>
      <right style="thin">
        <color rgb="FFD9D9D9"/>
      </right>
      <top style="thin">
        <color rgb="FFD9D9D9"/>
      </top>
    </border>
    <border>
      <right style="thin">
        <color rgb="FFB7B7B7"/>
      </right>
      <bottom style="thin">
        <color rgb="FFCCCCCC"/>
      </bottom>
    </border>
    <border>
      <right style="thin">
        <color rgb="FFD9D9D9"/>
      </right>
      <top style="thin">
        <color rgb="FFCCCCCC"/>
      </top>
      <bottom style="thin">
        <color rgb="FFD9D9D9"/>
      </bottom>
    </border>
    <border>
      <right style="thin">
        <color rgb="FFD9D9D9"/>
      </right>
      <bottom style="thin">
        <color rgb="FFD9D9D9"/>
      </bottom>
    </border>
    <border>
      <right style="thin">
        <color rgb="FFD9D9D9"/>
      </right>
      <top style="thin">
        <color rgb="FFD9D9D9"/>
      </top>
      <bottom style="thin">
        <color rgb="FFCCCCCC"/>
      </bottom>
    </border>
    <border>
      <right style="thin">
        <color rgb="FFB7B7B7"/>
      </right>
      <top style="thin">
        <color rgb="FFB7B7B7"/>
      </top>
      <bottom style="thin">
        <color rgb="FFD9D9D9"/>
      </bottom>
    </border>
    <border>
      <right style="thin">
        <color rgb="FFEFEFEF"/>
      </right>
      <top style="thin">
        <color rgb="FFD9D9D9"/>
      </top>
      <bottom style="thin">
        <color rgb="FFD9D9D9"/>
      </bottom>
    </border>
    <border>
      <top style="thin">
        <color rgb="FFD9D9D9"/>
      </top>
    </border>
    <border>
      <right style="thin">
        <color rgb="FFEFEFEF"/>
      </right>
      <bottom style="thin">
        <color rgb="FFD9D9D9"/>
      </bottom>
    </border>
    <border>
      <top style="thin">
        <color rgb="FFD9D9D9"/>
      </top>
      <bottom style="thin">
        <color rgb="FFEFEFEF"/>
      </bottom>
    </border>
    <border>
      <top style="thin">
        <color rgb="FFEFEFEF"/>
      </top>
      <bottom style="thin">
        <color rgb="FFEFEFEF"/>
      </bottom>
    </border>
    <border>
      <top style="thin">
        <color rgb="FFEFEFEF"/>
      </top>
      <bottom style="thin">
        <color rgb="FFD9D9D9"/>
      </bottom>
    </border>
    <border>
      <right style="thin">
        <color rgb="FFCCCCCC"/>
      </right>
      <top style="thin">
        <color rgb="FFD9D9D9"/>
      </top>
      <bottom style="thin">
        <color rgb="FFD9D9D9"/>
      </bottom>
    </border>
    <border>
      <right style="thin">
        <color rgb="FFCCCCCC"/>
      </right>
      <top style="thin">
        <color rgb="FFD9D9D9"/>
      </top>
    </border>
    <border>
      <right style="thin">
        <color rgb="FFCCCCCC"/>
      </right>
      <bottom style="thin">
        <color rgb="FFD9D9D9"/>
      </bottom>
    </border>
    <border>
      <right style="thin">
        <color rgb="FFD9D9D9"/>
      </right>
      <top style="thin">
        <color rgb="FFCCCCCC"/>
      </top>
    </border>
    <border>
      <right style="thin">
        <color rgb="FFCCCCCC"/>
      </right>
      <top style="thin">
        <color rgb="FFCCCCCC"/>
      </top>
      <bottom style="thin">
        <color rgb="FFD9D9D9"/>
      </bottom>
    </border>
    <border>
      <right style="thin">
        <color rgb="FFCCCCCC"/>
      </right>
      <top style="thin">
        <color rgb="FFCCCCCC"/>
      </top>
    </border>
    <border>
      <right style="thin">
        <color rgb="FFCCCCCC"/>
      </right>
      <top style="thin">
        <color rgb="FFD9D9D9"/>
      </top>
      <bottom style="thin">
        <color rgb="FFCCCCCC"/>
      </bottom>
    </border>
    <border>
      <right style="thin">
        <color rgb="FFD9D9D9"/>
      </right>
      <top style="thin">
        <color rgb="FFD9D9D9"/>
      </top>
      <bottom style="thin">
        <color rgb="FFEFEFEF"/>
      </bottom>
    </border>
    <border>
      <right style="thin">
        <color rgb="FFD9D9D9"/>
      </right>
      <top style="thin">
        <color rgb="FFEFEFEF"/>
      </top>
      <bottom style="thin">
        <color rgb="FFEFEFEF"/>
      </bottom>
    </border>
    <border>
      <left style="thin">
        <color rgb="FFEFEFEF"/>
      </left>
      <right style="thin">
        <color rgb="FFEFEFEF"/>
      </right>
      <top style="thin">
        <color rgb="FFEFEFEF"/>
      </top>
    </border>
    <border>
      <left style="thin">
        <color rgb="FFEFEFEF"/>
      </left>
      <top style="thin">
        <color rgb="FFEFEFEF"/>
      </top>
      <bottom style="thin">
        <color rgb="FFEFEFEF"/>
      </bottom>
    </border>
    <border>
      <left style="thin">
        <color rgb="FFEFEFEF"/>
      </left>
      <top style="thin">
        <color rgb="FFEFEFEF"/>
      </top>
    </border>
    <border>
      <left style="thin">
        <color rgb="FFEFEFEF"/>
      </left>
      <right style="thin">
        <color rgb="FFEFEFEF"/>
      </right>
      <bottom style="thin">
        <color rgb="FFEFEFEF"/>
      </bottom>
    </border>
    <border>
      <left style="thin">
        <color rgb="FFCCCCCC"/>
      </left>
      <right style="thin">
        <color rgb="FFCCCCCC"/>
      </right>
      <bottom style="thin">
        <color rgb="FFCCCCCC"/>
      </bottom>
    </border>
    <border>
      <left style="thin">
        <color rgb="FFB7B7B7"/>
      </left>
      <top style="thin">
        <color rgb="FFB7B7B7"/>
      </top>
      <bottom style="thin">
        <color rgb="FFB7B7B7"/>
      </bottom>
    </border>
    <border>
      <bottom style="thick">
        <color rgb="FF000000"/>
      </bottom>
    </border>
    <border>
      <left style="thin">
        <color rgb="FFEFEFEF"/>
      </left>
      <right style="thin">
        <color rgb="FFEFEFEF"/>
      </right>
      <top style="thick">
        <color rgb="FF000000"/>
      </top>
      <bottom style="thin">
        <color rgb="FFEFEFEF"/>
      </bottom>
    </border>
    <border>
      <top style="thin">
        <color rgb="FF8FD19E"/>
      </top>
    </border>
    <border>
      <top style="thick">
        <color rgb="FF000000"/>
      </top>
    </border>
    <border>
      <left style="thin">
        <color rgb="FFCCCCCC"/>
      </left>
      <top style="thick">
        <color rgb="FF000000"/>
      </top>
      <bottom style="thin">
        <color rgb="FFCCCCCC"/>
      </bottom>
    </border>
    <border>
      <top style="thick">
        <color rgb="FF000000"/>
      </top>
      <bottom style="thin">
        <color rgb="FFCCCCCC"/>
      </bottom>
    </border>
    <border>
      <right style="thin">
        <color rgb="FFCCCCCC"/>
      </right>
      <top style="thick">
        <color rgb="FF000000"/>
      </top>
      <bottom style="thin">
        <color rgb="FFCCCCCC"/>
      </bottom>
    </border>
    <border>
      <right style="thin">
        <color rgb="FFCCCCCC"/>
      </right>
      <bottom style="thin">
        <color rgb="FFCCCCCC"/>
      </bottom>
    </border>
    <border>
      <bottom style="thin">
        <color rgb="FFB7B7B7"/>
      </bottom>
    </border>
    <border>
      <right style="thin">
        <color rgb="FFB7B7B7"/>
      </right>
    </border>
    <border>
      <right style="thin">
        <color rgb="FFB7B7B7"/>
      </right>
      <bottom style="thin">
        <color rgb="FFB7B7B7"/>
      </bottom>
    </border>
  </borders>
  <cellStyleXfs count="1">
    <xf borderId="0" fillId="0" fontId="0" numFmtId="0" applyAlignment="1" applyFont="1"/>
  </cellStyleXfs>
  <cellXfs count="502">
    <xf borderId="0" fillId="0" fontId="0" numFmtId="0" xfId="0" applyAlignment="1" applyFont="1">
      <alignment readingOrder="0" shrinkToFit="0" vertical="top" wrapText="1"/>
    </xf>
    <xf borderId="1" fillId="2" fontId="1" numFmtId="0" xfId="0" applyAlignment="1" applyBorder="1" applyFill="1" applyFont="1">
      <alignment horizontal="center" readingOrder="0" shrinkToFit="0" vertical="center" wrapText="1"/>
    </xf>
    <xf borderId="1" fillId="2" fontId="2" numFmtId="0" xfId="0" applyAlignment="1" applyBorder="1" applyFont="1">
      <alignment horizontal="center" readingOrder="0" shrinkToFit="0" vertical="center" wrapText="1"/>
    </xf>
    <xf borderId="2" fillId="2" fontId="1" numFmtId="49" xfId="0" applyAlignment="1" applyBorder="1" applyFont="1" applyNumberFormat="1">
      <alignment horizontal="center" readingOrder="0" shrinkToFit="0" vertical="center" wrapText="1"/>
    </xf>
    <xf borderId="3" fillId="0" fontId="3" numFmtId="0" xfId="0" applyAlignment="1" applyBorder="1" applyFont="1">
      <alignment shrinkToFit="0" vertical="top" wrapText="1"/>
    </xf>
    <xf borderId="2" fillId="2" fontId="4" numFmtId="49" xfId="0" applyAlignment="1" applyBorder="1" applyFont="1" applyNumberFormat="1">
      <alignment horizontal="center" readingOrder="0" shrinkToFit="0" vertical="center" wrapText="1"/>
    </xf>
    <xf borderId="4" fillId="3" fontId="1" numFmtId="164" xfId="0" applyAlignment="1" applyBorder="1" applyFill="1" applyFont="1" applyNumberFormat="1">
      <alignment horizontal="center" shrinkToFit="0" vertical="center" wrapText="1"/>
    </xf>
    <xf borderId="4" fillId="3" fontId="1" numFmtId="0" xfId="0" applyAlignment="1" applyBorder="1" applyFont="1">
      <alignment horizontal="center" readingOrder="0" shrinkToFit="0" vertical="center" wrapText="1"/>
    </xf>
    <xf borderId="4" fillId="0" fontId="1" numFmtId="49" xfId="0" applyAlignment="1" applyBorder="1" applyFont="1" applyNumberFormat="1">
      <alignment horizontal="center" shrinkToFit="0" vertical="center" wrapText="1"/>
    </xf>
    <xf borderId="1" fillId="4" fontId="1" numFmtId="49" xfId="0" applyAlignment="1" applyBorder="1" applyFill="1" applyFont="1" applyNumberFormat="1">
      <alignment horizontal="center" shrinkToFit="0" vertical="center" wrapText="1"/>
    </xf>
    <xf borderId="1" fillId="2" fontId="1" numFmtId="49" xfId="0" applyAlignment="1" applyBorder="1" applyFont="1" applyNumberFormat="1">
      <alignment horizontal="center" shrinkToFit="0" vertical="center" wrapText="1"/>
    </xf>
    <xf borderId="1" fillId="4" fontId="1" numFmtId="49" xfId="0" applyAlignment="1" applyBorder="1" applyFont="1" applyNumberFormat="1">
      <alignment horizontal="center" readingOrder="0" shrinkToFit="0" vertical="center" wrapText="1"/>
    </xf>
    <xf borderId="1" fillId="3" fontId="1" numFmtId="164" xfId="0" applyAlignment="1" applyBorder="1" applyFont="1" applyNumberFormat="1">
      <alignment readingOrder="0" shrinkToFit="0" vertical="center" wrapText="1"/>
    </xf>
    <xf borderId="1" fillId="3" fontId="1" numFmtId="0" xfId="0" applyAlignment="1" applyBorder="1" applyFont="1">
      <alignment readingOrder="0" shrinkToFit="0" vertical="center" wrapText="1"/>
    </xf>
    <xf borderId="5" fillId="0" fontId="1" numFmtId="49" xfId="0" applyAlignment="1" applyBorder="1" applyFont="1" applyNumberFormat="1">
      <alignment readingOrder="0" shrinkToFit="0" vertical="center" wrapText="1"/>
    </xf>
    <xf borderId="3" fillId="4" fontId="1" numFmtId="165" xfId="0" applyAlignment="1" applyBorder="1" applyFont="1" applyNumberFormat="1">
      <alignment readingOrder="0" shrinkToFit="0" vertical="center" wrapText="1"/>
    </xf>
    <xf borderId="1" fillId="2" fontId="1" numFmtId="165" xfId="0" applyAlignment="1" applyBorder="1" applyFont="1" applyNumberFormat="1">
      <alignment readingOrder="0" shrinkToFit="0" vertical="center" wrapText="1"/>
    </xf>
    <xf borderId="1" fillId="4" fontId="1" numFmtId="165" xfId="0" applyAlignment="1" applyBorder="1" applyFont="1" applyNumberFormat="1">
      <alignment readingOrder="0" shrinkToFit="0" vertical="center" wrapText="1"/>
    </xf>
    <xf borderId="1" fillId="3" fontId="1" numFmtId="164" xfId="0" applyAlignment="1" applyBorder="1" applyFont="1" applyNumberFormat="1">
      <alignment horizontal="right" readingOrder="0" shrinkToFit="0" vertical="center" wrapText="1"/>
    </xf>
    <xf borderId="6" fillId="0" fontId="5" numFmtId="49" xfId="0" applyAlignment="1" applyBorder="1" applyFont="1" applyNumberFormat="1">
      <alignment readingOrder="0" shrinkToFit="0" vertical="top" wrapText="1"/>
    </xf>
    <xf borderId="3" fillId="4" fontId="6" numFmtId="165" xfId="0" applyAlignment="1" applyBorder="1" applyFont="1" applyNumberFormat="1">
      <alignment readingOrder="0" shrinkToFit="0" vertical="center" wrapText="1"/>
    </xf>
    <xf borderId="1" fillId="2" fontId="6" numFmtId="165" xfId="0" applyAlignment="1" applyBorder="1" applyFont="1" applyNumberFormat="1">
      <alignment readingOrder="0" shrinkToFit="0" vertical="center" wrapText="1"/>
    </xf>
    <xf borderId="1" fillId="5" fontId="6" numFmtId="165" xfId="0" applyAlignment="1" applyBorder="1" applyFill="1" applyFont="1" applyNumberFormat="1">
      <alignment readingOrder="0" shrinkToFit="0" vertical="center" wrapText="1"/>
    </xf>
    <xf borderId="1" fillId="4" fontId="6" numFmtId="165" xfId="0" applyAlignment="1" applyBorder="1" applyFont="1" applyNumberFormat="1">
      <alignment readingOrder="0" shrinkToFit="0" vertical="center" wrapText="1"/>
    </xf>
    <xf borderId="1" fillId="4" fontId="7" numFmtId="165" xfId="0" applyAlignment="1" applyBorder="1" applyFont="1" applyNumberFormat="1">
      <alignment horizontal="right" readingOrder="0" shrinkToFit="0" vertical="center" wrapText="1"/>
    </xf>
    <xf borderId="7" fillId="0" fontId="5" numFmtId="49" xfId="0" applyAlignment="1" applyBorder="1" applyFont="1" applyNumberFormat="1">
      <alignment readingOrder="0" shrinkToFit="0" vertical="top" wrapText="1"/>
    </xf>
    <xf borderId="1" fillId="6" fontId="6" numFmtId="165" xfId="0" applyAlignment="1" applyBorder="1" applyFill="1" applyFont="1" applyNumberFormat="1">
      <alignment readingOrder="0" shrinkToFit="0" vertical="center" wrapText="1"/>
    </xf>
    <xf borderId="1" fillId="7" fontId="6" numFmtId="165" xfId="0" applyAlignment="1" applyBorder="1" applyFill="1" applyFont="1" applyNumberFormat="1">
      <alignment readingOrder="0" shrinkToFit="0" vertical="center" wrapText="1"/>
    </xf>
    <xf borderId="8" fillId="0" fontId="5" numFmtId="49" xfId="0" applyAlignment="1" applyBorder="1" applyFont="1" applyNumberFormat="1">
      <alignment readingOrder="0" shrinkToFit="0" vertical="top" wrapText="1"/>
    </xf>
    <xf borderId="7" fillId="0" fontId="8" numFmtId="49" xfId="0" applyAlignment="1" applyBorder="1" applyFont="1" applyNumberFormat="1">
      <alignment readingOrder="0" shrinkToFit="0" vertical="top" wrapText="1"/>
    </xf>
    <xf borderId="1" fillId="3" fontId="9" numFmtId="164" xfId="0" applyAlignment="1" applyBorder="1" applyFont="1" applyNumberFormat="1">
      <alignment readingOrder="0" shrinkToFit="0" vertical="center" wrapText="1"/>
    </xf>
    <xf borderId="1" fillId="7" fontId="10" numFmtId="165" xfId="0" applyAlignment="1" applyBorder="1" applyFont="1" applyNumberFormat="1">
      <alignment readingOrder="0" shrinkToFit="0" vertical="center" wrapText="1"/>
    </xf>
    <xf borderId="7" fillId="0" fontId="5" numFmtId="49" xfId="0" applyAlignment="1" applyBorder="1" applyFont="1" applyNumberFormat="1">
      <alignment readingOrder="0" shrinkToFit="0" vertical="center" wrapText="1"/>
    </xf>
    <xf borderId="1" fillId="4" fontId="10" numFmtId="165" xfId="0" applyAlignment="1" applyBorder="1" applyFont="1" applyNumberFormat="1">
      <alignment readingOrder="0" shrinkToFit="0" vertical="center" wrapText="1"/>
    </xf>
    <xf borderId="7" fillId="8" fontId="8" numFmtId="49" xfId="0" applyAlignment="1" applyBorder="1" applyFill="1" applyFont="1" applyNumberFormat="1">
      <alignment shrinkToFit="0" vertical="top" wrapText="1"/>
    </xf>
    <xf borderId="1" fillId="8" fontId="6" numFmtId="165" xfId="0" applyAlignment="1" applyBorder="1" applyFont="1" applyNumberFormat="1">
      <alignment readingOrder="0" shrinkToFit="0" vertical="center" wrapText="1"/>
    </xf>
    <xf borderId="8" fillId="0" fontId="5" numFmtId="49" xfId="0" applyAlignment="1" applyBorder="1" applyFont="1" applyNumberFormat="1">
      <alignment readingOrder="0" shrinkToFit="0" vertical="top" wrapText="1"/>
    </xf>
    <xf borderId="1" fillId="3" fontId="1" numFmtId="164" xfId="0" applyAlignment="1" applyBorder="1" applyFont="1" applyNumberFormat="1">
      <alignment horizontal="right" readingOrder="0" shrinkToFit="0" vertical="center" wrapText="1"/>
    </xf>
    <xf borderId="8" fillId="0" fontId="8" numFmtId="49" xfId="0" applyAlignment="1" applyBorder="1" applyFont="1" applyNumberFormat="1">
      <alignment readingOrder="0" shrinkToFit="0" vertical="top" wrapText="1"/>
    </xf>
    <xf borderId="1" fillId="4" fontId="11" numFmtId="165" xfId="0" applyAlignment="1" applyBorder="1" applyFont="1" applyNumberFormat="1">
      <alignment horizontal="right" readingOrder="0" shrinkToFit="0" vertical="center" wrapText="1"/>
    </xf>
    <xf borderId="8" fillId="0" fontId="6" numFmtId="49" xfId="0" applyAlignment="1" applyBorder="1" applyFont="1" applyNumberFormat="1">
      <alignment readingOrder="0" shrinkToFit="0" vertical="center" wrapText="1"/>
    </xf>
    <xf borderId="8" fillId="8" fontId="5" numFmtId="49" xfId="0" applyAlignment="1" applyBorder="1" applyFont="1" applyNumberFormat="1">
      <alignment shrinkToFit="0" vertical="top" wrapText="1"/>
    </xf>
    <xf borderId="8" fillId="0" fontId="5" numFmtId="49" xfId="0" applyAlignment="1" applyBorder="1" applyFont="1" applyNumberFormat="1">
      <alignment shrinkToFit="0" vertical="top" wrapText="1"/>
    </xf>
    <xf borderId="9" fillId="0" fontId="3" numFmtId="0" xfId="0" applyAlignment="1" applyBorder="1" applyFont="1">
      <alignment readingOrder="0" shrinkToFit="0" vertical="top" wrapText="1"/>
    </xf>
    <xf borderId="9" fillId="0" fontId="5" numFmtId="49" xfId="0" applyAlignment="1" applyBorder="1" applyFont="1" applyNumberFormat="1">
      <alignment readingOrder="0" shrinkToFit="0" vertical="top" wrapText="1"/>
    </xf>
    <xf borderId="9" fillId="8" fontId="5" numFmtId="49" xfId="0" applyAlignment="1" applyBorder="1" applyFont="1" applyNumberFormat="1">
      <alignment shrinkToFit="0" vertical="top" wrapText="1"/>
    </xf>
    <xf borderId="2" fillId="3" fontId="1" numFmtId="0" xfId="0" applyAlignment="1" applyBorder="1" applyFont="1">
      <alignment readingOrder="0" shrinkToFit="0" vertical="center" wrapText="1"/>
    </xf>
    <xf borderId="10" fillId="8" fontId="5" numFmtId="49" xfId="0" applyAlignment="1" applyBorder="1" applyFont="1" applyNumberFormat="1">
      <alignment shrinkToFit="0" vertical="top" wrapText="1"/>
    </xf>
    <xf borderId="10" fillId="0" fontId="5" numFmtId="49" xfId="0" applyAlignment="1" applyBorder="1" applyFont="1" applyNumberFormat="1">
      <alignment shrinkToFit="0" vertical="top" wrapText="1"/>
    </xf>
    <xf borderId="10" fillId="0" fontId="5" numFmtId="49" xfId="0" applyAlignment="1" applyBorder="1" applyFont="1" applyNumberFormat="1">
      <alignment readingOrder="0" shrinkToFit="0" vertical="top" wrapText="1"/>
    </xf>
    <xf borderId="10" fillId="9" fontId="8" numFmtId="49" xfId="0" applyAlignment="1" applyBorder="1" applyFill="1" applyFont="1" applyNumberFormat="1">
      <alignment readingOrder="0" shrinkToFit="0" vertical="top" wrapText="1"/>
    </xf>
    <xf borderId="1" fillId="9" fontId="6" numFmtId="165" xfId="0" applyAlignment="1" applyBorder="1" applyFont="1" applyNumberFormat="1">
      <alignment readingOrder="0" shrinkToFit="0" vertical="center" wrapText="1"/>
    </xf>
    <xf borderId="10" fillId="0" fontId="6" numFmtId="49" xfId="0" applyAlignment="1" applyBorder="1" applyFont="1" applyNumberFormat="1">
      <alignment readingOrder="0" shrinkToFit="0" vertical="center" wrapText="1"/>
    </xf>
    <xf borderId="1" fillId="5" fontId="12" numFmtId="165" xfId="0" applyAlignment="1" applyBorder="1" applyFont="1" applyNumberFormat="1">
      <alignment horizontal="right" readingOrder="0" shrinkToFit="0" vertical="center" wrapText="1"/>
    </xf>
    <xf borderId="1" fillId="7" fontId="12" numFmtId="165" xfId="0" applyAlignment="1" applyBorder="1" applyFont="1" applyNumberFormat="1">
      <alignment horizontal="right" readingOrder="0" shrinkToFit="0" vertical="center" wrapText="1"/>
    </xf>
    <xf borderId="11" fillId="0" fontId="5" numFmtId="49" xfId="0" applyAlignment="1" applyBorder="1" applyFont="1" applyNumberFormat="1">
      <alignment shrinkToFit="0" vertical="top" wrapText="1"/>
    </xf>
    <xf borderId="11" fillId="8" fontId="5" numFmtId="49" xfId="0" applyAlignment="1" applyBorder="1" applyFont="1" applyNumberFormat="1">
      <alignment shrinkToFit="0" vertical="top" wrapText="1"/>
    </xf>
    <xf borderId="11" fillId="0" fontId="6" numFmtId="49" xfId="0" applyAlignment="1" applyBorder="1" applyFont="1" applyNumberFormat="1">
      <alignment readingOrder="0" shrinkToFit="0" vertical="center" wrapText="1"/>
    </xf>
    <xf borderId="1" fillId="5" fontId="10" numFmtId="165" xfId="0" applyAlignment="1" applyBorder="1" applyFont="1" applyNumberFormat="1">
      <alignment readingOrder="0" shrinkToFit="0" vertical="center" wrapText="1"/>
    </xf>
    <xf borderId="11" fillId="0" fontId="5" numFmtId="49" xfId="0" applyAlignment="1" applyBorder="1" applyFont="1" applyNumberFormat="1">
      <alignment readingOrder="0" shrinkToFit="0" vertical="top" wrapText="1"/>
    </xf>
    <xf borderId="1" fillId="8" fontId="12" numFmtId="165" xfId="0" applyAlignment="1" applyBorder="1" applyFont="1" applyNumberFormat="1">
      <alignment horizontal="right" readingOrder="0" shrinkToFit="0" vertical="center" wrapText="1"/>
    </xf>
    <xf borderId="8" fillId="10" fontId="5" numFmtId="49" xfId="0" applyAlignment="1" applyBorder="1" applyFill="1" applyFont="1" applyNumberFormat="1">
      <alignment readingOrder="0" shrinkToFit="0" vertical="top" wrapText="1"/>
    </xf>
    <xf borderId="1" fillId="4" fontId="13" numFmtId="165" xfId="0" applyAlignment="1" applyBorder="1" applyFont="1" applyNumberFormat="1">
      <alignment shrinkToFit="0" vertical="center" wrapText="1"/>
    </xf>
    <xf borderId="9" fillId="8" fontId="5" numFmtId="49" xfId="0" applyAlignment="1" applyBorder="1" applyFont="1" applyNumberFormat="1">
      <alignment readingOrder="0" shrinkToFit="0" vertical="top" wrapText="1"/>
    </xf>
    <xf borderId="9" fillId="0" fontId="5" numFmtId="0" xfId="0" applyAlignment="1" applyBorder="1" applyFont="1">
      <alignment readingOrder="0" shrinkToFit="0" vertical="top" wrapText="1"/>
    </xf>
    <xf borderId="7" fillId="8" fontId="5" numFmtId="49" xfId="0" applyAlignment="1" applyBorder="1" applyFont="1" applyNumberFormat="1">
      <alignment shrinkToFit="0" vertical="top" wrapText="1"/>
    </xf>
    <xf borderId="7" fillId="0" fontId="5" numFmtId="0" xfId="0" applyAlignment="1" applyBorder="1" applyFont="1">
      <alignment readingOrder="0" shrinkToFit="0" vertical="top" wrapText="1"/>
    </xf>
    <xf borderId="8" fillId="0" fontId="5" numFmtId="0" xfId="0" applyAlignment="1" applyBorder="1" applyFont="1">
      <alignment readingOrder="0" shrinkToFit="0" vertical="top" wrapText="1"/>
    </xf>
    <xf borderId="8" fillId="0" fontId="6" numFmtId="49" xfId="0" applyAlignment="1" applyBorder="1" applyFont="1" applyNumberFormat="1">
      <alignment readingOrder="0" shrinkToFit="0" vertical="center" wrapText="1"/>
    </xf>
    <xf borderId="8" fillId="9" fontId="5" numFmtId="49" xfId="0" applyAlignment="1" applyBorder="1" applyFont="1" applyNumberFormat="1">
      <alignment readingOrder="0" shrinkToFit="0" vertical="top" wrapText="1"/>
    </xf>
    <xf borderId="8" fillId="0" fontId="5" numFmtId="49" xfId="0" applyAlignment="1" applyBorder="1" applyFont="1" applyNumberFormat="1">
      <alignment readingOrder="0" shrinkToFit="0" vertical="center" wrapText="1"/>
    </xf>
    <xf borderId="1" fillId="8" fontId="7" numFmtId="165" xfId="0" applyAlignment="1" applyBorder="1" applyFont="1" applyNumberFormat="1">
      <alignment horizontal="right" readingOrder="0" shrinkToFit="0" vertical="center" wrapText="1"/>
    </xf>
    <xf borderId="9" fillId="0" fontId="5" numFmtId="49" xfId="0" applyAlignment="1" applyBorder="1" applyFont="1" applyNumberFormat="1">
      <alignment shrinkToFit="0" vertical="top" wrapText="1"/>
    </xf>
    <xf borderId="3" fillId="5" fontId="6" numFmtId="165" xfId="0" applyAlignment="1" applyBorder="1" applyFont="1" applyNumberFormat="1">
      <alignment readingOrder="0" shrinkToFit="0" vertical="center" wrapText="1"/>
    </xf>
    <xf borderId="1" fillId="4" fontId="11" numFmtId="165" xfId="0" applyAlignment="1" applyBorder="1" applyFont="1" applyNumberFormat="1">
      <alignment readingOrder="0" shrinkToFit="0" vertical="center" wrapText="1"/>
    </xf>
    <xf borderId="10" fillId="0" fontId="5" numFmtId="0" xfId="0" applyAlignment="1" applyBorder="1" applyFont="1">
      <alignment readingOrder="0" shrinkToFit="0" vertical="top" wrapText="1"/>
    </xf>
    <xf borderId="1" fillId="4" fontId="13" numFmtId="165" xfId="0" applyAlignment="1" applyBorder="1" applyFont="1" applyNumberFormat="1">
      <alignment readingOrder="0" shrinkToFit="0" vertical="center" wrapText="1"/>
    </xf>
    <xf borderId="7" fillId="0" fontId="6" numFmtId="49" xfId="0" applyAlignment="1" applyBorder="1" applyFont="1" applyNumberFormat="1">
      <alignment readingOrder="0" shrinkToFit="0" vertical="center" wrapText="1"/>
    </xf>
    <xf borderId="1" fillId="7" fontId="13" numFmtId="165" xfId="0" applyAlignment="1" applyBorder="1" applyFont="1" applyNumberFormat="1">
      <alignment readingOrder="0" shrinkToFit="0" vertical="center" wrapText="1"/>
    </xf>
    <xf borderId="1" fillId="4" fontId="7" numFmtId="165" xfId="0" applyAlignment="1" applyBorder="1" applyFont="1" applyNumberFormat="1">
      <alignment horizontal="right" shrinkToFit="0" vertical="center" wrapText="1"/>
    </xf>
    <xf borderId="7" fillId="0" fontId="5" numFmtId="49" xfId="0" applyAlignment="1" applyBorder="1" applyFont="1" applyNumberFormat="1">
      <alignment shrinkToFit="0" vertical="top" wrapText="1"/>
    </xf>
    <xf borderId="1" fillId="7" fontId="7" numFmtId="165" xfId="0" applyAlignment="1" applyBorder="1" applyFont="1" applyNumberFormat="1">
      <alignment horizontal="right" readingOrder="0" shrinkToFit="0" vertical="center" wrapText="1"/>
    </xf>
    <xf borderId="0" fillId="0" fontId="5" numFmtId="49" xfId="0" applyAlignment="1" applyFont="1" applyNumberFormat="1">
      <alignment shrinkToFit="0" vertical="top" wrapText="1"/>
    </xf>
    <xf borderId="0" fillId="0" fontId="5" numFmtId="49" xfId="0" applyAlignment="1" applyFont="1" applyNumberFormat="1">
      <alignment readingOrder="0" shrinkToFit="0" vertical="top" wrapText="1"/>
    </xf>
    <xf borderId="0" fillId="9" fontId="5" numFmtId="49" xfId="0" applyAlignment="1" applyFont="1" applyNumberFormat="1">
      <alignment readingOrder="0" shrinkToFit="0" vertical="top" wrapText="1"/>
    </xf>
    <xf borderId="12" fillId="0" fontId="5" numFmtId="49" xfId="0" applyAlignment="1" applyBorder="1" applyFont="1" applyNumberFormat="1">
      <alignment readingOrder="0" shrinkToFit="0" vertical="top" wrapText="1"/>
    </xf>
    <xf borderId="12" fillId="8" fontId="5" numFmtId="49" xfId="0" applyAlignment="1" applyBorder="1" applyFont="1" applyNumberFormat="1">
      <alignment shrinkToFit="0" vertical="top" wrapText="1"/>
    </xf>
    <xf borderId="12" fillId="0" fontId="5" numFmtId="49" xfId="0" applyAlignment="1" applyBorder="1" applyFont="1" applyNumberFormat="1">
      <alignment shrinkToFit="0" vertical="top" wrapText="1"/>
    </xf>
    <xf borderId="13" fillId="8" fontId="5" numFmtId="49" xfId="0" applyAlignment="1" applyBorder="1" applyFont="1" applyNumberFormat="1">
      <alignment shrinkToFit="0" vertical="top" wrapText="1"/>
    </xf>
    <xf borderId="14" fillId="10" fontId="5" numFmtId="49" xfId="0" applyAlignment="1" applyBorder="1" applyFont="1" applyNumberFormat="1">
      <alignment readingOrder="0" shrinkToFit="0" vertical="top" wrapText="1"/>
    </xf>
    <xf borderId="12" fillId="9" fontId="5" numFmtId="49" xfId="0" applyAlignment="1" applyBorder="1" applyFont="1" applyNumberFormat="1">
      <alignment readingOrder="0" shrinkToFit="0" vertical="top" wrapText="1"/>
    </xf>
    <xf borderId="12" fillId="8" fontId="5" numFmtId="0" xfId="0" applyAlignment="1" applyBorder="1" applyFont="1">
      <alignment shrinkToFit="0" vertical="top" wrapText="1"/>
    </xf>
    <xf borderId="1" fillId="4" fontId="12" numFmtId="165" xfId="0" applyAlignment="1" applyBorder="1" applyFont="1" applyNumberFormat="1">
      <alignment horizontal="right" readingOrder="0" shrinkToFit="0" vertical="center" wrapText="1"/>
    </xf>
    <xf borderId="13" fillId="0" fontId="5" numFmtId="49" xfId="0" applyAlignment="1" applyBorder="1" applyFont="1" applyNumberFormat="1">
      <alignment readingOrder="0" shrinkToFit="0" vertical="top" wrapText="1"/>
    </xf>
    <xf borderId="15" fillId="0" fontId="5" numFmtId="49" xfId="0" applyAlignment="1" applyBorder="1" applyFont="1" applyNumberFormat="1">
      <alignment shrinkToFit="0" vertical="top" wrapText="1"/>
    </xf>
    <xf borderId="1" fillId="5" fontId="7" numFmtId="165" xfId="0" applyAlignment="1" applyBorder="1" applyFont="1" applyNumberFormat="1">
      <alignment horizontal="right" readingOrder="0" shrinkToFit="0" vertical="center" wrapText="1"/>
    </xf>
    <xf borderId="5" fillId="0" fontId="5" numFmtId="49" xfId="0" applyAlignment="1" applyBorder="1" applyFont="1" applyNumberFormat="1">
      <alignment readingOrder="0" shrinkToFit="0" vertical="top" wrapText="1"/>
    </xf>
    <xf borderId="5" fillId="0" fontId="5" numFmtId="49" xfId="0" applyAlignment="1" applyBorder="1" applyFont="1" applyNumberFormat="1">
      <alignment shrinkToFit="0" vertical="top" wrapText="1"/>
    </xf>
    <xf borderId="16" fillId="0" fontId="5" numFmtId="49" xfId="0" applyAlignment="1" applyBorder="1" applyFont="1" applyNumberFormat="1">
      <alignment shrinkToFit="0" vertical="top" wrapText="1"/>
    </xf>
    <xf borderId="17" fillId="0" fontId="5" numFmtId="49" xfId="0" applyAlignment="1" applyBorder="1" applyFont="1" applyNumberFormat="1">
      <alignment readingOrder="0" shrinkToFit="0" vertical="top" wrapText="1"/>
    </xf>
    <xf borderId="17" fillId="8" fontId="5" numFmtId="49" xfId="0" applyAlignment="1" applyBorder="1" applyFont="1" applyNumberFormat="1">
      <alignment shrinkToFit="0" vertical="top" wrapText="1"/>
    </xf>
    <xf borderId="18" fillId="0" fontId="5" numFmtId="49" xfId="0" applyAlignment="1" applyBorder="1" applyFont="1" applyNumberFormat="1">
      <alignment readingOrder="0" shrinkToFit="0" vertical="top" wrapText="1"/>
    </xf>
    <xf borderId="0" fillId="8" fontId="5" numFmtId="49" xfId="0" applyAlignment="1" applyFont="1" applyNumberFormat="1">
      <alignment shrinkToFit="0" vertical="top" wrapText="1"/>
    </xf>
    <xf borderId="0" fillId="0" fontId="5" numFmtId="49" xfId="0" applyAlignment="1" applyFont="1" applyNumberFormat="1">
      <alignment readingOrder="0" shrinkToFit="0" vertical="center" wrapText="1"/>
    </xf>
    <xf borderId="1" fillId="5" fontId="13" numFmtId="165" xfId="0" applyAlignment="1" applyBorder="1" applyFont="1" applyNumberFormat="1">
      <alignment readingOrder="0" shrinkToFit="0" vertical="center" wrapText="1"/>
    </xf>
    <xf borderId="0" fillId="10" fontId="5" numFmtId="49" xfId="0" applyAlignment="1" applyFont="1" applyNumberFormat="1">
      <alignment readingOrder="0" shrinkToFit="0" vertical="top" wrapText="1"/>
    </xf>
    <xf borderId="12" fillId="10" fontId="5" numFmtId="49" xfId="0" applyAlignment="1" applyBorder="1" applyFont="1" applyNumberFormat="1">
      <alignment readingOrder="0" shrinkToFit="0" vertical="top" wrapText="1"/>
    </xf>
    <xf borderId="12" fillId="0" fontId="5" numFmtId="49" xfId="0" applyAlignment="1" applyBorder="1" applyFont="1" applyNumberFormat="1">
      <alignment readingOrder="0" shrinkToFit="0" vertical="center" wrapText="1"/>
    </xf>
    <xf borderId="1" fillId="6" fontId="10" numFmtId="165" xfId="0" applyAlignment="1" applyBorder="1" applyFont="1" applyNumberFormat="1">
      <alignment readingOrder="0" shrinkToFit="0" vertical="center" wrapText="1"/>
    </xf>
    <xf borderId="1" fillId="4" fontId="14" numFmtId="165" xfId="0" applyAlignment="1" applyBorder="1" applyFont="1" applyNumberFormat="1">
      <alignment readingOrder="0" shrinkToFit="0" vertical="center" wrapText="1"/>
    </xf>
    <xf borderId="1" fillId="4" fontId="14" numFmtId="165" xfId="0" applyAlignment="1" applyBorder="1" applyFont="1" applyNumberFormat="1">
      <alignment horizontal="right" readingOrder="0" shrinkToFit="0" vertical="center" wrapText="1"/>
    </xf>
    <xf borderId="19" fillId="0" fontId="5" numFmtId="49" xfId="0" applyAlignment="1" applyBorder="1" applyFont="1" applyNumberFormat="1">
      <alignment readingOrder="0" shrinkToFit="0" vertical="top" wrapText="1"/>
    </xf>
    <xf borderId="20" fillId="0" fontId="5" numFmtId="49" xfId="0" applyAlignment="1" applyBorder="1" applyFont="1" applyNumberFormat="1">
      <alignment readingOrder="0" shrinkToFit="0" vertical="top" wrapText="1"/>
    </xf>
    <xf borderId="21" fillId="0" fontId="5" numFmtId="49" xfId="0" applyAlignment="1" applyBorder="1" applyFont="1" applyNumberFormat="1">
      <alignment readingOrder="0" shrinkToFit="0" vertical="top" wrapText="1"/>
    </xf>
    <xf borderId="12" fillId="0" fontId="6" numFmtId="49" xfId="0" applyAlignment="1" applyBorder="1" applyFont="1" applyNumberFormat="1">
      <alignment readingOrder="0" shrinkToFit="0" vertical="center" wrapText="1"/>
    </xf>
    <xf borderId="12" fillId="8" fontId="5" numFmtId="49" xfId="0" applyAlignment="1" applyBorder="1" applyFont="1" applyNumberFormat="1">
      <alignment readingOrder="0" shrinkToFit="0" vertical="top" wrapText="1"/>
    </xf>
    <xf borderId="17" fillId="0" fontId="6" numFmtId="49" xfId="0" applyAlignment="1" applyBorder="1" applyFont="1" applyNumberFormat="1">
      <alignment readingOrder="0" shrinkToFit="0" vertical="center" wrapText="1"/>
    </xf>
    <xf borderId="12" fillId="0" fontId="15" numFmtId="0" xfId="0" applyAlignment="1" applyBorder="1" applyFont="1">
      <alignment horizontal="left" readingOrder="0" shrinkToFit="0" vertical="top" wrapText="1"/>
    </xf>
    <xf borderId="22" fillId="8" fontId="5" numFmtId="49" xfId="0" applyAlignment="1" applyBorder="1" applyFont="1" applyNumberFormat="1">
      <alignment readingOrder="0" shrinkToFit="0" vertical="top" wrapText="1"/>
    </xf>
    <xf borderId="11" fillId="8" fontId="5" numFmtId="49" xfId="0" applyAlignment="1" applyBorder="1" applyFont="1" applyNumberFormat="1">
      <alignment readingOrder="0" shrinkToFit="0" vertical="top" wrapText="1"/>
    </xf>
    <xf borderId="11" fillId="0" fontId="6" numFmtId="49" xfId="0" applyAlignment="1" applyBorder="1" applyFont="1" applyNumberFormat="1">
      <alignment readingOrder="0" shrinkToFit="0" vertical="center" wrapText="1"/>
    </xf>
    <xf borderId="21" fillId="0" fontId="5" numFmtId="49" xfId="0" applyAlignment="1" applyBorder="1" applyFont="1" applyNumberFormat="1">
      <alignment shrinkToFit="0" vertical="top" wrapText="1"/>
    </xf>
    <xf borderId="12" fillId="9" fontId="12" numFmtId="0" xfId="0" applyAlignment="1" applyBorder="1" applyFont="1">
      <alignment horizontal="left" readingOrder="0" shrinkToFit="0" vertical="center" wrapText="1"/>
    </xf>
    <xf borderId="23" fillId="0" fontId="5" numFmtId="49" xfId="0" applyAlignment="1" applyBorder="1" applyFont="1" applyNumberFormat="1">
      <alignment shrinkToFit="0" vertical="top" wrapText="1"/>
    </xf>
    <xf borderId="5" fillId="0" fontId="5" numFmtId="49" xfId="0" applyAlignment="1" applyBorder="1" applyFont="1" applyNumberFormat="1">
      <alignment readingOrder="0" shrinkToFit="0" vertical="center" wrapText="1"/>
    </xf>
    <xf borderId="16" fillId="0" fontId="5" numFmtId="49" xfId="0" applyAlignment="1" applyBorder="1" applyFont="1" applyNumberFormat="1">
      <alignment readingOrder="0" shrinkToFit="0" vertical="top" wrapText="1"/>
    </xf>
    <xf borderId="12" fillId="0" fontId="6" numFmtId="49" xfId="0" applyAlignment="1" applyBorder="1" applyFont="1" applyNumberFormat="1">
      <alignment readingOrder="0" shrinkToFit="0" vertical="center" wrapText="1"/>
    </xf>
    <xf borderId="24" fillId="0" fontId="5" numFmtId="49" xfId="0" applyAlignment="1" applyBorder="1" applyFont="1" applyNumberFormat="1">
      <alignment readingOrder="0" shrinkToFit="0" vertical="top" wrapText="1"/>
    </xf>
    <xf borderId="0" fillId="8" fontId="15" numFmtId="49" xfId="0" applyAlignment="1" applyFont="1" applyNumberFormat="1">
      <alignment shrinkToFit="0" vertical="bottom" wrapText="1"/>
    </xf>
    <xf borderId="1" fillId="8" fontId="6" numFmtId="165" xfId="0" applyAlignment="1" applyBorder="1" applyFont="1" applyNumberFormat="1">
      <alignment horizontal="right" readingOrder="0" shrinkToFit="0" vertical="center" wrapText="1"/>
    </xf>
    <xf borderId="25" fillId="10" fontId="5" numFmtId="49" xfId="0" applyAlignment="1" applyBorder="1" applyFont="1" applyNumberFormat="1">
      <alignment readingOrder="0" shrinkToFit="0" vertical="top" wrapText="1"/>
    </xf>
    <xf borderId="26" fillId="0" fontId="5" numFmtId="49" xfId="0" applyAlignment="1" applyBorder="1" applyFont="1" applyNumberFormat="1">
      <alignment readingOrder="0" shrinkToFit="0" vertical="top" wrapText="1"/>
    </xf>
    <xf borderId="26" fillId="8" fontId="5" numFmtId="49" xfId="0" applyAlignment="1" applyBorder="1" applyFont="1" applyNumberFormat="1">
      <alignment readingOrder="0" shrinkToFit="0" vertical="top" wrapText="1"/>
    </xf>
    <xf borderId="27" fillId="0" fontId="5" numFmtId="49" xfId="0" applyAlignment="1" applyBorder="1" applyFont="1" applyNumberFormat="1">
      <alignment shrinkToFit="0" vertical="top" wrapText="1"/>
    </xf>
    <xf borderId="26" fillId="8" fontId="5" numFmtId="49" xfId="0" applyAlignment="1" applyBorder="1" applyFont="1" applyNumberFormat="1">
      <alignment shrinkToFit="0" vertical="top" wrapText="1"/>
    </xf>
    <xf borderId="26" fillId="0" fontId="5" numFmtId="49" xfId="0" applyAlignment="1" applyBorder="1" applyFont="1" applyNumberFormat="1">
      <alignment readingOrder="0" shrinkToFit="0" vertical="center" wrapText="1"/>
    </xf>
    <xf borderId="26" fillId="0" fontId="5" numFmtId="49" xfId="0" applyAlignment="1" applyBorder="1" applyFont="1" applyNumberFormat="1">
      <alignment shrinkToFit="0" vertical="top" wrapText="1"/>
    </xf>
    <xf borderId="1" fillId="4" fontId="11" numFmtId="165" xfId="0" applyAlignment="1" applyBorder="1" applyFont="1" applyNumberFormat="1">
      <alignment horizontal="right" readingOrder="0" shrinkToFit="0" vertical="center" wrapText="1"/>
    </xf>
    <xf borderId="0" fillId="0" fontId="5" numFmtId="0" xfId="0" applyAlignment="1" applyFont="1">
      <alignment readingOrder="0" shrinkToFit="0" vertical="top" wrapText="1"/>
    </xf>
    <xf borderId="27" fillId="8" fontId="5" numFmtId="49" xfId="0" applyAlignment="1" applyBorder="1" applyFont="1" applyNumberFormat="1">
      <alignment shrinkToFit="0" vertical="top" wrapText="1"/>
    </xf>
    <xf borderId="27" fillId="0" fontId="5" numFmtId="49" xfId="0" applyAlignment="1" applyBorder="1" applyFont="1" applyNumberFormat="1">
      <alignment readingOrder="0" shrinkToFit="0" vertical="top" wrapText="1"/>
    </xf>
    <xf borderId="27" fillId="9" fontId="5" numFmtId="49" xfId="0" applyAlignment="1" applyBorder="1" applyFont="1" applyNumberFormat="1">
      <alignment readingOrder="0" shrinkToFit="0" vertical="top" wrapText="1"/>
    </xf>
    <xf borderId="27" fillId="0" fontId="12" numFmtId="49" xfId="0" applyAlignment="1" applyBorder="1" applyFont="1" applyNumberFormat="1">
      <alignment readingOrder="0" shrinkToFit="0" vertical="center" wrapText="1"/>
    </xf>
    <xf borderId="1" fillId="5" fontId="16" numFmtId="165" xfId="0" applyAlignment="1" applyBorder="1" applyFont="1" applyNumberFormat="1">
      <alignment readingOrder="0" shrinkToFit="0" vertical="center" wrapText="1"/>
    </xf>
    <xf borderId="5" fillId="8" fontId="5" numFmtId="49" xfId="0" applyAlignment="1" applyBorder="1" applyFont="1" applyNumberFormat="1">
      <alignment readingOrder="0" shrinkToFit="0" vertical="top" wrapText="1"/>
    </xf>
    <xf borderId="26" fillId="0" fontId="6" numFmtId="49" xfId="0" applyAlignment="1" applyBorder="1" applyFont="1" applyNumberFormat="1">
      <alignment readingOrder="0" shrinkToFit="0" vertical="center" wrapText="1"/>
    </xf>
    <xf borderId="26" fillId="8" fontId="6" numFmtId="49" xfId="0" applyAlignment="1" applyBorder="1" applyFont="1" applyNumberFormat="1">
      <alignment readingOrder="0" shrinkToFit="0" vertical="center" wrapText="1"/>
    </xf>
    <xf borderId="1" fillId="3" fontId="17" numFmtId="164" xfId="0" applyAlignment="1" applyBorder="1" applyFont="1" applyNumberFormat="1">
      <alignment horizontal="right" readingOrder="0" shrinkToFit="0" vertical="center" wrapText="1"/>
    </xf>
    <xf borderId="26" fillId="10" fontId="5" numFmtId="49" xfId="0" applyAlignment="1" applyBorder="1" applyFont="1" applyNumberFormat="1">
      <alignment readingOrder="0" shrinkToFit="0" vertical="top" wrapText="1"/>
    </xf>
    <xf borderId="1" fillId="7" fontId="6" numFmtId="165" xfId="0" applyAlignment="1" applyBorder="1" applyFont="1" applyNumberFormat="1">
      <alignment horizontal="right" readingOrder="0" shrinkToFit="0" vertical="center" wrapText="1"/>
    </xf>
    <xf borderId="16" fillId="10" fontId="5" numFmtId="49" xfId="0" applyAlignment="1" applyBorder="1" applyFont="1" applyNumberFormat="1">
      <alignment readingOrder="0" shrinkToFit="0" vertical="top" wrapText="1"/>
    </xf>
    <xf borderId="1" fillId="4" fontId="18" numFmtId="165" xfId="0" applyAlignment="1" applyBorder="1" applyFont="1" applyNumberFormat="1">
      <alignment horizontal="right" readingOrder="0" shrinkToFit="0" vertical="center" wrapText="1"/>
    </xf>
    <xf borderId="1" fillId="4" fontId="19" numFmtId="165" xfId="0" applyAlignment="1" applyBorder="1" applyFont="1" applyNumberFormat="1">
      <alignment horizontal="right" readingOrder="0" shrinkToFit="0" vertical="center" wrapText="1"/>
    </xf>
    <xf borderId="12" fillId="0" fontId="12" numFmtId="49" xfId="0" applyAlignment="1" applyBorder="1" applyFont="1" applyNumberFormat="1">
      <alignment readingOrder="0" shrinkToFit="0" vertical="center" wrapText="1"/>
    </xf>
    <xf borderId="1" fillId="4" fontId="20" numFmtId="165" xfId="0" applyAlignment="1" applyBorder="1" applyFont="1" applyNumberFormat="1">
      <alignment shrinkToFit="0" vertical="center" wrapText="1"/>
    </xf>
    <xf borderId="12" fillId="8" fontId="12" numFmtId="49" xfId="0" applyAlignment="1" applyBorder="1" applyFont="1" applyNumberFormat="1">
      <alignment readingOrder="0" shrinkToFit="0" vertical="center" wrapText="1"/>
    </xf>
    <xf borderId="17" fillId="10" fontId="12" numFmtId="49" xfId="0" applyAlignment="1" applyBorder="1" applyFont="1" applyNumberFormat="1">
      <alignment readingOrder="0" shrinkToFit="0" vertical="center" wrapText="1"/>
    </xf>
    <xf borderId="17" fillId="9" fontId="5" numFmtId="49" xfId="0" applyAlignment="1" applyBorder="1" applyFont="1" applyNumberFormat="1">
      <alignment readingOrder="0" shrinkToFit="0" vertical="top" wrapText="1"/>
    </xf>
    <xf borderId="1" fillId="9" fontId="10" numFmtId="165" xfId="0" applyAlignment="1" applyBorder="1" applyFont="1" applyNumberFormat="1">
      <alignment readingOrder="0" shrinkToFit="0" vertical="center" wrapText="1"/>
    </xf>
    <xf borderId="0" fillId="0" fontId="12" numFmtId="49" xfId="0" applyAlignment="1" applyFont="1" applyNumberFormat="1">
      <alignment readingOrder="0" shrinkToFit="0" vertical="center" wrapText="1"/>
    </xf>
    <xf borderId="28" fillId="0" fontId="5" numFmtId="49" xfId="0" applyAlignment="1" applyBorder="1" applyFont="1" applyNumberFormat="1">
      <alignment readingOrder="0" shrinkToFit="0" vertical="top" wrapText="1"/>
    </xf>
    <xf borderId="28" fillId="0" fontId="5" numFmtId="49" xfId="0" applyAlignment="1" applyBorder="1" applyFont="1" applyNumberFormat="1">
      <alignment shrinkToFit="0" vertical="top" wrapText="1"/>
    </xf>
    <xf borderId="21" fillId="8" fontId="5" numFmtId="49" xfId="0" applyAlignment="1" applyBorder="1" applyFont="1" applyNumberFormat="1">
      <alignment shrinkToFit="0" vertical="top" wrapText="1"/>
    </xf>
    <xf borderId="17" fillId="0" fontId="12" numFmtId="49" xfId="0" applyAlignment="1" applyBorder="1" applyFont="1" applyNumberFormat="1">
      <alignment readingOrder="0" shrinkToFit="0" vertical="center" wrapText="1"/>
    </xf>
    <xf borderId="29" fillId="0" fontId="5" numFmtId="49" xfId="0" applyAlignment="1" applyBorder="1" applyFont="1" applyNumberFormat="1">
      <alignment readingOrder="0" shrinkToFit="0" vertical="top" wrapText="1"/>
    </xf>
    <xf borderId="30" fillId="0" fontId="5" numFmtId="49" xfId="0" applyAlignment="1" applyBorder="1" applyFont="1" applyNumberFormat="1">
      <alignment readingOrder="0" shrinkToFit="0" vertical="top" wrapText="1"/>
    </xf>
    <xf borderId="30" fillId="8" fontId="5" numFmtId="49" xfId="0" applyAlignment="1" applyBorder="1" applyFont="1" applyNumberFormat="1">
      <alignment shrinkToFit="0" vertical="top" wrapText="1"/>
    </xf>
    <xf borderId="30" fillId="0" fontId="5" numFmtId="49" xfId="0" applyAlignment="1" applyBorder="1" applyFont="1" applyNumberFormat="1">
      <alignment shrinkToFit="0" vertical="top" wrapText="1"/>
    </xf>
    <xf borderId="30" fillId="9" fontId="6" numFmtId="49" xfId="0" applyAlignment="1" applyBorder="1" applyFont="1" applyNumberFormat="1">
      <alignment readingOrder="0" shrinkToFit="0" vertical="center" wrapText="1"/>
    </xf>
    <xf borderId="1" fillId="8" fontId="11" numFmtId="165" xfId="0" applyAlignment="1" applyBorder="1" applyFont="1" applyNumberFormat="1">
      <alignment horizontal="right" readingOrder="0" shrinkToFit="0" vertical="center" wrapText="1"/>
    </xf>
    <xf borderId="30" fillId="10" fontId="5" numFmtId="49" xfId="0" applyAlignment="1" applyBorder="1" applyFont="1" applyNumberFormat="1">
      <alignment readingOrder="0" shrinkToFit="0" vertical="top" wrapText="1"/>
    </xf>
    <xf borderId="30" fillId="9" fontId="6" numFmtId="49" xfId="0" applyAlignment="1" applyBorder="1" applyFont="1" applyNumberFormat="1">
      <alignment readingOrder="0" shrinkToFit="0" vertical="center" wrapText="1"/>
    </xf>
    <xf borderId="17" fillId="0" fontId="5" numFmtId="49" xfId="0" applyAlignment="1" applyBorder="1" applyFont="1" applyNumberFormat="1">
      <alignment readingOrder="0" shrinkToFit="0" vertical="center" wrapText="1"/>
    </xf>
    <xf borderId="17" fillId="0" fontId="5" numFmtId="49" xfId="0" applyAlignment="1" applyBorder="1" applyFont="1" applyNumberFormat="1">
      <alignment shrinkToFit="0" vertical="top" wrapText="1"/>
    </xf>
    <xf borderId="1" fillId="5" fontId="21" numFmtId="165" xfId="0" applyAlignment="1" applyBorder="1" applyFont="1" applyNumberFormat="1">
      <alignment readingOrder="0" shrinkToFit="0" vertical="center" wrapText="1"/>
    </xf>
    <xf borderId="23" fillId="0" fontId="5" numFmtId="49" xfId="0" applyAlignment="1" applyBorder="1" applyFont="1" applyNumberFormat="1">
      <alignment readingOrder="0" shrinkToFit="0" vertical="top" wrapText="1"/>
    </xf>
    <xf borderId="5" fillId="0" fontId="12" numFmtId="49" xfId="0" applyAlignment="1" applyBorder="1" applyFont="1" applyNumberFormat="1">
      <alignment readingOrder="0" shrinkToFit="0" vertical="center" wrapText="1"/>
    </xf>
    <xf borderId="1" fillId="4" fontId="18" numFmtId="165" xfId="0" applyAlignment="1" applyBorder="1" applyFont="1" applyNumberFormat="1">
      <alignment horizontal="right" shrinkToFit="0" vertical="center" wrapText="1"/>
    </xf>
    <xf borderId="31" fillId="0" fontId="5" numFmtId="49" xfId="0" applyAlignment="1" applyBorder="1" applyFont="1" applyNumberFormat="1">
      <alignment readingOrder="0" shrinkToFit="0" vertical="top" wrapText="1"/>
    </xf>
    <xf borderId="1" fillId="4" fontId="6" numFmtId="165" xfId="0" applyAlignment="1" applyBorder="1" applyFont="1" applyNumberFormat="1">
      <alignment horizontal="right" readingOrder="0" shrinkToFit="0" vertical="center" wrapText="1"/>
    </xf>
    <xf borderId="1" fillId="4" fontId="16" numFmtId="165" xfId="0" applyAlignment="1" applyBorder="1" applyFont="1" applyNumberFormat="1">
      <alignment horizontal="right" readingOrder="0" shrinkToFit="0" vertical="center" wrapText="1"/>
    </xf>
    <xf borderId="32" fillId="0" fontId="5" numFmtId="49" xfId="0" applyAlignment="1" applyBorder="1" applyFont="1" applyNumberFormat="1">
      <alignment readingOrder="0" shrinkToFit="0" vertical="top" wrapText="1"/>
    </xf>
    <xf borderId="32" fillId="9" fontId="5" numFmtId="49" xfId="0" applyAlignment="1" applyBorder="1" applyFont="1" applyNumberFormat="1">
      <alignment readingOrder="0" shrinkToFit="0" vertical="center" wrapText="1"/>
    </xf>
    <xf borderId="3" fillId="9" fontId="6" numFmtId="165" xfId="0" applyAlignment="1" applyBorder="1" applyFont="1" applyNumberFormat="1">
      <alignment readingOrder="0" shrinkToFit="0" vertical="center" wrapText="1"/>
    </xf>
    <xf borderId="17" fillId="8" fontId="5" numFmtId="49" xfId="0" applyAlignment="1" applyBorder="1" applyFont="1" applyNumberFormat="1">
      <alignment readingOrder="0" shrinkToFit="0" vertical="top" wrapText="1"/>
    </xf>
    <xf borderId="17" fillId="10" fontId="5" numFmtId="49" xfId="0" applyAlignment="1" applyBorder="1" applyFont="1" applyNumberFormat="1">
      <alignment readingOrder="0" shrinkToFit="0" vertical="top" wrapText="1"/>
    </xf>
    <xf borderId="17" fillId="8" fontId="5" numFmtId="49" xfId="0" applyAlignment="1" applyBorder="1" applyFont="1" applyNumberFormat="1">
      <alignment readingOrder="0" shrinkToFit="0" vertical="center" wrapText="1"/>
    </xf>
    <xf borderId="30" fillId="0" fontId="5" numFmtId="49" xfId="0" applyAlignment="1" applyBorder="1" applyFont="1" applyNumberFormat="1">
      <alignment readingOrder="0" shrinkToFit="0" vertical="center" wrapText="1"/>
    </xf>
    <xf borderId="5" fillId="9" fontId="5" numFmtId="49" xfId="0" applyAlignment="1" applyBorder="1" applyFont="1" applyNumberFormat="1">
      <alignment readingOrder="0" shrinkToFit="0" vertical="top" wrapText="1"/>
    </xf>
    <xf borderId="33" fillId="0" fontId="5" numFmtId="49" xfId="0" applyAlignment="1" applyBorder="1" applyFont="1" applyNumberFormat="1">
      <alignment readingOrder="0" shrinkToFit="0" vertical="top" wrapText="1"/>
    </xf>
    <xf borderId="28" fillId="0" fontId="5" numFmtId="49" xfId="0" applyAlignment="1" applyBorder="1" applyFont="1" applyNumberFormat="1">
      <alignment readingOrder="0" shrinkToFit="0" vertical="center" wrapText="1"/>
    </xf>
    <xf borderId="28" fillId="8" fontId="5" numFmtId="49" xfId="0" applyAlignment="1" applyBorder="1" applyFont="1" applyNumberFormat="1">
      <alignment readingOrder="0" shrinkToFit="0" vertical="top" wrapText="1"/>
    </xf>
    <xf borderId="34" fillId="0" fontId="5" numFmtId="49" xfId="0" applyAlignment="1" applyBorder="1" applyFont="1" applyNumberFormat="1">
      <alignment readingOrder="0" shrinkToFit="0" vertical="top" wrapText="1"/>
    </xf>
    <xf borderId="16" fillId="9" fontId="5" numFmtId="49" xfId="0" applyAlignment="1" applyBorder="1" applyFont="1" applyNumberFormat="1">
      <alignment readingOrder="0" shrinkToFit="0" vertical="top" wrapText="1"/>
    </xf>
    <xf borderId="35" fillId="0" fontId="5" numFmtId="49" xfId="0" applyAlignment="1" applyBorder="1" applyFont="1" applyNumberFormat="1">
      <alignment readingOrder="0" shrinkToFit="0" vertical="top" wrapText="1"/>
    </xf>
    <xf borderId="9" fillId="9" fontId="5" numFmtId="49" xfId="0" applyAlignment="1" applyBorder="1" applyFont="1" applyNumberFormat="1">
      <alignment readingOrder="0" shrinkToFit="0" vertical="top" wrapText="1"/>
    </xf>
    <xf borderId="36" fillId="0" fontId="5" numFmtId="49" xfId="0" applyAlignment="1" applyBorder="1" applyFont="1" applyNumberFormat="1">
      <alignment readingOrder="0" shrinkToFit="0" vertical="top" wrapText="1"/>
    </xf>
    <xf borderId="37" fillId="9" fontId="5" numFmtId="49" xfId="0" applyAlignment="1" applyBorder="1" applyFont="1" applyNumberFormat="1">
      <alignment readingOrder="0" shrinkToFit="0" vertical="center" wrapText="1"/>
    </xf>
    <xf borderId="5" fillId="8" fontId="5" numFmtId="49" xfId="0" applyAlignment="1" applyBorder="1" applyFont="1" applyNumberFormat="1">
      <alignment shrinkToFit="0" vertical="top" wrapText="1"/>
    </xf>
    <xf borderId="38" fillId="0" fontId="5" numFmtId="49" xfId="0" applyAlignment="1" applyBorder="1" applyFont="1" applyNumberFormat="1">
      <alignment readingOrder="0" shrinkToFit="0" vertical="top" wrapText="1"/>
    </xf>
    <xf borderId="11" fillId="0" fontId="5" numFmtId="49" xfId="0" applyAlignment="1" applyBorder="1" applyFont="1" applyNumberFormat="1">
      <alignment readingOrder="0" shrinkToFit="0" vertical="center" wrapText="1"/>
    </xf>
    <xf borderId="11" fillId="9" fontId="5" numFmtId="49" xfId="0" applyAlignment="1" applyBorder="1" applyFont="1" applyNumberFormat="1">
      <alignment readingOrder="0" shrinkToFit="0" vertical="top" wrapText="1"/>
    </xf>
    <xf borderId="8" fillId="0" fontId="12" numFmtId="0" xfId="0" applyAlignment="1" applyBorder="1" applyFont="1">
      <alignment horizontal="left" readingOrder="0" shrinkToFit="0" vertical="center" wrapText="1"/>
    </xf>
    <xf borderId="11" fillId="8" fontId="5" numFmtId="49" xfId="0" applyAlignment="1" applyBorder="1" applyFont="1" applyNumberFormat="1">
      <alignment readingOrder="0" shrinkToFit="0" vertical="center" wrapText="1"/>
    </xf>
    <xf borderId="11" fillId="9" fontId="5" numFmtId="49" xfId="0" applyAlignment="1" applyBorder="1" applyFont="1" applyNumberFormat="1">
      <alignment readingOrder="0" shrinkToFit="0" vertical="center" wrapText="1"/>
    </xf>
    <xf borderId="8" fillId="8" fontId="5" numFmtId="49" xfId="0" applyAlignment="1" applyBorder="1" applyFont="1" applyNumberFormat="1">
      <alignment readingOrder="0" shrinkToFit="0" vertical="top" wrapText="1"/>
    </xf>
    <xf borderId="39" fillId="8" fontId="5" numFmtId="49" xfId="0" applyAlignment="1" applyBorder="1" applyFont="1" applyNumberFormat="1">
      <alignment readingOrder="0" shrinkToFit="0" vertical="top" wrapText="1"/>
    </xf>
    <xf borderId="39" fillId="0" fontId="5" numFmtId="49" xfId="0" applyAlignment="1" applyBorder="1" applyFont="1" applyNumberFormat="1">
      <alignment readingOrder="0" shrinkToFit="0" vertical="top" wrapText="1"/>
    </xf>
    <xf borderId="8" fillId="9" fontId="5" numFmtId="49" xfId="0" applyAlignment="1" applyBorder="1" applyFont="1" applyNumberFormat="1">
      <alignment readingOrder="0" shrinkToFit="0" vertical="center" wrapText="1"/>
    </xf>
    <xf borderId="39" fillId="0" fontId="5" numFmtId="49" xfId="0" applyAlignment="1" applyBorder="1" applyFont="1" applyNumberFormat="1">
      <alignment readingOrder="0" shrinkToFit="0" vertical="center" wrapText="1"/>
    </xf>
    <xf borderId="39" fillId="9" fontId="5" numFmtId="49" xfId="0" applyAlignment="1" applyBorder="1" applyFont="1" applyNumberFormat="1">
      <alignment readingOrder="0" shrinkToFit="0" vertical="center" wrapText="1"/>
    </xf>
    <xf borderId="7" fillId="8" fontId="5" numFmtId="49" xfId="0" applyAlignment="1" applyBorder="1" applyFont="1" applyNumberFormat="1">
      <alignment readingOrder="0" shrinkToFit="0" vertical="top" wrapText="1"/>
    </xf>
    <xf borderId="39" fillId="9" fontId="5" numFmtId="49" xfId="0" applyAlignment="1" applyBorder="1" applyFont="1" applyNumberFormat="1">
      <alignment readingOrder="0" shrinkToFit="0" vertical="top" wrapText="1"/>
    </xf>
    <xf borderId="40" fillId="0" fontId="5" numFmtId="49" xfId="0" applyAlignment="1" applyBorder="1" applyFont="1" applyNumberFormat="1">
      <alignment readingOrder="0" shrinkToFit="0" vertical="top" wrapText="1"/>
    </xf>
    <xf borderId="41" fillId="0" fontId="5" numFmtId="49" xfId="0" applyAlignment="1" applyBorder="1" applyFont="1" applyNumberFormat="1">
      <alignment readingOrder="0" shrinkToFit="0" vertical="top" wrapText="1"/>
    </xf>
    <xf borderId="39" fillId="0" fontId="5" numFmtId="49" xfId="0" applyAlignment="1" applyBorder="1" applyFont="1" applyNumberFormat="1">
      <alignment shrinkToFit="0" vertical="top" wrapText="1"/>
    </xf>
    <xf borderId="39" fillId="8" fontId="5" numFmtId="49" xfId="0" applyAlignment="1" applyBorder="1" applyFont="1" applyNumberFormat="1">
      <alignment shrinkToFit="0" vertical="top" wrapText="1"/>
    </xf>
    <xf borderId="18" fillId="0" fontId="5" numFmtId="49" xfId="0" applyAlignment="1" applyBorder="1" applyFont="1" applyNumberFormat="1">
      <alignment shrinkToFit="0" vertical="top" wrapText="1"/>
    </xf>
    <xf borderId="8" fillId="11" fontId="5" numFmtId="49" xfId="0" applyAlignment="1" applyBorder="1" applyFill="1" applyFont="1" applyNumberFormat="1">
      <alignment readingOrder="0" shrinkToFit="0" vertical="top" wrapText="1"/>
    </xf>
    <xf borderId="42" fillId="9" fontId="5" numFmtId="49" xfId="0" applyAlignment="1" applyBorder="1" applyFont="1" applyNumberFormat="1">
      <alignment readingOrder="0" shrinkToFit="0" vertical="top" wrapText="1"/>
    </xf>
    <xf borderId="43" fillId="9" fontId="5" numFmtId="49" xfId="0" applyAlignment="1" applyBorder="1" applyFont="1" applyNumberFormat="1">
      <alignment readingOrder="0" shrinkToFit="0" vertical="top" wrapText="1"/>
    </xf>
    <xf borderId="43" fillId="0" fontId="5" numFmtId="49" xfId="0" applyAlignment="1" applyBorder="1" applyFont="1" applyNumberFormat="1">
      <alignment readingOrder="0" shrinkToFit="0" vertical="top" wrapText="1"/>
    </xf>
    <xf borderId="43" fillId="8" fontId="5" numFmtId="49" xfId="0" applyAlignment="1" applyBorder="1" applyFont="1" applyNumberFormat="1">
      <alignment readingOrder="0" shrinkToFit="0" vertical="top" wrapText="1"/>
    </xf>
    <xf borderId="43" fillId="0" fontId="5" numFmtId="49" xfId="0" applyAlignment="1" applyBorder="1" applyFont="1" applyNumberFormat="1">
      <alignment readingOrder="0" shrinkToFit="0" vertical="center" wrapText="1"/>
    </xf>
    <xf borderId="44" fillId="0" fontId="5" numFmtId="49" xfId="0" applyAlignment="1" applyBorder="1" applyFont="1" applyNumberFormat="1">
      <alignment readingOrder="0" shrinkToFit="0" vertical="top" wrapText="1"/>
    </xf>
    <xf borderId="45" fillId="0" fontId="5" numFmtId="49" xfId="0" applyAlignment="1" applyBorder="1" applyFont="1" applyNumberFormat="1">
      <alignment readingOrder="0" shrinkToFit="0" vertical="top" wrapText="1"/>
    </xf>
    <xf borderId="45" fillId="0" fontId="5" numFmtId="49" xfId="0" applyAlignment="1" applyBorder="1" applyFont="1" applyNumberFormat="1">
      <alignment readingOrder="0" shrinkToFit="0" vertical="center" wrapText="1"/>
    </xf>
    <xf borderId="46" fillId="0" fontId="5" numFmtId="49" xfId="0" applyAlignment="1" applyBorder="1" applyFont="1" applyNumberFormat="1">
      <alignment shrinkToFit="0" vertical="top" wrapText="1"/>
    </xf>
    <xf borderId="47" fillId="0" fontId="5" numFmtId="49" xfId="0" applyAlignment="1" applyBorder="1" applyFont="1" applyNumberFormat="1">
      <alignment shrinkToFit="0" vertical="top" wrapText="1"/>
    </xf>
    <xf borderId="45" fillId="0" fontId="5" numFmtId="49" xfId="0" applyAlignment="1" applyBorder="1" applyFont="1" applyNumberFormat="1">
      <alignment shrinkToFit="0" vertical="top" wrapText="1"/>
    </xf>
    <xf borderId="40" fillId="9" fontId="5" numFmtId="49" xfId="0" applyAlignment="1" applyBorder="1" applyFont="1" applyNumberFormat="1">
      <alignment readingOrder="0" shrinkToFit="0" vertical="top" wrapText="1"/>
    </xf>
    <xf borderId="40" fillId="0" fontId="5" numFmtId="49" xfId="0" applyAlignment="1" applyBorder="1" applyFont="1" applyNumberFormat="1">
      <alignment shrinkToFit="0" vertical="top" wrapText="1"/>
    </xf>
    <xf borderId="22" fillId="0" fontId="5" numFmtId="49" xfId="0" applyAlignment="1" applyBorder="1" applyFont="1" applyNumberFormat="1">
      <alignment shrinkToFit="0" vertical="top" wrapText="1"/>
    </xf>
    <xf borderId="12" fillId="0" fontId="12" numFmtId="0" xfId="0" applyAlignment="1" applyBorder="1" applyFont="1">
      <alignment horizontal="left" readingOrder="0" shrinkToFit="0" vertical="center" wrapText="1"/>
    </xf>
    <xf borderId="22" fillId="0" fontId="5" numFmtId="49" xfId="0" applyAlignment="1" applyBorder="1" applyFont="1" applyNumberFormat="1">
      <alignment readingOrder="0" shrinkToFit="0" vertical="top" wrapText="1"/>
    </xf>
    <xf borderId="48" fillId="0" fontId="5" numFmtId="49" xfId="0" applyAlignment="1" applyBorder="1" applyFont="1" applyNumberFormat="1">
      <alignment shrinkToFit="0" vertical="top" wrapText="1"/>
    </xf>
    <xf borderId="21" fillId="0" fontId="5" numFmtId="49" xfId="0" applyAlignment="1" applyBorder="1" applyFont="1" applyNumberFormat="1">
      <alignment readingOrder="0" shrinkToFit="0" vertical="center" wrapText="1"/>
    </xf>
    <xf borderId="20" fillId="0" fontId="5" numFmtId="49" xfId="0" applyAlignment="1" applyBorder="1" applyFont="1" applyNumberFormat="1">
      <alignment shrinkToFit="0" vertical="top" wrapText="1"/>
    </xf>
    <xf borderId="3" fillId="0" fontId="5" numFmtId="49" xfId="0" applyAlignment="1" applyBorder="1" applyFont="1" applyNumberFormat="1">
      <alignment shrinkToFit="0" vertical="top" wrapText="1"/>
    </xf>
    <xf borderId="3" fillId="0" fontId="5" numFmtId="49" xfId="0" applyAlignment="1" applyBorder="1" applyFont="1" applyNumberFormat="1">
      <alignment readingOrder="0" shrinkToFit="0" vertical="top" wrapText="1"/>
    </xf>
    <xf borderId="49" fillId="0" fontId="5" numFmtId="49" xfId="0" applyAlignment="1" applyBorder="1" applyFont="1" applyNumberFormat="1">
      <alignment readingOrder="0" shrinkToFit="0" vertical="top" wrapText="1"/>
    </xf>
    <xf borderId="50" fillId="0" fontId="5" numFmtId="49" xfId="0" applyAlignment="1" applyBorder="1" applyFont="1" applyNumberFormat="1">
      <alignment readingOrder="0" shrinkToFit="0" vertical="top" wrapText="1"/>
    </xf>
    <xf borderId="51" fillId="0" fontId="5" numFmtId="49" xfId="0" applyAlignment="1" applyBorder="1" applyFont="1" applyNumberFormat="1">
      <alignment shrinkToFit="0" vertical="top" wrapText="1"/>
    </xf>
    <xf borderId="13" fillId="0" fontId="5" numFmtId="49" xfId="0" applyAlignment="1" applyBorder="1" applyFont="1" applyNumberFormat="1">
      <alignment shrinkToFit="0" vertical="top" wrapText="1"/>
    </xf>
    <xf borderId="8" fillId="0" fontId="5" numFmtId="0" xfId="0" applyAlignment="1" applyBorder="1" applyFont="1">
      <alignment shrinkToFit="0" vertical="top" wrapText="1"/>
    </xf>
    <xf borderId="36" fillId="0" fontId="5" numFmtId="49" xfId="0" applyAlignment="1" applyBorder="1" applyFont="1" applyNumberFormat="1">
      <alignment shrinkToFit="0" vertical="top" wrapText="1"/>
    </xf>
    <xf borderId="52" fillId="0" fontId="5" numFmtId="49" xfId="0" applyAlignment="1" applyBorder="1" applyFont="1" applyNumberFormat="1">
      <alignment readingOrder="0" shrinkToFit="0" vertical="top" wrapText="1"/>
    </xf>
    <xf borderId="53" fillId="0" fontId="5" numFmtId="49" xfId="0" applyAlignment="1" applyBorder="1" applyFont="1" applyNumberFormat="1">
      <alignment readingOrder="0" shrinkToFit="0" vertical="top" wrapText="1"/>
    </xf>
    <xf borderId="53" fillId="0" fontId="5" numFmtId="49" xfId="0" applyAlignment="1" applyBorder="1" applyFont="1" applyNumberFormat="1">
      <alignment shrinkToFit="0" vertical="top" wrapText="1"/>
    </xf>
    <xf borderId="43" fillId="0" fontId="5" numFmtId="49" xfId="0" applyAlignment="1" applyBorder="1" applyFont="1" applyNumberFormat="1">
      <alignment shrinkToFit="0" vertical="top" wrapText="1"/>
    </xf>
    <xf borderId="4" fillId="3" fontId="1" numFmtId="164" xfId="0" applyAlignment="1" applyBorder="1" applyFont="1" applyNumberFormat="1">
      <alignment readingOrder="0" shrinkToFit="0" vertical="center" wrapText="1"/>
    </xf>
    <xf borderId="4" fillId="3" fontId="1" numFmtId="0" xfId="0" applyAlignment="1" applyBorder="1" applyFont="1">
      <alignment readingOrder="0" shrinkToFit="0" vertical="center" wrapText="1"/>
    </xf>
    <xf borderId="28" fillId="3" fontId="1" numFmtId="164" xfId="0" applyAlignment="1" applyBorder="1" applyFont="1" applyNumberFormat="1">
      <alignment readingOrder="0" shrinkToFit="0" vertical="center" wrapText="1"/>
    </xf>
    <xf borderId="28" fillId="3" fontId="1" numFmtId="0" xfId="0" applyAlignment="1" applyBorder="1" applyFont="1">
      <alignment readingOrder="0" shrinkToFit="0" vertical="center" wrapText="1"/>
    </xf>
    <xf borderId="54" fillId="0" fontId="5" numFmtId="49" xfId="0" applyAlignment="1" applyBorder="1" applyFont="1" applyNumberFormat="1">
      <alignment readingOrder="0" shrinkToFit="0" vertical="top" wrapText="1"/>
    </xf>
    <xf borderId="55" fillId="3" fontId="1" numFmtId="0" xfId="0" applyAlignment="1" applyBorder="1" applyFont="1">
      <alignment readingOrder="0" shrinkToFit="0" vertical="center" wrapText="1"/>
    </xf>
    <xf borderId="54" fillId="3" fontId="1" numFmtId="164" xfId="0" applyAlignment="1" applyBorder="1" applyFont="1" applyNumberFormat="1">
      <alignment readingOrder="0" shrinkToFit="0" vertical="center" wrapText="1"/>
    </xf>
    <xf borderId="56" fillId="3" fontId="1" numFmtId="0" xfId="0" applyAlignment="1" applyBorder="1" applyFont="1">
      <alignment readingOrder="0" shrinkToFit="0" vertical="center" wrapText="1"/>
    </xf>
    <xf borderId="57" fillId="0" fontId="5" numFmtId="49" xfId="0" applyAlignment="1" applyBorder="1" applyFont="1" applyNumberFormat="1">
      <alignment readingOrder="0" shrinkToFit="0" vertical="top" wrapText="1"/>
    </xf>
    <xf borderId="54" fillId="0" fontId="5" numFmtId="49" xfId="0" applyAlignment="1" applyBorder="1" applyFont="1" applyNumberFormat="1">
      <alignment shrinkToFit="0" vertical="top" wrapText="1"/>
    </xf>
    <xf borderId="57" fillId="0" fontId="5" numFmtId="49" xfId="0" applyAlignment="1" applyBorder="1" applyFont="1" applyNumberFormat="1">
      <alignment shrinkToFit="0" vertical="top" wrapText="1"/>
    </xf>
    <xf borderId="57" fillId="3" fontId="1" numFmtId="164" xfId="0" applyAlignment="1" applyBorder="1" applyFont="1" applyNumberFormat="1">
      <alignment readingOrder="0" shrinkToFit="0" vertical="center" wrapText="1"/>
    </xf>
    <xf borderId="57" fillId="3" fontId="1" numFmtId="0" xfId="0" applyAlignment="1" applyBorder="1" applyFont="1">
      <alignment readingOrder="0" shrinkToFit="0" vertical="center" wrapText="1"/>
    </xf>
    <xf borderId="58" fillId="12" fontId="1" numFmtId="164" xfId="0" applyAlignment="1" applyBorder="1" applyFill="1" applyFont="1" applyNumberFormat="1">
      <alignment readingOrder="0" shrinkToFit="0" vertical="center" wrapText="1"/>
    </xf>
    <xf borderId="58" fillId="12" fontId="1" numFmtId="49" xfId="0" applyAlignment="1" applyBorder="1" applyFont="1" applyNumberFormat="1">
      <alignment horizontal="right" readingOrder="0" shrinkToFit="0" vertical="center" wrapText="1"/>
    </xf>
    <xf borderId="1" fillId="12" fontId="1" numFmtId="165" xfId="0" applyAlignment="1" applyBorder="1" applyFont="1" applyNumberFormat="1">
      <alignment shrinkToFit="0" vertical="center" wrapText="1"/>
    </xf>
    <xf borderId="1" fillId="12" fontId="1" numFmtId="165" xfId="0" applyAlignment="1" applyBorder="1" applyFont="1" applyNumberFormat="1">
      <alignment readingOrder="0" shrinkToFit="0" vertical="center" wrapText="1"/>
    </xf>
    <xf borderId="1" fillId="13" fontId="1" numFmtId="164" xfId="0" applyAlignment="1" applyBorder="1" applyFill="1" applyFont="1" applyNumberFormat="1">
      <alignment readingOrder="0" shrinkToFit="0" vertical="center" wrapText="1"/>
    </xf>
    <xf borderId="2" fillId="10" fontId="1" numFmtId="49" xfId="0" applyAlignment="1" applyBorder="1" applyFont="1" applyNumberFormat="1">
      <alignment horizontal="right" readingOrder="0" shrinkToFit="0" vertical="center" wrapText="1"/>
    </xf>
    <xf borderId="1" fillId="10" fontId="1" numFmtId="165" xfId="0" applyAlignment="1" applyBorder="1" applyFont="1" applyNumberFormat="1">
      <alignment shrinkToFit="0" vertical="center" wrapText="1"/>
    </xf>
    <xf borderId="1" fillId="10" fontId="1" numFmtId="165" xfId="0" applyAlignment="1" applyBorder="1" applyFont="1" applyNumberFormat="1">
      <alignment readingOrder="0" shrinkToFit="0" vertical="center" wrapText="1"/>
    </xf>
    <xf borderId="1" fillId="10" fontId="22" numFmtId="166" xfId="0" applyAlignment="1" applyBorder="1" applyFont="1" applyNumberFormat="1">
      <alignment shrinkToFit="0" vertical="center" wrapText="1"/>
    </xf>
    <xf borderId="2" fillId="10" fontId="1" numFmtId="165" xfId="0" applyAlignment="1" applyBorder="1" applyFont="1" applyNumberFormat="1">
      <alignment horizontal="right" readingOrder="0" shrinkToFit="0" vertical="center" wrapText="1"/>
    </xf>
    <xf borderId="2" fillId="5" fontId="1" numFmtId="0" xfId="0" applyAlignment="1" applyBorder="1" applyFont="1">
      <alignment horizontal="left" readingOrder="0" shrinkToFit="0" vertical="center" wrapText="1"/>
    </xf>
    <xf borderId="2" fillId="10" fontId="23" numFmtId="165" xfId="0" applyAlignment="1" applyBorder="1" applyFont="1" applyNumberFormat="1">
      <alignment horizontal="center" readingOrder="0" shrinkToFit="0" vertical="center" wrapText="1"/>
    </xf>
    <xf borderId="12" fillId="0" fontId="3" numFmtId="0" xfId="0" applyAlignment="1" applyBorder="1" applyFont="1">
      <alignment shrinkToFit="0" vertical="top" wrapText="1"/>
    </xf>
    <xf borderId="2" fillId="7" fontId="1" numFmtId="0" xfId="0" applyAlignment="1" applyBorder="1" applyFont="1">
      <alignment horizontal="left" readingOrder="0" shrinkToFit="0" vertical="center" wrapText="1"/>
    </xf>
    <xf borderId="1" fillId="0" fontId="3" numFmtId="0" xfId="0" applyAlignment="1" applyBorder="1" applyFont="1">
      <alignment shrinkToFit="0" vertical="center" wrapText="1"/>
    </xf>
    <xf borderId="2" fillId="8" fontId="17" numFmtId="0" xfId="0" applyAlignment="1" applyBorder="1" applyFont="1">
      <alignment horizontal="left" readingOrder="0" shrinkToFit="0" vertical="center" wrapText="0"/>
    </xf>
    <xf borderId="1" fillId="10" fontId="6" numFmtId="165" xfId="0" applyAlignment="1" applyBorder="1" applyFont="1" applyNumberFormat="1">
      <alignment shrinkToFit="0" vertical="center" wrapText="1"/>
    </xf>
    <xf borderId="1" fillId="10" fontId="1" numFmtId="0" xfId="0" applyAlignment="1" applyBorder="1" applyFont="1">
      <alignment shrinkToFit="0" vertical="center" wrapText="1"/>
    </xf>
    <xf borderId="2" fillId="9" fontId="17" numFmtId="0" xfId="0" applyAlignment="1" applyBorder="1" applyFont="1">
      <alignment horizontal="left" readingOrder="0" shrinkToFit="0" vertical="center" wrapText="0"/>
    </xf>
    <xf borderId="1" fillId="0" fontId="6" numFmtId="165" xfId="0" applyAlignment="1" applyBorder="1" applyFont="1" applyNumberFormat="1">
      <alignment shrinkToFit="0" vertical="center" wrapText="1"/>
    </xf>
    <xf borderId="2" fillId="14" fontId="17" numFmtId="0" xfId="0" applyAlignment="1" applyBorder="1" applyFill="1" applyFont="1">
      <alignment horizontal="left" readingOrder="0" shrinkToFit="0" vertical="center" wrapText="0"/>
    </xf>
    <xf borderId="2" fillId="15" fontId="1" numFmtId="0" xfId="0" applyAlignment="1" applyBorder="1" applyFill="1" applyFont="1">
      <alignment horizontal="left" readingOrder="0" shrinkToFit="0" vertical="center" wrapText="1"/>
    </xf>
    <xf borderId="3" fillId="6" fontId="1" numFmtId="0" xfId="0" applyAlignment="1" applyBorder="1" applyFont="1">
      <alignment horizontal="left" readingOrder="0" shrinkToFit="0" vertical="center" wrapText="1"/>
    </xf>
    <xf borderId="2" fillId="16" fontId="17" numFmtId="0" xfId="0" applyAlignment="1" applyBorder="1" applyFill="1" applyFont="1">
      <alignment horizontal="left" readingOrder="0" shrinkToFit="0" vertical="center" wrapText="0"/>
    </xf>
    <xf borderId="1" fillId="12" fontId="1" numFmtId="164" xfId="0" applyAlignment="1" applyBorder="1" applyFont="1" applyNumberFormat="1">
      <alignment readingOrder="0" shrinkToFit="0" vertical="center" wrapText="1"/>
    </xf>
    <xf borderId="1" fillId="12" fontId="17" numFmtId="0" xfId="0" applyAlignment="1" applyBorder="1" applyFont="1">
      <alignment horizontal="right" readingOrder="0" shrinkToFit="0" vertical="center" wrapText="1"/>
    </xf>
    <xf borderId="1" fillId="12" fontId="6" numFmtId="165" xfId="0" applyAlignment="1" applyBorder="1" applyFont="1" applyNumberFormat="1">
      <alignment shrinkToFit="0" vertical="center" wrapText="1"/>
    </xf>
    <xf borderId="1" fillId="10" fontId="1" numFmtId="164" xfId="0" applyAlignment="1" applyBorder="1" applyFont="1" applyNumberFormat="1">
      <alignment shrinkToFit="0" vertical="center" wrapText="1"/>
    </xf>
    <xf borderId="1" fillId="10" fontId="6" numFmtId="0" xfId="0" applyAlignment="1" applyBorder="1" applyFont="1">
      <alignment horizontal="right" readingOrder="0" shrinkToFit="0" vertical="center" wrapText="1"/>
    </xf>
    <xf borderId="1" fillId="10" fontId="6" numFmtId="165" xfId="0" applyAlignment="1" applyBorder="1" applyFont="1" applyNumberFormat="1">
      <alignment readingOrder="0" shrinkToFit="0" vertical="center" wrapText="1"/>
    </xf>
    <xf borderId="1" fillId="10" fontId="21" numFmtId="165" xfId="0" applyAlignment="1" applyBorder="1" applyFont="1" applyNumberFormat="1">
      <alignment shrinkToFit="0" vertical="center" wrapText="1"/>
    </xf>
    <xf borderId="1" fillId="10" fontId="6" numFmtId="165" xfId="0" applyAlignment="1" applyBorder="1" applyFont="1" applyNumberFormat="1">
      <alignment horizontal="right" shrinkToFit="0" vertical="center" wrapText="1"/>
    </xf>
    <xf borderId="1" fillId="10" fontId="21" numFmtId="165" xfId="0" applyAlignment="1" applyBorder="1" applyFont="1" applyNumberFormat="1">
      <alignment horizontal="right" shrinkToFit="0" vertical="center" wrapText="1"/>
    </xf>
    <xf borderId="1" fillId="10" fontId="5" numFmtId="165" xfId="0" applyAlignment="1" applyBorder="1" applyFont="1" applyNumberFormat="1">
      <alignment shrinkToFit="0" vertical="center" wrapText="1"/>
    </xf>
    <xf borderId="1" fillId="10" fontId="21" numFmtId="165" xfId="0" applyAlignment="1" applyBorder="1" applyFont="1" applyNumberFormat="1">
      <alignment readingOrder="0" shrinkToFit="0" vertical="center" wrapText="1"/>
    </xf>
    <xf borderId="1" fillId="10" fontId="24" numFmtId="165" xfId="0" applyAlignment="1" applyBorder="1" applyFont="1" applyNumberFormat="1">
      <alignment shrinkToFit="0" vertical="center" wrapText="1"/>
    </xf>
    <xf borderId="1" fillId="12" fontId="1" numFmtId="164" xfId="0" applyAlignment="1" applyBorder="1" applyFont="1" applyNumberFormat="1">
      <alignment shrinkToFit="0" vertical="center" wrapText="1"/>
    </xf>
    <xf borderId="1" fillId="12" fontId="1" numFmtId="0" xfId="0" applyAlignment="1" applyBorder="1" applyFont="1">
      <alignment horizontal="right" readingOrder="0" shrinkToFit="0" vertical="center" wrapText="1"/>
    </xf>
    <xf borderId="1" fillId="12" fontId="25" numFmtId="165" xfId="0" applyAlignment="1" applyBorder="1" applyFont="1" applyNumberFormat="1">
      <alignment shrinkToFit="0" vertical="center" wrapText="1"/>
    </xf>
    <xf borderId="4" fillId="12" fontId="6" numFmtId="165" xfId="0" applyAlignment="1" applyBorder="1" applyFont="1" applyNumberFormat="1">
      <alignment shrinkToFit="0" vertical="center" wrapText="1"/>
    </xf>
    <xf borderId="1" fillId="0" fontId="12" numFmtId="0" xfId="0" applyAlignment="1" applyBorder="1" applyFont="1">
      <alignment horizontal="right" readingOrder="0" shrinkToFit="0" vertical="center" wrapText="1"/>
    </xf>
    <xf borderId="1" fillId="10" fontId="5" numFmtId="165" xfId="0" applyAlignment="1" applyBorder="1" applyFont="1" applyNumberFormat="1">
      <alignment readingOrder="0" shrinkToFit="0" vertical="center" wrapText="1"/>
    </xf>
    <xf borderId="2" fillId="10" fontId="6" numFmtId="165" xfId="0" applyAlignment="1" applyBorder="1" applyFont="1" applyNumberFormat="1">
      <alignment shrinkToFit="0" vertical="center" wrapText="1"/>
    </xf>
    <xf borderId="59" fillId="10" fontId="8" numFmtId="165" xfId="0" applyAlignment="1" applyBorder="1" applyFont="1" applyNumberFormat="1">
      <alignment readingOrder="0" shrinkToFit="0" vertical="top" wrapText="1"/>
    </xf>
    <xf borderId="5" fillId="0" fontId="3" numFmtId="0" xfId="0" applyAlignment="1" applyBorder="1" applyFont="1">
      <alignment shrinkToFit="0" vertical="top" wrapText="1"/>
    </xf>
    <xf borderId="0" fillId="3" fontId="26" numFmtId="0" xfId="0" applyAlignment="1" applyFont="1">
      <alignment horizontal="center" readingOrder="0" shrinkToFit="0" vertical="center" wrapText="1"/>
    </xf>
    <xf borderId="0" fillId="3" fontId="27" numFmtId="0" xfId="0" applyAlignment="1" applyFont="1">
      <alignment horizontal="right" readingOrder="0" shrinkToFit="0" vertical="center" wrapText="1"/>
    </xf>
    <xf borderId="0" fillId="5" fontId="17" numFmtId="49" xfId="0" applyAlignment="1" applyFont="1" applyNumberFormat="1">
      <alignment horizontal="center" readingOrder="0" shrinkToFit="0" vertical="center" wrapText="1"/>
    </xf>
    <xf borderId="0" fillId="15" fontId="28" numFmtId="0" xfId="0" applyAlignment="1" applyFont="1">
      <alignment horizontal="center" readingOrder="0" shrinkToFit="0" vertical="center" wrapText="1"/>
    </xf>
    <xf borderId="0" fillId="14" fontId="17" numFmtId="0" xfId="0" applyAlignment="1" applyFont="1">
      <alignment horizontal="center" readingOrder="0" shrinkToFit="0" vertical="center" wrapText="1"/>
    </xf>
    <xf borderId="0" fillId="17" fontId="28" numFmtId="0" xfId="0" applyAlignment="1" applyFill="1" applyFont="1">
      <alignment horizontal="center" readingOrder="0" shrinkToFit="0" vertical="center" wrapText="1"/>
    </xf>
    <xf borderId="0" fillId="18" fontId="28" numFmtId="0" xfId="0" applyAlignment="1" applyFill="1" applyFont="1">
      <alignment horizontal="center" readingOrder="0" shrinkToFit="0" vertical="center" wrapText="1"/>
    </xf>
    <xf borderId="60" fillId="0" fontId="3" numFmtId="0" xfId="0" applyAlignment="1" applyBorder="1" applyFont="1">
      <alignment shrinkToFit="0" vertical="top" wrapText="1"/>
    </xf>
    <xf borderId="60" fillId="3" fontId="27" numFmtId="0" xfId="0" applyAlignment="1" applyBorder="1" applyFont="1">
      <alignment shrinkToFit="0" vertical="top" wrapText="1"/>
    </xf>
    <xf borderId="60" fillId="7" fontId="28" numFmtId="0" xfId="0" applyAlignment="1" applyBorder="1" applyFont="1">
      <alignment horizontal="center" readingOrder="0" shrinkToFit="0" vertical="center" wrapText="1"/>
    </xf>
    <xf borderId="60" fillId="19" fontId="28" numFmtId="0" xfId="0" applyAlignment="1" applyBorder="1" applyFill="1" applyFont="1">
      <alignment horizontal="center" readingOrder="0" shrinkToFit="0" vertical="center" wrapText="1"/>
    </xf>
    <xf borderId="60" fillId="20" fontId="28" numFmtId="0" xfId="0" applyAlignment="1" applyBorder="1" applyFill="1" applyFont="1">
      <alignment horizontal="center" readingOrder="0" shrinkToFit="0" vertical="center" wrapText="1"/>
    </xf>
    <xf borderId="60" fillId="21" fontId="28" numFmtId="0" xfId="0" applyAlignment="1" applyBorder="1" applyFill="1" applyFont="1">
      <alignment horizontal="center" readingOrder="0" shrinkToFit="0" vertical="center" wrapText="1"/>
    </xf>
    <xf borderId="60" fillId="22" fontId="28" numFmtId="0" xfId="0" applyAlignment="1" applyBorder="1" applyFill="1" applyFont="1">
      <alignment horizontal="center" readingOrder="0" shrinkToFit="0" vertical="center" wrapText="1"/>
    </xf>
    <xf borderId="0" fillId="3" fontId="28" numFmtId="0" xfId="0" applyAlignment="1" applyFont="1">
      <alignment horizontal="center" readingOrder="0" shrinkToFit="0" vertical="center" wrapText="1"/>
    </xf>
    <xf borderId="0" fillId="3" fontId="28" numFmtId="167" xfId="0" applyAlignment="1" applyFont="1" applyNumberFormat="1">
      <alignment horizontal="center" readingOrder="0" shrinkToFit="0" vertical="center" wrapText="1"/>
    </xf>
    <xf borderId="0" fillId="0" fontId="29" numFmtId="0" xfId="0" applyAlignment="1" applyFont="1">
      <alignment readingOrder="0" shrinkToFit="0" vertical="top" wrapText="1"/>
    </xf>
    <xf borderId="0" fillId="0" fontId="5" numFmtId="167" xfId="0" applyAlignment="1" applyFont="1" applyNumberFormat="1">
      <alignment horizontal="right" readingOrder="0" shrinkToFit="0" vertical="top" wrapText="1"/>
    </xf>
    <xf borderId="0" fillId="0" fontId="29" numFmtId="167" xfId="0" applyAlignment="1" applyFont="1" applyNumberFormat="1">
      <alignment shrinkToFit="0" vertical="top" wrapText="1"/>
    </xf>
    <xf borderId="0" fillId="0" fontId="29" numFmtId="168" xfId="0" applyAlignment="1" applyFont="1" applyNumberFormat="1">
      <alignment readingOrder="0" shrinkToFit="0" vertical="top" wrapText="1"/>
    </xf>
    <xf borderId="0" fillId="0" fontId="30" numFmtId="0" xfId="0" applyAlignment="1" applyFont="1">
      <alignment readingOrder="0" shrinkToFit="0" vertical="top" wrapText="1"/>
    </xf>
    <xf borderId="0" fillId="0" fontId="29" numFmtId="0" xfId="0" applyAlignment="1" applyFont="1">
      <alignment shrinkToFit="0" vertical="top" wrapText="1"/>
    </xf>
    <xf borderId="0" fillId="0" fontId="5" numFmtId="0" xfId="0" applyAlignment="1" applyFont="1">
      <alignment readingOrder="0" shrinkToFit="0" vertical="top" wrapText="1"/>
    </xf>
    <xf borderId="0" fillId="0" fontId="5" numFmtId="167" xfId="0" applyAlignment="1" applyFont="1" applyNumberFormat="1">
      <alignment readingOrder="0" shrinkToFit="0" vertical="top" wrapText="1"/>
    </xf>
    <xf borderId="0" fillId="0" fontId="5" numFmtId="168" xfId="0" applyAlignment="1" applyFont="1" applyNumberFormat="1">
      <alignment horizontal="right" readingOrder="0" shrinkToFit="0" vertical="top" wrapText="1"/>
    </xf>
    <xf borderId="0" fillId="0" fontId="29" numFmtId="0" xfId="0" applyAlignment="1" applyFont="1">
      <alignment readingOrder="0" shrinkToFit="0" vertical="center" wrapText="1"/>
    </xf>
    <xf borderId="0" fillId="0" fontId="5" numFmtId="167" xfId="0" applyAlignment="1" applyFont="1" applyNumberFormat="1">
      <alignment horizontal="right" readingOrder="0" shrinkToFit="0" vertical="center" wrapText="1"/>
    </xf>
    <xf borderId="0" fillId="0" fontId="29" numFmtId="167" xfId="0" applyAlignment="1" applyFont="1" applyNumberFormat="1">
      <alignment shrinkToFit="0" vertical="center" wrapText="1"/>
    </xf>
    <xf borderId="0" fillId="0" fontId="5" numFmtId="168" xfId="0" applyAlignment="1" applyFont="1" applyNumberFormat="1">
      <alignment horizontal="right" readingOrder="0" shrinkToFit="0" vertical="center" wrapText="1"/>
    </xf>
    <xf borderId="0" fillId="0" fontId="29" numFmtId="0" xfId="0" applyAlignment="1" applyFont="1">
      <alignment shrinkToFit="0" vertical="top" wrapText="1"/>
    </xf>
    <xf borderId="0" fillId="0" fontId="31" numFmtId="0" xfId="0" applyAlignment="1" applyFont="1">
      <alignment readingOrder="0" shrinkToFit="0" vertical="center" wrapText="1"/>
    </xf>
    <xf borderId="0" fillId="0" fontId="5" numFmtId="0" xfId="0" applyAlignment="1" applyFont="1">
      <alignment readingOrder="0" shrinkToFit="0" vertical="top" wrapText="1"/>
    </xf>
    <xf borderId="0" fillId="0" fontId="29" numFmtId="168" xfId="0" applyAlignment="1" applyFont="1" applyNumberFormat="1">
      <alignment readingOrder="0" shrinkToFit="0" vertical="center" wrapText="1"/>
    </xf>
    <xf borderId="0" fillId="0" fontId="30" numFmtId="0" xfId="0" applyAlignment="1" applyFont="1">
      <alignment readingOrder="0" shrinkToFit="0" vertical="center" wrapText="1"/>
    </xf>
    <xf borderId="0" fillId="0" fontId="29" numFmtId="0" xfId="0" applyAlignment="1" applyFont="1">
      <alignment shrinkToFit="0" vertical="center" wrapText="1"/>
    </xf>
    <xf borderId="0" fillId="0" fontId="5" numFmtId="0" xfId="0" applyAlignment="1" applyFont="1">
      <alignment readingOrder="0" shrinkToFit="0" vertical="center" wrapText="1"/>
    </xf>
    <xf borderId="0" fillId="0" fontId="29" numFmtId="167" xfId="0" applyAlignment="1" applyFont="1" applyNumberFormat="1">
      <alignment readingOrder="0" shrinkToFit="0" vertical="top" wrapText="1"/>
    </xf>
    <xf borderId="0" fillId="7" fontId="5" numFmtId="0" xfId="0" applyAlignment="1" applyFont="1">
      <alignment shrinkToFit="0" vertical="top" wrapText="1"/>
    </xf>
    <xf borderId="0" fillId="0" fontId="8" numFmtId="0" xfId="0" applyAlignment="1" applyFont="1">
      <alignment readingOrder="0" shrinkToFit="0" vertical="center" wrapText="1"/>
    </xf>
    <xf borderId="0" fillId="0" fontId="29" numFmtId="0" xfId="0" applyAlignment="1" applyFont="1">
      <alignment shrinkToFit="0" vertical="center" wrapText="1"/>
    </xf>
    <xf borderId="0" fillId="7" fontId="5" numFmtId="0" xfId="0" applyAlignment="1" applyFont="1">
      <alignment shrinkToFit="0" vertical="center" wrapText="1"/>
    </xf>
    <xf borderId="0" fillId="3" fontId="30" numFmtId="0" xfId="0" applyAlignment="1" applyFont="1">
      <alignment readingOrder="0" shrinkToFit="0" vertical="top" wrapText="1"/>
    </xf>
    <xf borderId="0" fillId="0" fontId="32" numFmtId="0" xfId="0" applyAlignment="1" applyFont="1">
      <alignment readingOrder="0" shrinkToFit="0" vertical="top" wrapText="1"/>
    </xf>
    <xf borderId="0" fillId="0" fontId="29" numFmtId="164" xfId="0" applyAlignment="1" applyFont="1" applyNumberFormat="1">
      <alignment readingOrder="0" shrinkToFit="0" vertical="top" wrapText="1"/>
    </xf>
    <xf borderId="0" fillId="0" fontId="5" numFmtId="164" xfId="0" applyAlignment="1" applyFont="1" applyNumberFormat="1">
      <alignment horizontal="right" readingOrder="0" shrinkToFit="0" vertical="center" wrapText="1"/>
    </xf>
    <xf borderId="0" fillId="3" fontId="30" numFmtId="0" xfId="0" applyAlignment="1" applyFont="1">
      <alignment readingOrder="0" shrinkToFit="0" vertical="center" wrapText="1"/>
    </xf>
    <xf borderId="0" fillId="0" fontId="5" numFmtId="164" xfId="0" applyAlignment="1" applyFont="1" applyNumberFormat="1">
      <alignment horizontal="right" readingOrder="0" shrinkToFit="0" vertical="top" wrapText="1"/>
    </xf>
    <xf borderId="0" fillId="0" fontId="32" numFmtId="0" xfId="0" applyAlignment="1" applyFont="1">
      <alignment readingOrder="0" shrinkToFit="0" vertical="center" wrapText="1"/>
    </xf>
    <xf borderId="0" fillId="0" fontId="12" numFmtId="0" xfId="0" applyAlignment="1" applyFont="1">
      <alignment horizontal="left" shrinkToFit="0" vertical="center" wrapText="1"/>
    </xf>
    <xf borderId="0" fillId="0" fontId="29" numFmtId="169" xfId="0" applyAlignment="1" applyFont="1" applyNumberFormat="1">
      <alignment readingOrder="0" shrinkToFit="0" vertical="top" wrapText="1"/>
    </xf>
    <xf borderId="0" fillId="0" fontId="33" numFmtId="0" xfId="0" applyAlignment="1" applyFont="1">
      <alignment readingOrder="0" shrinkToFit="0" vertical="center" wrapText="1"/>
    </xf>
    <xf borderId="0" fillId="0" fontId="12" numFmtId="167" xfId="0" applyAlignment="1" applyFont="1" applyNumberFormat="1">
      <alignment readingOrder="0" shrinkToFit="0" vertical="center" wrapText="1"/>
    </xf>
    <xf borderId="0" fillId="0" fontId="12" numFmtId="168" xfId="0" applyAlignment="1" applyFont="1" applyNumberFormat="1">
      <alignment horizontal="right" readingOrder="0" shrinkToFit="0" vertical="center" wrapText="1"/>
    </xf>
    <xf borderId="0" fillId="3" fontId="17" numFmtId="0" xfId="0" applyAlignment="1" applyFont="1">
      <alignment horizontal="left" readingOrder="0" shrinkToFit="0" vertical="center" wrapText="1"/>
    </xf>
    <xf borderId="0" fillId="0" fontId="12" numFmtId="0" xfId="0" applyAlignment="1" applyFont="1">
      <alignment readingOrder="0" shrinkToFit="0" vertical="center" wrapText="1"/>
    </xf>
    <xf borderId="0" fillId="0" fontId="12" numFmtId="0" xfId="0" applyAlignment="1" applyFont="1">
      <alignment shrinkToFit="0" vertical="center" wrapText="1"/>
    </xf>
    <xf borderId="0" fillId="0" fontId="3" numFmtId="0" xfId="0" applyAlignment="1" applyFont="1">
      <alignment readingOrder="0" shrinkToFit="0" vertical="center" wrapText="1"/>
    </xf>
    <xf borderId="0" fillId="0" fontId="12" numFmtId="0" xfId="0" applyAlignment="1" applyFont="1">
      <alignment horizontal="left" readingOrder="0" shrinkToFit="0" vertical="center" wrapText="1"/>
    </xf>
    <xf borderId="0" fillId="0" fontId="34" numFmtId="0" xfId="0" applyAlignment="1" applyFont="1">
      <alignment readingOrder="0" shrinkToFit="0" vertical="center" wrapText="1"/>
    </xf>
    <xf borderId="0" fillId="0" fontId="29" numFmtId="0" xfId="0" applyAlignment="1" applyFont="1">
      <alignment horizontal="left" readingOrder="0" shrinkToFit="0" vertical="center" wrapText="1"/>
    </xf>
    <xf borderId="0" fillId="0" fontId="12" numFmtId="0" xfId="0" applyAlignment="1" applyFont="1">
      <alignment horizontal="right" readingOrder="0" shrinkToFit="0" vertical="center" wrapText="1"/>
    </xf>
    <xf borderId="0" fillId="0" fontId="12" numFmtId="164" xfId="0" applyAlignment="1" applyFont="1" applyNumberFormat="1">
      <alignment horizontal="right" readingOrder="0" shrinkToFit="0" vertical="center" wrapText="1"/>
    </xf>
    <xf borderId="0" fillId="0" fontId="12" numFmtId="0" xfId="0" applyAlignment="1" applyFont="1">
      <alignment readingOrder="0" shrinkToFit="0" vertical="center" wrapText="1"/>
    </xf>
    <xf borderId="60" fillId="0" fontId="12" numFmtId="167" xfId="0" applyAlignment="1" applyBorder="1" applyFont="1" applyNumberFormat="1">
      <alignment readingOrder="0" shrinkToFit="0" vertical="center" wrapText="1"/>
    </xf>
    <xf borderId="60" fillId="0" fontId="12" numFmtId="164" xfId="0" applyAlignment="1" applyBorder="1" applyFont="1" applyNumberFormat="1">
      <alignment horizontal="right" readingOrder="0" shrinkToFit="0" vertical="center" wrapText="1"/>
    </xf>
    <xf borderId="60" fillId="3" fontId="17" numFmtId="0" xfId="0" applyAlignment="1" applyBorder="1" applyFont="1">
      <alignment horizontal="left" readingOrder="0" shrinkToFit="0" vertical="center" wrapText="1"/>
    </xf>
    <xf borderId="60" fillId="0" fontId="12" numFmtId="0" xfId="0" applyAlignment="1" applyBorder="1" applyFont="1">
      <alignment horizontal="left" readingOrder="0" shrinkToFit="0" vertical="center" wrapText="1"/>
    </xf>
    <xf borderId="61" fillId="0" fontId="12" numFmtId="0" xfId="0" applyAlignment="1" applyBorder="1" applyFont="1">
      <alignment readingOrder="0" shrinkToFit="0" vertical="center" wrapText="1"/>
    </xf>
    <xf borderId="28" fillId="0" fontId="12" numFmtId="0" xfId="0" applyAlignment="1" applyBorder="1" applyFont="1">
      <alignment readingOrder="0" shrinkToFit="0" vertical="center" wrapText="1"/>
    </xf>
    <xf borderId="28" fillId="0" fontId="35" numFmtId="0" xfId="0" applyAlignment="1" applyBorder="1" applyFont="1">
      <alignment horizontal="left" readingOrder="0" shrinkToFit="0" vertical="center" wrapText="1"/>
    </xf>
    <xf borderId="0" fillId="0" fontId="35" numFmtId="0" xfId="0" applyAlignment="1" applyFont="1">
      <alignment horizontal="left" readingOrder="0" shrinkToFit="0" vertical="center" wrapText="1"/>
    </xf>
    <xf borderId="62" fillId="0" fontId="35" numFmtId="0" xfId="0" applyAlignment="1" applyBorder="1" applyFont="1">
      <alignment horizontal="left" readingOrder="0" shrinkToFit="0" vertical="center" wrapText="1"/>
    </xf>
    <xf borderId="63" fillId="3" fontId="17" numFmtId="0" xfId="0" applyAlignment="1" applyBorder="1" applyFont="1">
      <alignment horizontal="center" readingOrder="0" shrinkToFit="0" vertical="center" wrapText="1"/>
    </xf>
    <xf borderId="0" fillId="3" fontId="17" numFmtId="0" xfId="0" applyAlignment="1" applyFont="1">
      <alignment horizontal="center" readingOrder="0" shrinkToFit="0" vertical="center" wrapText="1"/>
    </xf>
    <xf borderId="0" fillId="10" fontId="12" numFmtId="0" xfId="0" applyAlignment="1" applyFont="1">
      <alignment readingOrder="0" shrinkToFit="0" vertical="center" wrapText="1"/>
    </xf>
    <xf borderId="0" fillId="10" fontId="12" numFmtId="167" xfId="0" applyAlignment="1" applyFont="1" applyNumberFormat="1">
      <alignment readingOrder="0" shrinkToFit="0" vertical="center" wrapText="1"/>
    </xf>
    <xf borderId="0" fillId="10" fontId="12" numFmtId="164" xfId="0" applyAlignment="1" applyFont="1" applyNumberFormat="1">
      <alignment horizontal="right" shrinkToFit="0" vertical="center" wrapText="1"/>
    </xf>
    <xf borderId="0" fillId="10" fontId="17" numFmtId="0" xfId="0" applyAlignment="1" applyFont="1">
      <alignment horizontal="left" readingOrder="0" shrinkToFit="0" vertical="center" wrapText="1"/>
    </xf>
    <xf borderId="0" fillId="10" fontId="12" numFmtId="0" xfId="0" applyAlignment="1" applyFont="1">
      <alignment horizontal="left" readingOrder="0" shrinkToFit="0" vertical="center" wrapText="1"/>
    </xf>
    <xf borderId="0" fillId="0" fontId="12" numFmtId="167" xfId="0" applyAlignment="1" applyFont="1" applyNumberFormat="1">
      <alignment horizontal="right" readingOrder="0" shrinkToFit="0" vertical="center" wrapText="1"/>
    </xf>
    <xf borderId="0" fillId="0" fontId="17" numFmtId="0" xfId="0" applyAlignment="1" applyFont="1">
      <alignment readingOrder="0" shrinkToFit="0" vertical="center" wrapText="1"/>
    </xf>
    <xf borderId="0" fillId="0" fontId="12" numFmtId="167" xfId="0" applyAlignment="1" applyFont="1" applyNumberFormat="1">
      <alignment horizontal="center" readingOrder="0" shrinkToFit="0" vertical="center" wrapText="1"/>
    </xf>
    <xf borderId="0" fillId="10" fontId="12" numFmtId="167" xfId="0" applyAlignment="1" applyFont="1" applyNumberFormat="1">
      <alignment shrinkToFit="0" vertical="center" wrapText="1"/>
    </xf>
    <xf borderId="0" fillId="10" fontId="12" numFmtId="164" xfId="0" applyAlignment="1" applyFont="1" applyNumberFormat="1">
      <alignment horizontal="right" readingOrder="0" shrinkToFit="0" vertical="center" wrapText="1"/>
    </xf>
    <xf borderId="60" fillId="10" fontId="17" numFmtId="169" xfId="0" applyAlignment="1" applyBorder="1" applyFont="1" applyNumberFormat="1">
      <alignment horizontal="left" readingOrder="0" shrinkToFit="0" vertical="center" wrapText="1"/>
    </xf>
    <xf borderId="0" fillId="10" fontId="12" numFmtId="169" xfId="0" applyAlignment="1" applyFont="1" applyNumberFormat="1">
      <alignment horizontal="left" readingOrder="0" shrinkToFit="0" vertical="center" wrapText="1"/>
    </xf>
    <xf borderId="64" fillId="3" fontId="17" numFmtId="0" xfId="0" applyAlignment="1" applyBorder="1" applyFont="1">
      <alignment horizontal="center" readingOrder="0" shrinkToFit="0" vertical="center" wrapText="1"/>
    </xf>
    <xf borderId="65" fillId="3" fontId="17" numFmtId="0" xfId="0" applyAlignment="1" applyBorder="1" applyFont="1">
      <alignment horizontal="center" readingOrder="0" shrinkToFit="0" vertical="center" wrapText="1"/>
    </xf>
    <xf borderId="66" fillId="3" fontId="17" numFmtId="0" xfId="0" applyAlignment="1" applyBorder="1" applyFont="1">
      <alignment horizontal="center" readingOrder="0" shrinkToFit="0" vertical="center" wrapText="1"/>
    </xf>
    <xf borderId="21" fillId="0" fontId="36" numFmtId="0" xfId="0" applyAlignment="1" applyBorder="1" applyFont="1">
      <alignment horizontal="right" readingOrder="0" shrinkToFit="0" vertical="center" wrapText="1"/>
    </xf>
    <xf borderId="67" fillId="0" fontId="3" numFmtId="0" xfId="0" applyAlignment="1" applyBorder="1" applyFont="1">
      <alignment shrinkToFit="0" vertical="top" wrapText="1"/>
    </xf>
    <xf borderId="0" fillId="0" fontId="1" numFmtId="0" xfId="0" applyAlignment="1" applyFont="1">
      <alignment horizontal="left" readingOrder="0" shrinkToFit="0" vertical="center" wrapText="1"/>
    </xf>
    <xf borderId="0" fillId="0" fontId="6" numFmtId="0" xfId="0" applyAlignment="1" applyFont="1">
      <alignment horizontal="left" readingOrder="0" shrinkToFit="0" vertical="center" wrapText="1"/>
    </xf>
    <xf borderId="1" fillId="0" fontId="17" numFmtId="167" xfId="0" applyAlignment="1" applyBorder="1" applyFont="1" applyNumberFormat="1">
      <alignment horizontal="right" readingOrder="0" shrinkToFit="0" vertical="center" wrapText="1"/>
    </xf>
    <xf borderId="1" fillId="0" fontId="17" numFmtId="167" xfId="0" applyAlignment="1" applyBorder="1" applyFont="1" applyNumberFormat="1">
      <alignment readingOrder="0" shrinkToFit="0" vertical="center" wrapText="1"/>
    </xf>
    <xf borderId="0" fillId="0" fontId="12" numFmtId="0" xfId="0" applyAlignment="1" applyFont="1">
      <alignment horizontal="right" readingOrder="0" shrinkToFit="0" vertical="center" wrapText="1"/>
    </xf>
    <xf borderId="4" fillId="0" fontId="17" numFmtId="167" xfId="0" applyAlignment="1" applyBorder="1" applyFont="1" applyNumberFormat="1">
      <alignment horizontal="right" readingOrder="0" shrinkToFit="0" vertical="center" wrapText="1"/>
    </xf>
    <xf borderId="4" fillId="0" fontId="17" numFmtId="167" xfId="0" applyAlignment="1" applyBorder="1" applyFont="1" applyNumberFormat="1">
      <alignment readingOrder="0" shrinkToFit="0" vertical="center" wrapText="1"/>
    </xf>
    <xf borderId="60" fillId="0" fontId="1" numFmtId="0" xfId="0" applyAlignment="1" applyBorder="1" applyFont="1">
      <alignment horizontal="left" readingOrder="0" shrinkToFit="0" vertical="center" wrapText="1"/>
    </xf>
    <xf borderId="60" fillId="0" fontId="6" numFmtId="0" xfId="0" applyAlignment="1" applyBorder="1" applyFont="1">
      <alignment horizontal="left" readingOrder="0" shrinkToFit="0" vertical="center" wrapText="1"/>
    </xf>
    <xf borderId="63" fillId="3" fontId="17" numFmtId="0" xfId="0" applyAlignment="1" applyBorder="1" applyFont="1">
      <alignment horizontal="right" readingOrder="0" shrinkToFit="0" vertical="center" wrapText="1"/>
    </xf>
    <xf borderId="63" fillId="3" fontId="17" numFmtId="167" xfId="0" applyAlignment="1" applyBorder="1" applyFont="1" applyNumberFormat="1">
      <alignment shrinkToFit="0" vertical="center" wrapText="1"/>
    </xf>
    <xf borderId="63" fillId="3" fontId="17" numFmtId="164" xfId="0" applyAlignment="1" applyBorder="1" applyFont="1" applyNumberFormat="1">
      <alignment horizontal="right" shrinkToFit="0" vertical="center" wrapText="1"/>
    </xf>
    <xf borderId="0" fillId="3" fontId="17" numFmtId="0" xfId="0" applyAlignment="1" applyFont="1">
      <alignment shrinkToFit="0" vertical="center" wrapText="1"/>
    </xf>
    <xf borderId="63" fillId="3" fontId="17" numFmtId="0" xfId="0" applyAlignment="1" applyBorder="1" applyFont="1">
      <alignment shrinkToFit="0" vertical="center" wrapText="1"/>
    </xf>
    <xf borderId="0" fillId="10" fontId="17" numFmtId="0" xfId="0" applyAlignment="1" applyFont="1">
      <alignment horizontal="right" readingOrder="0" shrinkToFit="0" vertical="center" wrapText="1"/>
    </xf>
    <xf borderId="0" fillId="10" fontId="17" numFmtId="167" xfId="0" applyAlignment="1" applyFont="1" applyNumberFormat="1">
      <alignment shrinkToFit="0" vertical="center" wrapText="1"/>
    </xf>
    <xf borderId="0" fillId="10" fontId="17" numFmtId="164" xfId="0" applyAlignment="1" applyFont="1" applyNumberFormat="1">
      <alignment horizontal="right" shrinkToFit="0" vertical="center" wrapText="1"/>
    </xf>
    <xf borderId="0" fillId="10" fontId="17" numFmtId="0" xfId="0" applyAlignment="1" applyFont="1">
      <alignment shrinkToFit="0" vertical="center" wrapText="1"/>
    </xf>
    <xf borderId="0" fillId="23" fontId="26" numFmtId="0" xfId="0" applyAlignment="1" applyFill="1" applyFont="1">
      <alignment horizontal="center" readingOrder="0" shrinkToFit="0" vertical="center" wrapText="1"/>
    </xf>
    <xf borderId="0" fillId="5" fontId="37" numFmtId="49" xfId="0" applyAlignment="1" applyFont="1" applyNumberFormat="1">
      <alignment horizontal="center" readingOrder="0" shrinkToFit="0" vertical="center" wrapText="1"/>
    </xf>
    <xf borderId="0" fillId="24" fontId="37" numFmtId="49" xfId="0" applyAlignment="1" applyFill="1" applyFont="1" applyNumberFormat="1">
      <alignment horizontal="center" readingOrder="0" shrinkToFit="0" vertical="center" wrapText="1"/>
    </xf>
    <xf borderId="0" fillId="21" fontId="38" numFmtId="0" xfId="0" applyAlignment="1" applyFont="1">
      <alignment horizontal="center" readingOrder="0" shrinkToFit="0" vertical="center" wrapText="1"/>
    </xf>
    <xf borderId="0" fillId="14" fontId="37" numFmtId="0" xfId="0" applyAlignment="1" applyFont="1">
      <alignment horizontal="center" readingOrder="0" shrinkToFit="0" vertical="center" wrapText="1"/>
    </xf>
    <xf borderId="0" fillId="23" fontId="37" numFmtId="0" xfId="0" applyAlignment="1" applyFont="1">
      <alignment horizontal="center" readingOrder="0" shrinkToFit="0" vertical="center" wrapText="1"/>
    </xf>
    <xf borderId="0" fillId="3" fontId="28" numFmtId="0" xfId="0" applyAlignment="1" applyFont="1">
      <alignment horizontal="right" readingOrder="0" shrinkToFit="0" vertical="center" wrapText="1"/>
    </xf>
    <xf borderId="1" fillId="3" fontId="28" numFmtId="0" xfId="0" applyAlignment="1" applyBorder="1" applyFont="1">
      <alignment horizontal="center" readingOrder="0" shrinkToFit="0" vertical="center" wrapText="1"/>
    </xf>
    <xf borderId="0" fillId="24" fontId="28" numFmtId="0" xfId="0" applyAlignment="1" applyFont="1">
      <alignment horizontal="center" readingOrder="0" shrinkToFit="0" vertical="center" wrapText="1"/>
    </xf>
    <xf borderId="0" fillId="10" fontId="39" numFmtId="164" xfId="0" applyAlignment="1" applyFont="1" applyNumberFormat="1">
      <alignment horizontal="right" readingOrder="0" shrinkToFit="0" vertical="center" wrapText="1"/>
    </xf>
    <xf borderId="0" fillId="10" fontId="39" numFmtId="170" xfId="0" applyAlignment="1" applyFont="1" applyNumberFormat="1">
      <alignment horizontal="center" readingOrder="0" shrinkToFit="0" vertical="center" wrapText="1"/>
    </xf>
    <xf borderId="0" fillId="10" fontId="39" numFmtId="171" xfId="0" applyAlignment="1" applyFont="1" applyNumberFormat="1">
      <alignment horizontal="center" readingOrder="0" shrinkToFit="0" vertical="center" wrapText="1"/>
    </xf>
    <xf borderId="0" fillId="10" fontId="40" numFmtId="0" xfId="0" applyAlignment="1" applyFont="1">
      <alignment shrinkToFit="0" vertical="center" wrapText="1"/>
    </xf>
    <xf borderId="0" fillId="10" fontId="39" numFmtId="0" xfId="0" applyAlignment="1" applyFont="1">
      <alignment shrinkToFit="0" vertical="center" wrapText="1"/>
    </xf>
    <xf borderId="0" fillId="24" fontId="39" numFmtId="0" xfId="0" applyAlignment="1" applyFont="1">
      <alignment readingOrder="0" shrinkToFit="0" vertical="center" wrapText="1"/>
    </xf>
    <xf borderId="0" fillId="0" fontId="39" numFmtId="164" xfId="0" applyAlignment="1" applyFont="1" applyNumberFormat="1">
      <alignment horizontal="right" readingOrder="0" shrinkToFit="0" vertical="center" wrapText="1"/>
    </xf>
    <xf borderId="0" fillId="10" fontId="39" numFmtId="172" xfId="0" applyAlignment="1" applyFont="1" applyNumberFormat="1">
      <alignment horizontal="center" readingOrder="0" shrinkToFit="0" vertical="center" wrapText="1"/>
    </xf>
    <xf borderId="0" fillId="0" fontId="39" numFmtId="0" xfId="0" applyAlignment="1" applyFont="1">
      <alignment shrinkToFit="0" vertical="center" wrapText="1"/>
    </xf>
    <xf borderId="0" fillId="10" fontId="39" numFmtId="0" xfId="0" applyAlignment="1" applyFont="1">
      <alignment readingOrder="0" shrinkToFit="0" vertical="center" wrapText="1"/>
    </xf>
    <xf borderId="0" fillId="10" fontId="41" numFmtId="0" xfId="0" applyAlignment="1" applyFont="1">
      <alignment shrinkToFit="0" vertical="center" wrapText="1"/>
    </xf>
    <xf borderId="0" fillId="24" fontId="40" numFmtId="0" xfId="0" applyAlignment="1" applyFont="1">
      <alignment readingOrder="0" shrinkToFit="0" vertical="center" wrapText="1"/>
    </xf>
    <xf borderId="0" fillId="10" fontId="39" numFmtId="0" xfId="0" applyAlignment="1" applyFont="1">
      <alignment readingOrder="0" shrinkToFit="0" vertical="center" wrapText="1"/>
    </xf>
    <xf borderId="0" fillId="24" fontId="39" numFmtId="0" xfId="0" applyAlignment="1" applyFont="1">
      <alignment readingOrder="0" shrinkToFit="0" vertical="center" wrapText="1"/>
    </xf>
    <xf borderId="0" fillId="10" fontId="42" numFmtId="0" xfId="0" applyAlignment="1" applyFont="1">
      <alignment readingOrder="0" shrinkToFit="0" vertical="center" wrapText="1"/>
    </xf>
    <xf borderId="0" fillId="10" fontId="43" numFmtId="0" xfId="0" applyAlignment="1" applyFont="1">
      <alignment shrinkToFit="0" vertical="center" wrapText="1"/>
    </xf>
    <xf borderId="0" fillId="10" fontId="44" numFmtId="0" xfId="0" applyAlignment="1" applyFont="1">
      <alignment readingOrder="0" shrinkToFit="0" vertical="center" wrapText="1"/>
    </xf>
    <xf borderId="0" fillId="10" fontId="39" numFmtId="0" xfId="0" applyAlignment="1" applyFont="1">
      <alignment shrinkToFit="0" vertical="center" wrapText="1"/>
    </xf>
    <xf borderId="0" fillId="10" fontId="45" numFmtId="0" xfId="0" applyAlignment="1" applyFont="1">
      <alignment shrinkToFit="0" vertical="center" wrapText="1"/>
    </xf>
    <xf borderId="0" fillId="24" fontId="45" numFmtId="0" xfId="0" applyAlignment="1" applyFont="1">
      <alignment readingOrder="0" shrinkToFit="0" vertical="center" wrapText="1"/>
    </xf>
    <xf borderId="0" fillId="24" fontId="41" numFmtId="0" xfId="0" applyAlignment="1" applyFont="1">
      <alignment readingOrder="0" shrinkToFit="0" vertical="center" wrapText="1"/>
    </xf>
    <xf borderId="0" fillId="0" fontId="46" numFmtId="0" xfId="0" applyAlignment="1" applyFont="1">
      <alignment shrinkToFit="0" vertical="center" wrapText="1"/>
    </xf>
    <xf borderId="0" fillId="0" fontId="46" numFmtId="0" xfId="0" applyAlignment="1" applyFont="1">
      <alignment readingOrder="0" shrinkToFit="0" vertical="center" wrapText="1"/>
    </xf>
    <xf borderId="0" fillId="24" fontId="46" numFmtId="0" xfId="0" applyAlignment="1" applyFont="1">
      <alignment readingOrder="0" shrinkToFit="0" vertical="center" wrapText="1"/>
    </xf>
    <xf borderId="0" fillId="0" fontId="47" numFmtId="0" xfId="0" applyAlignment="1" applyFont="1">
      <alignment readingOrder="0" shrinkToFit="0" vertical="center" wrapText="1"/>
    </xf>
    <xf borderId="0" fillId="0" fontId="39" numFmtId="0" xfId="0" applyAlignment="1" applyFont="1">
      <alignment readingOrder="0" shrinkToFit="0" vertical="center" wrapText="1"/>
    </xf>
    <xf borderId="0" fillId="0" fontId="39" numFmtId="164" xfId="0" applyAlignment="1" applyFont="1" applyNumberFormat="1">
      <alignment horizontal="right" shrinkToFit="0" vertical="center" wrapText="1"/>
    </xf>
    <xf borderId="0" fillId="0" fontId="39" numFmtId="172" xfId="0" applyAlignment="1" applyFont="1" applyNumberFormat="1">
      <alignment horizontal="center" shrinkToFit="0" vertical="center" wrapText="1"/>
    </xf>
    <xf borderId="0" fillId="0" fontId="39" numFmtId="171" xfId="0" applyAlignment="1" applyFont="1" applyNumberFormat="1">
      <alignment horizontal="center" shrinkToFit="0" vertical="center" wrapText="1"/>
    </xf>
    <xf borderId="0" fillId="24" fontId="39" numFmtId="0" xfId="0" applyAlignment="1" applyFont="1">
      <alignment shrinkToFit="0" vertical="center" wrapText="1"/>
    </xf>
    <xf borderId="0" fillId="21" fontId="48" numFmtId="0" xfId="0" applyAlignment="1" applyFont="1">
      <alignment shrinkToFit="0" vertical="center" wrapText="1"/>
    </xf>
    <xf borderId="0" fillId="21" fontId="48" numFmtId="171" xfId="0" applyAlignment="1" applyFont="1" applyNumberFormat="1">
      <alignment shrinkToFit="0" vertical="center" wrapText="1"/>
    </xf>
    <xf borderId="0" fillId="21" fontId="26" numFmtId="49" xfId="0" applyAlignment="1" applyFont="1" applyNumberFormat="1">
      <alignment horizontal="center" readingOrder="0" shrinkToFit="0" vertical="center" wrapText="1"/>
    </xf>
    <xf borderId="0" fillId="21" fontId="3" numFmtId="0" xfId="0" applyAlignment="1" applyFont="1">
      <alignment shrinkToFit="0" vertical="top" wrapText="1"/>
    </xf>
    <xf borderId="0" fillId="21" fontId="37" numFmtId="0" xfId="0" applyAlignment="1" applyFont="1">
      <alignment horizontal="center" readingOrder="0" shrinkToFit="0" vertical="center" wrapText="1"/>
    </xf>
    <xf borderId="1" fillId="3" fontId="28" numFmtId="49" xfId="0" applyAlignment="1" applyBorder="1" applyFont="1" applyNumberFormat="1">
      <alignment horizontal="center" readingOrder="0" shrinkToFit="0" vertical="center" wrapText="1"/>
    </xf>
    <xf borderId="1" fillId="3" fontId="28" numFmtId="171" xfId="0" applyAlignment="1" applyBorder="1" applyFont="1" applyNumberFormat="1">
      <alignment horizontal="center" readingOrder="0" shrinkToFit="0" vertical="center" wrapText="1"/>
    </xf>
    <xf borderId="0" fillId="10" fontId="39" numFmtId="49" xfId="0" applyAlignment="1" applyFont="1" applyNumberFormat="1">
      <alignment readingOrder="0" shrinkToFit="0" vertical="center" wrapText="1"/>
    </xf>
    <xf borderId="0" fillId="10" fontId="39" numFmtId="171" xfId="0" applyAlignment="1" applyFont="1" applyNumberFormat="1">
      <alignment readingOrder="0" shrinkToFit="0" vertical="center" wrapText="1"/>
    </xf>
    <xf borderId="0" fillId="10" fontId="39" numFmtId="0" xfId="0" applyAlignment="1" applyFont="1">
      <alignment shrinkToFit="0" vertical="center" wrapText="1"/>
    </xf>
    <xf borderId="0" fillId="10" fontId="49" numFmtId="0" xfId="0" applyAlignment="1" applyFont="1">
      <alignment shrinkToFit="0" vertical="center" wrapText="1"/>
    </xf>
    <xf borderId="0" fillId="10" fontId="50" numFmtId="0" xfId="0" applyAlignment="1" applyFont="1">
      <alignment shrinkToFit="0" vertical="center" wrapText="1"/>
    </xf>
    <xf borderId="0" fillId="10" fontId="41" numFmtId="0" xfId="0" applyAlignment="1" applyFont="1">
      <alignment shrinkToFit="0" vertical="center" wrapText="1"/>
    </xf>
    <xf borderId="0" fillId="10" fontId="49" numFmtId="167" xfId="0" applyAlignment="1" applyFont="1" applyNumberFormat="1">
      <alignment shrinkToFit="0" vertical="center" wrapText="1"/>
    </xf>
    <xf borderId="68" fillId="10" fontId="49" numFmtId="0" xfId="0" applyAlignment="1" applyBorder="1" applyFont="1">
      <alignment shrinkToFit="0" vertical="center" wrapText="1"/>
    </xf>
    <xf borderId="68" fillId="0" fontId="3" numFmtId="0" xfId="0" applyAlignment="1" applyBorder="1" applyFont="1">
      <alignment shrinkToFit="0" vertical="top" wrapText="1"/>
    </xf>
    <xf borderId="69" fillId="10" fontId="39" numFmtId="0" xfId="0" applyAlignment="1" applyBorder="1" applyFont="1">
      <alignment shrinkToFit="0" vertical="center" wrapText="1"/>
    </xf>
    <xf borderId="70" fillId="10" fontId="49" numFmtId="0" xfId="0" applyAlignment="1" applyBorder="1" applyFont="1">
      <alignment shrinkToFit="0" vertical="center" wrapText="1"/>
    </xf>
    <xf borderId="70" fillId="10" fontId="51" numFmtId="0" xfId="0" applyAlignment="1" applyBorder="1" applyFont="1">
      <alignment shrinkToFit="0" vertical="center" wrapText="1"/>
    </xf>
    <xf borderId="70" fillId="0" fontId="3" numFmtId="0" xfId="0" applyAlignment="1" applyBorder="1" applyFont="1">
      <alignment shrinkToFit="0" vertical="top" wrapText="1"/>
    </xf>
    <xf borderId="70" fillId="10" fontId="39" numFmtId="0" xfId="0" applyAlignment="1" applyBorder="1" applyFont="1">
      <alignment readingOrder="0" shrinkToFit="0" vertical="center" wrapText="1"/>
    </xf>
    <xf borderId="0" fillId="10" fontId="39" numFmtId="49" xfId="0" applyAlignment="1" applyFont="1" applyNumberFormat="1">
      <alignment shrinkToFit="0" vertical="center" wrapText="1"/>
    </xf>
    <xf borderId="70" fillId="10" fontId="39" numFmtId="0" xfId="0" applyAlignment="1" applyBorder="1" applyFont="1">
      <alignment shrinkToFit="0" vertical="center" wrapText="1"/>
    </xf>
    <xf borderId="69" fillId="10" fontId="39" numFmtId="0" xfId="0" applyAlignment="1" applyBorder="1" applyFont="1">
      <alignment readingOrder="0" shrinkToFit="0" vertical="center" wrapText="1"/>
    </xf>
    <xf borderId="0" fillId="10" fontId="39" numFmtId="0" xfId="0" applyAlignment="1" applyFont="1">
      <alignment readingOrder="0" shrinkToFit="0" vertical="center" wrapText="1"/>
    </xf>
    <xf borderId="0" fillId="10" fontId="39" numFmtId="0" xfId="0" applyAlignment="1" applyFont="1">
      <alignment shrinkToFit="0" vertical="center" wrapText="1"/>
    </xf>
    <xf borderId="0" fillId="10" fontId="52" numFmtId="0" xfId="0" applyAlignment="1" applyFont="1">
      <alignment readingOrder="0" shrinkToFit="0" vertical="center" wrapText="1"/>
    </xf>
    <xf borderId="0" fillId="10" fontId="39" numFmtId="171" xfId="0" applyAlignment="1" applyFont="1" applyNumberFormat="1">
      <alignment shrinkToFit="0" vertical="center" wrapText="1"/>
    </xf>
    <xf borderId="0" fillId="25" fontId="53" numFmtId="0" xfId="0" applyAlignment="1" applyFill="1" applyFont="1">
      <alignment horizontal="center" readingOrder="0" shrinkToFit="0" vertical="center" wrapText="1"/>
    </xf>
    <xf borderId="0" fillId="25" fontId="54" numFmtId="0" xfId="0" applyAlignment="1" applyFont="1">
      <alignment horizontal="center" readingOrder="0" shrinkToFit="0" vertical="center" wrapText="1"/>
    </xf>
    <xf borderId="0" fillId="25" fontId="17" numFmtId="0" xfId="0" applyAlignment="1" applyFont="1">
      <alignment horizontal="center" readingOrder="0" shrinkToFit="0" vertical="center" wrapText="1"/>
    </xf>
    <xf borderId="0" fillId="21" fontId="30" numFmtId="0" xfId="0" applyAlignment="1" applyFont="1">
      <alignment horizontal="center" readingOrder="0" shrinkToFit="0" vertical="center" wrapText="1"/>
    </xf>
    <xf borderId="0" fillId="21" fontId="30" numFmtId="0" xfId="0" applyAlignment="1" applyFont="1">
      <alignment horizontal="center" shrinkToFit="0" vertical="center" wrapText="1"/>
    </xf>
    <xf borderId="0" fillId="0" fontId="12" numFmtId="164" xfId="0" applyAlignment="1" applyFont="1" applyNumberFormat="1">
      <alignment readingOrder="0" shrinkToFit="0" vertical="center" wrapText="1"/>
    </xf>
    <xf borderId="0" fillId="0" fontId="3" numFmtId="0" xfId="0" applyAlignment="1" applyFont="1">
      <alignment readingOrder="0" shrinkToFit="0" vertical="center" wrapText="1"/>
    </xf>
    <xf borderId="0" fillId="0" fontId="55" numFmtId="0" xfId="0" applyAlignment="1" applyFont="1">
      <alignment readingOrder="0" shrinkToFit="0" vertical="center" wrapText="1"/>
    </xf>
    <xf borderId="0" fillId="0" fontId="3" numFmtId="168" xfId="0" applyAlignment="1" applyFont="1" applyNumberFormat="1">
      <alignment readingOrder="0" shrinkToFit="0" vertical="center" wrapText="1"/>
    </xf>
    <xf borderId="0" fillId="0" fontId="12" numFmtId="0" xfId="0" applyAlignment="1" applyFont="1">
      <alignment readingOrder="0" shrinkToFit="0" vertical="center" wrapText="1"/>
    </xf>
    <xf borderId="0" fillId="0" fontId="12" numFmtId="0" xfId="0" applyAlignment="1" applyFont="1">
      <alignment readingOrder="0" shrinkToFit="0" vertical="center" wrapText="1"/>
    </xf>
    <xf borderId="0" fillId="0" fontId="3" numFmtId="173" xfId="0" applyAlignment="1" applyFont="1" applyNumberFormat="1">
      <alignment readingOrder="0" shrinkToFit="0" vertical="center" wrapText="1"/>
    </xf>
    <xf borderId="0" fillId="0" fontId="12" numFmtId="0" xfId="0" applyAlignment="1" applyFont="1">
      <alignment readingOrder="0" shrinkToFit="0" vertical="top" wrapText="1"/>
    </xf>
    <xf borderId="0" fillId="0" fontId="3" numFmtId="0" xfId="0" applyAlignment="1" applyFont="1">
      <alignment readingOrder="0" shrinkToFit="0" vertical="top" wrapText="1"/>
    </xf>
    <xf borderId="0" fillId="0" fontId="3" numFmtId="0" xfId="0" applyAlignment="1" applyFont="1">
      <alignment readingOrder="0" shrinkToFit="0" vertical="top" wrapText="1"/>
    </xf>
    <xf borderId="0" fillId="0" fontId="12" numFmtId="164" xfId="0" applyAlignment="1" applyFont="1" applyNumberFormat="1">
      <alignment shrinkToFit="0" vertical="center" wrapText="1"/>
    </xf>
    <xf borderId="0" fillId="0" fontId="12" numFmtId="0" xfId="0" applyAlignment="1" applyFont="1">
      <alignment shrinkToFit="0" vertical="center" wrapText="1"/>
    </xf>
    <xf borderId="0" fillId="0" fontId="3" numFmtId="0" xfId="0" applyAlignment="1" applyFont="1">
      <alignment shrinkToFit="0" vertical="top" wrapText="1"/>
    </xf>
  </cellXfs>
  <cellStyles count="1">
    <cellStyle xfId="0" name="Normal" builtinId="0"/>
  </cellStyles>
  <dxfs count="13">
    <dxf>
      <font>
        <color rgb="FFC53929"/>
      </font>
      <fill>
        <patternFill patternType="none"/>
      </fill>
      <border/>
    </dxf>
    <dxf>
      <font/>
      <fill>
        <patternFill patternType="solid">
          <fgColor rgb="FFB7E1CD"/>
          <bgColor rgb="FFB7E1CD"/>
        </patternFill>
      </fill>
      <border/>
    </dxf>
    <dxf>
      <font/>
      <fill>
        <patternFill patternType="solid">
          <fgColor rgb="FFFF9900"/>
          <bgColor rgb="FFFF9900"/>
        </patternFill>
      </fill>
      <border/>
    </dxf>
    <dxf>
      <font/>
      <fill>
        <patternFill patternType="solid">
          <fgColor rgb="FF00FF00"/>
          <bgColor rgb="FF00FF00"/>
        </patternFill>
      </fill>
      <border/>
    </dxf>
    <dxf>
      <font/>
      <fill>
        <patternFill patternType="solid">
          <fgColor rgb="FFFFFF00"/>
          <bgColor rgb="FFFFFF00"/>
        </patternFill>
      </fill>
      <border/>
    </dxf>
    <dxf>
      <font/>
      <fill>
        <patternFill patternType="solid">
          <fgColor rgb="FFCFE2F3"/>
          <bgColor rgb="FFCFE2F3"/>
        </patternFill>
      </fill>
      <border/>
    </dxf>
    <dxf>
      <font/>
      <fill>
        <patternFill patternType="solid">
          <fgColor rgb="FFFF0000"/>
          <bgColor rgb="FFFF0000"/>
        </patternFill>
      </fill>
      <border/>
    </dxf>
    <dxf>
      <font/>
      <fill>
        <patternFill patternType="solid">
          <fgColor rgb="FFDD7E6B"/>
          <bgColor rgb="FFDD7E6B"/>
        </patternFill>
      </fill>
      <border/>
    </dxf>
    <dxf>
      <font/>
      <fill>
        <patternFill patternType="solid">
          <fgColor rgb="FF00FFFF"/>
          <bgColor rgb="FF00FFFF"/>
        </patternFill>
      </fill>
      <border/>
    </dxf>
    <dxf>
      <font/>
      <fill>
        <patternFill patternType="solid">
          <fgColor rgb="FFB6D7A8"/>
          <bgColor rgb="FFB6D7A8"/>
        </patternFill>
      </fill>
      <border/>
    </dxf>
    <dxf>
      <font/>
      <fill>
        <patternFill patternType="solid">
          <fgColor rgb="FFEA9999"/>
          <bgColor rgb="FFEA9999"/>
        </patternFill>
      </fill>
      <border/>
    </dxf>
    <dxf>
      <font/>
      <fill>
        <patternFill patternType="solid">
          <fgColor rgb="FFC27BA0"/>
          <bgColor rgb="FFC27BA0"/>
        </patternFill>
      </fill>
      <border/>
    </dxf>
    <dxf>
      <font/>
      <fill>
        <patternFill patternType="solid">
          <fgColor rgb="FF93C47D"/>
          <bgColor rgb="FF93C47D"/>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ocumenttasks/documenttask1.xml><?xml version="1.0" encoding="utf-8"?>
<Tasks xmlns="http://schemas.microsoft.com/office/tasks/2019/documenttasks">
  <Task id="{c0c95574-3fe9-4934-8a65-ece0b7f67897}">
    <Anchor>
      <Comment id="{10823336-b8ad-49cb-850e-ab99087618e6}"/>
    </Anchor>
    <History>
      <Event time="2026-02-11T01:18:38.00" id="{9052237e-11bf-4b79-b75c-4f613da57145}">
        <Attribution userId="placeholder@email.com" userName="Gaetano Ambrosio" userProvider="google-sheets"/>
        <Anchor>
          <Comment id="{10823336-b8ad-49cb-850e-ab99087618e6}"/>
        </Anchor>
        <Create/>
      </Event>
      <Event time="2026-02-11T01:18:38.00" id="{163611c5-edf9-4ea4-9d55-437a33c04319}">
        <Attribution userId="placeholder@email.com" userName="Gaetano Ambrosio" userProvider="google-sheets"/>
        <Anchor>
          <Comment id="{10823336-b8ad-49cb-850e-ab99087618e6}"/>
        </Anchor>
        <Assign userId="ammstudio15@gmail.com" userName="ammstudio15@gmail.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180975</xdr:colOff>
      <xdr:row>0</xdr:row>
      <xdr:rowOff>0</xdr:rowOff>
    </xdr:from>
    <xdr:ext cx="5591175" cy="266700"/>
    <xdr:grpSp>
      <xdr:nvGrpSpPr>
        <xdr:cNvPr id="2" name="Shape 2" title="Disegno"/>
        <xdr:cNvGrpSpPr/>
      </xdr:nvGrpSpPr>
      <xdr:grpSpPr>
        <a:xfrm>
          <a:off x="2269250" y="882950"/>
          <a:ext cx="6878100" cy="1224900"/>
          <a:chOff x="2269250" y="882950"/>
          <a:chExt cx="6878100" cy="1224900"/>
        </a:xfrm>
      </xdr:grpSpPr>
      <xdr:sp>
        <xdr:nvSpPr>
          <xdr:cNvPr id="3" name="Shape 3"/>
          <xdr:cNvSpPr/>
        </xdr:nvSpPr>
        <xdr:spPr>
          <a:xfrm>
            <a:off x="2269250" y="882950"/>
            <a:ext cx="1224900" cy="1224900"/>
          </a:xfrm>
          <a:prstGeom prst="triangle">
            <a:avLst>
              <a:gd fmla="val 500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4700"/>
              <a:t>A</a:t>
            </a:r>
            <a:endParaRPr sz="4200"/>
          </a:p>
        </xdr:txBody>
      </xdr:sp>
      <xdr:sp>
        <xdr:nvSpPr>
          <xdr:cNvPr id="4" name="Shape 4"/>
          <xdr:cNvSpPr txBox="1"/>
        </xdr:nvSpPr>
        <xdr:spPr>
          <a:xfrm>
            <a:off x="4448150" y="1295300"/>
            <a:ext cx="46992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t/>
            </a:r>
            <a:endParaRPr sz="1400"/>
          </a:p>
        </xdr:txBody>
      </xdr:sp>
    </xdr:grp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mmstudio15@gmail.com" id="{d0441467-55d7-44cc-a476-6a0c896cd609}" userId="ammstudio15@gmail.com" providerId="google-sheets"/>
  <x18tc:person displayName="Gaetano Ambrosio" id="{c63f0e7a-7630-4f00-a3e8-6935c2e1f6cf}" providerId="google-sheets"/>
  <x18tc:person displayName="Amm_Gem SG" id="{1a1bb3fd-dd89-4018-a31b-dd676d1afc51}" providerId="google-sheets"/>
</x18tc:personList>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77" dT="2026-02-11T01:18:38.00" personId="{c63f0e7a-7630-4f00-a3e8-6935c2e1f6cf}" id="{10823336-b8ad-49cb-850e-ab99087618e6}" done="0">
    <x18tc:text xml:space="preserve">@ammstudio15@gmail.com devi aggiornare questa parte e inoltre voglio le date di quando hai effettuato i pagamenti. inoltre ogni volta devi essere autorizzato perchè tu invii un messaggio nelle chat/gruppi/icarichi di riferimento con link. Quando ieri ti ho chiesto TUTTI i pagamenti, intendevo tutti!!!
Attività assegnata a ammstudio15@gmail.com</x18tc:text>
    <x18tc:mentions>
      <x18tc:mention mentionpersonId="{d0441467-55d7-44cc-a476-6a0c896cd609}" mentionId="{fa3bdc75-a5c7-4adc-b771-ca66e3356bdd}" startIndex="0" length="22"/>
    </x18tc:mentions>
  </x18tc:threadedComment>
  <x18tc:threadedComment ref="C177" dT="2026-02-11T08:49:40.00" personId="{1a1bb3fd-dd89-4018-a31b-dd676d1afc51}" id="{c160d3e0-906a-468f-8ffd-689bc554fbcf}" parentId="{10823336-b8ad-49cb-850e-ab99087618e6}">
    <x18tc:text xml:space="preserve">qui devi aggiornare l'import range a me non lo fa fare</x18tc:text>
  </x18tc:threadedComment>
  <x18tc:threadedComment ref="C177" dT="2026-02-25T09:52:53.00" personId="{1a1bb3fd-dd89-4018-a31b-dd676d1afc51}" id="{68f72824-3edb-4749-b441-0ea1efb9ef0e}" parentId="{10823336-b8ad-49cb-850e-ab99087618e6}">
    <x18tc:text xml:space="preserve">fatto</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spreadsheets/d/1ArR8Sz8CNPWqSGpmmcJi8JNf_et6YNraXkW0Uc4Soxo/edit?gid=1585647478" TargetMode="External"/><Relationship Id="rId3" Type="http://schemas.openxmlformats.org/officeDocument/2006/relationships/hyperlink" Target="https://docs.google.com/spreadsheets/d/1lgJn7RHbuSJhKmrT5uuWTf4cPq7319wx-zOwWSVzmPk/edit?gid=868637713" TargetMode="External"/><Relationship Id="rId4" Type="http://schemas.openxmlformats.org/officeDocument/2006/relationships/hyperlink" Target="https://docs.google.com/spreadsheets/d/1O9xQngEzcoVxyC0gkp3qQR0DlrIEhs8JlPxc5PV344M/edit?gid=1585647478" TargetMode="External"/><Relationship Id="rId5" Type="http://schemas.openxmlformats.org/officeDocument/2006/relationships/hyperlink" Target="https://docs.google.com/spreadsheets/d/1Q8dTuw4kT8pziVi-jKHmRb4vDYApgMQnngvJXO7bGcA/edit?gid=868637713" TargetMode="External"/><Relationship Id="rId6" Type="http://schemas.openxmlformats.org/officeDocument/2006/relationships/drawing" Target="../drawings/drawing1.xml"/><Relationship Id="rId7"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spreadsheets/d/1txahIWzNOntg_1XpOyk7PsbFz9ahy5Ji5MpneCelSQ8/edit?gid=1260708958" TargetMode="External"/><Relationship Id="rId5" Type="http://schemas.openxmlformats.org/officeDocument/2006/relationships/drawing" Target="../drawings/drawing2.xml"/><Relationship Id="rId6"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0" Type="http://schemas.openxmlformats.org/officeDocument/2006/relationships/hyperlink" Target="https://trello.com/c/GIE6g1jD" TargetMode="External"/><Relationship Id="rId22" Type="http://schemas.openxmlformats.org/officeDocument/2006/relationships/hyperlink" Target="https://trello.com/c/dcRJgiPg" TargetMode="External"/><Relationship Id="rId21" Type="http://schemas.openxmlformats.org/officeDocument/2006/relationships/hyperlink" Target="https://trello.com/c/UiCJyGK6" TargetMode="External"/><Relationship Id="rId24" Type="http://schemas.openxmlformats.org/officeDocument/2006/relationships/hyperlink" Target="https://trello.com/c/t9ZlvmyQ" TargetMode="External"/><Relationship Id="rId23" Type="http://schemas.openxmlformats.org/officeDocument/2006/relationships/hyperlink" Target="https://trello.com/c/yB9WfTuI" TargetMode="External"/><Relationship Id="rId1" Type="http://schemas.openxmlformats.org/officeDocument/2006/relationships/hyperlink" Target="https://drive.google.com/drive/folders/0B6JrcjCM1-JnVHFiWkxnalRNVG8?resourcekey=0-jcXKoA0By5c2Wup8XegQ1w" TargetMode="External"/><Relationship Id="rId2" Type="http://schemas.openxmlformats.org/officeDocument/2006/relationships/hyperlink" Target="https://drive.google.com/open?id=1bhMHnuIj3_gHKyw2jXh11SF1YPeGdCW5s0UumDE-1PQ" TargetMode="External"/><Relationship Id="rId3" Type="http://schemas.openxmlformats.org/officeDocument/2006/relationships/hyperlink" Target="https://docs.google.com/spreadsheets/d/1HQidLBpagMxHAXZXb8nATJ-ItHwpeZ_uRbE8t3W6HQQ/edit?usp=sharing" TargetMode="External"/><Relationship Id="rId4" Type="http://schemas.openxmlformats.org/officeDocument/2006/relationships/hyperlink" Target="https://trello.com/c/KaC9XXYZ" TargetMode="External"/><Relationship Id="rId9" Type="http://schemas.openxmlformats.org/officeDocument/2006/relationships/hyperlink" Target="https://trello.com/c/65MuVhkM" TargetMode="External"/><Relationship Id="rId26" Type="http://schemas.openxmlformats.org/officeDocument/2006/relationships/drawing" Target="../drawings/drawing3.xml"/><Relationship Id="rId25" Type="http://schemas.openxmlformats.org/officeDocument/2006/relationships/hyperlink" Target="https://trello.com/c/IQRwzSr0" TargetMode="External"/><Relationship Id="rId5" Type="http://schemas.openxmlformats.org/officeDocument/2006/relationships/hyperlink" Target="https://trello.com/c/7hIEarQ7" TargetMode="External"/><Relationship Id="rId6" Type="http://schemas.openxmlformats.org/officeDocument/2006/relationships/hyperlink" Target="https://trello.com/c/rcxySOdx" TargetMode="External"/><Relationship Id="rId7" Type="http://schemas.openxmlformats.org/officeDocument/2006/relationships/hyperlink" Target="https://trello.com/c/WxcYfuFK" TargetMode="External"/><Relationship Id="rId8" Type="http://schemas.openxmlformats.org/officeDocument/2006/relationships/hyperlink" Target="https://trello.com/c/9ju2w8Fo" TargetMode="External"/><Relationship Id="rId11" Type="http://schemas.openxmlformats.org/officeDocument/2006/relationships/hyperlink" Target="https://drive.google.com/drive/folders/1oe9JudfwknzNJyPIY1biz4jXL0KLBVV_" TargetMode="External"/><Relationship Id="rId10" Type="http://schemas.openxmlformats.org/officeDocument/2006/relationships/hyperlink" Target="https://trello.com/c/65MuVhkM" TargetMode="External"/><Relationship Id="rId13" Type="http://schemas.openxmlformats.org/officeDocument/2006/relationships/hyperlink" Target="https://trello.com/c/lIR5WQHb" TargetMode="External"/><Relationship Id="rId12" Type="http://schemas.openxmlformats.org/officeDocument/2006/relationships/hyperlink" Target="https://trello.com/c/4xUm9xXC" TargetMode="External"/><Relationship Id="rId15" Type="http://schemas.openxmlformats.org/officeDocument/2006/relationships/hyperlink" Target="https://trello.com/c/m9iOLceA" TargetMode="External"/><Relationship Id="rId14" Type="http://schemas.openxmlformats.org/officeDocument/2006/relationships/hyperlink" Target="https://trello.com/c/IQRwzSr0" TargetMode="External"/><Relationship Id="rId17" Type="http://schemas.openxmlformats.org/officeDocument/2006/relationships/hyperlink" Target="https://trello.com/c/09HrKLAU" TargetMode="External"/><Relationship Id="rId16" Type="http://schemas.openxmlformats.org/officeDocument/2006/relationships/hyperlink" Target="https://trello.com/c/vkz4W3YM" TargetMode="External"/><Relationship Id="rId19" Type="http://schemas.openxmlformats.org/officeDocument/2006/relationships/hyperlink" Target="https://trello.com/c/6av4eBOK" TargetMode="External"/><Relationship Id="rId18" Type="http://schemas.openxmlformats.org/officeDocument/2006/relationships/hyperlink" Target="https://trello.com/c/6DGD1eq3" TargetMode="Externa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drive.google.com/open?id=1K2pDp0goQQ_6fRBAmNJFsoNzih935cZateXtRUduVB0" TargetMode="External"/><Relationship Id="rId3" Type="http://schemas.openxmlformats.org/officeDocument/2006/relationships/hyperlink" Target="https://drive.google.com/open?id=1K2pDp0goQQ_6fRBAmNJFsoNzih935cZateXtRUduVB0" TargetMode="External"/><Relationship Id="rId4" Type="http://schemas.openxmlformats.org/officeDocument/2006/relationships/hyperlink" Target="https://drive.google.com/open?id=1K2pDp0goQQ_6fRBAmNJFsoNzih935cZateXtRUduVB0" TargetMode="External"/><Relationship Id="rId9" Type="http://schemas.openxmlformats.org/officeDocument/2006/relationships/hyperlink" Target="https://trello.com/c/mi5Fcg9L" TargetMode="External"/><Relationship Id="rId5" Type="http://schemas.openxmlformats.org/officeDocument/2006/relationships/hyperlink" Target="https://drive.google.com/open?id=1bhMHnuIj3_gHKyw2jXh11SF1YPeGdCW5s0UumDE-1PQ" TargetMode="External"/><Relationship Id="rId6" Type="http://schemas.openxmlformats.org/officeDocument/2006/relationships/hyperlink" Target="https://drive.google.com/open?id=1TPwoOJPuZpQ9jS3r45Lb8L1y871vFwJvc8TJfY2NvDQ" TargetMode="External"/><Relationship Id="rId7" Type="http://schemas.openxmlformats.org/officeDocument/2006/relationships/hyperlink" Target="https://drive.google.com/open?id=1aKo1mLe5Ao8y_Pt3a4zlV4vUHq8ao2PW9W-F2_MSrw4" TargetMode="External"/><Relationship Id="rId8" Type="http://schemas.openxmlformats.org/officeDocument/2006/relationships/hyperlink" Target="https://drive.google.com/open?id=1KUMvEGY7vnEdIRKZtWvHLHqde7ADmJuzO2Zm8kUk1kg" TargetMode="External"/><Relationship Id="rId11" Type="http://schemas.openxmlformats.org/officeDocument/2006/relationships/drawing" Target="../drawings/drawing4.xml"/><Relationship Id="rId10" Type="http://schemas.openxmlformats.org/officeDocument/2006/relationships/hyperlink" Target="https://drive.google.com/open?id=1TPwoOJPuZpQ9jS3r45Lb8L1y871vFwJvc8TJfY2NvDQ" TargetMode="External"/><Relationship Id="rId12"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spreadsheets/d/1O9G5CJn2MFIGoyF2uHQyxFictmT9kU2fAGsGdUxSQF8/edit?gid=105345811" TargetMode="External"/><Relationship Id="rId2" Type="http://schemas.openxmlformats.org/officeDocument/2006/relationships/hyperlink" Target="https://trello.com/c/0Dhfo37V/271-tema-to-do-santo-amministrazione?search_id=522117a8-4e73-4808-a956-9ff94fb0ab29" TargetMode="External"/><Relationship Id="rId3" Type="http://schemas.openxmlformats.org/officeDocument/2006/relationships/hyperlink" Target="https://drive.google.com/file/d/1nzzxFAL_fifwb2o_F14T5lWJuppdp32d/view?usp=drive_link" TargetMode="External"/><Relationship Id="rId4"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7.29" defaultRowHeight="15.0" outlineLevelRow="1"/>
  <cols>
    <col customWidth="1" min="1" max="1" width="11.71"/>
    <col customWidth="1" min="2" max="2" width="19.14"/>
    <col customWidth="1" min="3" max="3" width="66.43"/>
    <col customWidth="1" min="4" max="4" width="16.29"/>
    <col customWidth="1" min="5" max="5" width="15.86"/>
    <col customWidth="1" min="6" max="6" width="15.14"/>
    <col customWidth="1" min="7" max="7" width="17.0"/>
    <col customWidth="1" min="8" max="8" width="13.14"/>
    <col customWidth="1" min="9" max="9" width="16.43"/>
    <col customWidth="1" min="10" max="11" width="15.86"/>
    <col customWidth="1" min="12" max="12" width="12.71"/>
    <col customWidth="1" min="13" max="13" width="12.29"/>
  </cols>
  <sheetData>
    <row r="1" ht="20.25" customHeight="1">
      <c r="A1" s="1"/>
      <c r="B1" s="1"/>
      <c r="C1" s="2" t="s">
        <v>0</v>
      </c>
      <c r="D1" s="3" t="s">
        <v>1</v>
      </c>
      <c r="E1" s="4"/>
      <c r="F1" s="5" t="s">
        <v>2</v>
      </c>
      <c r="G1" s="4"/>
      <c r="H1" s="5" t="s">
        <v>3</v>
      </c>
      <c r="I1" s="4"/>
      <c r="J1" s="5" t="s">
        <v>4</v>
      </c>
      <c r="K1" s="4"/>
      <c r="L1" s="5" t="s">
        <v>5</v>
      </c>
      <c r="M1" s="4"/>
    </row>
    <row r="2" ht="20.25" customHeight="1">
      <c r="A2" s="6" t="s">
        <v>6</v>
      </c>
      <c r="B2" s="7" t="s">
        <v>7</v>
      </c>
      <c r="C2" s="8" t="s">
        <v>8</v>
      </c>
      <c r="D2" s="9" t="s">
        <v>9</v>
      </c>
      <c r="E2" s="10" t="s">
        <v>10</v>
      </c>
      <c r="F2" s="9" t="s">
        <v>9</v>
      </c>
      <c r="G2" s="10" t="s">
        <v>10</v>
      </c>
      <c r="H2" s="9" t="s">
        <v>9</v>
      </c>
      <c r="I2" s="10" t="s">
        <v>10</v>
      </c>
      <c r="J2" s="9" t="s">
        <v>9</v>
      </c>
      <c r="K2" s="10" t="s">
        <v>10</v>
      </c>
      <c r="L2" s="11" t="s">
        <v>9</v>
      </c>
      <c r="M2" s="10" t="s">
        <v>10</v>
      </c>
    </row>
    <row r="3" ht="20.25" customHeight="1">
      <c r="A3" s="12">
        <v>45901.0</v>
      </c>
      <c r="B3" s="13"/>
      <c r="C3" s="14" t="s">
        <v>11</v>
      </c>
      <c r="D3" s="15">
        <f>E3</f>
        <v>3978.87</v>
      </c>
      <c r="E3" s="16">
        <f>IFERROR(__xludf.DUMMYFUNCTION("IMPORTRANGE(""https://docs.google.com/spreadsheets/d/1hcQkGUU7EaYAXXdvpn98Etj6uxQpKGghn0OUquJwgdM/edit?gid=1496616136#gid=1496616136"",""2024-2025!D3195"")"),3978.8700000000044)</f>
        <v>3978.87</v>
      </c>
      <c r="F3" s="17">
        <f>G3</f>
        <v>160457.68</v>
      </c>
      <c r="G3" s="16">
        <f>IFERROR(__xludf.DUMMYFUNCTION("IMPORTRANGE(""https://docs.google.com/spreadsheets/d/1hcQkGUU7EaYAXXdvpn98Etj6uxQpKGghn0OUquJwgdM/edit?gid=1496616136#gid=1496616136"",""2024-2025!F3195"")"),160457.6800000001)</f>
        <v>160457.68</v>
      </c>
      <c r="H3" s="17">
        <f>I3</f>
        <v>520.49</v>
      </c>
      <c r="I3" s="16">
        <f>IFERROR(__xludf.DUMMYFUNCTION("IMPORTRANGE(""https://docs.google.com/spreadsheets/d/1hcQkGUU7EaYAXXdvpn98Etj6uxQpKGghn0OUquJwgdM/edit?gid=1496616136#gid=1496616136"",""2024-2025!H3195"")"),520.4900000000009)</f>
        <v>520.49</v>
      </c>
      <c r="J3" s="17">
        <f>K3</f>
        <v>250464.82</v>
      </c>
      <c r="K3" s="16">
        <f>IFERROR(__xludf.DUMMYFUNCTION("IMPORTRANGE(""https://docs.google.com/spreadsheets/d/1hcQkGUU7EaYAXXdvpn98Etj6uxQpKGghn0OUquJwgdM/edit?gid=1496616136#gid=1496616136"",""2024-2025!J3195"")"),250464.81999999966)</f>
        <v>250464.82</v>
      </c>
      <c r="L3" s="17">
        <f>M3</f>
        <v>984.14</v>
      </c>
      <c r="M3" s="16">
        <f>IFERROR(__xludf.DUMMYFUNCTION("IMPORTRANGE(""https://docs.google.com/spreadsheets/d/1hcQkGUU7EaYAXXdvpn98Etj6uxQpKGghn0OUquJwgdM/edit?gid=1496616136#gid=1496616136"",""2024-2025!L3195"")"),984.1399999999992)</f>
        <v>984.14</v>
      </c>
    </row>
    <row r="4" ht="20.25" customHeight="1" outlineLevel="1">
      <c r="A4" s="18">
        <v>45901.0</v>
      </c>
      <c r="B4" s="13" t="s">
        <v>12</v>
      </c>
      <c r="C4" s="19" t="s">
        <v>13</v>
      </c>
      <c r="D4" s="20"/>
      <c r="E4" s="21">
        <f t="shared" ref="E4:E3311" si="1">D4+E3</f>
        <v>3978.87</v>
      </c>
      <c r="F4" s="22">
        <v>-346.66</v>
      </c>
      <c r="G4" s="21">
        <f t="shared" ref="G4:G1263" si="2">F4+G3</f>
        <v>160111.02</v>
      </c>
      <c r="H4" s="23"/>
      <c r="I4" s="21">
        <f t="shared" ref="I4:I21" si="3">H4+I3</f>
        <v>520.49</v>
      </c>
      <c r="J4" s="24"/>
      <c r="K4" s="21">
        <f t="shared" ref="K4:K1263" si="4">J4+K3</f>
        <v>250464.82</v>
      </c>
      <c r="L4" s="23"/>
      <c r="M4" s="21">
        <f t="shared" ref="M4:M21" si="5">L4+M3</f>
        <v>984.14</v>
      </c>
    </row>
    <row r="5" ht="20.25" customHeight="1" outlineLevel="1">
      <c r="A5" s="18">
        <v>45901.0</v>
      </c>
      <c r="B5" s="13" t="s">
        <v>14</v>
      </c>
      <c r="C5" s="25" t="s">
        <v>15</v>
      </c>
      <c r="D5" s="20"/>
      <c r="E5" s="21">
        <f t="shared" si="1"/>
        <v>3978.87</v>
      </c>
      <c r="F5" s="22">
        <v>-500.0</v>
      </c>
      <c r="G5" s="21">
        <f t="shared" si="2"/>
        <v>159611.02</v>
      </c>
      <c r="H5" s="23"/>
      <c r="I5" s="21">
        <f t="shared" si="3"/>
        <v>520.49</v>
      </c>
      <c r="J5" s="24"/>
      <c r="K5" s="21">
        <f t="shared" si="4"/>
        <v>250464.82</v>
      </c>
      <c r="L5" s="23"/>
      <c r="M5" s="21">
        <f t="shared" si="5"/>
        <v>984.14</v>
      </c>
    </row>
    <row r="6" ht="20.25" customHeight="1" outlineLevel="1">
      <c r="A6" s="18">
        <v>45901.0</v>
      </c>
      <c r="B6" s="13" t="s">
        <v>16</v>
      </c>
      <c r="C6" s="25" t="s">
        <v>17</v>
      </c>
      <c r="D6" s="20"/>
      <c r="E6" s="21">
        <f t="shared" si="1"/>
        <v>3978.87</v>
      </c>
      <c r="F6" s="26">
        <v>860.0</v>
      </c>
      <c r="G6" s="21">
        <f t="shared" si="2"/>
        <v>160471.02</v>
      </c>
      <c r="H6" s="23"/>
      <c r="I6" s="21">
        <f t="shared" si="3"/>
        <v>520.49</v>
      </c>
      <c r="J6" s="24"/>
      <c r="K6" s="21">
        <f t="shared" si="4"/>
        <v>250464.82</v>
      </c>
      <c r="L6" s="23"/>
      <c r="M6" s="21">
        <f t="shared" si="5"/>
        <v>984.14</v>
      </c>
    </row>
    <row r="7" ht="20.25" customHeight="1" outlineLevel="1">
      <c r="A7" s="18">
        <v>45901.0</v>
      </c>
      <c r="B7" s="13" t="s">
        <v>16</v>
      </c>
      <c r="C7" s="25" t="s">
        <v>18</v>
      </c>
      <c r="D7" s="20"/>
      <c r="E7" s="21">
        <f t="shared" si="1"/>
        <v>3978.87</v>
      </c>
      <c r="F7" s="27">
        <v>1337.0</v>
      </c>
      <c r="G7" s="21">
        <f t="shared" si="2"/>
        <v>161808.02</v>
      </c>
      <c r="H7" s="23"/>
      <c r="I7" s="21">
        <f t="shared" si="3"/>
        <v>520.49</v>
      </c>
      <c r="J7" s="24"/>
      <c r="K7" s="21">
        <f t="shared" si="4"/>
        <v>250464.82</v>
      </c>
      <c r="L7" s="23"/>
      <c r="M7" s="21">
        <f t="shared" si="5"/>
        <v>984.14</v>
      </c>
    </row>
    <row r="8" ht="20.25" customHeight="1" outlineLevel="1">
      <c r="A8" s="12">
        <v>45901.0</v>
      </c>
      <c r="B8" s="13" t="s">
        <v>16</v>
      </c>
      <c r="C8" s="25" t="s">
        <v>19</v>
      </c>
      <c r="D8" s="20"/>
      <c r="E8" s="21">
        <f t="shared" si="1"/>
        <v>3978.87</v>
      </c>
      <c r="F8" s="26">
        <v>422.0</v>
      </c>
      <c r="G8" s="21">
        <f t="shared" si="2"/>
        <v>162230.02</v>
      </c>
      <c r="H8" s="23"/>
      <c r="I8" s="21">
        <f t="shared" si="3"/>
        <v>520.49</v>
      </c>
      <c r="J8" s="23"/>
      <c r="K8" s="21">
        <f t="shared" si="4"/>
        <v>250464.82</v>
      </c>
      <c r="L8" s="23"/>
      <c r="M8" s="21">
        <f t="shared" si="5"/>
        <v>984.14</v>
      </c>
    </row>
    <row r="9" ht="20.25" customHeight="1" outlineLevel="1">
      <c r="A9" s="18">
        <v>45901.0</v>
      </c>
      <c r="B9" s="13" t="s">
        <v>16</v>
      </c>
      <c r="C9" s="25" t="s">
        <v>20</v>
      </c>
      <c r="D9" s="20"/>
      <c r="E9" s="21">
        <f t="shared" si="1"/>
        <v>3978.87</v>
      </c>
      <c r="F9" s="26">
        <v>466.0</v>
      </c>
      <c r="G9" s="21">
        <f t="shared" si="2"/>
        <v>162696.02</v>
      </c>
      <c r="H9" s="23"/>
      <c r="I9" s="21">
        <f t="shared" si="3"/>
        <v>520.49</v>
      </c>
      <c r="J9" s="24"/>
      <c r="K9" s="21">
        <f t="shared" si="4"/>
        <v>250464.82</v>
      </c>
      <c r="L9" s="23"/>
      <c r="M9" s="21">
        <f t="shared" si="5"/>
        <v>984.14</v>
      </c>
    </row>
    <row r="10" ht="20.25" customHeight="1" outlineLevel="1">
      <c r="A10" s="18">
        <v>45901.0</v>
      </c>
      <c r="B10" s="13" t="s">
        <v>16</v>
      </c>
      <c r="C10" s="28" t="s">
        <v>21</v>
      </c>
      <c r="D10" s="20"/>
      <c r="E10" s="21">
        <f t="shared" si="1"/>
        <v>3978.87</v>
      </c>
      <c r="F10" s="27">
        <v>955.2</v>
      </c>
      <c r="G10" s="21">
        <f t="shared" si="2"/>
        <v>163651.22</v>
      </c>
      <c r="H10" s="23"/>
      <c r="I10" s="21">
        <f t="shared" si="3"/>
        <v>520.49</v>
      </c>
      <c r="J10" s="24"/>
      <c r="K10" s="21">
        <f t="shared" si="4"/>
        <v>250464.82</v>
      </c>
      <c r="L10" s="23"/>
      <c r="M10" s="21">
        <f t="shared" si="5"/>
        <v>984.14</v>
      </c>
    </row>
    <row r="11" ht="20.25" customHeight="1" outlineLevel="1">
      <c r="A11" s="12">
        <v>45901.0</v>
      </c>
      <c r="B11" s="13" t="s">
        <v>16</v>
      </c>
      <c r="C11" s="29" t="s">
        <v>22</v>
      </c>
      <c r="D11" s="20"/>
      <c r="E11" s="21">
        <f t="shared" si="1"/>
        <v>3978.87</v>
      </c>
      <c r="F11" s="27">
        <v>395.0</v>
      </c>
      <c r="G11" s="21">
        <f t="shared" si="2"/>
        <v>164046.22</v>
      </c>
      <c r="H11" s="23"/>
      <c r="I11" s="21">
        <f t="shared" si="3"/>
        <v>520.49</v>
      </c>
      <c r="J11" s="24"/>
      <c r="K11" s="21">
        <f t="shared" si="4"/>
        <v>250464.82</v>
      </c>
      <c r="L11" s="23"/>
      <c r="M11" s="21">
        <f t="shared" si="5"/>
        <v>984.14</v>
      </c>
    </row>
    <row r="12" ht="20.25" customHeight="1" outlineLevel="1">
      <c r="A12" s="30">
        <v>45901.0</v>
      </c>
      <c r="B12" s="13" t="s">
        <v>16</v>
      </c>
      <c r="C12" s="25" t="s">
        <v>23</v>
      </c>
      <c r="D12" s="20"/>
      <c r="E12" s="21">
        <f t="shared" si="1"/>
        <v>3978.87</v>
      </c>
      <c r="F12" s="31">
        <v>1325.0</v>
      </c>
      <c r="G12" s="21">
        <f t="shared" si="2"/>
        <v>165371.22</v>
      </c>
      <c r="H12" s="23"/>
      <c r="I12" s="21">
        <f t="shared" si="3"/>
        <v>520.49</v>
      </c>
      <c r="J12" s="23"/>
      <c r="K12" s="21">
        <f t="shared" si="4"/>
        <v>250464.82</v>
      </c>
      <c r="L12" s="23"/>
      <c r="M12" s="21">
        <f t="shared" si="5"/>
        <v>984.14</v>
      </c>
    </row>
    <row r="13" ht="20.25" customHeight="1" outlineLevel="1">
      <c r="A13" s="30">
        <v>45901.0</v>
      </c>
      <c r="B13" s="13" t="s">
        <v>16</v>
      </c>
      <c r="C13" s="32" t="s">
        <v>24</v>
      </c>
      <c r="D13" s="20">
        <v>1485.0</v>
      </c>
      <c r="E13" s="21">
        <f t="shared" si="1"/>
        <v>5463.87</v>
      </c>
      <c r="F13" s="33"/>
      <c r="G13" s="21">
        <f t="shared" si="2"/>
        <v>165371.22</v>
      </c>
      <c r="H13" s="23"/>
      <c r="I13" s="21">
        <f t="shared" si="3"/>
        <v>520.49</v>
      </c>
      <c r="J13" s="23"/>
      <c r="K13" s="21">
        <f t="shared" si="4"/>
        <v>250464.82</v>
      </c>
      <c r="L13" s="23"/>
      <c r="M13" s="21">
        <f t="shared" si="5"/>
        <v>984.14</v>
      </c>
    </row>
    <row r="14" ht="20.25" customHeight="1" outlineLevel="1">
      <c r="A14" s="12">
        <v>45901.0</v>
      </c>
      <c r="B14" s="13" t="s">
        <v>16</v>
      </c>
      <c r="C14" s="34" t="s">
        <v>25</v>
      </c>
      <c r="D14" s="20"/>
      <c r="E14" s="21">
        <f t="shared" si="1"/>
        <v>5463.87</v>
      </c>
      <c r="F14" s="23"/>
      <c r="G14" s="21">
        <f t="shared" si="2"/>
        <v>165371.22</v>
      </c>
      <c r="H14" s="23"/>
      <c r="I14" s="21">
        <f t="shared" si="3"/>
        <v>520.49</v>
      </c>
      <c r="J14" s="35">
        <v>415.0</v>
      </c>
      <c r="K14" s="21">
        <f t="shared" si="4"/>
        <v>250879.82</v>
      </c>
      <c r="L14" s="23"/>
      <c r="M14" s="21">
        <f t="shared" si="5"/>
        <v>984.14</v>
      </c>
    </row>
    <row r="15" ht="20.25" customHeight="1" outlineLevel="1">
      <c r="A15" s="18">
        <v>45901.0</v>
      </c>
      <c r="B15" s="13" t="s">
        <v>12</v>
      </c>
      <c r="C15" s="28" t="s">
        <v>26</v>
      </c>
      <c r="D15" s="20"/>
      <c r="E15" s="21">
        <f t="shared" si="1"/>
        <v>5463.87</v>
      </c>
      <c r="F15" s="23"/>
      <c r="G15" s="21">
        <f t="shared" si="2"/>
        <v>165371.22</v>
      </c>
      <c r="H15" s="22">
        <v>-165.9</v>
      </c>
      <c r="I15" s="21">
        <f t="shared" si="3"/>
        <v>354.59</v>
      </c>
      <c r="J15" s="24"/>
      <c r="K15" s="21">
        <f t="shared" si="4"/>
        <v>250879.82</v>
      </c>
      <c r="L15" s="23"/>
      <c r="M15" s="21">
        <f t="shared" si="5"/>
        <v>984.14</v>
      </c>
    </row>
    <row r="16" ht="20.25" customHeight="1" outlineLevel="1">
      <c r="A16" s="18">
        <v>45902.0</v>
      </c>
      <c r="B16" s="13" t="s">
        <v>12</v>
      </c>
      <c r="C16" s="36" t="s">
        <v>27</v>
      </c>
      <c r="D16" s="20"/>
      <c r="E16" s="21">
        <f t="shared" si="1"/>
        <v>5463.87</v>
      </c>
      <c r="F16" s="22">
        <v>-2283.0</v>
      </c>
      <c r="G16" s="21">
        <f t="shared" si="2"/>
        <v>163088.22</v>
      </c>
      <c r="H16" s="23"/>
      <c r="I16" s="21">
        <f t="shared" si="3"/>
        <v>354.59</v>
      </c>
      <c r="J16" s="24"/>
      <c r="K16" s="21">
        <f t="shared" si="4"/>
        <v>250879.82</v>
      </c>
      <c r="L16" s="23"/>
      <c r="M16" s="21">
        <f t="shared" si="5"/>
        <v>984.14</v>
      </c>
    </row>
    <row r="17" ht="20.25" customHeight="1" outlineLevel="1">
      <c r="A17" s="37">
        <v>45902.0</v>
      </c>
      <c r="B17" s="13" t="s">
        <v>16</v>
      </c>
      <c r="C17" s="38" t="s">
        <v>28</v>
      </c>
      <c r="D17" s="20"/>
      <c r="E17" s="21">
        <f t="shared" si="1"/>
        <v>5463.87</v>
      </c>
      <c r="F17" s="27">
        <v>2243.0</v>
      </c>
      <c r="G17" s="21">
        <f t="shared" si="2"/>
        <v>165331.22</v>
      </c>
      <c r="H17" s="23"/>
      <c r="I17" s="21">
        <f t="shared" si="3"/>
        <v>354.59</v>
      </c>
      <c r="J17" s="39"/>
      <c r="K17" s="21">
        <f t="shared" si="4"/>
        <v>250879.82</v>
      </c>
      <c r="L17" s="23"/>
      <c r="M17" s="21">
        <f t="shared" si="5"/>
        <v>984.14</v>
      </c>
    </row>
    <row r="18" ht="20.25" customHeight="1" outlineLevel="1">
      <c r="A18" s="12">
        <v>45902.0</v>
      </c>
      <c r="B18" s="13" t="s">
        <v>16</v>
      </c>
      <c r="C18" s="40" t="s">
        <v>29</v>
      </c>
      <c r="D18" s="20"/>
      <c r="E18" s="21">
        <f t="shared" si="1"/>
        <v>5463.87</v>
      </c>
      <c r="F18" s="26">
        <v>1445.0</v>
      </c>
      <c r="G18" s="21">
        <f t="shared" si="2"/>
        <v>166776.22</v>
      </c>
      <c r="H18" s="23"/>
      <c r="I18" s="21">
        <f t="shared" si="3"/>
        <v>354.59</v>
      </c>
      <c r="J18" s="23"/>
      <c r="K18" s="21">
        <f t="shared" si="4"/>
        <v>250879.82</v>
      </c>
      <c r="L18" s="23"/>
      <c r="M18" s="21">
        <f t="shared" si="5"/>
        <v>984.14</v>
      </c>
    </row>
    <row r="19" ht="20.25" customHeight="1" outlineLevel="1">
      <c r="A19" s="12">
        <v>45902.0</v>
      </c>
      <c r="B19" s="13" t="s">
        <v>14</v>
      </c>
      <c r="C19" s="28" t="s">
        <v>30</v>
      </c>
      <c r="D19" s="20"/>
      <c r="E19" s="21">
        <f t="shared" si="1"/>
        <v>5463.87</v>
      </c>
      <c r="F19" s="22">
        <v>-8.49</v>
      </c>
      <c r="G19" s="21">
        <f t="shared" si="2"/>
        <v>166767.73</v>
      </c>
      <c r="H19" s="23"/>
      <c r="I19" s="21">
        <f t="shared" si="3"/>
        <v>354.59</v>
      </c>
      <c r="J19" s="23"/>
      <c r="K19" s="21">
        <f t="shared" si="4"/>
        <v>250879.82</v>
      </c>
      <c r="L19" s="23"/>
      <c r="M19" s="21">
        <f t="shared" si="5"/>
        <v>984.14</v>
      </c>
    </row>
    <row r="20" ht="20.25" customHeight="1" outlineLevel="1">
      <c r="A20" s="12">
        <v>45902.0</v>
      </c>
      <c r="B20" s="13" t="s">
        <v>16</v>
      </c>
      <c r="C20" s="41" t="s">
        <v>31</v>
      </c>
      <c r="D20" s="20"/>
      <c r="E20" s="21">
        <f t="shared" si="1"/>
        <v>5463.87</v>
      </c>
      <c r="F20" s="23"/>
      <c r="G20" s="21">
        <f t="shared" si="2"/>
        <v>166767.73</v>
      </c>
      <c r="H20" s="23"/>
      <c r="I20" s="21">
        <f t="shared" si="3"/>
        <v>354.59</v>
      </c>
      <c r="J20" s="35">
        <v>16.0</v>
      </c>
      <c r="K20" s="21">
        <f t="shared" si="4"/>
        <v>250895.82</v>
      </c>
      <c r="L20" s="23"/>
      <c r="M20" s="21">
        <f t="shared" si="5"/>
        <v>984.14</v>
      </c>
    </row>
    <row r="21" ht="20.25" customHeight="1" outlineLevel="1">
      <c r="A21" s="12">
        <v>45902.0</v>
      </c>
      <c r="B21" s="13" t="s">
        <v>16</v>
      </c>
      <c r="C21" s="41" t="s">
        <v>32</v>
      </c>
      <c r="D21" s="20"/>
      <c r="E21" s="21">
        <f t="shared" si="1"/>
        <v>5463.87</v>
      </c>
      <c r="F21" s="23"/>
      <c r="G21" s="21">
        <f t="shared" si="2"/>
        <v>166767.73</v>
      </c>
      <c r="H21" s="23"/>
      <c r="I21" s="21">
        <f t="shared" si="3"/>
        <v>354.59</v>
      </c>
      <c r="J21" s="35">
        <v>415.0</v>
      </c>
      <c r="K21" s="21">
        <f t="shared" si="4"/>
        <v>251310.82</v>
      </c>
      <c r="L21" s="23"/>
      <c r="M21" s="21">
        <f t="shared" si="5"/>
        <v>984.14</v>
      </c>
    </row>
    <row r="22" ht="20.25" customHeight="1" outlineLevel="1">
      <c r="A22" s="12">
        <v>45902.0</v>
      </c>
      <c r="B22" s="13" t="s">
        <v>14</v>
      </c>
      <c r="C22" s="42" t="s">
        <v>33</v>
      </c>
      <c r="D22" s="20"/>
      <c r="E22" s="21">
        <f t="shared" si="1"/>
        <v>5463.87</v>
      </c>
      <c r="F22" s="23"/>
      <c r="G22" s="21">
        <f t="shared" si="2"/>
        <v>166767.73</v>
      </c>
      <c r="H22" s="23"/>
      <c r="I22" s="21">
        <f>H22+I26</f>
        <v>354.59</v>
      </c>
      <c r="J22" s="22">
        <v>-509.07</v>
      </c>
      <c r="K22" s="21">
        <f t="shared" si="4"/>
        <v>250801.75</v>
      </c>
      <c r="L22" s="23"/>
      <c r="M22" s="21">
        <f>L22+M26</f>
        <v>984.14</v>
      </c>
    </row>
    <row r="23" ht="20.25" customHeight="1" outlineLevel="1">
      <c r="A23" s="12">
        <v>45902.0</v>
      </c>
      <c r="B23" s="13" t="s">
        <v>14</v>
      </c>
      <c r="C23" s="42" t="s">
        <v>34</v>
      </c>
      <c r="D23" s="20"/>
      <c r="E23" s="21">
        <f t="shared" si="1"/>
        <v>5463.87</v>
      </c>
      <c r="F23" s="23"/>
      <c r="G23" s="21">
        <f t="shared" si="2"/>
        <v>166767.73</v>
      </c>
      <c r="H23" s="23"/>
      <c r="I23" s="21">
        <f>H23+I21</f>
        <v>354.59</v>
      </c>
      <c r="J23" s="22">
        <v>-38.88</v>
      </c>
      <c r="K23" s="21">
        <f t="shared" si="4"/>
        <v>250762.87</v>
      </c>
      <c r="L23" s="23"/>
      <c r="M23" s="21">
        <f>L23+M21</f>
        <v>984.14</v>
      </c>
    </row>
    <row r="24" ht="20.25" customHeight="1" outlineLevel="1">
      <c r="A24" s="12">
        <v>45902.0</v>
      </c>
      <c r="B24" s="13" t="s">
        <v>16</v>
      </c>
      <c r="C24" s="41" t="s">
        <v>35</v>
      </c>
      <c r="D24" s="20"/>
      <c r="E24" s="21">
        <f t="shared" si="1"/>
        <v>5463.87</v>
      </c>
      <c r="F24" s="23"/>
      <c r="G24" s="21">
        <f t="shared" si="2"/>
        <v>166767.73</v>
      </c>
      <c r="H24" s="23"/>
      <c r="I24" s="21">
        <f t="shared" ref="I24:I1263" si="6">H24+I23</f>
        <v>354.59</v>
      </c>
      <c r="J24" s="35">
        <v>415.0</v>
      </c>
      <c r="K24" s="21">
        <f t="shared" si="4"/>
        <v>251177.87</v>
      </c>
      <c r="L24" s="23"/>
      <c r="M24" s="21">
        <f t="shared" ref="M24:M1263" si="7">L24+M23</f>
        <v>984.14</v>
      </c>
    </row>
    <row r="25" ht="20.25" customHeight="1" outlineLevel="1">
      <c r="A25" s="12">
        <v>45902.0</v>
      </c>
      <c r="B25" s="13" t="s">
        <v>16</v>
      </c>
      <c r="C25" s="41" t="s">
        <v>36</v>
      </c>
      <c r="D25" s="20"/>
      <c r="E25" s="21">
        <f t="shared" si="1"/>
        <v>5463.87</v>
      </c>
      <c r="F25" s="23"/>
      <c r="G25" s="21">
        <f t="shared" si="2"/>
        <v>166767.73</v>
      </c>
      <c r="H25" s="23"/>
      <c r="I25" s="21">
        <f t="shared" si="6"/>
        <v>354.59</v>
      </c>
      <c r="J25" s="35">
        <v>705.0</v>
      </c>
      <c r="K25" s="21">
        <f t="shared" si="4"/>
        <v>251882.87</v>
      </c>
      <c r="L25" s="23"/>
      <c r="M25" s="21">
        <f t="shared" si="7"/>
        <v>984.14</v>
      </c>
    </row>
    <row r="26" ht="20.25" customHeight="1" outlineLevel="1">
      <c r="A26" s="12">
        <v>45902.0</v>
      </c>
      <c r="B26" s="13" t="s">
        <v>16</v>
      </c>
      <c r="C26" s="41" t="s">
        <v>37</v>
      </c>
      <c r="D26" s="20"/>
      <c r="E26" s="21">
        <f t="shared" si="1"/>
        <v>5463.87</v>
      </c>
      <c r="F26" s="23"/>
      <c r="G26" s="21">
        <f t="shared" si="2"/>
        <v>166767.73</v>
      </c>
      <c r="H26" s="23"/>
      <c r="I26" s="21">
        <f t="shared" si="6"/>
        <v>354.59</v>
      </c>
      <c r="J26" s="35">
        <v>390.0</v>
      </c>
      <c r="K26" s="21">
        <f t="shared" si="4"/>
        <v>252272.87</v>
      </c>
      <c r="L26" s="23"/>
      <c r="M26" s="21">
        <f t="shared" si="7"/>
        <v>984.14</v>
      </c>
    </row>
    <row r="27" ht="20.25" customHeight="1" outlineLevel="1">
      <c r="A27" s="12">
        <v>45902.0</v>
      </c>
      <c r="B27" s="13" t="s">
        <v>16</v>
      </c>
      <c r="C27" s="41" t="s">
        <v>38</v>
      </c>
      <c r="D27" s="20"/>
      <c r="E27" s="21">
        <f t="shared" si="1"/>
        <v>5463.87</v>
      </c>
      <c r="F27" s="23"/>
      <c r="G27" s="21">
        <f t="shared" si="2"/>
        <v>166767.73</v>
      </c>
      <c r="H27" s="23"/>
      <c r="I27" s="21">
        <f t="shared" si="6"/>
        <v>354.59</v>
      </c>
      <c r="J27" s="35">
        <v>305.0</v>
      </c>
      <c r="K27" s="21">
        <f t="shared" si="4"/>
        <v>252577.87</v>
      </c>
      <c r="L27" s="23"/>
      <c r="M27" s="21">
        <f t="shared" si="7"/>
        <v>984.14</v>
      </c>
    </row>
    <row r="28" ht="20.25" customHeight="1" outlineLevel="1">
      <c r="A28" s="12">
        <v>45902.0</v>
      </c>
      <c r="B28" s="13" t="s">
        <v>16</v>
      </c>
      <c r="C28" s="42" t="s">
        <v>39</v>
      </c>
      <c r="D28" s="20"/>
      <c r="E28" s="21">
        <f t="shared" si="1"/>
        <v>5463.87</v>
      </c>
      <c r="F28" s="23"/>
      <c r="G28" s="21">
        <f t="shared" si="2"/>
        <v>166767.73</v>
      </c>
      <c r="H28" s="23"/>
      <c r="I28" s="21">
        <f t="shared" si="6"/>
        <v>354.59</v>
      </c>
      <c r="J28" s="27">
        <v>415.0</v>
      </c>
      <c r="K28" s="21">
        <f t="shared" si="4"/>
        <v>252992.87</v>
      </c>
      <c r="L28" s="23"/>
      <c r="M28" s="21">
        <f t="shared" si="7"/>
        <v>984.14</v>
      </c>
    </row>
    <row r="29" ht="20.25" customHeight="1" outlineLevel="1">
      <c r="A29" s="12">
        <v>45902.0</v>
      </c>
      <c r="B29" s="13" t="s">
        <v>16</v>
      </c>
      <c r="C29" s="28" t="s">
        <v>40</v>
      </c>
      <c r="D29" s="20">
        <v>175.0</v>
      </c>
      <c r="E29" s="21">
        <f t="shared" si="1"/>
        <v>5638.87</v>
      </c>
      <c r="F29" s="23"/>
      <c r="G29" s="21">
        <f t="shared" si="2"/>
        <v>166767.73</v>
      </c>
      <c r="H29" s="23"/>
      <c r="I29" s="21">
        <f t="shared" si="6"/>
        <v>354.59</v>
      </c>
      <c r="J29" s="23"/>
      <c r="K29" s="21">
        <f t="shared" si="4"/>
        <v>252992.87</v>
      </c>
      <c r="L29" s="23"/>
      <c r="M29" s="21">
        <f t="shared" si="7"/>
        <v>984.14</v>
      </c>
    </row>
    <row r="30" ht="20.25" customHeight="1" outlineLevel="1">
      <c r="A30" s="12">
        <v>45903.0</v>
      </c>
      <c r="B30" s="13" t="s">
        <v>16</v>
      </c>
      <c r="C30" s="43" t="s">
        <v>41</v>
      </c>
      <c r="D30" s="20"/>
      <c r="E30" s="21">
        <f t="shared" si="1"/>
        <v>5638.87</v>
      </c>
      <c r="F30" s="27">
        <v>382.8</v>
      </c>
      <c r="G30" s="21">
        <f t="shared" si="2"/>
        <v>167150.53</v>
      </c>
      <c r="H30" s="23"/>
      <c r="I30" s="21">
        <f t="shared" si="6"/>
        <v>354.59</v>
      </c>
      <c r="J30" s="23"/>
      <c r="K30" s="21">
        <f t="shared" si="4"/>
        <v>252992.87</v>
      </c>
      <c r="L30" s="23"/>
      <c r="M30" s="21">
        <f t="shared" si="7"/>
        <v>984.14</v>
      </c>
    </row>
    <row r="31" ht="20.25" customHeight="1" outlineLevel="1">
      <c r="A31" s="12">
        <v>45903.0</v>
      </c>
      <c r="B31" s="13" t="s">
        <v>16</v>
      </c>
      <c r="C31" s="44" t="s">
        <v>42</v>
      </c>
      <c r="D31" s="20"/>
      <c r="E31" s="21">
        <f t="shared" si="1"/>
        <v>5638.87</v>
      </c>
      <c r="F31" s="27">
        <v>1325.0</v>
      </c>
      <c r="G31" s="21">
        <f t="shared" si="2"/>
        <v>168475.53</v>
      </c>
      <c r="H31" s="23"/>
      <c r="I31" s="21">
        <f t="shared" si="6"/>
        <v>354.59</v>
      </c>
      <c r="J31" s="23"/>
      <c r="K31" s="21">
        <f t="shared" si="4"/>
        <v>252992.87</v>
      </c>
      <c r="L31" s="23"/>
      <c r="M31" s="21">
        <f t="shared" si="7"/>
        <v>984.14</v>
      </c>
    </row>
    <row r="32" ht="20.25" customHeight="1" outlineLevel="1">
      <c r="A32" s="18">
        <v>45903.0</v>
      </c>
      <c r="B32" s="13" t="s">
        <v>16</v>
      </c>
      <c r="C32" s="44" t="s">
        <v>43</v>
      </c>
      <c r="D32" s="20"/>
      <c r="E32" s="21">
        <f t="shared" si="1"/>
        <v>5638.87</v>
      </c>
      <c r="F32" s="26">
        <v>885.0</v>
      </c>
      <c r="G32" s="21">
        <f t="shared" si="2"/>
        <v>169360.53</v>
      </c>
      <c r="H32" s="23"/>
      <c r="I32" s="21">
        <f t="shared" si="6"/>
        <v>354.59</v>
      </c>
      <c r="J32" s="24"/>
      <c r="K32" s="21">
        <f t="shared" si="4"/>
        <v>252992.87</v>
      </c>
      <c r="L32" s="23"/>
      <c r="M32" s="21">
        <f t="shared" si="7"/>
        <v>984.14</v>
      </c>
    </row>
    <row r="33" ht="20.25" customHeight="1" outlineLevel="1">
      <c r="A33" s="12">
        <v>45903.0</v>
      </c>
      <c r="B33" s="13" t="s">
        <v>16</v>
      </c>
      <c r="C33" s="44" t="s">
        <v>44</v>
      </c>
      <c r="D33" s="20"/>
      <c r="E33" s="21">
        <f t="shared" si="1"/>
        <v>5638.87</v>
      </c>
      <c r="F33" s="27">
        <v>3326.5</v>
      </c>
      <c r="G33" s="21">
        <f t="shared" si="2"/>
        <v>172687.03</v>
      </c>
      <c r="H33" s="23"/>
      <c r="I33" s="21">
        <f t="shared" si="6"/>
        <v>354.59</v>
      </c>
      <c r="J33" s="23"/>
      <c r="K33" s="21">
        <f t="shared" si="4"/>
        <v>252992.87</v>
      </c>
      <c r="L33" s="23"/>
      <c r="M33" s="21">
        <f t="shared" si="7"/>
        <v>984.14</v>
      </c>
    </row>
    <row r="34" ht="20.25" customHeight="1" outlineLevel="1">
      <c r="A34" s="12">
        <v>45903.0</v>
      </c>
      <c r="B34" s="13" t="s">
        <v>16</v>
      </c>
      <c r="C34" s="44" t="s">
        <v>45</v>
      </c>
      <c r="D34" s="20">
        <v>270.0</v>
      </c>
      <c r="E34" s="21">
        <f t="shared" si="1"/>
        <v>5908.87</v>
      </c>
      <c r="F34" s="23"/>
      <c r="G34" s="21">
        <f t="shared" si="2"/>
        <v>172687.03</v>
      </c>
      <c r="H34" s="23"/>
      <c r="I34" s="21">
        <f t="shared" si="6"/>
        <v>354.59</v>
      </c>
      <c r="J34" s="23"/>
      <c r="K34" s="21">
        <f t="shared" si="4"/>
        <v>252992.87</v>
      </c>
      <c r="L34" s="23"/>
      <c r="M34" s="21">
        <f t="shared" si="7"/>
        <v>984.14</v>
      </c>
    </row>
    <row r="35" ht="20.25" customHeight="1" outlineLevel="1">
      <c r="A35" s="18">
        <v>45903.0</v>
      </c>
      <c r="B35" s="13" t="s">
        <v>14</v>
      </c>
      <c r="C35" s="44" t="s">
        <v>46</v>
      </c>
      <c r="D35" s="20"/>
      <c r="E35" s="21">
        <f t="shared" si="1"/>
        <v>5908.87</v>
      </c>
      <c r="F35" s="22">
        <v>-10.0</v>
      </c>
      <c r="G35" s="21">
        <f t="shared" si="2"/>
        <v>172677.03</v>
      </c>
      <c r="H35" s="23"/>
      <c r="I35" s="21">
        <f t="shared" si="6"/>
        <v>354.59</v>
      </c>
      <c r="J35" s="24"/>
      <c r="K35" s="21">
        <f t="shared" si="4"/>
        <v>252992.87</v>
      </c>
      <c r="L35" s="23"/>
      <c r="M35" s="21">
        <f t="shared" si="7"/>
        <v>984.14</v>
      </c>
    </row>
    <row r="36" ht="20.25" customHeight="1" outlineLevel="1">
      <c r="A36" s="18">
        <v>45903.0</v>
      </c>
      <c r="B36" s="13" t="s">
        <v>14</v>
      </c>
      <c r="C36" s="44" t="s">
        <v>47</v>
      </c>
      <c r="D36" s="20"/>
      <c r="E36" s="21">
        <f t="shared" si="1"/>
        <v>5908.87</v>
      </c>
      <c r="F36" s="22">
        <v>-5.0</v>
      </c>
      <c r="G36" s="21">
        <f t="shared" si="2"/>
        <v>172672.03</v>
      </c>
      <c r="H36" s="23"/>
      <c r="I36" s="21">
        <f t="shared" si="6"/>
        <v>354.59</v>
      </c>
      <c r="J36" s="24"/>
      <c r="K36" s="21">
        <f t="shared" si="4"/>
        <v>252992.87</v>
      </c>
      <c r="L36" s="23"/>
      <c r="M36" s="21">
        <f t="shared" si="7"/>
        <v>984.14</v>
      </c>
    </row>
    <row r="37" ht="20.25" customHeight="1" outlineLevel="1">
      <c r="A37" s="18">
        <v>45903.0</v>
      </c>
      <c r="B37" s="13" t="s">
        <v>14</v>
      </c>
      <c r="C37" s="44" t="s">
        <v>48</v>
      </c>
      <c r="D37" s="20"/>
      <c r="E37" s="21">
        <f t="shared" si="1"/>
        <v>5908.87</v>
      </c>
      <c r="F37" s="22">
        <v>-64.84</v>
      </c>
      <c r="G37" s="21">
        <f t="shared" si="2"/>
        <v>172607.19</v>
      </c>
      <c r="H37" s="23"/>
      <c r="I37" s="21">
        <f t="shared" si="6"/>
        <v>354.59</v>
      </c>
      <c r="J37" s="24"/>
      <c r="K37" s="21">
        <f t="shared" si="4"/>
        <v>252992.87</v>
      </c>
      <c r="L37" s="23"/>
      <c r="M37" s="21">
        <f t="shared" si="7"/>
        <v>984.14</v>
      </c>
    </row>
    <row r="38" ht="20.25" customHeight="1" outlineLevel="1">
      <c r="A38" s="18">
        <v>45903.0</v>
      </c>
      <c r="B38" s="13" t="s">
        <v>14</v>
      </c>
      <c r="C38" s="44" t="s">
        <v>49</v>
      </c>
      <c r="D38" s="20"/>
      <c r="E38" s="21">
        <f t="shared" si="1"/>
        <v>5908.87</v>
      </c>
      <c r="F38" s="22">
        <v>-41.09</v>
      </c>
      <c r="G38" s="21">
        <f t="shared" si="2"/>
        <v>172566.1</v>
      </c>
      <c r="H38" s="23"/>
      <c r="I38" s="21">
        <f t="shared" si="6"/>
        <v>354.59</v>
      </c>
      <c r="J38" s="24"/>
      <c r="K38" s="21">
        <f t="shared" si="4"/>
        <v>252992.87</v>
      </c>
      <c r="L38" s="23"/>
      <c r="M38" s="21">
        <f t="shared" si="7"/>
        <v>984.14</v>
      </c>
    </row>
    <row r="39" ht="20.25" customHeight="1" outlineLevel="1">
      <c r="A39" s="12">
        <v>45903.0</v>
      </c>
      <c r="B39" s="13" t="s">
        <v>16</v>
      </c>
      <c r="C39" s="45" t="s">
        <v>50</v>
      </c>
      <c r="D39" s="20"/>
      <c r="E39" s="21">
        <f t="shared" si="1"/>
        <v>5908.87</v>
      </c>
      <c r="F39" s="23"/>
      <c r="G39" s="21">
        <f t="shared" si="2"/>
        <v>172566.1</v>
      </c>
      <c r="H39" s="23"/>
      <c r="I39" s="21">
        <f t="shared" si="6"/>
        <v>354.59</v>
      </c>
      <c r="J39" s="35">
        <v>200.0</v>
      </c>
      <c r="K39" s="21">
        <f t="shared" si="4"/>
        <v>253192.87</v>
      </c>
      <c r="L39" s="23"/>
      <c r="M39" s="21">
        <f t="shared" si="7"/>
        <v>984.14</v>
      </c>
    </row>
    <row r="40" ht="20.25" customHeight="1" outlineLevel="1">
      <c r="A40" s="12">
        <v>45903.0</v>
      </c>
      <c r="B40" s="13" t="s">
        <v>16</v>
      </c>
      <c r="C40" s="45" t="s">
        <v>51</v>
      </c>
      <c r="D40" s="20"/>
      <c r="E40" s="21">
        <f t="shared" si="1"/>
        <v>5908.87</v>
      </c>
      <c r="F40" s="23"/>
      <c r="G40" s="21">
        <f t="shared" si="2"/>
        <v>172566.1</v>
      </c>
      <c r="H40" s="23"/>
      <c r="I40" s="21">
        <f t="shared" si="6"/>
        <v>354.59</v>
      </c>
      <c r="J40" s="35">
        <v>705.0</v>
      </c>
      <c r="K40" s="21">
        <f t="shared" si="4"/>
        <v>253897.87</v>
      </c>
      <c r="L40" s="23"/>
      <c r="M40" s="21">
        <f t="shared" si="7"/>
        <v>984.14</v>
      </c>
    </row>
    <row r="41" ht="20.25" customHeight="1" outlineLevel="1">
      <c r="A41" s="12">
        <v>45903.0</v>
      </c>
      <c r="B41" s="13" t="s">
        <v>14</v>
      </c>
      <c r="C41" s="42" t="s">
        <v>52</v>
      </c>
      <c r="D41" s="20"/>
      <c r="E41" s="21">
        <f t="shared" si="1"/>
        <v>5908.87</v>
      </c>
      <c r="F41" s="23"/>
      <c r="G41" s="21">
        <f t="shared" si="2"/>
        <v>172566.1</v>
      </c>
      <c r="H41" s="23"/>
      <c r="I41" s="21">
        <f t="shared" si="6"/>
        <v>354.59</v>
      </c>
      <c r="J41" s="22">
        <v>-5.16</v>
      </c>
      <c r="K41" s="21">
        <f t="shared" si="4"/>
        <v>253892.71</v>
      </c>
      <c r="L41" s="23"/>
      <c r="M41" s="21">
        <f t="shared" si="7"/>
        <v>984.14</v>
      </c>
    </row>
    <row r="42" ht="20.25" customHeight="1" outlineLevel="1">
      <c r="A42" s="12">
        <v>45903.0</v>
      </c>
      <c r="B42" s="13" t="s">
        <v>16</v>
      </c>
      <c r="C42" s="41" t="s">
        <v>53</v>
      </c>
      <c r="D42" s="20"/>
      <c r="E42" s="21">
        <f t="shared" si="1"/>
        <v>5908.87</v>
      </c>
      <c r="F42" s="23"/>
      <c r="G42" s="21">
        <f t="shared" si="2"/>
        <v>172566.1</v>
      </c>
      <c r="H42" s="23"/>
      <c r="I42" s="21">
        <f t="shared" si="6"/>
        <v>354.59</v>
      </c>
      <c r="J42" s="35">
        <v>665.0</v>
      </c>
      <c r="K42" s="21">
        <f t="shared" si="4"/>
        <v>254557.71</v>
      </c>
      <c r="L42" s="23"/>
      <c r="M42" s="21">
        <f t="shared" si="7"/>
        <v>984.14</v>
      </c>
    </row>
    <row r="43" ht="20.25" customHeight="1" outlineLevel="1">
      <c r="A43" s="12">
        <v>45903.0</v>
      </c>
      <c r="B43" s="46" t="s">
        <v>16</v>
      </c>
      <c r="C43" s="47" t="s">
        <v>54</v>
      </c>
      <c r="D43" s="20"/>
      <c r="E43" s="21">
        <f t="shared" si="1"/>
        <v>5908.87</v>
      </c>
      <c r="F43" s="23"/>
      <c r="G43" s="21">
        <f t="shared" si="2"/>
        <v>172566.1</v>
      </c>
      <c r="H43" s="23"/>
      <c r="I43" s="21">
        <f t="shared" si="6"/>
        <v>354.59</v>
      </c>
      <c r="J43" s="35">
        <v>705.0</v>
      </c>
      <c r="K43" s="21">
        <f t="shared" si="4"/>
        <v>255262.71</v>
      </c>
      <c r="L43" s="23"/>
      <c r="M43" s="21">
        <f t="shared" si="7"/>
        <v>984.14</v>
      </c>
    </row>
    <row r="44" ht="20.25" customHeight="1" outlineLevel="1">
      <c r="A44" s="12">
        <v>45903.0</v>
      </c>
      <c r="B44" s="46" t="s">
        <v>16</v>
      </c>
      <c r="C44" s="48" t="s">
        <v>55</v>
      </c>
      <c r="D44" s="20"/>
      <c r="E44" s="21">
        <f t="shared" si="1"/>
        <v>5908.87</v>
      </c>
      <c r="F44" s="23"/>
      <c r="G44" s="21">
        <f t="shared" si="2"/>
        <v>172566.1</v>
      </c>
      <c r="H44" s="23"/>
      <c r="I44" s="21">
        <f t="shared" si="6"/>
        <v>354.59</v>
      </c>
      <c r="J44" s="27">
        <v>50.0</v>
      </c>
      <c r="K44" s="21">
        <f t="shared" si="4"/>
        <v>255312.71</v>
      </c>
      <c r="L44" s="23"/>
      <c r="M44" s="21">
        <f t="shared" si="7"/>
        <v>984.14</v>
      </c>
    </row>
    <row r="45" ht="20.25" customHeight="1" outlineLevel="1">
      <c r="A45" s="12">
        <v>45903.0</v>
      </c>
      <c r="B45" s="46" t="s">
        <v>16</v>
      </c>
      <c r="C45" s="48" t="s">
        <v>56</v>
      </c>
      <c r="D45" s="20"/>
      <c r="E45" s="21">
        <f t="shared" si="1"/>
        <v>5908.87</v>
      </c>
      <c r="F45" s="23"/>
      <c r="G45" s="21">
        <f t="shared" si="2"/>
        <v>172566.1</v>
      </c>
      <c r="H45" s="23"/>
      <c r="I45" s="21">
        <f t="shared" si="6"/>
        <v>354.59</v>
      </c>
      <c r="J45" s="27">
        <v>1610.0</v>
      </c>
      <c r="K45" s="21">
        <f t="shared" si="4"/>
        <v>256922.71</v>
      </c>
      <c r="L45" s="23"/>
      <c r="M45" s="21">
        <f t="shared" si="7"/>
        <v>984.14</v>
      </c>
    </row>
    <row r="46" ht="20.25" customHeight="1" outlineLevel="1">
      <c r="A46" s="12">
        <v>45903.0</v>
      </c>
      <c r="B46" s="46" t="s">
        <v>57</v>
      </c>
      <c r="C46" s="48" t="s">
        <v>58</v>
      </c>
      <c r="D46" s="20"/>
      <c r="E46" s="21">
        <f t="shared" si="1"/>
        <v>5908.87</v>
      </c>
      <c r="F46" s="23"/>
      <c r="G46" s="21">
        <f t="shared" si="2"/>
        <v>172566.1</v>
      </c>
      <c r="H46" s="23"/>
      <c r="I46" s="21">
        <f t="shared" si="6"/>
        <v>354.59</v>
      </c>
      <c r="J46" s="22">
        <v>-1889.44</v>
      </c>
      <c r="K46" s="21">
        <f t="shared" si="4"/>
        <v>255033.27</v>
      </c>
      <c r="L46" s="23"/>
      <c r="M46" s="21">
        <f t="shared" si="7"/>
        <v>984.14</v>
      </c>
    </row>
    <row r="47" ht="20.25" customHeight="1" outlineLevel="1">
      <c r="A47" s="12">
        <v>45904.0</v>
      </c>
      <c r="B47" s="46" t="s">
        <v>16</v>
      </c>
      <c r="C47" s="49" t="s">
        <v>59</v>
      </c>
      <c r="D47" s="20"/>
      <c r="E47" s="21">
        <f t="shared" si="1"/>
        <v>5908.87</v>
      </c>
      <c r="F47" s="27">
        <v>1371.85</v>
      </c>
      <c r="G47" s="21">
        <f t="shared" si="2"/>
        <v>173937.95</v>
      </c>
      <c r="H47" s="23"/>
      <c r="I47" s="21">
        <f t="shared" si="6"/>
        <v>354.59</v>
      </c>
      <c r="J47" s="23"/>
      <c r="K47" s="21">
        <f t="shared" si="4"/>
        <v>255033.27</v>
      </c>
      <c r="L47" s="23"/>
      <c r="M47" s="21">
        <f t="shared" si="7"/>
        <v>984.14</v>
      </c>
    </row>
    <row r="48" ht="20.25" customHeight="1" outlineLevel="1">
      <c r="A48" s="12">
        <v>45904.0</v>
      </c>
      <c r="B48" s="46" t="s">
        <v>16</v>
      </c>
      <c r="C48" s="49" t="s">
        <v>60</v>
      </c>
      <c r="D48" s="20">
        <v>150.0</v>
      </c>
      <c r="E48" s="21">
        <f t="shared" si="1"/>
        <v>6058.87</v>
      </c>
      <c r="F48" s="23"/>
      <c r="G48" s="21">
        <f t="shared" si="2"/>
        <v>173937.95</v>
      </c>
      <c r="H48" s="23"/>
      <c r="I48" s="21">
        <f t="shared" si="6"/>
        <v>354.59</v>
      </c>
      <c r="J48" s="23"/>
      <c r="K48" s="21">
        <f t="shared" si="4"/>
        <v>255033.27</v>
      </c>
      <c r="L48" s="23"/>
      <c r="M48" s="21">
        <f t="shared" si="7"/>
        <v>984.14</v>
      </c>
    </row>
    <row r="49" ht="20.25" customHeight="1" outlineLevel="1">
      <c r="A49" s="12">
        <v>45904.0</v>
      </c>
      <c r="B49" s="46" t="s">
        <v>16</v>
      </c>
      <c r="C49" s="49" t="s">
        <v>61</v>
      </c>
      <c r="D49" s="20"/>
      <c r="E49" s="21">
        <f t="shared" si="1"/>
        <v>6058.87</v>
      </c>
      <c r="F49" s="26">
        <v>2165.0</v>
      </c>
      <c r="G49" s="21">
        <f t="shared" si="2"/>
        <v>176102.95</v>
      </c>
      <c r="H49" s="23"/>
      <c r="I49" s="21">
        <f t="shared" si="6"/>
        <v>354.59</v>
      </c>
      <c r="J49" s="23"/>
      <c r="K49" s="21">
        <f t="shared" si="4"/>
        <v>255033.27</v>
      </c>
      <c r="L49" s="23"/>
      <c r="M49" s="21">
        <f t="shared" si="7"/>
        <v>984.14</v>
      </c>
    </row>
    <row r="50" ht="20.25" customHeight="1" outlineLevel="1">
      <c r="A50" s="12">
        <v>45904.0</v>
      </c>
      <c r="B50" s="46" t="s">
        <v>16</v>
      </c>
      <c r="C50" s="49" t="s">
        <v>62</v>
      </c>
      <c r="D50" s="20"/>
      <c r="E50" s="21">
        <f t="shared" si="1"/>
        <v>6058.87</v>
      </c>
      <c r="F50" s="27">
        <v>1770.0</v>
      </c>
      <c r="G50" s="21">
        <f t="shared" si="2"/>
        <v>177872.95</v>
      </c>
      <c r="H50" s="23"/>
      <c r="I50" s="21">
        <f t="shared" si="6"/>
        <v>354.59</v>
      </c>
      <c r="J50" s="23"/>
      <c r="K50" s="21">
        <f t="shared" si="4"/>
        <v>255033.27</v>
      </c>
      <c r="L50" s="23"/>
      <c r="M50" s="21">
        <f t="shared" si="7"/>
        <v>984.14</v>
      </c>
    </row>
    <row r="51" ht="20.25" customHeight="1" outlineLevel="1">
      <c r="A51" s="12">
        <v>45904.0</v>
      </c>
      <c r="B51" s="46" t="s">
        <v>63</v>
      </c>
      <c r="C51" s="50" t="s">
        <v>64</v>
      </c>
      <c r="D51" s="20"/>
      <c r="E51" s="21">
        <f t="shared" si="1"/>
        <v>6058.87</v>
      </c>
      <c r="F51" s="51">
        <v>311.1</v>
      </c>
      <c r="G51" s="21">
        <f t="shared" si="2"/>
        <v>178184.05</v>
      </c>
      <c r="H51" s="23"/>
      <c r="I51" s="21">
        <f t="shared" si="6"/>
        <v>354.59</v>
      </c>
      <c r="J51" s="23"/>
      <c r="K51" s="21">
        <f t="shared" si="4"/>
        <v>255033.27</v>
      </c>
      <c r="L51" s="23"/>
      <c r="M51" s="21">
        <f t="shared" si="7"/>
        <v>984.14</v>
      </c>
    </row>
    <row r="52" ht="20.25" customHeight="1" outlineLevel="1">
      <c r="A52" s="12">
        <v>45904.0</v>
      </c>
      <c r="B52" s="46" t="s">
        <v>14</v>
      </c>
      <c r="C52" s="49" t="s">
        <v>65</v>
      </c>
      <c r="D52" s="20"/>
      <c r="E52" s="21">
        <f t="shared" si="1"/>
        <v>6058.87</v>
      </c>
      <c r="F52" s="22">
        <v>-0.4</v>
      </c>
      <c r="G52" s="21">
        <f t="shared" si="2"/>
        <v>178183.65</v>
      </c>
      <c r="H52" s="23"/>
      <c r="I52" s="21">
        <f t="shared" si="6"/>
        <v>354.59</v>
      </c>
      <c r="J52" s="23"/>
      <c r="K52" s="21">
        <f t="shared" si="4"/>
        <v>255033.27</v>
      </c>
      <c r="L52" s="23"/>
      <c r="M52" s="21">
        <f t="shared" si="7"/>
        <v>984.14</v>
      </c>
    </row>
    <row r="53" ht="20.25" customHeight="1" outlineLevel="1">
      <c r="A53" s="12">
        <v>45904.0</v>
      </c>
      <c r="B53" s="46" t="s">
        <v>14</v>
      </c>
      <c r="C53" s="52" t="s">
        <v>66</v>
      </c>
      <c r="D53" s="20"/>
      <c r="E53" s="21">
        <f t="shared" si="1"/>
        <v>6058.87</v>
      </c>
      <c r="F53" s="22">
        <v>-0.4</v>
      </c>
      <c r="G53" s="21">
        <f t="shared" si="2"/>
        <v>178183.25</v>
      </c>
      <c r="H53" s="23"/>
      <c r="I53" s="21">
        <f t="shared" si="6"/>
        <v>354.59</v>
      </c>
      <c r="J53" s="23"/>
      <c r="K53" s="21">
        <f t="shared" si="4"/>
        <v>255033.27</v>
      </c>
      <c r="L53" s="23"/>
      <c r="M53" s="21">
        <f t="shared" si="7"/>
        <v>984.14</v>
      </c>
    </row>
    <row r="54" ht="20.25" customHeight="1" outlineLevel="1">
      <c r="A54" s="18">
        <v>45904.0</v>
      </c>
      <c r="B54" s="46" t="s">
        <v>14</v>
      </c>
      <c r="C54" s="48" t="s">
        <v>34</v>
      </c>
      <c r="D54" s="20"/>
      <c r="E54" s="21">
        <f t="shared" si="1"/>
        <v>6058.87</v>
      </c>
      <c r="F54" s="23"/>
      <c r="G54" s="21">
        <f t="shared" si="2"/>
        <v>178183.25</v>
      </c>
      <c r="H54" s="23"/>
      <c r="I54" s="21">
        <f t="shared" si="6"/>
        <v>354.59</v>
      </c>
      <c r="J54" s="53">
        <v>-29.99</v>
      </c>
      <c r="K54" s="21">
        <f t="shared" si="4"/>
        <v>255003.28</v>
      </c>
      <c r="L54" s="23"/>
      <c r="M54" s="21">
        <f t="shared" si="7"/>
        <v>984.14</v>
      </c>
    </row>
    <row r="55" ht="20.25" customHeight="1" outlineLevel="1">
      <c r="A55" s="18">
        <v>45904.0</v>
      </c>
      <c r="B55" s="46" t="s">
        <v>16</v>
      </c>
      <c r="C55" s="48" t="s">
        <v>67</v>
      </c>
      <c r="D55" s="20"/>
      <c r="E55" s="21">
        <f t="shared" si="1"/>
        <v>6058.87</v>
      </c>
      <c r="F55" s="23"/>
      <c r="G55" s="21">
        <f t="shared" si="2"/>
        <v>178183.25</v>
      </c>
      <c r="H55" s="23"/>
      <c r="I55" s="21">
        <f t="shared" si="6"/>
        <v>354.59</v>
      </c>
      <c r="J55" s="54">
        <v>110.0</v>
      </c>
      <c r="K55" s="21">
        <f t="shared" si="4"/>
        <v>255113.28</v>
      </c>
      <c r="L55" s="23"/>
      <c r="M55" s="21">
        <f t="shared" si="7"/>
        <v>984.14</v>
      </c>
    </row>
    <row r="56" ht="20.25" customHeight="1" outlineLevel="1">
      <c r="A56" s="12">
        <v>45904.0</v>
      </c>
      <c r="B56" s="46" t="s">
        <v>16</v>
      </c>
      <c r="C56" s="55" t="s">
        <v>68</v>
      </c>
      <c r="D56" s="20"/>
      <c r="E56" s="21">
        <f t="shared" si="1"/>
        <v>6058.87</v>
      </c>
      <c r="F56" s="23"/>
      <c r="G56" s="21">
        <f t="shared" si="2"/>
        <v>178183.25</v>
      </c>
      <c r="H56" s="23"/>
      <c r="I56" s="21">
        <f t="shared" si="6"/>
        <v>354.59</v>
      </c>
      <c r="J56" s="27">
        <v>75.0</v>
      </c>
      <c r="K56" s="21">
        <f t="shared" si="4"/>
        <v>255188.28</v>
      </c>
      <c r="L56" s="23"/>
      <c r="M56" s="21">
        <f t="shared" si="7"/>
        <v>984.14</v>
      </c>
    </row>
    <row r="57" ht="20.25" customHeight="1" outlineLevel="1">
      <c r="A57" s="12">
        <v>45904.0</v>
      </c>
      <c r="B57" s="46" t="s">
        <v>16</v>
      </c>
      <c r="C57" s="56" t="s">
        <v>69</v>
      </c>
      <c r="D57" s="20"/>
      <c r="E57" s="21">
        <f t="shared" si="1"/>
        <v>6058.87</v>
      </c>
      <c r="F57" s="23"/>
      <c r="G57" s="21">
        <f t="shared" si="2"/>
        <v>178183.25</v>
      </c>
      <c r="H57" s="23"/>
      <c r="I57" s="21">
        <f t="shared" si="6"/>
        <v>354.59</v>
      </c>
      <c r="J57" s="35">
        <v>335.0</v>
      </c>
      <c r="K57" s="21">
        <f t="shared" si="4"/>
        <v>255523.28</v>
      </c>
      <c r="L57" s="23"/>
      <c r="M57" s="21">
        <f t="shared" si="7"/>
        <v>984.14</v>
      </c>
    </row>
    <row r="58" ht="20.25" customHeight="1" outlineLevel="1">
      <c r="A58" s="12">
        <v>45905.0</v>
      </c>
      <c r="B58" s="46" t="s">
        <v>70</v>
      </c>
      <c r="C58" s="57" t="s">
        <v>71</v>
      </c>
      <c r="D58" s="20"/>
      <c r="E58" s="21">
        <f t="shared" si="1"/>
        <v>6058.87</v>
      </c>
      <c r="F58" s="58">
        <v>-10091.19</v>
      </c>
      <c r="G58" s="21">
        <f t="shared" si="2"/>
        <v>168092.06</v>
      </c>
      <c r="H58" s="23"/>
      <c r="I58" s="21">
        <f t="shared" si="6"/>
        <v>354.59</v>
      </c>
      <c r="J58" s="23"/>
      <c r="K58" s="21">
        <f t="shared" si="4"/>
        <v>255523.28</v>
      </c>
      <c r="L58" s="23"/>
      <c r="M58" s="21">
        <f t="shared" si="7"/>
        <v>984.14</v>
      </c>
    </row>
    <row r="59" ht="20.25" customHeight="1" outlineLevel="1">
      <c r="A59" s="30">
        <v>45905.0</v>
      </c>
      <c r="B59" s="46" t="s">
        <v>70</v>
      </c>
      <c r="C59" s="57" t="s">
        <v>72</v>
      </c>
      <c r="D59" s="20"/>
      <c r="E59" s="21">
        <f t="shared" si="1"/>
        <v>6058.87</v>
      </c>
      <c r="F59" s="22">
        <v>-3000.0</v>
      </c>
      <c r="G59" s="21">
        <f t="shared" si="2"/>
        <v>165092.06</v>
      </c>
      <c r="H59" s="23"/>
      <c r="I59" s="21">
        <f t="shared" si="6"/>
        <v>354.59</v>
      </c>
      <c r="J59" s="23"/>
      <c r="K59" s="21">
        <f t="shared" si="4"/>
        <v>255523.28</v>
      </c>
      <c r="L59" s="23"/>
      <c r="M59" s="21">
        <f t="shared" si="7"/>
        <v>984.14</v>
      </c>
    </row>
    <row r="60" ht="20.25" customHeight="1" outlineLevel="1">
      <c r="A60" s="30">
        <v>45905.0</v>
      </c>
      <c r="B60" s="46" t="s">
        <v>70</v>
      </c>
      <c r="C60" s="59" t="s">
        <v>73</v>
      </c>
      <c r="D60" s="20"/>
      <c r="E60" s="21">
        <f t="shared" si="1"/>
        <v>6058.87</v>
      </c>
      <c r="F60" s="58">
        <v>-2500.0</v>
      </c>
      <c r="G60" s="21">
        <f t="shared" si="2"/>
        <v>162592.06</v>
      </c>
      <c r="H60" s="23"/>
      <c r="I60" s="21">
        <f t="shared" si="6"/>
        <v>354.59</v>
      </c>
      <c r="J60" s="23"/>
      <c r="K60" s="21">
        <f t="shared" si="4"/>
        <v>255523.28</v>
      </c>
      <c r="L60" s="23"/>
      <c r="M60" s="21">
        <f t="shared" si="7"/>
        <v>984.14</v>
      </c>
    </row>
    <row r="61" ht="20.25" customHeight="1" outlineLevel="1">
      <c r="A61" s="12">
        <v>45905.0</v>
      </c>
      <c r="B61" s="46" t="s">
        <v>16</v>
      </c>
      <c r="C61" s="49" t="s">
        <v>74</v>
      </c>
      <c r="D61" s="20"/>
      <c r="E61" s="21">
        <f t="shared" si="1"/>
        <v>6058.87</v>
      </c>
      <c r="F61" s="27">
        <v>415.0</v>
      </c>
      <c r="G61" s="21">
        <f t="shared" si="2"/>
        <v>163007.06</v>
      </c>
      <c r="H61" s="23"/>
      <c r="I61" s="21">
        <f t="shared" si="6"/>
        <v>354.59</v>
      </c>
      <c r="J61" s="23"/>
      <c r="K61" s="21">
        <f t="shared" si="4"/>
        <v>255523.28</v>
      </c>
      <c r="L61" s="23"/>
      <c r="M61" s="21">
        <f t="shared" si="7"/>
        <v>984.14</v>
      </c>
    </row>
    <row r="62" ht="20.25" customHeight="1" outlineLevel="1">
      <c r="A62" s="12">
        <v>45905.0</v>
      </c>
      <c r="B62" s="46" t="s">
        <v>16</v>
      </c>
      <c r="C62" s="49" t="s">
        <v>75</v>
      </c>
      <c r="D62" s="20"/>
      <c r="E62" s="21">
        <f t="shared" si="1"/>
        <v>6058.87</v>
      </c>
      <c r="F62" s="26">
        <v>3265.0</v>
      </c>
      <c r="G62" s="21">
        <f t="shared" si="2"/>
        <v>166272.06</v>
      </c>
      <c r="H62" s="23"/>
      <c r="I62" s="21">
        <f t="shared" si="6"/>
        <v>354.59</v>
      </c>
      <c r="J62" s="23"/>
      <c r="K62" s="21">
        <f t="shared" si="4"/>
        <v>255523.28</v>
      </c>
      <c r="L62" s="23"/>
      <c r="M62" s="21">
        <f t="shared" si="7"/>
        <v>984.14</v>
      </c>
    </row>
    <row r="63" ht="20.25" customHeight="1" outlineLevel="1">
      <c r="A63" s="18">
        <v>45905.0</v>
      </c>
      <c r="B63" s="46" t="s">
        <v>16</v>
      </c>
      <c r="C63" s="49" t="s">
        <v>76</v>
      </c>
      <c r="D63" s="20"/>
      <c r="E63" s="21">
        <f t="shared" si="1"/>
        <v>6058.87</v>
      </c>
      <c r="F63" s="27">
        <v>284.0</v>
      </c>
      <c r="G63" s="21">
        <f t="shared" si="2"/>
        <v>166556.06</v>
      </c>
      <c r="H63" s="23"/>
      <c r="I63" s="21">
        <f t="shared" si="6"/>
        <v>354.59</v>
      </c>
      <c r="J63" s="24"/>
      <c r="K63" s="21">
        <f t="shared" si="4"/>
        <v>255523.28</v>
      </c>
      <c r="L63" s="23"/>
      <c r="M63" s="21">
        <f t="shared" si="7"/>
        <v>984.14</v>
      </c>
    </row>
    <row r="64" ht="20.25" customHeight="1" outlineLevel="1">
      <c r="A64" s="18">
        <v>45905.0</v>
      </c>
      <c r="B64" s="46" t="s">
        <v>16</v>
      </c>
      <c r="C64" s="28" t="s">
        <v>77</v>
      </c>
      <c r="D64" s="20"/>
      <c r="E64" s="21">
        <f t="shared" si="1"/>
        <v>6058.87</v>
      </c>
      <c r="F64" s="26">
        <v>3151.27</v>
      </c>
      <c r="G64" s="21">
        <f t="shared" si="2"/>
        <v>169707.33</v>
      </c>
      <c r="H64" s="23"/>
      <c r="I64" s="21">
        <f t="shared" si="6"/>
        <v>354.59</v>
      </c>
      <c r="J64" s="24"/>
      <c r="K64" s="21">
        <f t="shared" si="4"/>
        <v>255523.28</v>
      </c>
      <c r="L64" s="23"/>
      <c r="M64" s="21">
        <f t="shared" si="7"/>
        <v>984.14</v>
      </c>
    </row>
    <row r="65" ht="20.25" customHeight="1" outlineLevel="1">
      <c r="A65" s="18">
        <v>45905.0</v>
      </c>
      <c r="B65" s="13" t="s">
        <v>16</v>
      </c>
      <c r="C65" s="28" t="s">
        <v>78</v>
      </c>
      <c r="D65" s="20">
        <v>90.0</v>
      </c>
      <c r="E65" s="21">
        <f t="shared" si="1"/>
        <v>6148.87</v>
      </c>
      <c r="F65" s="23"/>
      <c r="G65" s="21">
        <f t="shared" si="2"/>
        <v>169707.33</v>
      </c>
      <c r="H65" s="23"/>
      <c r="I65" s="21">
        <f t="shared" si="6"/>
        <v>354.59</v>
      </c>
      <c r="J65" s="24"/>
      <c r="K65" s="21">
        <f t="shared" si="4"/>
        <v>255523.28</v>
      </c>
      <c r="L65" s="23"/>
      <c r="M65" s="21">
        <f t="shared" si="7"/>
        <v>984.14</v>
      </c>
    </row>
    <row r="66" ht="20.25" customHeight="1" outlineLevel="1">
      <c r="A66" s="18">
        <v>45905.0</v>
      </c>
      <c r="B66" s="13" t="s">
        <v>16</v>
      </c>
      <c r="C66" s="41" t="s">
        <v>79</v>
      </c>
      <c r="D66" s="20"/>
      <c r="E66" s="21">
        <f t="shared" si="1"/>
        <v>6148.87</v>
      </c>
      <c r="F66" s="23"/>
      <c r="G66" s="21">
        <f t="shared" si="2"/>
        <v>169707.33</v>
      </c>
      <c r="H66" s="23"/>
      <c r="I66" s="21">
        <f t="shared" si="6"/>
        <v>354.59</v>
      </c>
      <c r="J66" s="60">
        <v>395.0</v>
      </c>
      <c r="K66" s="21">
        <f t="shared" si="4"/>
        <v>255918.28</v>
      </c>
      <c r="L66" s="23"/>
      <c r="M66" s="21">
        <f t="shared" si="7"/>
        <v>984.14</v>
      </c>
    </row>
    <row r="67" ht="20.25" customHeight="1" outlineLevel="1">
      <c r="A67" s="12">
        <v>45905.0</v>
      </c>
      <c r="B67" s="13" t="s">
        <v>16</v>
      </c>
      <c r="C67" s="41" t="s">
        <v>80</v>
      </c>
      <c r="D67" s="20"/>
      <c r="E67" s="21">
        <f t="shared" si="1"/>
        <v>6148.87</v>
      </c>
      <c r="F67" s="23"/>
      <c r="G67" s="21">
        <f t="shared" si="2"/>
        <v>169707.33</v>
      </c>
      <c r="H67" s="23"/>
      <c r="I67" s="21">
        <f t="shared" si="6"/>
        <v>354.59</v>
      </c>
      <c r="J67" s="35">
        <v>395.0</v>
      </c>
      <c r="K67" s="21">
        <f t="shared" si="4"/>
        <v>256313.28</v>
      </c>
      <c r="L67" s="23"/>
      <c r="M67" s="21">
        <f t="shared" si="7"/>
        <v>984.14</v>
      </c>
    </row>
    <row r="68" ht="20.25" customHeight="1" outlineLevel="1">
      <c r="A68" s="18">
        <v>45905.0</v>
      </c>
      <c r="B68" s="13" t="s">
        <v>16</v>
      </c>
      <c r="C68" s="41" t="s">
        <v>81</v>
      </c>
      <c r="D68" s="20"/>
      <c r="E68" s="21">
        <f t="shared" si="1"/>
        <v>6148.87</v>
      </c>
      <c r="F68" s="23"/>
      <c r="G68" s="21">
        <f t="shared" si="2"/>
        <v>169707.33</v>
      </c>
      <c r="H68" s="23"/>
      <c r="I68" s="21">
        <f t="shared" si="6"/>
        <v>354.59</v>
      </c>
      <c r="J68" s="60">
        <v>580.0</v>
      </c>
      <c r="K68" s="21">
        <f t="shared" si="4"/>
        <v>256893.28</v>
      </c>
      <c r="L68" s="23"/>
      <c r="M68" s="21">
        <f t="shared" si="7"/>
        <v>984.14</v>
      </c>
    </row>
    <row r="69" ht="20.25" customHeight="1" outlineLevel="1">
      <c r="A69" s="18">
        <v>45906.0</v>
      </c>
      <c r="B69" s="13" t="s">
        <v>16</v>
      </c>
      <c r="C69" s="41" t="s">
        <v>82</v>
      </c>
      <c r="D69" s="20"/>
      <c r="E69" s="21">
        <f t="shared" si="1"/>
        <v>6148.87</v>
      </c>
      <c r="F69" s="23"/>
      <c r="G69" s="21">
        <f t="shared" si="2"/>
        <v>169707.33</v>
      </c>
      <c r="H69" s="23"/>
      <c r="I69" s="21">
        <f t="shared" si="6"/>
        <v>354.59</v>
      </c>
      <c r="J69" s="60">
        <v>415.0</v>
      </c>
      <c r="K69" s="21">
        <f t="shared" si="4"/>
        <v>257308.28</v>
      </c>
      <c r="L69" s="23"/>
      <c r="M69" s="21">
        <f t="shared" si="7"/>
        <v>984.14</v>
      </c>
    </row>
    <row r="70" ht="20.25" customHeight="1" outlineLevel="1">
      <c r="A70" s="18">
        <v>45906.0</v>
      </c>
      <c r="B70" s="13" t="s">
        <v>16</v>
      </c>
      <c r="C70" s="61" t="s">
        <v>83</v>
      </c>
      <c r="D70" s="20">
        <v>100.0</v>
      </c>
      <c r="E70" s="21">
        <f t="shared" si="1"/>
        <v>6248.87</v>
      </c>
      <c r="F70" s="23"/>
      <c r="G70" s="21">
        <f t="shared" si="2"/>
        <v>169707.33</v>
      </c>
      <c r="H70" s="23"/>
      <c r="I70" s="21">
        <f t="shared" si="6"/>
        <v>354.59</v>
      </c>
      <c r="J70" s="24"/>
      <c r="K70" s="21">
        <f t="shared" si="4"/>
        <v>257308.28</v>
      </c>
      <c r="L70" s="23"/>
      <c r="M70" s="21">
        <f t="shared" si="7"/>
        <v>984.14</v>
      </c>
    </row>
    <row r="71" ht="20.25" customHeight="1" outlineLevel="1">
      <c r="A71" s="30">
        <v>45908.0</v>
      </c>
      <c r="B71" s="13" t="s">
        <v>16</v>
      </c>
      <c r="C71" s="41" t="s">
        <v>84</v>
      </c>
      <c r="D71" s="20"/>
      <c r="E71" s="21">
        <f t="shared" si="1"/>
        <v>6248.87</v>
      </c>
      <c r="F71" s="62"/>
      <c r="G71" s="21">
        <f t="shared" si="2"/>
        <v>169707.33</v>
      </c>
      <c r="H71" s="23"/>
      <c r="I71" s="21">
        <f t="shared" si="6"/>
        <v>354.59</v>
      </c>
      <c r="J71" s="35">
        <v>705.0</v>
      </c>
      <c r="K71" s="21">
        <f t="shared" si="4"/>
        <v>258013.28</v>
      </c>
      <c r="L71" s="23"/>
      <c r="M71" s="21">
        <f t="shared" si="7"/>
        <v>984.14</v>
      </c>
    </row>
    <row r="72" ht="20.25" customHeight="1" outlineLevel="1">
      <c r="A72" s="12">
        <v>45908.0</v>
      </c>
      <c r="B72" s="13" t="s">
        <v>16</v>
      </c>
      <c r="C72" s="56" t="s">
        <v>85</v>
      </c>
      <c r="D72" s="20"/>
      <c r="E72" s="21">
        <f t="shared" si="1"/>
        <v>6248.87</v>
      </c>
      <c r="F72" s="62"/>
      <c r="G72" s="21">
        <f t="shared" si="2"/>
        <v>169707.33</v>
      </c>
      <c r="H72" s="23"/>
      <c r="I72" s="21">
        <f t="shared" si="6"/>
        <v>354.59</v>
      </c>
      <c r="J72" s="35">
        <v>395.0</v>
      </c>
      <c r="K72" s="21">
        <f t="shared" si="4"/>
        <v>258408.28</v>
      </c>
      <c r="L72" s="23"/>
      <c r="M72" s="21">
        <f t="shared" si="7"/>
        <v>984.14</v>
      </c>
    </row>
    <row r="73" ht="20.25" customHeight="1" outlineLevel="1">
      <c r="A73" s="12">
        <v>45908.0</v>
      </c>
      <c r="B73" s="13" t="s">
        <v>16</v>
      </c>
      <c r="C73" s="45" t="s">
        <v>86</v>
      </c>
      <c r="D73" s="20"/>
      <c r="E73" s="21">
        <f t="shared" si="1"/>
        <v>6248.87</v>
      </c>
      <c r="F73" s="23"/>
      <c r="G73" s="21">
        <f t="shared" si="2"/>
        <v>169707.33</v>
      </c>
      <c r="H73" s="23"/>
      <c r="I73" s="21">
        <f t="shared" si="6"/>
        <v>354.59</v>
      </c>
      <c r="J73" s="35">
        <v>280.0</v>
      </c>
      <c r="K73" s="21">
        <f t="shared" si="4"/>
        <v>258688.28</v>
      </c>
      <c r="L73" s="23"/>
      <c r="M73" s="21">
        <f t="shared" si="7"/>
        <v>984.14</v>
      </c>
    </row>
    <row r="74" ht="20.25" customHeight="1" outlineLevel="1">
      <c r="A74" s="12">
        <v>45908.0</v>
      </c>
      <c r="B74" s="13" t="s">
        <v>16</v>
      </c>
      <c r="C74" s="44" t="s">
        <v>87</v>
      </c>
      <c r="D74" s="20"/>
      <c r="E74" s="21">
        <f t="shared" si="1"/>
        <v>6248.87</v>
      </c>
      <c r="F74" s="23"/>
      <c r="G74" s="21">
        <f t="shared" si="2"/>
        <v>169707.33</v>
      </c>
      <c r="H74" s="23"/>
      <c r="I74" s="21">
        <f t="shared" si="6"/>
        <v>354.59</v>
      </c>
      <c r="J74" s="27">
        <v>704.0</v>
      </c>
      <c r="K74" s="21">
        <f t="shared" si="4"/>
        <v>259392.28</v>
      </c>
      <c r="L74" s="23"/>
      <c r="M74" s="21">
        <f t="shared" si="7"/>
        <v>984.14</v>
      </c>
    </row>
    <row r="75" ht="20.25" customHeight="1" outlineLevel="1">
      <c r="A75" s="12">
        <v>45908.0</v>
      </c>
      <c r="B75" s="13" t="s">
        <v>16</v>
      </c>
      <c r="C75" s="44" t="s">
        <v>88</v>
      </c>
      <c r="D75" s="20"/>
      <c r="E75" s="21">
        <f t="shared" si="1"/>
        <v>6248.87</v>
      </c>
      <c r="F75" s="23"/>
      <c r="G75" s="21">
        <f t="shared" si="2"/>
        <v>169707.33</v>
      </c>
      <c r="H75" s="23"/>
      <c r="I75" s="21">
        <f t="shared" si="6"/>
        <v>354.59</v>
      </c>
      <c r="J75" s="27">
        <v>440.0</v>
      </c>
      <c r="K75" s="21">
        <f t="shared" si="4"/>
        <v>259832.28</v>
      </c>
      <c r="L75" s="23"/>
      <c r="M75" s="21">
        <f t="shared" si="7"/>
        <v>984.14</v>
      </c>
    </row>
    <row r="76" ht="20.25" customHeight="1" outlineLevel="1">
      <c r="A76" s="18">
        <v>45908.0</v>
      </c>
      <c r="B76" s="13" t="s">
        <v>16</v>
      </c>
      <c r="C76" s="44" t="s">
        <v>89</v>
      </c>
      <c r="D76" s="20"/>
      <c r="E76" s="21">
        <f t="shared" si="1"/>
        <v>6248.87</v>
      </c>
      <c r="F76" s="23"/>
      <c r="G76" s="21">
        <f t="shared" si="2"/>
        <v>169707.33</v>
      </c>
      <c r="H76" s="23"/>
      <c r="I76" s="21">
        <f t="shared" si="6"/>
        <v>354.59</v>
      </c>
      <c r="J76" s="54">
        <v>381.0</v>
      </c>
      <c r="K76" s="21">
        <f t="shared" si="4"/>
        <v>260213.28</v>
      </c>
      <c r="L76" s="23"/>
      <c r="M76" s="21">
        <f t="shared" si="7"/>
        <v>984.14</v>
      </c>
    </row>
    <row r="77" ht="20.25" customHeight="1" outlineLevel="1">
      <c r="A77" s="18">
        <v>45908.0</v>
      </c>
      <c r="B77" s="13" t="s">
        <v>16</v>
      </c>
      <c r="C77" s="63" t="s">
        <v>90</v>
      </c>
      <c r="D77" s="20"/>
      <c r="E77" s="21">
        <f t="shared" si="1"/>
        <v>6248.87</v>
      </c>
      <c r="F77" s="23"/>
      <c r="G77" s="21">
        <f t="shared" si="2"/>
        <v>169707.33</v>
      </c>
      <c r="H77" s="23"/>
      <c r="I77" s="21">
        <f t="shared" si="6"/>
        <v>354.59</v>
      </c>
      <c r="J77" s="60">
        <v>550.0</v>
      </c>
      <c r="K77" s="21">
        <f t="shared" si="4"/>
        <v>260763.28</v>
      </c>
      <c r="L77" s="23"/>
      <c r="M77" s="21">
        <f t="shared" si="7"/>
        <v>984.14</v>
      </c>
    </row>
    <row r="78" ht="20.25" customHeight="1" outlineLevel="1">
      <c r="A78" s="12">
        <v>45908.0</v>
      </c>
      <c r="B78" s="13" t="s">
        <v>14</v>
      </c>
      <c r="C78" s="44" t="s">
        <v>91</v>
      </c>
      <c r="D78" s="20"/>
      <c r="E78" s="21">
        <f t="shared" si="1"/>
        <v>6248.87</v>
      </c>
      <c r="F78" s="22">
        <v>-522.08</v>
      </c>
      <c r="G78" s="21">
        <f t="shared" si="2"/>
        <v>169185.25</v>
      </c>
      <c r="H78" s="23"/>
      <c r="I78" s="21">
        <f t="shared" si="6"/>
        <v>354.59</v>
      </c>
      <c r="J78" s="23"/>
      <c r="K78" s="21">
        <f t="shared" si="4"/>
        <v>260763.28</v>
      </c>
      <c r="L78" s="23"/>
      <c r="M78" s="21">
        <f t="shared" si="7"/>
        <v>984.14</v>
      </c>
    </row>
    <row r="79" ht="20.25" customHeight="1" outlineLevel="1">
      <c r="A79" s="12">
        <v>45908.0</v>
      </c>
      <c r="B79" s="13" t="s">
        <v>16</v>
      </c>
      <c r="C79" s="44" t="s">
        <v>92</v>
      </c>
      <c r="D79" s="20"/>
      <c r="E79" s="21">
        <f t="shared" si="1"/>
        <v>6248.87</v>
      </c>
      <c r="F79" s="27">
        <v>1510.0</v>
      </c>
      <c r="G79" s="21">
        <f t="shared" si="2"/>
        <v>170695.25</v>
      </c>
      <c r="H79" s="23"/>
      <c r="I79" s="21">
        <f t="shared" si="6"/>
        <v>354.59</v>
      </c>
      <c r="J79" s="23"/>
      <c r="K79" s="21">
        <f t="shared" si="4"/>
        <v>260763.28</v>
      </c>
      <c r="L79" s="23"/>
      <c r="M79" s="21">
        <f t="shared" si="7"/>
        <v>984.14</v>
      </c>
    </row>
    <row r="80" ht="20.25" customHeight="1" outlineLevel="1">
      <c r="A80" s="12">
        <v>45908.0</v>
      </c>
      <c r="B80" s="13" t="s">
        <v>16</v>
      </c>
      <c r="C80" s="44" t="s">
        <v>93</v>
      </c>
      <c r="D80" s="20"/>
      <c r="E80" s="21">
        <f t="shared" si="1"/>
        <v>6248.87</v>
      </c>
      <c r="F80" s="26">
        <v>1975.0</v>
      </c>
      <c r="G80" s="21">
        <f t="shared" si="2"/>
        <v>172670.25</v>
      </c>
      <c r="H80" s="23"/>
      <c r="I80" s="21">
        <f t="shared" si="6"/>
        <v>354.59</v>
      </c>
      <c r="J80" s="23"/>
      <c r="K80" s="21">
        <f t="shared" si="4"/>
        <v>260763.28</v>
      </c>
      <c r="L80" s="23"/>
      <c r="M80" s="21">
        <f t="shared" si="7"/>
        <v>984.14</v>
      </c>
    </row>
    <row r="81" ht="20.25" customHeight="1" outlineLevel="1">
      <c r="A81" s="12">
        <v>45908.0</v>
      </c>
      <c r="B81" s="13" t="s">
        <v>16</v>
      </c>
      <c r="C81" s="44" t="s">
        <v>94</v>
      </c>
      <c r="D81" s="20"/>
      <c r="E81" s="21">
        <f t="shared" si="1"/>
        <v>6248.87</v>
      </c>
      <c r="F81" s="27">
        <v>4050.0</v>
      </c>
      <c r="G81" s="21">
        <f t="shared" si="2"/>
        <v>176720.25</v>
      </c>
      <c r="H81" s="23"/>
      <c r="I81" s="21">
        <f t="shared" si="6"/>
        <v>354.59</v>
      </c>
      <c r="J81" s="23"/>
      <c r="K81" s="21">
        <f t="shared" si="4"/>
        <v>260763.28</v>
      </c>
      <c r="L81" s="23"/>
      <c r="M81" s="21">
        <f t="shared" si="7"/>
        <v>984.14</v>
      </c>
    </row>
    <row r="82" ht="20.25" customHeight="1" outlineLevel="1">
      <c r="A82" s="12">
        <v>45908.0</v>
      </c>
      <c r="B82" s="13" t="s">
        <v>16</v>
      </c>
      <c r="C82" s="64" t="s">
        <v>95</v>
      </c>
      <c r="D82" s="20"/>
      <c r="E82" s="21">
        <f t="shared" si="1"/>
        <v>6248.87</v>
      </c>
      <c r="F82" s="27">
        <v>405.0</v>
      </c>
      <c r="G82" s="21">
        <f t="shared" si="2"/>
        <v>177125.25</v>
      </c>
      <c r="H82" s="23"/>
      <c r="I82" s="21">
        <f t="shared" si="6"/>
        <v>354.59</v>
      </c>
      <c r="J82" s="23"/>
      <c r="K82" s="21">
        <f t="shared" si="4"/>
        <v>260763.28</v>
      </c>
      <c r="L82" s="23"/>
      <c r="M82" s="21">
        <f t="shared" si="7"/>
        <v>984.14</v>
      </c>
    </row>
    <row r="83" ht="20.25" customHeight="1" outlineLevel="1">
      <c r="A83" s="12">
        <v>45908.0</v>
      </c>
      <c r="B83" s="13" t="s">
        <v>16</v>
      </c>
      <c r="C83" s="44" t="s">
        <v>96</v>
      </c>
      <c r="D83" s="20"/>
      <c r="E83" s="21">
        <f t="shared" si="1"/>
        <v>6248.87</v>
      </c>
      <c r="F83" s="26">
        <v>544.0</v>
      </c>
      <c r="G83" s="21">
        <f t="shared" si="2"/>
        <v>177669.25</v>
      </c>
      <c r="H83" s="23"/>
      <c r="I83" s="21">
        <f t="shared" si="6"/>
        <v>354.59</v>
      </c>
      <c r="J83" s="23"/>
      <c r="K83" s="21">
        <f t="shared" si="4"/>
        <v>260763.28</v>
      </c>
      <c r="L83" s="23"/>
      <c r="M83" s="21">
        <f t="shared" si="7"/>
        <v>984.14</v>
      </c>
    </row>
    <row r="84" ht="20.25" customHeight="1" outlineLevel="1">
      <c r="A84" s="12">
        <v>45908.0</v>
      </c>
      <c r="B84" s="13" t="s">
        <v>16</v>
      </c>
      <c r="C84" s="44" t="s">
        <v>97</v>
      </c>
      <c r="D84" s="20"/>
      <c r="E84" s="21">
        <f t="shared" si="1"/>
        <v>6248.87</v>
      </c>
      <c r="F84" s="26">
        <v>50.0</v>
      </c>
      <c r="G84" s="21">
        <f t="shared" si="2"/>
        <v>177719.25</v>
      </c>
      <c r="H84" s="23"/>
      <c r="I84" s="21">
        <f t="shared" si="6"/>
        <v>354.59</v>
      </c>
      <c r="J84" s="23"/>
      <c r="K84" s="21">
        <f t="shared" si="4"/>
        <v>260763.28</v>
      </c>
      <c r="L84" s="23"/>
      <c r="M84" s="21">
        <f t="shared" si="7"/>
        <v>984.14</v>
      </c>
    </row>
    <row r="85" ht="20.25" customHeight="1" outlineLevel="1">
      <c r="A85" s="12">
        <v>45908.0</v>
      </c>
      <c r="B85" s="13" t="s">
        <v>16</v>
      </c>
      <c r="C85" s="44" t="s">
        <v>98</v>
      </c>
      <c r="D85" s="20"/>
      <c r="E85" s="21">
        <f t="shared" si="1"/>
        <v>6248.87</v>
      </c>
      <c r="F85" s="27">
        <v>2308.0</v>
      </c>
      <c r="G85" s="21">
        <f t="shared" si="2"/>
        <v>180027.25</v>
      </c>
      <c r="H85" s="23"/>
      <c r="I85" s="21">
        <f t="shared" si="6"/>
        <v>354.59</v>
      </c>
      <c r="J85" s="23"/>
      <c r="K85" s="21">
        <f t="shared" si="4"/>
        <v>260763.28</v>
      </c>
      <c r="L85" s="23"/>
      <c r="M85" s="21">
        <f t="shared" si="7"/>
        <v>984.14</v>
      </c>
    </row>
    <row r="86" ht="20.25" customHeight="1" outlineLevel="1">
      <c r="A86" s="18">
        <v>45908.0</v>
      </c>
      <c r="B86" s="13" t="s">
        <v>16</v>
      </c>
      <c r="C86" s="44" t="s">
        <v>99</v>
      </c>
      <c r="D86" s="20"/>
      <c r="E86" s="21">
        <f t="shared" si="1"/>
        <v>6248.87</v>
      </c>
      <c r="F86" s="27">
        <v>959.6</v>
      </c>
      <c r="G86" s="21">
        <f t="shared" si="2"/>
        <v>180986.85</v>
      </c>
      <c r="H86" s="23"/>
      <c r="I86" s="21">
        <f t="shared" si="6"/>
        <v>354.59</v>
      </c>
      <c r="J86" s="24"/>
      <c r="K86" s="21">
        <f t="shared" si="4"/>
        <v>260763.28</v>
      </c>
      <c r="L86" s="23"/>
      <c r="M86" s="21">
        <f t="shared" si="7"/>
        <v>984.14</v>
      </c>
    </row>
    <row r="87" ht="20.25" customHeight="1" outlineLevel="1">
      <c r="A87" s="18">
        <v>45908.0</v>
      </c>
      <c r="B87" s="13" t="s">
        <v>16</v>
      </c>
      <c r="C87" s="44" t="s">
        <v>100</v>
      </c>
      <c r="D87" s="20">
        <v>1745.0</v>
      </c>
      <c r="E87" s="21">
        <f t="shared" si="1"/>
        <v>7993.87</v>
      </c>
      <c r="F87" s="23"/>
      <c r="G87" s="21">
        <f t="shared" si="2"/>
        <v>180986.85</v>
      </c>
      <c r="H87" s="23"/>
      <c r="I87" s="21">
        <f t="shared" si="6"/>
        <v>354.59</v>
      </c>
      <c r="J87" s="24"/>
      <c r="K87" s="21">
        <f t="shared" si="4"/>
        <v>260763.28</v>
      </c>
      <c r="L87" s="23"/>
      <c r="M87" s="21">
        <f t="shared" si="7"/>
        <v>984.14</v>
      </c>
    </row>
    <row r="88" ht="20.25" customHeight="1" outlineLevel="1">
      <c r="A88" s="12">
        <v>45909.0</v>
      </c>
      <c r="B88" s="13" t="s">
        <v>16</v>
      </c>
      <c r="C88" s="63" t="s">
        <v>101</v>
      </c>
      <c r="D88" s="20"/>
      <c r="E88" s="21">
        <f t="shared" si="1"/>
        <v>7993.87</v>
      </c>
      <c r="F88" s="23"/>
      <c r="G88" s="21">
        <f t="shared" si="2"/>
        <v>180986.85</v>
      </c>
      <c r="H88" s="23"/>
      <c r="I88" s="21">
        <f t="shared" si="6"/>
        <v>354.59</v>
      </c>
      <c r="J88" s="35">
        <v>370.0</v>
      </c>
      <c r="K88" s="21">
        <f t="shared" si="4"/>
        <v>261133.28</v>
      </c>
      <c r="L88" s="23"/>
      <c r="M88" s="21">
        <f t="shared" si="7"/>
        <v>984.14</v>
      </c>
    </row>
    <row r="89" ht="20.25" customHeight="1" outlineLevel="1">
      <c r="A89" s="18">
        <v>45909.0</v>
      </c>
      <c r="B89" s="13" t="s">
        <v>70</v>
      </c>
      <c r="C89" s="44" t="s">
        <v>102</v>
      </c>
      <c r="D89" s="20"/>
      <c r="E89" s="21">
        <f t="shared" si="1"/>
        <v>7993.87</v>
      </c>
      <c r="F89" s="22">
        <v>-4000.0</v>
      </c>
      <c r="G89" s="21">
        <f t="shared" si="2"/>
        <v>176986.85</v>
      </c>
      <c r="H89" s="23"/>
      <c r="I89" s="21">
        <f t="shared" si="6"/>
        <v>354.59</v>
      </c>
      <c r="J89" s="24"/>
      <c r="K89" s="21">
        <f t="shared" si="4"/>
        <v>261133.28</v>
      </c>
      <c r="L89" s="23"/>
      <c r="M89" s="21">
        <f t="shared" si="7"/>
        <v>984.14</v>
      </c>
    </row>
    <row r="90" ht="20.25" customHeight="1" outlineLevel="1">
      <c r="A90" s="30">
        <v>45909.0</v>
      </c>
      <c r="B90" s="13" t="s">
        <v>16</v>
      </c>
      <c r="C90" s="44" t="s">
        <v>103</v>
      </c>
      <c r="D90" s="20"/>
      <c r="E90" s="21">
        <f t="shared" si="1"/>
        <v>7993.87</v>
      </c>
      <c r="F90" s="31">
        <v>2335.0</v>
      </c>
      <c r="G90" s="21">
        <f t="shared" si="2"/>
        <v>179321.85</v>
      </c>
      <c r="H90" s="23"/>
      <c r="I90" s="21">
        <f t="shared" si="6"/>
        <v>354.59</v>
      </c>
      <c r="J90" s="23"/>
      <c r="K90" s="21">
        <f t="shared" si="4"/>
        <v>261133.28</v>
      </c>
      <c r="L90" s="23"/>
      <c r="M90" s="21">
        <f t="shared" si="7"/>
        <v>984.14</v>
      </c>
    </row>
    <row r="91" ht="20.25" customHeight="1" outlineLevel="1">
      <c r="A91" s="12">
        <v>45909.0</v>
      </c>
      <c r="B91" s="13" t="s">
        <v>16</v>
      </c>
      <c r="C91" s="44" t="s">
        <v>104</v>
      </c>
      <c r="D91" s="20"/>
      <c r="E91" s="21">
        <f t="shared" si="1"/>
        <v>7993.87</v>
      </c>
      <c r="F91" s="26">
        <v>1345.0</v>
      </c>
      <c r="G91" s="21">
        <f t="shared" si="2"/>
        <v>180666.85</v>
      </c>
      <c r="H91" s="23"/>
      <c r="I91" s="21">
        <f t="shared" si="6"/>
        <v>354.59</v>
      </c>
      <c r="J91" s="23"/>
      <c r="K91" s="21">
        <f t="shared" si="4"/>
        <v>261133.28</v>
      </c>
      <c r="L91" s="23"/>
      <c r="M91" s="21">
        <f t="shared" si="7"/>
        <v>984.14</v>
      </c>
    </row>
    <row r="92" ht="20.25" customHeight="1" outlineLevel="1">
      <c r="A92" s="12">
        <v>45909.0</v>
      </c>
      <c r="B92" s="13" t="s">
        <v>16</v>
      </c>
      <c r="C92" s="44" t="s">
        <v>105</v>
      </c>
      <c r="D92" s="20"/>
      <c r="E92" s="21">
        <f t="shared" si="1"/>
        <v>7993.87</v>
      </c>
      <c r="F92" s="27">
        <v>3214.35</v>
      </c>
      <c r="G92" s="21">
        <f t="shared" si="2"/>
        <v>183881.2</v>
      </c>
      <c r="H92" s="23"/>
      <c r="I92" s="21">
        <f t="shared" si="6"/>
        <v>354.59</v>
      </c>
      <c r="J92" s="23"/>
      <c r="K92" s="21">
        <f t="shared" si="4"/>
        <v>261133.28</v>
      </c>
      <c r="L92" s="23"/>
      <c r="M92" s="21">
        <f t="shared" si="7"/>
        <v>984.14</v>
      </c>
    </row>
    <row r="93" ht="20.25" customHeight="1" outlineLevel="1">
      <c r="A93" s="12">
        <v>45909.0</v>
      </c>
      <c r="B93" s="13" t="s">
        <v>16</v>
      </c>
      <c r="C93" s="28" t="s">
        <v>106</v>
      </c>
      <c r="D93" s="20"/>
      <c r="E93" s="21">
        <f t="shared" si="1"/>
        <v>7993.87</v>
      </c>
      <c r="F93" s="27">
        <v>7875.0</v>
      </c>
      <c r="G93" s="21">
        <f t="shared" si="2"/>
        <v>191756.2</v>
      </c>
      <c r="H93" s="23"/>
      <c r="I93" s="21">
        <f t="shared" si="6"/>
        <v>354.59</v>
      </c>
      <c r="J93" s="23"/>
      <c r="K93" s="21">
        <f t="shared" si="4"/>
        <v>261133.28</v>
      </c>
      <c r="L93" s="23"/>
      <c r="M93" s="21">
        <f t="shared" si="7"/>
        <v>984.14</v>
      </c>
    </row>
    <row r="94" ht="20.25" customHeight="1" outlineLevel="1">
      <c r="A94" s="12">
        <v>45909.0</v>
      </c>
      <c r="B94" s="13" t="s">
        <v>16</v>
      </c>
      <c r="C94" s="42" t="s">
        <v>107</v>
      </c>
      <c r="D94" s="20"/>
      <c r="E94" s="21">
        <f t="shared" si="1"/>
        <v>7993.87</v>
      </c>
      <c r="F94" s="23"/>
      <c r="G94" s="21">
        <f t="shared" si="2"/>
        <v>191756.2</v>
      </c>
      <c r="H94" s="23"/>
      <c r="I94" s="21">
        <f t="shared" si="6"/>
        <v>354.59</v>
      </c>
      <c r="J94" s="27">
        <v>830.0</v>
      </c>
      <c r="K94" s="21">
        <f t="shared" si="4"/>
        <v>261963.28</v>
      </c>
      <c r="L94" s="23"/>
      <c r="M94" s="21">
        <f t="shared" si="7"/>
        <v>984.14</v>
      </c>
    </row>
    <row r="95" ht="20.25" customHeight="1" outlineLevel="1">
      <c r="A95" s="12">
        <v>45909.0</v>
      </c>
      <c r="B95" s="13" t="s">
        <v>16</v>
      </c>
      <c r="C95" s="42" t="s">
        <v>108</v>
      </c>
      <c r="D95" s="20"/>
      <c r="E95" s="21">
        <f t="shared" si="1"/>
        <v>7993.87</v>
      </c>
      <c r="F95" s="23"/>
      <c r="G95" s="21">
        <f t="shared" si="2"/>
        <v>191756.2</v>
      </c>
      <c r="H95" s="23"/>
      <c r="I95" s="21">
        <f t="shared" si="6"/>
        <v>354.59</v>
      </c>
      <c r="J95" s="27">
        <v>5245.0</v>
      </c>
      <c r="K95" s="21">
        <f t="shared" si="4"/>
        <v>267208.28</v>
      </c>
      <c r="L95" s="23"/>
      <c r="M95" s="21">
        <f t="shared" si="7"/>
        <v>984.14</v>
      </c>
    </row>
    <row r="96" ht="20.25" customHeight="1" outlineLevel="1">
      <c r="A96" s="12">
        <v>45909.0</v>
      </c>
      <c r="B96" s="13" t="s">
        <v>16</v>
      </c>
      <c r="C96" s="28" t="s">
        <v>109</v>
      </c>
      <c r="D96" s="20">
        <v>170.0</v>
      </c>
      <c r="E96" s="21">
        <f t="shared" si="1"/>
        <v>8163.87</v>
      </c>
      <c r="F96" s="23"/>
      <c r="G96" s="21">
        <f t="shared" si="2"/>
        <v>191756.2</v>
      </c>
      <c r="H96" s="23"/>
      <c r="I96" s="21">
        <f t="shared" si="6"/>
        <v>354.59</v>
      </c>
      <c r="J96" s="23"/>
      <c r="K96" s="21">
        <f t="shared" si="4"/>
        <v>267208.28</v>
      </c>
      <c r="L96" s="23"/>
      <c r="M96" s="21">
        <f t="shared" si="7"/>
        <v>984.14</v>
      </c>
    </row>
    <row r="97" ht="20.25" customHeight="1" outlineLevel="1">
      <c r="A97" s="12">
        <v>45909.0</v>
      </c>
      <c r="B97" s="13" t="s">
        <v>14</v>
      </c>
      <c r="C97" s="28" t="s">
        <v>110</v>
      </c>
      <c r="D97" s="20"/>
      <c r="E97" s="21">
        <f t="shared" si="1"/>
        <v>8163.87</v>
      </c>
      <c r="F97" s="23"/>
      <c r="G97" s="21">
        <f t="shared" si="2"/>
        <v>191756.2</v>
      </c>
      <c r="H97" s="23"/>
      <c r="I97" s="21">
        <f t="shared" si="6"/>
        <v>354.59</v>
      </c>
      <c r="J97" s="23"/>
      <c r="K97" s="21">
        <f t="shared" si="4"/>
        <v>267208.28</v>
      </c>
      <c r="L97" s="22">
        <v>-13.99</v>
      </c>
      <c r="M97" s="21">
        <f t="shared" si="7"/>
        <v>970.15</v>
      </c>
    </row>
    <row r="98" ht="20.25" customHeight="1" outlineLevel="1">
      <c r="A98" s="12">
        <v>45910.0</v>
      </c>
      <c r="B98" s="13" t="s">
        <v>16</v>
      </c>
      <c r="C98" s="41" t="s">
        <v>111</v>
      </c>
      <c r="D98" s="20"/>
      <c r="E98" s="21">
        <f t="shared" si="1"/>
        <v>8163.87</v>
      </c>
      <c r="F98" s="23"/>
      <c r="G98" s="21">
        <f t="shared" si="2"/>
        <v>191756.2</v>
      </c>
      <c r="H98" s="23"/>
      <c r="I98" s="21">
        <f t="shared" si="6"/>
        <v>354.59</v>
      </c>
      <c r="J98" s="35">
        <v>395.0</v>
      </c>
      <c r="K98" s="21">
        <f t="shared" si="4"/>
        <v>267603.28</v>
      </c>
      <c r="L98" s="23"/>
      <c r="M98" s="21">
        <f t="shared" si="7"/>
        <v>970.15</v>
      </c>
    </row>
    <row r="99" ht="20.25" customHeight="1" outlineLevel="1">
      <c r="A99" s="12">
        <v>45910.0</v>
      </c>
      <c r="B99" s="13" t="s">
        <v>14</v>
      </c>
      <c r="C99" s="42" t="s">
        <v>34</v>
      </c>
      <c r="D99" s="20"/>
      <c r="E99" s="21">
        <f t="shared" si="1"/>
        <v>8163.87</v>
      </c>
      <c r="F99" s="23"/>
      <c r="G99" s="21">
        <f t="shared" si="2"/>
        <v>191756.2</v>
      </c>
      <c r="H99" s="23"/>
      <c r="I99" s="21">
        <f t="shared" si="6"/>
        <v>354.59</v>
      </c>
      <c r="J99" s="22">
        <v>-20.99</v>
      </c>
      <c r="K99" s="21">
        <f t="shared" si="4"/>
        <v>267582.29</v>
      </c>
      <c r="L99" s="23"/>
      <c r="M99" s="21">
        <f t="shared" si="7"/>
        <v>970.15</v>
      </c>
    </row>
    <row r="100" ht="20.25" customHeight="1" outlineLevel="1">
      <c r="A100" s="12">
        <v>45910.0</v>
      </c>
      <c r="B100" s="13" t="s">
        <v>16</v>
      </c>
      <c r="C100" s="42" t="s">
        <v>112</v>
      </c>
      <c r="D100" s="20"/>
      <c r="E100" s="21">
        <f t="shared" si="1"/>
        <v>8163.87</v>
      </c>
      <c r="F100" s="23"/>
      <c r="G100" s="21">
        <f t="shared" si="2"/>
        <v>191756.2</v>
      </c>
      <c r="H100" s="23"/>
      <c r="I100" s="21">
        <f t="shared" si="6"/>
        <v>354.59</v>
      </c>
      <c r="J100" s="27">
        <v>415.0</v>
      </c>
      <c r="K100" s="21">
        <f t="shared" si="4"/>
        <v>267997.29</v>
      </c>
      <c r="L100" s="23"/>
      <c r="M100" s="21">
        <f t="shared" si="7"/>
        <v>970.15</v>
      </c>
    </row>
    <row r="101" ht="20.25" customHeight="1" outlineLevel="1">
      <c r="A101" s="12">
        <v>45910.0</v>
      </c>
      <c r="B101" s="13" t="s">
        <v>16</v>
      </c>
      <c r="C101" s="42" t="s">
        <v>113</v>
      </c>
      <c r="D101" s="20"/>
      <c r="E101" s="21">
        <f t="shared" si="1"/>
        <v>8163.87</v>
      </c>
      <c r="F101" s="23"/>
      <c r="G101" s="21">
        <f t="shared" si="2"/>
        <v>191756.2</v>
      </c>
      <c r="H101" s="23"/>
      <c r="I101" s="21">
        <f t="shared" si="6"/>
        <v>354.59</v>
      </c>
      <c r="J101" s="27">
        <v>4182.0</v>
      </c>
      <c r="K101" s="21">
        <f t="shared" si="4"/>
        <v>272179.29</v>
      </c>
      <c r="L101" s="23"/>
      <c r="M101" s="21">
        <f t="shared" si="7"/>
        <v>970.15</v>
      </c>
    </row>
    <row r="102" ht="20.25" customHeight="1" outlineLevel="1">
      <c r="A102" s="12">
        <v>45910.0</v>
      </c>
      <c r="B102" s="13" t="s">
        <v>16</v>
      </c>
      <c r="C102" s="65" t="s">
        <v>114</v>
      </c>
      <c r="D102" s="20"/>
      <c r="E102" s="21">
        <f t="shared" si="1"/>
        <v>8163.87</v>
      </c>
      <c r="F102" s="23"/>
      <c r="G102" s="21">
        <f t="shared" si="2"/>
        <v>191756.2</v>
      </c>
      <c r="H102" s="23"/>
      <c r="I102" s="21">
        <f t="shared" si="6"/>
        <v>354.59</v>
      </c>
      <c r="J102" s="35">
        <v>415.0</v>
      </c>
      <c r="K102" s="21">
        <f t="shared" si="4"/>
        <v>272594.29</v>
      </c>
      <c r="L102" s="23"/>
      <c r="M102" s="21">
        <f t="shared" si="7"/>
        <v>970.15</v>
      </c>
    </row>
    <row r="103" ht="20.25" customHeight="1" outlineLevel="1">
      <c r="A103" s="12">
        <v>45910.0</v>
      </c>
      <c r="B103" s="13" t="s">
        <v>12</v>
      </c>
      <c r="C103" s="25" t="s">
        <v>115</v>
      </c>
      <c r="D103" s="20"/>
      <c r="E103" s="21">
        <f t="shared" si="1"/>
        <v>8163.87</v>
      </c>
      <c r="F103" s="22">
        <v>-1129.72</v>
      </c>
      <c r="G103" s="21">
        <f t="shared" si="2"/>
        <v>190626.48</v>
      </c>
      <c r="H103" s="23"/>
      <c r="I103" s="21">
        <f t="shared" si="6"/>
        <v>354.59</v>
      </c>
      <c r="J103" s="23"/>
      <c r="K103" s="21">
        <f t="shared" si="4"/>
        <v>272594.29</v>
      </c>
      <c r="L103" s="23"/>
      <c r="M103" s="21">
        <f t="shared" si="7"/>
        <v>970.15</v>
      </c>
    </row>
    <row r="104" ht="20.25" customHeight="1" outlineLevel="1">
      <c r="A104" s="18">
        <v>45910.0</v>
      </c>
      <c r="B104" s="13" t="s">
        <v>14</v>
      </c>
      <c r="C104" s="66" t="s">
        <v>116</v>
      </c>
      <c r="D104" s="20"/>
      <c r="E104" s="21">
        <f t="shared" si="1"/>
        <v>8163.87</v>
      </c>
      <c r="F104" s="22">
        <v>-18.0</v>
      </c>
      <c r="G104" s="21">
        <f t="shared" si="2"/>
        <v>190608.48</v>
      </c>
      <c r="H104" s="23"/>
      <c r="I104" s="21">
        <f t="shared" si="6"/>
        <v>354.59</v>
      </c>
      <c r="J104" s="24"/>
      <c r="K104" s="21">
        <f t="shared" si="4"/>
        <v>272594.29</v>
      </c>
      <c r="L104" s="23"/>
      <c r="M104" s="21">
        <f t="shared" si="7"/>
        <v>970.15</v>
      </c>
    </row>
    <row r="105" ht="20.25" customHeight="1" outlineLevel="1">
      <c r="A105" s="12">
        <v>45910.0</v>
      </c>
      <c r="B105" s="13" t="s">
        <v>14</v>
      </c>
      <c r="C105" s="25" t="s">
        <v>117</v>
      </c>
      <c r="D105" s="20"/>
      <c r="E105" s="21">
        <f t="shared" si="1"/>
        <v>8163.87</v>
      </c>
      <c r="F105" s="22">
        <v>-682.0</v>
      </c>
      <c r="G105" s="21">
        <f t="shared" si="2"/>
        <v>189926.48</v>
      </c>
      <c r="H105" s="23"/>
      <c r="I105" s="21">
        <f t="shared" si="6"/>
        <v>354.59</v>
      </c>
      <c r="J105" s="23"/>
      <c r="K105" s="21">
        <f t="shared" si="4"/>
        <v>272594.29</v>
      </c>
      <c r="L105" s="23"/>
      <c r="M105" s="21">
        <f t="shared" si="7"/>
        <v>970.15</v>
      </c>
    </row>
    <row r="106" ht="20.25" customHeight="1" outlineLevel="1">
      <c r="A106" s="12">
        <v>45910.0</v>
      </c>
      <c r="B106" s="13" t="s">
        <v>16</v>
      </c>
      <c r="C106" s="25" t="s">
        <v>118</v>
      </c>
      <c r="D106" s="20"/>
      <c r="E106" s="21">
        <f t="shared" si="1"/>
        <v>8163.87</v>
      </c>
      <c r="F106" s="26">
        <v>4967.0</v>
      </c>
      <c r="G106" s="21">
        <f t="shared" si="2"/>
        <v>194893.48</v>
      </c>
      <c r="H106" s="23"/>
      <c r="I106" s="21">
        <f t="shared" si="6"/>
        <v>354.59</v>
      </c>
      <c r="J106" s="23"/>
      <c r="K106" s="21">
        <f t="shared" si="4"/>
        <v>272594.29</v>
      </c>
      <c r="L106" s="23"/>
      <c r="M106" s="21">
        <f t="shared" si="7"/>
        <v>970.15</v>
      </c>
    </row>
    <row r="107" ht="20.25" customHeight="1" outlineLevel="1">
      <c r="A107" s="18">
        <v>45910.0</v>
      </c>
      <c r="B107" s="13" t="s">
        <v>16</v>
      </c>
      <c r="C107" s="25" t="s">
        <v>119</v>
      </c>
      <c r="D107" s="20"/>
      <c r="E107" s="21">
        <f t="shared" si="1"/>
        <v>8163.87</v>
      </c>
      <c r="F107" s="27">
        <v>6390.0</v>
      </c>
      <c r="G107" s="21">
        <f t="shared" si="2"/>
        <v>201283.48</v>
      </c>
      <c r="H107" s="23"/>
      <c r="I107" s="21">
        <f t="shared" si="6"/>
        <v>354.59</v>
      </c>
      <c r="J107" s="24"/>
      <c r="K107" s="21">
        <f t="shared" si="4"/>
        <v>272594.29</v>
      </c>
      <c r="L107" s="23"/>
      <c r="M107" s="21">
        <f t="shared" si="7"/>
        <v>970.15</v>
      </c>
    </row>
    <row r="108" ht="20.25" customHeight="1" outlineLevel="1">
      <c r="A108" s="18">
        <v>45910.0</v>
      </c>
      <c r="B108" s="13" t="s">
        <v>16</v>
      </c>
      <c r="C108" s="66" t="s">
        <v>120</v>
      </c>
      <c r="D108" s="20"/>
      <c r="E108" s="21">
        <f t="shared" si="1"/>
        <v>8163.87</v>
      </c>
      <c r="F108" s="27">
        <v>4474.32</v>
      </c>
      <c r="G108" s="21">
        <f t="shared" si="2"/>
        <v>205757.8</v>
      </c>
      <c r="H108" s="23"/>
      <c r="I108" s="21">
        <f t="shared" si="6"/>
        <v>354.59</v>
      </c>
      <c r="J108" s="24"/>
      <c r="K108" s="21">
        <f t="shared" si="4"/>
        <v>272594.29</v>
      </c>
      <c r="L108" s="23"/>
      <c r="M108" s="21">
        <f t="shared" si="7"/>
        <v>970.15</v>
      </c>
    </row>
    <row r="109" ht="20.25" customHeight="1" outlineLevel="1">
      <c r="A109" s="18">
        <v>45910.0</v>
      </c>
      <c r="B109" s="13" t="s">
        <v>16</v>
      </c>
      <c r="C109" s="25" t="s">
        <v>121</v>
      </c>
      <c r="D109" s="20"/>
      <c r="E109" s="21">
        <f t="shared" si="1"/>
        <v>8163.87</v>
      </c>
      <c r="F109" s="27">
        <v>3240.0</v>
      </c>
      <c r="G109" s="21">
        <f t="shared" si="2"/>
        <v>208997.8</v>
      </c>
      <c r="H109" s="23"/>
      <c r="I109" s="21">
        <f t="shared" si="6"/>
        <v>354.59</v>
      </c>
      <c r="J109" s="24"/>
      <c r="K109" s="21">
        <f t="shared" si="4"/>
        <v>272594.29</v>
      </c>
      <c r="L109" s="23"/>
      <c r="M109" s="21">
        <f t="shared" si="7"/>
        <v>970.15</v>
      </c>
    </row>
    <row r="110" ht="20.25" customHeight="1" outlineLevel="1">
      <c r="A110" s="18">
        <v>45910.0</v>
      </c>
      <c r="B110" s="13" t="s">
        <v>16</v>
      </c>
      <c r="C110" s="28" t="s">
        <v>122</v>
      </c>
      <c r="D110" s="20">
        <v>965.0</v>
      </c>
      <c r="E110" s="21">
        <f t="shared" si="1"/>
        <v>9128.87</v>
      </c>
      <c r="F110" s="23"/>
      <c r="G110" s="21">
        <f t="shared" si="2"/>
        <v>208997.8</v>
      </c>
      <c r="H110" s="23"/>
      <c r="I110" s="21">
        <f t="shared" si="6"/>
        <v>354.59</v>
      </c>
      <c r="J110" s="24"/>
      <c r="K110" s="21">
        <f t="shared" si="4"/>
        <v>272594.29</v>
      </c>
      <c r="L110" s="23"/>
      <c r="M110" s="21">
        <f t="shared" si="7"/>
        <v>970.15</v>
      </c>
    </row>
    <row r="111" ht="20.25" customHeight="1" outlineLevel="1">
      <c r="A111" s="18">
        <v>45910.0</v>
      </c>
      <c r="B111" s="13" t="s">
        <v>14</v>
      </c>
      <c r="C111" s="67" t="s">
        <v>123</v>
      </c>
      <c r="D111" s="20"/>
      <c r="E111" s="21">
        <f t="shared" si="1"/>
        <v>9128.87</v>
      </c>
      <c r="F111" s="23"/>
      <c r="G111" s="21">
        <f t="shared" si="2"/>
        <v>208997.8</v>
      </c>
      <c r="H111" s="22">
        <v>-9.25</v>
      </c>
      <c r="I111" s="21">
        <f t="shared" si="6"/>
        <v>345.34</v>
      </c>
      <c r="J111" s="24"/>
      <c r="K111" s="21">
        <f t="shared" si="4"/>
        <v>272594.29</v>
      </c>
      <c r="L111" s="23"/>
      <c r="M111" s="21">
        <f t="shared" si="7"/>
        <v>970.15</v>
      </c>
    </row>
    <row r="112" ht="20.25" customHeight="1" outlineLevel="1">
      <c r="A112" s="12">
        <v>45911.0</v>
      </c>
      <c r="B112" s="13" t="s">
        <v>16</v>
      </c>
      <c r="C112" s="41" t="s">
        <v>124</v>
      </c>
      <c r="D112" s="20"/>
      <c r="E112" s="21">
        <f t="shared" si="1"/>
        <v>9128.87</v>
      </c>
      <c r="F112" s="23"/>
      <c r="G112" s="21">
        <f t="shared" si="2"/>
        <v>208997.8</v>
      </c>
      <c r="H112" s="23"/>
      <c r="I112" s="21">
        <f t="shared" si="6"/>
        <v>345.34</v>
      </c>
      <c r="J112" s="35">
        <v>337.0</v>
      </c>
      <c r="K112" s="21">
        <f t="shared" si="4"/>
        <v>272931.29</v>
      </c>
      <c r="L112" s="23"/>
      <c r="M112" s="21">
        <f t="shared" si="7"/>
        <v>970.15</v>
      </c>
    </row>
    <row r="113" ht="20.25" customHeight="1" outlineLevel="1">
      <c r="A113" s="12">
        <v>45911.0</v>
      </c>
      <c r="B113" s="13" t="s">
        <v>12</v>
      </c>
      <c r="C113" s="28" t="s">
        <v>125</v>
      </c>
      <c r="D113" s="20"/>
      <c r="E113" s="21">
        <f t="shared" si="1"/>
        <v>9128.87</v>
      </c>
      <c r="F113" s="22">
        <v>-160.0</v>
      </c>
      <c r="G113" s="21">
        <f t="shared" si="2"/>
        <v>208837.8</v>
      </c>
      <c r="H113" s="23"/>
      <c r="I113" s="21">
        <f t="shared" si="6"/>
        <v>345.34</v>
      </c>
      <c r="J113" s="23"/>
      <c r="K113" s="21">
        <f t="shared" si="4"/>
        <v>272931.29</v>
      </c>
      <c r="L113" s="23"/>
      <c r="M113" s="21">
        <f t="shared" si="7"/>
        <v>970.15</v>
      </c>
    </row>
    <row r="114" ht="20.25" customHeight="1" outlineLevel="1">
      <c r="A114" s="12">
        <v>45911.0</v>
      </c>
      <c r="B114" s="13" t="s">
        <v>16</v>
      </c>
      <c r="C114" s="68" t="s">
        <v>126</v>
      </c>
      <c r="D114" s="20"/>
      <c r="E114" s="21">
        <f t="shared" si="1"/>
        <v>9128.87</v>
      </c>
      <c r="F114" s="26">
        <v>4431.0</v>
      </c>
      <c r="G114" s="21">
        <f t="shared" si="2"/>
        <v>213268.8</v>
      </c>
      <c r="H114" s="23"/>
      <c r="I114" s="21">
        <f t="shared" si="6"/>
        <v>345.34</v>
      </c>
      <c r="J114" s="23"/>
      <c r="K114" s="21">
        <f t="shared" si="4"/>
        <v>272931.29</v>
      </c>
      <c r="L114" s="23"/>
      <c r="M114" s="21">
        <f t="shared" si="7"/>
        <v>970.15</v>
      </c>
    </row>
    <row r="115" ht="20.25" customHeight="1" outlineLevel="1">
      <c r="A115" s="12">
        <v>45911.0</v>
      </c>
      <c r="B115" s="13" t="s">
        <v>16</v>
      </c>
      <c r="C115" s="28" t="s">
        <v>127</v>
      </c>
      <c r="D115" s="20"/>
      <c r="E115" s="21">
        <f t="shared" si="1"/>
        <v>9128.87</v>
      </c>
      <c r="F115" s="27">
        <v>5277.0</v>
      </c>
      <c r="G115" s="21">
        <f t="shared" si="2"/>
        <v>218545.8</v>
      </c>
      <c r="H115" s="23"/>
      <c r="I115" s="21">
        <f t="shared" si="6"/>
        <v>345.34</v>
      </c>
      <c r="J115" s="23"/>
      <c r="K115" s="21">
        <f t="shared" si="4"/>
        <v>272931.29</v>
      </c>
      <c r="L115" s="23"/>
      <c r="M115" s="21">
        <f t="shared" si="7"/>
        <v>970.15</v>
      </c>
    </row>
    <row r="116" ht="20.25" customHeight="1" outlineLevel="1">
      <c r="A116" s="12">
        <v>45911.0</v>
      </c>
      <c r="B116" s="13" t="s">
        <v>16</v>
      </c>
      <c r="C116" s="28" t="s">
        <v>128</v>
      </c>
      <c r="D116" s="20"/>
      <c r="E116" s="21">
        <f t="shared" si="1"/>
        <v>9128.87</v>
      </c>
      <c r="F116" s="27">
        <v>1182.35</v>
      </c>
      <c r="G116" s="21">
        <f t="shared" si="2"/>
        <v>219728.15</v>
      </c>
      <c r="H116" s="23"/>
      <c r="I116" s="21">
        <f t="shared" si="6"/>
        <v>345.34</v>
      </c>
      <c r="J116" s="23"/>
      <c r="K116" s="21">
        <f t="shared" si="4"/>
        <v>272931.29</v>
      </c>
      <c r="L116" s="23"/>
      <c r="M116" s="21">
        <f t="shared" si="7"/>
        <v>970.15</v>
      </c>
    </row>
    <row r="117" ht="20.25" customHeight="1" outlineLevel="1">
      <c r="A117" s="12">
        <v>45911.0</v>
      </c>
      <c r="B117" s="13" t="s">
        <v>16</v>
      </c>
      <c r="C117" s="28" t="s">
        <v>129</v>
      </c>
      <c r="D117" s="20"/>
      <c r="E117" s="21">
        <f t="shared" si="1"/>
        <v>9128.87</v>
      </c>
      <c r="F117" s="27">
        <v>690.0</v>
      </c>
      <c r="G117" s="21">
        <f t="shared" si="2"/>
        <v>220418.15</v>
      </c>
      <c r="H117" s="23"/>
      <c r="I117" s="21">
        <f t="shared" si="6"/>
        <v>345.34</v>
      </c>
      <c r="J117" s="23"/>
      <c r="K117" s="21">
        <f t="shared" si="4"/>
        <v>272931.29</v>
      </c>
      <c r="L117" s="23"/>
      <c r="M117" s="21">
        <f t="shared" si="7"/>
        <v>970.15</v>
      </c>
    </row>
    <row r="118" ht="20.25" customHeight="1" outlineLevel="1">
      <c r="A118" s="12">
        <v>45911.0</v>
      </c>
      <c r="B118" s="13" t="s">
        <v>16</v>
      </c>
      <c r="C118" s="69" t="s">
        <v>130</v>
      </c>
      <c r="D118" s="20"/>
      <c r="E118" s="21">
        <f t="shared" si="1"/>
        <v>9128.87</v>
      </c>
      <c r="F118" s="51">
        <v>768.6</v>
      </c>
      <c r="G118" s="21">
        <f t="shared" si="2"/>
        <v>221186.75</v>
      </c>
      <c r="H118" s="23"/>
      <c r="I118" s="21">
        <f t="shared" si="6"/>
        <v>345.34</v>
      </c>
      <c r="J118" s="23"/>
      <c r="K118" s="21">
        <f t="shared" si="4"/>
        <v>272931.29</v>
      </c>
      <c r="L118" s="23"/>
      <c r="M118" s="21">
        <f t="shared" si="7"/>
        <v>970.15</v>
      </c>
    </row>
    <row r="119" ht="20.25" customHeight="1" outlineLevel="1">
      <c r="A119" s="30">
        <v>45911.0</v>
      </c>
      <c r="B119" s="13" t="s">
        <v>16</v>
      </c>
      <c r="C119" s="42" t="s">
        <v>131</v>
      </c>
      <c r="D119" s="20"/>
      <c r="E119" s="21">
        <f t="shared" si="1"/>
        <v>9128.87</v>
      </c>
      <c r="F119" s="23"/>
      <c r="G119" s="21">
        <f t="shared" si="2"/>
        <v>221186.75</v>
      </c>
      <c r="H119" s="23"/>
      <c r="I119" s="21">
        <f t="shared" si="6"/>
        <v>345.34</v>
      </c>
      <c r="J119" s="27">
        <v>1814.0</v>
      </c>
      <c r="K119" s="21">
        <f t="shared" si="4"/>
        <v>274745.29</v>
      </c>
      <c r="L119" s="23"/>
      <c r="M119" s="21">
        <f t="shared" si="7"/>
        <v>970.15</v>
      </c>
    </row>
    <row r="120" ht="20.25" customHeight="1" outlineLevel="1">
      <c r="A120" s="30">
        <v>45911.0</v>
      </c>
      <c r="B120" s="13" t="s">
        <v>16</v>
      </c>
      <c r="C120" s="42" t="s">
        <v>132</v>
      </c>
      <c r="D120" s="20"/>
      <c r="E120" s="21">
        <f t="shared" si="1"/>
        <v>9128.87</v>
      </c>
      <c r="F120" s="62"/>
      <c r="G120" s="21">
        <f t="shared" si="2"/>
        <v>221186.75</v>
      </c>
      <c r="H120" s="23"/>
      <c r="I120" s="21">
        <f t="shared" si="6"/>
        <v>345.34</v>
      </c>
      <c r="J120" s="27">
        <v>1430.0</v>
      </c>
      <c r="K120" s="21">
        <f t="shared" si="4"/>
        <v>276175.29</v>
      </c>
      <c r="L120" s="23"/>
      <c r="M120" s="21">
        <f t="shared" si="7"/>
        <v>970.15</v>
      </c>
    </row>
    <row r="121" ht="20.25" customHeight="1" outlineLevel="1">
      <c r="A121" s="30">
        <v>45911.0</v>
      </c>
      <c r="B121" s="13" t="s">
        <v>16</v>
      </c>
      <c r="C121" s="70" t="s">
        <v>133</v>
      </c>
      <c r="D121" s="20">
        <v>524.0</v>
      </c>
      <c r="E121" s="21">
        <f t="shared" si="1"/>
        <v>9652.87</v>
      </c>
      <c r="F121" s="62"/>
      <c r="G121" s="21">
        <f t="shared" si="2"/>
        <v>221186.75</v>
      </c>
      <c r="H121" s="23"/>
      <c r="I121" s="21">
        <f t="shared" si="6"/>
        <v>345.34</v>
      </c>
      <c r="J121" s="23"/>
      <c r="K121" s="21">
        <f t="shared" si="4"/>
        <v>276175.29</v>
      </c>
      <c r="L121" s="23"/>
      <c r="M121" s="21">
        <f t="shared" si="7"/>
        <v>970.15</v>
      </c>
    </row>
    <row r="122" ht="20.25" customHeight="1" outlineLevel="1">
      <c r="A122" s="18">
        <v>45912.0</v>
      </c>
      <c r="B122" s="13" t="s">
        <v>16</v>
      </c>
      <c r="C122" s="41" t="s">
        <v>134</v>
      </c>
      <c r="D122" s="20"/>
      <c r="E122" s="21">
        <f t="shared" si="1"/>
        <v>9652.87</v>
      </c>
      <c r="F122" s="23"/>
      <c r="G122" s="21">
        <f t="shared" si="2"/>
        <v>221186.75</v>
      </c>
      <c r="H122" s="23"/>
      <c r="I122" s="21">
        <f t="shared" si="6"/>
        <v>345.34</v>
      </c>
      <c r="J122" s="71">
        <v>1950.0</v>
      </c>
      <c r="K122" s="21">
        <f t="shared" si="4"/>
        <v>278125.29</v>
      </c>
      <c r="L122" s="23"/>
      <c r="M122" s="21">
        <f t="shared" si="7"/>
        <v>970.15</v>
      </c>
    </row>
    <row r="123" ht="20.25" customHeight="1" outlineLevel="1">
      <c r="A123" s="18">
        <v>45912.0</v>
      </c>
      <c r="B123" s="13" t="s">
        <v>16</v>
      </c>
      <c r="C123" s="45" t="s">
        <v>135</v>
      </c>
      <c r="D123" s="20"/>
      <c r="E123" s="21">
        <f t="shared" si="1"/>
        <v>9652.87</v>
      </c>
      <c r="F123" s="23"/>
      <c r="G123" s="21">
        <f t="shared" si="2"/>
        <v>221186.75</v>
      </c>
      <c r="H123" s="23"/>
      <c r="I123" s="21">
        <f t="shared" si="6"/>
        <v>345.34</v>
      </c>
      <c r="J123" s="71">
        <v>705.0</v>
      </c>
      <c r="K123" s="21">
        <f t="shared" si="4"/>
        <v>278830.29</v>
      </c>
      <c r="L123" s="23"/>
      <c r="M123" s="21">
        <f t="shared" si="7"/>
        <v>970.15</v>
      </c>
    </row>
    <row r="124" ht="20.25" customHeight="1" outlineLevel="1">
      <c r="A124" s="18">
        <v>45912.0</v>
      </c>
      <c r="B124" s="13" t="s">
        <v>16</v>
      </c>
      <c r="C124" s="45" t="s">
        <v>136</v>
      </c>
      <c r="D124" s="20"/>
      <c r="E124" s="21">
        <f t="shared" si="1"/>
        <v>9652.87</v>
      </c>
      <c r="F124" s="23"/>
      <c r="G124" s="21">
        <f t="shared" si="2"/>
        <v>221186.75</v>
      </c>
      <c r="H124" s="23"/>
      <c r="I124" s="21">
        <f t="shared" si="6"/>
        <v>345.34</v>
      </c>
      <c r="J124" s="71">
        <v>395.0</v>
      </c>
      <c r="K124" s="21">
        <f t="shared" si="4"/>
        <v>279225.29</v>
      </c>
      <c r="L124" s="23"/>
      <c r="M124" s="21">
        <f t="shared" si="7"/>
        <v>970.15</v>
      </c>
    </row>
    <row r="125" ht="20.25" customHeight="1" outlineLevel="1">
      <c r="A125" s="18">
        <v>45912.0</v>
      </c>
      <c r="B125" s="13" t="s">
        <v>14</v>
      </c>
      <c r="C125" s="72" t="s">
        <v>34</v>
      </c>
      <c r="D125" s="20"/>
      <c r="E125" s="21">
        <f t="shared" si="1"/>
        <v>9652.87</v>
      </c>
      <c r="F125" s="23"/>
      <c r="G125" s="21">
        <f t="shared" si="2"/>
        <v>221186.75</v>
      </c>
      <c r="H125" s="23"/>
      <c r="I125" s="21">
        <f t="shared" si="6"/>
        <v>345.34</v>
      </c>
      <c r="J125" s="22">
        <v>-23.89</v>
      </c>
      <c r="K125" s="21">
        <f t="shared" si="4"/>
        <v>279201.4</v>
      </c>
      <c r="L125" s="23"/>
      <c r="M125" s="21">
        <f t="shared" si="7"/>
        <v>970.15</v>
      </c>
    </row>
    <row r="126" ht="20.25" customHeight="1" outlineLevel="1">
      <c r="A126" s="12">
        <v>45912.0</v>
      </c>
      <c r="B126" s="13" t="s">
        <v>137</v>
      </c>
      <c r="C126" s="44" t="s">
        <v>138</v>
      </c>
      <c r="D126" s="20"/>
      <c r="E126" s="21">
        <f t="shared" si="1"/>
        <v>9652.87</v>
      </c>
      <c r="F126" s="22">
        <v>-107.05</v>
      </c>
      <c r="G126" s="21">
        <f t="shared" si="2"/>
        <v>221079.7</v>
      </c>
      <c r="H126" s="23"/>
      <c r="I126" s="21">
        <f t="shared" si="6"/>
        <v>345.34</v>
      </c>
      <c r="J126" s="23"/>
      <c r="K126" s="21">
        <f t="shared" si="4"/>
        <v>279201.4</v>
      </c>
      <c r="L126" s="23"/>
      <c r="M126" s="21">
        <f t="shared" si="7"/>
        <v>970.15</v>
      </c>
    </row>
    <row r="127" ht="20.25" customHeight="1" outlineLevel="1">
      <c r="A127" s="12">
        <v>45912.0</v>
      </c>
      <c r="B127" s="13" t="s">
        <v>12</v>
      </c>
      <c r="C127" s="44" t="s">
        <v>139</v>
      </c>
      <c r="D127" s="20"/>
      <c r="E127" s="21">
        <f t="shared" si="1"/>
        <v>9652.87</v>
      </c>
      <c r="F127" s="22">
        <v>-290.0</v>
      </c>
      <c r="G127" s="21">
        <f t="shared" si="2"/>
        <v>220789.7</v>
      </c>
      <c r="H127" s="23"/>
      <c r="I127" s="21">
        <f t="shared" si="6"/>
        <v>345.34</v>
      </c>
      <c r="J127" s="23"/>
      <c r="K127" s="21">
        <f t="shared" si="4"/>
        <v>279201.4</v>
      </c>
      <c r="L127" s="23"/>
      <c r="M127" s="21">
        <f t="shared" si="7"/>
        <v>970.15</v>
      </c>
    </row>
    <row r="128" ht="20.25" customHeight="1" outlineLevel="1">
      <c r="A128" s="12">
        <v>45912.0</v>
      </c>
      <c r="B128" s="13" t="s">
        <v>137</v>
      </c>
      <c r="C128" s="44" t="s">
        <v>140</v>
      </c>
      <c r="D128" s="20"/>
      <c r="E128" s="21">
        <f t="shared" si="1"/>
        <v>9652.87</v>
      </c>
      <c r="F128" s="22">
        <v>-643.92</v>
      </c>
      <c r="G128" s="21">
        <f t="shared" si="2"/>
        <v>220145.78</v>
      </c>
      <c r="H128" s="23"/>
      <c r="I128" s="21">
        <f t="shared" si="6"/>
        <v>345.34</v>
      </c>
      <c r="J128" s="23"/>
      <c r="K128" s="21">
        <f t="shared" si="4"/>
        <v>279201.4</v>
      </c>
      <c r="L128" s="23"/>
      <c r="M128" s="21">
        <f t="shared" si="7"/>
        <v>970.15</v>
      </c>
    </row>
    <row r="129" ht="20.25" customHeight="1" outlineLevel="1">
      <c r="A129" s="12">
        <v>45912.0</v>
      </c>
      <c r="B129" s="13" t="s">
        <v>137</v>
      </c>
      <c r="C129" s="44" t="s">
        <v>141</v>
      </c>
      <c r="D129" s="20"/>
      <c r="E129" s="21">
        <f t="shared" si="1"/>
        <v>9652.87</v>
      </c>
      <c r="F129" s="22">
        <v>-164.8</v>
      </c>
      <c r="G129" s="21">
        <f t="shared" si="2"/>
        <v>219980.98</v>
      </c>
      <c r="H129" s="23"/>
      <c r="I129" s="21">
        <f t="shared" si="6"/>
        <v>345.34</v>
      </c>
      <c r="J129" s="23"/>
      <c r="K129" s="21">
        <f t="shared" si="4"/>
        <v>279201.4</v>
      </c>
      <c r="L129" s="23"/>
      <c r="M129" s="21">
        <f t="shared" si="7"/>
        <v>970.15</v>
      </c>
    </row>
    <row r="130" ht="20.25" customHeight="1" outlineLevel="1">
      <c r="A130" s="12">
        <v>45912.0</v>
      </c>
      <c r="B130" s="13" t="s">
        <v>16</v>
      </c>
      <c r="C130" s="28" t="s">
        <v>142</v>
      </c>
      <c r="D130" s="20"/>
      <c r="E130" s="21">
        <f t="shared" si="1"/>
        <v>9652.87</v>
      </c>
      <c r="F130" s="27">
        <v>2593.0</v>
      </c>
      <c r="G130" s="21">
        <f t="shared" si="2"/>
        <v>222573.98</v>
      </c>
      <c r="H130" s="23"/>
      <c r="I130" s="21">
        <f t="shared" si="6"/>
        <v>345.34</v>
      </c>
      <c r="J130" s="23"/>
      <c r="K130" s="21">
        <f t="shared" si="4"/>
        <v>279201.4</v>
      </c>
      <c r="L130" s="23"/>
      <c r="M130" s="21">
        <f t="shared" si="7"/>
        <v>970.15</v>
      </c>
    </row>
    <row r="131" ht="20.25" customHeight="1" outlineLevel="1">
      <c r="A131" s="12">
        <v>45912.0</v>
      </c>
      <c r="B131" s="13" t="s">
        <v>16</v>
      </c>
      <c r="C131" s="28" t="s">
        <v>143</v>
      </c>
      <c r="D131" s="20"/>
      <c r="E131" s="21">
        <f t="shared" si="1"/>
        <v>9652.87</v>
      </c>
      <c r="F131" s="27">
        <v>1440.0</v>
      </c>
      <c r="G131" s="21">
        <f t="shared" si="2"/>
        <v>224013.98</v>
      </c>
      <c r="H131" s="23"/>
      <c r="I131" s="21">
        <f t="shared" si="6"/>
        <v>345.34</v>
      </c>
      <c r="J131" s="23"/>
      <c r="K131" s="21">
        <f t="shared" si="4"/>
        <v>279201.4</v>
      </c>
      <c r="L131" s="23"/>
      <c r="M131" s="21">
        <f t="shared" si="7"/>
        <v>970.15</v>
      </c>
    </row>
    <row r="132" ht="20.25" customHeight="1" outlineLevel="1">
      <c r="A132" s="12">
        <v>45912.0</v>
      </c>
      <c r="B132" s="13" t="s">
        <v>16</v>
      </c>
      <c r="C132" s="28" t="s">
        <v>144</v>
      </c>
      <c r="D132" s="20"/>
      <c r="E132" s="21">
        <f t="shared" si="1"/>
        <v>9652.87</v>
      </c>
      <c r="F132" s="26">
        <v>3135.0</v>
      </c>
      <c r="G132" s="21">
        <f t="shared" si="2"/>
        <v>227148.98</v>
      </c>
      <c r="H132" s="23"/>
      <c r="I132" s="21">
        <f t="shared" si="6"/>
        <v>345.34</v>
      </c>
      <c r="J132" s="23"/>
      <c r="K132" s="21">
        <f t="shared" si="4"/>
        <v>279201.4</v>
      </c>
      <c r="L132" s="23"/>
      <c r="M132" s="21">
        <f t="shared" si="7"/>
        <v>970.15</v>
      </c>
    </row>
    <row r="133" ht="20.25" customHeight="1" outlineLevel="1">
      <c r="A133" s="12">
        <v>45912.0</v>
      </c>
      <c r="B133" s="46" t="s">
        <v>16</v>
      </c>
      <c r="C133" s="28" t="s">
        <v>145</v>
      </c>
      <c r="D133" s="20"/>
      <c r="E133" s="21">
        <f t="shared" si="1"/>
        <v>9652.87</v>
      </c>
      <c r="F133" s="27">
        <v>1699.5</v>
      </c>
      <c r="G133" s="21">
        <f t="shared" si="2"/>
        <v>228848.48</v>
      </c>
      <c r="H133" s="23"/>
      <c r="I133" s="21">
        <f t="shared" si="6"/>
        <v>345.34</v>
      </c>
      <c r="J133" s="23"/>
      <c r="K133" s="21">
        <f t="shared" si="4"/>
        <v>279201.4</v>
      </c>
      <c r="L133" s="23"/>
      <c r="M133" s="21">
        <f t="shared" si="7"/>
        <v>970.15</v>
      </c>
    </row>
    <row r="134" ht="20.25" customHeight="1" outlineLevel="1">
      <c r="A134" s="12">
        <v>45912.0</v>
      </c>
      <c r="B134" s="46" t="s">
        <v>16</v>
      </c>
      <c r="C134" s="41" t="s">
        <v>146</v>
      </c>
      <c r="D134" s="20"/>
      <c r="E134" s="21">
        <f t="shared" si="1"/>
        <v>9652.87</v>
      </c>
      <c r="F134" s="23"/>
      <c r="G134" s="21">
        <f t="shared" si="2"/>
        <v>228848.48</v>
      </c>
      <c r="H134" s="23"/>
      <c r="I134" s="21">
        <f t="shared" si="6"/>
        <v>345.34</v>
      </c>
      <c r="J134" s="35">
        <v>273.0</v>
      </c>
      <c r="K134" s="21">
        <f t="shared" si="4"/>
        <v>279474.4</v>
      </c>
      <c r="L134" s="23"/>
      <c r="M134" s="21">
        <f t="shared" si="7"/>
        <v>970.15</v>
      </c>
    </row>
    <row r="135" ht="20.25" customHeight="1" outlineLevel="1">
      <c r="A135" s="12">
        <v>45912.0</v>
      </c>
      <c r="B135" s="46" t="s">
        <v>16</v>
      </c>
      <c r="C135" s="42" t="s">
        <v>147</v>
      </c>
      <c r="D135" s="20"/>
      <c r="E135" s="21">
        <f t="shared" si="1"/>
        <v>9652.87</v>
      </c>
      <c r="F135" s="23"/>
      <c r="G135" s="21">
        <f t="shared" si="2"/>
        <v>228848.48</v>
      </c>
      <c r="H135" s="23"/>
      <c r="I135" s="21">
        <f t="shared" si="6"/>
        <v>345.34</v>
      </c>
      <c r="J135" s="27">
        <v>1425.0</v>
      </c>
      <c r="K135" s="21">
        <f t="shared" si="4"/>
        <v>280899.4</v>
      </c>
      <c r="L135" s="23"/>
      <c r="M135" s="21">
        <f t="shared" si="7"/>
        <v>970.15</v>
      </c>
    </row>
    <row r="136" ht="20.25" customHeight="1" outlineLevel="1">
      <c r="A136" s="12">
        <v>45912.0</v>
      </c>
      <c r="B136" s="46" t="s">
        <v>16</v>
      </c>
      <c r="C136" s="49" t="s">
        <v>148</v>
      </c>
      <c r="D136" s="20">
        <v>640.0</v>
      </c>
      <c r="E136" s="21">
        <f t="shared" si="1"/>
        <v>10292.87</v>
      </c>
      <c r="F136" s="23"/>
      <c r="G136" s="21">
        <f t="shared" si="2"/>
        <v>228848.48</v>
      </c>
      <c r="H136" s="23"/>
      <c r="I136" s="21">
        <f t="shared" si="6"/>
        <v>345.34</v>
      </c>
      <c r="J136" s="23"/>
      <c r="K136" s="21">
        <f t="shared" si="4"/>
        <v>280899.4</v>
      </c>
      <c r="L136" s="23"/>
      <c r="M136" s="21">
        <f t="shared" si="7"/>
        <v>970.15</v>
      </c>
    </row>
    <row r="137" ht="20.25" customHeight="1" outlineLevel="1">
      <c r="A137" s="12">
        <v>45912.0</v>
      </c>
      <c r="B137" s="46" t="s">
        <v>14</v>
      </c>
      <c r="C137" s="49" t="s">
        <v>149</v>
      </c>
      <c r="D137" s="73">
        <v>-13.6</v>
      </c>
      <c r="E137" s="21">
        <f t="shared" si="1"/>
        <v>10279.27</v>
      </c>
      <c r="F137" s="23"/>
      <c r="G137" s="21">
        <f t="shared" si="2"/>
        <v>228848.48</v>
      </c>
      <c r="H137" s="23"/>
      <c r="I137" s="21">
        <f t="shared" si="6"/>
        <v>345.34</v>
      </c>
      <c r="J137" s="23"/>
      <c r="K137" s="21">
        <f t="shared" si="4"/>
        <v>280899.4</v>
      </c>
      <c r="L137" s="23"/>
      <c r="M137" s="21">
        <f t="shared" si="7"/>
        <v>970.15</v>
      </c>
    </row>
    <row r="138" ht="20.25" customHeight="1" outlineLevel="1">
      <c r="A138" s="12">
        <v>45912.0</v>
      </c>
      <c r="B138" s="46" t="s">
        <v>14</v>
      </c>
      <c r="C138" s="49" t="s">
        <v>150</v>
      </c>
      <c r="D138" s="20"/>
      <c r="E138" s="21">
        <f t="shared" si="1"/>
        <v>10279.27</v>
      </c>
      <c r="F138" s="23"/>
      <c r="G138" s="21">
        <f t="shared" si="2"/>
        <v>228848.48</v>
      </c>
      <c r="H138" s="22">
        <v>-16.93</v>
      </c>
      <c r="I138" s="21">
        <f t="shared" si="6"/>
        <v>328.41</v>
      </c>
      <c r="J138" s="74"/>
      <c r="K138" s="21">
        <f t="shared" si="4"/>
        <v>280899.4</v>
      </c>
      <c r="L138" s="23"/>
      <c r="M138" s="21">
        <f t="shared" si="7"/>
        <v>970.15</v>
      </c>
    </row>
    <row r="139" ht="20.25" customHeight="1" outlineLevel="1">
      <c r="A139" s="12">
        <v>45912.0</v>
      </c>
      <c r="B139" s="46" t="s">
        <v>12</v>
      </c>
      <c r="C139" s="49" t="s">
        <v>151</v>
      </c>
      <c r="D139" s="20"/>
      <c r="E139" s="21">
        <f t="shared" si="1"/>
        <v>10279.27</v>
      </c>
      <c r="F139" s="23"/>
      <c r="G139" s="21">
        <f t="shared" si="2"/>
        <v>228848.48</v>
      </c>
      <c r="H139" s="22">
        <v>-34.62</v>
      </c>
      <c r="I139" s="21">
        <f t="shared" si="6"/>
        <v>293.79</v>
      </c>
      <c r="J139" s="74"/>
      <c r="K139" s="21">
        <f t="shared" si="4"/>
        <v>280899.4</v>
      </c>
      <c r="L139" s="23"/>
      <c r="M139" s="21">
        <f t="shared" si="7"/>
        <v>970.15</v>
      </c>
    </row>
    <row r="140" ht="20.25" customHeight="1" outlineLevel="1">
      <c r="A140" s="12">
        <v>45912.0</v>
      </c>
      <c r="B140" s="46" t="s">
        <v>12</v>
      </c>
      <c r="C140" s="75" t="s">
        <v>152</v>
      </c>
      <c r="D140" s="20"/>
      <c r="E140" s="21">
        <f t="shared" si="1"/>
        <v>10279.27</v>
      </c>
      <c r="F140" s="23"/>
      <c r="G140" s="21">
        <f t="shared" si="2"/>
        <v>228848.48</v>
      </c>
      <c r="H140" s="22">
        <v>-287.34</v>
      </c>
      <c r="I140" s="21">
        <f t="shared" si="6"/>
        <v>6.45</v>
      </c>
      <c r="J140" s="74"/>
      <c r="K140" s="21">
        <f t="shared" si="4"/>
        <v>280899.4</v>
      </c>
      <c r="L140" s="23"/>
      <c r="M140" s="21">
        <f t="shared" si="7"/>
        <v>970.15</v>
      </c>
    </row>
    <row r="141" ht="20.25" customHeight="1" outlineLevel="1">
      <c r="A141" s="18">
        <v>45912.0</v>
      </c>
      <c r="B141" s="13" t="s">
        <v>14</v>
      </c>
      <c r="C141" s="28" t="s">
        <v>153</v>
      </c>
      <c r="D141" s="20"/>
      <c r="E141" s="21">
        <f t="shared" si="1"/>
        <v>10279.27</v>
      </c>
      <c r="F141" s="23"/>
      <c r="G141" s="21">
        <f t="shared" si="2"/>
        <v>228848.48</v>
      </c>
      <c r="H141" s="22">
        <v>-6.93</v>
      </c>
      <c r="I141" s="21">
        <f t="shared" si="6"/>
        <v>-0.48</v>
      </c>
      <c r="J141" s="24"/>
      <c r="K141" s="21">
        <f t="shared" si="4"/>
        <v>280899.4</v>
      </c>
      <c r="L141" s="23"/>
      <c r="M141" s="21">
        <f t="shared" si="7"/>
        <v>970.15</v>
      </c>
    </row>
    <row r="142" ht="20.25" customHeight="1" outlineLevel="1">
      <c r="A142" s="12">
        <v>45913.0</v>
      </c>
      <c r="B142" s="13" t="s">
        <v>14</v>
      </c>
      <c r="C142" s="28" t="s">
        <v>154</v>
      </c>
      <c r="D142" s="73">
        <v>-20.0</v>
      </c>
      <c r="E142" s="21">
        <f t="shared" si="1"/>
        <v>10259.27</v>
      </c>
      <c r="F142" s="23"/>
      <c r="G142" s="21">
        <f t="shared" si="2"/>
        <v>228848.48</v>
      </c>
      <c r="H142" s="23"/>
      <c r="I142" s="21">
        <f t="shared" si="6"/>
        <v>-0.48</v>
      </c>
      <c r="J142" s="23"/>
      <c r="K142" s="21">
        <f t="shared" si="4"/>
        <v>280899.4</v>
      </c>
      <c r="L142" s="23"/>
      <c r="M142" s="21">
        <f t="shared" si="7"/>
        <v>970.15</v>
      </c>
    </row>
    <row r="143" ht="20.25" customHeight="1" outlineLevel="1">
      <c r="A143" s="30">
        <v>45915.0</v>
      </c>
      <c r="B143" s="13" t="s">
        <v>16</v>
      </c>
      <c r="C143" s="28" t="s">
        <v>155</v>
      </c>
      <c r="D143" s="20"/>
      <c r="E143" s="21">
        <f t="shared" si="1"/>
        <v>10259.27</v>
      </c>
      <c r="F143" s="31">
        <v>8104.81</v>
      </c>
      <c r="G143" s="21">
        <f t="shared" si="2"/>
        <v>236953.29</v>
      </c>
      <c r="H143" s="23"/>
      <c r="I143" s="21">
        <f t="shared" si="6"/>
        <v>-0.48</v>
      </c>
      <c r="J143" s="23"/>
      <c r="K143" s="21">
        <f t="shared" si="4"/>
        <v>280899.4</v>
      </c>
      <c r="L143" s="23"/>
      <c r="M143" s="21">
        <f t="shared" si="7"/>
        <v>970.15</v>
      </c>
    </row>
    <row r="144" ht="20.25" customHeight="1" outlineLevel="1">
      <c r="A144" s="30">
        <v>45915.0</v>
      </c>
      <c r="B144" s="13" t="s">
        <v>16</v>
      </c>
      <c r="C144" s="41" t="s">
        <v>156</v>
      </c>
      <c r="D144" s="20"/>
      <c r="E144" s="21">
        <f t="shared" si="1"/>
        <v>10259.27</v>
      </c>
      <c r="F144" s="76"/>
      <c r="G144" s="21">
        <f t="shared" si="2"/>
        <v>236953.29</v>
      </c>
      <c r="H144" s="23"/>
      <c r="I144" s="21">
        <f t="shared" si="6"/>
        <v>-0.48</v>
      </c>
      <c r="J144" s="35">
        <v>415.0</v>
      </c>
      <c r="K144" s="21">
        <f t="shared" si="4"/>
        <v>281314.4</v>
      </c>
      <c r="L144" s="23"/>
      <c r="M144" s="21">
        <f t="shared" si="7"/>
        <v>970.15</v>
      </c>
    </row>
    <row r="145" ht="20.25" customHeight="1" outlineLevel="1">
      <c r="A145" s="12">
        <v>45915.0</v>
      </c>
      <c r="B145" s="13" t="s">
        <v>16</v>
      </c>
      <c r="C145" s="41" t="s">
        <v>157</v>
      </c>
      <c r="D145" s="20"/>
      <c r="E145" s="21">
        <f t="shared" si="1"/>
        <v>10259.27</v>
      </c>
      <c r="F145" s="23"/>
      <c r="G145" s="21">
        <f t="shared" si="2"/>
        <v>236953.29</v>
      </c>
      <c r="H145" s="23"/>
      <c r="I145" s="21">
        <f t="shared" si="6"/>
        <v>-0.48</v>
      </c>
      <c r="J145" s="35">
        <v>665.0</v>
      </c>
      <c r="K145" s="21">
        <f t="shared" si="4"/>
        <v>281979.4</v>
      </c>
      <c r="L145" s="23"/>
      <c r="M145" s="21">
        <f t="shared" si="7"/>
        <v>970.15</v>
      </c>
    </row>
    <row r="146" ht="20.25" customHeight="1" outlineLevel="1">
      <c r="A146" s="12">
        <v>45915.0</v>
      </c>
      <c r="B146" s="13" t="s">
        <v>16</v>
      </c>
      <c r="C146" s="41" t="s">
        <v>158</v>
      </c>
      <c r="D146" s="20"/>
      <c r="E146" s="21">
        <f t="shared" si="1"/>
        <v>10259.27</v>
      </c>
      <c r="F146" s="23"/>
      <c r="G146" s="21">
        <f t="shared" si="2"/>
        <v>236953.29</v>
      </c>
      <c r="H146" s="23"/>
      <c r="I146" s="21">
        <f t="shared" si="6"/>
        <v>-0.48</v>
      </c>
      <c r="J146" s="35">
        <v>569.0</v>
      </c>
      <c r="K146" s="21">
        <f t="shared" si="4"/>
        <v>282548.4</v>
      </c>
      <c r="L146" s="23"/>
      <c r="M146" s="21">
        <f t="shared" si="7"/>
        <v>970.15</v>
      </c>
    </row>
    <row r="147" ht="20.25" customHeight="1" outlineLevel="1">
      <c r="A147" s="12">
        <v>45915.0</v>
      </c>
      <c r="B147" s="13" t="s">
        <v>16</v>
      </c>
      <c r="C147" s="41" t="s">
        <v>159</v>
      </c>
      <c r="D147" s="20"/>
      <c r="E147" s="21">
        <f t="shared" si="1"/>
        <v>10259.27</v>
      </c>
      <c r="F147" s="23"/>
      <c r="G147" s="21">
        <f t="shared" si="2"/>
        <v>236953.29</v>
      </c>
      <c r="H147" s="23"/>
      <c r="I147" s="21">
        <f t="shared" si="6"/>
        <v>-0.48</v>
      </c>
      <c r="J147" s="35">
        <v>985.0</v>
      </c>
      <c r="K147" s="21">
        <f t="shared" si="4"/>
        <v>283533.4</v>
      </c>
      <c r="L147" s="23"/>
      <c r="M147" s="21">
        <f t="shared" si="7"/>
        <v>970.15</v>
      </c>
    </row>
    <row r="148" ht="20.25" customHeight="1" outlineLevel="1">
      <c r="A148" s="12">
        <v>45915.0</v>
      </c>
      <c r="B148" s="13" t="s">
        <v>16</v>
      </c>
      <c r="C148" s="42" t="s">
        <v>160</v>
      </c>
      <c r="D148" s="20"/>
      <c r="E148" s="21">
        <f t="shared" si="1"/>
        <v>10259.27</v>
      </c>
      <c r="F148" s="23"/>
      <c r="G148" s="21">
        <f t="shared" si="2"/>
        <v>236953.29</v>
      </c>
      <c r="H148" s="23"/>
      <c r="I148" s="21">
        <f t="shared" si="6"/>
        <v>-0.48</v>
      </c>
      <c r="J148" s="27">
        <v>3312.0</v>
      </c>
      <c r="K148" s="21">
        <f t="shared" si="4"/>
        <v>286845.4</v>
      </c>
      <c r="L148" s="23"/>
      <c r="M148" s="21">
        <f t="shared" si="7"/>
        <v>970.15</v>
      </c>
    </row>
    <row r="149" ht="20.25" customHeight="1" outlineLevel="1">
      <c r="A149" s="12">
        <v>45915.0</v>
      </c>
      <c r="B149" s="13" t="s">
        <v>16</v>
      </c>
      <c r="C149" s="42" t="s">
        <v>161</v>
      </c>
      <c r="D149" s="20"/>
      <c r="E149" s="21">
        <f t="shared" si="1"/>
        <v>10259.27</v>
      </c>
      <c r="F149" s="23"/>
      <c r="G149" s="21">
        <f t="shared" si="2"/>
        <v>236953.29</v>
      </c>
      <c r="H149" s="23"/>
      <c r="I149" s="21">
        <f t="shared" si="6"/>
        <v>-0.48</v>
      </c>
      <c r="J149" s="27">
        <v>2169.5</v>
      </c>
      <c r="K149" s="21">
        <f t="shared" si="4"/>
        <v>289014.9</v>
      </c>
      <c r="L149" s="23"/>
      <c r="M149" s="21">
        <f t="shared" si="7"/>
        <v>970.15</v>
      </c>
    </row>
    <row r="150" ht="20.25" customHeight="1" outlineLevel="1">
      <c r="A150" s="12">
        <v>45915.0</v>
      </c>
      <c r="B150" s="13" t="s">
        <v>16</v>
      </c>
      <c r="C150" s="42" t="s">
        <v>162</v>
      </c>
      <c r="D150" s="20"/>
      <c r="E150" s="21">
        <f t="shared" si="1"/>
        <v>10259.27</v>
      </c>
      <c r="F150" s="23"/>
      <c r="G150" s="21">
        <f t="shared" si="2"/>
        <v>236953.29</v>
      </c>
      <c r="H150" s="23"/>
      <c r="I150" s="21">
        <f t="shared" si="6"/>
        <v>-0.48</v>
      </c>
      <c r="J150" s="27">
        <v>1385.0</v>
      </c>
      <c r="K150" s="21">
        <f t="shared" si="4"/>
        <v>290399.9</v>
      </c>
      <c r="L150" s="23"/>
      <c r="M150" s="21">
        <f t="shared" si="7"/>
        <v>970.15</v>
      </c>
    </row>
    <row r="151" ht="20.25" customHeight="1" outlineLevel="1">
      <c r="A151" s="12">
        <v>45915.0</v>
      </c>
      <c r="B151" s="13" t="s">
        <v>16</v>
      </c>
      <c r="C151" s="41" t="s">
        <v>163</v>
      </c>
      <c r="D151" s="20"/>
      <c r="E151" s="21">
        <f t="shared" si="1"/>
        <v>10259.27</v>
      </c>
      <c r="F151" s="23"/>
      <c r="G151" s="21">
        <f t="shared" si="2"/>
        <v>236953.29</v>
      </c>
      <c r="H151" s="23"/>
      <c r="I151" s="21">
        <f t="shared" si="6"/>
        <v>-0.48</v>
      </c>
      <c r="J151" s="35">
        <v>415.0</v>
      </c>
      <c r="K151" s="21">
        <f t="shared" si="4"/>
        <v>290814.9</v>
      </c>
      <c r="L151" s="23"/>
      <c r="M151" s="21">
        <f t="shared" si="7"/>
        <v>970.15</v>
      </c>
    </row>
    <row r="152" ht="20.25" customHeight="1" outlineLevel="1">
      <c r="A152" s="18">
        <v>45915.0</v>
      </c>
      <c r="B152" s="13" t="s">
        <v>16</v>
      </c>
      <c r="C152" s="28" t="s">
        <v>164</v>
      </c>
      <c r="D152" s="20"/>
      <c r="E152" s="21">
        <f t="shared" si="1"/>
        <v>10259.27</v>
      </c>
      <c r="F152" s="26">
        <v>2839.0</v>
      </c>
      <c r="G152" s="21">
        <f t="shared" si="2"/>
        <v>239792.29</v>
      </c>
      <c r="H152" s="23"/>
      <c r="I152" s="21">
        <f t="shared" si="6"/>
        <v>-0.48</v>
      </c>
      <c r="J152" s="24"/>
      <c r="K152" s="21">
        <f t="shared" si="4"/>
        <v>290814.9</v>
      </c>
      <c r="L152" s="23"/>
      <c r="M152" s="21">
        <f t="shared" si="7"/>
        <v>970.15</v>
      </c>
    </row>
    <row r="153" ht="20.25" customHeight="1" outlineLevel="1">
      <c r="A153" s="18">
        <v>45915.0</v>
      </c>
      <c r="B153" s="13" t="s">
        <v>16</v>
      </c>
      <c r="C153" s="32" t="s">
        <v>165</v>
      </c>
      <c r="D153" s="20"/>
      <c r="E153" s="21">
        <f t="shared" si="1"/>
        <v>10259.27</v>
      </c>
      <c r="F153" s="27">
        <v>2721.5</v>
      </c>
      <c r="G153" s="21">
        <f t="shared" si="2"/>
        <v>242513.79</v>
      </c>
      <c r="H153" s="23"/>
      <c r="I153" s="21">
        <f t="shared" si="6"/>
        <v>-0.48</v>
      </c>
      <c r="J153" s="24"/>
      <c r="K153" s="21">
        <f t="shared" si="4"/>
        <v>290814.9</v>
      </c>
      <c r="L153" s="23"/>
      <c r="M153" s="21">
        <f t="shared" si="7"/>
        <v>970.15</v>
      </c>
    </row>
    <row r="154" ht="20.25" customHeight="1" outlineLevel="1">
      <c r="A154" s="18">
        <v>45915.0</v>
      </c>
      <c r="B154" s="13" t="s">
        <v>16</v>
      </c>
      <c r="C154" s="25" t="s">
        <v>166</v>
      </c>
      <c r="D154" s="20"/>
      <c r="E154" s="21">
        <f t="shared" si="1"/>
        <v>10259.27</v>
      </c>
      <c r="F154" s="27">
        <v>695.0</v>
      </c>
      <c r="G154" s="21">
        <f t="shared" si="2"/>
        <v>243208.79</v>
      </c>
      <c r="H154" s="23"/>
      <c r="I154" s="21">
        <f t="shared" si="6"/>
        <v>-0.48</v>
      </c>
      <c r="J154" s="24"/>
      <c r="K154" s="21">
        <f t="shared" si="4"/>
        <v>290814.9</v>
      </c>
      <c r="L154" s="23"/>
      <c r="M154" s="21">
        <f t="shared" si="7"/>
        <v>970.15</v>
      </c>
    </row>
    <row r="155" ht="20.25" customHeight="1" outlineLevel="1">
      <c r="A155" s="12">
        <v>45915.0</v>
      </c>
      <c r="B155" s="13" t="s">
        <v>16</v>
      </c>
      <c r="C155" s="77" t="s">
        <v>167</v>
      </c>
      <c r="D155" s="20"/>
      <c r="E155" s="21">
        <f t="shared" si="1"/>
        <v>10259.27</v>
      </c>
      <c r="F155" s="26">
        <v>2060.0</v>
      </c>
      <c r="G155" s="21">
        <f t="shared" si="2"/>
        <v>245268.79</v>
      </c>
      <c r="H155" s="23"/>
      <c r="I155" s="21">
        <f t="shared" si="6"/>
        <v>-0.48</v>
      </c>
      <c r="J155" s="23"/>
      <c r="K155" s="21">
        <f t="shared" si="4"/>
        <v>290814.9</v>
      </c>
      <c r="L155" s="23"/>
      <c r="M155" s="21">
        <f t="shared" si="7"/>
        <v>970.15</v>
      </c>
    </row>
    <row r="156" ht="20.25" customHeight="1" outlineLevel="1">
      <c r="A156" s="12">
        <v>45915.0</v>
      </c>
      <c r="B156" s="13" t="s">
        <v>16</v>
      </c>
      <c r="C156" s="25" t="s">
        <v>168</v>
      </c>
      <c r="D156" s="20"/>
      <c r="E156" s="21">
        <f t="shared" si="1"/>
        <v>10259.27</v>
      </c>
      <c r="F156" s="27">
        <v>3269.0</v>
      </c>
      <c r="G156" s="21">
        <f t="shared" si="2"/>
        <v>248537.79</v>
      </c>
      <c r="H156" s="23"/>
      <c r="I156" s="21">
        <f t="shared" si="6"/>
        <v>-0.48</v>
      </c>
      <c r="J156" s="23"/>
      <c r="K156" s="21">
        <f t="shared" si="4"/>
        <v>290814.9</v>
      </c>
      <c r="L156" s="23"/>
      <c r="M156" s="21">
        <f t="shared" si="7"/>
        <v>970.15</v>
      </c>
    </row>
    <row r="157" ht="20.25" customHeight="1" outlineLevel="1">
      <c r="A157" s="30">
        <v>45915.0</v>
      </c>
      <c r="B157" s="13" t="s">
        <v>16</v>
      </c>
      <c r="C157" s="25" t="s">
        <v>169</v>
      </c>
      <c r="D157" s="20"/>
      <c r="E157" s="21">
        <f t="shared" si="1"/>
        <v>10259.27</v>
      </c>
      <c r="F157" s="26">
        <v>2992.0</v>
      </c>
      <c r="G157" s="21">
        <f t="shared" si="2"/>
        <v>251529.79</v>
      </c>
      <c r="H157" s="23"/>
      <c r="I157" s="21">
        <f t="shared" si="6"/>
        <v>-0.48</v>
      </c>
      <c r="J157" s="23"/>
      <c r="K157" s="21">
        <f t="shared" si="4"/>
        <v>290814.9</v>
      </c>
      <c r="L157" s="23"/>
      <c r="M157" s="21">
        <f t="shared" si="7"/>
        <v>970.15</v>
      </c>
    </row>
    <row r="158" ht="20.25" customHeight="1" outlineLevel="1">
      <c r="A158" s="12">
        <v>45915.0</v>
      </c>
      <c r="B158" s="13" t="s">
        <v>16</v>
      </c>
      <c r="C158" s="25" t="s">
        <v>170</v>
      </c>
      <c r="D158" s="20"/>
      <c r="E158" s="21">
        <f t="shared" si="1"/>
        <v>10259.27</v>
      </c>
      <c r="F158" s="27">
        <v>2466.5</v>
      </c>
      <c r="G158" s="21">
        <f t="shared" si="2"/>
        <v>253996.29</v>
      </c>
      <c r="H158" s="23"/>
      <c r="I158" s="21">
        <f t="shared" si="6"/>
        <v>-0.48</v>
      </c>
      <c r="J158" s="23"/>
      <c r="K158" s="21">
        <f t="shared" si="4"/>
        <v>290814.9</v>
      </c>
      <c r="L158" s="23"/>
      <c r="M158" s="21">
        <f t="shared" si="7"/>
        <v>970.15</v>
      </c>
    </row>
    <row r="159" ht="20.25" customHeight="1" outlineLevel="1">
      <c r="A159" s="12">
        <v>45915.0</v>
      </c>
      <c r="B159" s="13" t="s">
        <v>16</v>
      </c>
      <c r="C159" s="28" t="s">
        <v>171</v>
      </c>
      <c r="D159" s="20">
        <v>1500.0</v>
      </c>
      <c r="E159" s="21">
        <f t="shared" si="1"/>
        <v>11759.27</v>
      </c>
      <c r="F159" s="23"/>
      <c r="G159" s="21">
        <f t="shared" si="2"/>
        <v>253996.29</v>
      </c>
      <c r="H159" s="23"/>
      <c r="I159" s="21">
        <f t="shared" si="6"/>
        <v>-0.48</v>
      </c>
      <c r="J159" s="23"/>
      <c r="K159" s="21">
        <f t="shared" si="4"/>
        <v>290814.9</v>
      </c>
      <c r="L159" s="23"/>
      <c r="M159" s="21">
        <f t="shared" si="7"/>
        <v>970.15</v>
      </c>
    </row>
    <row r="160" ht="20.25" customHeight="1" outlineLevel="1">
      <c r="A160" s="12">
        <v>45916.0</v>
      </c>
      <c r="B160" s="13" t="s">
        <v>16</v>
      </c>
      <c r="C160" s="41" t="s">
        <v>172</v>
      </c>
      <c r="D160" s="20"/>
      <c r="E160" s="21">
        <f t="shared" si="1"/>
        <v>11759.27</v>
      </c>
      <c r="F160" s="23"/>
      <c r="G160" s="21">
        <f t="shared" si="2"/>
        <v>253996.29</v>
      </c>
      <c r="H160" s="23"/>
      <c r="I160" s="21">
        <f t="shared" si="6"/>
        <v>-0.48</v>
      </c>
      <c r="J160" s="35">
        <v>415.0</v>
      </c>
      <c r="K160" s="21">
        <f t="shared" si="4"/>
        <v>291229.9</v>
      </c>
      <c r="L160" s="23"/>
      <c r="M160" s="21">
        <f t="shared" si="7"/>
        <v>970.15</v>
      </c>
    </row>
    <row r="161" ht="20.25" customHeight="1" outlineLevel="1">
      <c r="A161" s="18">
        <v>45916.0</v>
      </c>
      <c r="B161" s="13" t="s">
        <v>16</v>
      </c>
      <c r="C161" s="41" t="s">
        <v>173</v>
      </c>
      <c r="D161" s="20"/>
      <c r="E161" s="21">
        <f t="shared" si="1"/>
        <v>11759.27</v>
      </c>
      <c r="F161" s="23"/>
      <c r="G161" s="21">
        <f t="shared" si="2"/>
        <v>253996.29</v>
      </c>
      <c r="H161" s="23"/>
      <c r="I161" s="21">
        <f t="shared" si="6"/>
        <v>-0.48</v>
      </c>
      <c r="J161" s="60">
        <v>10.0</v>
      </c>
      <c r="K161" s="21">
        <f t="shared" si="4"/>
        <v>291239.9</v>
      </c>
      <c r="L161" s="23"/>
      <c r="M161" s="21">
        <f t="shared" si="7"/>
        <v>970.15</v>
      </c>
    </row>
    <row r="162" ht="20.25" customHeight="1" outlineLevel="1">
      <c r="A162" s="30">
        <v>45916.0</v>
      </c>
      <c r="B162" s="13" t="s">
        <v>174</v>
      </c>
      <c r="C162" s="42" t="s">
        <v>175</v>
      </c>
      <c r="D162" s="20"/>
      <c r="E162" s="21">
        <f t="shared" si="1"/>
        <v>11759.27</v>
      </c>
      <c r="F162" s="76"/>
      <c r="G162" s="21">
        <f t="shared" si="2"/>
        <v>253996.29</v>
      </c>
      <c r="H162" s="23"/>
      <c r="I162" s="21">
        <f t="shared" si="6"/>
        <v>-0.48</v>
      </c>
      <c r="J162" s="22">
        <v>-11061.65</v>
      </c>
      <c r="K162" s="21">
        <f t="shared" si="4"/>
        <v>280178.25</v>
      </c>
      <c r="L162" s="23"/>
      <c r="M162" s="21">
        <f t="shared" si="7"/>
        <v>970.15</v>
      </c>
    </row>
    <row r="163" ht="20.25" customHeight="1" outlineLevel="1">
      <c r="A163" s="30">
        <v>45916.0</v>
      </c>
      <c r="B163" s="13" t="s">
        <v>14</v>
      </c>
      <c r="C163" s="42" t="s">
        <v>34</v>
      </c>
      <c r="D163" s="20"/>
      <c r="E163" s="21">
        <f t="shared" si="1"/>
        <v>11759.27</v>
      </c>
      <c r="F163" s="76"/>
      <c r="G163" s="21">
        <f t="shared" si="2"/>
        <v>253996.29</v>
      </c>
      <c r="H163" s="23"/>
      <c r="I163" s="21">
        <f t="shared" si="6"/>
        <v>-0.48</v>
      </c>
      <c r="J163" s="22">
        <v>-230.97</v>
      </c>
      <c r="K163" s="21">
        <f t="shared" si="4"/>
        <v>279947.28</v>
      </c>
      <c r="L163" s="23"/>
      <c r="M163" s="21">
        <f t="shared" si="7"/>
        <v>970.15</v>
      </c>
    </row>
    <row r="164" ht="20.25" customHeight="1" outlineLevel="1">
      <c r="A164" s="18">
        <v>45916.0</v>
      </c>
      <c r="B164" s="13" t="s">
        <v>16</v>
      </c>
      <c r="C164" s="42" t="s">
        <v>176</v>
      </c>
      <c r="D164" s="20"/>
      <c r="E164" s="21">
        <f t="shared" si="1"/>
        <v>11759.27</v>
      </c>
      <c r="F164" s="23"/>
      <c r="G164" s="21">
        <f t="shared" si="2"/>
        <v>253996.29</v>
      </c>
      <c r="H164" s="23"/>
      <c r="I164" s="21">
        <f t="shared" si="6"/>
        <v>-0.48</v>
      </c>
      <c r="J164" s="54">
        <v>6730.0</v>
      </c>
      <c r="K164" s="21">
        <f t="shared" si="4"/>
        <v>286677.28</v>
      </c>
      <c r="L164" s="23"/>
      <c r="M164" s="21">
        <f t="shared" si="7"/>
        <v>970.15</v>
      </c>
    </row>
    <row r="165" ht="20.25" customHeight="1" outlineLevel="1">
      <c r="A165" s="18">
        <v>45916.0</v>
      </c>
      <c r="B165" s="13" t="s">
        <v>16</v>
      </c>
      <c r="C165" s="42" t="s">
        <v>177</v>
      </c>
      <c r="D165" s="20"/>
      <c r="E165" s="21">
        <f t="shared" si="1"/>
        <v>11759.27</v>
      </c>
      <c r="F165" s="23"/>
      <c r="G165" s="21">
        <f t="shared" si="2"/>
        <v>253996.29</v>
      </c>
      <c r="H165" s="23"/>
      <c r="I165" s="21">
        <f t="shared" si="6"/>
        <v>-0.48</v>
      </c>
      <c r="J165" s="54">
        <v>1045.0</v>
      </c>
      <c r="K165" s="21">
        <f t="shared" si="4"/>
        <v>287722.28</v>
      </c>
      <c r="L165" s="23"/>
      <c r="M165" s="21">
        <f t="shared" si="7"/>
        <v>970.15</v>
      </c>
    </row>
    <row r="166" ht="20.25" customHeight="1" outlineLevel="1">
      <c r="A166" s="30">
        <v>45916.0</v>
      </c>
      <c r="B166" s="13" t="s">
        <v>16</v>
      </c>
      <c r="C166" s="41" t="s">
        <v>178</v>
      </c>
      <c r="D166" s="20"/>
      <c r="E166" s="21">
        <f t="shared" si="1"/>
        <v>11759.27</v>
      </c>
      <c r="F166" s="62"/>
      <c r="G166" s="21">
        <f t="shared" si="2"/>
        <v>253996.29</v>
      </c>
      <c r="H166" s="23"/>
      <c r="I166" s="21">
        <f t="shared" si="6"/>
        <v>-0.48</v>
      </c>
      <c r="J166" s="35">
        <v>705.0</v>
      </c>
      <c r="K166" s="21">
        <f t="shared" si="4"/>
        <v>288427.28</v>
      </c>
      <c r="L166" s="23"/>
      <c r="M166" s="21">
        <f t="shared" si="7"/>
        <v>970.15</v>
      </c>
    </row>
    <row r="167" ht="20.25" customHeight="1" outlineLevel="1">
      <c r="A167" s="18">
        <v>45916.0</v>
      </c>
      <c r="B167" s="13" t="s">
        <v>179</v>
      </c>
      <c r="C167" s="28" t="s">
        <v>180</v>
      </c>
      <c r="D167" s="20"/>
      <c r="E167" s="21">
        <f t="shared" si="1"/>
        <v>11759.27</v>
      </c>
      <c r="F167" s="22">
        <v>-2000.0</v>
      </c>
      <c r="G167" s="21">
        <f t="shared" si="2"/>
        <v>251996.29</v>
      </c>
      <c r="H167" s="23"/>
      <c r="I167" s="21">
        <f t="shared" si="6"/>
        <v>-0.48</v>
      </c>
      <c r="J167" s="24"/>
      <c r="K167" s="21">
        <f t="shared" si="4"/>
        <v>288427.28</v>
      </c>
      <c r="L167" s="23"/>
      <c r="M167" s="21">
        <f t="shared" si="7"/>
        <v>970.15</v>
      </c>
    </row>
    <row r="168" ht="20.25" customHeight="1" outlineLevel="1">
      <c r="A168" s="12">
        <v>45916.0</v>
      </c>
      <c r="B168" s="13" t="s">
        <v>16</v>
      </c>
      <c r="C168" s="28" t="s">
        <v>181</v>
      </c>
      <c r="D168" s="20"/>
      <c r="E168" s="21">
        <f t="shared" si="1"/>
        <v>11759.27</v>
      </c>
      <c r="F168" s="27">
        <v>3237.0</v>
      </c>
      <c r="G168" s="21">
        <f t="shared" si="2"/>
        <v>255233.29</v>
      </c>
      <c r="H168" s="23"/>
      <c r="I168" s="21">
        <f t="shared" si="6"/>
        <v>-0.48</v>
      </c>
      <c r="J168" s="23"/>
      <c r="K168" s="21">
        <f t="shared" si="4"/>
        <v>288427.28</v>
      </c>
      <c r="L168" s="23"/>
      <c r="M168" s="21">
        <f t="shared" si="7"/>
        <v>970.15</v>
      </c>
    </row>
    <row r="169" ht="20.25" customHeight="1" outlineLevel="1">
      <c r="A169" s="18">
        <v>45916.0</v>
      </c>
      <c r="B169" s="13" t="s">
        <v>16</v>
      </c>
      <c r="C169" s="28" t="s">
        <v>182</v>
      </c>
      <c r="D169" s="20"/>
      <c r="E169" s="21">
        <f t="shared" si="1"/>
        <v>11759.27</v>
      </c>
      <c r="F169" s="27">
        <v>9365.0</v>
      </c>
      <c r="G169" s="21">
        <f t="shared" si="2"/>
        <v>264598.29</v>
      </c>
      <c r="H169" s="23"/>
      <c r="I169" s="21">
        <f t="shared" si="6"/>
        <v>-0.48</v>
      </c>
      <c r="J169" s="24"/>
      <c r="K169" s="21">
        <f t="shared" si="4"/>
        <v>288427.28</v>
      </c>
      <c r="L169" s="23"/>
      <c r="M169" s="21">
        <f t="shared" si="7"/>
        <v>970.15</v>
      </c>
    </row>
    <row r="170" ht="20.25" customHeight="1" outlineLevel="1">
      <c r="A170" s="18">
        <v>45916.0</v>
      </c>
      <c r="B170" s="13" t="s">
        <v>16</v>
      </c>
      <c r="C170" s="28" t="s">
        <v>183</v>
      </c>
      <c r="D170" s="20"/>
      <c r="E170" s="21">
        <f t="shared" si="1"/>
        <v>11759.27</v>
      </c>
      <c r="F170" s="27">
        <v>4797.0</v>
      </c>
      <c r="G170" s="21">
        <f t="shared" si="2"/>
        <v>269395.29</v>
      </c>
      <c r="H170" s="23"/>
      <c r="I170" s="21">
        <f t="shared" si="6"/>
        <v>-0.48</v>
      </c>
      <c r="J170" s="24"/>
      <c r="K170" s="21">
        <f t="shared" si="4"/>
        <v>288427.28</v>
      </c>
      <c r="L170" s="23"/>
      <c r="M170" s="21">
        <f t="shared" si="7"/>
        <v>970.15</v>
      </c>
    </row>
    <row r="171" ht="20.25" customHeight="1" outlineLevel="1">
      <c r="A171" s="18">
        <v>45916.0</v>
      </c>
      <c r="B171" s="13" t="s">
        <v>16</v>
      </c>
      <c r="C171" s="28" t="s">
        <v>184</v>
      </c>
      <c r="D171" s="20"/>
      <c r="E171" s="21">
        <f t="shared" si="1"/>
        <v>11759.27</v>
      </c>
      <c r="F171" s="26">
        <v>6584.0</v>
      </c>
      <c r="G171" s="21">
        <f t="shared" si="2"/>
        <v>275979.29</v>
      </c>
      <c r="H171" s="23"/>
      <c r="I171" s="21">
        <f t="shared" si="6"/>
        <v>-0.48</v>
      </c>
      <c r="J171" s="24"/>
      <c r="K171" s="21">
        <f t="shared" si="4"/>
        <v>288427.28</v>
      </c>
      <c r="L171" s="23"/>
      <c r="M171" s="21">
        <f t="shared" si="7"/>
        <v>970.15</v>
      </c>
    </row>
    <row r="172" ht="20.25" customHeight="1" outlineLevel="1">
      <c r="A172" s="18">
        <v>45916.0</v>
      </c>
      <c r="B172" s="13" t="s">
        <v>16</v>
      </c>
      <c r="C172" s="28" t="s">
        <v>185</v>
      </c>
      <c r="D172" s="20">
        <v>1529.0</v>
      </c>
      <c r="E172" s="21">
        <f t="shared" si="1"/>
        <v>13288.27</v>
      </c>
      <c r="F172" s="23"/>
      <c r="G172" s="21">
        <f t="shared" si="2"/>
        <v>275979.29</v>
      </c>
      <c r="H172" s="23"/>
      <c r="I172" s="21">
        <f t="shared" si="6"/>
        <v>-0.48</v>
      </c>
      <c r="J172" s="24"/>
      <c r="K172" s="21">
        <f t="shared" si="4"/>
        <v>288427.28</v>
      </c>
      <c r="L172" s="23"/>
      <c r="M172" s="21">
        <f t="shared" si="7"/>
        <v>970.15</v>
      </c>
    </row>
    <row r="173" ht="20.25" customHeight="1" outlineLevel="1">
      <c r="A173" s="12">
        <v>45916.0</v>
      </c>
      <c r="B173" s="13" t="s">
        <v>14</v>
      </c>
      <c r="C173" s="28" t="s">
        <v>186</v>
      </c>
      <c r="D173" s="20"/>
      <c r="E173" s="21">
        <f t="shared" si="1"/>
        <v>13288.27</v>
      </c>
      <c r="F173" s="23"/>
      <c r="G173" s="21">
        <f t="shared" si="2"/>
        <v>275979.29</v>
      </c>
      <c r="H173" s="22">
        <v>-16.0</v>
      </c>
      <c r="I173" s="21">
        <f t="shared" si="6"/>
        <v>-16.48</v>
      </c>
      <c r="J173" s="74"/>
      <c r="K173" s="21">
        <f t="shared" si="4"/>
        <v>288427.28</v>
      </c>
      <c r="L173" s="23"/>
      <c r="M173" s="21">
        <f t="shared" si="7"/>
        <v>970.15</v>
      </c>
    </row>
    <row r="174" ht="20.25" customHeight="1" outlineLevel="1">
      <c r="A174" s="12">
        <v>45917.0</v>
      </c>
      <c r="B174" s="13" t="s">
        <v>16</v>
      </c>
      <c r="C174" s="41" t="s">
        <v>187</v>
      </c>
      <c r="D174" s="20"/>
      <c r="E174" s="21">
        <f t="shared" si="1"/>
        <v>13288.27</v>
      </c>
      <c r="F174" s="23"/>
      <c r="G174" s="21">
        <f t="shared" si="2"/>
        <v>275979.29</v>
      </c>
      <c r="H174" s="23"/>
      <c r="I174" s="21">
        <f t="shared" si="6"/>
        <v>-16.48</v>
      </c>
      <c r="J174" s="35">
        <v>415.0</v>
      </c>
      <c r="K174" s="21">
        <f t="shared" si="4"/>
        <v>288842.28</v>
      </c>
      <c r="L174" s="23"/>
      <c r="M174" s="21">
        <f t="shared" si="7"/>
        <v>970.15</v>
      </c>
    </row>
    <row r="175" ht="20.25" customHeight="1" outlineLevel="1">
      <c r="A175" s="18">
        <v>45917.0</v>
      </c>
      <c r="B175" s="13" t="s">
        <v>16</v>
      </c>
      <c r="C175" s="41" t="s">
        <v>188</v>
      </c>
      <c r="D175" s="20"/>
      <c r="E175" s="21">
        <f t="shared" si="1"/>
        <v>13288.27</v>
      </c>
      <c r="F175" s="23"/>
      <c r="G175" s="21">
        <f t="shared" si="2"/>
        <v>275979.29</v>
      </c>
      <c r="H175" s="23"/>
      <c r="I175" s="21">
        <f t="shared" si="6"/>
        <v>-16.48</v>
      </c>
      <c r="J175" s="60">
        <v>1760.0</v>
      </c>
      <c r="K175" s="21">
        <f t="shared" si="4"/>
        <v>290602.28</v>
      </c>
      <c r="L175" s="23"/>
      <c r="M175" s="21">
        <f t="shared" si="7"/>
        <v>970.15</v>
      </c>
    </row>
    <row r="176" ht="20.25" customHeight="1" outlineLevel="1">
      <c r="A176" s="18">
        <v>45917.0</v>
      </c>
      <c r="B176" s="13" t="s">
        <v>16</v>
      </c>
      <c r="C176" s="41" t="s">
        <v>189</v>
      </c>
      <c r="D176" s="20"/>
      <c r="E176" s="21">
        <f t="shared" si="1"/>
        <v>13288.27</v>
      </c>
      <c r="F176" s="23"/>
      <c r="G176" s="21">
        <f t="shared" si="2"/>
        <v>275979.29</v>
      </c>
      <c r="H176" s="23"/>
      <c r="I176" s="21">
        <f t="shared" si="6"/>
        <v>-16.48</v>
      </c>
      <c r="J176" s="60">
        <v>395.0</v>
      </c>
      <c r="K176" s="21">
        <f t="shared" si="4"/>
        <v>290997.28</v>
      </c>
      <c r="L176" s="23"/>
      <c r="M176" s="21">
        <f t="shared" si="7"/>
        <v>970.15</v>
      </c>
    </row>
    <row r="177" ht="20.25" customHeight="1" outlineLevel="1">
      <c r="A177" s="18">
        <v>45917.0</v>
      </c>
      <c r="B177" s="13" t="s">
        <v>14</v>
      </c>
      <c r="C177" s="28" t="s">
        <v>190</v>
      </c>
      <c r="D177" s="73">
        <v>-8.0</v>
      </c>
      <c r="E177" s="21">
        <f t="shared" si="1"/>
        <v>13280.27</v>
      </c>
      <c r="F177" s="23"/>
      <c r="G177" s="21">
        <f t="shared" si="2"/>
        <v>275979.29</v>
      </c>
      <c r="H177" s="23"/>
      <c r="I177" s="21">
        <f t="shared" si="6"/>
        <v>-16.48</v>
      </c>
      <c r="J177" s="24"/>
      <c r="K177" s="21">
        <f t="shared" si="4"/>
        <v>290997.28</v>
      </c>
      <c r="L177" s="23"/>
      <c r="M177" s="21">
        <f t="shared" si="7"/>
        <v>970.15</v>
      </c>
    </row>
    <row r="178" ht="20.25" customHeight="1" outlineLevel="1">
      <c r="A178" s="18">
        <v>45917.0</v>
      </c>
      <c r="B178" s="13" t="s">
        <v>16</v>
      </c>
      <c r="C178" s="25" t="s">
        <v>191</v>
      </c>
      <c r="D178" s="20">
        <v>1704.0</v>
      </c>
      <c r="E178" s="21">
        <f t="shared" si="1"/>
        <v>14984.27</v>
      </c>
      <c r="F178" s="23"/>
      <c r="G178" s="21">
        <f t="shared" si="2"/>
        <v>275979.29</v>
      </c>
      <c r="H178" s="23"/>
      <c r="I178" s="21">
        <f t="shared" si="6"/>
        <v>-16.48</v>
      </c>
      <c r="J178" s="24"/>
      <c r="K178" s="21">
        <f t="shared" si="4"/>
        <v>290997.28</v>
      </c>
      <c r="L178" s="23"/>
      <c r="M178" s="21">
        <f t="shared" si="7"/>
        <v>970.15</v>
      </c>
    </row>
    <row r="179" ht="20.25" customHeight="1" outlineLevel="1">
      <c r="A179" s="18">
        <v>45917.0</v>
      </c>
      <c r="B179" s="13" t="s">
        <v>16</v>
      </c>
      <c r="C179" s="25" t="s">
        <v>192</v>
      </c>
      <c r="D179" s="20"/>
      <c r="E179" s="21">
        <f t="shared" si="1"/>
        <v>14984.27</v>
      </c>
      <c r="F179" s="27">
        <v>4435.02</v>
      </c>
      <c r="G179" s="21">
        <f t="shared" si="2"/>
        <v>280414.31</v>
      </c>
      <c r="H179" s="23"/>
      <c r="I179" s="21">
        <f t="shared" si="6"/>
        <v>-16.48</v>
      </c>
      <c r="J179" s="24"/>
      <c r="K179" s="21">
        <f t="shared" si="4"/>
        <v>290997.28</v>
      </c>
      <c r="L179" s="23"/>
      <c r="M179" s="21">
        <f t="shared" si="7"/>
        <v>970.15</v>
      </c>
    </row>
    <row r="180" ht="20.25" customHeight="1" outlineLevel="1">
      <c r="A180" s="30">
        <v>45917.0</v>
      </c>
      <c r="B180" s="13" t="s">
        <v>16</v>
      </c>
      <c r="C180" s="25" t="s">
        <v>193</v>
      </c>
      <c r="D180" s="20"/>
      <c r="E180" s="21">
        <f t="shared" si="1"/>
        <v>14984.27</v>
      </c>
      <c r="F180" s="78">
        <v>2185.0</v>
      </c>
      <c r="G180" s="21">
        <f t="shared" si="2"/>
        <v>282599.31</v>
      </c>
      <c r="H180" s="23"/>
      <c r="I180" s="21">
        <f t="shared" si="6"/>
        <v>-16.48</v>
      </c>
      <c r="J180" s="23"/>
      <c r="K180" s="21">
        <f t="shared" si="4"/>
        <v>290997.28</v>
      </c>
      <c r="L180" s="23"/>
      <c r="M180" s="21">
        <f t="shared" si="7"/>
        <v>970.15</v>
      </c>
    </row>
    <row r="181" ht="20.25" customHeight="1" outlineLevel="1">
      <c r="A181" s="30">
        <v>45917.0</v>
      </c>
      <c r="B181" s="13" t="s">
        <v>16</v>
      </c>
      <c r="C181" s="25" t="s">
        <v>194</v>
      </c>
      <c r="D181" s="20"/>
      <c r="E181" s="21">
        <f t="shared" si="1"/>
        <v>14984.27</v>
      </c>
      <c r="F181" s="78">
        <v>8999.0</v>
      </c>
      <c r="G181" s="21">
        <f t="shared" si="2"/>
        <v>291598.31</v>
      </c>
      <c r="H181" s="23"/>
      <c r="I181" s="21">
        <f t="shared" si="6"/>
        <v>-16.48</v>
      </c>
      <c r="J181" s="23"/>
      <c r="K181" s="21">
        <f t="shared" si="4"/>
        <v>290997.28</v>
      </c>
      <c r="L181" s="23"/>
      <c r="M181" s="21">
        <f t="shared" si="7"/>
        <v>970.15</v>
      </c>
    </row>
    <row r="182" ht="20.25" customHeight="1" outlineLevel="1">
      <c r="A182" s="12">
        <v>45917.0</v>
      </c>
      <c r="B182" s="13" t="s">
        <v>16</v>
      </c>
      <c r="C182" s="25" t="s">
        <v>195</v>
      </c>
      <c r="D182" s="20"/>
      <c r="E182" s="21">
        <f t="shared" si="1"/>
        <v>14984.27</v>
      </c>
      <c r="F182" s="27">
        <v>3504.0</v>
      </c>
      <c r="G182" s="21">
        <f t="shared" si="2"/>
        <v>295102.31</v>
      </c>
      <c r="H182" s="23"/>
      <c r="I182" s="21">
        <f t="shared" si="6"/>
        <v>-16.48</v>
      </c>
      <c r="J182" s="79"/>
      <c r="K182" s="21">
        <f t="shared" si="4"/>
        <v>290997.28</v>
      </c>
      <c r="L182" s="23"/>
      <c r="M182" s="21">
        <f t="shared" si="7"/>
        <v>970.15</v>
      </c>
    </row>
    <row r="183" ht="20.25" customHeight="1" outlineLevel="1">
      <c r="A183" s="18">
        <v>45917.0</v>
      </c>
      <c r="B183" s="13" t="s">
        <v>16</v>
      </c>
      <c r="C183" s="80" t="s">
        <v>196</v>
      </c>
      <c r="D183" s="20"/>
      <c r="E183" s="21">
        <f t="shared" si="1"/>
        <v>14984.27</v>
      </c>
      <c r="F183" s="23"/>
      <c r="G183" s="21">
        <f t="shared" si="2"/>
        <v>295102.31</v>
      </c>
      <c r="H183" s="23"/>
      <c r="I183" s="21">
        <f t="shared" si="6"/>
        <v>-16.48</v>
      </c>
      <c r="J183" s="81">
        <v>4238.0</v>
      </c>
      <c r="K183" s="21">
        <f t="shared" si="4"/>
        <v>295235.28</v>
      </c>
      <c r="L183" s="23"/>
      <c r="M183" s="21">
        <f t="shared" si="7"/>
        <v>970.15</v>
      </c>
    </row>
    <row r="184" ht="20.25" customHeight="1" outlineLevel="1">
      <c r="A184" s="18">
        <v>45917.0</v>
      </c>
      <c r="B184" s="13" t="s">
        <v>16</v>
      </c>
      <c r="C184" s="82" t="s">
        <v>197</v>
      </c>
      <c r="D184" s="20"/>
      <c r="E184" s="21">
        <f t="shared" si="1"/>
        <v>14984.27</v>
      </c>
      <c r="F184" s="23"/>
      <c r="G184" s="21">
        <f t="shared" si="2"/>
        <v>295102.31</v>
      </c>
      <c r="H184" s="23"/>
      <c r="I184" s="21">
        <f t="shared" si="6"/>
        <v>-16.48</v>
      </c>
      <c r="J184" s="81">
        <v>1447.0</v>
      </c>
      <c r="K184" s="21">
        <f t="shared" si="4"/>
        <v>296682.28</v>
      </c>
      <c r="L184" s="23"/>
      <c r="M184" s="21">
        <f t="shared" si="7"/>
        <v>970.15</v>
      </c>
    </row>
    <row r="185" ht="20.25" customHeight="1" outlineLevel="1">
      <c r="A185" s="30">
        <v>45917.0</v>
      </c>
      <c r="B185" s="13" t="s">
        <v>179</v>
      </c>
      <c r="C185" s="83" t="s">
        <v>198</v>
      </c>
      <c r="D185" s="20"/>
      <c r="E185" s="21">
        <f t="shared" si="1"/>
        <v>14984.27</v>
      </c>
      <c r="F185" s="76"/>
      <c r="G185" s="21">
        <f t="shared" si="2"/>
        <v>295102.31</v>
      </c>
      <c r="H185" s="27">
        <v>2000.0</v>
      </c>
      <c r="I185" s="21">
        <f t="shared" si="6"/>
        <v>1983.52</v>
      </c>
      <c r="J185" s="74"/>
      <c r="K185" s="21">
        <f t="shared" si="4"/>
        <v>296682.28</v>
      </c>
      <c r="L185" s="23"/>
      <c r="M185" s="21">
        <f t="shared" si="7"/>
        <v>970.15</v>
      </c>
    </row>
    <row r="186" ht="20.25" customHeight="1" outlineLevel="1">
      <c r="A186" s="18">
        <v>45918.0</v>
      </c>
      <c r="B186" s="13" t="s">
        <v>16</v>
      </c>
      <c r="C186" s="83" t="s">
        <v>199</v>
      </c>
      <c r="D186" s="20">
        <v>390.0</v>
      </c>
      <c r="E186" s="21">
        <f t="shared" si="1"/>
        <v>15374.27</v>
      </c>
      <c r="F186" s="23"/>
      <c r="G186" s="21">
        <f t="shared" si="2"/>
        <v>295102.31</v>
      </c>
      <c r="H186" s="23"/>
      <c r="I186" s="21">
        <f t="shared" si="6"/>
        <v>1983.52</v>
      </c>
      <c r="J186" s="24"/>
      <c r="K186" s="21">
        <f t="shared" si="4"/>
        <v>296682.28</v>
      </c>
      <c r="L186" s="23"/>
      <c r="M186" s="21">
        <f t="shared" si="7"/>
        <v>970.15</v>
      </c>
    </row>
    <row r="187" ht="20.25" customHeight="1" outlineLevel="1">
      <c r="A187" s="18">
        <v>45918.0</v>
      </c>
      <c r="B187" s="13" t="s">
        <v>16</v>
      </c>
      <c r="C187" s="83" t="s">
        <v>200</v>
      </c>
      <c r="D187" s="20"/>
      <c r="E187" s="21">
        <f t="shared" si="1"/>
        <v>15374.27</v>
      </c>
      <c r="F187" s="27">
        <v>7015.0</v>
      </c>
      <c r="G187" s="21">
        <f t="shared" si="2"/>
        <v>302117.31</v>
      </c>
      <c r="H187" s="23"/>
      <c r="I187" s="21">
        <f t="shared" si="6"/>
        <v>1983.52</v>
      </c>
      <c r="J187" s="24"/>
      <c r="K187" s="21">
        <f t="shared" si="4"/>
        <v>296682.28</v>
      </c>
      <c r="L187" s="23"/>
      <c r="M187" s="21">
        <f t="shared" si="7"/>
        <v>970.15</v>
      </c>
    </row>
    <row r="188" ht="20.25" customHeight="1" outlineLevel="1">
      <c r="A188" s="18">
        <v>45918.0</v>
      </c>
      <c r="B188" s="13" t="s">
        <v>16</v>
      </c>
      <c r="C188" s="83" t="s">
        <v>201</v>
      </c>
      <c r="D188" s="20"/>
      <c r="E188" s="21">
        <f t="shared" si="1"/>
        <v>15374.27</v>
      </c>
      <c r="F188" s="27">
        <v>2419.0</v>
      </c>
      <c r="G188" s="21">
        <f t="shared" si="2"/>
        <v>304536.31</v>
      </c>
      <c r="H188" s="23"/>
      <c r="I188" s="21">
        <f t="shared" si="6"/>
        <v>1983.52</v>
      </c>
      <c r="J188" s="24"/>
      <c r="K188" s="21">
        <f t="shared" si="4"/>
        <v>296682.28</v>
      </c>
      <c r="L188" s="23"/>
      <c r="M188" s="21">
        <f t="shared" si="7"/>
        <v>970.15</v>
      </c>
    </row>
    <row r="189" ht="20.25" customHeight="1" outlineLevel="1">
      <c r="A189" s="12">
        <v>45918.0</v>
      </c>
      <c r="B189" s="13" t="s">
        <v>16</v>
      </c>
      <c r="C189" s="83" t="s">
        <v>202</v>
      </c>
      <c r="D189" s="20"/>
      <c r="E189" s="21">
        <f t="shared" si="1"/>
        <v>15374.27</v>
      </c>
      <c r="F189" s="26">
        <v>4340.0</v>
      </c>
      <c r="G189" s="21">
        <f t="shared" si="2"/>
        <v>308876.31</v>
      </c>
      <c r="H189" s="23"/>
      <c r="I189" s="21">
        <f t="shared" si="6"/>
        <v>1983.52</v>
      </c>
      <c r="J189" s="23"/>
      <c r="K189" s="21">
        <f t="shared" si="4"/>
        <v>296682.28</v>
      </c>
      <c r="L189" s="23"/>
      <c r="M189" s="21">
        <f t="shared" si="7"/>
        <v>970.15</v>
      </c>
    </row>
    <row r="190" ht="20.25" customHeight="1" outlineLevel="1">
      <c r="A190" s="18">
        <v>45918.0</v>
      </c>
      <c r="B190" s="13" t="s">
        <v>16</v>
      </c>
      <c r="C190" s="83" t="s">
        <v>203</v>
      </c>
      <c r="D190" s="20"/>
      <c r="E190" s="21">
        <f t="shared" si="1"/>
        <v>15374.27</v>
      </c>
      <c r="F190" s="27">
        <v>4280.1</v>
      </c>
      <c r="G190" s="21">
        <f t="shared" si="2"/>
        <v>313156.41</v>
      </c>
      <c r="H190" s="23"/>
      <c r="I190" s="21">
        <f t="shared" si="6"/>
        <v>1983.52</v>
      </c>
      <c r="J190" s="24"/>
      <c r="K190" s="21">
        <f t="shared" si="4"/>
        <v>296682.28</v>
      </c>
      <c r="L190" s="23"/>
      <c r="M190" s="21">
        <f t="shared" si="7"/>
        <v>970.15</v>
      </c>
    </row>
    <row r="191" ht="20.25" customHeight="1" outlineLevel="1">
      <c r="A191" s="18">
        <v>45918.0</v>
      </c>
      <c r="B191" s="13" t="s">
        <v>16</v>
      </c>
      <c r="C191" s="84" t="s">
        <v>204</v>
      </c>
      <c r="D191" s="20"/>
      <c r="E191" s="21">
        <f t="shared" si="1"/>
        <v>15374.27</v>
      </c>
      <c r="F191" s="51">
        <v>122.0</v>
      </c>
      <c r="G191" s="21">
        <f t="shared" si="2"/>
        <v>313278.41</v>
      </c>
      <c r="H191" s="23"/>
      <c r="I191" s="21">
        <f t="shared" si="6"/>
        <v>1983.52</v>
      </c>
      <c r="J191" s="24"/>
      <c r="K191" s="21">
        <f t="shared" si="4"/>
        <v>296682.28</v>
      </c>
      <c r="L191" s="23"/>
      <c r="M191" s="21">
        <f t="shared" si="7"/>
        <v>970.15</v>
      </c>
    </row>
    <row r="192" ht="20.25" customHeight="1" outlineLevel="1">
      <c r="A192" s="18">
        <v>45918.0</v>
      </c>
      <c r="B192" s="13" t="s">
        <v>14</v>
      </c>
      <c r="C192" s="83" t="s">
        <v>205</v>
      </c>
      <c r="D192" s="20"/>
      <c r="E192" s="21">
        <f t="shared" si="1"/>
        <v>15374.27</v>
      </c>
      <c r="F192" s="22">
        <v>-65.0</v>
      </c>
      <c r="G192" s="21">
        <f t="shared" si="2"/>
        <v>313213.41</v>
      </c>
      <c r="H192" s="23"/>
      <c r="I192" s="21">
        <f t="shared" si="6"/>
        <v>1983.52</v>
      </c>
      <c r="J192" s="24"/>
      <c r="K192" s="21">
        <f t="shared" si="4"/>
        <v>296682.28</v>
      </c>
      <c r="L192" s="23"/>
      <c r="M192" s="21">
        <f t="shared" si="7"/>
        <v>970.15</v>
      </c>
    </row>
    <row r="193" ht="20.25" customHeight="1" outlineLevel="1">
      <c r="A193" s="18">
        <v>45918.0</v>
      </c>
      <c r="B193" s="13" t="s">
        <v>14</v>
      </c>
      <c r="C193" s="85" t="s">
        <v>206</v>
      </c>
      <c r="D193" s="20"/>
      <c r="E193" s="21">
        <f t="shared" si="1"/>
        <v>15374.27</v>
      </c>
      <c r="F193" s="22">
        <v>-65.0</v>
      </c>
      <c r="G193" s="21">
        <f t="shared" si="2"/>
        <v>313148.41</v>
      </c>
      <c r="H193" s="23"/>
      <c r="I193" s="21">
        <f t="shared" si="6"/>
        <v>1983.52</v>
      </c>
      <c r="J193" s="24"/>
      <c r="K193" s="21">
        <f t="shared" si="4"/>
        <v>296682.28</v>
      </c>
      <c r="L193" s="23"/>
      <c r="M193" s="21">
        <f t="shared" si="7"/>
        <v>970.15</v>
      </c>
    </row>
    <row r="194" ht="20.25" customHeight="1" outlineLevel="1">
      <c r="A194" s="30">
        <v>45918.0</v>
      </c>
      <c r="B194" s="13" t="s">
        <v>14</v>
      </c>
      <c r="C194" s="85" t="s">
        <v>207</v>
      </c>
      <c r="D194" s="20"/>
      <c r="E194" s="21">
        <f t="shared" si="1"/>
        <v>15374.27</v>
      </c>
      <c r="F194" s="58">
        <v>-50.0</v>
      </c>
      <c r="G194" s="21">
        <f t="shared" si="2"/>
        <v>313098.41</v>
      </c>
      <c r="H194" s="23"/>
      <c r="I194" s="21">
        <f t="shared" si="6"/>
        <v>1983.52</v>
      </c>
      <c r="J194" s="23"/>
      <c r="K194" s="21">
        <f t="shared" si="4"/>
        <v>296682.28</v>
      </c>
      <c r="L194" s="23"/>
      <c r="M194" s="21">
        <f t="shared" si="7"/>
        <v>970.15</v>
      </c>
    </row>
    <row r="195" ht="20.25" customHeight="1" outlineLevel="1">
      <c r="A195" s="12">
        <v>45918.0</v>
      </c>
      <c r="B195" s="13" t="s">
        <v>16</v>
      </c>
      <c r="C195" s="86" t="s">
        <v>208</v>
      </c>
      <c r="D195" s="20"/>
      <c r="E195" s="21">
        <f t="shared" si="1"/>
        <v>15374.27</v>
      </c>
      <c r="F195" s="23"/>
      <c r="G195" s="21">
        <f t="shared" si="2"/>
        <v>313098.41</v>
      </c>
      <c r="H195" s="23"/>
      <c r="I195" s="21">
        <f t="shared" si="6"/>
        <v>1983.52</v>
      </c>
      <c r="J195" s="60">
        <v>825.0</v>
      </c>
      <c r="K195" s="21">
        <f t="shared" si="4"/>
        <v>297507.28</v>
      </c>
      <c r="L195" s="23"/>
      <c r="M195" s="21">
        <f t="shared" si="7"/>
        <v>970.15</v>
      </c>
    </row>
    <row r="196" ht="20.25" customHeight="1" outlineLevel="1">
      <c r="A196" s="12">
        <v>45918.0</v>
      </c>
      <c r="B196" s="13" t="s">
        <v>16</v>
      </c>
      <c r="C196" s="87" t="s">
        <v>209</v>
      </c>
      <c r="D196" s="20"/>
      <c r="E196" s="21">
        <f t="shared" si="1"/>
        <v>15374.27</v>
      </c>
      <c r="F196" s="23"/>
      <c r="G196" s="21">
        <f t="shared" si="2"/>
        <v>313098.41</v>
      </c>
      <c r="H196" s="23"/>
      <c r="I196" s="21">
        <f t="shared" si="6"/>
        <v>1983.52</v>
      </c>
      <c r="J196" s="27">
        <v>3096.0</v>
      </c>
      <c r="K196" s="21">
        <f t="shared" si="4"/>
        <v>300603.28</v>
      </c>
      <c r="L196" s="23"/>
      <c r="M196" s="21">
        <f t="shared" si="7"/>
        <v>970.15</v>
      </c>
    </row>
    <row r="197" ht="20.25" customHeight="1" outlineLevel="1">
      <c r="A197" s="18">
        <v>45918.0</v>
      </c>
      <c r="B197" s="13" t="s">
        <v>16</v>
      </c>
      <c r="C197" s="87" t="s">
        <v>210</v>
      </c>
      <c r="D197" s="20"/>
      <c r="E197" s="21">
        <f t="shared" si="1"/>
        <v>15374.27</v>
      </c>
      <c r="F197" s="23"/>
      <c r="G197" s="21">
        <f t="shared" si="2"/>
        <v>313098.41</v>
      </c>
      <c r="H197" s="23"/>
      <c r="I197" s="21">
        <f t="shared" si="6"/>
        <v>1983.52</v>
      </c>
      <c r="J197" s="54">
        <v>4852.0</v>
      </c>
      <c r="K197" s="21">
        <f t="shared" si="4"/>
        <v>305455.28</v>
      </c>
      <c r="L197" s="23"/>
      <c r="M197" s="21">
        <f t="shared" si="7"/>
        <v>970.15</v>
      </c>
    </row>
    <row r="198" ht="20.25" customHeight="1" outlineLevel="1">
      <c r="A198" s="12">
        <v>45918.0</v>
      </c>
      <c r="B198" s="13" t="s">
        <v>14</v>
      </c>
      <c r="C198" s="85" t="s">
        <v>211</v>
      </c>
      <c r="D198" s="20"/>
      <c r="E198" s="21">
        <f t="shared" si="1"/>
        <v>15374.27</v>
      </c>
      <c r="F198" s="23"/>
      <c r="G198" s="21">
        <f t="shared" si="2"/>
        <v>313098.41</v>
      </c>
      <c r="H198" s="22">
        <v>-23.96</v>
      </c>
      <c r="I198" s="21">
        <f t="shared" si="6"/>
        <v>1959.56</v>
      </c>
      <c r="J198" s="23"/>
      <c r="K198" s="21">
        <f t="shared" si="4"/>
        <v>305455.28</v>
      </c>
      <c r="L198" s="23"/>
      <c r="M198" s="21">
        <f t="shared" si="7"/>
        <v>970.15</v>
      </c>
    </row>
    <row r="199" ht="20.25" customHeight="1" outlineLevel="1">
      <c r="A199" s="18">
        <v>45919.0</v>
      </c>
      <c r="B199" s="13" t="s">
        <v>16</v>
      </c>
      <c r="C199" s="88" t="s">
        <v>212</v>
      </c>
      <c r="D199" s="20"/>
      <c r="E199" s="21">
        <f t="shared" si="1"/>
        <v>15374.27</v>
      </c>
      <c r="F199" s="23"/>
      <c r="G199" s="21">
        <f t="shared" si="2"/>
        <v>313098.41</v>
      </c>
      <c r="H199" s="23"/>
      <c r="I199" s="21">
        <f t="shared" si="6"/>
        <v>1959.56</v>
      </c>
      <c r="J199" s="60">
        <v>280.0</v>
      </c>
      <c r="K199" s="21">
        <f t="shared" si="4"/>
        <v>305735.28</v>
      </c>
      <c r="L199" s="23"/>
      <c r="M199" s="21">
        <f t="shared" si="7"/>
        <v>970.15</v>
      </c>
    </row>
    <row r="200" ht="20.25" customHeight="1" outlineLevel="1">
      <c r="A200" s="18">
        <v>45919.0</v>
      </c>
      <c r="B200" s="13" t="s">
        <v>16</v>
      </c>
      <c r="C200" s="41" t="s">
        <v>213</v>
      </c>
      <c r="D200" s="20"/>
      <c r="E200" s="21">
        <f t="shared" si="1"/>
        <v>15374.27</v>
      </c>
      <c r="F200" s="23"/>
      <c r="G200" s="21">
        <f t="shared" si="2"/>
        <v>313098.41</v>
      </c>
      <c r="H200" s="23"/>
      <c r="I200" s="21">
        <f t="shared" si="6"/>
        <v>1959.56</v>
      </c>
      <c r="J200" s="60">
        <v>335.0</v>
      </c>
      <c r="K200" s="21">
        <f t="shared" si="4"/>
        <v>306070.28</v>
      </c>
      <c r="L200" s="23"/>
      <c r="M200" s="21">
        <f t="shared" si="7"/>
        <v>970.15</v>
      </c>
    </row>
    <row r="201" ht="20.25" customHeight="1" outlineLevel="1">
      <c r="A201" s="30">
        <v>45919.0</v>
      </c>
      <c r="B201" s="13" t="s">
        <v>16</v>
      </c>
      <c r="C201" s="41" t="s">
        <v>214</v>
      </c>
      <c r="D201" s="20"/>
      <c r="E201" s="21">
        <f t="shared" si="1"/>
        <v>15374.27</v>
      </c>
      <c r="F201" s="76"/>
      <c r="G201" s="21">
        <f t="shared" si="2"/>
        <v>313098.41</v>
      </c>
      <c r="H201" s="23"/>
      <c r="I201" s="21">
        <f t="shared" si="6"/>
        <v>1959.56</v>
      </c>
      <c r="J201" s="35">
        <v>544.0</v>
      </c>
      <c r="K201" s="21">
        <f t="shared" si="4"/>
        <v>306614.28</v>
      </c>
      <c r="L201" s="23"/>
      <c r="M201" s="21">
        <f t="shared" si="7"/>
        <v>970.15</v>
      </c>
    </row>
    <row r="202" ht="20.25" customHeight="1" outlineLevel="1">
      <c r="A202" s="12">
        <v>45919.0</v>
      </c>
      <c r="B202" s="13" t="s">
        <v>16</v>
      </c>
      <c r="C202" s="41" t="s">
        <v>215</v>
      </c>
      <c r="D202" s="20"/>
      <c r="E202" s="21">
        <f t="shared" si="1"/>
        <v>15374.27</v>
      </c>
      <c r="F202" s="23"/>
      <c r="G202" s="21">
        <f t="shared" si="2"/>
        <v>313098.41</v>
      </c>
      <c r="H202" s="23"/>
      <c r="I202" s="21">
        <f t="shared" si="6"/>
        <v>1959.56</v>
      </c>
      <c r="J202" s="35">
        <v>395.0</v>
      </c>
      <c r="K202" s="21">
        <f t="shared" si="4"/>
        <v>307009.28</v>
      </c>
      <c r="L202" s="23"/>
      <c r="M202" s="21">
        <f t="shared" si="7"/>
        <v>970.15</v>
      </c>
    </row>
    <row r="203" ht="20.25" customHeight="1" outlineLevel="1">
      <c r="A203" s="18">
        <v>45919.0</v>
      </c>
      <c r="B203" s="13" t="s">
        <v>12</v>
      </c>
      <c r="C203" s="28" t="s">
        <v>216</v>
      </c>
      <c r="D203" s="20"/>
      <c r="E203" s="21">
        <f t="shared" si="1"/>
        <v>15374.27</v>
      </c>
      <c r="F203" s="22">
        <v>-729.0</v>
      </c>
      <c r="G203" s="21">
        <f t="shared" si="2"/>
        <v>312369.41</v>
      </c>
      <c r="H203" s="23"/>
      <c r="I203" s="21">
        <f t="shared" si="6"/>
        <v>1959.56</v>
      </c>
      <c r="J203" s="24"/>
      <c r="K203" s="21">
        <f t="shared" si="4"/>
        <v>307009.28</v>
      </c>
      <c r="L203" s="23"/>
      <c r="M203" s="21">
        <f t="shared" si="7"/>
        <v>970.15</v>
      </c>
    </row>
    <row r="204" ht="20.25" customHeight="1" outlineLevel="1">
      <c r="A204" s="18">
        <v>45919.0</v>
      </c>
      <c r="B204" s="13" t="s">
        <v>16</v>
      </c>
      <c r="C204" s="28" t="s">
        <v>217</v>
      </c>
      <c r="D204" s="20"/>
      <c r="E204" s="21">
        <f t="shared" si="1"/>
        <v>15374.27</v>
      </c>
      <c r="F204" s="27">
        <v>3793.0</v>
      </c>
      <c r="G204" s="21">
        <f t="shared" si="2"/>
        <v>316162.41</v>
      </c>
      <c r="H204" s="23"/>
      <c r="I204" s="21">
        <f t="shared" si="6"/>
        <v>1959.56</v>
      </c>
      <c r="J204" s="24"/>
      <c r="K204" s="21">
        <f t="shared" si="4"/>
        <v>307009.28</v>
      </c>
      <c r="L204" s="23"/>
      <c r="M204" s="21">
        <f t="shared" si="7"/>
        <v>970.15</v>
      </c>
    </row>
    <row r="205" ht="20.25" customHeight="1" outlineLevel="1">
      <c r="A205" s="18">
        <v>45919.0</v>
      </c>
      <c r="B205" s="13" t="s">
        <v>16</v>
      </c>
      <c r="C205" s="28" t="s">
        <v>218</v>
      </c>
      <c r="D205" s="20"/>
      <c r="E205" s="21">
        <f t="shared" si="1"/>
        <v>15374.27</v>
      </c>
      <c r="F205" s="27">
        <v>7913.23</v>
      </c>
      <c r="G205" s="21">
        <f t="shared" si="2"/>
        <v>324075.64</v>
      </c>
      <c r="H205" s="23"/>
      <c r="I205" s="21">
        <f t="shared" si="6"/>
        <v>1959.56</v>
      </c>
      <c r="J205" s="24"/>
      <c r="K205" s="21">
        <f t="shared" si="4"/>
        <v>307009.28</v>
      </c>
      <c r="L205" s="23"/>
      <c r="M205" s="21">
        <f t="shared" si="7"/>
        <v>970.15</v>
      </c>
    </row>
    <row r="206" ht="20.25" customHeight="1" outlineLevel="1">
      <c r="A206" s="18">
        <v>45919.0</v>
      </c>
      <c r="B206" s="13" t="s">
        <v>16</v>
      </c>
      <c r="C206" s="28" t="s">
        <v>219</v>
      </c>
      <c r="D206" s="20"/>
      <c r="E206" s="21">
        <f t="shared" si="1"/>
        <v>15374.27</v>
      </c>
      <c r="F206" s="27">
        <v>8426.0</v>
      </c>
      <c r="G206" s="21">
        <f t="shared" si="2"/>
        <v>332501.64</v>
      </c>
      <c r="H206" s="23"/>
      <c r="I206" s="21">
        <f t="shared" si="6"/>
        <v>1959.56</v>
      </c>
      <c r="J206" s="24"/>
      <c r="K206" s="21">
        <f t="shared" si="4"/>
        <v>307009.28</v>
      </c>
      <c r="L206" s="23"/>
      <c r="M206" s="21">
        <f t="shared" si="7"/>
        <v>970.15</v>
      </c>
    </row>
    <row r="207" ht="20.25" customHeight="1" outlineLevel="1">
      <c r="A207" s="18">
        <v>45919.0</v>
      </c>
      <c r="B207" s="13" t="s">
        <v>16</v>
      </c>
      <c r="C207" s="28" t="s">
        <v>220</v>
      </c>
      <c r="D207" s="20"/>
      <c r="E207" s="21">
        <f t="shared" si="1"/>
        <v>15374.27</v>
      </c>
      <c r="F207" s="26">
        <v>3914.0</v>
      </c>
      <c r="G207" s="21">
        <f t="shared" si="2"/>
        <v>336415.64</v>
      </c>
      <c r="H207" s="23"/>
      <c r="I207" s="21">
        <f t="shared" si="6"/>
        <v>1959.56</v>
      </c>
      <c r="J207" s="24"/>
      <c r="K207" s="21">
        <f t="shared" si="4"/>
        <v>307009.28</v>
      </c>
      <c r="L207" s="23"/>
      <c r="M207" s="21">
        <f t="shared" si="7"/>
        <v>970.15</v>
      </c>
    </row>
    <row r="208" ht="20.25" customHeight="1" outlineLevel="1">
      <c r="A208" s="18">
        <v>45919.0</v>
      </c>
      <c r="B208" s="13" t="s">
        <v>16</v>
      </c>
      <c r="C208" s="42" t="s">
        <v>221</v>
      </c>
      <c r="D208" s="20"/>
      <c r="E208" s="21">
        <f t="shared" si="1"/>
        <v>15374.27</v>
      </c>
      <c r="F208" s="23"/>
      <c r="G208" s="21">
        <f t="shared" si="2"/>
        <v>336415.64</v>
      </c>
      <c r="H208" s="23"/>
      <c r="I208" s="21">
        <f t="shared" si="6"/>
        <v>1959.56</v>
      </c>
      <c r="J208" s="81">
        <v>3599.0</v>
      </c>
      <c r="K208" s="21">
        <f t="shared" si="4"/>
        <v>310608.28</v>
      </c>
      <c r="L208" s="23"/>
      <c r="M208" s="21">
        <f t="shared" si="7"/>
        <v>970.15</v>
      </c>
    </row>
    <row r="209" ht="20.25" customHeight="1" outlineLevel="1">
      <c r="A209" s="18">
        <v>45919.0</v>
      </c>
      <c r="B209" s="13" t="s">
        <v>16</v>
      </c>
      <c r="C209" s="42" t="s">
        <v>222</v>
      </c>
      <c r="D209" s="20"/>
      <c r="E209" s="21">
        <f t="shared" si="1"/>
        <v>15374.27</v>
      </c>
      <c r="F209" s="23"/>
      <c r="G209" s="21">
        <f t="shared" si="2"/>
        <v>336415.64</v>
      </c>
      <c r="H209" s="23"/>
      <c r="I209" s="21">
        <f t="shared" si="6"/>
        <v>1959.56</v>
      </c>
      <c r="J209" s="81">
        <v>1033.0</v>
      </c>
      <c r="K209" s="21">
        <f t="shared" si="4"/>
        <v>311641.28</v>
      </c>
      <c r="L209" s="23"/>
      <c r="M209" s="21">
        <f t="shared" si="7"/>
        <v>970.15</v>
      </c>
    </row>
    <row r="210" ht="20.25" customHeight="1" outlineLevel="1">
      <c r="A210" s="18">
        <v>45919.0</v>
      </c>
      <c r="B210" s="13" t="s">
        <v>16</v>
      </c>
      <c r="C210" s="28" t="s">
        <v>223</v>
      </c>
      <c r="D210" s="20">
        <v>319.5</v>
      </c>
      <c r="E210" s="21">
        <f t="shared" si="1"/>
        <v>15693.77</v>
      </c>
      <c r="F210" s="23"/>
      <c r="G210" s="21">
        <f t="shared" si="2"/>
        <v>336415.64</v>
      </c>
      <c r="H210" s="23"/>
      <c r="I210" s="21">
        <f t="shared" si="6"/>
        <v>1959.56</v>
      </c>
      <c r="J210" s="24"/>
      <c r="K210" s="21">
        <f t="shared" si="4"/>
        <v>311641.28</v>
      </c>
      <c r="L210" s="23"/>
      <c r="M210" s="21">
        <f t="shared" si="7"/>
        <v>970.15</v>
      </c>
    </row>
    <row r="211" ht="20.25" customHeight="1" outlineLevel="1">
      <c r="A211" s="18">
        <v>45919.0</v>
      </c>
      <c r="B211" s="13" t="s">
        <v>16</v>
      </c>
      <c r="C211" s="41" t="s">
        <v>224</v>
      </c>
      <c r="D211" s="20"/>
      <c r="E211" s="21">
        <f t="shared" si="1"/>
        <v>15693.77</v>
      </c>
      <c r="F211" s="23"/>
      <c r="G211" s="21">
        <f t="shared" si="2"/>
        <v>336415.64</v>
      </c>
      <c r="H211" s="23"/>
      <c r="I211" s="21">
        <f t="shared" si="6"/>
        <v>1959.56</v>
      </c>
      <c r="J211" s="71">
        <v>1325.0</v>
      </c>
      <c r="K211" s="21">
        <f t="shared" si="4"/>
        <v>312966.28</v>
      </c>
      <c r="L211" s="23"/>
      <c r="M211" s="21">
        <f t="shared" si="7"/>
        <v>970.15</v>
      </c>
    </row>
    <row r="212" ht="20.25" customHeight="1" outlineLevel="1">
      <c r="A212" s="12">
        <v>45919.0</v>
      </c>
      <c r="B212" s="13" t="s">
        <v>16</v>
      </c>
      <c r="C212" s="41" t="s">
        <v>225</v>
      </c>
      <c r="D212" s="20"/>
      <c r="E212" s="21">
        <f t="shared" si="1"/>
        <v>15693.77</v>
      </c>
      <c r="F212" s="23"/>
      <c r="G212" s="21">
        <f t="shared" si="2"/>
        <v>336415.64</v>
      </c>
      <c r="H212" s="23"/>
      <c r="I212" s="21">
        <f t="shared" si="6"/>
        <v>1959.56</v>
      </c>
      <c r="J212" s="35">
        <v>280.0</v>
      </c>
      <c r="K212" s="21">
        <f t="shared" si="4"/>
        <v>313246.28</v>
      </c>
      <c r="L212" s="23"/>
      <c r="M212" s="21">
        <f t="shared" si="7"/>
        <v>970.15</v>
      </c>
    </row>
    <row r="213" ht="20.25" customHeight="1" outlineLevel="1">
      <c r="A213" s="30">
        <v>45919.0</v>
      </c>
      <c r="B213" s="13" t="s">
        <v>14</v>
      </c>
      <c r="C213" s="28" t="s">
        <v>226</v>
      </c>
      <c r="D213" s="20"/>
      <c r="E213" s="21">
        <f t="shared" si="1"/>
        <v>15693.77</v>
      </c>
      <c r="F213" s="62"/>
      <c r="G213" s="21">
        <f t="shared" si="2"/>
        <v>336415.64</v>
      </c>
      <c r="H213" s="22">
        <v>-58.0</v>
      </c>
      <c r="I213" s="21">
        <f t="shared" si="6"/>
        <v>1901.56</v>
      </c>
      <c r="J213" s="74"/>
      <c r="K213" s="21">
        <f t="shared" si="4"/>
        <v>313246.28</v>
      </c>
      <c r="L213" s="23"/>
      <c r="M213" s="21">
        <f t="shared" si="7"/>
        <v>970.15</v>
      </c>
    </row>
    <row r="214" ht="20.25" customHeight="1" outlineLevel="1">
      <c r="A214" s="30">
        <v>45919.0</v>
      </c>
      <c r="B214" s="13" t="s">
        <v>14</v>
      </c>
      <c r="C214" s="28" t="s">
        <v>227</v>
      </c>
      <c r="D214" s="20"/>
      <c r="E214" s="21">
        <f t="shared" si="1"/>
        <v>15693.77</v>
      </c>
      <c r="F214" s="62"/>
      <c r="G214" s="21">
        <f t="shared" si="2"/>
        <v>336415.64</v>
      </c>
      <c r="H214" s="22">
        <v>-22.88</v>
      </c>
      <c r="I214" s="21">
        <f t="shared" si="6"/>
        <v>1878.68</v>
      </c>
      <c r="J214" s="74"/>
      <c r="K214" s="21">
        <f t="shared" si="4"/>
        <v>313246.28</v>
      </c>
      <c r="L214" s="23"/>
      <c r="M214" s="21">
        <f t="shared" si="7"/>
        <v>970.15</v>
      </c>
    </row>
    <row r="215" ht="20.25" customHeight="1" outlineLevel="1">
      <c r="A215" s="12">
        <v>45919.0</v>
      </c>
      <c r="B215" s="13" t="s">
        <v>12</v>
      </c>
      <c r="C215" s="28" t="s">
        <v>228</v>
      </c>
      <c r="D215" s="20"/>
      <c r="E215" s="21">
        <f t="shared" si="1"/>
        <v>15693.77</v>
      </c>
      <c r="F215" s="23"/>
      <c r="G215" s="21">
        <f t="shared" si="2"/>
        <v>336415.64</v>
      </c>
      <c r="H215" s="22">
        <v>-34.55</v>
      </c>
      <c r="I215" s="21">
        <f t="shared" si="6"/>
        <v>1844.13</v>
      </c>
      <c r="J215" s="74"/>
      <c r="K215" s="21">
        <f t="shared" si="4"/>
        <v>313246.28</v>
      </c>
      <c r="L215" s="23"/>
      <c r="M215" s="21">
        <f t="shared" si="7"/>
        <v>970.15</v>
      </c>
    </row>
    <row r="216" ht="20.25" customHeight="1" outlineLevel="1">
      <c r="A216" s="12">
        <v>45920.0</v>
      </c>
      <c r="B216" s="13" t="s">
        <v>16</v>
      </c>
      <c r="C216" s="89" t="s">
        <v>229</v>
      </c>
      <c r="D216" s="20">
        <v>429.5</v>
      </c>
      <c r="E216" s="21">
        <f t="shared" si="1"/>
        <v>16123.27</v>
      </c>
      <c r="F216" s="23"/>
      <c r="G216" s="21">
        <f t="shared" si="2"/>
        <v>336415.64</v>
      </c>
      <c r="H216" s="23"/>
      <c r="I216" s="21">
        <f t="shared" si="6"/>
        <v>1844.13</v>
      </c>
      <c r="J216" s="23"/>
      <c r="K216" s="21">
        <f t="shared" si="4"/>
        <v>313246.28</v>
      </c>
      <c r="L216" s="23"/>
      <c r="M216" s="21">
        <f t="shared" si="7"/>
        <v>970.15</v>
      </c>
    </row>
    <row r="217" ht="20.25" customHeight="1" outlineLevel="1">
      <c r="A217" s="18">
        <v>45922.0</v>
      </c>
      <c r="B217" s="13" t="s">
        <v>16</v>
      </c>
      <c r="C217" s="85" t="s">
        <v>230</v>
      </c>
      <c r="D217" s="20"/>
      <c r="E217" s="21">
        <f t="shared" si="1"/>
        <v>16123.27</v>
      </c>
      <c r="F217" s="27">
        <v>6429.53</v>
      </c>
      <c r="G217" s="21">
        <f t="shared" si="2"/>
        <v>342845.17</v>
      </c>
      <c r="H217" s="23"/>
      <c r="I217" s="21">
        <f t="shared" si="6"/>
        <v>1844.13</v>
      </c>
      <c r="J217" s="24"/>
      <c r="K217" s="21">
        <f t="shared" si="4"/>
        <v>313246.28</v>
      </c>
      <c r="L217" s="23"/>
      <c r="M217" s="21">
        <f t="shared" si="7"/>
        <v>970.15</v>
      </c>
    </row>
    <row r="218" ht="20.25" customHeight="1" outlineLevel="1">
      <c r="A218" s="18">
        <v>45922.0</v>
      </c>
      <c r="B218" s="13" t="s">
        <v>63</v>
      </c>
      <c r="C218" s="90" t="s">
        <v>231</v>
      </c>
      <c r="D218" s="20"/>
      <c r="E218" s="21">
        <f t="shared" si="1"/>
        <v>16123.27</v>
      </c>
      <c r="F218" s="51">
        <v>427.0</v>
      </c>
      <c r="G218" s="21">
        <f t="shared" si="2"/>
        <v>343272.17</v>
      </c>
      <c r="H218" s="23"/>
      <c r="I218" s="21">
        <f t="shared" si="6"/>
        <v>1844.13</v>
      </c>
      <c r="J218" s="24"/>
      <c r="K218" s="21">
        <f t="shared" si="4"/>
        <v>313246.28</v>
      </c>
      <c r="L218" s="23"/>
      <c r="M218" s="21">
        <f t="shared" si="7"/>
        <v>970.15</v>
      </c>
    </row>
    <row r="219" ht="20.25" customHeight="1" outlineLevel="1">
      <c r="A219" s="18">
        <v>45922.0</v>
      </c>
      <c r="B219" s="13" t="s">
        <v>16</v>
      </c>
      <c r="C219" s="86" t="s">
        <v>232</v>
      </c>
      <c r="D219" s="20"/>
      <c r="E219" s="21">
        <f t="shared" si="1"/>
        <v>16123.27</v>
      </c>
      <c r="F219" s="23"/>
      <c r="G219" s="21">
        <f t="shared" si="2"/>
        <v>343272.17</v>
      </c>
      <c r="H219" s="23"/>
      <c r="I219" s="21">
        <f t="shared" si="6"/>
        <v>1844.13</v>
      </c>
      <c r="J219" s="71">
        <v>305.0</v>
      </c>
      <c r="K219" s="21">
        <f t="shared" si="4"/>
        <v>313551.28</v>
      </c>
      <c r="L219" s="23"/>
      <c r="M219" s="21">
        <f t="shared" si="7"/>
        <v>970.15</v>
      </c>
    </row>
    <row r="220" ht="20.25" customHeight="1" outlineLevel="1">
      <c r="A220" s="18">
        <v>45922.0</v>
      </c>
      <c r="B220" s="13" t="s">
        <v>16</v>
      </c>
      <c r="C220" s="86" t="s">
        <v>233</v>
      </c>
      <c r="D220" s="20"/>
      <c r="E220" s="21">
        <f t="shared" si="1"/>
        <v>16123.27</v>
      </c>
      <c r="F220" s="23"/>
      <c r="G220" s="21">
        <f t="shared" si="2"/>
        <v>343272.17</v>
      </c>
      <c r="H220" s="23"/>
      <c r="I220" s="21">
        <f t="shared" si="6"/>
        <v>1844.13</v>
      </c>
      <c r="J220" s="71">
        <v>985.0</v>
      </c>
      <c r="K220" s="21">
        <f t="shared" si="4"/>
        <v>314536.28</v>
      </c>
      <c r="L220" s="23"/>
      <c r="M220" s="21">
        <f t="shared" si="7"/>
        <v>970.15</v>
      </c>
    </row>
    <row r="221" ht="20.25" customHeight="1" outlineLevel="1">
      <c r="A221" s="18">
        <v>45922.0</v>
      </c>
      <c r="B221" s="13" t="s">
        <v>16</v>
      </c>
      <c r="C221" s="91" t="s">
        <v>234</v>
      </c>
      <c r="D221" s="20"/>
      <c r="E221" s="21">
        <f t="shared" si="1"/>
        <v>16123.27</v>
      </c>
      <c r="F221" s="23"/>
      <c r="G221" s="21">
        <f t="shared" si="2"/>
        <v>343272.17</v>
      </c>
      <c r="H221" s="23"/>
      <c r="I221" s="21">
        <f t="shared" si="6"/>
        <v>1844.13</v>
      </c>
      <c r="J221" s="71">
        <v>415.0</v>
      </c>
      <c r="K221" s="21">
        <f t="shared" si="4"/>
        <v>314951.28</v>
      </c>
      <c r="L221" s="23"/>
      <c r="M221" s="21">
        <f t="shared" si="7"/>
        <v>970.15</v>
      </c>
    </row>
    <row r="222" ht="20.25" customHeight="1" outlineLevel="1">
      <c r="A222" s="18">
        <v>45922.0</v>
      </c>
      <c r="B222" s="13" t="s">
        <v>14</v>
      </c>
      <c r="C222" s="85" t="s">
        <v>149</v>
      </c>
      <c r="D222" s="73">
        <v>-38.6</v>
      </c>
      <c r="E222" s="21">
        <f t="shared" si="1"/>
        <v>16084.67</v>
      </c>
      <c r="F222" s="23"/>
      <c r="G222" s="21">
        <f t="shared" si="2"/>
        <v>343272.17</v>
      </c>
      <c r="H222" s="23"/>
      <c r="I222" s="21">
        <f t="shared" si="6"/>
        <v>1844.13</v>
      </c>
      <c r="J222" s="23"/>
      <c r="K222" s="21">
        <f t="shared" si="4"/>
        <v>314951.28</v>
      </c>
      <c r="L222" s="23"/>
      <c r="M222" s="21">
        <f t="shared" si="7"/>
        <v>970.15</v>
      </c>
    </row>
    <row r="223" ht="20.25" customHeight="1" outlineLevel="1">
      <c r="A223" s="18">
        <v>45922.0</v>
      </c>
      <c r="B223" s="13" t="s">
        <v>16</v>
      </c>
      <c r="C223" s="87" t="s">
        <v>235</v>
      </c>
      <c r="D223" s="20"/>
      <c r="E223" s="21">
        <f t="shared" si="1"/>
        <v>16084.67</v>
      </c>
      <c r="F223" s="23"/>
      <c r="G223" s="21">
        <f t="shared" si="2"/>
        <v>343272.17</v>
      </c>
      <c r="H223" s="23"/>
      <c r="I223" s="21">
        <f t="shared" si="6"/>
        <v>1844.13</v>
      </c>
      <c r="J223" s="54">
        <v>335.0</v>
      </c>
      <c r="K223" s="21">
        <f t="shared" si="4"/>
        <v>315286.28</v>
      </c>
      <c r="L223" s="23"/>
      <c r="M223" s="21">
        <f t="shared" si="7"/>
        <v>970.15</v>
      </c>
    </row>
    <row r="224" ht="20.25" customHeight="1" outlineLevel="1">
      <c r="A224" s="18">
        <v>45922.0</v>
      </c>
      <c r="B224" s="13" t="s">
        <v>16</v>
      </c>
      <c r="C224" s="87" t="s">
        <v>236</v>
      </c>
      <c r="D224" s="20"/>
      <c r="E224" s="21">
        <f t="shared" si="1"/>
        <v>16084.67</v>
      </c>
      <c r="F224" s="23"/>
      <c r="G224" s="21">
        <f t="shared" si="2"/>
        <v>343272.17</v>
      </c>
      <c r="H224" s="23"/>
      <c r="I224" s="21">
        <f t="shared" si="6"/>
        <v>1844.13</v>
      </c>
      <c r="J224" s="54">
        <v>1127.0</v>
      </c>
      <c r="K224" s="21">
        <f t="shared" si="4"/>
        <v>316413.28</v>
      </c>
      <c r="L224" s="23"/>
      <c r="M224" s="21">
        <f t="shared" si="7"/>
        <v>970.15</v>
      </c>
    </row>
    <row r="225" ht="20.25" customHeight="1" outlineLevel="1">
      <c r="A225" s="18">
        <v>45922.0</v>
      </c>
      <c r="B225" s="13" t="s">
        <v>16</v>
      </c>
      <c r="C225" s="87" t="s">
        <v>237</v>
      </c>
      <c r="D225" s="20"/>
      <c r="E225" s="21">
        <f t="shared" si="1"/>
        <v>16084.67</v>
      </c>
      <c r="F225" s="23"/>
      <c r="G225" s="21">
        <f t="shared" si="2"/>
        <v>343272.17</v>
      </c>
      <c r="H225" s="23"/>
      <c r="I225" s="21">
        <f t="shared" si="6"/>
        <v>1844.13</v>
      </c>
      <c r="J225" s="54">
        <v>545.0</v>
      </c>
      <c r="K225" s="21">
        <f t="shared" si="4"/>
        <v>316958.28</v>
      </c>
      <c r="L225" s="23"/>
      <c r="M225" s="21">
        <f t="shared" si="7"/>
        <v>970.15</v>
      </c>
    </row>
    <row r="226" ht="20.25" customHeight="1" outlineLevel="1">
      <c r="A226" s="18">
        <v>45922.0</v>
      </c>
      <c r="B226" s="13" t="s">
        <v>16</v>
      </c>
      <c r="C226" s="87" t="s">
        <v>238</v>
      </c>
      <c r="D226" s="20"/>
      <c r="E226" s="21">
        <f t="shared" si="1"/>
        <v>16084.67</v>
      </c>
      <c r="F226" s="23"/>
      <c r="G226" s="21">
        <f t="shared" si="2"/>
        <v>343272.17</v>
      </c>
      <c r="H226" s="23"/>
      <c r="I226" s="21">
        <f t="shared" si="6"/>
        <v>1844.13</v>
      </c>
      <c r="J226" s="54">
        <v>390.0</v>
      </c>
      <c r="K226" s="21">
        <f t="shared" si="4"/>
        <v>317348.28</v>
      </c>
      <c r="L226" s="23"/>
      <c r="M226" s="21">
        <f t="shared" si="7"/>
        <v>970.15</v>
      </c>
    </row>
    <row r="227" ht="20.25" customHeight="1" outlineLevel="1">
      <c r="A227" s="18">
        <v>45922.0</v>
      </c>
      <c r="B227" s="13" t="s">
        <v>16</v>
      </c>
      <c r="C227" s="85" t="s">
        <v>239</v>
      </c>
      <c r="D227" s="20"/>
      <c r="E227" s="21">
        <f t="shared" si="1"/>
        <v>16084.67</v>
      </c>
      <c r="F227" s="27">
        <v>1616.0</v>
      </c>
      <c r="G227" s="21">
        <f t="shared" si="2"/>
        <v>344888.17</v>
      </c>
      <c r="H227" s="23"/>
      <c r="I227" s="21">
        <f t="shared" si="6"/>
        <v>1844.13</v>
      </c>
      <c r="J227" s="92"/>
      <c r="K227" s="21">
        <f t="shared" si="4"/>
        <v>317348.28</v>
      </c>
      <c r="L227" s="23"/>
      <c r="M227" s="21">
        <f t="shared" si="7"/>
        <v>970.15</v>
      </c>
    </row>
    <row r="228" ht="20.25" customHeight="1" outlineLevel="1">
      <c r="A228" s="18">
        <v>45922.0</v>
      </c>
      <c r="B228" s="13" t="s">
        <v>16</v>
      </c>
      <c r="C228" s="93" t="s">
        <v>240</v>
      </c>
      <c r="D228" s="20"/>
      <c r="E228" s="21">
        <f t="shared" si="1"/>
        <v>16084.67</v>
      </c>
      <c r="F228" s="26">
        <v>3537.0</v>
      </c>
      <c r="G228" s="21">
        <f t="shared" si="2"/>
        <v>348425.17</v>
      </c>
      <c r="H228" s="23"/>
      <c r="I228" s="21">
        <f t="shared" si="6"/>
        <v>1844.13</v>
      </c>
      <c r="J228" s="92"/>
      <c r="K228" s="21">
        <f t="shared" si="4"/>
        <v>317348.28</v>
      </c>
      <c r="L228" s="23"/>
      <c r="M228" s="21">
        <f t="shared" si="7"/>
        <v>970.15</v>
      </c>
    </row>
    <row r="229" ht="20.25" customHeight="1" outlineLevel="1">
      <c r="A229" s="12">
        <v>45922.0</v>
      </c>
      <c r="B229" s="13" t="s">
        <v>16</v>
      </c>
      <c r="C229" s="28" t="s">
        <v>241</v>
      </c>
      <c r="D229" s="20"/>
      <c r="E229" s="21">
        <f t="shared" si="1"/>
        <v>16084.67</v>
      </c>
      <c r="F229" s="27">
        <v>3920.0</v>
      </c>
      <c r="G229" s="21">
        <f t="shared" si="2"/>
        <v>352345.17</v>
      </c>
      <c r="H229" s="23"/>
      <c r="I229" s="21">
        <f t="shared" si="6"/>
        <v>1844.13</v>
      </c>
      <c r="J229" s="23"/>
      <c r="K229" s="21">
        <f t="shared" si="4"/>
        <v>317348.28</v>
      </c>
      <c r="L229" s="23"/>
      <c r="M229" s="21">
        <f t="shared" si="7"/>
        <v>970.15</v>
      </c>
    </row>
    <row r="230" ht="20.25" customHeight="1" outlineLevel="1">
      <c r="A230" s="12">
        <v>45922.0</v>
      </c>
      <c r="B230" s="13" t="s">
        <v>16</v>
      </c>
      <c r="C230" s="28" t="s">
        <v>242</v>
      </c>
      <c r="D230" s="20"/>
      <c r="E230" s="21">
        <f t="shared" si="1"/>
        <v>16084.67</v>
      </c>
      <c r="F230" s="27">
        <v>505.0</v>
      </c>
      <c r="G230" s="21">
        <f t="shared" si="2"/>
        <v>352850.17</v>
      </c>
      <c r="H230" s="23"/>
      <c r="I230" s="21">
        <f t="shared" si="6"/>
        <v>1844.13</v>
      </c>
      <c r="J230" s="23"/>
      <c r="K230" s="21">
        <f t="shared" si="4"/>
        <v>317348.28</v>
      </c>
      <c r="L230" s="23"/>
      <c r="M230" s="21">
        <f t="shared" si="7"/>
        <v>970.15</v>
      </c>
    </row>
    <row r="231" ht="20.25" customHeight="1" outlineLevel="1">
      <c r="A231" s="12">
        <v>45922.0</v>
      </c>
      <c r="B231" s="13" t="s">
        <v>16</v>
      </c>
      <c r="C231" s="28" t="s">
        <v>243</v>
      </c>
      <c r="D231" s="20"/>
      <c r="E231" s="21">
        <f t="shared" si="1"/>
        <v>16084.67</v>
      </c>
      <c r="F231" s="27">
        <v>4592.5</v>
      </c>
      <c r="G231" s="21">
        <f t="shared" si="2"/>
        <v>357442.67</v>
      </c>
      <c r="H231" s="23"/>
      <c r="I231" s="21">
        <f t="shared" si="6"/>
        <v>1844.13</v>
      </c>
      <c r="J231" s="23"/>
      <c r="K231" s="21">
        <f t="shared" si="4"/>
        <v>317348.28</v>
      </c>
      <c r="L231" s="23"/>
      <c r="M231" s="21">
        <f t="shared" si="7"/>
        <v>970.15</v>
      </c>
    </row>
    <row r="232" ht="20.25" customHeight="1" outlineLevel="1">
      <c r="A232" s="18">
        <v>45922.0</v>
      </c>
      <c r="B232" s="13" t="s">
        <v>16</v>
      </c>
      <c r="C232" s="28" t="s">
        <v>244</v>
      </c>
      <c r="D232" s="20"/>
      <c r="E232" s="21">
        <f t="shared" si="1"/>
        <v>16084.67</v>
      </c>
      <c r="F232" s="26">
        <v>3502.0</v>
      </c>
      <c r="G232" s="21">
        <f t="shared" si="2"/>
        <v>360944.67</v>
      </c>
      <c r="H232" s="23"/>
      <c r="I232" s="21">
        <f t="shared" si="6"/>
        <v>1844.13</v>
      </c>
      <c r="J232" s="24"/>
      <c r="K232" s="21">
        <f t="shared" si="4"/>
        <v>317348.28</v>
      </c>
      <c r="L232" s="23"/>
      <c r="M232" s="21">
        <f t="shared" si="7"/>
        <v>970.15</v>
      </c>
    </row>
    <row r="233" ht="20.25" customHeight="1" outlineLevel="1">
      <c r="A233" s="18">
        <v>45922.0</v>
      </c>
      <c r="B233" s="13" t="s">
        <v>16</v>
      </c>
      <c r="C233" s="28" t="s">
        <v>245</v>
      </c>
      <c r="D233" s="20"/>
      <c r="E233" s="21">
        <f t="shared" si="1"/>
        <v>16084.67</v>
      </c>
      <c r="F233" s="26">
        <v>2551.0</v>
      </c>
      <c r="G233" s="21">
        <f t="shared" si="2"/>
        <v>363495.67</v>
      </c>
      <c r="H233" s="23"/>
      <c r="I233" s="21">
        <f t="shared" si="6"/>
        <v>1844.13</v>
      </c>
      <c r="J233" s="24"/>
      <c r="K233" s="21">
        <f t="shared" si="4"/>
        <v>317348.28</v>
      </c>
      <c r="L233" s="23"/>
      <c r="M233" s="21">
        <f t="shared" si="7"/>
        <v>970.15</v>
      </c>
    </row>
    <row r="234" ht="20.25" customHeight="1" outlineLevel="1">
      <c r="A234" s="18">
        <v>45922.0</v>
      </c>
      <c r="B234" s="13" t="s">
        <v>16</v>
      </c>
      <c r="C234" s="28" t="s">
        <v>246</v>
      </c>
      <c r="D234" s="20">
        <v>2714.0</v>
      </c>
      <c r="E234" s="21">
        <f t="shared" si="1"/>
        <v>18798.67</v>
      </c>
      <c r="F234" s="23"/>
      <c r="G234" s="21">
        <f t="shared" si="2"/>
        <v>363495.67</v>
      </c>
      <c r="H234" s="23"/>
      <c r="I234" s="21">
        <f t="shared" si="6"/>
        <v>1844.13</v>
      </c>
      <c r="J234" s="24"/>
      <c r="K234" s="21">
        <f t="shared" si="4"/>
        <v>317348.28</v>
      </c>
      <c r="L234" s="23"/>
      <c r="M234" s="21">
        <f t="shared" si="7"/>
        <v>970.15</v>
      </c>
    </row>
    <row r="235" ht="20.25" customHeight="1" outlineLevel="1">
      <c r="A235" s="12">
        <v>45922.0</v>
      </c>
      <c r="B235" s="13" t="s">
        <v>14</v>
      </c>
      <c r="C235" s="28" t="s">
        <v>247</v>
      </c>
      <c r="D235" s="20"/>
      <c r="E235" s="21">
        <f t="shared" si="1"/>
        <v>18798.67</v>
      </c>
      <c r="F235" s="23"/>
      <c r="G235" s="21">
        <f t="shared" si="2"/>
        <v>363495.67</v>
      </c>
      <c r="H235" s="22">
        <v>-218.0</v>
      </c>
      <c r="I235" s="21">
        <f t="shared" si="6"/>
        <v>1626.13</v>
      </c>
      <c r="J235" s="74"/>
      <c r="K235" s="21">
        <f t="shared" si="4"/>
        <v>317348.28</v>
      </c>
      <c r="L235" s="23"/>
      <c r="M235" s="21">
        <f t="shared" si="7"/>
        <v>970.15</v>
      </c>
    </row>
    <row r="236" ht="20.25" customHeight="1" outlineLevel="1">
      <c r="A236" s="18">
        <v>45922.0</v>
      </c>
      <c r="B236" s="13" t="s">
        <v>12</v>
      </c>
      <c r="C236" s="28" t="s">
        <v>248</v>
      </c>
      <c r="D236" s="20"/>
      <c r="E236" s="21">
        <f t="shared" si="1"/>
        <v>18798.67</v>
      </c>
      <c r="F236" s="23"/>
      <c r="G236" s="21">
        <f t="shared" si="2"/>
        <v>363495.67</v>
      </c>
      <c r="H236" s="22">
        <v>-344.0</v>
      </c>
      <c r="I236" s="21">
        <f t="shared" si="6"/>
        <v>1282.13</v>
      </c>
      <c r="J236" s="24"/>
      <c r="K236" s="21">
        <f t="shared" si="4"/>
        <v>317348.28</v>
      </c>
      <c r="L236" s="23"/>
      <c r="M236" s="21">
        <f t="shared" si="7"/>
        <v>970.15</v>
      </c>
    </row>
    <row r="237" ht="20.25" customHeight="1" outlineLevel="1">
      <c r="A237" s="12">
        <v>45923.0</v>
      </c>
      <c r="B237" s="13" t="s">
        <v>16</v>
      </c>
      <c r="C237" s="41" t="s">
        <v>249</v>
      </c>
      <c r="D237" s="20"/>
      <c r="E237" s="21">
        <f t="shared" si="1"/>
        <v>18798.67</v>
      </c>
      <c r="F237" s="23"/>
      <c r="G237" s="21">
        <f t="shared" si="2"/>
        <v>363495.67</v>
      </c>
      <c r="H237" s="23"/>
      <c r="I237" s="21">
        <f t="shared" si="6"/>
        <v>1282.13</v>
      </c>
      <c r="J237" s="35">
        <v>385.0</v>
      </c>
      <c r="K237" s="21">
        <f t="shared" si="4"/>
        <v>317733.28</v>
      </c>
      <c r="L237" s="23"/>
      <c r="M237" s="21">
        <f t="shared" si="7"/>
        <v>970.15</v>
      </c>
    </row>
    <row r="238" ht="20.25" customHeight="1" outlineLevel="1">
      <c r="A238" s="18">
        <v>45923.0</v>
      </c>
      <c r="B238" s="13" t="s">
        <v>14</v>
      </c>
      <c r="C238" s="94" t="s">
        <v>34</v>
      </c>
      <c r="D238" s="20"/>
      <c r="E238" s="21">
        <f t="shared" si="1"/>
        <v>18798.67</v>
      </c>
      <c r="F238" s="23"/>
      <c r="G238" s="21">
        <f t="shared" si="2"/>
        <v>363495.67</v>
      </c>
      <c r="H238" s="23"/>
      <c r="I238" s="21">
        <f t="shared" si="6"/>
        <v>1282.13</v>
      </c>
      <c r="J238" s="95">
        <v>-41.39</v>
      </c>
      <c r="K238" s="21">
        <f t="shared" si="4"/>
        <v>317691.89</v>
      </c>
      <c r="L238" s="23"/>
      <c r="M238" s="21">
        <f t="shared" si="7"/>
        <v>970.15</v>
      </c>
    </row>
    <row r="239" ht="20.25" customHeight="1" outlineLevel="1">
      <c r="A239" s="12">
        <v>45923.0</v>
      </c>
      <c r="B239" s="13" t="s">
        <v>16</v>
      </c>
      <c r="C239" s="96" t="s">
        <v>250</v>
      </c>
      <c r="D239" s="20"/>
      <c r="E239" s="21">
        <f t="shared" si="1"/>
        <v>18798.67</v>
      </c>
      <c r="F239" s="27">
        <v>6383.5</v>
      </c>
      <c r="G239" s="21">
        <f t="shared" si="2"/>
        <v>369879.17</v>
      </c>
      <c r="H239" s="23"/>
      <c r="I239" s="21">
        <f t="shared" si="6"/>
        <v>1282.13</v>
      </c>
      <c r="J239" s="23"/>
      <c r="K239" s="21">
        <f t="shared" si="4"/>
        <v>317691.89</v>
      </c>
      <c r="L239" s="23"/>
      <c r="M239" s="21">
        <f t="shared" si="7"/>
        <v>970.15</v>
      </c>
    </row>
    <row r="240" ht="20.25" customHeight="1" outlineLevel="1">
      <c r="A240" s="12">
        <v>45923.0</v>
      </c>
      <c r="B240" s="13" t="s">
        <v>16</v>
      </c>
      <c r="C240" s="96" t="s">
        <v>251</v>
      </c>
      <c r="D240" s="20"/>
      <c r="E240" s="21">
        <f t="shared" si="1"/>
        <v>18798.67</v>
      </c>
      <c r="F240" s="27">
        <v>3271.5</v>
      </c>
      <c r="G240" s="21">
        <f t="shared" si="2"/>
        <v>373150.67</v>
      </c>
      <c r="H240" s="23"/>
      <c r="I240" s="21">
        <f t="shared" si="6"/>
        <v>1282.13</v>
      </c>
      <c r="J240" s="23"/>
      <c r="K240" s="21">
        <f t="shared" si="4"/>
        <v>317691.89</v>
      </c>
      <c r="L240" s="23"/>
      <c r="M240" s="21">
        <f t="shared" si="7"/>
        <v>970.15</v>
      </c>
    </row>
    <row r="241" ht="20.25" customHeight="1" outlineLevel="1">
      <c r="A241" s="18">
        <v>45923.0</v>
      </c>
      <c r="B241" s="13" t="s">
        <v>16</v>
      </c>
      <c r="C241" s="96" t="s">
        <v>252</v>
      </c>
      <c r="D241" s="20"/>
      <c r="E241" s="21">
        <f t="shared" si="1"/>
        <v>18798.67</v>
      </c>
      <c r="F241" s="26">
        <v>5037.0</v>
      </c>
      <c r="G241" s="21">
        <f t="shared" si="2"/>
        <v>378187.67</v>
      </c>
      <c r="H241" s="23"/>
      <c r="I241" s="21">
        <f t="shared" si="6"/>
        <v>1282.13</v>
      </c>
      <c r="J241" s="24"/>
      <c r="K241" s="21">
        <f t="shared" si="4"/>
        <v>317691.89</v>
      </c>
      <c r="L241" s="23"/>
      <c r="M241" s="21">
        <f t="shared" si="7"/>
        <v>970.15</v>
      </c>
    </row>
    <row r="242" ht="20.25" customHeight="1" outlineLevel="1">
      <c r="A242" s="12">
        <v>45923.0</v>
      </c>
      <c r="B242" s="13" t="s">
        <v>16</v>
      </c>
      <c r="C242" s="96" t="s">
        <v>253</v>
      </c>
      <c r="D242" s="20"/>
      <c r="E242" s="21">
        <f t="shared" si="1"/>
        <v>18798.67</v>
      </c>
      <c r="F242" s="27">
        <v>7008.87</v>
      </c>
      <c r="G242" s="21">
        <f t="shared" si="2"/>
        <v>385196.54</v>
      </c>
      <c r="H242" s="23"/>
      <c r="I242" s="21">
        <f t="shared" si="6"/>
        <v>1282.13</v>
      </c>
      <c r="J242" s="23"/>
      <c r="K242" s="21">
        <f t="shared" si="4"/>
        <v>317691.89</v>
      </c>
      <c r="L242" s="23"/>
      <c r="M242" s="21">
        <f t="shared" si="7"/>
        <v>970.15</v>
      </c>
    </row>
    <row r="243" ht="20.25" customHeight="1" outlineLevel="1">
      <c r="A243" s="12">
        <v>45923.0</v>
      </c>
      <c r="B243" s="13" t="s">
        <v>16</v>
      </c>
      <c r="C243" s="97" t="s">
        <v>254</v>
      </c>
      <c r="D243" s="20"/>
      <c r="E243" s="21">
        <f t="shared" si="1"/>
        <v>18798.67</v>
      </c>
      <c r="F243" s="23"/>
      <c r="G243" s="21">
        <f t="shared" si="2"/>
        <v>385196.54</v>
      </c>
      <c r="H243" s="23"/>
      <c r="I243" s="21">
        <f t="shared" si="6"/>
        <v>1282.13</v>
      </c>
      <c r="J243" s="27">
        <v>855.0</v>
      </c>
      <c r="K243" s="21">
        <f t="shared" si="4"/>
        <v>318546.89</v>
      </c>
      <c r="L243" s="23"/>
      <c r="M243" s="21">
        <f t="shared" si="7"/>
        <v>970.15</v>
      </c>
    </row>
    <row r="244" ht="20.25" customHeight="1" outlineLevel="1">
      <c r="A244" s="12">
        <v>45923.0</v>
      </c>
      <c r="B244" s="13" t="s">
        <v>16</v>
      </c>
      <c r="C244" s="98" t="s">
        <v>255</v>
      </c>
      <c r="D244" s="20"/>
      <c r="E244" s="21">
        <f t="shared" si="1"/>
        <v>18798.67</v>
      </c>
      <c r="F244" s="23"/>
      <c r="G244" s="21">
        <f t="shared" si="2"/>
        <v>385196.54</v>
      </c>
      <c r="H244" s="23"/>
      <c r="I244" s="21">
        <f t="shared" si="6"/>
        <v>1282.13</v>
      </c>
      <c r="J244" s="27">
        <v>5040.0</v>
      </c>
      <c r="K244" s="21">
        <f t="shared" si="4"/>
        <v>323586.89</v>
      </c>
      <c r="L244" s="23"/>
      <c r="M244" s="21">
        <f t="shared" si="7"/>
        <v>970.15</v>
      </c>
    </row>
    <row r="245" ht="20.25" customHeight="1" outlineLevel="1">
      <c r="A245" s="12">
        <v>45923.0</v>
      </c>
      <c r="B245" s="13" t="s">
        <v>16</v>
      </c>
      <c r="C245" s="99" t="s">
        <v>256</v>
      </c>
      <c r="D245" s="20">
        <v>1225.5</v>
      </c>
      <c r="E245" s="21">
        <f t="shared" si="1"/>
        <v>20024.17</v>
      </c>
      <c r="F245" s="23"/>
      <c r="G245" s="21">
        <f t="shared" si="2"/>
        <v>385196.54</v>
      </c>
      <c r="H245" s="23"/>
      <c r="I245" s="21">
        <f t="shared" si="6"/>
        <v>1282.13</v>
      </c>
      <c r="J245" s="23"/>
      <c r="K245" s="21">
        <f t="shared" si="4"/>
        <v>323586.89</v>
      </c>
      <c r="L245" s="23"/>
      <c r="M245" s="21">
        <f t="shared" si="7"/>
        <v>970.15</v>
      </c>
    </row>
    <row r="246" ht="20.25" customHeight="1" outlineLevel="1">
      <c r="A246" s="18">
        <v>45924.0</v>
      </c>
      <c r="B246" s="13" t="s">
        <v>16</v>
      </c>
      <c r="C246" s="99" t="s">
        <v>257</v>
      </c>
      <c r="D246" s="20"/>
      <c r="E246" s="21">
        <f t="shared" si="1"/>
        <v>20024.17</v>
      </c>
      <c r="F246" s="27">
        <v>26.8</v>
      </c>
      <c r="G246" s="21">
        <f t="shared" si="2"/>
        <v>385223.34</v>
      </c>
      <c r="H246" s="23"/>
      <c r="I246" s="21">
        <f t="shared" si="6"/>
        <v>1282.13</v>
      </c>
      <c r="J246" s="24"/>
      <c r="K246" s="21">
        <f t="shared" si="4"/>
        <v>323586.89</v>
      </c>
      <c r="L246" s="23"/>
      <c r="M246" s="21">
        <f t="shared" si="7"/>
        <v>970.15</v>
      </c>
    </row>
    <row r="247" ht="20.25" customHeight="1" outlineLevel="1">
      <c r="A247" s="18">
        <v>45924.0</v>
      </c>
      <c r="B247" s="13" t="s">
        <v>16</v>
      </c>
      <c r="C247" s="100" t="s">
        <v>258</v>
      </c>
      <c r="D247" s="20"/>
      <c r="E247" s="21">
        <f t="shared" si="1"/>
        <v>20024.17</v>
      </c>
      <c r="F247" s="23"/>
      <c r="G247" s="21">
        <f t="shared" si="2"/>
        <v>385223.34</v>
      </c>
      <c r="H247" s="23"/>
      <c r="I247" s="21">
        <f t="shared" si="6"/>
        <v>1282.13</v>
      </c>
      <c r="J247" s="60">
        <v>665.0</v>
      </c>
      <c r="K247" s="21">
        <f t="shared" si="4"/>
        <v>324251.89</v>
      </c>
      <c r="L247" s="23"/>
      <c r="M247" s="21">
        <f t="shared" si="7"/>
        <v>970.15</v>
      </c>
    </row>
    <row r="248" ht="20.25" customHeight="1" outlineLevel="1">
      <c r="A248" s="12">
        <v>45924.0</v>
      </c>
      <c r="B248" s="13" t="s">
        <v>16</v>
      </c>
      <c r="C248" s="87" t="s">
        <v>259</v>
      </c>
      <c r="D248" s="20"/>
      <c r="E248" s="21">
        <f t="shared" si="1"/>
        <v>20024.17</v>
      </c>
      <c r="F248" s="23"/>
      <c r="G248" s="21">
        <f t="shared" si="2"/>
        <v>385223.34</v>
      </c>
      <c r="H248" s="23"/>
      <c r="I248" s="21">
        <f t="shared" si="6"/>
        <v>1282.13</v>
      </c>
      <c r="J248" s="54">
        <v>5326.5</v>
      </c>
      <c r="K248" s="21">
        <f t="shared" si="4"/>
        <v>329578.39</v>
      </c>
      <c r="L248" s="23"/>
      <c r="M248" s="21">
        <f t="shared" si="7"/>
        <v>970.15</v>
      </c>
    </row>
    <row r="249" ht="20.25" customHeight="1" outlineLevel="1">
      <c r="A249" s="12">
        <v>45924.0</v>
      </c>
      <c r="B249" s="13" t="s">
        <v>16</v>
      </c>
      <c r="C249" s="87" t="s">
        <v>260</v>
      </c>
      <c r="D249" s="20"/>
      <c r="E249" s="21">
        <f t="shared" si="1"/>
        <v>20024.17</v>
      </c>
      <c r="F249" s="23"/>
      <c r="G249" s="21">
        <f t="shared" si="2"/>
        <v>385223.34</v>
      </c>
      <c r="H249" s="23"/>
      <c r="I249" s="21">
        <f t="shared" si="6"/>
        <v>1282.13</v>
      </c>
      <c r="J249" s="27">
        <v>1755.0</v>
      </c>
      <c r="K249" s="21">
        <f t="shared" si="4"/>
        <v>331333.39</v>
      </c>
      <c r="L249" s="23"/>
      <c r="M249" s="21">
        <f t="shared" si="7"/>
        <v>970.15</v>
      </c>
    </row>
    <row r="250" ht="20.25" customHeight="1" outlineLevel="1">
      <c r="A250" s="12">
        <v>45924.0</v>
      </c>
      <c r="B250" s="13" t="s">
        <v>16</v>
      </c>
      <c r="C250" s="86" t="s">
        <v>261</v>
      </c>
      <c r="D250" s="20"/>
      <c r="E250" s="21">
        <f t="shared" si="1"/>
        <v>20024.17</v>
      </c>
      <c r="F250" s="23"/>
      <c r="G250" s="21">
        <f t="shared" si="2"/>
        <v>385223.34</v>
      </c>
      <c r="H250" s="23"/>
      <c r="I250" s="21">
        <f t="shared" si="6"/>
        <v>1282.13</v>
      </c>
      <c r="J250" s="35">
        <v>337.0</v>
      </c>
      <c r="K250" s="21">
        <f t="shared" si="4"/>
        <v>331670.39</v>
      </c>
      <c r="L250" s="23"/>
      <c r="M250" s="21">
        <f t="shared" si="7"/>
        <v>970.15</v>
      </c>
    </row>
    <row r="251" ht="20.25" customHeight="1" outlineLevel="1">
      <c r="A251" s="12">
        <v>45924.0</v>
      </c>
      <c r="B251" s="13" t="s">
        <v>16</v>
      </c>
      <c r="C251" s="101" t="s">
        <v>262</v>
      </c>
      <c r="D251" s="20"/>
      <c r="E251" s="21">
        <f t="shared" si="1"/>
        <v>20024.17</v>
      </c>
      <c r="F251" s="26">
        <v>2352.0</v>
      </c>
      <c r="G251" s="21">
        <f t="shared" si="2"/>
        <v>387575.34</v>
      </c>
      <c r="H251" s="23"/>
      <c r="I251" s="21">
        <f t="shared" si="6"/>
        <v>1282.13</v>
      </c>
      <c r="J251" s="23"/>
      <c r="K251" s="21">
        <f t="shared" si="4"/>
        <v>331670.39</v>
      </c>
      <c r="L251" s="23"/>
      <c r="M251" s="21">
        <f t="shared" si="7"/>
        <v>970.15</v>
      </c>
    </row>
    <row r="252" ht="20.25" customHeight="1" outlineLevel="1">
      <c r="A252" s="12">
        <v>45924.0</v>
      </c>
      <c r="B252" s="13" t="s">
        <v>16</v>
      </c>
      <c r="C252" s="101" t="s">
        <v>263</v>
      </c>
      <c r="D252" s="20"/>
      <c r="E252" s="21">
        <f t="shared" si="1"/>
        <v>20024.17</v>
      </c>
      <c r="F252" s="27">
        <v>6078.97</v>
      </c>
      <c r="G252" s="21">
        <f t="shared" si="2"/>
        <v>393654.31</v>
      </c>
      <c r="H252" s="23"/>
      <c r="I252" s="21">
        <f t="shared" si="6"/>
        <v>1282.13</v>
      </c>
      <c r="J252" s="23"/>
      <c r="K252" s="21">
        <f t="shared" si="4"/>
        <v>331670.39</v>
      </c>
      <c r="L252" s="23"/>
      <c r="M252" s="21">
        <f t="shared" si="7"/>
        <v>970.15</v>
      </c>
    </row>
    <row r="253" ht="20.25" customHeight="1" outlineLevel="1">
      <c r="A253" s="12">
        <v>45924.0</v>
      </c>
      <c r="B253" s="13" t="s">
        <v>16</v>
      </c>
      <c r="C253" s="28" t="s">
        <v>264</v>
      </c>
      <c r="D253" s="20"/>
      <c r="E253" s="21">
        <f t="shared" si="1"/>
        <v>20024.17</v>
      </c>
      <c r="F253" s="27">
        <v>2498.0</v>
      </c>
      <c r="G253" s="21">
        <f t="shared" si="2"/>
        <v>396152.31</v>
      </c>
      <c r="H253" s="23"/>
      <c r="I253" s="21">
        <f t="shared" si="6"/>
        <v>1282.13</v>
      </c>
      <c r="J253" s="23"/>
      <c r="K253" s="21">
        <f t="shared" si="4"/>
        <v>331670.39</v>
      </c>
      <c r="L253" s="23"/>
      <c r="M253" s="21">
        <f t="shared" si="7"/>
        <v>970.15</v>
      </c>
    </row>
    <row r="254" ht="20.25" customHeight="1" outlineLevel="1">
      <c r="A254" s="12">
        <v>45924.0</v>
      </c>
      <c r="B254" s="13" t="s">
        <v>16</v>
      </c>
      <c r="C254" s="28" t="s">
        <v>265</v>
      </c>
      <c r="D254" s="20"/>
      <c r="E254" s="21">
        <f t="shared" si="1"/>
        <v>20024.17</v>
      </c>
      <c r="F254" s="27">
        <v>5598.0</v>
      </c>
      <c r="G254" s="21">
        <f t="shared" si="2"/>
        <v>401750.31</v>
      </c>
      <c r="H254" s="23"/>
      <c r="I254" s="21">
        <f t="shared" si="6"/>
        <v>1282.13</v>
      </c>
      <c r="J254" s="23"/>
      <c r="K254" s="21">
        <f t="shared" si="4"/>
        <v>331670.39</v>
      </c>
      <c r="L254" s="23"/>
      <c r="M254" s="21">
        <f t="shared" si="7"/>
        <v>970.15</v>
      </c>
    </row>
    <row r="255" ht="20.25" customHeight="1" outlineLevel="1">
      <c r="A255" s="12">
        <v>45924.0</v>
      </c>
      <c r="B255" s="13" t="s">
        <v>16</v>
      </c>
      <c r="C255" s="28" t="s">
        <v>266</v>
      </c>
      <c r="D255" s="20">
        <v>772.0</v>
      </c>
      <c r="E255" s="21">
        <f t="shared" si="1"/>
        <v>20796.17</v>
      </c>
      <c r="F255" s="23"/>
      <c r="G255" s="21">
        <f t="shared" si="2"/>
        <v>401750.31</v>
      </c>
      <c r="H255" s="23"/>
      <c r="I255" s="21">
        <f t="shared" si="6"/>
        <v>1282.13</v>
      </c>
      <c r="J255" s="23"/>
      <c r="K255" s="21">
        <f t="shared" si="4"/>
        <v>331670.39</v>
      </c>
      <c r="L255" s="23"/>
      <c r="M255" s="21">
        <f t="shared" si="7"/>
        <v>970.15</v>
      </c>
    </row>
    <row r="256" ht="20.25" customHeight="1" outlineLevel="1">
      <c r="A256" s="12">
        <v>45925.0</v>
      </c>
      <c r="B256" s="13" t="s">
        <v>14</v>
      </c>
      <c r="C256" s="42" t="s">
        <v>34</v>
      </c>
      <c r="D256" s="20"/>
      <c r="E256" s="21">
        <f t="shared" si="1"/>
        <v>20796.17</v>
      </c>
      <c r="F256" s="23"/>
      <c r="G256" s="21">
        <f t="shared" si="2"/>
        <v>401750.31</v>
      </c>
      <c r="H256" s="23"/>
      <c r="I256" s="21">
        <f t="shared" si="6"/>
        <v>1282.13</v>
      </c>
      <c r="J256" s="22">
        <v>-29.0</v>
      </c>
      <c r="K256" s="21">
        <f t="shared" si="4"/>
        <v>331641.39</v>
      </c>
      <c r="L256" s="23"/>
      <c r="M256" s="21">
        <f t="shared" si="7"/>
        <v>970.15</v>
      </c>
    </row>
    <row r="257" ht="20.25" customHeight="1" outlineLevel="1">
      <c r="A257" s="12">
        <v>45925.0</v>
      </c>
      <c r="B257" s="13" t="s">
        <v>14</v>
      </c>
      <c r="C257" s="42" t="s">
        <v>34</v>
      </c>
      <c r="D257" s="20"/>
      <c r="E257" s="21">
        <f t="shared" si="1"/>
        <v>20796.17</v>
      </c>
      <c r="F257" s="23"/>
      <c r="G257" s="21">
        <f t="shared" si="2"/>
        <v>401750.31</v>
      </c>
      <c r="H257" s="23"/>
      <c r="I257" s="21">
        <f t="shared" si="6"/>
        <v>1282.13</v>
      </c>
      <c r="J257" s="22">
        <v>-23.69</v>
      </c>
      <c r="K257" s="21">
        <f t="shared" si="4"/>
        <v>331617.7</v>
      </c>
      <c r="L257" s="23"/>
      <c r="M257" s="21">
        <f t="shared" si="7"/>
        <v>970.15</v>
      </c>
    </row>
    <row r="258" ht="20.25" customHeight="1" outlineLevel="1">
      <c r="A258" s="12">
        <v>45925.0</v>
      </c>
      <c r="B258" s="13" t="s">
        <v>12</v>
      </c>
      <c r="C258" s="28" t="s">
        <v>267</v>
      </c>
      <c r="D258" s="20"/>
      <c r="E258" s="21">
        <f t="shared" si="1"/>
        <v>20796.17</v>
      </c>
      <c r="F258" s="22">
        <v>-2253.86</v>
      </c>
      <c r="G258" s="21">
        <f t="shared" si="2"/>
        <v>399496.45</v>
      </c>
      <c r="H258" s="23"/>
      <c r="I258" s="21">
        <f t="shared" si="6"/>
        <v>1282.13</v>
      </c>
      <c r="J258" s="23"/>
      <c r="K258" s="21">
        <f t="shared" si="4"/>
        <v>331617.7</v>
      </c>
      <c r="L258" s="23"/>
      <c r="M258" s="21">
        <f t="shared" si="7"/>
        <v>970.15</v>
      </c>
    </row>
    <row r="259" ht="20.25" customHeight="1" outlineLevel="1">
      <c r="A259" s="12">
        <v>45925.0</v>
      </c>
      <c r="B259" s="13" t="s">
        <v>14</v>
      </c>
      <c r="C259" s="28" t="s">
        <v>268</v>
      </c>
      <c r="D259" s="20"/>
      <c r="E259" s="21">
        <f t="shared" si="1"/>
        <v>20796.17</v>
      </c>
      <c r="F259" s="22">
        <v>-80.0</v>
      </c>
      <c r="G259" s="21">
        <f t="shared" si="2"/>
        <v>399416.45</v>
      </c>
      <c r="H259" s="23"/>
      <c r="I259" s="21">
        <f t="shared" si="6"/>
        <v>1282.13</v>
      </c>
      <c r="J259" s="23"/>
      <c r="K259" s="21">
        <f t="shared" si="4"/>
        <v>331617.7</v>
      </c>
      <c r="L259" s="23"/>
      <c r="M259" s="21">
        <f t="shared" si="7"/>
        <v>970.15</v>
      </c>
    </row>
    <row r="260" ht="20.25" customHeight="1" outlineLevel="1">
      <c r="A260" s="12">
        <v>45925.0</v>
      </c>
      <c r="B260" s="13" t="s">
        <v>12</v>
      </c>
      <c r="C260" s="28" t="s">
        <v>269</v>
      </c>
      <c r="D260" s="20"/>
      <c r="E260" s="21">
        <f t="shared" si="1"/>
        <v>20796.17</v>
      </c>
      <c r="F260" s="22">
        <v>-305.0</v>
      </c>
      <c r="G260" s="21">
        <f t="shared" si="2"/>
        <v>399111.45</v>
      </c>
      <c r="H260" s="23"/>
      <c r="I260" s="21">
        <f t="shared" si="6"/>
        <v>1282.13</v>
      </c>
      <c r="J260" s="23"/>
      <c r="K260" s="21">
        <f t="shared" si="4"/>
        <v>331617.7</v>
      </c>
      <c r="L260" s="23"/>
      <c r="M260" s="21">
        <f t="shared" si="7"/>
        <v>970.15</v>
      </c>
    </row>
    <row r="261" ht="20.25" customHeight="1" outlineLevel="1">
      <c r="A261" s="12">
        <v>45925.0</v>
      </c>
      <c r="B261" s="13" t="s">
        <v>16</v>
      </c>
      <c r="C261" s="28" t="s">
        <v>270</v>
      </c>
      <c r="D261" s="20"/>
      <c r="E261" s="21">
        <f t="shared" si="1"/>
        <v>20796.17</v>
      </c>
      <c r="F261" s="27">
        <v>1515.0</v>
      </c>
      <c r="G261" s="21">
        <f t="shared" si="2"/>
        <v>400626.45</v>
      </c>
      <c r="H261" s="23"/>
      <c r="I261" s="21">
        <f t="shared" si="6"/>
        <v>1282.13</v>
      </c>
      <c r="J261" s="23"/>
      <c r="K261" s="21">
        <f t="shared" si="4"/>
        <v>331617.7</v>
      </c>
      <c r="L261" s="23"/>
      <c r="M261" s="21">
        <f t="shared" si="7"/>
        <v>970.15</v>
      </c>
    </row>
    <row r="262" ht="20.25" customHeight="1" outlineLevel="1">
      <c r="A262" s="12">
        <v>45925.0</v>
      </c>
      <c r="B262" s="13" t="s">
        <v>16</v>
      </c>
      <c r="C262" s="28" t="s">
        <v>271</v>
      </c>
      <c r="D262" s="20"/>
      <c r="E262" s="21">
        <f t="shared" si="1"/>
        <v>20796.17</v>
      </c>
      <c r="F262" s="27">
        <v>8086.0</v>
      </c>
      <c r="G262" s="21">
        <f t="shared" si="2"/>
        <v>408712.45</v>
      </c>
      <c r="H262" s="23"/>
      <c r="I262" s="21">
        <f t="shared" si="6"/>
        <v>1282.13</v>
      </c>
      <c r="J262" s="23"/>
      <c r="K262" s="21">
        <f t="shared" si="4"/>
        <v>331617.7</v>
      </c>
      <c r="L262" s="23"/>
      <c r="M262" s="21">
        <f t="shared" si="7"/>
        <v>970.15</v>
      </c>
    </row>
    <row r="263" ht="20.25" customHeight="1" outlineLevel="1">
      <c r="A263" s="18">
        <v>45925.0</v>
      </c>
      <c r="B263" s="13" t="s">
        <v>16</v>
      </c>
      <c r="C263" s="70" t="s">
        <v>272</v>
      </c>
      <c r="D263" s="20"/>
      <c r="E263" s="21">
        <f t="shared" si="1"/>
        <v>20796.17</v>
      </c>
      <c r="F263" s="26">
        <v>2563.0</v>
      </c>
      <c r="G263" s="21">
        <f t="shared" si="2"/>
        <v>411275.45</v>
      </c>
      <c r="H263" s="23"/>
      <c r="I263" s="21">
        <f t="shared" si="6"/>
        <v>1282.13</v>
      </c>
      <c r="J263" s="24"/>
      <c r="K263" s="21">
        <f t="shared" si="4"/>
        <v>331617.7</v>
      </c>
      <c r="L263" s="23"/>
      <c r="M263" s="21">
        <f t="shared" si="7"/>
        <v>970.15</v>
      </c>
    </row>
    <row r="264" ht="20.25" customHeight="1" outlineLevel="1">
      <c r="A264" s="18">
        <v>45925.0</v>
      </c>
      <c r="B264" s="13" t="s">
        <v>16</v>
      </c>
      <c r="C264" s="70" t="s">
        <v>273</v>
      </c>
      <c r="D264" s="20"/>
      <c r="E264" s="21">
        <f t="shared" si="1"/>
        <v>20796.17</v>
      </c>
      <c r="F264" s="27">
        <v>6445.6</v>
      </c>
      <c r="G264" s="21">
        <f t="shared" si="2"/>
        <v>417721.05</v>
      </c>
      <c r="H264" s="23"/>
      <c r="I264" s="21">
        <f t="shared" si="6"/>
        <v>1282.13</v>
      </c>
      <c r="J264" s="24"/>
      <c r="K264" s="21">
        <f t="shared" si="4"/>
        <v>331617.7</v>
      </c>
      <c r="L264" s="23"/>
      <c r="M264" s="21">
        <f t="shared" si="7"/>
        <v>970.15</v>
      </c>
    </row>
    <row r="265" ht="20.25" customHeight="1" outlineLevel="1">
      <c r="A265" s="18">
        <v>45925.0</v>
      </c>
      <c r="B265" s="13" t="s">
        <v>16</v>
      </c>
      <c r="C265" s="42" t="s">
        <v>274</v>
      </c>
      <c r="D265" s="20"/>
      <c r="E265" s="21">
        <f t="shared" si="1"/>
        <v>20796.17</v>
      </c>
      <c r="F265" s="23"/>
      <c r="G265" s="21">
        <f t="shared" si="2"/>
        <v>417721.05</v>
      </c>
      <c r="H265" s="23"/>
      <c r="I265" s="21">
        <f t="shared" si="6"/>
        <v>1282.13</v>
      </c>
      <c r="J265" s="54">
        <v>1320.0</v>
      </c>
      <c r="K265" s="21">
        <f t="shared" si="4"/>
        <v>332937.7</v>
      </c>
      <c r="L265" s="23"/>
      <c r="M265" s="21">
        <f t="shared" si="7"/>
        <v>970.15</v>
      </c>
    </row>
    <row r="266" ht="20.25" customHeight="1" outlineLevel="1">
      <c r="A266" s="18">
        <v>45925.0</v>
      </c>
      <c r="B266" s="13" t="s">
        <v>16</v>
      </c>
      <c r="C266" s="42" t="s">
        <v>275</v>
      </c>
      <c r="D266" s="20"/>
      <c r="E266" s="21">
        <f t="shared" si="1"/>
        <v>20796.17</v>
      </c>
      <c r="F266" s="23"/>
      <c r="G266" s="21">
        <f t="shared" si="2"/>
        <v>417721.05</v>
      </c>
      <c r="H266" s="23"/>
      <c r="I266" s="21">
        <f t="shared" si="6"/>
        <v>1282.13</v>
      </c>
      <c r="J266" s="54">
        <v>3327.0</v>
      </c>
      <c r="K266" s="21">
        <f t="shared" si="4"/>
        <v>336264.7</v>
      </c>
      <c r="L266" s="23"/>
      <c r="M266" s="21">
        <f t="shared" si="7"/>
        <v>970.15</v>
      </c>
    </row>
    <row r="267" ht="20.25" customHeight="1" outlineLevel="1">
      <c r="A267" s="18">
        <v>45925.0</v>
      </c>
      <c r="B267" s="13" t="s">
        <v>16</v>
      </c>
      <c r="C267" s="28" t="s">
        <v>276</v>
      </c>
      <c r="D267" s="20">
        <v>1725.0</v>
      </c>
      <c r="E267" s="21">
        <f t="shared" si="1"/>
        <v>22521.17</v>
      </c>
      <c r="F267" s="23"/>
      <c r="G267" s="21">
        <f t="shared" si="2"/>
        <v>417721.05</v>
      </c>
      <c r="H267" s="23"/>
      <c r="I267" s="21">
        <f t="shared" si="6"/>
        <v>1282.13</v>
      </c>
      <c r="J267" s="24"/>
      <c r="K267" s="21">
        <f t="shared" si="4"/>
        <v>336264.7</v>
      </c>
      <c r="L267" s="23"/>
      <c r="M267" s="21">
        <f t="shared" si="7"/>
        <v>970.15</v>
      </c>
    </row>
    <row r="268" ht="20.25" customHeight="1" outlineLevel="1">
      <c r="A268" s="18">
        <v>45925.0</v>
      </c>
      <c r="B268" s="13" t="s">
        <v>16</v>
      </c>
      <c r="C268" s="102" t="s">
        <v>277</v>
      </c>
      <c r="D268" s="20"/>
      <c r="E268" s="21">
        <f t="shared" si="1"/>
        <v>22521.17</v>
      </c>
      <c r="F268" s="23"/>
      <c r="G268" s="21">
        <f t="shared" si="2"/>
        <v>417721.05</v>
      </c>
      <c r="H268" s="23"/>
      <c r="I268" s="21">
        <f t="shared" si="6"/>
        <v>1282.13</v>
      </c>
      <c r="J268" s="60">
        <v>1410.0</v>
      </c>
      <c r="K268" s="21">
        <f t="shared" si="4"/>
        <v>337674.7</v>
      </c>
      <c r="L268" s="23"/>
      <c r="M268" s="21">
        <f t="shared" si="7"/>
        <v>970.15</v>
      </c>
    </row>
    <row r="269" ht="20.25" customHeight="1" outlineLevel="1">
      <c r="A269" s="12">
        <v>45925.0</v>
      </c>
      <c r="B269" s="13" t="s">
        <v>14</v>
      </c>
      <c r="C269" s="83" t="s">
        <v>278</v>
      </c>
      <c r="D269" s="20"/>
      <c r="E269" s="21">
        <f t="shared" si="1"/>
        <v>22521.17</v>
      </c>
      <c r="F269" s="23"/>
      <c r="G269" s="21">
        <f t="shared" si="2"/>
        <v>417721.05</v>
      </c>
      <c r="H269" s="22">
        <v>-17.24</v>
      </c>
      <c r="I269" s="21">
        <f t="shared" si="6"/>
        <v>1264.89</v>
      </c>
      <c r="J269" s="74"/>
      <c r="K269" s="21">
        <f t="shared" si="4"/>
        <v>337674.7</v>
      </c>
      <c r="L269" s="23"/>
      <c r="M269" s="21">
        <f t="shared" si="7"/>
        <v>970.15</v>
      </c>
    </row>
    <row r="270" ht="20.25" customHeight="1" outlineLevel="1">
      <c r="A270" s="12">
        <v>45926.0</v>
      </c>
      <c r="B270" s="13" t="s">
        <v>16</v>
      </c>
      <c r="C270" s="83" t="s">
        <v>279</v>
      </c>
      <c r="D270" s="20"/>
      <c r="E270" s="21">
        <f t="shared" si="1"/>
        <v>22521.17</v>
      </c>
      <c r="F270" s="27">
        <v>9784.8</v>
      </c>
      <c r="G270" s="21">
        <f t="shared" si="2"/>
        <v>427505.85</v>
      </c>
      <c r="H270" s="23"/>
      <c r="I270" s="21">
        <f t="shared" si="6"/>
        <v>1264.89</v>
      </c>
      <c r="J270" s="23"/>
      <c r="K270" s="21">
        <f t="shared" si="4"/>
        <v>337674.7</v>
      </c>
      <c r="L270" s="23"/>
      <c r="M270" s="21">
        <f t="shared" si="7"/>
        <v>970.15</v>
      </c>
    </row>
    <row r="271" ht="20.25" customHeight="1" outlineLevel="1">
      <c r="A271" s="12">
        <v>45926.0</v>
      </c>
      <c r="B271" s="13" t="s">
        <v>14</v>
      </c>
      <c r="C271" s="82" t="s">
        <v>34</v>
      </c>
      <c r="D271" s="20"/>
      <c r="E271" s="21">
        <f t="shared" si="1"/>
        <v>22521.17</v>
      </c>
      <c r="F271" s="23"/>
      <c r="G271" s="21">
        <f t="shared" si="2"/>
        <v>427505.85</v>
      </c>
      <c r="H271" s="23"/>
      <c r="I271" s="21">
        <f t="shared" si="6"/>
        <v>1264.89</v>
      </c>
      <c r="J271" s="22">
        <v>-462.4</v>
      </c>
      <c r="K271" s="21">
        <f t="shared" si="4"/>
        <v>337212.3</v>
      </c>
      <c r="L271" s="23"/>
      <c r="M271" s="21">
        <f t="shared" si="7"/>
        <v>970.15</v>
      </c>
    </row>
    <row r="272" ht="20.25" customHeight="1" outlineLevel="1">
      <c r="A272" s="18">
        <v>45926.0</v>
      </c>
      <c r="B272" s="13" t="s">
        <v>16</v>
      </c>
      <c r="C272" s="102" t="s">
        <v>280</v>
      </c>
      <c r="D272" s="20"/>
      <c r="E272" s="21">
        <f t="shared" si="1"/>
        <v>22521.17</v>
      </c>
      <c r="F272" s="23"/>
      <c r="G272" s="21">
        <f t="shared" si="2"/>
        <v>427505.85</v>
      </c>
      <c r="H272" s="23"/>
      <c r="I272" s="21">
        <f t="shared" si="6"/>
        <v>1264.89</v>
      </c>
      <c r="J272" s="60">
        <v>415.0</v>
      </c>
      <c r="K272" s="21">
        <f t="shared" si="4"/>
        <v>337627.3</v>
      </c>
      <c r="L272" s="23"/>
      <c r="M272" s="21">
        <f t="shared" si="7"/>
        <v>970.15</v>
      </c>
    </row>
    <row r="273" ht="20.25" customHeight="1" outlineLevel="1">
      <c r="A273" s="18">
        <v>45926.0</v>
      </c>
      <c r="B273" s="13" t="s">
        <v>16</v>
      </c>
      <c r="C273" s="102" t="s">
        <v>281</v>
      </c>
      <c r="D273" s="20"/>
      <c r="E273" s="21">
        <f t="shared" si="1"/>
        <v>22521.17</v>
      </c>
      <c r="F273" s="23"/>
      <c r="G273" s="21">
        <f t="shared" si="2"/>
        <v>427505.85</v>
      </c>
      <c r="H273" s="23"/>
      <c r="I273" s="21">
        <f t="shared" si="6"/>
        <v>1264.89</v>
      </c>
      <c r="J273" s="60">
        <v>395.0</v>
      </c>
      <c r="K273" s="21">
        <f t="shared" si="4"/>
        <v>338022.3</v>
      </c>
      <c r="L273" s="23"/>
      <c r="M273" s="21">
        <f t="shared" si="7"/>
        <v>970.15</v>
      </c>
    </row>
    <row r="274" ht="20.25" customHeight="1" outlineLevel="1">
      <c r="A274" s="30">
        <v>45926.0</v>
      </c>
      <c r="B274" s="13" t="s">
        <v>12</v>
      </c>
      <c r="C274" s="103" t="s">
        <v>282</v>
      </c>
      <c r="D274" s="20"/>
      <c r="E274" s="21">
        <f t="shared" si="1"/>
        <v>22521.17</v>
      </c>
      <c r="F274" s="104">
        <v>-1478.65</v>
      </c>
      <c r="G274" s="21">
        <f t="shared" si="2"/>
        <v>426027.2</v>
      </c>
      <c r="H274" s="23"/>
      <c r="I274" s="21">
        <f t="shared" si="6"/>
        <v>1264.89</v>
      </c>
      <c r="J274" s="23"/>
      <c r="K274" s="21">
        <f t="shared" si="4"/>
        <v>338022.3</v>
      </c>
      <c r="L274" s="23"/>
      <c r="M274" s="21">
        <f t="shared" si="7"/>
        <v>970.15</v>
      </c>
    </row>
    <row r="275" ht="20.25" customHeight="1" outlineLevel="1">
      <c r="A275" s="30">
        <v>45926.0</v>
      </c>
      <c r="B275" s="13" t="s">
        <v>16</v>
      </c>
      <c r="C275" s="102" t="s">
        <v>283</v>
      </c>
      <c r="D275" s="20"/>
      <c r="E275" s="21">
        <f t="shared" si="1"/>
        <v>22521.17</v>
      </c>
      <c r="F275" s="76"/>
      <c r="G275" s="21">
        <f t="shared" si="2"/>
        <v>426027.2</v>
      </c>
      <c r="H275" s="23"/>
      <c r="I275" s="21">
        <f t="shared" si="6"/>
        <v>1264.89</v>
      </c>
      <c r="J275" s="35">
        <v>395.0</v>
      </c>
      <c r="K275" s="21">
        <f t="shared" si="4"/>
        <v>338417.3</v>
      </c>
      <c r="L275" s="23"/>
      <c r="M275" s="21">
        <f t="shared" si="7"/>
        <v>970.15</v>
      </c>
    </row>
    <row r="276" ht="20.25" customHeight="1" outlineLevel="1">
      <c r="A276" s="30">
        <v>45926.0</v>
      </c>
      <c r="B276" s="13" t="s">
        <v>14</v>
      </c>
      <c r="C276" s="105" t="s">
        <v>149</v>
      </c>
      <c r="D276" s="73">
        <v>-13.6</v>
      </c>
      <c r="E276" s="21">
        <f t="shared" si="1"/>
        <v>22507.57</v>
      </c>
      <c r="F276" s="76"/>
      <c r="G276" s="21">
        <f t="shared" si="2"/>
        <v>426027.2</v>
      </c>
      <c r="H276" s="23"/>
      <c r="I276" s="21">
        <f t="shared" si="6"/>
        <v>1264.89</v>
      </c>
      <c r="J276" s="23"/>
      <c r="K276" s="21">
        <f t="shared" si="4"/>
        <v>338417.3</v>
      </c>
      <c r="L276" s="23"/>
      <c r="M276" s="21">
        <f t="shared" si="7"/>
        <v>970.15</v>
      </c>
    </row>
    <row r="277" ht="20.25" customHeight="1" outlineLevel="1">
      <c r="A277" s="30">
        <v>45926.0</v>
      </c>
      <c r="B277" s="13" t="s">
        <v>14</v>
      </c>
      <c r="C277" s="106" t="s">
        <v>149</v>
      </c>
      <c r="D277" s="73">
        <v>-28.8</v>
      </c>
      <c r="E277" s="21">
        <f t="shared" si="1"/>
        <v>22478.77</v>
      </c>
      <c r="F277" s="76"/>
      <c r="G277" s="21">
        <f t="shared" si="2"/>
        <v>426027.2</v>
      </c>
      <c r="H277" s="23"/>
      <c r="I277" s="21">
        <f t="shared" si="6"/>
        <v>1264.89</v>
      </c>
      <c r="J277" s="23"/>
      <c r="K277" s="21">
        <f t="shared" si="4"/>
        <v>338417.3</v>
      </c>
      <c r="L277" s="23"/>
      <c r="M277" s="21">
        <f t="shared" si="7"/>
        <v>970.15</v>
      </c>
    </row>
    <row r="278" ht="20.25" customHeight="1" outlineLevel="1">
      <c r="A278" s="30">
        <v>45926.0</v>
      </c>
      <c r="B278" s="13" t="s">
        <v>16</v>
      </c>
      <c r="C278" s="106" t="s">
        <v>284</v>
      </c>
      <c r="D278" s="20">
        <v>585.0</v>
      </c>
      <c r="E278" s="21">
        <f t="shared" si="1"/>
        <v>23063.77</v>
      </c>
      <c r="F278" s="76"/>
      <c r="G278" s="21">
        <f t="shared" si="2"/>
        <v>426027.2</v>
      </c>
      <c r="H278" s="23"/>
      <c r="I278" s="21">
        <f t="shared" si="6"/>
        <v>1264.89</v>
      </c>
      <c r="J278" s="23"/>
      <c r="K278" s="21">
        <f t="shared" si="4"/>
        <v>338417.3</v>
      </c>
      <c r="L278" s="23"/>
      <c r="M278" s="21">
        <f t="shared" si="7"/>
        <v>970.15</v>
      </c>
    </row>
    <row r="279" ht="20.25" customHeight="1" outlineLevel="1">
      <c r="A279" s="30">
        <v>45927.0</v>
      </c>
      <c r="B279" s="13" t="s">
        <v>16</v>
      </c>
      <c r="C279" s="106" t="s">
        <v>285</v>
      </c>
      <c r="D279" s="20">
        <v>1140.0</v>
      </c>
      <c r="E279" s="21">
        <f t="shared" si="1"/>
        <v>24203.77</v>
      </c>
      <c r="F279" s="76"/>
      <c r="G279" s="21">
        <f t="shared" si="2"/>
        <v>426027.2</v>
      </c>
      <c r="H279" s="23"/>
      <c r="I279" s="21">
        <f t="shared" si="6"/>
        <v>1264.89</v>
      </c>
      <c r="J279" s="23"/>
      <c r="K279" s="21">
        <f t="shared" si="4"/>
        <v>338417.3</v>
      </c>
      <c r="L279" s="23"/>
      <c r="M279" s="21">
        <f t="shared" si="7"/>
        <v>970.15</v>
      </c>
    </row>
    <row r="280" ht="20.25" customHeight="1" outlineLevel="1">
      <c r="A280" s="18">
        <v>45929.0</v>
      </c>
      <c r="B280" s="13" t="s">
        <v>63</v>
      </c>
      <c r="C280" s="90" t="s">
        <v>286</v>
      </c>
      <c r="D280" s="20"/>
      <c r="E280" s="21">
        <f t="shared" si="1"/>
        <v>24203.77</v>
      </c>
      <c r="F280" s="51">
        <v>671.0</v>
      </c>
      <c r="G280" s="21">
        <f t="shared" si="2"/>
        <v>426698.2</v>
      </c>
      <c r="H280" s="23"/>
      <c r="I280" s="21">
        <f t="shared" si="6"/>
        <v>1264.89</v>
      </c>
      <c r="J280" s="24"/>
      <c r="K280" s="21">
        <f t="shared" si="4"/>
        <v>338417.3</v>
      </c>
      <c r="L280" s="23"/>
      <c r="M280" s="21">
        <f t="shared" si="7"/>
        <v>970.15</v>
      </c>
    </row>
    <row r="281" ht="20.25" customHeight="1" outlineLevel="1">
      <c r="A281" s="30">
        <v>45929.0</v>
      </c>
      <c r="B281" s="13" t="s">
        <v>16</v>
      </c>
      <c r="C281" s="87" t="s">
        <v>34</v>
      </c>
      <c r="D281" s="20"/>
      <c r="E281" s="21">
        <f t="shared" si="1"/>
        <v>24203.77</v>
      </c>
      <c r="F281" s="76"/>
      <c r="G281" s="21">
        <f t="shared" si="2"/>
        <v>426698.2</v>
      </c>
      <c r="H281" s="23"/>
      <c r="I281" s="21">
        <f t="shared" si="6"/>
        <v>1264.89</v>
      </c>
      <c r="J281" s="22">
        <v>-23.96</v>
      </c>
      <c r="K281" s="21">
        <f t="shared" si="4"/>
        <v>338393.34</v>
      </c>
      <c r="L281" s="23"/>
      <c r="M281" s="21">
        <f t="shared" si="7"/>
        <v>970.15</v>
      </c>
    </row>
    <row r="282" ht="20.25" customHeight="1" outlineLevel="1">
      <c r="A282" s="30">
        <v>45929.0</v>
      </c>
      <c r="B282" s="13" t="s">
        <v>16</v>
      </c>
      <c r="C282" s="86" t="s">
        <v>287</v>
      </c>
      <c r="D282" s="20"/>
      <c r="E282" s="21">
        <f t="shared" si="1"/>
        <v>24203.77</v>
      </c>
      <c r="F282" s="76"/>
      <c r="G282" s="21">
        <f t="shared" si="2"/>
        <v>426698.2</v>
      </c>
      <c r="H282" s="23"/>
      <c r="I282" s="21">
        <f t="shared" si="6"/>
        <v>1264.89</v>
      </c>
      <c r="J282" s="35">
        <v>365.0</v>
      </c>
      <c r="K282" s="21">
        <f t="shared" si="4"/>
        <v>338758.34</v>
      </c>
      <c r="L282" s="23"/>
      <c r="M282" s="21">
        <f t="shared" si="7"/>
        <v>970.15</v>
      </c>
    </row>
    <row r="283" ht="20.25" customHeight="1" outlineLevel="1">
      <c r="A283" s="12">
        <v>45929.0</v>
      </c>
      <c r="B283" s="13" t="s">
        <v>179</v>
      </c>
      <c r="C283" s="107" t="s">
        <v>288</v>
      </c>
      <c r="D283" s="73">
        <v>-7000.0</v>
      </c>
      <c r="E283" s="21">
        <f t="shared" si="1"/>
        <v>17203.77</v>
      </c>
      <c r="F283" s="76"/>
      <c r="G283" s="21">
        <f t="shared" si="2"/>
        <v>426698.2</v>
      </c>
      <c r="H283" s="23"/>
      <c r="I283" s="21">
        <f t="shared" si="6"/>
        <v>1264.89</v>
      </c>
      <c r="J283" s="23"/>
      <c r="K283" s="21">
        <f t="shared" si="4"/>
        <v>338758.34</v>
      </c>
      <c r="L283" s="23"/>
      <c r="M283" s="21">
        <f t="shared" si="7"/>
        <v>970.15</v>
      </c>
    </row>
    <row r="284" ht="20.25" customHeight="1" outlineLevel="1">
      <c r="A284" s="18">
        <v>45929.0</v>
      </c>
      <c r="B284" s="13" t="s">
        <v>16</v>
      </c>
      <c r="C284" s="87" t="s">
        <v>289</v>
      </c>
      <c r="D284" s="20"/>
      <c r="E284" s="21">
        <f t="shared" si="1"/>
        <v>17203.77</v>
      </c>
      <c r="F284" s="23"/>
      <c r="G284" s="21">
        <f t="shared" si="2"/>
        <v>426698.2</v>
      </c>
      <c r="H284" s="23"/>
      <c r="I284" s="21">
        <f t="shared" si="6"/>
        <v>1264.89</v>
      </c>
      <c r="J284" s="54">
        <v>4662.0</v>
      </c>
      <c r="K284" s="21">
        <f t="shared" si="4"/>
        <v>343420.34</v>
      </c>
      <c r="L284" s="23"/>
      <c r="M284" s="21">
        <f t="shared" si="7"/>
        <v>970.15</v>
      </c>
    </row>
    <row r="285" ht="20.25" customHeight="1" outlineLevel="1">
      <c r="A285" s="30">
        <v>45929.0</v>
      </c>
      <c r="B285" s="13" t="s">
        <v>16</v>
      </c>
      <c r="C285" s="87" t="s">
        <v>290</v>
      </c>
      <c r="D285" s="20"/>
      <c r="E285" s="21">
        <f t="shared" si="1"/>
        <v>17203.77</v>
      </c>
      <c r="F285" s="62"/>
      <c r="G285" s="21">
        <f t="shared" si="2"/>
        <v>426698.2</v>
      </c>
      <c r="H285" s="23"/>
      <c r="I285" s="21">
        <f t="shared" si="6"/>
        <v>1264.89</v>
      </c>
      <c r="J285" s="27">
        <v>585.0</v>
      </c>
      <c r="K285" s="21">
        <f t="shared" si="4"/>
        <v>344005.34</v>
      </c>
      <c r="L285" s="23"/>
      <c r="M285" s="21">
        <f t="shared" si="7"/>
        <v>970.15</v>
      </c>
    </row>
    <row r="286" ht="20.25" customHeight="1" outlineLevel="1">
      <c r="A286" s="30">
        <v>45929.0</v>
      </c>
      <c r="B286" s="13" t="s">
        <v>16</v>
      </c>
      <c r="C286" s="87" t="s">
        <v>291</v>
      </c>
      <c r="D286" s="20"/>
      <c r="E286" s="21">
        <f t="shared" si="1"/>
        <v>17203.77</v>
      </c>
      <c r="F286" s="62"/>
      <c r="G286" s="21">
        <f t="shared" si="2"/>
        <v>426698.2</v>
      </c>
      <c r="H286" s="23"/>
      <c r="I286" s="21">
        <f t="shared" si="6"/>
        <v>1264.89</v>
      </c>
      <c r="J286" s="27">
        <v>8825.0</v>
      </c>
      <c r="K286" s="21">
        <f t="shared" si="4"/>
        <v>352830.34</v>
      </c>
      <c r="L286" s="23"/>
      <c r="M286" s="21">
        <f t="shared" si="7"/>
        <v>970.15</v>
      </c>
    </row>
    <row r="287" ht="20.25" customHeight="1" outlineLevel="1">
      <c r="A287" s="12">
        <v>45929.0</v>
      </c>
      <c r="B287" s="13" t="s">
        <v>16</v>
      </c>
      <c r="C287" s="87" t="s">
        <v>292</v>
      </c>
      <c r="D287" s="20"/>
      <c r="E287" s="21">
        <f t="shared" si="1"/>
        <v>17203.77</v>
      </c>
      <c r="F287" s="23"/>
      <c r="G287" s="21">
        <f t="shared" si="2"/>
        <v>426698.2</v>
      </c>
      <c r="H287" s="23"/>
      <c r="I287" s="21">
        <f t="shared" si="6"/>
        <v>1264.89</v>
      </c>
      <c r="J287" s="27">
        <v>2242.0</v>
      </c>
      <c r="K287" s="21">
        <f t="shared" si="4"/>
        <v>355072.34</v>
      </c>
      <c r="L287" s="23"/>
      <c r="M287" s="21">
        <f t="shared" si="7"/>
        <v>970.15</v>
      </c>
    </row>
    <row r="288" ht="20.25" customHeight="1" outlineLevel="1">
      <c r="A288" s="12">
        <v>45929.0</v>
      </c>
      <c r="B288" s="13" t="s">
        <v>16</v>
      </c>
      <c r="C288" s="86" t="s">
        <v>293</v>
      </c>
      <c r="D288" s="20"/>
      <c r="E288" s="21">
        <f t="shared" si="1"/>
        <v>17203.77</v>
      </c>
      <c r="F288" s="23"/>
      <c r="G288" s="21">
        <f t="shared" si="2"/>
        <v>426698.2</v>
      </c>
      <c r="H288" s="23"/>
      <c r="I288" s="21">
        <f t="shared" si="6"/>
        <v>1264.89</v>
      </c>
      <c r="J288" s="35">
        <v>395.0</v>
      </c>
      <c r="K288" s="21">
        <f t="shared" si="4"/>
        <v>355467.34</v>
      </c>
      <c r="L288" s="23"/>
      <c r="M288" s="21">
        <f t="shared" si="7"/>
        <v>970.15</v>
      </c>
    </row>
    <row r="289" ht="20.25" customHeight="1" outlineLevel="1">
      <c r="A289" s="12">
        <v>45929.0</v>
      </c>
      <c r="B289" s="13" t="s">
        <v>16</v>
      </c>
      <c r="C289" s="85" t="s">
        <v>294</v>
      </c>
      <c r="D289" s="20"/>
      <c r="E289" s="21">
        <f t="shared" si="1"/>
        <v>17203.77</v>
      </c>
      <c r="F289" s="27">
        <v>9811.0</v>
      </c>
      <c r="G289" s="21">
        <f t="shared" si="2"/>
        <v>436509.2</v>
      </c>
      <c r="H289" s="23"/>
      <c r="I289" s="21">
        <f t="shared" si="6"/>
        <v>1264.89</v>
      </c>
      <c r="J289" s="23"/>
      <c r="K289" s="21">
        <f t="shared" si="4"/>
        <v>355467.34</v>
      </c>
      <c r="L289" s="23"/>
      <c r="M289" s="21">
        <f t="shared" si="7"/>
        <v>970.15</v>
      </c>
    </row>
    <row r="290" ht="20.25" customHeight="1" outlineLevel="1">
      <c r="A290" s="30">
        <v>45929.0</v>
      </c>
      <c r="B290" s="13" t="s">
        <v>16</v>
      </c>
      <c r="C290" s="85" t="s">
        <v>295</v>
      </c>
      <c r="D290" s="20"/>
      <c r="E290" s="21">
        <f t="shared" si="1"/>
        <v>17203.77</v>
      </c>
      <c r="F290" s="108">
        <v>3895.0</v>
      </c>
      <c r="G290" s="21">
        <f t="shared" si="2"/>
        <v>440404.2</v>
      </c>
      <c r="H290" s="23"/>
      <c r="I290" s="21">
        <f t="shared" si="6"/>
        <v>1264.89</v>
      </c>
      <c r="J290" s="23"/>
      <c r="K290" s="21">
        <f t="shared" si="4"/>
        <v>355467.34</v>
      </c>
      <c r="L290" s="23"/>
      <c r="M290" s="21">
        <f t="shared" si="7"/>
        <v>970.15</v>
      </c>
    </row>
    <row r="291" ht="20.25" customHeight="1" outlineLevel="1">
      <c r="A291" s="30">
        <v>45929.0</v>
      </c>
      <c r="B291" s="13" t="s">
        <v>16</v>
      </c>
      <c r="C291" s="85" t="s">
        <v>296</v>
      </c>
      <c r="D291" s="20"/>
      <c r="E291" s="21">
        <f t="shared" si="1"/>
        <v>17203.77</v>
      </c>
      <c r="F291" s="31">
        <v>4603.0</v>
      </c>
      <c r="G291" s="21">
        <f t="shared" si="2"/>
        <v>445007.2</v>
      </c>
      <c r="H291" s="23"/>
      <c r="I291" s="21">
        <f t="shared" si="6"/>
        <v>1264.89</v>
      </c>
      <c r="J291" s="109"/>
      <c r="K291" s="21">
        <f t="shared" si="4"/>
        <v>355467.34</v>
      </c>
      <c r="L291" s="23"/>
      <c r="M291" s="21">
        <f t="shared" si="7"/>
        <v>970.15</v>
      </c>
    </row>
    <row r="292" ht="20.25" customHeight="1" outlineLevel="1">
      <c r="A292" s="18">
        <v>45929.0</v>
      </c>
      <c r="B292" s="13" t="s">
        <v>16</v>
      </c>
      <c r="C292" s="99" t="s">
        <v>297</v>
      </c>
      <c r="D292" s="20"/>
      <c r="E292" s="21">
        <f t="shared" si="1"/>
        <v>17203.77</v>
      </c>
      <c r="F292" s="27">
        <v>3390.0</v>
      </c>
      <c r="G292" s="21">
        <f t="shared" si="2"/>
        <v>448397.2</v>
      </c>
      <c r="H292" s="23"/>
      <c r="I292" s="21">
        <f t="shared" si="6"/>
        <v>1264.89</v>
      </c>
      <c r="J292" s="110"/>
      <c r="K292" s="21">
        <f t="shared" si="4"/>
        <v>355467.34</v>
      </c>
      <c r="L292" s="23"/>
      <c r="M292" s="21">
        <f t="shared" si="7"/>
        <v>970.15</v>
      </c>
    </row>
    <row r="293" ht="20.25" customHeight="1" outlineLevel="1">
      <c r="A293" s="12">
        <v>45929.0</v>
      </c>
      <c r="B293" s="13" t="s">
        <v>16</v>
      </c>
      <c r="C293" s="111" t="s">
        <v>298</v>
      </c>
      <c r="D293" s="20"/>
      <c r="E293" s="21">
        <f t="shared" si="1"/>
        <v>17203.77</v>
      </c>
      <c r="F293" s="26">
        <v>647.0</v>
      </c>
      <c r="G293" s="21">
        <f t="shared" si="2"/>
        <v>449044.2</v>
      </c>
      <c r="H293" s="23"/>
      <c r="I293" s="21">
        <f t="shared" si="6"/>
        <v>1264.89</v>
      </c>
      <c r="J293" s="23"/>
      <c r="K293" s="21">
        <f t="shared" si="4"/>
        <v>355467.34</v>
      </c>
      <c r="L293" s="23"/>
      <c r="M293" s="21">
        <f t="shared" si="7"/>
        <v>970.15</v>
      </c>
    </row>
    <row r="294" ht="20.25" customHeight="1" outlineLevel="1">
      <c r="A294" s="18">
        <v>45929.0</v>
      </c>
      <c r="B294" s="13" t="s">
        <v>16</v>
      </c>
      <c r="C294" s="25" t="s">
        <v>299</v>
      </c>
      <c r="D294" s="20"/>
      <c r="E294" s="21">
        <f t="shared" si="1"/>
        <v>17203.77</v>
      </c>
      <c r="F294" s="27">
        <v>1955.0</v>
      </c>
      <c r="G294" s="21">
        <f t="shared" si="2"/>
        <v>450999.2</v>
      </c>
      <c r="H294" s="23"/>
      <c r="I294" s="21">
        <f t="shared" si="6"/>
        <v>1264.89</v>
      </c>
      <c r="J294" s="24"/>
      <c r="K294" s="21">
        <f t="shared" si="4"/>
        <v>355467.34</v>
      </c>
      <c r="L294" s="23"/>
      <c r="M294" s="21">
        <f t="shared" si="7"/>
        <v>970.15</v>
      </c>
    </row>
    <row r="295" ht="20.25" customHeight="1" outlineLevel="1">
      <c r="A295" s="12">
        <v>45929.0</v>
      </c>
      <c r="B295" s="13" t="s">
        <v>16</v>
      </c>
      <c r="C295" s="28" t="s">
        <v>300</v>
      </c>
      <c r="D295" s="20"/>
      <c r="E295" s="21">
        <f t="shared" si="1"/>
        <v>17203.77</v>
      </c>
      <c r="F295" s="26">
        <v>1345.0</v>
      </c>
      <c r="G295" s="21">
        <f t="shared" si="2"/>
        <v>452344.2</v>
      </c>
      <c r="H295" s="23"/>
      <c r="I295" s="21">
        <f t="shared" si="6"/>
        <v>1264.89</v>
      </c>
      <c r="J295" s="23"/>
      <c r="K295" s="21">
        <f t="shared" si="4"/>
        <v>355467.34</v>
      </c>
      <c r="L295" s="23"/>
      <c r="M295" s="21">
        <f t="shared" si="7"/>
        <v>970.15</v>
      </c>
    </row>
    <row r="296" ht="20.25" customHeight="1" outlineLevel="1">
      <c r="A296" s="12">
        <v>45929.0</v>
      </c>
      <c r="B296" s="13" t="s">
        <v>16</v>
      </c>
      <c r="C296" s="28" t="s">
        <v>301</v>
      </c>
      <c r="D296" s="20"/>
      <c r="E296" s="21">
        <f t="shared" si="1"/>
        <v>17203.77</v>
      </c>
      <c r="F296" s="27">
        <v>5414.57</v>
      </c>
      <c r="G296" s="21">
        <f t="shared" si="2"/>
        <v>457758.77</v>
      </c>
      <c r="H296" s="23"/>
      <c r="I296" s="21">
        <f t="shared" si="6"/>
        <v>1264.89</v>
      </c>
      <c r="J296" s="23"/>
      <c r="K296" s="21">
        <f t="shared" si="4"/>
        <v>355467.34</v>
      </c>
      <c r="L296" s="23"/>
      <c r="M296" s="21">
        <f t="shared" si="7"/>
        <v>970.15</v>
      </c>
    </row>
    <row r="297" ht="20.25" customHeight="1" outlineLevel="1">
      <c r="A297" s="18">
        <v>45929.0</v>
      </c>
      <c r="B297" s="13" t="s">
        <v>16</v>
      </c>
      <c r="C297" s="28" t="s">
        <v>302</v>
      </c>
      <c r="D297" s="20"/>
      <c r="E297" s="21">
        <f t="shared" si="1"/>
        <v>17203.77</v>
      </c>
      <c r="F297" s="27">
        <v>7000.0</v>
      </c>
      <c r="G297" s="21">
        <f t="shared" si="2"/>
        <v>464758.77</v>
      </c>
      <c r="H297" s="23"/>
      <c r="I297" s="21">
        <f t="shared" si="6"/>
        <v>1264.89</v>
      </c>
      <c r="J297" s="24"/>
      <c r="K297" s="21">
        <f t="shared" si="4"/>
        <v>355467.34</v>
      </c>
      <c r="L297" s="23"/>
      <c r="M297" s="21">
        <f t="shared" si="7"/>
        <v>970.15</v>
      </c>
    </row>
    <row r="298" ht="20.25" customHeight="1" outlineLevel="1">
      <c r="A298" s="18">
        <v>45929.0</v>
      </c>
      <c r="B298" s="13" t="s">
        <v>16</v>
      </c>
      <c r="C298" s="28" t="s">
        <v>303</v>
      </c>
      <c r="D298" s="20">
        <v>1330.0</v>
      </c>
      <c r="E298" s="21">
        <f t="shared" si="1"/>
        <v>18533.77</v>
      </c>
      <c r="F298" s="23"/>
      <c r="G298" s="21">
        <f t="shared" si="2"/>
        <v>464758.77</v>
      </c>
      <c r="H298" s="23"/>
      <c r="I298" s="21">
        <f t="shared" si="6"/>
        <v>1264.89</v>
      </c>
      <c r="J298" s="24"/>
      <c r="K298" s="21">
        <f t="shared" si="4"/>
        <v>355467.34</v>
      </c>
      <c r="L298" s="23"/>
      <c r="M298" s="21">
        <f t="shared" si="7"/>
        <v>970.15</v>
      </c>
    </row>
    <row r="299" ht="20.25" customHeight="1" outlineLevel="1">
      <c r="A299" s="18">
        <v>45929.0</v>
      </c>
      <c r="B299" s="13" t="s">
        <v>14</v>
      </c>
      <c r="C299" s="28" t="s">
        <v>149</v>
      </c>
      <c r="D299" s="73">
        <v>-39.8</v>
      </c>
      <c r="E299" s="21">
        <f t="shared" si="1"/>
        <v>18493.97</v>
      </c>
      <c r="F299" s="23"/>
      <c r="G299" s="21">
        <f t="shared" si="2"/>
        <v>464758.77</v>
      </c>
      <c r="H299" s="23"/>
      <c r="I299" s="21">
        <f t="shared" si="6"/>
        <v>1264.89</v>
      </c>
      <c r="J299" s="24"/>
      <c r="K299" s="21">
        <f t="shared" si="4"/>
        <v>355467.34</v>
      </c>
      <c r="L299" s="23"/>
      <c r="M299" s="21">
        <f t="shared" si="7"/>
        <v>970.15</v>
      </c>
    </row>
    <row r="300" ht="20.25" customHeight="1" outlineLevel="1">
      <c r="A300" s="12">
        <v>45929.0</v>
      </c>
      <c r="B300" s="13" t="s">
        <v>14</v>
      </c>
      <c r="C300" s="28" t="s">
        <v>304</v>
      </c>
      <c r="D300" s="20"/>
      <c r="E300" s="21">
        <f t="shared" si="1"/>
        <v>18493.97</v>
      </c>
      <c r="F300" s="23"/>
      <c r="G300" s="21">
        <f t="shared" si="2"/>
        <v>464758.77</v>
      </c>
      <c r="H300" s="22">
        <v>-45.91</v>
      </c>
      <c r="I300" s="21">
        <f t="shared" si="6"/>
        <v>1218.98</v>
      </c>
      <c r="J300" s="74"/>
      <c r="K300" s="21">
        <f t="shared" si="4"/>
        <v>355467.34</v>
      </c>
      <c r="L300" s="23"/>
      <c r="M300" s="21">
        <f t="shared" si="7"/>
        <v>970.15</v>
      </c>
    </row>
    <row r="301" ht="20.25" customHeight="1" outlineLevel="1">
      <c r="A301" s="12">
        <v>45929.0</v>
      </c>
      <c r="B301" s="13" t="s">
        <v>14</v>
      </c>
      <c r="C301" s="70" t="s">
        <v>305</v>
      </c>
      <c r="D301" s="20"/>
      <c r="E301" s="21">
        <f t="shared" si="1"/>
        <v>18493.97</v>
      </c>
      <c r="F301" s="23"/>
      <c r="G301" s="21">
        <f t="shared" si="2"/>
        <v>464758.77</v>
      </c>
      <c r="H301" s="22">
        <v>-23.8</v>
      </c>
      <c r="I301" s="21">
        <f t="shared" si="6"/>
        <v>1195.18</v>
      </c>
      <c r="J301" s="23"/>
      <c r="K301" s="21">
        <f t="shared" si="4"/>
        <v>355467.34</v>
      </c>
      <c r="L301" s="23"/>
      <c r="M301" s="21">
        <f t="shared" si="7"/>
        <v>970.15</v>
      </c>
    </row>
    <row r="302" ht="20.25" customHeight="1" outlineLevel="1">
      <c r="A302" s="12">
        <v>45930.0</v>
      </c>
      <c r="B302" s="13" t="s">
        <v>16</v>
      </c>
      <c r="C302" s="41" t="s">
        <v>306</v>
      </c>
      <c r="D302" s="20"/>
      <c r="E302" s="21">
        <f t="shared" si="1"/>
        <v>18493.97</v>
      </c>
      <c r="F302" s="23"/>
      <c r="G302" s="21">
        <f t="shared" si="2"/>
        <v>464758.77</v>
      </c>
      <c r="H302" s="23"/>
      <c r="I302" s="21">
        <f t="shared" si="6"/>
        <v>1195.18</v>
      </c>
      <c r="J302" s="35">
        <v>415.0</v>
      </c>
      <c r="K302" s="21">
        <f t="shared" si="4"/>
        <v>355882.34</v>
      </c>
      <c r="L302" s="23"/>
      <c r="M302" s="21">
        <f t="shared" si="7"/>
        <v>970.15</v>
      </c>
    </row>
    <row r="303" ht="20.25" customHeight="1" outlineLevel="1">
      <c r="A303" s="12">
        <v>45930.0</v>
      </c>
      <c r="B303" s="13" t="s">
        <v>16</v>
      </c>
      <c r="C303" s="41" t="s">
        <v>307</v>
      </c>
      <c r="D303" s="20"/>
      <c r="E303" s="21">
        <f t="shared" si="1"/>
        <v>18493.97</v>
      </c>
      <c r="F303" s="23"/>
      <c r="G303" s="21">
        <f t="shared" si="2"/>
        <v>464758.77</v>
      </c>
      <c r="H303" s="23"/>
      <c r="I303" s="21">
        <f t="shared" si="6"/>
        <v>1195.18</v>
      </c>
      <c r="J303" s="35">
        <v>358.0</v>
      </c>
      <c r="K303" s="21">
        <f t="shared" si="4"/>
        <v>356240.34</v>
      </c>
      <c r="L303" s="23"/>
      <c r="M303" s="21">
        <f t="shared" si="7"/>
        <v>970.15</v>
      </c>
    </row>
    <row r="304" ht="20.25" customHeight="1" outlineLevel="1">
      <c r="A304" s="18">
        <v>45930.0</v>
      </c>
      <c r="B304" s="13" t="s">
        <v>12</v>
      </c>
      <c r="C304" s="42" t="s">
        <v>308</v>
      </c>
      <c r="D304" s="20"/>
      <c r="E304" s="21">
        <f t="shared" si="1"/>
        <v>18493.97</v>
      </c>
      <c r="F304" s="23"/>
      <c r="G304" s="21">
        <f t="shared" si="2"/>
        <v>464758.77</v>
      </c>
      <c r="H304" s="23"/>
      <c r="I304" s="21">
        <f t="shared" si="6"/>
        <v>1195.18</v>
      </c>
      <c r="J304" s="95">
        <v>-210.45</v>
      </c>
      <c r="K304" s="21">
        <f t="shared" si="4"/>
        <v>356029.89</v>
      </c>
      <c r="L304" s="23"/>
      <c r="M304" s="21">
        <f t="shared" si="7"/>
        <v>970.15</v>
      </c>
    </row>
    <row r="305" ht="20.25" customHeight="1" outlineLevel="1">
      <c r="A305" s="18">
        <v>45930.0</v>
      </c>
      <c r="B305" s="13" t="s">
        <v>16</v>
      </c>
      <c r="C305" s="41" t="s">
        <v>309</v>
      </c>
      <c r="D305" s="20"/>
      <c r="E305" s="21">
        <f t="shared" si="1"/>
        <v>18493.97</v>
      </c>
      <c r="F305" s="23"/>
      <c r="G305" s="21">
        <f t="shared" si="2"/>
        <v>464758.77</v>
      </c>
      <c r="H305" s="23"/>
      <c r="I305" s="21">
        <f t="shared" si="6"/>
        <v>1195.18</v>
      </c>
      <c r="J305" s="60">
        <v>415.0</v>
      </c>
      <c r="K305" s="21">
        <f t="shared" si="4"/>
        <v>356444.89</v>
      </c>
      <c r="L305" s="23"/>
      <c r="M305" s="21">
        <f t="shared" si="7"/>
        <v>970.15</v>
      </c>
    </row>
    <row r="306" ht="20.25" customHeight="1" outlineLevel="1">
      <c r="A306" s="18">
        <v>45930.0</v>
      </c>
      <c r="B306" s="13" t="s">
        <v>12</v>
      </c>
      <c r="C306" s="28" t="s">
        <v>310</v>
      </c>
      <c r="D306" s="20"/>
      <c r="E306" s="21">
        <f t="shared" si="1"/>
        <v>18493.97</v>
      </c>
      <c r="F306" s="22">
        <v>-2329.42</v>
      </c>
      <c r="G306" s="21">
        <f t="shared" si="2"/>
        <v>462429.35</v>
      </c>
      <c r="H306" s="23"/>
      <c r="I306" s="21">
        <f t="shared" si="6"/>
        <v>1195.18</v>
      </c>
      <c r="J306" s="24"/>
      <c r="K306" s="21">
        <f t="shared" si="4"/>
        <v>356444.89</v>
      </c>
      <c r="L306" s="23"/>
      <c r="M306" s="21">
        <f t="shared" si="7"/>
        <v>970.15</v>
      </c>
    </row>
    <row r="307" ht="20.25" customHeight="1" outlineLevel="1">
      <c r="A307" s="18">
        <v>45930.0</v>
      </c>
      <c r="B307" s="13" t="s">
        <v>16</v>
      </c>
      <c r="C307" s="112" t="s">
        <v>311</v>
      </c>
      <c r="D307" s="20"/>
      <c r="E307" s="21">
        <f t="shared" si="1"/>
        <v>18493.97</v>
      </c>
      <c r="F307" s="27">
        <v>6297.0</v>
      </c>
      <c r="G307" s="21">
        <f t="shared" si="2"/>
        <v>468726.35</v>
      </c>
      <c r="H307" s="23"/>
      <c r="I307" s="21">
        <f t="shared" si="6"/>
        <v>1195.18</v>
      </c>
      <c r="J307" s="24"/>
      <c r="K307" s="21">
        <f t="shared" si="4"/>
        <v>356444.89</v>
      </c>
      <c r="L307" s="23"/>
      <c r="M307" s="21">
        <f t="shared" si="7"/>
        <v>970.15</v>
      </c>
    </row>
    <row r="308" ht="20.25" customHeight="1" outlineLevel="1">
      <c r="A308" s="18">
        <v>45930.0</v>
      </c>
      <c r="B308" s="13" t="s">
        <v>16</v>
      </c>
      <c r="C308" s="113" t="s">
        <v>312</v>
      </c>
      <c r="D308" s="20"/>
      <c r="E308" s="21">
        <f t="shared" si="1"/>
        <v>18493.97</v>
      </c>
      <c r="F308" s="27">
        <v>1805.0</v>
      </c>
      <c r="G308" s="21">
        <f t="shared" si="2"/>
        <v>470531.35</v>
      </c>
      <c r="H308" s="23"/>
      <c r="I308" s="21">
        <f t="shared" si="6"/>
        <v>1195.18</v>
      </c>
      <c r="J308" s="24"/>
      <c r="K308" s="21">
        <f t="shared" si="4"/>
        <v>356444.89</v>
      </c>
      <c r="L308" s="23"/>
      <c r="M308" s="21">
        <f t="shared" si="7"/>
        <v>970.15</v>
      </c>
    </row>
    <row r="309" ht="20.25" customHeight="1" outlineLevel="1">
      <c r="A309" s="18">
        <v>45930.0</v>
      </c>
      <c r="B309" s="13" t="s">
        <v>16</v>
      </c>
      <c r="C309" s="85" t="s">
        <v>313</v>
      </c>
      <c r="D309" s="20"/>
      <c r="E309" s="21">
        <f t="shared" si="1"/>
        <v>18493.97</v>
      </c>
      <c r="F309" s="27">
        <v>1720.0</v>
      </c>
      <c r="G309" s="21">
        <f t="shared" si="2"/>
        <v>472251.35</v>
      </c>
      <c r="H309" s="23"/>
      <c r="I309" s="21">
        <f t="shared" si="6"/>
        <v>1195.18</v>
      </c>
      <c r="J309" s="24"/>
      <c r="K309" s="21">
        <f t="shared" si="4"/>
        <v>356444.89</v>
      </c>
      <c r="L309" s="23"/>
      <c r="M309" s="21">
        <f t="shared" si="7"/>
        <v>970.15</v>
      </c>
    </row>
    <row r="310" ht="20.25" customHeight="1" outlineLevel="1">
      <c r="A310" s="18">
        <v>45930.0</v>
      </c>
      <c r="B310" s="13" t="s">
        <v>16</v>
      </c>
      <c r="C310" s="85" t="s">
        <v>314</v>
      </c>
      <c r="D310" s="20"/>
      <c r="E310" s="21">
        <f t="shared" si="1"/>
        <v>18493.97</v>
      </c>
      <c r="F310" s="27">
        <v>3572.97</v>
      </c>
      <c r="G310" s="21">
        <f t="shared" si="2"/>
        <v>475824.32</v>
      </c>
      <c r="H310" s="23"/>
      <c r="I310" s="21">
        <f t="shared" si="6"/>
        <v>1195.18</v>
      </c>
      <c r="J310" s="24"/>
      <c r="K310" s="21">
        <f t="shared" si="4"/>
        <v>356444.89</v>
      </c>
      <c r="L310" s="23"/>
      <c r="M310" s="21">
        <f t="shared" si="7"/>
        <v>970.15</v>
      </c>
    </row>
    <row r="311" ht="20.25" customHeight="1" outlineLevel="1">
      <c r="A311" s="18">
        <v>45930.0</v>
      </c>
      <c r="B311" s="13" t="s">
        <v>16</v>
      </c>
      <c r="C311" s="85" t="s">
        <v>315</v>
      </c>
      <c r="D311" s="20"/>
      <c r="E311" s="21">
        <f t="shared" si="1"/>
        <v>18493.97</v>
      </c>
      <c r="F311" s="27">
        <v>44.8</v>
      </c>
      <c r="G311" s="21">
        <f t="shared" si="2"/>
        <v>475869.12</v>
      </c>
      <c r="H311" s="23"/>
      <c r="I311" s="21">
        <f t="shared" si="6"/>
        <v>1195.18</v>
      </c>
      <c r="J311" s="24"/>
      <c r="K311" s="21">
        <f t="shared" si="4"/>
        <v>356444.89</v>
      </c>
      <c r="L311" s="23"/>
      <c r="M311" s="21">
        <f t="shared" si="7"/>
        <v>970.15</v>
      </c>
    </row>
    <row r="312" ht="20.25" customHeight="1" outlineLevel="1">
      <c r="A312" s="18">
        <v>45930.0</v>
      </c>
      <c r="B312" s="13" t="s">
        <v>16</v>
      </c>
      <c r="C312" s="87" t="s">
        <v>316</v>
      </c>
      <c r="D312" s="20"/>
      <c r="E312" s="21">
        <f t="shared" si="1"/>
        <v>18493.97</v>
      </c>
      <c r="F312" s="23"/>
      <c r="G312" s="21">
        <f t="shared" si="2"/>
        <v>475869.12</v>
      </c>
      <c r="H312" s="23"/>
      <c r="I312" s="21">
        <f t="shared" si="6"/>
        <v>1195.18</v>
      </c>
      <c r="J312" s="54">
        <v>3797.0</v>
      </c>
      <c r="K312" s="21">
        <f t="shared" si="4"/>
        <v>360241.89</v>
      </c>
      <c r="L312" s="23"/>
      <c r="M312" s="21">
        <f t="shared" si="7"/>
        <v>970.15</v>
      </c>
    </row>
    <row r="313" ht="20.25" customHeight="1" outlineLevel="1">
      <c r="A313" s="12">
        <v>45930.0</v>
      </c>
      <c r="B313" s="13" t="s">
        <v>16</v>
      </c>
      <c r="C313" s="87" t="s">
        <v>317</v>
      </c>
      <c r="D313" s="20"/>
      <c r="E313" s="21">
        <f t="shared" si="1"/>
        <v>18493.97</v>
      </c>
      <c r="F313" s="23"/>
      <c r="G313" s="21">
        <f t="shared" si="2"/>
        <v>475869.12</v>
      </c>
      <c r="H313" s="23"/>
      <c r="I313" s="21">
        <f t="shared" si="6"/>
        <v>1195.18</v>
      </c>
      <c r="J313" s="27">
        <v>2674.0</v>
      </c>
      <c r="K313" s="21">
        <f t="shared" si="4"/>
        <v>362915.89</v>
      </c>
      <c r="L313" s="23"/>
      <c r="M313" s="21">
        <f t="shared" si="7"/>
        <v>970.15</v>
      </c>
    </row>
    <row r="314" ht="20.25" customHeight="1" outlineLevel="1">
      <c r="A314" s="12">
        <v>45930.0</v>
      </c>
      <c r="B314" s="13" t="s">
        <v>16</v>
      </c>
      <c r="C314" s="85" t="s">
        <v>318</v>
      </c>
      <c r="D314" s="20">
        <v>647.0</v>
      </c>
      <c r="E314" s="21">
        <f t="shared" si="1"/>
        <v>19140.97</v>
      </c>
      <c r="F314" s="23"/>
      <c r="G314" s="21">
        <f t="shared" si="2"/>
        <v>475869.12</v>
      </c>
      <c r="H314" s="23"/>
      <c r="I314" s="21">
        <f t="shared" si="6"/>
        <v>1195.18</v>
      </c>
      <c r="J314" s="23"/>
      <c r="K314" s="21">
        <f t="shared" si="4"/>
        <v>362915.89</v>
      </c>
      <c r="L314" s="23"/>
      <c r="M314" s="21">
        <f t="shared" si="7"/>
        <v>970.15</v>
      </c>
    </row>
    <row r="315" ht="20.25" customHeight="1" outlineLevel="1">
      <c r="A315" s="12">
        <v>45930.0</v>
      </c>
      <c r="B315" s="13" t="s">
        <v>14</v>
      </c>
      <c r="C315" s="85" t="s">
        <v>319</v>
      </c>
      <c r="D315" s="73">
        <v>-1.6</v>
      </c>
      <c r="E315" s="21">
        <f t="shared" si="1"/>
        <v>19139.37</v>
      </c>
      <c r="F315" s="23"/>
      <c r="G315" s="21">
        <f t="shared" si="2"/>
        <v>475869.12</v>
      </c>
      <c r="H315" s="23"/>
      <c r="I315" s="21">
        <f t="shared" si="6"/>
        <v>1195.18</v>
      </c>
      <c r="J315" s="23"/>
      <c r="K315" s="21">
        <f t="shared" si="4"/>
        <v>362915.89</v>
      </c>
      <c r="L315" s="23"/>
      <c r="M315" s="21">
        <f t="shared" si="7"/>
        <v>970.15</v>
      </c>
    </row>
    <row r="316" ht="20.25" customHeight="1" outlineLevel="1">
      <c r="A316" s="18">
        <v>45930.0</v>
      </c>
      <c r="B316" s="13" t="s">
        <v>14</v>
      </c>
      <c r="C316" s="85" t="s">
        <v>320</v>
      </c>
      <c r="D316" s="20"/>
      <c r="E316" s="21">
        <f t="shared" si="1"/>
        <v>19139.37</v>
      </c>
      <c r="F316" s="23"/>
      <c r="G316" s="21">
        <f t="shared" si="2"/>
        <v>475869.12</v>
      </c>
      <c r="H316" s="23"/>
      <c r="I316" s="21">
        <f t="shared" si="6"/>
        <v>1195.18</v>
      </c>
      <c r="J316" s="53">
        <v>-25.35</v>
      </c>
      <c r="K316" s="21">
        <f t="shared" si="4"/>
        <v>362890.54</v>
      </c>
      <c r="L316" s="23"/>
      <c r="M316" s="21">
        <f t="shared" si="7"/>
        <v>970.15</v>
      </c>
    </row>
    <row r="317" ht="20.25" customHeight="1" outlineLevel="1">
      <c r="A317" s="12">
        <v>45931.0</v>
      </c>
      <c r="B317" s="13" t="s">
        <v>16</v>
      </c>
      <c r="C317" s="99" t="s">
        <v>321</v>
      </c>
      <c r="D317" s="20"/>
      <c r="E317" s="21">
        <f t="shared" si="1"/>
        <v>19139.37</v>
      </c>
      <c r="F317" s="27">
        <v>89.8</v>
      </c>
      <c r="G317" s="21">
        <f t="shared" si="2"/>
        <v>475958.92</v>
      </c>
      <c r="H317" s="23"/>
      <c r="I317" s="21">
        <f t="shared" si="6"/>
        <v>1195.18</v>
      </c>
      <c r="J317" s="23"/>
      <c r="K317" s="21">
        <f t="shared" si="4"/>
        <v>362890.54</v>
      </c>
      <c r="L317" s="23"/>
      <c r="M317" s="21">
        <f t="shared" si="7"/>
        <v>970.15</v>
      </c>
    </row>
    <row r="318" ht="20.25" customHeight="1" outlineLevel="1">
      <c r="A318" s="30">
        <v>45931.0</v>
      </c>
      <c r="B318" s="13" t="s">
        <v>14</v>
      </c>
      <c r="C318" s="99" t="s">
        <v>322</v>
      </c>
      <c r="D318" s="20"/>
      <c r="E318" s="21">
        <f t="shared" si="1"/>
        <v>19139.37</v>
      </c>
      <c r="F318" s="76"/>
      <c r="G318" s="21">
        <f t="shared" si="2"/>
        <v>475958.92</v>
      </c>
      <c r="H318" s="23"/>
      <c r="I318" s="21">
        <f t="shared" si="6"/>
        <v>1195.18</v>
      </c>
      <c r="J318" s="22">
        <v>-300.0</v>
      </c>
      <c r="K318" s="21">
        <f t="shared" si="4"/>
        <v>362590.54</v>
      </c>
      <c r="L318" s="23"/>
      <c r="M318" s="21">
        <f t="shared" si="7"/>
        <v>970.15</v>
      </c>
    </row>
    <row r="319" ht="20.25" customHeight="1" outlineLevel="1">
      <c r="A319" s="30">
        <v>45931.0</v>
      </c>
      <c r="B319" s="13" t="s">
        <v>14</v>
      </c>
      <c r="C319" s="85" t="s">
        <v>323</v>
      </c>
      <c r="D319" s="20"/>
      <c r="E319" s="21">
        <f t="shared" si="1"/>
        <v>19139.37</v>
      </c>
      <c r="F319" s="76"/>
      <c r="G319" s="21">
        <f t="shared" si="2"/>
        <v>475958.92</v>
      </c>
      <c r="H319" s="23"/>
      <c r="I319" s="21">
        <f t="shared" si="6"/>
        <v>1195.18</v>
      </c>
      <c r="J319" s="22">
        <v>-0.5</v>
      </c>
      <c r="K319" s="21">
        <f t="shared" si="4"/>
        <v>362590.04</v>
      </c>
      <c r="L319" s="23"/>
      <c r="M319" s="21">
        <f t="shared" si="7"/>
        <v>970.15</v>
      </c>
    </row>
    <row r="320" ht="20.25" customHeight="1" outlineLevel="1">
      <c r="A320" s="12">
        <v>45931.0</v>
      </c>
      <c r="B320" s="13" t="s">
        <v>16</v>
      </c>
      <c r="C320" s="85" t="s">
        <v>324</v>
      </c>
      <c r="D320" s="20"/>
      <c r="E320" s="21">
        <f t="shared" si="1"/>
        <v>19139.37</v>
      </c>
      <c r="F320" s="23"/>
      <c r="G320" s="21">
        <f t="shared" si="2"/>
        <v>475958.92</v>
      </c>
      <c r="H320" s="23"/>
      <c r="I320" s="21">
        <f t="shared" si="6"/>
        <v>1195.18</v>
      </c>
      <c r="J320" s="27">
        <v>550.0</v>
      </c>
      <c r="K320" s="21">
        <f t="shared" si="4"/>
        <v>363140.04</v>
      </c>
      <c r="L320" s="23"/>
      <c r="M320" s="21">
        <f t="shared" si="7"/>
        <v>970.15</v>
      </c>
    </row>
    <row r="321" ht="20.25" customHeight="1" outlineLevel="1">
      <c r="A321" s="18">
        <v>45931.0</v>
      </c>
      <c r="B321" s="13" t="s">
        <v>16</v>
      </c>
      <c r="C321" s="85" t="s">
        <v>325</v>
      </c>
      <c r="D321" s="20"/>
      <c r="E321" s="21">
        <f t="shared" si="1"/>
        <v>19139.37</v>
      </c>
      <c r="F321" s="23"/>
      <c r="G321" s="21">
        <f t="shared" si="2"/>
        <v>475958.92</v>
      </c>
      <c r="H321" s="23"/>
      <c r="I321" s="21">
        <f t="shared" si="6"/>
        <v>1195.18</v>
      </c>
      <c r="J321" s="54">
        <v>380.0</v>
      </c>
      <c r="K321" s="21">
        <f t="shared" si="4"/>
        <v>363520.04</v>
      </c>
      <c r="L321" s="23"/>
      <c r="M321" s="21">
        <f t="shared" si="7"/>
        <v>970.15</v>
      </c>
    </row>
    <row r="322" ht="20.25" customHeight="1" outlineLevel="1">
      <c r="A322" s="18">
        <v>45931.0</v>
      </c>
      <c r="B322" s="13" t="s">
        <v>16</v>
      </c>
      <c r="C322" s="85" t="s">
        <v>326</v>
      </c>
      <c r="D322" s="20">
        <v>775.0</v>
      </c>
      <c r="E322" s="21">
        <f t="shared" si="1"/>
        <v>19914.37</v>
      </c>
      <c r="F322" s="23"/>
      <c r="G322" s="21">
        <f t="shared" si="2"/>
        <v>475958.92</v>
      </c>
      <c r="H322" s="23"/>
      <c r="I322" s="21">
        <f t="shared" si="6"/>
        <v>1195.18</v>
      </c>
      <c r="J322" s="24"/>
      <c r="K322" s="21">
        <f t="shared" si="4"/>
        <v>363520.04</v>
      </c>
      <c r="L322" s="23"/>
      <c r="M322" s="21">
        <f t="shared" si="7"/>
        <v>970.15</v>
      </c>
    </row>
    <row r="323" ht="20.25" customHeight="1" outlineLevel="1">
      <c r="A323" s="12">
        <v>45931.0</v>
      </c>
      <c r="B323" s="13" t="s">
        <v>14</v>
      </c>
      <c r="C323" s="85" t="s">
        <v>327</v>
      </c>
      <c r="D323" s="20"/>
      <c r="E323" s="21">
        <f t="shared" si="1"/>
        <v>19914.37</v>
      </c>
      <c r="F323" s="22">
        <v>-312.0</v>
      </c>
      <c r="G323" s="21">
        <f t="shared" si="2"/>
        <v>475646.92</v>
      </c>
      <c r="H323" s="23"/>
      <c r="I323" s="21">
        <f t="shared" si="6"/>
        <v>1195.18</v>
      </c>
      <c r="J323" s="23"/>
      <c r="K323" s="21">
        <f t="shared" si="4"/>
        <v>363520.04</v>
      </c>
      <c r="L323" s="23"/>
      <c r="M323" s="21">
        <f t="shared" si="7"/>
        <v>970.15</v>
      </c>
    </row>
    <row r="324" ht="20.25" customHeight="1" outlineLevel="1">
      <c r="A324" s="12">
        <v>45931.0</v>
      </c>
      <c r="B324" s="13" t="s">
        <v>16</v>
      </c>
      <c r="C324" s="114" t="s">
        <v>328</v>
      </c>
      <c r="D324" s="20"/>
      <c r="E324" s="21">
        <f t="shared" si="1"/>
        <v>19914.37</v>
      </c>
      <c r="F324" s="26">
        <v>737.0</v>
      </c>
      <c r="G324" s="21">
        <f t="shared" si="2"/>
        <v>476383.92</v>
      </c>
      <c r="H324" s="23"/>
      <c r="I324" s="21">
        <f t="shared" si="6"/>
        <v>1195.18</v>
      </c>
      <c r="J324" s="23"/>
      <c r="K324" s="21">
        <f t="shared" si="4"/>
        <v>363520.04</v>
      </c>
      <c r="L324" s="23"/>
      <c r="M324" s="21">
        <f t="shared" si="7"/>
        <v>970.15</v>
      </c>
    </row>
    <row r="325" ht="20.25" customHeight="1" outlineLevel="1">
      <c r="A325" s="30">
        <v>45931.0</v>
      </c>
      <c r="B325" s="13" t="s">
        <v>16</v>
      </c>
      <c r="C325" s="85" t="s">
        <v>329</v>
      </c>
      <c r="D325" s="20"/>
      <c r="E325" s="21">
        <f t="shared" si="1"/>
        <v>19914.37</v>
      </c>
      <c r="F325" s="31">
        <v>1057.0</v>
      </c>
      <c r="G325" s="21">
        <f t="shared" si="2"/>
        <v>477440.92</v>
      </c>
      <c r="H325" s="23"/>
      <c r="I325" s="21">
        <f t="shared" si="6"/>
        <v>1195.18</v>
      </c>
      <c r="J325" s="23"/>
      <c r="K325" s="21">
        <f t="shared" si="4"/>
        <v>363520.04</v>
      </c>
      <c r="L325" s="23"/>
      <c r="M325" s="21">
        <f t="shared" si="7"/>
        <v>970.15</v>
      </c>
    </row>
    <row r="326" ht="20.25" customHeight="1" outlineLevel="1">
      <c r="A326" s="12">
        <v>45931.0</v>
      </c>
      <c r="B326" s="13" t="s">
        <v>16</v>
      </c>
      <c r="C326" s="85" t="s">
        <v>330</v>
      </c>
      <c r="D326" s="20"/>
      <c r="E326" s="21">
        <f t="shared" si="1"/>
        <v>19914.37</v>
      </c>
      <c r="F326" s="27">
        <v>4794.0</v>
      </c>
      <c r="G326" s="21">
        <f t="shared" si="2"/>
        <v>482234.92</v>
      </c>
      <c r="H326" s="23"/>
      <c r="I326" s="21">
        <f t="shared" si="6"/>
        <v>1195.18</v>
      </c>
      <c r="J326" s="23"/>
      <c r="K326" s="21">
        <f t="shared" si="4"/>
        <v>363520.04</v>
      </c>
      <c r="L326" s="23"/>
      <c r="M326" s="21">
        <f t="shared" si="7"/>
        <v>970.15</v>
      </c>
    </row>
    <row r="327" ht="20.25" customHeight="1" outlineLevel="1">
      <c r="A327" s="12">
        <v>45931.0</v>
      </c>
      <c r="B327" s="13" t="s">
        <v>16</v>
      </c>
      <c r="C327" s="85" t="s">
        <v>331</v>
      </c>
      <c r="D327" s="20"/>
      <c r="E327" s="21">
        <f t="shared" si="1"/>
        <v>19914.37</v>
      </c>
      <c r="F327" s="27">
        <v>4028.17</v>
      </c>
      <c r="G327" s="21">
        <f t="shared" si="2"/>
        <v>486263.09</v>
      </c>
      <c r="H327" s="23"/>
      <c r="I327" s="21">
        <f t="shared" si="6"/>
        <v>1195.18</v>
      </c>
      <c r="J327" s="23"/>
      <c r="K327" s="21">
        <f t="shared" si="4"/>
        <v>363520.04</v>
      </c>
      <c r="L327" s="23"/>
      <c r="M327" s="21">
        <f t="shared" si="7"/>
        <v>970.15</v>
      </c>
    </row>
    <row r="328" ht="20.25" customHeight="1" outlineLevel="1">
      <c r="A328" s="18">
        <v>45931.0</v>
      </c>
      <c r="B328" s="13" t="s">
        <v>14</v>
      </c>
      <c r="C328" s="85" t="s">
        <v>332</v>
      </c>
      <c r="D328" s="20"/>
      <c r="E328" s="21">
        <f t="shared" si="1"/>
        <v>19914.37</v>
      </c>
      <c r="F328" s="62"/>
      <c r="G328" s="21">
        <f t="shared" si="2"/>
        <v>486263.09</v>
      </c>
      <c r="H328" s="23"/>
      <c r="I328" s="21">
        <f t="shared" si="6"/>
        <v>1195.18</v>
      </c>
      <c r="J328" s="22">
        <v>-25.21</v>
      </c>
      <c r="K328" s="21">
        <f t="shared" si="4"/>
        <v>363494.83</v>
      </c>
      <c r="L328" s="23"/>
      <c r="M328" s="21">
        <f t="shared" si="7"/>
        <v>970.15</v>
      </c>
    </row>
    <row r="329" ht="20.25" customHeight="1" outlineLevel="1">
      <c r="A329" s="12">
        <v>45931.0</v>
      </c>
      <c r="B329" s="13" t="s">
        <v>14</v>
      </c>
      <c r="C329" s="85" t="s">
        <v>333</v>
      </c>
      <c r="D329" s="20"/>
      <c r="E329" s="21">
        <f t="shared" si="1"/>
        <v>19914.37</v>
      </c>
      <c r="F329" s="23"/>
      <c r="G329" s="21">
        <f t="shared" si="2"/>
        <v>486263.09</v>
      </c>
      <c r="H329" s="22">
        <v>-23.76</v>
      </c>
      <c r="I329" s="21">
        <f t="shared" si="6"/>
        <v>1171.42</v>
      </c>
      <c r="J329" s="23"/>
      <c r="K329" s="21">
        <f t="shared" si="4"/>
        <v>363494.83</v>
      </c>
      <c r="L329" s="23"/>
      <c r="M329" s="21">
        <f t="shared" si="7"/>
        <v>970.15</v>
      </c>
    </row>
    <row r="330" ht="20.25" customHeight="1" outlineLevel="1">
      <c r="A330" s="12">
        <v>45931.0</v>
      </c>
      <c r="B330" s="13" t="s">
        <v>14</v>
      </c>
      <c r="C330" s="85" t="s">
        <v>334</v>
      </c>
      <c r="D330" s="20"/>
      <c r="E330" s="21">
        <f t="shared" si="1"/>
        <v>19914.37</v>
      </c>
      <c r="F330" s="23"/>
      <c r="G330" s="21">
        <f t="shared" si="2"/>
        <v>486263.09</v>
      </c>
      <c r="H330" s="23"/>
      <c r="I330" s="21">
        <f t="shared" si="6"/>
        <v>1171.42</v>
      </c>
      <c r="J330" s="23"/>
      <c r="K330" s="21">
        <f t="shared" si="4"/>
        <v>363494.83</v>
      </c>
      <c r="L330" s="22">
        <v>-13.0</v>
      </c>
      <c r="M330" s="21">
        <f t="shared" si="7"/>
        <v>957.15</v>
      </c>
    </row>
    <row r="331" ht="20.25" customHeight="1" outlineLevel="1">
      <c r="A331" s="18">
        <v>45932.0</v>
      </c>
      <c r="B331" s="13" t="s">
        <v>57</v>
      </c>
      <c r="C331" s="85" t="s">
        <v>33</v>
      </c>
      <c r="D331" s="20"/>
      <c r="E331" s="21">
        <f t="shared" si="1"/>
        <v>19914.37</v>
      </c>
      <c r="F331" s="23"/>
      <c r="G331" s="21">
        <f t="shared" si="2"/>
        <v>486263.09</v>
      </c>
      <c r="H331" s="23"/>
      <c r="I331" s="21">
        <f t="shared" si="6"/>
        <v>1171.42</v>
      </c>
      <c r="J331" s="53">
        <v>-509.07</v>
      </c>
      <c r="K331" s="21">
        <f t="shared" si="4"/>
        <v>362985.76</v>
      </c>
      <c r="L331" s="23"/>
      <c r="M331" s="21">
        <f t="shared" si="7"/>
        <v>957.15</v>
      </c>
    </row>
    <row r="332" ht="20.25" customHeight="1" outlineLevel="1">
      <c r="A332" s="30">
        <v>45932.0</v>
      </c>
      <c r="B332" s="13" t="s">
        <v>16</v>
      </c>
      <c r="C332" s="115" t="s">
        <v>335</v>
      </c>
      <c r="D332" s="20"/>
      <c r="E332" s="21">
        <f t="shared" si="1"/>
        <v>19914.37</v>
      </c>
      <c r="F332" s="76"/>
      <c r="G332" s="21">
        <f t="shared" si="2"/>
        <v>486263.09</v>
      </c>
      <c r="H332" s="23"/>
      <c r="I332" s="21">
        <f t="shared" si="6"/>
        <v>1171.42</v>
      </c>
      <c r="J332" s="35">
        <v>358.0</v>
      </c>
      <c r="K332" s="21">
        <f t="shared" si="4"/>
        <v>363343.76</v>
      </c>
      <c r="L332" s="23"/>
      <c r="M332" s="21">
        <f t="shared" si="7"/>
        <v>957.15</v>
      </c>
    </row>
    <row r="333" ht="20.25" customHeight="1" outlineLevel="1">
      <c r="A333" s="12">
        <v>45932.0</v>
      </c>
      <c r="B333" s="13" t="s">
        <v>16</v>
      </c>
      <c r="C333" s="114" t="s">
        <v>336</v>
      </c>
      <c r="D333" s="20"/>
      <c r="E333" s="21">
        <f t="shared" si="1"/>
        <v>19914.37</v>
      </c>
      <c r="F333" s="23"/>
      <c r="G333" s="21">
        <f t="shared" si="2"/>
        <v>486263.09</v>
      </c>
      <c r="H333" s="23"/>
      <c r="I333" s="21">
        <f t="shared" si="6"/>
        <v>1171.42</v>
      </c>
      <c r="J333" s="23">
        <v>985.0</v>
      </c>
      <c r="K333" s="21">
        <f t="shared" si="4"/>
        <v>364328.76</v>
      </c>
      <c r="L333" s="23"/>
      <c r="M333" s="21">
        <f t="shared" si="7"/>
        <v>957.15</v>
      </c>
    </row>
    <row r="334" ht="20.25" customHeight="1" outlineLevel="1">
      <c r="A334" s="12">
        <v>45932.0</v>
      </c>
      <c r="B334" s="13" t="s">
        <v>16</v>
      </c>
      <c r="C334" s="115" t="s">
        <v>337</v>
      </c>
      <c r="D334" s="20"/>
      <c r="E334" s="21">
        <f t="shared" si="1"/>
        <v>19914.37</v>
      </c>
      <c r="F334" s="23"/>
      <c r="G334" s="21">
        <f t="shared" si="2"/>
        <v>486263.09</v>
      </c>
      <c r="H334" s="23"/>
      <c r="I334" s="21">
        <f t="shared" si="6"/>
        <v>1171.42</v>
      </c>
      <c r="J334" s="35">
        <v>370.5</v>
      </c>
      <c r="K334" s="21">
        <f t="shared" si="4"/>
        <v>364699.26</v>
      </c>
      <c r="L334" s="23"/>
      <c r="M334" s="21">
        <f t="shared" si="7"/>
        <v>957.15</v>
      </c>
    </row>
    <row r="335" ht="20.25" customHeight="1" outlineLevel="1">
      <c r="A335" s="12">
        <v>45932.0</v>
      </c>
      <c r="B335" s="13" t="s">
        <v>16</v>
      </c>
      <c r="C335" s="85" t="s">
        <v>109</v>
      </c>
      <c r="D335" s="20">
        <v>170.0</v>
      </c>
      <c r="E335" s="21">
        <f t="shared" si="1"/>
        <v>20084.37</v>
      </c>
      <c r="F335" s="23"/>
      <c r="G335" s="21">
        <f t="shared" si="2"/>
        <v>486263.09</v>
      </c>
      <c r="H335" s="23"/>
      <c r="I335" s="21">
        <f t="shared" si="6"/>
        <v>1171.42</v>
      </c>
      <c r="J335" s="23"/>
      <c r="K335" s="21">
        <f t="shared" si="4"/>
        <v>364699.26</v>
      </c>
      <c r="L335" s="23"/>
      <c r="M335" s="21">
        <f t="shared" si="7"/>
        <v>957.15</v>
      </c>
    </row>
    <row r="336" ht="20.25" customHeight="1" outlineLevel="1">
      <c r="A336" s="18">
        <v>45932.0</v>
      </c>
      <c r="B336" s="13" t="s">
        <v>70</v>
      </c>
      <c r="C336" s="85" t="s">
        <v>338</v>
      </c>
      <c r="D336" s="20"/>
      <c r="E336" s="21">
        <f t="shared" si="1"/>
        <v>20084.37</v>
      </c>
      <c r="F336" s="22">
        <v>-5174.0</v>
      </c>
      <c r="G336" s="21">
        <f t="shared" si="2"/>
        <v>481089.09</v>
      </c>
      <c r="H336" s="23"/>
      <c r="I336" s="21">
        <f t="shared" si="6"/>
        <v>1171.42</v>
      </c>
      <c r="J336" s="24"/>
      <c r="K336" s="21">
        <f t="shared" si="4"/>
        <v>364699.26</v>
      </c>
      <c r="L336" s="23"/>
      <c r="M336" s="21">
        <f t="shared" si="7"/>
        <v>957.15</v>
      </c>
    </row>
    <row r="337" ht="20.25" customHeight="1" outlineLevel="1">
      <c r="A337" s="18">
        <v>45932.0</v>
      </c>
      <c r="B337" s="13" t="s">
        <v>16</v>
      </c>
      <c r="C337" s="85" t="s">
        <v>339</v>
      </c>
      <c r="D337" s="20"/>
      <c r="E337" s="21">
        <f t="shared" si="1"/>
        <v>20084.37</v>
      </c>
      <c r="F337" s="27">
        <v>1665.0</v>
      </c>
      <c r="G337" s="21">
        <f t="shared" si="2"/>
        <v>482754.09</v>
      </c>
      <c r="H337" s="23"/>
      <c r="I337" s="21">
        <f t="shared" si="6"/>
        <v>1171.42</v>
      </c>
      <c r="J337" s="24"/>
      <c r="K337" s="21">
        <f t="shared" si="4"/>
        <v>364699.26</v>
      </c>
      <c r="L337" s="23"/>
      <c r="M337" s="21">
        <f t="shared" si="7"/>
        <v>957.15</v>
      </c>
    </row>
    <row r="338" ht="20.25" customHeight="1" outlineLevel="1">
      <c r="A338" s="18">
        <v>45932.0</v>
      </c>
      <c r="B338" s="13" t="s">
        <v>16</v>
      </c>
      <c r="C338" s="85" t="s">
        <v>340</v>
      </c>
      <c r="D338" s="20"/>
      <c r="E338" s="21">
        <f t="shared" si="1"/>
        <v>20084.37</v>
      </c>
      <c r="F338" s="27">
        <v>4182.0</v>
      </c>
      <c r="G338" s="21">
        <f t="shared" si="2"/>
        <v>486936.09</v>
      </c>
      <c r="H338" s="23"/>
      <c r="I338" s="21">
        <f t="shared" si="6"/>
        <v>1171.42</v>
      </c>
      <c r="J338" s="23"/>
      <c r="K338" s="21">
        <f t="shared" si="4"/>
        <v>364699.26</v>
      </c>
      <c r="L338" s="23"/>
      <c r="M338" s="21">
        <f t="shared" si="7"/>
        <v>957.15</v>
      </c>
    </row>
    <row r="339" ht="20.25" customHeight="1" outlineLevel="1">
      <c r="A339" s="18">
        <v>45932.0</v>
      </c>
      <c r="B339" s="13" t="s">
        <v>16</v>
      </c>
      <c r="C339" s="85" t="s">
        <v>341</v>
      </c>
      <c r="D339" s="20"/>
      <c r="E339" s="21">
        <f t="shared" si="1"/>
        <v>20084.37</v>
      </c>
      <c r="F339" s="27">
        <v>4772.82</v>
      </c>
      <c r="G339" s="21">
        <f t="shared" si="2"/>
        <v>491708.91</v>
      </c>
      <c r="H339" s="23"/>
      <c r="I339" s="21">
        <f t="shared" si="6"/>
        <v>1171.42</v>
      </c>
      <c r="J339" s="23"/>
      <c r="K339" s="21">
        <f t="shared" si="4"/>
        <v>364699.26</v>
      </c>
      <c r="L339" s="23"/>
      <c r="M339" s="21">
        <f t="shared" si="7"/>
        <v>957.15</v>
      </c>
    </row>
    <row r="340" ht="20.25" customHeight="1" outlineLevel="1">
      <c r="A340" s="30">
        <v>45932.0</v>
      </c>
      <c r="B340" s="13" t="s">
        <v>16</v>
      </c>
      <c r="C340" s="85" t="s">
        <v>342</v>
      </c>
      <c r="D340" s="20"/>
      <c r="E340" s="21">
        <f t="shared" si="1"/>
        <v>20084.37</v>
      </c>
      <c r="F340" s="108">
        <v>3340.0</v>
      </c>
      <c r="G340" s="21">
        <f t="shared" si="2"/>
        <v>495048.91</v>
      </c>
      <c r="H340" s="23"/>
      <c r="I340" s="21">
        <f t="shared" si="6"/>
        <v>1171.42</v>
      </c>
      <c r="J340" s="23"/>
      <c r="K340" s="21">
        <f t="shared" si="4"/>
        <v>364699.26</v>
      </c>
      <c r="L340" s="23"/>
      <c r="M340" s="21">
        <f t="shared" si="7"/>
        <v>957.15</v>
      </c>
    </row>
    <row r="341" ht="20.25" customHeight="1" outlineLevel="1">
      <c r="A341" s="18">
        <v>45932.0</v>
      </c>
      <c r="B341" s="13" t="s">
        <v>14</v>
      </c>
      <c r="C341" s="85" t="s">
        <v>30</v>
      </c>
      <c r="D341" s="20"/>
      <c r="E341" s="21">
        <f t="shared" si="1"/>
        <v>20084.37</v>
      </c>
      <c r="F341" s="22">
        <v>-8.21</v>
      </c>
      <c r="G341" s="21">
        <f t="shared" si="2"/>
        <v>495040.7</v>
      </c>
      <c r="H341" s="23"/>
      <c r="I341" s="21">
        <f t="shared" si="6"/>
        <v>1171.42</v>
      </c>
      <c r="J341" s="23"/>
      <c r="K341" s="21">
        <f t="shared" si="4"/>
        <v>364699.26</v>
      </c>
      <c r="L341" s="23"/>
      <c r="M341" s="21">
        <f t="shared" si="7"/>
        <v>957.15</v>
      </c>
    </row>
    <row r="342" ht="20.25" customHeight="1" outlineLevel="1">
      <c r="A342" s="18">
        <v>45933.0</v>
      </c>
      <c r="B342" s="13" t="s">
        <v>14</v>
      </c>
      <c r="C342" s="85" t="s">
        <v>52</v>
      </c>
      <c r="D342" s="20"/>
      <c r="E342" s="21">
        <f t="shared" si="1"/>
        <v>20084.37</v>
      </c>
      <c r="F342" s="23"/>
      <c r="G342" s="21">
        <f t="shared" si="2"/>
        <v>495040.7</v>
      </c>
      <c r="H342" s="23"/>
      <c r="I342" s="21">
        <f t="shared" si="6"/>
        <v>1171.42</v>
      </c>
      <c r="J342" s="95">
        <v>-592.88</v>
      </c>
      <c r="K342" s="21">
        <f t="shared" si="4"/>
        <v>364106.38</v>
      </c>
      <c r="L342" s="23"/>
      <c r="M342" s="21">
        <f t="shared" si="7"/>
        <v>957.15</v>
      </c>
    </row>
    <row r="343" ht="20.25" customHeight="1" outlineLevel="1">
      <c r="A343" s="18">
        <v>45933.0</v>
      </c>
      <c r="B343" s="13" t="s">
        <v>14</v>
      </c>
      <c r="C343" s="85" t="s">
        <v>34</v>
      </c>
      <c r="D343" s="20"/>
      <c r="E343" s="21">
        <f t="shared" si="1"/>
        <v>20084.37</v>
      </c>
      <c r="F343" s="23"/>
      <c r="G343" s="21">
        <f t="shared" si="2"/>
        <v>495040.7</v>
      </c>
      <c r="H343" s="23"/>
      <c r="I343" s="21">
        <f t="shared" si="6"/>
        <v>1171.42</v>
      </c>
      <c r="J343" s="95">
        <v>-116.8</v>
      </c>
      <c r="K343" s="21">
        <f t="shared" si="4"/>
        <v>363989.58</v>
      </c>
      <c r="L343" s="23"/>
      <c r="M343" s="21">
        <f t="shared" si="7"/>
        <v>957.15</v>
      </c>
    </row>
    <row r="344" ht="20.25" customHeight="1">
      <c r="A344" s="18">
        <v>45933.0</v>
      </c>
      <c r="B344" s="13" t="s">
        <v>16</v>
      </c>
      <c r="C344" s="115" t="s">
        <v>343</v>
      </c>
      <c r="D344" s="20"/>
      <c r="E344" s="21">
        <f t="shared" si="1"/>
        <v>20084.37</v>
      </c>
      <c r="F344" s="23"/>
      <c r="G344" s="21">
        <f t="shared" si="2"/>
        <v>495040.7</v>
      </c>
      <c r="H344" s="23"/>
      <c r="I344" s="21">
        <f t="shared" si="6"/>
        <v>1171.42</v>
      </c>
      <c r="J344" s="60">
        <v>585.0</v>
      </c>
      <c r="K344" s="21">
        <f t="shared" si="4"/>
        <v>364574.58</v>
      </c>
      <c r="L344" s="23"/>
      <c r="M344" s="21">
        <f t="shared" si="7"/>
        <v>957.15</v>
      </c>
    </row>
    <row r="345" ht="20.25" customHeight="1" outlineLevel="1">
      <c r="A345" s="18">
        <v>45933.0</v>
      </c>
      <c r="B345" s="13" t="s">
        <v>16</v>
      </c>
      <c r="C345" s="115" t="s">
        <v>344</v>
      </c>
      <c r="D345" s="20"/>
      <c r="E345" s="21">
        <f t="shared" si="1"/>
        <v>20084.37</v>
      </c>
      <c r="F345" s="23"/>
      <c r="G345" s="21">
        <f t="shared" si="2"/>
        <v>495040.7</v>
      </c>
      <c r="H345" s="23"/>
      <c r="I345" s="21">
        <f t="shared" si="6"/>
        <v>1171.42</v>
      </c>
      <c r="J345" s="60">
        <v>395.0</v>
      </c>
      <c r="K345" s="21">
        <f t="shared" si="4"/>
        <v>364969.58</v>
      </c>
      <c r="L345" s="23"/>
      <c r="M345" s="21">
        <f t="shared" si="7"/>
        <v>957.15</v>
      </c>
    </row>
    <row r="346" ht="20.25" customHeight="1" outlineLevel="1">
      <c r="A346" s="18">
        <v>45933.0</v>
      </c>
      <c r="B346" s="13" t="s">
        <v>16</v>
      </c>
      <c r="C346" s="115" t="s">
        <v>345</v>
      </c>
      <c r="D346" s="20"/>
      <c r="E346" s="21">
        <f t="shared" si="1"/>
        <v>20084.37</v>
      </c>
      <c r="F346" s="23"/>
      <c r="G346" s="21">
        <f t="shared" si="2"/>
        <v>495040.7</v>
      </c>
      <c r="H346" s="23"/>
      <c r="I346" s="21">
        <f t="shared" si="6"/>
        <v>1171.42</v>
      </c>
      <c r="J346" s="60">
        <v>551.0</v>
      </c>
      <c r="K346" s="21">
        <f t="shared" si="4"/>
        <v>365520.58</v>
      </c>
      <c r="L346" s="23"/>
      <c r="M346" s="21">
        <f t="shared" si="7"/>
        <v>957.15</v>
      </c>
    </row>
    <row r="347" ht="20.25" customHeight="1" outlineLevel="1">
      <c r="A347" s="18">
        <v>45933.0</v>
      </c>
      <c r="B347" s="13" t="s">
        <v>16</v>
      </c>
      <c r="C347" s="85" t="s">
        <v>346</v>
      </c>
      <c r="D347" s="20">
        <v>630.0</v>
      </c>
      <c r="E347" s="21">
        <f t="shared" si="1"/>
        <v>20714.37</v>
      </c>
      <c r="F347" s="23"/>
      <c r="G347" s="21">
        <f t="shared" si="2"/>
        <v>495040.7</v>
      </c>
      <c r="H347" s="23"/>
      <c r="I347" s="21">
        <f t="shared" si="6"/>
        <v>1171.42</v>
      </c>
      <c r="J347" s="24"/>
      <c r="K347" s="21">
        <f t="shared" si="4"/>
        <v>365520.58</v>
      </c>
      <c r="L347" s="23"/>
      <c r="M347" s="21">
        <f t="shared" si="7"/>
        <v>957.15</v>
      </c>
    </row>
    <row r="348" ht="20.25" customHeight="1" outlineLevel="1">
      <c r="A348" s="12">
        <v>45933.0</v>
      </c>
      <c r="B348" s="13" t="s">
        <v>63</v>
      </c>
      <c r="C348" s="90" t="s">
        <v>347</v>
      </c>
      <c r="D348" s="20"/>
      <c r="E348" s="21">
        <f t="shared" si="1"/>
        <v>20714.37</v>
      </c>
      <c r="F348" s="51">
        <v>732.0</v>
      </c>
      <c r="G348" s="21">
        <f t="shared" si="2"/>
        <v>495772.7</v>
      </c>
      <c r="H348" s="23"/>
      <c r="I348" s="21">
        <f t="shared" si="6"/>
        <v>1171.42</v>
      </c>
      <c r="J348" s="23"/>
      <c r="K348" s="21">
        <f t="shared" si="4"/>
        <v>365520.58</v>
      </c>
      <c r="L348" s="23"/>
      <c r="M348" s="21">
        <f t="shared" si="7"/>
        <v>957.15</v>
      </c>
    </row>
    <row r="349" ht="20.25" customHeight="1" outlineLevel="1">
      <c r="A349" s="12">
        <v>45933.0</v>
      </c>
      <c r="B349" s="13" t="s">
        <v>16</v>
      </c>
      <c r="C349" s="99" t="s">
        <v>348</v>
      </c>
      <c r="D349" s="20"/>
      <c r="E349" s="21">
        <f t="shared" si="1"/>
        <v>20714.37</v>
      </c>
      <c r="F349" s="26">
        <v>1691.0</v>
      </c>
      <c r="G349" s="21">
        <f t="shared" si="2"/>
        <v>497463.7</v>
      </c>
      <c r="H349" s="23"/>
      <c r="I349" s="21">
        <f t="shared" si="6"/>
        <v>1171.42</v>
      </c>
      <c r="J349" s="23"/>
      <c r="K349" s="21">
        <f t="shared" si="4"/>
        <v>365520.58</v>
      </c>
      <c r="L349" s="23"/>
      <c r="M349" s="21">
        <f t="shared" si="7"/>
        <v>957.15</v>
      </c>
    </row>
    <row r="350" ht="20.25" customHeight="1" outlineLevel="1">
      <c r="A350" s="18">
        <v>45933.0</v>
      </c>
      <c r="B350" s="13" t="s">
        <v>16</v>
      </c>
      <c r="C350" s="99" t="s">
        <v>349</v>
      </c>
      <c r="D350" s="20"/>
      <c r="E350" s="21">
        <f t="shared" si="1"/>
        <v>20714.37</v>
      </c>
      <c r="F350" s="27">
        <v>2415.0</v>
      </c>
      <c r="G350" s="21">
        <f t="shared" si="2"/>
        <v>499878.7</v>
      </c>
      <c r="H350" s="23"/>
      <c r="I350" s="21">
        <f t="shared" si="6"/>
        <v>1171.42</v>
      </c>
      <c r="J350" s="24"/>
      <c r="K350" s="21">
        <f t="shared" si="4"/>
        <v>365520.58</v>
      </c>
      <c r="L350" s="23"/>
      <c r="M350" s="21">
        <f t="shared" si="7"/>
        <v>957.15</v>
      </c>
    </row>
    <row r="351" ht="20.25" customHeight="1" outlineLevel="1">
      <c r="A351" s="18">
        <v>45933.0</v>
      </c>
      <c r="B351" s="13" t="s">
        <v>16</v>
      </c>
      <c r="C351" s="99" t="s">
        <v>350</v>
      </c>
      <c r="D351" s="20"/>
      <c r="E351" s="21">
        <f t="shared" si="1"/>
        <v>20714.37</v>
      </c>
      <c r="F351" s="27">
        <v>2510.5</v>
      </c>
      <c r="G351" s="21">
        <f t="shared" si="2"/>
        <v>502389.2</v>
      </c>
      <c r="H351" s="23"/>
      <c r="I351" s="21">
        <f t="shared" si="6"/>
        <v>1171.42</v>
      </c>
      <c r="J351" s="24"/>
      <c r="K351" s="21">
        <f t="shared" si="4"/>
        <v>365520.58</v>
      </c>
      <c r="L351" s="23"/>
      <c r="M351" s="21">
        <f t="shared" si="7"/>
        <v>957.15</v>
      </c>
    </row>
    <row r="352" ht="20.25" customHeight="1" outlineLevel="1">
      <c r="A352" s="18">
        <v>45933.0</v>
      </c>
      <c r="B352" s="13" t="s">
        <v>16</v>
      </c>
      <c r="C352" s="99" t="s">
        <v>351</v>
      </c>
      <c r="D352" s="20"/>
      <c r="E352" s="21">
        <f t="shared" si="1"/>
        <v>20714.37</v>
      </c>
      <c r="F352" s="27">
        <v>4874.17</v>
      </c>
      <c r="G352" s="21">
        <f t="shared" si="2"/>
        <v>507263.37</v>
      </c>
      <c r="H352" s="23"/>
      <c r="I352" s="21">
        <f t="shared" si="6"/>
        <v>1171.42</v>
      </c>
      <c r="J352" s="23"/>
      <c r="K352" s="21">
        <f t="shared" si="4"/>
        <v>365520.58</v>
      </c>
      <c r="L352" s="23"/>
      <c r="M352" s="21">
        <f t="shared" si="7"/>
        <v>957.15</v>
      </c>
    </row>
    <row r="353" ht="20.25" customHeight="1" outlineLevel="1">
      <c r="A353" s="30">
        <v>45933.0</v>
      </c>
      <c r="B353" s="13" t="s">
        <v>14</v>
      </c>
      <c r="C353" s="99" t="s">
        <v>352</v>
      </c>
      <c r="D353" s="20"/>
      <c r="E353" s="21">
        <f t="shared" si="1"/>
        <v>20714.37</v>
      </c>
      <c r="F353" s="104">
        <v>-10.0</v>
      </c>
      <c r="G353" s="21">
        <f t="shared" si="2"/>
        <v>507253.37</v>
      </c>
      <c r="H353" s="23"/>
      <c r="I353" s="21">
        <f t="shared" si="6"/>
        <v>1171.42</v>
      </c>
      <c r="J353" s="23"/>
      <c r="K353" s="21">
        <f t="shared" si="4"/>
        <v>365520.58</v>
      </c>
      <c r="L353" s="23"/>
      <c r="M353" s="21">
        <f t="shared" si="7"/>
        <v>957.15</v>
      </c>
    </row>
    <row r="354" ht="20.25" customHeight="1" outlineLevel="1">
      <c r="A354" s="30">
        <v>45933.0</v>
      </c>
      <c r="B354" s="13" t="s">
        <v>14</v>
      </c>
      <c r="C354" s="99" t="s">
        <v>353</v>
      </c>
      <c r="D354" s="20"/>
      <c r="E354" s="21">
        <f t="shared" si="1"/>
        <v>20714.37</v>
      </c>
      <c r="F354" s="104">
        <v>-5.0</v>
      </c>
      <c r="G354" s="21">
        <f t="shared" si="2"/>
        <v>507248.37</v>
      </c>
      <c r="H354" s="23"/>
      <c r="I354" s="21">
        <f t="shared" si="6"/>
        <v>1171.42</v>
      </c>
      <c r="J354" s="23"/>
      <c r="K354" s="21">
        <f t="shared" si="4"/>
        <v>365520.58</v>
      </c>
      <c r="L354" s="23"/>
      <c r="M354" s="21">
        <f t="shared" si="7"/>
        <v>957.15</v>
      </c>
    </row>
    <row r="355" ht="20.25" customHeight="1" outlineLevel="1">
      <c r="A355" s="12">
        <v>45933.0</v>
      </c>
      <c r="B355" s="13" t="s">
        <v>14</v>
      </c>
      <c r="C355" s="99" t="s">
        <v>49</v>
      </c>
      <c r="D355" s="20"/>
      <c r="E355" s="21">
        <f t="shared" si="1"/>
        <v>20714.37</v>
      </c>
      <c r="F355" s="22">
        <v>-1053.03</v>
      </c>
      <c r="G355" s="21">
        <f t="shared" si="2"/>
        <v>506195.34</v>
      </c>
      <c r="H355" s="23"/>
      <c r="I355" s="21">
        <f t="shared" si="6"/>
        <v>1171.42</v>
      </c>
      <c r="J355" s="23"/>
      <c r="K355" s="21">
        <f t="shared" si="4"/>
        <v>365520.58</v>
      </c>
      <c r="L355" s="23"/>
      <c r="M355" s="21">
        <f t="shared" si="7"/>
        <v>957.15</v>
      </c>
    </row>
    <row r="356" ht="20.25" customHeight="1" outlineLevel="1">
      <c r="A356" s="18">
        <v>45933.0</v>
      </c>
      <c r="B356" s="13" t="s">
        <v>14</v>
      </c>
      <c r="C356" s="99" t="s">
        <v>48</v>
      </c>
      <c r="D356" s="20"/>
      <c r="E356" s="21">
        <f t="shared" si="1"/>
        <v>20714.37</v>
      </c>
      <c r="F356" s="22">
        <v>-617.34</v>
      </c>
      <c r="G356" s="21">
        <f t="shared" si="2"/>
        <v>505578</v>
      </c>
      <c r="H356" s="23"/>
      <c r="I356" s="21">
        <f t="shared" si="6"/>
        <v>1171.42</v>
      </c>
      <c r="J356" s="24"/>
      <c r="K356" s="21">
        <f t="shared" si="4"/>
        <v>365520.58</v>
      </c>
      <c r="L356" s="23"/>
      <c r="M356" s="21">
        <f t="shared" si="7"/>
        <v>957.15</v>
      </c>
    </row>
    <row r="357" ht="20.25" customHeight="1" outlineLevel="1">
      <c r="A357" s="12">
        <v>45933.0</v>
      </c>
      <c r="B357" s="13" t="s">
        <v>16</v>
      </c>
      <c r="C357" s="99" t="s">
        <v>354</v>
      </c>
      <c r="D357" s="20"/>
      <c r="E357" s="21">
        <f t="shared" si="1"/>
        <v>20714.37</v>
      </c>
      <c r="F357" s="23"/>
      <c r="G357" s="21">
        <f t="shared" si="2"/>
        <v>505578</v>
      </c>
      <c r="H357" s="23"/>
      <c r="I357" s="21">
        <f t="shared" si="6"/>
        <v>1171.42</v>
      </c>
      <c r="J357" s="27">
        <v>680.0</v>
      </c>
      <c r="K357" s="21">
        <f t="shared" si="4"/>
        <v>366200.58</v>
      </c>
      <c r="L357" s="23"/>
      <c r="M357" s="21">
        <f t="shared" si="7"/>
        <v>957.15</v>
      </c>
    </row>
    <row r="358" ht="20.25" customHeight="1" outlineLevel="1">
      <c r="A358" s="12">
        <v>45933.0</v>
      </c>
      <c r="B358" s="13" t="s">
        <v>16</v>
      </c>
      <c r="C358" s="116" t="s">
        <v>355</v>
      </c>
      <c r="D358" s="20"/>
      <c r="E358" s="21">
        <f t="shared" si="1"/>
        <v>20714.37</v>
      </c>
      <c r="F358" s="23"/>
      <c r="G358" s="21">
        <f t="shared" si="2"/>
        <v>505578</v>
      </c>
      <c r="H358" s="23"/>
      <c r="I358" s="21">
        <f t="shared" si="6"/>
        <v>1171.42</v>
      </c>
      <c r="J358" s="27">
        <v>2235.5</v>
      </c>
      <c r="K358" s="21">
        <f t="shared" si="4"/>
        <v>368436.08</v>
      </c>
      <c r="L358" s="23"/>
      <c r="M358" s="21">
        <f t="shared" si="7"/>
        <v>957.15</v>
      </c>
    </row>
    <row r="359" ht="20.25" customHeight="1" outlineLevel="1">
      <c r="A359" s="12">
        <v>45933.0</v>
      </c>
      <c r="B359" s="13" t="s">
        <v>16</v>
      </c>
      <c r="C359" s="117" t="s">
        <v>356</v>
      </c>
      <c r="D359" s="20"/>
      <c r="E359" s="21">
        <f t="shared" si="1"/>
        <v>20714.37</v>
      </c>
      <c r="F359" s="23"/>
      <c r="G359" s="21">
        <f t="shared" si="2"/>
        <v>505578</v>
      </c>
      <c r="H359" s="23"/>
      <c r="I359" s="21">
        <f t="shared" si="6"/>
        <v>1171.42</v>
      </c>
      <c r="J359" s="35">
        <v>268.0</v>
      </c>
      <c r="K359" s="21">
        <f t="shared" si="4"/>
        <v>368704.08</v>
      </c>
      <c r="L359" s="23"/>
      <c r="M359" s="21">
        <f t="shared" si="7"/>
        <v>957.15</v>
      </c>
    </row>
    <row r="360" ht="20.25" customHeight="1" outlineLevel="1">
      <c r="A360" s="12">
        <v>45933.0</v>
      </c>
      <c r="B360" s="13" t="s">
        <v>16</v>
      </c>
      <c r="C360" s="85" t="s">
        <v>357</v>
      </c>
      <c r="D360" s="20"/>
      <c r="E360" s="21">
        <f t="shared" si="1"/>
        <v>20714.37</v>
      </c>
      <c r="F360" s="23"/>
      <c r="G360" s="21">
        <f t="shared" si="2"/>
        <v>505578</v>
      </c>
      <c r="H360" s="23"/>
      <c r="I360" s="21">
        <f t="shared" si="6"/>
        <v>1171.42</v>
      </c>
      <c r="J360" s="60">
        <v>315.0</v>
      </c>
      <c r="K360" s="21">
        <f t="shared" si="4"/>
        <v>369019.08</v>
      </c>
      <c r="L360" s="23"/>
      <c r="M360" s="21">
        <f t="shared" si="7"/>
        <v>957.15</v>
      </c>
    </row>
    <row r="361" ht="20.25" customHeight="1" outlineLevel="1">
      <c r="A361" s="18">
        <v>45933.0</v>
      </c>
      <c r="B361" s="13" t="s">
        <v>57</v>
      </c>
      <c r="C361" s="85" t="s">
        <v>358</v>
      </c>
      <c r="D361" s="20"/>
      <c r="E361" s="21">
        <f t="shared" si="1"/>
        <v>20714.37</v>
      </c>
      <c r="F361" s="23"/>
      <c r="G361" s="21">
        <f t="shared" si="2"/>
        <v>505578</v>
      </c>
      <c r="H361" s="23"/>
      <c r="I361" s="21">
        <f t="shared" si="6"/>
        <v>1171.42</v>
      </c>
      <c r="J361" s="53">
        <v>-1886.67</v>
      </c>
      <c r="K361" s="21">
        <f t="shared" si="4"/>
        <v>367132.41</v>
      </c>
      <c r="L361" s="23"/>
      <c r="M361" s="21">
        <f t="shared" si="7"/>
        <v>957.15</v>
      </c>
    </row>
    <row r="362" ht="20.25" customHeight="1" outlineLevel="1">
      <c r="A362" s="18">
        <v>45934.0</v>
      </c>
      <c r="B362" s="13" t="s">
        <v>16</v>
      </c>
      <c r="C362" s="85" t="s">
        <v>359</v>
      </c>
      <c r="D362" s="20">
        <v>135.0</v>
      </c>
      <c r="E362" s="21">
        <f t="shared" si="1"/>
        <v>20849.37</v>
      </c>
      <c r="F362" s="23"/>
      <c r="G362" s="21">
        <f t="shared" si="2"/>
        <v>505578</v>
      </c>
      <c r="H362" s="23"/>
      <c r="I362" s="21">
        <f t="shared" si="6"/>
        <v>1171.42</v>
      </c>
      <c r="J362" s="24"/>
      <c r="K362" s="21">
        <f t="shared" si="4"/>
        <v>367132.41</v>
      </c>
      <c r="L362" s="23"/>
      <c r="M362" s="21">
        <f t="shared" si="7"/>
        <v>957.15</v>
      </c>
    </row>
    <row r="363" ht="20.25" customHeight="1" outlineLevel="1">
      <c r="A363" s="18">
        <v>45934.0</v>
      </c>
      <c r="B363" s="13" t="s">
        <v>14</v>
      </c>
      <c r="C363" s="85" t="s">
        <v>360</v>
      </c>
      <c r="D363" s="73">
        <v>-95.7</v>
      </c>
      <c r="E363" s="21">
        <f t="shared" si="1"/>
        <v>20753.67</v>
      </c>
      <c r="F363" s="23"/>
      <c r="G363" s="21">
        <f t="shared" si="2"/>
        <v>505578</v>
      </c>
      <c r="H363" s="23"/>
      <c r="I363" s="21">
        <f t="shared" si="6"/>
        <v>1171.42</v>
      </c>
      <c r="J363" s="24"/>
      <c r="K363" s="21">
        <f t="shared" si="4"/>
        <v>367132.41</v>
      </c>
      <c r="L363" s="23"/>
      <c r="M363" s="21">
        <f t="shared" si="7"/>
        <v>957.15</v>
      </c>
    </row>
    <row r="364" ht="20.25" customHeight="1" outlineLevel="1">
      <c r="A364" s="12">
        <v>45936.0</v>
      </c>
      <c r="B364" s="13" t="s">
        <v>16</v>
      </c>
      <c r="C364" s="85" t="s">
        <v>361</v>
      </c>
      <c r="D364" s="20"/>
      <c r="E364" s="21">
        <f t="shared" si="1"/>
        <v>20753.67</v>
      </c>
      <c r="F364" s="27">
        <v>39.8</v>
      </c>
      <c r="G364" s="21">
        <f t="shared" si="2"/>
        <v>505617.8</v>
      </c>
      <c r="H364" s="23"/>
      <c r="I364" s="21">
        <f t="shared" si="6"/>
        <v>1171.42</v>
      </c>
      <c r="J364" s="23"/>
      <c r="K364" s="21">
        <f t="shared" si="4"/>
        <v>367132.41</v>
      </c>
      <c r="L364" s="23"/>
      <c r="M364" s="21">
        <f t="shared" si="7"/>
        <v>957.15</v>
      </c>
    </row>
    <row r="365" ht="20.25" customHeight="1" outlineLevel="1">
      <c r="A365" s="12">
        <v>45936.0</v>
      </c>
      <c r="B365" s="13" t="s">
        <v>14</v>
      </c>
      <c r="C365" s="85" t="s">
        <v>65</v>
      </c>
      <c r="D365" s="20"/>
      <c r="E365" s="21">
        <f t="shared" si="1"/>
        <v>20753.67</v>
      </c>
      <c r="F365" s="22">
        <v>-0.4</v>
      </c>
      <c r="G365" s="21">
        <f t="shared" si="2"/>
        <v>505617.4</v>
      </c>
      <c r="H365" s="23"/>
      <c r="I365" s="21">
        <f t="shared" si="6"/>
        <v>1171.42</v>
      </c>
      <c r="J365" s="23"/>
      <c r="K365" s="21">
        <f t="shared" si="4"/>
        <v>367132.41</v>
      </c>
      <c r="L365" s="23"/>
      <c r="M365" s="21">
        <f t="shared" si="7"/>
        <v>957.15</v>
      </c>
    </row>
    <row r="366" ht="20.25" customHeight="1" outlineLevel="1">
      <c r="A366" s="30">
        <v>45936.0</v>
      </c>
      <c r="B366" s="13" t="s">
        <v>14</v>
      </c>
      <c r="C366" s="85" t="s">
        <v>66</v>
      </c>
      <c r="D366" s="20"/>
      <c r="E366" s="21">
        <f t="shared" si="1"/>
        <v>20753.67</v>
      </c>
      <c r="F366" s="58">
        <v>-0.4</v>
      </c>
      <c r="G366" s="21">
        <f t="shared" si="2"/>
        <v>505617</v>
      </c>
      <c r="H366" s="23"/>
      <c r="I366" s="21">
        <f t="shared" si="6"/>
        <v>1171.42</v>
      </c>
      <c r="J366" s="23"/>
      <c r="K366" s="21">
        <f t="shared" si="4"/>
        <v>367132.41</v>
      </c>
      <c r="L366" s="23"/>
      <c r="M366" s="21">
        <f t="shared" si="7"/>
        <v>957.15</v>
      </c>
    </row>
    <row r="367" ht="20.25" customHeight="1" outlineLevel="1">
      <c r="A367" s="30">
        <v>45936.0</v>
      </c>
      <c r="B367" s="13" t="s">
        <v>14</v>
      </c>
      <c r="C367" s="85" t="s">
        <v>362</v>
      </c>
      <c r="D367" s="20"/>
      <c r="E367" s="21">
        <f t="shared" si="1"/>
        <v>20753.67</v>
      </c>
      <c r="F367" s="58">
        <v>-5.0</v>
      </c>
      <c r="G367" s="21">
        <f t="shared" si="2"/>
        <v>505612</v>
      </c>
      <c r="H367" s="23"/>
      <c r="I367" s="21">
        <f t="shared" si="6"/>
        <v>1171.42</v>
      </c>
      <c r="J367" s="23"/>
      <c r="K367" s="21">
        <f t="shared" si="4"/>
        <v>367132.41</v>
      </c>
      <c r="L367" s="23"/>
      <c r="M367" s="21">
        <f t="shared" si="7"/>
        <v>957.15</v>
      </c>
    </row>
    <row r="368" ht="20.25" customHeight="1" outlineLevel="1">
      <c r="A368" s="12">
        <v>45936.0</v>
      </c>
      <c r="B368" s="13" t="s">
        <v>14</v>
      </c>
      <c r="C368" s="85" t="s">
        <v>34</v>
      </c>
      <c r="D368" s="20"/>
      <c r="E368" s="21">
        <f t="shared" si="1"/>
        <v>20753.67</v>
      </c>
      <c r="F368" s="23"/>
      <c r="G368" s="21">
        <f t="shared" si="2"/>
        <v>505612</v>
      </c>
      <c r="H368" s="23"/>
      <c r="I368" s="21">
        <f t="shared" si="6"/>
        <v>1171.42</v>
      </c>
      <c r="J368" s="22">
        <v>-29.99</v>
      </c>
      <c r="K368" s="21">
        <f t="shared" si="4"/>
        <v>367102.42</v>
      </c>
      <c r="L368" s="23"/>
      <c r="M368" s="21">
        <f t="shared" si="7"/>
        <v>957.15</v>
      </c>
    </row>
    <row r="369" ht="20.25" customHeight="1" outlineLevel="1">
      <c r="A369" s="18">
        <v>45936.0</v>
      </c>
      <c r="B369" s="13" t="s">
        <v>16</v>
      </c>
      <c r="C369" s="118" t="s">
        <v>363</v>
      </c>
      <c r="D369" s="20"/>
      <c r="E369" s="21">
        <f t="shared" si="1"/>
        <v>20753.67</v>
      </c>
      <c r="F369" s="23"/>
      <c r="G369" s="21">
        <f t="shared" si="2"/>
        <v>505612</v>
      </c>
      <c r="H369" s="23"/>
      <c r="I369" s="21">
        <f t="shared" si="6"/>
        <v>1171.42</v>
      </c>
      <c r="J369" s="71">
        <v>395.0</v>
      </c>
      <c r="K369" s="21">
        <f t="shared" si="4"/>
        <v>367497.42</v>
      </c>
      <c r="L369" s="23"/>
      <c r="M369" s="21">
        <f t="shared" si="7"/>
        <v>957.15</v>
      </c>
    </row>
    <row r="370" ht="20.25" customHeight="1" outlineLevel="1">
      <c r="A370" s="18">
        <v>45936.0</v>
      </c>
      <c r="B370" s="46" t="s">
        <v>16</v>
      </c>
      <c r="C370" s="119" t="s">
        <v>364</v>
      </c>
      <c r="D370" s="20"/>
      <c r="E370" s="21">
        <f t="shared" si="1"/>
        <v>20753.67</v>
      </c>
      <c r="F370" s="23"/>
      <c r="G370" s="21">
        <f t="shared" si="2"/>
        <v>505612</v>
      </c>
      <c r="H370" s="23"/>
      <c r="I370" s="21">
        <f t="shared" si="6"/>
        <v>1171.42</v>
      </c>
      <c r="J370" s="71">
        <v>295.0</v>
      </c>
      <c r="K370" s="21">
        <f t="shared" si="4"/>
        <v>367792.42</v>
      </c>
      <c r="L370" s="23"/>
      <c r="M370" s="21">
        <f t="shared" si="7"/>
        <v>957.15</v>
      </c>
    </row>
    <row r="371" ht="20.25" customHeight="1" outlineLevel="1">
      <c r="A371" s="30">
        <v>45936.0</v>
      </c>
      <c r="B371" s="46" t="s">
        <v>16</v>
      </c>
      <c r="C371" s="119" t="s">
        <v>365</v>
      </c>
      <c r="D371" s="20"/>
      <c r="E371" s="21">
        <f t="shared" si="1"/>
        <v>20753.67</v>
      </c>
      <c r="F371" s="62"/>
      <c r="G371" s="21">
        <f t="shared" si="2"/>
        <v>505612</v>
      </c>
      <c r="H371" s="23"/>
      <c r="I371" s="21">
        <f t="shared" si="6"/>
        <v>1171.42</v>
      </c>
      <c r="J371" s="35">
        <v>395.0</v>
      </c>
      <c r="K371" s="21">
        <f t="shared" si="4"/>
        <v>368187.42</v>
      </c>
      <c r="L371" s="23"/>
      <c r="M371" s="21">
        <f t="shared" si="7"/>
        <v>957.15</v>
      </c>
    </row>
    <row r="372" ht="20.25" customHeight="1" outlineLevel="1">
      <c r="A372" s="18">
        <v>45936.0</v>
      </c>
      <c r="B372" s="46" t="s">
        <v>16</v>
      </c>
      <c r="C372" s="59" t="s">
        <v>366</v>
      </c>
      <c r="D372" s="20">
        <v>261.3</v>
      </c>
      <c r="E372" s="21">
        <f t="shared" si="1"/>
        <v>21014.97</v>
      </c>
      <c r="F372" s="23"/>
      <c r="G372" s="21">
        <f t="shared" si="2"/>
        <v>505612</v>
      </c>
      <c r="H372" s="23"/>
      <c r="I372" s="21">
        <f t="shared" si="6"/>
        <v>1171.42</v>
      </c>
      <c r="J372" s="24"/>
      <c r="K372" s="21">
        <f t="shared" si="4"/>
        <v>368187.42</v>
      </c>
      <c r="L372" s="23"/>
      <c r="M372" s="21">
        <f t="shared" si="7"/>
        <v>957.15</v>
      </c>
    </row>
    <row r="373" ht="20.25" customHeight="1" outlineLevel="1">
      <c r="A373" s="12">
        <v>45936.0</v>
      </c>
      <c r="B373" s="46" t="s">
        <v>12</v>
      </c>
      <c r="C373" s="59" t="s">
        <v>367</v>
      </c>
      <c r="D373" s="20"/>
      <c r="E373" s="21">
        <f t="shared" si="1"/>
        <v>21014.97</v>
      </c>
      <c r="F373" s="22">
        <v>-3294.0</v>
      </c>
      <c r="G373" s="21">
        <f t="shared" si="2"/>
        <v>502318</v>
      </c>
      <c r="H373" s="23"/>
      <c r="I373" s="21">
        <f t="shared" si="6"/>
        <v>1171.42</v>
      </c>
      <c r="J373" s="23"/>
      <c r="K373" s="21">
        <f t="shared" si="4"/>
        <v>368187.42</v>
      </c>
      <c r="L373" s="23"/>
      <c r="M373" s="21">
        <f t="shared" si="7"/>
        <v>957.15</v>
      </c>
    </row>
    <row r="374" ht="20.25" customHeight="1" outlineLevel="1">
      <c r="A374" s="12">
        <v>45936.0</v>
      </c>
      <c r="B374" s="46" t="s">
        <v>368</v>
      </c>
      <c r="C374" s="59" t="s">
        <v>369</v>
      </c>
      <c r="D374" s="20"/>
      <c r="E374" s="21">
        <f t="shared" si="1"/>
        <v>21014.97</v>
      </c>
      <c r="F374" s="22">
        <v>-8820.0</v>
      </c>
      <c r="G374" s="21">
        <f t="shared" si="2"/>
        <v>493498</v>
      </c>
      <c r="H374" s="23"/>
      <c r="I374" s="21">
        <f t="shared" si="6"/>
        <v>1171.42</v>
      </c>
      <c r="J374" s="23"/>
      <c r="K374" s="21">
        <f t="shared" si="4"/>
        <v>368187.42</v>
      </c>
      <c r="L374" s="23"/>
      <c r="M374" s="21">
        <f t="shared" si="7"/>
        <v>957.15</v>
      </c>
    </row>
    <row r="375" ht="20.25" customHeight="1" outlineLevel="1">
      <c r="A375" s="12">
        <v>45936.0</v>
      </c>
      <c r="B375" s="46" t="s">
        <v>368</v>
      </c>
      <c r="C375" s="59" t="s">
        <v>370</v>
      </c>
      <c r="D375" s="20"/>
      <c r="E375" s="21">
        <f t="shared" si="1"/>
        <v>21014.97</v>
      </c>
      <c r="F375" s="22">
        <v>-3685.0</v>
      </c>
      <c r="G375" s="21">
        <f t="shared" si="2"/>
        <v>489813</v>
      </c>
      <c r="H375" s="23"/>
      <c r="I375" s="21">
        <f t="shared" si="6"/>
        <v>1171.42</v>
      </c>
      <c r="J375" s="24"/>
      <c r="K375" s="21">
        <f t="shared" si="4"/>
        <v>368187.42</v>
      </c>
      <c r="L375" s="23"/>
      <c r="M375" s="21">
        <f t="shared" si="7"/>
        <v>957.15</v>
      </c>
    </row>
    <row r="376" ht="20.25" customHeight="1" outlineLevel="1">
      <c r="A376" s="18">
        <v>45936.0</v>
      </c>
      <c r="B376" s="46" t="s">
        <v>368</v>
      </c>
      <c r="C376" s="59" t="s">
        <v>371</v>
      </c>
      <c r="D376" s="20"/>
      <c r="E376" s="21">
        <f t="shared" si="1"/>
        <v>21014.97</v>
      </c>
      <c r="F376" s="22">
        <v>-2880.0</v>
      </c>
      <c r="G376" s="21">
        <f t="shared" si="2"/>
        <v>486933</v>
      </c>
      <c r="H376" s="23"/>
      <c r="I376" s="21">
        <f t="shared" si="6"/>
        <v>1171.42</v>
      </c>
      <c r="J376" s="24"/>
      <c r="K376" s="21">
        <f t="shared" si="4"/>
        <v>368187.42</v>
      </c>
      <c r="L376" s="23"/>
      <c r="M376" s="21">
        <f t="shared" si="7"/>
        <v>957.15</v>
      </c>
    </row>
    <row r="377" ht="20.25" customHeight="1" outlineLevel="1">
      <c r="A377" s="18">
        <v>45936.0</v>
      </c>
      <c r="B377" s="46" t="s">
        <v>368</v>
      </c>
      <c r="C377" s="59" t="s">
        <v>372</v>
      </c>
      <c r="D377" s="20"/>
      <c r="E377" s="21">
        <f t="shared" si="1"/>
        <v>21014.97</v>
      </c>
      <c r="F377" s="58">
        <v>-1430.0</v>
      </c>
      <c r="G377" s="21">
        <f t="shared" si="2"/>
        <v>485503</v>
      </c>
      <c r="H377" s="23"/>
      <c r="I377" s="21">
        <f t="shared" si="6"/>
        <v>1171.42</v>
      </c>
      <c r="J377" s="74"/>
      <c r="K377" s="21">
        <f t="shared" si="4"/>
        <v>368187.42</v>
      </c>
      <c r="L377" s="23"/>
      <c r="M377" s="21">
        <f t="shared" si="7"/>
        <v>957.15</v>
      </c>
    </row>
    <row r="378" ht="20.25" customHeight="1" outlineLevel="1">
      <c r="A378" s="18">
        <v>45936.0</v>
      </c>
      <c r="B378" s="46" t="s">
        <v>16</v>
      </c>
      <c r="C378" s="59" t="s">
        <v>373</v>
      </c>
      <c r="D378" s="20"/>
      <c r="E378" s="21">
        <f t="shared" si="1"/>
        <v>21014.97</v>
      </c>
      <c r="F378" s="27">
        <v>2892.65</v>
      </c>
      <c r="G378" s="21">
        <f t="shared" si="2"/>
        <v>488395.65</v>
      </c>
      <c r="H378" s="23"/>
      <c r="I378" s="21">
        <f t="shared" si="6"/>
        <v>1171.42</v>
      </c>
      <c r="J378" s="24"/>
      <c r="K378" s="21">
        <f t="shared" si="4"/>
        <v>368187.42</v>
      </c>
      <c r="L378" s="23"/>
      <c r="M378" s="21">
        <f t="shared" si="7"/>
        <v>957.15</v>
      </c>
    </row>
    <row r="379" ht="20.25" customHeight="1" outlineLevel="1">
      <c r="A379" s="18">
        <v>45936.0</v>
      </c>
      <c r="B379" s="46" t="s">
        <v>16</v>
      </c>
      <c r="C379" s="59" t="s">
        <v>374</v>
      </c>
      <c r="D379" s="20"/>
      <c r="E379" s="21">
        <f t="shared" si="1"/>
        <v>21014.97</v>
      </c>
      <c r="F379" s="26">
        <v>169.0</v>
      </c>
      <c r="G379" s="21">
        <f t="shared" si="2"/>
        <v>488564.65</v>
      </c>
      <c r="H379" s="23"/>
      <c r="I379" s="21">
        <f t="shared" si="6"/>
        <v>1171.42</v>
      </c>
      <c r="J379" s="74"/>
      <c r="K379" s="21">
        <f t="shared" si="4"/>
        <v>368187.42</v>
      </c>
      <c r="L379" s="23"/>
      <c r="M379" s="21">
        <f t="shared" si="7"/>
        <v>957.15</v>
      </c>
    </row>
    <row r="380" ht="20.25" customHeight="1" outlineLevel="1">
      <c r="A380" s="12">
        <v>45936.0</v>
      </c>
      <c r="B380" s="46" t="s">
        <v>16</v>
      </c>
      <c r="C380" s="59" t="s">
        <v>375</v>
      </c>
      <c r="D380" s="20"/>
      <c r="E380" s="21">
        <f t="shared" si="1"/>
        <v>21014.97</v>
      </c>
      <c r="F380" s="27">
        <v>620.0</v>
      </c>
      <c r="G380" s="21">
        <f t="shared" si="2"/>
        <v>489184.65</v>
      </c>
      <c r="H380" s="23"/>
      <c r="I380" s="21">
        <f t="shared" si="6"/>
        <v>1171.42</v>
      </c>
      <c r="J380" s="74"/>
      <c r="K380" s="21">
        <f t="shared" si="4"/>
        <v>368187.42</v>
      </c>
      <c r="L380" s="23"/>
      <c r="M380" s="21">
        <f t="shared" si="7"/>
        <v>957.15</v>
      </c>
    </row>
    <row r="381" ht="20.25" customHeight="1" outlineLevel="1">
      <c r="A381" s="12">
        <v>45936.0</v>
      </c>
      <c r="B381" s="46" t="s">
        <v>16</v>
      </c>
      <c r="C381" s="59" t="s">
        <v>376</v>
      </c>
      <c r="D381" s="20"/>
      <c r="E381" s="21">
        <f t="shared" si="1"/>
        <v>21014.97</v>
      </c>
      <c r="F381" s="27">
        <v>1385.0</v>
      </c>
      <c r="G381" s="21">
        <f t="shared" si="2"/>
        <v>490569.65</v>
      </c>
      <c r="H381" s="23"/>
      <c r="I381" s="21">
        <f t="shared" si="6"/>
        <v>1171.42</v>
      </c>
      <c r="J381" s="74"/>
      <c r="K381" s="21">
        <f t="shared" si="4"/>
        <v>368187.42</v>
      </c>
      <c r="L381" s="23"/>
      <c r="M381" s="21">
        <f t="shared" si="7"/>
        <v>957.15</v>
      </c>
    </row>
    <row r="382" ht="20.25" customHeight="1" outlineLevel="1">
      <c r="A382" s="12">
        <v>45936.0</v>
      </c>
      <c r="B382" s="46" t="s">
        <v>16</v>
      </c>
      <c r="C382" s="59" t="s">
        <v>377</v>
      </c>
      <c r="D382" s="20"/>
      <c r="E382" s="21">
        <f t="shared" si="1"/>
        <v>21014.97</v>
      </c>
      <c r="F382" s="26">
        <v>745.0</v>
      </c>
      <c r="G382" s="21">
        <f t="shared" si="2"/>
        <v>491314.65</v>
      </c>
      <c r="H382" s="23"/>
      <c r="I382" s="21">
        <f t="shared" si="6"/>
        <v>1171.42</v>
      </c>
      <c r="J382" s="24"/>
      <c r="K382" s="21">
        <f t="shared" si="4"/>
        <v>368187.42</v>
      </c>
      <c r="L382" s="23"/>
      <c r="M382" s="21">
        <f t="shared" si="7"/>
        <v>957.15</v>
      </c>
    </row>
    <row r="383" ht="20.25" customHeight="1" outlineLevel="1">
      <c r="A383" s="18">
        <v>45936.0</v>
      </c>
      <c r="B383" s="46" t="s">
        <v>16</v>
      </c>
      <c r="C383" s="59" t="s">
        <v>378</v>
      </c>
      <c r="D383" s="20"/>
      <c r="E383" s="21">
        <f t="shared" si="1"/>
        <v>21014.97</v>
      </c>
      <c r="F383" s="26">
        <v>205.0</v>
      </c>
      <c r="G383" s="21">
        <f t="shared" si="2"/>
        <v>491519.65</v>
      </c>
      <c r="H383" s="23"/>
      <c r="I383" s="21">
        <f t="shared" si="6"/>
        <v>1171.42</v>
      </c>
      <c r="J383" s="23"/>
      <c r="K383" s="21">
        <f t="shared" si="4"/>
        <v>368187.42</v>
      </c>
      <c r="L383" s="23"/>
      <c r="M383" s="21">
        <f t="shared" si="7"/>
        <v>957.15</v>
      </c>
    </row>
    <row r="384" ht="20.25" customHeight="1" outlineLevel="1">
      <c r="A384" s="12">
        <v>45936.0</v>
      </c>
      <c r="B384" s="46" t="s">
        <v>16</v>
      </c>
      <c r="C384" s="59" t="s">
        <v>379</v>
      </c>
      <c r="D384" s="20"/>
      <c r="E384" s="21">
        <f t="shared" si="1"/>
        <v>21014.97</v>
      </c>
      <c r="F384" s="27">
        <v>1035.0</v>
      </c>
      <c r="G384" s="21">
        <f t="shared" si="2"/>
        <v>492554.65</v>
      </c>
      <c r="H384" s="23"/>
      <c r="I384" s="21">
        <f t="shared" si="6"/>
        <v>1171.42</v>
      </c>
      <c r="J384" s="23"/>
      <c r="K384" s="21">
        <f t="shared" si="4"/>
        <v>368187.42</v>
      </c>
      <c r="L384" s="23"/>
      <c r="M384" s="21">
        <f t="shared" si="7"/>
        <v>957.15</v>
      </c>
    </row>
    <row r="385" ht="20.25" customHeight="1" outlineLevel="1">
      <c r="A385" s="12">
        <v>45936.0</v>
      </c>
      <c r="B385" s="46" t="s">
        <v>16</v>
      </c>
      <c r="C385" s="120" t="s">
        <v>380</v>
      </c>
      <c r="D385" s="20"/>
      <c r="E385" s="21">
        <f t="shared" si="1"/>
        <v>21014.97</v>
      </c>
      <c r="F385" s="27">
        <v>505.0</v>
      </c>
      <c r="G385" s="21">
        <f t="shared" si="2"/>
        <v>493059.65</v>
      </c>
      <c r="H385" s="23"/>
      <c r="I385" s="21">
        <f t="shared" si="6"/>
        <v>1171.42</v>
      </c>
      <c r="J385" s="23"/>
      <c r="K385" s="21">
        <f t="shared" si="4"/>
        <v>368187.42</v>
      </c>
      <c r="L385" s="23"/>
      <c r="M385" s="21">
        <f t="shared" si="7"/>
        <v>957.15</v>
      </c>
    </row>
    <row r="386" ht="20.25" customHeight="1" outlineLevel="1">
      <c r="A386" s="12">
        <v>45936.0</v>
      </c>
      <c r="B386" s="46" t="s">
        <v>16</v>
      </c>
      <c r="C386" s="55" t="s">
        <v>381</v>
      </c>
      <c r="D386" s="20"/>
      <c r="E386" s="21">
        <f t="shared" si="1"/>
        <v>21014.97</v>
      </c>
      <c r="F386" s="23"/>
      <c r="G386" s="21">
        <f t="shared" si="2"/>
        <v>493059.65</v>
      </c>
      <c r="H386" s="23"/>
      <c r="I386" s="21">
        <f t="shared" si="6"/>
        <v>1171.42</v>
      </c>
      <c r="J386" s="54">
        <v>335.0</v>
      </c>
      <c r="K386" s="21">
        <f t="shared" si="4"/>
        <v>368522.42</v>
      </c>
      <c r="L386" s="23"/>
      <c r="M386" s="21">
        <f t="shared" si="7"/>
        <v>957.15</v>
      </c>
    </row>
    <row r="387" ht="20.25" customHeight="1" outlineLevel="1">
      <c r="A387" s="18">
        <v>45936.0</v>
      </c>
      <c r="B387" s="13" t="s">
        <v>16</v>
      </c>
      <c r="C387" s="121" t="s">
        <v>382</v>
      </c>
      <c r="D387" s="20"/>
      <c r="E387" s="21">
        <f t="shared" si="1"/>
        <v>21014.97</v>
      </c>
      <c r="F387" s="23"/>
      <c r="G387" s="21">
        <f t="shared" si="2"/>
        <v>493059.65</v>
      </c>
      <c r="H387" s="23"/>
      <c r="I387" s="21">
        <f t="shared" si="6"/>
        <v>1171.42</v>
      </c>
      <c r="J387" s="54">
        <v>565.0</v>
      </c>
      <c r="K387" s="21">
        <f t="shared" si="4"/>
        <v>369087.42</v>
      </c>
      <c r="L387" s="23"/>
      <c r="M387" s="21">
        <f t="shared" si="7"/>
        <v>957.15</v>
      </c>
    </row>
    <row r="388" ht="20.25" customHeight="1" outlineLevel="1">
      <c r="A388" s="18">
        <v>45936.0</v>
      </c>
      <c r="B388" s="13" t="s">
        <v>16</v>
      </c>
      <c r="C388" s="87" t="s">
        <v>383</v>
      </c>
      <c r="D388" s="20"/>
      <c r="E388" s="21">
        <f t="shared" si="1"/>
        <v>21014.97</v>
      </c>
      <c r="F388" s="23"/>
      <c r="G388" s="21">
        <f t="shared" si="2"/>
        <v>493059.65</v>
      </c>
      <c r="H388" s="23"/>
      <c r="I388" s="21">
        <f t="shared" si="6"/>
        <v>1171.42</v>
      </c>
      <c r="J388" s="54">
        <v>1457.0</v>
      </c>
      <c r="K388" s="21">
        <f t="shared" si="4"/>
        <v>370544.42</v>
      </c>
      <c r="L388" s="23"/>
      <c r="M388" s="21">
        <f t="shared" si="7"/>
        <v>957.15</v>
      </c>
    </row>
    <row r="389" ht="20.25" customHeight="1" outlineLevel="1">
      <c r="A389" s="18">
        <v>45936.0</v>
      </c>
      <c r="B389" s="13" t="s">
        <v>16</v>
      </c>
      <c r="C389" s="87" t="s">
        <v>384</v>
      </c>
      <c r="D389" s="20"/>
      <c r="E389" s="21">
        <f t="shared" si="1"/>
        <v>21014.97</v>
      </c>
      <c r="F389" s="23"/>
      <c r="G389" s="21">
        <f t="shared" si="2"/>
        <v>493059.65</v>
      </c>
      <c r="H389" s="23"/>
      <c r="I389" s="21">
        <f t="shared" si="6"/>
        <v>1171.42</v>
      </c>
      <c r="J389" s="54">
        <v>926.5</v>
      </c>
      <c r="K389" s="21">
        <f t="shared" si="4"/>
        <v>371470.92</v>
      </c>
      <c r="L389" s="23"/>
      <c r="M389" s="21">
        <f t="shared" si="7"/>
        <v>957.15</v>
      </c>
    </row>
    <row r="390" ht="20.25" customHeight="1" outlineLevel="1">
      <c r="A390" s="18">
        <v>45937.0</v>
      </c>
      <c r="B390" s="13" t="s">
        <v>70</v>
      </c>
      <c r="C390" s="85" t="s">
        <v>385</v>
      </c>
      <c r="D390" s="20"/>
      <c r="E390" s="21">
        <f t="shared" si="1"/>
        <v>21014.97</v>
      </c>
      <c r="F390" s="22">
        <v>-21549.0</v>
      </c>
      <c r="G390" s="21">
        <f t="shared" si="2"/>
        <v>471510.65</v>
      </c>
      <c r="H390" s="23"/>
      <c r="I390" s="21">
        <f t="shared" si="6"/>
        <v>1171.42</v>
      </c>
      <c r="J390" s="24"/>
      <c r="K390" s="21">
        <f t="shared" si="4"/>
        <v>371470.92</v>
      </c>
      <c r="L390" s="23"/>
      <c r="M390" s="21">
        <f t="shared" si="7"/>
        <v>957.15</v>
      </c>
    </row>
    <row r="391" ht="20.25" customHeight="1" outlineLevel="1">
      <c r="A391" s="18">
        <v>45937.0</v>
      </c>
      <c r="B391" s="13" t="s">
        <v>16</v>
      </c>
      <c r="C391" s="85" t="s">
        <v>386</v>
      </c>
      <c r="D391" s="20"/>
      <c r="E391" s="21">
        <f t="shared" si="1"/>
        <v>21014.97</v>
      </c>
      <c r="F391" s="27">
        <v>3904.48</v>
      </c>
      <c r="G391" s="21">
        <f t="shared" si="2"/>
        <v>475415.13</v>
      </c>
      <c r="H391" s="23"/>
      <c r="I391" s="21">
        <f t="shared" si="6"/>
        <v>1171.42</v>
      </c>
      <c r="J391" s="24"/>
      <c r="K391" s="21">
        <f t="shared" si="4"/>
        <v>371470.92</v>
      </c>
      <c r="L391" s="23"/>
      <c r="M391" s="21">
        <f t="shared" si="7"/>
        <v>957.15</v>
      </c>
    </row>
    <row r="392" ht="20.25" customHeight="1" outlineLevel="1">
      <c r="A392" s="18">
        <v>45937.0</v>
      </c>
      <c r="B392" s="13" t="s">
        <v>16</v>
      </c>
      <c r="C392" s="85" t="s">
        <v>387</v>
      </c>
      <c r="D392" s="20"/>
      <c r="E392" s="21">
        <f t="shared" si="1"/>
        <v>21014.97</v>
      </c>
      <c r="F392" s="27">
        <v>3243.2</v>
      </c>
      <c r="G392" s="21">
        <f t="shared" si="2"/>
        <v>478658.33</v>
      </c>
      <c r="H392" s="23"/>
      <c r="I392" s="21">
        <f t="shared" si="6"/>
        <v>1171.42</v>
      </c>
      <c r="J392" s="24"/>
      <c r="K392" s="21">
        <f t="shared" si="4"/>
        <v>371470.92</v>
      </c>
      <c r="L392" s="23"/>
      <c r="M392" s="21">
        <f t="shared" si="7"/>
        <v>957.15</v>
      </c>
    </row>
    <row r="393" ht="20.25" customHeight="1" outlineLevel="1">
      <c r="A393" s="18">
        <v>45937.0</v>
      </c>
      <c r="B393" s="13" t="s">
        <v>16</v>
      </c>
      <c r="C393" s="85" t="s">
        <v>388</v>
      </c>
      <c r="D393" s="20"/>
      <c r="E393" s="21">
        <f t="shared" si="1"/>
        <v>21014.97</v>
      </c>
      <c r="F393" s="27">
        <v>1370.0</v>
      </c>
      <c r="G393" s="21">
        <f t="shared" si="2"/>
        <v>480028.33</v>
      </c>
      <c r="H393" s="23"/>
      <c r="I393" s="21">
        <f t="shared" si="6"/>
        <v>1171.42</v>
      </c>
      <c r="J393" s="23"/>
      <c r="K393" s="21">
        <f t="shared" si="4"/>
        <v>371470.92</v>
      </c>
      <c r="L393" s="23"/>
      <c r="M393" s="21">
        <f t="shared" si="7"/>
        <v>957.15</v>
      </c>
    </row>
    <row r="394" ht="20.25" customHeight="1" outlineLevel="1">
      <c r="A394" s="12">
        <v>45937.0</v>
      </c>
      <c r="B394" s="13" t="s">
        <v>16</v>
      </c>
      <c r="C394" s="85" t="s">
        <v>389</v>
      </c>
      <c r="D394" s="20"/>
      <c r="E394" s="21">
        <f t="shared" si="1"/>
        <v>21014.97</v>
      </c>
      <c r="F394" s="26">
        <v>227.0</v>
      </c>
      <c r="G394" s="21">
        <f t="shared" si="2"/>
        <v>480255.33</v>
      </c>
      <c r="H394" s="23"/>
      <c r="I394" s="21">
        <f t="shared" si="6"/>
        <v>1171.42</v>
      </c>
      <c r="J394" s="74"/>
      <c r="K394" s="21">
        <f t="shared" si="4"/>
        <v>371470.92</v>
      </c>
      <c r="L394" s="23"/>
      <c r="M394" s="21">
        <f t="shared" si="7"/>
        <v>957.15</v>
      </c>
    </row>
    <row r="395" ht="20.25" customHeight="1" outlineLevel="1">
      <c r="A395" s="12">
        <v>45937.0</v>
      </c>
      <c r="B395" s="13" t="s">
        <v>16</v>
      </c>
      <c r="C395" s="122" t="s">
        <v>390</v>
      </c>
      <c r="D395" s="20"/>
      <c r="E395" s="21">
        <f t="shared" si="1"/>
        <v>21014.97</v>
      </c>
      <c r="F395" s="51">
        <v>854.0</v>
      </c>
      <c r="G395" s="21">
        <f t="shared" si="2"/>
        <v>481109.33</v>
      </c>
      <c r="H395" s="23"/>
      <c r="I395" s="21">
        <f t="shared" si="6"/>
        <v>1171.42</v>
      </c>
      <c r="J395" s="74"/>
      <c r="K395" s="21">
        <f t="shared" si="4"/>
        <v>371470.92</v>
      </c>
      <c r="L395" s="23"/>
      <c r="M395" s="21">
        <f t="shared" si="7"/>
        <v>957.15</v>
      </c>
    </row>
    <row r="396" ht="20.25" customHeight="1" outlineLevel="1">
      <c r="A396" s="30">
        <v>45937.0</v>
      </c>
      <c r="B396" s="13" t="s">
        <v>16</v>
      </c>
      <c r="C396" s="86" t="s">
        <v>391</v>
      </c>
      <c r="D396" s="20"/>
      <c r="E396" s="21">
        <f t="shared" si="1"/>
        <v>21014.97</v>
      </c>
      <c r="F396" s="23"/>
      <c r="G396" s="21">
        <f t="shared" si="2"/>
        <v>481109.33</v>
      </c>
      <c r="H396" s="23"/>
      <c r="I396" s="21">
        <f t="shared" si="6"/>
        <v>1171.42</v>
      </c>
      <c r="J396" s="35">
        <v>395.0</v>
      </c>
      <c r="K396" s="21">
        <f t="shared" si="4"/>
        <v>371865.92</v>
      </c>
      <c r="L396" s="23"/>
      <c r="M396" s="21">
        <f t="shared" si="7"/>
        <v>957.15</v>
      </c>
    </row>
    <row r="397" ht="20.25" customHeight="1" outlineLevel="1">
      <c r="A397" s="18">
        <v>45937.0</v>
      </c>
      <c r="B397" s="13" t="s">
        <v>16</v>
      </c>
      <c r="C397" s="91" t="s">
        <v>392</v>
      </c>
      <c r="D397" s="20"/>
      <c r="E397" s="21">
        <f t="shared" si="1"/>
        <v>21014.97</v>
      </c>
      <c r="F397" s="23"/>
      <c r="G397" s="21">
        <f t="shared" si="2"/>
        <v>481109.33</v>
      </c>
      <c r="H397" s="23"/>
      <c r="I397" s="21">
        <f t="shared" si="6"/>
        <v>1171.42</v>
      </c>
      <c r="J397" s="35">
        <v>395.0</v>
      </c>
      <c r="K397" s="21">
        <f t="shared" si="4"/>
        <v>372260.92</v>
      </c>
      <c r="L397" s="23"/>
      <c r="M397" s="21">
        <f t="shared" si="7"/>
        <v>957.15</v>
      </c>
    </row>
    <row r="398" ht="20.25" customHeight="1" outlineLevel="1">
      <c r="A398" s="18">
        <v>45937.0</v>
      </c>
      <c r="B398" s="13" t="s">
        <v>16</v>
      </c>
      <c r="C398" s="86" t="s">
        <v>393</v>
      </c>
      <c r="D398" s="20"/>
      <c r="E398" s="21">
        <f t="shared" si="1"/>
        <v>21014.97</v>
      </c>
      <c r="F398" s="23"/>
      <c r="G398" s="21">
        <f t="shared" si="2"/>
        <v>481109.33</v>
      </c>
      <c r="H398" s="23"/>
      <c r="I398" s="21">
        <f t="shared" si="6"/>
        <v>1171.42</v>
      </c>
      <c r="J398" s="60">
        <v>395.0</v>
      </c>
      <c r="K398" s="21">
        <f t="shared" si="4"/>
        <v>372655.92</v>
      </c>
      <c r="L398" s="23"/>
      <c r="M398" s="21">
        <f t="shared" si="7"/>
        <v>957.15</v>
      </c>
    </row>
    <row r="399" ht="20.25" customHeight="1" outlineLevel="1">
      <c r="A399" s="12">
        <v>45937.0</v>
      </c>
      <c r="B399" s="13" t="s">
        <v>16</v>
      </c>
      <c r="C399" s="87" t="s">
        <v>394</v>
      </c>
      <c r="D399" s="20"/>
      <c r="E399" s="21">
        <f t="shared" si="1"/>
        <v>21014.97</v>
      </c>
      <c r="F399" s="23"/>
      <c r="G399" s="21">
        <f t="shared" si="2"/>
        <v>481109.33</v>
      </c>
      <c r="H399" s="23"/>
      <c r="I399" s="21">
        <f t="shared" si="6"/>
        <v>1171.42</v>
      </c>
      <c r="J399" s="54">
        <v>685.0</v>
      </c>
      <c r="K399" s="21">
        <f t="shared" si="4"/>
        <v>373340.92</v>
      </c>
      <c r="L399" s="23"/>
      <c r="M399" s="21">
        <f t="shared" si="7"/>
        <v>957.15</v>
      </c>
    </row>
    <row r="400" ht="20.25" customHeight="1" outlineLevel="1">
      <c r="A400" s="12">
        <v>45937.0</v>
      </c>
      <c r="B400" s="13" t="s">
        <v>16</v>
      </c>
      <c r="C400" s="87" t="s">
        <v>395</v>
      </c>
      <c r="D400" s="20"/>
      <c r="E400" s="21">
        <f t="shared" si="1"/>
        <v>21014.97</v>
      </c>
      <c r="F400" s="23"/>
      <c r="G400" s="21">
        <f t="shared" si="2"/>
        <v>481109.33</v>
      </c>
      <c r="H400" s="23"/>
      <c r="I400" s="21">
        <f t="shared" si="6"/>
        <v>1171.42</v>
      </c>
      <c r="J400" s="54">
        <v>1914.0</v>
      </c>
      <c r="K400" s="21">
        <f t="shared" si="4"/>
        <v>375254.92</v>
      </c>
      <c r="L400" s="23"/>
      <c r="M400" s="21">
        <f t="shared" si="7"/>
        <v>957.15</v>
      </c>
    </row>
    <row r="401" ht="20.25" customHeight="1" outlineLevel="1">
      <c r="A401" s="12">
        <v>45937.0</v>
      </c>
      <c r="B401" s="13" t="s">
        <v>16</v>
      </c>
      <c r="C401" s="85" t="s">
        <v>396</v>
      </c>
      <c r="D401" s="20">
        <v>566.0</v>
      </c>
      <c r="E401" s="21">
        <f t="shared" si="1"/>
        <v>21580.97</v>
      </c>
      <c r="F401" s="23"/>
      <c r="G401" s="21">
        <f t="shared" si="2"/>
        <v>481109.33</v>
      </c>
      <c r="H401" s="23"/>
      <c r="I401" s="21">
        <f t="shared" si="6"/>
        <v>1171.42</v>
      </c>
      <c r="J401" s="92"/>
      <c r="K401" s="21">
        <f t="shared" si="4"/>
        <v>375254.92</v>
      </c>
      <c r="L401" s="23"/>
      <c r="M401" s="21">
        <f t="shared" si="7"/>
        <v>957.15</v>
      </c>
    </row>
    <row r="402" ht="20.25" customHeight="1" outlineLevel="1">
      <c r="A402" s="12">
        <v>45937.0</v>
      </c>
      <c r="B402" s="13" t="s">
        <v>16</v>
      </c>
      <c r="C402" s="86" t="s">
        <v>397</v>
      </c>
      <c r="D402" s="20"/>
      <c r="E402" s="21">
        <f t="shared" si="1"/>
        <v>21580.97</v>
      </c>
      <c r="F402" s="23"/>
      <c r="G402" s="21">
        <f t="shared" si="2"/>
        <v>481109.33</v>
      </c>
      <c r="H402" s="23"/>
      <c r="I402" s="21">
        <f t="shared" si="6"/>
        <v>1171.42</v>
      </c>
      <c r="J402" s="60">
        <v>665.0</v>
      </c>
      <c r="K402" s="21">
        <f t="shared" si="4"/>
        <v>375919.92</v>
      </c>
      <c r="L402" s="23"/>
      <c r="M402" s="21">
        <f t="shared" si="7"/>
        <v>957.15</v>
      </c>
    </row>
    <row r="403" ht="20.25" customHeight="1" outlineLevel="1">
      <c r="A403" s="18">
        <v>45938.0</v>
      </c>
      <c r="B403" s="13" t="s">
        <v>16</v>
      </c>
      <c r="C403" s="85" t="s">
        <v>398</v>
      </c>
      <c r="D403" s="20"/>
      <c r="E403" s="21">
        <f t="shared" si="1"/>
        <v>21580.97</v>
      </c>
      <c r="F403" s="27">
        <v>36.8</v>
      </c>
      <c r="G403" s="21">
        <f t="shared" si="2"/>
        <v>481146.13</v>
      </c>
      <c r="H403" s="23"/>
      <c r="I403" s="21">
        <f t="shared" si="6"/>
        <v>1171.42</v>
      </c>
      <c r="J403" s="24"/>
      <c r="K403" s="21">
        <f t="shared" si="4"/>
        <v>375919.92</v>
      </c>
      <c r="L403" s="23"/>
      <c r="M403" s="21">
        <f t="shared" si="7"/>
        <v>957.15</v>
      </c>
    </row>
    <row r="404" ht="20.25" customHeight="1" outlineLevel="1">
      <c r="A404" s="18">
        <v>45938.0</v>
      </c>
      <c r="B404" s="13" t="s">
        <v>16</v>
      </c>
      <c r="C404" s="86" t="s">
        <v>399</v>
      </c>
      <c r="D404" s="20"/>
      <c r="E404" s="21">
        <f t="shared" si="1"/>
        <v>21580.97</v>
      </c>
      <c r="F404" s="23"/>
      <c r="G404" s="21">
        <f t="shared" si="2"/>
        <v>481146.13</v>
      </c>
      <c r="H404" s="23"/>
      <c r="I404" s="21">
        <f t="shared" si="6"/>
        <v>1171.42</v>
      </c>
      <c r="J404" s="35">
        <v>395.0</v>
      </c>
      <c r="K404" s="21">
        <f t="shared" si="4"/>
        <v>376314.92</v>
      </c>
      <c r="L404" s="23"/>
      <c r="M404" s="21">
        <f t="shared" si="7"/>
        <v>957.15</v>
      </c>
    </row>
    <row r="405" ht="20.25" customHeight="1" outlineLevel="1">
      <c r="A405" s="18">
        <v>45938.0</v>
      </c>
      <c r="B405" s="13" t="s">
        <v>16</v>
      </c>
      <c r="C405" s="86" t="s">
        <v>400</v>
      </c>
      <c r="D405" s="20"/>
      <c r="E405" s="21">
        <f t="shared" si="1"/>
        <v>21580.97</v>
      </c>
      <c r="F405" s="23"/>
      <c r="G405" s="21">
        <f t="shared" si="2"/>
        <v>481146.13</v>
      </c>
      <c r="H405" s="23"/>
      <c r="I405" s="21">
        <f t="shared" si="6"/>
        <v>1171.42</v>
      </c>
      <c r="J405" s="35">
        <v>395.0</v>
      </c>
      <c r="K405" s="21">
        <f t="shared" si="4"/>
        <v>376709.92</v>
      </c>
      <c r="L405" s="23"/>
      <c r="M405" s="21">
        <f t="shared" si="7"/>
        <v>957.15</v>
      </c>
    </row>
    <row r="406" ht="20.25" customHeight="1" outlineLevel="1">
      <c r="A406" s="18">
        <v>45938.0</v>
      </c>
      <c r="B406" s="13" t="s">
        <v>16</v>
      </c>
      <c r="C406" s="100" t="s">
        <v>401</v>
      </c>
      <c r="D406" s="20"/>
      <c r="E406" s="21">
        <f t="shared" si="1"/>
        <v>21580.97</v>
      </c>
      <c r="F406" s="23"/>
      <c r="G406" s="21">
        <f t="shared" si="2"/>
        <v>481146.13</v>
      </c>
      <c r="H406" s="23"/>
      <c r="I406" s="21">
        <f t="shared" si="6"/>
        <v>1171.42</v>
      </c>
      <c r="J406" s="35">
        <v>415.0</v>
      </c>
      <c r="K406" s="21">
        <f t="shared" si="4"/>
        <v>377124.92</v>
      </c>
      <c r="L406" s="23"/>
      <c r="M406" s="21">
        <f t="shared" si="7"/>
        <v>957.15</v>
      </c>
    </row>
    <row r="407" ht="20.25" customHeight="1" outlineLevel="1">
      <c r="A407" s="18">
        <v>45938.0</v>
      </c>
      <c r="B407" s="13" t="s">
        <v>16</v>
      </c>
      <c r="C407" s="99" t="s">
        <v>402</v>
      </c>
      <c r="D407" s="20">
        <v>735.0</v>
      </c>
      <c r="E407" s="21">
        <f t="shared" si="1"/>
        <v>22315.97</v>
      </c>
      <c r="F407" s="62"/>
      <c r="G407" s="21">
        <f t="shared" si="2"/>
        <v>481146.13</v>
      </c>
      <c r="H407" s="23"/>
      <c r="I407" s="21">
        <f t="shared" si="6"/>
        <v>1171.42</v>
      </c>
      <c r="J407" s="74"/>
      <c r="K407" s="21">
        <f t="shared" si="4"/>
        <v>377124.92</v>
      </c>
      <c r="L407" s="23"/>
      <c r="M407" s="21">
        <f t="shared" si="7"/>
        <v>957.15</v>
      </c>
    </row>
    <row r="408" ht="20.25" customHeight="1" outlineLevel="1">
      <c r="A408" s="18">
        <v>45938.0</v>
      </c>
      <c r="B408" s="13" t="s">
        <v>368</v>
      </c>
      <c r="C408" s="99" t="s">
        <v>403</v>
      </c>
      <c r="D408" s="20"/>
      <c r="E408" s="21">
        <f t="shared" si="1"/>
        <v>22315.97</v>
      </c>
      <c r="F408" s="22">
        <v>-5512.0</v>
      </c>
      <c r="G408" s="21">
        <f t="shared" si="2"/>
        <v>475634.13</v>
      </c>
      <c r="H408" s="23"/>
      <c r="I408" s="21">
        <f t="shared" si="6"/>
        <v>1171.42</v>
      </c>
      <c r="J408" s="24"/>
      <c r="K408" s="21">
        <f t="shared" si="4"/>
        <v>377124.92</v>
      </c>
      <c r="L408" s="23"/>
      <c r="M408" s="21">
        <f t="shared" si="7"/>
        <v>957.15</v>
      </c>
    </row>
    <row r="409" ht="20.25" customHeight="1" outlineLevel="1">
      <c r="A409" s="30">
        <v>45938.0</v>
      </c>
      <c r="B409" s="13" t="s">
        <v>12</v>
      </c>
      <c r="C409" s="99" t="s">
        <v>404</v>
      </c>
      <c r="D409" s="20"/>
      <c r="E409" s="21">
        <f t="shared" si="1"/>
        <v>22315.97</v>
      </c>
      <c r="F409" s="58">
        <v>-3328.0</v>
      </c>
      <c r="G409" s="21">
        <f t="shared" si="2"/>
        <v>472306.13</v>
      </c>
      <c r="H409" s="23"/>
      <c r="I409" s="21">
        <f t="shared" si="6"/>
        <v>1171.42</v>
      </c>
      <c r="J409" s="74"/>
      <c r="K409" s="21">
        <f t="shared" si="4"/>
        <v>377124.92</v>
      </c>
      <c r="L409" s="23"/>
      <c r="M409" s="21">
        <f t="shared" si="7"/>
        <v>957.15</v>
      </c>
    </row>
    <row r="410" ht="20.25" customHeight="1" outlineLevel="1">
      <c r="A410" s="30">
        <v>45938.0</v>
      </c>
      <c r="B410" s="13" t="s">
        <v>12</v>
      </c>
      <c r="C410" s="99" t="s">
        <v>405</v>
      </c>
      <c r="D410" s="20"/>
      <c r="E410" s="21">
        <f t="shared" si="1"/>
        <v>22315.97</v>
      </c>
      <c r="F410" s="58">
        <v>-732.0</v>
      </c>
      <c r="G410" s="21">
        <f t="shared" si="2"/>
        <v>471574.13</v>
      </c>
      <c r="H410" s="23"/>
      <c r="I410" s="21">
        <f t="shared" si="6"/>
        <v>1171.42</v>
      </c>
      <c r="J410" s="23"/>
      <c r="K410" s="21">
        <f t="shared" si="4"/>
        <v>377124.92</v>
      </c>
      <c r="L410" s="23"/>
      <c r="M410" s="21">
        <f t="shared" si="7"/>
        <v>957.15</v>
      </c>
    </row>
    <row r="411" ht="20.25" customHeight="1" outlineLevel="1">
      <c r="A411" s="12">
        <v>45938.0</v>
      </c>
      <c r="B411" s="13" t="s">
        <v>368</v>
      </c>
      <c r="C411" s="99" t="s">
        <v>406</v>
      </c>
      <c r="D411" s="20"/>
      <c r="E411" s="21">
        <f t="shared" si="1"/>
        <v>22315.97</v>
      </c>
      <c r="F411" s="22">
        <v>-6425.0</v>
      </c>
      <c r="G411" s="21">
        <f t="shared" si="2"/>
        <v>465149.13</v>
      </c>
      <c r="H411" s="23"/>
      <c r="I411" s="21">
        <f t="shared" si="6"/>
        <v>1171.42</v>
      </c>
      <c r="J411" s="74"/>
      <c r="K411" s="21">
        <f t="shared" si="4"/>
        <v>377124.92</v>
      </c>
      <c r="L411" s="23"/>
      <c r="M411" s="21">
        <f t="shared" si="7"/>
        <v>957.15</v>
      </c>
    </row>
    <row r="412" ht="20.25" customHeight="1" outlineLevel="1">
      <c r="A412" s="18">
        <v>45938.0</v>
      </c>
      <c r="B412" s="13" t="s">
        <v>14</v>
      </c>
      <c r="C412" s="99" t="s">
        <v>407</v>
      </c>
      <c r="D412" s="20"/>
      <c r="E412" s="21">
        <f t="shared" si="1"/>
        <v>22315.97</v>
      </c>
      <c r="F412" s="22">
        <v>-415.0</v>
      </c>
      <c r="G412" s="21">
        <f t="shared" si="2"/>
        <v>464734.13</v>
      </c>
      <c r="H412" s="23"/>
      <c r="I412" s="21">
        <f t="shared" si="6"/>
        <v>1171.42</v>
      </c>
      <c r="J412" s="24"/>
      <c r="K412" s="21">
        <f t="shared" si="4"/>
        <v>377124.92</v>
      </c>
      <c r="L412" s="23"/>
      <c r="M412" s="21">
        <f t="shared" si="7"/>
        <v>957.15</v>
      </c>
    </row>
    <row r="413" ht="20.25" customHeight="1" outlineLevel="1">
      <c r="A413" s="18">
        <v>45938.0</v>
      </c>
      <c r="B413" s="13" t="s">
        <v>16</v>
      </c>
      <c r="C413" s="99" t="s">
        <v>408</v>
      </c>
      <c r="D413" s="20"/>
      <c r="E413" s="21">
        <f t="shared" si="1"/>
        <v>22315.97</v>
      </c>
      <c r="F413" s="27">
        <v>3422.35</v>
      </c>
      <c r="G413" s="21">
        <f t="shared" si="2"/>
        <v>468156.48</v>
      </c>
      <c r="H413" s="23"/>
      <c r="I413" s="21">
        <f t="shared" si="6"/>
        <v>1171.42</v>
      </c>
      <c r="J413" s="24"/>
      <c r="K413" s="21">
        <f t="shared" si="4"/>
        <v>377124.92</v>
      </c>
      <c r="L413" s="23"/>
      <c r="M413" s="21">
        <f t="shared" si="7"/>
        <v>957.15</v>
      </c>
    </row>
    <row r="414" ht="20.25" customHeight="1" outlineLevel="1">
      <c r="A414" s="18">
        <v>45938.0</v>
      </c>
      <c r="B414" s="13" t="s">
        <v>16</v>
      </c>
      <c r="C414" s="99" t="s">
        <v>409</v>
      </c>
      <c r="D414" s="20"/>
      <c r="E414" s="21">
        <f t="shared" si="1"/>
        <v>22315.97</v>
      </c>
      <c r="F414" s="26">
        <v>339.0</v>
      </c>
      <c r="G414" s="21">
        <f t="shared" si="2"/>
        <v>468495.48</v>
      </c>
      <c r="H414" s="23"/>
      <c r="I414" s="21">
        <f t="shared" si="6"/>
        <v>1171.42</v>
      </c>
      <c r="J414" s="24"/>
      <c r="K414" s="21">
        <f t="shared" si="4"/>
        <v>377124.92</v>
      </c>
      <c r="L414" s="23"/>
      <c r="M414" s="21">
        <f t="shared" si="7"/>
        <v>957.15</v>
      </c>
    </row>
    <row r="415" ht="20.25" customHeight="1" outlineLevel="1">
      <c r="A415" s="18">
        <v>45938.0</v>
      </c>
      <c r="B415" s="13" t="s">
        <v>16</v>
      </c>
      <c r="C415" s="99" t="s">
        <v>410</v>
      </c>
      <c r="D415" s="20"/>
      <c r="E415" s="21">
        <f t="shared" si="1"/>
        <v>22315.97</v>
      </c>
      <c r="F415" s="27">
        <v>3666.0</v>
      </c>
      <c r="G415" s="21">
        <f t="shared" si="2"/>
        <v>472161.48</v>
      </c>
      <c r="H415" s="23"/>
      <c r="I415" s="21">
        <f t="shared" si="6"/>
        <v>1171.42</v>
      </c>
      <c r="J415" s="24"/>
      <c r="K415" s="21">
        <f t="shared" si="4"/>
        <v>377124.92</v>
      </c>
      <c r="L415" s="23"/>
      <c r="M415" s="21">
        <f t="shared" si="7"/>
        <v>957.15</v>
      </c>
    </row>
    <row r="416" ht="20.25" customHeight="1" outlineLevel="1">
      <c r="A416" s="18">
        <v>45938.0</v>
      </c>
      <c r="B416" s="13" t="s">
        <v>16</v>
      </c>
      <c r="C416" s="99" t="s">
        <v>411</v>
      </c>
      <c r="D416" s="20"/>
      <c r="E416" s="21">
        <f t="shared" si="1"/>
        <v>22315.97</v>
      </c>
      <c r="F416" s="27">
        <v>835.0</v>
      </c>
      <c r="G416" s="21">
        <f t="shared" si="2"/>
        <v>472996.48</v>
      </c>
      <c r="H416" s="23"/>
      <c r="I416" s="21">
        <f t="shared" si="6"/>
        <v>1171.42</v>
      </c>
      <c r="J416" s="24"/>
      <c r="K416" s="21">
        <f t="shared" si="4"/>
        <v>377124.92</v>
      </c>
      <c r="L416" s="23"/>
      <c r="M416" s="21">
        <f t="shared" si="7"/>
        <v>957.15</v>
      </c>
    </row>
    <row r="417" ht="20.25" customHeight="1" outlineLevel="1">
      <c r="A417" s="18">
        <v>45938.0</v>
      </c>
      <c r="B417" s="13" t="s">
        <v>16</v>
      </c>
      <c r="C417" s="123" t="s">
        <v>412</v>
      </c>
      <c r="D417" s="20"/>
      <c r="E417" s="21">
        <f t="shared" si="1"/>
        <v>22315.97</v>
      </c>
      <c r="F417" s="23"/>
      <c r="G417" s="21">
        <f t="shared" si="2"/>
        <v>472996.48</v>
      </c>
      <c r="H417" s="23"/>
      <c r="I417" s="21">
        <f t="shared" si="6"/>
        <v>1171.42</v>
      </c>
      <c r="J417" s="54">
        <v>850.0</v>
      </c>
      <c r="K417" s="21">
        <f t="shared" si="4"/>
        <v>377974.92</v>
      </c>
      <c r="L417" s="23"/>
      <c r="M417" s="21">
        <f t="shared" si="7"/>
        <v>957.15</v>
      </c>
    </row>
    <row r="418" ht="20.25" customHeight="1" outlineLevel="1">
      <c r="A418" s="12">
        <v>45938.0</v>
      </c>
      <c r="B418" s="13" t="s">
        <v>12</v>
      </c>
      <c r="C418" s="96" t="s">
        <v>413</v>
      </c>
      <c r="D418" s="20"/>
      <c r="E418" s="21">
        <f t="shared" si="1"/>
        <v>22315.97</v>
      </c>
      <c r="F418" s="23"/>
      <c r="G418" s="21">
        <f t="shared" si="2"/>
        <v>472996.48</v>
      </c>
      <c r="H418" s="22">
        <v>-200.0</v>
      </c>
      <c r="I418" s="21">
        <f t="shared" si="6"/>
        <v>971.42</v>
      </c>
      <c r="J418" s="23"/>
      <c r="K418" s="21">
        <f t="shared" si="4"/>
        <v>377974.92</v>
      </c>
      <c r="L418" s="23"/>
      <c r="M418" s="21">
        <f t="shared" si="7"/>
        <v>957.15</v>
      </c>
    </row>
    <row r="419" ht="20.25" customHeight="1" outlineLevel="1">
      <c r="A419" s="18">
        <v>45939.0</v>
      </c>
      <c r="B419" s="13" t="s">
        <v>16</v>
      </c>
      <c r="C419" s="96" t="s">
        <v>414</v>
      </c>
      <c r="D419" s="20">
        <v>1627.0</v>
      </c>
      <c r="E419" s="21">
        <f t="shared" si="1"/>
        <v>23942.97</v>
      </c>
      <c r="F419" s="23"/>
      <c r="G419" s="21">
        <f t="shared" si="2"/>
        <v>472996.48</v>
      </c>
      <c r="H419" s="23"/>
      <c r="I419" s="21">
        <f t="shared" si="6"/>
        <v>971.42</v>
      </c>
      <c r="J419" s="74"/>
      <c r="K419" s="21">
        <f t="shared" si="4"/>
        <v>377974.92</v>
      </c>
      <c r="L419" s="23"/>
      <c r="M419" s="21">
        <f t="shared" si="7"/>
        <v>957.15</v>
      </c>
    </row>
    <row r="420" ht="20.25" customHeight="1" outlineLevel="1">
      <c r="A420" s="18">
        <v>45939.0</v>
      </c>
      <c r="B420" s="13" t="s">
        <v>12</v>
      </c>
      <c r="C420" s="96" t="s">
        <v>415</v>
      </c>
      <c r="D420" s="20"/>
      <c r="E420" s="21">
        <f t="shared" si="1"/>
        <v>23942.97</v>
      </c>
      <c r="F420" s="58">
        <v>-7764.7</v>
      </c>
      <c r="G420" s="21">
        <f t="shared" si="2"/>
        <v>465231.78</v>
      </c>
      <c r="H420" s="23"/>
      <c r="I420" s="21">
        <f t="shared" si="6"/>
        <v>971.42</v>
      </c>
      <c r="J420" s="74"/>
      <c r="K420" s="21">
        <f t="shared" si="4"/>
        <v>377974.92</v>
      </c>
      <c r="L420" s="23"/>
      <c r="M420" s="21">
        <f t="shared" si="7"/>
        <v>957.15</v>
      </c>
    </row>
    <row r="421" ht="20.25" customHeight="1" outlineLevel="1">
      <c r="A421" s="12">
        <v>45939.0</v>
      </c>
      <c r="B421" s="13" t="s">
        <v>368</v>
      </c>
      <c r="C421" s="124" t="s">
        <v>416</v>
      </c>
      <c r="D421" s="20"/>
      <c r="E421" s="21">
        <f t="shared" si="1"/>
        <v>23942.97</v>
      </c>
      <c r="F421" s="22">
        <v>-388.0</v>
      </c>
      <c r="G421" s="21">
        <f t="shared" si="2"/>
        <v>464843.78</v>
      </c>
      <c r="H421" s="23"/>
      <c r="I421" s="21">
        <f t="shared" si="6"/>
        <v>971.42</v>
      </c>
      <c r="J421" s="74"/>
      <c r="K421" s="21">
        <f t="shared" si="4"/>
        <v>377974.92</v>
      </c>
      <c r="L421" s="23"/>
      <c r="M421" s="21">
        <f t="shared" si="7"/>
        <v>957.15</v>
      </c>
    </row>
    <row r="422" ht="20.25" customHeight="1" outlineLevel="1">
      <c r="A422" s="12">
        <v>45939.0</v>
      </c>
      <c r="B422" s="13" t="s">
        <v>12</v>
      </c>
      <c r="C422" s="125" t="s">
        <v>417</v>
      </c>
      <c r="D422" s="20"/>
      <c r="E422" s="21">
        <f t="shared" si="1"/>
        <v>23942.97</v>
      </c>
      <c r="F422" s="22">
        <v>-1647.0</v>
      </c>
      <c r="G422" s="21">
        <f t="shared" si="2"/>
        <v>463196.78</v>
      </c>
      <c r="H422" s="23"/>
      <c r="I422" s="21">
        <f t="shared" si="6"/>
        <v>971.42</v>
      </c>
      <c r="J422" s="23"/>
      <c r="K422" s="21">
        <f t="shared" si="4"/>
        <v>377974.92</v>
      </c>
      <c r="L422" s="23"/>
      <c r="M422" s="21">
        <f t="shared" si="7"/>
        <v>957.15</v>
      </c>
    </row>
    <row r="423" ht="20.25" customHeight="1" outlineLevel="1">
      <c r="A423" s="12">
        <v>45939.0</v>
      </c>
      <c r="B423" s="13" t="s">
        <v>179</v>
      </c>
      <c r="C423" s="99" t="s">
        <v>418</v>
      </c>
      <c r="D423" s="20"/>
      <c r="E423" s="21">
        <f t="shared" si="1"/>
        <v>23942.97</v>
      </c>
      <c r="F423" s="22">
        <v>-2000.0</v>
      </c>
      <c r="G423" s="21">
        <f t="shared" si="2"/>
        <v>461196.78</v>
      </c>
      <c r="H423" s="23"/>
      <c r="I423" s="21">
        <f t="shared" si="6"/>
        <v>971.42</v>
      </c>
      <c r="J423" s="23"/>
      <c r="K423" s="21">
        <f t="shared" si="4"/>
        <v>377974.92</v>
      </c>
      <c r="L423" s="23"/>
      <c r="M423" s="21">
        <f t="shared" si="7"/>
        <v>957.15</v>
      </c>
    </row>
    <row r="424" ht="20.25" customHeight="1" outlineLevel="1">
      <c r="A424" s="30">
        <v>45939.0</v>
      </c>
      <c r="B424" s="13" t="s">
        <v>179</v>
      </c>
      <c r="C424" s="126" t="s">
        <v>419</v>
      </c>
      <c r="D424" s="20"/>
      <c r="E424" s="21">
        <f t="shared" si="1"/>
        <v>23942.97</v>
      </c>
      <c r="F424" s="58">
        <v>-2000.0</v>
      </c>
      <c r="G424" s="21">
        <f t="shared" si="2"/>
        <v>459196.78</v>
      </c>
      <c r="H424" s="23"/>
      <c r="I424" s="21">
        <f t="shared" si="6"/>
        <v>971.42</v>
      </c>
      <c r="J424" s="23"/>
      <c r="K424" s="21">
        <f t="shared" si="4"/>
        <v>377974.92</v>
      </c>
      <c r="L424" s="23"/>
      <c r="M424" s="21">
        <f t="shared" si="7"/>
        <v>957.15</v>
      </c>
    </row>
    <row r="425" ht="20.25" customHeight="1" outlineLevel="1">
      <c r="A425" s="12">
        <v>45939.0</v>
      </c>
      <c r="B425" s="13" t="s">
        <v>16</v>
      </c>
      <c r="C425" s="114" t="s">
        <v>420</v>
      </c>
      <c r="D425" s="20"/>
      <c r="E425" s="21">
        <f t="shared" si="1"/>
        <v>23942.97</v>
      </c>
      <c r="F425" s="35">
        <v>1315.0</v>
      </c>
      <c r="G425" s="21">
        <f t="shared" si="2"/>
        <v>460511.78</v>
      </c>
      <c r="H425" s="23"/>
      <c r="I425" s="21">
        <f t="shared" si="6"/>
        <v>971.42</v>
      </c>
      <c r="J425" s="23"/>
      <c r="K425" s="21">
        <f t="shared" si="4"/>
        <v>377974.92</v>
      </c>
      <c r="L425" s="23"/>
      <c r="M425" s="21">
        <f t="shared" si="7"/>
        <v>957.15</v>
      </c>
    </row>
    <row r="426" ht="20.25" customHeight="1" outlineLevel="1">
      <c r="A426" s="18">
        <v>45939.0</v>
      </c>
      <c r="B426" s="13" t="s">
        <v>16</v>
      </c>
      <c r="C426" s="85" t="s">
        <v>421</v>
      </c>
      <c r="D426" s="20"/>
      <c r="E426" s="21">
        <f t="shared" si="1"/>
        <v>23942.97</v>
      </c>
      <c r="F426" s="27">
        <v>1319.0</v>
      </c>
      <c r="G426" s="21">
        <f t="shared" si="2"/>
        <v>461830.78</v>
      </c>
      <c r="H426" s="23"/>
      <c r="I426" s="21">
        <f t="shared" si="6"/>
        <v>971.42</v>
      </c>
      <c r="J426" s="24"/>
      <c r="K426" s="21">
        <f t="shared" si="4"/>
        <v>377974.92</v>
      </c>
      <c r="L426" s="23"/>
      <c r="M426" s="21">
        <f t="shared" si="7"/>
        <v>957.15</v>
      </c>
    </row>
    <row r="427" ht="20.25" customHeight="1" outlineLevel="1">
      <c r="A427" s="12">
        <v>45939.0</v>
      </c>
      <c r="B427" s="13" t="s">
        <v>16</v>
      </c>
      <c r="C427" s="83" t="s">
        <v>422</v>
      </c>
      <c r="D427" s="20"/>
      <c r="E427" s="21">
        <f t="shared" si="1"/>
        <v>23942.97</v>
      </c>
      <c r="F427" s="35">
        <v>2225.0</v>
      </c>
      <c r="G427" s="21">
        <f t="shared" si="2"/>
        <v>464055.78</v>
      </c>
      <c r="H427" s="23"/>
      <c r="I427" s="21">
        <f t="shared" si="6"/>
        <v>971.42</v>
      </c>
      <c r="J427" s="74"/>
      <c r="K427" s="21">
        <f t="shared" si="4"/>
        <v>377974.92</v>
      </c>
      <c r="L427" s="23"/>
      <c r="M427" s="21">
        <f t="shared" si="7"/>
        <v>957.15</v>
      </c>
    </row>
    <row r="428" ht="20.25" customHeight="1" outlineLevel="1">
      <c r="A428" s="12">
        <v>45939.0</v>
      </c>
      <c r="B428" s="13" t="s">
        <v>16</v>
      </c>
      <c r="C428" s="83" t="s">
        <v>423</v>
      </c>
      <c r="D428" s="20"/>
      <c r="E428" s="21">
        <f t="shared" si="1"/>
        <v>23942.97</v>
      </c>
      <c r="F428" s="35">
        <v>2810.98</v>
      </c>
      <c r="G428" s="21">
        <f t="shared" si="2"/>
        <v>466866.76</v>
      </c>
      <c r="H428" s="23"/>
      <c r="I428" s="21">
        <f t="shared" si="6"/>
        <v>971.42</v>
      </c>
      <c r="J428" s="74"/>
      <c r="K428" s="21">
        <f t="shared" si="4"/>
        <v>377974.92</v>
      </c>
      <c r="L428" s="23"/>
      <c r="M428" s="21">
        <f t="shared" si="7"/>
        <v>957.15</v>
      </c>
    </row>
    <row r="429" ht="20.25" customHeight="1" outlineLevel="1">
      <c r="A429" s="12">
        <v>45939.0</v>
      </c>
      <c r="B429" s="13" t="s">
        <v>16</v>
      </c>
      <c r="C429" s="84" t="s">
        <v>424</v>
      </c>
      <c r="D429" s="20"/>
      <c r="E429" s="21">
        <f t="shared" si="1"/>
        <v>23942.97</v>
      </c>
      <c r="F429" s="51">
        <v>366.0</v>
      </c>
      <c r="G429" s="21">
        <f t="shared" si="2"/>
        <v>467232.76</v>
      </c>
      <c r="H429" s="23"/>
      <c r="I429" s="21">
        <f t="shared" si="6"/>
        <v>971.42</v>
      </c>
      <c r="J429" s="74"/>
      <c r="K429" s="21">
        <f t="shared" si="4"/>
        <v>377974.92</v>
      </c>
      <c r="L429" s="23"/>
      <c r="M429" s="21">
        <f t="shared" si="7"/>
        <v>957.15</v>
      </c>
    </row>
    <row r="430" ht="20.25" customHeight="1" outlineLevel="1">
      <c r="A430" s="12">
        <v>45939.0</v>
      </c>
      <c r="B430" s="13" t="s">
        <v>16</v>
      </c>
      <c r="C430" s="84" t="s">
        <v>425</v>
      </c>
      <c r="D430" s="20"/>
      <c r="E430" s="21">
        <f t="shared" si="1"/>
        <v>23942.97</v>
      </c>
      <c r="F430" s="51">
        <v>201.3</v>
      </c>
      <c r="G430" s="21">
        <f t="shared" si="2"/>
        <v>467434.06</v>
      </c>
      <c r="H430" s="23"/>
      <c r="I430" s="21">
        <f t="shared" si="6"/>
        <v>971.42</v>
      </c>
      <c r="J430" s="74"/>
      <c r="K430" s="21">
        <f t="shared" si="4"/>
        <v>377974.92</v>
      </c>
      <c r="L430" s="23"/>
      <c r="M430" s="21">
        <f t="shared" si="7"/>
        <v>957.15</v>
      </c>
    </row>
    <row r="431" ht="20.25" customHeight="1" outlineLevel="1">
      <c r="A431" s="12">
        <v>45939.0</v>
      </c>
      <c r="B431" s="13" t="s">
        <v>14</v>
      </c>
      <c r="C431" s="127" t="s">
        <v>426</v>
      </c>
      <c r="D431" s="20"/>
      <c r="E431" s="21">
        <f t="shared" si="1"/>
        <v>23942.97</v>
      </c>
      <c r="F431" s="22">
        <v>-70.0</v>
      </c>
      <c r="G431" s="21">
        <f t="shared" si="2"/>
        <v>467364.06</v>
      </c>
      <c r="H431" s="23"/>
      <c r="I431" s="21">
        <f t="shared" si="6"/>
        <v>971.42</v>
      </c>
      <c r="J431" s="74"/>
      <c r="K431" s="21">
        <f t="shared" si="4"/>
        <v>377974.92</v>
      </c>
      <c r="L431" s="23"/>
      <c r="M431" s="21">
        <f t="shared" si="7"/>
        <v>957.15</v>
      </c>
    </row>
    <row r="432" ht="20.25" customHeight="1" outlineLevel="1">
      <c r="A432" s="12">
        <v>45939.0</v>
      </c>
      <c r="B432" s="13" t="s">
        <v>14</v>
      </c>
      <c r="C432" s="83" t="s">
        <v>427</v>
      </c>
      <c r="D432" s="20"/>
      <c r="E432" s="21">
        <f t="shared" si="1"/>
        <v>23942.97</v>
      </c>
      <c r="F432" s="22">
        <v>-50.0</v>
      </c>
      <c r="G432" s="21">
        <f t="shared" si="2"/>
        <v>467314.06</v>
      </c>
      <c r="H432" s="23"/>
      <c r="I432" s="21">
        <f t="shared" si="6"/>
        <v>971.42</v>
      </c>
      <c r="J432" s="74"/>
      <c r="K432" s="21">
        <f t="shared" si="4"/>
        <v>377974.92</v>
      </c>
      <c r="L432" s="23"/>
      <c r="M432" s="21">
        <f t="shared" si="7"/>
        <v>957.15</v>
      </c>
    </row>
    <row r="433" ht="20.25" customHeight="1" outlineLevel="1">
      <c r="A433" s="18">
        <v>45939.0</v>
      </c>
      <c r="B433" s="13" t="s">
        <v>428</v>
      </c>
      <c r="C433" s="83" t="s">
        <v>429</v>
      </c>
      <c r="D433" s="20"/>
      <c r="E433" s="21">
        <f t="shared" si="1"/>
        <v>23942.97</v>
      </c>
      <c r="F433" s="27">
        <v>0.32</v>
      </c>
      <c r="G433" s="21">
        <f t="shared" si="2"/>
        <v>467314.38</v>
      </c>
      <c r="H433" s="23"/>
      <c r="I433" s="21">
        <f t="shared" si="6"/>
        <v>971.42</v>
      </c>
      <c r="J433" s="24"/>
      <c r="K433" s="21">
        <f t="shared" si="4"/>
        <v>377974.92</v>
      </c>
      <c r="L433" s="23"/>
      <c r="M433" s="21">
        <f t="shared" si="7"/>
        <v>957.15</v>
      </c>
    </row>
    <row r="434" ht="20.25" customHeight="1" outlineLevel="1">
      <c r="A434" s="18">
        <v>45939.0</v>
      </c>
      <c r="B434" s="13" t="s">
        <v>428</v>
      </c>
      <c r="C434" s="83" t="s">
        <v>430</v>
      </c>
      <c r="D434" s="20"/>
      <c r="E434" s="21">
        <f t="shared" si="1"/>
        <v>23942.97</v>
      </c>
      <c r="F434" s="27">
        <v>0.32</v>
      </c>
      <c r="G434" s="21">
        <f t="shared" si="2"/>
        <v>467314.7</v>
      </c>
      <c r="H434" s="23"/>
      <c r="I434" s="21">
        <f t="shared" si="6"/>
        <v>971.42</v>
      </c>
      <c r="J434" s="24"/>
      <c r="K434" s="21">
        <f t="shared" si="4"/>
        <v>377974.92</v>
      </c>
      <c r="L434" s="23"/>
      <c r="M434" s="21">
        <f t="shared" si="7"/>
        <v>957.15</v>
      </c>
    </row>
    <row r="435" ht="20.25" customHeight="1" outlineLevel="1">
      <c r="A435" s="18">
        <v>45939.0</v>
      </c>
      <c r="B435" s="13" t="s">
        <v>428</v>
      </c>
      <c r="C435" s="83" t="s">
        <v>431</v>
      </c>
      <c r="D435" s="20"/>
      <c r="E435" s="21">
        <f t="shared" si="1"/>
        <v>23942.97</v>
      </c>
      <c r="F435" s="27">
        <v>0.25</v>
      </c>
      <c r="G435" s="21">
        <f t="shared" si="2"/>
        <v>467314.95</v>
      </c>
      <c r="H435" s="23"/>
      <c r="I435" s="21">
        <f t="shared" si="6"/>
        <v>971.42</v>
      </c>
      <c r="J435" s="24"/>
      <c r="K435" s="21">
        <f t="shared" si="4"/>
        <v>377974.92</v>
      </c>
      <c r="L435" s="23"/>
      <c r="M435" s="21">
        <f t="shared" si="7"/>
        <v>957.15</v>
      </c>
    </row>
    <row r="436" ht="20.25" customHeight="1" outlineLevel="1">
      <c r="A436" s="12">
        <v>45939.0</v>
      </c>
      <c r="B436" s="13" t="s">
        <v>16</v>
      </c>
      <c r="C436" s="102" t="s">
        <v>432</v>
      </c>
      <c r="D436" s="20"/>
      <c r="E436" s="21">
        <f t="shared" si="1"/>
        <v>23942.97</v>
      </c>
      <c r="F436" s="23"/>
      <c r="G436" s="21">
        <f t="shared" si="2"/>
        <v>467314.95</v>
      </c>
      <c r="H436" s="23"/>
      <c r="I436" s="21">
        <f t="shared" si="6"/>
        <v>971.42</v>
      </c>
      <c r="J436" s="35">
        <v>550.0</v>
      </c>
      <c r="K436" s="21">
        <f t="shared" si="4"/>
        <v>378524.92</v>
      </c>
      <c r="L436" s="23"/>
      <c r="M436" s="21">
        <f t="shared" si="7"/>
        <v>957.15</v>
      </c>
    </row>
    <row r="437" ht="20.25" customHeight="1" outlineLevel="1">
      <c r="A437" s="12">
        <v>45939.0</v>
      </c>
      <c r="B437" s="13" t="s">
        <v>16</v>
      </c>
      <c r="C437" s="128" t="s">
        <v>433</v>
      </c>
      <c r="D437" s="20"/>
      <c r="E437" s="21">
        <f t="shared" si="1"/>
        <v>23942.97</v>
      </c>
      <c r="F437" s="23"/>
      <c r="G437" s="21">
        <f t="shared" si="2"/>
        <v>467314.95</v>
      </c>
      <c r="H437" s="23"/>
      <c r="I437" s="21">
        <f t="shared" si="6"/>
        <v>971.42</v>
      </c>
      <c r="J437" s="35">
        <v>290.0</v>
      </c>
      <c r="K437" s="21">
        <f t="shared" si="4"/>
        <v>378814.92</v>
      </c>
      <c r="L437" s="23"/>
      <c r="M437" s="21">
        <f t="shared" si="7"/>
        <v>957.15</v>
      </c>
    </row>
    <row r="438" ht="20.25" customHeight="1" outlineLevel="1">
      <c r="A438" s="12">
        <v>45939.0</v>
      </c>
      <c r="B438" s="13" t="s">
        <v>14</v>
      </c>
      <c r="C438" s="82" t="s">
        <v>34</v>
      </c>
      <c r="D438" s="20"/>
      <c r="E438" s="21">
        <f t="shared" si="1"/>
        <v>23942.97</v>
      </c>
      <c r="F438" s="23"/>
      <c r="G438" s="21">
        <f t="shared" si="2"/>
        <v>467314.95</v>
      </c>
      <c r="H438" s="23"/>
      <c r="I438" s="21">
        <f t="shared" si="6"/>
        <v>971.42</v>
      </c>
      <c r="J438" s="22">
        <v>-23.96</v>
      </c>
      <c r="K438" s="21">
        <f t="shared" si="4"/>
        <v>378790.96</v>
      </c>
      <c r="L438" s="23"/>
      <c r="M438" s="21">
        <f t="shared" si="7"/>
        <v>957.15</v>
      </c>
    </row>
    <row r="439" ht="20.25" customHeight="1" outlineLevel="1">
      <c r="A439" s="18">
        <v>45939.0</v>
      </c>
      <c r="B439" s="46" t="s">
        <v>16</v>
      </c>
      <c r="C439" s="102" t="s">
        <v>434</v>
      </c>
      <c r="D439" s="20"/>
      <c r="E439" s="21">
        <f t="shared" si="1"/>
        <v>23942.97</v>
      </c>
      <c r="F439" s="23"/>
      <c r="G439" s="21">
        <f t="shared" si="2"/>
        <v>467314.95</v>
      </c>
      <c r="H439" s="23"/>
      <c r="I439" s="21">
        <f t="shared" si="6"/>
        <v>971.42</v>
      </c>
      <c r="J439" s="129">
        <v>335.0</v>
      </c>
      <c r="K439" s="21">
        <f t="shared" si="4"/>
        <v>379125.96</v>
      </c>
      <c r="L439" s="23"/>
      <c r="M439" s="21">
        <f t="shared" si="7"/>
        <v>957.15</v>
      </c>
    </row>
    <row r="440" ht="20.25" customHeight="1" outlineLevel="1">
      <c r="A440" s="18">
        <v>45939.0</v>
      </c>
      <c r="B440" s="46" t="s">
        <v>16</v>
      </c>
      <c r="C440" s="47" t="s">
        <v>435</v>
      </c>
      <c r="D440" s="20"/>
      <c r="E440" s="21">
        <f t="shared" si="1"/>
        <v>23942.97</v>
      </c>
      <c r="F440" s="23"/>
      <c r="G440" s="21">
        <f t="shared" si="2"/>
        <v>467314.95</v>
      </c>
      <c r="H440" s="23"/>
      <c r="I440" s="21">
        <f t="shared" si="6"/>
        <v>971.42</v>
      </c>
      <c r="J440" s="60">
        <v>315.0</v>
      </c>
      <c r="K440" s="21">
        <f t="shared" si="4"/>
        <v>379440.96</v>
      </c>
      <c r="L440" s="23"/>
      <c r="M440" s="21">
        <f t="shared" si="7"/>
        <v>957.15</v>
      </c>
    </row>
    <row r="441" ht="20.25" customHeight="1" outlineLevel="1">
      <c r="A441" s="30">
        <v>45939.0</v>
      </c>
      <c r="B441" s="46" t="s">
        <v>16</v>
      </c>
      <c r="C441" s="47" t="s">
        <v>90</v>
      </c>
      <c r="D441" s="20"/>
      <c r="E441" s="21">
        <f t="shared" si="1"/>
        <v>23942.97</v>
      </c>
      <c r="F441" s="76"/>
      <c r="G441" s="21">
        <f t="shared" si="2"/>
        <v>467314.95</v>
      </c>
      <c r="H441" s="23"/>
      <c r="I441" s="21">
        <f t="shared" si="6"/>
        <v>971.42</v>
      </c>
      <c r="J441" s="35">
        <v>550.0</v>
      </c>
      <c r="K441" s="21">
        <f t="shared" si="4"/>
        <v>379990.96</v>
      </c>
      <c r="L441" s="23"/>
      <c r="M441" s="21">
        <f t="shared" si="7"/>
        <v>957.15</v>
      </c>
    </row>
    <row r="442" ht="20.25" customHeight="1" outlineLevel="1">
      <c r="A442" s="18">
        <v>45939.0</v>
      </c>
      <c r="B442" s="46" t="s">
        <v>16</v>
      </c>
      <c r="C442" s="48" t="s">
        <v>436</v>
      </c>
      <c r="D442" s="20"/>
      <c r="E442" s="21">
        <f t="shared" si="1"/>
        <v>23942.97</v>
      </c>
      <c r="F442" s="23"/>
      <c r="G442" s="21">
        <f t="shared" si="2"/>
        <v>467314.95</v>
      </c>
      <c r="H442" s="23"/>
      <c r="I442" s="21">
        <f t="shared" si="6"/>
        <v>971.42</v>
      </c>
      <c r="J442" s="54">
        <v>765.0</v>
      </c>
      <c r="K442" s="21">
        <f t="shared" si="4"/>
        <v>380755.96</v>
      </c>
      <c r="L442" s="23"/>
      <c r="M442" s="21">
        <f t="shared" si="7"/>
        <v>957.15</v>
      </c>
    </row>
    <row r="443" ht="20.25" customHeight="1" outlineLevel="1">
      <c r="A443" s="18">
        <v>45939.0</v>
      </c>
      <c r="B443" s="13" t="s">
        <v>16</v>
      </c>
      <c r="C443" s="42" t="s">
        <v>437</v>
      </c>
      <c r="D443" s="20"/>
      <c r="E443" s="21">
        <f t="shared" si="1"/>
        <v>23942.97</v>
      </c>
      <c r="F443" s="23"/>
      <c r="G443" s="21">
        <f t="shared" si="2"/>
        <v>467314.95</v>
      </c>
      <c r="H443" s="23"/>
      <c r="I443" s="21">
        <f t="shared" si="6"/>
        <v>971.42</v>
      </c>
      <c r="J443" s="54">
        <v>2985.0</v>
      </c>
      <c r="K443" s="21">
        <f t="shared" si="4"/>
        <v>383740.96</v>
      </c>
      <c r="L443" s="23"/>
      <c r="M443" s="21">
        <f t="shared" si="7"/>
        <v>957.15</v>
      </c>
    </row>
    <row r="444" ht="20.25" customHeight="1" outlineLevel="1">
      <c r="A444" s="18">
        <v>45939.0</v>
      </c>
      <c r="B444" s="13" t="s">
        <v>16</v>
      </c>
      <c r="C444" s="41" t="s">
        <v>438</v>
      </c>
      <c r="D444" s="20"/>
      <c r="E444" s="21">
        <f t="shared" si="1"/>
        <v>23942.97</v>
      </c>
      <c r="F444" s="23"/>
      <c r="G444" s="21">
        <f t="shared" si="2"/>
        <v>467314.95</v>
      </c>
      <c r="H444" s="23"/>
      <c r="I444" s="21">
        <f t="shared" si="6"/>
        <v>971.42</v>
      </c>
      <c r="J444" s="60">
        <v>1330.0</v>
      </c>
      <c r="K444" s="21">
        <f t="shared" si="4"/>
        <v>385070.96</v>
      </c>
      <c r="L444" s="23"/>
      <c r="M444" s="21">
        <f t="shared" si="7"/>
        <v>957.15</v>
      </c>
    </row>
    <row r="445" ht="20.25" customHeight="1" outlineLevel="1">
      <c r="A445" s="12">
        <v>45939.0</v>
      </c>
      <c r="B445" s="13" t="s">
        <v>12</v>
      </c>
      <c r="C445" s="28" t="s">
        <v>439</v>
      </c>
      <c r="D445" s="20"/>
      <c r="E445" s="21">
        <f t="shared" si="1"/>
        <v>23942.97</v>
      </c>
      <c r="F445" s="23"/>
      <c r="G445" s="21">
        <f t="shared" si="2"/>
        <v>467314.95</v>
      </c>
      <c r="H445" s="22">
        <v>-455.6</v>
      </c>
      <c r="I445" s="21">
        <f t="shared" si="6"/>
        <v>515.82</v>
      </c>
      <c r="J445" s="23"/>
      <c r="K445" s="21">
        <f t="shared" si="4"/>
        <v>385070.96</v>
      </c>
      <c r="L445" s="23"/>
      <c r="M445" s="21">
        <f t="shared" si="7"/>
        <v>957.15</v>
      </c>
    </row>
    <row r="446" ht="20.25" customHeight="1" outlineLevel="1">
      <c r="A446" s="12">
        <v>45939.0</v>
      </c>
      <c r="B446" s="13" t="s">
        <v>179</v>
      </c>
      <c r="C446" s="70" t="s">
        <v>440</v>
      </c>
      <c r="D446" s="20"/>
      <c r="E446" s="21">
        <f t="shared" si="1"/>
        <v>23942.97</v>
      </c>
      <c r="F446" s="23"/>
      <c r="G446" s="21">
        <f t="shared" si="2"/>
        <v>467314.95</v>
      </c>
      <c r="H446" s="23"/>
      <c r="I446" s="21">
        <f t="shared" si="6"/>
        <v>515.82</v>
      </c>
      <c r="J446" s="23"/>
      <c r="K446" s="21">
        <f t="shared" si="4"/>
        <v>385070.96</v>
      </c>
      <c r="L446" s="27">
        <v>2000.0</v>
      </c>
      <c r="M446" s="21">
        <f t="shared" si="7"/>
        <v>2957.15</v>
      </c>
    </row>
    <row r="447" ht="20.25" customHeight="1" outlineLevel="1">
      <c r="A447" s="12">
        <v>45939.0</v>
      </c>
      <c r="B447" s="13" t="s">
        <v>14</v>
      </c>
      <c r="C447" s="28" t="s">
        <v>441</v>
      </c>
      <c r="D447" s="20"/>
      <c r="E447" s="21">
        <f t="shared" si="1"/>
        <v>23942.97</v>
      </c>
      <c r="F447" s="23"/>
      <c r="G447" s="21">
        <f t="shared" si="2"/>
        <v>467314.95</v>
      </c>
      <c r="H447" s="23"/>
      <c r="I447" s="21">
        <f t="shared" si="6"/>
        <v>515.82</v>
      </c>
      <c r="J447" s="23"/>
      <c r="K447" s="21">
        <f t="shared" si="4"/>
        <v>385070.96</v>
      </c>
      <c r="L447" s="22">
        <v>-13.99</v>
      </c>
      <c r="M447" s="21">
        <f t="shared" si="7"/>
        <v>2943.16</v>
      </c>
    </row>
    <row r="448" ht="20.25" customHeight="1" outlineLevel="1">
      <c r="A448" s="18">
        <v>45940.0</v>
      </c>
      <c r="B448" s="13" t="s">
        <v>16</v>
      </c>
      <c r="C448" s="130" t="s">
        <v>442</v>
      </c>
      <c r="D448" s="20">
        <v>1373.0</v>
      </c>
      <c r="E448" s="21">
        <f t="shared" si="1"/>
        <v>25315.97</v>
      </c>
      <c r="F448" s="23"/>
      <c r="G448" s="21">
        <f t="shared" si="2"/>
        <v>467314.95</v>
      </c>
      <c r="H448" s="23"/>
      <c r="I448" s="21">
        <f t="shared" si="6"/>
        <v>515.82</v>
      </c>
      <c r="J448" s="24"/>
      <c r="K448" s="21">
        <f t="shared" si="4"/>
        <v>385070.96</v>
      </c>
      <c r="L448" s="23"/>
      <c r="M448" s="21">
        <f t="shared" si="7"/>
        <v>2943.16</v>
      </c>
    </row>
    <row r="449" ht="20.25" customHeight="1" outlineLevel="1">
      <c r="A449" s="18">
        <v>45940.0</v>
      </c>
      <c r="B449" s="13" t="s">
        <v>16</v>
      </c>
      <c r="C449" s="131" t="s">
        <v>443</v>
      </c>
      <c r="D449" s="20"/>
      <c r="E449" s="21">
        <f t="shared" si="1"/>
        <v>25315.97</v>
      </c>
      <c r="F449" s="27">
        <v>73.6</v>
      </c>
      <c r="G449" s="21">
        <f t="shared" si="2"/>
        <v>467388.55</v>
      </c>
      <c r="H449" s="23"/>
      <c r="I449" s="21">
        <f t="shared" si="6"/>
        <v>515.82</v>
      </c>
      <c r="J449" s="24"/>
      <c r="K449" s="21">
        <f t="shared" si="4"/>
        <v>385070.96</v>
      </c>
      <c r="L449" s="23"/>
      <c r="M449" s="21">
        <f t="shared" si="7"/>
        <v>2943.16</v>
      </c>
    </row>
    <row r="450" ht="20.25" customHeight="1" outlineLevel="1">
      <c r="A450" s="18">
        <v>45940.0</v>
      </c>
      <c r="B450" s="13" t="s">
        <v>14</v>
      </c>
      <c r="C450" s="96" t="s">
        <v>444</v>
      </c>
      <c r="D450" s="20"/>
      <c r="E450" s="21">
        <f t="shared" si="1"/>
        <v>25315.97</v>
      </c>
      <c r="F450" s="58">
        <v>-50.0</v>
      </c>
      <c r="G450" s="21">
        <f t="shared" si="2"/>
        <v>467338.55</v>
      </c>
      <c r="H450" s="23"/>
      <c r="I450" s="21">
        <f t="shared" si="6"/>
        <v>515.82</v>
      </c>
      <c r="J450" s="74"/>
      <c r="K450" s="21">
        <f t="shared" si="4"/>
        <v>385070.96</v>
      </c>
      <c r="L450" s="23"/>
      <c r="M450" s="21">
        <f t="shared" si="7"/>
        <v>2943.16</v>
      </c>
    </row>
    <row r="451" ht="20.25" customHeight="1" outlineLevel="1">
      <c r="A451" s="18">
        <v>45940.0</v>
      </c>
      <c r="B451" s="13" t="s">
        <v>179</v>
      </c>
      <c r="C451" s="124" t="s">
        <v>288</v>
      </c>
      <c r="D451" s="73">
        <v>-7000.0</v>
      </c>
      <c r="E451" s="21">
        <f t="shared" si="1"/>
        <v>18315.97</v>
      </c>
      <c r="F451" s="23"/>
      <c r="G451" s="21">
        <f t="shared" si="2"/>
        <v>467338.55</v>
      </c>
      <c r="H451" s="23"/>
      <c r="I451" s="21">
        <f t="shared" si="6"/>
        <v>515.82</v>
      </c>
      <c r="J451" s="24"/>
      <c r="K451" s="21">
        <f t="shared" si="4"/>
        <v>385070.96</v>
      </c>
      <c r="L451" s="23"/>
      <c r="M451" s="21">
        <f t="shared" si="7"/>
        <v>2943.16</v>
      </c>
    </row>
    <row r="452" ht="20.25" customHeight="1" outlineLevel="1">
      <c r="A452" s="18">
        <v>45940.0</v>
      </c>
      <c r="B452" s="13" t="s">
        <v>16</v>
      </c>
      <c r="C452" s="96" t="s">
        <v>445</v>
      </c>
      <c r="D452" s="20"/>
      <c r="E452" s="21">
        <f t="shared" si="1"/>
        <v>18315.97</v>
      </c>
      <c r="F452" s="27">
        <v>2575.0</v>
      </c>
      <c r="G452" s="21">
        <f t="shared" si="2"/>
        <v>469913.55</v>
      </c>
      <c r="H452" s="23"/>
      <c r="I452" s="21">
        <f t="shared" si="6"/>
        <v>515.82</v>
      </c>
      <c r="J452" s="24"/>
      <c r="K452" s="21">
        <f t="shared" si="4"/>
        <v>385070.96</v>
      </c>
      <c r="L452" s="23"/>
      <c r="M452" s="21">
        <f t="shared" si="7"/>
        <v>2943.16</v>
      </c>
    </row>
    <row r="453" ht="20.25" customHeight="1" outlineLevel="1">
      <c r="A453" s="18">
        <v>45940.0</v>
      </c>
      <c r="B453" s="13" t="s">
        <v>16</v>
      </c>
      <c r="C453" s="96" t="s">
        <v>446</v>
      </c>
      <c r="D453" s="20"/>
      <c r="E453" s="21">
        <f t="shared" si="1"/>
        <v>18315.97</v>
      </c>
      <c r="F453" s="26">
        <v>448.0</v>
      </c>
      <c r="G453" s="21">
        <f t="shared" si="2"/>
        <v>470361.55</v>
      </c>
      <c r="H453" s="23"/>
      <c r="I453" s="21">
        <f t="shared" si="6"/>
        <v>515.82</v>
      </c>
      <c r="J453" s="24"/>
      <c r="K453" s="21">
        <f t="shared" si="4"/>
        <v>385070.96</v>
      </c>
      <c r="L453" s="23"/>
      <c r="M453" s="21">
        <f t="shared" si="7"/>
        <v>2943.16</v>
      </c>
    </row>
    <row r="454" ht="20.25" customHeight="1" outlineLevel="1">
      <c r="A454" s="18">
        <v>45940.0</v>
      </c>
      <c r="B454" s="13" t="s">
        <v>16</v>
      </c>
      <c r="C454" s="96" t="s">
        <v>447</v>
      </c>
      <c r="D454" s="20"/>
      <c r="E454" s="21">
        <f t="shared" si="1"/>
        <v>18315.97</v>
      </c>
      <c r="F454" s="27">
        <v>1788.42</v>
      </c>
      <c r="G454" s="21">
        <f t="shared" si="2"/>
        <v>472149.97</v>
      </c>
      <c r="H454" s="23"/>
      <c r="I454" s="21">
        <f t="shared" si="6"/>
        <v>515.82</v>
      </c>
      <c r="J454" s="24"/>
      <c r="K454" s="21">
        <f t="shared" si="4"/>
        <v>385070.96</v>
      </c>
      <c r="L454" s="23"/>
      <c r="M454" s="21">
        <f t="shared" si="7"/>
        <v>2943.16</v>
      </c>
    </row>
    <row r="455" ht="20.25" customHeight="1" outlineLevel="1">
      <c r="A455" s="18">
        <v>45940.0</v>
      </c>
      <c r="B455" s="13" t="s">
        <v>16</v>
      </c>
      <c r="C455" s="131" t="s">
        <v>448</v>
      </c>
      <c r="D455" s="20"/>
      <c r="E455" s="21">
        <f t="shared" si="1"/>
        <v>18315.97</v>
      </c>
      <c r="F455" s="27">
        <v>780.0</v>
      </c>
      <c r="G455" s="21">
        <f t="shared" si="2"/>
        <v>472929.97</v>
      </c>
      <c r="H455" s="23"/>
      <c r="I455" s="21">
        <f t="shared" si="6"/>
        <v>515.82</v>
      </c>
      <c r="J455" s="24"/>
      <c r="K455" s="21">
        <f t="shared" si="4"/>
        <v>385070.96</v>
      </c>
      <c r="L455" s="23"/>
      <c r="M455" s="21">
        <f t="shared" si="7"/>
        <v>2943.16</v>
      </c>
    </row>
    <row r="456" ht="20.25" customHeight="1" outlineLevel="1">
      <c r="A456" s="18">
        <v>45940.0</v>
      </c>
      <c r="B456" s="13" t="s">
        <v>179</v>
      </c>
      <c r="C456" s="131" t="s">
        <v>302</v>
      </c>
      <c r="D456" s="20"/>
      <c r="E456" s="21">
        <f t="shared" si="1"/>
        <v>18315.97</v>
      </c>
      <c r="F456" s="27">
        <v>7000.0</v>
      </c>
      <c r="G456" s="21">
        <f t="shared" si="2"/>
        <v>479929.97</v>
      </c>
      <c r="H456" s="23"/>
      <c r="I456" s="21">
        <f t="shared" si="6"/>
        <v>515.82</v>
      </c>
      <c r="J456" s="24"/>
      <c r="K456" s="21">
        <f t="shared" si="4"/>
        <v>385070.96</v>
      </c>
      <c r="L456" s="23"/>
      <c r="M456" s="21">
        <f t="shared" si="7"/>
        <v>2943.16</v>
      </c>
    </row>
    <row r="457" ht="20.25" customHeight="1" outlineLevel="1">
      <c r="A457" s="30">
        <v>45940.0</v>
      </c>
      <c r="B457" s="13" t="s">
        <v>16</v>
      </c>
      <c r="C457" s="131" t="s">
        <v>449</v>
      </c>
      <c r="D457" s="20"/>
      <c r="E457" s="21">
        <f t="shared" si="1"/>
        <v>18315.97</v>
      </c>
      <c r="F457" s="76"/>
      <c r="G457" s="21">
        <f t="shared" si="2"/>
        <v>479929.97</v>
      </c>
      <c r="H457" s="23"/>
      <c r="I457" s="21">
        <f t="shared" si="6"/>
        <v>515.82</v>
      </c>
      <c r="J457" s="27">
        <v>1445.0</v>
      </c>
      <c r="K457" s="21">
        <f t="shared" si="4"/>
        <v>386515.96</v>
      </c>
      <c r="L457" s="23"/>
      <c r="M457" s="21">
        <f t="shared" si="7"/>
        <v>2943.16</v>
      </c>
    </row>
    <row r="458" ht="20.25" customHeight="1" outlineLevel="1">
      <c r="A458" s="30">
        <v>45940.0</v>
      </c>
      <c r="B458" s="13" t="s">
        <v>16</v>
      </c>
      <c r="C458" s="131" t="s">
        <v>450</v>
      </c>
      <c r="D458" s="20"/>
      <c r="E458" s="21">
        <f t="shared" si="1"/>
        <v>18315.97</v>
      </c>
      <c r="F458" s="76"/>
      <c r="G458" s="21">
        <f t="shared" si="2"/>
        <v>479929.97</v>
      </c>
      <c r="H458" s="23"/>
      <c r="I458" s="21">
        <f t="shared" si="6"/>
        <v>515.82</v>
      </c>
      <c r="J458" s="27">
        <v>65.0</v>
      </c>
      <c r="K458" s="21">
        <f t="shared" si="4"/>
        <v>386580.96</v>
      </c>
      <c r="L458" s="23"/>
      <c r="M458" s="21">
        <f t="shared" si="7"/>
        <v>2943.16</v>
      </c>
    </row>
    <row r="459" ht="20.25" customHeight="1" outlineLevel="1">
      <c r="A459" s="30">
        <v>45940.0</v>
      </c>
      <c r="B459" s="13" t="s">
        <v>16</v>
      </c>
      <c r="C459" s="132" t="s">
        <v>451</v>
      </c>
      <c r="D459" s="20"/>
      <c r="E459" s="21">
        <f t="shared" si="1"/>
        <v>18315.97</v>
      </c>
      <c r="F459" s="76"/>
      <c r="G459" s="21">
        <f t="shared" si="2"/>
        <v>479929.97</v>
      </c>
      <c r="H459" s="23"/>
      <c r="I459" s="21">
        <f t="shared" si="6"/>
        <v>515.82</v>
      </c>
      <c r="J459" s="35">
        <v>200.0</v>
      </c>
      <c r="K459" s="21">
        <f t="shared" si="4"/>
        <v>386780.96</v>
      </c>
      <c r="L459" s="23"/>
      <c r="M459" s="21">
        <f t="shared" si="7"/>
        <v>2943.16</v>
      </c>
    </row>
    <row r="460" ht="20.25" customHeight="1" outlineLevel="1">
      <c r="A460" s="30">
        <v>45940.0</v>
      </c>
      <c r="B460" s="13" t="s">
        <v>16</v>
      </c>
      <c r="C460" s="132" t="s">
        <v>452</v>
      </c>
      <c r="D460" s="20"/>
      <c r="E460" s="21">
        <f t="shared" si="1"/>
        <v>18315.97</v>
      </c>
      <c r="F460" s="76"/>
      <c r="G460" s="21">
        <f t="shared" si="2"/>
        <v>479929.97</v>
      </c>
      <c r="H460" s="23"/>
      <c r="I460" s="21">
        <f t="shared" si="6"/>
        <v>515.82</v>
      </c>
      <c r="J460" s="35">
        <v>395.0</v>
      </c>
      <c r="K460" s="21">
        <f t="shared" si="4"/>
        <v>387175.96</v>
      </c>
      <c r="L460" s="23"/>
      <c r="M460" s="21">
        <f t="shared" si="7"/>
        <v>2943.16</v>
      </c>
    </row>
    <row r="461" ht="20.25" customHeight="1" outlineLevel="1">
      <c r="A461" s="30">
        <v>45940.0</v>
      </c>
      <c r="B461" s="13" t="s">
        <v>14</v>
      </c>
      <c r="C461" s="133" t="s">
        <v>34</v>
      </c>
      <c r="D461" s="20"/>
      <c r="E461" s="21">
        <f t="shared" si="1"/>
        <v>18315.97</v>
      </c>
      <c r="F461" s="76"/>
      <c r="G461" s="21">
        <f t="shared" si="2"/>
        <v>479929.97</v>
      </c>
      <c r="H461" s="23"/>
      <c r="I461" s="21">
        <f t="shared" si="6"/>
        <v>515.82</v>
      </c>
      <c r="J461" s="22">
        <v>-20.99</v>
      </c>
      <c r="K461" s="21">
        <f t="shared" si="4"/>
        <v>387154.97</v>
      </c>
      <c r="L461" s="23"/>
      <c r="M461" s="21">
        <f t="shared" si="7"/>
        <v>2943.16</v>
      </c>
    </row>
    <row r="462" ht="20.25" customHeight="1" outlineLevel="1">
      <c r="A462" s="12">
        <v>45940.0</v>
      </c>
      <c r="B462" s="13" t="s">
        <v>16</v>
      </c>
      <c r="C462" s="134" t="s">
        <v>453</v>
      </c>
      <c r="D462" s="20"/>
      <c r="E462" s="21">
        <f t="shared" si="1"/>
        <v>18315.97</v>
      </c>
      <c r="F462" s="23"/>
      <c r="G462" s="21">
        <f t="shared" si="2"/>
        <v>479929.97</v>
      </c>
      <c r="H462" s="23"/>
      <c r="I462" s="21">
        <f t="shared" si="6"/>
        <v>515.82</v>
      </c>
      <c r="J462" s="35">
        <v>131.0</v>
      </c>
      <c r="K462" s="21">
        <f t="shared" si="4"/>
        <v>387285.97</v>
      </c>
      <c r="L462" s="23"/>
      <c r="M462" s="21">
        <f t="shared" si="7"/>
        <v>2943.16</v>
      </c>
    </row>
    <row r="463" ht="20.25" customHeight="1" outlineLevel="1">
      <c r="A463" s="12">
        <v>45940.0</v>
      </c>
      <c r="B463" s="13" t="s">
        <v>16</v>
      </c>
      <c r="C463" s="134" t="s">
        <v>454</v>
      </c>
      <c r="D463" s="20"/>
      <c r="E463" s="21">
        <f t="shared" si="1"/>
        <v>18315.97</v>
      </c>
      <c r="F463" s="62"/>
      <c r="G463" s="21">
        <f t="shared" si="2"/>
        <v>479929.97</v>
      </c>
      <c r="H463" s="23"/>
      <c r="I463" s="21">
        <f t="shared" si="6"/>
        <v>515.82</v>
      </c>
      <c r="J463" s="35">
        <v>134.0</v>
      </c>
      <c r="K463" s="21">
        <f t="shared" si="4"/>
        <v>387419.97</v>
      </c>
      <c r="L463" s="23"/>
      <c r="M463" s="21">
        <f t="shared" si="7"/>
        <v>2943.16</v>
      </c>
    </row>
    <row r="464" ht="20.25" customHeight="1" outlineLevel="1">
      <c r="A464" s="12">
        <v>45940.0</v>
      </c>
      <c r="B464" s="13" t="s">
        <v>179</v>
      </c>
      <c r="C464" s="135" t="s">
        <v>455</v>
      </c>
      <c r="D464" s="20"/>
      <c r="E464" s="21">
        <f t="shared" si="1"/>
        <v>18315.97</v>
      </c>
      <c r="F464" s="23"/>
      <c r="G464" s="21">
        <f t="shared" si="2"/>
        <v>479929.97</v>
      </c>
      <c r="H464" s="27">
        <v>2000.0</v>
      </c>
      <c r="I464" s="21">
        <f t="shared" si="6"/>
        <v>2515.82</v>
      </c>
      <c r="J464" s="23"/>
      <c r="K464" s="21">
        <f t="shared" si="4"/>
        <v>387419.97</v>
      </c>
      <c r="L464" s="23"/>
      <c r="M464" s="21">
        <f t="shared" si="7"/>
        <v>2943.16</v>
      </c>
    </row>
    <row r="465" ht="20.25" customHeight="1" outlineLevel="1">
      <c r="A465" s="12">
        <v>45941.0</v>
      </c>
      <c r="B465" s="13" t="s">
        <v>12</v>
      </c>
      <c r="C465" s="131" t="s">
        <v>456</v>
      </c>
      <c r="D465" s="20"/>
      <c r="E465" s="21">
        <f t="shared" si="1"/>
        <v>18315.97</v>
      </c>
      <c r="F465" s="23"/>
      <c r="G465" s="21">
        <f t="shared" si="2"/>
        <v>479929.97</v>
      </c>
      <c r="H465" s="23"/>
      <c r="I465" s="21">
        <f t="shared" si="6"/>
        <v>2515.82</v>
      </c>
      <c r="J465" s="23"/>
      <c r="K465" s="21">
        <f t="shared" si="4"/>
        <v>387419.97</v>
      </c>
      <c r="L465" s="22">
        <v>-865.78</v>
      </c>
      <c r="M465" s="21">
        <f t="shared" si="7"/>
        <v>2077.38</v>
      </c>
    </row>
    <row r="466" ht="20.25" customHeight="1" outlineLevel="1">
      <c r="A466" s="18">
        <v>45943.0</v>
      </c>
      <c r="B466" s="13" t="s">
        <v>14</v>
      </c>
      <c r="C466" s="131" t="s">
        <v>34</v>
      </c>
      <c r="D466" s="20"/>
      <c r="E466" s="21">
        <f t="shared" si="1"/>
        <v>18315.97</v>
      </c>
      <c r="F466" s="23"/>
      <c r="G466" s="21">
        <f t="shared" si="2"/>
        <v>479929.97</v>
      </c>
      <c r="H466" s="23"/>
      <c r="I466" s="21">
        <f t="shared" si="6"/>
        <v>2515.82</v>
      </c>
      <c r="J466" s="53">
        <v>-87.0</v>
      </c>
      <c r="K466" s="21">
        <f t="shared" si="4"/>
        <v>387332.97</v>
      </c>
      <c r="L466" s="23"/>
      <c r="M466" s="21">
        <f t="shared" si="7"/>
        <v>2077.38</v>
      </c>
    </row>
    <row r="467" ht="20.25" customHeight="1" outlineLevel="1">
      <c r="A467" s="18">
        <v>45943.0</v>
      </c>
      <c r="B467" s="13" t="s">
        <v>16</v>
      </c>
      <c r="C467" s="131" t="s">
        <v>457</v>
      </c>
      <c r="D467" s="20">
        <v>540.0</v>
      </c>
      <c r="E467" s="21">
        <f t="shared" si="1"/>
        <v>18855.97</v>
      </c>
      <c r="F467" s="23"/>
      <c r="G467" s="21">
        <f t="shared" si="2"/>
        <v>479929.97</v>
      </c>
      <c r="H467" s="23"/>
      <c r="I467" s="21">
        <f t="shared" si="6"/>
        <v>2515.82</v>
      </c>
      <c r="J467" s="24"/>
      <c r="K467" s="21">
        <f t="shared" si="4"/>
        <v>387332.97</v>
      </c>
      <c r="L467" s="23"/>
      <c r="M467" s="21">
        <f t="shared" si="7"/>
        <v>2077.38</v>
      </c>
    </row>
    <row r="468" ht="20.25" customHeight="1" outlineLevel="1">
      <c r="A468" s="12">
        <v>45943.0</v>
      </c>
      <c r="B468" s="13" t="s">
        <v>12</v>
      </c>
      <c r="C468" s="131" t="s">
        <v>458</v>
      </c>
      <c r="D468" s="20"/>
      <c r="E468" s="21">
        <f t="shared" si="1"/>
        <v>18855.97</v>
      </c>
      <c r="F468" s="22">
        <v>-626.08</v>
      </c>
      <c r="G468" s="21">
        <f t="shared" si="2"/>
        <v>479303.89</v>
      </c>
      <c r="H468" s="23"/>
      <c r="I468" s="21">
        <f t="shared" si="6"/>
        <v>2515.82</v>
      </c>
      <c r="J468" s="23"/>
      <c r="K468" s="21">
        <f t="shared" si="4"/>
        <v>387332.97</v>
      </c>
      <c r="L468" s="23"/>
      <c r="M468" s="21">
        <f t="shared" si="7"/>
        <v>2077.38</v>
      </c>
    </row>
    <row r="469" ht="20.25" customHeight="1" outlineLevel="1">
      <c r="A469" s="12">
        <v>45943.0</v>
      </c>
      <c r="B469" s="13" t="s">
        <v>16</v>
      </c>
      <c r="C469" s="131" t="s">
        <v>459</v>
      </c>
      <c r="D469" s="20"/>
      <c r="E469" s="21">
        <f t="shared" si="1"/>
        <v>18855.97</v>
      </c>
      <c r="F469" s="26">
        <v>251.0</v>
      </c>
      <c r="G469" s="21">
        <f t="shared" si="2"/>
        <v>479554.89</v>
      </c>
      <c r="H469" s="23"/>
      <c r="I469" s="21">
        <f t="shared" si="6"/>
        <v>2515.82</v>
      </c>
      <c r="J469" s="23"/>
      <c r="K469" s="21">
        <f t="shared" si="4"/>
        <v>387332.97</v>
      </c>
      <c r="L469" s="23"/>
      <c r="M469" s="21">
        <f t="shared" si="7"/>
        <v>2077.38</v>
      </c>
    </row>
    <row r="470" ht="20.25" customHeight="1" outlineLevel="1">
      <c r="A470" s="12">
        <v>45943.0</v>
      </c>
      <c r="B470" s="13" t="s">
        <v>16</v>
      </c>
      <c r="C470" s="131" t="s">
        <v>460</v>
      </c>
      <c r="D470" s="20"/>
      <c r="E470" s="21">
        <f t="shared" si="1"/>
        <v>18855.97</v>
      </c>
      <c r="F470" s="26">
        <v>689.0</v>
      </c>
      <c r="G470" s="21">
        <f t="shared" si="2"/>
        <v>480243.89</v>
      </c>
      <c r="H470" s="23"/>
      <c r="I470" s="21">
        <f t="shared" si="6"/>
        <v>2515.82</v>
      </c>
      <c r="J470" s="23"/>
      <c r="K470" s="21">
        <f t="shared" si="4"/>
        <v>387332.97</v>
      </c>
      <c r="L470" s="23"/>
      <c r="M470" s="21">
        <f t="shared" si="7"/>
        <v>2077.38</v>
      </c>
    </row>
    <row r="471" ht="20.25" customHeight="1" outlineLevel="1">
      <c r="A471" s="18">
        <v>45943.0</v>
      </c>
      <c r="B471" s="13" t="s">
        <v>16</v>
      </c>
      <c r="C471" s="131" t="s">
        <v>461</v>
      </c>
      <c r="D471" s="20"/>
      <c r="E471" s="21">
        <f t="shared" si="1"/>
        <v>18855.97</v>
      </c>
      <c r="F471" s="27">
        <v>732.62</v>
      </c>
      <c r="G471" s="21">
        <f t="shared" si="2"/>
        <v>480976.51</v>
      </c>
      <c r="H471" s="23"/>
      <c r="I471" s="21">
        <f t="shared" si="6"/>
        <v>2515.82</v>
      </c>
      <c r="J471" s="24"/>
      <c r="K471" s="21">
        <f t="shared" si="4"/>
        <v>387332.97</v>
      </c>
      <c r="L471" s="23"/>
      <c r="M471" s="21">
        <f t="shared" si="7"/>
        <v>2077.38</v>
      </c>
    </row>
    <row r="472" ht="20.25" customHeight="1" outlineLevel="1">
      <c r="A472" s="18">
        <v>45943.0</v>
      </c>
      <c r="B472" s="13" t="s">
        <v>16</v>
      </c>
      <c r="C472" s="131" t="s">
        <v>462</v>
      </c>
      <c r="D472" s="20"/>
      <c r="E472" s="21">
        <f t="shared" si="1"/>
        <v>18855.97</v>
      </c>
      <c r="F472" s="26">
        <v>723.0</v>
      </c>
      <c r="G472" s="21">
        <f t="shared" si="2"/>
        <v>481699.51</v>
      </c>
      <c r="H472" s="23"/>
      <c r="I472" s="21">
        <f t="shared" si="6"/>
        <v>2515.82</v>
      </c>
      <c r="J472" s="24"/>
      <c r="K472" s="21">
        <f t="shared" si="4"/>
        <v>387332.97</v>
      </c>
      <c r="L472" s="23"/>
      <c r="M472" s="21">
        <f t="shared" si="7"/>
        <v>2077.38</v>
      </c>
    </row>
    <row r="473" ht="20.25" customHeight="1" outlineLevel="1">
      <c r="A473" s="18">
        <v>45943.0</v>
      </c>
      <c r="B473" s="13" t="s">
        <v>16</v>
      </c>
      <c r="C473" s="131" t="s">
        <v>463</v>
      </c>
      <c r="D473" s="20"/>
      <c r="E473" s="21">
        <f t="shared" si="1"/>
        <v>18855.97</v>
      </c>
      <c r="F473" s="27">
        <v>1435.0</v>
      </c>
      <c r="G473" s="21">
        <f t="shared" si="2"/>
        <v>483134.51</v>
      </c>
      <c r="H473" s="23"/>
      <c r="I473" s="21">
        <f t="shared" si="6"/>
        <v>2515.82</v>
      </c>
      <c r="J473" s="24"/>
      <c r="K473" s="21">
        <f t="shared" si="4"/>
        <v>387332.97</v>
      </c>
      <c r="L473" s="23"/>
      <c r="M473" s="21">
        <f t="shared" si="7"/>
        <v>2077.38</v>
      </c>
    </row>
    <row r="474" ht="20.25" customHeight="1" outlineLevel="1">
      <c r="A474" s="18">
        <v>45943.0</v>
      </c>
      <c r="B474" s="13" t="s">
        <v>16</v>
      </c>
      <c r="C474" s="131" t="s">
        <v>464</v>
      </c>
      <c r="D474" s="20"/>
      <c r="E474" s="21">
        <f t="shared" si="1"/>
        <v>18855.97</v>
      </c>
      <c r="F474" s="27">
        <v>1540.0</v>
      </c>
      <c r="G474" s="21">
        <f t="shared" si="2"/>
        <v>484674.51</v>
      </c>
      <c r="H474" s="23"/>
      <c r="I474" s="21">
        <f t="shared" si="6"/>
        <v>2515.82</v>
      </c>
      <c r="J474" s="23"/>
      <c r="K474" s="21">
        <f t="shared" si="4"/>
        <v>387332.97</v>
      </c>
      <c r="L474" s="23"/>
      <c r="M474" s="21">
        <f t="shared" si="7"/>
        <v>2077.38</v>
      </c>
    </row>
    <row r="475" ht="20.25" customHeight="1" outlineLevel="1">
      <c r="A475" s="12">
        <v>45943.0</v>
      </c>
      <c r="B475" s="13" t="s">
        <v>16</v>
      </c>
      <c r="C475" s="136" t="s">
        <v>465</v>
      </c>
      <c r="D475" s="20"/>
      <c r="E475" s="21">
        <f t="shared" si="1"/>
        <v>18855.97</v>
      </c>
      <c r="F475" s="23"/>
      <c r="G475" s="21">
        <f t="shared" si="2"/>
        <v>484674.51</v>
      </c>
      <c r="H475" s="23"/>
      <c r="I475" s="21">
        <f t="shared" si="6"/>
        <v>2515.82</v>
      </c>
      <c r="J475" s="27">
        <v>315.0</v>
      </c>
      <c r="K475" s="21">
        <f t="shared" si="4"/>
        <v>387647.97</v>
      </c>
      <c r="L475" s="23"/>
      <c r="M475" s="21">
        <f t="shared" si="7"/>
        <v>2077.38</v>
      </c>
    </row>
    <row r="476" ht="20.25" customHeight="1" outlineLevel="1">
      <c r="A476" s="12">
        <v>45943.0</v>
      </c>
      <c r="B476" s="13" t="s">
        <v>16</v>
      </c>
      <c r="C476" s="136" t="s">
        <v>466</v>
      </c>
      <c r="D476" s="20"/>
      <c r="E476" s="21">
        <f t="shared" si="1"/>
        <v>18855.97</v>
      </c>
      <c r="F476" s="76"/>
      <c r="G476" s="21">
        <f t="shared" si="2"/>
        <v>484674.51</v>
      </c>
      <c r="H476" s="23"/>
      <c r="I476" s="21">
        <f t="shared" si="6"/>
        <v>2515.82</v>
      </c>
      <c r="J476" s="27">
        <v>1373.5</v>
      </c>
      <c r="K476" s="21">
        <f t="shared" si="4"/>
        <v>389021.47</v>
      </c>
      <c r="L476" s="23"/>
      <c r="M476" s="21">
        <f t="shared" si="7"/>
        <v>2077.38</v>
      </c>
    </row>
    <row r="477" ht="20.25" customHeight="1" outlineLevel="1">
      <c r="A477" s="18">
        <v>45943.0</v>
      </c>
      <c r="B477" s="13" t="s">
        <v>16</v>
      </c>
      <c r="C477" s="97" t="s">
        <v>467</v>
      </c>
      <c r="D477" s="20"/>
      <c r="E477" s="21">
        <f t="shared" si="1"/>
        <v>18855.97</v>
      </c>
      <c r="F477" s="23"/>
      <c r="G477" s="21">
        <f t="shared" si="2"/>
        <v>484674.51</v>
      </c>
      <c r="H477" s="23"/>
      <c r="I477" s="21">
        <f t="shared" si="6"/>
        <v>2515.82</v>
      </c>
      <c r="J477" s="54">
        <v>1359.5</v>
      </c>
      <c r="K477" s="21">
        <f t="shared" si="4"/>
        <v>390380.97</v>
      </c>
      <c r="L477" s="23"/>
      <c r="M477" s="21">
        <f t="shared" si="7"/>
        <v>2077.38</v>
      </c>
    </row>
    <row r="478" ht="20.25" customHeight="1" outlineLevel="1">
      <c r="A478" s="18">
        <v>45943.0</v>
      </c>
      <c r="B478" s="13" t="s">
        <v>16</v>
      </c>
      <c r="C478" s="97" t="s">
        <v>468</v>
      </c>
      <c r="D478" s="20"/>
      <c r="E478" s="21">
        <f t="shared" si="1"/>
        <v>18855.97</v>
      </c>
      <c r="F478" s="23"/>
      <c r="G478" s="21">
        <f t="shared" si="2"/>
        <v>484674.51</v>
      </c>
      <c r="H478" s="23"/>
      <c r="I478" s="21">
        <f t="shared" si="6"/>
        <v>2515.82</v>
      </c>
      <c r="J478" s="54">
        <v>1437.0</v>
      </c>
      <c r="K478" s="21">
        <f t="shared" si="4"/>
        <v>391817.97</v>
      </c>
      <c r="L478" s="23"/>
      <c r="M478" s="21">
        <f t="shared" si="7"/>
        <v>2077.38</v>
      </c>
    </row>
    <row r="479" ht="20.25" customHeight="1" outlineLevel="1">
      <c r="A479" s="12">
        <v>45943.0</v>
      </c>
      <c r="B479" s="13" t="s">
        <v>428</v>
      </c>
      <c r="C479" s="96" t="s">
        <v>278</v>
      </c>
      <c r="D479" s="20"/>
      <c r="E479" s="21">
        <f t="shared" si="1"/>
        <v>18855.97</v>
      </c>
      <c r="F479" s="23"/>
      <c r="G479" s="21">
        <f t="shared" si="2"/>
        <v>484674.51</v>
      </c>
      <c r="H479" s="23">
        <v>8.01</v>
      </c>
      <c r="I479" s="21">
        <f t="shared" si="6"/>
        <v>2523.83</v>
      </c>
      <c r="J479" s="23"/>
      <c r="K479" s="21">
        <f t="shared" si="4"/>
        <v>391817.97</v>
      </c>
      <c r="L479" s="23"/>
      <c r="M479" s="21">
        <f t="shared" si="7"/>
        <v>2077.38</v>
      </c>
    </row>
    <row r="480" ht="20.25" customHeight="1" outlineLevel="1">
      <c r="A480" s="18">
        <v>45944.0</v>
      </c>
      <c r="B480" s="13" t="s">
        <v>16</v>
      </c>
      <c r="C480" s="131" t="s">
        <v>469</v>
      </c>
      <c r="D480" s="20">
        <v>120.0</v>
      </c>
      <c r="E480" s="21">
        <f t="shared" si="1"/>
        <v>18975.97</v>
      </c>
      <c r="F480" s="23"/>
      <c r="G480" s="21">
        <f t="shared" si="2"/>
        <v>484674.51</v>
      </c>
      <c r="H480" s="23"/>
      <c r="I480" s="21">
        <f t="shared" si="6"/>
        <v>2523.83</v>
      </c>
      <c r="J480" s="24"/>
      <c r="K480" s="21">
        <f t="shared" si="4"/>
        <v>391817.97</v>
      </c>
      <c r="L480" s="23"/>
      <c r="M480" s="21">
        <f t="shared" si="7"/>
        <v>2077.38</v>
      </c>
    </row>
    <row r="481" ht="20.25" customHeight="1" outlineLevel="1">
      <c r="A481" s="18">
        <v>45944.0</v>
      </c>
      <c r="B481" s="13" t="s">
        <v>179</v>
      </c>
      <c r="C481" s="103" t="s">
        <v>470</v>
      </c>
      <c r="D481" s="73">
        <v>-5000.0</v>
      </c>
      <c r="E481" s="21">
        <f t="shared" si="1"/>
        <v>13975.97</v>
      </c>
      <c r="F481" s="23"/>
      <c r="G481" s="21">
        <f t="shared" si="2"/>
        <v>484674.51</v>
      </c>
      <c r="H481" s="23"/>
      <c r="I481" s="21">
        <f t="shared" si="6"/>
        <v>2523.83</v>
      </c>
      <c r="J481" s="24"/>
      <c r="K481" s="21">
        <f t="shared" si="4"/>
        <v>391817.97</v>
      </c>
      <c r="L481" s="23"/>
      <c r="M481" s="21">
        <f t="shared" si="7"/>
        <v>2077.38</v>
      </c>
    </row>
    <row r="482" ht="20.25" customHeight="1" outlineLevel="1">
      <c r="A482" s="18">
        <v>45944.0</v>
      </c>
      <c r="B482" s="13" t="s">
        <v>471</v>
      </c>
      <c r="C482" s="83" t="s">
        <v>472</v>
      </c>
      <c r="D482" s="20"/>
      <c r="E482" s="21">
        <f t="shared" si="1"/>
        <v>13975.97</v>
      </c>
      <c r="F482" s="22">
        <v>-1812.5</v>
      </c>
      <c r="G482" s="21">
        <f t="shared" si="2"/>
        <v>482862.01</v>
      </c>
      <c r="H482" s="23"/>
      <c r="I482" s="21">
        <f t="shared" si="6"/>
        <v>2523.83</v>
      </c>
      <c r="J482" s="137"/>
      <c r="K482" s="21">
        <f t="shared" si="4"/>
        <v>391817.97</v>
      </c>
      <c r="L482" s="23"/>
      <c r="M482" s="21">
        <f t="shared" si="7"/>
        <v>2077.38</v>
      </c>
    </row>
    <row r="483" ht="20.25" customHeight="1" outlineLevel="1">
      <c r="A483" s="18">
        <v>45944.0</v>
      </c>
      <c r="B483" s="13" t="s">
        <v>137</v>
      </c>
      <c r="C483" s="138" t="s">
        <v>473</v>
      </c>
      <c r="D483" s="20"/>
      <c r="E483" s="21">
        <f t="shared" si="1"/>
        <v>13975.97</v>
      </c>
      <c r="F483" s="22">
        <v>-156.51</v>
      </c>
      <c r="G483" s="21">
        <f t="shared" si="2"/>
        <v>482705.5</v>
      </c>
      <c r="H483" s="23"/>
      <c r="I483" s="21">
        <f t="shared" si="6"/>
        <v>2523.83</v>
      </c>
      <c r="J483" s="137"/>
      <c r="K483" s="21">
        <f t="shared" si="4"/>
        <v>391817.97</v>
      </c>
      <c r="L483" s="23"/>
      <c r="M483" s="21">
        <f t="shared" si="7"/>
        <v>2077.38</v>
      </c>
    </row>
    <row r="484" ht="20.25" customHeight="1" outlineLevel="1">
      <c r="A484" s="18">
        <v>45944.0</v>
      </c>
      <c r="B484" s="13" t="s">
        <v>137</v>
      </c>
      <c r="C484" s="83" t="s">
        <v>474</v>
      </c>
      <c r="D484" s="20"/>
      <c r="E484" s="21">
        <f t="shared" si="1"/>
        <v>13975.97</v>
      </c>
      <c r="F484" s="22">
        <v>-635.96</v>
      </c>
      <c r="G484" s="21">
        <f t="shared" si="2"/>
        <v>482069.54</v>
      </c>
      <c r="H484" s="23"/>
      <c r="I484" s="21">
        <f t="shared" si="6"/>
        <v>2523.83</v>
      </c>
      <c r="J484" s="137"/>
      <c r="K484" s="21">
        <f t="shared" si="4"/>
        <v>391817.97</v>
      </c>
      <c r="L484" s="23"/>
      <c r="M484" s="21">
        <f t="shared" si="7"/>
        <v>2077.38</v>
      </c>
    </row>
    <row r="485" ht="20.25" customHeight="1" outlineLevel="1">
      <c r="A485" s="18">
        <v>45944.0</v>
      </c>
      <c r="B485" s="13" t="s">
        <v>137</v>
      </c>
      <c r="C485" s="83" t="s">
        <v>475</v>
      </c>
      <c r="D485" s="20"/>
      <c r="E485" s="21">
        <f t="shared" si="1"/>
        <v>13975.97</v>
      </c>
      <c r="F485" s="22">
        <v>-218.34</v>
      </c>
      <c r="G485" s="21">
        <f t="shared" si="2"/>
        <v>481851.2</v>
      </c>
      <c r="H485" s="23"/>
      <c r="I485" s="21">
        <f t="shared" si="6"/>
        <v>2523.83</v>
      </c>
      <c r="J485" s="137"/>
      <c r="K485" s="21">
        <f t="shared" si="4"/>
        <v>391817.97</v>
      </c>
      <c r="L485" s="23"/>
      <c r="M485" s="21">
        <f t="shared" si="7"/>
        <v>2077.38</v>
      </c>
    </row>
    <row r="486" ht="20.25" customHeight="1" outlineLevel="1">
      <c r="A486" s="12">
        <v>45944.0</v>
      </c>
      <c r="B486" s="13" t="s">
        <v>16</v>
      </c>
      <c r="C486" s="83" t="s">
        <v>476</v>
      </c>
      <c r="D486" s="20"/>
      <c r="E486" s="21">
        <f t="shared" si="1"/>
        <v>13975.97</v>
      </c>
      <c r="F486" s="27">
        <v>1675.0</v>
      </c>
      <c r="G486" s="21">
        <f t="shared" si="2"/>
        <v>483526.2</v>
      </c>
      <c r="H486" s="23"/>
      <c r="I486" s="21">
        <f t="shared" si="6"/>
        <v>2523.83</v>
      </c>
      <c r="J486" s="23"/>
      <c r="K486" s="21">
        <f t="shared" si="4"/>
        <v>391817.97</v>
      </c>
      <c r="L486" s="23"/>
      <c r="M486" s="21">
        <f t="shared" si="7"/>
        <v>2077.38</v>
      </c>
    </row>
    <row r="487" ht="20.25" customHeight="1" outlineLevel="1">
      <c r="A487" s="18">
        <v>45944.0</v>
      </c>
      <c r="B487" s="13" t="s">
        <v>16</v>
      </c>
      <c r="C487" s="83" t="s">
        <v>477</v>
      </c>
      <c r="D487" s="20"/>
      <c r="E487" s="21">
        <f t="shared" si="1"/>
        <v>13975.97</v>
      </c>
      <c r="F487" s="27">
        <v>635.0</v>
      </c>
      <c r="G487" s="21">
        <f t="shared" si="2"/>
        <v>484161.2</v>
      </c>
      <c r="H487" s="23"/>
      <c r="I487" s="21">
        <f t="shared" si="6"/>
        <v>2523.83</v>
      </c>
      <c r="J487" s="137"/>
      <c r="K487" s="21">
        <f t="shared" si="4"/>
        <v>391817.97</v>
      </c>
      <c r="L487" s="23"/>
      <c r="M487" s="21">
        <f t="shared" si="7"/>
        <v>2077.38</v>
      </c>
    </row>
    <row r="488" ht="20.25" customHeight="1" outlineLevel="1">
      <c r="A488" s="18">
        <v>45944.0</v>
      </c>
      <c r="B488" s="13" t="s">
        <v>16</v>
      </c>
      <c r="C488" s="83" t="s">
        <v>478</v>
      </c>
      <c r="D488" s="20"/>
      <c r="E488" s="21">
        <f t="shared" si="1"/>
        <v>13975.97</v>
      </c>
      <c r="F488" s="27">
        <v>542.0</v>
      </c>
      <c r="G488" s="21">
        <f t="shared" si="2"/>
        <v>484703.2</v>
      </c>
      <c r="H488" s="23"/>
      <c r="I488" s="21">
        <f t="shared" si="6"/>
        <v>2523.83</v>
      </c>
      <c r="J488" s="24"/>
      <c r="K488" s="21">
        <f t="shared" si="4"/>
        <v>391817.97</v>
      </c>
      <c r="L488" s="23"/>
      <c r="M488" s="21">
        <f t="shared" si="7"/>
        <v>2077.38</v>
      </c>
    </row>
    <row r="489" ht="20.25" customHeight="1" outlineLevel="1">
      <c r="A489" s="18">
        <v>45944.0</v>
      </c>
      <c r="B489" s="13" t="s">
        <v>16</v>
      </c>
      <c r="C489" s="83" t="s">
        <v>479</v>
      </c>
      <c r="D489" s="20"/>
      <c r="E489" s="21">
        <f t="shared" si="1"/>
        <v>13975.97</v>
      </c>
      <c r="F489" s="27">
        <v>3355.18</v>
      </c>
      <c r="G489" s="21">
        <f t="shared" si="2"/>
        <v>488058.38</v>
      </c>
      <c r="H489" s="23"/>
      <c r="I489" s="21">
        <f t="shared" si="6"/>
        <v>2523.83</v>
      </c>
      <c r="J489" s="24"/>
      <c r="K489" s="21">
        <f t="shared" si="4"/>
        <v>391817.97</v>
      </c>
      <c r="L489" s="23"/>
      <c r="M489" s="21">
        <f t="shared" si="7"/>
        <v>2077.38</v>
      </c>
    </row>
    <row r="490" ht="20.25" customHeight="1" outlineLevel="1">
      <c r="A490" s="18">
        <v>45944.0</v>
      </c>
      <c r="B490" s="13" t="s">
        <v>63</v>
      </c>
      <c r="C490" s="84" t="s">
        <v>480</v>
      </c>
      <c r="D490" s="20"/>
      <c r="E490" s="21">
        <f t="shared" si="1"/>
        <v>13975.97</v>
      </c>
      <c r="F490" s="51">
        <v>170.8</v>
      </c>
      <c r="G490" s="21">
        <f t="shared" si="2"/>
        <v>488229.18</v>
      </c>
      <c r="H490" s="23"/>
      <c r="I490" s="21">
        <f t="shared" si="6"/>
        <v>2523.83</v>
      </c>
      <c r="J490" s="24"/>
      <c r="K490" s="21">
        <f t="shared" si="4"/>
        <v>391817.97</v>
      </c>
      <c r="L490" s="23"/>
      <c r="M490" s="21">
        <f t="shared" si="7"/>
        <v>2077.38</v>
      </c>
    </row>
    <row r="491" ht="20.25" customHeight="1" outlineLevel="1">
      <c r="A491" s="12">
        <v>45944.0</v>
      </c>
      <c r="B491" s="13" t="s">
        <v>428</v>
      </c>
      <c r="C491" s="83" t="s">
        <v>481</v>
      </c>
      <c r="D491" s="20"/>
      <c r="E491" s="21">
        <f t="shared" si="1"/>
        <v>13975.97</v>
      </c>
      <c r="F491" s="27">
        <v>2000.0</v>
      </c>
      <c r="G491" s="21">
        <f t="shared" si="2"/>
        <v>490229.18</v>
      </c>
      <c r="H491" s="23"/>
      <c r="I491" s="21">
        <f t="shared" si="6"/>
        <v>2523.83</v>
      </c>
      <c r="J491" s="23"/>
      <c r="K491" s="21">
        <f t="shared" si="4"/>
        <v>391817.97</v>
      </c>
      <c r="L491" s="23"/>
      <c r="M491" s="21">
        <f t="shared" si="7"/>
        <v>2077.38</v>
      </c>
    </row>
    <row r="492" ht="20.25" customHeight="1" outlineLevel="1">
      <c r="A492" s="12">
        <v>45944.0</v>
      </c>
      <c r="B492" s="13" t="s">
        <v>179</v>
      </c>
      <c r="C492" s="83" t="s">
        <v>482</v>
      </c>
      <c r="D492" s="20"/>
      <c r="E492" s="21">
        <f t="shared" si="1"/>
        <v>13975.97</v>
      </c>
      <c r="F492" s="27">
        <v>5000.0</v>
      </c>
      <c r="G492" s="21">
        <f t="shared" si="2"/>
        <v>495229.18</v>
      </c>
      <c r="H492" s="23"/>
      <c r="I492" s="21">
        <f t="shared" si="6"/>
        <v>2523.83</v>
      </c>
      <c r="J492" s="23"/>
      <c r="K492" s="21">
        <f t="shared" si="4"/>
        <v>391817.97</v>
      </c>
      <c r="L492" s="23"/>
      <c r="M492" s="21">
        <f t="shared" si="7"/>
        <v>2077.38</v>
      </c>
    </row>
    <row r="493" ht="20.25" customHeight="1" outlineLevel="1">
      <c r="A493" s="18">
        <v>45944.0</v>
      </c>
      <c r="B493" s="13" t="s">
        <v>16</v>
      </c>
      <c r="C493" s="102" t="s">
        <v>483</v>
      </c>
      <c r="D493" s="20"/>
      <c r="E493" s="21">
        <f t="shared" si="1"/>
        <v>13975.97</v>
      </c>
      <c r="F493" s="23"/>
      <c r="G493" s="21">
        <f t="shared" si="2"/>
        <v>495229.18</v>
      </c>
      <c r="H493" s="23"/>
      <c r="I493" s="21">
        <f t="shared" si="6"/>
        <v>2523.83</v>
      </c>
      <c r="J493" s="60">
        <v>415.0</v>
      </c>
      <c r="K493" s="21">
        <f t="shared" si="4"/>
        <v>392232.97</v>
      </c>
      <c r="L493" s="23"/>
      <c r="M493" s="21">
        <f t="shared" si="7"/>
        <v>2077.38</v>
      </c>
    </row>
    <row r="494" ht="20.25" customHeight="1" outlineLevel="1">
      <c r="A494" s="18">
        <v>45944.0</v>
      </c>
      <c r="B494" s="13" t="s">
        <v>14</v>
      </c>
      <c r="C494" s="82" t="s">
        <v>34</v>
      </c>
      <c r="D494" s="20"/>
      <c r="E494" s="21">
        <f t="shared" si="1"/>
        <v>13975.97</v>
      </c>
      <c r="F494" s="23"/>
      <c r="G494" s="21">
        <f t="shared" si="2"/>
        <v>495229.18</v>
      </c>
      <c r="H494" s="23"/>
      <c r="I494" s="21">
        <f t="shared" si="6"/>
        <v>2523.83</v>
      </c>
      <c r="J494" s="53">
        <v>-570.48</v>
      </c>
      <c r="K494" s="21">
        <f t="shared" si="4"/>
        <v>391662.49</v>
      </c>
      <c r="L494" s="23"/>
      <c r="M494" s="21">
        <f t="shared" si="7"/>
        <v>2077.38</v>
      </c>
    </row>
    <row r="495" ht="20.25" customHeight="1" outlineLevel="1">
      <c r="A495" s="18">
        <v>45944.0</v>
      </c>
      <c r="B495" s="13" t="s">
        <v>16</v>
      </c>
      <c r="C495" s="102" t="s">
        <v>484</v>
      </c>
      <c r="D495" s="20"/>
      <c r="E495" s="21">
        <f t="shared" si="1"/>
        <v>13975.97</v>
      </c>
      <c r="F495" s="23"/>
      <c r="G495" s="21">
        <f t="shared" si="2"/>
        <v>495229.18</v>
      </c>
      <c r="H495" s="23"/>
      <c r="I495" s="21">
        <f t="shared" si="6"/>
        <v>2523.83</v>
      </c>
      <c r="J495" s="60">
        <v>351.5</v>
      </c>
      <c r="K495" s="21">
        <f t="shared" si="4"/>
        <v>392013.99</v>
      </c>
      <c r="L495" s="23"/>
      <c r="M495" s="21">
        <f t="shared" si="7"/>
        <v>2077.38</v>
      </c>
    </row>
    <row r="496" ht="20.25" customHeight="1" outlineLevel="1">
      <c r="A496" s="12">
        <v>45944.0</v>
      </c>
      <c r="B496" s="13" t="s">
        <v>16</v>
      </c>
      <c r="C496" s="97" t="s">
        <v>485</v>
      </c>
      <c r="D496" s="20"/>
      <c r="E496" s="21">
        <f t="shared" si="1"/>
        <v>13975.97</v>
      </c>
      <c r="F496" s="76"/>
      <c r="G496" s="21">
        <f t="shared" si="2"/>
        <v>495229.18</v>
      </c>
      <c r="H496" s="23"/>
      <c r="I496" s="21">
        <f t="shared" si="6"/>
        <v>2523.83</v>
      </c>
      <c r="J496" s="27">
        <v>2395.0</v>
      </c>
      <c r="K496" s="21">
        <f t="shared" si="4"/>
        <v>394408.99</v>
      </c>
      <c r="L496" s="23"/>
      <c r="M496" s="21">
        <f t="shared" si="7"/>
        <v>2077.38</v>
      </c>
    </row>
    <row r="497" ht="20.25" customHeight="1" outlineLevel="1">
      <c r="A497" s="12">
        <v>45944.0</v>
      </c>
      <c r="B497" s="13" t="s">
        <v>16</v>
      </c>
      <c r="C497" s="97" t="s">
        <v>486</v>
      </c>
      <c r="D497" s="20"/>
      <c r="E497" s="21">
        <f t="shared" si="1"/>
        <v>13975.97</v>
      </c>
      <c r="F497" s="23"/>
      <c r="G497" s="21">
        <f t="shared" si="2"/>
        <v>495229.18</v>
      </c>
      <c r="H497" s="23"/>
      <c r="I497" s="21">
        <f t="shared" si="6"/>
        <v>2523.83</v>
      </c>
      <c r="J497" s="27">
        <v>365.0</v>
      </c>
      <c r="K497" s="21">
        <f t="shared" si="4"/>
        <v>394773.99</v>
      </c>
      <c r="L497" s="23"/>
      <c r="M497" s="21">
        <f t="shared" si="7"/>
        <v>2077.38</v>
      </c>
    </row>
    <row r="498" ht="20.25" customHeight="1" outlineLevel="1">
      <c r="A498" s="12">
        <v>45944.0</v>
      </c>
      <c r="B498" s="13" t="s">
        <v>16</v>
      </c>
      <c r="C498" s="139" t="s">
        <v>487</v>
      </c>
      <c r="D498" s="20"/>
      <c r="E498" s="21">
        <f t="shared" si="1"/>
        <v>13975.97</v>
      </c>
      <c r="F498" s="23"/>
      <c r="G498" s="21">
        <f t="shared" si="2"/>
        <v>495229.18</v>
      </c>
      <c r="H498" s="23"/>
      <c r="I498" s="21">
        <f t="shared" si="6"/>
        <v>2523.83</v>
      </c>
      <c r="J498" s="35">
        <v>395.0</v>
      </c>
      <c r="K498" s="21">
        <f t="shared" si="4"/>
        <v>395168.99</v>
      </c>
      <c r="L498" s="23"/>
      <c r="M498" s="21">
        <f t="shared" si="7"/>
        <v>2077.38</v>
      </c>
    </row>
    <row r="499" ht="20.25" customHeight="1" outlineLevel="1">
      <c r="A499" s="12">
        <v>45944.0</v>
      </c>
      <c r="B499" s="13" t="s">
        <v>16</v>
      </c>
      <c r="C499" s="139" t="s">
        <v>488</v>
      </c>
      <c r="D499" s="20"/>
      <c r="E499" s="21">
        <f t="shared" si="1"/>
        <v>13975.97</v>
      </c>
      <c r="F499" s="23"/>
      <c r="G499" s="21">
        <f t="shared" si="2"/>
        <v>495229.18</v>
      </c>
      <c r="H499" s="23"/>
      <c r="I499" s="21">
        <f t="shared" si="6"/>
        <v>2523.83</v>
      </c>
      <c r="J499" s="35">
        <v>395.0</v>
      </c>
      <c r="K499" s="21">
        <f t="shared" si="4"/>
        <v>395563.99</v>
      </c>
      <c r="L499" s="23"/>
      <c r="M499" s="21">
        <f t="shared" si="7"/>
        <v>2077.38</v>
      </c>
    </row>
    <row r="500" ht="20.25" customHeight="1" outlineLevel="1">
      <c r="A500" s="12">
        <v>45944.0</v>
      </c>
      <c r="B500" s="13" t="s">
        <v>471</v>
      </c>
      <c r="C500" s="133" t="s">
        <v>489</v>
      </c>
      <c r="D500" s="20"/>
      <c r="E500" s="21">
        <f t="shared" si="1"/>
        <v>13975.97</v>
      </c>
      <c r="F500" s="23"/>
      <c r="G500" s="21">
        <f t="shared" si="2"/>
        <v>495229.18</v>
      </c>
      <c r="H500" s="23"/>
      <c r="I500" s="21">
        <f t="shared" si="6"/>
        <v>2523.83</v>
      </c>
      <c r="J500" s="22">
        <v>-56807.0</v>
      </c>
      <c r="K500" s="21">
        <f t="shared" si="4"/>
        <v>338756.99</v>
      </c>
      <c r="L500" s="23"/>
      <c r="M500" s="21">
        <f t="shared" si="7"/>
        <v>2077.38</v>
      </c>
    </row>
    <row r="501" ht="20.25" customHeight="1" outlineLevel="1">
      <c r="A501" s="12">
        <v>45944.0</v>
      </c>
      <c r="B501" s="13" t="s">
        <v>14</v>
      </c>
      <c r="C501" s="133" t="s">
        <v>490</v>
      </c>
      <c r="D501" s="20"/>
      <c r="E501" s="21">
        <f t="shared" si="1"/>
        <v>13975.97</v>
      </c>
      <c r="F501" s="23"/>
      <c r="G501" s="21">
        <f t="shared" si="2"/>
        <v>495229.18</v>
      </c>
      <c r="H501" s="23"/>
      <c r="I501" s="21">
        <f t="shared" si="6"/>
        <v>2523.83</v>
      </c>
      <c r="J501" s="22">
        <v>-0.5</v>
      </c>
      <c r="K501" s="21">
        <f t="shared" si="4"/>
        <v>338756.49</v>
      </c>
      <c r="L501" s="23"/>
      <c r="M501" s="21">
        <f t="shared" si="7"/>
        <v>2077.38</v>
      </c>
    </row>
    <row r="502" ht="20.25" customHeight="1" outlineLevel="1">
      <c r="A502" s="12">
        <v>45944.0</v>
      </c>
      <c r="B502" s="13" t="s">
        <v>14</v>
      </c>
      <c r="C502" s="140" t="s">
        <v>491</v>
      </c>
      <c r="D502" s="20"/>
      <c r="E502" s="21">
        <f t="shared" si="1"/>
        <v>13975.97</v>
      </c>
      <c r="F502" s="23"/>
      <c r="G502" s="21">
        <f t="shared" si="2"/>
        <v>495229.18</v>
      </c>
      <c r="H502" s="22">
        <v>-26.22</v>
      </c>
      <c r="I502" s="21">
        <f t="shared" si="6"/>
        <v>2497.61</v>
      </c>
      <c r="J502" s="23"/>
      <c r="K502" s="21">
        <f t="shared" si="4"/>
        <v>338756.49</v>
      </c>
      <c r="L502" s="23"/>
      <c r="M502" s="21">
        <f t="shared" si="7"/>
        <v>2077.38</v>
      </c>
    </row>
    <row r="503" ht="20.25" customHeight="1" outlineLevel="1">
      <c r="A503" s="12">
        <v>45945.0</v>
      </c>
      <c r="B503" s="13" t="s">
        <v>16</v>
      </c>
      <c r="C503" s="140" t="s">
        <v>492</v>
      </c>
      <c r="D503" s="20">
        <v>287.5</v>
      </c>
      <c r="E503" s="21">
        <f t="shared" si="1"/>
        <v>14263.47</v>
      </c>
      <c r="F503" s="23"/>
      <c r="G503" s="21">
        <f t="shared" si="2"/>
        <v>495229.18</v>
      </c>
      <c r="H503" s="23"/>
      <c r="I503" s="21">
        <f t="shared" si="6"/>
        <v>2497.61</v>
      </c>
      <c r="J503" s="24"/>
      <c r="K503" s="21">
        <f t="shared" si="4"/>
        <v>338756.49</v>
      </c>
      <c r="L503" s="23"/>
      <c r="M503" s="21">
        <f t="shared" si="7"/>
        <v>2077.38</v>
      </c>
    </row>
    <row r="504" ht="20.25" customHeight="1" outlineLevel="1">
      <c r="A504" s="18">
        <v>45945.0</v>
      </c>
      <c r="B504" s="13" t="s">
        <v>16</v>
      </c>
      <c r="C504" s="141" t="s">
        <v>493</v>
      </c>
      <c r="D504" s="20"/>
      <c r="E504" s="21">
        <f t="shared" si="1"/>
        <v>14263.47</v>
      </c>
      <c r="F504" s="51">
        <v>336.0</v>
      </c>
      <c r="G504" s="21">
        <f t="shared" si="2"/>
        <v>495565.18</v>
      </c>
      <c r="H504" s="23"/>
      <c r="I504" s="21">
        <f t="shared" si="6"/>
        <v>2497.61</v>
      </c>
      <c r="J504" s="24"/>
      <c r="K504" s="21">
        <f t="shared" si="4"/>
        <v>338756.49</v>
      </c>
      <c r="L504" s="23"/>
      <c r="M504" s="21">
        <f t="shared" si="7"/>
        <v>2077.38</v>
      </c>
    </row>
    <row r="505" ht="20.25" customHeight="1" outlineLevel="1">
      <c r="A505" s="18">
        <v>45945.0</v>
      </c>
      <c r="B505" s="13" t="s">
        <v>63</v>
      </c>
      <c r="C505" s="141" t="s">
        <v>494</v>
      </c>
      <c r="D505" s="20"/>
      <c r="E505" s="21">
        <f t="shared" si="1"/>
        <v>14263.47</v>
      </c>
      <c r="F505" s="51">
        <v>122.0</v>
      </c>
      <c r="G505" s="21">
        <f t="shared" si="2"/>
        <v>495687.18</v>
      </c>
      <c r="H505" s="23"/>
      <c r="I505" s="21">
        <f t="shared" si="6"/>
        <v>2497.61</v>
      </c>
      <c r="J505" s="24"/>
      <c r="K505" s="21">
        <f t="shared" si="4"/>
        <v>338756.49</v>
      </c>
      <c r="L505" s="23"/>
      <c r="M505" s="21">
        <f t="shared" si="7"/>
        <v>2077.38</v>
      </c>
    </row>
    <row r="506" ht="20.25" customHeight="1" outlineLevel="1">
      <c r="A506" s="18">
        <v>45945.0</v>
      </c>
      <c r="B506" s="13" t="s">
        <v>16</v>
      </c>
      <c r="C506" s="139" t="s">
        <v>495</v>
      </c>
      <c r="D506" s="20"/>
      <c r="E506" s="21">
        <f t="shared" si="1"/>
        <v>14263.47</v>
      </c>
      <c r="F506" s="23"/>
      <c r="G506" s="21">
        <f t="shared" si="2"/>
        <v>495687.18</v>
      </c>
      <c r="H506" s="23"/>
      <c r="I506" s="21">
        <f t="shared" si="6"/>
        <v>2497.61</v>
      </c>
      <c r="J506" s="35">
        <v>415.0</v>
      </c>
      <c r="K506" s="21">
        <f t="shared" si="4"/>
        <v>339171.49</v>
      </c>
      <c r="L506" s="23"/>
      <c r="M506" s="21">
        <f t="shared" si="7"/>
        <v>2077.38</v>
      </c>
    </row>
    <row r="507" ht="20.25" customHeight="1" outlineLevel="1">
      <c r="A507" s="18">
        <v>45945.0</v>
      </c>
      <c r="B507" s="13" t="s">
        <v>368</v>
      </c>
      <c r="C507" s="142" t="s">
        <v>496</v>
      </c>
      <c r="D507" s="20"/>
      <c r="E507" s="21">
        <f t="shared" si="1"/>
        <v>14263.47</v>
      </c>
      <c r="F507" s="143">
        <v>-1100.0</v>
      </c>
      <c r="G507" s="21">
        <f t="shared" si="2"/>
        <v>494587.18</v>
      </c>
      <c r="H507" s="23"/>
      <c r="I507" s="21">
        <f t="shared" si="6"/>
        <v>2497.61</v>
      </c>
      <c r="J507" s="137"/>
      <c r="K507" s="21">
        <f t="shared" si="4"/>
        <v>339171.49</v>
      </c>
      <c r="L507" s="23"/>
      <c r="M507" s="21">
        <f t="shared" si="7"/>
        <v>2077.38</v>
      </c>
    </row>
    <row r="508" ht="20.25" customHeight="1" outlineLevel="1">
      <c r="A508" s="18">
        <v>45945.0</v>
      </c>
      <c r="B508" s="13" t="s">
        <v>16</v>
      </c>
      <c r="C508" s="142" t="s">
        <v>497</v>
      </c>
      <c r="D508" s="20"/>
      <c r="E508" s="21">
        <f t="shared" si="1"/>
        <v>14263.47</v>
      </c>
      <c r="F508" s="27">
        <v>20.0</v>
      </c>
      <c r="G508" s="21">
        <f t="shared" si="2"/>
        <v>494607.18</v>
      </c>
      <c r="H508" s="23"/>
      <c r="I508" s="21">
        <f t="shared" si="6"/>
        <v>2497.61</v>
      </c>
      <c r="J508" s="137"/>
      <c r="K508" s="21">
        <f t="shared" si="4"/>
        <v>339171.49</v>
      </c>
      <c r="L508" s="23"/>
      <c r="M508" s="21">
        <f t="shared" si="7"/>
        <v>2077.38</v>
      </c>
    </row>
    <row r="509" ht="20.25" customHeight="1" outlineLevel="1">
      <c r="A509" s="18">
        <v>45945.0</v>
      </c>
      <c r="B509" s="13" t="s">
        <v>16</v>
      </c>
      <c r="C509" s="140" t="s">
        <v>498</v>
      </c>
      <c r="D509" s="20"/>
      <c r="E509" s="21">
        <f t="shared" si="1"/>
        <v>14263.47</v>
      </c>
      <c r="F509" s="26">
        <v>212.0</v>
      </c>
      <c r="G509" s="21">
        <f t="shared" si="2"/>
        <v>494819.18</v>
      </c>
      <c r="H509" s="23"/>
      <c r="I509" s="21">
        <f t="shared" si="6"/>
        <v>2497.61</v>
      </c>
      <c r="J509" s="24"/>
      <c r="K509" s="21">
        <f t="shared" si="4"/>
        <v>339171.49</v>
      </c>
      <c r="L509" s="23"/>
      <c r="M509" s="21">
        <f t="shared" si="7"/>
        <v>2077.38</v>
      </c>
    </row>
    <row r="510" ht="20.25" customHeight="1" outlineLevel="1">
      <c r="A510" s="18">
        <v>45945.0</v>
      </c>
      <c r="B510" s="13" t="s">
        <v>16</v>
      </c>
      <c r="C510" s="140" t="s">
        <v>499</v>
      </c>
      <c r="D510" s="20"/>
      <c r="E510" s="21">
        <f t="shared" si="1"/>
        <v>14263.47</v>
      </c>
      <c r="F510" s="27">
        <v>2143.89</v>
      </c>
      <c r="G510" s="21">
        <f t="shared" si="2"/>
        <v>496963.07</v>
      </c>
      <c r="H510" s="23"/>
      <c r="I510" s="21">
        <f t="shared" si="6"/>
        <v>2497.61</v>
      </c>
      <c r="J510" s="24"/>
      <c r="K510" s="21">
        <f t="shared" si="4"/>
        <v>339171.49</v>
      </c>
      <c r="L510" s="23"/>
      <c r="M510" s="21">
        <f t="shared" si="7"/>
        <v>2077.38</v>
      </c>
    </row>
    <row r="511" ht="20.25" customHeight="1" outlineLevel="1">
      <c r="A511" s="18">
        <v>45945.0</v>
      </c>
      <c r="B511" s="13" t="s">
        <v>16</v>
      </c>
      <c r="C511" s="140" t="s">
        <v>500</v>
      </c>
      <c r="D511" s="20"/>
      <c r="E511" s="21">
        <f t="shared" si="1"/>
        <v>14263.47</v>
      </c>
      <c r="F511" s="27">
        <v>875.0</v>
      </c>
      <c r="G511" s="21">
        <f t="shared" si="2"/>
        <v>497838.07</v>
      </c>
      <c r="H511" s="23"/>
      <c r="I511" s="21">
        <f t="shared" si="6"/>
        <v>2497.61</v>
      </c>
      <c r="J511" s="24"/>
      <c r="K511" s="21">
        <f t="shared" si="4"/>
        <v>339171.49</v>
      </c>
      <c r="L511" s="23"/>
      <c r="M511" s="21">
        <f t="shared" si="7"/>
        <v>2077.38</v>
      </c>
    </row>
    <row r="512" ht="20.25" customHeight="1" outlineLevel="1">
      <c r="A512" s="18">
        <v>45945.0</v>
      </c>
      <c r="B512" s="13" t="s">
        <v>16</v>
      </c>
      <c r="C512" s="144" t="s">
        <v>501</v>
      </c>
      <c r="D512" s="20"/>
      <c r="E512" s="21">
        <f t="shared" si="1"/>
        <v>14263.47</v>
      </c>
      <c r="F512" s="23"/>
      <c r="G512" s="21">
        <f t="shared" si="2"/>
        <v>497838.07</v>
      </c>
      <c r="H512" s="23"/>
      <c r="I512" s="21">
        <f t="shared" si="6"/>
        <v>2497.61</v>
      </c>
      <c r="J512" s="60">
        <v>825.0</v>
      </c>
      <c r="K512" s="21">
        <f t="shared" si="4"/>
        <v>339996.49</v>
      </c>
      <c r="L512" s="23"/>
      <c r="M512" s="21">
        <f t="shared" si="7"/>
        <v>2077.38</v>
      </c>
    </row>
    <row r="513" ht="20.25" customHeight="1" outlineLevel="1">
      <c r="A513" s="18">
        <v>45945.0</v>
      </c>
      <c r="B513" s="13" t="s">
        <v>16</v>
      </c>
      <c r="C513" s="96" t="s">
        <v>502</v>
      </c>
      <c r="D513" s="20"/>
      <c r="E513" s="21">
        <f t="shared" si="1"/>
        <v>14263.47</v>
      </c>
      <c r="F513" s="23"/>
      <c r="G513" s="21">
        <f t="shared" si="2"/>
        <v>497838.07</v>
      </c>
      <c r="H513" s="23"/>
      <c r="I513" s="21">
        <f t="shared" si="6"/>
        <v>2497.61</v>
      </c>
      <c r="J513" s="54">
        <v>1270.0</v>
      </c>
      <c r="K513" s="21">
        <f t="shared" si="4"/>
        <v>341266.49</v>
      </c>
      <c r="L513" s="23"/>
      <c r="M513" s="21">
        <f t="shared" si="7"/>
        <v>2077.38</v>
      </c>
    </row>
    <row r="514" ht="20.25" customHeight="1" outlineLevel="1">
      <c r="A514" s="12">
        <v>45945.0</v>
      </c>
      <c r="B514" s="13" t="s">
        <v>16</v>
      </c>
      <c r="C514" s="96" t="s">
        <v>503</v>
      </c>
      <c r="D514" s="20"/>
      <c r="E514" s="21">
        <f t="shared" si="1"/>
        <v>14263.47</v>
      </c>
      <c r="F514" s="23"/>
      <c r="G514" s="21">
        <f t="shared" si="2"/>
        <v>497838.07</v>
      </c>
      <c r="H514" s="23"/>
      <c r="I514" s="21">
        <f t="shared" si="6"/>
        <v>2497.61</v>
      </c>
      <c r="J514" s="27">
        <v>1877.0</v>
      </c>
      <c r="K514" s="21">
        <f t="shared" si="4"/>
        <v>343143.49</v>
      </c>
      <c r="L514" s="23"/>
      <c r="M514" s="21">
        <f t="shared" si="7"/>
        <v>2077.38</v>
      </c>
    </row>
    <row r="515" ht="20.25" customHeight="1" outlineLevel="1">
      <c r="A515" s="30">
        <v>45946.0</v>
      </c>
      <c r="B515" s="13" t="s">
        <v>16</v>
      </c>
      <c r="C515" s="96" t="s">
        <v>504</v>
      </c>
      <c r="D515" s="20"/>
      <c r="E515" s="21">
        <f t="shared" si="1"/>
        <v>14263.47</v>
      </c>
      <c r="F515" s="31">
        <v>280.95</v>
      </c>
      <c r="G515" s="21">
        <f t="shared" si="2"/>
        <v>498119.02</v>
      </c>
      <c r="H515" s="23"/>
      <c r="I515" s="21">
        <f t="shared" si="6"/>
        <v>2497.61</v>
      </c>
      <c r="J515" s="23"/>
      <c r="K515" s="21">
        <f t="shared" si="4"/>
        <v>343143.49</v>
      </c>
      <c r="L515" s="23"/>
      <c r="M515" s="21">
        <f t="shared" si="7"/>
        <v>2077.38</v>
      </c>
    </row>
    <row r="516" ht="20.25" customHeight="1" outlineLevel="1">
      <c r="A516" s="30">
        <v>45946.0</v>
      </c>
      <c r="B516" s="13" t="s">
        <v>16</v>
      </c>
      <c r="C516" s="96" t="s">
        <v>505</v>
      </c>
      <c r="D516" s="20"/>
      <c r="E516" s="21">
        <f t="shared" si="1"/>
        <v>14263.47</v>
      </c>
      <c r="F516" s="31">
        <v>815.0</v>
      </c>
      <c r="G516" s="21">
        <f t="shared" si="2"/>
        <v>498934.02</v>
      </c>
      <c r="H516" s="23"/>
      <c r="I516" s="21">
        <f t="shared" si="6"/>
        <v>2497.61</v>
      </c>
      <c r="J516" s="23"/>
      <c r="K516" s="21">
        <f t="shared" si="4"/>
        <v>343143.49</v>
      </c>
      <c r="L516" s="23"/>
      <c r="M516" s="21">
        <f t="shared" si="7"/>
        <v>2077.38</v>
      </c>
    </row>
    <row r="517" ht="20.25" customHeight="1" outlineLevel="1">
      <c r="A517" s="30">
        <v>45946.0</v>
      </c>
      <c r="B517" s="13" t="s">
        <v>16</v>
      </c>
      <c r="C517" s="96" t="s">
        <v>506</v>
      </c>
      <c r="D517" s="20"/>
      <c r="E517" s="21">
        <f t="shared" si="1"/>
        <v>14263.47</v>
      </c>
      <c r="F517" s="26">
        <v>699.0</v>
      </c>
      <c r="G517" s="21">
        <f t="shared" si="2"/>
        <v>499633.02</v>
      </c>
      <c r="H517" s="23"/>
      <c r="I517" s="21">
        <f t="shared" si="6"/>
        <v>2497.61</v>
      </c>
      <c r="J517" s="23"/>
      <c r="K517" s="21">
        <f t="shared" si="4"/>
        <v>343143.49</v>
      </c>
      <c r="L517" s="23"/>
      <c r="M517" s="21">
        <f t="shared" si="7"/>
        <v>2077.38</v>
      </c>
    </row>
    <row r="518" ht="20.25" customHeight="1" outlineLevel="1">
      <c r="A518" s="30">
        <v>45946.0</v>
      </c>
      <c r="B518" s="13" t="s">
        <v>16</v>
      </c>
      <c r="C518" s="96" t="s">
        <v>507</v>
      </c>
      <c r="D518" s="20"/>
      <c r="E518" s="21">
        <f t="shared" si="1"/>
        <v>14263.47</v>
      </c>
      <c r="F518" s="27">
        <v>1650.0</v>
      </c>
      <c r="G518" s="21">
        <f t="shared" si="2"/>
        <v>501283.02</v>
      </c>
      <c r="H518" s="23"/>
      <c r="I518" s="21">
        <f t="shared" si="6"/>
        <v>2497.61</v>
      </c>
      <c r="J518" s="23"/>
      <c r="K518" s="21">
        <f t="shared" si="4"/>
        <v>343143.49</v>
      </c>
      <c r="L518" s="23"/>
      <c r="M518" s="21">
        <f t="shared" si="7"/>
        <v>2077.38</v>
      </c>
    </row>
    <row r="519" ht="20.25" customHeight="1" outlineLevel="1">
      <c r="A519" s="12">
        <v>45946.0</v>
      </c>
      <c r="B519" s="13" t="s">
        <v>174</v>
      </c>
      <c r="C519" s="96" t="s">
        <v>508</v>
      </c>
      <c r="D519" s="20"/>
      <c r="E519" s="21">
        <f t="shared" si="1"/>
        <v>14263.47</v>
      </c>
      <c r="F519" s="23"/>
      <c r="G519" s="21">
        <f t="shared" si="2"/>
        <v>501283.02</v>
      </c>
      <c r="H519" s="23"/>
      <c r="I519" s="21">
        <f t="shared" si="6"/>
        <v>2497.61</v>
      </c>
      <c r="J519" s="22">
        <v>-14048.14</v>
      </c>
      <c r="K519" s="21">
        <f t="shared" si="4"/>
        <v>329095.35</v>
      </c>
      <c r="L519" s="23"/>
      <c r="M519" s="21">
        <f t="shared" si="7"/>
        <v>2077.38</v>
      </c>
    </row>
    <row r="520" ht="20.25" customHeight="1" outlineLevel="1">
      <c r="A520" s="12">
        <v>45946.0</v>
      </c>
      <c r="B520" s="13" t="s">
        <v>174</v>
      </c>
      <c r="C520" s="145" t="s">
        <v>509</v>
      </c>
      <c r="D520" s="20"/>
      <c r="E520" s="21">
        <f t="shared" si="1"/>
        <v>14263.47</v>
      </c>
      <c r="F520" s="23"/>
      <c r="G520" s="21">
        <f t="shared" si="2"/>
        <v>501283.02</v>
      </c>
      <c r="H520" s="23"/>
      <c r="I520" s="21">
        <f t="shared" si="6"/>
        <v>2497.61</v>
      </c>
      <c r="J520" s="22">
        <v>-17.19</v>
      </c>
      <c r="K520" s="21">
        <f t="shared" si="4"/>
        <v>329078.16</v>
      </c>
      <c r="L520" s="23"/>
      <c r="M520" s="21">
        <f t="shared" si="7"/>
        <v>2077.38</v>
      </c>
    </row>
    <row r="521" ht="20.25" customHeight="1" outlineLevel="1">
      <c r="A521" s="12">
        <v>45946.0</v>
      </c>
      <c r="B521" s="13" t="s">
        <v>16</v>
      </c>
      <c r="C521" s="146" t="s">
        <v>510</v>
      </c>
      <c r="D521" s="20"/>
      <c r="E521" s="21">
        <f t="shared" si="1"/>
        <v>14263.47</v>
      </c>
      <c r="F521" s="23"/>
      <c r="G521" s="21">
        <f t="shared" si="2"/>
        <v>501283.02</v>
      </c>
      <c r="H521" s="23"/>
      <c r="I521" s="21">
        <f t="shared" si="6"/>
        <v>2497.61</v>
      </c>
      <c r="J521" s="35">
        <v>131.0</v>
      </c>
      <c r="K521" s="21">
        <f t="shared" si="4"/>
        <v>329209.16</v>
      </c>
      <c r="L521" s="23"/>
      <c r="M521" s="21">
        <f t="shared" si="7"/>
        <v>2077.38</v>
      </c>
    </row>
    <row r="522" ht="20.25" customHeight="1" outlineLevel="1">
      <c r="A522" s="12">
        <v>45946.0</v>
      </c>
      <c r="B522" s="13" t="s">
        <v>16</v>
      </c>
      <c r="C522" s="132" t="s">
        <v>511</v>
      </c>
      <c r="D522" s="20"/>
      <c r="E522" s="21">
        <f t="shared" si="1"/>
        <v>14263.47</v>
      </c>
      <c r="F522" s="23"/>
      <c r="G522" s="21">
        <f t="shared" si="2"/>
        <v>501283.02</v>
      </c>
      <c r="H522" s="23"/>
      <c r="I522" s="21">
        <f t="shared" si="6"/>
        <v>2497.61</v>
      </c>
      <c r="J522" s="35">
        <v>390.0</v>
      </c>
      <c r="K522" s="21">
        <f t="shared" si="4"/>
        <v>329599.16</v>
      </c>
      <c r="L522" s="23"/>
      <c r="M522" s="21">
        <f t="shared" si="7"/>
        <v>2077.38</v>
      </c>
    </row>
    <row r="523" ht="20.25" customHeight="1" outlineLevel="1">
      <c r="A523" s="18">
        <v>45946.0</v>
      </c>
      <c r="B523" s="13" t="s">
        <v>16</v>
      </c>
      <c r="C523" s="131" t="s">
        <v>512</v>
      </c>
      <c r="D523" s="20"/>
      <c r="E523" s="21">
        <f t="shared" si="1"/>
        <v>14263.47</v>
      </c>
      <c r="F523" s="23"/>
      <c r="G523" s="21">
        <f t="shared" si="2"/>
        <v>501283.02</v>
      </c>
      <c r="H523" s="23"/>
      <c r="I523" s="21">
        <f t="shared" si="6"/>
        <v>2497.61</v>
      </c>
      <c r="J523" s="54">
        <v>2145.0</v>
      </c>
      <c r="K523" s="21">
        <f t="shared" si="4"/>
        <v>331744.16</v>
      </c>
      <c r="L523" s="23"/>
      <c r="M523" s="21">
        <f t="shared" si="7"/>
        <v>2077.38</v>
      </c>
    </row>
    <row r="524" ht="20.25" customHeight="1" outlineLevel="1">
      <c r="A524" s="18">
        <v>45946.0</v>
      </c>
      <c r="B524" s="13" t="s">
        <v>16</v>
      </c>
      <c r="C524" s="131" t="s">
        <v>513</v>
      </c>
      <c r="D524" s="20"/>
      <c r="E524" s="21">
        <f t="shared" si="1"/>
        <v>14263.47</v>
      </c>
      <c r="F524" s="23"/>
      <c r="G524" s="21">
        <f t="shared" si="2"/>
        <v>501283.02</v>
      </c>
      <c r="H524" s="23"/>
      <c r="I524" s="21">
        <f t="shared" si="6"/>
        <v>2497.61</v>
      </c>
      <c r="J524" s="54">
        <v>1170.0</v>
      </c>
      <c r="K524" s="21">
        <f t="shared" si="4"/>
        <v>332914.16</v>
      </c>
      <c r="L524" s="23"/>
      <c r="M524" s="21">
        <f t="shared" si="7"/>
        <v>2077.38</v>
      </c>
    </row>
    <row r="525" ht="20.25" customHeight="1" outlineLevel="1">
      <c r="A525" s="147">
        <v>45946.0</v>
      </c>
      <c r="B525" s="13" t="s">
        <v>16</v>
      </c>
      <c r="C525" s="132" t="s">
        <v>514</v>
      </c>
      <c r="D525" s="20"/>
      <c r="E525" s="21">
        <f t="shared" si="1"/>
        <v>14263.47</v>
      </c>
      <c r="F525" s="23"/>
      <c r="G525" s="21">
        <f t="shared" si="2"/>
        <v>501283.02</v>
      </c>
      <c r="H525" s="23"/>
      <c r="I525" s="21">
        <f t="shared" si="6"/>
        <v>2497.61</v>
      </c>
      <c r="J525" s="60">
        <v>415.0</v>
      </c>
      <c r="K525" s="21">
        <f t="shared" si="4"/>
        <v>333329.16</v>
      </c>
      <c r="L525" s="23"/>
      <c r="M525" s="21">
        <f t="shared" si="7"/>
        <v>2077.38</v>
      </c>
    </row>
    <row r="526" ht="20.25" customHeight="1" outlineLevel="1">
      <c r="A526" s="147">
        <v>45946.0</v>
      </c>
      <c r="B526" s="13" t="s">
        <v>16</v>
      </c>
      <c r="C526" s="148" t="s">
        <v>515</v>
      </c>
      <c r="D526" s="20">
        <v>445.0</v>
      </c>
      <c r="E526" s="21">
        <f t="shared" si="1"/>
        <v>14708.47</v>
      </c>
      <c r="F526" s="23"/>
      <c r="G526" s="21">
        <f t="shared" si="2"/>
        <v>501283.02</v>
      </c>
      <c r="H526" s="23"/>
      <c r="I526" s="21">
        <f t="shared" si="6"/>
        <v>2497.61</v>
      </c>
      <c r="J526" s="24"/>
      <c r="K526" s="21">
        <f t="shared" si="4"/>
        <v>333329.16</v>
      </c>
      <c r="L526" s="23"/>
      <c r="M526" s="21">
        <f t="shared" si="7"/>
        <v>2077.38</v>
      </c>
    </row>
    <row r="527" ht="20.25" customHeight="1" outlineLevel="1">
      <c r="A527" s="12">
        <v>45946.0</v>
      </c>
      <c r="B527" s="13" t="s">
        <v>12</v>
      </c>
      <c r="C527" s="131" t="s">
        <v>248</v>
      </c>
      <c r="D527" s="20"/>
      <c r="E527" s="21">
        <f t="shared" si="1"/>
        <v>14708.47</v>
      </c>
      <c r="F527" s="23"/>
      <c r="G527" s="21">
        <f t="shared" si="2"/>
        <v>501283.02</v>
      </c>
      <c r="H527" s="22">
        <v>-344.0</v>
      </c>
      <c r="I527" s="21">
        <f t="shared" si="6"/>
        <v>2153.61</v>
      </c>
      <c r="J527" s="23"/>
      <c r="K527" s="21">
        <f t="shared" si="4"/>
        <v>333329.16</v>
      </c>
      <c r="L527" s="23"/>
      <c r="M527" s="21">
        <f t="shared" si="7"/>
        <v>2077.38</v>
      </c>
    </row>
    <row r="528" ht="20.25" customHeight="1" outlineLevel="1">
      <c r="A528" s="12">
        <v>45946.0</v>
      </c>
      <c r="B528" s="13" t="s">
        <v>12</v>
      </c>
      <c r="C528" s="131" t="s">
        <v>516</v>
      </c>
      <c r="D528" s="20"/>
      <c r="E528" s="21">
        <f t="shared" si="1"/>
        <v>14708.47</v>
      </c>
      <c r="F528" s="23"/>
      <c r="G528" s="21">
        <f t="shared" si="2"/>
        <v>501283.02</v>
      </c>
      <c r="H528" s="22">
        <v>-200.0</v>
      </c>
      <c r="I528" s="21">
        <f t="shared" si="6"/>
        <v>1953.61</v>
      </c>
      <c r="J528" s="23"/>
      <c r="K528" s="21">
        <f t="shared" si="4"/>
        <v>333329.16</v>
      </c>
      <c r="L528" s="23"/>
      <c r="M528" s="21">
        <f t="shared" si="7"/>
        <v>2077.38</v>
      </c>
    </row>
    <row r="529" ht="20.25" customHeight="1" outlineLevel="1">
      <c r="A529" s="18">
        <v>45947.0</v>
      </c>
      <c r="B529" s="13" t="s">
        <v>16</v>
      </c>
      <c r="C529" s="131" t="s">
        <v>517</v>
      </c>
      <c r="D529" s="20"/>
      <c r="E529" s="21">
        <f t="shared" si="1"/>
        <v>14708.47</v>
      </c>
      <c r="F529" s="27">
        <v>968.95</v>
      </c>
      <c r="G529" s="21">
        <f t="shared" si="2"/>
        <v>502251.97</v>
      </c>
      <c r="H529" s="23"/>
      <c r="I529" s="21">
        <f t="shared" si="6"/>
        <v>1953.61</v>
      </c>
      <c r="J529" s="24"/>
      <c r="K529" s="21">
        <f t="shared" si="4"/>
        <v>333329.16</v>
      </c>
      <c r="L529" s="23"/>
      <c r="M529" s="21">
        <f t="shared" si="7"/>
        <v>2077.38</v>
      </c>
    </row>
    <row r="530" ht="20.25" customHeight="1" outlineLevel="1">
      <c r="A530" s="18">
        <v>45947.0</v>
      </c>
      <c r="B530" s="13" t="s">
        <v>16</v>
      </c>
      <c r="C530" s="131" t="s">
        <v>518</v>
      </c>
      <c r="D530" s="20"/>
      <c r="E530" s="21">
        <f t="shared" si="1"/>
        <v>14708.47</v>
      </c>
      <c r="F530" s="27">
        <v>19.8</v>
      </c>
      <c r="G530" s="21">
        <f t="shared" si="2"/>
        <v>502271.77</v>
      </c>
      <c r="H530" s="23"/>
      <c r="I530" s="21">
        <f t="shared" si="6"/>
        <v>1953.61</v>
      </c>
      <c r="J530" s="24"/>
      <c r="K530" s="21">
        <f t="shared" si="4"/>
        <v>333329.16</v>
      </c>
      <c r="L530" s="23"/>
      <c r="M530" s="21">
        <f t="shared" si="7"/>
        <v>2077.38</v>
      </c>
    </row>
    <row r="531" ht="20.25" customHeight="1" outlineLevel="1">
      <c r="A531" s="12">
        <v>45947.0</v>
      </c>
      <c r="B531" s="13" t="s">
        <v>16</v>
      </c>
      <c r="C531" s="131" t="s">
        <v>519</v>
      </c>
      <c r="D531" s="20"/>
      <c r="E531" s="21">
        <f t="shared" si="1"/>
        <v>14708.47</v>
      </c>
      <c r="F531" s="26">
        <v>492.0</v>
      </c>
      <c r="G531" s="21">
        <f t="shared" si="2"/>
        <v>502763.77</v>
      </c>
      <c r="H531" s="23"/>
      <c r="I531" s="21">
        <f t="shared" si="6"/>
        <v>1953.61</v>
      </c>
      <c r="J531" s="23"/>
      <c r="K531" s="21">
        <f t="shared" si="4"/>
        <v>333329.16</v>
      </c>
      <c r="L531" s="23"/>
      <c r="M531" s="21">
        <f t="shared" si="7"/>
        <v>2077.38</v>
      </c>
    </row>
    <row r="532" ht="20.25" customHeight="1" outlineLevel="1">
      <c r="A532" s="12">
        <v>45947.0</v>
      </c>
      <c r="B532" s="13" t="s">
        <v>16</v>
      </c>
      <c r="C532" s="131" t="s">
        <v>520</v>
      </c>
      <c r="D532" s="20"/>
      <c r="E532" s="21">
        <f t="shared" si="1"/>
        <v>14708.47</v>
      </c>
      <c r="F532" s="27">
        <v>1005.0</v>
      </c>
      <c r="G532" s="21">
        <f t="shared" si="2"/>
        <v>503768.77</v>
      </c>
      <c r="H532" s="23"/>
      <c r="I532" s="21">
        <f t="shared" si="6"/>
        <v>1953.61</v>
      </c>
      <c r="J532" s="23"/>
      <c r="K532" s="21">
        <f t="shared" si="4"/>
        <v>333329.16</v>
      </c>
      <c r="L532" s="23"/>
      <c r="M532" s="21">
        <f t="shared" si="7"/>
        <v>2077.38</v>
      </c>
    </row>
    <row r="533" ht="20.25" customHeight="1" outlineLevel="1">
      <c r="A533" s="12">
        <v>45947.0</v>
      </c>
      <c r="B533" s="13" t="s">
        <v>16</v>
      </c>
      <c r="C533" s="131" t="s">
        <v>521</v>
      </c>
      <c r="D533" s="20"/>
      <c r="E533" s="21">
        <f t="shared" si="1"/>
        <v>14708.47</v>
      </c>
      <c r="F533" s="27">
        <v>1614.0</v>
      </c>
      <c r="G533" s="21">
        <f t="shared" si="2"/>
        <v>505382.77</v>
      </c>
      <c r="H533" s="23"/>
      <c r="I533" s="21">
        <f t="shared" si="6"/>
        <v>1953.61</v>
      </c>
      <c r="J533" s="23"/>
      <c r="K533" s="21">
        <f t="shared" si="4"/>
        <v>333329.16</v>
      </c>
      <c r="L533" s="23"/>
      <c r="M533" s="21">
        <f t="shared" si="7"/>
        <v>2077.38</v>
      </c>
    </row>
    <row r="534" ht="20.25" customHeight="1" outlineLevel="1">
      <c r="A534" s="18">
        <v>45947.0</v>
      </c>
      <c r="B534" s="13" t="s">
        <v>16</v>
      </c>
      <c r="C534" s="131" t="s">
        <v>522</v>
      </c>
      <c r="D534" s="20"/>
      <c r="E534" s="21">
        <f t="shared" si="1"/>
        <v>14708.47</v>
      </c>
      <c r="F534" s="23"/>
      <c r="G534" s="21">
        <f t="shared" si="2"/>
        <v>505382.77</v>
      </c>
      <c r="H534" s="23"/>
      <c r="I534" s="21">
        <f t="shared" si="6"/>
        <v>1953.61</v>
      </c>
      <c r="J534" s="149">
        <v>735.0</v>
      </c>
      <c r="K534" s="21">
        <f t="shared" si="4"/>
        <v>334064.16</v>
      </c>
      <c r="L534" s="23"/>
      <c r="M534" s="21">
        <f t="shared" si="7"/>
        <v>2077.38</v>
      </c>
    </row>
    <row r="535" ht="20.25" customHeight="1" outlineLevel="1">
      <c r="A535" s="30">
        <v>45947.0</v>
      </c>
      <c r="B535" s="13" t="s">
        <v>16</v>
      </c>
      <c r="C535" s="96" t="s">
        <v>523</v>
      </c>
      <c r="D535" s="20"/>
      <c r="E535" s="21">
        <f t="shared" si="1"/>
        <v>14708.47</v>
      </c>
      <c r="F535" s="74"/>
      <c r="G535" s="21">
        <f t="shared" si="2"/>
        <v>505382.77</v>
      </c>
      <c r="H535" s="23"/>
      <c r="I535" s="21">
        <f t="shared" si="6"/>
        <v>1953.61</v>
      </c>
      <c r="J535" s="27">
        <v>698.5</v>
      </c>
      <c r="K535" s="21">
        <f t="shared" si="4"/>
        <v>334762.66</v>
      </c>
      <c r="L535" s="23"/>
      <c r="M535" s="21">
        <f t="shared" si="7"/>
        <v>2077.38</v>
      </c>
    </row>
    <row r="536" ht="20.25" customHeight="1" outlineLevel="1">
      <c r="A536" s="30">
        <v>45947.0</v>
      </c>
      <c r="B536" s="13" t="s">
        <v>16</v>
      </c>
      <c r="C536" s="144" t="s">
        <v>524</v>
      </c>
      <c r="D536" s="20"/>
      <c r="E536" s="21">
        <f t="shared" si="1"/>
        <v>14708.47</v>
      </c>
      <c r="F536" s="74"/>
      <c r="G536" s="21">
        <f t="shared" si="2"/>
        <v>505382.77</v>
      </c>
      <c r="H536" s="23"/>
      <c r="I536" s="21">
        <f t="shared" si="6"/>
        <v>1953.61</v>
      </c>
      <c r="J536" s="35">
        <v>415.0</v>
      </c>
      <c r="K536" s="21">
        <f t="shared" si="4"/>
        <v>335177.66</v>
      </c>
      <c r="L536" s="23"/>
      <c r="M536" s="21">
        <f t="shared" si="7"/>
        <v>2077.38</v>
      </c>
    </row>
    <row r="537" ht="20.25" customHeight="1" outlineLevel="1">
      <c r="A537" s="12">
        <v>45947.0</v>
      </c>
      <c r="B537" s="13" t="s">
        <v>16</v>
      </c>
      <c r="C537" s="144" t="s">
        <v>525</v>
      </c>
      <c r="D537" s="20"/>
      <c r="E537" s="21">
        <f t="shared" si="1"/>
        <v>14708.47</v>
      </c>
      <c r="F537" s="23"/>
      <c r="G537" s="21">
        <f t="shared" si="2"/>
        <v>505382.77</v>
      </c>
      <c r="H537" s="23"/>
      <c r="I537" s="21">
        <f t="shared" si="6"/>
        <v>1953.61</v>
      </c>
      <c r="J537" s="35">
        <v>395.0</v>
      </c>
      <c r="K537" s="21">
        <f t="shared" si="4"/>
        <v>335572.66</v>
      </c>
      <c r="L537" s="23"/>
      <c r="M537" s="21">
        <f t="shared" si="7"/>
        <v>2077.38</v>
      </c>
    </row>
    <row r="538" ht="20.25" customHeight="1" outlineLevel="1">
      <c r="A538" s="12">
        <v>45947.0</v>
      </c>
      <c r="B538" s="13" t="s">
        <v>14</v>
      </c>
      <c r="C538" s="96" t="s">
        <v>526</v>
      </c>
      <c r="D538" s="20"/>
      <c r="E538" s="21">
        <f t="shared" si="1"/>
        <v>14708.47</v>
      </c>
      <c r="F538" s="23"/>
      <c r="G538" s="21">
        <f t="shared" si="2"/>
        <v>505382.77</v>
      </c>
      <c r="H538" s="22">
        <v>-31.6</v>
      </c>
      <c r="I538" s="21">
        <f t="shared" si="6"/>
        <v>1922.01</v>
      </c>
      <c r="J538" s="23"/>
      <c r="K538" s="21">
        <f t="shared" si="4"/>
        <v>335572.66</v>
      </c>
      <c r="L538" s="23"/>
      <c r="M538" s="21">
        <f t="shared" si="7"/>
        <v>2077.38</v>
      </c>
    </row>
    <row r="539" ht="20.25" customHeight="1" outlineLevel="1">
      <c r="A539" s="12">
        <v>45948.0</v>
      </c>
      <c r="B539" s="13" t="s">
        <v>16</v>
      </c>
      <c r="C539" s="150" t="s">
        <v>527</v>
      </c>
      <c r="D539" s="20">
        <v>325.0</v>
      </c>
      <c r="E539" s="21">
        <f t="shared" si="1"/>
        <v>15033.47</v>
      </c>
      <c r="F539" s="23"/>
      <c r="G539" s="21">
        <f t="shared" si="2"/>
        <v>505382.77</v>
      </c>
      <c r="H539" s="23"/>
      <c r="I539" s="21">
        <f t="shared" si="6"/>
        <v>1922.01</v>
      </c>
      <c r="J539" s="23"/>
      <c r="K539" s="21">
        <f t="shared" si="4"/>
        <v>335572.66</v>
      </c>
      <c r="L539" s="23"/>
      <c r="M539" s="21">
        <f t="shared" si="7"/>
        <v>2077.38</v>
      </c>
    </row>
    <row r="540" ht="20.25" customHeight="1" outlineLevel="1">
      <c r="A540" s="12">
        <v>45950.0</v>
      </c>
      <c r="B540" s="13" t="s">
        <v>14</v>
      </c>
      <c r="C540" s="126" t="s">
        <v>34</v>
      </c>
      <c r="D540" s="20"/>
      <c r="E540" s="21">
        <f t="shared" si="1"/>
        <v>15033.47</v>
      </c>
      <c r="F540" s="23"/>
      <c r="G540" s="21">
        <f t="shared" si="2"/>
        <v>505382.77</v>
      </c>
      <c r="H540" s="23"/>
      <c r="I540" s="21">
        <f t="shared" si="6"/>
        <v>1922.01</v>
      </c>
      <c r="J540" s="22">
        <v>-23.97</v>
      </c>
      <c r="K540" s="21">
        <f t="shared" si="4"/>
        <v>335548.69</v>
      </c>
      <c r="L540" s="23"/>
      <c r="M540" s="21">
        <f t="shared" si="7"/>
        <v>2077.38</v>
      </c>
    </row>
    <row r="541" ht="20.25" customHeight="1" outlineLevel="1">
      <c r="A541" s="30">
        <v>45950.0</v>
      </c>
      <c r="B541" s="13" t="s">
        <v>12</v>
      </c>
      <c r="C541" s="126" t="s">
        <v>528</v>
      </c>
      <c r="D541" s="20"/>
      <c r="E541" s="21">
        <f t="shared" si="1"/>
        <v>15033.47</v>
      </c>
      <c r="F541" s="58">
        <v>-1908.39</v>
      </c>
      <c r="G541" s="21">
        <f t="shared" si="2"/>
        <v>503474.38</v>
      </c>
      <c r="H541" s="23"/>
      <c r="I541" s="21">
        <f t="shared" si="6"/>
        <v>1922.01</v>
      </c>
      <c r="J541" s="23"/>
      <c r="K541" s="21">
        <f t="shared" si="4"/>
        <v>335548.69</v>
      </c>
      <c r="L541" s="23"/>
      <c r="M541" s="21">
        <f t="shared" si="7"/>
        <v>2077.38</v>
      </c>
    </row>
    <row r="542" ht="20.25" customHeight="1" outlineLevel="1">
      <c r="A542" s="30">
        <v>45950.0</v>
      </c>
      <c r="B542" s="13" t="s">
        <v>12</v>
      </c>
      <c r="C542" s="85" t="s">
        <v>529</v>
      </c>
      <c r="D542" s="20"/>
      <c r="E542" s="21">
        <f t="shared" si="1"/>
        <v>15033.47</v>
      </c>
      <c r="F542" s="58">
        <v>-145.0</v>
      </c>
      <c r="G542" s="21">
        <f t="shared" si="2"/>
        <v>503329.38</v>
      </c>
      <c r="H542" s="23"/>
      <c r="I542" s="21">
        <f t="shared" si="6"/>
        <v>1922.01</v>
      </c>
      <c r="J542" s="23"/>
      <c r="K542" s="21">
        <f t="shared" si="4"/>
        <v>335548.69</v>
      </c>
      <c r="L542" s="23"/>
      <c r="M542" s="21">
        <f t="shared" si="7"/>
        <v>2077.38</v>
      </c>
    </row>
    <row r="543" ht="20.25" customHeight="1" outlineLevel="1">
      <c r="A543" s="30">
        <v>45950.0</v>
      </c>
      <c r="B543" s="13" t="s">
        <v>16</v>
      </c>
      <c r="C543" s="85" t="s">
        <v>530</v>
      </c>
      <c r="D543" s="20"/>
      <c r="E543" s="21">
        <f t="shared" si="1"/>
        <v>15033.47</v>
      </c>
      <c r="F543" s="31">
        <v>1822.5</v>
      </c>
      <c r="G543" s="21">
        <f t="shared" si="2"/>
        <v>505151.88</v>
      </c>
      <c r="H543" s="23"/>
      <c r="I543" s="21">
        <f t="shared" si="6"/>
        <v>1922.01</v>
      </c>
      <c r="J543" s="23"/>
      <c r="K543" s="21">
        <f t="shared" si="4"/>
        <v>335548.69</v>
      </c>
      <c r="L543" s="23"/>
      <c r="M543" s="21">
        <f t="shared" si="7"/>
        <v>2077.38</v>
      </c>
    </row>
    <row r="544" ht="20.25" customHeight="1" outlineLevel="1">
      <c r="A544" s="18">
        <v>45950.0</v>
      </c>
      <c r="B544" s="13" t="s">
        <v>16</v>
      </c>
      <c r="C544" s="85" t="s">
        <v>531</v>
      </c>
      <c r="D544" s="20"/>
      <c r="E544" s="21">
        <f t="shared" si="1"/>
        <v>15033.47</v>
      </c>
      <c r="F544" s="26">
        <v>117.0</v>
      </c>
      <c r="G544" s="21">
        <f t="shared" si="2"/>
        <v>505268.88</v>
      </c>
      <c r="H544" s="23"/>
      <c r="I544" s="21">
        <f t="shared" si="6"/>
        <v>1922.01</v>
      </c>
      <c r="J544" s="137"/>
      <c r="K544" s="21">
        <f t="shared" si="4"/>
        <v>335548.69</v>
      </c>
      <c r="L544" s="23"/>
      <c r="M544" s="21">
        <f t="shared" si="7"/>
        <v>2077.38</v>
      </c>
    </row>
    <row r="545" ht="20.25" customHeight="1" outlineLevel="1">
      <c r="A545" s="18">
        <v>45950.0</v>
      </c>
      <c r="B545" s="13" t="s">
        <v>16</v>
      </c>
      <c r="C545" s="85" t="s">
        <v>532</v>
      </c>
      <c r="D545" s="20"/>
      <c r="E545" s="21">
        <f t="shared" si="1"/>
        <v>15033.47</v>
      </c>
      <c r="F545" s="27">
        <v>237.5</v>
      </c>
      <c r="G545" s="21">
        <f t="shared" si="2"/>
        <v>505506.38</v>
      </c>
      <c r="H545" s="23"/>
      <c r="I545" s="21">
        <f t="shared" si="6"/>
        <v>1922.01</v>
      </c>
      <c r="J545" s="24"/>
      <c r="K545" s="21">
        <f t="shared" si="4"/>
        <v>335548.69</v>
      </c>
      <c r="L545" s="23"/>
      <c r="M545" s="21">
        <f t="shared" si="7"/>
        <v>2077.38</v>
      </c>
    </row>
    <row r="546" ht="20.25" customHeight="1" outlineLevel="1">
      <c r="A546" s="18">
        <v>45950.0</v>
      </c>
      <c r="B546" s="13" t="s">
        <v>16</v>
      </c>
      <c r="C546" s="85" t="s">
        <v>533</v>
      </c>
      <c r="D546" s="20"/>
      <c r="E546" s="21">
        <f t="shared" si="1"/>
        <v>15033.47</v>
      </c>
      <c r="F546" s="27">
        <v>430.0</v>
      </c>
      <c r="G546" s="21">
        <f t="shared" si="2"/>
        <v>505936.38</v>
      </c>
      <c r="H546" s="23"/>
      <c r="I546" s="21">
        <f t="shared" si="6"/>
        <v>1922.01</v>
      </c>
      <c r="J546" s="24"/>
      <c r="K546" s="21">
        <f t="shared" si="4"/>
        <v>335548.69</v>
      </c>
      <c r="L546" s="23"/>
      <c r="M546" s="21">
        <f t="shared" si="7"/>
        <v>2077.38</v>
      </c>
    </row>
    <row r="547" ht="20.25" customHeight="1" outlineLevel="1">
      <c r="A547" s="18">
        <v>45950.0</v>
      </c>
      <c r="B547" s="13" t="s">
        <v>16</v>
      </c>
      <c r="C547" s="85" t="s">
        <v>534</v>
      </c>
      <c r="D547" s="20"/>
      <c r="E547" s="21">
        <f t="shared" si="1"/>
        <v>15033.47</v>
      </c>
      <c r="F547" s="26">
        <v>90.0</v>
      </c>
      <c r="G547" s="21">
        <f t="shared" si="2"/>
        <v>506026.38</v>
      </c>
      <c r="H547" s="23"/>
      <c r="I547" s="21">
        <f t="shared" si="6"/>
        <v>1922.01</v>
      </c>
      <c r="J547" s="24"/>
      <c r="K547" s="21">
        <f t="shared" si="4"/>
        <v>335548.69</v>
      </c>
      <c r="L547" s="23"/>
      <c r="M547" s="21">
        <f t="shared" si="7"/>
        <v>2077.38</v>
      </c>
    </row>
    <row r="548" ht="20.25" customHeight="1" outlineLevel="1">
      <c r="A548" s="18">
        <v>45950.0</v>
      </c>
      <c r="B548" s="13" t="s">
        <v>16</v>
      </c>
      <c r="C548" s="85" t="s">
        <v>535</v>
      </c>
      <c r="D548" s="20"/>
      <c r="E548" s="21">
        <f t="shared" si="1"/>
        <v>15033.47</v>
      </c>
      <c r="F548" s="27">
        <v>20.0</v>
      </c>
      <c r="G548" s="21">
        <f t="shared" si="2"/>
        <v>506046.38</v>
      </c>
      <c r="H548" s="23"/>
      <c r="I548" s="21">
        <f t="shared" si="6"/>
        <v>1922.01</v>
      </c>
      <c r="J548" s="151"/>
      <c r="K548" s="21">
        <f t="shared" si="4"/>
        <v>335548.69</v>
      </c>
      <c r="L548" s="23"/>
      <c r="M548" s="21">
        <f t="shared" si="7"/>
        <v>2077.38</v>
      </c>
    </row>
    <row r="549" ht="20.25" customHeight="1" outlineLevel="1">
      <c r="A549" s="18">
        <v>45950.0</v>
      </c>
      <c r="B549" s="13" t="s">
        <v>16</v>
      </c>
      <c r="C549" s="85" t="s">
        <v>536</v>
      </c>
      <c r="D549" s="20"/>
      <c r="E549" s="21">
        <f t="shared" si="1"/>
        <v>15033.47</v>
      </c>
      <c r="F549" s="26">
        <v>165.0</v>
      </c>
      <c r="G549" s="21">
        <f t="shared" si="2"/>
        <v>506211.38</v>
      </c>
      <c r="H549" s="23"/>
      <c r="I549" s="21">
        <f t="shared" si="6"/>
        <v>1922.01</v>
      </c>
      <c r="J549" s="24"/>
      <c r="K549" s="21">
        <f t="shared" si="4"/>
        <v>335548.69</v>
      </c>
      <c r="L549" s="23"/>
      <c r="M549" s="21">
        <f t="shared" si="7"/>
        <v>2077.38</v>
      </c>
    </row>
    <row r="550" ht="20.25" customHeight="1" outlineLevel="1">
      <c r="A550" s="18">
        <v>45950.0</v>
      </c>
      <c r="B550" s="13" t="s">
        <v>16</v>
      </c>
      <c r="C550" s="85" t="s">
        <v>537</v>
      </c>
      <c r="D550" s="20"/>
      <c r="E550" s="21">
        <f t="shared" si="1"/>
        <v>15033.47</v>
      </c>
      <c r="F550" s="27">
        <v>37.0</v>
      </c>
      <c r="G550" s="21">
        <f t="shared" si="2"/>
        <v>506248.38</v>
      </c>
      <c r="H550" s="23"/>
      <c r="I550" s="21">
        <f t="shared" si="6"/>
        <v>1922.01</v>
      </c>
      <c r="J550" s="24"/>
      <c r="K550" s="21">
        <f t="shared" si="4"/>
        <v>335548.69</v>
      </c>
      <c r="L550" s="23"/>
      <c r="M550" s="21">
        <f t="shared" si="7"/>
        <v>2077.38</v>
      </c>
    </row>
    <row r="551" ht="20.25" customHeight="1" outlineLevel="1">
      <c r="A551" s="18">
        <v>45950.0</v>
      </c>
      <c r="B551" s="13" t="s">
        <v>16</v>
      </c>
      <c r="C551" s="85" t="s">
        <v>538</v>
      </c>
      <c r="D551" s="20"/>
      <c r="E551" s="21">
        <f t="shared" si="1"/>
        <v>15033.47</v>
      </c>
      <c r="F551" s="27">
        <v>1710.75</v>
      </c>
      <c r="G551" s="21">
        <f t="shared" si="2"/>
        <v>507959.13</v>
      </c>
      <c r="H551" s="23"/>
      <c r="I551" s="21">
        <f t="shared" si="6"/>
        <v>1922.01</v>
      </c>
      <c r="J551" s="152"/>
      <c r="K551" s="21">
        <f t="shared" si="4"/>
        <v>335548.69</v>
      </c>
      <c r="L551" s="23"/>
      <c r="M551" s="21">
        <f t="shared" si="7"/>
        <v>2077.38</v>
      </c>
    </row>
    <row r="552" ht="20.25" customHeight="1" outlineLevel="1">
      <c r="A552" s="18">
        <v>45950.0</v>
      </c>
      <c r="B552" s="13" t="s">
        <v>16</v>
      </c>
      <c r="C552" s="153" t="s">
        <v>539</v>
      </c>
      <c r="D552" s="20"/>
      <c r="E552" s="21">
        <f t="shared" si="1"/>
        <v>15033.47</v>
      </c>
      <c r="F552" s="23"/>
      <c r="G552" s="21">
        <f t="shared" si="2"/>
        <v>507959.13</v>
      </c>
      <c r="H552" s="23"/>
      <c r="I552" s="21">
        <f t="shared" si="6"/>
        <v>1922.01</v>
      </c>
      <c r="J552" s="54">
        <v>1005.0</v>
      </c>
      <c r="K552" s="21">
        <f t="shared" si="4"/>
        <v>336553.69</v>
      </c>
      <c r="L552" s="23"/>
      <c r="M552" s="21">
        <f t="shared" si="7"/>
        <v>2077.38</v>
      </c>
    </row>
    <row r="553" ht="20.25" customHeight="1" outlineLevel="1">
      <c r="A553" s="30">
        <v>45950.0</v>
      </c>
      <c r="B553" s="13" t="s">
        <v>16</v>
      </c>
      <c r="C553" s="85" t="s">
        <v>540</v>
      </c>
      <c r="D553" s="20"/>
      <c r="E553" s="21">
        <f t="shared" si="1"/>
        <v>15033.47</v>
      </c>
      <c r="F553" s="154"/>
      <c r="G553" s="21">
        <f t="shared" si="2"/>
        <v>507959.13</v>
      </c>
      <c r="H553" s="23"/>
      <c r="I553" s="21">
        <f t="shared" si="6"/>
        <v>1922.01</v>
      </c>
      <c r="J553" s="27">
        <v>172.0</v>
      </c>
      <c r="K553" s="21">
        <f t="shared" si="4"/>
        <v>336725.69</v>
      </c>
      <c r="L553" s="23"/>
      <c r="M553" s="21">
        <f t="shared" si="7"/>
        <v>2077.38</v>
      </c>
    </row>
    <row r="554" ht="20.25" customHeight="1" outlineLevel="1">
      <c r="A554" s="30">
        <v>45950.0</v>
      </c>
      <c r="B554" s="13" t="s">
        <v>16</v>
      </c>
      <c r="C554" s="85" t="s">
        <v>541</v>
      </c>
      <c r="D554" s="20"/>
      <c r="E554" s="21">
        <f t="shared" si="1"/>
        <v>15033.47</v>
      </c>
      <c r="F554" s="154"/>
      <c r="G554" s="21">
        <f t="shared" si="2"/>
        <v>507959.13</v>
      </c>
      <c r="H554" s="23"/>
      <c r="I554" s="21">
        <f t="shared" si="6"/>
        <v>1922.01</v>
      </c>
      <c r="J554" s="27">
        <v>1020.0</v>
      </c>
      <c r="K554" s="21">
        <f t="shared" si="4"/>
        <v>337745.69</v>
      </c>
      <c r="L554" s="23"/>
      <c r="M554" s="21">
        <f t="shared" si="7"/>
        <v>2077.38</v>
      </c>
    </row>
    <row r="555" ht="20.25" customHeight="1" outlineLevel="1">
      <c r="A555" s="30">
        <v>45950.0</v>
      </c>
      <c r="B555" s="13" t="s">
        <v>16</v>
      </c>
      <c r="C555" s="85" t="s">
        <v>542</v>
      </c>
      <c r="D555" s="20">
        <v>300.0</v>
      </c>
      <c r="E555" s="21">
        <f t="shared" si="1"/>
        <v>15333.47</v>
      </c>
      <c r="F555" s="154"/>
      <c r="G555" s="21">
        <f t="shared" si="2"/>
        <v>507959.13</v>
      </c>
      <c r="H555" s="23"/>
      <c r="I555" s="21">
        <f t="shared" si="6"/>
        <v>1922.01</v>
      </c>
      <c r="J555" s="23"/>
      <c r="K555" s="21">
        <f t="shared" si="4"/>
        <v>337745.69</v>
      </c>
      <c r="L555" s="23"/>
      <c r="M555" s="21">
        <f t="shared" si="7"/>
        <v>2077.38</v>
      </c>
    </row>
    <row r="556" ht="20.25" customHeight="1" outlineLevel="1">
      <c r="A556" s="12">
        <v>45951.0</v>
      </c>
      <c r="B556" s="13" t="s">
        <v>63</v>
      </c>
      <c r="C556" s="90" t="s">
        <v>543</v>
      </c>
      <c r="D556" s="20"/>
      <c r="E556" s="21">
        <f t="shared" si="1"/>
        <v>15333.47</v>
      </c>
      <c r="F556" s="51">
        <v>170.0</v>
      </c>
      <c r="G556" s="21">
        <f t="shared" si="2"/>
        <v>508129.13</v>
      </c>
      <c r="H556" s="23"/>
      <c r="I556" s="21">
        <f t="shared" si="6"/>
        <v>1922.01</v>
      </c>
      <c r="J556" s="23"/>
      <c r="K556" s="21">
        <f t="shared" si="4"/>
        <v>337745.69</v>
      </c>
      <c r="L556" s="23"/>
      <c r="M556" s="21">
        <f t="shared" si="7"/>
        <v>2077.38</v>
      </c>
    </row>
    <row r="557" ht="20.25" customHeight="1" outlineLevel="1">
      <c r="A557" s="18">
        <v>45951.0</v>
      </c>
      <c r="B557" s="13" t="s">
        <v>16</v>
      </c>
      <c r="C557" s="85" t="s">
        <v>544</v>
      </c>
      <c r="D557" s="20"/>
      <c r="E557" s="21">
        <f t="shared" si="1"/>
        <v>15333.47</v>
      </c>
      <c r="F557" s="27">
        <v>382.8</v>
      </c>
      <c r="G557" s="21">
        <f t="shared" si="2"/>
        <v>508511.93</v>
      </c>
      <c r="H557" s="23"/>
      <c r="I557" s="21">
        <f t="shared" si="6"/>
        <v>1922.01</v>
      </c>
      <c r="J557" s="24"/>
      <c r="K557" s="21">
        <f t="shared" si="4"/>
        <v>337745.69</v>
      </c>
      <c r="L557" s="23"/>
      <c r="M557" s="21">
        <f t="shared" si="7"/>
        <v>2077.38</v>
      </c>
    </row>
    <row r="558" ht="20.25" customHeight="1" outlineLevel="1">
      <c r="A558" s="18">
        <v>45951.0</v>
      </c>
      <c r="B558" s="13" t="s">
        <v>16</v>
      </c>
      <c r="C558" s="85" t="s">
        <v>545</v>
      </c>
      <c r="D558" s="20"/>
      <c r="E558" s="21">
        <f t="shared" si="1"/>
        <v>15333.47</v>
      </c>
      <c r="F558" s="26">
        <v>82.0</v>
      </c>
      <c r="G558" s="21">
        <f t="shared" si="2"/>
        <v>508593.93</v>
      </c>
      <c r="H558" s="23"/>
      <c r="I558" s="21">
        <f t="shared" si="6"/>
        <v>1922.01</v>
      </c>
      <c r="J558" s="24"/>
      <c r="K558" s="21">
        <f t="shared" si="4"/>
        <v>337745.69</v>
      </c>
      <c r="L558" s="23"/>
      <c r="M558" s="21">
        <f t="shared" si="7"/>
        <v>2077.38</v>
      </c>
    </row>
    <row r="559" ht="20.25" customHeight="1" outlineLevel="1">
      <c r="A559" s="18">
        <v>45951.0</v>
      </c>
      <c r="B559" s="13" t="s">
        <v>16</v>
      </c>
      <c r="C559" s="85" t="s">
        <v>546</v>
      </c>
      <c r="D559" s="20"/>
      <c r="E559" s="21">
        <f t="shared" si="1"/>
        <v>15333.47</v>
      </c>
      <c r="F559" s="27">
        <v>1278.0</v>
      </c>
      <c r="G559" s="21">
        <f t="shared" si="2"/>
        <v>509871.93</v>
      </c>
      <c r="H559" s="23"/>
      <c r="I559" s="21">
        <f t="shared" si="6"/>
        <v>1922.01</v>
      </c>
      <c r="J559" s="24"/>
      <c r="K559" s="21">
        <f t="shared" si="4"/>
        <v>337745.69</v>
      </c>
      <c r="L559" s="23"/>
      <c r="M559" s="21">
        <f t="shared" si="7"/>
        <v>2077.38</v>
      </c>
    </row>
    <row r="560" ht="20.25" customHeight="1" outlineLevel="1">
      <c r="A560" s="30">
        <v>45951.0</v>
      </c>
      <c r="B560" s="13" t="s">
        <v>16</v>
      </c>
      <c r="C560" s="126" t="s">
        <v>547</v>
      </c>
      <c r="D560" s="20"/>
      <c r="E560" s="21">
        <f t="shared" si="1"/>
        <v>15333.47</v>
      </c>
      <c r="F560" s="31">
        <v>1844.0</v>
      </c>
      <c r="G560" s="21">
        <f t="shared" si="2"/>
        <v>511715.93</v>
      </c>
      <c r="H560" s="23"/>
      <c r="I560" s="21">
        <f t="shared" si="6"/>
        <v>1922.01</v>
      </c>
      <c r="J560" s="23"/>
      <c r="K560" s="21">
        <f t="shared" si="4"/>
        <v>337745.69</v>
      </c>
      <c r="L560" s="23"/>
      <c r="M560" s="21">
        <f t="shared" si="7"/>
        <v>2077.38</v>
      </c>
    </row>
    <row r="561" ht="20.25" customHeight="1" outlineLevel="1">
      <c r="A561" s="12">
        <v>45951.0</v>
      </c>
      <c r="B561" s="13" t="s">
        <v>14</v>
      </c>
      <c r="C561" s="85" t="s">
        <v>34</v>
      </c>
      <c r="D561" s="20"/>
      <c r="E561" s="21">
        <f t="shared" si="1"/>
        <v>15333.47</v>
      </c>
      <c r="F561" s="23"/>
      <c r="G561" s="21">
        <f t="shared" si="2"/>
        <v>511715.93</v>
      </c>
      <c r="H561" s="23"/>
      <c r="I561" s="21">
        <f t="shared" si="6"/>
        <v>1922.01</v>
      </c>
      <c r="J561" s="22">
        <v>-298.0</v>
      </c>
      <c r="K561" s="21">
        <f t="shared" si="4"/>
        <v>337447.69</v>
      </c>
      <c r="L561" s="23"/>
      <c r="M561" s="21">
        <f t="shared" si="7"/>
        <v>2077.38</v>
      </c>
    </row>
    <row r="562" ht="20.25" customHeight="1" outlineLevel="1">
      <c r="A562" s="12">
        <v>45951.0</v>
      </c>
      <c r="B562" s="13" t="s">
        <v>14</v>
      </c>
      <c r="C562" s="85" t="s">
        <v>34</v>
      </c>
      <c r="D562" s="20"/>
      <c r="E562" s="21">
        <f t="shared" si="1"/>
        <v>15333.47</v>
      </c>
      <c r="F562" s="23"/>
      <c r="G562" s="21">
        <f t="shared" si="2"/>
        <v>511715.93</v>
      </c>
      <c r="H562" s="23"/>
      <c r="I562" s="21">
        <f t="shared" si="6"/>
        <v>1922.01</v>
      </c>
      <c r="J562" s="22">
        <v>-41.39</v>
      </c>
      <c r="K562" s="21">
        <f t="shared" si="4"/>
        <v>337406.3</v>
      </c>
      <c r="L562" s="23"/>
      <c r="M562" s="21">
        <f t="shared" si="7"/>
        <v>2077.38</v>
      </c>
    </row>
    <row r="563" ht="20.25" customHeight="1" outlineLevel="1">
      <c r="A563" s="12">
        <v>45951.0</v>
      </c>
      <c r="B563" s="13" t="s">
        <v>16</v>
      </c>
      <c r="C563" s="85" t="s">
        <v>548</v>
      </c>
      <c r="D563" s="20"/>
      <c r="E563" s="21">
        <f t="shared" si="1"/>
        <v>15333.47</v>
      </c>
      <c r="F563" s="23"/>
      <c r="G563" s="21">
        <f t="shared" si="2"/>
        <v>511715.93</v>
      </c>
      <c r="H563" s="23"/>
      <c r="I563" s="21">
        <f t="shared" si="6"/>
        <v>1922.01</v>
      </c>
      <c r="J563" s="27">
        <v>240.0</v>
      </c>
      <c r="K563" s="21">
        <f t="shared" si="4"/>
        <v>337646.3</v>
      </c>
      <c r="L563" s="23"/>
      <c r="M563" s="21">
        <f t="shared" si="7"/>
        <v>2077.38</v>
      </c>
    </row>
    <row r="564" ht="20.25" customHeight="1" outlineLevel="1">
      <c r="A564" s="18">
        <v>45951.0</v>
      </c>
      <c r="B564" s="13" t="s">
        <v>16</v>
      </c>
      <c r="C564" s="155" t="s">
        <v>549</v>
      </c>
      <c r="D564" s="20"/>
      <c r="E564" s="21">
        <f t="shared" si="1"/>
        <v>15333.47</v>
      </c>
      <c r="F564" s="23"/>
      <c r="G564" s="21">
        <f t="shared" si="2"/>
        <v>511715.93</v>
      </c>
      <c r="H564" s="23"/>
      <c r="I564" s="21">
        <f t="shared" si="6"/>
        <v>1922.01</v>
      </c>
      <c r="J564" s="60">
        <v>86.0</v>
      </c>
      <c r="K564" s="21">
        <f t="shared" si="4"/>
        <v>337732.3</v>
      </c>
      <c r="L564" s="23"/>
      <c r="M564" s="21">
        <f t="shared" si="7"/>
        <v>2077.38</v>
      </c>
    </row>
    <row r="565" ht="20.25" customHeight="1" outlineLevel="1">
      <c r="A565" s="18">
        <v>45951.0</v>
      </c>
      <c r="B565" s="13" t="s">
        <v>16</v>
      </c>
      <c r="C565" s="156" t="s">
        <v>550</v>
      </c>
      <c r="D565" s="20">
        <v>55.0</v>
      </c>
      <c r="E565" s="21">
        <f t="shared" si="1"/>
        <v>15388.47</v>
      </c>
      <c r="F565" s="23"/>
      <c r="G565" s="21">
        <f t="shared" si="2"/>
        <v>511715.93</v>
      </c>
      <c r="H565" s="23"/>
      <c r="I565" s="21">
        <f t="shared" si="6"/>
        <v>1922.01</v>
      </c>
      <c r="J565" s="23"/>
      <c r="K565" s="21">
        <f t="shared" si="4"/>
        <v>337732.3</v>
      </c>
      <c r="L565" s="23"/>
      <c r="M565" s="21">
        <f t="shared" si="7"/>
        <v>2077.38</v>
      </c>
    </row>
    <row r="566" ht="20.25" customHeight="1" outlineLevel="1">
      <c r="A566" s="12">
        <v>45951.0</v>
      </c>
      <c r="B566" s="13" t="s">
        <v>12</v>
      </c>
      <c r="C566" s="99" t="s">
        <v>551</v>
      </c>
      <c r="D566" s="20"/>
      <c r="E566" s="21">
        <f t="shared" si="1"/>
        <v>15388.47</v>
      </c>
      <c r="F566" s="23"/>
      <c r="G566" s="21">
        <f t="shared" si="2"/>
        <v>511715.93</v>
      </c>
      <c r="H566" s="22">
        <v>-100.62</v>
      </c>
      <c r="I566" s="21">
        <f t="shared" si="6"/>
        <v>1821.39</v>
      </c>
      <c r="J566" s="23"/>
      <c r="K566" s="21">
        <f t="shared" si="4"/>
        <v>337732.3</v>
      </c>
      <c r="L566" s="23"/>
      <c r="M566" s="21">
        <f t="shared" si="7"/>
        <v>2077.38</v>
      </c>
    </row>
    <row r="567" ht="20.25" customHeight="1" outlineLevel="1">
      <c r="A567" s="18">
        <v>45952.0</v>
      </c>
      <c r="B567" s="13" t="s">
        <v>16</v>
      </c>
      <c r="C567" s="156" t="s">
        <v>552</v>
      </c>
      <c r="D567" s="20">
        <v>895.0</v>
      </c>
      <c r="E567" s="21">
        <f t="shared" si="1"/>
        <v>16283.47</v>
      </c>
      <c r="F567" s="23"/>
      <c r="G567" s="21">
        <f t="shared" si="2"/>
        <v>511715.93</v>
      </c>
      <c r="H567" s="23"/>
      <c r="I567" s="21">
        <f t="shared" si="6"/>
        <v>1821.39</v>
      </c>
      <c r="J567" s="23"/>
      <c r="K567" s="21">
        <f t="shared" si="4"/>
        <v>337732.3</v>
      </c>
      <c r="L567" s="23"/>
      <c r="M567" s="21">
        <f t="shared" si="7"/>
        <v>2077.38</v>
      </c>
    </row>
    <row r="568" ht="20.25" customHeight="1" outlineLevel="1">
      <c r="A568" s="30">
        <v>45952.0</v>
      </c>
      <c r="B568" s="13" t="s">
        <v>16</v>
      </c>
      <c r="C568" s="99" t="s">
        <v>553</v>
      </c>
      <c r="D568" s="20"/>
      <c r="E568" s="21">
        <f t="shared" si="1"/>
        <v>16283.47</v>
      </c>
      <c r="F568" s="31">
        <v>36.8</v>
      </c>
      <c r="G568" s="21">
        <f t="shared" si="2"/>
        <v>511752.73</v>
      </c>
      <c r="H568" s="23"/>
      <c r="I568" s="21">
        <f t="shared" si="6"/>
        <v>1821.39</v>
      </c>
      <c r="J568" s="23"/>
      <c r="K568" s="21">
        <f t="shared" si="4"/>
        <v>337732.3</v>
      </c>
      <c r="L568" s="23"/>
      <c r="M568" s="21">
        <f t="shared" si="7"/>
        <v>2077.38</v>
      </c>
    </row>
    <row r="569" ht="20.25" customHeight="1" outlineLevel="1">
      <c r="A569" s="30">
        <v>45952.0</v>
      </c>
      <c r="B569" s="13" t="s">
        <v>63</v>
      </c>
      <c r="C569" s="157" t="s">
        <v>554</v>
      </c>
      <c r="D569" s="20"/>
      <c r="E569" s="21">
        <f t="shared" si="1"/>
        <v>16283.47</v>
      </c>
      <c r="F569" s="158">
        <v>201.3</v>
      </c>
      <c r="G569" s="21">
        <f t="shared" si="2"/>
        <v>511954.03</v>
      </c>
      <c r="H569" s="23"/>
      <c r="I569" s="21">
        <f t="shared" si="6"/>
        <v>1821.39</v>
      </c>
      <c r="J569" s="23"/>
      <c r="K569" s="21">
        <f t="shared" si="4"/>
        <v>337732.3</v>
      </c>
      <c r="L569" s="23"/>
      <c r="M569" s="21">
        <f t="shared" si="7"/>
        <v>2077.38</v>
      </c>
    </row>
    <row r="570" ht="20.25" customHeight="1" outlineLevel="1">
      <c r="A570" s="30">
        <v>45952.0</v>
      </c>
      <c r="B570" s="13" t="s">
        <v>14</v>
      </c>
      <c r="C570" s="99" t="s">
        <v>555</v>
      </c>
      <c r="D570" s="20"/>
      <c r="E570" s="21">
        <f t="shared" si="1"/>
        <v>16283.47</v>
      </c>
      <c r="F570" s="58">
        <v>-108.09</v>
      </c>
      <c r="G570" s="21">
        <f t="shared" si="2"/>
        <v>511845.94</v>
      </c>
      <c r="H570" s="23"/>
      <c r="I570" s="21">
        <f t="shared" si="6"/>
        <v>1821.39</v>
      </c>
      <c r="J570" s="23"/>
      <c r="K570" s="21">
        <f t="shared" si="4"/>
        <v>337732.3</v>
      </c>
      <c r="L570" s="23"/>
      <c r="M570" s="21">
        <f t="shared" si="7"/>
        <v>2077.38</v>
      </c>
    </row>
    <row r="571" ht="20.25" customHeight="1" outlineLevel="1">
      <c r="A571" s="12">
        <v>45952.0</v>
      </c>
      <c r="B571" s="13" t="s">
        <v>179</v>
      </c>
      <c r="C571" s="103" t="s">
        <v>288</v>
      </c>
      <c r="D571" s="73">
        <v>-5800.0</v>
      </c>
      <c r="E571" s="21">
        <f t="shared" si="1"/>
        <v>10483.47</v>
      </c>
      <c r="F571" s="23"/>
      <c r="G571" s="21">
        <f t="shared" si="2"/>
        <v>511845.94</v>
      </c>
      <c r="H571" s="23"/>
      <c r="I571" s="21">
        <f t="shared" si="6"/>
        <v>1821.39</v>
      </c>
      <c r="J571" s="23"/>
      <c r="K571" s="21">
        <f t="shared" si="4"/>
        <v>337732.3</v>
      </c>
      <c r="L571" s="23"/>
      <c r="M571" s="21">
        <f t="shared" si="7"/>
        <v>2077.38</v>
      </c>
    </row>
    <row r="572" ht="20.25" customHeight="1" outlineLevel="1">
      <c r="A572" s="18">
        <v>45952.0</v>
      </c>
      <c r="B572" s="13" t="s">
        <v>14</v>
      </c>
      <c r="C572" s="159" t="s">
        <v>556</v>
      </c>
      <c r="D572" s="20"/>
      <c r="E572" s="21">
        <f t="shared" si="1"/>
        <v>10483.47</v>
      </c>
      <c r="F572" s="22">
        <v>-464.0</v>
      </c>
      <c r="G572" s="21">
        <f t="shared" si="2"/>
        <v>511381.94</v>
      </c>
      <c r="H572" s="23"/>
      <c r="I572" s="21">
        <f t="shared" si="6"/>
        <v>1821.39</v>
      </c>
      <c r="J572" s="79"/>
      <c r="K572" s="21">
        <f t="shared" si="4"/>
        <v>337732.3</v>
      </c>
      <c r="L572" s="23"/>
      <c r="M572" s="21">
        <f t="shared" si="7"/>
        <v>2077.38</v>
      </c>
    </row>
    <row r="573" ht="20.25" customHeight="1" outlineLevel="1">
      <c r="A573" s="18">
        <v>45952.0</v>
      </c>
      <c r="B573" s="13" t="s">
        <v>12</v>
      </c>
      <c r="C573" s="83" t="s">
        <v>557</v>
      </c>
      <c r="D573" s="20"/>
      <c r="E573" s="21">
        <f t="shared" si="1"/>
        <v>10483.47</v>
      </c>
      <c r="F573" s="22">
        <v>-1098.0</v>
      </c>
      <c r="G573" s="21">
        <f t="shared" si="2"/>
        <v>510283.94</v>
      </c>
      <c r="H573" s="23"/>
      <c r="I573" s="21">
        <f t="shared" si="6"/>
        <v>1821.39</v>
      </c>
      <c r="J573" s="137"/>
      <c r="K573" s="21">
        <f t="shared" si="4"/>
        <v>337732.3</v>
      </c>
      <c r="L573" s="23"/>
      <c r="M573" s="21">
        <f t="shared" si="7"/>
        <v>2077.38</v>
      </c>
    </row>
    <row r="574" ht="20.25" customHeight="1" outlineLevel="1">
      <c r="A574" s="18">
        <v>45952.0</v>
      </c>
      <c r="B574" s="46" t="s">
        <v>16</v>
      </c>
      <c r="C574" s="160" t="s">
        <v>558</v>
      </c>
      <c r="D574" s="20"/>
      <c r="E574" s="21">
        <f t="shared" si="1"/>
        <v>10483.47</v>
      </c>
      <c r="F574" s="27">
        <v>830.0</v>
      </c>
      <c r="G574" s="21">
        <f t="shared" si="2"/>
        <v>511113.94</v>
      </c>
      <c r="H574" s="23"/>
      <c r="I574" s="21">
        <f t="shared" si="6"/>
        <v>1821.39</v>
      </c>
      <c r="J574" s="137"/>
      <c r="K574" s="21">
        <f t="shared" si="4"/>
        <v>337732.3</v>
      </c>
      <c r="L574" s="23"/>
      <c r="M574" s="21">
        <f t="shared" si="7"/>
        <v>2077.38</v>
      </c>
    </row>
    <row r="575" ht="20.25" customHeight="1" outlineLevel="1">
      <c r="A575" s="18">
        <v>45952.0</v>
      </c>
      <c r="B575" s="46" t="s">
        <v>16</v>
      </c>
      <c r="C575" s="160" t="s">
        <v>559</v>
      </c>
      <c r="D575" s="20"/>
      <c r="E575" s="21">
        <f t="shared" si="1"/>
        <v>10483.47</v>
      </c>
      <c r="F575" s="27">
        <v>1661.22</v>
      </c>
      <c r="G575" s="21">
        <f t="shared" si="2"/>
        <v>512775.16</v>
      </c>
      <c r="H575" s="23"/>
      <c r="I575" s="21">
        <f t="shared" si="6"/>
        <v>1821.39</v>
      </c>
      <c r="J575" s="24"/>
      <c r="K575" s="21">
        <f t="shared" si="4"/>
        <v>337732.3</v>
      </c>
      <c r="L575" s="23"/>
      <c r="M575" s="21">
        <f t="shared" si="7"/>
        <v>2077.38</v>
      </c>
    </row>
    <row r="576" ht="20.25" customHeight="1" outlineLevel="1">
      <c r="A576" s="18">
        <v>45952.0</v>
      </c>
      <c r="B576" s="46" t="s">
        <v>16</v>
      </c>
      <c r="C576" s="160" t="s">
        <v>560</v>
      </c>
      <c r="D576" s="20"/>
      <c r="E576" s="21">
        <f t="shared" si="1"/>
        <v>10483.47</v>
      </c>
      <c r="F576" s="27">
        <v>2329.0</v>
      </c>
      <c r="G576" s="21">
        <f t="shared" si="2"/>
        <v>515104.16</v>
      </c>
      <c r="H576" s="23"/>
      <c r="I576" s="21">
        <f t="shared" si="6"/>
        <v>1821.39</v>
      </c>
      <c r="J576" s="24"/>
      <c r="K576" s="21">
        <f t="shared" si="4"/>
        <v>337732.3</v>
      </c>
      <c r="L576" s="23"/>
      <c r="M576" s="21">
        <f t="shared" si="7"/>
        <v>2077.38</v>
      </c>
    </row>
    <row r="577" ht="20.25" customHeight="1" outlineLevel="1">
      <c r="A577" s="18">
        <v>45952.0</v>
      </c>
      <c r="B577" s="46" t="s">
        <v>16</v>
      </c>
      <c r="C577" s="160" t="s">
        <v>561</v>
      </c>
      <c r="D577" s="20"/>
      <c r="E577" s="21">
        <f t="shared" si="1"/>
        <v>10483.47</v>
      </c>
      <c r="F577" s="26">
        <v>185.0</v>
      </c>
      <c r="G577" s="21">
        <f t="shared" si="2"/>
        <v>515289.16</v>
      </c>
      <c r="H577" s="23"/>
      <c r="I577" s="21">
        <f t="shared" si="6"/>
        <v>1821.39</v>
      </c>
      <c r="J577" s="24"/>
      <c r="K577" s="21">
        <f t="shared" si="4"/>
        <v>337732.3</v>
      </c>
      <c r="L577" s="23"/>
      <c r="M577" s="21">
        <f t="shared" si="7"/>
        <v>2077.38</v>
      </c>
    </row>
    <row r="578" ht="20.25" customHeight="1" outlineLevel="1">
      <c r="A578" s="18">
        <v>45952.0</v>
      </c>
      <c r="B578" s="46" t="s">
        <v>179</v>
      </c>
      <c r="C578" s="160" t="s">
        <v>302</v>
      </c>
      <c r="D578" s="20"/>
      <c r="E578" s="21">
        <f t="shared" si="1"/>
        <v>10483.47</v>
      </c>
      <c r="F578" s="27">
        <v>5800.0</v>
      </c>
      <c r="G578" s="21">
        <f t="shared" si="2"/>
        <v>521089.16</v>
      </c>
      <c r="H578" s="23"/>
      <c r="I578" s="21">
        <f t="shared" si="6"/>
        <v>1821.39</v>
      </c>
      <c r="J578" s="24"/>
      <c r="K578" s="21">
        <f t="shared" si="4"/>
        <v>337732.3</v>
      </c>
      <c r="L578" s="23"/>
      <c r="M578" s="21">
        <f t="shared" si="7"/>
        <v>2077.38</v>
      </c>
    </row>
    <row r="579" ht="20.25" customHeight="1" outlineLevel="1">
      <c r="A579" s="30">
        <v>45952.0</v>
      </c>
      <c r="B579" s="46" t="s">
        <v>16</v>
      </c>
      <c r="C579" s="161" t="s">
        <v>562</v>
      </c>
      <c r="D579" s="20"/>
      <c r="E579" s="21">
        <f t="shared" si="1"/>
        <v>10483.47</v>
      </c>
      <c r="F579" s="154"/>
      <c r="G579" s="21">
        <f t="shared" si="2"/>
        <v>521089.16</v>
      </c>
      <c r="H579" s="23"/>
      <c r="I579" s="21">
        <f t="shared" si="6"/>
        <v>1821.39</v>
      </c>
      <c r="J579" s="27">
        <v>20.0</v>
      </c>
      <c r="K579" s="21">
        <f t="shared" si="4"/>
        <v>337752.3</v>
      </c>
      <c r="L579" s="23"/>
      <c r="M579" s="21">
        <f t="shared" si="7"/>
        <v>2077.38</v>
      </c>
    </row>
    <row r="580" ht="20.25" customHeight="1" outlineLevel="1">
      <c r="A580" s="30">
        <v>45952.0</v>
      </c>
      <c r="B580" s="46" t="s">
        <v>16</v>
      </c>
      <c r="C580" s="161" t="s">
        <v>563</v>
      </c>
      <c r="D580" s="20"/>
      <c r="E580" s="21">
        <f t="shared" si="1"/>
        <v>10483.47</v>
      </c>
      <c r="F580" s="154"/>
      <c r="G580" s="21">
        <f t="shared" si="2"/>
        <v>521089.16</v>
      </c>
      <c r="H580" s="23"/>
      <c r="I580" s="21">
        <f t="shared" si="6"/>
        <v>1821.39</v>
      </c>
      <c r="J580" s="27">
        <v>80.0</v>
      </c>
      <c r="K580" s="21">
        <f t="shared" si="4"/>
        <v>337832.3</v>
      </c>
      <c r="L580" s="23"/>
      <c r="M580" s="21">
        <f t="shared" si="7"/>
        <v>2077.38</v>
      </c>
    </row>
    <row r="581" ht="20.25" customHeight="1" outlineLevel="1">
      <c r="A581" s="30">
        <v>45952.0</v>
      </c>
      <c r="B581" s="13" t="s">
        <v>16</v>
      </c>
      <c r="C581" s="162" t="s">
        <v>564</v>
      </c>
      <c r="D581" s="20"/>
      <c r="E581" s="21">
        <f t="shared" si="1"/>
        <v>10483.47</v>
      </c>
      <c r="F581" s="154"/>
      <c r="G581" s="21">
        <f t="shared" si="2"/>
        <v>521089.16</v>
      </c>
      <c r="H581" s="23"/>
      <c r="I581" s="21">
        <f t="shared" si="6"/>
        <v>1821.39</v>
      </c>
      <c r="J581" s="35">
        <v>35.0</v>
      </c>
      <c r="K581" s="21">
        <f t="shared" si="4"/>
        <v>337867.3</v>
      </c>
      <c r="L581" s="23"/>
      <c r="M581" s="21">
        <f t="shared" si="7"/>
        <v>2077.38</v>
      </c>
    </row>
    <row r="582" ht="20.25" customHeight="1" outlineLevel="1">
      <c r="A582" s="18">
        <v>45953.0</v>
      </c>
      <c r="B582" s="13" t="s">
        <v>14</v>
      </c>
      <c r="C582" s="99" t="s">
        <v>565</v>
      </c>
      <c r="D582" s="20"/>
      <c r="E582" s="21">
        <f t="shared" si="1"/>
        <v>10483.47</v>
      </c>
      <c r="F582" s="22">
        <v>-27.0</v>
      </c>
      <c r="G582" s="21">
        <f t="shared" si="2"/>
        <v>521062.16</v>
      </c>
      <c r="H582" s="23"/>
      <c r="I582" s="21">
        <f t="shared" si="6"/>
        <v>1821.39</v>
      </c>
      <c r="J582" s="23"/>
      <c r="K582" s="21">
        <f t="shared" si="4"/>
        <v>337867.3</v>
      </c>
      <c r="L582" s="23"/>
      <c r="M582" s="21">
        <f t="shared" si="7"/>
        <v>2077.38</v>
      </c>
    </row>
    <row r="583" ht="20.25" customHeight="1" outlineLevel="1">
      <c r="A583" s="18">
        <v>45953.0</v>
      </c>
      <c r="B583" s="13" t="s">
        <v>16</v>
      </c>
      <c r="C583" s="99" t="s">
        <v>566</v>
      </c>
      <c r="D583" s="20"/>
      <c r="E583" s="21">
        <f t="shared" si="1"/>
        <v>10483.47</v>
      </c>
      <c r="F583" s="27">
        <v>512.0</v>
      </c>
      <c r="G583" s="21">
        <f t="shared" si="2"/>
        <v>521574.16</v>
      </c>
      <c r="H583" s="23"/>
      <c r="I583" s="21">
        <f t="shared" si="6"/>
        <v>1821.39</v>
      </c>
      <c r="J583" s="23"/>
      <c r="K583" s="21">
        <f t="shared" si="4"/>
        <v>337867.3</v>
      </c>
      <c r="L583" s="23"/>
      <c r="M583" s="21">
        <f t="shared" si="7"/>
        <v>2077.38</v>
      </c>
    </row>
    <row r="584" ht="20.25" customHeight="1" outlineLevel="1">
      <c r="A584" s="18">
        <v>45953.0</v>
      </c>
      <c r="B584" s="13" t="s">
        <v>16</v>
      </c>
      <c r="C584" s="99" t="s">
        <v>567</v>
      </c>
      <c r="D584" s="20"/>
      <c r="E584" s="21">
        <f t="shared" si="1"/>
        <v>10483.47</v>
      </c>
      <c r="F584" s="27">
        <v>402.5</v>
      </c>
      <c r="G584" s="21">
        <f t="shared" si="2"/>
        <v>521976.66</v>
      </c>
      <c r="H584" s="23"/>
      <c r="I584" s="21">
        <f t="shared" si="6"/>
        <v>1821.39</v>
      </c>
      <c r="J584" s="23"/>
      <c r="K584" s="21">
        <f t="shared" si="4"/>
        <v>337867.3</v>
      </c>
      <c r="L584" s="23"/>
      <c r="M584" s="21">
        <f t="shared" si="7"/>
        <v>2077.38</v>
      </c>
    </row>
    <row r="585" ht="20.25" customHeight="1" outlineLevel="1">
      <c r="A585" s="12">
        <v>45953.0</v>
      </c>
      <c r="B585" s="13" t="s">
        <v>16</v>
      </c>
      <c r="C585" s="99" t="s">
        <v>568</v>
      </c>
      <c r="D585" s="20"/>
      <c r="E585" s="21">
        <f t="shared" si="1"/>
        <v>10483.47</v>
      </c>
      <c r="F585" s="26">
        <v>238.0</v>
      </c>
      <c r="G585" s="21">
        <f t="shared" si="2"/>
        <v>522214.66</v>
      </c>
      <c r="H585" s="23"/>
      <c r="I585" s="21">
        <f t="shared" si="6"/>
        <v>1821.39</v>
      </c>
      <c r="J585" s="23"/>
      <c r="K585" s="21">
        <f t="shared" si="4"/>
        <v>337867.3</v>
      </c>
      <c r="L585" s="23"/>
      <c r="M585" s="21">
        <f t="shared" si="7"/>
        <v>2077.38</v>
      </c>
    </row>
    <row r="586" ht="20.25" customHeight="1" outlineLevel="1">
      <c r="A586" s="12">
        <v>45953.0</v>
      </c>
      <c r="B586" s="13" t="s">
        <v>16</v>
      </c>
      <c r="C586" s="99" t="s">
        <v>569</v>
      </c>
      <c r="D586" s="20"/>
      <c r="E586" s="21">
        <f t="shared" si="1"/>
        <v>10483.47</v>
      </c>
      <c r="F586" s="27">
        <v>690.91</v>
      </c>
      <c r="G586" s="21">
        <f t="shared" si="2"/>
        <v>522905.57</v>
      </c>
      <c r="H586" s="23"/>
      <c r="I586" s="21">
        <f t="shared" si="6"/>
        <v>1821.39</v>
      </c>
      <c r="J586" s="23"/>
      <c r="K586" s="21">
        <f t="shared" si="4"/>
        <v>337867.3</v>
      </c>
      <c r="L586" s="23"/>
      <c r="M586" s="21">
        <f t="shared" si="7"/>
        <v>2077.38</v>
      </c>
    </row>
    <row r="587" ht="20.25" customHeight="1" outlineLevel="1">
      <c r="A587" s="18">
        <v>45953.0</v>
      </c>
      <c r="B587" s="13" t="s">
        <v>14</v>
      </c>
      <c r="C587" s="163" t="s">
        <v>570</v>
      </c>
      <c r="D587" s="20"/>
      <c r="E587" s="21">
        <f t="shared" si="1"/>
        <v>10483.47</v>
      </c>
      <c r="F587" s="22">
        <v>-0.4</v>
      </c>
      <c r="G587" s="21">
        <f t="shared" si="2"/>
        <v>522905.17</v>
      </c>
      <c r="H587" s="23"/>
      <c r="I587" s="21">
        <f t="shared" si="6"/>
        <v>1821.39</v>
      </c>
      <c r="J587" s="79"/>
      <c r="K587" s="21">
        <f t="shared" si="4"/>
        <v>337867.3</v>
      </c>
      <c r="L587" s="23"/>
      <c r="M587" s="21">
        <f t="shared" si="7"/>
        <v>2077.38</v>
      </c>
    </row>
    <row r="588" ht="20.25" customHeight="1" outlineLevel="1">
      <c r="A588" s="18">
        <v>45953.0</v>
      </c>
      <c r="B588" s="13" t="s">
        <v>428</v>
      </c>
      <c r="C588" s="82" t="s">
        <v>571</v>
      </c>
      <c r="D588" s="20"/>
      <c r="E588" s="21">
        <f t="shared" si="1"/>
        <v>10483.47</v>
      </c>
      <c r="F588" s="23"/>
      <c r="G588" s="21">
        <f t="shared" si="2"/>
        <v>522905.17</v>
      </c>
      <c r="H588" s="23"/>
      <c r="I588" s="21">
        <f t="shared" si="6"/>
        <v>1821.39</v>
      </c>
      <c r="J588" s="149">
        <v>350.0</v>
      </c>
      <c r="K588" s="21">
        <f t="shared" si="4"/>
        <v>338217.3</v>
      </c>
      <c r="L588" s="23"/>
      <c r="M588" s="21">
        <f t="shared" si="7"/>
        <v>2077.38</v>
      </c>
    </row>
    <row r="589" ht="20.25" customHeight="1" outlineLevel="1">
      <c r="A589" s="18">
        <v>45953.0</v>
      </c>
      <c r="B589" s="13" t="s">
        <v>16</v>
      </c>
      <c r="C589" s="102" t="s">
        <v>572</v>
      </c>
      <c r="D589" s="20"/>
      <c r="E589" s="21">
        <f t="shared" si="1"/>
        <v>10483.47</v>
      </c>
      <c r="F589" s="23"/>
      <c r="G589" s="21">
        <f t="shared" si="2"/>
        <v>522905.17</v>
      </c>
      <c r="H589" s="23"/>
      <c r="I589" s="21">
        <f t="shared" si="6"/>
        <v>1821.39</v>
      </c>
      <c r="J589" s="60">
        <v>76.0</v>
      </c>
      <c r="K589" s="21">
        <f t="shared" si="4"/>
        <v>338293.3</v>
      </c>
      <c r="L589" s="23"/>
      <c r="M589" s="21">
        <f t="shared" si="7"/>
        <v>2077.38</v>
      </c>
    </row>
    <row r="590" ht="20.25" customHeight="1" outlineLevel="1">
      <c r="A590" s="30">
        <v>45953.0</v>
      </c>
      <c r="B590" s="13" t="s">
        <v>16</v>
      </c>
      <c r="C590" s="82" t="s">
        <v>573</v>
      </c>
      <c r="D590" s="20"/>
      <c r="E590" s="21">
        <f t="shared" si="1"/>
        <v>10483.47</v>
      </c>
      <c r="F590" s="154"/>
      <c r="G590" s="21">
        <f t="shared" si="2"/>
        <v>522905.17</v>
      </c>
      <c r="H590" s="23"/>
      <c r="I590" s="21">
        <f t="shared" si="6"/>
        <v>1821.39</v>
      </c>
      <c r="J590" s="27">
        <v>733.0</v>
      </c>
      <c r="K590" s="21">
        <f t="shared" si="4"/>
        <v>339026.3</v>
      </c>
      <c r="L590" s="23"/>
      <c r="M590" s="21">
        <f t="shared" si="7"/>
        <v>2077.38</v>
      </c>
    </row>
    <row r="591" ht="20.25" customHeight="1" outlineLevel="1">
      <c r="A591" s="30">
        <v>45953.0</v>
      </c>
      <c r="B591" s="46" t="s">
        <v>16</v>
      </c>
      <c r="C591" s="161" t="s">
        <v>574</v>
      </c>
      <c r="D591" s="20"/>
      <c r="E591" s="21">
        <f t="shared" si="1"/>
        <v>10483.47</v>
      </c>
      <c r="F591" s="154"/>
      <c r="G591" s="21">
        <f t="shared" si="2"/>
        <v>522905.17</v>
      </c>
      <c r="H591" s="23"/>
      <c r="I591" s="21">
        <f t="shared" si="6"/>
        <v>1821.39</v>
      </c>
      <c r="J591" s="27">
        <v>43.0</v>
      </c>
      <c r="K591" s="21">
        <f t="shared" si="4"/>
        <v>339069.3</v>
      </c>
      <c r="L591" s="23"/>
      <c r="M591" s="21">
        <f t="shared" si="7"/>
        <v>2077.38</v>
      </c>
    </row>
    <row r="592" ht="20.25" customHeight="1" outlineLevel="1">
      <c r="A592" s="12">
        <v>45953.0</v>
      </c>
      <c r="B592" s="46" t="s">
        <v>16</v>
      </c>
      <c r="C592" s="160" t="s">
        <v>575</v>
      </c>
      <c r="D592" s="20">
        <v>245.0</v>
      </c>
      <c r="E592" s="21">
        <f t="shared" si="1"/>
        <v>10728.47</v>
      </c>
      <c r="F592" s="154"/>
      <c r="G592" s="21">
        <f t="shared" si="2"/>
        <v>522905.17</v>
      </c>
      <c r="H592" s="23"/>
      <c r="I592" s="21">
        <f t="shared" si="6"/>
        <v>1821.39</v>
      </c>
      <c r="J592" s="23"/>
      <c r="K592" s="21">
        <f t="shared" si="4"/>
        <v>339069.3</v>
      </c>
      <c r="L592" s="23"/>
      <c r="M592" s="21">
        <f t="shared" si="7"/>
        <v>2077.38</v>
      </c>
    </row>
    <row r="593" ht="20.25" customHeight="1" outlineLevel="1">
      <c r="A593" s="18">
        <v>45954.0</v>
      </c>
      <c r="B593" s="46" t="s">
        <v>16</v>
      </c>
      <c r="C593" s="160" t="s">
        <v>576</v>
      </c>
      <c r="D593" s="20"/>
      <c r="E593" s="21">
        <f t="shared" si="1"/>
        <v>10728.47</v>
      </c>
      <c r="F593" s="27">
        <v>14.8</v>
      </c>
      <c r="G593" s="21">
        <f t="shared" si="2"/>
        <v>522919.97</v>
      </c>
      <c r="H593" s="23"/>
      <c r="I593" s="21">
        <f t="shared" si="6"/>
        <v>1821.39</v>
      </c>
      <c r="J593" s="23"/>
      <c r="K593" s="21">
        <f t="shared" si="4"/>
        <v>339069.3</v>
      </c>
      <c r="L593" s="23"/>
      <c r="M593" s="21">
        <f t="shared" si="7"/>
        <v>2077.38</v>
      </c>
    </row>
    <row r="594" ht="20.25" customHeight="1" outlineLevel="1">
      <c r="A594" s="30">
        <v>45954.0</v>
      </c>
      <c r="B594" s="46" t="s">
        <v>14</v>
      </c>
      <c r="C594" s="160" t="s">
        <v>577</v>
      </c>
      <c r="D594" s="20"/>
      <c r="E594" s="21">
        <f t="shared" si="1"/>
        <v>10728.47</v>
      </c>
      <c r="F594" s="143">
        <v>-1000.0</v>
      </c>
      <c r="G594" s="21">
        <f t="shared" si="2"/>
        <v>521919.97</v>
      </c>
      <c r="H594" s="23"/>
      <c r="I594" s="21">
        <f t="shared" si="6"/>
        <v>1821.39</v>
      </c>
      <c r="J594" s="23"/>
      <c r="K594" s="21">
        <f t="shared" si="4"/>
        <v>339069.3</v>
      </c>
      <c r="L594" s="23"/>
      <c r="M594" s="21">
        <f t="shared" si="7"/>
        <v>2077.38</v>
      </c>
    </row>
    <row r="595" ht="20.25" customHeight="1" outlineLevel="1">
      <c r="A595" s="30">
        <v>45954.0</v>
      </c>
      <c r="B595" s="46" t="s">
        <v>16</v>
      </c>
      <c r="C595" s="160" t="s">
        <v>578</v>
      </c>
      <c r="D595" s="20"/>
      <c r="E595" s="21">
        <f t="shared" si="1"/>
        <v>10728.47</v>
      </c>
      <c r="F595" s="27">
        <v>444.0</v>
      </c>
      <c r="G595" s="21">
        <f t="shared" si="2"/>
        <v>522363.97</v>
      </c>
      <c r="H595" s="23"/>
      <c r="I595" s="21">
        <f t="shared" si="6"/>
        <v>1821.39</v>
      </c>
      <c r="J595" s="23"/>
      <c r="K595" s="21">
        <f t="shared" si="4"/>
        <v>339069.3</v>
      </c>
      <c r="L595" s="23"/>
      <c r="M595" s="21">
        <f t="shared" si="7"/>
        <v>2077.38</v>
      </c>
    </row>
    <row r="596" ht="20.25" customHeight="1" outlineLevel="1">
      <c r="A596" s="18">
        <v>45954.0</v>
      </c>
      <c r="B596" s="46" t="s">
        <v>16</v>
      </c>
      <c r="C596" s="160" t="s">
        <v>579</v>
      </c>
      <c r="D596" s="20"/>
      <c r="E596" s="21">
        <f t="shared" si="1"/>
        <v>10728.47</v>
      </c>
      <c r="F596" s="27">
        <v>284.0</v>
      </c>
      <c r="G596" s="21">
        <f t="shared" si="2"/>
        <v>522647.97</v>
      </c>
      <c r="H596" s="23"/>
      <c r="I596" s="21">
        <f t="shared" si="6"/>
        <v>1821.39</v>
      </c>
      <c r="J596" s="92"/>
      <c r="K596" s="21">
        <f t="shared" si="4"/>
        <v>339069.3</v>
      </c>
      <c r="L596" s="23"/>
      <c r="M596" s="21">
        <f t="shared" si="7"/>
        <v>2077.38</v>
      </c>
    </row>
    <row r="597" ht="20.25" customHeight="1" outlineLevel="1">
      <c r="A597" s="12">
        <v>45954.0</v>
      </c>
      <c r="B597" s="13" t="s">
        <v>16</v>
      </c>
      <c r="C597" s="164" t="s">
        <v>580</v>
      </c>
      <c r="D597" s="20"/>
      <c r="E597" s="21">
        <f t="shared" si="1"/>
        <v>10728.47</v>
      </c>
      <c r="F597" s="27">
        <v>1022.3</v>
      </c>
      <c r="G597" s="21">
        <f t="shared" si="2"/>
        <v>523670.27</v>
      </c>
      <c r="H597" s="23"/>
      <c r="I597" s="21">
        <f t="shared" si="6"/>
        <v>1821.39</v>
      </c>
      <c r="J597" s="23"/>
      <c r="K597" s="21">
        <f t="shared" si="4"/>
        <v>339069.3</v>
      </c>
      <c r="L597" s="23"/>
      <c r="M597" s="21">
        <f t="shared" si="7"/>
        <v>2077.38</v>
      </c>
    </row>
    <row r="598" ht="20.25" customHeight="1" outlineLevel="1">
      <c r="A598" s="12">
        <v>45954.0</v>
      </c>
      <c r="B598" s="13" t="s">
        <v>16</v>
      </c>
      <c r="C598" s="165" t="s">
        <v>581</v>
      </c>
      <c r="D598" s="20"/>
      <c r="E598" s="21">
        <f t="shared" si="1"/>
        <v>10728.47</v>
      </c>
      <c r="F598" s="27">
        <v>95.0</v>
      </c>
      <c r="G598" s="21">
        <f t="shared" si="2"/>
        <v>523765.27</v>
      </c>
      <c r="H598" s="23"/>
      <c r="I598" s="21">
        <f t="shared" si="6"/>
        <v>1821.39</v>
      </c>
      <c r="J598" s="23"/>
      <c r="K598" s="21">
        <f t="shared" si="4"/>
        <v>339069.3</v>
      </c>
      <c r="L598" s="23"/>
      <c r="M598" s="21">
        <f t="shared" si="7"/>
        <v>2077.38</v>
      </c>
    </row>
    <row r="599" ht="20.25" customHeight="1" outlineLevel="1">
      <c r="A599" s="12">
        <v>45954.0</v>
      </c>
      <c r="B599" s="13" t="s">
        <v>16</v>
      </c>
      <c r="C599" s="166" t="s">
        <v>582</v>
      </c>
      <c r="D599" s="20"/>
      <c r="E599" s="21">
        <f t="shared" si="1"/>
        <v>10728.47</v>
      </c>
      <c r="F599" s="23"/>
      <c r="G599" s="21">
        <f t="shared" si="2"/>
        <v>523765.27</v>
      </c>
      <c r="H599" s="23"/>
      <c r="I599" s="21">
        <f t="shared" si="6"/>
        <v>1821.39</v>
      </c>
      <c r="J599" s="35">
        <v>43.0</v>
      </c>
      <c r="K599" s="21">
        <f t="shared" si="4"/>
        <v>339112.3</v>
      </c>
      <c r="L599" s="23"/>
      <c r="M599" s="21">
        <f t="shared" si="7"/>
        <v>2077.38</v>
      </c>
    </row>
    <row r="600" ht="20.25" customHeight="1" outlineLevel="1">
      <c r="A600" s="12">
        <v>45954.0</v>
      </c>
      <c r="B600" s="13" t="s">
        <v>16</v>
      </c>
      <c r="C600" s="167" t="s">
        <v>583</v>
      </c>
      <c r="D600" s="20"/>
      <c r="E600" s="21">
        <f t="shared" si="1"/>
        <v>10728.47</v>
      </c>
      <c r="F600" s="23"/>
      <c r="G600" s="21">
        <f t="shared" si="2"/>
        <v>523765.27</v>
      </c>
      <c r="H600" s="23"/>
      <c r="I600" s="21">
        <f t="shared" si="6"/>
        <v>1821.39</v>
      </c>
      <c r="J600" s="27">
        <v>1083.0</v>
      </c>
      <c r="K600" s="21">
        <f t="shared" si="4"/>
        <v>340195.3</v>
      </c>
      <c r="L600" s="23"/>
      <c r="M600" s="21">
        <f t="shared" si="7"/>
        <v>2077.38</v>
      </c>
    </row>
    <row r="601" ht="20.25" customHeight="1" outlineLevel="1">
      <c r="A601" s="12">
        <v>45954.0</v>
      </c>
      <c r="B601" s="13" t="s">
        <v>16</v>
      </c>
      <c r="C601" s="167" t="s">
        <v>584</v>
      </c>
      <c r="D601" s="20"/>
      <c r="E601" s="21">
        <f t="shared" si="1"/>
        <v>10728.47</v>
      </c>
      <c r="F601" s="23"/>
      <c r="G601" s="21">
        <f t="shared" si="2"/>
        <v>523765.27</v>
      </c>
      <c r="H601" s="23"/>
      <c r="I601" s="21">
        <f t="shared" si="6"/>
        <v>1821.39</v>
      </c>
      <c r="J601" s="27">
        <v>1143.0</v>
      </c>
      <c r="K601" s="21">
        <f t="shared" si="4"/>
        <v>341338.3</v>
      </c>
      <c r="L601" s="23"/>
      <c r="M601" s="21">
        <f t="shared" si="7"/>
        <v>2077.38</v>
      </c>
    </row>
    <row r="602" ht="20.25" customHeight="1" outlineLevel="1">
      <c r="A602" s="12">
        <v>45954.0</v>
      </c>
      <c r="B602" s="13" t="s">
        <v>16</v>
      </c>
      <c r="C602" s="166" t="s">
        <v>585</v>
      </c>
      <c r="D602" s="20"/>
      <c r="E602" s="21">
        <f t="shared" si="1"/>
        <v>10728.47</v>
      </c>
      <c r="F602" s="23"/>
      <c r="G602" s="21">
        <f t="shared" si="2"/>
        <v>523765.27</v>
      </c>
      <c r="H602" s="23"/>
      <c r="I602" s="21">
        <f t="shared" si="6"/>
        <v>1821.39</v>
      </c>
      <c r="J602" s="35">
        <v>131.0</v>
      </c>
      <c r="K602" s="21">
        <f t="shared" si="4"/>
        <v>341469.3</v>
      </c>
      <c r="L602" s="23"/>
      <c r="M602" s="21">
        <f t="shared" si="7"/>
        <v>2077.38</v>
      </c>
    </row>
    <row r="603" ht="20.25" customHeight="1" outlineLevel="1">
      <c r="A603" s="30">
        <v>45954.0</v>
      </c>
      <c r="B603" s="13" t="s">
        <v>16</v>
      </c>
      <c r="C603" s="166" t="s">
        <v>586</v>
      </c>
      <c r="D603" s="20"/>
      <c r="E603" s="21">
        <f t="shared" si="1"/>
        <v>10728.47</v>
      </c>
      <c r="F603" s="62"/>
      <c r="G603" s="21">
        <f t="shared" si="2"/>
        <v>523765.27</v>
      </c>
      <c r="H603" s="23"/>
      <c r="I603" s="21">
        <f t="shared" si="6"/>
        <v>1821.39</v>
      </c>
      <c r="J603" s="35">
        <v>415.0</v>
      </c>
      <c r="K603" s="21">
        <f t="shared" si="4"/>
        <v>341884.3</v>
      </c>
      <c r="L603" s="23"/>
      <c r="M603" s="21">
        <f t="shared" si="7"/>
        <v>2077.38</v>
      </c>
    </row>
    <row r="604" ht="20.25" customHeight="1" outlineLevel="1">
      <c r="A604" s="12">
        <v>45954.0</v>
      </c>
      <c r="B604" s="13" t="s">
        <v>14</v>
      </c>
      <c r="C604" s="165" t="s">
        <v>587</v>
      </c>
      <c r="D604" s="20"/>
      <c r="E604" s="21">
        <f t="shared" si="1"/>
        <v>10728.47</v>
      </c>
      <c r="F604" s="23"/>
      <c r="G604" s="21">
        <f t="shared" si="2"/>
        <v>523765.27</v>
      </c>
      <c r="H604" s="22">
        <v>-6.63</v>
      </c>
      <c r="I604" s="21">
        <f t="shared" si="6"/>
        <v>1814.76</v>
      </c>
      <c r="J604" s="23"/>
      <c r="K604" s="21">
        <f t="shared" si="4"/>
        <v>341884.3</v>
      </c>
      <c r="L604" s="23"/>
      <c r="M604" s="21">
        <f t="shared" si="7"/>
        <v>2077.38</v>
      </c>
    </row>
    <row r="605" ht="20.25" customHeight="1" outlineLevel="1">
      <c r="A605" s="12">
        <v>45955.0</v>
      </c>
      <c r="B605" s="13" t="s">
        <v>63</v>
      </c>
      <c r="C605" s="168" t="s">
        <v>588</v>
      </c>
      <c r="D605" s="20"/>
      <c r="E605" s="21">
        <f t="shared" si="1"/>
        <v>10728.47</v>
      </c>
      <c r="F605" s="51">
        <v>1708.0</v>
      </c>
      <c r="G605" s="21">
        <f t="shared" si="2"/>
        <v>525473.27</v>
      </c>
      <c r="H605" s="23"/>
      <c r="I605" s="21">
        <f t="shared" si="6"/>
        <v>1814.76</v>
      </c>
      <c r="J605" s="23"/>
      <c r="K605" s="21">
        <f t="shared" si="4"/>
        <v>341884.3</v>
      </c>
      <c r="L605" s="23"/>
      <c r="M605" s="21">
        <f t="shared" si="7"/>
        <v>2077.38</v>
      </c>
    </row>
    <row r="606" ht="20.25" customHeight="1" outlineLevel="1">
      <c r="A606" s="18">
        <v>45955.0</v>
      </c>
      <c r="B606" s="13" t="s">
        <v>16</v>
      </c>
      <c r="C606" s="166" t="s">
        <v>589</v>
      </c>
      <c r="D606" s="20"/>
      <c r="E606" s="21">
        <f t="shared" si="1"/>
        <v>10728.47</v>
      </c>
      <c r="F606" s="23"/>
      <c r="G606" s="21">
        <f t="shared" si="2"/>
        <v>525473.27</v>
      </c>
      <c r="H606" s="23"/>
      <c r="I606" s="21">
        <f t="shared" si="6"/>
        <v>1814.76</v>
      </c>
      <c r="J606" s="169">
        <v>35.0</v>
      </c>
      <c r="K606" s="21">
        <f t="shared" si="4"/>
        <v>341919.3</v>
      </c>
      <c r="L606" s="23"/>
      <c r="M606" s="21">
        <f t="shared" si="7"/>
        <v>2077.38</v>
      </c>
    </row>
    <row r="607" ht="20.25" customHeight="1" outlineLevel="1">
      <c r="A607" s="18">
        <v>45955.0</v>
      </c>
      <c r="B607" s="13" t="s">
        <v>16</v>
      </c>
      <c r="C607" s="170" t="s">
        <v>590</v>
      </c>
      <c r="D607" s="20">
        <v>20.0</v>
      </c>
      <c r="E607" s="21">
        <f t="shared" si="1"/>
        <v>10748.47</v>
      </c>
      <c r="F607" s="23"/>
      <c r="G607" s="21">
        <f t="shared" si="2"/>
        <v>525473.27</v>
      </c>
      <c r="H607" s="23"/>
      <c r="I607" s="21">
        <f t="shared" si="6"/>
        <v>1814.76</v>
      </c>
      <c r="J607" s="137"/>
      <c r="K607" s="21">
        <f t="shared" si="4"/>
        <v>341919.3</v>
      </c>
      <c r="L607" s="23"/>
      <c r="M607" s="21">
        <f t="shared" si="7"/>
        <v>2077.38</v>
      </c>
    </row>
    <row r="608" ht="20.25" customHeight="1" outlineLevel="1">
      <c r="A608" s="12">
        <v>45956.0</v>
      </c>
      <c r="B608" s="13" t="s">
        <v>63</v>
      </c>
      <c r="C608" s="171" t="s">
        <v>591</v>
      </c>
      <c r="D608" s="20"/>
      <c r="E608" s="21">
        <f t="shared" si="1"/>
        <v>10748.47</v>
      </c>
      <c r="F608" s="51">
        <v>146.4</v>
      </c>
      <c r="G608" s="21">
        <f t="shared" si="2"/>
        <v>525619.67</v>
      </c>
      <c r="H608" s="23"/>
      <c r="I608" s="21">
        <f t="shared" si="6"/>
        <v>1814.76</v>
      </c>
      <c r="J608" s="23"/>
      <c r="K608" s="21">
        <f t="shared" si="4"/>
        <v>341919.3</v>
      </c>
      <c r="L608" s="23"/>
      <c r="M608" s="21">
        <f t="shared" si="7"/>
        <v>2077.38</v>
      </c>
    </row>
    <row r="609" ht="20.25" customHeight="1" outlineLevel="1">
      <c r="A609" s="30">
        <v>45957.0</v>
      </c>
      <c r="B609" s="13" t="s">
        <v>16</v>
      </c>
      <c r="C609" s="165" t="s">
        <v>592</v>
      </c>
      <c r="D609" s="20"/>
      <c r="E609" s="21">
        <f t="shared" si="1"/>
        <v>10748.47</v>
      </c>
      <c r="F609" s="27">
        <v>81.6</v>
      </c>
      <c r="G609" s="21">
        <f t="shared" si="2"/>
        <v>525701.27</v>
      </c>
      <c r="H609" s="23"/>
      <c r="I609" s="21">
        <f t="shared" si="6"/>
        <v>1814.76</v>
      </c>
      <c r="J609" s="23"/>
      <c r="K609" s="21">
        <f t="shared" si="4"/>
        <v>341919.3</v>
      </c>
      <c r="L609" s="23"/>
      <c r="M609" s="21">
        <f t="shared" si="7"/>
        <v>2077.38</v>
      </c>
    </row>
    <row r="610" ht="20.25" customHeight="1" outlineLevel="1">
      <c r="A610" s="18">
        <v>45957.0</v>
      </c>
      <c r="B610" s="13" t="s">
        <v>12</v>
      </c>
      <c r="C610" s="172" t="s">
        <v>593</v>
      </c>
      <c r="D610" s="20"/>
      <c r="E610" s="21">
        <f t="shared" si="1"/>
        <v>10748.47</v>
      </c>
      <c r="F610" s="143">
        <v>-386.35</v>
      </c>
      <c r="G610" s="21">
        <f t="shared" si="2"/>
        <v>525314.92</v>
      </c>
      <c r="H610" s="23"/>
      <c r="I610" s="21">
        <f t="shared" si="6"/>
        <v>1814.76</v>
      </c>
      <c r="J610" s="137"/>
      <c r="K610" s="21">
        <f t="shared" si="4"/>
        <v>341919.3</v>
      </c>
      <c r="L610" s="23"/>
      <c r="M610" s="21">
        <f t="shared" si="7"/>
        <v>2077.38</v>
      </c>
    </row>
    <row r="611" ht="20.25" customHeight="1" outlineLevel="1">
      <c r="A611" s="12">
        <v>45957.0</v>
      </c>
      <c r="B611" s="13" t="s">
        <v>14</v>
      </c>
      <c r="C611" s="173" t="s">
        <v>34</v>
      </c>
      <c r="D611" s="20"/>
      <c r="E611" s="21">
        <f t="shared" si="1"/>
        <v>10748.47</v>
      </c>
      <c r="F611" s="23"/>
      <c r="G611" s="21">
        <f t="shared" si="2"/>
        <v>525314.92</v>
      </c>
      <c r="H611" s="23"/>
      <c r="I611" s="21">
        <f t="shared" si="6"/>
        <v>1814.76</v>
      </c>
      <c r="J611" s="22">
        <v>-29.0</v>
      </c>
      <c r="K611" s="21">
        <f t="shared" si="4"/>
        <v>341890.3</v>
      </c>
      <c r="L611" s="23"/>
      <c r="M611" s="21">
        <f t="shared" si="7"/>
        <v>2077.38</v>
      </c>
    </row>
    <row r="612" ht="20.25" customHeight="1" outlineLevel="1">
      <c r="A612" s="12">
        <v>45957.0</v>
      </c>
      <c r="B612" s="13" t="s">
        <v>14</v>
      </c>
      <c r="C612" s="87" t="s">
        <v>34</v>
      </c>
      <c r="D612" s="20"/>
      <c r="E612" s="21">
        <f t="shared" si="1"/>
        <v>10748.47</v>
      </c>
      <c r="F612" s="23"/>
      <c r="G612" s="21">
        <f t="shared" si="2"/>
        <v>525314.92</v>
      </c>
      <c r="H612" s="23"/>
      <c r="I612" s="21">
        <f t="shared" si="6"/>
        <v>1814.76</v>
      </c>
      <c r="J612" s="22">
        <v>-24.09</v>
      </c>
      <c r="K612" s="21">
        <f t="shared" si="4"/>
        <v>341866.21</v>
      </c>
      <c r="L612" s="23"/>
      <c r="M612" s="21">
        <f t="shared" si="7"/>
        <v>2077.38</v>
      </c>
    </row>
    <row r="613" ht="20.25" customHeight="1" outlineLevel="1">
      <c r="A613" s="18">
        <v>45957.0</v>
      </c>
      <c r="B613" s="13" t="s">
        <v>16</v>
      </c>
      <c r="C613" s="85" t="s">
        <v>594</v>
      </c>
      <c r="D613" s="20"/>
      <c r="E613" s="21">
        <f t="shared" si="1"/>
        <v>10748.47</v>
      </c>
      <c r="F613" s="26">
        <v>492.0</v>
      </c>
      <c r="G613" s="21">
        <f t="shared" si="2"/>
        <v>525806.92</v>
      </c>
      <c r="H613" s="23"/>
      <c r="I613" s="21">
        <f t="shared" si="6"/>
        <v>1814.76</v>
      </c>
      <c r="J613" s="92"/>
      <c r="K613" s="21">
        <f t="shared" si="4"/>
        <v>341866.21</v>
      </c>
      <c r="L613" s="23"/>
      <c r="M613" s="21">
        <f t="shared" si="7"/>
        <v>2077.38</v>
      </c>
    </row>
    <row r="614" ht="20.25" customHeight="1" outlineLevel="1">
      <c r="A614" s="18">
        <v>45957.0</v>
      </c>
      <c r="B614" s="13" t="s">
        <v>16</v>
      </c>
      <c r="C614" s="85" t="s">
        <v>595</v>
      </c>
      <c r="D614" s="20"/>
      <c r="E614" s="21">
        <f t="shared" si="1"/>
        <v>10748.47</v>
      </c>
      <c r="F614" s="27">
        <v>20.0</v>
      </c>
      <c r="G614" s="21">
        <f t="shared" si="2"/>
        <v>525826.92</v>
      </c>
      <c r="H614" s="23"/>
      <c r="I614" s="21">
        <f t="shared" si="6"/>
        <v>1814.76</v>
      </c>
      <c r="J614" s="92"/>
      <c r="K614" s="21">
        <f t="shared" si="4"/>
        <v>341866.21</v>
      </c>
      <c r="L614" s="23"/>
      <c r="M614" s="21">
        <f t="shared" si="7"/>
        <v>2077.38</v>
      </c>
    </row>
    <row r="615" ht="20.25" customHeight="1" outlineLevel="1">
      <c r="A615" s="18">
        <v>45957.0</v>
      </c>
      <c r="B615" s="13" t="s">
        <v>16</v>
      </c>
      <c r="C615" s="85" t="s">
        <v>596</v>
      </c>
      <c r="D615" s="20"/>
      <c r="E615" s="21">
        <f t="shared" si="1"/>
        <v>10748.47</v>
      </c>
      <c r="F615" s="27">
        <v>45.0</v>
      </c>
      <c r="G615" s="21">
        <f t="shared" si="2"/>
        <v>525871.92</v>
      </c>
      <c r="H615" s="23"/>
      <c r="I615" s="21">
        <f t="shared" si="6"/>
        <v>1814.76</v>
      </c>
      <c r="J615" s="92"/>
      <c r="K615" s="21">
        <f t="shared" si="4"/>
        <v>341866.21</v>
      </c>
      <c r="L615" s="23"/>
      <c r="M615" s="21">
        <f t="shared" si="7"/>
        <v>2077.38</v>
      </c>
    </row>
    <row r="616" ht="20.25" customHeight="1" outlineLevel="1">
      <c r="A616" s="12">
        <v>45957.0</v>
      </c>
      <c r="B616" s="13" t="s">
        <v>16</v>
      </c>
      <c r="C616" s="85" t="s">
        <v>597</v>
      </c>
      <c r="D616" s="20"/>
      <c r="E616" s="21">
        <f t="shared" si="1"/>
        <v>10748.47</v>
      </c>
      <c r="F616" s="27">
        <v>1058.5</v>
      </c>
      <c r="G616" s="21">
        <f t="shared" si="2"/>
        <v>526930.42</v>
      </c>
      <c r="H616" s="23"/>
      <c r="I616" s="21">
        <f t="shared" si="6"/>
        <v>1814.76</v>
      </c>
      <c r="J616" s="23"/>
      <c r="K616" s="21">
        <f t="shared" si="4"/>
        <v>341866.21</v>
      </c>
      <c r="L616" s="23"/>
      <c r="M616" s="21">
        <f t="shared" si="7"/>
        <v>2077.38</v>
      </c>
    </row>
    <row r="617" ht="20.25" customHeight="1" outlineLevel="1">
      <c r="A617" s="12">
        <v>45957.0</v>
      </c>
      <c r="B617" s="13" t="s">
        <v>16</v>
      </c>
      <c r="C617" s="85" t="s">
        <v>598</v>
      </c>
      <c r="D617" s="20"/>
      <c r="E617" s="21">
        <f t="shared" si="1"/>
        <v>10748.47</v>
      </c>
      <c r="F617" s="27">
        <v>35.0</v>
      </c>
      <c r="G617" s="21">
        <f t="shared" si="2"/>
        <v>526965.42</v>
      </c>
      <c r="H617" s="23"/>
      <c r="I617" s="21">
        <f t="shared" si="6"/>
        <v>1814.76</v>
      </c>
      <c r="J617" s="23"/>
      <c r="K617" s="21">
        <f t="shared" si="4"/>
        <v>341866.21</v>
      </c>
      <c r="L617" s="23"/>
      <c r="M617" s="21">
        <f t="shared" si="7"/>
        <v>2077.38</v>
      </c>
    </row>
    <row r="618" ht="20.25" customHeight="1" outlineLevel="1">
      <c r="A618" s="12">
        <v>45957.0</v>
      </c>
      <c r="B618" s="13" t="s">
        <v>16</v>
      </c>
      <c r="C618" s="85" t="s">
        <v>599</v>
      </c>
      <c r="D618" s="20"/>
      <c r="E618" s="21">
        <f t="shared" si="1"/>
        <v>10748.47</v>
      </c>
      <c r="F618" s="27">
        <v>1367.0</v>
      </c>
      <c r="G618" s="21">
        <f t="shared" si="2"/>
        <v>528332.42</v>
      </c>
      <c r="H618" s="23"/>
      <c r="I618" s="21">
        <f t="shared" si="6"/>
        <v>1814.76</v>
      </c>
      <c r="J618" s="23"/>
      <c r="K618" s="21">
        <f t="shared" si="4"/>
        <v>341866.21</v>
      </c>
      <c r="L618" s="23"/>
      <c r="M618" s="21">
        <f t="shared" si="7"/>
        <v>2077.38</v>
      </c>
    </row>
    <row r="619" ht="20.25" customHeight="1" outlineLevel="1">
      <c r="A619" s="12">
        <v>45957.0</v>
      </c>
      <c r="B619" s="13" t="s">
        <v>16</v>
      </c>
      <c r="C619" s="85" t="s">
        <v>600</v>
      </c>
      <c r="D619" s="20"/>
      <c r="E619" s="21">
        <f t="shared" si="1"/>
        <v>10748.47</v>
      </c>
      <c r="F619" s="27">
        <v>482.0</v>
      </c>
      <c r="G619" s="21">
        <f t="shared" si="2"/>
        <v>528814.42</v>
      </c>
      <c r="H619" s="23"/>
      <c r="I619" s="21">
        <f t="shared" si="6"/>
        <v>1814.76</v>
      </c>
      <c r="J619" s="23"/>
      <c r="K619" s="21">
        <f t="shared" si="4"/>
        <v>341866.21</v>
      </c>
      <c r="L619" s="23"/>
      <c r="M619" s="21">
        <f t="shared" si="7"/>
        <v>2077.38</v>
      </c>
    </row>
    <row r="620" ht="20.25" customHeight="1" outlineLevel="1">
      <c r="A620" s="12">
        <v>45957.0</v>
      </c>
      <c r="B620" s="13" t="s">
        <v>16</v>
      </c>
      <c r="C620" s="85" t="s">
        <v>601</v>
      </c>
      <c r="D620" s="20"/>
      <c r="E620" s="21">
        <f t="shared" si="1"/>
        <v>10748.47</v>
      </c>
      <c r="F620" s="26">
        <v>159.0</v>
      </c>
      <c r="G620" s="21">
        <f t="shared" si="2"/>
        <v>528973.42</v>
      </c>
      <c r="H620" s="23"/>
      <c r="I620" s="21">
        <f t="shared" si="6"/>
        <v>1814.76</v>
      </c>
      <c r="J620" s="23"/>
      <c r="K620" s="21">
        <f t="shared" si="4"/>
        <v>341866.21</v>
      </c>
      <c r="L620" s="23"/>
      <c r="M620" s="21">
        <f t="shared" si="7"/>
        <v>2077.38</v>
      </c>
    </row>
    <row r="621" ht="20.25" customHeight="1" outlineLevel="1">
      <c r="A621" s="12">
        <v>45957.0</v>
      </c>
      <c r="B621" s="13" t="s">
        <v>16</v>
      </c>
      <c r="C621" s="85" t="s">
        <v>602</v>
      </c>
      <c r="D621" s="20"/>
      <c r="E621" s="21">
        <f t="shared" si="1"/>
        <v>10748.47</v>
      </c>
      <c r="F621" s="26">
        <v>164.0</v>
      </c>
      <c r="G621" s="21">
        <f t="shared" si="2"/>
        <v>529137.42</v>
      </c>
      <c r="H621" s="23"/>
      <c r="I621" s="21">
        <f t="shared" si="6"/>
        <v>1814.76</v>
      </c>
      <c r="J621" s="23"/>
      <c r="K621" s="21">
        <f t="shared" si="4"/>
        <v>341866.21</v>
      </c>
      <c r="L621" s="23"/>
      <c r="M621" s="21">
        <f t="shared" si="7"/>
        <v>2077.38</v>
      </c>
    </row>
    <row r="622" ht="20.25" customHeight="1" outlineLevel="1">
      <c r="A622" s="18">
        <v>45957.0</v>
      </c>
      <c r="B622" s="13" t="s">
        <v>16</v>
      </c>
      <c r="C622" s="85" t="s">
        <v>603</v>
      </c>
      <c r="D622" s="20"/>
      <c r="E622" s="21">
        <f t="shared" si="1"/>
        <v>10748.47</v>
      </c>
      <c r="F622" s="23"/>
      <c r="G622" s="21">
        <f t="shared" si="2"/>
        <v>529137.42</v>
      </c>
      <c r="H622" s="23"/>
      <c r="I622" s="21">
        <f t="shared" si="6"/>
        <v>1814.76</v>
      </c>
      <c r="J622" s="54">
        <v>55.0</v>
      </c>
      <c r="K622" s="21">
        <f t="shared" si="4"/>
        <v>341921.21</v>
      </c>
      <c r="L622" s="23"/>
      <c r="M622" s="21">
        <f t="shared" si="7"/>
        <v>2077.38</v>
      </c>
    </row>
    <row r="623" ht="20.25" customHeight="1" outlineLevel="1">
      <c r="A623" s="18">
        <v>45957.0</v>
      </c>
      <c r="B623" s="13" t="s">
        <v>16</v>
      </c>
      <c r="C623" s="85" t="s">
        <v>604</v>
      </c>
      <c r="D623" s="20"/>
      <c r="E623" s="21">
        <f t="shared" si="1"/>
        <v>10748.47</v>
      </c>
      <c r="F623" s="23"/>
      <c r="G623" s="21">
        <f t="shared" si="2"/>
        <v>529137.42</v>
      </c>
      <c r="H623" s="23"/>
      <c r="I623" s="21">
        <f t="shared" si="6"/>
        <v>1814.76</v>
      </c>
      <c r="J623" s="54">
        <v>295.0</v>
      </c>
      <c r="K623" s="21">
        <f t="shared" si="4"/>
        <v>342216.21</v>
      </c>
      <c r="L623" s="23"/>
      <c r="M623" s="21">
        <f t="shared" si="7"/>
        <v>2077.38</v>
      </c>
    </row>
    <row r="624" ht="20.25" customHeight="1" outlineLevel="1">
      <c r="A624" s="18">
        <v>45957.0</v>
      </c>
      <c r="B624" s="13" t="s">
        <v>16</v>
      </c>
      <c r="C624" s="99" t="s">
        <v>605</v>
      </c>
      <c r="D624" s="20">
        <v>25.0</v>
      </c>
      <c r="E624" s="21">
        <f t="shared" si="1"/>
        <v>10773.47</v>
      </c>
      <c r="F624" s="23"/>
      <c r="G624" s="21">
        <f t="shared" si="2"/>
        <v>529137.42</v>
      </c>
      <c r="H624" s="23"/>
      <c r="I624" s="21">
        <f t="shared" si="6"/>
        <v>1814.76</v>
      </c>
      <c r="J624" s="24"/>
      <c r="K624" s="21">
        <f t="shared" si="4"/>
        <v>342216.21</v>
      </c>
      <c r="L624" s="23"/>
      <c r="M624" s="21">
        <f t="shared" si="7"/>
        <v>2077.38</v>
      </c>
    </row>
    <row r="625" ht="20.25" customHeight="1" outlineLevel="1">
      <c r="A625" s="12">
        <v>45957.0</v>
      </c>
      <c r="B625" s="13" t="s">
        <v>12</v>
      </c>
      <c r="C625" s="99" t="s">
        <v>606</v>
      </c>
      <c r="D625" s="20"/>
      <c r="E625" s="21">
        <f t="shared" si="1"/>
        <v>10773.47</v>
      </c>
      <c r="F625" s="23"/>
      <c r="G625" s="21">
        <f t="shared" si="2"/>
        <v>529137.42</v>
      </c>
      <c r="H625" s="22">
        <v>-200.0</v>
      </c>
      <c r="I625" s="21">
        <f t="shared" si="6"/>
        <v>1614.76</v>
      </c>
      <c r="J625" s="23"/>
      <c r="K625" s="21">
        <f t="shared" si="4"/>
        <v>342216.21</v>
      </c>
      <c r="L625" s="23"/>
      <c r="M625" s="21">
        <f t="shared" si="7"/>
        <v>2077.38</v>
      </c>
    </row>
    <row r="626" ht="20.25" customHeight="1" outlineLevel="1">
      <c r="A626" s="12">
        <v>45957.0</v>
      </c>
      <c r="B626" s="13" t="s">
        <v>14</v>
      </c>
      <c r="C626" s="99" t="s">
        <v>607</v>
      </c>
      <c r="D626" s="20"/>
      <c r="E626" s="21">
        <f t="shared" si="1"/>
        <v>10773.47</v>
      </c>
      <c r="F626" s="23"/>
      <c r="G626" s="21">
        <f t="shared" si="2"/>
        <v>529137.42</v>
      </c>
      <c r="H626" s="22">
        <v>-300.0</v>
      </c>
      <c r="I626" s="21">
        <f t="shared" si="6"/>
        <v>1314.76</v>
      </c>
      <c r="J626" s="23"/>
      <c r="K626" s="21">
        <f t="shared" si="4"/>
        <v>342216.21</v>
      </c>
      <c r="L626" s="23"/>
      <c r="M626" s="21">
        <f t="shared" si="7"/>
        <v>2077.38</v>
      </c>
    </row>
    <row r="627" ht="20.25" customHeight="1" outlineLevel="1">
      <c r="A627" s="12">
        <v>45958.0</v>
      </c>
      <c r="B627" s="13" t="s">
        <v>179</v>
      </c>
      <c r="C627" s="107" t="s">
        <v>608</v>
      </c>
      <c r="D627" s="73">
        <v>-3800.0</v>
      </c>
      <c r="E627" s="21">
        <f t="shared" si="1"/>
        <v>6973.47</v>
      </c>
      <c r="F627" s="154"/>
      <c r="G627" s="21">
        <f t="shared" si="2"/>
        <v>529137.42</v>
      </c>
      <c r="H627" s="23"/>
      <c r="I627" s="21">
        <f t="shared" si="6"/>
        <v>1314.76</v>
      </c>
      <c r="J627" s="23"/>
      <c r="K627" s="21">
        <f t="shared" si="4"/>
        <v>342216.21</v>
      </c>
      <c r="L627" s="23"/>
      <c r="M627" s="21">
        <f t="shared" si="7"/>
        <v>2077.38</v>
      </c>
    </row>
    <row r="628" ht="20.25" customHeight="1" outlineLevel="1">
      <c r="A628" s="30">
        <v>45958.0</v>
      </c>
      <c r="B628" s="13" t="s">
        <v>12</v>
      </c>
      <c r="C628" s="85" t="s">
        <v>609</v>
      </c>
      <c r="D628" s="20"/>
      <c r="E628" s="21">
        <f t="shared" si="1"/>
        <v>6973.47</v>
      </c>
      <c r="F628" s="174">
        <v>-549.0</v>
      </c>
      <c r="G628" s="21">
        <f t="shared" si="2"/>
        <v>528588.42</v>
      </c>
      <c r="H628" s="23"/>
      <c r="I628" s="21">
        <f t="shared" si="6"/>
        <v>1314.76</v>
      </c>
      <c r="J628" s="23"/>
      <c r="K628" s="21">
        <f t="shared" si="4"/>
        <v>342216.21</v>
      </c>
      <c r="L628" s="23"/>
      <c r="M628" s="21">
        <f t="shared" si="7"/>
        <v>2077.38</v>
      </c>
    </row>
    <row r="629" ht="20.25" customHeight="1" outlineLevel="1">
      <c r="A629" s="12">
        <v>45958.0</v>
      </c>
      <c r="B629" s="13" t="s">
        <v>12</v>
      </c>
      <c r="C629" s="85" t="s">
        <v>610</v>
      </c>
      <c r="D629" s="20"/>
      <c r="E629" s="21">
        <f t="shared" si="1"/>
        <v>6973.47</v>
      </c>
      <c r="F629" s="22">
        <v>-695.4</v>
      </c>
      <c r="G629" s="21">
        <f t="shared" si="2"/>
        <v>527893.02</v>
      </c>
      <c r="H629" s="23"/>
      <c r="I629" s="21">
        <f t="shared" si="6"/>
        <v>1314.76</v>
      </c>
      <c r="J629" s="23"/>
      <c r="K629" s="21">
        <f t="shared" si="4"/>
        <v>342216.21</v>
      </c>
      <c r="L629" s="23"/>
      <c r="M629" s="21">
        <f t="shared" si="7"/>
        <v>2077.38</v>
      </c>
    </row>
    <row r="630" ht="20.25" customHeight="1" outlineLevel="1">
      <c r="A630" s="12">
        <v>45958.0</v>
      </c>
      <c r="B630" s="13" t="s">
        <v>16</v>
      </c>
      <c r="C630" s="85" t="s">
        <v>611</v>
      </c>
      <c r="D630" s="20"/>
      <c r="E630" s="21">
        <f t="shared" si="1"/>
        <v>6973.47</v>
      </c>
      <c r="F630" s="26">
        <v>74.0</v>
      </c>
      <c r="G630" s="21">
        <f t="shared" si="2"/>
        <v>527967.02</v>
      </c>
      <c r="H630" s="23"/>
      <c r="I630" s="21">
        <f t="shared" si="6"/>
        <v>1314.76</v>
      </c>
      <c r="J630" s="23"/>
      <c r="K630" s="21">
        <f t="shared" si="4"/>
        <v>342216.21</v>
      </c>
      <c r="L630" s="23"/>
      <c r="M630" s="21">
        <f t="shared" si="7"/>
        <v>2077.38</v>
      </c>
    </row>
    <row r="631" ht="20.25" customHeight="1" outlineLevel="1">
      <c r="A631" s="18">
        <v>45958.0</v>
      </c>
      <c r="B631" s="13" t="s">
        <v>16</v>
      </c>
      <c r="C631" s="153" t="s">
        <v>612</v>
      </c>
      <c r="D631" s="20"/>
      <c r="E631" s="21">
        <f t="shared" si="1"/>
        <v>6973.47</v>
      </c>
      <c r="F631" s="27">
        <v>500.0</v>
      </c>
      <c r="G631" s="21">
        <f t="shared" si="2"/>
        <v>528467.02</v>
      </c>
      <c r="H631" s="23"/>
      <c r="I631" s="21">
        <f t="shared" si="6"/>
        <v>1314.76</v>
      </c>
      <c r="J631" s="79"/>
      <c r="K631" s="21">
        <f t="shared" si="4"/>
        <v>342216.21</v>
      </c>
      <c r="L631" s="23"/>
      <c r="M631" s="21">
        <f t="shared" si="7"/>
        <v>2077.38</v>
      </c>
    </row>
    <row r="632" ht="20.25" customHeight="1" outlineLevel="1">
      <c r="A632" s="18">
        <v>45958.0</v>
      </c>
      <c r="B632" s="13" t="s">
        <v>16</v>
      </c>
      <c r="C632" s="153" t="s">
        <v>613</v>
      </c>
      <c r="D632" s="20"/>
      <c r="E632" s="21">
        <f t="shared" si="1"/>
        <v>6973.47</v>
      </c>
      <c r="F632" s="27">
        <v>349.0</v>
      </c>
      <c r="G632" s="21">
        <f t="shared" si="2"/>
        <v>528816.02</v>
      </c>
      <c r="H632" s="23"/>
      <c r="I632" s="21">
        <f t="shared" si="6"/>
        <v>1314.76</v>
      </c>
      <c r="J632" s="79"/>
      <c r="K632" s="21">
        <f t="shared" si="4"/>
        <v>342216.21</v>
      </c>
      <c r="L632" s="23"/>
      <c r="M632" s="21">
        <f t="shared" si="7"/>
        <v>2077.38</v>
      </c>
    </row>
    <row r="633" ht="20.25" customHeight="1" outlineLevel="1">
      <c r="A633" s="18">
        <v>45958.0</v>
      </c>
      <c r="B633" s="13" t="s">
        <v>16</v>
      </c>
      <c r="C633" s="85" t="s">
        <v>614</v>
      </c>
      <c r="D633" s="20"/>
      <c r="E633" s="21">
        <f t="shared" si="1"/>
        <v>6973.47</v>
      </c>
      <c r="F633" s="27">
        <v>1138.08</v>
      </c>
      <c r="G633" s="21">
        <f t="shared" si="2"/>
        <v>529954.1</v>
      </c>
      <c r="H633" s="23"/>
      <c r="I633" s="21">
        <f t="shared" si="6"/>
        <v>1314.76</v>
      </c>
      <c r="J633" s="92"/>
      <c r="K633" s="21">
        <f t="shared" si="4"/>
        <v>342216.21</v>
      </c>
      <c r="L633" s="23"/>
      <c r="M633" s="21">
        <f t="shared" si="7"/>
        <v>2077.38</v>
      </c>
    </row>
    <row r="634" ht="20.25" customHeight="1" outlineLevel="1">
      <c r="A634" s="18">
        <v>45958.0</v>
      </c>
      <c r="B634" s="13" t="s">
        <v>179</v>
      </c>
      <c r="C634" s="85" t="s">
        <v>615</v>
      </c>
      <c r="D634" s="20"/>
      <c r="E634" s="21">
        <f t="shared" si="1"/>
        <v>6973.47</v>
      </c>
      <c r="F634" s="27">
        <v>3800.0</v>
      </c>
      <c r="G634" s="21">
        <f t="shared" si="2"/>
        <v>533754.1</v>
      </c>
      <c r="H634" s="23"/>
      <c r="I634" s="21">
        <f t="shared" si="6"/>
        <v>1314.76</v>
      </c>
      <c r="J634" s="92"/>
      <c r="K634" s="21">
        <f t="shared" si="4"/>
        <v>342216.21</v>
      </c>
      <c r="L634" s="23"/>
      <c r="M634" s="21">
        <f t="shared" si="7"/>
        <v>2077.38</v>
      </c>
    </row>
    <row r="635" ht="20.25" customHeight="1" outlineLevel="1">
      <c r="A635" s="12">
        <v>45958.0</v>
      </c>
      <c r="B635" s="13" t="s">
        <v>16</v>
      </c>
      <c r="C635" s="115" t="s">
        <v>616</v>
      </c>
      <c r="D635" s="20"/>
      <c r="E635" s="21">
        <f t="shared" si="1"/>
        <v>6973.47</v>
      </c>
      <c r="F635" s="23"/>
      <c r="G635" s="21">
        <f t="shared" si="2"/>
        <v>533754.1</v>
      </c>
      <c r="H635" s="23"/>
      <c r="I635" s="21">
        <f t="shared" si="6"/>
        <v>1314.76</v>
      </c>
      <c r="J635" s="35">
        <v>232.0</v>
      </c>
      <c r="K635" s="21">
        <f t="shared" si="4"/>
        <v>342448.21</v>
      </c>
      <c r="L635" s="23"/>
      <c r="M635" s="21">
        <f t="shared" si="7"/>
        <v>2077.38</v>
      </c>
    </row>
    <row r="636" ht="20.25" customHeight="1" outlineLevel="1">
      <c r="A636" s="12">
        <v>45958.0</v>
      </c>
      <c r="B636" s="13" t="s">
        <v>16</v>
      </c>
      <c r="C636" s="115" t="s">
        <v>617</v>
      </c>
      <c r="D636" s="20"/>
      <c r="E636" s="21">
        <f t="shared" si="1"/>
        <v>6973.47</v>
      </c>
      <c r="F636" s="23"/>
      <c r="G636" s="21">
        <f t="shared" si="2"/>
        <v>533754.1</v>
      </c>
      <c r="H636" s="23"/>
      <c r="I636" s="21">
        <f t="shared" si="6"/>
        <v>1314.76</v>
      </c>
      <c r="J636" s="35">
        <v>131.0</v>
      </c>
      <c r="K636" s="21">
        <f t="shared" si="4"/>
        <v>342579.21</v>
      </c>
      <c r="L636" s="23"/>
      <c r="M636" s="21">
        <f t="shared" si="7"/>
        <v>2077.38</v>
      </c>
    </row>
    <row r="637" ht="20.25" customHeight="1" outlineLevel="1">
      <c r="A637" s="12">
        <v>45958.0</v>
      </c>
      <c r="B637" s="13" t="s">
        <v>16</v>
      </c>
      <c r="C637" s="85" t="s">
        <v>618</v>
      </c>
      <c r="D637" s="20"/>
      <c r="E637" s="21">
        <f t="shared" si="1"/>
        <v>6973.47</v>
      </c>
      <c r="F637" s="23"/>
      <c r="G637" s="21">
        <f t="shared" si="2"/>
        <v>533754.1</v>
      </c>
      <c r="H637" s="23"/>
      <c r="I637" s="21">
        <f t="shared" si="6"/>
        <v>1314.76</v>
      </c>
      <c r="J637" s="27">
        <v>1211.5</v>
      </c>
      <c r="K637" s="21">
        <f t="shared" si="4"/>
        <v>343790.71</v>
      </c>
      <c r="L637" s="23"/>
      <c r="M637" s="21">
        <f t="shared" si="7"/>
        <v>2077.38</v>
      </c>
    </row>
    <row r="638" ht="20.25" customHeight="1" outlineLevel="1">
      <c r="A638" s="18">
        <v>45958.0</v>
      </c>
      <c r="B638" s="13" t="s">
        <v>16</v>
      </c>
      <c r="C638" s="85" t="s">
        <v>619</v>
      </c>
      <c r="D638" s="20"/>
      <c r="E638" s="21">
        <f t="shared" si="1"/>
        <v>6973.47</v>
      </c>
      <c r="F638" s="23"/>
      <c r="G638" s="21">
        <f t="shared" si="2"/>
        <v>533754.1</v>
      </c>
      <c r="H638" s="23"/>
      <c r="I638" s="21">
        <f t="shared" si="6"/>
        <v>1314.76</v>
      </c>
      <c r="J638" s="54">
        <v>270.0</v>
      </c>
      <c r="K638" s="21">
        <f t="shared" si="4"/>
        <v>344060.71</v>
      </c>
      <c r="L638" s="23"/>
      <c r="M638" s="21">
        <f t="shared" si="7"/>
        <v>2077.38</v>
      </c>
    </row>
    <row r="639" ht="20.25" customHeight="1" outlineLevel="1">
      <c r="A639" s="18">
        <v>45958.0</v>
      </c>
      <c r="B639" s="13" t="s">
        <v>16</v>
      </c>
      <c r="C639" s="85" t="s">
        <v>620</v>
      </c>
      <c r="D639" s="20">
        <v>916.0</v>
      </c>
      <c r="E639" s="21">
        <f t="shared" si="1"/>
        <v>7889.47</v>
      </c>
      <c r="F639" s="23"/>
      <c r="G639" s="21">
        <f t="shared" si="2"/>
        <v>533754.1</v>
      </c>
      <c r="H639" s="23"/>
      <c r="I639" s="21">
        <f t="shared" si="6"/>
        <v>1314.76</v>
      </c>
      <c r="J639" s="92"/>
      <c r="K639" s="21">
        <f t="shared" si="4"/>
        <v>344060.71</v>
      </c>
      <c r="L639" s="23"/>
      <c r="M639" s="21">
        <f t="shared" si="7"/>
        <v>2077.38</v>
      </c>
    </row>
    <row r="640" ht="20.25" customHeight="1" outlineLevel="1">
      <c r="A640" s="12">
        <v>45958.0</v>
      </c>
      <c r="B640" s="13" t="s">
        <v>14</v>
      </c>
      <c r="C640" s="85" t="s">
        <v>621</v>
      </c>
      <c r="D640" s="20"/>
      <c r="E640" s="21">
        <f t="shared" si="1"/>
        <v>7889.47</v>
      </c>
      <c r="F640" s="23"/>
      <c r="G640" s="21">
        <f t="shared" si="2"/>
        <v>533754.1</v>
      </c>
      <c r="H640" s="22">
        <v>-11.98</v>
      </c>
      <c r="I640" s="21">
        <f t="shared" si="6"/>
        <v>1302.78</v>
      </c>
      <c r="J640" s="23"/>
      <c r="K640" s="21">
        <f t="shared" si="4"/>
        <v>344060.71</v>
      </c>
      <c r="L640" s="23"/>
      <c r="M640" s="21">
        <f t="shared" si="7"/>
        <v>2077.38</v>
      </c>
    </row>
    <row r="641" ht="20.25" customHeight="1" outlineLevel="1">
      <c r="A641" s="30">
        <v>45959.0</v>
      </c>
      <c r="B641" s="13" t="s">
        <v>63</v>
      </c>
      <c r="C641" s="90" t="s">
        <v>622</v>
      </c>
      <c r="D641" s="20"/>
      <c r="E641" s="21">
        <f t="shared" si="1"/>
        <v>7889.47</v>
      </c>
      <c r="F641" s="51">
        <v>220.0</v>
      </c>
      <c r="G641" s="21">
        <f t="shared" si="2"/>
        <v>533974.1</v>
      </c>
      <c r="H641" s="23"/>
      <c r="I641" s="21">
        <f t="shared" si="6"/>
        <v>1302.78</v>
      </c>
      <c r="J641" s="23"/>
      <c r="K641" s="21">
        <f t="shared" si="4"/>
        <v>344060.71</v>
      </c>
      <c r="L641" s="23"/>
      <c r="M641" s="21">
        <f t="shared" si="7"/>
        <v>2077.38</v>
      </c>
    </row>
    <row r="642" ht="20.25" customHeight="1" outlineLevel="1">
      <c r="A642" s="30">
        <v>45959.0</v>
      </c>
      <c r="B642" s="13" t="s">
        <v>16</v>
      </c>
      <c r="C642" s="85" t="s">
        <v>623</v>
      </c>
      <c r="D642" s="20"/>
      <c r="E642" s="21">
        <f t="shared" si="1"/>
        <v>7889.47</v>
      </c>
      <c r="F642" s="108">
        <v>321.0</v>
      </c>
      <c r="G642" s="21">
        <f t="shared" si="2"/>
        <v>534295.1</v>
      </c>
      <c r="H642" s="23"/>
      <c r="I642" s="21">
        <f t="shared" si="6"/>
        <v>1302.78</v>
      </c>
      <c r="J642" s="23"/>
      <c r="K642" s="21">
        <f t="shared" si="4"/>
        <v>344060.71</v>
      </c>
      <c r="L642" s="23"/>
      <c r="M642" s="21">
        <f t="shared" si="7"/>
        <v>2077.38</v>
      </c>
    </row>
    <row r="643" ht="20.25" customHeight="1" outlineLevel="1">
      <c r="A643" s="18">
        <v>45959.0</v>
      </c>
      <c r="B643" s="13" t="s">
        <v>16</v>
      </c>
      <c r="C643" s="85" t="s">
        <v>624</v>
      </c>
      <c r="D643" s="20"/>
      <c r="E643" s="21">
        <f t="shared" si="1"/>
        <v>7889.47</v>
      </c>
      <c r="F643" s="27">
        <v>311.0</v>
      </c>
      <c r="G643" s="21">
        <f t="shared" si="2"/>
        <v>534606.1</v>
      </c>
      <c r="H643" s="23"/>
      <c r="I643" s="21">
        <f t="shared" si="6"/>
        <v>1302.78</v>
      </c>
      <c r="J643" s="137"/>
      <c r="K643" s="21">
        <f t="shared" si="4"/>
        <v>344060.71</v>
      </c>
      <c r="L643" s="23"/>
      <c r="M643" s="21">
        <f t="shared" si="7"/>
        <v>2077.38</v>
      </c>
    </row>
    <row r="644" ht="20.25" customHeight="1" outlineLevel="1">
      <c r="A644" s="30">
        <v>45959.0</v>
      </c>
      <c r="B644" s="13" t="s">
        <v>16</v>
      </c>
      <c r="C644" s="99" t="s">
        <v>625</v>
      </c>
      <c r="D644" s="20"/>
      <c r="E644" s="21">
        <f t="shared" si="1"/>
        <v>7889.47</v>
      </c>
      <c r="F644" s="31">
        <v>821.0</v>
      </c>
      <c r="G644" s="21">
        <f t="shared" si="2"/>
        <v>535427.1</v>
      </c>
      <c r="H644" s="23"/>
      <c r="I644" s="21">
        <f t="shared" si="6"/>
        <v>1302.78</v>
      </c>
      <c r="J644" s="23"/>
      <c r="K644" s="21">
        <f t="shared" si="4"/>
        <v>344060.71</v>
      </c>
      <c r="L644" s="23"/>
      <c r="M644" s="21">
        <f t="shared" si="7"/>
        <v>2077.38</v>
      </c>
    </row>
    <row r="645" ht="20.25" customHeight="1" outlineLevel="1">
      <c r="A645" s="30">
        <v>45959.0</v>
      </c>
      <c r="B645" s="13" t="s">
        <v>16</v>
      </c>
      <c r="C645" s="175" t="s">
        <v>626</v>
      </c>
      <c r="D645" s="20"/>
      <c r="E645" s="21">
        <f t="shared" si="1"/>
        <v>7889.47</v>
      </c>
      <c r="F645" s="31">
        <v>373.14</v>
      </c>
      <c r="G645" s="21">
        <f t="shared" si="2"/>
        <v>535800.24</v>
      </c>
      <c r="H645" s="23"/>
      <c r="I645" s="21">
        <f t="shared" si="6"/>
        <v>1302.78</v>
      </c>
      <c r="J645" s="23"/>
      <c r="K645" s="21">
        <f t="shared" si="4"/>
        <v>344060.71</v>
      </c>
      <c r="L645" s="23"/>
      <c r="M645" s="21">
        <f t="shared" si="7"/>
        <v>2077.38</v>
      </c>
    </row>
    <row r="646" ht="20.25" customHeight="1" outlineLevel="1">
      <c r="A646" s="30">
        <v>45959.0</v>
      </c>
      <c r="B646" s="13" t="s">
        <v>16</v>
      </c>
      <c r="C646" s="96" t="s">
        <v>575</v>
      </c>
      <c r="D646" s="20">
        <v>245.0</v>
      </c>
      <c r="E646" s="21">
        <f t="shared" si="1"/>
        <v>8134.47</v>
      </c>
      <c r="F646" s="33"/>
      <c r="G646" s="21">
        <f t="shared" si="2"/>
        <v>535800.24</v>
      </c>
      <c r="H646" s="23"/>
      <c r="I646" s="21">
        <f t="shared" si="6"/>
        <v>1302.78</v>
      </c>
      <c r="J646" s="23"/>
      <c r="K646" s="21">
        <f t="shared" si="4"/>
        <v>344060.71</v>
      </c>
      <c r="L646" s="23"/>
      <c r="M646" s="21">
        <f t="shared" si="7"/>
        <v>2077.38</v>
      </c>
    </row>
    <row r="647" ht="20.25" customHeight="1" outlineLevel="1">
      <c r="A647" s="12">
        <v>45959.0</v>
      </c>
      <c r="B647" s="13" t="s">
        <v>12</v>
      </c>
      <c r="C647" s="96" t="s">
        <v>627</v>
      </c>
      <c r="D647" s="20"/>
      <c r="E647" s="21">
        <f t="shared" si="1"/>
        <v>8134.47</v>
      </c>
      <c r="F647" s="23"/>
      <c r="G647" s="21">
        <f t="shared" si="2"/>
        <v>535800.24</v>
      </c>
      <c r="H647" s="22">
        <v>-200.0</v>
      </c>
      <c r="I647" s="21">
        <f t="shared" si="6"/>
        <v>1102.78</v>
      </c>
      <c r="J647" s="23"/>
      <c r="K647" s="21">
        <f t="shared" si="4"/>
        <v>344060.71</v>
      </c>
      <c r="L647" s="23"/>
      <c r="M647" s="21">
        <f t="shared" si="7"/>
        <v>2077.38</v>
      </c>
    </row>
    <row r="648" ht="20.25" customHeight="1" outlineLevel="1">
      <c r="A648" s="18">
        <v>45960.0</v>
      </c>
      <c r="B648" s="13" t="s">
        <v>70</v>
      </c>
      <c r="C648" s="124" t="s">
        <v>628</v>
      </c>
      <c r="D648" s="20"/>
      <c r="E648" s="21">
        <f t="shared" si="1"/>
        <v>8134.47</v>
      </c>
      <c r="F648" s="22">
        <v>-5813.0</v>
      </c>
      <c r="G648" s="21">
        <f t="shared" si="2"/>
        <v>529987.24</v>
      </c>
      <c r="H648" s="23"/>
      <c r="I648" s="21">
        <f t="shared" si="6"/>
        <v>1102.78</v>
      </c>
      <c r="J648" s="24"/>
      <c r="K648" s="21">
        <f t="shared" si="4"/>
        <v>344060.71</v>
      </c>
      <c r="L648" s="23"/>
      <c r="M648" s="21">
        <f t="shared" si="7"/>
        <v>2077.38</v>
      </c>
    </row>
    <row r="649" ht="20.25" customHeight="1" outlineLevel="1">
      <c r="A649" s="18">
        <v>45960.0</v>
      </c>
      <c r="B649" s="13" t="s">
        <v>16</v>
      </c>
      <c r="C649" s="176" t="s">
        <v>629</v>
      </c>
      <c r="D649" s="20"/>
      <c r="E649" s="21">
        <f t="shared" si="1"/>
        <v>8134.47</v>
      </c>
      <c r="F649" s="27">
        <v>621.0</v>
      </c>
      <c r="G649" s="21">
        <f t="shared" si="2"/>
        <v>530608.24</v>
      </c>
      <c r="H649" s="23"/>
      <c r="I649" s="21">
        <f t="shared" si="6"/>
        <v>1102.78</v>
      </c>
      <c r="J649" s="177"/>
      <c r="K649" s="21">
        <f t="shared" si="4"/>
        <v>344060.71</v>
      </c>
      <c r="L649" s="23"/>
      <c r="M649" s="21">
        <f t="shared" si="7"/>
        <v>2077.38</v>
      </c>
    </row>
    <row r="650" ht="20.25" customHeight="1" outlineLevel="1">
      <c r="A650" s="12">
        <v>45960.0</v>
      </c>
      <c r="B650" s="13" t="s">
        <v>16</v>
      </c>
      <c r="C650" s="178" t="s">
        <v>630</v>
      </c>
      <c r="D650" s="20"/>
      <c r="E650" s="21">
        <f t="shared" si="1"/>
        <v>8134.47</v>
      </c>
      <c r="F650" s="27">
        <v>40.0</v>
      </c>
      <c r="G650" s="21">
        <f t="shared" si="2"/>
        <v>530648.24</v>
      </c>
      <c r="H650" s="23"/>
      <c r="I650" s="21">
        <f t="shared" si="6"/>
        <v>1102.78</v>
      </c>
      <c r="J650" s="23"/>
      <c r="K650" s="21">
        <f t="shared" si="4"/>
        <v>344060.71</v>
      </c>
      <c r="L650" s="23"/>
      <c r="M650" s="21">
        <f t="shared" si="7"/>
        <v>2077.38</v>
      </c>
    </row>
    <row r="651" ht="20.25" customHeight="1" outlineLevel="1">
      <c r="A651" s="18">
        <v>45960.0</v>
      </c>
      <c r="B651" s="13" t="s">
        <v>16</v>
      </c>
      <c r="C651" s="125" t="s">
        <v>631</v>
      </c>
      <c r="D651" s="20"/>
      <c r="E651" s="21">
        <f t="shared" si="1"/>
        <v>8134.47</v>
      </c>
      <c r="F651" s="26">
        <v>139.0</v>
      </c>
      <c r="G651" s="21">
        <f t="shared" si="2"/>
        <v>530787.24</v>
      </c>
      <c r="H651" s="23"/>
      <c r="I651" s="21">
        <f t="shared" si="6"/>
        <v>1102.78</v>
      </c>
      <c r="J651" s="179"/>
      <c r="K651" s="21">
        <f t="shared" si="4"/>
        <v>344060.71</v>
      </c>
      <c r="L651" s="23"/>
      <c r="M651" s="21">
        <f t="shared" si="7"/>
        <v>2077.38</v>
      </c>
    </row>
    <row r="652" ht="20.25" customHeight="1" outlineLevel="1">
      <c r="A652" s="18">
        <v>45960.0</v>
      </c>
      <c r="B652" s="13" t="s">
        <v>63</v>
      </c>
      <c r="C652" s="157" t="s">
        <v>632</v>
      </c>
      <c r="D652" s="20"/>
      <c r="E652" s="21">
        <f t="shared" si="1"/>
        <v>8134.47</v>
      </c>
      <c r="F652" s="51">
        <v>2318.0</v>
      </c>
      <c r="G652" s="21">
        <f t="shared" si="2"/>
        <v>533105.24</v>
      </c>
      <c r="H652" s="23"/>
      <c r="I652" s="21">
        <f t="shared" si="6"/>
        <v>1102.78</v>
      </c>
      <c r="J652" s="180"/>
      <c r="K652" s="21">
        <f t="shared" si="4"/>
        <v>344060.71</v>
      </c>
      <c r="L652" s="23"/>
      <c r="M652" s="21">
        <f t="shared" si="7"/>
        <v>2077.38</v>
      </c>
    </row>
    <row r="653" ht="20.25" customHeight="1" outlineLevel="1">
      <c r="A653" s="18">
        <v>45960.0</v>
      </c>
      <c r="B653" s="13" t="s">
        <v>63</v>
      </c>
      <c r="C653" s="90" t="s">
        <v>633</v>
      </c>
      <c r="D653" s="20"/>
      <c r="E653" s="21">
        <f t="shared" si="1"/>
        <v>8134.47</v>
      </c>
      <c r="F653" s="51">
        <v>76.25</v>
      </c>
      <c r="G653" s="21">
        <f t="shared" si="2"/>
        <v>533181.49</v>
      </c>
      <c r="H653" s="23"/>
      <c r="I653" s="21">
        <f t="shared" si="6"/>
        <v>1102.78</v>
      </c>
      <c r="J653" s="92"/>
      <c r="K653" s="21">
        <f t="shared" si="4"/>
        <v>344060.71</v>
      </c>
      <c r="L653" s="23"/>
      <c r="M653" s="21">
        <f t="shared" si="7"/>
        <v>2077.38</v>
      </c>
    </row>
    <row r="654" ht="20.25" customHeight="1" outlineLevel="1">
      <c r="A654" s="18">
        <v>45960.0</v>
      </c>
      <c r="B654" s="13" t="s">
        <v>63</v>
      </c>
      <c r="C654" s="90" t="s">
        <v>634</v>
      </c>
      <c r="D654" s="20"/>
      <c r="E654" s="21">
        <f t="shared" si="1"/>
        <v>8134.47</v>
      </c>
      <c r="F654" s="51">
        <v>450.0</v>
      </c>
      <c r="G654" s="21">
        <f t="shared" si="2"/>
        <v>533631.49</v>
      </c>
      <c r="H654" s="23"/>
      <c r="I654" s="21">
        <f t="shared" si="6"/>
        <v>1102.78</v>
      </c>
      <c r="J654" s="92"/>
      <c r="K654" s="21">
        <f t="shared" si="4"/>
        <v>344060.71</v>
      </c>
      <c r="L654" s="23"/>
      <c r="M654" s="21">
        <f t="shared" si="7"/>
        <v>2077.38</v>
      </c>
    </row>
    <row r="655" ht="20.25" customHeight="1" outlineLevel="1">
      <c r="A655" s="30">
        <v>45960.0</v>
      </c>
      <c r="B655" s="13" t="s">
        <v>12</v>
      </c>
      <c r="C655" s="85" t="s">
        <v>635</v>
      </c>
      <c r="D655" s="20"/>
      <c r="E655" s="21">
        <f t="shared" si="1"/>
        <v>8134.47</v>
      </c>
      <c r="F655" s="58">
        <v>-80.0</v>
      </c>
      <c r="G655" s="21">
        <f t="shared" si="2"/>
        <v>533551.49</v>
      </c>
      <c r="H655" s="23"/>
      <c r="I655" s="21">
        <f t="shared" si="6"/>
        <v>1102.78</v>
      </c>
      <c r="J655" s="23"/>
      <c r="K655" s="21">
        <f t="shared" si="4"/>
        <v>344060.71</v>
      </c>
      <c r="L655" s="23"/>
      <c r="M655" s="21">
        <f t="shared" si="7"/>
        <v>2077.38</v>
      </c>
    </row>
    <row r="656" ht="20.25" customHeight="1" outlineLevel="1">
      <c r="A656" s="30">
        <v>45960.0</v>
      </c>
      <c r="B656" s="13" t="s">
        <v>14</v>
      </c>
      <c r="C656" s="85" t="s">
        <v>636</v>
      </c>
      <c r="D656" s="20"/>
      <c r="E656" s="21">
        <f t="shared" si="1"/>
        <v>8134.47</v>
      </c>
      <c r="F656" s="58">
        <v>-24.76</v>
      </c>
      <c r="G656" s="21">
        <f t="shared" si="2"/>
        <v>533526.73</v>
      </c>
      <c r="H656" s="23"/>
      <c r="I656" s="21">
        <f t="shared" si="6"/>
        <v>1102.78</v>
      </c>
      <c r="J656" s="23"/>
      <c r="K656" s="21">
        <f t="shared" si="4"/>
        <v>344060.71</v>
      </c>
      <c r="L656" s="23"/>
      <c r="M656" s="21">
        <f t="shared" si="7"/>
        <v>2077.38</v>
      </c>
    </row>
    <row r="657" ht="20.25" customHeight="1" outlineLevel="1">
      <c r="A657" s="18">
        <v>45960.0</v>
      </c>
      <c r="B657" s="13" t="s">
        <v>16</v>
      </c>
      <c r="C657" s="85" t="s">
        <v>637</v>
      </c>
      <c r="D657" s="20"/>
      <c r="E657" s="21">
        <f t="shared" si="1"/>
        <v>8134.47</v>
      </c>
      <c r="F657" s="23"/>
      <c r="G657" s="21">
        <f t="shared" si="2"/>
        <v>533526.73</v>
      </c>
      <c r="H657" s="23"/>
      <c r="I657" s="21">
        <f t="shared" si="6"/>
        <v>1102.78</v>
      </c>
      <c r="J657" s="54">
        <v>25.0</v>
      </c>
      <c r="K657" s="21">
        <f t="shared" si="4"/>
        <v>344085.71</v>
      </c>
      <c r="L657" s="23"/>
      <c r="M657" s="21">
        <f t="shared" si="7"/>
        <v>2077.38</v>
      </c>
    </row>
    <row r="658" ht="20.25" customHeight="1" outlineLevel="1">
      <c r="A658" s="18">
        <v>45960.0</v>
      </c>
      <c r="B658" s="13" t="s">
        <v>16</v>
      </c>
      <c r="C658" s="85" t="s">
        <v>638</v>
      </c>
      <c r="D658" s="20"/>
      <c r="E658" s="21">
        <f t="shared" si="1"/>
        <v>8134.47</v>
      </c>
      <c r="F658" s="23"/>
      <c r="G658" s="21">
        <f t="shared" si="2"/>
        <v>533526.73</v>
      </c>
      <c r="H658" s="23"/>
      <c r="I658" s="21">
        <f t="shared" si="6"/>
        <v>1102.78</v>
      </c>
      <c r="J658" s="54">
        <v>110.0</v>
      </c>
      <c r="K658" s="21">
        <f t="shared" si="4"/>
        <v>344195.71</v>
      </c>
      <c r="L658" s="23"/>
      <c r="M658" s="21">
        <f t="shared" si="7"/>
        <v>2077.38</v>
      </c>
    </row>
    <row r="659" ht="20.25" customHeight="1" outlineLevel="1">
      <c r="A659" s="18">
        <v>45960.0</v>
      </c>
      <c r="B659" s="13" t="s">
        <v>16</v>
      </c>
      <c r="C659" s="181" t="s">
        <v>639</v>
      </c>
      <c r="D659" s="20">
        <v>514.0</v>
      </c>
      <c r="E659" s="21">
        <f t="shared" si="1"/>
        <v>8648.47</v>
      </c>
      <c r="F659" s="23"/>
      <c r="G659" s="21">
        <f t="shared" si="2"/>
        <v>533526.73</v>
      </c>
      <c r="H659" s="23"/>
      <c r="I659" s="21">
        <f t="shared" si="6"/>
        <v>1102.78</v>
      </c>
      <c r="J659" s="92"/>
      <c r="K659" s="21">
        <f t="shared" si="4"/>
        <v>344195.71</v>
      </c>
      <c r="L659" s="23"/>
      <c r="M659" s="21">
        <f t="shared" si="7"/>
        <v>2077.38</v>
      </c>
    </row>
    <row r="660" ht="20.25" customHeight="1" outlineLevel="1">
      <c r="A660" s="18">
        <v>45961.0</v>
      </c>
      <c r="B660" s="13" t="s">
        <v>12</v>
      </c>
      <c r="C660" s="181" t="s">
        <v>640</v>
      </c>
      <c r="D660" s="20"/>
      <c r="E660" s="21">
        <f t="shared" si="1"/>
        <v>8648.47</v>
      </c>
      <c r="F660" s="23"/>
      <c r="G660" s="21">
        <f t="shared" si="2"/>
        <v>533526.73</v>
      </c>
      <c r="H660" s="23"/>
      <c r="I660" s="21">
        <f t="shared" si="6"/>
        <v>1102.78</v>
      </c>
      <c r="J660" s="22">
        <v>-1563.39</v>
      </c>
      <c r="K660" s="21">
        <f t="shared" si="4"/>
        <v>342632.32</v>
      </c>
      <c r="L660" s="23"/>
      <c r="M660" s="21">
        <f t="shared" si="7"/>
        <v>2077.38</v>
      </c>
    </row>
    <row r="661" ht="20.25" customHeight="1" outlineLevel="1">
      <c r="A661" s="18">
        <v>45961.0</v>
      </c>
      <c r="B661" s="13" t="s">
        <v>12</v>
      </c>
      <c r="C661" s="181" t="s">
        <v>640</v>
      </c>
      <c r="D661" s="20"/>
      <c r="E661" s="21">
        <f t="shared" si="1"/>
        <v>8648.47</v>
      </c>
      <c r="F661" s="23"/>
      <c r="G661" s="21">
        <f t="shared" si="2"/>
        <v>533526.73</v>
      </c>
      <c r="H661" s="23"/>
      <c r="I661" s="21">
        <f t="shared" si="6"/>
        <v>1102.78</v>
      </c>
      <c r="J661" s="53">
        <v>-1104.64</v>
      </c>
      <c r="K661" s="21">
        <f t="shared" si="4"/>
        <v>341527.68</v>
      </c>
      <c r="L661" s="23"/>
      <c r="M661" s="21">
        <f t="shared" si="7"/>
        <v>2077.38</v>
      </c>
    </row>
    <row r="662" ht="20.25" customHeight="1" outlineLevel="1">
      <c r="A662" s="18">
        <v>45961.0</v>
      </c>
      <c r="B662" s="13" t="s">
        <v>63</v>
      </c>
      <c r="C662" s="182" t="s">
        <v>641</v>
      </c>
      <c r="D662" s="183">
        <v>500.0</v>
      </c>
      <c r="E662" s="21">
        <f t="shared" si="1"/>
        <v>9148.47</v>
      </c>
      <c r="F662" s="23"/>
      <c r="G662" s="21">
        <f t="shared" si="2"/>
        <v>533526.73</v>
      </c>
      <c r="H662" s="23"/>
      <c r="I662" s="21">
        <f t="shared" si="6"/>
        <v>1102.78</v>
      </c>
      <c r="J662" s="24"/>
      <c r="K662" s="21">
        <f t="shared" si="4"/>
        <v>341527.68</v>
      </c>
      <c r="L662" s="23"/>
      <c r="M662" s="21">
        <f t="shared" si="7"/>
        <v>2077.38</v>
      </c>
    </row>
    <row r="663" ht="20.25" customHeight="1" outlineLevel="1">
      <c r="A663" s="18">
        <v>45961.0</v>
      </c>
      <c r="B663" s="13" t="s">
        <v>16</v>
      </c>
      <c r="C663" s="181" t="s">
        <v>642</v>
      </c>
      <c r="D663" s="20"/>
      <c r="E663" s="21">
        <f t="shared" si="1"/>
        <v>9148.47</v>
      </c>
      <c r="F663" s="27">
        <v>1890.0</v>
      </c>
      <c r="G663" s="21">
        <f t="shared" si="2"/>
        <v>535416.73</v>
      </c>
      <c r="H663" s="23"/>
      <c r="I663" s="21">
        <f t="shared" si="6"/>
        <v>1102.78</v>
      </c>
      <c r="J663" s="24"/>
      <c r="K663" s="21">
        <f t="shared" si="4"/>
        <v>341527.68</v>
      </c>
      <c r="L663" s="23"/>
      <c r="M663" s="21">
        <f t="shared" si="7"/>
        <v>2077.38</v>
      </c>
    </row>
    <row r="664" ht="20.25" customHeight="1" outlineLevel="1">
      <c r="A664" s="12">
        <v>45961.0</v>
      </c>
      <c r="B664" s="13" t="s">
        <v>16</v>
      </c>
      <c r="C664" s="181" t="s">
        <v>643</v>
      </c>
      <c r="D664" s="20"/>
      <c r="E664" s="21">
        <f t="shared" si="1"/>
        <v>9148.47</v>
      </c>
      <c r="F664" s="27">
        <v>926.1</v>
      </c>
      <c r="G664" s="21">
        <f t="shared" si="2"/>
        <v>536342.83</v>
      </c>
      <c r="H664" s="23"/>
      <c r="I664" s="21">
        <f t="shared" si="6"/>
        <v>1102.78</v>
      </c>
      <c r="J664" s="23"/>
      <c r="K664" s="21">
        <f t="shared" si="4"/>
        <v>341527.68</v>
      </c>
      <c r="L664" s="23"/>
      <c r="M664" s="21">
        <f t="shared" si="7"/>
        <v>2077.38</v>
      </c>
    </row>
    <row r="665" ht="20.25" customHeight="1" outlineLevel="1">
      <c r="A665" s="18">
        <v>45961.0</v>
      </c>
      <c r="B665" s="13" t="s">
        <v>16</v>
      </c>
      <c r="C665" s="181" t="s">
        <v>644</v>
      </c>
      <c r="D665" s="20"/>
      <c r="E665" s="21">
        <f t="shared" si="1"/>
        <v>9148.47</v>
      </c>
      <c r="F665" s="27">
        <v>45.0</v>
      </c>
      <c r="G665" s="21">
        <f t="shared" si="2"/>
        <v>536387.83</v>
      </c>
      <c r="H665" s="23"/>
      <c r="I665" s="21">
        <f t="shared" si="6"/>
        <v>1102.78</v>
      </c>
      <c r="J665" s="23"/>
      <c r="K665" s="21">
        <f t="shared" si="4"/>
        <v>341527.68</v>
      </c>
      <c r="L665" s="23"/>
      <c r="M665" s="21">
        <f t="shared" si="7"/>
        <v>2077.38</v>
      </c>
    </row>
    <row r="666" ht="20.25" customHeight="1" outlineLevel="1">
      <c r="A666" s="18">
        <v>45961.0</v>
      </c>
      <c r="B666" s="13" t="s">
        <v>16</v>
      </c>
      <c r="C666" s="181" t="s">
        <v>645</v>
      </c>
      <c r="D666" s="20"/>
      <c r="E666" s="21">
        <f t="shared" si="1"/>
        <v>9148.47</v>
      </c>
      <c r="F666" s="26">
        <v>50.0</v>
      </c>
      <c r="G666" s="21">
        <f t="shared" si="2"/>
        <v>536437.83</v>
      </c>
      <c r="H666" s="23"/>
      <c r="I666" s="21">
        <f t="shared" si="6"/>
        <v>1102.78</v>
      </c>
      <c r="J666" s="23"/>
      <c r="K666" s="21">
        <f t="shared" si="4"/>
        <v>341527.68</v>
      </c>
      <c r="L666" s="23"/>
      <c r="M666" s="21">
        <f t="shared" si="7"/>
        <v>2077.38</v>
      </c>
    </row>
    <row r="667" ht="20.25" customHeight="1" outlineLevel="1">
      <c r="A667" s="18">
        <v>45961.0</v>
      </c>
      <c r="B667" s="13" t="s">
        <v>16</v>
      </c>
      <c r="C667" s="181" t="s">
        <v>646</v>
      </c>
      <c r="D667" s="20"/>
      <c r="E667" s="21">
        <f t="shared" si="1"/>
        <v>9148.47</v>
      </c>
      <c r="F667" s="23"/>
      <c r="G667" s="21">
        <f t="shared" si="2"/>
        <v>536437.83</v>
      </c>
      <c r="H667" s="23"/>
      <c r="I667" s="21">
        <f t="shared" si="6"/>
        <v>1102.78</v>
      </c>
      <c r="J667" s="54">
        <v>370.5</v>
      </c>
      <c r="K667" s="21">
        <f t="shared" si="4"/>
        <v>341898.18</v>
      </c>
      <c r="L667" s="23"/>
      <c r="M667" s="21">
        <f t="shared" si="7"/>
        <v>2077.38</v>
      </c>
    </row>
    <row r="668" ht="20.25" customHeight="1" outlineLevel="1">
      <c r="A668" s="18">
        <v>45961.0</v>
      </c>
      <c r="B668" s="13" t="s">
        <v>16</v>
      </c>
      <c r="C668" s="181" t="s">
        <v>647</v>
      </c>
      <c r="D668" s="20"/>
      <c r="E668" s="21">
        <f t="shared" si="1"/>
        <v>9148.47</v>
      </c>
      <c r="F668" s="23"/>
      <c r="G668" s="21">
        <f t="shared" si="2"/>
        <v>536437.83</v>
      </c>
      <c r="H668" s="23"/>
      <c r="I668" s="21">
        <f t="shared" si="6"/>
        <v>1102.78</v>
      </c>
      <c r="J668" s="54">
        <v>60.0</v>
      </c>
      <c r="K668" s="21">
        <f t="shared" si="4"/>
        <v>341958.18</v>
      </c>
      <c r="L668" s="23"/>
      <c r="M668" s="21">
        <f t="shared" si="7"/>
        <v>2077.38</v>
      </c>
    </row>
    <row r="669" ht="20.25" customHeight="1" outlineLevel="1">
      <c r="A669" s="18">
        <v>45961.0</v>
      </c>
      <c r="B669" s="13" t="s">
        <v>16</v>
      </c>
      <c r="C669" s="184" t="s">
        <v>648</v>
      </c>
      <c r="D669" s="20"/>
      <c r="E669" s="21">
        <f t="shared" si="1"/>
        <v>9148.47</v>
      </c>
      <c r="F669" s="23"/>
      <c r="G669" s="21">
        <f t="shared" si="2"/>
        <v>536437.83</v>
      </c>
      <c r="H669" s="23"/>
      <c r="I669" s="21">
        <f t="shared" si="6"/>
        <v>1102.78</v>
      </c>
      <c r="J669" s="60">
        <v>284.0</v>
      </c>
      <c r="K669" s="21">
        <f t="shared" si="4"/>
        <v>342242.18</v>
      </c>
      <c r="L669" s="23"/>
      <c r="M669" s="21">
        <f t="shared" si="7"/>
        <v>2077.38</v>
      </c>
    </row>
    <row r="670" ht="20.25" customHeight="1" outlineLevel="1">
      <c r="A670" s="18">
        <v>45961.0</v>
      </c>
      <c r="B670" s="13" t="s">
        <v>16</v>
      </c>
      <c r="C670" s="185" t="s">
        <v>649</v>
      </c>
      <c r="D670" s="20">
        <v>60.0</v>
      </c>
      <c r="E670" s="21">
        <f t="shared" si="1"/>
        <v>9208.47</v>
      </c>
      <c r="F670" s="23"/>
      <c r="G670" s="21">
        <f t="shared" si="2"/>
        <v>536437.83</v>
      </c>
      <c r="H670" s="23"/>
      <c r="I670" s="21">
        <f t="shared" si="6"/>
        <v>1102.78</v>
      </c>
      <c r="J670" s="92"/>
      <c r="K670" s="21">
        <f t="shared" si="4"/>
        <v>342242.18</v>
      </c>
      <c r="L670" s="23"/>
      <c r="M670" s="21">
        <f t="shared" si="7"/>
        <v>2077.38</v>
      </c>
    </row>
    <row r="671" ht="20.25" customHeight="1" outlineLevel="1">
      <c r="A671" s="12">
        <v>45964.0</v>
      </c>
      <c r="B671" s="13" t="s">
        <v>16</v>
      </c>
      <c r="C671" s="186" t="s">
        <v>650</v>
      </c>
      <c r="D671" s="20"/>
      <c r="E671" s="21">
        <f t="shared" si="1"/>
        <v>9208.47</v>
      </c>
      <c r="F671" s="23"/>
      <c r="G671" s="21">
        <f t="shared" si="2"/>
        <v>536437.83</v>
      </c>
      <c r="H671" s="23"/>
      <c r="I671" s="21">
        <f t="shared" si="6"/>
        <v>1102.78</v>
      </c>
      <c r="J671" s="35">
        <v>250.0</v>
      </c>
      <c r="K671" s="21">
        <f t="shared" si="4"/>
        <v>342492.18</v>
      </c>
      <c r="L671" s="23"/>
      <c r="M671" s="21">
        <f t="shared" si="7"/>
        <v>2077.38</v>
      </c>
    </row>
    <row r="672" ht="20.25" customHeight="1" outlineLevel="1">
      <c r="A672" s="12">
        <v>45964.0</v>
      </c>
      <c r="B672" s="13" t="s">
        <v>57</v>
      </c>
      <c r="C672" s="99" t="s">
        <v>33</v>
      </c>
      <c r="D672" s="20"/>
      <c r="E672" s="21">
        <f t="shared" si="1"/>
        <v>9208.47</v>
      </c>
      <c r="F672" s="23"/>
      <c r="G672" s="21">
        <f t="shared" si="2"/>
        <v>536437.83</v>
      </c>
      <c r="H672" s="23"/>
      <c r="I672" s="21">
        <f t="shared" si="6"/>
        <v>1102.78</v>
      </c>
      <c r="J672" s="22">
        <v>-509.07</v>
      </c>
      <c r="K672" s="21">
        <f t="shared" si="4"/>
        <v>341983.11</v>
      </c>
      <c r="L672" s="23"/>
      <c r="M672" s="21">
        <f t="shared" si="7"/>
        <v>2077.38</v>
      </c>
    </row>
    <row r="673" ht="20.25" customHeight="1" outlineLevel="1">
      <c r="A673" s="12">
        <v>45964.0</v>
      </c>
      <c r="B673" s="13" t="s">
        <v>14</v>
      </c>
      <c r="C673" s="99" t="s">
        <v>34</v>
      </c>
      <c r="D673" s="20"/>
      <c r="E673" s="21">
        <f t="shared" si="1"/>
        <v>9208.47</v>
      </c>
      <c r="F673" s="23"/>
      <c r="G673" s="21">
        <f t="shared" si="2"/>
        <v>536437.83</v>
      </c>
      <c r="H673" s="23"/>
      <c r="I673" s="21">
        <f t="shared" si="6"/>
        <v>1102.78</v>
      </c>
      <c r="J673" s="22">
        <v>-27.18</v>
      </c>
      <c r="K673" s="21">
        <f t="shared" si="4"/>
        <v>341955.93</v>
      </c>
      <c r="L673" s="23"/>
      <c r="M673" s="21">
        <f t="shared" si="7"/>
        <v>2077.38</v>
      </c>
    </row>
    <row r="674" ht="20.25" customHeight="1" outlineLevel="1">
      <c r="A674" s="12">
        <v>45964.0</v>
      </c>
      <c r="B674" s="13" t="s">
        <v>14</v>
      </c>
      <c r="C674" s="99" t="s">
        <v>34</v>
      </c>
      <c r="D674" s="20"/>
      <c r="E674" s="21">
        <f t="shared" si="1"/>
        <v>9208.47</v>
      </c>
      <c r="F674" s="23"/>
      <c r="G674" s="21">
        <f t="shared" si="2"/>
        <v>536437.83</v>
      </c>
      <c r="H674" s="23"/>
      <c r="I674" s="21">
        <f t="shared" si="6"/>
        <v>1102.78</v>
      </c>
      <c r="J674" s="22">
        <v>-24.17</v>
      </c>
      <c r="K674" s="21">
        <f t="shared" si="4"/>
        <v>341931.76</v>
      </c>
      <c r="L674" s="23"/>
      <c r="M674" s="21">
        <f t="shared" si="7"/>
        <v>2077.38</v>
      </c>
    </row>
    <row r="675" ht="20.25" customHeight="1" outlineLevel="1">
      <c r="A675" s="18">
        <v>45964.0</v>
      </c>
      <c r="B675" s="13" t="s">
        <v>12</v>
      </c>
      <c r="C675" s="99" t="s">
        <v>651</v>
      </c>
      <c r="D675" s="20"/>
      <c r="E675" s="21">
        <f t="shared" si="1"/>
        <v>9208.47</v>
      </c>
      <c r="F675" s="22">
        <v>-4912.94</v>
      </c>
      <c r="G675" s="21">
        <f t="shared" si="2"/>
        <v>531524.89</v>
      </c>
      <c r="H675" s="23"/>
      <c r="I675" s="21">
        <f t="shared" si="6"/>
        <v>1102.78</v>
      </c>
      <c r="J675" s="24"/>
      <c r="K675" s="21">
        <f t="shared" si="4"/>
        <v>341931.76</v>
      </c>
      <c r="L675" s="23"/>
      <c r="M675" s="21">
        <f t="shared" si="7"/>
        <v>2077.38</v>
      </c>
    </row>
    <row r="676" ht="20.25" customHeight="1" outlineLevel="1">
      <c r="A676" s="18">
        <v>45964.0</v>
      </c>
      <c r="B676" s="13" t="s">
        <v>368</v>
      </c>
      <c r="C676" s="99" t="s">
        <v>652</v>
      </c>
      <c r="D676" s="20"/>
      <c r="E676" s="21">
        <f t="shared" si="1"/>
        <v>9208.47</v>
      </c>
      <c r="F676" s="22">
        <v>-13075.0</v>
      </c>
      <c r="G676" s="21">
        <f t="shared" si="2"/>
        <v>518449.89</v>
      </c>
      <c r="H676" s="23"/>
      <c r="I676" s="21">
        <f t="shared" si="6"/>
        <v>1102.78</v>
      </c>
      <c r="J676" s="24"/>
      <c r="K676" s="21">
        <f t="shared" si="4"/>
        <v>341931.76</v>
      </c>
      <c r="L676" s="23"/>
      <c r="M676" s="21">
        <f t="shared" si="7"/>
        <v>2077.38</v>
      </c>
    </row>
    <row r="677" ht="20.25" customHeight="1" outlineLevel="1">
      <c r="A677" s="18">
        <v>45964.0</v>
      </c>
      <c r="B677" s="13" t="s">
        <v>16</v>
      </c>
      <c r="C677" s="99" t="s">
        <v>653</v>
      </c>
      <c r="D677" s="20"/>
      <c r="E677" s="21">
        <f t="shared" si="1"/>
        <v>9208.47</v>
      </c>
      <c r="F677" s="27">
        <v>543.0</v>
      </c>
      <c r="G677" s="21">
        <f t="shared" si="2"/>
        <v>518992.89</v>
      </c>
      <c r="H677" s="23"/>
      <c r="I677" s="21">
        <f t="shared" si="6"/>
        <v>1102.78</v>
      </c>
      <c r="J677" s="24"/>
      <c r="K677" s="21">
        <f t="shared" si="4"/>
        <v>341931.76</v>
      </c>
      <c r="L677" s="23"/>
      <c r="M677" s="21">
        <f t="shared" si="7"/>
        <v>2077.38</v>
      </c>
    </row>
    <row r="678" ht="20.25" customHeight="1" outlineLevel="1">
      <c r="A678" s="12">
        <v>45964.0</v>
      </c>
      <c r="B678" s="13" t="s">
        <v>16</v>
      </c>
      <c r="C678" s="99" t="s">
        <v>654</v>
      </c>
      <c r="D678" s="20"/>
      <c r="E678" s="21">
        <f t="shared" si="1"/>
        <v>9208.47</v>
      </c>
      <c r="F678" s="27">
        <v>836.0</v>
      </c>
      <c r="G678" s="21">
        <f t="shared" si="2"/>
        <v>519828.89</v>
      </c>
      <c r="H678" s="23"/>
      <c r="I678" s="21">
        <f t="shared" si="6"/>
        <v>1102.78</v>
      </c>
      <c r="J678" s="23"/>
      <c r="K678" s="21">
        <f t="shared" si="4"/>
        <v>341931.76</v>
      </c>
      <c r="L678" s="23"/>
      <c r="M678" s="21">
        <f t="shared" si="7"/>
        <v>2077.38</v>
      </c>
    </row>
    <row r="679" ht="20.25" customHeight="1" outlineLevel="1">
      <c r="A679" s="12">
        <v>45964.0</v>
      </c>
      <c r="B679" s="13" t="s">
        <v>16</v>
      </c>
      <c r="C679" s="99" t="s">
        <v>655</v>
      </c>
      <c r="D679" s="20"/>
      <c r="E679" s="21">
        <f t="shared" si="1"/>
        <v>9208.47</v>
      </c>
      <c r="F679" s="26">
        <v>565.0</v>
      </c>
      <c r="G679" s="21">
        <f t="shared" si="2"/>
        <v>520393.89</v>
      </c>
      <c r="H679" s="23"/>
      <c r="I679" s="21">
        <f t="shared" si="6"/>
        <v>1102.78</v>
      </c>
      <c r="J679" s="23"/>
      <c r="K679" s="21">
        <f t="shared" si="4"/>
        <v>341931.76</v>
      </c>
      <c r="L679" s="23"/>
      <c r="M679" s="21">
        <f t="shared" si="7"/>
        <v>2077.38</v>
      </c>
    </row>
    <row r="680" ht="20.25" customHeight="1" outlineLevel="1">
      <c r="A680" s="18">
        <v>45964.0</v>
      </c>
      <c r="B680" s="13" t="s">
        <v>16</v>
      </c>
      <c r="C680" s="99" t="s">
        <v>656</v>
      </c>
      <c r="D680" s="20"/>
      <c r="E680" s="21">
        <f t="shared" si="1"/>
        <v>9208.47</v>
      </c>
      <c r="F680" s="26">
        <v>148.0</v>
      </c>
      <c r="G680" s="21">
        <f t="shared" si="2"/>
        <v>520541.89</v>
      </c>
      <c r="H680" s="23"/>
      <c r="I680" s="21">
        <f t="shared" si="6"/>
        <v>1102.78</v>
      </c>
      <c r="J680" s="24"/>
      <c r="K680" s="21">
        <f t="shared" si="4"/>
        <v>341931.76</v>
      </c>
      <c r="L680" s="23"/>
      <c r="M680" s="21">
        <f t="shared" si="7"/>
        <v>2077.38</v>
      </c>
    </row>
    <row r="681" ht="20.25" customHeight="1" outlineLevel="1">
      <c r="A681" s="18">
        <v>45964.0</v>
      </c>
      <c r="B681" s="13" t="s">
        <v>16</v>
      </c>
      <c r="C681" s="99" t="s">
        <v>657</v>
      </c>
      <c r="D681" s="20"/>
      <c r="E681" s="21">
        <f t="shared" si="1"/>
        <v>9208.47</v>
      </c>
      <c r="F681" s="26">
        <v>358.0</v>
      </c>
      <c r="G681" s="21">
        <f t="shared" si="2"/>
        <v>520899.89</v>
      </c>
      <c r="H681" s="23"/>
      <c r="I681" s="21">
        <f t="shared" si="6"/>
        <v>1102.78</v>
      </c>
      <c r="J681" s="24"/>
      <c r="K681" s="21">
        <f t="shared" si="4"/>
        <v>341931.76</v>
      </c>
      <c r="L681" s="23"/>
      <c r="M681" s="21">
        <f t="shared" si="7"/>
        <v>2077.38</v>
      </c>
    </row>
    <row r="682" ht="20.25" customHeight="1" outlineLevel="1">
      <c r="A682" s="18">
        <v>45964.0</v>
      </c>
      <c r="B682" s="13" t="s">
        <v>16</v>
      </c>
      <c r="C682" s="99" t="s">
        <v>658</v>
      </c>
      <c r="D682" s="20"/>
      <c r="E682" s="21">
        <f t="shared" si="1"/>
        <v>9208.47</v>
      </c>
      <c r="F682" s="23"/>
      <c r="G682" s="21">
        <f t="shared" si="2"/>
        <v>520899.89</v>
      </c>
      <c r="H682" s="23"/>
      <c r="I682" s="21">
        <f t="shared" si="6"/>
        <v>1102.78</v>
      </c>
      <c r="J682" s="54">
        <v>170.0</v>
      </c>
      <c r="K682" s="21">
        <f t="shared" si="4"/>
        <v>342101.76</v>
      </c>
      <c r="L682" s="23"/>
      <c r="M682" s="21">
        <f t="shared" si="7"/>
        <v>2077.38</v>
      </c>
    </row>
    <row r="683" ht="20.25" customHeight="1" outlineLevel="1">
      <c r="A683" s="12">
        <v>45964.0</v>
      </c>
      <c r="B683" s="13" t="s">
        <v>16</v>
      </c>
      <c r="C683" s="172" t="s">
        <v>659</v>
      </c>
      <c r="D683" s="20"/>
      <c r="E683" s="21">
        <f t="shared" si="1"/>
        <v>9208.47</v>
      </c>
      <c r="F683" s="23"/>
      <c r="G683" s="21">
        <f t="shared" si="2"/>
        <v>520899.89</v>
      </c>
      <c r="H683" s="23"/>
      <c r="I683" s="21">
        <f t="shared" si="6"/>
        <v>1102.78</v>
      </c>
      <c r="J683" s="22">
        <v>-1889.48</v>
      </c>
      <c r="K683" s="21">
        <f t="shared" si="4"/>
        <v>340212.28</v>
      </c>
      <c r="L683" s="23"/>
      <c r="M683" s="21">
        <f t="shared" si="7"/>
        <v>2077.38</v>
      </c>
    </row>
    <row r="684" ht="20.25" customHeight="1" outlineLevel="1">
      <c r="A684" s="12">
        <v>45964.0</v>
      </c>
      <c r="B684" s="13" t="s">
        <v>16</v>
      </c>
      <c r="C684" s="187" t="s">
        <v>109</v>
      </c>
      <c r="D684" s="20">
        <v>170.0</v>
      </c>
      <c r="E684" s="21">
        <f t="shared" si="1"/>
        <v>9378.47</v>
      </c>
      <c r="F684" s="23"/>
      <c r="G684" s="21">
        <f t="shared" si="2"/>
        <v>520899.89</v>
      </c>
      <c r="H684" s="23"/>
      <c r="I684" s="21">
        <f t="shared" si="6"/>
        <v>1102.78</v>
      </c>
      <c r="J684" s="24"/>
      <c r="K684" s="21">
        <f t="shared" si="4"/>
        <v>340212.28</v>
      </c>
      <c r="L684" s="23"/>
      <c r="M684" s="21">
        <f t="shared" si="7"/>
        <v>2077.38</v>
      </c>
    </row>
    <row r="685" ht="20.25" customHeight="1" outlineLevel="1">
      <c r="A685" s="12">
        <v>45964.0</v>
      </c>
      <c r="B685" s="13" t="s">
        <v>12</v>
      </c>
      <c r="C685" s="165" t="s">
        <v>248</v>
      </c>
      <c r="D685" s="20"/>
      <c r="E685" s="21">
        <f t="shared" si="1"/>
        <v>9378.47</v>
      </c>
      <c r="F685" s="23"/>
      <c r="G685" s="21">
        <f t="shared" si="2"/>
        <v>520899.89</v>
      </c>
      <c r="H685" s="22">
        <v>-75.0</v>
      </c>
      <c r="I685" s="21">
        <f t="shared" si="6"/>
        <v>1027.78</v>
      </c>
      <c r="J685" s="23"/>
      <c r="K685" s="21">
        <f t="shared" si="4"/>
        <v>340212.28</v>
      </c>
      <c r="L685" s="23"/>
      <c r="M685" s="21">
        <f t="shared" si="7"/>
        <v>2077.38</v>
      </c>
    </row>
    <row r="686" ht="20.25" customHeight="1" outlineLevel="1">
      <c r="A686" s="12">
        <v>45964.0</v>
      </c>
      <c r="B686" s="13" t="s">
        <v>12</v>
      </c>
      <c r="C686" s="165" t="s">
        <v>660</v>
      </c>
      <c r="D686" s="20"/>
      <c r="E686" s="21">
        <f t="shared" si="1"/>
        <v>9378.47</v>
      </c>
      <c r="F686" s="23"/>
      <c r="G686" s="21">
        <f t="shared" si="2"/>
        <v>520899.89</v>
      </c>
      <c r="H686" s="22">
        <v>-200.0</v>
      </c>
      <c r="I686" s="21">
        <f t="shared" si="6"/>
        <v>827.78</v>
      </c>
      <c r="J686" s="23"/>
      <c r="K686" s="21">
        <f t="shared" si="4"/>
        <v>340212.28</v>
      </c>
      <c r="L686" s="23"/>
      <c r="M686" s="21">
        <f t="shared" si="7"/>
        <v>2077.38</v>
      </c>
    </row>
    <row r="687" ht="20.25" customHeight="1" outlineLevel="1">
      <c r="A687" s="12">
        <v>45965.0</v>
      </c>
      <c r="B687" s="13" t="s">
        <v>16</v>
      </c>
      <c r="C687" s="187" t="s">
        <v>661</v>
      </c>
      <c r="D687" s="20">
        <v>355.0</v>
      </c>
      <c r="E687" s="21">
        <f t="shared" si="1"/>
        <v>9733.47</v>
      </c>
      <c r="F687" s="23"/>
      <c r="G687" s="21">
        <f t="shared" si="2"/>
        <v>520899.89</v>
      </c>
      <c r="H687" s="23"/>
      <c r="I687" s="21">
        <f t="shared" si="6"/>
        <v>827.78</v>
      </c>
      <c r="J687" s="24"/>
      <c r="K687" s="21">
        <f t="shared" si="4"/>
        <v>340212.28</v>
      </c>
      <c r="L687" s="23"/>
      <c r="M687" s="21">
        <f t="shared" si="7"/>
        <v>2077.38</v>
      </c>
    </row>
    <row r="688" ht="20.25" customHeight="1">
      <c r="A688" s="18">
        <v>45965.0</v>
      </c>
      <c r="B688" s="13" t="s">
        <v>12</v>
      </c>
      <c r="C688" s="107" t="s">
        <v>662</v>
      </c>
      <c r="D688" s="20"/>
      <c r="E688" s="21">
        <f t="shared" si="1"/>
        <v>9733.47</v>
      </c>
      <c r="F688" s="22">
        <v>-522.08</v>
      </c>
      <c r="G688" s="21">
        <f t="shared" si="2"/>
        <v>520377.81</v>
      </c>
      <c r="H688" s="23"/>
      <c r="I688" s="21">
        <f t="shared" si="6"/>
        <v>827.78</v>
      </c>
      <c r="J688" s="24"/>
      <c r="K688" s="21">
        <f t="shared" si="4"/>
        <v>340212.28</v>
      </c>
      <c r="L688" s="23"/>
      <c r="M688" s="21">
        <f t="shared" si="7"/>
        <v>2077.38</v>
      </c>
    </row>
    <row r="689" ht="20.25" customHeight="1" outlineLevel="1">
      <c r="A689" s="18">
        <v>45965.0</v>
      </c>
      <c r="B689" s="13" t="s">
        <v>368</v>
      </c>
      <c r="C689" s="85" t="s">
        <v>663</v>
      </c>
      <c r="D689" s="20"/>
      <c r="E689" s="21">
        <f t="shared" si="1"/>
        <v>9733.47</v>
      </c>
      <c r="F689" s="22">
        <v>-2895.0</v>
      </c>
      <c r="G689" s="21">
        <f t="shared" si="2"/>
        <v>517482.81</v>
      </c>
      <c r="H689" s="23"/>
      <c r="I689" s="21">
        <f t="shared" si="6"/>
        <v>827.78</v>
      </c>
      <c r="J689" s="24"/>
      <c r="K689" s="21">
        <f t="shared" si="4"/>
        <v>340212.28</v>
      </c>
      <c r="L689" s="23"/>
      <c r="M689" s="21">
        <f t="shared" si="7"/>
        <v>2077.38</v>
      </c>
    </row>
    <row r="690" ht="20.25" customHeight="1" outlineLevel="1">
      <c r="A690" s="18">
        <v>45965.0</v>
      </c>
      <c r="B690" s="13" t="s">
        <v>368</v>
      </c>
      <c r="C690" s="85" t="s">
        <v>664</v>
      </c>
      <c r="D690" s="20"/>
      <c r="E690" s="21">
        <f t="shared" si="1"/>
        <v>9733.47</v>
      </c>
      <c r="F690" s="22">
        <v>-4145.0</v>
      </c>
      <c r="G690" s="21">
        <f t="shared" si="2"/>
        <v>513337.81</v>
      </c>
      <c r="H690" s="23"/>
      <c r="I690" s="21">
        <f t="shared" si="6"/>
        <v>827.78</v>
      </c>
      <c r="J690" s="24"/>
      <c r="K690" s="21">
        <f t="shared" si="4"/>
        <v>340212.28</v>
      </c>
      <c r="L690" s="23"/>
      <c r="M690" s="21">
        <f t="shared" si="7"/>
        <v>2077.38</v>
      </c>
    </row>
    <row r="691" ht="20.25" customHeight="1" outlineLevel="1">
      <c r="A691" s="18">
        <v>45965.0</v>
      </c>
      <c r="B691" s="13" t="s">
        <v>368</v>
      </c>
      <c r="C691" s="85" t="s">
        <v>665</v>
      </c>
      <c r="D691" s="20"/>
      <c r="E691" s="21">
        <f t="shared" si="1"/>
        <v>9733.47</v>
      </c>
      <c r="F691" s="22">
        <v>-4605.0</v>
      </c>
      <c r="G691" s="21">
        <f t="shared" si="2"/>
        <v>508732.81</v>
      </c>
      <c r="H691" s="23"/>
      <c r="I691" s="21">
        <f t="shared" si="6"/>
        <v>827.78</v>
      </c>
      <c r="J691" s="24"/>
      <c r="K691" s="21">
        <f t="shared" si="4"/>
        <v>340212.28</v>
      </c>
      <c r="L691" s="23"/>
      <c r="M691" s="21">
        <f t="shared" si="7"/>
        <v>2077.38</v>
      </c>
    </row>
    <row r="692" ht="20.25" customHeight="1" outlineLevel="1">
      <c r="A692" s="18">
        <v>45965.0</v>
      </c>
      <c r="B692" s="13" t="s">
        <v>12</v>
      </c>
      <c r="C692" s="85" t="s">
        <v>666</v>
      </c>
      <c r="D692" s="20"/>
      <c r="E692" s="21">
        <f t="shared" si="1"/>
        <v>9733.47</v>
      </c>
      <c r="F692" s="22">
        <v>-1000.0</v>
      </c>
      <c r="G692" s="21">
        <f t="shared" si="2"/>
        <v>507732.81</v>
      </c>
      <c r="H692" s="23"/>
      <c r="I692" s="21">
        <f t="shared" si="6"/>
        <v>827.78</v>
      </c>
      <c r="J692" s="24"/>
      <c r="K692" s="21">
        <f t="shared" si="4"/>
        <v>340212.28</v>
      </c>
      <c r="L692" s="23"/>
      <c r="M692" s="21">
        <f t="shared" si="7"/>
        <v>2077.38</v>
      </c>
    </row>
    <row r="693" ht="20.25" customHeight="1" outlineLevel="1">
      <c r="A693" s="18">
        <v>45965.0</v>
      </c>
      <c r="B693" s="13" t="s">
        <v>16</v>
      </c>
      <c r="C693" s="153" t="s">
        <v>667</v>
      </c>
      <c r="D693" s="20"/>
      <c r="E693" s="21">
        <f t="shared" si="1"/>
        <v>9733.47</v>
      </c>
      <c r="F693" s="26">
        <v>228.0</v>
      </c>
      <c r="G693" s="21">
        <f t="shared" si="2"/>
        <v>507960.81</v>
      </c>
      <c r="H693" s="23"/>
      <c r="I693" s="21">
        <f t="shared" si="6"/>
        <v>827.78</v>
      </c>
      <c r="J693" s="79"/>
      <c r="K693" s="21">
        <f t="shared" si="4"/>
        <v>340212.28</v>
      </c>
      <c r="L693" s="23"/>
      <c r="M693" s="21">
        <f t="shared" si="7"/>
        <v>2077.38</v>
      </c>
    </row>
    <row r="694" ht="20.25" customHeight="1" outlineLevel="1">
      <c r="A694" s="18">
        <v>45965.0</v>
      </c>
      <c r="B694" s="13" t="s">
        <v>16</v>
      </c>
      <c r="C694" s="85" t="s">
        <v>668</v>
      </c>
      <c r="D694" s="20"/>
      <c r="E694" s="21">
        <f t="shared" si="1"/>
        <v>9733.47</v>
      </c>
      <c r="F694" s="27">
        <v>3238.0</v>
      </c>
      <c r="G694" s="21">
        <f t="shared" si="2"/>
        <v>511198.81</v>
      </c>
      <c r="H694" s="23"/>
      <c r="I694" s="21">
        <f t="shared" si="6"/>
        <v>827.78</v>
      </c>
      <c r="J694" s="24"/>
      <c r="K694" s="21">
        <f t="shared" si="4"/>
        <v>340212.28</v>
      </c>
      <c r="L694" s="23"/>
      <c r="M694" s="21">
        <f t="shared" si="7"/>
        <v>2077.38</v>
      </c>
    </row>
    <row r="695" ht="20.25" customHeight="1" outlineLevel="1">
      <c r="A695" s="18">
        <v>45965.0</v>
      </c>
      <c r="B695" s="13" t="s">
        <v>16</v>
      </c>
      <c r="C695" s="85" t="s">
        <v>669</v>
      </c>
      <c r="D695" s="20"/>
      <c r="E695" s="21">
        <f t="shared" si="1"/>
        <v>9733.47</v>
      </c>
      <c r="F695" s="27">
        <v>785.04</v>
      </c>
      <c r="G695" s="21">
        <f t="shared" si="2"/>
        <v>511983.85</v>
      </c>
      <c r="H695" s="23"/>
      <c r="I695" s="21">
        <f t="shared" si="6"/>
        <v>827.78</v>
      </c>
      <c r="J695" s="24"/>
      <c r="K695" s="21">
        <f t="shared" si="4"/>
        <v>340212.28</v>
      </c>
      <c r="L695" s="23"/>
      <c r="M695" s="21">
        <f t="shared" si="7"/>
        <v>2077.38</v>
      </c>
    </row>
    <row r="696" ht="20.25" customHeight="1" outlineLevel="1">
      <c r="A696" s="18">
        <v>45965.0</v>
      </c>
      <c r="B696" s="13" t="s">
        <v>12</v>
      </c>
      <c r="C696" s="85" t="s">
        <v>670</v>
      </c>
      <c r="D696" s="20"/>
      <c r="E696" s="21">
        <f t="shared" si="1"/>
        <v>9733.47</v>
      </c>
      <c r="F696" s="22">
        <v>-432.0</v>
      </c>
      <c r="G696" s="21">
        <f t="shared" si="2"/>
        <v>511551.85</v>
      </c>
      <c r="H696" s="23"/>
      <c r="I696" s="21">
        <f t="shared" si="6"/>
        <v>827.78</v>
      </c>
      <c r="J696" s="24"/>
      <c r="K696" s="21">
        <f t="shared" si="4"/>
        <v>340212.28</v>
      </c>
      <c r="L696" s="23"/>
      <c r="M696" s="21">
        <f t="shared" si="7"/>
        <v>2077.38</v>
      </c>
    </row>
    <row r="697" ht="20.25" customHeight="1" outlineLevel="1">
      <c r="A697" s="18">
        <v>45965.0</v>
      </c>
      <c r="B697" s="13" t="s">
        <v>14</v>
      </c>
      <c r="C697" s="85" t="s">
        <v>30</v>
      </c>
      <c r="D697" s="20"/>
      <c r="E697" s="21">
        <f t="shared" si="1"/>
        <v>9733.47</v>
      </c>
      <c r="F697" s="22">
        <v>-8.49</v>
      </c>
      <c r="G697" s="21">
        <f t="shared" si="2"/>
        <v>511543.36</v>
      </c>
      <c r="H697" s="23"/>
      <c r="I697" s="21">
        <f t="shared" si="6"/>
        <v>827.78</v>
      </c>
      <c r="J697" s="24"/>
      <c r="K697" s="21">
        <f t="shared" si="4"/>
        <v>340212.28</v>
      </c>
      <c r="L697" s="23"/>
      <c r="M697" s="21">
        <f t="shared" si="7"/>
        <v>2077.38</v>
      </c>
    </row>
    <row r="698" ht="20.25" customHeight="1" outlineLevel="1">
      <c r="A698" s="18">
        <v>45965.0</v>
      </c>
      <c r="B698" s="13" t="s">
        <v>16</v>
      </c>
      <c r="C698" s="115" t="s">
        <v>671</v>
      </c>
      <c r="D698" s="20"/>
      <c r="E698" s="21">
        <f t="shared" si="1"/>
        <v>9733.47</v>
      </c>
      <c r="F698" s="23"/>
      <c r="G698" s="21">
        <f t="shared" si="2"/>
        <v>511543.36</v>
      </c>
      <c r="H698" s="23"/>
      <c r="I698" s="21">
        <f t="shared" si="6"/>
        <v>827.78</v>
      </c>
      <c r="J698" s="54">
        <v>155.0</v>
      </c>
      <c r="K698" s="21">
        <f t="shared" si="4"/>
        <v>340367.28</v>
      </c>
      <c r="L698" s="23"/>
      <c r="M698" s="21">
        <f t="shared" si="7"/>
        <v>2077.38</v>
      </c>
    </row>
    <row r="699" ht="20.25" customHeight="1" outlineLevel="1">
      <c r="A699" s="18">
        <v>45965.0</v>
      </c>
      <c r="B699" s="13" t="s">
        <v>14</v>
      </c>
      <c r="C699" s="85" t="s">
        <v>34</v>
      </c>
      <c r="D699" s="20"/>
      <c r="E699" s="21">
        <f t="shared" si="1"/>
        <v>9733.47</v>
      </c>
      <c r="F699" s="23"/>
      <c r="G699" s="21">
        <f t="shared" si="2"/>
        <v>511543.36</v>
      </c>
      <c r="H699" s="23"/>
      <c r="I699" s="21">
        <f t="shared" si="6"/>
        <v>827.78</v>
      </c>
      <c r="J699" s="53">
        <v>-29.99</v>
      </c>
      <c r="K699" s="21">
        <f t="shared" si="4"/>
        <v>340337.29</v>
      </c>
      <c r="L699" s="23"/>
      <c r="M699" s="21">
        <f t="shared" si="7"/>
        <v>2077.38</v>
      </c>
    </row>
    <row r="700" ht="20.25" customHeight="1" outlineLevel="1">
      <c r="A700" s="18">
        <v>45965.0</v>
      </c>
      <c r="B700" s="13" t="s">
        <v>16</v>
      </c>
      <c r="C700" s="85" t="s">
        <v>672</v>
      </c>
      <c r="D700" s="20"/>
      <c r="E700" s="21">
        <f t="shared" si="1"/>
        <v>9733.47</v>
      </c>
      <c r="F700" s="23"/>
      <c r="G700" s="21">
        <f t="shared" si="2"/>
        <v>511543.36</v>
      </c>
      <c r="H700" s="23"/>
      <c r="I700" s="21">
        <f t="shared" si="6"/>
        <v>827.78</v>
      </c>
      <c r="J700" s="54">
        <v>15.0</v>
      </c>
      <c r="K700" s="21">
        <f t="shared" si="4"/>
        <v>340352.29</v>
      </c>
      <c r="L700" s="23"/>
      <c r="M700" s="21">
        <f t="shared" si="7"/>
        <v>2077.38</v>
      </c>
    </row>
    <row r="701" ht="20.25" customHeight="1" outlineLevel="1">
      <c r="A701" s="18">
        <v>45965.0</v>
      </c>
      <c r="B701" s="13" t="s">
        <v>16</v>
      </c>
      <c r="C701" s="85" t="s">
        <v>673</v>
      </c>
      <c r="D701" s="20"/>
      <c r="E701" s="21">
        <f t="shared" si="1"/>
        <v>9733.47</v>
      </c>
      <c r="F701" s="23"/>
      <c r="G701" s="21">
        <f t="shared" si="2"/>
        <v>511543.36</v>
      </c>
      <c r="H701" s="23"/>
      <c r="I701" s="21">
        <f t="shared" si="6"/>
        <v>827.78</v>
      </c>
      <c r="J701" s="54">
        <v>92.0</v>
      </c>
      <c r="K701" s="21">
        <f t="shared" si="4"/>
        <v>340444.29</v>
      </c>
      <c r="L701" s="23"/>
      <c r="M701" s="21">
        <f t="shared" si="7"/>
        <v>2077.38</v>
      </c>
    </row>
    <row r="702" ht="20.25" customHeight="1" outlineLevel="1">
      <c r="A702" s="18">
        <v>45966.0</v>
      </c>
      <c r="B702" s="13" t="s">
        <v>16</v>
      </c>
      <c r="C702" s="85" t="s">
        <v>674</v>
      </c>
      <c r="D702" s="20">
        <v>42.5</v>
      </c>
      <c r="E702" s="21">
        <f t="shared" si="1"/>
        <v>9775.97</v>
      </c>
      <c r="F702" s="23"/>
      <c r="G702" s="21">
        <f t="shared" si="2"/>
        <v>511543.36</v>
      </c>
      <c r="H702" s="23"/>
      <c r="I702" s="21">
        <f t="shared" si="6"/>
        <v>827.78</v>
      </c>
      <c r="J702" s="92"/>
      <c r="K702" s="21">
        <f t="shared" si="4"/>
        <v>340444.29</v>
      </c>
      <c r="L702" s="23"/>
      <c r="M702" s="21">
        <f t="shared" si="7"/>
        <v>2077.38</v>
      </c>
    </row>
    <row r="703" ht="20.25" customHeight="1" outlineLevel="1">
      <c r="A703" s="18">
        <v>45966.0</v>
      </c>
      <c r="B703" s="13" t="s">
        <v>14</v>
      </c>
      <c r="C703" s="83" t="s">
        <v>675</v>
      </c>
      <c r="D703" s="20"/>
      <c r="E703" s="21">
        <f t="shared" si="1"/>
        <v>9775.97</v>
      </c>
      <c r="F703" s="22">
        <v>-10.0</v>
      </c>
      <c r="G703" s="21">
        <f t="shared" si="2"/>
        <v>511533.36</v>
      </c>
      <c r="H703" s="23"/>
      <c r="I703" s="21">
        <f t="shared" si="6"/>
        <v>827.78</v>
      </c>
      <c r="J703" s="24"/>
      <c r="K703" s="21">
        <f t="shared" si="4"/>
        <v>340444.29</v>
      </c>
      <c r="L703" s="23"/>
      <c r="M703" s="21">
        <f t="shared" si="7"/>
        <v>2077.38</v>
      </c>
    </row>
    <row r="704" ht="20.25" customHeight="1" outlineLevel="1">
      <c r="A704" s="18">
        <v>45966.0</v>
      </c>
      <c r="B704" s="13" t="s">
        <v>14</v>
      </c>
      <c r="C704" s="83" t="s">
        <v>676</v>
      </c>
      <c r="D704" s="20"/>
      <c r="E704" s="21">
        <f t="shared" si="1"/>
        <v>9775.97</v>
      </c>
      <c r="F704" s="22">
        <v>-5.0</v>
      </c>
      <c r="G704" s="21">
        <f t="shared" si="2"/>
        <v>511528.36</v>
      </c>
      <c r="H704" s="23"/>
      <c r="I704" s="21">
        <f t="shared" si="6"/>
        <v>827.78</v>
      </c>
      <c r="J704" s="24"/>
      <c r="K704" s="21">
        <f t="shared" si="4"/>
        <v>340444.29</v>
      </c>
      <c r="L704" s="23"/>
      <c r="M704" s="21">
        <f t="shared" si="7"/>
        <v>2077.38</v>
      </c>
    </row>
    <row r="705" ht="20.25" customHeight="1" outlineLevel="1">
      <c r="A705" s="18">
        <v>45966.0</v>
      </c>
      <c r="B705" s="13" t="s">
        <v>14</v>
      </c>
      <c r="C705" s="83" t="s">
        <v>49</v>
      </c>
      <c r="D705" s="20"/>
      <c r="E705" s="21">
        <f t="shared" si="1"/>
        <v>9775.97</v>
      </c>
      <c r="F705" s="22">
        <v>-353.08</v>
      </c>
      <c r="G705" s="21">
        <f t="shared" si="2"/>
        <v>511175.28</v>
      </c>
      <c r="H705" s="23"/>
      <c r="I705" s="21">
        <f t="shared" si="6"/>
        <v>827.78</v>
      </c>
      <c r="J705" s="24"/>
      <c r="K705" s="21">
        <f t="shared" si="4"/>
        <v>340444.29</v>
      </c>
      <c r="L705" s="23"/>
      <c r="M705" s="21">
        <f t="shared" si="7"/>
        <v>2077.38</v>
      </c>
    </row>
    <row r="706" ht="20.25" customHeight="1" outlineLevel="1">
      <c r="A706" s="18">
        <v>45966.0</v>
      </c>
      <c r="B706" s="13" t="s">
        <v>14</v>
      </c>
      <c r="C706" s="83" t="s">
        <v>48</v>
      </c>
      <c r="D706" s="20"/>
      <c r="E706" s="21">
        <f t="shared" si="1"/>
        <v>9775.97</v>
      </c>
      <c r="F706" s="22">
        <v>-123.33</v>
      </c>
      <c r="G706" s="21">
        <f t="shared" si="2"/>
        <v>511051.95</v>
      </c>
      <c r="H706" s="23"/>
      <c r="I706" s="21">
        <f t="shared" si="6"/>
        <v>827.78</v>
      </c>
      <c r="J706" s="24"/>
      <c r="K706" s="21">
        <f t="shared" si="4"/>
        <v>340444.29</v>
      </c>
      <c r="L706" s="23"/>
      <c r="M706" s="21">
        <f t="shared" si="7"/>
        <v>2077.38</v>
      </c>
    </row>
    <row r="707" ht="20.25" customHeight="1" outlineLevel="1">
      <c r="A707" s="18">
        <v>45966.0</v>
      </c>
      <c r="B707" s="13" t="s">
        <v>14</v>
      </c>
      <c r="C707" s="83" t="s">
        <v>52</v>
      </c>
      <c r="D707" s="20"/>
      <c r="E707" s="21">
        <f t="shared" si="1"/>
        <v>9775.97</v>
      </c>
      <c r="F707" s="23"/>
      <c r="G707" s="21">
        <f t="shared" si="2"/>
        <v>511051.95</v>
      </c>
      <c r="H707" s="23"/>
      <c r="I707" s="21">
        <f t="shared" si="6"/>
        <v>827.78</v>
      </c>
      <c r="J707" s="53">
        <v>-233.26</v>
      </c>
      <c r="K707" s="21">
        <f t="shared" si="4"/>
        <v>340211.03</v>
      </c>
      <c r="L707" s="23"/>
      <c r="M707" s="21">
        <f t="shared" si="7"/>
        <v>2077.38</v>
      </c>
    </row>
    <row r="708" ht="20.25" customHeight="1" outlineLevel="1">
      <c r="A708" s="18">
        <v>45966.0</v>
      </c>
      <c r="B708" s="13" t="s">
        <v>368</v>
      </c>
      <c r="C708" s="83" t="s">
        <v>677</v>
      </c>
      <c r="D708" s="20"/>
      <c r="E708" s="21">
        <f t="shared" si="1"/>
        <v>9775.97</v>
      </c>
      <c r="F708" s="22">
        <v>-35.0</v>
      </c>
      <c r="G708" s="21">
        <f t="shared" si="2"/>
        <v>511016.95</v>
      </c>
      <c r="H708" s="23"/>
      <c r="I708" s="21">
        <f t="shared" si="6"/>
        <v>827.78</v>
      </c>
      <c r="J708" s="24"/>
      <c r="K708" s="21">
        <f t="shared" si="4"/>
        <v>340211.03</v>
      </c>
      <c r="L708" s="23"/>
      <c r="M708" s="21">
        <f t="shared" si="7"/>
        <v>2077.38</v>
      </c>
    </row>
    <row r="709" ht="20.25" customHeight="1" outlineLevel="1">
      <c r="A709" s="18">
        <v>45966.0</v>
      </c>
      <c r="B709" s="13" t="s">
        <v>368</v>
      </c>
      <c r="C709" s="85" t="s">
        <v>678</v>
      </c>
      <c r="D709" s="20"/>
      <c r="E709" s="21">
        <f t="shared" si="1"/>
        <v>9775.97</v>
      </c>
      <c r="F709" s="22">
        <v>-11953.0</v>
      </c>
      <c r="G709" s="21">
        <f t="shared" si="2"/>
        <v>499063.95</v>
      </c>
      <c r="H709" s="23"/>
      <c r="I709" s="21">
        <f t="shared" si="6"/>
        <v>827.78</v>
      </c>
      <c r="J709" s="24"/>
      <c r="K709" s="21">
        <f t="shared" si="4"/>
        <v>340211.03</v>
      </c>
      <c r="L709" s="23"/>
      <c r="M709" s="21">
        <f t="shared" si="7"/>
        <v>2077.38</v>
      </c>
    </row>
    <row r="710" ht="20.25" customHeight="1" outlineLevel="1">
      <c r="A710" s="18">
        <v>45966.0</v>
      </c>
      <c r="B710" s="13" t="s">
        <v>70</v>
      </c>
      <c r="C710" s="85" t="s">
        <v>679</v>
      </c>
      <c r="D710" s="20"/>
      <c r="E710" s="21">
        <f t="shared" si="1"/>
        <v>9775.97</v>
      </c>
      <c r="F710" s="22">
        <v>-22130.0</v>
      </c>
      <c r="G710" s="21">
        <f t="shared" si="2"/>
        <v>476933.95</v>
      </c>
      <c r="H710" s="23"/>
      <c r="I710" s="21">
        <f t="shared" si="6"/>
        <v>827.78</v>
      </c>
      <c r="J710" s="24"/>
      <c r="K710" s="21">
        <f t="shared" si="4"/>
        <v>340211.03</v>
      </c>
      <c r="L710" s="23"/>
      <c r="M710" s="21">
        <f t="shared" si="7"/>
        <v>2077.38</v>
      </c>
    </row>
    <row r="711" ht="20.25" customHeight="1" outlineLevel="1">
      <c r="A711" s="12">
        <v>45966.0</v>
      </c>
      <c r="B711" s="13" t="s">
        <v>368</v>
      </c>
      <c r="C711" s="85" t="s">
        <v>680</v>
      </c>
      <c r="D711" s="20"/>
      <c r="E711" s="21">
        <f t="shared" si="1"/>
        <v>9775.97</v>
      </c>
      <c r="F711" s="22">
        <v>-6981.0</v>
      </c>
      <c r="G711" s="21">
        <f t="shared" si="2"/>
        <v>469952.95</v>
      </c>
      <c r="H711" s="23"/>
      <c r="I711" s="21">
        <f t="shared" si="6"/>
        <v>827.78</v>
      </c>
      <c r="J711" s="23"/>
      <c r="K711" s="21">
        <f t="shared" si="4"/>
        <v>340211.03</v>
      </c>
      <c r="L711" s="23"/>
      <c r="M711" s="21">
        <f t="shared" si="7"/>
        <v>2077.38</v>
      </c>
    </row>
    <row r="712" ht="20.25" customHeight="1" outlineLevel="1">
      <c r="A712" s="18">
        <v>45966.0</v>
      </c>
      <c r="B712" s="13" t="s">
        <v>16</v>
      </c>
      <c r="C712" s="85" t="s">
        <v>681</v>
      </c>
      <c r="D712" s="20"/>
      <c r="E712" s="21">
        <f t="shared" si="1"/>
        <v>9775.97</v>
      </c>
      <c r="F712" s="26">
        <v>106.0</v>
      </c>
      <c r="G712" s="21">
        <f t="shared" si="2"/>
        <v>470058.95</v>
      </c>
      <c r="H712" s="23"/>
      <c r="I712" s="21">
        <f t="shared" si="6"/>
        <v>827.78</v>
      </c>
      <c r="J712" s="24"/>
      <c r="K712" s="21">
        <f t="shared" si="4"/>
        <v>340211.03</v>
      </c>
      <c r="L712" s="23"/>
      <c r="M712" s="21">
        <f t="shared" si="7"/>
        <v>2077.38</v>
      </c>
    </row>
    <row r="713" ht="20.25" customHeight="1" outlineLevel="1">
      <c r="A713" s="18">
        <v>45966.0</v>
      </c>
      <c r="B713" s="13" t="s">
        <v>16</v>
      </c>
      <c r="C713" s="85" t="s">
        <v>682</v>
      </c>
      <c r="D713" s="20"/>
      <c r="E713" s="21">
        <f t="shared" si="1"/>
        <v>9775.97</v>
      </c>
      <c r="F713" s="27">
        <v>387.5</v>
      </c>
      <c r="G713" s="21">
        <f t="shared" si="2"/>
        <v>470446.45</v>
      </c>
      <c r="H713" s="23"/>
      <c r="I713" s="21">
        <f t="shared" si="6"/>
        <v>827.78</v>
      </c>
      <c r="J713" s="24"/>
      <c r="K713" s="21">
        <f t="shared" si="4"/>
        <v>340211.03</v>
      </c>
      <c r="L713" s="23"/>
      <c r="M713" s="21">
        <f t="shared" si="7"/>
        <v>2077.38</v>
      </c>
    </row>
    <row r="714" ht="20.25" customHeight="1" outlineLevel="1">
      <c r="A714" s="18">
        <v>45966.0</v>
      </c>
      <c r="B714" s="13" t="s">
        <v>16</v>
      </c>
      <c r="C714" s="85" t="s">
        <v>683</v>
      </c>
      <c r="D714" s="20"/>
      <c r="E714" s="21">
        <f t="shared" si="1"/>
        <v>9775.97</v>
      </c>
      <c r="F714" s="27">
        <v>1345.5</v>
      </c>
      <c r="G714" s="21">
        <f t="shared" si="2"/>
        <v>471791.95</v>
      </c>
      <c r="H714" s="23"/>
      <c r="I714" s="21">
        <f t="shared" si="6"/>
        <v>827.78</v>
      </c>
      <c r="J714" s="24"/>
      <c r="K714" s="21">
        <f t="shared" si="4"/>
        <v>340211.03</v>
      </c>
      <c r="L714" s="23"/>
      <c r="M714" s="21">
        <f t="shared" si="7"/>
        <v>2077.38</v>
      </c>
    </row>
    <row r="715" ht="20.25" customHeight="1" outlineLevel="1">
      <c r="A715" s="12">
        <v>45966.0</v>
      </c>
      <c r="B715" s="13" t="s">
        <v>16</v>
      </c>
      <c r="C715" s="86" t="s">
        <v>684</v>
      </c>
      <c r="D715" s="20"/>
      <c r="E715" s="21">
        <f t="shared" si="1"/>
        <v>9775.97</v>
      </c>
      <c r="F715" s="23"/>
      <c r="G715" s="21">
        <f t="shared" si="2"/>
        <v>471791.95</v>
      </c>
      <c r="H715" s="23"/>
      <c r="I715" s="21">
        <f t="shared" si="6"/>
        <v>827.78</v>
      </c>
      <c r="J715" s="35">
        <v>395.0</v>
      </c>
      <c r="K715" s="21">
        <f t="shared" si="4"/>
        <v>340606.03</v>
      </c>
      <c r="L715" s="23"/>
      <c r="M715" s="21">
        <f t="shared" si="7"/>
        <v>2077.38</v>
      </c>
    </row>
    <row r="716" ht="20.25" customHeight="1" outlineLevel="1">
      <c r="A716" s="12">
        <v>45966.0</v>
      </c>
      <c r="B716" s="13" t="s">
        <v>16</v>
      </c>
      <c r="C716" s="87" t="s">
        <v>685</v>
      </c>
      <c r="D716" s="20"/>
      <c r="E716" s="21">
        <f t="shared" si="1"/>
        <v>9775.97</v>
      </c>
      <c r="F716" s="23"/>
      <c r="G716" s="21">
        <f t="shared" si="2"/>
        <v>471791.95</v>
      </c>
      <c r="H716" s="23"/>
      <c r="I716" s="21">
        <f t="shared" si="6"/>
        <v>827.78</v>
      </c>
      <c r="J716" s="27">
        <v>731.0</v>
      </c>
      <c r="K716" s="21">
        <f t="shared" si="4"/>
        <v>341337.03</v>
      </c>
      <c r="L716" s="23"/>
      <c r="M716" s="21">
        <f t="shared" si="7"/>
        <v>2077.38</v>
      </c>
    </row>
    <row r="717" ht="20.25" customHeight="1" outlineLevel="1">
      <c r="A717" s="12">
        <v>45966.0</v>
      </c>
      <c r="B717" s="13" t="s">
        <v>16</v>
      </c>
      <c r="C717" s="87" t="s">
        <v>686</v>
      </c>
      <c r="D717" s="20"/>
      <c r="E717" s="21">
        <f t="shared" si="1"/>
        <v>9775.97</v>
      </c>
      <c r="F717" s="23"/>
      <c r="G717" s="21">
        <f t="shared" si="2"/>
        <v>471791.95</v>
      </c>
      <c r="H717" s="23"/>
      <c r="I717" s="21">
        <f t="shared" si="6"/>
        <v>827.78</v>
      </c>
      <c r="J717" s="27">
        <v>235.0</v>
      </c>
      <c r="K717" s="21">
        <f t="shared" si="4"/>
        <v>341572.03</v>
      </c>
      <c r="L717" s="23"/>
      <c r="M717" s="21">
        <f t="shared" si="7"/>
        <v>2077.38</v>
      </c>
    </row>
    <row r="718" ht="20.25" customHeight="1" outlineLevel="1">
      <c r="A718" s="12">
        <v>45967.0</v>
      </c>
      <c r="B718" s="13" t="s">
        <v>16</v>
      </c>
      <c r="C718" s="85" t="s">
        <v>687</v>
      </c>
      <c r="D718" s="20">
        <v>332.0</v>
      </c>
      <c r="E718" s="21">
        <f t="shared" si="1"/>
        <v>10107.97</v>
      </c>
      <c r="F718" s="23"/>
      <c r="G718" s="21">
        <f t="shared" si="2"/>
        <v>471791.95</v>
      </c>
      <c r="H718" s="23"/>
      <c r="I718" s="21">
        <f t="shared" si="6"/>
        <v>827.78</v>
      </c>
      <c r="J718" s="23"/>
      <c r="K718" s="21">
        <f t="shared" si="4"/>
        <v>341572.03</v>
      </c>
      <c r="L718" s="23"/>
      <c r="M718" s="21">
        <f t="shared" si="7"/>
        <v>2077.38</v>
      </c>
    </row>
    <row r="719" ht="20.25" customHeight="1" outlineLevel="1">
      <c r="A719" s="18">
        <v>45967.0</v>
      </c>
      <c r="B719" s="13" t="s">
        <v>16</v>
      </c>
      <c r="C719" s="85" t="s">
        <v>688</v>
      </c>
      <c r="D719" s="20"/>
      <c r="E719" s="21">
        <f t="shared" si="1"/>
        <v>10107.97</v>
      </c>
      <c r="F719" s="27">
        <v>402.2</v>
      </c>
      <c r="G719" s="21">
        <f t="shared" si="2"/>
        <v>472194.15</v>
      </c>
      <c r="H719" s="23"/>
      <c r="I719" s="21">
        <f t="shared" si="6"/>
        <v>827.78</v>
      </c>
      <c r="J719" s="24"/>
      <c r="K719" s="21">
        <f t="shared" si="4"/>
        <v>341572.03</v>
      </c>
      <c r="L719" s="23"/>
      <c r="M719" s="21">
        <f t="shared" si="7"/>
        <v>2077.38</v>
      </c>
    </row>
    <row r="720" ht="20.25" customHeight="1" outlineLevel="1">
      <c r="A720" s="18">
        <v>45967.0</v>
      </c>
      <c r="B720" s="13" t="s">
        <v>16</v>
      </c>
      <c r="C720" s="85" t="s">
        <v>689</v>
      </c>
      <c r="D720" s="20"/>
      <c r="E720" s="21">
        <f t="shared" si="1"/>
        <v>10107.97</v>
      </c>
      <c r="F720" s="27">
        <v>1665.0</v>
      </c>
      <c r="G720" s="21">
        <f t="shared" si="2"/>
        <v>473859.15</v>
      </c>
      <c r="H720" s="23"/>
      <c r="I720" s="21">
        <f t="shared" si="6"/>
        <v>827.78</v>
      </c>
      <c r="J720" s="24"/>
      <c r="K720" s="21">
        <f t="shared" si="4"/>
        <v>341572.03</v>
      </c>
      <c r="L720" s="23"/>
      <c r="M720" s="21">
        <f t="shared" si="7"/>
        <v>2077.38</v>
      </c>
    </row>
    <row r="721" ht="20.25" customHeight="1" outlineLevel="1">
      <c r="A721" s="18">
        <v>45967.0</v>
      </c>
      <c r="B721" s="13" t="s">
        <v>16</v>
      </c>
      <c r="C721" s="85" t="s">
        <v>690</v>
      </c>
      <c r="D721" s="20"/>
      <c r="E721" s="21">
        <f t="shared" si="1"/>
        <v>10107.97</v>
      </c>
      <c r="F721" s="27">
        <v>657.5</v>
      </c>
      <c r="G721" s="21">
        <f t="shared" si="2"/>
        <v>474516.65</v>
      </c>
      <c r="H721" s="23"/>
      <c r="I721" s="21">
        <f t="shared" si="6"/>
        <v>827.78</v>
      </c>
      <c r="J721" s="24"/>
      <c r="K721" s="21">
        <f t="shared" si="4"/>
        <v>341572.03</v>
      </c>
      <c r="L721" s="23"/>
      <c r="M721" s="21">
        <f t="shared" si="7"/>
        <v>2077.38</v>
      </c>
    </row>
    <row r="722" ht="20.25" customHeight="1" outlineLevel="1">
      <c r="A722" s="18">
        <v>45967.0</v>
      </c>
      <c r="B722" s="13" t="s">
        <v>16</v>
      </c>
      <c r="C722" s="85" t="s">
        <v>691</v>
      </c>
      <c r="D722" s="20"/>
      <c r="E722" s="21">
        <f t="shared" si="1"/>
        <v>10107.97</v>
      </c>
      <c r="F722" s="26">
        <v>326.0</v>
      </c>
      <c r="G722" s="21">
        <f t="shared" si="2"/>
        <v>474842.65</v>
      </c>
      <c r="H722" s="23"/>
      <c r="I722" s="21">
        <f t="shared" si="6"/>
        <v>827.78</v>
      </c>
      <c r="J722" s="24"/>
      <c r="K722" s="21">
        <f t="shared" si="4"/>
        <v>341572.03</v>
      </c>
      <c r="L722" s="23"/>
      <c r="M722" s="21">
        <f t="shared" si="7"/>
        <v>2077.38</v>
      </c>
    </row>
    <row r="723" ht="20.25" customHeight="1" outlineLevel="1">
      <c r="A723" s="18">
        <v>45967.0</v>
      </c>
      <c r="B723" s="13" t="s">
        <v>16</v>
      </c>
      <c r="C723" s="85" t="s">
        <v>692</v>
      </c>
      <c r="D723" s="20"/>
      <c r="E723" s="21">
        <f t="shared" si="1"/>
        <v>10107.97</v>
      </c>
      <c r="F723" s="27">
        <v>36.8</v>
      </c>
      <c r="G723" s="21">
        <f t="shared" si="2"/>
        <v>474879.45</v>
      </c>
      <c r="H723" s="23"/>
      <c r="I723" s="21">
        <f t="shared" si="6"/>
        <v>827.78</v>
      </c>
      <c r="J723" s="24"/>
      <c r="K723" s="21">
        <f t="shared" si="4"/>
        <v>341572.03</v>
      </c>
      <c r="L723" s="23"/>
      <c r="M723" s="21">
        <f t="shared" si="7"/>
        <v>2077.38</v>
      </c>
    </row>
    <row r="724" ht="20.25" customHeight="1" outlineLevel="1">
      <c r="A724" s="18">
        <v>45967.0</v>
      </c>
      <c r="B724" s="13" t="s">
        <v>14</v>
      </c>
      <c r="C724" s="85" t="s">
        <v>66</v>
      </c>
      <c r="D724" s="20"/>
      <c r="E724" s="21">
        <f t="shared" si="1"/>
        <v>10107.97</v>
      </c>
      <c r="F724" s="22">
        <v>-0.4</v>
      </c>
      <c r="G724" s="21">
        <f t="shared" si="2"/>
        <v>474879.05</v>
      </c>
      <c r="H724" s="23"/>
      <c r="I724" s="21">
        <f t="shared" si="6"/>
        <v>827.78</v>
      </c>
      <c r="J724" s="24"/>
      <c r="K724" s="21">
        <f t="shared" si="4"/>
        <v>341572.03</v>
      </c>
      <c r="L724" s="23"/>
      <c r="M724" s="21">
        <f t="shared" si="7"/>
        <v>2077.38</v>
      </c>
    </row>
    <row r="725" ht="20.25" customHeight="1" outlineLevel="1">
      <c r="A725" s="18">
        <v>45967.0</v>
      </c>
      <c r="B725" s="13" t="s">
        <v>14</v>
      </c>
      <c r="C725" s="85" t="s">
        <v>65</v>
      </c>
      <c r="D725" s="20"/>
      <c r="E725" s="21">
        <f t="shared" si="1"/>
        <v>10107.97</v>
      </c>
      <c r="F725" s="22">
        <v>-0.4</v>
      </c>
      <c r="G725" s="21">
        <f t="shared" si="2"/>
        <v>474878.65</v>
      </c>
      <c r="H725" s="23"/>
      <c r="I725" s="21">
        <f t="shared" si="6"/>
        <v>827.78</v>
      </c>
      <c r="J725" s="24"/>
      <c r="K725" s="21">
        <f t="shared" si="4"/>
        <v>341572.03</v>
      </c>
      <c r="L725" s="23"/>
      <c r="M725" s="21">
        <f t="shared" si="7"/>
        <v>2077.38</v>
      </c>
    </row>
    <row r="726" ht="20.25" customHeight="1" outlineLevel="1">
      <c r="A726" s="18">
        <v>45967.0</v>
      </c>
      <c r="B726" s="13" t="s">
        <v>16</v>
      </c>
      <c r="C726" s="86" t="s">
        <v>693</v>
      </c>
      <c r="D726" s="20"/>
      <c r="E726" s="21">
        <f t="shared" si="1"/>
        <v>10107.97</v>
      </c>
      <c r="F726" s="23"/>
      <c r="G726" s="21">
        <f t="shared" si="2"/>
        <v>474878.65</v>
      </c>
      <c r="H726" s="23"/>
      <c r="I726" s="21">
        <f t="shared" si="6"/>
        <v>827.78</v>
      </c>
      <c r="J726" s="60">
        <v>155.0</v>
      </c>
      <c r="K726" s="21">
        <f t="shared" si="4"/>
        <v>341727.03</v>
      </c>
      <c r="L726" s="23"/>
      <c r="M726" s="21">
        <f t="shared" si="7"/>
        <v>2077.38</v>
      </c>
    </row>
    <row r="727" ht="20.25" customHeight="1" outlineLevel="1">
      <c r="A727" s="18">
        <v>45967.0</v>
      </c>
      <c r="B727" s="13" t="s">
        <v>16</v>
      </c>
      <c r="C727" s="173" t="s">
        <v>694</v>
      </c>
      <c r="D727" s="20"/>
      <c r="E727" s="21">
        <f t="shared" si="1"/>
        <v>10107.97</v>
      </c>
      <c r="F727" s="23"/>
      <c r="G727" s="21">
        <f t="shared" si="2"/>
        <v>474878.65</v>
      </c>
      <c r="H727" s="23"/>
      <c r="I727" s="21">
        <f t="shared" si="6"/>
        <v>827.78</v>
      </c>
      <c r="J727" s="54">
        <v>410.5</v>
      </c>
      <c r="K727" s="21">
        <f t="shared" si="4"/>
        <v>342137.53</v>
      </c>
      <c r="L727" s="23"/>
      <c r="M727" s="21">
        <f t="shared" si="7"/>
        <v>2077.38</v>
      </c>
    </row>
    <row r="728" ht="20.25" customHeight="1" outlineLevel="1">
      <c r="A728" s="30">
        <v>45967.0</v>
      </c>
      <c r="B728" s="13" t="s">
        <v>16</v>
      </c>
      <c r="C728" s="173" t="s">
        <v>695</v>
      </c>
      <c r="D728" s="20"/>
      <c r="E728" s="21">
        <f t="shared" si="1"/>
        <v>10107.97</v>
      </c>
      <c r="F728" s="33"/>
      <c r="G728" s="21">
        <f t="shared" si="2"/>
        <v>474878.65</v>
      </c>
      <c r="H728" s="23"/>
      <c r="I728" s="21">
        <f t="shared" si="6"/>
        <v>827.78</v>
      </c>
      <c r="J728" s="27">
        <v>25.0</v>
      </c>
      <c r="K728" s="21">
        <f t="shared" si="4"/>
        <v>342162.53</v>
      </c>
      <c r="L728" s="23"/>
      <c r="M728" s="21">
        <f t="shared" si="7"/>
        <v>2077.38</v>
      </c>
    </row>
    <row r="729" ht="20.25" customHeight="1" outlineLevel="1">
      <c r="A729" s="12">
        <v>45967.0</v>
      </c>
      <c r="B729" s="13" t="s">
        <v>12</v>
      </c>
      <c r="C729" s="99" t="s">
        <v>696</v>
      </c>
      <c r="D729" s="20"/>
      <c r="E729" s="21">
        <f t="shared" si="1"/>
        <v>10107.97</v>
      </c>
      <c r="F729" s="23"/>
      <c r="G729" s="21">
        <f t="shared" si="2"/>
        <v>474878.65</v>
      </c>
      <c r="H729" s="22">
        <v>-200.0</v>
      </c>
      <c r="I729" s="21">
        <f t="shared" si="6"/>
        <v>627.78</v>
      </c>
      <c r="J729" s="23"/>
      <c r="K729" s="21">
        <f t="shared" si="4"/>
        <v>342162.53</v>
      </c>
      <c r="L729" s="23"/>
      <c r="M729" s="21">
        <f t="shared" si="7"/>
        <v>2077.38</v>
      </c>
    </row>
    <row r="730" ht="20.25" customHeight="1" outlineLevel="1">
      <c r="A730" s="12">
        <v>45968.0</v>
      </c>
      <c r="B730" s="13" t="s">
        <v>16</v>
      </c>
      <c r="C730" s="175" t="s">
        <v>697</v>
      </c>
      <c r="D730" s="20"/>
      <c r="E730" s="21">
        <f t="shared" si="1"/>
        <v>10107.97</v>
      </c>
      <c r="F730" s="27">
        <v>402.2</v>
      </c>
      <c r="G730" s="21">
        <f t="shared" si="2"/>
        <v>475280.85</v>
      </c>
      <c r="H730" s="23"/>
      <c r="I730" s="21">
        <f t="shared" si="6"/>
        <v>627.78</v>
      </c>
      <c r="J730" s="23"/>
      <c r="K730" s="21">
        <f t="shared" si="4"/>
        <v>342162.53</v>
      </c>
      <c r="L730" s="23"/>
      <c r="M730" s="21">
        <f t="shared" si="7"/>
        <v>2077.38</v>
      </c>
    </row>
    <row r="731" ht="20.25" customHeight="1" outlineLevel="1">
      <c r="A731" s="12">
        <v>45968.0</v>
      </c>
      <c r="B731" s="13" t="s">
        <v>16</v>
      </c>
      <c r="C731" s="188" t="s">
        <v>698</v>
      </c>
      <c r="D731" s="20"/>
      <c r="E731" s="21">
        <f t="shared" si="1"/>
        <v>10107.97</v>
      </c>
      <c r="F731" s="51">
        <v>122.0</v>
      </c>
      <c r="G731" s="21">
        <f t="shared" si="2"/>
        <v>475402.85</v>
      </c>
      <c r="H731" s="23"/>
      <c r="I731" s="21">
        <f t="shared" si="6"/>
        <v>627.78</v>
      </c>
      <c r="J731" s="23"/>
      <c r="K731" s="21">
        <f t="shared" si="4"/>
        <v>342162.53</v>
      </c>
      <c r="L731" s="23"/>
      <c r="M731" s="21">
        <f t="shared" si="7"/>
        <v>2077.38</v>
      </c>
    </row>
    <row r="732" ht="20.25" customHeight="1" outlineLevel="1">
      <c r="A732" s="12">
        <v>45968.0</v>
      </c>
      <c r="B732" s="13" t="s">
        <v>16</v>
      </c>
      <c r="C732" s="96" t="s">
        <v>699</v>
      </c>
      <c r="D732" s="20"/>
      <c r="E732" s="21">
        <f t="shared" si="1"/>
        <v>10107.97</v>
      </c>
      <c r="F732" s="27">
        <v>467.5</v>
      </c>
      <c r="G732" s="21">
        <f t="shared" si="2"/>
        <v>475870.35</v>
      </c>
      <c r="H732" s="23"/>
      <c r="I732" s="21">
        <f t="shared" si="6"/>
        <v>627.78</v>
      </c>
      <c r="J732" s="23"/>
      <c r="K732" s="21">
        <f t="shared" si="4"/>
        <v>342162.53</v>
      </c>
      <c r="L732" s="23"/>
      <c r="M732" s="21">
        <f t="shared" si="7"/>
        <v>2077.38</v>
      </c>
    </row>
    <row r="733" ht="20.25" customHeight="1" outlineLevel="1">
      <c r="A733" s="12">
        <v>45968.0</v>
      </c>
      <c r="B733" s="13" t="s">
        <v>16</v>
      </c>
      <c r="C733" s="96" t="s">
        <v>700</v>
      </c>
      <c r="D733" s="20"/>
      <c r="E733" s="21">
        <f t="shared" si="1"/>
        <v>10107.97</v>
      </c>
      <c r="F733" s="26">
        <v>109.0</v>
      </c>
      <c r="G733" s="21">
        <f t="shared" si="2"/>
        <v>475979.35</v>
      </c>
      <c r="H733" s="23"/>
      <c r="I733" s="21">
        <f t="shared" si="6"/>
        <v>627.78</v>
      </c>
      <c r="J733" s="23"/>
      <c r="K733" s="21">
        <f t="shared" si="4"/>
        <v>342162.53</v>
      </c>
      <c r="L733" s="23"/>
      <c r="M733" s="21">
        <f t="shared" si="7"/>
        <v>2077.38</v>
      </c>
    </row>
    <row r="734" ht="20.25" customHeight="1" outlineLevel="1">
      <c r="A734" s="12">
        <v>45968.0</v>
      </c>
      <c r="B734" s="13" t="s">
        <v>16</v>
      </c>
      <c r="C734" s="96" t="s">
        <v>701</v>
      </c>
      <c r="D734" s="20"/>
      <c r="E734" s="21">
        <f t="shared" si="1"/>
        <v>10107.97</v>
      </c>
      <c r="F734" s="27">
        <v>20.0</v>
      </c>
      <c r="G734" s="21">
        <f t="shared" si="2"/>
        <v>475999.35</v>
      </c>
      <c r="H734" s="23"/>
      <c r="I734" s="21">
        <f t="shared" si="6"/>
        <v>627.78</v>
      </c>
      <c r="J734" s="23"/>
      <c r="K734" s="21">
        <f t="shared" si="4"/>
        <v>342162.53</v>
      </c>
      <c r="L734" s="23"/>
      <c r="M734" s="21">
        <f t="shared" si="7"/>
        <v>2077.38</v>
      </c>
    </row>
    <row r="735" ht="20.25" customHeight="1" outlineLevel="1">
      <c r="A735" s="12">
        <v>45968.0</v>
      </c>
      <c r="B735" s="13" t="s">
        <v>16</v>
      </c>
      <c r="C735" s="96" t="s">
        <v>702</v>
      </c>
      <c r="D735" s="20"/>
      <c r="E735" s="21">
        <f t="shared" si="1"/>
        <v>10107.97</v>
      </c>
      <c r="F735" s="23"/>
      <c r="G735" s="21">
        <f t="shared" si="2"/>
        <v>475999.35</v>
      </c>
      <c r="H735" s="23"/>
      <c r="I735" s="21">
        <f t="shared" si="6"/>
        <v>627.78</v>
      </c>
      <c r="J735" s="27">
        <v>1200.0</v>
      </c>
      <c r="K735" s="21">
        <f t="shared" si="4"/>
        <v>343362.53</v>
      </c>
      <c r="L735" s="23"/>
      <c r="M735" s="21">
        <f t="shared" si="7"/>
        <v>2077.38</v>
      </c>
    </row>
    <row r="736" ht="20.25" customHeight="1" outlineLevel="1">
      <c r="A736" s="12">
        <v>45968.0</v>
      </c>
      <c r="B736" s="13" t="s">
        <v>16</v>
      </c>
      <c r="C736" s="96" t="s">
        <v>703</v>
      </c>
      <c r="D736" s="20"/>
      <c r="E736" s="21">
        <f t="shared" si="1"/>
        <v>10107.97</v>
      </c>
      <c r="F736" s="23"/>
      <c r="G736" s="21">
        <f t="shared" si="2"/>
        <v>475999.35</v>
      </c>
      <c r="H736" s="23"/>
      <c r="I736" s="21">
        <f t="shared" si="6"/>
        <v>627.78</v>
      </c>
      <c r="J736" s="27">
        <v>800.0</v>
      </c>
      <c r="K736" s="21">
        <f t="shared" si="4"/>
        <v>344162.53</v>
      </c>
      <c r="L736" s="23"/>
      <c r="M736" s="21">
        <f t="shared" si="7"/>
        <v>2077.38</v>
      </c>
    </row>
    <row r="737" ht="20.25" customHeight="1" outlineLevel="1">
      <c r="A737" s="12">
        <v>45969.0</v>
      </c>
      <c r="B737" s="13" t="s">
        <v>16</v>
      </c>
      <c r="C737" s="96" t="s">
        <v>704</v>
      </c>
      <c r="D737" s="20">
        <v>220.0</v>
      </c>
      <c r="E737" s="21">
        <f t="shared" si="1"/>
        <v>10327.97</v>
      </c>
      <c r="F737" s="23"/>
      <c r="G737" s="21">
        <f t="shared" si="2"/>
        <v>475999.35</v>
      </c>
      <c r="H737" s="23"/>
      <c r="I737" s="21">
        <f t="shared" si="6"/>
        <v>627.78</v>
      </c>
      <c r="J737" s="23"/>
      <c r="K737" s="21">
        <f t="shared" si="4"/>
        <v>344162.53</v>
      </c>
      <c r="L737" s="23"/>
      <c r="M737" s="21">
        <f t="shared" si="7"/>
        <v>2077.38</v>
      </c>
    </row>
    <row r="738" ht="20.25" customHeight="1" outlineLevel="1">
      <c r="A738" s="12">
        <v>45971.0</v>
      </c>
      <c r="B738" s="13" t="s">
        <v>16</v>
      </c>
      <c r="C738" s="96" t="s">
        <v>705</v>
      </c>
      <c r="D738" s="20"/>
      <c r="E738" s="21">
        <f t="shared" si="1"/>
        <v>10327.97</v>
      </c>
      <c r="F738" s="27">
        <v>51.6</v>
      </c>
      <c r="G738" s="21">
        <f t="shared" si="2"/>
        <v>476050.95</v>
      </c>
      <c r="H738" s="23"/>
      <c r="I738" s="21">
        <f t="shared" si="6"/>
        <v>627.78</v>
      </c>
      <c r="J738" s="23"/>
      <c r="K738" s="21">
        <f t="shared" si="4"/>
        <v>344162.53</v>
      </c>
      <c r="L738" s="23"/>
      <c r="M738" s="21">
        <f t="shared" si="7"/>
        <v>2077.38</v>
      </c>
    </row>
    <row r="739" ht="20.25" customHeight="1" outlineLevel="1">
      <c r="A739" s="12">
        <v>45971.0</v>
      </c>
      <c r="B739" s="13" t="s">
        <v>16</v>
      </c>
      <c r="C739" s="96" t="s">
        <v>34</v>
      </c>
      <c r="D739" s="20"/>
      <c r="E739" s="21">
        <f t="shared" si="1"/>
        <v>10327.97</v>
      </c>
      <c r="F739" s="23"/>
      <c r="G739" s="21">
        <f t="shared" si="2"/>
        <v>476050.95</v>
      </c>
      <c r="H739" s="23"/>
      <c r="I739" s="21">
        <f t="shared" si="6"/>
        <v>627.78</v>
      </c>
      <c r="J739" s="22">
        <v>-304.0</v>
      </c>
      <c r="K739" s="21">
        <f t="shared" si="4"/>
        <v>343858.53</v>
      </c>
      <c r="L739" s="23"/>
      <c r="M739" s="21">
        <f t="shared" si="7"/>
        <v>2077.38</v>
      </c>
    </row>
    <row r="740" ht="20.25" customHeight="1" outlineLevel="1">
      <c r="A740" s="12">
        <v>45971.0</v>
      </c>
      <c r="B740" s="13" t="s">
        <v>16</v>
      </c>
      <c r="C740" s="96" t="s">
        <v>706</v>
      </c>
      <c r="D740" s="20">
        <v>90.0</v>
      </c>
      <c r="E740" s="21">
        <f t="shared" si="1"/>
        <v>10417.97</v>
      </c>
      <c r="F740" s="23"/>
      <c r="G740" s="21">
        <f t="shared" si="2"/>
        <v>476050.95</v>
      </c>
      <c r="H740" s="23"/>
      <c r="I740" s="21">
        <f t="shared" si="6"/>
        <v>627.78</v>
      </c>
      <c r="J740" s="24"/>
      <c r="K740" s="21">
        <f t="shared" si="4"/>
        <v>343858.53</v>
      </c>
      <c r="L740" s="23"/>
      <c r="M740" s="21">
        <f t="shared" si="7"/>
        <v>2077.38</v>
      </c>
    </row>
    <row r="741" ht="20.25" customHeight="1" outlineLevel="1">
      <c r="A741" s="12">
        <v>45971.0</v>
      </c>
      <c r="B741" s="13" t="s">
        <v>14</v>
      </c>
      <c r="C741" s="96" t="s">
        <v>707</v>
      </c>
      <c r="D741" s="73">
        <v>-10.0</v>
      </c>
      <c r="E741" s="21">
        <f t="shared" si="1"/>
        <v>10407.97</v>
      </c>
      <c r="F741" s="23"/>
      <c r="G741" s="21">
        <f t="shared" si="2"/>
        <v>476050.95</v>
      </c>
      <c r="H741" s="23"/>
      <c r="I741" s="21">
        <f t="shared" si="6"/>
        <v>627.78</v>
      </c>
      <c r="J741" s="24"/>
      <c r="K741" s="21">
        <f t="shared" si="4"/>
        <v>343858.53</v>
      </c>
      <c r="L741" s="23"/>
      <c r="M741" s="21">
        <f t="shared" si="7"/>
        <v>2077.38</v>
      </c>
    </row>
    <row r="742" ht="20.25" customHeight="1" outlineLevel="1">
      <c r="A742" s="12">
        <v>45971.0</v>
      </c>
      <c r="B742" s="13" t="s">
        <v>12</v>
      </c>
      <c r="C742" s="96" t="s">
        <v>708</v>
      </c>
      <c r="D742" s="20"/>
      <c r="E742" s="21">
        <f t="shared" si="1"/>
        <v>10407.97</v>
      </c>
      <c r="F742" s="22">
        <v>-500.0</v>
      </c>
      <c r="G742" s="21">
        <f t="shared" si="2"/>
        <v>475550.95</v>
      </c>
      <c r="H742" s="23"/>
      <c r="I742" s="21">
        <f t="shared" si="6"/>
        <v>627.78</v>
      </c>
      <c r="J742" s="23"/>
      <c r="K742" s="21">
        <f t="shared" si="4"/>
        <v>343858.53</v>
      </c>
      <c r="L742" s="23"/>
      <c r="M742" s="21">
        <f t="shared" si="7"/>
        <v>2077.38</v>
      </c>
    </row>
    <row r="743" ht="20.25" customHeight="1" outlineLevel="1">
      <c r="A743" s="12">
        <v>45971.0</v>
      </c>
      <c r="B743" s="13" t="s">
        <v>16</v>
      </c>
      <c r="C743" s="96" t="s">
        <v>709</v>
      </c>
      <c r="D743" s="20"/>
      <c r="E743" s="21">
        <f t="shared" si="1"/>
        <v>10407.97</v>
      </c>
      <c r="F743" s="26">
        <v>217.0</v>
      </c>
      <c r="G743" s="21">
        <f t="shared" si="2"/>
        <v>475767.95</v>
      </c>
      <c r="H743" s="23"/>
      <c r="I743" s="21">
        <f t="shared" si="6"/>
        <v>627.78</v>
      </c>
      <c r="J743" s="23"/>
      <c r="K743" s="21">
        <f t="shared" si="4"/>
        <v>343858.53</v>
      </c>
      <c r="L743" s="23"/>
      <c r="M743" s="21">
        <f t="shared" si="7"/>
        <v>2077.38</v>
      </c>
    </row>
    <row r="744" ht="20.25" customHeight="1" outlineLevel="1">
      <c r="A744" s="12">
        <v>45971.0</v>
      </c>
      <c r="B744" s="13" t="s">
        <v>16</v>
      </c>
      <c r="C744" s="96" t="s">
        <v>710</v>
      </c>
      <c r="D744" s="20"/>
      <c r="E744" s="21">
        <f t="shared" si="1"/>
        <v>10407.97</v>
      </c>
      <c r="F744" s="27">
        <v>15.0</v>
      </c>
      <c r="G744" s="21">
        <f t="shared" si="2"/>
        <v>475782.95</v>
      </c>
      <c r="H744" s="23"/>
      <c r="I744" s="21">
        <f t="shared" si="6"/>
        <v>627.78</v>
      </c>
      <c r="J744" s="23"/>
      <c r="K744" s="21">
        <f t="shared" si="4"/>
        <v>343858.53</v>
      </c>
      <c r="L744" s="23"/>
      <c r="M744" s="21">
        <f t="shared" si="7"/>
        <v>2077.38</v>
      </c>
    </row>
    <row r="745" ht="20.25" customHeight="1" outlineLevel="1">
      <c r="A745" s="12">
        <v>45971.0</v>
      </c>
      <c r="B745" s="13" t="s">
        <v>16</v>
      </c>
      <c r="C745" s="96" t="s">
        <v>711</v>
      </c>
      <c r="D745" s="20"/>
      <c r="E745" s="21">
        <f t="shared" si="1"/>
        <v>10407.97</v>
      </c>
      <c r="F745" s="26">
        <v>101.0</v>
      </c>
      <c r="G745" s="21">
        <f t="shared" si="2"/>
        <v>475883.95</v>
      </c>
      <c r="H745" s="23"/>
      <c r="I745" s="21">
        <f t="shared" si="6"/>
        <v>627.78</v>
      </c>
      <c r="J745" s="23"/>
      <c r="K745" s="21">
        <f t="shared" si="4"/>
        <v>343858.53</v>
      </c>
      <c r="L745" s="23"/>
      <c r="M745" s="21">
        <f t="shared" si="7"/>
        <v>2077.38</v>
      </c>
    </row>
    <row r="746" ht="20.25" customHeight="1" outlineLevel="1">
      <c r="A746" s="12">
        <v>45971.0</v>
      </c>
      <c r="B746" s="13" t="s">
        <v>16</v>
      </c>
      <c r="C746" s="96" t="s">
        <v>712</v>
      </c>
      <c r="D746" s="20"/>
      <c r="E746" s="21">
        <f t="shared" si="1"/>
        <v>10407.97</v>
      </c>
      <c r="F746" s="27">
        <v>1417.5</v>
      </c>
      <c r="G746" s="21">
        <f t="shared" si="2"/>
        <v>477301.45</v>
      </c>
      <c r="H746" s="23"/>
      <c r="I746" s="21">
        <f t="shared" si="6"/>
        <v>627.78</v>
      </c>
      <c r="J746" s="23"/>
      <c r="K746" s="21">
        <f t="shared" si="4"/>
        <v>343858.53</v>
      </c>
      <c r="L746" s="23"/>
      <c r="M746" s="21">
        <f t="shared" si="7"/>
        <v>2077.38</v>
      </c>
    </row>
    <row r="747" ht="20.25" customHeight="1" outlineLevel="1">
      <c r="A747" s="12">
        <v>45971.0</v>
      </c>
      <c r="B747" s="13" t="s">
        <v>16</v>
      </c>
      <c r="C747" s="96" t="s">
        <v>713</v>
      </c>
      <c r="D747" s="20"/>
      <c r="E747" s="21">
        <f t="shared" si="1"/>
        <v>10407.97</v>
      </c>
      <c r="F747" s="26">
        <v>329.0</v>
      </c>
      <c r="G747" s="21">
        <f t="shared" si="2"/>
        <v>477630.45</v>
      </c>
      <c r="H747" s="23"/>
      <c r="I747" s="21">
        <f t="shared" si="6"/>
        <v>627.78</v>
      </c>
      <c r="J747" s="23"/>
      <c r="K747" s="21">
        <f t="shared" si="4"/>
        <v>343858.53</v>
      </c>
      <c r="L747" s="23"/>
      <c r="M747" s="21">
        <f t="shared" si="7"/>
        <v>2077.38</v>
      </c>
    </row>
    <row r="748" ht="20.25" customHeight="1" outlineLevel="1">
      <c r="A748" s="12">
        <v>45971.0</v>
      </c>
      <c r="B748" s="13" t="s">
        <v>16</v>
      </c>
      <c r="C748" s="178" t="s">
        <v>714</v>
      </c>
      <c r="D748" s="20"/>
      <c r="E748" s="21">
        <f t="shared" si="1"/>
        <v>10407.97</v>
      </c>
      <c r="F748" s="27">
        <v>1231.0</v>
      </c>
      <c r="G748" s="21">
        <f t="shared" si="2"/>
        <v>478861.45</v>
      </c>
      <c r="H748" s="23"/>
      <c r="I748" s="21">
        <f t="shared" si="6"/>
        <v>627.78</v>
      </c>
      <c r="J748" s="23"/>
      <c r="K748" s="21">
        <f t="shared" si="4"/>
        <v>343858.53</v>
      </c>
      <c r="L748" s="23"/>
      <c r="M748" s="21">
        <f t="shared" si="7"/>
        <v>2077.38</v>
      </c>
    </row>
    <row r="749" ht="20.25" customHeight="1" outlineLevel="1">
      <c r="A749" s="18">
        <v>45971.0</v>
      </c>
      <c r="B749" s="13" t="s">
        <v>16</v>
      </c>
      <c r="C749" s="44" t="s">
        <v>715</v>
      </c>
      <c r="D749" s="20"/>
      <c r="E749" s="21">
        <f t="shared" si="1"/>
        <v>10407.97</v>
      </c>
      <c r="F749" s="27">
        <v>1328.27</v>
      </c>
      <c r="G749" s="21">
        <f t="shared" si="2"/>
        <v>480189.72</v>
      </c>
      <c r="H749" s="23"/>
      <c r="I749" s="21">
        <f t="shared" si="6"/>
        <v>627.78</v>
      </c>
      <c r="J749" s="23"/>
      <c r="K749" s="21">
        <f t="shared" si="4"/>
        <v>343858.53</v>
      </c>
      <c r="L749" s="23"/>
      <c r="M749" s="21">
        <f t="shared" si="7"/>
        <v>2077.38</v>
      </c>
    </row>
    <row r="750" ht="20.25" customHeight="1" outlineLevel="1">
      <c r="A750" s="12">
        <v>45971.0</v>
      </c>
      <c r="B750" s="13" t="s">
        <v>16</v>
      </c>
      <c r="C750" s="44" t="s">
        <v>716</v>
      </c>
      <c r="D750" s="20"/>
      <c r="E750" s="21">
        <f t="shared" si="1"/>
        <v>10407.97</v>
      </c>
      <c r="F750" s="27">
        <v>335.0</v>
      </c>
      <c r="G750" s="21">
        <f t="shared" si="2"/>
        <v>480524.72</v>
      </c>
      <c r="H750" s="23"/>
      <c r="I750" s="21">
        <f t="shared" si="6"/>
        <v>627.78</v>
      </c>
      <c r="J750" s="23"/>
      <c r="K750" s="21">
        <f t="shared" si="4"/>
        <v>343858.53</v>
      </c>
      <c r="L750" s="23"/>
      <c r="M750" s="21">
        <f t="shared" si="7"/>
        <v>2077.38</v>
      </c>
    </row>
    <row r="751" ht="20.25" customHeight="1" outlineLevel="1">
      <c r="A751" s="12">
        <v>45971.0</v>
      </c>
      <c r="B751" s="13" t="s">
        <v>16</v>
      </c>
      <c r="C751" s="44" t="s">
        <v>717</v>
      </c>
      <c r="D751" s="20"/>
      <c r="E751" s="21">
        <f t="shared" si="1"/>
        <v>10407.97</v>
      </c>
      <c r="F751" s="23"/>
      <c r="G751" s="21">
        <f t="shared" si="2"/>
        <v>480524.72</v>
      </c>
      <c r="H751" s="23"/>
      <c r="I751" s="21">
        <f t="shared" si="6"/>
        <v>627.78</v>
      </c>
      <c r="J751" s="23">
        <v>460.0</v>
      </c>
      <c r="K751" s="21">
        <f t="shared" si="4"/>
        <v>344318.53</v>
      </c>
      <c r="L751" s="23"/>
      <c r="M751" s="21">
        <f t="shared" si="7"/>
        <v>2077.38</v>
      </c>
    </row>
    <row r="752" ht="20.25" customHeight="1" outlineLevel="1">
      <c r="A752" s="12">
        <v>45971.0</v>
      </c>
      <c r="B752" s="13" t="s">
        <v>16</v>
      </c>
      <c r="C752" s="44" t="s">
        <v>718</v>
      </c>
      <c r="D752" s="20"/>
      <c r="E752" s="21">
        <f t="shared" si="1"/>
        <v>10407.97</v>
      </c>
      <c r="F752" s="23"/>
      <c r="G752" s="21">
        <f t="shared" si="2"/>
        <v>480524.72</v>
      </c>
      <c r="H752" s="23"/>
      <c r="I752" s="21">
        <f t="shared" si="6"/>
        <v>627.78</v>
      </c>
      <c r="J752" s="23">
        <v>942.5</v>
      </c>
      <c r="K752" s="21">
        <f t="shared" si="4"/>
        <v>345261.03</v>
      </c>
      <c r="L752" s="23"/>
      <c r="M752" s="21">
        <f t="shared" si="7"/>
        <v>2077.38</v>
      </c>
    </row>
    <row r="753" ht="20.25" customHeight="1" outlineLevel="1">
      <c r="A753" s="12">
        <v>45971.0</v>
      </c>
      <c r="B753" s="13" t="s">
        <v>16</v>
      </c>
      <c r="C753" s="44" t="s">
        <v>719</v>
      </c>
      <c r="D753" s="20"/>
      <c r="E753" s="21">
        <f t="shared" si="1"/>
        <v>10407.97</v>
      </c>
      <c r="F753" s="23"/>
      <c r="G753" s="21">
        <f t="shared" si="2"/>
        <v>480524.72</v>
      </c>
      <c r="H753" s="23"/>
      <c r="I753" s="21">
        <f t="shared" si="6"/>
        <v>627.78</v>
      </c>
      <c r="J753" s="23">
        <v>310.0</v>
      </c>
      <c r="K753" s="21">
        <f t="shared" si="4"/>
        <v>345571.03</v>
      </c>
      <c r="L753" s="23"/>
      <c r="M753" s="21">
        <f t="shared" si="7"/>
        <v>2077.38</v>
      </c>
    </row>
    <row r="754" ht="20.25" customHeight="1" outlineLevel="1">
      <c r="A754" s="12">
        <v>45971.0</v>
      </c>
      <c r="B754" s="13" t="s">
        <v>16</v>
      </c>
      <c r="C754" s="44" t="s">
        <v>720</v>
      </c>
      <c r="D754" s="20"/>
      <c r="E754" s="21">
        <f t="shared" si="1"/>
        <v>10407.97</v>
      </c>
      <c r="F754" s="23"/>
      <c r="G754" s="21">
        <f t="shared" si="2"/>
        <v>480524.72</v>
      </c>
      <c r="H754" s="23"/>
      <c r="I754" s="21">
        <f t="shared" si="6"/>
        <v>627.78</v>
      </c>
      <c r="J754" s="23">
        <v>1082.5</v>
      </c>
      <c r="K754" s="21">
        <f t="shared" si="4"/>
        <v>346653.53</v>
      </c>
      <c r="L754" s="23"/>
      <c r="M754" s="21">
        <f t="shared" si="7"/>
        <v>2077.38</v>
      </c>
    </row>
    <row r="755" ht="20.25" customHeight="1" outlineLevel="1">
      <c r="A755" s="12">
        <v>45972.0</v>
      </c>
      <c r="B755" s="13" t="s">
        <v>16</v>
      </c>
      <c r="C755" s="44" t="s">
        <v>721</v>
      </c>
      <c r="D755" s="20">
        <v>25.0</v>
      </c>
      <c r="E755" s="21">
        <f t="shared" si="1"/>
        <v>10432.97</v>
      </c>
      <c r="F755" s="23"/>
      <c r="G755" s="21">
        <f t="shared" si="2"/>
        <v>480524.72</v>
      </c>
      <c r="H755" s="23"/>
      <c r="I755" s="21">
        <f t="shared" si="6"/>
        <v>627.78</v>
      </c>
      <c r="J755" s="23"/>
      <c r="K755" s="21">
        <f t="shared" si="4"/>
        <v>346653.53</v>
      </c>
      <c r="L755" s="23"/>
      <c r="M755" s="21">
        <f t="shared" si="7"/>
        <v>2077.38</v>
      </c>
    </row>
    <row r="756" ht="20.25" customHeight="1" outlineLevel="1">
      <c r="A756" s="18">
        <v>45972.0</v>
      </c>
      <c r="B756" s="13" t="s">
        <v>137</v>
      </c>
      <c r="C756" s="44" t="s">
        <v>722</v>
      </c>
      <c r="D756" s="20"/>
      <c r="E756" s="21">
        <f t="shared" si="1"/>
        <v>10432.97</v>
      </c>
      <c r="F756" s="22">
        <v>-557.8</v>
      </c>
      <c r="G756" s="21">
        <f t="shared" si="2"/>
        <v>479966.92</v>
      </c>
      <c r="H756" s="23"/>
      <c r="I756" s="21">
        <f t="shared" si="6"/>
        <v>627.78</v>
      </c>
      <c r="J756" s="24"/>
      <c r="K756" s="21">
        <f t="shared" si="4"/>
        <v>346653.53</v>
      </c>
      <c r="L756" s="23"/>
      <c r="M756" s="21">
        <f t="shared" si="7"/>
        <v>2077.38</v>
      </c>
    </row>
    <row r="757" ht="20.25" customHeight="1" outlineLevel="1">
      <c r="A757" s="18">
        <v>45972.0</v>
      </c>
      <c r="B757" s="13" t="s">
        <v>137</v>
      </c>
      <c r="C757" s="44" t="s">
        <v>723</v>
      </c>
      <c r="D757" s="20"/>
      <c r="E757" s="21">
        <f t="shared" si="1"/>
        <v>10432.97</v>
      </c>
      <c r="F757" s="22">
        <v>-300.66</v>
      </c>
      <c r="G757" s="21">
        <f t="shared" si="2"/>
        <v>479666.26</v>
      </c>
      <c r="H757" s="23"/>
      <c r="I757" s="21">
        <f t="shared" si="6"/>
        <v>627.78</v>
      </c>
      <c r="J757" s="24"/>
      <c r="K757" s="21">
        <f t="shared" si="4"/>
        <v>346653.53</v>
      </c>
      <c r="L757" s="23"/>
      <c r="M757" s="21">
        <f t="shared" si="7"/>
        <v>2077.38</v>
      </c>
    </row>
    <row r="758" ht="20.25" customHeight="1" outlineLevel="1">
      <c r="A758" s="18">
        <v>45972.0</v>
      </c>
      <c r="B758" s="13" t="s">
        <v>16</v>
      </c>
      <c r="C758" s="44" t="s">
        <v>724</v>
      </c>
      <c r="D758" s="20"/>
      <c r="E758" s="21">
        <f t="shared" si="1"/>
        <v>10432.97</v>
      </c>
      <c r="F758" s="23">
        <v>32.0</v>
      </c>
      <c r="G758" s="21">
        <f t="shared" si="2"/>
        <v>479698.26</v>
      </c>
      <c r="H758" s="23"/>
      <c r="I758" s="21">
        <f t="shared" si="6"/>
        <v>627.78</v>
      </c>
      <c r="J758" s="24"/>
      <c r="K758" s="21">
        <f t="shared" si="4"/>
        <v>346653.53</v>
      </c>
      <c r="L758" s="23"/>
      <c r="M758" s="21">
        <f t="shared" si="7"/>
        <v>2077.38</v>
      </c>
    </row>
    <row r="759" ht="20.25" customHeight="1" outlineLevel="1">
      <c r="A759" s="12">
        <v>45972.0</v>
      </c>
      <c r="B759" s="13" t="s">
        <v>16</v>
      </c>
      <c r="C759" s="189" t="s">
        <v>725</v>
      </c>
      <c r="D759" s="20"/>
      <c r="E759" s="21">
        <f t="shared" si="1"/>
        <v>10432.97</v>
      </c>
      <c r="F759" s="23">
        <v>472.5</v>
      </c>
      <c r="G759" s="21">
        <f t="shared" si="2"/>
        <v>480170.76</v>
      </c>
      <c r="H759" s="23"/>
      <c r="I759" s="21">
        <f t="shared" si="6"/>
        <v>627.78</v>
      </c>
      <c r="J759" s="23"/>
      <c r="K759" s="21">
        <f t="shared" si="4"/>
        <v>346653.53</v>
      </c>
      <c r="L759" s="23"/>
      <c r="M759" s="21">
        <f t="shared" si="7"/>
        <v>2077.38</v>
      </c>
    </row>
    <row r="760" ht="20.25" customHeight="1" outlineLevel="1">
      <c r="A760" s="12">
        <v>45972.0</v>
      </c>
      <c r="B760" s="46" t="s">
        <v>16</v>
      </c>
      <c r="C760" s="160" t="s">
        <v>726</v>
      </c>
      <c r="D760" s="20"/>
      <c r="E760" s="21">
        <f t="shared" si="1"/>
        <v>10432.97</v>
      </c>
      <c r="F760" s="23">
        <v>1553.5</v>
      </c>
      <c r="G760" s="21">
        <f t="shared" si="2"/>
        <v>481724.26</v>
      </c>
      <c r="H760" s="23"/>
      <c r="I760" s="21">
        <f t="shared" si="6"/>
        <v>627.78</v>
      </c>
      <c r="J760" s="23"/>
      <c r="K760" s="21">
        <f t="shared" si="4"/>
        <v>346653.53</v>
      </c>
      <c r="L760" s="23"/>
      <c r="M760" s="21">
        <f t="shared" si="7"/>
        <v>2077.38</v>
      </c>
    </row>
    <row r="761" ht="20.25" customHeight="1" outlineLevel="1">
      <c r="A761" s="12">
        <v>45972.0</v>
      </c>
      <c r="B761" s="46" t="s">
        <v>16</v>
      </c>
      <c r="C761" s="160" t="s">
        <v>727</v>
      </c>
      <c r="D761" s="20"/>
      <c r="E761" s="21">
        <f t="shared" si="1"/>
        <v>10432.97</v>
      </c>
      <c r="F761" s="23">
        <v>188.8</v>
      </c>
      <c r="G761" s="21">
        <f t="shared" si="2"/>
        <v>481913.06</v>
      </c>
      <c r="H761" s="23"/>
      <c r="I761" s="21">
        <f t="shared" si="6"/>
        <v>627.78</v>
      </c>
      <c r="J761" s="23"/>
      <c r="K761" s="21">
        <f t="shared" si="4"/>
        <v>346653.53</v>
      </c>
      <c r="L761" s="23"/>
      <c r="M761" s="21">
        <f t="shared" si="7"/>
        <v>2077.38</v>
      </c>
    </row>
    <row r="762" ht="20.25" customHeight="1" outlineLevel="1">
      <c r="A762" s="12">
        <v>45972.0</v>
      </c>
      <c r="B762" s="46" t="s">
        <v>16</v>
      </c>
      <c r="C762" s="160" t="s">
        <v>728</v>
      </c>
      <c r="D762" s="20"/>
      <c r="E762" s="21">
        <f t="shared" si="1"/>
        <v>10432.97</v>
      </c>
      <c r="F762" s="23">
        <v>76.55</v>
      </c>
      <c r="G762" s="21">
        <f t="shared" si="2"/>
        <v>481989.61</v>
      </c>
      <c r="H762" s="23"/>
      <c r="I762" s="21">
        <f t="shared" si="6"/>
        <v>627.78</v>
      </c>
      <c r="J762" s="23"/>
      <c r="K762" s="21">
        <f t="shared" si="4"/>
        <v>346653.53</v>
      </c>
      <c r="L762" s="23"/>
      <c r="M762" s="21">
        <f t="shared" si="7"/>
        <v>2077.38</v>
      </c>
    </row>
    <row r="763" ht="20.25" customHeight="1" outlineLevel="1">
      <c r="A763" s="12">
        <v>45972.0</v>
      </c>
      <c r="B763" s="46" t="s">
        <v>14</v>
      </c>
      <c r="C763" s="190" t="s">
        <v>34</v>
      </c>
      <c r="D763" s="20"/>
      <c r="E763" s="21">
        <f t="shared" si="1"/>
        <v>10432.97</v>
      </c>
      <c r="F763" s="23"/>
      <c r="G763" s="21">
        <f t="shared" si="2"/>
        <v>481989.61</v>
      </c>
      <c r="H763" s="23"/>
      <c r="I763" s="21">
        <f t="shared" si="6"/>
        <v>627.78</v>
      </c>
      <c r="J763" s="22">
        <v>-20.99</v>
      </c>
      <c r="K763" s="21">
        <f t="shared" si="4"/>
        <v>346632.54</v>
      </c>
      <c r="L763" s="23"/>
      <c r="M763" s="21">
        <f t="shared" si="7"/>
        <v>2077.38</v>
      </c>
    </row>
    <row r="764" ht="20.25" customHeight="1" outlineLevel="1">
      <c r="A764" s="12">
        <v>45972.0</v>
      </c>
      <c r="B764" s="46" t="s">
        <v>14</v>
      </c>
      <c r="C764" s="160" t="s">
        <v>34</v>
      </c>
      <c r="D764" s="20"/>
      <c r="E764" s="21">
        <f t="shared" si="1"/>
        <v>10432.97</v>
      </c>
      <c r="F764" s="23"/>
      <c r="G764" s="21">
        <f t="shared" si="2"/>
        <v>481989.61</v>
      </c>
      <c r="H764" s="23"/>
      <c r="I764" s="21">
        <f t="shared" si="6"/>
        <v>627.78</v>
      </c>
      <c r="J764" s="22">
        <v>-304.0</v>
      </c>
      <c r="K764" s="21">
        <f t="shared" si="4"/>
        <v>346328.54</v>
      </c>
      <c r="L764" s="23"/>
      <c r="M764" s="21">
        <f t="shared" si="7"/>
        <v>2077.38</v>
      </c>
    </row>
    <row r="765" ht="20.25" customHeight="1" outlineLevel="1">
      <c r="A765" s="12">
        <v>45972.0</v>
      </c>
      <c r="B765" s="46" t="s">
        <v>14</v>
      </c>
      <c r="C765" s="160" t="s">
        <v>34</v>
      </c>
      <c r="D765" s="20"/>
      <c r="E765" s="21">
        <f t="shared" si="1"/>
        <v>10432.97</v>
      </c>
      <c r="F765" s="23"/>
      <c r="G765" s="21">
        <f t="shared" si="2"/>
        <v>481989.61</v>
      </c>
      <c r="H765" s="23"/>
      <c r="I765" s="21">
        <f t="shared" si="6"/>
        <v>627.78</v>
      </c>
      <c r="J765" s="22">
        <v>-44.0</v>
      </c>
      <c r="K765" s="21">
        <f t="shared" si="4"/>
        <v>346284.54</v>
      </c>
      <c r="L765" s="23"/>
      <c r="M765" s="21">
        <f t="shared" si="7"/>
        <v>2077.38</v>
      </c>
    </row>
    <row r="766" ht="20.25" customHeight="1" outlineLevel="1">
      <c r="A766" s="12">
        <v>45972.0</v>
      </c>
      <c r="B766" s="46" t="s">
        <v>16</v>
      </c>
      <c r="C766" s="160" t="s">
        <v>729</v>
      </c>
      <c r="D766" s="20"/>
      <c r="E766" s="21">
        <f t="shared" si="1"/>
        <v>10432.97</v>
      </c>
      <c r="F766" s="23"/>
      <c r="G766" s="21">
        <f t="shared" si="2"/>
        <v>481989.61</v>
      </c>
      <c r="H766" s="23"/>
      <c r="I766" s="21">
        <f t="shared" si="6"/>
        <v>627.78</v>
      </c>
      <c r="J766" s="27">
        <v>170.0</v>
      </c>
      <c r="K766" s="21">
        <f t="shared" si="4"/>
        <v>346454.54</v>
      </c>
      <c r="L766" s="23"/>
      <c r="M766" s="21">
        <f t="shared" si="7"/>
        <v>2077.38</v>
      </c>
    </row>
    <row r="767" ht="20.25" customHeight="1" outlineLevel="1">
      <c r="A767" s="12">
        <v>45972.0</v>
      </c>
      <c r="B767" s="46" t="s">
        <v>16</v>
      </c>
      <c r="C767" s="160" t="s">
        <v>730</v>
      </c>
      <c r="D767" s="20"/>
      <c r="E767" s="21">
        <f t="shared" si="1"/>
        <v>10432.97</v>
      </c>
      <c r="F767" s="23"/>
      <c r="G767" s="21">
        <f t="shared" si="2"/>
        <v>481989.61</v>
      </c>
      <c r="H767" s="23"/>
      <c r="I767" s="21">
        <f t="shared" si="6"/>
        <v>627.78</v>
      </c>
      <c r="J767" s="27">
        <v>195.0</v>
      </c>
      <c r="K767" s="21">
        <f t="shared" si="4"/>
        <v>346649.54</v>
      </c>
      <c r="L767" s="23"/>
      <c r="M767" s="21">
        <f t="shared" si="7"/>
        <v>2077.38</v>
      </c>
    </row>
    <row r="768" ht="20.25" customHeight="1" outlineLevel="1">
      <c r="A768" s="12">
        <v>45972.0</v>
      </c>
      <c r="B768" s="46" t="s">
        <v>16</v>
      </c>
      <c r="C768" s="191" t="s">
        <v>731</v>
      </c>
      <c r="D768" s="20"/>
      <c r="E768" s="21">
        <f t="shared" si="1"/>
        <v>10432.97</v>
      </c>
      <c r="F768" s="23"/>
      <c r="G768" s="21">
        <f t="shared" si="2"/>
        <v>481989.61</v>
      </c>
      <c r="H768" s="23"/>
      <c r="I768" s="21">
        <f t="shared" si="6"/>
        <v>627.78</v>
      </c>
      <c r="J768" s="35">
        <v>550.0</v>
      </c>
      <c r="K768" s="21">
        <f t="shared" si="4"/>
        <v>347199.54</v>
      </c>
      <c r="L768" s="23"/>
      <c r="M768" s="21">
        <f t="shared" si="7"/>
        <v>2077.38</v>
      </c>
    </row>
    <row r="769" ht="20.25" customHeight="1" outlineLevel="1">
      <c r="A769" s="12">
        <v>45973.0</v>
      </c>
      <c r="B769" s="13" t="s">
        <v>16</v>
      </c>
      <c r="C769" s="192" t="s">
        <v>732</v>
      </c>
      <c r="D769" s="20"/>
      <c r="E769" s="21">
        <f t="shared" si="1"/>
        <v>10432.97</v>
      </c>
      <c r="F769" s="27">
        <v>174.2</v>
      </c>
      <c r="G769" s="21">
        <f t="shared" si="2"/>
        <v>482163.81</v>
      </c>
      <c r="H769" s="23"/>
      <c r="I769" s="21">
        <f t="shared" si="6"/>
        <v>627.78</v>
      </c>
      <c r="J769" s="23"/>
      <c r="K769" s="21">
        <f t="shared" si="4"/>
        <v>347199.54</v>
      </c>
      <c r="L769" s="23"/>
      <c r="M769" s="21">
        <f t="shared" si="7"/>
        <v>2077.38</v>
      </c>
    </row>
    <row r="770" ht="20.25" customHeight="1" outlineLevel="1">
      <c r="A770" s="18">
        <v>45973.0</v>
      </c>
      <c r="B770" s="13" t="s">
        <v>16</v>
      </c>
      <c r="C770" s="163" t="s">
        <v>733</v>
      </c>
      <c r="D770" s="20"/>
      <c r="E770" s="21">
        <f t="shared" si="1"/>
        <v>10432.97</v>
      </c>
      <c r="F770" s="27">
        <v>956.88</v>
      </c>
      <c r="G770" s="21">
        <f t="shared" si="2"/>
        <v>483120.69</v>
      </c>
      <c r="H770" s="23"/>
      <c r="I770" s="21">
        <f t="shared" si="6"/>
        <v>627.78</v>
      </c>
      <c r="J770" s="79"/>
      <c r="K770" s="21">
        <f t="shared" si="4"/>
        <v>347199.54</v>
      </c>
      <c r="L770" s="23"/>
      <c r="M770" s="21">
        <f t="shared" si="7"/>
        <v>2077.38</v>
      </c>
    </row>
    <row r="771" ht="20.25" customHeight="1" outlineLevel="1">
      <c r="A771" s="12">
        <v>45973.0</v>
      </c>
      <c r="B771" s="13" t="s">
        <v>16</v>
      </c>
      <c r="C771" s="184" t="s">
        <v>734</v>
      </c>
      <c r="D771" s="20"/>
      <c r="E771" s="21">
        <f t="shared" si="1"/>
        <v>10432.97</v>
      </c>
      <c r="F771" s="23"/>
      <c r="G771" s="21">
        <f t="shared" si="2"/>
        <v>483120.69</v>
      </c>
      <c r="H771" s="23"/>
      <c r="I771" s="21">
        <f t="shared" si="6"/>
        <v>627.78</v>
      </c>
      <c r="J771" s="35">
        <v>195.0</v>
      </c>
      <c r="K771" s="21">
        <f t="shared" si="4"/>
        <v>347394.54</v>
      </c>
      <c r="L771" s="23"/>
      <c r="M771" s="21">
        <f t="shared" si="7"/>
        <v>2077.38</v>
      </c>
    </row>
    <row r="772" ht="20.25" customHeight="1" outlineLevel="1">
      <c r="A772" s="12">
        <v>45973.0</v>
      </c>
      <c r="B772" s="13" t="s">
        <v>14</v>
      </c>
      <c r="C772" s="175" t="s">
        <v>34</v>
      </c>
      <c r="D772" s="20"/>
      <c r="E772" s="21">
        <f t="shared" si="1"/>
        <v>10432.97</v>
      </c>
      <c r="F772" s="23"/>
      <c r="G772" s="21">
        <f t="shared" si="2"/>
        <v>483120.69</v>
      </c>
      <c r="H772" s="23"/>
      <c r="I772" s="21">
        <f t="shared" si="6"/>
        <v>627.78</v>
      </c>
      <c r="J772" s="22">
        <v>-24.19</v>
      </c>
      <c r="K772" s="21">
        <f t="shared" si="4"/>
        <v>347370.35</v>
      </c>
      <c r="L772" s="23"/>
      <c r="M772" s="21">
        <f t="shared" si="7"/>
        <v>2077.38</v>
      </c>
    </row>
    <row r="773" ht="20.25" customHeight="1" outlineLevel="1">
      <c r="A773" s="12">
        <v>45973.0</v>
      </c>
      <c r="B773" s="13" t="s">
        <v>12</v>
      </c>
      <c r="C773" s="96" t="s">
        <v>735</v>
      </c>
      <c r="D773" s="20"/>
      <c r="E773" s="21">
        <f t="shared" si="1"/>
        <v>10432.97</v>
      </c>
      <c r="F773" s="22">
        <v>-4759.34</v>
      </c>
      <c r="G773" s="21">
        <f t="shared" si="2"/>
        <v>478361.35</v>
      </c>
      <c r="H773" s="23"/>
      <c r="I773" s="21">
        <f t="shared" si="6"/>
        <v>627.78</v>
      </c>
      <c r="J773" s="23"/>
      <c r="K773" s="21">
        <f t="shared" si="4"/>
        <v>347370.35</v>
      </c>
      <c r="L773" s="23"/>
      <c r="M773" s="21">
        <f t="shared" si="7"/>
        <v>2077.38</v>
      </c>
    </row>
    <row r="774" ht="20.25" customHeight="1" outlineLevel="1">
      <c r="A774" s="12">
        <v>45973.0</v>
      </c>
      <c r="B774" s="13" t="s">
        <v>16</v>
      </c>
      <c r="C774" s="96" t="s">
        <v>736</v>
      </c>
      <c r="D774" s="20"/>
      <c r="E774" s="21">
        <f t="shared" si="1"/>
        <v>10432.97</v>
      </c>
      <c r="F774" s="26">
        <v>254.0</v>
      </c>
      <c r="G774" s="21">
        <f t="shared" si="2"/>
        <v>478615.35</v>
      </c>
      <c r="H774" s="23"/>
      <c r="I774" s="21">
        <f t="shared" si="6"/>
        <v>627.78</v>
      </c>
      <c r="J774" s="23"/>
      <c r="K774" s="21">
        <f t="shared" si="4"/>
        <v>347370.35</v>
      </c>
      <c r="L774" s="23"/>
      <c r="M774" s="21">
        <f t="shared" si="7"/>
        <v>2077.38</v>
      </c>
    </row>
    <row r="775" ht="20.25" customHeight="1" outlineLevel="1">
      <c r="A775" s="12">
        <v>45973.0</v>
      </c>
      <c r="B775" s="13" t="s">
        <v>16</v>
      </c>
      <c r="C775" s="96" t="s">
        <v>737</v>
      </c>
      <c r="D775" s="20"/>
      <c r="E775" s="21">
        <f t="shared" si="1"/>
        <v>10432.97</v>
      </c>
      <c r="F775" s="27">
        <v>1152.5</v>
      </c>
      <c r="G775" s="21">
        <f t="shared" si="2"/>
        <v>479767.85</v>
      </c>
      <c r="H775" s="23"/>
      <c r="I775" s="21">
        <f t="shared" si="6"/>
        <v>627.78</v>
      </c>
      <c r="J775" s="23"/>
      <c r="K775" s="21">
        <f t="shared" si="4"/>
        <v>347370.35</v>
      </c>
      <c r="L775" s="23"/>
      <c r="M775" s="21">
        <f t="shared" si="7"/>
        <v>2077.38</v>
      </c>
    </row>
    <row r="776" ht="20.25" customHeight="1" outlineLevel="1">
      <c r="A776" s="12">
        <v>45973.0</v>
      </c>
      <c r="B776" s="13" t="s">
        <v>16</v>
      </c>
      <c r="C776" s="96" t="s">
        <v>738</v>
      </c>
      <c r="D776" s="20"/>
      <c r="E776" s="21">
        <f t="shared" si="1"/>
        <v>10432.97</v>
      </c>
      <c r="F776" s="27">
        <v>60.0</v>
      </c>
      <c r="G776" s="21">
        <f t="shared" si="2"/>
        <v>479827.85</v>
      </c>
      <c r="H776" s="23"/>
      <c r="I776" s="21">
        <f t="shared" si="6"/>
        <v>627.78</v>
      </c>
      <c r="J776" s="23"/>
      <c r="K776" s="21">
        <f t="shared" si="4"/>
        <v>347370.35</v>
      </c>
      <c r="L776" s="23"/>
      <c r="M776" s="21">
        <f t="shared" si="7"/>
        <v>2077.38</v>
      </c>
    </row>
    <row r="777" ht="20.25" customHeight="1" outlineLevel="1">
      <c r="A777" s="12">
        <v>45973.0</v>
      </c>
      <c r="B777" s="13" t="s">
        <v>16</v>
      </c>
      <c r="C777" s="97" t="s">
        <v>739</v>
      </c>
      <c r="D777" s="20"/>
      <c r="E777" s="21">
        <f t="shared" si="1"/>
        <v>10432.97</v>
      </c>
      <c r="F777" s="23"/>
      <c r="G777" s="21">
        <f t="shared" si="2"/>
        <v>479827.85</v>
      </c>
      <c r="H777" s="23"/>
      <c r="I777" s="21">
        <f t="shared" si="6"/>
        <v>627.78</v>
      </c>
      <c r="J777" s="27">
        <v>742.5</v>
      </c>
      <c r="K777" s="21">
        <f t="shared" si="4"/>
        <v>348112.85</v>
      </c>
      <c r="L777" s="23"/>
      <c r="M777" s="21">
        <f t="shared" si="7"/>
        <v>2077.38</v>
      </c>
    </row>
    <row r="778" ht="20.25" customHeight="1" outlineLevel="1">
      <c r="A778" s="12">
        <v>45973.0</v>
      </c>
      <c r="B778" s="13" t="s">
        <v>16</v>
      </c>
      <c r="C778" s="97" t="s">
        <v>740</v>
      </c>
      <c r="D778" s="20"/>
      <c r="E778" s="21">
        <f t="shared" si="1"/>
        <v>10432.97</v>
      </c>
      <c r="F778" s="23"/>
      <c r="G778" s="21">
        <f t="shared" si="2"/>
        <v>479827.85</v>
      </c>
      <c r="H778" s="23"/>
      <c r="I778" s="21">
        <f t="shared" si="6"/>
        <v>627.78</v>
      </c>
      <c r="J778" s="27">
        <v>1107.5</v>
      </c>
      <c r="K778" s="21">
        <f t="shared" si="4"/>
        <v>349220.35</v>
      </c>
      <c r="L778" s="23"/>
      <c r="M778" s="21">
        <f t="shared" si="7"/>
        <v>2077.38</v>
      </c>
    </row>
    <row r="779" ht="20.25" customHeight="1" outlineLevel="1">
      <c r="A779" s="12">
        <v>45973.0</v>
      </c>
      <c r="B779" s="13" t="s">
        <v>16</v>
      </c>
      <c r="C779" s="124" t="s">
        <v>741</v>
      </c>
      <c r="D779" s="20">
        <v>505.0</v>
      </c>
      <c r="E779" s="21">
        <f t="shared" si="1"/>
        <v>10937.97</v>
      </c>
      <c r="F779" s="23"/>
      <c r="G779" s="21">
        <f t="shared" si="2"/>
        <v>479827.85</v>
      </c>
      <c r="H779" s="23"/>
      <c r="I779" s="21">
        <f t="shared" si="6"/>
        <v>627.78</v>
      </c>
      <c r="J779" s="23"/>
      <c r="K779" s="21">
        <f t="shared" si="4"/>
        <v>349220.35</v>
      </c>
      <c r="L779" s="23"/>
      <c r="M779" s="21">
        <f t="shared" si="7"/>
        <v>2077.38</v>
      </c>
    </row>
    <row r="780" ht="20.25" customHeight="1" outlineLevel="1">
      <c r="A780" s="12">
        <v>45974.0</v>
      </c>
      <c r="B780" s="13" t="s">
        <v>16</v>
      </c>
      <c r="C780" s="96" t="s">
        <v>742</v>
      </c>
      <c r="D780" s="20"/>
      <c r="E780" s="21">
        <f t="shared" si="1"/>
        <v>10937.97</v>
      </c>
      <c r="F780" s="26">
        <v>387.0</v>
      </c>
      <c r="G780" s="21">
        <f t="shared" si="2"/>
        <v>480214.85</v>
      </c>
      <c r="H780" s="23"/>
      <c r="I780" s="21">
        <f t="shared" si="6"/>
        <v>627.78</v>
      </c>
      <c r="J780" s="23"/>
      <c r="K780" s="21">
        <f t="shared" si="4"/>
        <v>349220.35</v>
      </c>
      <c r="L780" s="23"/>
      <c r="M780" s="21">
        <f t="shared" si="7"/>
        <v>2077.38</v>
      </c>
    </row>
    <row r="781" ht="20.25" customHeight="1" outlineLevel="1">
      <c r="A781" s="12">
        <v>45974.0</v>
      </c>
      <c r="B781" s="13" t="s">
        <v>16</v>
      </c>
      <c r="C781" s="96" t="s">
        <v>743</v>
      </c>
      <c r="D781" s="20"/>
      <c r="E781" s="21">
        <f t="shared" si="1"/>
        <v>10937.97</v>
      </c>
      <c r="F781" s="27">
        <v>2357.5</v>
      </c>
      <c r="G781" s="21">
        <f t="shared" si="2"/>
        <v>482572.35</v>
      </c>
      <c r="H781" s="23"/>
      <c r="I781" s="21">
        <f t="shared" si="6"/>
        <v>627.78</v>
      </c>
      <c r="J781" s="23"/>
      <c r="K781" s="21">
        <f t="shared" si="4"/>
        <v>349220.35</v>
      </c>
      <c r="L781" s="23"/>
      <c r="M781" s="21">
        <f t="shared" si="7"/>
        <v>2077.38</v>
      </c>
    </row>
    <row r="782" ht="20.25" customHeight="1" outlineLevel="1">
      <c r="A782" s="12">
        <v>45974.0</v>
      </c>
      <c r="B782" s="13" t="s">
        <v>16</v>
      </c>
      <c r="C782" s="96" t="s">
        <v>744</v>
      </c>
      <c r="D782" s="20"/>
      <c r="E782" s="21">
        <f t="shared" si="1"/>
        <v>10937.97</v>
      </c>
      <c r="F782" s="27">
        <v>399.42</v>
      </c>
      <c r="G782" s="21">
        <f t="shared" si="2"/>
        <v>482971.77</v>
      </c>
      <c r="H782" s="23"/>
      <c r="I782" s="21">
        <f t="shared" si="6"/>
        <v>627.78</v>
      </c>
      <c r="J782" s="23"/>
      <c r="K782" s="21">
        <f t="shared" si="4"/>
        <v>349220.35</v>
      </c>
      <c r="L782" s="23"/>
      <c r="M782" s="21">
        <f t="shared" si="7"/>
        <v>2077.38</v>
      </c>
    </row>
    <row r="783" ht="20.25" customHeight="1" outlineLevel="1">
      <c r="A783" s="12">
        <v>45974.0</v>
      </c>
      <c r="B783" s="13" t="s">
        <v>63</v>
      </c>
      <c r="C783" s="188" t="s">
        <v>745</v>
      </c>
      <c r="D783" s="20"/>
      <c r="E783" s="21">
        <f t="shared" si="1"/>
        <v>10937.97</v>
      </c>
      <c r="F783" s="51">
        <v>2074.0</v>
      </c>
      <c r="G783" s="21">
        <f t="shared" si="2"/>
        <v>485045.77</v>
      </c>
      <c r="H783" s="23"/>
      <c r="I783" s="21">
        <f t="shared" si="6"/>
        <v>627.78</v>
      </c>
      <c r="J783" s="23"/>
      <c r="K783" s="21">
        <f t="shared" si="4"/>
        <v>349220.35</v>
      </c>
      <c r="L783" s="23"/>
      <c r="M783" s="21">
        <f t="shared" si="7"/>
        <v>2077.38</v>
      </c>
    </row>
    <row r="784" ht="20.25" customHeight="1" outlineLevel="1">
      <c r="A784" s="12">
        <v>45974.0</v>
      </c>
      <c r="B784" s="13" t="s">
        <v>63</v>
      </c>
      <c r="C784" s="193" t="s">
        <v>746</v>
      </c>
      <c r="D784" s="20"/>
      <c r="E784" s="21">
        <f t="shared" si="1"/>
        <v>10937.97</v>
      </c>
      <c r="F784" s="51">
        <v>146.0</v>
      </c>
      <c r="G784" s="21">
        <f t="shared" si="2"/>
        <v>485191.77</v>
      </c>
      <c r="H784" s="23"/>
      <c r="I784" s="21">
        <f t="shared" si="6"/>
        <v>627.78</v>
      </c>
      <c r="J784" s="23"/>
      <c r="K784" s="21">
        <f t="shared" si="4"/>
        <v>349220.35</v>
      </c>
      <c r="L784" s="23"/>
      <c r="M784" s="21">
        <f t="shared" si="7"/>
        <v>2077.38</v>
      </c>
    </row>
    <row r="785" ht="20.25" customHeight="1" outlineLevel="1">
      <c r="A785" s="12">
        <v>45974.0</v>
      </c>
      <c r="B785" s="13" t="s">
        <v>16</v>
      </c>
      <c r="C785" s="173" t="s">
        <v>747</v>
      </c>
      <c r="D785" s="20"/>
      <c r="E785" s="21">
        <f t="shared" si="1"/>
        <v>10937.97</v>
      </c>
      <c r="F785" s="23"/>
      <c r="G785" s="21">
        <f t="shared" si="2"/>
        <v>485191.77</v>
      </c>
      <c r="H785" s="23"/>
      <c r="I785" s="21">
        <f t="shared" si="6"/>
        <v>627.78</v>
      </c>
      <c r="J785" s="27">
        <v>460.0</v>
      </c>
      <c r="K785" s="21">
        <f t="shared" si="4"/>
        <v>349680.35</v>
      </c>
      <c r="L785" s="23"/>
      <c r="M785" s="21">
        <f t="shared" si="7"/>
        <v>2077.38</v>
      </c>
    </row>
    <row r="786" ht="20.25" customHeight="1" outlineLevel="1">
      <c r="A786" s="12">
        <v>45974.0</v>
      </c>
      <c r="B786" s="13" t="s">
        <v>16</v>
      </c>
      <c r="C786" s="87" t="s">
        <v>748</v>
      </c>
      <c r="D786" s="20"/>
      <c r="E786" s="21">
        <f t="shared" si="1"/>
        <v>10937.97</v>
      </c>
      <c r="F786" s="23"/>
      <c r="G786" s="21">
        <f t="shared" si="2"/>
        <v>485191.77</v>
      </c>
      <c r="H786" s="23"/>
      <c r="I786" s="21">
        <f t="shared" si="6"/>
        <v>627.78</v>
      </c>
      <c r="J786" s="27">
        <v>385.0</v>
      </c>
      <c r="K786" s="21">
        <f t="shared" si="4"/>
        <v>350065.35</v>
      </c>
      <c r="L786" s="23"/>
      <c r="M786" s="21">
        <f t="shared" si="7"/>
        <v>2077.38</v>
      </c>
    </row>
    <row r="787" ht="20.25" customHeight="1" outlineLevel="1">
      <c r="A787" s="12">
        <v>45974.0</v>
      </c>
      <c r="B787" s="13" t="s">
        <v>16</v>
      </c>
      <c r="C787" s="107" t="s">
        <v>749</v>
      </c>
      <c r="D787" s="20">
        <v>430.0</v>
      </c>
      <c r="E787" s="21">
        <f t="shared" si="1"/>
        <v>11367.97</v>
      </c>
      <c r="F787" s="23"/>
      <c r="G787" s="21">
        <f t="shared" si="2"/>
        <v>485191.77</v>
      </c>
      <c r="H787" s="23"/>
      <c r="I787" s="21">
        <f t="shared" si="6"/>
        <v>627.78</v>
      </c>
      <c r="J787" s="23"/>
      <c r="K787" s="21">
        <f t="shared" si="4"/>
        <v>350065.35</v>
      </c>
      <c r="L787" s="23"/>
      <c r="M787" s="21">
        <f t="shared" si="7"/>
        <v>2077.38</v>
      </c>
    </row>
    <row r="788" ht="20.25" customHeight="1" outlineLevel="1">
      <c r="A788" s="12">
        <v>45974.0</v>
      </c>
      <c r="B788" s="13" t="s">
        <v>12</v>
      </c>
      <c r="C788" s="85" t="s">
        <v>750</v>
      </c>
      <c r="D788" s="20"/>
      <c r="E788" s="21">
        <f t="shared" si="1"/>
        <v>11367.97</v>
      </c>
      <c r="F788" s="23"/>
      <c r="G788" s="21">
        <f t="shared" si="2"/>
        <v>485191.77</v>
      </c>
      <c r="H788" s="22">
        <v>-200.0</v>
      </c>
      <c r="I788" s="21">
        <f t="shared" si="6"/>
        <v>427.78</v>
      </c>
      <c r="J788" s="23"/>
      <c r="K788" s="21">
        <f t="shared" si="4"/>
        <v>350065.35</v>
      </c>
      <c r="L788" s="23"/>
      <c r="M788" s="21">
        <f t="shared" si="7"/>
        <v>2077.38</v>
      </c>
    </row>
    <row r="789" ht="20.25" customHeight="1" outlineLevel="1">
      <c r="A789" s="12">
        <v>45975.0</v>
      </c>
      <c r="B789" s="13" t="s">
        <v>16</v>
      </c>
      <c r="C789" s="85" t="s">
        <v>751</v>
      </c>
      <c r="D789" s="20"/>
      <c r="E789" s="21">
        <f t="shared" si="1"/>
        <v>11367.97</v>
      </c>
      <c r="F789" s="27">
        <v>1125.52</v>
      </c>
      <c r="G789" s="21">
        <f t="shared" si="2"/>
        <v>486317.29</v>
      </c>
      <c r="H789" s="23"/>
      <c r="I789" s="21">
        <f t="shared" si="6"/>
        <v>427.78</v>
      </c>
      <c r="J789" s="23"/>
      <c r="K789" s="21">
        <f t="shared" si="4"/>
        <v>350065.35</v>
      </c>
      <c r="L789" s="23"/>
      <c r="M789" s="21">
        <f t="shared" si="7"/>
        <v>2077.38</v>
      </c>
    </row>
    <row r="790" ht="20.25" customHeight="1" outlineLevel="1">
      <c r="A790" s="12">
        <v>45975.0</v>
      </c>
      <c r="B790" s="13" t="s">
        <v>16</v>
      </c>
      <c r="C790" s="85" t="s">
        <v>752</v>
      </c>
      <c r="D790" s="20"/>
      <c r="E790" s="21">
        <f t="shared" si="1"/>
        <v>11367.97</v>
      </c>
      <c r="F790" s="27">
        <v>54.8</v>
      </c>
      <c r="G790" s="21">
        <f t="shared" si="2"/>
        <v>486372.09</v>
      </c>
      <c r="H790" s="23"/>
      <c r="I790" s="21">
        <f t="shared" si="6"/>
        <v>427.78</v>
      </c>
      <c r="J790" s="23"/>
      <c r="K790" s="21">
        <f t="shared" si="4"/>
        <v>350065.35</v>
      </c>
      <c r="L790" s="23"/>
      <c r="M790" s="21">
        <f t="shared" si="7"/>
        <v>2077.38</v>
      </c>
    </row>
    <row r="791" ht="20.25" customHeight="1" outlineLevel="1">
      <c r="A791" s="12">
        <v>45975.0</v>
      </c>
      <c r="B791" s="13" t="s">
        <v>368</v>
      </c>
      <c r="C791" s="85" t="s">
        <v>753</v>
      </c>
      <c r="D791" s="20"/>
      <c r="E791" s="21">
        <f t="shared" si="1"/>
        <v>11367.97</v>
      </c>
      <c r="F791" s="22">
        <v>-4271.95</v>
      </c>
      <c r="G791" s="21">
        <f t="shared" si="2"/>
        <v>482100.14</v>
      </c>
      <c r="H791" s="23"/>
      <c r="I791" s="21">
        <f t="shared" si="6"/>
        <v>427.78</v>
      </c>
      <c r="J791" s="23"/>
      <c r="K791" s="21">
        <f t="shared" si="4"/>
        <v>350065.35</v>
      </c>
      <c r="L791" s="23"/>
      <c r="M791" s="21">
        <f t="shared" si="7"/>
        <v>2077.38</v>
      </c>
    </row>
    <row r="792" ht="20.25" customHeight="1" outlineLevel="1">
      <c r="A792" s="12">
        <v>45975.0</v>
      </c>
      <c r="B792" s="13" t="s">
        <v>368</v>
      </c>
      <c r="C792" s="165" t="s">
        <v>754</v>
      </c>
      <c r="D792" s="20"/>
      <c r="E792" s="21">
        <f t="shared" si="1"/>
        <v>11367.97</v>
      </c>
      <c r="F792" s="22">
        <v>-2714.07</v>
      </c>
      <c r="G792" s="21">
        <f t="shared" si="2"/>
        <v>479386.07</v>
      </c>
      <c r="H792" s="23"/>
      <c r="I792" s="21">
        <f t="shared" si="6"/>
        <v>427.78</v>
      </c>
      <c r="J792" s="23"/>
      <c r="K792" s="21">
        <f t="shared" si="4"/>
        <v>350065.35</v>
      </c>
      <c r="L792" s="23"/>
      <c r="M792" s="21">
        <f t="shared" si="7"/>
        <v>2077.38</v>
      </c>
    </row>
    <row r="793" ht="20.25" customHeight="1" outlineLevel="1">
      <c r="A793" s="12">
        <v>45975.0</v>
      </c>
      <c r="B793" s="13" t="s">
        <v>368</v>
      </c>
      <c r="C793" s="165" t="s">
        <v>755</v>
      </c>
      <c r="D793" s="20"/>
      <c r="E793" s="21">
        <f t="shared" si="1"/>
        <v>11367.97</v>
      </c>
      <c r="F793" s="22">
        <v>-40.0</v>
      </c>
      <c r="G793" s="21">
        <f t="shared" si="2"/>
        <v>479346.07</v>
      </c>
      <c r="H793" s="23"/>
      <c r="I793" s="21">
        <f t="shared" si="6"/>
        <v>427.78</v>
      </c>
      <c r="J793" s="23"/>
      <c r="K793" s="21">
        <f t="shared" si="4"/>
        <v>350065.35</v>
      </c>
      <c r="L793" s="23"/>
      <c r="M793" s="21">
        <f t="shared" si="7"/>
        <v>2077.38</v>
      </c>
    </row>
    <row r="794" ht="20.25" customHeight="1" outlineLevel="1">
      <c r="A794" s="12">
        <v>45975.0</v>
      </c>
      <c r="B794" s="13" t="s">
        <v>16</v>
      </c>
      <c r="C794" s="165" t="s">
        <v>756</v>
      </c>
      <c r="D794" s="20"/>
      <c r="E794" s="21">
        <f t="shared" si="1"/>
        <v>11367.97</v>
      </c>
      <c r="F794" s="26">
        <v>552.5</v>
      </c>
      <c r="G794" s="21">
        <f t="shared" si="2"/>
        <v>479898.57</v>
      </c>
      <c r="H794" s="23"/>
      <c r="I794" s="21">
        <f t="shared" si="6"/>
        <v>427.78</v>
      </c>
      <c r="J794" s="23"/>
      <c r="K794" s="21">
        <f t="shared" si="4"/>
        <v>350065.35</v>
      </c>
      <c r="L794" s="23"/>
      <c r="M794" s="21">
        <f t="shared" si="7"/>
        <v>2077.38</v>
      </c>
    </row>
    <row r="795" ht="20.25" customHeight="1" outlineLevel="1">
      <c r="A795" s="12">
        <v>45975.0</v>
      </c>
      <c r="B795" s="13" t="s">
        <v>16</v>
      </c>
      <c r="C795" s="165" t="s">
        <v>757</v>
      </c>
      <c r="D795" s="20"/>
      <c r="E795" s="21">
        <f t="shared" si="1"/>
        <v>11367.97</v>
      </c>
      <c r="F795" s="26">
        <v>523.5</v>
      </c>
      <c r="G795" s="21">
        <f t="shared" si="2"/>
        <v>480422.07</v>
      </c>
      <c r="H795" s="23"/>
      <c r="I795" s="21">
        <f t="shared" si="6"/>
        <v>427.78</v>
      </c>
      <c r="J795" s="23"/>
      <c r="K795" s="21">
        <f t="shared" si="4"/>
        <v>350065.35</v>
      </c>
      <c r="L795" s="23"/>
      <c r="M795" s="21">
        <f t="shared" si="7"/>
        <v>2077.38</v>
      </c>
    </row>
    <row r="796" ht="20.25" customHeight="1" outlineLevel="1">
      <c r="A796" s="12">
        <v>45975.0</v>
      </c>
      <c r="B796" s="13" t="s">
        <v>16</v>
      </c>
      <c r="C796" s="165" t="s">
        <v>758</v>
      </c>
      <c r="D796" s="20"/>
      <c r="E796" s="21">
        <f t="shared" si="1"/>
        <v>11367.97</v>
      </c>
      <c r="F796" s="27">
        <v>927.5</v>
      </c>
      <c r="G796" s="21">
        <f t="shared" si="2"/>
        <v>481349.57</v>
      </c>
      <c r="H796" s="23"/>
      <c r="I796" s="21">
        <f t="shared" si="6"/>
        <v>427.78</v>
      </c>
      <c r="J796" s="23"/>
      <c r="K796" s="21">
        <f t="shared" si="4"/>
        <v>350065.35</v>
      </c>
      <c r="L796" s="23"/>
      <c r="M796" s="21">
        <f t="shared" si="7"/>
        <v>2077.38</v>
      </c>
    </row>
    <row r="797" ht="20.25" customHeight="1" outlineLevel="1">
      <c r="A797" s="12">
        <v>45975.0</v>
      </c>
      <c r="B797" s="13" t="s">
        <v>16</v>
      </c>
      <c r="C797" s="165" t="s">
        <v>759</v>
      </c>
      <c r="D797" s="20"/>
      <c r="E797" s="21">
        <f t="shared" si="1"/>
        <v>11367.97</v>
      </c>
      <c r="F797" s="23"/>
      <c r="G797" s="21">
        <f t="shared" si="2"/>
        <v>481349.57</v>
      </c>
      <c r="H797" s="23"/>
      <c r="I797" s="21">
        <f t="shared" si="6"/>
        <v>427.78</v>
      </c>
      <c r="J797" s="27">
        <v>2332.5</v>
      </c>
      <c r="K797" s="21">
        <f t="shared" si="4"/>
        <v>352397.85</v>
      </c>
      <c r="L797" s="23"/>
      <c r="M797" s="21">
        <f t="shared" si="7"/>
        <v>2077.38</v>
      </c>
    </row>
    <row r="798" ht="20.25" customHeight="1" outlineLevel="1">
      <c r="A798" s="12">
        <v>45975.0</v>
      </c>
      <c r="B798" s="13" t="s">
        <v>16</v>
      </c>
      <c r="C798" s="165" t="s">
        <v>760</v>
      </c>
      <c r="D798" s="20"/>
      <c r="E798" s="21">
        <f t="shared" si="1"/>
        <v>11367.97</v>
      </c>
      <c r="F798" s="23"/>
      <c r="G798" s="21">
        <f t="shared" si="2"/>
        <v>481349.57</v>
      </c>
      <c r="H798" s="23"/>
      <c r="I798" s="21">
        <f t="shared" si="6"/>
        <v>427.78</v>
      </c>
      <c r="J798" s="27">
        <v>552.5</v>
      </c>
      <c r="K798" s="21">
        <f t="shared" si="4"/>
        <v>352950.35</v>
      </c>
      <c r="L798" s="23"/>
      <c r="M798" s="21">
        <f t="shared" si="7"/>
        <v>2077.38</v>
      </c>
    </row>
    <row r="799" ht="20.25" customHeight="1" outlineLevel="1">
      <c r="A799" s="12">
        <v>45975.0</v>
      </c>
      <c r="B799" s="13" t="s">
        <v>16</v>
      </c>
      <c r="C799" s="194" t="s">
        <v>761</v>
      </c>
      <c r="D799" s="20">
        <v>332.5</v>
      </c>
      <c r="E799" s="21">
        <f t="shared" si="1"/>
        <v>11700.47</v>
      </c>
      <c r="F799" s="23"/>
      <c r="G799" s="21">
        <f t="shared" si="2"/>
        <v>481349.57</v>
      </c>
      <c r="H799" s="23"/>
      <c r="I799" s="21">
        <f t="shared" si="6"/>
        <v>427.78</v>
      </c>
      <c r="J799" s="23"/>
      <c r="K799" s="21">
        <f t="shared" si="4"/>
        <v>352950.35</v>
      </c>
      <c r="L799" s="23"/>
      <c r="M799" s="21">
        <f t="shared" si="7"/>
        <v>2077.38</v>
      </c>
    </row>
    <row r="800" ht="20.25" customHeight="1" outlineLevel="1">
      <c r="A800" s="12">
        <v>45975.0</v>
      </c>
      <c r="B800" s="13" t="s">
        <v>14</v>
      </c>
      <c r="C800" s="44" t="s">
        <v>762</v>
      </c>
      <c r="D800" s="73">
        <v>-8.8</v>
      </c>
      <c r="E800" s="21">
        <f t="shared" si="1"/>
        <v>11691.67</v>
      </c>
      <c r="F800" s="23"/>
      <c r="G800" s="21">
        <f t="shared" si="2"/>
        <v>481349.57</v>
      </c>
      <c r="H800" s="23"/>
      <c r="I800" s="21">
        <f t="shared" si="6"/>
        <v>427.78</v>
      </c>
      <c r="J800" s="23"/>
      <c r="K800" s="21">
        <f t="shared" si="4"/>
        <v>352950.35</v>
      </c>
      <c r="L800" s="23"/>
      <c r="M800" s="21">
        <f t="shared" si="7"/>
        <v>2077.38</v>
      </c>
    </row>
    <row r="801" ht="20.25" customHeight="1" outlineLevel="1">
      <c r="A801" s="12">
        <v>45975.0</v>
      </c>
      <c r="B801" s="13" t="s">
        <v>12</v>
      </c>
      <c r="C801" s="44" t="s">
        <v>763</v>
      </c>
      <c r="D801" s="20"/>
      <c r="E801" s="21">
        <f t="shared" si="1"/>
        <v>11691.67</v>
      </c>
      <c r="F801" s="23"/>
      <c r="G801" s="21">
        <f t="shared" si="2"/>
        <v>481349.57</v>
      </c>
      <c r="H801" s="22">
        <v>-49.8</v>
      </c>
      <c r="I801" s="21">
        <f t="shared" si="6"/>
        <v>377.98</v>
      </c>
      <c r="J801" s="23"/>
      <c r="K801" s="21">
        <f t="shared" si="4"/>
        <v>352950.35</v>
      </c>
      <c r="L801" s="23"/>
      <c r="M801" s="21">
        <f t="shared" si="7"/>
        <v>2077.38</v>
      </c>
    </row>
    <row r="802" ht="20.25" customHeight="1" outlineLevel="1">
      <c r="A802" s="12">
        <v>45976.0</v>
      </c>
      <c r="B802" s="13" t="s">
        <v>16</v>
      </c>
      <c r="C802" s="44" t="s">
        <v>764</v>
      </c>
      <c r="D802" s="20">
        <v>737.5</v>
      </c>
      <c r="E802" s="21">
        <f t="shared" si="1"/>
        <v>12429.17</v>
      </c>
      <c r="F802" s="23"/>
      <c r="G802" s="21">
        <f t="shared" si="2"/>
        <v>481349.57</v>
      </c>
      <c r="H802" s="23"/>
      <c r="I802" s="21">
        <f t="shared" si="6"/>
        <v>377.98</v>
      </c>
      <c r="J802" s="23"/>
      <c r="K802" s="21">
        <f t="shared" si="4"/>
        <v>352950.35</v>
      </c>
      <c r="L802" s="23"/>
      <c r="M802" s="21">
        <f t="shared" si="7"/>
        <v>2077.38</v>
      </c>
    </row>
    <row r="803" ht="20.25" customHeight="1" outlineLevel="1">
      <c r="A803" s="12">
        <v>45978.0</v>
      </c>
      <c r="B803" s="13" t="s">
        <v>63</v>
      </c>
      <c r="C803" s="195" t="s">
        <v>765</v>
      </c>
      <c r="D803" s="20"/>
      <c r="E803" s="21">
        <f t="shared" si="1"/>
        <v>12429.17</v>
      </c>
      <c r="F803" s="51">
        <v>1715.0</v>
      </c>
      <c r="G803" s="21">
        <f t="shared" si="2"/>
        <v>483064.57</v>
      </c>
      <c r="H803" s="23"/>
      <c r="I803" s="21">
        <f t="shared" si="6"/>
        <v>377.98</v>
      </c>
      <c r="J803" s="23"/>
      <c r="K803" s="21">
        <f t="shared" si="4"/>
        <v>352950.35</v>
      </c>
      <c r="L803" s="23"/>
      <c r="M803" s="21">
        <f t="shared" si="7"/>
        <v>2077.38</v>
      </c>
    </row>
    <row r="804" ht="20.25" customHeight="1" outlineLevel="1">
      <c r="A804" s="12">
        <v>45978.0</v>
      </c>
      <c r="B804" s="13" t="s">
        <v>174</v>
      </c>
      <c r="C804" s="44" t="s">
        <v>766</v>
      </c>
      <c r="D804" s="20"/>
      <c r="E804" s="21">
        <f t="shared" si="1"/>
        <v>12429.17</v>
      </c>
      <c r="F804" s="23"/>
      <c r="G804" s="21">
        <f t="shared" si="2"/>
        <v>483064.57</v>
      </c>
      <c r="H804" s="23"/>
      <c r="I804" s="21">
        <f t="shared" si="6"/>
        <v>377.98</v>
      </c>
      <c r="J804" s="22">
        <v>-1212.84</v>
      </c>
      <c r="K804" s="21">
        <f t="shared" si="4"/>
        <v>351737.51</v>
      </c>
      <c r="L804" s="23"/>
      <c r="M804" s="21">
        <f t="shared" si="7"/>
        <v>2077.38</v>
      </c>
    </row>
    <row r="805" ht="20.25" customHeight="1" outlineLevel="1">
      <c r="A805" s="12">
        <v>45978.0</v>
      </c>
      <c r="B805" s="13" t="s">
        <v>174</v>
      </c>
      <c r="C805" s="44" t="s">
        <v>767</v>
      </c>
      <c r="D805" s="20"/>
      <c r="E805" s="21">
        <f t="shared" si="1"/>
        <v>12429.17</v>
      </c>
      <c r="F805" s="23"/>
      <c r="G805" s="21">
        <f t="shared" si="2"/>
        <v>483064.57</v>
      </c>
      <c r="H805" s="23"/>
      <c r="I805" s="21">
        <f t="shared" si="6"/>
        <v>377.98</v>
      </c>
      <c r="J805" s="22">
        <v>-17713.84</v>
      </c>
      <c r="K805" s="21">
        <f t="shared" si="4"/>
        <v>334023.67</v>
      </c>
      <c r="L805" s="23"/>
      <c r="M805" s="21">
        <f t="shared" si="7"/>
        <v>2077.38</v>
      </c>
    </row>
    <row r="806" ht="20.25" customHeight="1" outlineLevel="1">
      <c r="A806" s="12">
        <v>45978.0</v>
      </c>
      <c r="B806" s="13" t="s">
        <v>174</v>
      </c>
      <c r="C806" s="44" t="s">
        <v>768</v>
      </c>
      <c r="D806" s="20"/>
      <c r="E806" s="21">
        <f t="shared" si="1"/>
        <v>12429.17</v>
      </c>
      <c r="F806" s="23"/>
      <c r="G806" s="21">
        <f t="shared" si="2"/>
        <v>483064.57</v>
      </c>
      <c r="H806" s="23"/>
      <c r="I806" s="21">
        <f t="shared" si="6"/>
        <v>377.98</v>
      </c>
      <c r="J806" s="22">
        <v>-2575.69</v>
      </c>
      <c r="K806" s="21">
        <f t="shared" si="4"/>
        <v>331447.98</v>
      </c>
      <c r="L806" s="23"/>
      <c r="M806" s="21">
        <f t="shared" si="7"/>
        <v>2077.38</v>
      </c>
    </row>
    <row r="807" ht="20.25" customHeight="1" outlineLevel="1">
      <c r="A807" s="12">
        <v>45978.0</v>
      </c>
      <c r="B807" s="13" t="s">
        <v>174</v>
      </c>
      <c r="C807" s="44" t="s">
        <v>769</v>
      </c>
      <c r="D807" s="20"/>
      <c r="E807" s="21">
        <f t="shared" si="1"/>
        <v>12429.17</v>
      </c>
      <c r="F807" s="23"/>
      <c r="G807" s="21">
        <f t="shared" si="2"/>
        <v>483064.57</v>
      </c>
      <c r="H807" s="23"/>
      <c r="I807" s="21">
        <f t="shared" si="6"/>
        <v>377.98</v>
      </c>
      <c r="J807" s="22">
        <v>-98.35</v>
      </c>
      <c r="K807" s="21">
        <f t="shared" si="4"/>
        <v>331349.63</v>
      </c>
      <c r="L807" s="23"/>
      <c r="M807" s="21">
        <f t="shared" si="7"/>
        <v>2077.38</v>
      </c>
    </row>
    <row r="808" ht="20.25" customHeight="1" outlineLevel="1">
      <c r="A808" s="12">
        <v>45978.0</v>
      </c>
      <c r="B808" s="13" t="s">
        <v>16</v>
      </c>
      <c r="C808" s="44" t="s">
        <v>770</v>
      </c>
      <c r="D808" s="20"/>
      <c r="E808" s="21">
        <f t="shared" si="1"/>
        <v>12429.17</v>
      </c>
      <c r="F808" s="27">
        <v>37.0</v>
      </c>
      <c r="G808" s="21">
        <f t="shared" si="2"/>
        <v>483101.57</v>
      </c>
      <c r="H808" s="23"/>
      <c r="I808" s="21">
        <f t="shared" si="6"/>
        <v>377.98</v>
      </c>
      <c r="J808" s="23"/>
      <c r="K808" s="21">
        <f t="shared" si="4"/>
        <v>331349.63</v>
      </c>
      <c r="L808" s="23"/>
      <c r="M808" s="21">
        <f t="shared" si="7"/>
        <v>2077.38</v>
      </c>
    </row>
    <row r="809" ht="20.25" customHeight="1" outlineLevel="1">
      <c r="A809" s="12">
        <v>45978.0</v>
      </c>
      <c r="B809" s="13" t="s">
        <v>16</v>
      </c>
      <c r="C809" s="44" t="s">
        <v>771</v>
      </c>
      <c r="D809" s="20"/>
      <c r="E809" s="21">
        <f t="shared" si="1"/>
        <v>12429.17</v>
      </c>
      <c r="F809" s="27">
        <v>155.0</v>
      </c>
      <c r="G809" s="21">
        <f t="shared" si="2"/>
        <v>483256.57</v>
      </c>
      <c r="H809" s="23"/>
      <c r="I809" s="21">
        <f t="shared" si="6"/>
        <v>377.98</v>
      </c>
      <c r="J809" s="23"/>
      <c r="K809" s="21">
        <f t="shared" si="4"/>
        <v>331349.63</v>
      </c>
      <c r="L809" s="23"/>
      <c r="M809" s="21">
        <f t="shared" si="7"/>
        <v>2077.38</v>
      </c>
    </row>
    <row r="810" ht="20.25" customHeight="1" outlineLevel="1">
      <c r="A810" s="12">
        <v>45978.0</v>
      </c>
      <c r="B810" s="13" t="s">
        <v>16</v>
      </c>
      <c r="C810" s="83" t="s">
        <v>772</v>
      </c>
      <c r="D810" s="20"/>
      <c r="E810" s="21">
        <f t="shared" si="1"/>
        <v>12429.17</v>
      </c>
      <c r="F810" s="26">
        <v>643.5</v>
      </c>
      <c r="G810" s="21">
        <f t="shared" si="2"/>
        <v>483900.07</v>
      </c>
      <c r="H810" s="23"/>
      <c r="I810" s="21">
        <f t="shared" si="6"/>
        <v>377.98</v>
      </c>
      <c r="J810" s="23"/>
      <c r="K810" s="21">
        <f t="shared" si="4"/>
        <v>331349.63</v>
      </c>
      <c r="L810" s="23"/>
      <c r="M810" s="21">
        <f t="shared" si="7"/>
        <v>2077.38</v>
      </c>
    </row>
    <row r="811" ht="20.25" customHeight="1" outlineLevel="1">
      <c r="A811" s="12">
        <v>45978.0</v>
      </c>
      <c r="B811" s="13" t="s">
        <v>16</v>
      </c>
      <c r="C811" s="96" t="s">
        <v>773</v>
      </c>
      <c r="D811" s="20"/>
      <c r="E811" s="21">
        <f t="shared" si="1"/>
        <v>12429.17</v>
      </c>
      <c r="F811" s="27">
        <v>445.0</v>
      </c>
      <c r="G811" s="21">
        <f t="shared" si="2"/>
        <v>484345.07</v>
      </c>
      <c r="H811" s="23"/>
      <c r="I811" s="21">
        <f t="shared" si="6"/>
        <v>377.98</v>
      </c>
      <c r="J811" s="23"/>
      <c r="K811" s="21">
        <f t="shared" si="4"/>
        <v>331349.63</v>
      </c>
      <c r="L811" s="23"/>
      <c r="M811" s="21">
        <f t="shared" si="7"/>
        <v>2077.38</v>
      </c>
    </row>
    <row r="812" ht="20.25" customHeight="1" outlineLevel="1">
      <c r="A812" s="12">
        <v>45978.0</v>
      </c>
      <c r="B812" s="13" t="s">
        <v>16</v>
      </c>
      <c r="C812" s="96" t="s">
        <v>774</v>
      </c>
      <c r="D812" s="20"/>
      <c r="E812" s="21">
        <f t="shared" si="1"/>
        <v>12429.17</v>
      </c>
      <c r="F812" s="26">
        <v>1097.0</v>
      </c>
      <c r="G812" s="21">
        <f t="shared" si="2"/>
        <v>485442.07</v>
      </c>
      <c r="H812" s="23"/>
      <c r="I812" s="21">
        <f t="shared" si="6"/>
        <v>377.98</v>
      </c>
      <c r="J812" s="23"/>
      <c r="K812" s="21">
        <f t="shared" si="4"/>
        <v>331349.63</v>
      </c>
      <c r="L812" s="23"/>
      <c r="M812" s="21">
        <f t="shared" si="7"/>
        <v>2077.38</v>
      </c>
    </row>
    <row r="813" ht="20.25" customHeight="1" outlineLevel="1">
      <c r="A813" s="12">
        <v>45978.0</v>
      </c>
      <c r="B813" s="13" t="s">
        <v>16</v>
      </c>
      <c r="C813" s="96" t="s">
        <v>775</v>
      </c>
      <c r="D813" s="20"/>
      <c r="E813" s="21">
        <f t="shared" si="1"/>
        <v>12429.17</v>
      </c>
      <c r="F813" s="27">
        <v>274.6</v>
      </c>
      <c r="G813" s="21">
        <f t="shared" si="2"/>
        <v>485716.67</v>
      </c>
      <c r="H813" s="23"/>
      <c r="I813" s="21">
        <f t="shared" si="6"/>
        <v>377.98</v>
      </c>
      <c r="J813" s="23"/>
      <c r="K813" s="21">
        <f t="shared" si="4"/>
        <v>331349.63</v>
      </c>
      <c r="L813" s="23"/>
      <c r="M813" s="21">
        <f t="shared" si="7"/>
        <v>2077.38</v>
      </c>
    </row>
    <row r="814" ht="20.25" customHeight="1" outlineLevel="1">
      <c r="A814" s="12">
        <v>45978.0</v>
      </c>
      <c r="B814" s="13" t="s">
        <v>16</v>
      </c>
      <c r="C814" s="96" t="s">
        <v>776</v>
      </c>
      <c r="D814" s="20"/>
      <c r="E814" s="21">
        <f t="shared" si="1"/>
        <v>12429.17</v>
      </c>
      <c r="F814" s="26">
        <v>142.0</v>
      </c>
      <c r="G814" s="21">
        <f t="shared" si="2"/>
        <v>485858.67</v>
      </c>
      <c r="H814" s="23"/>
      <c r="I814" s="21">
        <f t="shared" si="6"/>
        <v>377.98</v>
      </c>
      <c r="J814" s="23"/>
      <c r="K814" s="21">
        <f t="shared" si="4"/>
        <v>331349.63</v>
      </c>
      <c r="L814" s="23"/>
      <c r="M814" s="21">
        <f t="shared" si="7"/>
        <v>2077.38</v>
      </c>
    </row>
    <row r="815" ht="20.25" customHeight="1" outlineLevel="1">
      <c r="A815" s="12">
        <v>45978.0</v>
      </c>
      <c r="B815" s="13" t="s">
        <v>16</v>
      </c>
      <c r="C815" s="96" t="s">
        <v>777</v>
      </c>
      <c r="D815" s="20"/>
      <c r="E815" s="21">
        <f t="shared" si="1"/>
        <v>12429.17</v>
      </c>
      <c r="F815" s="27">
        <v>92.0</v>
      </c>
      <c r="G815" s="21">
        <f t="shared" si="2"/>
        <v>485950.67</v>
      </c>
      <c r="H815" s="23"/>
      <c r="I815" s="21">
        <f t="shared" si="6"/>
        <v>377.98</v>
      </c>
      <c r="J815" s="23"/>
      <c r="K815" s="21">
        <f t="shared" si="4"/>
        <v>331349.63</v>
      </c>
      <c r="L815" s="23"/>
      <c r="M815" s="21">
        <f t="shared" si="7"/>
        <v>2077.38</v>
      </c>
    </row>
    <row r="816" ht="20.25" customHeight="1" outlineLevel="1">
      <c r="A816" s="12">
        <v>45978.0</v>
      </c>
      <c r="B816" s="13" t="s">
        <v>16</v>
      </c>
      <c r="C816" s="178" t="s">
        <v>778</v>
      </c>
      <c r="D816" s="20"/>
      <c r="E816" s="21">
        <f t="shared" si="1"/>
        <v>12429.17</v>
      </c>
      <c r="F816" s="27">
        <v>1873.5</v>
      </c>
      <c r="G816" s="21">
        <f t="shared" si="2"/>
        <v>487824.17</v>
      </c>
      <c r="H816" s="23"/>
      <c r="I816" s="21">
        <f t="shared" si="6"/>
        <v>377.98</v>
      </c>
      <c r="J816" s="23"/>
      <c r="K816" s="21">
        <f t="shared" si="4"/>
        <v>331349.63</v>
      </c>
      <c r="L816" s="23"/>
      <c r="M816" s="21">
        <f t="shared" si="7"/>
        <v>2077.38</v>
      </c>
    </row>
    <row r="817" ht="20.25" customHeight="1" outlineLevel="1">
      <c r="A817" s="12">
        <v>45978.0</v>
      </c>
      <c r="B817" s="46" t="s">
        <v>16</v>
      </c>
      <c r="C817" s="160" t="s">
        <v>779</v>
      </c>
      <c r="D817" s="20"/>
      <c r="E817" s="21">
        <f t="shared" si="1"/>
        <v>12429.17</v>
      </c>
      <c r="F817" s="23"/>
      <c r="G817" s="21">
        <f t="shared" si="2"/>
        <v>487824.17</v>
      </c>
      <c r="H817" s="23"/>
      <c r="I817" s="21">
        <f t="shared" si="6"/>
        <v>377.98</v>
      </c>
      <c r="J817" s="27">
        <v>20.0</v>
      </c>
      <c r="K817" s="21">
        <f t="shared" si="4"/>
        <v>331369.63</v>
      </c>
      <c r="L817" s="23"/>
      <c r="M817" s="21">
        <f t="shared" si="7"/>
        <v>2077.38</v>
      </c>
    </row>
    <row r="818" ht="20.25" customHeight="1" outlineLevel="1">
      <c r="A818" s="12">
        <v>45978.0</v>
      </c>
      <c r="B818" s="46" t="s">
        <v>16</v>
      </c>
      <c r="C818" s="160" t="s">
        <v>780</v>
      </c>
      <c r="D818" s="20"/>
      <c r="E818" s="21">
        <f t="shared" si="1"/>
        <v>12429.17</v>
      </c>
      <c r="F818" s="23"/>
      <c r="G818" s="21">
        <f t="shared" si="2"/>
        <v>487824.17</v>
      </c>
      <c r="H818" s="23"/>
      <c r="I818" s="21">
        <f t="shared" si="6"/>
        <v>377.98</v>
      </c>
      <c r="J818" s="27">
        <v>50.0</v>
      </c>
      <c r="K818" s="21">
        <f t="shared" si="4"/>
        <v>331419.63</v>
      </c>
      <c r="L818" s="23"/>
      <c r="M818" s="21">
        <f t="shared" si="7"/>
        <v>2077.38</v>
      </c>
    </row>
    <row r="819" ht="20.25" customHeight="1" outlineLevel="1">
      <c r="A819" s="12">
        <v>45978.0</v>
      </c>
      <c r="B819" s="46" t="s">
        <v>16</v>
      </c>
      <c r="C819" s="160" t="s">
        <v>781</v>
      </c>
      <c r="D819" s="20"/>
      <c r="E819" s="21">
        <f t="shared" si="1"/>
        <v>12429.17</v>
      </c>
      <c r="F819" s="23"/>
      <c r="G819" s="21">
        <f t="shared" si="2"/>
        <v>487824.17</v>
      </c>
      <c r="H819" s="23"/>
      <c r="I819" s="21">
        <f t="shared" si="6"/>
        <v>377.98</v>
      </c>
      <c r="J819" s="27">
        <v>397.5</v>
      </c>
      <c r="K819" s="21">
        <f t="shared" si="4"/>
        <v>331817.13</v>
      </c>
      <c r="L819" s="23"/>
      <c r="M819" s="21">
        <f t="shared" si="7"/>
        <v>2077.38</v>
      </c>
    </row>
    <row r="820" ht="20.25" customHeight="1" outlineLevel="1">
      <c r="A820" s="12">
        <v>45978.0</v>
      </c>
      <c r="B820" s="46" t="s">
        <v>16</v>
      </c>
      <c r="C820" s="160" t="s">
        <v>782</v>
      </c>
      <c r="D820" s="20">
        <v>110.0</v>
      </c>
      <c r="E820" s="21">
        <f t="shared" si="1"/>
        <v>12539.17</v>
      </c>
      <c r="F820" s="23"/>
      <c r="G820" s="21">
        <f t="shared" si="2"/>
        <v>487824.17</v>
      </c>
      <c r="H820" s="23"/>
      <c r="I820" s="21">
        <f t="shared" si="6"/>
        <v>377.98</v>
      </c>
      <c r="J820" s="23"/>
      <c r="K820" s="21">
        <f t="shared" si="4"/>
        <v>331817.13</v>
      </c>
      <c r="L820" s="23"/>
      <c r="M820" s="21">
        <f t="shared" si="7"/>
        <v>2077.38</v>
      </c>
    </row>
    <row r="821" ht="20.25" customHeight="1" outlineLevel="1">
      <c r="A821" s="12">
        <v>45978.0</v>
      </c>
      <c r="B821" s="46" t="s">
        <v>16</v>
      </c>
      <c r="C821" s="160" t="s">
        <v>783</v>
      </c>
      <c r="D821" s="20"/>
      <c r="E821" s="21">
        <f t="shared" si="1"/>
        <v>12539.17</v>
      </c>
      <c r="F821" s="23"/>
      <c r="G821" s="21">
        <f t="shared" si="2"/>
        <v>487824.17</v>
      </c>
      <c r="H821" s="23"/>
      <c r="I821" s="21">
        <f t="shared" si="6"/>
        <v>377.98</v>
      </c>
      <c r="J821" s="27">
        <v>1552.5</v>
      </c>
      <c r="K821" s="21">
        <f t="shared" si="4"/>
        <v>333369.63</v>
      </c>
      <c r="L821" s="23"/>
      <c r="M821" s="21">
        <f t="shared" si="7"/>
        <v>2077.38</v>
      </c>
    </row>
    <row r="822" ht="20.25" customHeight="1" outlineLevel="1">
      <c r="A822" s="12">
        <v>45978.0</v>
      </c>
      <c r="B822" s="46" t="s">
        <v>12</v>
      </c>
      <c r="C822" s="160" t="s">
        <v>248</v>
      </c>
      <c r="D822" s="20"/>
      <c r="E822" s="21">
        <f t="shared" si="1"/>
        <v>12539.17</v>
      </c>
      <c r="F822" s="23"/>
      <c r="G822" s="21">
        <f t="shared" si="2"/>
        <v>487824.17</v>
      </c>
      <c r="H822" s="22">
        <v>-344.0</v>
      </c>
      <c r="I822" s="21">
        <f t="shared" si="6"/>
        <v>33.98</v>
      </c>
      <c r="J822" s="23"/>
      <c r="K822" s="21">
        <f t="shared" si="4"/>
        <v>333369.63</v>
      </c>
      <c r="L822" s="23"/>
      <c r="M822" s="21">
        <f t="shared" si="7"/>
        <v>2077.38</v>
      </c>
    </row>
    <row r="823" ht="20.25" customHeight="1" outlineLevel="1">
      <c r="A823" s="12">
        <v>45979.0</v>
      </c>
      <c r="B823" s="13" t="s">
        <v>12</v>
      </c>
      <c r="C823" s="196" t="s">
        <v>784</v>
      </c>
      <c r="D823" s="20"/>
      <c r="E823" s="21">
        <f t="shared" si="1"/>
        <v>12539.17</v>
      </c>
      <c r="F823" s="22">
        <v>-3450.17</v>
      </c>
      <c r="G823" s="21">
        <f t="shared" si="2"/>
        <v>484374</v>
      </c>
      <c r="H823" s="23"/>
      <c r="I823" s="21">
        <f t="shared" si="6"/>
        <v>33.98</v>
      </c>
      <c r="J823" s="23"/>
      <c r="K823" s="21">
        <f t="shared" si="4"/>
        <v>333369.63</v>
      </c>
      <c r="L823" s="23"/>
      <c r="M823" s="21">
        <f t="shared" si="7"/>
        <v>2077.38</v>
      </c>
    </row>
    <row r="824" ht="20.25" customHeight="1" outlineLevel="1">
      <c r="A824" s="12">
        <v>45979.0</v>
      </c>
      <c r="B824" s="13" t="s">
        <v>14</v>
      </c>
      <c r="C824" s="44" t="s">
        <v>785</v>
      </c>
      <c r="D824" s="20"/>
      <c r="E824" s="21">
        <f t="shared" si="1"/>
        <v>12539.17</v>
      </c>
      <c r="F824" s="22">
        <v>-70.0</v>
      </c>
      <c r="G824" s="21">
        <f t="shared" si="2"/>
        <v>484304</v>
      </c>
      <c r="H824" s="23"/>
      <c r="I824" s="21">
        <f t="shared" si="6"/>
        <v>33.98</v>
      </c>
      <c r="J824" s="23"/>
      <c r="K824" s="21">
        <f t="shared" si="4"/>
        <v>333369.63</v>
      </c>
      <c r="L824" s="23"/>
      <c r="M824" s="21">
        <f t="shared" si="7"/>
        <v>2077.38</v>
      </c>
    </row>
    <row r="825" ht="20.25" customHeight="1" outlineLevel="1">
      <c r="A825" s="12">
        <v>45979.0</v>
      </c>
      <c r="B825" s="13" t="s">
        <v>16</v>
      </c>
      <c r="C825" s="44" t="s">
        <v>786</v>
      </c>
      <c r="D825" s="20"/>
      <c r="E825" s="21">
        <f t="shared" si="1"/>
        <v>12539.17</v>
      </c>
      <c r="F825" s="27">
        <v>50.0</v>
      </c>
      <c r="G825" s="21">
        <f t="shared" si="2"/>
        <v>484354</v>
      </c>
      <c r="H825" s="23"/>
      <c r="I825" s="21">
        <f t="shared" si="6"/>
        <v>33.98</v>
      </c>
      <c r="J825" s="23"/>
      <c r="K825" s="21">
        <f t="shared" si="4"/>
        <v>333369.63</v>
      </c>
      <c r="L825" s="23"/>
      <c r="M825" s="21">
        <f t="shared" si="7"/>
        <v>2077.38</v>
      </c>
    </row>
    <row r="826" ht="20.25" customHeight="1" outlineLevel="1">
      <c r="A826" s="12">
        <v>45979.0</v>
      </c>
      <c r="B826" s="13" t="s">
        <v>16</v>
      </c>
      <c r="C826" s="44" t="s">
        <v>787</v>
      </c>
      <c r="D826" s="20"/>
      <c r="E826" s="21">
        <f t="shared" si="1"/>
        <v>12539.17</v>
      </c>
      <c r="F826" s="27">
        <v>40.0</v>
      </c>
      <c r="G826" s="21">
        <f t="shared" si="2"/>
        <v>484394</v>
      </c>
      <c r="H826" s="23"/>
      <c r="I826" s="21">
        <f t="shared" si="6"/>
        <v>33.98</v>
      </c>
      <c r="J826" s="23"/>
      <c r="K826" s="21">
        <f t="shared" si="4"/>
        <v>333369.63</v>
      </c>
      <c r="L826" s="23"/>
      <c r="M826" s="21">
        <f t="shared" si="7"/>
        <v>2077.38</v>
      </c>
    </row>
    <row r="827" ht="20.25" customHeight="1" outlineLevel="1">
      <c r="A827" s="12">
        <v>45979.0</v>
      </c>
      <c r="B827" s="13" t="s">
        <v>16</v>
      </c>
      <c r="C827" s="44" t="s">
        <v>788</v>
      </c>
      <c r="D827" s="20"/>
      <c r="E827" s="21">
        <f t="shared" si="1"/>
        <v>12539.17</v>
      </c>
      <c r="F827" s="26">
        <v>105.0</v>
      </c>
      <c r="G827" s="21">
        <f t="shared" si="2"/>
        <v>484499</v>
      </c>
      <c r="H827" s="23"/>
      <c r="I827" s="21">
        <f t="shared" si="6"/>
        <v>33.98</v>
      </c>
      <c r="J827" s="23"/>
      <c r="K827" s="21">
        <f t="shared" si="4"/>
        <v>333369.63</v>
      </c>
      <c r="L827" s="23"/>
      <c r="M827" s="21">
        <f t="shared" si="7"/>
        <v>2077.38</v>
      </c>
    </row>
    <row r="828" ht="20.25" customHeight="1" outlineLevel="1">
      <c r="A828" s="12">
        <v>45979.0</v>
      </c>
      <c r="B828" s="13" t="s">
        <v>16</v>
      </c>
      <c r="C828" s="197" t="s">
        <v>789</v>
      </c>
      <c r="D828" s="20"/>
      <c r="E828" s="21">
        <f t="shared" si="1"/>
        <v>12539.17</v>
      </c>
      <c r="F828" s="51">
        <v>292.8</v>
      </c>
      <c r="G828" s="21">
        <f t="shared" si="2"/>
        <v>484791.8</v>
      </c>
      <c r="H828" s="23"/>
      <c r="I828" s="21">
        <f t="shared" si="6"/>
        <v>33.98</v>
      </c>
      <c r="J828" s="23"/>
      <c r="K828" s="21">
        <f t="shared" si="4"/>
        <v>333369.63</v>
      </c>
      <c r="L828" s="23"/>
      <c r="M828" s="21">
        <f t="shared" si="7"/>
        <v>2077.38</v>
      </c>
    </row>
    <row r="829" ht="20.25" customHeight="1" outlineLevel="1">
      <c r="A829" s="12">
        <v>45979.0</v>
      </c>
      <c r="B829" s="13" t="s">
        <v>14</v>
      </c>
      <c r="C829" s="85" t="s">
        <v>34</v>
      </c>
      <c r="D829" s="20"/>
      <c r="E829" s="21">
        <f t="shared" si="1"/>
        <v>12539.17</v>
      </c>
      <c r="F829" s="23"/>
      <c r="G829" s="21">
        <f t="shared" si="2"/>
        <v>484791.8</v>
      </c>
      <c r="H829" s="23"/>
      <c r="I829" s="21">
        <f t="shared" si="6"/>
        <v>33.98</v>
      </c>
      <c r="J829" s="22">
        <v>-413.0</v>
      </c>
      <c r="K829" s="21">
        <f t="shared" si="4"/>
        <v>332956.63</v>
      </c>
      <c r="L829" s="23"/>
      <c r="M829" s="21">
        <f t="shared" si="7"/>
        <v>2077.38</v>
      </c>
    </row>
    <row r="830" ht="20.25" customHeight="1" outlineLevel="1">
      <c r="A830" s="12">
        <v>45979.0</v>
      </c>
      <c r="B830" s="13" t="s">
        <v>16</v>
      </c>
      <c r="C830" s="85" t="s">
        <v>790</v>
      </c>
      <c r="D830" s="20"/>
      <c r="E830" s="21">
        <f t="shared" si="1"/>
        <v>12539.17</v>
      </c>
      <c r="F830" s="23"/>
      <c r="G830" s="21">
        <f t="shared" si="2"/>
        <v>484791.8</v>
      </c>
      <c r="H830" s="23"/>
      <c r="I830" s="21">
        <f t="shared" si="6"/>
        <v>33.98</v>
      </c>
      <c r="J830" s="27">
        <v>50.0</v>
      </c>
      <c r="K830" s="21">
        <f t="shared" si="4"/>
        <v>333006.63</v>
      </c>
      <c r="L830" s="23"/>
      <c r="M830" s="21">
        <f t="shared" si="7"/>
        <v>2077.38</v>
      </c>
    </row>
    <row r="831" ht="20.25" customHeight="1" outlineLevel="1">
      <c r="A831" s="12">
        <v>45979.0</v>
      </c>
      <c r="B831" s="13" t="s">
        <v>16</v>
      </c>
      <c r="C831" s="85" t="s">
        <v>791</v>
      </c>
      <c r="D831" s="20"/>
      <c r="E831" s="21">
        <f t="shared" si="1"/>
        <v>12539.17</v>
      </c>
      <c r="F831" s="23"/>
      <c r="G831" s="21">
        <f t="shared" si="2"/>
        <v>484791.8</v>
      </c>
      <c r="H831" s="23"/>
      <c r="I831" s="21">
        <f t="shared" si="6"/>
        <v>33.98</v>
      </c>
      <c r="J831" s="27">
        <v>85.0</v>
      </c>
      <c r="K831" s="21">
        <f t="shared" si="4"/>
        <v>333091.63</v>
      </c>
      <c r="L831" s="23"/>
      <c r="M831" s="21">
        <f t="shared" si="7"/>
        <v>2077.38</v>
      </c>
    </row>
    <row r="832" ht="20.25" customHeight="1" outlineLevel="1">
      <c r="A832" s="12">
        <v>45979.0</v>
      </c>
      <c r="B832" s="13" t="s">
        <v>16</v>
      </c>
      <c r="C832" s="85" t="s">
        <v>792</v>
      </c>
      <c r="D832" s="20">
        <v>45.0</v>
      </c>
      <c r="E832" s="21">
        <f t="shared" si="1"/>
        <v>12584.17</v>
      </c>
      <c r="F832" s="23"/>
      <c r="G832" s="21">
        <f t="shared" si="2"/>
        <v>484791.8</v>
      </c>
      <c r="H832" s="23"/>
      <c r="I832" s="21">
        <f t="shared" si="6"/>
        <v>33.98</v>
      </c>
      <c r="J832" s="23"/>
      <c r="K832" s="21">
        <f t="shared" si="4"/>
        <v>333091.63</v>
      </c>
      <c r="L832" s="23"/>
      <c r="M832" s="21">
        <f t="shared" si="7"/>
        <v>2077.38</v>
      </c>
    </row>
    <row r="833" ht="20.25" customHeight="1" outlineLevel="1">
      <c r="A833" s="12">
        <v>45980.0</v>
      </c>
      <c r="B833" s="13" t="s">
        <v>63</v>
      </c>
      <c r="C833" s="90" t="s">
        <v>793</v>
      </c>
      <c r="D833" s="20"/>
      <c r="E833" s="21">
        <f t="shared" si="1"/>
        <v>12584.17</v>
      </c>
      <c r="F833" s="51">
        <v>6710.0</v>
      </c>
      <c r="G833" s="21">
        <f t="shared" si="2"/>
        <v>491501.8</v>
      </c>
      <c r="H833" s="23"/>
      <c r="I833" s="21">
        <f t="shared" si="6"/>
        <v>33.98</v>
      </c>
      <c r="J833" s="23"/>
      <c r="K833" s="21">
        <f t="shared" si="4"/>
        <v>333091.63</v>
      </c>
      <c r="L833" s="23"/>
      <c r="M833" s="21">
        <f t="shared" si="7"/>
        <v>2077.38</v>
      </c>
    </row>
    <row r="834" ht="20.25" customHeight="1" outlineLevel="1">
      <c r="A834" s="12">
        <v>45980.0</v>
      </c>
      <c r="B834" s="13" t="s">
        <v>368</v>
      </c>
      <c r="C834" s="85" t="s">
        <v>794</v>
      </c>
      <c r="D834" s="20"/>
      <c r="E834" s="21">
        <f t="shared" si="1"/>
        <v>12584.17</v>
      </c>
      <c r="F834" s="22">
        <v>-120.0</v>
      </c>
      <c r="G834" s="21">
        <f t="shared" si="2"/>
        <v>491381.8</v>
      </c>
      <c r="H834" s="23"/>
      <c r="I834" s="21">
        <f t="shared" si="6"/>
        <v>33.98</v>
      </c>
      <c r="J834" s="23"/>
      <c r="K834" s="21">
        <f t="shared" si="4"/>
        <v>333091.63</v>
      </c>
      <c r="L834" s="23"/>
      <c r="M834" s="21">
        <f t="shared" si="7"/>
        <v>2077.38</v>
      </c>
    </row>
    <row r="835" ht="20.25" customHeight="1" outlineLevel="1">
      <c r="A835" s="12">
        <v>45980.0</v>
      </c>
      <c r="B835" s="13" t="s">
        <v>16</v>
      </c>
      <c r="C835" s="85" t="s">
        <v>795</v>
      </c>
      <c r="D835" s="20"/>
      <c r="E835" s="21">
        <f t="shared" si="1"/>
        <v>12584.17</v>
      </c>
      <c r="F835" s="27">
        <v>544.0</v>
      </c>
      <c r="G835" s="21">
        <f t="shared" si="2"/>
        <v>491925.8</v>
      </c>
      <c r="H835" s="23"/>
      <c r="I835" s="21">
        <f t="shared" si="6"/>
        <v>33.98</v>
      </c>
      <c r="J835" s="23"/>
      <c r="K835" s="21">
        <f t="shared" si="4"/>
        <v>333091.63</v>
      </c>
      <c r="L835" s="23"/>
      <c r="M835" s="21">
        <f t="shared" si="7"/>
        <v>2077.38</v>
      </c>
    </row>
    <row r="836" ht="20.25" customHeight="1" outlineLevel="1">
      <c r="A836" s="12">
        <v>45980.0</v>
      </c>
      <c r="B836" s="13" t="s">
        <v>16</v>
      </c>
      <c r="C836" s="175" t="s">
        <v>796</v>
      </c>
      <c r="D836" s="20"/>
      <c r="E836" s="21">
        <f t="shared" si="1"/>
        <v>12584.17</v>
      </c>
      <c r="F836" s="27">
        <v>377.95</v>
      </c>
      <c r="G836" s="21">
        <f t="shared" si="2"/>
        <v>492303.75</v>
      </c>
      <c r="H836" s="23"/>
      <c r="I836" s="21">
        <f t="shared" si="6"/>
        <v>33.98</v>
      </c>
      <c r="J836" s="23"/>
      <c r="K836" s="21">
        <f t="shared" si="4"/>
        <v>333091.63</v>
      </c>
      <c r="L836" s="23"/>
      <c r="M836" s="21">
        <f t="shared" si="7"/>
        <v>2077.38</v>
      </c>
    </row>
    <row r="837" ht="20.25" customHeight="1" outlineLevel="1">
      <c r="A837" s="12">
        <v>45980.0</v>
      </c>
      <c r="B837" s="13" t="s">
        <v>16</v>
      </c>
      <c r="C837" s="96" t="s">
        <v>797</v>
      </c>
      <c r="D837" s="20"/>
      <c r="E837" s="21">
        <f t="shared" si="1"/>
        <v>12584.17</v>
      </c>
      <c r="F837" s="26">
        <v>450.0</v>
      </c>
      <c r="G837" s="21">
        <f t="shared" si="2"/>
        <v>492753.75</v>
      </c>
      <c r="H837" s="23"/>
      <c r="I837" s="21">
        <f t="shared" si="6"/>
        <v>33.98</v>
      </c>
      <c r="J837" s="23"/>
      <c r="K837" s="21">
        <f t="shared" si="4"/>
        <v>333091.63</v>
      </c>
      <c r="L837" s="23"/>
      <c r="M837" s="21">
        <f t="shared" si="7"/>
        <v>2077.38</v>
      </c>
    </row>
    <row r="838" ht="20.25" customHeight="1" outlineLevel="1">
      <c r="A838" s="12">
        <v>45980.0</v>
      </c>
      <c r="B838" s="13" t="s">
        <v>16</v>
      </c>
      <c r="C838" s="198" t="s">
        <v>798</v>
      </c>
      <c r="D838" s="20"/>
      <c r="E838" s="21">
        <f t="shared" si="1"/>
        <v>12584.17</v>
      </c>
      <c r="F838" s="23"/>
      <c r="G838" s="21">
        <f t="shared" si="2"/>
        <v>492753.75</v>
      </c>
      <c r="H838" s="23"/>
      <c r="I838" s="21">
        <f t="shared" si="6"/>
        <v>33.98</v>
      </c>
      <c r="J838" s="35">
        <v>270.0</v>
      </c>
      <c r="K838" s="21">
        <f t="shared" si="4"/>
        <v>333361.63</v>
      </c>
      <c r="L838" s="23"/>
      <c r="M838" s="21">
        <f t="shared" si="7"/>
        <v>2077.38</v>
      </c>
    </row>
    <row r="839" ht="20.25" customHeight="1" outlineLevel="1">
      <c r="A839" s="12">
        <v>45980.0</v>
      </c>
      <c r="B839" s="13" t="s">
        <v>16</v>
      </c>
      <c r="C839" s="97" t="s">
        <v>799</v>
      </c>
      <c r="D839" s="20"/>
      <c r="E839" s="21">
        <f t="shared" si="1"/>
        <v>12584.17</v>
      </c>
      <c r="F839" s="23"/>
      <c r="G839" s="21">
        <f t="shared" si="2"/>
        <v>492753.75</v>
      </c>
      <c r="H839" s="23"/>
      <c r="I839" s="21">
        <f t="shared" si="6"/>
        <v>33.98</v>
      </c>
      <c r="J839" s="35">
        <v>337.0</v>
      </c>
      <c r="K839" s="21">
        <f t="shared" si="4"/>
        <v>333698.63</v>
      </c>
      <c r="L839" s="23"/>
      <c r="M839" s="21">
        <f t="shared" si="7"/>
        <v>2077.38</v>
      </c>
    </row>
    <row r="840" ht="20.25" customHeight="1" outlineLevel="1">
      <c r="A840" s="12">
        <v>45980.0</v>
      </c>
      <c r="B840" s="13" t="s">
        <v>16</v>
      </c>
      <c r="C840" s="96" t="s">
        <v>800</v>
      </c>
      <c r="D840" s="20">
        <v>135.0</v>
      </c>
      <c r="E840" s="21">
        <f t="shared" si="1"/>
        <v>12719.17</v>
      </c>
      <c r="F840" s="23"/>
      <c r="G840" s="21">
        <f t="shared" si="2"/>
        <v>492753.75</v>
      </c>
      <c r="H840" s="23"/>
      <c r="I840" s="21">
        <f t="shared" si="6"/>
        <v>33.98</v>
      </c>
      <c r="J840" s="23"/>
      <c r="K840" s="21">
        <f t="shared" si="4"/>
        <v>333698.63</v>
      </c>
      <c r="L840" s="23"/>
      <c r="M840" s="21">
        <f t="shared" si="7"/>
        <v>2077.38</v>
      </c>
    </row>
    <row r="841" ht="20.25" customHeight="1" outlineLevel="1">
      <c r="A841" s="12">
        <v>45980.0</v>
      </c>
      <c r="B841" s="13" t="s">
        <v>12</v>
      </c>
      <c r="C841" s="199" t="s">
        <v>228</v>
      </c>
      <c r="D841" s="20"/>
      <c r="E841" s="21">
        <f t="shared" si="1"/>
        <v>12719.17</v>
      </c>
      <c r="F841" s="23"/>
      <c r="G841" s="21">
        <f t="shared" si="2"/>
        <v>492753.75</v>
      </c>
      <c r="H841" s="22">
        <v>-2.94</v>
      </c>
      <c r="I841" s="21">
        <f t="shared" si="6"/>
        <v>31.04</v>
      </c>
      <c r="J841" s="23"/>
      <c r="K841" s="21">
        <f t="shared" si="4"/>
        <v>333698.63</v>
      </c>
      <c r="L841" s="23"/>
      <c r="M841" s="21">
        <f t="shared" si="7"/>
        <v>2077.38</v>
      </c>
    </row>
    <row r="842" ht="20.25" customHeight="1" outlineLevel="1">
      <c r="A842" s="12">
        <v>45981.0</v>
      </c>
      <c r="B842" s="13" t="s">
        <v>16</v>
      </c>
      <c r="C842" s="25" t="s">
        <v>801</v>
      </c>
      <c r="D842" s="20"/>
      <c r="E842" s="21">
        <f t="shared" si="1"/>
        <v>12719.17</v>
      </c>
      <c r="F842" s="27">
        <v>20.0</v>
      </c>
      <c r="G842" s="21">
        <f t="shared" si="2"/>
        <v>492773.75</v>
      </c>
      <c r="H842" s="23"/>
      <c r="I842" s="21">
        <f t="shared" si="6"/>
        <v>31.04</v>
      </c>
      <c r="J842" s="23"/>
      <c r="K842" s="21">
        <f t="shared" si="4"/>
        <v>333698.63</v>
      </c>
      <c r="L842" s="23"/>
      <c r="M842" s="21">
        <f t="shared" si="7"/>
        <v>2077.38</v>
      </c>
    </row>
    <row r="843" ht="20.25" customHeight="1" outlineLevel="1">
      <c r="A843" s="12">
        <v>45981.0</v>
      </c>
      <c r="B843" s="13" t="s">
        <v>16</v>
      </c>
      <c r="C843" s="25" t="s">
        <v>802</v>
      </c>
      <c r="D843" s="20"/>
      <c r="E843" s="21">
        <f t="shared" si="1"/>
        <v>12719.17</v>
      </c>
      <c r="F843" s="26">
        <v>145.0</v>
      </c>
      <c r="G843" s="21">
        <f t="shared" si="2"/>
        <v>492918.75</v>
      </c>
      <c r="H843" s="23"/>
      <c r="I843" s="21">
        <f t="shared" si="6"/>
        <v>31.04</v>
      </c>
      <c r="J843" s="23"/>
      <c r="K843" s="21">
        <f t="shared" si="4"/>
        <v>333698.63</v>
      </c>
      <c r="L843" s="23"/>
      <c r="M843" s="21">
        <f t="shared" si="7"/>
        <v>2077.38</v>
      </c>
    </row>
    <row r="844" ht="20.25" customHeight="1" outlineLevel="1">
      <c r="A844" s="12">
        <v>45981.0</v>
      </c>
      <c r="B844" s="13" t="s">
        <v>16</v>
      </c>
      <c r="C844" s="25" t="s">
        <v>803</v>
      </c>
      <c r="D844" s="20"/>
      <c r="E844" s="21">
        <f t="shared" si="1"/>
        <v>12719.17</v>
      </c>
      <c r="F844" s="27">
        <v>50.0</v>
      </c>
      <c r="G844" s="21">
        <f t="shared" si="2"/>
        <v>492968.75</v>
      </c>
      <c r="H844" s="23"/>
      <c r="I844" s="21">
        <f t="shared" si="6"/>
        <v>31.04</v>
      </c>
      <c r="J844" s="23"/>
      <c r="K844" s="21">
        <f t="shared" si="4"/>
        <v>333698.63</v>
      </c>
      <c r="L844" s="23"/>
      <c r="M844" s="21">
        <f t="shared" si="7"/>
        <v>2077.38</v>
      </c>
    </row>
    <row r="845" ht="20.25" customHeight="1" outlineLevel="1">
      <c r="A845" s="12">
        <v>45981.0</v>
      </c>
      <c r="B845" s="13" t="s">
        <v>16</v>
      </c>
      <c r="C845" s="25" t="s">
        <v>804</v>
      </c>
      <c r="D845" s="20"/>
      <c r="E845" s="21">
        <f t="shared" si="1"/>
        <v>12719.17</v>
      </c>
      <c r="F845" s="27">
        <v>383.32</v>
      </c>
      <c r="G845" s="21">
        <f t="shared" si="2"/>
        <v>493352.07</v>
      </c>
      <c r="H845" s="23"/>
      <c r="I845" s="21">
        <f t="shared" si="6"/>
        <v>31.04</v>
      </c>
      <c r="J845" s="23"/>
      <c r="K845" s="21">
        <f t="shared" si="4"/>
        <v>333698.63</v>
      </c>
      <c r="L845" s="23"/>
      <c r="M845" s="21">
        <f t="shared" si="7"/>
        <v>2077.38</v>
      </c>
    </row>
    <row r="846" ht="20.25" customHeight="1" outlineLevel="1">
      <c r="A846" s="12">
        <v>45981.0</v>
      </c>
      <c r="B846" s="13" t="s">
        <v>14</v>
      </c>
      <c r="C846" s="80" t="s">
        <v>34</v>
      </c>
      <c r="D846" s="20"/>
      <c r="E846" s="21">
        <f t="shared" si="1"/>
        <v>12719.17</v>
      </c>
      <c r="F846" s="23"/>
      <c r="G846" s="21">
        <f t="shared" si="2"/>
        <v>493352.07</v>
      </c>
      <c r="H846" s="23"/>
      <c r="I846" s="21">
        <f t="shared" si="6"/>
        <v>31.04</v>
      </c>
      <c r="J846" s="22">
        <v>-254.81</v>
      </c>
      <c r="K846" s="21">
        <f t="shared" si="4"/>
        <v>333443.82</v>
      </c>
      <c r="L846" s="23"/>
      <c r="M846" s="21">
        <f t="shared" si="7"/>
        <v>2077.38</v>
      </c>
    </row>
    <row r="847" ht="20.25" customHeight="1" outlineLevel="1">
      <c r="A847" s="12">
        <v>45981.0</v>
      </c>
      <c r="B847" s="13" t="s">
        <v>16</v>
      </c>
      <c r="C847" s="42" t="s">
        <v>805</v>
      </c>
      <c r="D847" s="23"/>
      <c r="E847" s="21">
        <f t="shared" si="1"/>
        <v>12719.17</v>
      </c>
      <c r="F847" s="23"/>
      <c r="G847" s="21">
        <f t="shared" si="2"/>
        <v>493352.07</v>
      </c>
      <c r="H847" s="23"/>
      <c r="I847" s="21">
        <f t="shared" si="6"/>
        <v>31.04</v>
      </c>
      <c r="J847" s="23">
        <v>80.0</v>
      </c>
      <c r="K847" s="21">
        <f t="shared" si="4"/>
        <v>333523.82</v>
      </c>
      <c r="L847" s="23"/>
      <c r="M847" s="21">
        <f t="shared" si="7"/>
        <v>2077.38</v>
      </c>
    </row>
    <row r="848" ht="20.25" customHeight="1" outlineLevel="1">
      <c r="A848" s="12">
        <v>45981.0</v>
      </c>
      <c r="B848" s="13" t="s">
        <v>16</v>
      </c>
      <c r="C848" s="28" t="s">
        <v>806</v>
      </c>
      <c r="D848" s="23">
        <v>70.0</v>
      </c>
      <c r="E848" s="21">
        <f t="shared" si="1"/>
        <v>12789.17</v>
      </c>
      <c r="F848" s="23"/>
      <c r="G848" s="21">
        <f t="shared" si="2"/>
        <v>493352.07</v>
      </c>
      <c r="H848" s="23"/>
      <c r="I848" s="21">
        <f t="shared" si="6"/>
        <v>31.04</v>
      </c>
      <c r="J848" s="23"/>
      <c r="K848" s="21">
        <f t="shared" si="4"/>
        <v>333523.82</v>
      </c>
      <c r="L848" s="23"/>
      <c r="M848" s="21">
        <f t="shared" si="7"/>
        <v>2077.38</v>
      </c>
    </row>
    <row r="849" ht="20.25" customHeight="1" outlineLevel="1">
      <c r="A849" s="12">
        <v>45981.0</v>
      </c>
      <c r="B849" s="13" t="s">
        <v>14</v>
      </c>
      <c r="C849" s="28" t="s">
        <v>807</v>
      </c>
      <c r="D849" s="23"/>
      <c r="E849" s="21">
        <f t="shared" si="1"/>
        <v>12789.17</v>
      </c>
      <c r="F849" s="23"/>
      <c r="G849" s="21">
        <f t="shared" si="2"/>
        <v>493352.07</v>
      </c>
      <c r="H849" s="22">
        <v>-7.78</v>
      </c>
      <c r="I849" s="21">
        <f t="shared" si="6"/>
        <v>23.26</v>
      </c>
      <c r="J849" s="23"/>
      <c r="K849" s="21">
        <f t="shared" si="4"/>
        <v>333523.82</v>
      </c>
      <c r="L849" s="23"/>
      <c r="M849" s="21">
        <f t="shared" si="7"/>
        <v>2077.38</v>
      </c>
    </row>
    <row r="850" ht="20.25" customHeight="1" outlineLevel="1">
      <c r="A850" s="12">
        <v>45982.0</v>
      </c>
      <c r="B850" s="13" t="s">
        <v>14</v>
      </c>
      <c r="C850" s="42" t="s">
        <v>34</v>
      </c>
      <c r="D850" s="23"/>
      <c r="E850" s="21">
        <f t="shared" si="1"/>
        <v>12789.17</v>
      </c>
      <c r="F850" s="23"/>
      <c r="G850" s="21">
        <f t="shared" si="2"/>
        <v>493352.07</v>
      </c>
      <c r="H850" s="23"/>
      <c r="I850" s="21">
        <f t="shared" si="6"/>
        <v>23.26</v>
      </c>
      <c r="J850" s="22">
        <v>-41.39</v>
      </c>
      <c r="K850" s="21">
        <f t="shared" si="4"/>
        <v>333482.43</v>
      </c>
      <c r="L850" s="23"/>
      <c r="M850" s="21">
        <f t="shared" si="7"/>
        <v>2077.38</v>
      </c>
    </row>
    <row r="851" ht="20.25" customHeight="1" outlineLevel="1">
      <c r="A851" s="12">
        <v>45982.0</v>
      </c>
      <c r="B851" s="13" t="s">
        <v>12</v>
      </c>
      <c r="C851" s="28" t="s">
        <v>808</v>
      </c>
      <c r="D851" s="23"/>
      <c r="E851" s="21">
        <f t="shared" si="1"/>
        <v>12789.17</v>
      </c>
      <c r="F851" s="22">
        <v>-2268.74</v>
      </c>
      <c r="G851" s="21">
        <f t="shared" si="2"/>
        <v>491083.33</v>
      </c>
      <c r="H851" s="23"/>
      <c r="I851" s="21">
        <f t="shared" si="6"/>
        <v>23.26</v>
      </c>
      <c r="J851" s="23"/>
      <c r="K851" s="21">
        <f t="shared" si="4"/>
        <v>333482.43</v>
      </c>
      <c r="L851" s="23"/>
      <c r="M851" s="21">
        <f t="shared" si="7"/>
        <v>2077.38</v>
      </c>
    </row>
    <row r="852" ht="20.25" customHeight="1" outlineLevel="1">
      <c r="A852" s="12">
        <v>45982.0</v>
      </c>
      <c r="B852" s="13" t="s">
        <v>16</v>
      </c>
      <c r="C852" s="28" t="s">
        <v>809</v>
      </c>
      <c r="D852" s="23"/>
      <c r="E852" s="21">
        <f t="shared" si="1"/>
        <v>12789.17</v>
      </c>
      <c r="F852" s="27">
        <v>1199.47</v>
      </c>
      <c r="G852" s="21">
        <f t="shared" si="2"/>
        <v>492282.8</v>
      </c>
      <c r="H852" s="23"/>
      <c r="I852" s="21">
        <f t="shared" si="6"/>
        <v>23.26</v>
      </c>
      <c r="J852" s="23"/>
      <c r="K852" s="21">
        <f t="shared" si="4"/>
        <v>333482.43</v>
      </c>
      <c r="L852" s="23"/>
      <c r="M852" s="21">
        <f t="shared" si="7"/>
        <v>2077.38</v>
      </c>
    </row>
    <row r="853" ht="20.25" customHeight="1" outlineLevel="1">
      <c r="A853" s="12">
        <v>45982.0</v>
      </c>
      <c r="B853" s="13" t="s">
        <v>16</v>
      </c>
      <c r="C853" s="28" t="s">
        <v>810</v>
      </c>
      <c r="D853" s="23"/>
      <c r="E853" s="21">
        <f t="shared" si="1"/>
        <v>12789.17</v>
      </c>
      <c r="F853" s="27">
        <v>230.0</v>
      </c>
      <c r="G853" s="21">
        <f t="shared" si="2"/>
        <v>492512.8</v>
      </c>
      <c r="H853" s="23"/>
      <c r="I853" s="21">
        <f t="shared" si="6"/>
        <v>23.26</v>
      </c>
      <c r="J853" s="23"/>
      <c r="K853" s="21">
        <f t="shared" si="4"/>
        <v>333482.43</v>
      </c>
      <c r="L853" s="23"/>
      <c r="M853" s="21">
        <f t="shared" si="7"/>
        <v>2077.38</v>
      </c>
    </row>
    <row r="854" ht="20.25" customHeight="1" outlineLevel="1">
      <c r="A854" s="12">
        <v>45982.0</v>
      </c>
      <c r="B854" s="13" t="s">
        <v>16</v>
      </c>
      <c r="C854" s="28" t="s">
        <v>811</v>
      </c>
      <c r="D854" s="23"/>
      <c r="E854" s="21">
        <f t="shared" si="1"/>
        <v>12789.17</v>
      </c>
      <c r="F854" s="27">
        <v>580.0</v>
      </c>
      <c r="G854" s="21">
        <f t="shared" si="2"/>
        <v>493092.8</v>
      </c>
      <c r="H854" s="23"/>
      <c r="I854" s="21">
        <f t="shared" si="6"/>
        <v>23.26</v>
      </c>
      <c r="J854" s="23"/>
      <c r="K854" s="21">
        <f t="shared" si="4"/>
        <v>333482.43</v>
      </c>
      <c r="L854" s="23"/>
      <c r="M854" s="21">
        <f t="shared" si="7"/>
        <v>2077.38</v>
      </c>
    </row>
    <row r="855" ht="20.25" customHeight="1" outlineLevel="1">
      <c r="A855" s="12">
        <v>45982.0</v>
      </c>
      <c r="B855" s="13" t="s">
        <v>16</v>
      </c>
      <c r="C855" s="28" t="s">
        <v>812</v>
      </c>
      <c r="D855" s="23"/>
      <c r="E855" s="21">
        <f t="shared" si="1"/>
        <v>12789.17</v>
      </c>
      <c r="F855" s="26">
        <v>300.0</v>
      </c>
      <c r="G855" s="21">
        <f t="shared" si="2"/>
        <v>493392.8</v>
      </c>
      <c r="H855" s="23"/>
      <c r="I855" s="21">
        <f t="shared" si="6"/>
        <v>23.26</v>
      </c>
      <c r="J855" s="23"/>
      <c r="K855" s="21">
        <f t="shared" si="4"/>
        <v>333482.43</v>
      </c>
      <c r="L855" s="23"/>
      <c r="M855" s="21">
        <f t="shared" si="7"/>
        <v>2077.38</v>
      </c>
    </row>
    <row r="856" ht="20.25" customHeight="1" outlineLevel="1">
      <c r="A856" s="12">
        <v>45982.0</v>
      </c>
      <c r="B856" s="13" t="s">
        <v>63</v>
      </c>
      <c r="C856" s="69" t="s">
        <v>813</v>
      </c>
      <c r="D856" s="23"/>
      <c r="E856" s="21">
        <f t="shared" si="1"/>
        <v>12789.17</v>
      </c>
      <c r="F856" s="51">
        <v>912.0</v>
      </c>
      <c r="G856" s="21">
        <f t="shared" si="2"/>
        <v>494304.8</v>
      </c>
      <c r="H856" s="23"/>
      <c r="I856" s="21">
        <f t="shared" si="6"/>
        <v>23.26</v>
      </c>
      <c r="J856" s="23"/>
      <c r="K856" s="21">
        <f t="shared" si="4"/>
        <v>333482.43</v>
      </c>
      <c r="L856" s="23"/>
      <c r="M856" s="21">
        <f t="shared" si="7"/>
        <v>2077.38</v>
      </c>
    </row>
    <row r="857" ht="20.25" customHeight="1" outlineLevel="1">
      <c r="A857" s="12">
        <v>45982.0</v>
      </c>
      <c r="B857" s="13" t="s">
        <v>16</v>
      </c>
      <c r="C857" s="28" t="s">
        <v>814</v>
      </c>
      <c r="D857" s="23"/>
      <c r="E857" s="21">
        <f t="shared" si="1"/>
        <v>12789.17</v>
      </c>
      <c r="F857" s="27">
        <v>169.2</v>
      </c>
      <c r="G857" s="21">
        <f t="shared" si="2"/>
        <v>494474</v>
      </c>
      <c r="H857" s="23"/>
      <c r="I857" s="21">
        <f t="shared" si="6"/>
        <v>23.26</v>
      </c>
      <c r="J857" s="23"/>
      <c r="K857" s="21">
        <f t="shared" si="4"/>
        <v>333482.43</v>
      </c>
      <c r="L857" s="23"/>
      <c r="M857" s="21">
        <f t="shared" si="7"/>
        <v>2077.38</v>
      </c>
    </row>
    <row r="858" ht="20.25" customHeight="1" outlineLevel="1">
      <c r="A858" s="12">
        <v>45982.0</v>
      </c>
      <c r="B858" s="13" t="s">
        <v>16</v>
      </c>
      <c r="C858" s="28" t="s">
        <v>815</v>
      </c>
      <c r="D858" s="23">
        <v>787.0</v>
      </c>
      <c r="E858" s="21">
        <f t="shared" si="1"/>
        <v>13576.17</v>
      </c>
      <c r="F858" s="23"/>
      <c r="G858" s="21">
        <f t="shared" si="2"/>
        <v>494474</v>
      </c>
      <c r="H858" s="23"/>
      <c r="I858" s="21">
        <f t="shared" si="6"/>
        <v>23.26</v>
      </c>
      <c r="J858" s="23"/>
      <c r="K858" s="21">
        <f t="shared" si="4"/>
        <v>333482.43</v>
      </c>
      <c r="L858" s="23"/>
      <c r="M858" s="21">
        <f t="shared" si="7"/>
        <v>2077.38</v>
      </c>
    </row>
    <row r="859" ht="20.25" customHeight="1" outlineLevel="1">
      <c r="A859" s="12">
        <v>45982.0</v>
      </c>
      <c r="B859" s="13" t="s">
        <v>14</v>
      </c>
      <c r="C859" s="28" t="s">
        <v>816</v>
      </c>
      <c r="D859" s="23"/>
      <c r="E859" s="21">
        <f t="shared" si="1"/>
        <v>13576.17</v>
      </c>
      <c r="F859" s="23"/>
      <c r="G859" s="21">
        <f t="shared" si="2"/>
        <v>494474</v>
      </c>
      <c r="H859" s="22">
        <v>-12.7</v>
      </c>
      <c r="I859" s="21">
        <f t="shared" si="6"/>
        <v>10.56</v>
      </c>
      <c r="J859" s="23"/>
      <c r="K859" s="21">
        <f t="shared" si="4"/>
        <v>333482.43</v>
      </c>
      <c r="L859" s="23"/>
      <c r="M859" s="21">
        <f t="shared" si="7"/>
        <v>2077.38</v>
      </c>
    </row>
    <row r="860" ht="20.25" customHeight="1" outlineLevel="1">
      <c r="A860" s="12">
        <v>45982.0</v>
      </c>
      <c r="B860" s="13" t="s">
        <v>14</v>
      </c>
      <c r="C860" s="28" t="s">
        <v>817</v>
      </c>
      <c r="D860" s="23"/>
      <c r="E860" s="21">
        <f t="shared" si="1"/>
        <v>13576.17</v>
      </c>
      <c r="F860" s="23"/>
      <c r="G860" s="21">
        <f t="shared" si="2"/>
        <v>494474</v>
      </c>
      <c r="H860" s="22">
        <v>-114.44</v>
      </c>
      <c r="I860" s="21">
        <f t="shared" si="6"/>
        <v>-103.88</v>
      </c>
      <c r="J860" s="23"/>
      <c r="K860" s="21">
        <f t="shared" si="4"/>
        <v>333482.43</v>
      </c>
      <c r="L860" s="23"/>
      <c r="M860" s="21">
        <f t="shared" si="7"/>
        <v>2077.38</v>
      </c>
    </row>
    <row r="861" ht="20.25" customHeight="1" outlineLevel="1">
      <c r="A861" s="12">
        <v>45983.0</v>
      </c>
      <c r="B861" s="13" t="s">
        <v>16</v>
      </c>
      <c r="C861" s="28" t="s">
        <v>818</v>
      </c>
      <c r="D861" s="23">
        <v>25.0</v>
      </c>
      <c r="E861" s="21">
        <f t="shared" si="1"/>
        <v>13601.17</v>
      </c>
      <c r="F861" s="23"/>
      <c r="G861" s="21">
        <f t="shared" si="2"/>
        <v>494474</v>
      </c>
      <c r="H861" s="23"/>
      <c r="I861" s="21">
        <f t="shared" si="6"/>
        <v>-103.88</v>
      </c>
      <c r="J861" s="23"/>
      <c r="K861" s="21">
        <f t="shared" si="4"/>
        <v>333482.43</v>
      </c>
      <c r="L861" s="23"/>
      <c r="M861" s="21">
        <f t="shared" si="7"/>
        <v>2077.38</v>
      </c>
    </row>
    <row r="862" ht="20.25" customHeight="1" outlineLevel="1">
      <c r="A862" s="12">
        <v>45985.0</v>
      </c>
      <c r="B862" s="13" t="s">
        <v>14</v>
      </c>
      <c r="C862" s="28" t="s">
        <v>34</v>
      </c>
      <c r="D862" s="23"/>
      <c r="E862" s="21">
        <f t="shared" si="1"/>
        <v>13601.17</v>
      </c>
      <c r="F862" s="23"/>
      <c r="G862" s="21">
        <f t="shared" si="2"/>
        <v>494474</v>
      </c>
      <c r="H862" s="23"/>
      <c r="I862" s="21">
        <f t="shared" si="6"/>
        <v>-103.88</v>
      </c>
      <c r="J862" s="22">
        <v>-24.26</v>
      </c>
      <c r="K862" s="21">
        <f t="shared" si="4"/>
        <v>333458.17</v>
      </c>
      <c r="L862" s="23"/>
      <c r="M862" s="21">
        <f t="shared" si="7"/>
        <v>2077.38</v>
      </c>
    </row>
    <row r="863" ht="20.25" customHeight="1" outlineLevel="1">
      <c r="A863" s="12">
        <v>45985.0</v>
      </c>
      <c r="B863" s="13" t="s">
        <v>16</v>
      </c>
      <c r="C863" s="85" t="s">
        <v>819</v>
      </c>
      <c r="D863" s="20">
        <v>165.0</v>
      </c>
      <c r="E863" s="21">
        <f t="shared" si="1"/>
        <v>13766.17</v>
      </c>
      <c r="F863" s="23"/>
      <c r="G863" s="21">
        <f t="shared" si="2"/>
        <v>494474</v>
      </c>
      <c r="H863" s="23"/>
      <c r="I863" s="21">
        <f t="shared" si="6"/>
        <v>-103.88</v>
      </c>
      <c r="J863" s="23"/>
      <c r="K863" s="21">
        <f t="shared" si="4"/>
        <v>333458.17</v>
      </c>
      <c r="L863" s="23"/>
      <c r="M863" s="21">
        <f t="shared" si="7"/>
        <v>2077.38</v>
      </c>
    </row>
    <row r="864" ht="20.25" customHeight="1" outlineLevel="1">
      <c r="A864" s="12">
        <v>45985.0</v>
      </c>
      <c r="B864" s="13" t="s">
        <v>70</v>
      </c>
      <c r="C864" s="44" t="s">
        <v>820</v>
      </c>
      <c r="D864" s="20"/>
      <c r="E864" s="21">
        <f t="shared" si="1"/>
        <v>13766.17</v>
      </c>
      <c r="F864" s="22">
        <v>-10008.0</v>
      </c>
      <c r="G864" s="21">
        <f t="shared" si="2"/>
        <v>484466</v>
      </c>
      <c r="H864" s="23"/>
      <c r="I864" s="21">
        <f t="shared" si="6"/>
        <v>-103.88</v>
      </c>
      <c r="J864" s="23"/>
      <c r="K864" s="21">
        <f t="shared" si="4"/>
        <v>333458.17</v>
      </c>
      <c r="L864" s="23"/>
      <c r="M864" s="21">
        <f t="shared" si="7"/>
        <v>2077.38</v>
      </c>
    </row>
    <row r="865" ht="20.25" customHeight="1" outlineLevel="1">
      <c r="A865" s="12">
        <v>45985.0</v>
      </c>
      <c r="B865" s="13" t="s">
        <v>179</v>
      </c>
      <c r="C865" s="44" t="s">
        <v>821</v>
      </c>
      <c r="D865" s="20"/>
      <c r="E865" s="21">
        <f t="shared" si="1"/>
        <v>13766.17</v>
      </c>
      <c r="F865" s="22">
        <v>-2000.0</v>
      </c>
      <c r="G865" s="21">
        <f t="shared" si="2"/>
        <v>482466</v>
      </c>
      <c r="H865" s="23"/>
      <c r="I865" s="21">
        <f t="shared" si="6"/>
        <v>-103.88</v>
      </c>
      <c r="J865" s="23"/>
      <c r="K865" s="21">
        <f t="shared" si="4"/>
        <v>333458.17</v>
      </c>
      <c r="L865" s="23"/>
      <c r="M865" s="21">
        <f t="shared" si="7"/>
        <v>2077.38</v>
      </c>
    </row>
    <row r="866" ht="20.25" customHeight="1" outlineLevel="1">
      <c r="A866" s="12">
        <v>45985.0</v>
      </c>
      <c r="B866" s="13" t="s">
        <v>16</v>
      </c>
      <c r="C866" s="44" t="s">
        <v>822</v>
      </c>
      <c r="D866" s="20"/>
      <c r="E866" s="21">
        <f t="shared" si="1"/>
        <v>13766.17</v>
      </c>
      <c r="F866" s="27">
        <v>1050.5</v>
      </c>
      <c r="G866" s="21">
        <f t="shared" si="2"/>
        <v>483516.5</v>
      </c>
      <c r="H866" s="23"/>
      <c r="I866" s="21">
        <f t="shared" si="6"/>
        <v>-103.88</v>
      </c>
      <c r="J866" s="23"/>
      <c r="K866" s="21">
        <f t="shared" si="4"/>
        <v>333458.17</v>
      </c>
      <c r="L866" s="23"/>
      <c r="M866" s="21">
        <f t="shared" si="7"/>
        <v>2077.38</v>
      </c>
    </row>
    <row r="867" ht="20.25" customHeight="1" outlineLevel="1">
      <c r="A867" s="12">
        <v>45985.0</v>
      </c>
      <c r="B867" s="13" t="s">
        <v>16</v>
      </c>
      <c r="C867" s="44" t="s">
        <v>823</v>
      </c>
      <c r="D867" s="20"/>
      <c r="E867" s="21">
        <f t="shared" si="1"/>
        <v>13766.17</v>
      </c>
      <c r="F867" s="26">
        <v>358.5</v>
      </c>
      <c r="G867" s="21">
        <f t="shared" si="2"/>
        <v>483875</v>
      </c>
      <c r="H867" s="23"/>
      <c r="I867" s="21">
        <f t="shared" si="6"/>
        <v>-103.88</v>
      </c>
      <c r="J867" s="23"/>
      <c r="K867" s="21">
        <f t="shared" si="4"/>
        <v>333458.17</v>
      </c>
      <c r="L867" s="23"/>
      <c r="M867" s="21">
        <f t="shared" si="7"/>
        <v>2077.38</v>
      </c>
    </row>
    <row r="868" ht="20.25" customHeight="1" outlineLevel="1">
      <c r="A868" s="12">
        <v>45985.0</v>
      </c>
      <c r="B868" s="13" t="s">
        <v>16</v>
      </c>
      <c r="C868" s="28" t="s">
        <v>824</v>
      </c>
      <c r="D868" s="20"/>
      <c r="E868" s="21">
        <f t="shared" si="1"/>
        <v>13766.17</v>
      </c>
      <c r="F868" s="27">
        <v>234.0</v>
      </c>
      <c r="G868" s="21">
        <f t="shared" si="2"/>
        <v>484109</v>
      </c>
      <c r="H868" s="23"/>
      <c r="I868" s="21">
        <f t="shared" si="6"/>
        <v>-103.88</v>
      </c>
      <c r="J868" s="23"/>
      <c r="K868" s="21">
        <f t="shared" si="4"/>
        <v>333458.17</v>
      </c>
      <c r="L868" s="23"/>
      <c r="M868" s="21">
        <f t="shared" si="7"/>
        <v>2077.38</v>
      </c>
    </row>
    <row r="869" ht="20.25" customHeight="1" outlineLevel="1">
      <c r="A869" s="12">
        <v>45985.0</v>
      </c>
      <c r="B869" s="13" t="s">
        <v>16</v>
      </c>
      <c r="C869" s="28" t="s">
        <v>825</v>
      </c>
      <c r="D869" s="20"/>
      <c r="E869" s="21">
        <f t="shared" si="1"/>
        <v>13766.17</v>
      </c>
      <c r="F869" s="26">
        <v>20.0</v>
      </c>
      <c r="G869" s="21">
        <f t="shared" si="2"/>
        <v>484129</v>
      </c>
      <c r="H869" s="23"/>
      <c r="I869" s="21">
        <f t="shared" si="6"/>
        <v>-103.88</v>
      </c>
      <c r="J869" s="23"/>
      <c r="K869" s="21">
        <f t="shared" si="4"/>
        <v>333458.17</v>
      </c>
      <c r="L869" s="23"/>
      <c r="M869" s="21">
        <f t="shared" si="7"/>
        <v>2077.38</v>
      </c>
    </row>
    <row r="870" ht="20.25" customHeight="1" outlineLevel="1">
      <c r="A870" s="12">
        <v>45985.0</v>
      </c>
      <c r="B870" s="13" t="s">
        <v>16</v>
      </c>
      <c r="C870" s="28" t="s">
        <v>826</v>
      </c>
      <c r="D870" s="20"/>
      <c r="E870" s="21">
        <f t="shared" si="1"/>
        <v>13766.17</v>
      </c>
      <c r="F870" s="27">
        <v>1218.0</v>
      </c>
      <c r="G870" s="21">
        <f t="shared" si="2"/>
        <v>485347</v>
      </c>
      <c r="H870" s="23"/>
      <c r="I870" s="21">
        <f t="shared" si="6"/>
        <v>-103.88</v>
      </c>
      <c r="J870" s="23"/>
      <c r="K870" s="21">
        <f t="shared" si="4"/>
        <v>333458.17</v>
      </c>
      <c r="L870" s="23"/>
      <c r="M870" s="21">
        <f t="shared" si="7"/>
        <v>2077.38</v>
      </c>
    </row>
    <row r="871" ht="20.25" customHeight="1" outlineLevel="1">
      <c r="A871" s="12">
        <v>45985.0</v>
      </c>
      <c r="B871" s="13" t="s">
        <v>16</v>
      </c>
      <c r="C871" s="28" t="s">
        <v>827</v>
      </c>
      <c r="D871" s="20"/>
      <c r="E871" s="21">
        <f t="shared" si="1"/>
        <v>13766.17</v>
      </c>
      <c r="F871" s="27">
        <v>175.0</v>
      </c>
      <c r="G871" s="21">
        <f t="shared" si="2"/>
        <v>485522</v>
      </c>
      <c r="H871" s="23"/>
      <c r="I871" s="21">
        <f t="shared" si="6"/>
        <v>-103.88</v>
      </c>
      <c r="J871" s="23"/>
      <c r="K871" s="21">
        <f t="shared" si="4"/>
        <v>333458.17</v>
      </c>
      <c r="L871" s="23"/>
      <c r="M871" s="21">
        <f t="shared" si="7"/>
        <v>2077.38</v>
      </c>
    </row>
    <row r="872" ht="20.25" customHeight="1" outlineLevel="1">
      <c r="A872" s="12">
        <v>45985.0</v>
      </c>
      <c r="B872" s="13" t="s">
        <v>16</v>
      </c>
      <c r="C872" s="59" t="s">
        <v>828</v>
      </c>
      <c r="D872" s="20"/>
      <c r="E872" s="21">
        <f t="shared" si="1"/>
        <v>13766.17</v>
      </c>
      <c r="F872" s="26">
        <v>50.0</v>
      </c>
      <c r="G872" s="21">
        <f t="shared" si="2"/>
        <v>485572</v>
      </c>
      <c r="H872" s="23"/>
      <c r="I872" s="21">
        <f t="shared" si="6"/>
        <v>-103.88</v>
      </c>
      <c r="J872" s="23"/>
      <c r="K872" s="21">
        <f t="shared" si="4"/>
        <v>333458.17</v>
      </c>
      <c r="L872" s="23"/>
      <c r="M872" s="21">
        <f t="shared" si="7"/>
        <v>2077.38</v>
      </c>
    </row>
    <row r="873" ht="20.25" customHeight="1" outlineLevel="1">
      <c r="A873" s="12">
        <v>45985.0</v>
      </c>
      <c r="B873" s="13" t="s">
        <v>16</v>
      </c>
      <c r="C873" s="59" t="s">
        <v>829</v>
      </c>
      <c r="D873" s="20"/>
      <c r="E873" s="21">
        <f t="shared" si="1"/>
        <v>13766.17</v>
      </c>
      <c r="F873" s="23"/>
      <c r="G873" s="21">
        <f t="shared" si="2"/>
        <v>485572</v>
      </c>
      <c r="H873" s="23"/>
      <c r="I873" s="21">
        <f t="shared" si="6"/>
        <v>-103.88</v>
      </c>
      <c r="J873" s="23">
        <v>480.5</v>
      </c>
      <c r="K873" s="21">
        <f t="shared" si="4"/>
        <v>333938.67</v>
      </c>
      <c r="L873" s="23"/>
      <c r="M873" s="21">
        <f t="shared" si="7"/>
        <v>2077.38</v>
      </c>
    </row>
    <row r="874" ht="20.25" customHeight="1" outlineLevel="1">
      <c r="A874" s="12">
        <v>45985.0</v>
      </c>
      <c r="B874" s="13" t="s">
        <v>16</v>
      </c>
      <c r="C874" s="59" t="s">
        <v>830</v>
      </c>
      <c r="D874" s="20"/>
      <c r="E874" s="21">
        <f t="shared" si="1"/>
        <v>13766.17</v>
      </c>
      <c r="F874" s="23"/>
      <c r="G874" s="21">
        <f t="shared" si="2"/>
        <v>485572</v>
      </c>
      <c r="H874" s="23"/>
      <c r="I874" s="21">
        <f t="shared" si="6"/>
        <v>-103.88</v>
      </c>
      <c r="J874" s="23">
        <v>404.0</v>
      </c>
      <c r="K874" s="21">
        <f t="shared" si="4"/>
        <v>334342.67</v>
      </c>
      <c r="L874" s="23"/>
      <c r="M874" s="21">
        <f t="shared" si="7"/>
        <v>2077.38</v>
      </c>
    </row>
    <row r="875" ht="20.25" customHeight="1" outlineLevel="1">
      <c r="A875" s="12">
        <v>45985.0</v>
      </c>
      <c r="B875" s="13" t="s">
        <v>16</v>
      </c>
      <c r="C875" s="59" t="s">
        <v>831</v>
      </c>
      <c r="D875" s="20"/>
      <c r="E875" s="21">
        <f t="shared" si="1"/>
        <v>13766.17</v>
      </c>
      <c r="F875" s="23"/>
      <c r="G875" s="21">
        <f t="shared" si="2"/>
        <v>485572</v>
      </c>
      <c r="H875" s="23"/>
      <c r="I875" s="21">
        <f t="shared" si="6"/>
        <v>-103.88</v>
      </c>
      <c r="J875" s="23">
        <v>50.0</v>
      </c>
      <c r="K875" s="21">
        <f t="shared" si="4"/>
        <v>334392.67</v>
      </c>
      <c r="L875" s="23"/>
      <c r="M875" s="21">
        <f t="shared" si="7"/>
        <v>2077.38</v>
      </c>
    </row>
    <row r="876" ht="20.25" customHeight="1" outlineLevel="1">
      <c r="A876" s="12">
        <v>45985.0</v>
      </c>
      <c r="B876" s="13" t="s">
        <v>16</v>
      </c>
      <c r="C876" s="59" t="s">
        <v>832</v>
      </c>
      <c r="D876" s="20"/>
      <c r="E876" s="21">
        <f t="shared" si="1"/>
        <v>13766.17</v>
      </c>
      <c r="F876" s="23"/>
      <c r="G876" s="21">
        <f t="shared" si="2"/>
        <v>485572</v>
      </c>
      <c r="H876" s="23"/>
      <c r="I876" s="21">
        <f t="shared" si="6"/>
        <v>-103.88</v>
      </c>
      <c r="J876" s="23">
        <v>850.0</v>
      </c>
      <c r="K876" s="21">
        <f t="shared" si="4"/>
        <v>335242.67</v>
      </c>
      <c r="L876" s="23"/>
      <c r="M876" s="21">
        <f t="shared" si="7"/>
        <v>2077.38</v>
      </c>
    </row>
    <row r="877" ht="20.25" customHeight="1" outlineLevel="1">
      <c r="A877" s="12">
        <v>45986.0</v>
      </c>
      <c r="B877" s="13" t="s">
        <v>179</v>
      </c>
      <c r="C877" s="200" t="s">
        <v>288</v>
      </c>
      <c r="D877" s="73">
        <v>-4000.0</v>
      </c>
      <c r="E877" s="21">
        <f t="shared" si="1"/>
        <v>9766.17</v>
      </c>
      <c r="F877" s="23"/>
      <c r="G877" s="21">
        <f t="shared" si="2"/>
        <v>485572</v>
      </c>
      <c r="H877" s="23"/>
      <c r="I877" s="21">
        <f t="shared" si="6"/>
        <v>-103.88</v>
      </c>
      <c r="J877" s="23"/>
      <c r="K877" s="21">
        <f t="shared" si="4"/>
        <v>335242.67</v>
      </c>
      <c r="L877" s="23"/>
      <c r="M877" s="21">
        <f t="shared" si="7"/>
        <v>2077.38</v>
      </c>
    </row>
    <row r="878" ht="20.25" customHeight="1" outlineLevel="1">
      <c r="A878" s="12">
        <v>45986.0</v>
      </c>
      <c r="B878" s="13" t="s">
        <v>368</v>
      </c>
      <c r="C878" s="200" t="s">
        <v>833</v>
      </c>
      <c r="D878" s="20"/>
      <c r="E878" s="21">
        <f t="shared" si="1"/>
        <v>9766.17</v>
      </c>
      <c r="F878" s="22">
        <v>-434.4</v>
      </c>
      <c r="G878" s="21">
        <f t="shared" si="2"/>
        <v>485137.6</v>
      </c>
      <c r="H878" s="23"/>
      <c r="I878" s="21">
        <f t="shared" si="6"/>
        <v>-103.88</v>
      </c>
      <c r="J878" s="23"/>
      <c r="K878" s="21">
        <f t="shared" si="4"/>
        <v>335242.67</v>
      </c>
      <c r="L878" s="23"/>
      <c r="M878" s="21">
        <f t="shared" si="7"/>
        <v>2077.38</v>
      </c>
    </row>
    <row r="879" ht="20.25" customHeight="1" outlineLevel="1">
      <c r="A879" s="12">
        <v>45986.0</v>
      </c>
      <c r="B879" s="13" t="s">
        <v>16</v>
      </c>
      <c r="C879" s="59" t="s">
        <v>834</v>
      </c>
      <c r="D879" s="20"/>
      <c r="E879" s="21">
        <f t="shared" si="1"/>
        <v>9766.17</v>
      </c>
      <c r="F879" s="23">
        <v>615.0</v>
      </c>
      <c r="G879" s="21">
        <f t="shared" si="2"/>
        <v>485752.6</v>
      </c>
      <c r="H879" s="23"/>
      <c r="I879" s="21">
        <f t="shared" si="6"/>
        <v>-103.88</v>
      </c>
      <c r="J879" s="23"/>
      <c r="K879" s="21">
        <f t="shared" si="4"/>
        <v>335242.67</v>
      </c>
      <c r="L879" s="23"/>
      <c r="M879" s="21">
        <f t="shared" si="7"/>
        <v>2077.38</v>
      </c>
    </row>
    <row r="880" ht="20.25" customHeight="1" outlineLevel="1">
      <c r="A880" s="12">
        <v>45986.0</v>
      </c>
      <c r="B880" s="13" t="s">
        <v>16</v>
      </c>
      <c r="C880" s="59" t="s">
        <v>835</v>
      </c>
      <c r="D880" s="20"/>
      <c r="E880" s="21">
        <f t="shared" si="1"/>
        <v>9766.17</v>
      </c>
      <c r="F880" s="23">
        <v>181.0</v>
      </c>
      <c r="G880" s="21">
        <f t="shared" si="2"/>
        <v>485933.6</v>
      </c>
      <c r="H880" s="23"/>
      <c r="I880" s="21">
        <f t="shared" si="6"/>
        <v>-103.88</v>
      </c>
      <c r="J880" s="23"/>
      <c r="K880" s="21">
        <f t="shared" si="4"/>
        <v>335242.67</v>
      </c>
      <c r="L880" s="23"/>
      <c r="M880" s="21">
        <f t="shared" si="7"/>
        <v>2077.38</v>
      </c>
    </row>
    <row r="881" ht="20.25" customHeight="1" outlineLevel="1">
      <c r="A881" s="12">
        <v>45986.0</v>
      </c>
      <c r="B881" s="13" t="s">
        <v>16</v>
      </c>
      <c r="C881" s="25" t="s">
        <v>836</v>
      </c>
      <c r="D881" s="20"/>
      <c r="E881" s="21">
        <f t="shared" si="1"/>
        <v>9766.17</v>
      </c>
      <c r="F881" s="23">
        <v>245.0</v>
      </c>
      <c r="G881" s="21">
        <f t="shared" si="2"/>
        <v>486178.6</v>
      </c>
      <c r="H881" s="23"/>
      <c r="I881" s="21">
        <f t="shared" si="6"/>
        <v>-103.88</v>
      </c>
      <c r="J881" s="23"/>
      <c r="K881" s="21">
        <f t="shared" si="4"/>
        <v>335242.67</v>
      </c>
      <c r="L881" s="23"/>
      <c r="M881" s="21">
        <f t="shared" si="7"/>
        <v>2077.38</v>
      </c>
    </row>
    <row r="882" ht="20.25" customHeight="1" outlineLevel="1">
      <c r="A882" s="12">
        <v>45986.0</v>
      </c>
      <c r="B882" s="13" t="s">
        <v>63</v>
      </c>
      <c r="C882" s="201" t="s">
        <v>837</v>
      </c>
      <c r="D882" s="20"/>
      <c r="E882" s="21">
        <f t="shared" si="1"/>
        <v>9766.17</v>
      </c>
      <c r="F882" s="51">
        <v>244.0</v>
      </c>
      <c r="G882" s="21">
        <f t="shared" si="2"/>
        <v>486422.6</v>
      </c>
      <c r="H882" s="23"/>
      <c r="I882" s="21">
        <f t="shared" si="6"/>
        <v>-103.88</v>
      </c>
      <c r="J882" s="23"/>
      <c r="K882" s="21">
        <f t="shared" si="4"/>
        <v>335242.67</v>
      </c>
      <c r="L882" s="23"/>
      <c r="M882" s="21">
        <f t="shared" si="7"/>
        <v>2077.38</v>
      </c>
    </row>
    <row r="883" ht="20.25" customHeight="1" outlineLevel="1">
      <c r="A883" s="12">
        <v>45986.0</v>
      </c>
      <c r="B883" s="13" t="s">
        <v>179</v>
      </c>
      <c r="C883" s="59" t="s">
        <v>482</v>
      </c>
      <c r="D883" s="20"/>
      <c r="E883" s="21">
        <f t="shared" si="1"/>
        <v>9766.17</v>
      </c>
      <c r="F883" s="27">
        <v>4000.0</v>
      </c>
      <c r="G883" s="21">
        <f t="shared" si="2"/>
        <v>490422.6</v>
      </c>
      <c r="H883" s="23"/>
      <c r="I883" s="21">
        <f t="shared" si="6"/>
        <v>-103.88</v>
      </c>
      <c r="J883" s="23"/>
      <c r="K883" s="21">
        <f t="shared" si="4"/>
        <v>335242.67</v>
      </c>
      <c r="L883" s="23"/>
      <c r="M883" s="21">
        <f t="shared" si="7"/>
        <v>2077.38</v>
      </c>
    </row>
    <row r="884" ht="20.25" customHeight="1" outlineLevel="1">
      <c r="A884" s="12">
        <v>45986.0</v>
      </c>
      <c r="B884" s="13" t="s">
        <v>14</v>
      </c>
      <c r="C884" s="59" t="s">
        <v>34</v>
      </c>
      <c r="D884" s="20"/>
      <c r="E884" s="21">
        <f t="shared" si="1"/>
        <v>9766.17</v>
      </c>
      <c r="F884" s="23"/>
      <c r="G884" s="21">
        <f t="shared" si="2"/>
        <v>490422.6</v>
      </c>
      <c r="H884" s="23"/>
      <c r="I884" s="21">
        <f t="shared" si="6"/>
        <v>-103.88</v>
      </c>
      <c r="J884" s="22">
        <v>-44.0</v>
      </c>
      <c r="K884" s="21">
        <f t="shared" si="4"/>
        <v>335198.67</v>
      </c>
      <c r="L884" s="23"/>
      <c r="M884" s="21">
        <f t="shared" si="7"/>
        <v>2077.38</v>
      </c>
    </row>
    <row r="885" ht="20.25" customHeight="1" outlineLevel="1">
      <c r="A885" s="12">
        <v>45986.0</v>
      </c>
      <c r="B885" s="13" t="s">
        <v>14</v>
      </c>
      <c r="C885" s="59" t="s">
        <v>34</v>
      </c>
      <c r="D885" s="20"/>
      <c r="E885" s="21">
        <f t="shared" si="1"/>
        <v>9766.17</v>
      </c>
      <c r="F885" s="23"/>
      <c r="G885" s="21">
        <f t="shared" si="2"/>
        <v>490422.6</v>
      </c>
      <c r="H885" s="23"/>
      <c r="I885" s="21">
        <f t="shared" si="6"/>
        <v>-103.88</v>
      </c>
      <c r="J885" s="22">
        <v>-317.0</v>
      </c>
      <c r="K885" s="21">
        <f t="shared" si="4"/>
        <v>334881.67</v>
      </c>
      <c r="L885" s="23"/>
      <c r="M885" s="21">
        <f t="shared" si="7"/>
        <v>2077.38</v>
      </c>
    </row>
    <row r="886" ht="20.25" customHeight="1" outlineLevel="1">
      <c r="A886" s="12">
        <v>45986.0</v>
      </c>
      <c r="B886" s="13" t="s">
        <v>14</v>
      </c>
      <c r="C886" s="59" t="s">
        <v>34</v>
      </c>
      <c r="D886" s="20"/>
      <c r="E886" s="21">
        <f t="shared" si="1"/>
        <v>9766.17</v>
      </c>
      <c r="F886" s="23"/>
      <c r="G886" s="21">
        <f t="shared" si="2"/>
        <v>490422.6</v>
      </c>
      <c r="H886" s="23"/>
      <c r="I886" s="21">
        <f t="shared" si="6"/>
        <v>-103.88</v>
      </c>
      <c r="J886" s="22">
        <v>-29.0</v>
      </c>
      <c r="K886" s="21">
        <f t="shared" si="4"/>
        <v>334852.67</v>
      </c>
      <c r="L886" s="23"/>
      <c r="M886" s="21">
        <f t="shared" si="7"/>
        <v>2077.38</v>
      </c>
    </row>
    <row r="887" ht="20.25" customHeight="1" outlineLevel="1">
      <c r="A887" s="12">
        <v>45986.0</v>
      </c>
      <c r="B887" s="13" t="s">
        <v>16</v>
      </c>
      <c r="C887" s="28" t="s">
        <v>838</v>
      </c>
      <c r="D887" s="20"/>
      <c r="E887" s="21">
        <f t="shared" si="1"/>
        <v>9766.17</v>
      </c>
      <c r="F887" s="23"/>
      <c r="G887" s="21">
        <f t="shared" si="2"/>
        <v>490422.6</v>
      </c>
      <c r="H887" s="23"/>
      <c r="I887" s="21">
        <f t="shared" si="6"/>
        <v>-103.88</v>
      </c>
      <c r="J887" s="23">
        <v>80.0</v>
      </c>
      <c r="K887" s="21">
        <f t="shared" si="4"/>
        <v>334932.67</v>
      </c>
      <c r="L887" s="23"/>
      <c r="M887" s="21">
        <f t="shared" si="7"/>
        <v>2077.38</v>
      </c>
    </row>
    <row r="888" ht="20.25" customHeight="1" outlineLevel="1">
      <c r="A888" s="12">
        <v>45986.0</v>
      </c>
      <c r="B888" s="13" t="s">
        <v>16</v>
      </c>
      <c r="C888" s="28" t="s">
        <v>839</v>
      </c>
      <c r="D888" s="23"/>
      <c r="E888" s="21">
        <f t="shared" si="1"/>
        <v>9766.17</v>
      </c>
      <c r="F888" s="23"/>
      <c r="G888" s="21">
        <f t="shared" si="2"/>
        <v>490422.6</v>
      </c>
      <c r="H888" s="23"/>
      <c r="I888" s="21">
        <f t="shared" si="6"/>
        <v>-103.88</v>
      </c>
      <c r="J888" s="23">
        <v>285.5</v>
      </c>
      <c r="K888" s="21">
        <f t="shared" si="4"/>
        <v>335218.17</v>
      </c>
      <c r="L888" s="23"/>
      <c r="M888" s="21">
        <f t="shared" si="7"/>
        <v>2077.38</v>
      </c>
    </row>
    <row r="889" ht="20.25" customHeight="1" outlineLevel="1">
      <c r="A889" s="12">
        <v>45986.0</v>
      </c>
      <c r="B889" s="13" t="s">
        <v>16</v>
      </c>
      <c r="C889" s="28" t="s">
        <v>590</v>
      </c>
      <c r="D889" s="23">
        <v>20.0</v>
      </c>
      <c r="E889" s="21">
        <f t="shared" si="1"/>
        <v>9786.17</v>
      </c>
      <c r="F889" s="23"/>
      <c r="G889" s="21">
        <f t="shared" si="2"/>
        <v>490422.6</v>
      </c>
      <c r="H889" s="23"/>
      <c r="I889" s="21">
        <f t="shared" si="6"/>
        <v>-103.88</v>
      </c>
      <c r="J889" s="23"/>
      <c r="K889" s="21">
        <f t="shared" si="4"/>
        <v>335218.17</v>
      </c>
      <c r="L889" s="23"/>
      <c r="M889" s="21">
        <f t="shared" si="7"/>
        <v>2077.38</v>
      </c>
    </row>
    <row r="890" ht="20.25" customHeight="1" outlineLevel="1">
      <c r="A890" s="12">
        <v>45986.0</v>
      </c>
      <c r="B890" s="13" t="s">
        <v>179</v>
      </c>
      <c r="C890" s="28" t="s">
        <v>840</v>
      </c>
      <c r="D890" s="23"/>
      <c r="E890" s="21">
        <f t="shared" si="1"/>
        <v>9786.17</v>
      </c>
      <c r="F890" s="23"/>
      <c r="G890" s="21">
        <f t="shared" si="2"/>
        <v>490422.6</v>
      </c>
      <c r="H890" s="27">
        <v>2000.0</v>
      </c>
      <c r="I890" s="21">
        <f t="shared" si="6"/>
        <v>1896.12</v>
      </c>
      <c r="J890" s="23"/>
      <c r="K890" s="21">
        <f t="shared" si="4"/>
        <v>335218.17</v>
      </c>
      <c r="L890" s="23"/>
      <c r="M890" s="21">
        <f t="shared" si="7"/>
        <v>2077.38</v>
      </c>
    </row>
    <row r="891" ht="20.25" customHeight="1" outlineLevel="1">
      <c r="A891" s="12">
        <v>45986.0</v>
      </c>
      <c r="B891" s="13" t="s">
        <v>14</v>
      </c>
      <c r="C891" s="28" t="s">
        <v>841</v>
      </c>
      <c r="D891" s="23"/>
      <c r="E891" s="21">
        <f t="shared" si="1"/>
        <v>9786.17</v>
      </c>
      <c r="F891" s="23"/>
      <c r="G891" s="21">
        <f t="shared" si="2"/>
        <v>490422.6</v>
      </c>
      <c r="H891" s="22">
        <v>-8.11</v>
      </c>
      <c r="I891" s="21">
        <f t="shared" si="6"/>
        <v>1888.01</v>
      </c>
      <c r="J891" s="23"/>
      <c r="K891" s="21">
        <f t="shared" si="4"/>
        <v>335218.17</v>
      </c>
      <c r="L891" s="23"/>
      <c r="M891" s="21">
        <f t="shared" si="7"/>
        <v>2077.38</v>
      </c>
    </row>
    <row r="892" ht="20.25" customHeight="1" outlineLevel="1">
      <c r="A892" s="12">
        <v>45987.0</v>
      </c>
      <c r="B892" s="13" t="s">
        <v>14</v>
      </c>
      <c r="C892" s="28" t="s">
        <v>34</v>
      </c>
      <c r="D892" s="23"/>
      <c r="E892" s="21">
        <f t="shared" si="1"/>
        <v>9786.17</v>
      </c>
      <c r="F892" s="23"/>
      <c r="G892" s="21">
        <f t="shared" si="2"/>
        <v>490422.6</v>
      </c>
      <c r="H892" s="23"/>
      <c r="I892" s="21">
        <f t="shared" si="6"/>
        <v>1888.01</v>
      </c>
      <c r="J892" s="22">
        <v>-24.26</v>
      </c>
      <c r="K892" s="21">
        <f t="shared" si="4"/>
        <v>335193.91</v>
      </c>
      <c r="L892" s="23"/>
      <c r="M892" s="21">
        <f t="shared" si="7"/>
        <v>2077.38</v>
      </c>
    </row>
    <row r="893" ht="20.25" customHeight="1" outlineLevel="1">
      <c r="A893" s="12">
        <v>45987.0</v>
      </c>
      <c r="B893" s="13" t="s">
        <v>16</v>
      </c>
      <c r="C893" s="28" t="s">
        <v>842</v>
      </c>
      <c r="D893" s="23">
        <v>240.0</v>
      </c>
      <c r="E893" s="21">
        <f t="shared" si="1"/>
        <v>10026.17</v>
      </c>
      <c r="F893" s="23"/>
      <c r="G893" s="21">
        <f t="shared" si="2"/>
        <v>490422.6</v>
      </c>
      <c r="H893" s="23"/>
      <c r="I893" s="21">
        <f t="shared" si="6"/>
        <v>1888.01</v>
      </c>
      <c r="J893" s="23"/>
      <c r="K893" s="21">
        <f t="shared" si="4"/>
        <v>335193.91</v>
      </c>
      <c r="L893" s="23"/>
      <c r="M893" s="21">
        <f t="shared" si="7"/>
        <v>2077.38</v>
      </c>
    </row>
    <row r="894" ht="20.25" customHeight="1" outlineLevel="1">
      <c r="A894" s="12">
        <v>45987.0</v>
      </c>
      <c r="B894" s="13" t="s">
        <v>16</v>
      </c>
      <c r="C894" s="28" t="s">
        <v>843</v>
      </c>
      <c r="D894" s="23"/>
      <c r="E894" s="21">
        <f t="shared" si="1"/>
        <v>10026.17</v>
      </c>
      <c r="F894" s="23">
        <v>434.5</v>
      </c>
      <c r="G894" s="21">
        <f t="shared" si="2"/>
        <v>490857.1</v>
      </c>
      <c r="H894" s="23"/>
      <c r="I894" s="21">
        <f t="shared" si="6"/>
        <v>1888.01</v>
      </c>
      <c r="J894" s="23"/>
      <c r="K894" s="21">
        <f t="shared" si="4"/>
        <v>335193.91</v>
      </c>
      <c r="L894" s="23"/>
      <c r="M894" s="21">
        <f t="shared" si="7"/>
        <v>2077.38</v>
      </c>
    </row>
    <row r="895" ht="20.25" customHeight="1" outlineLevel="1">
      <c r="A895" s="12">
        <v>45987.0</v>
      </c>
      <c r="B895" s="13" t="s">
        <v>16</v>
      </c>
      <c r="C895" s="28" t="s">
        <v>844</v>
      </c>
      <c r="D895" s="23"/>
      <c r="E895" s="21">
        <f t="shared" si="1"/>
        <v>10026.17</v>
      </c>
      <c r="F895" s="23">
        <v>434.5</v>
      </c>
      <c r="G895" s="21">
        <f t="shared" si="2"/>
        <v>491291.6</v>
      </c>
      <c r="H895" s="23"/>
      <c r="I895" s="21">
        <f t="shared" si="6"/>
        <v>1888.01</v>
      </c>
      <c r="J895" s="23"/>
      <c r="K895" s="21">
        <f t="shared" si="4"/>
        <v>335193.91</v>
      </c>
      <c r="L895" s="23"/>
      <c r="M895" s="21">
        <f t="shared" si="7"/>
        <v>2077.38</v>
      </c>
    </row>
    <row r="896" ht="20.25" customHeight="1" outlineLevel="1">
      <c r="A896" s="12">
        <v>45987.0</v>
      </c>
      <c r="B896" s="13" t="s">
        <v>16</v>
      </c>
      <c r="C896" s="202" t="s">
        <v>845</v>
      </c>
      <c r="D896" s="23"/>
      <c r="E896" s="21">
        <f t="shared" si="1"/>
        <v>10026.17</v>
      </c>
      <c r="F896" s="23">
        <v>348.5</v>
      </c>
      <c r="G896" s="21">
        <f t="shared" si="2"/>
        <v>491640.1</v>
      </c>
      <c r="H896" s="23"/>
      <c r="I896" s="21">
        <f t="shared" si="6"/>
        <v>1888.01</v>
      </c>
      <c r="J896" s="23"/>
      <c r="K896" s="21">
        <f t="shared" si="4"/>
        <v>335193.91</v>
      </c>
      <c r="L896" s="23"/>
      <c r="M896" s="21">
        <f t="shared" si="7"/>
        <v>2077.38</v>
      </c>
    </row>
    <row r="897" ht="20.25" customHeight="1" outlineLevel="1">
      <c r="A897" s="12">
        <v>45987.0</v>
      </c>
      <c r="B897" s="13" t="s">
        <v>16</v>
      </c>
      <c r="C897" s="70" t="s">
        <v>846</v>
      </c>
      <c r="D897" s="23"/>
      <c r="E897" s="21">
        <f t="shared" si="1"/>
        <v>10026.17</v>
      </c>
      <c r="F897" s="23"/>
      <c r="G897" s="21">
        <f t="shared" si="2"/>
        <v>491640.1</v>
      </c>
      <c r="H897" s="23"/>
      <c r="I897" s="21">
        <f t="shared" si="6"/>
        <v>1888.01</v>
      </c>
      <c r="J897" s="23">
        <v>266.5</v>
      </c>
      <c r="K897" s="21">
        <f t="shared" si="4"/>
        <v>335460.41</v>
      </c>
      <c r="L897" s="23"/>
      <c r="M897" s="21">
        <f t="shared" si="7"/>
        <v>2077.38</v>
      </c>
    </row>
    <row r="898" ht="20.25" customHeight="1" outlineLevel="1">
      <c r="A898" s="12">
        <v>45987.0</v>
      </c>
      <c r="B898" s="13" t="s">
        <v>12</v>
      </c>
      <c r="C898" s="28" t="s">
        <v>847</v>
      </c>
      <c r="D898" s="23"/>
      <c r="E898" s="21">
        <f t="shared" si="1"/>
        <v>10026.17</v>
      </c>
      <c r="F898" s="23"/>
      <c r="G898" s="21">
        <f t="shared" si="2"/>
        <v>491640.1</v>
      </c>
      <c r="H898" s="23"/>
      <c r="I898" s="21">
        <f t="shared" si="6"/>
        <v>1888.01</v>
      </c>
      <c r="J898" s="23"/>
      <c r="K898" s="21">
        <f t="shared" si="4"/>
        <v>335460.41</v>
      </c>
      <c r="L898" s="22">
        <v>-126.34</v>
      </c>
      <c r="M898" s="21">
        <f t="shared" si="7"/>
        <v>1951.04</v>
      </c>
    </row>
    <row r="899" ht="20.25" customHeight="1" outlineLevel="1">
      <c r="A899" s="12">
        <v>45988.0</v>
      </c>
      <c r="B899" s="13" t="s">
        <v>70</v>
      </c>
      <c r="C899" s="28" t="s">
        <v>848</v>
      </c>
      <c r="D899" s="23"/>
      <c r="E899" s="21">
        <f t="shared" si="1"/>
        <v>10026.17</v>
      </c>
      <c r="F899" s="22">
        <v>-2960.0</v>
      </c>
      <c r="G899" s="21">
        <f t="shared" si="2"/>
        <v>488680.1</v>
      </c>
      <c r="H899" s="23"/>
      <c r="I899" s="21">
        <f t="shared" si="6"/>
        <v>1888.01</v>
      </c>
      <c r="J899" s="23"/>
      <c r="K899" s="21">
        <f t="shared" si="4"/>
        <v>335460.41</v>
      </c>
      <c r="L899" s="23"/>
      <c r="M899" s="21">
        <f t="shared" si="7"/>
        <v>1951.04</v>
      </c>
    </row>
    <row r="900" ht="20.25" customHeight="1" outlineLevel="1">
      <c r="A900" s="12">
        <v>45988.0</v>
      </c>
      <c r="B900" s="13" t="s">
        <v>16</v>
      </c>
      <c r="C900" s="59" t="s">
        <v>849</v>
      </c>
      <c r="D900" s="20"/>
      <c r="E900" s="21">
        <f t="shared" si="1"/>
        <v>10026.17</v>
      </c>
      <c r="F900" s="23">
        <v>1231.0</v>
      </c>
      <c r="G900" s="21">
        <f t="shared" si="2"/>
        <v>489911.1</v>
      </c>
      <c r="H900" s="23"/>
      <c r="I900" s="21">
        <f t="shared" si="6"/>
        <v>1888.01</v>
      </c>
      <c r="J900" s="23"/>
      <c r="K900" s="21">
        <f t="shared" si="4"/>
        <v>335460.41</v>
      </c>
      <c r="L900" s="23"/>
      <c r="M900" s="21">
        <f t="shared" si="7"/>
        <v>1951.04</v>
      </c>
    </row>
    <row r="901" ht="20.25" customHeight="1" outlineLevel="1">
      <c r="A901" s="12">
        <v>45988.0</v>
      </c>
      <c r="B901" s="13" t="s">
        <v>16</v>
      </c>
      <c r="C901" s="59" t="s">
        <v>850</v>
      </c>
      <c r="D901" s="20"/>
      <c r="E901" s="21">
        <f t="shared" si="1"/>
        <v>10026.17</v>
      </c>
      <c r="F901" s="23">
        <v>260.0</v>
      </c>
      <c r="G901" s="21">
        <f t="shared" si="2"/>
        <v>490171.1</v>
      </c>
      <c r="H901" s="23"/>
      <c r="I901" s="21">
        <f t="shared" si="6"/>
        <v>1888.01</v>
      </c>
      <c r="J901" s="23"/>
      <c r="K901" s="21">
        <f t="shared" si="4"/>
        <v>335460.41</v>
      </c>
      <c r="L901" s="23"/>
      <c r="M901" s="21">
        <f t="shared" si="7"/>
        <v>1951.04</v>
      </c>
    </row>
    <row r="902" ht="20.25" customHeight="1" outlineLevel="1">
      <c r="A902" s="12">
        <v>45988.0</v>
      </c>
      <c r="B902" s="13" t="s">
        <v>16</v>
      </c>
      <c r="C902" s="59" t="s">
        <v>851</v>
      </c>
      <c r="D902" s="20"/>
      <c r="E902" s="21">
        <f t="shared" si="1"/>
        <v>10026.17</v>
      </c>
      <c r="F902" s="23">
        <v>70.0</v>
      </c>
      <c r="G902" s="21">
        <f t="shared" si="2"/>
        <v>490241.1</v>
      </c>
      <c r="H902" s="23"/>
      <c r="I902" s="21">
        <f t="shared" si="6"/>
        <v>1888.01</v>
      </c>
      <c r="J902" s="23"/>
      <c r="K902" s="21">
        <f t="shared" si="4"/>
        <v>335460.41</v>
      </c>
      <c r="L902" s="23"/>
      <c r="M902" s="21">
        <f t="shared" si="7"/>
        <v>1951.04</v>
      </c>
    </row>
    <row r="903" ht="20.25" customHeight="1" outlineLevel="1">
      <c r="A903" s="12">
        <v>45988.0</v>
      </c>
      <c r="B903" s="13" t="s">
        <v>16</v>
      </c>
      <c r="C903" s="59" t="s">
        <v>852</v>
      </c>
      <c r="D903" s="20"/>
      <c r="E903" s="21">
        <f t="shared" si="1"/>
        <v>10026.17</v>
      </c>
      <c r="F903" s="23">
        <v>19.8</v>
      </c>
      <c r="G903" s="21">
        <f t="shared" si="2"/>
        <v>490260.9</v>
      </c>
      <c r="H903" s="23"/>
      <c r="I903" s="21">
        <f t="shared" si="6"/>
        <v>1888.01</v>
      </c>
      <c r="J903" s="23"/>
      <c r="K903" s="21">
        <f t="shared" si="4"/>
        <v>335460.41</v>
      </c>
      <c r="L903" s="23"/>
      <c r="M903" s="21">
        <f t="shared" si="7"/>
        <v>1951.04</v>
      </c>
    </row>
    <row r="904" ht="20.25" customHeight="1" outlineLevel="1">
      <c r="A904" s="12">
        <v>45988.0</v>
      </c>
      <c r="B904" s="13" t="s">
        <v>63</v>
      </c>
      <c r="C904" s="201" t="s">
        <v>853</v>
      </c>
      <c r="D904" s="20"/>
      <c r="E904" s="21">
        <f t="shared" si="1"/>
        <v>10026.17</v>
      </c>
      <c r="F904" s="51">
        <v>10665.55</v>
      </c>
      <c r="G904" s="21">
        <f t="shared" si="2"/>
        <v>500926.45</v>
      </c>
      <c r="H904" s="23"/>
      <c r="I904" s="21">
        <f t="shared" si="6"/>
        <v>1888.01</v>
      </c>
      <c r="J904" s="23"/>
      <c r="K904" s="21">
        <f t="shared" si="4"/>
        <v>335460.41</v>
      </c>
      <c r="L904" s="23"/>
      <c r="M904" s="21">
        <f t="shared" si="7"/>
        <v>1951.04</v>
      </c>
    </row>
    <row r="905" ht="20.25" customHeight="1" outlineLevel="1">
      <c r="A905" s="12">
        <v>45988.0</v>
      </c>
      <c r="B905" s="13" t="s">
        <v>16</v>
      </c>
      <c r="C905" s="203" t="s">
        <v>854</v>
      </c>
      <c r="D905" s="20"/>
      <c r="E905" s="21">
        <f t="shared" si="1"/>
        <v>10026.17</v>
      </c>
      <c r="F905" s="23"/>
      <c r="G905" s="21">
        <f t="shared" si="2"/>
        <v>500926.45</v>
      </c>
      <c r="H905" s="23"/>
      <c r="I905" s="21">
        <f t="shared" si="6"/>
        <v>1888.01</v>
      </c>
      <c r="J905" s="23">
        <v>575.0</v>
      </c>
      <c r="K905" s="21">
        <f t="shared" si="4"/>
        <v>336035.41</v>
      </c>
      <c r="L905" s="23"/>
      <c r="M905" s="21">
        <f t="shared" si="7"/>
        <v>1951.04</v>
      </c>
    </row>
    <row r="906" ht="20.25" customHeight="1" outlineLevel="1">
      <c r="A906" s="12">
        <v>45988.0</v>
      </c>
      <c r="B906" s="13" t="s">
        <v>16</v>
      </c>
      <c r="C906" s="200" t="s">
        <v>855</v>
      </c>
      <c r="D906" s="20"/>
      <c r="E906" s="21">
        <f t="shared" si="1"/>
        <v>10026.17</v>
      </c>
      <c r="F906" s="23"/>
      <c r="G906" s="21">
        <f t="shared" si="2"/>
        <v>500926.45</v>
      </c>
      <c r="H906" s="23"/>
      <c r="I906" s="21">
        <f t="shared" si="6"/>
        <v>1888.01</v>
      </c>
      <c r="J906" s="23">
        <v>100.0</v>
      </c>
      <c r="K906" s="21">
        <f t="shared" si="4"/>
        <v>336135.41</v>
      </c>
      <c r="L906" s="23"/>
      <c r="M906" s="21">
        <f t="shared" si="7"/>
        <v>1951.04</v>
      </c>
    </row>
    <row r="907" ht="20.25" customHeight="1" outlineLevel="1">
      <c r="A907" s="12">
        <v>45988.0</v>
      </c>
      <c r="B907" s="13" t="s">
        <v>16</v>
      </c>
      <c r="C907" s="200" t="s">
        <v>856</v>
      </c>
      <c r="D907" s="20"/>
      <c r="E907" s="21">
        <f t="shared" si="1"/>
        <v>10026.17</v>
      </c>
      <c r="F907" s="23"/>
      <c r="G907" s="21">
        <f t="shared" si="2"/>
        <v>500926.45</v>
      </c>
      <c r="H907" s="23"/>
      <c r="I907" s="21">
        <f t="shared" si="6"/>
        <v>1888.01</v>
      </c>
      <c r="J907" s="23">
        <v>20.0</v>
      </c>
      <c r="K907" s="21">
        <f t="shared" si="4"/>
        <v>336155.41</v>
      </c>
      <c r="L907" s="23"/>
      <c r="M907" s="21">
        <f t="shared" si="7"/>
        <v>1951.04</v>
      </c>
    </row>
    <row r="908" ht="20.25" customHeight="1" outlineLevel="1">
      <c r="A908" s="12">
        <v>45988.0</v>
      </c>
      <c r="B908" s="13" t="s">
        <v>16</v>
      </c>
      <c r="C908" s="200" t="s">
        <v>857</v>
      </c>
      <c r="D908" s="20">
        <v>241.0</v>
      </c>
      <c r="E908" s="21">
        <f t="shared" si="1"/>
        <v>10267.17</v>
      </c>
      <c r="F908" s="23"/>
      <c r="G908" s="21">
        <f t="shared" si="2"/>
        <v>500926.45</v>
      </c>
      <c r="H908" s="23"/>
      <c r="I908" s="21">
        <f t="shared" si="6"/>
        <v>1888.01</v>
      </c>
      <c r="J908" s="23"/>
      <c r="K908" s="21">
        <f t="shared" si="4"/>
        <v>336155.41</v>
      </c>
      <c r="L908" s="23"/>
      <c r="M908" s="21">
        <f t="shared" si="7"/>
        <v>1951.04</v>
      </c>
    </row>
    <row r="909" ht="20.25" customHeight="1" outlineLevel="1">
      <c r="A909" s="12">
        <v>45988.0</v>
      </c>
      <c r="B909" s="13" t="s">
        <v>14</v>
      </c>
      <c r="C909" s="59" t="s">
        <v>858</v>
      </c>
      <c r="D909" s="20"/>
      <c r="E909" s="21">
        <f t="shared" si="1"/>
        <v>10267.17</v>
      </c>
      <c r="F909" s="23"/>
      <c r="G909" s="21">
        <f t="shared" si="2"/>
        <v>500926.45</v>
      </c>
      <c r="H909" s="22">
        <v>-75.18</v>
      </c>
      <c r="I909" s="21">
        <f t="shared" si="6"/>
        <v>1812.83</v>
      </c>
      <c r="J909" s="23"/>
      <c r="K909" s="21">
        <f t="shared" si="4"/>
        <v>336155.41</v>
      </c>
      <c r="L909" s="23"/>
      <c r="M909" s="21">
        <f t="shared" si="7"/>
        <v>1951.04</v>
      </c>
    </row>
    <row r="910" ht="20.25" customHeight="1" outlineLevel="1">
      <c r="A910" s="12">
        <v>45989.0</v>
      </c>
      <c r="B910" s="13" t="s">
        <v>63</v>
      </c>
      <c r="C910" s="204" t="s">
        <v>859</v>
      </c>
      <c r="D910" s="20">
        <v>500.0</v>
      </c>
      <c r="E910" s="21">
        <f t="shared" si="1"/>
        <v>10767.17</v>
      </c>
      <c r="F910" s="23"/>
      <c r="G910" s="21">
        <f t="shared" si="2"/>
        <v>500926.45</v>
      </c>
      <c r="H910" s="23"/>
      <c r="I910" s="21">
        <f t="shared" si="6"/>
        <v>1812.83</v>
      </c>
      <c r="J910" s="23"/>
      <c r="K910" s="21">
        <f t="shared" si="4"/>
        <v>336155.41</v>
      </c>
      <c r="L910" s="23"/>
      <c r="M910" s="21">
        <f t="shared" si="7"/>
        <v>1951.04</v>
      </c>
    </row>
    <row r="911" ht="20.25" customHeight="1" outlineLevel="1">
      <c r="A911" s="12">
        <v>45989.0</v>
      </c>
      <c r="B911" s="13" t="s">
        <v>12</v>
      </c>
      <c r="C911" s="59" t="s">
        <v>860</v>
      </c>
      <c r="D911" s="20"/>
      <c r="E911" s="21">
        <f t="shared" si="1"/>
        <v>10767.17</v>
      </c>
      <c r="F911" s="22">
        <v>-7442.0</v>
      </c>
      <c r="G911" s="21">
        <f t="shared" si="2"/>
        <v>493484.45</v>
      </c>
      <c r="H911" s="23"/>
      <c r="I911" s="21">
        <f t="shared" si="6"/>
        <v>1812.83</v>
      </c>
      <c r="J911" s="23"/>
      <c r="K911" s="21">
        <f t="shared" si="4"/>
        <v>336155.41</v>
      </c>
      <c r="L911" s="23"/>
      <c r="M911" s="21">
        <f t="shared" si="7"/>
        <v>1951.04</v>
      </c>
    </row>
    <row r="912" ht="20.25" customHeight="1" outlineLevel="1">
      <c r="A912" s="12">
        <v>45989.0</v>
      </c>
      <c r="B912" s="13" t="s">
        <v>16</v>
      </c>
      <c r="C912" s="28" t="s">
        <v>861</v>
      </c>
      <c r="D912" s="23"/>
      <c r="E912" s="21">
        <f t="shared" si="1"/>
        <v>10767.17</v>
      </c>
      <c r="F912" s="23">
        <v>602.0</v>
      </c>
      <c r="G912" s="21">
        <f t="shared" si="2"/>
        <v>494086.45</v>
      </c>
      <c r="H912" s="23"/>
      <c r="I912" s="21">
        <f t="shared" si="6"/>
        <v>1812.83</v>
      </c>
      <c r="J912" s="23"/>
      <c r="K912" s="21">
        <f t="shared" si="4"/>
        <v>336155.41</v>
      </c>
      <c r="L912" s="23"/>
      <c r="M912" s="21">
        <f t="shared" si="7"/>
        <v>1951.04</v>
      </c>
    </row>
    <row r="913" ht="20.25" customHeight="1" outlineLevel="1">
      <c r="A913" s="12">
        <v>45989.0</v>
      </c>
      <c r="B913" s="13" t="s">
        <v>16</v>
      </c>
      <c r="C913" s="28" t="s">
        <v>862</v>
      </c>
      <c r="D913" s="23"/>
      <c r="E913" s="21">
        <f t="shared" si="1"/>
        <v>10767.17</v>
      </c>
      <c r="F913" s="23">
        <v>328.5</v>
      </c>
      <c r="G913" s="21">
        <f t="shared" si="2"/>
        <v>494414.95</v>
      </c>
      <c r="H913" s="23"/>
      <c r="I913" s="21">
        <f t="shared" si="6"/>
        <v>1812.83</v>
      </c>
      <c r="J913" s="23"/>
      <c r="K913" s="21">
        <f t="shared" si="4"/>
        <v>336155.41</v>
      </c>
      <c r="L913" s="23"/>
      <c r="M913" s="21">
        <f t="shared" si="7"/>
        <v>1951.04</v>
      </c>
    </row>
    <row r="914" ht="20.25" customHeight="1" outlineLevel="1">
      <c r="A914" s="12">
        <v>45989.0</v>
      </c>
      <c r="B914" s="13" t="s">
        <v>16</v>
      </c>
      <c r="C914" s="28" t="s">
        <v>863</v>
      </c>
      <c r="D914" s="23"/>
      <c r="E914" s="21">
        <f t="shared" si="1"/>
        <v>10767.17</v>
      </c>
      <c r="F914" s="23">
        <v>630.5</v>
      </c>
      <c r="G914" s="21">
        <f t="shared" si="2"/>
        <v>495045.45</v>
      </c>
      <c r="H914" s="23"/>
      <c r="I914" s="21">
        <f t="shared" si="6"/>
        <v>1812.83</v>
      </c>
      <c r="J914" s="23"/>
      <c r="K914" s="21">
        <f t="shared" si="4"/>
        <v>336155.41</v>
      </c>
      <c r="L914" s="23"/>
      <c r="M914" s="21">
        <f t="shared" si="7"/>
        <v>1951.04</v>
      </c>
    </row>
    <row r="915" ht="20.25" customHeight="1" outlineLevel="1">
      <c r="A915" s="12">
        <v>45989.0</v>
      </c>
      <c r="B915" s="13" t="s">
        <v>16</v>
      </c>
      <c r="C915" s="28" t="s">
        <v>864</v>
      </c>
      <c r="D915" s="23"/>
      <c r="E915" s="21">
        <f t="shared" si="1"/>
        <v>10767.17</v>
      </c>
      <c r="F915" s="23">
        <v>579.14</v>
      </c>
      <c r="G915" s="21">
        <f t="shared" si="2"/>
        <v>495624.59</v>
      </c>
      <c r="H915" s="23"/>
      <c r="I915" s="21">
        <f t="shared" si="6"/>
        <v>1812.83</v>
      </c>
      <c r="J915" s="23"/>
      <c r="K915" s="21">
        <f t="shared" si="4"/>
        <v>336155.41</v>
      </c>
      <c r="L915" s="23"/>
      <c r="M915" s="21">
        <f t="shared" si="7"/>
        <v>1951.04</v>
      </c>
    </row>
    <row r="916" ht="20.25" customHeight="1" outlineLevel="1">
      <c r="A916" s="12">
        <v>45989.0</v>
      </c>
      <c r="B916" s="13" t="s">
        <v>16</v>
      </c>
      <c r="C916" s="70" t="s">
        <v>865</v>
      </c>
      <c r="D916" s="23"/>
      <c r="E916" s="21">
        <f t="shared" si="1"/>
        <v>10767.17</v>
      </c>
      <c r="F916" s="23"/>
      <c r="G916" s="21">
        <f t="shared" si="2"/>
        <v>495624.59</v>
      </c>
      <c r="H916" s="23"/>
      <c r="I916" s="21">
        <f t="shared" si="6"/>
        <v>1812.83</v>
      </c>
      <c r="J916" s="23">
        <v>156.0</v>
      </c>
      <c r="K916" s="21">
        <f t="shared" si="4"/>
        <v>336311.41</v>
      </c>
      <c r="L916" s="23"/>
      <c r="M916" s="21">
        <f t="shared" si="7"/>
        <v>1951.04</v>
      </c>
    </row>
    <row r="917" ht="20.25" customHeight="1" outlineLevel="1">
      <c r="A917" s="12">
        <v>45989.0</v>
      </c>
      <c r="B917" s="13" t="s">
        <v>16</v>
      </c>
      <c r="C917" s="70" t="s">
        <v>866</v>
      </c>
      <c r="D917" s="23"/>
      <c r="E917" s="21">
        <f t="shared" si="1"/>
        <v>10767.17</v>
      </c>
      <c r="F917" s="23"/>
      <c r="G917" s="21">
        <f t="shared" si="2"/>
        <v>495624.59</v>
      </c>
      <c r="H917" s="23"/>
      <c r="I917" s="21">
        <f t="shared" si="6"/>
        <v>1812.83</v>
      </c>
      <c r="J917" s="23">
        <v>1083.5</v>
      </c>
      <c r="K917" s="21">
        <f t="shared" si="4"/>
        <v>337394.91</v>
      </c>
      <c r="L917" s="23"/>
      <c r="M917" s="21">
        <f t="shared" si="7"/>
        <v>1951.04</v>
      </c>
    </row>
    <row r="918" ht="20.25" customHeight="1" outlineLevel="1">
      <c r="A918" s="12">
        <v>45989.0</v>
      </c>
      <c r="B918" s="13" t="s">
        <v>16</v>
      </c>
      <c r="C918" s="70" t="s">
        <v>867</v>
      </c>
      <c r="D918" s="23">
        <v>569.0</v>
      </c>
      <c r="E918" s="21">
        <f t="shared" si="1"/>
        <v>11336.17</v>
      </c>
      <c r="F918" s="23"/>
      <c r="G918" s="21">
        <f t="shared" si="2"/>
        <v>495624.59</v>
      </c>
      <c r="H918" s="23"/>
      <c r="I918" s="21">
        <f t="shared" si="6"/>
        <v>1812.83</v>
      </c>
      <c r="J918" s="23"/>
      <c r="K918" s="21">
        <f t="shared" si="4"/>
        <v>337394.91</v>
      </c>
      <c r="L918" s="23"/>
      <c r="M918" s="21">
        <f t="shared" si="7"/>
        <v>1951.04</v>
      </c>
    </row>
    <row r="919" ht="20.25" customHeight="1" outlineLevel="1">
      <c r="A919" s="12">
        <v>45989.0</v>
      </c>
      <c r="B919" s="13" t="s">
        <v>12</v>
      </c>
      <c r="C919" s="70" t="s">
        <v>868</v>
      </c>
      <c r="D919" s="23"/>
      <c r="E919" s="21">
        <f t="shared" si="1"/>
        <v>11336.17</v>
      </c>
      <c r="F919" s="23"/>
      <c r="G919" s="21">
        <f t="shared" si="2"/>
        <v>495624.59</v>
      </c>
      <c r="H919" s="22">
        <v>-200.0</v>
      </c>
      <c r="I919" s="21">
        <f t="shared" si="6"/>
        <v>1612.83</v>
      </c>
      <c r="J919" s="23"/>
      <c r="K919" s="21">
        <f t="shared" si="4"/>
        <v>337394.91</v>
      </c>
      <c r="L919" s="23"/>
      <c r="M919" s="21">
        <f t="shared" si="7"/>
        <v>1951.04</v>
      </c>
    </row>
    <row r="920" ht="20.25" customHeight="1" outlineLevel="1">
      <c r="A920" s="12">
        <v>45990.0</v>
      </c>
      <c r="B920" s="13" t="s">
        <v>12</v>
      </c>
      <c r="C920" s="28" t="s">
        <v>869</v>
      </c>
      <c r="D920" s="23"/>
      <c r="E920" s="21">
        <f t="shared" si="1"/>
        <v>11336.17</v>
      </c>
      <c r="F920" s="23"/>
      <c r="G920" s="21">
        <f t="shared" si="2"/>
        <v>495624.59</v>
      </c>
      <c r="H920" s="23"/>
      <c r="I920" s="21">
        <f t="shared" si="6"/>
        <v>1612.83</v>
      </c>
      <c r="J920" s="23"/>
      <c r="K920" s="21">
        <f t="shared" si="4"/>
        <v>337394.91</v>
      </c>
      <c r="L920" s="22">
        <v>-54.11</v>
      </c>
      <c r="M920" s="21">
        <f t="shared" si="7"/>
        <v>1896.93</v>
      </c>
    </row>
    <row r="921" ht="20.25" customHeight="1" outlineLevel="1">
      <c r="A921" s="12">
        <v>45992.0</v>
      </c>
      <c r="B921" s="13" t="s">
        <v>16</v>
      </c>
      <c r="C921" s="28" t="s">
        <v>870</v>
      </c>
      <c r="D921" s="23"/>
      <c r="E921" s="21">
        <f t="shared" si="1"/>
        <v>11336.17</v>
      </c>
      <c r="F921" s="23">
        <v>24.8</v>
      </c>
      <c r="G921" s="21">
        <f t="shared" si="2"/>
        <v>495649.39</v>
      </c>
      <c r="H921" s="23"/>
      <c r="I921" s="21">
        <f t="shared" si="6"/>
        <v>1612.83</v>
      </c>
      <c r="J921" s="23"/>
      <c r="K921" s="21">
        <f t="shared" si="4"/>
        <v>337394.91</v>
      </c>
      <c r="L921" s="23"/>
      <c r="M921" s="21">
        <f t="shared" si="7"/>
        <v>1896.93</v>
      </c>
    </row>
    <row r="922" ht="20.25" customHeight="1" outlineLevel="1">
      <c r="A922" s="12">
        <v>45992.0</v>
      </c>
      <c r="B922" s="13" t="s">
        <v>12</v>
      </c>
      <c r="C922" s="70" t="s">
        <v>871</v>
      </c>
      <c r="D922" s="23"/>
      <c r="E922" s="21">
        <f t="shared" si="1"/>
        <v>11336.17</v>
      </c>
      <c r="F922" s="22">
        <v>-1491.45</v>
      </c>
      <c r="G922" s="21">
        <f t="shared" si="2"/>
        <v>494157.94</v>
      </c>
      <c r="H922" s="23"/>
      <c r="I922" s="21">
        <f t="shared" si="6"/>
        <v>1612.83</v>
      </c>
      <c r="J922" s="23"/>
      <c r="K922" s="21">
        <f t="shared" si="4"/>
        <v>337394.91</v>
      </c>
      <c r="L922" s="23"/>
      <c r="M922" s="21">
        <f t="shared" si="7"/>
        <v>1896.93</v>
      </c>
    </row>
    <row r="923" ht="20.25" customHeight="1" outlineLevel="1">
      <c r="A923" s="12">
        <v>45992.0</v>
      </c>
      <c r="B923" s="13" t="s">
        <v>12</v>
      </c>
      <c r="C923" s="70" t="s">
        <v>872</v>
      </c>
      <c r="D923" s="23"/>
      <c r="E923" s="21">
        <f t="shared" si="1"/>
        <v>11336.17</v>
      </c>
      <c r="F923" s="22">
        <v>-732.0</v>
      </c>
      <c r="G923" s="21">
        <f t="shared" si="2"/>
        <v>493425.94</v>
      </c>
      <c r="H923" s="23"/>
      <c r="I923" s="21">
        <f t="shared" si="6"/>
        <v>1612.83</v>
      </c>
      <c r="J923" s="23"/>
      <c r="K923" s="21">
        <f t="shared" si="4"/>
        <v>337394.91</v>
      </c>
      <c r="L923" s="23"/>
      <c r="M923" s="21">
        <f t="shared" si="7"/>
        <v>1896.93</v>
      </c>
    </row>
    <row r="924" ht="20.25" customHeight="1" outlineLevel="1">
      <c r="A924" s="12">
        <v>45992.0</v>
      </c>
      <c r="B924" s="13" t="s">
        <v>12</v>
      </c>
      <c r="C924" s="70" t="s">
        <v>873</v>
      </c>
      <c r="D924" s="23"/>
      <c r="E924" s="21">
        <f t="shared" si="1"/>
        <v>11336.17</v>
      </c>
      <c r="F924" s="22">
        <v>-522.08</v>
      </c>
      <c r="G924" s="21">
        <f t="shared" si="2"/>
        <v>492903.86</v>
      </c>
      <c r="H924" s="23"/>
      <c r="I924" s="21">
        <f t="shared" si="6"/>
        <v>1612.83</v>
      </c>
      <c r="J924" s="23"/>
      <c r="K924" s="21">
        <f t="shared" si="4"/>
        <v>337394.91</v>
      </c>
      <c r="L924" s="23"/>
      <c r="M924" s="21">
        <f t="shared" si="7"/>
        <v>1896.93</v>
      </c>
    </row>
    <row r="925" ht="20.25" customHeight="1" outlineLevel="1">
      <c r="A925" s="12">
        <v>45992.0</v>
      </c>
      <c r="B925" s="13" t="s">
        <v>368</v>
      </c>
      <c r="C925" s="70" t="s">
        <v>874</v>
      </c>
      <c r="D925" s="23"/>
      <c r="E925" s="21">
        <f t="shared" si="1"/>
        <v>11336.17</v>
      </c>
      <c r="F925" s="22">
        <v>-702.0</v>
      </c>
      <c r="G925" s="21">
        <f t="shared" si="2"/>
        <v>492201.86</v>
      </c>
      <c r="H925" s="23"/>
      <c r="I925" s="21">
        <f t="shared" si="6"/>
        <v>1612.83</v>
      </c>
      <c r="J925" s="23"/>
      <c r="K925" s="21">
        <f t="shared" si="4"/>
        <v>337394.91</v>
      </c>
      <c r="L925" s="23"/>
      <c r="M925" s="21">
        <f t="shared" si="7"/>
        <v>1896.93</v>
      </c>
    </row>
    <row r="926" ht="20.25" customHeight="1" outlineLevel="1">
      <c r="A926" s="12">
        <v>45992.0</v>
      </c>
      <c r="B926" s="13" t="s">
        <v>16</v>
      </c>
      <c r="C926" s="28" t="s">
        <v>875</v>
      </c>
      <c r="D926" s="23"/>
      <c r="E926" s="21">
        <f t="shared" si="1"/>
        <v>11336.17</v>
      </c>
      <c r="F926" s="23">
        <v>182.0</v>
      </c>
      <c r="G926" s="21">
        <f t="shared" si="2"/>
        <v>492383.86</v>
      </c>
      <c r="H926" s="23"/>
      <c r="I926" s="21">
        <f t="shared" si="6"/>
        <v>1612.83</v>
      </c>
      <c r="J926" s="23"/>
      <c r="K926" s="21">
        <f t="shared" si="4"/>
        <v>337394.91</v>
      </c>
      <c r="L926" s="23"/>
      <c r="M926" s="21">
        <f t="shared" si="7"/>
        <v>1896.93</v>
      </c>
    </row>
    <row r="927" ht="20.25" customHeight="1" outlineLevel="1">
      <c r="A927" s="12">
        <v>45992.0</v>
      </c>
      <c r="B927" s="13" t="s">
        <v>16</v>
      </c>
      <c r="C927" s="28" t="s">
        <v>876</v>
      </c>
      <c r="D927" s="23"/>
      <c r="E927" s="21">
        <f t="shared" si="1"/>
        <v>11336.17</v>
      </c>
      <c r="F927" s="23">
        <v>190.0</v>
      </c>
      <c r="G927" s="21">
        <f t="shared" si="2"/>
        <v>492573.86</v>
      </c>
      <c r="H927" s="23"/>
      <c r="I927" s="21">
        <f t="shared" si="6"/>
        <v>1612.83</v>
      </c>
      <c r="J927" s="23"/>
      <c r="K927" s="21">
        <f t="shared" si="4"/>
        <v>337394.91</v>
      </c>
      <c r="L927" s="23"/>
      <c r="M927" s="21">
        <f t="shared" si="7"/>
        <v>1896.93</v>
      </c>
    </row>
    <row r="928" ht="20.25" customHeight="1" outlineLevel="1">
      <c r="A928" s="12">
        <v>45992.0</v>
      </c>
      <c r="B928" s="13" t="s">
        <v>16</v>
      </c>
      <c r="C928" s="28" t="s">
        <v>877</v>
      </c>
      <c r="D928" s="23"/>
      <c r="E928" s="21">
        <f t="shared" si="1"/>
        <v>11336.17</v>
      </c>
      <c r="F928" s="23">
        <v>226.5</v>
      </c>
      <c r="G928" s="21">
        <f t="shared" si="2"/>
        <v>492800.36</v>
      </c>
      <c r="H928" s="23"/>
      <c r="I928" s="21">
        <f t="shared" si="6"/>
        <v>1612.83</v>
      </c>
      <c r="J928" s="23"/>
      <c r="K928" s="21">
        <f t="shared" si="4"/>
        <v>337394.91</v>
      </c>
      <c r="L928" s="23"/>
      <c r="M928" s="21">
        <f t="shared" si="7"/>
        <v>1896.93</v>
      </c>
    </row>
    <row r="929" ht="20.25" customHeight="1" outlineLevel="1">
      <c r="A929" s="12">
        <v>45992.0</v>
      </c>
      <c r="B929" s="13" t="s">
        <v>16</v>
      </c>
      <c r="C929" s="28" t="s">
        <v>878</v>
      </c>
      <c r="D929" s="23"/>
      <c r="E929" s="21">
        <f t="shared" si="1"/>
        <v>11336.17</v>
      </c>
      <c r="F929" s="23">
        <v>246.5</v>
      </c>
      <c r="G929" s="21">
        <f t="shared" si="2"/>
        <v>493046.86</v>
      </c>
      <c r="H929" s="23"/>
      <c r="I929" s="21">
        <f t="shared" si="6"/>
        <v>1612.83</v>
      </c>
      <c r="J929" s="23"/>
      <c r="K929" s="21">
        <f t="shared" si="4"/>
        <v>337394.91</v>
      </c>
      <c r="L929" s="23"/>
      <c r="M929" s="21">
        <f t="shared" si="7"/>
        <v>1896.93</v>
      </c>
    </row>
    <row r="930" ht="20.25" customHeight="1" outlineLevel="1">
      <c r="A930" s="12">
        <v>45992.0</v>
      </c>
      <c r="B930" s="13" t="s">
        <v>16</v>
      </c>
      <c r="C930" s="28" t="s">
        <v>879</v>
      </c>
      <c r="D930" s="23"/>
      <c r="E930" s="21">
        <f t="shared" si="1"/>
        <v>11336.17</v>
      </c>
      <c r="F930" s="23">
        <v>170.0</v>
      </c>
      <c r="G930" s="21">
        <f t="shared" si="2"/>
        <v>493216.86</v>
      </c>
      <c r="H930" s="23"/>
      <c r="I930" s="21">
        <f t="shared" si="6"/>
        <v>1612.83</v>
      </c>
      <c r="J930" s="23"/>
      <c r="K930" s="21">
        <f t="shared" si="4"/>
        <v>337394.91</v>
      </c>
      <c r="L930" s="23"/>
      <c r="M930" s="21">
        <f t="shared" si="7"/>
        <v>1896.93</v>
      </c>
    </row>
    <row r="931" ht="20.25" customHeight="1" outlineLevel="1">
      <c r="A931" s="12">
        <v>45992.0</v>
      </c>
      <c r="B931" s="13" t="s">
        <v>16</v>
      </c>
      <c r="C931" s="28" t="s">
        <v>880</v>
      </c>
      <c r="D931" s="23"/>
      <c r="E931" s="21">
        <f t="shared" si="1"/>
        <v>11336.17</v>
      </c>
      <c r="F931" s="23">
        <v>683.0</v>
      </c>
      <c r="G931" s="21">
        <f t="shared" si="2"/>
        <v>493899.86</v>
      </c>
      <c r="H931" s="23"/>
      <c r="I931" s="21">
        <f t="shared" si="6"/>
        <v>1612.83</v>
      </c>
      <c r="J931" s="23"/>
      <c r="K931" s="21">
        <f t="shared" si="4"/>
        <v>337394.91</v>
      </c>
      <c r="L931" s="23"/>
      <c r="M931" s="21">
        <f t="shared" si="7"/>
        <v>1896.93</v>
      </c>
    </row>
    <row r="932" ht="20.25" customHeight="1" outlineLevel="1">
      <c r="A932" s="12">
        <v>45992.0</v>
      </c>
      <c r="B932" s="13" t="s">
        <v>16</v>
      </c>
      <c r="C932" s="28" t="s">
        <v>881</v>
      </c>
      <c r="D932" s="23"/>
      <c r="E932" s="21">
        <f t="shared" si="1"/>
        <v>11336.17</v>
      </c>
      <c r="F932" s="23">
        <v>650.5</v>
      </c>
      <c r="G932" s="21">
        <f t="shared" si="2"/>
        <v>494550.36</v>
      </c>
      <c r="H932" s="23"/>
      <c r="I932" s="21">
        <f t="shared" si="6"/>
        <v>1612.83</v>
      </c>
      <c r="J932" s="23"/>
      <c r="K932" s="21">
        <f t="shared" si="4"/>
        <v>337394.91</v>
      </c>
      <c r="L932" s="23"/>
      <c r="M932" s="21">
        <f t="shared" si="7"/>
        <v>1896.93</v>
      </c>
    </row>
    <row r="933" ht="20.25" customHeight="1" outlineLevel="1">
      <c r="A933" s="12">
        <v>45992.0</v>
      </c>
      <c r="B933" s="13" t="s">
        <v>12</v>
      </c>
      <c r="C933" s="28" t="s">
        <v>882</v>
      </c>
      <c r="D933" s="23"/>
      <c r="E933" s="21">
        <f t="shared" si="1"/>
        <v>11336.17</v>
      </c>
      <c r="F933" s="23"/>
      <c r="G933" s="21">
        <f t="shared" si="2"/>
        <v>494550.36</v>
      </c>
      <c r="H933" s="23"/>
      <c r="I933" s="21">
        <f t="shared" si="6"/>
        <v>1612.83</v>
      </c>
      <c r="J933" s="22">
        <v>-1535.98</v>
      </c>
      <c r="K933" s="21">
        <f t="shared" si="4"/>
        <v>335858.93</v>
      </c>
      <c r="L933" s="23"/>
      <c r="M933" s="21">
        <f t="shared" si="7"/>
        <v>1896.93</v>
      </c>
    </row>
    <row r="934" ht="20.25" customHeight="1" outlineLevel="1">
      <c r="A934" s="12">
        <v>45992.0</v>
      </c>
      <c r="B934" s="13" t="s">
        <v>12</v>
      </c>
      <c r="C934" s="28" t="s">
        <v>882</v>
      </c>
      <c r="D934" s="23"/>
      <c r="E934" s="21">
        <f t="shared" si="1"/>
        <v>11336.17</v>
      </c>
      <c r="F934" s="23"/>
      <c r="G934" s="21">
        <f t="shared" si="2"/>
        <v>494550.36</v>
      </c>
      <c r="H934" s="23"/>
      <c r="I934" s="21">
        <f t="shared" si="6"/>
        <v>1612.83</v>
      </c>
      <c r="J934" s="22">
        <v>-4992.85</v>
      </c>
      <c r="K934" s="21">
        <f t="shared" si="4"/>
        <v>330866.08</v>
      </c>
      <c r="L934" s="23"/>
      <c r="M934" s="21">
        <f t="shared" si="7"/>
        <v>1896.93</v>
      </c>
    </row>
    <row r="935" ht="20.25" customHeight="1" outlineLevel="1">
      <c r="A935" s="12">
        <v>45992.0</v>
      </c>
      <c r="B935" s="13" t="s">
        <v>12</v>
      </c>
      <c r="C935" s="28" t="s">
        <v>882</v>
      </c>
      <c r="D935" s="23"/>
      <c r="E935" s="21">
        <f t="shared" si="1"/>
        <v>11336.17</v>
      </c>
      <c r="F935" s="23"/>
      <c r="G935" s="21">
        <f t="shared" si="2"/>
        <v>494550.36</v>
      </c>
      <c r="H935" s="23"/>
      <c r="I935" s="21">
        <f t="shared" si="6"/>
        <v>1612.83</v>
      </c>
      <c r="J935" s="22">
        <v>-3294.0</v>
      </c>
      <c r="K935" s="21">
        <f t="shared" si="4"/>
        <v>327572.08</v>
      </c>
      <c r="L935" s="23"/>
      <c r="M935" s="21">
        <f t="shared" si="7"/>
        <v>1896.93</v>
      </c>
    </row>
    <row r="936" ht="20.25" customHeight="1" outlineLevel="1">
      <c r="A936" s="12">
        <v>45992.0</v>
      </c>
      <c r="B936" s="13" t="s">
        <v>12</v>
      </c>
      <c r="C936" s="28" t="s">
        <v>882</v>
      </c>
      <c r="D936" s="23"/>
      <c r="E936" s="21">
        <f t="shared" si="1"/>
        <v>11336.17</v>
      </c>
      <c r="F936" s="23"/>
      <c r="G936" s="21">
        <f t="shared" si="2"/>
        <v>494550.36</v>
      </c>
      <c r="H936" s="23"/>
      <c r="I936" s="21">
        <f t="shared" si="6"/>
        <v>1612.83</v>
      </c>
      <c r="J936" s="22">
        <v>-1171.2</v>
      </c>
      <c r="K936" s="21">
        <f t="shared" si="4"/>
        <v>326400.88</v>
      </c>
      <c r="L936" s="23"/>
      <c r="M936" s="21">
        <f t="shared" si="7"/>
        <v>1896.93</v>
      </c>
    </row>
    <row r="937" ht="20.25" customHeight="1" outlineLevel="1">
      <c r="A937" s="12">
        <v>45992.0</v>
      </c>
      <c r="B937" s="13" t="s">
        <v>12</v>
      </c>
      <c r="C937" s="28" t="s">
        <v>640</v>
      </c>
      <c r="D937" s="23"/>
      <c r="E937" s="21">
        <f t="shared" si="1"/>
        <v>11336.17</v>
      </c>
      <c r="F937" s="23"/>
      <c r="G937" s="21">
        <f t="shared" si="2"/>
        <v>494550.36</v>
      </c>
      <c r="H937" s="23"/>
      <c r="I937" s="21">
        <f t="shared" si="6"/>
        <v>1612.83</v>
      </c>
      <c r="J937" s="22">
        <v>-4023.92</v>
      </c>
      <c r="K937" s="21">
        <f t="shared" si="4"/>
        <v>322376.96</v>
      </c>
      <c r="L937" s="23"/>
      <c r="M937" s="21">
        <f t="shared" si="7"/>
        <v>1896.93</v>
      </c>
    </row>
    <row r="938" ht="20.25" customHeight="1" outlineLevel="1">
      <c r="A938" s="12">
        <v>45992.0</v>
      </c>
      <c r="B938" s="13" t="s">
        <v>12</v>
      </c>
      <c r="C938" s="70" t="s">
        <v>308</v>
      </c>
      <c r="D938" s="23"/>
      <c r="E938" s="21">
        <f t="shared" si="1"/>
        <v>11336.17</v>
      </c>
      <c r="F938" s="23"/>
      <c r="G938" s="21">
        <f t="shared" si="2"/>
        <v>494550.36</v>
      </c>
      <c r="H938" s="23"/>
      <c r="I938" s="21">
        <f t="shared" si="6"/>
        <v>1612.83</v>
      </c>
      <c r="J938" s="22">
        <v>-201.3</v>
      </c>
      <c r="K938" s="21">
        <f t="shared" si="4"/>
        <v>322175.66</v>
      </c>
      <c r="L938" s="23"/>
      <c r="M938" s="21">
        <f t="shared" si="7"/>
        <v>1896.93</v>
      </c>
    </row>
    <row r="939" ht="20.25" customHeight="1" outlineLevel="1">
      <c r="A939" s="12">
        <v>45992.0</v>
      </c>
      <c r="B939" s="13" t="s">
        <v>12</v>
      </c>
      <c r="C939" s="70" t="s">
        <v>883</v>
      </c>
      <c r="D939" s="23"/>
      <c r="E939" s="21">
        <f t="shared" si="1"/>
        <v>11336.17</v>
      </c>
      <c r="F939" s="23"/>
      <c r="G939" s="21">
        <f t="shared" si="2"/>
        <v>494550.36</v>
      </c>
      <c r="H939" s="23"/>
      <c r="I939" s="21">
        <f t="shared" si="6"/>
        <v>1612.83</v>
      </c>
      <c r="J939" s="22">
        <v>-1971.0</v>
      </c>
      <c r="K939" s="21">
        <f t="shared" si="4"/>
        <v>320204.66</v>
      </c>
      <c r="L939" s="23"/>
      <c r="M939" s="21">
        <f t="shared" si="7"/>
        <v>1896.93</v>
      </c>
    </row>
    <row r="940" ht="20.25" customHeight="1" outlineLevel="1">
      <c r="A940" s="12">
        <v>45992.0</v>
      </c>
      <c r="B940" s="13" t="s">
        <v>14</v>
      </c>
      <c r="C940" s="70" t="s">
        <v>884</v>
      </c>
      <c r="D940" s="23"/>
      <c r="E940" s="21">
        <f t="shared" si="1"/>
        <v>11336.17</v>
      </c>
      <c r="F940" s="23"/>
      <c r="G940" s="21">
        <f t="shared" si="2"/>
        <v>494550.36</v>
      </c>
      <c r="H940" s="23"/>
      <c r="I940" s="21">
        <f t="shared" si="6"/>
        <v>1612.83</v>
      </c>
      <c r="J940" s="22">
        <v>-2.85</v>
      </c>
      <c r="K940" s="21">
        <f t="shared" si="4"/>
        <v>320201.81</v>
      </c>
      <c r="L940" s="23"/>
      <c r="M940" s="21">
        <f t="shared" si="7"/>
        <v>1896.93</v>
      </c>
    </row>
    <row r="941" ht="20.25" customHeight="1" outlineLevel="1">
      <c r="A941" s="12">
        <v>45992.0</v>
      </c>
      <c r="B941" s="13" t="s">
        <v>16</v>
      </c>
      <c r="C941" s="70" t="s">
        <v>885</v>
      </c>
      <c r="D941" s="23"/>
      <c r="E941" s="21">
        <f t="shared" si="1"/>
        <v>11336.17</v>
      </c>
      <c r="F941" s="23"/>
      <c r="G941" s="21">
        <f t="shared" si="2"/>
        <v>494550.36</v>
      </c>
      <c r="H941" s="23"/>
      <c r="I941" s="21">
        <f t="shared" si="6"/>
        <v>1612.83</v>
      </c>
      <c r="J941" s="23">
        <v>124.0</v>
      </c>
      <c r="K941" s="21">
        <f t="shared" si="4"/>
        <v>320325.81</v>
      </c>
      <c r="L941" s="23"/>
      <c r="M941" s="21">
        <f t="shared" si="7"/>
        <v>1896.93</v>
      </c>
    </row>
    <row r="942" ht="20.25" customHeight="1" outlineLevel="1">
      <c r="A942" s="12">
        <v>45992.0</v>
      </c>
      <c r="B942" s="13" t="s">
        <v>16</v>
      </c>
      <c r="C942" s="70" t="s">
        <v>886</v>
      </c>
      <c r="D942" s="23"/>
      <c r="E942" s="21">
        <f t="shared" si="1"/>
        <v>11336.17</v>
      </c>
      <c r="F942" s="23"/>
      <c r="G942" s="21">
        <f t="shared" si="2"/>
        <v>494550.36</v>
      </c>
      <c r="H942" s="23"/>
      <c r="I942" s="21">
        <f t="shared" si="6"/>
        <v>1612.83</v>
      </c>
      <c r="J942" s="23">
        <v>234.0</v>
      </c>
      <c r="K942" s="21">
        <f t="shared" si="4"/>
        <v>320559.81</v>
      </c>
      <c r="L942" s="23"/>
      <c r="M942" s="21">
        <f t="shared" si="7"/>
        <v>1896.93</v>
      </c>
    </row>
    <row r="943" ht="20.25" customHeight="1" outlineLevel="1">
      <c r="A943" s="12">
        <v>45992.0</v>
      </c>
      <c r="B943" s="13" t="s">
        <v>16</v>
      </c>
      <c r="C943" s="70" t="s">
        <v>887</v>
      </c>
      <c r="D943" s="23"/>
      <c r="E943" s="21">
        <f t="shared" si="1"/>
        <v>11336.17</v>
      </c>
      <c r="F943" s="23"/>
      <c r="G943" s="21">
        <f t="shared" si="2"/>
        <v>494550.36</v>
      </c>
      <c r="H943" s="23"/>
      <c r="I943" s="21">
        <f t="shared" si="6"/>
        <v>1612.83</v>
      </c>
      <c r="J943" s="23">
        <v>22.5</v>
      </c>
      <c r="K943" s="21">
        <f t="shared" si="4"/>
        <v>320582.31</v>
      </c>
      <c r="L943" s="23"/>
      <c r="M943" s="21">
        <f t="shared" si="7"/>
        <v>1896.93</v>
      </c>
    </row>
    <row r="944" ht="20.25" customHeight="1" outlineLevel="1">
      <c r="A944" s="12">
        <v>45992.0</v>
      </c>
      <c r="B944" s="13" t="s">
        <v>16</v>
      </c>
      <c r="C944" s="70" t="s">
        <v>888</v>
      </c>
      <c r="D944" s="23">
        <v>395.0</v>
      </c>
      <c r="E944" s="21">
        <f t="shared" si="1"/>
        <v>11731.17</v>
      </c>
      <c r="F944" s="23"/>
      <c r="G944" s="21">
        <f t="shared" si="2"/>
        <v>494550.36</v>
      </c>
      <c r="H944" s="23"/>
      <c r="I944" s="21">
        <f t="shared" si="6"/>
        <v>1612.83</v>
      </c>
      <c r="J944" s="23"/>
      <c r="K944" s="21">
        <f t="shared" si="4"/>
        <v>320582.31</v>
      </c>
      <c r="L944" s="23"/>
      <c r="M944" s="21">
        <f t="shared" si="7"/>
        <v>1896.93</v>
      </c>
    </row>
    <row r="945" ht="20.25" customHeight="1" outlineLevel="1">
      <c r="A945" s="12">
        <v>45993.0</v>
      </c>
      <c r="B945" s="13" t="s">
        <v>179</v>
      </c>
      <c r="C945" s="70" t="s">
        <v>470</v>
      </c>
      <c r="D945" s="22">
        <v>-6950.0</v>
      </c>
      <c r="E945" s="21">
        <f t="shared" si="1"/>
        <v>4781.17</v>
      </c>
      <c r="F945" s="23"/>
      <c r="G945" s="21">
        <f t="shared" si="2"/>
        <v>494550.36</v>
      </c>
      <c r="H945" s="23"/>
      <c r="I945" s="21">
        <f t="shared" si="6"/>
        <v>1612.83</v>
      </c>
      <c r="J945" s="23"/>
      <c r="K945" s="21">
        <f t="shared" si="4"/>
        <v>320582.31</v>
      </c>
      <c r="L945" s="23"/>
      <c r="M945" s="21">
        <f t="shared" si="7"/>
        <v>1896.93</v>
      </c>
    </row>
    <row r="946" ht="20.25" customHeight="1" outlineLevel="1">
      <c r="A946" s="12">
        <v>45993.0</v>
      </c>
      <c r="B946" s="13" t="s">
        <v>16</v>
      </c>
      <c r="C946" s="28" t="s">
        <v>889</v>
      </c>
      <c r="D946" s="23"/>
      <c r="E946" s="21">
        <f t="shared" si="1"/>
        <v>4781.17</v>
      </c>
      <c r="F946" s="23">
        <v>815.0</v>
      </c>
      <c r="G946" s="21">
        <f t="shared" si="2"/>
        <v>495365.36</v>
      </c>
      <c r="H946" s="23"/>
      <c r="I946" s="21">
        <f t="shared" si="6"/>
        <v>1612.83</v>
      </c>
      <c r="J946" s="23"/>
      <c r="K946" s="21">
        <f t="shared" si="4"/>
        <v>320582.31</v>
      </c>
      <c r="L946" s="23"/>
      <c r="M946" s="21">
        <f t="shared" si="7"/>
        <v>1896.93</v>
      </c>
    </row>
    <row r="947" ht="20.25" customHeight="1" outlineLevel="1">
      <c r="A947" s="12">
        <v>45993.0</v>
      </c>
      <c r="B947" s="13" t="s">
        <v>16</v>
      </c>
      <c r="C947" s="28" t="s">
        <v>890</v>
      </c>
      <c r="D947" s="23"/>
      <c r="E947" s="21">
        <f t="shared" si="1"/>
        <v>4781.17</v>
      </c>
      <c r="F947" s="23">
        <v>40.0</v>
      </c>
      <c r="G947" s="21">
        <f t="shared" si="2"/>
        <v>495405.36</v>
      </c>
      <c r="H947" s="23"/>
      <c r="I947" s="21">
        <f t="shared" si="6"/>
        <v>1612.83</v>
      </c>
      <c r="J947" s="23"/>
      <c r="K947" s="21">
        <f t="shared" si="4"/>
        <v>320582.31</v>
      </c>
      <c r="L947" s="23"/>
      <c r="M947" s="21">
        <f t="shared" si="7"/>
        <v>1896.93</v>
      </c>
    </row>
    <row r="948" ht="20.25" customHeight="1" outlineLevel="1">
      <c r="A948" s="12">
        <v>45993.0</v>
      </c>
      <c r="B948" s="13" t="s">
        <v>16</v>
      </c>
      <c r="C948" s="28" t="s">
        <v>891</v>
      </c>
      <c r="D948" s="23"/>
      <c r="E948" s="21">
        <f t="shared" si="1"/>
        <v>4781.17</v>
      </c>
      <c r="F948" s="23">
        <v>275.0</v>
      </c>
      <c r="G948" s="21">
        <f t="shared" si="2"/>
        <v>495680.36</v>
      </c>
      <c r="H948" s="23"/>
      <c r="I948" s="21">
        <f t="shared" si="6"/>
        <v>1612.83</v>
      </c>
      <c r="J948" s="23"/>
      <c r="K948" s="21">
        <f t="shared" si="4"/>
        <v>320582.31</v>
      </c>
      <c r="L948" s="23"/>
      <c r="M948" s="21">
        <f t="shared" si="7"/>
        <v>1896.93</v>
      </c>
    </row>
    <row r="949" ht="20.25" customHeight="1" outlineLevel="1">
      <c r="A949" s="12">
        <v>45993.0</v>
      </c>
      <c r="B949" s="13" t="s">
        <v>16</v>
      </c>
      <c r="C949" s="28" t="s">
        <v>892</v>
      </c>
      <c r="D949" s="23"/>
      <c r="E949" s="21">
        <f t="shared" si="1"/>
        <v>4781.17</v>
      </c>
      <c r="F949" s="23">
        <v>1107.04</v>
      </c>
      <c r="G949" s="21">
        <f t="shared" si="2"/>
        <v>496787.4</v>
      </c>
      <c r="H949" s="23"/>
      <c r="I949" s="21">
        <f t="shared" si="6"/>
        <v>1612.83</v>
      </c>
      <c r="J949" s="23"/>
      <c r="K949" s="21">
        <f t="shared" si="4"/>
        <v>320582.31</v>
      </c>
      <c r="L949" s="23"/>
      <c r="M949" s="21">
        <f t="shared" si="7"/>
        <v>1896.93</v>
      </c>
    </row>
    <row r="950" ht="20.25" customHeight="1" outlineLevel="1">
      <c r="A950" s="12">
        <v>45993.0</v>
      </c>
      <c r="B950" s="13" t="s">
        <v>16</v>
      </c>
      <c r="C950" s="28" t="s">
        <v>893</v>
      </c>
      <c r="D950" s="23"/>
      <c r="E950" s="21">
        <f t="shared" si="1"/>
        <v>4781.17</v>
      </c>
      <c r="F950" s="23">
        <v>49.8</v>
      </c>
      <c r="G950" s="21">
        <f t="shared" si="2"/>
        <v>496837.2</v>
      </c>
      <c r="H950" s="23"/>
      <c r="I950" s="21">
        <f t="shared" si="6"/>
        <v>1612.83</v>
      </c>
      <c r="J950" s="23"/>
      <c r="K950" s="21">
        <f t="shared" si="4"/>
        <v>320582.31</v>
      </c>
      <c r="L950" s="23"/>
      <c r="M950" s="21">
        <f t="shared" si="7"/>
        <v>1896.93</v>
      </c>
    </row>
    <row r="951" ht="20.25" customHeight="1" outlineLevel="1">
      <c r="A951" s="12">
        <v>45993.0</v>
      </c>
      <c r="B951" s="13" t="s">
        <v>179</v>
      </c>
      <c r="C951" s="28" t="s">
        <v>615</v>
      </c>
      <c r="D951" s="23"/>
      <c r="E951" s="21">
        <f t="shared" si="1"/>
        <v>4781.17</v>
      </c>
      <c r="F951" s="27">
        <v>6950.0</v>
      </c>
      <c r="G951" s="21">
        <f t="shared" si="2"/>
        <v>503787.2</v>
      </c>
      <c r="H951" s="23"/>
      <c r="I951" s="21">
        <f t="shared" si="6"/>
        <v>1612.83</v>
      </c>
      <c r="J951" s="23"/>
      <c r="K951" s="21">
        <f t="shared" si="4"/>
        <v>320582.31</v>
      </c>
      <c r="L951" s="23"/>
      <c r="M951" s="21">
        <f t="shared" si="7"/>
        <v>1896.93</v>
      </c>
    </row>
    <row r="952" ht="20.25" customHeight="1" outlineLevel="1">
      <c r="A952" s="12">
        <v>45993.0</v>
      </c>
      <c r="B952" s="13" t="s">
        <v>14</v>
      </c>
      <c r="C952" s="28" t="s">
        <v>894</v>
      </c>
      <c r="D952" s="23"/>
      <c r="E952" s="21">
        <f t="shared" si="1"/>
        <v>4781.17</v>
      </c>
      <c r="F952" s="22">
        <v>-10.0</v>
      </c>
      <c r="G952" s="21">
        <f t="shared" si="2"/>
        <v>503777.2</v>
      </c>
      <c r="H952" s="23"/>
      <c r="I952" s="21">
        <f t="shared" si="6"/>
        <v>1612.83</v>
      </c>
      <c r="J952" s="23"/>
      <c r="K952" s="21">
        <f t="shared" si="4"/>
        <v>320582.31</v>
      </c>
      <c r="L952" s="23"/>
      <c r="M952" s="21">
        <f t="shared" si="7"/>
        <v>1896.93</v>
      </c>
    </row>
    <row r="953" ht="20.25" customHeight="1">
      <c r="A953" s="12">
        <v>45993.0</v>
      </c>
      <c r="B953" s="13" t="s">
        <v>14</v>
      </c>
      <c r="C953" s="70" t="s">
        <v>30</v>
      </c>
      <c r="D953" s="23"/>
      <c r="E953" s="21">
        <f t="shared" si="1"/>
        <v>4781.17</v>
      </c>
      <c r="F953" s="22">
        <v>-8.21</v>
      </c>
      <c r="G953" s="21">
        <f t="shared" si="2"/>
        <v>503768.99</v>
      </c>
      <c r="H953" s="23"/>
      <c r="I953" s="21">
        <f t="shared" si="6"/>
        <v>1612.83</v>
      </c>
      <c r="J953" s="23"/>
      <c r="K953" s="21">
        <f t="shared" si="4"/>
        <v>320582.31</v>
      </c>
      <c r="L953" s="23"/>
      <c r="M953" s="21">
        <f t="shared" si="7"/>
        <v>1896.93</v>
      </c>
    </row>
    <row r="954" ht="20.25" customHeight="1">
      <c r="A954" s="12">
        <v>45993.0</v>
      </c>
      <c r="B954" s="13" t="s">
        <v>57</v>
      </c>
      <c r="C954" s="28" t="s">
        <v>33</v>
      </c>
      <c r="D954" s="23"/>
      <c r="E954" s="21">
        <f t="shared" si="1"/>
        <v>4781.17</v>
      </c>
      <c r="F954" s="23"/>
      <c r="G954" s="21">
        <f t="shared" si="2"/>
        <v>503768.99</v>
      </c>
      <c r="H954" s="23"/>
      <c r="I954" s="21">
        <f t="shared" si="6"/>
        <v>1612.83</v>
      </c>
      <c r="J954" s="22">
        <v>-509.07</v>
      </c>
      <c r="K954" s="21">
        <f t="shared" si="4"/>
        <v>320073.24</v>
      </c>
      <c r="L954" s="23"/>
      <c r="M954" s="21">
        <f t="shared" si="7"/>
        <v>1896.93</v>
      </c>
    </row>
    <row r="955" ht="20.25" customHeight="1" outlineLevel="1">
      <c r="A955" s="12">
        <v>45993.0</v>
      </c>
      <c r="B955" s="13" t="s">
        <v>16</v>
      </c>
      <c r="C955" s="28" t="s">
        <v>895</v>
      </c>
      <c r="D955" s="23"/>
      <c r="E955" s="21">
        <f t="shared" si="1"/>
        <v>4781.17</v>
      </c>
      <c r="F955" s="23"/>
      <c r="G955" s="21">
        <f t="shared" si="2"/>
        <v>503768.99</v>
      </c>
      <c r="H955" s="23"/>
      <c r="I955" s="21">
        <f t="shared" si="6"/>
        <v>1612.83</v>
      </c>
      <c r="J955" s="23">
        <v>30.0</v>
      </c>
      <c r="K955" s="21">
        <f t="shared" si="4"/>
        <v>320103.24</v>
      </c>
      <c r="L955" s="23"/>
      <c r="M955" s="21">
        <f t="shared" si="7"/>
        <v>1896.93</v>
      </c>
    </row>
    <row r="956" ht="20.25" customHeight="1" outlineLevel="1">
      <c r="A956" s="12">
        <v>45993.0</v>
      </c>
      <c r="B956" s="13" t="s">
        <v>16</v>
      </c>
      <c r="C956" s="70" t="s">
        <v>896</v>
      </c>
      <c r="D956" s="23"/>
      <c r="E956" s="21">
        <f t="shared" si="1"/>
        <v>4781.17</v>
      </c>
      <c r="F956" s="23"/>
      <c r="G956" s="21">
        <f t="shared" si="2"/>
        <v>503768.99</v>
      </c>
      <c r="H956" s="23"/>
      <c r="I956" s="21">
        <f t="shared" si="6"/>
        <v>1612.83</v>
      </c>
      <c r="J956" s="23">
        <v>795.0</v>
      </c>
      <c r="K956" s="21">
        <f t="shared" si="4"/>
        <v>320898.24</v>
      </c>
      <c r="L956" s="23"/>
      <c r="M956" s="21">
        <f t="shared" si="7"/>
        <v>1896.93</v>
      </c>
    </row>
    <row r="957" ht="20.25" customHeight="1" outlineLevel="1">
      <c r="A957" s="12">
        <v>45993.0</v>
      </c>
      <c r="B957" s="13" t="s">
        <v>16</v>
      </c>
      <c r="C957" s="70" t="s">
        <v>897</v>
      </c>
      <c r="D957" s="23">
        <v>173.2</v>
      </c>
      <c r="E957" s="21">
        <f t="shared" si="1"/>
        <v>4954.37</v>
      </c>
      <c r="F957" s="23"/>
      <c r="G957" s="21">
        <f t="shared" si="2"/>
        <v>503768.99</v>
      </c>
      <c r="H957" s="23"/>
      <c r="I957" s="21">
        <f t="shared" si="6"/>
        <v>1612.83</v>
      </c>
      <c r="J957" s="23"/>
      <c r="K957" s="21">
        <f t="shared" si="4"/>
        <v>320898.24</v>
      </c>
      <c r="L957" s="23"/>
      <c r="M957" s="21">
        <f t="shared" si="7"/>
        <v>1896.93</v>
      </c>
    </row>
    <row r="958" ht="20.25" customHeight="1" outlineLevel="1">
      <c r="A958" s="12">
        <v>45993.0</v>
      </c>
      <c r="B958" s="13" t="s">
        <v>12</v>
      </c>
      <c r="C958" s="28" t="s">
        <v>898</v>
      </c>
      <c r="D958" s="23"/>
      <c r="E958" s="21">
        <f t="shared" si="1"/>
        <v>4954.37</v>
      </c>
      <c r="F958" s="23"/>
      <c r="G958" s="21">
        <f t="shared" si="2"/>
        <v>503768.99</v>
      </c>
      <c r="H958" s="22">
        <v>-132.52</v>
      </c>
      <c r="I958" s="21">
        <f t="shared" si="6"/>
        <v>1480.31</v>
      </c>
      <c r="J958" s="23"/>
      <c r="K958" s="21">
        <f t="shared" si="4"/>
        <v>320898.24</v>
      </c>
      <c r="L958" s="23"/>
      <c r="M958" s="21">
        <f t="shared" si="7"/>
        <v>1896.93</v>
      </c>
    </row>
    <row r="959" ht="20.25" customHeight="1" outlineLevel="1">
      <c r="A959" s="12">
        <v>45994.0</v>
      </c>
      <c r="B959" s="13" t="s">
        <v>16</v>
      </c>
      <c r="C959" s="28" t="s">
        <v>899</v>
      </c>
      <c r="D959" s="23"/>
      <c r="E959" s="21">
        <f t="shared" si="1"/>
        <v>4954.37</v>
      </c>
      <c r="F959" s="23">
        <v>20.0</v>
      </c>
      <c r="G959" s="21">
        <f t="shared" si="2"/>
        <v>503788.99</v>
      </c>
      <c r="H959" s="23"/>
      <c r="I959" s="21">
        <f t="shared" si="6"/>
        <v>1480.31</v>
      </c>
      <c r="J959" s="23"/>
      <c r="K959" s="21">
        <f t="shared" si="4"/>
        <v>320898.24</v>
      </c>
      <c r="L959" s="23"/>
      <c r="M959" s="21">
        <f t="shared" si="7"/>
        <v>1896.93</v>
      </c>
    </row>
    <row r="960" ht="20.25" customHeight="1" outlineLevel="1">
      <c r="A960" s="12">
        <v>45994.0</v>
      </c>
      <c r="B960" s="13" t="s">
        <v>16</v>
      </c>
      <c r="C960" s="28" t="s">
        <v>900</v>
      </c>
      <c r="D960" s="23"/>
      <c r="E960" s="21">
        <f t="shared" si="1"/>
        <v>4954.37</v>
      </c>
      <c r="F960" s="23">
        <v>110.0</v>
      </c>
      <c r="G960" s="21">
        <f t="shared" si="2"/>
        <v>503898.99</v>
      </c>
      <c r="H960" s="23"/>
      <c r="I960" s="21">
        <f t="shared" si="6"/>
        <v>1480.31</v>
      </c>
      <c r="J960" s="23"/>
      <c r="K960" s="21">
        <f t="shared" si="4"/>
        <v>320898.24</v>
      </c>
      <c r="L960" s="23"/>
      <c r="M960" s="21">
        <f t="shared" si="7"/>
        <v>1896.93</v>
      </c>
    </row>
    <row r="961" ht="20.25" customHeight="1" outlineLevel="1">
      <c r="A961" s="12">
        <v>45994.0</v>
      </c>
      <c r="B961" s="13" t="s">
        <v>16</v>
      </c>
      <c r="C961" s="28" t="s">
        <v>901</v>
      </c>
      <c r="D961" s="23"/>
      <c r="E961" s="21">
        <f t="shared" si="1"/>
        <v>4954.37</v>
      </c>
      <c r="F961" s="23">
        <v>455.0</v>
      </c>
      <c r="G961" s="21">
        <f t="shared" si="2"/>
        <v>504353.99</v>
      </c>
      <c r="H961" s="23"/>
      <c r="I961" s="21">
        <f t="shared" si="6"/>
        <v>1480.31</v>
      </c>
      <c r="J961" s="23"/>
      <c r="K961" s="21">
        <f t="shared" si="4"/>
        <v>320898.24</v>
      </c>
      <c r="L961" s="23"/>
      <c r="M961" s="21">
        <f t="shared" si="7"/>
        <v>1896.93</v>
      </c>
    </row>
    <row r="962" ht="20.25" customHeight="1" outlineLevel="1">
      <c r="A962" s="12">
        <v>45994.0</v>
      </c>
      <c r="B962" s="13" t="s">
        <v>16</v>
      </c>
      <c r="C962" s="28" t="s">
        <v>902</v>
      </c>
      <c r="D962" s="23"/>
      <c r="E962" s="21">
        <f t="shared" si="1"/>
        <v>4954.37</v>
      </c>
      <c r="F962" s="23">
        <v>237.78</v>
      </c>
      <c r="G962" s="21">
        <f t="shared" si="2"/>
        <v>504591.77</v>
      </c>
      <c r="H962" s="23"/>
      <c r="I962" s="21">
        <f t="shared" si="6"/>
        <v>1480.31</v>
      </c>
      <c r="J962" s="23"/>
      <c r="K962" s="21">
        <f t="shared" si="4"/>
        <v>320898.24</v>
      </c>
      <c r="L962" s="23"/>
      <c r="M962" s="21">
        <f t="shared" si="7"/>
        <v>1896.93</v>
      </c>
    </row>
    <row r="963" ht="20.25" customHeight="1" outlineLevel="1">
      <c r="A963" s="12">
        <v>45994.0</v>
      </c>
      <c r="B963" s="13" t="s">
        <v>16</v>
      </c>
      <c r="C963" s="28" t="s">
        <v>903</v>
      </c>
      <c r="D963" s="23"/>
      <c r="E963" s="21">
        <f t="shared" si="1"/>
        <v>4954.37</v>
      </c>
      <c r="F963" s="23">
        <v>19.8</v>
      </c>
      <c r="G963" s="21">
        <f t="shared" si="2"/>
        <v>504611.57</v>
      </c>
      <c r="H963" s="23"/>
      <c r="I963" s="21">
        <f t="shared" si="6"/>
        <v>1480.31</v>
      </c>
      <c r="J963" s="23"/>
      <c r="K963" s="21">
        <f t="shared" si="4"/>
        <v>320898.24</v>
      </c>
      <c r="L963" s="23"/>
      <c r="M963" s="21">
        <f t="shared" si="7"/>
        <v>1896.93</v>
      </c>
    </row>
    <row r="964" ht="20.25" customHeight="1" outlineLevel="1">
      <c r="A964" s="12">
        <v>45994.0</v>
      </c>
      <c r="B964" s="13" t="s">
        <v>63</v>
      </c>
      <c r="C964" s="69" t="s">
        <v>904</v>
      </c>
      <c r="D964" s="23"/>
      <c r="E964" s="21">
        <f t="shared" si="1"/>
        <v>4954.37</v>
      </c>
      <c r="F964" s="51">
        <v>427.0</v>
      </c>
      <c r="G964" s="21">
        <f t="shared" si="2"/>
        <v>505038.57</v>
      </c>
      <c r="H964" s="23"/>
      <c r="I964" s="21">
        <f t="shared" si="6"/>
        <v>1480.31</v>
      </c>
      <c r="J964" s="23"/>
      <c r="K964" s="21">
        <f t="shared" si="4"/>
        <v>320898.24</v>
      </c>
      <c r="L964" s="23"/>
      <c r="M964" s="21">
        <f t="shared" si="7"/>
        <v>1896.93</v>
      </c>
    </row>
    <row r="965" ht="20.25" customHeight="1" outlineLevel="1">
      <c r="A965" s="12">
        <v>45994.0</v>
      </c>
      <c r="B965" s="13" t="s">
        <v>63</v>
      </c>
      <c r="C965" s="69" t="s">
        <v>905</v>
      </c>
      <c r="D965" s="23"/>
      <c r="E965" s="21">
        <f t="shared" si="1"/>
        <v>4954.37</v>
      </c>
      <c r="F965" s="51">
        <v>122.0</v>
      </c>
      <c r="G965" s="21">
        <f t="shared" si="2"/>
        <v>505160.57</v>
      </c>
      <c r="H965" s="23"/>
      <c r="I965" s="21">
        <f t="shared" si="6"/>
        <v>1480.31</v>
      </c>
      <c r="J965" s="23"/>
      <c r="K965" s="21">
        <f t="shared" si="4"/>
        <v>320898.24</v>
      </c>
      <c r="L965" s="23"/>
      <c r="M965" s="21">
        <f t="shared" si="7"/>
        <v>1896.93</v>
      </c>
    </row>
    <row r="966" ht="20.25" customHeight="1" outlineLevel="1">
      <c r="A966" s="12">
        <v>45994.0</v>
      </c>
      <c r="B966" s="13" t="s">
        <v>14</v>
      </c>
      <c r="C966" s="28" t="s">
        <v>906</v>
      </c>
      <c r="D966" s="23"/>
      <c r="E966" s="21">
        <f t="shared" si="1"/>
        <v>4954.37</v>
      </c>
      <c r="F966" s="22">
        <v>-10.0</v>
      </c>
      <c r="G966" s="21">
        <f t="shared" si="2"/>
        <v>505150.57</v>
      </c>
      <c r="H966" s="23"/>
      <c r="I966" s="21">
        <f t="shared" si="6"/>
        <v>1480.31</v>
      </c>
      <c r="J966" s="23"/>
      <c r="K966" s="21">
        <f t="shared" si="4"/>
        <v>320898.24</v>
      </c>
      <c r="L966" s="23"/>
      <c r="M966" s="21">
        <f t="shared" si="7"/>
        <v>1896.93</v>
      </c>
    </row>
    <row r="967" ht="20.25" customHeight="1" outlineLevel="1">
      <c r="A967" s="12">
        <v>45994.0</v>
      </c>
      <c r="B967" s="13" t="s">
        <v>14</v>
      </c>
      <c r="C967" s="28" t="s">
        <v>907</v>
      </c>
      <c r="D967" s="23"/>
      <c r="E967" s="21">
        <f t="shared" si="1"/>
        <v>4954.37</v>
      </c>
      <c r="F967" s="22">
        <v>-5.0</v>
      </c>
      <c r="G967" s="21">
        <f t="shared" si="2"/>
        <v>505145.57</v>
      </c>
      <c r="H967" s="23"/>
      <c r="I967" s="21">
        <f t="shared" si="6"/>
        <v>1480.31</v>
      </c>
      <c r="J967" s="23"/>
      <c r="K967" s="21">
        <f t="shared" si="4"/>
        <v>320898.24</v>
      </c>
      <c r="L967" s="23"/>
      <c r="M967" s="21">
        <f t="shared" si="7"/>
        <v>1896.93</v>
      </c>
    </row>
    <row r="968" ht="20.25" customHeight="1" outlineLevel="1">
      <c r="A968" s="12">
        <v>45994.0</v>
      </c>
      <c r="B968" s="13" t="s">
        <v>14</v>
      </c>
      <c r="C968" s="28" t="s">
        <v>908</v>
      </c>
      <c r="D968" s="23"/>
      <c r="E968" s="21">
        <f t="shared" si="1"/>
        <v>4954.37</v>
      </c>
      <c r="F968" s="22">
        <v>-209.67</v>
      </c>
      <c r="G968" s="21">
        <f t="shared" si="2"/>
        <v>504935.9</v>
      </c>
      <c r="H968" s="23"/>
      <c r="I968" s="21">
        <f t="shared" si="6"/>
        <v>1480.31</v>
      </c>
      <c r="J968" s="23"/>
      <c r="K968" s="21">
        <f t="shared" si="4"/>
        <v>320898.24</v>
      </c>
      <c r="L968" s="23"/>
      <c r="M968" s="21">
        <f t="shared" si="7"/>
        <v>1896.93</v>
      </c>
    </row>
    <row r="969" ht="20.25" customHeight="1" outlineLevel="1">
      <c r="A969" s="12">
        <v>45994.0</v>
      </c>
      <c r="B969" s="13" t="s">
        <v>14</v>
      </c>
      <c r="C969" s="28" t="s">
        <v>909</v>
      </c>
      <c r="D969" s="23"/>
      <c r="E969" s="21">
        <f t="shared" si="1"/>
        <v>4954.37</v>
      </c>
      <c r="F969" s="22">
        <v>-64.32</v>
      </c>
      <c r="G969" s="21">
        <f t="shared" si="2"/>
        <v>504871.58</v>
      </c>
      <c r="H969" s="23"/>
      <c r="I969" s="21">
        <f t="shared" si="6"/>
        <v>1480.31</v>
      </c>
      <c r="J969" s="23"/>
      <c r="K969" s="21">
        <f t="shared" si="4"/>
        <v>320898.24</v>
      </c>
      <c r="L969" s="23"/>
      <c r="M969" s="21">
        <f t="shared" si="7"/>
        <v>1896.93</v>
      </c>
    </row>
    <row r="970" ht="20.25" customHeight="1" outlineLevel="1">
      <c r="A970" s="12">
        <v>45994.0</v>
      </c>
      <c r="B970" s="13" t="s">
        <v>12</v>
      </c>
      <c r="C970" s="28" t="s">
        <v>910</v>
      </c>
      <c r="D970" s="23"/>
      <c r="E970" s="21">
        <f t="shared" si="1"/>
        <v>4954.37</v>
      </c>
      <c r="F970" s="22">
        <v>-39.54</v>
      </c>
      <c r="G970" s="21">
        <f t="shared" si="2"/>
        <v>504832.04</v>
      </c>
      <c r="H970" s="23"/>
      <c r="I970" s="21">
        <f t="shared" si="6"/>
        <v>1480.31</v>
      </c>
      <c r="J970" s="23"/>
      <c r="K970" s="21">
        <f t="shared" si="4"/>
        <v>320898.24</v>
      </c>
      <c r="L970" s="23"/>
      <c r="M970" s="21">
        <f t="shared" si="7"/>
        <v>1896.93</v>
      </c>
    </row>
    <row r="971" ht="20.25" customHeight="1" outlineLevel="1">
      <c r="A971" s="12">
        <v>45994.0</v>
      </c>
      <c r="B971" s="13" t="s">
        <v>14</v>
      </c>
      <c r="C971" s="28" t="s">
        <v>52</v>
      </c>
      <c r="D971" s="23"/>
      <c r="E971" s="21">
        <f t="shared" si="1"/>
        <v>4954.37</v>
      </c>
      <c r="F971" s="23"/>
      <c r="G971" s="21">
        <f t="shared" si="2"/>
        <v>504832.04</v>
      </c>
      <c r="H971" s="23"/>
      <c r="I971" s="21">
        <f t="shared" si="6"/>
        <v>1480.31</v>
      </c>
      <c r="J971" s="22">
        <v>-124.49</v>
      </c>
      <c r="K971" s="21">
        <f t="shared" si="4"/>
        <v>320773.75</v>
      </c>
      <c r="L971" s="23"/>
      <c r="M971" s="21">
        <f t="shared" si="7"/>
        <v>1896.93</v>
      </c>
    </row>
    <row r="972" ht="20.25" customHeight="1" outlineLevel="1">
      <c r="A972" s="12">
        <v>45994.0</v>
      </c>
      <c r="B972" s="13" t="s">
        <v>16</v>
      </c>
      <c r="C972" s="205" t="s">
        <v>911</v>
      </c>
      <c r="D972" s="23"/>
      <c r="E972" s="21">
        <f t="shared" si="1"/>
        <v>4954.37</v>
      </c>
      <c r="F972" s="23"/>
      <c r="G972" s="21">
        <f t="shared" si="2"/>
        <v>504832.04</v>
      </c>
      <c r="H972" s="23"/>
      <c r="I972" s="21">
        <f t="shared" si="6"/>
        <v>1480.31</v>
      </c>
      <c r="J972" s="23">
        <v>255.0</v>
      </c>
      <c r="K972" s="21">
        <f t="shared" si="4"/>
        <v>321028.75</v>
      </c>
      <c r="L972" s="23"/>
      <c r="M972" s="21">
        <f t="shared" si="7"/>
        <v>1896.93</v>
      </c>
    </row>
    <row r="973" ht="20.25" customHeight="1" outlineLevel="1">
      <c r="A973" s="12">
        <v>45994.0</v>
      </c>
      <c r="B973" s="13" t="s">
        <v>14</v>
      </c>
      <c r="C973" s="28" t="s">
        <v>34</v>
      </c>
      <c r="D973" s="23"/>
      <c r="E973" s="21">
        <f t="shared" si="1"/>
        <v>4954.37</v>
      </c>
      <c r="F973" s="23"/>
      <c r="G973" s="21">
        <f t="shared" si="2"/>
        <v>504832.04</v>
      </c>
      <c r="H973" s="23"/>
      <c r="I973" s="21">
        <f t="shared" si="6"/>
        <v>1480.31</v>
      </c>
      <c r="J973" s="22">
        <v>-43.41</v>
      </c>
      <c r="K973" s="21">
        <f t="shared" si="4"/>
        <v>320985.34</v>
      </c>
      <c r="L973" s="23"/>
      <c r="M973" s="21">
        <f t="shared" si="7"/>
        <v>1896.93</v>
      </c>
    </row>
    <row r="974" ht="20.25" customHeight="1" outlineLevel="1">
      <c r="A974" s="12">
        <v>45994.0</v>
      </c>
      <c r="B974" s="13" t="s">
        <v>16</v>
      </c>
      <c r="C974" s="28" t="s">
        <v>912</v>
      </c>
      <c r="D974" s="23"/>
      <c r="E974" s="21">
        <f t="shared" si="1"/>
        <v>4954.37</v>
      </c>
      <c r="F974" s="23"/>
      <c r="G974" s="21">
        <f t="shared" si="2"/>
        <v>504832.04</v>
      </c>
      <c r="H974" s="23"/>
      <c r="I974" s="21">
        <f t="shared" si="6"/>
        <v>1480.31</v>
      </c>
      <c r="J974" s="23">
        <v>208.0</v>
      </c>
      <c r="K974" s="21">
        <f t="shared" si="4"/>
        <v>321193.34</v>
      </c>
      <c r="L974" s="23"/>
      <c r="M974" s="21">
        <f t="shared" si="7"/>
        <v>1896.93</v>
      </c>
    </row>
    <row r="975" ht="20.25" customHeight="1" outlineLevel="1">
      <c r="A975" s="12">
        <v>45994.0</v>
      </c>
      <c r="B975" s="13" t="s">
        <v>16</v>
      </c>
      <c r="C975" s="206" t="s">
        <v>913</v>
      </c>
      <c r="D975" s="20"/>
      <c r="E975" s="21">
        <f t="shared" si="1"/>
        <v>4954.37</v>
      </c>
      <c r="F975" s="23"/>
      <c r="G975" s="21">
        <f t="shared" si="2"/>
        <v>504832.04</v>
      </c>
      <c r="H975" s="23"/>
      <c r="I975" s="21">
        <f t="shared" si="6"/>
        <v>1480.31</v>
      </c>
      <c r="J975" s="23">
        <v>557.0</v>
      </c>
      <c r="K975" s="21">
        <f t="shared" si="4"/>
        <v>321750.34</v>
      </c>
      <c r="L975" s="23"/>
      <c r="M975" s="21">
        <f t="shared" si="7"/>
        <v>1896.93</v>
      </c>
    </row>
    <row r="976" ht="20.25" customHeight="1" outlineLevel="1">
      <c r="A976" s="12">
        <v>45994.0</v>
      </c>
      <c r="B976" s="13" t="s">
        <v>57</v>
      </c>
      <c r="C976" s="207" t="s">
        <v>914</v>
      </c>
      <c r="D976" s="20"/>
      <c r="E976" s="21">
        <f t="shared" si="1"/>
        <v>4954.37</v>
      </c>
      <c r="F976" s="23"/>
      <c r="G976" s="21">
        <f t="shared" si="2"/>
        <v>504832.04</v>
      </c>
      <c r="H976" s="23"/>
      <c r="I976" s="21">
        <f t="shared" si="6"/>
        <v>1480.31</v>
      </c>
      <c r="J976" s="22">
        <v>-1886.82</v>
      </c>
      <c r="K976" s="21">
        <f t="shared" si="4"/>
        <v>319863.52</v>
      </c>
      <c r="L976" s="23"/>
      <c r="M976" s="21">
        <f t="shared" si="7"/>
        <v>1896.93</v>
      </c>
    </row>
    <row r="977" ht="20.25" customHeight="1" outlineLevel="1">
      <c r="A977" s="12">
        <v>45994.0</v>
      </c>
      <c r="B977" s="13" t="s">
        <v>16</v>
      </c>
      <c r="C977" s="207" t="s">
        <v>915</v>
      </c>
      <c r="D977" s="20">
        <v>180.0</v>
      </c>
      <c r="E977" s="21">
        <f t="shared" si="1"/>
        <v>5134.37</v>
      </c>
      <c r="F977" s="23"/>
      <c r="G977" s="21">
        <f t="shared" si="2"/>
        <v>504832.04</v>
      </c>
      <c r="H977" s="23"/>
      <c r="I977" s="21">
        <f t="shared" si="6"/>
        <v>1480.31</v>
      </c>
      <c r="J977" s="23"/>
      <c r="K977" s="21">
        <f t="shared" si="4"/>
        <v>319863.52</v>
      </c>
      <c r="L977" s="23"/>
      <c r="M977" s="21">
        <f t="shared" si="7"/>
        <v>1896.93</v>
      </c>
    </row>
    <row r="978" ht="20.25" customHeight="1" outlineLevel="1">
      <c r="A978" s="12">
        <v>45995.0</v>
      </c>
      <c r="B978" s="13" t="s">
        <v>16</v>
      </c>
      <c r="C978" s="207" t="s">
        <v>916</v>
      </c>
      <c r="D978" s="20"/>
      <c r="E978" s="21">
        <f t="shared" si="1"/>
        <v>5134.37</v>
      </c>
      <c r="F978" s="23">
        <v>936.09</v>
      </c>
      <c r="G978" s="21">
        <f t="shared" si="2"/>
        <v>505768.13</v>
      </c>
      <c r="H978" s="23"/>
      <c r="I978" s="21">
        <f t="shared" si="6"/>
        <v>1480.31</v>
      </c>
      <c r="J978" s="23"/>
      <c r="K978" s="21">
        <f t="shared" si="4"/>
        <v>319863.52</v>
      </c>
      <c r="L978" s="23"/>
      <c r="M978" s="21">
        <f t="shared" si="7"/>
        <v>1896.93</v>
      </c>
    </row>
    <row r="979" ht="20.25" customHeight="1" outlineLevel="1">
      <c r="A979" s="12">
        <v>45995.0</v>
      </c>
      <c r="B979" s="13" t="s">
        <v>14</v>
      </c>
      <c r="C979" s="207" t="s">
        <v>909</v>
      </c>
      <c r="D979" s="20"/>
      <c r="E979" s="21">
        <f t="shared" si="1"/>
        <v>5134.37</v>
      </c>
      <c r="F979" s="22">
        <v>-0.4</v>
      </c>
      <c r="G979" s="21">
        <f t="shared" si="2"/>
        <v>505767.73</v>
      </c>
      <c r="H979" s="23"/>
      <c r="I979" s="21">
        <f t="shared" si="6"/>
        <v>1480.31</v>
      </c>
      <c r="J979" s="23"/>
      <c r="K979" s="21">
        <f t="shared" si="4"/>
        <v>319863.52</v>
      </c>
      <c r="L979" s="23"/>
      <c r="M979" s="21">
        <f t="shared" si="7"/>
        <v>1896.93</v>
      </c>
    </row>
    <row r="980" ht="20.25" customHeight="1" outlineLevel="1">
      <c r="A980" s="12">
        <v>45995.0</v>
      </c>
      <c r="B980" s="13" t="s">
        <v>14</v>
      </c>
      <c r="C980" s="28" t="s">
        <v>908</v>
      </c>
      <c r="D980" s="20"/>
      <c r="E980" s="21">
        <f t="shared" si="1"/>
        <v>5134.37</v>
      </c>
      <c r="F980" s="22">
        <v>-0.4</v>
      </c>
      <c r="G980" s="21">
        <f t="shared" si="2"/>
        <v>505767.33</v>
      </c>
      <c r="H980" s="23"/>
      <c r="I980" s="21">
        <f t="shared" si="6"/>
        <v>1480.31</v>
      </c>
      <c r="J980" s="23"/>
      <c r="K980" s="21">
        <f t="shared" si="4"/>
        <v>319863.52</v>
      </c>
      <c r="L980" s="23"/>
      <c r="M980" s="21">
        <f t="shared" si="7"/>
        <v>1896.93</v>
      </c>
    </row>
    <row r="981" ht="20.25" customHeight="1" outlineLevel="1">
      <c r="A981" s="12">
        <v>45995.0</v>
      </c>
      <c r="B981" s="13" t="s">
        <v>14</v>
      </c>
      <c r="C981" s="28" t="s">
        <v>34</v>
      </c>
      <c r="D981" s="20"/>
      <c r="E981" s="21">
        <f t="shared" si="1"/>
        <v>5134.37</v>
      </c>
      <c r="F981" s="23"/>
      <c r="G981" s="21">
        <f t="shared" si="2"/>
        <v>505767.33</v>
      </c>
      <c r="H981" s="23"/>
      <c r="I981" s="21">
        <f t="shared" si="6"/>
        <v>1480.31</v>
      </c>
      <c r="J981" s="22">
        <v>-36.48</v>
      </c>
      <c r="K981" s="21">
        <f t="shared" si="4"/>
        <v>319827.04</v>
      </c>
      <c r="L981" s="23"/>
      <c r="M981" s="21">
        <f t="shared" si="7"/>
        <v>1896.93</v>
      </c>
    </row>
    <row r="982" ht="20.25" customHeight="1" outlineLevel="1">
      <c r="A982" s="12">
        <v>45995.0</v>
      </c>
      <c r="B982" s="13" t="s">
        <v>14</v>
      </c>
      <c r="C982" s="28" t="s">
        <v>34</v>
      </c>
      <c r="D982" s="20"/>
      <c r="E982" s="21">
        <f t="shared" si="1"/>
        <v>5134.37</v>
      </c>
      <c r="F982" s="23"/>
      <c r="G982" s="21">
        <f t="shared" si="2"/>
        <v>505767.33</v>
      </c>
      <c r="H982" s="23"/>
      <c r="I982" s="21">
        <f t="shared" si="6"/>
        <v>1480.31</v>
      </c>
      <c r="J982" s="22">
        <v>-29.99</v>
      </c>
      <c r="K982" s="21">
        <f t="shared" si="4"/>
        <v>319797.05</v>
      </c>
      <c r="L982" s="23"/>
      <c r="M982" s="21">
        <f t="shared" si="7"/>
        <v>1896.93</v>
      </c>
    </row>
    <row r="983" ht="20.25" customHeight="1" outlineLevel="1">
      <c r="A983" s="12">
        <v>45995.0</v>
      </c>
      <c r="B983" s="13" t="s">
        <v>14</v>
      </c>
      <c r="C983" s="28" t="s">
        <v>34</v>
      </c>
      <c r="D983" s="20"/>
      <c r="E983" s="21">
        <f t="shared" si="1"/>
        <v>5134.37</v>
      </c>
      <c r="F983" s="23"/>
      <c r="G983" s="21">
        <f t="shared" si="2"/>
        <v>505767.33</v>
      </c>
      <c r="H983" s="23"/>
      <c r="I983" s="21">
        <f t="shared" si="6"/>
        <v>1480.31</v>
      </c>
      <c r="J983" s="22">
        <v>-24.08</v>
      </c>
      <c r="K983" s="21">
        <f t="shared" si="4"/>
        <v>319772.97</v>
      </c>
      <c r="L983" s="23"/>
      <c r="M983" s="21">
        <f t="shared" si="7"/>
        <v>1896.93</v>
      </c>
    </row>
    <row r="984" ht="20.25" customHeight="1" outlineLevel="1">
      <c r="A984" s="12">
        <v>45995.0</v>
      </c>
      <c r="B984" s="13" t="s">
        <v>368</v>
      </c>
      <c r="C984" s="70" t="s">
        <v>917</v>
      </c>
      <c r="D984" s="20"/>
      <c r="E984" s="21">
        <f t="shared" si="1"/>
        <v>5134.37</v>
      </c>
      <c r="F984" s="22">
        <v>-3450.0</v>
      </c>
      <c r="G984" s="21">
        <f t="shared" si="2"/>
        <v>502317.33</v>
      </c>
      <c r="H984" s="23"/>
      <c r="I984" s="21">
        <f t="shared" si="6"/>
        <v>1480.31</v>
      </c>
      <c r="J984" s="23"/>
      <c r="K984" s="21">
        <f t="shared" si="4"/>
        <v>319772.97</v>
      </c>
      <c r="L984" s="23"/>
      <c r="M984" s="21">
        <f t="shared" si="7"/>
        <v>1896.93</v>
      </c>
    </row>
    <row r="985" ht="20.25" customHeight="1" outlineLevel="1">
      <c r="A985" s="12">
        <v>45995.0</v>
      </c>
      <c r="B985" s="13" t="s">
        <v>14</v>
      </c>
      <c r="C985" s="70" t="s">
        <v>918</v>
      </c>
      <c r="D985" s="20"/>
      <c r="E985" s="21">
        <f t="shared" si="1"/>
        <v>5134.37</v>
      </c>
      <c r="F985" s="22">
        <v>-120.0</v>
      </c>
      <c r="G985" s="21">
        <f t="shared" si="2"/>
        <v>502197.33</v>
      </c>
      <c r="H985" s="23"/>
      <c r="I985" s="21">
        <f t="shared" si="6"/>
        <v>1480.31</v>
      </c>
      <c r="J985" s="23"/>
      <c r="K985" s="21">
        <f t="shared" si="4"/>
        <v>319772.97</v>
      </c>
      <c r="L985" s="23"/>
      <c r="M985" s="21">
        <f t="shared" si="7"/>
        <v>1896.93</v>
      </c>
    </row>
    <row r="986" ht="20.25" customHeight="1" outlineLevel="1">
      <c r="A986" s="12">
        <v>45995.0</v>
      </c>
      <c r="B986" s="13" t="s">
        <v>368</v>
      </c>
      <c r="C986" s="70" t="s">
        <v>919</v>
      </c>
      <c r="D986" s="20"/>
      <c r="E986" s="21">
        <f t="shared" si="1"/>
        <v>5134.37</v>
      </c>
      <c r="F986" s="22">
        <v>-11380.0</v>
      </c>
      <c r="G986" s="21">
        <f t="shared" si="2"/>
        <v>490817.33</v>
      </c>
      <c r="H986" s="23"/>
      <c r="I986" s="21">
        <f t="shared" si="6"/>
        <v>1480.31</v>
      </c>
      <c r="J986" s="23"/>
      <c r="K986" s="21">
        <f t="shared" si="4"/>
        <v>319772.97</v>
      </c>
      <c r="L986" s="23"/>
      <c r="M986" s="21">
        <f t="shared" si="7"/>
        <v>1896.93</v>
      </c>
    </row>
    <row r="987" ht="20.25" customHeight="1" outlineLevel="1">
      <c r="A987" s="12">
        <v>45995.0</v>
      </c>
      <c r="B987" s="13" t="s">
        <v>16</v>
      </c>
      <c r="C987" s="70" t="s">
        <v>920</v>
      </c>
      <c r="D987" s="20"/>
      <c r="E987" s="21">
        <f t="shared" si="1"/>
        <v>5134.37</v>
      </c>
      <c r="F987" s="23">
        <v>94.3</v>
      </c>
      <c r="G987" s="21">
        <f t="shared" si="2"/>
        <v>490911.63</v>
      </c>
      <c r="H987" s="23"/>
      <c r="I987" s="21">
        <f t="shared" si="6"/>
        <v>1480.31</v>
      </c>
      <c r="J987" s="23"/>
      <c r="K987" s="21">
        <f t="shared" si="4"/>
        <v>319772.97</v>
      </c>
      <c r="L987" s="23"/>
      <c r="M987" s="21">
        <f t="shared" si="7"/>
        <v>1896.93</v>
      </c>
    </row>
    <row r="988" ht="20.25" customHeight="1" outlineLevel="1">
      <c r="A988" s="12">
        <v>45995.0</v>
      </c>
      <c r="B988" s="13" t="s">
        <v>16</v>
      </c>
      <c r="C988" s="70" t="s">
        <v>921</v>
      </c>
      <c r="D988" s="20"/>
      <c r="E988" s="21">
        <f t="shared" si="1"/>
        <v>5134.37</v>
      </c>
      <c r="F988" s="23">
        <v>560.0</v>
      </c>
      <c r="G988" s="21">
        <f t="shared" si="2"/>
        <v>491471.63</v>
      </c>
      <c r="H988" s="23"/>
      <c r="I988" s="21">
        <f t="shared" si="6"/>
        <v>1480.31</v>
      </c>
      <c r="J988" s="23"/>
      <c r="K988" s="21">
        <f t="shared" si="4"/>
        <v>319772.97</v>
      </c>
      <c r="L988" s="23"/>
      <c r="M988" s="21">
        <f t="shared" si="7"/>
        <v>1896.93</v>
      </c>
    </row>
    <row r="989" ht="20.25" customHeight="1" outlineLevel="1">
      <c r="A989" s="12">
        <v>45995.0</v>
      </c>
      <c r="B989" s="13" t="s">
        <v>16</v>
      </c>
      <c r="C989" s="70" t="s">
        <v>922</v>
      </c>
      <c r="D989" s="20"/>
      <c r="E989" s="21">
        <f t="shared" si="1"/>
        <v>5134.37</v>
      </c>
      <c r="F989" s="23">
        <v>340.0</v>
      </c>
      <c r="G989" s="21">
        <f t="shared" si="2"/>
        <v>491811.63</v>
      </c>
      <c r="H989" s="23"/>
      <c r="I989" s="21">
        <f t="shared" si="6"/>
        <v>1480.31</v>
      </c>
      <c r="J989" s="23"/>
      <c r="K989" s="21">
        <f t="shared" si="4"/>
        <v>319772.97</v>
      </c>
      <c r="L989" s="23"/>
      <c r="M989" s="21">
        <f t="shared" si="7"/>
        <v>1896.93</v>
      </c>
    </row>
    <row r="990" ht="20.25" customHeight="1" outlineLevel="1">
      <c r="A990" s="12">
        <v>45995.0</v>
      </c>
      <c r="B990" s="13" t="s">
        <v>16</v>
      </c>
      <c r="C990" s="70" t="s">
        <v>923</v>
      </c>
      <c r="D990" s="20"/>
      <c r="E990" s="21">
        <f t="shared" si="1"/>
        <v>5134.37</v>
      </c>
      <c r="F990" s="23"/>
      <c r="G990" s="21">
        <f t="shared" si="2"/>
        <v>491811.63</v>
      </c>
      <c r="H990" s="23"/>
      <c r="I990" s="21">
        <f t="shared" si="6"/>
        <v>1480.31</v>
      </c>
      <c r="J990" s="23">
        <v>20.0</v>
      </c>
      <c r="K990" s="21">
        <f t="shared" si="4"/>
        <v>319792.97</v>
      </c>
      <c r="L990" s="23"/>
      <c r="M990" s="21">
        <f t="shared" si="7"/>
        <v>1896.93</v>
      </c>
    </row>
    <row r="991" ht="20.25" customHeight="1" outlineLevel="1">
      <c r="A991" s="12">
        <v>45995.0</v>
      </c>
      <c r="B991" s="13" t="s">
        <v>16</v>
      </c>
      <c r="C991" s="70" t="s">
        <v>721</v>
      </c>
      <c r="D991" s="20">
        <v>25.0</v>
      </c>
      <c r="E991" s="21">
        <f t="shared" si="1"/>
        <v>5159.37</v>
      </c>
      <c r="F991" s="23"/>
      <c r="G991" s="21">
        <f t="shared" si="2"/>
        <v>491811.63</v>
      </c>
      <c r="H991" s="23"/>
      <c r="I991" s="21">
        <f t="shared" si="6"/>
        <v>1480.31</v>
      </c>
      <c r="J991" s="23"/>
      <c r="K991" s="21">
        <f t="shared" si="4"/>
        <v>319792.97</v>
      </c>
      <c r="L991" s="23"/>
      <c r="M991" s="21">
        <f t="shared" si="7"/>
        <v>1896.93</v>
      </c>
    </row>
    <row r="992" ht="20.25" customHeight="1" outlineLevel="1">
      <c r="A992" s="12">
        <v>45996.0</v>
      </c>
      <c r="B992" s="13" t="s">
        <v>16</v>
      </c>
      <c r="C992" s="70" t="s">
        <v>924</v>
      </c>
      <c r="D992" s="20"/>
      <c r="E992" s="21">
        <f t="shared" si="1"/>
        <v>5159.37</v>
      </c>
      <c r="F992" s="23">
        <v>182.0</v>
      </c>
      <c r="G992" s="21">
        <f t="shared" si="2"/>
        <v>491993.63</v>
      </c>
      <c r="H992" s="23"/>
      <c r="I992" s="21">
        <f t="shared" si="6"/>
        <v>1480.31</v>
      </c>
      <c r="J992" s="23"/>
      <c r="K992" s="21">
        <f t="shared" si="4"/>
        <v>319792.97</v>
      </c>
      <c r="L992" s="23"/>
      <c r="M992" s="21">
        <f t="shared" si="7"/>
        <v>1896.93</v>
      </c>
    </row>
    <row r="993" ht="20.25" customHeight="1" outlineLevel="1">
      <c r="A993" s="12">
        <v>45996.0</v>
      </c>
      <c r="B993" s="13" t="s">
        <v>16</v>
      </c>
      <c r="C993" s="70" t="s">
        <v>925</v>
      </c>
      <c r="D993" s="20"/>
      <c r="E993" s="21">
        <f t="shared" si="1"/>
        <v>5159.37</v>
      </c>
      <c r="F993" s="23">
        <v>1010.0</v>
      </c>
      <c r="G993" s="21">
        <f t="shared" si="2"/>
        <v>493003.63</v>
      </c>
      <c r="H993" s="23"/>
      <c r="I993" s="21">
        <f t="shared" si="6"/>
        <v>1480.31</v>
      </c>
      <c r="J993" s="23"/>
      <c r="K993" s="21">
        <f t="shared" si="4"/>
        <v>319792.97</v>
      </c>
      <c r="L993" s="23"/>
      <c r="M993" s="21">
        <f t="shared" si="7"/>
        <v>1896.93</v>
      </c>
    </row>
    <row r="994" ht="20.25" customHeight="1" outlineLevel="1">
      <c r="A994" s="12">
        <v>45996.0</v>
      </c>
      <c r="B994" s="13" t="s">
        <v>16</v>
      </c>
      <c r="C994" s="70" t="s">
        <v>926</v>
      </c>
      <c r="D994" s="20"/>
      <c r="E994" s="21">
        <f t="shared" si="1"/>
        <v>5159.37</v>
      </c>
      <c r="F994" s="23">
        <v>80.0</v>
      </c>
      <c r="G994" s="21">
        <f t="shared" si="2"/>
        <v>493083.63</v>
      </c>
      <c r="H994" s="23"/>
      <c r="I994" s="21">
        <f t="shared" si="6"/>
        <v>1480.31</v>
      </c>
      <c r="J994" s="23"/>
      <c r="K994" s="21">
        <f t="shared" si="4"/>
        <v>319792.97</v>
      </c>
      <c r="L994" s="23"/>
      <c r="M994" s="21">
        <f t="shared" si="7"/>
        <v>1896.93</v>
      </c>
    </row>
    <row r="995" ht="20.25" customHeight="1" outlineLevel="1">
      <c r="A995" s="12">
        <v>45996.0</v>
      </c>
      <c r="B995" s="13" t="s">
        <v>16</v>
      </c>
      <c r="C995" s="70" t="s">
        <v>927</v>
      </c>
      <c r="D995" s="20"/>
      <c r="E995" s="21">
        <f t="shared" si="1"/>
        <v>5159.37</v>
      </c>
      <c r="F995" s="23">
        <v>420.76</v>
      </c>
      <c r="G995" s="21">
        <f t="shared" si="2"/>
        <v>493504.39</v>
      </c>
      <c r="H995" s="23"/>
      <c r="I995" s="21">
        <f t="shared" si="6"/>
        <v>1480.31</v>
      </c>
      <c r="J995" s="23"/>
      <c r="K995" s="21">
        <f t="shared" si="4"/>
        <v>319792.97</v>
      </c>
      <c r="L995" s="23"/>
      <c r="M995" s="21">
        <f t="shared" si="7"/>
        <v>1896.93</v>
      </c>
    </row>
    <row r="996" ht="20.25" customHeight="1" outlineLevel="1">
      <c r="A996" s="12">
        <v>45996.0</v>
      </c>
      <c r="B996" s="13" t="s">
        <v>16</v>
      </c>
      <c r="C996" s="70" t="s">
        <v>928</v>
      </c>
      <c r="D996" s="20"/>
      <c r="E996" s="21">
        <f t="shared" si="1"/>
        <v>5159.37</v>
      </c>
      <c r="F996" s="23">
        <v>39.6</v>
      </c>
      <c r="G996" s="21">
        <f t="shared" si="2"/>
        <v>493543.99</v>
      </c>
      <c r="H996" s="23"/>
      <c r="I996" s="21">
        <f t="shared" si="6"/>
        <v>1480.31</v>
      </c>
      <c r="J996" s="23"/>
      <c r="K996" s="21">
        <f t="shared" si="4"/>
        <v>319792.97</v>
      </c>
      <c r="L996" s="23"/>
      <c r="M996" s="21">
        <f t="shared" si="7"/>
        <v>1896.93</v>
      </c>
    </row>
    <row r="997" ht="20.25" customHeight="1" outlineLevel="1">
      <c r="A997" s="12">
        <v>45996.0</v>
      </c>
      <c r="B997" s="13" t="s">
        <v>63</v>
      </c>
      <c r="C997" s="208" t="s">
        <v>929</v>
      </c>
      <c r="D997" s="20"/>
      <c r="E997" s="21">
        <f t="shared" si="1"/>
        <v>5159.37</v>
      </c>
      <c r="F997" s="51">
        <v>2013.0</v>
      </c>
      <c r="G997" s="21">
        <f t="shared" si="2"/>
        <v>495556.99</v>
      </c>
      <c r="H997" s="23"/>
      <c r="I997" s="21">
        <f t="shared" si="6"/>
        <v>1480.31</v>
      </c>
      <c r="J997" s="23"/>
      <c r="K997" s="21">
        <f t="shared" si="4"/>
        <v>319792.97</v>
      </c>
      <c r="L997" s="23"/>
      <c r="M997" s="21">
        <f t="shared" si="7"/>
        <v>1896.93</v>
      </c>
    </row>
    <row r="998" ht="20.25" customHeight="1" outlineLevel="1">
      <c r="A998" s="12">
        <v>45996.0</v>
      </c>
      <c r="B998" s="13" t="s">
        <v>368</v>
      </c>
      <c r="C998" s="28" t="s">
        <v>930</v>
      </c>
      <c r="D998" s="20"/>
      <c r="E998" s="21">
        <f t="shared" si="1"/>
        <v>5159.37</v>
      </c>
      <c r="F998" s="22">
        <v>-1765.0</v>
      </c>
      <c r="G998" s="21">
        <f t="shared" si="2"/>
        <v>493791.99</v>
      </c>
      <c r="H998" s="23"/>
      <c r="I998" s="21">
        <f t="shared" si="6"/>
        <v>1480.31</v>
      </c>
      <c r="J998" s="23"/>
      <c r="K998" s="21">
        <f t="shared" si="4"/>
        <v>319792.97</v>
      </c>
      <c r="L998" s="23"/>
      <c r="M998" s="21">
        <f t="shared" si="7"/>
        <v>1896.93</v>
      </c>
    </row>
    <row r="999" ht="20.25" customHeight="1" outlineLevel="1">
      <c r="A999" s="12">
        <v>45996.0</v>
      </c>
      <c r="B999" s="13" t="s">
        <v>368</v>
      </c>
      <c r="C999" s="28" t="s">
        <v>931</v>
      </c>
      <c r="D999" s="20"/>
      <c r="E999" s="21">
        <f t="shared" si="1"/>
        <v>5159.37</v>
      </c>
      <c r="F999" s="22">
        <v>-3745.0</v>
      </c>
      <c r="G999" s="21">
        <f t="shared" si="2"/>
        <v>490046.99</v>
      </c>
      <c r="H999" s="23"/>
      <c r="I999" s="21">
        <f t="shared" si="6"/>
        <v>1480.31</v>
      </c>
      <c r="J999" s="23"/>
      <c r="K999" s="21">
        <f t="shared" si="4"/>
        <v>319792.97</v>
      </c>
      <c r="L999" s="23"/>
      <c r="M999" s="21">
        <f t="shared" si="7"/>
        <v>1896.93</v>
      </c>
    </row>
    <row r="1000" ht="20.25" customHeight="1" outlineLevel="1">
      <c r="A1000" s="12">
        <v>45996.0</v>
      </c>
      <c r="B1000" s="13" t="s">
        <v>16</v>
      </c>
      <c r="C1000" s="70" t="s">
        <v>932</v>
      </c>
      <c r="D1000" s="20"/>
      <c r="E1000" s="21">
        <f t="shared" si="1"/>
        <v>5159.37</v>
      </c>
      <c r="F1000" s="23"/>
      <c r="G1000" s="21">
        <f t="shared" si="2"/>
        <v>490046.99</v>
      </c>
      <c r="H1000" s="23"/>
      <c r="I1000" s="21">
        <f t="shared" si="6"/>
        <v>1480.31</v>
      </c>
      <c r="J1000" s="23">
        <v>20.0</v>
      </c>
      <c r="K1000" s="21">
        <f t="shared" si="4"/>
        <v>319812.97</v>
      </c>
      <c r="L1000" s="23"/>
      <c r="M1000" s="21">
        <f t="shared" si="7"/>
        <v>1896.93</v>
      </c>
    </row>
    <row r="1001" ht="20.25" customHeight="1" outlineLevel="1">
      <c r="A1001" s="12">
        <v>45996.0</v>
      </c>
      <c r="B1001" s="13" t="s">
        <v>16</v>
      </c>
      <c r="C1001" s="70" t="s">
        <v>933</v>
      </c>
      <c r="D1001" s="20"/>
      <c r="E1001" s="21">
        <f t="shared" si="1"/>
        <v>5159.37</v>
      </c>
      <c r="F1001" s="23"/>
      <c r="G1001" s="21">
        <f t="shared" si="2"/>
        <v>490046.99</v>
      </c>
      <c r="H1001" s="23"/>
      <c r="I1001" s="21">
        <f t="shared" si="6"/>
        <v>1480.31</v>
      </c>
      <c r="J1001" s="23">
        <v>115.0</v>
      </c>
      <c r="K1001" s="21">
        <f t="shared" si="4"/>
        <v>319927.97</v>
      </c>
      <c r="L1001" s="23"/>
      <c r="M1001" s="21">
        <f t="shared" si="7"/>
        <v>1896.93</v>
      </c>
    </row>
    <row r="1002" ht="20.25" customHeight="1" outlineLevel="1">
      <c r="A1002" s="12">
        <v>45996.0</v>
      </c>
      <c r="B1002" s="13" t="s">
        <v>16</v>
      </c>
      <c r="C1002" s="70" t="s">
        <v>674</v>
      </c>
      <c r="D1002" s="20">
        <v>42.5</v>
      </c>
      <c r="E1002" s="21">
        <f t="shared" si="1"/>
        <v>5201.87</v>
      </c>
      <c r="F1002" s="23"/>
      <c r="G1002" s="21">
        <f t="shared" si="2"/>
        <v>490046.99</v>
      </c>
      <c r="H1002" s="23"/>
      <c r="I1002" s="21">
        <f t="shared" si="6"/>
        <v>1480.31</v>
      </c>
      <c r="J1002" s="23"/>
      <c r="K1002" s="21">
        <f t="shared" si="4"/>
        <v>319927.97</v>
      </c>
      <c r="L1002" s="23"/>
      <c r="M1002" s="21">
        <f t="shared" si="7"/>
        <v>1896.93</v>
      </c>
    </row>
    <row r="1003" ht="20.25" customHeight="1" outlineLevel="1">
      <c r="A1003" s="12">
        <v>45997.0</v>
      </c>
      <c r="B1003" s="13" t="s">
        <v>14</v>
      </c>
      <c r="C1003" s="28" t="s">
        <v>934</v>
      </c>
      <c r="D1003" s="73">
        <v>-18.4</v>
      </c>
      <c r="E1003" s="21">
        <f t="shared" si="1"/>
        <v>5183.47</v>
      </c>
      <c r="F1003" s="23"/>
      <c r="G1003" s="21">
        <f t="shared" si="2"/>
        <v>490046.99</v>
      </c>
      <c r="H1003" s="23"/>
      <c r="I1003" s="21">
        <f t="shared" si="6"/>
        <v>1480.31</v>
      </c>
      <c r="J1003" s="23"/>
      <c r="K1003" s="21">
        <f t="shared" si="4"/>
        <v>319927.97</v>
      </c>
      <c r="L1003" s="23"/>
      <c r="M1003" s="21">
        <f t="shared" si="7"/>
        <v>1896.93</v>
      </c>
    </row>
    <row r="1004" ht="20.25" customHeight="1" outlineLevel="1">
      <c r="A1004" s="12">
        <v>45997.0</v>
      </c>
      <c r="B1004" s="13" t="s">
        <v>14</v>
      </c>
      <c r="C1004" s="28" t="s">
        <v>935</v>
      </c>
      <c r="D1004" s="20"/>
      <c r="E1004" s="21">
        <f t="shared" si="1"/>
        <v>5183.47</v>
      </c>
      <c r="F1004" s="22">
        <v>-50.0</v>
      </c>
      <c r="G1004" s="21">
        <f t="shared" si="2"/>
        <v>489996.99</v>
      </c>
      <c r="H1004" s="23"/>
      <c r="I1004" s="21">
        <f t="shared" si="6"/>
        <v>1480.31</v>
      </c>
      <c r="J1004" s="23"/>
      <c r="K1004" s="21">
        <f t="shared" si="4"/>
        <v>319927.97</v>
      </c>
      <c r="L1004" s="23"/>
      <c r="M1004" s="21">
        <f t="shared" si="7"/>
        <v>1896.93</v>
      </c>
    </row>
    <row r="1005" ht="20.25" customHeight="1" outlineLevel="1">
      <c r="A1005" s="12">
        <v>46000.0</v>
      </c>
      <c r="B1005" s="13" t="s">
        <v>368</v>
      </c>
      <c r="C1005" s="28" t="s">
        <v>936</v>
      </c>
      <c r="D1005" s="20"/>
      <c r="E1005" s="21">
        <f t="shared" si="1"/>
        <v>5183.47</v>
      </c>
      <c r="F1005" s="22">
        <v>-8020.0</v>
      </c>
      <c r="G1005" s="21">
        <f t="shared" si="2"/>
        <v>481976.99</v>
      </c>
      <c r="H1005" s="23"/>
      <c r="I1005" s="21">
        <f t="shared" si="6"/>
        <v>1480.31</v>
      </c>
      <c r="J1005" s="23"/>
      <c r="K1005" s="21">
        <f t="shared" si="4"/>
        <v>319927.97</v>
      </c>
      <c r="L1005" s="23"/>
      <c r="M1005" s="21">
        <f t="shared" si="7"/>
        <v>1896.93</v>
      </c>
    </row>
    <row r="1006" ht="20.25" customHeight="1" outlineLevel="1">
      <c r="A1006" s="12">
        <v>46000.0</v>
      </c>
      <c r="B1006" s="13" t="s">
        <v>368</v>
      </c>
      <c r="C1006" s="28" t="s">
        <v>937</v>
      </c>
      <c r="D1006" s="20"/>
      <c r="E1006" s="21">
        <f t="shared" si="1"/>
        <v>5183.47</v>
      </c>
      <c r="F1006" s="22">
        <v>-3371.15</v>
      </c>
      <c r="G1006" s="21">
        <f t="shared" si="2"/>
        <v>478605.84</v>
      </c>
      <c r="H1006" s="23"/>
      <c r="I1006" s="21">
        <f t="shared" si="6"/>
        <v>1480.31</v>
      </c>
      <c r="J1006" s="23"/>
      <c r="K1006" s="21">
        <f t="shared" si="4"/>
        <v>319927.97</v>
      </c>
      <c r="L1006" s="23"/>
      <c r="M1006" s="21">
        <f t="shared" si="7"/>
        <v>1896.93</v>
      </c>
    </row>
    <row r="1007" ht="20.25" customHeight="1" outlineLevel="1">
      <c r="A1007" s="12">
        <v>46000.0</v>
      </c>
      <c r="B1007" s="13" t="s">
        <v>368</v>
      </c>
      <c r="C1007" s="28" t="s">
        <v>938</v>
      </c>
      <c r="D1007" s="20"/>
      <c r="E1007" s="21">
        <f t="shared" si="1"/>
        <v>5183.47</v>
      </c>
      <c r="F1007" s="22">
        <v>-4108.86</v>
      </c>
      <c r="G1007" s="21">
        <f t="shared" si="2"/>
        <v>474496.98</v>
      </c>
      <c r="H1007" s="23"/>
      <c r="I1007" s="21">
        <f t="shared" si="6"/>
        <v>1480.31</v>
      </c>
      <c r="J1007" s="23"/>
      <c r="K1007" s="21">
        <f t="shared" si="4"/>
        <v>319927.97</v>
      </c>
      <c r="L1007" s="23"/>
      <c r="M1007" s="21">
        <f t="shared" si="7"/>
        <v>1896.93</v>
      </c>
    </row>
    <row r="1008" ht="20.25" customHeight="1" outlineLevel="1">
      <c r="A1008" s="12">
        <v>46000.0</v>
      </c>
      <c r="B1008" s="13" t="s">
        <v>368</v>
      </c>
      <c r="C1008" s="28" t="s">
        <v>939</v>
      </c>
      <c r="D1008" s="20"/>
      <c r="E1008" s="21">
        <f t="shared" si="1"/>
        <v>5183.47</v>
      </c>
      <c r="F1008" s="22">
        <v>-5423.0</v>
      </c>
      <c r="G1008" s="21">
        <f t="shared" si="2"/>
        <v>469073.98</v>
      </c>
      <c r="H1008" s="23"/>
      <c r="I1008" s="21">
        <f t="shared" si="6"/>
        <v>1480.31</v>
      </c>
      <c r="J1008" s="23"/>
      <c r="K1008" s="21">
        <f t="shared" si="4"/>
        <v>319927.97</v>
      </c>
      <c r="L1008" s="23"/>
      <c r="M1008" s="21">
        <f t="shared" si="7"/>
        <v>1896.93</v>
      </c>
    </row>
    <row r="1009" ht="20.25" customHeight="1" outlineLevel="1">
      <c r="A1009" s="12">
        <v>46000.0</v>
      </c>
      <c r="B1009" s="13" t="s">
        <v>70</v>
      </c>
      <c r="C1009" s="28" t="s">
        <v>940</v>
      </c>
      <c r="D1009" s="20"/>
      <c r="E1009" s="21">
        <f t="shared" si="1"/>
        <v>5183.47</v>
      </c>
      <c r="F1009" s="22">
        <v>-20847.0</v>
      </c>
      <c r="G1009" s="21">
        <f t="shared" si="2"/>
        <v>448226.98</v>
      </c>
      <c r="H1009" s="23"/>
      <c r="I1009" s="21">
        <f t="shared" si="6"/>
        <v>1480.31</v>
      </c>
      <c r="J1009" s="23"/>
      <c r="K1009" s="21">
        <f t="shared" si="4"/>
        <v>319927.97</v>
      </c>
      <c r="L1009" s="23"/>
      <c r="M1009" s="21">
        <f t="shared" si="7"/>
        <v>1896.93</v>
      </c>
    </row>
    <row r="1010" ht="20.25" customHeight="1" outlineLevel="1">
      <c r="A1010" s="12">
        <v>46000.0</v>
      </c>
      <c r="B1010" s="13" t="s">
        <v>16</v>
      </c>
      <c r="C1010" s="28" t="s">
        <v>941</v>
      </c>
      <c r="D1010" s="20"/>
      <c r="E1010" s="21">
        <f t="shared" si="1"/>
        <v>5183.47</v>
      </c>
      <c r="F1010" s="23">
        <v>52.0</v>
      </c>
      <c r="G1010" s="21">
        <f t="shared" si="2"/>
        <v>448278.98</v>
      </c>
      <c r="H1010" s="23"/>
      <c r="I1010" s="21">
        <f t="shared" si="6"/>
        <v>1480.31</v>
      </c>
      <c r="J1010" s="23"/>
      <c r="K1010" s="21">
        <f t="shared" si="4"/>
        <v>319927.97</v>
      </c>
      <c r="L1010" s="23"/>
      <c r="M1010" s="21">
        <f t="shared" si="7"/>
        <v>1896.93</v>
      </c>
    </row>
    <row r="1011" ht="20.25" customHeight="1" outlineLevel="1">
      <c r="A1011" s="12">
        <v>46000.0</v>
      </c>
      <c r="B1011" s="13" t="s">
        <v>16</v>
      </c>
      <c r="C1011" s="28" t="s">
        <v>942</v>
      </c>
      <c r="D1011" s="20"/>
      <c r="E1011" s="21">
        <f t="shared" si="1"/>
        <v>5183.47</v>
      </c>
      <c r="F1011" s="23">
        <v>80.0</v>
      </c>
      <c r="G1011" s="21">
        <f t="shared" si="2"/>
        <v>448358.98</v>
      </c>
      <c r="H1011" s="23"/>
      <c r="I1011" s="21">
        <f t="shared" si="6"/>
        <v>1480.31</v>
      </c>
      <c r="J1011" s="23"/>
      <c r="K1011" s="21">
        <f t="shared" si="4"/>
        <v>319927.97</v>
      </c>
      <c r="L1011" s="23"/>
      <c r="M1011" s="21">
        <f t="shared" si="7"/>
        <v>1896.93</v>
      </c>
    </row>
    <row r="1012" ht="20.25" customHeight="1" outlineLevel="1">
      <c r="A1012" s="12">
        <v>46000.0</v>
      </c>
      <c r="B1012" s="13" t="s">
        <v>16</v>
      </c>
      <c r="C1012" s="205" t="s">
        <v>943</v>
      </c>
      <c r="D1012" s="20"/>
      <c r="E1012" s="21">
        <f t="shared" si="1"/>
        <v>5183.47</v>
      </c>
      <c r="F1012" s="23"/>
      <c r="G1012" s="21">
        <f t="shared" si="2"/>
        <v>448358.98</v>
      </c>
      <c r="H1012" s="23"/>
      <c r="I1012" s="21">
        <f t="shared" si="6"/>
        <v>1480.31</v>
      </c>
      <c r="J1012" s="23">
        <v>156.0</v>
      </c>
      <c r="K1012" s="21">
        <f t="shared" si="4"/>
        <v>320083.97</v>
      </c>
      <c r="L1012" s="23"/>
      <c r="M1012" s="21">
        <f t="shared" si="7"/>
        <v>1896.93</v>
      </c>
    </row>
    <row r="1013" ht="20.25" customHeight="1" outlineLevel="1">
      <c r="A1013" s="12">
        <v>46000.0</v>
      </c>
      <c r="B1013" s="13" t="s">
        <v>368</v>
      </c>
      <c r="C1013" s="28" t="s">
        <v>944</v>
      </c>
      <c r="D1013" s="20"/>
      <c r="E1013" s="21">
        <f t="shared" si="1"/>
        <v>5183.47</v>
      </c>
      <c r="F1013" s="23"/>
      <c r="G1013" s="21">
        <f t="shared" si="2"/>
        <v>448358.98</v>
      </c>
      <c r="H1013" s="23"/>
      <c r="I1013" s="21">
        <f t="shared" si="6"/>
        <v>1480.31</v>
      </c>
      <c r="J1013" s="22">
        <v>-2039.0</v>
      </c>
      <c r="K1013" s="21">
        <f t="shared" si="4"/>
        <v>318044.97</v>
      </c>
      <c r="L1013" s="23"/>
      <c r="M1013" s="21">
        <f t="shared" si="7"/>
        <v>1896.93</v>
      </c>
    </row>
    <row r="1014" ht="20.25" customHeight="1" outlineLevel="1">
      <c r="A1014" s="12">
        <v>46000.0</v>
      </c>
      <c r="B1014" s="13" t="s">
        <v>368</v>
      </c>
      <c r="C1014" s="28" t="s">
        <v>945</v>
      </c>
      <c r="D1014" s="20"/>
      <c r="E1014" s="21">
        <f t="shared" si="1"/>
        <v>5183.47</v>
      </c>
      <c r="F1014" s="23"/>
      <c r="G1014" s="21">
        <f t="shared" si="2"/>
        <v>448358.98</v>
      </c>
      <c r="H1014" s="23"/>
      <c r="I1014" s="21">
        <f t="shared" si="6"/>
        <v>1480.31</v>
      </c>
      <c r="J1014" s="22">
        <v>-2039.0</v>
      </c>
      <c r="K1014" s="21">
        <f t="shared" si="4"/>
        <v>316005.97</v>
      </c>
      <c r="L1014" s="23"/>
      <c r="M1014" s="21">
        <f t="shared" si="7"/>
        <v>1896.93</v>
      </c>
    </row>
    <row r="1015" ht="20.25" customHeight="1" outlineLevel="1">
      <c r="A1015" s="12">
        <v>46000.0</v>
      </c>
      <c r="B1015" s="13" t="s">
        <v>14</v>
      </c>
      <c r="C1015" s="28" t="s">
        <v>946</v>
      </c>
      <c r="D1015" s="20"/>
      <c r="E1015" s="21">
        <f t="shared" si="1"/>
        <v>5183.47</v>
      </c>
      <c r="F1015" s="23"/>
      <c r="G1015" s="21">
        <f t="shared" si="2"/>
        <v>448358.98</v>
      </c>
      <c r="H1015" s="23"/>
      <c r="I1015" s="21">
        <f t="shared" si="6"/>
        <v>1480.31</v>
      </c>
      <c r="J1015" s="22">
        <v>-0.5</v>
      </c>
      <c r="K1015" s="21">
        <f t="shared" si="4"/>
        <v>316005.47</v>
      </c>
      <c r="L1015" s="23"/>
      <c r="M1015" s="21">
        <f t="shared" si="7"/>
        <v>1896.93</v>
      </c>
    </row>
    <row r="1016" ht="20.25" customHeight="1" outlineLevel="1">
      <c r="A1016" s="12">
        <v>46000.0</v>
      </c>
      <c r="B1016" s="13" t="s">
        <v>14</v>
      </c>
      <c r="C1016" s="28" t="s">
        <v>947</v>
      </c>
      <c r="D1016" s="20"/>
      <c r="E1016" s="21">
        <f t="shared" si="1"/>
        <v>5183.47</v>
      </c>
      <c r="F1016" s="23"/>
      <c r="G1016" s="21">
        <f t="shared" si="2"/>
        <v>448358.98</v>
      </c>
      <c r="H1016" s="23"/>
      <c r="I1016" s="21">
        <f t="shared" si="6"/>
        <v>1480.31</v>
      </c>
      <c r="J1016" s="22">
        <v>-0.5</v>
      </c>
      <c r="K1016" s="21">
        <f t="shared" si="4"/>
        <v>316004.97</v>
      </c>
      <c r="L1016" s="23"/>
      <c r="M1016" s="21">
        <f t="shared" si="7"/>
        <v>1896.93</v>
      </c>
    </row>
    <row r="1017" ht="20.25" customHeight="1" outlineLevel="1">
      <c r="A1017" s="12">
        <v>46000.0</v>
      </c>
      <c r="B1017" s="13" t="s">
        <v>16</v>
      </c>
      <c r="C1017" s="28" t="s">
        <v>948</v>
      </c>
      <c r="D1017" s="20"/>
      <c r="E1017" s="21">
        <f t="shared" si="1"/>
        <v>5183.47</v>
      </c>
      <c r="F1017" s="23"/>
      <c r="G1017" s="21">
        <f t="shared" si="2"/>
        <v>448358.98</v>
      </c>
      <c r="H1017" s="23"/>
      <c r="I1017" s="21">
        <f t="shared" si="6"/>
        <v>1480.31</v>
      </c>
      <c r="J1017" s="23">
        <v>100.0</v>
      </c>
      <c r="K1017" s="21">
        <f t="shared" si="4"/>
        <v>316104.97</v>
      </c>
      <c r="L1017" s="23"/>
      <c r="M1017" s="21">
        <f t="shared" si="7"/>
        <v>1896.93</v>
      </c>
    </row>
    <row r="1018" ht="20.25" customHeight="1" outlineLevel="1">
      <c r="A1018" s="12">
        <v>46000.0</v>
      </c>
      <c r="B1018" s="13" t="s">
        <v>16</v>
      </c>
      <c r="C1018" s="28" t="s">
        <v>949</v>
      </c>
      <c r="D1018" s="20"/>
      <c r="E1018" s="21">
        <f t="shared" si="1"/>
        <v>5183.47</v>
      </c>
      <c r="F1018" s="23"/>
      <c r="G1018" s="21">
        <f t="shared" si="2"/>
        <v>448358.98</v>
      </c>
      <c r="H1018" s="23"/>
      <c r="I1018" s="21">
        <f t="shared" si="6"/>
        <v>1480.31</v>
      </c>
      <c r="J1018" s="23">
        <v>240.0</v>
      </c>
      <c r="K1018" s="21">
        <f t="shared" si="4"/>
        <v>316344.97</v>
      </c>
      <c r="L1018" s="23"/>
      <c r="M1018" s="21">
        <f t="shared" si="7"/>
        <v>1896.93</v>
      </c>
    </row>
    <row r="1019" ht="20.25" customHeight="1" outlineLevel="1">
      <c r="A1019" s="12">
        <v>46000.0</v>
      </c>
      <c r="B1019" s="13" t="s">
        <v>16</v>
      </c>
      <c r="C1019" s="70" t="s">
        <v>950</v>
      </c>
      <c r="D1019" s="20"/>
      <c r="E1019" s="21">
        <f t="shared" si="1"/>
        <v>5183.47</v>
      </c>
      <c r="F1019" s="23"/>
      <c r="G1019" s="21">
        <f t="shared" si="2"/>
        <v>448358.98</v>
      </c>
      <c r="H1019" s="23"/>
      <c r="I1019" s="21">
        <f t="shared" si="6"/>
        <v>1480.31</v>
      </c>
      <c r="J1019" s="23">
        <v>1425.0</v>
      </c>
      <c r="K1019" s="21">
        <f t="shared" si="4"/>
        <v>317769.97</v>
      </c>
      <c r="L1019" s="23"/>
      <c r="M1019" s="21">
        <f t="shared" si="7"/>
        <v>1896.93</v>
      </c>
    </row>
    <row r="1020" ht="20.25" customHeight="1" outlineLevel="1">
      <c r="A1020" s="12">
        <v>46000.0</v>
      </c>
      <c r="B1020" s="13" t="s">
        <v>16</v>
      </c>
      <c r="C1020" s="70" t="s">
        <v>951</v>
      </c>
      <c r="D1020" s="20"/>
      <c r="E1020" s="21">
        <f t="shared" si="1"/>
        <v>5183.47</v>
      </c>
      <c r="F1020" s="23"/>
      <c r="G1020" s="21">
        <f t="shared" si="2"/>
        <v>448358.98</v>
      </c>
      <c r="H1020" s="23"/>
      <c r="I1020" s="21">
        <f t="shared" si="6"/>
        <v>1480.31</v>
      </c>
      <c r="J1020" s="23">
        <v>60.0</v>
      </c>
      <c r="K1020" s="21">
        <f t="shared" si="4"/>
        <v>317829.97</v>
      </c>
      <c r="L1020" s="23"/>
      <c r="M1020" s="21">
        <f t="shared" si="7"/>
        <v>1896.93</v>
      </c>
    </row>
    <row r="1021" ht="20.25" customHeight="1" outlineLevel="1">
      <c r="A1021" s="12">
        <v>46000.0</v>
      </c>
      <c r="B1021" s="13" t="s">
        <v>16</v>
      </c>
      <c r="C1021" s="70" t="s">
        <v>952</v>
      </c>
      <c r="D1021" s="20">
        <v>215.0</v>
      </c>
      <c r="E1021" s="21">
        <f t="shared" si="1"/>
        <v>5398.47</v>
      </c>
      <c r="F1021" s="23"/>
      <c r="G1021" s="21">
        <f t="shared" si="2"/>
        <v>448358.98</v>
      </c>
      <c r="H1021" s="23"/>
      <c r="I1021" s="21">
        <f t="shared" si="6"/>
        <v>1480.31</v>
      </c>
      <c r="J1021" s="23"/>
      <c r="K1021" s="21">
        <f t="shared" si="4"/>
        <v>317829.97</v>
      </c>
      <c r="L1021" s="23"/>
      <c r="M1021" s="21">
        <f t="shared" si="7"/>
        <v>1896.93</v>
      </c>
    </row>
    <row r="1022" ht="20.25" customHeight="1" outlineLevel="1">
      <c r="A1022" s="12">
        <v>46001.0</v>
      </c>
      <c r="B1022" s="13" t="s">
        <v>16</v>
      </c>
      <c r="C1022" s="28" t="s">
        <v>953</v>
      </c>
      <c r="D1022" s="20"/>
      <c r="E1022" s="21">
        <f t="shared" si="1"/>
        <v>5398.47</v>
      </c>
      <c r="F1022" s="23">
        <v>19.8</v>
      </c>
      <c r="G1022" s="21">
        <f t="shared" si="2"/>
        <v>448378.78</v>
      </c>
      <c r="H1022" s="23"/>
      <c r="I1022" s="21">
        <f t="shared" si="6"/>
        <v>1480.31</v>
      </c>
      <c r="J1022" s="23"/>
      <c r="K1022" s="21">
        <f t="shared" si="4"/>
        <v>317829.97</v>
      </c>
      <c r="L1022" s="23"/>
      <c r="M1022" s="21">
        <f t="shared" si="7"/>
        <v>1896.93</v>
      </c>
    </row>
    <row r="1023" ht="20.25" customHeight="1" outlineLevel="1">
      <c r="A1023" s="12">
        <v>46001.0</v>
      </c>
      <c r="B1023" s="13" t="s">
        <v>14</v>
      </c>
      <c r="C1023" s="28" t="s">
        <v>34</v>
      </c>
      <c r="D1023" s="20"/>
      <c r="E1023" s="21">
        <f t="shared" si="1"/>
        <v>5398.47</v>
      </c>
      <c r="F1023" s="23"/>
      <c r="G1023" s="21">
        <f t="shared" si="2"/>
        <v>448378.78</v>
      </c>
      <c r="H1023" s="23"/>
      <c r="I1023" s="21">
        <f t="shared" si="6"/>
        <v>1480.31</v>
      </c>
      <c r="J1023" s="22">
        <v>-20.99</v>
      </c>
      <c r="K1023" s="21">
        <f t="shared" si="4"/>
        <v>317808.98</v>
      </c>
      <c r="L1023" s="23"/>
      <c r="M1023" s="21">
        <f t="shared" si="7"/>
        <v>1896.93</v>
      </c>
    </row>
    <row r="1024" ht="20.25" customHeight="1" outlineLevel="1">
      <c r="A1024" s="12">
        <v>46001.0</v>
      </c>
      <c r="B1024" s="13" t="s">
        <v>12</v>
      </c>
      <c r="C1024" s="28" t="s">
        <v>954</v>
      </c>
      <c r="D1024" s="20"/>
      <c r="E1024" s="21">
        <f t="shared" si="1"/>
        <v>5398.47</v>
      </c>
      <c r="F1024" s="22">
        <v>-600.0</v>
      </c>
      <c r="G1024" s="21">
        <f t="shared" si="2"/>
        <v>447778.78</v>
      </c>
      <c r="H1024" s="23"/>
      <c r="I1024" s="21">
        <f t="shared" si="6"/>
        <v>1480.31</v>
      </c>
      <c r="J1024" s="23"/>
      <c r="K1024" s="21">
        <f t="shared" si="4"/>
        <v>317808.98</v>
      </c>
      <c r="L1024" s="23"/>
      <c r="M1024" s="21">
        <f t="shared" si="7"/>
        <v>1896.93</v>
      </c>
    </row>
    <row r="1025" ht="20.25" customHeight="1" outlineLevel="1">
      <c r="A1025" s="12">
        <v>46001.0</v>
      </c>
      <c r="B1025" s="13" t="s">
        <v>63</v>
      </c>
      <c r="C1025" s="69" t="s">
        <v>955</v>
      </c>
      <c r="D1025" s="20"/>
      <c r="E1025" s="21">
        <f t="shared" si="1"/>
        <v>5398.47</v>
      </c>
      <c r="F1025" s="51">
        <v>1720.2</v>
      </c>
      <c r="G1025" s="21">
        <f t="shared" si="2"/>
        <v>449498.98</v>
      </c>
      <c r="H1025" s="23"/>
      <c r="I1025" s="21">
        <f t="shared" si="6"/>
        <v>1480.31</v>
      </c>
      <c r="J1025" s="23"/>
      <c r="K1025" s="21">
        <f t="shared" si="4"/>
        <v>317808.98</v>
      </c>
      <c r="L1025" s="23"/>
      <c r="M1025" s="21">
        <f t="shared" si="7"/>
        <v>1896.93</v>
      </c>
    </row>
    <row r="1026" ht="20.25" customHeight="1" outlineLevel="1">
      <c r="A1026" s="12">
        <v>46001.0</v>
      </c>
      <c r="B1026" s="13" t="s">
        <v>16</v>
      </c>
      <c r="C1026" s="207" t="s">
        <v>956</v>
      </c>
      <c r="D1026" s="20"/>
      <c r="E1026" s="21">
        <f t="shared" si="1"/>
        <v>5398.47</v>
      </c>
      <c r="F1026" s="23">
        <v>215.0</v>
      </c>
      <c r="G1026" s="21">
        <f t="shared" si="2"/>
        <v>449713.98</v>
      </c>
      <c r="H1026" s="23"/>
      <c r="I1026" s="21">
        <f t="shared" si="6"/>
        <v>1480.31</v>
      </c>
      <c r="J1026" s="23"/>
      <c r="K1026" s="21">
        <f t="shared" si="4"/>
        <v>317808.98</v>
      </c>
      <c r="L1026" s="23"/>
      <c r="M1026" s="21">
        <f t="shared" si="7"/>
        <v>1896.93</v>
      </c>
    </row>
    <row r="1027" ht="20.25" customHeight="1" outlineLevel="1">
      <c r="A1027" s="12">
        <v>46001.0</v>
      </c>
      <c r="B1027" s="13" t="s">
        <v>16</v>
      </c>
      <c r="C1027" s="207" t="s">
        <v>957</v>
      </c>
      <c r="D1027" s="20"/>
      <c r="E1027" s="21">
        <f t="shared" si="1"/>
        <v>5398.47</v>
      </c>
      <c r="F1027" s="23">
        <v>290.0</v>
      </c>
      <c r="G1027" s="21">
        <f t="shared" si="2"/>
        <v>450003.98</v>
      </c>
      <c r="H1027" s="23"/>
      <c r="I1027" s="21">
        <f t="shared" si="6"/>
        <v>1480.31</v>
      </c>
      <c r="J1027" s="23"/>
      <c r="K1027" s="21">
        <f t="shared" si="4"/>
        <v>317808.98</v>
      </c>
      <c r="L1027" s="23"/>
      <c r="M1027" s="21">
        <f t="shared" si="7"/>
        <v>1896.93</v>
      </c>
    </row>
    <row r="1028" ht="20.25" customHeight="1" outlineLevel="1">
      <c r="A1028" s="12">
        <v>46001.0</v>
      </c>
      <c r="B1028" s="13" t="s">
        <v>16</v>
      </c>
      <c r="C1028" s="207" t="s">
        <v>958</v>
      </c>
      <c r="D1028" s="20"/>
      <c r="E1028" s="21">
        <f t="shared" si="1"/>
        <v>5398.47</v>
      </c>
      <c r="F1028" s="23">
        <v>70.0</v>
      </c>
      <c r="G1028" s="21">
        <f t="shared" si="2"/>
        <v>450073.98</v>
      </c>
      <c r="H1028" s="23"/>
      <c r="I1028" s="21">
        <f t="shared" si="6"/>
        <v>1480.31</v>
      </c>
      <c r="J1028" s="23"/>
      <c r="K1028" s="21">
        <f t="shared" si="4"/>
        <v>317808.98</v>
      </c>
      <c r="L1028" s="23"/>
      <c r="M1028" s="21">
        <f t="shared" si="7"/>
        <v>1896.93</v>
      </c>
    </row>
    <row r="1029" ht="20.25" customHeight="1" outlineLevel="1">
      <c r="A1029" s="12">
        <v>46001.0</v>
      </c>
      <c r="B1029" s="13" t="s">
        <v>16</v>
      </c>
      <c r="C1029" s="207" t="s">
        <v>959</v>
      </c>
      <c r="D1029" s="20"/>
      <c r="E1029" s="21">
        <f t="shared" si="1"/>
        <v>5398.47</v>
      </c>
      <c r="F1029" s="23"/>
      <c r="G1029" s="21">
        <f t="shared" si="2"/>
        <v>450073.98</v>
      </c>
      <c r="H1029" s="23"/>
      <c r="I1029" s="21">
        <f t="shared" si="6"/>
        <v>1480.31</v>
      </c>
      <c r="J1029" s="23">
        <v>85.0</v>
      </c>
      <c r="K1029" s="21">
        <f t="shared" si="4"/>
        <v>317893.98</v>
      </c>
      <c r="L1029" s="23"/>
      <c r="M1029" s="21">
        <f t="shared" si="7"/>
        <v>1896.93</v>
      </c>
    </row>
    <row r="1030" ht="20.25" customHeight="1" outlineLevel="1">
      <c r="A1030" s="12">
        <v>46001.0</v>
      </c>
      <c r="B1030" s="13" t="s">
        <v>16</v>
      </c>
      <c r="C1030" s="207" t="s">
        <v>960</v>
      </c>
      <c r="D1030" s="20"/>
      <c r="E1030" s="21">
        <f t="shared" si="1"/>
        <v>5398.47</v>
      </c>
      <c r="F1030" s="23"/>
      <c r="G1030" s="21">
        <f t="shared" si="2"/>
        <v>450073.98</v>
      </c>
      <c r="H1030" s="23"/>
      <c r="I1030" s="21">
        <f t="shared" si="6"/>
        <v>1480.31</v>
      </c>
      <c r="J1030" s="23">
        <v>60.0</v>
      </c>
      <c r="K1030" s="21">
        <f t="shared" si="4"/>
        <v>317953.98</v>
      </c>
      <c r="L1030" s="23"/>
      <c r="M1030" s="21">
        <f t="shared" si="7"/>
        <v>1896.93</v>
      </c>
    </row>
    <row r="1031" ht="20.25" customHeight="1" outlineLevel="1">
      <c r="A1031" s="12">
        <v>46001.0</v>
      </c>
      <c r="B1031" s="13" t="s">
        <v>16</v>
      </c>
      <c r="C1031" s="207" t="s">
        <v>961</v>
      </c>
      <c r="D1031" s="20">
        <v>70.0</v>
      </c>
      <c r="E1031" s="21">
        <f t="shared" si="1"/>
        <v>5468.47</v>
      </c>
      <c r="F1031" s="23"/>
      <c r="G1031" s="21">
        <f t="shared" si="2"/>
        <v>450073.98</v>
      </c>
      <c r="H1031" s="23"/>
      <c r="I1031" s="21">
        <f t="shared" si="6"/>
        <v>1480.31</v>
      </c>
      <c r="J1031" s="23"/>
      <c r="K1031" s="21">
        <f t="shared" si="4"/>
        <v>317953.98</v>
      </c>
      <c r="L1031" s="23"/>
      <c r="M1031" s="21">
        <f t="shared" si="7"/>
        <v>1896.93</v>
      </c>
    </row>
    <row r="1032" ht="20.25" customHeight="1" outlineLevel="1">
      <c r="A1032" s="12">
        <v>46002.0</v>
      </c>
      <c r="B1032" s="13" t="s">
        <v>368</v>
      </c>
      <c r="C1032" s="207" t="s">
        <v>962</v>
      </c>
      <c r="D1032" s="20"/>
      <c r="E1032" s="21">
        <f t="shared" si="1"/>
        <v>5468.47</v>
      </c>
      <c r="F1032" s="22">
        <v>-1408.8</v>
      </c>
      <c r="G1032" s="21">
        <f t="shared" si="2"/>
        <v>448665.18</v>
      </c>
      <c r="H1032" s="23"/>
      <c r="I1032" s="21">
        <f t="shared" si="6"/>
        <v>1480.31</v>
      </c>
      <c r="J1032" s="23"/>
      <c r="K1032" s="21">
        <f t="shared" si="4"/>
        <v>317953.98</v>
      </c>
      <c r="L1032" s="23"/>
      <c r="M1032" s="21">
        <f t="shared" si="7"/>
        <v>1896.93</v>
      </c>
    </row>
    <row r="1033" ht="20.25" customHeight="1" outlineLevel="1">
      <c r="A1033" s="12">
        <v>46002.0</v>
      </c>
      <c r="B1033" s="13" t="s">
        <v>16</v>
      </c>
      <c r="C1033" s="207" t="s">
        <v>963</v>
      </c>
      <c r="D1033" s="20"/>
      <c r="E1033" s="21">
        <f t="shared" si="1"/>
        <v>5468.47</v>
      </c>
      <c r="F1033" s="23">
        <v>265.0</v>
      </c>
      <c r="G1033" s="21">
        <f t="shared" si="2"/>
        <v>448930.18</v>
      </c>
      <c r="H1033" s="23"/>
      <c r="I1033" s="21">
        <f t="shared" si="6"/>
        <v>1480.31</v>
      </c>
      <c r="J1033" s="23"/>
      <c r="K1033" s="21">
        <f t="shared" si="4"/>
        <v>317953.98</v>
      </c>
      <c r="L1033" s="23"/>
      <c r="M1033" s="21">
        <f t="shared" si="7"/>
        <v>1896.93</v>
      </c>
    </row>
    <row r="1034" ht="20.25" customHeight="1" outlineLevel="1">
      <c r="A1034" s="12">
        <v>46002.0</v>
      </c>
      <c r="B1034" s="13" t="s">
        <v>16</v>
      </c>
      <c r="C1034" s="207" t="s">
        <v>964</v>
      </c>
      <c r="D1034" s="20"/>
      <c r="E1034" s="21">
        <f t="shared" si="1"/>
        <v>5468.47</v>
      </c>
      <c r="F1034" s="23">
        <v>200.0</v>
      </c>
      <c r="G1034" s="21">
        <f t="shared" si="2"/>
        <v>449130.18</v>
      </c>
      <c r="H1034" s="23"/>
      <c r="I1034" s="21">
        <f t="shared" si="6"/>
        <v>1480.31</v>
      </c>
      <c r="J1034" s="23"/>
      <c r="K1034" s="21">
        <f t="shared" si="4"/>
        <v>317953.98</v>
      </c>
      <c r="L1034" s="23"/>
      <c r="M1034" s="21">
        <f t="shared" si="7"/>
        <v>1896.93</v>
      </c>
    </row>
    <row r="1035" ht="20.25" customHeight="1" outlineLevel="1">
      <c r="A1035" s="12">
        <v>46002.0</v>
      </c>
      <c r="B1035" s="13" t="s">
        <v>16</v>
      </c>
      <c r="C1035" s="207" t="s">
        <v>965</v>
      </c>
      <c r="D1035" s="20"/>
      <c r="E1035" s="21">
        <f t="shared" si="1"/>
        <v>5468.47</v>
      </c>
      <c r="F1035" s="23">
        <v>415.0</v>
      </c>
      <c r="G1035" s="21">
        <f t="shared" si="2"/>
        <v>449545.18</v>
      </c>
      <c r="H1035" s="23"/>
      <c r="I1035" s="21">
        <f t="shared" si="6"/>
        <v>1480.31</v>
      </c>
      <c r="J1035" s="23"/>
      <c r="K1035" s="21">
        <f t="shared" si="4"/>
        <v>317953.98</v>
      </c>
      <c r="L1035" s="23"/>
      <c r="M1035" s="21">
        <f t="shared" si="7"/>
        <v>1896.93</v>
      </c>
    </row>
    <row r="1036" ht="20.25" customHeight="1" outlineLevel="1">
      <c r="A1036" s="12">
        <v>46002.0</v>
      </c>
      <c r="B1036" s="13" t="s">
        <v>16</v>
      </c>
      <c r="C1036" s="207" t="s">
        <v>966</v>
      </c>
      <c r="D1036" s="20"/>
      <c r="E1036" s="21">
        <f t="shared" si="1"/>
        <v>5468.47</v>
      </c>
      <c r="F1036" s="23">
        <v>74.4</v>
      </c>
      <c r="G1036" s="21">
        <f t="shared" si="2"/>
        <v>449619.58</v>
      </c>
      <c r="H1036" s="23"/>
      <c r="I1036" s="21">
        <f t="shared" si="6"/>
        <v>1480.31</v>
      </c>
      <c r="J1036" s="23"/>
      <c r="K1036" s="21">
        <f t="shared" si="4"/>
        <v>317953.98</v>
      </c>
      <c r="L1036" s="23"/>
      <c r="M1036" s="21">
        <f t="shared" si="7"/>
        <v>1896.93</v>
      </c>
    </row>
    <row r="1037" ht="20.25" customHeight="1" outlineLevel="1">
      <c r="A1037" s="12">
        <v>46002.0</v>
      </c>
      <c r="B1037" s="13" t="s">
        <v>16</v>
      </c>
      <c r="C1037" s="207" t="s">
        <v>967</v>
      </c>
      <c r="D1037" s="20"/>
      <c r="E1037" s="21">
        <f t="shared" si="1"/>
        <v>5468.47</v>
      </c>
      <c r="F1037" s="23"/>
      <c r="G1037" s="21">
        <f t="shared" si="2"/>
        <v>449619.58</v>
      </c>
      <c r="H1037" s="23"/>
      <c r="I1037" s="21">
        <f t="shared" si="6"/>
        <v>1480.31</v>
      </c>
      <c r="J1037" s="23">
        <v>100.0</v>
      </c>
      <c r="K1037" s="21">
        <f t="shared" si="4"/>
        <v>318053.98</v>
      </c>
      <c r="L1037" s="23"/>
      <c r="M1037" s="21">
        <f t="shared" si="7"/>
        <v>1896.93</v>
      </c>
    </row>
    <row r="1038" ht="20.25" customHeight="1" outlineLevel="1">
      <c r="A1038" s="12">
        <v>46002.0</v>
      </c>
      <c r="B1038" s="13" t="s">
        <v>16</v>
      </c>
      <c r="C1038" s="28" t="s">
        <v>968</v>
      </c>
      <c r="D1038" s="20"/>
      <c r="E1038" s="21">
        <f t="shared" si="1"/>
        <v>5468.47</v>
      </c>
      <c r="F1038" s="23"/>
      <c r="G1038" s="21">
        <f t="shared" si="2"/>
        <v>449619.58</v>
      </c>
      <c r="H1038" s="23"/>
      <c r="I1038" s="21">
        <f t="shared" si="6"/>
        <v>1480.31</v>
      </c>
      <c r="J1038" s="23">
        <v>40.0</v>
      </c>
      <c r="K1038" s="21">
        <f t="shared" si="4"/>
        <v>318093.98</v>
      </c>
      <c r="L1038" s="23"/>
      <c r="M1038" s="21">
        <f t="shared" si="7"/>
        <v>1896.93</v>
      </c>
    </row>
    <row r="1039" ht="20.25" customHeight="1" outlineLevel="1">
      <c r="A1039" s="12">
        <v>46002.0</v>
      </c>
      <c r="B1039" s="13" t="s">
        <v>16</v>
      </c>
      <c r="C1039" s="28" t="s">
        <v>969</v>
      </c>
      <c r="D1039" s="20">
        <v>274.5</v>
      </c>
      <c r="E1039" s="21">
        <f t="shared" si="1"/>
        <v>5742.97</v>
      </c>
      <c r="F1039" s="23"/>
      <c r="G1039" s="21">
        <f t="shared" si="2"/>
        <v>449619.58</v>
      </c>
      <c r="H1039" s="23"/>
      <c r="I1039" s="21">
        <f t="shared" si="6"/>
        <v>1480.31</v>
      </c>
      <c r="J1039" s="23"/>
      <c r="K1039" s="21">
        <f t="shared" si="4"/>
        <v>318093.98</v>
      </c>
      <c r="L1039" s="23"/>
      <c r="M1039" s="21">
        <f t="shared" si="7"/>
        <v>1896.93</v>
      </c>
    </row>
    <row r="1040" ht="20.25" customHeight="1" outlineLevel="1">
      <c r="A1040" s="12">
        <v>46003.0</v>
      </c>
      <c r="B1040" s="13" t="s">
        <v>12</v>
      </c>
      <c r="C1040" s="28" t="s">
        <v>970</v>
      </c>
      <c r="D1040" s="20"/>
      <c r="E1040" s="21">
        <f t="shared" si="1"/>
        <v>5742.97</v>
      </c>
      <c r="F1040" s="22">
        <v>-31.2</v>
      </c>
      <c r="G1040" s="21">
        <f t="shared" si="2"/>
        <v>449588.38</v>
      </c>
      <c r="H1040" s="23"/>
      <c r="I1040" s="21">
        <f t="shared" si="6"/>
        <v>1480.31</v>
      </c>
      <c r="J1040" s="23"/>
      <c r="K1040" s="21">
        <f t="shared" si="4"/>
        <v>318093.98</v>
      </c>
      <c r="L1040" s="23"/>
      <c r="M1040" s="21">
        <f t="shared" si="7"/>
        <v>1896.93</v>
      </c>
    </row>
    <row r="1041" ht="20.25" customHeight="1" outlineLevel="1">
      <c r="A1041" s="12">
        <v>46003.0</v>
      </c>
      <c r="B1041" s="13" t="s">
        <v>12</v>
      </c>
      <c r="C1041" s="28" t="s">
        <v>971</v>
      </c>
      <c r="D1041" s="20"/>
      <c r="E1041" s="21">
        <f t="shared" si="1"/>
        <v>5742.97</v>
      </c>
      <c r="F1041" s="22">
        <v>-4879.28</v>
      </c>
      <c r="G1041" s="21">
        <f t="shared" si="2"/>
        <v>444709.1</v>
      </c>
      <c r="H1041" s="23"/>
      <c r="I1041" s="21">
        <f t="shared" si="6"/>
        <v>1480.31</v>
      </c>
      <c r="J1041" s="23"/>
      <c r="K1041" s="21">
        <f t="shared" si="4"/>
        <v>318093.98</v>
      </c>
      <c r="L1041" s="23"/>
      <c r="M1041" s="21">
        <f t="shared" si="7"/>
        <v>1896.93</v>
      </c>
    </row>
    <row r="1042" ht="20.25" customHeight="1" outlineLevel="1">
      <c r="A1042" s="12">
        <v>46003.0</v>
      </c>
      <c r="B1042" s="13" t="s">
        <v>16</v>
      </c>
      <c r="C1042" s="28" t="s">
        <v>972</v>
      </c>
      <c r="D1042" s="20"/>
      <c r="E1042" s="21">
        <f t="shared" si="1"/>
        <v>5742.97</v>
      </c>
      <c r="F1042" s="23">
        <v>506.0</v>
      </c>
      <c r="G1042" s="21">
        <f t="shared" si="2"/>
        <v>445215.1</v>
      </c>
      <c r="H1042" s="23"/>
      <c r="I1042" s="21">
        <f t="shared" si="6"/>
        <v>1480.31</v>
      </c>
      <c r="J1042" s="23"/>
      <c r="K1042" s="21">
        <f t="shared" si="4"/>
        <v>318093.98</v>
      </c>
      <c r="L1042" s="23"/>
      <c r="M1042" s="21">
        <f t="shared" si="7"/>
        <v>1896.93</v>
      </c>
    </row>
    <row r="1043" ht="20.25" customHeight="1" outlineLevel="1">
      <c r="A1043" s="12">
        <v>46003.0</v>
      </c>
      <c r="B1043" s="13" t="s">
        <v>16</v>
      </c>
      <c r="C1043" s="28" t="s">
        <v>973</v>
      </c>
      <c r="D1043" s="20"/>
      <c r="E1043" s="21">
        <f t="shared" si="1"/>
        <v>5742.97</v>
      </c>
      <c r="F1043" s="23">
        <v>155.0</v>
      </c>
      <c r="G1043" s="21">
        <f t="shared" si="2"/>
        <v>445370.1</v>
      </c>
      <c r="H1043" s="23"/>
      <c r="I1043" s="21">
        <f t="shared" si="6"/>
        <v>1480.31</v>
      </c>
      <c r="J1043" s="23"/>
      <c r="K1043" s="21">
        <f t="shared" si="4"/>
        <v>318093.98</v>
      </c>
      <c r="L1043" s="23"/>
      <c r="M1043" s="21">
        <f t="shared" si="7"/>
        <v>1896.93</v>
      </c>
    </row>
    <row r="1044" ht="20.25" customHeight="1" outlineLevel="1">
      <c r="A1044" s="12">
        <v>46003.0</v>
      </c>
      <c r="B1044" s="13" t="s">
        <v>16</v>
      </c>
      <c r="C1044" s="28" t="s">
        <v>974</v>
      </c>
      <c r="D1044" s="20"/>
      <c r="E1044" s="21">
        <f t="shared" si="1"/>
        <v>5742.97</v>
      </c>
      <c r="F1044" s="23">
        <v>420.14</v>
      </c>
      <c r="G1044" s="21">
        <f t="shared" si="2"/>
        <v>445790.24</v>
      </c>
      <c r="H1044" s="23"/>
      <c r="I1044" s="21">
        <f t="shared" si="6"/>
        <v>1480.31</v>
      </c>
      <c r="J1044" s="23"/>
      <c r="K1044" s="21">
        <f t="shared" si="4"/>
        <v>318093.98</v>
      </c>
      <c r="L1044" s="23"/>
      <c r="M1044" s="21">
        <f t="shared" si="7"/>
        <v>1896.93</v>
      </c>
    </row>
    <row r="1045" ht="20.25" customHeight="1" outlineLevel="1">
      <c r="A1045" s="12">
        <v>46003.0</v>
      </c>
      <c r="B1045" s="13" t="s">
        <v>16</v>
      </c>
      <c r="C1045" s="28" t="s">
        <v>975</v>
      </c>
      <c r="D1045" s="20"/>
      <c r="E1045" s="21">
        <f t="shared" si="1"/>
        <v>5742.97</v>
      </c>
      <c r="F1045" s="23"/>
      <c r="G1045" s="21">
        <f t="shared" si="2"/>
        <v>445790.24</v>
      </c>
      <c r="H1045" s="23"/>
      <c r="I1045" s="21">
        <f t="shared" si="6"/>
        <v>1480.31</v>
      </c>
      <c r="J1045" s="23">
        <v>40.0</v>
      </c>
      <c r="K1045" s="21">
        <f t="shared" si="4"/>
        <v>318133.98</v>
      </c>
      <c r="L1045" s="23"/>
      <c r="M1045" s="21">
        <f t="shared" si="7"/>
        <v>1896.93</v>
      </c>
    </row>
    <row r="1046" ht="20.25" customHeight="1" outlineLevel="1">
      <c r="A1046" s="12">
        <v>46003.0</v>
      </c>
      <c r="B1046" s="13" t="s">
        <v>16</v>
      </c>
      <c r="C1046" s="28" t="s">
        <v>976</v>
      </c>
      <c r="D1046" s="20"/>
      <c r="E1046" s="21">
        <f t="shared" si="1"/>
        <v>5742.97</v>
      </c>
      <c r="F1046" s="23"/>
      <c r="G1046" s="21">
        <f t="shared" si="2"/>
        <v>445790.24</v>
      </c>
      <c r="H1046" s="23"/>
      <c r="I1046" s="21">
        <f t="shared" si="6"/>
        <v>1480.31</v>
      </c>
      <c r="J1046" s="23">
        <v>60.0</v>
      </c>
      <c r="K1046" s="21">
        <f t="shared" si="4"/>
        <v>318193.98</v>
      </c>
      <c r="L1046" s="23"/>
      <c r="M1046" s="21">
        <f t="shared" si="7"/>
        <v>1896.93</v>
      </c>
    </row>
    <row r="1047" ht="20.25" customHeight="1" outlineLevel="1">
      <c r="A1047" s="12">
        <v>46003.0</v>
      </c>
      <c r="B1047" s="13" t="s">
        <v>16</v>
      </c>
      <c r="C1047" s="28" t="s">
        <v>977</v>
      </c>
      <c r="D1047" s="20">
        <v>50.0</v>
      </c>
      <c r="E1047" s="21">
        <f t="shared" si="1"/>
        <v>5792.97</v>
      </c>
      <c r="F1047" s="23"/>
      <c r="G1047" s="21">
        <f t="shared" si="2"/>
        <v>445790.24</v>
      </c>
      <c r="H1047" s="23"/>
      <c r="I1047" s="21">
        <f t="shared" si="6"/>
        <v>1480.31</v>
      </c>
      <c r="J1047" s="23"/>
      <c r="K1047" s="21">
        <f t="shared" si="4"/>
        <v>318193.98</v>
      </c>
      <c r="L1047" s="23"/>
      <c r="M1047" s="21">
        <f t="shared" si="7"/>
        <v>1896.93</v>
      </c>
    </row>
    <row r="1048" ht="20.25" customHeight="1" outlineLevel="1">
      <c r="A1048" s="12">
        <v>46003.0</v>
      </c>
      <c r="B1048" s="13" t="s">
        <v>12</v>
      </c>
      <c r="C1048" s="207" t="s">
        <v>978</v>
      </c>
      <c r="D1048" s="20"/>
      <c r="E1048" s="21">
        <f t="shared" si="1"/>
        <v>5792.97</v>
      </c>
      <c r="F1048" s="23"/>
      <c r="G1048" s="21">
        <f t="shared" si="2"/>
        <v>445790.24</v>
      </c>
      <c r="H1048" s="22">
        <v>-49.9</v>
      </c>
      <c r="I1048" s="21">
        <f t="shared" si="6"/>
        <v>1430.41</v>
      </c>
      <c r="J1048" s="23"/>
      <c r="K1048" s="21">
        <f t="shared" si="4"/>
        <v>318193.98</v>
      </c>
      <c r="L1048" s="23"/>
      <c r="M1048" s="21">
        <f t="shared" si="7"/>
        <v>1896.93</v>
      </c>
    </row>
    <row r="1049" ht="20.25" customHeight="1" outlineLevel="1">
      <c r="A1049" s="12">
        <v>46004.0</v>
      </c>
      <c r="B1049" s="13" t="s">
        <v>16</v>
      </c>
      <c r="C1049" s="207" t="s">
        <v>704</v>
      </c>
      <c r="D1049" s="20">
        <v>220.0</v>
      </c>
      <c r="E1049" s="21">
        <f t="shared" si="1"/>
        <v>6012.97</v>
      </c>
      <c r="F1049" s="23"/>
      <c r="G1049" s="21">
        <f t="shared" si="2"/>
        <v>445790.24</v>
      </c>
      <c r="H1049" s="23"/>
      <c r="I1049" s="21">
        <f t="shared" si="6"/>
        <v>1430.41</v>
      </c>
      <c r="J1049" s="23"/>
      <c r="K1049" s="21">
        <f t="shared" si="4"/>
        <v>318193.98</v>
      </c>
      <c r="L1049" s="23"/>
      <c r="M1049" s="21">
        <f t="shared" si="7"/>
        <v>1896.93</v>
      </c>
    </row>
    <row r="1050" ht="20.25" customHeight="1" outlineLevel="1">
      <c r="A1050" s="12">
        <v>46004.0</v>
      </c>
      <c r="B1050" s="13" t="s">
        <v>12</v>
      </c>
      <c r="C1050" s="207" t="s">
        <v>979</v>
      </c>
      <c r="D1050" s="20"/>
      <c r="E1050" s="21">
        <f t="shared" si="1"/>
        <v>6012.97</v>
      </c>
      <c r="F1050" s="22">
        <v>-42.04</v>
      </c>
      <c r="G1050" s="21">
        <f t="shared" si="2"/>
        <v>445748.2</v>
      </c>
      <c r="H1050" s="23"/>
      <c r="I1050" s="21">
        <f t="shared" si="6"/>
        <v>1430.41</v>
      </c>
      <c r="J1050" s="23"/>
      <c r="K1050" s="21">
        <f t="shared" si="4"/>
        <v>318193.98</v>
      </c>
      <c r="L1050" s="23"/>
      <c r="M1050" s="21">
        <f t="shared" si="7"/>
        <v>1896.93</v>
      </c>
    </row>
    <row r="1051" ht="20.25" customHeight="1" outlineLevel="1">
      <c r="A1051" s="12">
        <v>46006.0</v>
      </c>
      <c r="B1051" s="13" t="s">
        <v>16</v>
      </c>
      <c r="C1051" s="209" t="s">
        <v>980</v>
      </c>
      <c r="D1051" s="20"/>
      <c r="E1051" s="21">
        <f t="shared" si="1"/>
        <v>6012.97</v>
      </c>
      <c r="F1051" s="23">
        <v>19.8</v>
      </c>
      <c r="G1051" s="21">
        <f t="shared" si="2"/>
        <v>445768</v>
      </c>
      <c r="H1051" s="23"/>
      <c r="I1051" s="21">
        <f t="shared" si="6"/>
        <v>1430.41</v>
      </c>
      <c r="J1051" s="23"/>
      <c r="K1051" s="21">
        <f t="shared" si="4"/>
        <v>318193.98</v>
      </c>
      <c r="L1051" s="23"/>
      <c r="M1051" s="21">
        <f t="shared" si="7"/>
        <v>1896.93</v>
      </c>
    </row>
    <row r="1052" ht="20.25" customHeight="1" outlineLevel="1">
      <c r="A1052" s="12">
        <v>46006.0</v>
      </c>
      <c r="B1052" s="13" t="s">
        <v>63</v>
      </c>
      <c r="C1052" s="210" t="s">
        <v>981</v>
      </c>
      <c r="D1052" s="20"/>
      <c r="E1052" s="21">
        <f t="shared" si="1"/>
        <v>6012.97</v>
      </c>
      <c r="F1052" s="51">
        <v>122.0</v>
      </c>
      <c r="G1052" s="21">
        <f t="shared" si="2"/>
        <v>445890</v>
      </c>
      <c r="H1052" s="23"/>
      <c r="I1052" s="21">
        <f t="shared" si="6"/>
        <v>1430.41</v>
      </c>
      <c r="J1052" s="23"/>
      <c r="K1052" s="21">
        <f t="shared" si="4"/>
        <v>318193.98</v>
      </c>
      <c r="L1052" s="23"/>
      <c r="M1052" s="21">
        <f t="shared" si="7"/>
        <v>1896.93</v>
      </c>
    </row>
    <row r="1053" ht="20.25" customHeight="1" outlineLevel="1">
      <c r="A1053" s="12">
        <v>46006.0</v>
      </c>
      <c r="B1053" s="13" t="s">
        <v>16</v>
      </c>
      <c r="C1053" s="28" t="s">
        <v>982</v>
      </c>
      <c r="D1053" s="20"/>
      <c r="E1053" s="21">
        <f t="shared" si="1"/>
        <v>6012.97</v>
      </c>
      <c r="F1053" s="23">
        <v>1024.0</v>
      </c>
      <c r="G1053" s="21">
        <f t="shared" si="2"/>
        <v>446914</v>
      </c>
      <c r="H1053" s="23"/>
      <c r="I1053" s="21">
        <f t="shared" si="6"/>
        <v>1430.41</v>
      </c>
      <c r="J1053" s="23"/>
      <c r="K1053" s="21">
        <f t="shared" si="4"/>
        <v>318193.98</v>
      </c>
      <c r="L1053" s="23"/>
      <c r="M1053" s="21">
        <f t="shared" si="7"/>
        <v>1896.93</v>
      </c>
    </row>
    <row r="1054" ht="20.25" customHeight="1" outlineLevel="1">
      <c r="A1054" s="12">
        <v>46006.0</v>
      </c>
      <c r="B1054" s="13" t="s">
        <v>14</v>
      </c>
      <c r="C1054" s="28" t="s">
        <v>34</v>
      </c>
      <c r="D1054" s="20"/>
      <c r="E1054" s="21">
        <f t="shared" si="1"/>
        <v>6012.97</v>
      </c>
      <c r="F1054" s="23"/>
      <c r="G1054" s="21">
        <f t="shared" si="2"/>
        <v>446914</v>
      </c>
      <c r="H1054" s="23"/>
      <c r="I1054" s="21">
        <f t="shared" si="6"/>
        <v>1430.41</v>
      </c>
      <c r="J1054" s="22">
        <v>-12.08</v>
      </c>
      <c r="K1054" s="21">
        <f t="shared" si="4"/>
        <v>318181.9</v>
      </c>
      <c r="L1054" s="23"/>
      <c r="M1054" s="21">
        <f t="shared" si="7"/>
        <v>1896.93</v>
      </c>
    </row>
    <row r="1055" ht="20.25" customHeight="1" outlineLevel="1">
      <c r="A1055" s="12">
        <v>46006.0</v>
      </c>
      <c r="B1055" s="13" t="s">
        <v>16</v>
      </c>
      <c r="C1055" s="28" t="s">
        <v>983</v>
      </c>
      <c r="D1055" s="20"/>
      <c r="E1055" s="21">
        <f t="shared" si="1"/>
        <v>6012.97</v>
      </c>
      <c r="F1055" s="23"/>
      <c r="G1055" s="21">
        <f t="shared" si="2"/>
        <v>446914</v>
      </c>
      <c r="H1055" s="23"/>
      <c r="I1055" s="21">
        <f t="shared" si="6"/>
        <v>1430.41</v>
      </c>
      <c r="J1055" s="23">
        <v>220.0</v>
      </c>
      <c r="K1055" s="21">
        <f t="shared" si="4"/>
        <v>318401.9</v>
      </c>
      <c r="L1055" s="23"/>
      <c r="M1055" s="21">
        <f t="shared" si="7"/>
        <v>1896.93</v>
      </c>
    </row>
    <row r="1056" ht="20.25" customHeight="1" outlineLevel="1">
      <c r="A1056" s="12">
        <v>46006.0</v>
      </c>
      <c r="B1056" s="13" t="s">
        <v>12</v>
      </c>
      <c r="C1056" s="28" t="s">
        <v>984</v>
      </c>
      <c r="D1056" s="20"/>
      <c r="E1056" s="21">
        <f t="shared" si="1"/>
        <v>6012.97</v>
      </c>
      <c r="F1056" s="22">
        <v>-279.09</v>
      </c>
      <c r="G1056" s="21">
        <f t="shared" si="2"/>
        <v>446634.91</v>
      </c>
      <c r="H1056" s="23"/>
      <c r="I1056" s="21">
        <f t="shared" si="6"/>
        <v>1430.41</v>
      </c>
      <c r="J1056" s="23"/>
      <c r="K1056" s="21">
        <f t="shared" si="4"/>
        <v>318401.9</v>
      </c>
      <c r="L1056" s="23"/>
      <c r="M1056" s="21">
        <f t="shared" si="7"/>
        <v>1896.93</v>
      </c>
    </row>
    <row r="1057" ht="20.25" customHeight="1" outlineLevel="1">
      <c r="A1057" s="12">
        <v>46006.0</v>
      </c>
      <c r="B1057" s="13" t="s">
        <v>14</v>
      </c>
      <c r="C1057" s="28" t="s">
        <v>985</v>
      </c>
      <c r="D1057" s="20"/>
      <c r="E1057" s="21">
        <f t="shared" si="1"/>
        <v>6012.97</v>
      </c>
      <c r="F1057" s="22">
        <v>-300.0</v>
      </c>
      <c r="G1057" s="21">
        <f t="shared" si="2"/>
        <v>446334.91</v>
      </c>
      <c r="H1057" s="23"/>
      <c r="I1057" s="21">
        <f t="shared" si="6"/>
        <v>1430.41</v>
      </c>
      <c r="J1057" s="23"/>
      <c r="K1057" s="21">
        <f t="shared" si="4"/>
        <v>318401.9</v>
      </c>
      <c r="L1057" s="23"/>
      <c r="M1057" s="21">
        <f t="shared" si="7"/>
        <v>1896.93</v>
      </c>
    </row>
    <row r="1058" ht="20.25" customHeight="1" outlineLevel="1">
      <c r="A1058" s="12">
        <v>46006.0</v>
      </c>
      <c r="B1058" s="13" t="s">
        <v>16</v>
      </c>
      <c r="C1058" s="28" t="s">
        <v>986</v>
      </c>
      <c r="D1058" s="20"/>
      <c r="E1058" s="21">
        <f t="shared" si="1"/>
        <v>6012.97</v>
      </c>
      <c r="F1058" s="23">
        <v>420.0</v>
      </c>
      <c r="G1058" s="21">
        <f t="shared" si="2"/>
        <v>446754.91</v>
      </c>
      <c r="H1058" s="23"/>
      <c r="I1058" s="21">
        <f t="shared" si="6"/>
        <v>1430.41</v>
      </c>
      <c r="J1058" s="23"/>
      <c r="K1058" s="21">
        <f t="shared" si="4"/>
        <v>318401.9</v>
      </c>
      <c r="L1058" s="23"/>
      <c r="M1058" s="21">
        <f t="shared" si="7"/>
        <v>1896.93</v>
      </c>
    </row>
    <row r="1059" ht="20.25" customHeight="1" outlineLevel="1">
      <c r="A1059" s="12">
        <v>46006.0</v>
      </c>
      <c r="B1059" s="13" t="s">
        <v>16</v>
      </c>
      <c r="C1059" s="28" t="s">
        <v>987</v>
      </c>
      <c r="D1059" s="20"/>
      <c r="E1059" s="21">
        <f t="shared" si="1"/>
        <v>6012.97</v>
      </c>
      <c r="F1059" s="23">
        <v>110.0</v>
      </c>
      <c r="G1059" s="21">
        <f t="shared" si="2"/>
        <v>446864.91</v>
      </c>
      <c r="H1059" s="23"/>
      <c r="I1059" s="21">
        <f t="shared" si="6"/>
        <v>1430.41</v>
      </c>
      <c r="J1059" s="23"/>
      <c r="K1059" s="21">
        <f t="shared" si="4"/>
        <v>318401.9</v>
      </c>
      <c r="L1059" s="23"/>
      <c r="M1059" s="21">
        <f t="shared" si="7"/>
        <v>1896.93</v>
      </c>
    </row>
    <row r="1060" ht="20.25" customHeight="1" outlineLevel="1">
      <c r="A1060" s="12">
        <v>46006.0</v>
      </c>
      <c r="B1060" s="13" t="s">
        <v>16</v>
      </c>
      <c r="C1060" s="28" t="s">
        <v>988</v>
      </c>
      <c r="D1060" s="20"/>
      <c r="E1060" s="21">
        <f t="shared" si="1"/>
        <v>6012.97</v>
      </c>
      <c r="F1060" s="23">
        <v>845.0</v>
      </c>
      <c r="G1060" s="21">
        <f t="shared" si="2"/>
        <v>447709.91</v>
      </c>
      <c r="H1060" s="23"/>
      <c r="I1060" s="21">
        <f t="shared" si="6"/>
        <v>1430.41</v>
      </c>
      <c r="J1060" s="23"/>
      <c r="K1060" s="21">
        <f t="shared" si="4"/>
        <v>318401.9</v>
      </c>
      <c r="L1060" s="23"/>
      <c r="M1060" s="21">
        <f t="shared" si="7"/>
        <v>1896.93</v>
      </c>
    </row>
    <row r="1061" ht="20.25" customHeight="1" outlineLevel="1">
      <c r="A1061" s="12">
        <v>46006.0</v>
      </c>
      <c r="B1061" s="13" t="s">
        <v>16</v>
      </c>
      <c r="C1061" s="28" t="s">
        <v>989</v>
      </c>
      <c r="D1061" s="20"/>
      <c r="E1061" s="21">
        <f t="shared" si="1"/>
        <v>6012.97</v>
      </c>
      <c r="F1061" s="23">
        <v>90.0</v>
      </c>
      <c r="G1061" s="21">
        <f t="shared" si="2"/>
        <v>447799.91</v>
      </c>
      <c r="H1061" s="23"/>
      <c r="I1061" s="21">
        <f t="shared" si="6"/>
        <v>1430.41</v>
      </c>
      <c r="J1061" s="23"/>
      <c r="K1061" s="21">
        <f t="shared" si="4"/>
        <v>318401.9</v>
      </c>
      <c r="L1061" s="23"/>
      <c r="M1061" s="21">
        <f t="shared" si="7"/>
        <v>1896.93</v>
      </c>
    </row>
    <row r="1062" ht="20.25" customHeight="1" outlineLevel="1">
      <c r="A1062" s="12">
        <v>46006.0</v>
      </c>
      <c r="B1062" s="13" t="s">
        <v>16</v>
      </c>
      <c r="C1062" s="28" t="s">
        <v>990</v>
      </c>
      <c r="D1062" s="20"/>
      <c r="E1062" s="21">
        <f t="shared" si="1"/>
        <v>6012.97</v>
      </c>
      <c r="F1062" s="23">
        <v>320.0</v>
      </c>
      <c r="G1062" s="21">
        <f t="shared" si="2"/>
        <v>448119.91</v>
      </c>
      <c r="H1062" s="23"/>
      <c r="I1062" s="21">
        <f t="shared" si="6"/>
        <v>1430.41</v>
      </c>
      <c r="J1062" s="23"/>
      <c r="K1062" s="21">
        <f t="shared" si="4"/>
        <v>318401.9</v>
      </c>
      <c r="L1062" s="23"/>
      <c r="M1062" s="21">
        <f t="shared" si="7"/>
        <v>1896.93</v>
      </c>
    </row>
    <row r="1063" ht="20.25" customHeight="1" outlineLevel="1">
      <c r="A1063" s="12">
        <v>46006.0</v>
      </c>
      <c r="B1063" s="13" t="s">
        <v>16</v>
      </c>
      <c r="C1063" s="28" t="s">
        <v>704</v>
      </c>
      <c r="D1063" s="20">
        <v>220.0</v>
      </c>
      <c r="E1063" s="21">
        <f t="shared" si="1"/>
        <v>6232.97</v>
      </c>
      <c r="F1063" s="23"/>
      <c r="G1063" s="21">
        <f t="shared" si="2"/>
        <v>448119.91</v>
      </c>
      <c r="H1063" s="23"/>
      <c r="I1063" s="21">
        <f t="shared" si="6"/>
        <v>1430.41</v>
      </c>
      <c r="J1063" s="23"/>
      <c r="K1063" s="21">
        <f t="shared" si="4"/>
        <v>318401.9</v>
      </c>
      <c r="L1063" s="23"/>
      <c r="M1063" s="21">
        <f t="shared" si="7"/>
        <v>1896.93</v>
      </c>
    </row>
    <row r="1064" ht="20.25" customHeight="1" outlineLevel="1">
      <c r="A1064" s="12">
        <v>46007.0</v>
      </c>
      <c r="B1064" s="13" t="s">
        <v>12</v>
      </c>
      <c r="C1064" s="28" t="s">
        <v>991</v>
      </c>
      <c r="D1064" s="20"/>
      <c r="E1064" s="21">
        <f t="shared" si="1"/>
        <v>6232.97</v>
      </c>
      <c r="F1064" s="22">
        <v>-200.0</v>
      </c>
      <c r="G1064" s="21">
        <f t="shared" si="2"/>
        <v>447919.91</v>
      </c>
      <c r="H1064" s="23"/>
      <c r="I1064" s="21">
        <f t="shared" si="6"/>
        <v>1430.41</v>
      </c>
      <c r="J1064" s="23"/>
      <c r="K1064" s="21">
        <f t="shared" si="4"/>
        <v>318401.9</v>
      </c>
      <c r="L1064" s="23"/>
      <c r="M1064" s="21">
        <f t="shared" si="7"/>
        <v>1896.93</v>
      </c>
    </row>
    <row r="1065" ht="20.25" customHeight="1" outlineLevel="1">
      <c r="A1065" s="12">
        <v>46007.0</v>
      </c>
      <c r="B1065" s="13" t="s">
        <v>137</v>
      </c>
      <c r="C1065" s="28" t="s">
        <v>992</v>
      </c>
      <c r="D1065" s="20"/>
      <c r="E1065" s="21">
        <f t="shared" si="1"/>
        <v>6232.97</v>
      </c>
      <c r="F1065" s="22">
        <v>-556.55</v>
      </c>
      <c r="G1065" s="21">
        <f t="shared" si="2"/>
        <v>447363.36</v>
      </c>
      <c r="H1065" s="23"/>
      <c r="I1065" s="21">
        <f t="shared" si="6"/>
        <v>1430.41</v>
      </c>
      <c r="J1065" s="23"/>
      <c r="K1065" s="21">
        <f t="shared" si="4"/>
        <v>318401.9</v>
      </c>
      <c r="L1065" s="23"/>
      <c r="M1065" s="21">
        <f t="shared" si="7"/>
        <v>1896.93</v>
      </c>
    </row>
    <row r="1066" ht="20.25" customHeight="1" outlineLevel="1">
      <c r="A1066" s="12">
        <v>46007.0</v>
      </c>
      <c r="B1066" s="13" t="s">
        <v>137</v>
      </c>
      <c r="C1066" s="28" t="s">
        <v>993</v>
      </c>
      <c r="D1066" s="20"/>
      <c r="E1066" s="21">
        <f t="shared" si="1"/>
        <v>6232.97</v>
      </c>
      <c r="F1066" s="22">
        <v>-208.36</v>
      </c>
      <c r="G1066" s="21">
        <f t="shared" si="2"/>
        <v>447155</v>
      </c>
      <c r="H1066" s="23"/>
      <c r="I1066" s="21">
        <f t="shared" si="6"/>
        <v>1430.41</v>
      </c>
      <c r="J1066" s="23"/>
      <c r="K1066" s="21">
        <f t="shared" si="4"/>
        <v>318401.9</v>
      </c>
      <c r="L1066" s="23"/>
      <c r="M1066" s="21">
        <f t="shared" si="7"/>
        <v>1896.93</v>
      </c>
    </row>
    <row r="1067" ht="20.25" customHeight="1" outlineLevel="1">
      <c r="A1067" s="12">
        <v>46007.0</v>
      </c>
      <c r="B1067" s="13" t="s">
        <v>137</v>
      </c>
      <c r="C1067" s="28" t="s">
        <v>994</v>
      </c>
      <c r="D1067" s="20"/>
      <c r="E1067" s="21">
        <f t="shared" si="1"/>
        <v>6232.97</v>
      </c>
      <c r="F1067" s="22">
        <v>-92.33</v>
      </c>
      <c r="G1067" s="21">
        <f t="shared" si="2"/>
        <v>447062.67</v>
      </c>
      <c r="H1067" s="23"/>
      <c r="I1067" s="21">
        <f t="shared" si="6"/>
        <v>1430.41</v>
      </c>
      <c r="J1067" s="23"/>
      <c r="K1067" s="21">
        <f t="shared" si="4"/>
        <v>318401.9</v>
      </c>
      <c r="L1067" s="23"/>
      <c r="M1067" s="21">
        <f t="shared" si="7"/>
        <v>1896.93</v>
      </c>
    </row>
    <row r="1068" ht="20.25" customHeight="1" outlineLevel="1">
      <c r="A1068" s="12">
        <v>46007.0</v>
      </c>
      <c r="B1068" s="13" t="s">
        <v>16</v>
      </c>
      <c r="C1068" s="28" t="s">
        <v>995</v>
      </c>
      <c r="D1068" s="20"/>
      <c r="E1068" s="21">
        <f t="shared" si="1"/>
        <v>6232.97</v>
      </c>
      <c r="F1068" s="23">
        <v>45.0</v>
      </c>
      <c r="G1068" s="21">
        <f t="shared" si="2"/>
        <v>447107.67</v>
      </c>
      <c r="H1068" s="23"/>
      <c r="I1068" s="21">
        <f t="shared" si="6"/>
        <v>1430.41</v>
      </c>
      <c r="J1068" s="23"/>
      <c r="K1068" s="21">
        <f t="shared" si="4"/>
        <v>318401.9</v>
      </c>
      <c r="L1068" s="23"/>
      <c r="M1068" s="21">
        <f t="shared" si="7"/>
        <v>1896.93</v>
      </c>
    </row>
    <row r="1069" ht="20.25" customHeight="1" outlineLevel="1">
      <c r="A1069" s="12">
        <v>46007.0</v>
      </c>
      <c r="B1069" s="13" t="s">
        <v>16</v>
      </c>
      <c r="C1069" s="28" t="s">
        <v>996</v>
      </c>
      <c r="D1069" s="20"/>
      <c r="E1069" s="21">
        <f t="shared" si="1"/>
        <v>6232.97</v>
      </c>
      <c r="F1069" s="23">
        <v>63.0</v>
      </c>
      <c r="G1069" s="21">
        <f t="shared" si="2"/>
        <v>447170.67</v>
      </c>
      <c r="H1069" s="23"/>
      <c r="I1069" s="21">
        <f t="shared" si="6"/>
        <v>1430.41</v>
      </c>
      <c r="J1069" s="23"/>
      <c r="K1069" s="21">
        <f t="shared" si="4"/>
        <v>318401.9</v>
      </c>
      <c r="L1069" s="23"/>
      <c r="M1069" s="21">
        <f t="shared" si="7"/>
        <v>1896.93</v>
      </c>
    </row>
    <row r="1070" ht="20.25" customHeight="1" outlineLevel="1">
      <c r="A1070" s="12">
        <v>46007.0</v>
      </c>
      <c r="B1070" s="13" t="s">
        <v>12</v>
      </c>
      <c r="C1070" s="28" t="s">
        <v>997</v>
      </c>
      <c r="D1070" s="20"/>
      <c r="E1070" s="21">
        <f t="shared" si="1"/>
        <v>6232.97</v>
      </c>
      <c r="F1070" s="22">
        <v>-444.19</v>
      </c>
      <c r="G1070" s="21">
        <f t="shared" si="2"/>
        <v>446726.48</v>
      </c>
      <c r="H1070" s="23"/>
      <c r="I1070" s="21">
        <f t="shared" si="6"/>
        <v>1430.41</v>
      </c>
      <c r="J1070" s="23"/>
      <c r="K1070" s="21">
        <f t="shared" si="4"/>
        <v>318401.9</v>
      </c>
      <c r="L1070" s="23"/>
      <c r="M1070" s="21">
        <f t="shared" si="7"/>
        <v>1896.93</v>
      </c>
    </row>
    <row r="1071" ht="20.25" customHeight="1" outlineLevel="1">
      <c r="A1071" s="12">
        <v>46007.0</v>
      </c>
      <c r="B1071" s="13" t="s">
        <v>174</v>
      </c>
      <c r="C1071" s="28" t="s">
        <v>998</v>
      </c>
      <c r="D1071" s="20"/>
      <c r="E1071" s="21">
        <f t="shared" si="1"/>
        <v>6232.97</v>
      </c>
      <c r="F1071" s="23"/>
      <c r="G1071" s="21">
        <f t="shared" si="2"/>
        <v>446726.48</v>
      </c>
      <c r="H1071" s="23"/>
      <c r="I1071" s="21">
        <f t="shared" si="6"/>
        <v>1430.41</v>
      </c>
      <c r="J1071" s="22">
        <v>-18658.87</v>
      </c>
      <c r="K1071" s="21">
        <f t="shared" si="4"/>
        <v>299743.03</v>
      </c>
      <c r="L1071" s="23"/>
      <c r="M1071" s="21">
        <f t="shared" si="7"/>
        <v>1896.93</v>
      </c>
    </row>
    <row r="1072" ht="20.25" customHeight="1" outlineLevel="1">
      <c r="A1072" s="12">
        <v>46007.0</v>
      </c>
      <c r="B1072" s="13" t="s">
        <v>14</v>
      </c>
      <c r="C1072" s="28" t="s">
        <v>34</v>
      </c>
      <c r="D1072" s="20"/>
      <c r="E1072" s="21">
        <f t="shared" si="1"/>
        <v>6232.97</v>
      </c>
      <c r="F1072" s="23"/>
      <c r="G1072" s="21">
        <f t="shared" si="2"/>
        <v>446726.48</v>
      </c>
      <c r="H1072" s="23"/>
      <c r="I1072" s="21">
        <f t="shared" si="6"/>
        <v>1430.41</v>
      </c>
      <c r="J1072" s="22">
        <v>-23.81</v>
      </c>
      <c r="K1072" s="21">
        <f t="shared" si="4"/>
        <v>299719.22</v>
      </c>
      <c r="L1072" s="23"/>
      <c r="M1072" s="21">
        <f t="shared" si="7"/>
        <v>1896.93</v>
      </c>
    </row>
    <row r="1073" ht="20.25" customHeight="1" outlineLevel="1">
      <c r="A1073" s="12">
        <v>46007.0</v>
      </c>
      <c r="B1073" s="13" t="s">
        <v>16</v>
      </c>
      <c r="C1073" s="28" t="s">
        <v>731</v>
      </c>
      <c r="D1073" s="20"/>
      <c r="E1073" s="21">
        <f t="shared" si="1"/>
        <v>6232.97</v>
      </c>
      <c r="F1073" s="23"/>
      <c r="G1073" s="21">
        <f t="shared" si="2"/>
        <v>446726.48</v>
      </c>
      <c r="H1073" s="23"/>
      <c r="I1073" s="21">
        <f t="shared" si="6"/>
        <v>1430.41</v>
      </c>
      <c r="J1073" s="23">
        <v>550.0</v>
      </c>
      <c r="K1073" s="21">
        <f t="shared" si="4"/>
        <v>300269.22</v>
      </c>
      <c r="L1073" s="23"/>
      <c r="M1073" s="21">
        <f t="shared" si="7"/>
        <v>1896.93</v>
      </c>
    </row>
    <row r="1074" ht="20.25" customHeight="1" outlineLevel="1">
      <c r="A1074" s="12">
        <v>46007.0</v>
      </c>
      <c r="B1074" s="13" t="s">
        <v>16</v>
      </c>
      <c r="C1074" s="28" t="s">
        <v>999</v>
      </c>
      <c r="D1074" s="20"/>
      <c r="E1074" s="21">
        <f t="shared" si="1"/>
        <v>6232.97</v>
      </c>
      <c r="F1074" s="23"/>
      <c r="G1074" s="21">
        <f t="shared" si="2"/>
        <v>446726.48</v>
      </c>
      <c r="H1074" s="23"/>
      <c r="I1074" s="21">
        <f t="shared" si="6"/>
        <v>1430.41</v>
      </c>
      <c r="J1074" s="23">
        <v>25.0</v>
      </c>
      <c r="K1074" s="21">
        <f t="shared" si="4"/>
        <v>300294.22</v>
      </c>
      <c r="L1074" s="23"/>
      <c r="M1074" s="21">
        <f t="shared" si="7"/>
        <v>1896.93</v>
      </c>
    </row>
    <row r="1075" ht="20.25" customHeight="1" outlineLevel="1">
      <c r="A1075" s="12">
        <v>46007.0</v>
      </c>
      <c r="B1075" s="13" t="s">
        <v>16</v>
      </c>
      <c r="C1075" s="28" t="s">
        <v>1000</v>
      </c>
      <c r="D1075" s="20">
        <v>30.0</v>
      </c>
      <c r="E1075" s="21">
        <f t="shared" si="1"/>
        <v>6262.97</v>
      </c>
      <c r="F1075" s="23"/>
      <c r="G1075" s="21">
        <f t="shared" si="2"/>
        <v>446726.48</v>
      </c>
      <c r="H1075" s="23"/>
      <c r="I1075" s="21">
        <f t="shared" si="6"/>
        <v>1430.41</v>
      </c>
      <c r="J1075" s="23"/>
      <c r="K1075" s="21">
        <f t="shared" si="4"/>
        <v>300294.22</v>
      </c>
      <c r="L1075" s="23"/>
      <c r="M1075" s="21">
        <f t="shared" si="7"/>
        <v>1896.93</v>
      </c>
    </row>
    <row r="1076" ht="20.25" customHeight="1" outlineLevel="1">
      <c r="A1076" s="12">
        <v>46007.0</v>
      </c>
      <c r="B1076" s="13" t="s">
        <v>12</v>
      </c>
      <c r="C1076" s="28" t="s">
        <v>248</v>
      </c>
      <c r="D1076" s="20"/>
      <c r="E1076" s="21">
        <f t="shared" si="1"/>
        <v>6262.97</v>
      </c>
      <c r="F1076" s="23"/>
      <c r="G1076" s="21">
        <f t="shared" si="2"/>
        <v>446726.48</v>
      </c>
      <c r="H1076" s="22">
        <v>-344.0</v>
      </c>
      <c r="I1076" s="21">
        <f t="shared" si="6"/>
        <v>1086.41</v>
      </c>
      <c r="J1076" s="23"/>
      <c r="K1076" s="21">
        <f t="shared" si="4"/>
        <v>300294.22</v>
      </c>
      <c r="L1076" s="23"/>
      <c r="M1076" s="21">
        <f t="shared" si="7"/>
        <v>1896.93</v>
      </c>
    </row>
    <row r="1077" ht="20.25" customHeight="1" outlineLevel="1">
      <c r="A1077" s="12">
        <v>46008.0</v>
      </c>
      <c r="B1077" s="13" t="s">
        <v>12</v>
      </c>
      <c r="C1077" s="28" t="s">
        <v>1001</v>
      </c>
      <c r="D1077" s="20"/>
      <c r="E1077" s="21">
        <f t="shared" si="1"/>
        <v>6262.97</v>
      </c>
      <c r="F1077" s="22">
        <v>-4880.0</v>
      </c>
      <c r="G1077" s="21">
        <f t="shared" si="2"/>
        <v>441846.48</v>
      </c>
      <c r="H1077" s="23"/>
      <c r="I1077" s="21">
        <f t="shared" si="6"/>
        <v>1086.41</v>
      </c>
      <c r="J1077" s="23"/>
      <c r="K1077" s="21">
        <f t="shared" si="4"/>
        <v>300294.22</v>
      </c>
      <c r="L1077" s="23"/>
      <c r="M1077" s="21">
        <f t="shared" si="7"/>
        <v>1896.93</v>
      </c>
    </row>
    <row r="1078" ht="20.25" customHeight="1" outlineLevel="1">
      <c r="A1078" s="12">
        <v>46008.0</v>
      </c>
      <c r="B1078" s="13" t="s">
        <v>16</v>
      </c>
      <c r="C1078" s="28" t="s">
        <v>1002</v>
      </c>
      <c r="D1078" s="20"/>
      <c r="E1078" s="21">
        <f t="shared" si="1"/>
        <v>6262.97</v>
      </c>
      <c r="F1078" s="23">
        <v>188.0</v>
      </c>
      <c r="G1078" s="21">
        <f t="shared" si="2"/>
        <v>442034.48</v>
      </c>
      <c r="H1078" s="23"/>
      <c r="I1078" s="21">
        <f t="shared" si="6"/>
        <v>1086.41</v>
      </c>
      <c r="J1078" s="23"/>
      <c r="K1078" s="21">
        <f t="shared" si="4"/>
        <v>300294.22</v>
      </c>
      <c r="L1078" s="23"/>
      <c r="M1078" s="21">
        <f t="shared" si="7"/>
        <v>1896.93</v>
      </c>
    </row>
    <row r="1079" ht="20.25" customHeight="1" outlineLevel="1">
      <c r="A1079" s="12">
        <v>46008.0</v>
      </c>
      <c r="B1079" s="13" t="s">
        <v>14</v>
      </c>
      <c r="C1079" s="28" t="s">
        <v>34</v>
      </c>
      <c r="D1079" s="20"/>
      <c r="E1079" s="21">
        <f t="shared" si="1"/>
        <v>6262.97</v>
      </c>
      <c r="F1079" s="23"/>
      <c r="G1079" s="21">
        <f t="shared" si="2"/>
        <v>442034.48</v>
      </c>
      <c r="H1079" s="23"/>
      <c r="I1079" s="21">
        <f t="shared" si="6"/>
        <v>1086.41</v>
      </c>
      <c r="J1079" s="22">
        <v>-309.0</v>
      </c>
      <c r="K1079" s="21">
        <f t="shared" si="4"/>
        <v>299985.22</v>
      </c>
      <c r="L1079" s="23"/>
      <c r="M1079" s="21">
        <f t="shared" si="7"/>
        <v>1896.93</v>
      </c>
    </row>
    <row r="1080" ht="20.25" customHeight="1" outlineLevel="1">
      <c r="A1080" s="12">
        <v>46009.0</v>
      </c>
      <c r="B1080" s="13" t="s">
        <v>16</v>
      </c>
      <c r="C1080" s="28" t="s">
        <v>1003</v>
      </c>
      <c r="D1080" s="20"/>
      <c r="E1080" s="21">
        <f t="shared" si="1"/>
        <v>6262.97</v>
      </c>
      <c r="F1080" s="23">
        <v>470.0</v>
      </c>
      <c r="G1080" s="21">
        <f t="shared" si="2"/>
        <v>442504.48</v>
      </c>
      <c r="H1080" s="23"/>
      <c r="I1080" s="21">
        <f t="shared" si="6"/>
        <v>1086.41</v>
      </c>
      <c r="J1080" s="23"/>
      <c r="K1080" s="21">
        <f t="shared" si="4"/>
        <v>299985.22</v>
      </c>
      <c r="L1080" s="23"/>
      <c r="M1080" s="21">
        <f t="shared" si="7"/>
        <v>1896.93</v>
      </c>
    </row>
    <row r="1081" ht="20.25" customHeight="1" outlineLevel="1">
      <c r="A1081" s="12">
        <v>46009.0</v>
      </c>
      <c r="B1081" s="13" t="s">
        <v>16</v>
      </c>
      <c r="C1081" s="28" t="s">
        <v>1004</v>
      </c>
      <c r="D1081" s="20"/>
      <c r="E1081" s="21">
        <f t="shared" si="1"/>
        <v>6262.97</v>
      </c>
      <c r="F1081" s="23">
        <v>129.0</v>
      </c>
      <c r="G1081" s="21">
        <f t="shared" si="2"/>
        <v>442633.48</v>
      </c>
      <c r="H1081" s="23"/>
      <c r="I1081" s="21">
        <f t="shared" si="6"/>
        <v>1086.41</v>
      </c>
      <c r="J1081" s="23"/>
      <c r="K1081" s="21">
        <f t="shared" si="4"/>
        <v>299985.22</v>
      </c>
      <c r="L1081" s="23"/>
      <c r="M1081" s="21">
        <f t="shared" si="7"/>
        <v>1896.93</v>
      </c>
    </row>
    <row r="1082" ht="20.25" customHeight="1" outlineLevel="1">
      <c r="A1082" s="12">
        <v>46009.0</v>
      </c>
      <c r="B1082" s="13" t="s">
        <v>63</v>
      </c>
      <c r="C1082" s="69" t="s">
        <v>1005</v>
      </c>
      <c r="D1082" s="20"/>
      <c r="E1082" s="21">
        <f t="shared" si="1"/>
        <v>6262.97</v>
      </c>
      <c r="F1082" s="51">
        <v>12079.65</v>
      </c>
      <c r="G1082" s="21">
        <f t="shared" si="2"/>
        <v>454713.13</v>
      </c>
      <c r="H1082" s="23"/>
      <c r="I1082" s="21">
        <f t="shared" si="6"/>
        <v>1086.41</v>
      </c>
      <c r="J1082" s="23"/>
      <c r="K1082" s="21">
        <f t="shared" si="4"/>
        <v>299985.22</v>
      </c>
      <c r="L1082" s="23"/>
      <c r="M1082" s="21">
        <f t="shared" si="7"/>
        <v>1896.93</v>
      </c>
    </row>
    <row r="1083" ht="20.25" customHeight="1" outlineLevel="1">
      <c r="A1083" s="12">
        <v>46009.0</v>
      </c>
      <c r="B1083" s="13" t="s">
        <v>63</v>
      </c>
      <c r="C1083" s="69" t="s">
        <v>1006</v>
      </c>
      <c r="D1083" s="20"/>
      <c r="E1083" s="21">
        <f t="shared" si="1"/>
        <v>6262.97</v>
      </c>
      <c r="F1083" s="51">
        <v>6710.0</v>
      </c>
      <c r="G1083" s="21">
        <f t="shared" si="2"/>
        <v>461423.13</v>
      </c>
      <c r="H1083" s="23"/>
      <c r="I1083" s="21">
        <f t="shared" si="6"/>
        <v>1086.41</v>
      </c>
      <c r="J1083" s="23"/>
      <c r="K1083" s="21">
        <f t="shared" si="4"/>
        <v>299985.22</v>
      </c>
      <c r="L1083" s="23"/>
      <c r="M1083" s="21">
        <f t="shared" si="7"/>
        <v>1896.93</v>
      </c>
    </row>
    <row r="1084" ht="20.25" customHeight="1" outlineLevel="1">
      <c r="A1084" s="12">
        <v>46009.0</v>
      </c>
      <c r="B1084" s="13" t="s">
        <v>63</v>
      </c>
      <c r="C1084" s="69" t="s">
        <v>1007</v>
      </c>
      <c r="D1084" s="20"/>
      <c r="E1084" s="21">
        <f t="shared" si="1"/>
        <v>6262.97</v>
      </c>
      <c r="F1084" s="51">
        <v>1952.0</v>
      </c>
      <c r="G1084" s="21">
        <f t="shared" si="2"/>
        <v>463375.13</v>
      </c>
      <c r="H1084" s="23"/>
      <c r="I1084" s="21">
        <f t="shared" si="6"/>
        <v>1086.41</v>
      </c>
      <c r="J1084" s="23"/>
      <c r="K1084" s="21">
        <f t="shared" si="4"/>
        <v>299985.22</v>
      </c>
      <c r="L1084" s="23"/>
      <c r="M1084" s="21">
        <f t="shared" si="7"/>
        <v>1896.93</v>
      </c>
    </row>
    <row r="1085" ht="20.25" customHeight="1" outlineLevel="1">
      <c r="A1085" s="12">
        <v>46009.0</v>
      </c>
      <c r="B1085" s="13" t="s">
        <v>16</v>
      </c>
      <c r="C1085" s="28" t="s">
        <v>1008</v>
      </c>
      <c r="D1085" s="20"/>
      <c r="E1085" s="21">
        <f t="shared" si="1"/>
        <v>6262.97</v>
      </c>
      <c r="F1085" s="23"/>
      <c r="G1085" s="21">
        <f t="shared" si="2"/>
        <v>463375.13</v>
      </c>
      <c r="H1085" s="23"/>
      <c r="I1085" s="21">
        <f t="shared" si="6"/>
        <v>1086.41</v>
      </c>
      <c r="J1085" s="23">
        <v>390.18</v>
      </c>
      <c r="K1085" s="21">
        <f t="shared" si="4"/>
        <v>300375.4</v>
      </c>
      <c r="L1085" s="23"/>
      <c r="M1085" s="21">
        <f t="shared" si="7"/>
        <v>1896.93</v>
      </c>
    </row>
    <row r="1086" ht="20.25" customHeight="1" outlineLevel="1">
      <c r="A1086" s="12">
        <v>46010.0</v>
      </c>
      <c r="B1086" s="13" t="s">
        <v>14</v>
      </c>
      <c r="C1086" s="28" t="s">
        <v>1009</v>
      </c>
      <c r="D1086" s="20"/>
      <c r="E1086" s="21">
        <f t="shared" si="1"/>
        <v>6262.97</v>
      </c>
      <c r="F1086" s="22">
        <v>-20.0</v>
      </c>
      <c r="G1086" s="21">
        <f t="shared" si="2"/>
        <v>463355.13</v>
      </c>
      <c r="H1086" s="23"/>
      <c r="I1086" s="21">
        <f t="shared" si="6"/>
        <v>1086.41</v>
      </c>
      <c r="J1086" s="23"/>
      <c r="K1086" s="21">
        <f t="shared" si="4"/>
        <v>300375.4</v>
      </c>
      <c r="L1086" s="23"/>
      <c r="M1086" s="21">
        <f t="shared" si="7"/>
        <v>1896.93</v>
      </c>
    </row>
    <row r="1087" ht="20.25" customHeight="1" outlineLevel="1">
      <c r="A1087" s="12">
        <v>46010.0</v>
      </c>
      <c r="B1087" s="13" t="s">
        <v>16</v>
      </c>
      <c r="C1087" s="28" t="s">
        <v>1010</v>
      </c>
      <c r="D1087" s="20"/>
      <c r="E1087" s="21">
        <f t="shared" si="1"/>
        <v>6262.97</v>
      </c>
      <c r="F1087" s="23">
        <v>43.0</v>
      </c>
      <c r="G1087" s="21">
        <f t="shared" si="2"/>
        <v>463398.13</v>
      </c>
      <c r="H1087" s="23"/>
      <c r="I1087" s="21">
        <f t="shared" si="6"/>
        <v>1086.41</v>
      </c>
      <c r="J1087" s="23"/>
      <c r="K1087" s="21">
        <f t="shared" si="4"/>
        <v>300375.4</v>
      </c>
      <c r="L1087" s="23"/>
      <c r="M1087" s="21">
        <f t="shared" si="7"/>
        <v>1896.93</v>
      </c>
    </row>
    <row r="1088" ht="20.25" customHeight="1" outlineLevel="1">
      <c r="A1088" s="12">
        <v>46010.0</v>
      </c>
      <c r="B1088" s="13" t="s">
        <v>16</v>
      </c>
      <c r="C1088" s="28" t="s">
        <v>1011</v>
      </c>
      <c r="D1088" s="20"/>
      <c r="E1088" s="21">
        <f t="shared" si="1"/>
        <v>6262.97</v>
      </c>
      <c r="F1088" s="23">
        <v>20.0</v>
      </c>
      <c r="G1088" s="21">
        <f t="shared" si="2"/>
        <v>463418.13</v>
      </c>
      <c r="H1088" s="23"/>
      <c r="I1088" s="21">
        <f t="shared" si="6"/>
        <v>1086.41</v>
      </c>
      <c r="J1088" s="23"/>
      <c r="K1088" s="21">
        <f t="shared" si="4"/>
        <v>300375.4</v>
      </c>
      <c r="L1088" s="23"/>
      <c r="M1088" s="21">
        <f t="shared" si="7"/>
        <v>1896.93</v>
      </c>
    </row>
    <row r="1089" ht="20.25" customHeight="1" outlineLevel="1">
      <c r="A1089" s="12">
        <v>46010.0</v>
      </c>
      <c r="B1089" s="13" t="s">
        <v>16</v>
      </c>
      <c r="C1089" s="28" t="s">
        <v>1012</v>
      </c>
      <c r="D1089" s="20"/>
      <c r="E1089" s="21">
        <f t="shared" si="1"/>
        <v>6262.97</v>
      </c>
      <c r="F1089" s="23"/>
      <c r="G1089" s="21">
        <f t="shared" si="2"/>
        <v>463418.13</v>
      </c>
      <c r="H1089" s="23"/>
      <c r="I1089" s="21">
        <f t="shared" si="6"/>
        <v>1086.41</v>
      </c>
      <c r="J1089" s="23">
        <v>125.0</v>
      </c>
      <c r="K1089" s="21">
        <f t="shared" si="4"/>
        <v>300500.4</v>
      </c>
      <c r="L1089" s="23"/>
      <c r="M1089" s="21">
        <f t="shared" si="7"/>
        <v>1896.93</v>
      </c>
    </row>
    <row r="1090" ht="20.25" customHeight="1" outlineLevel="1">
      <c r="A1090" s="12">
        <v>46010.0</v>
      </c>
      <c r="B1090" s="13" t="s">
        <v>16</v>
      </c>
      <c r="C1090" s="28" t="s">
        <v>1013</v>
      </c>
      <c r="D1090" s="20"/>
      <c r="E1090" s="21">
        <f t="shared" si="1"/>
        <v>6262.97</v>
      </c>
      <c r="F1090" s="23"/>
      <c r="G1090" s="21">
        <f t="shared" si="2"/>
        <v>463418.13</v>
      </c>
      <c r="H1090" s="23"/>
      <c r="I1090" s="21">
        <f t="shared" si="6"/>
        <v>1086.41</v>
      </c>
      <c r="J1090" s="23">
        <v>20.0</v>
      </c>
      <c r="K1090" s="21">
        <f t="shared" si="4"/>
        <v>300520.4</v>
      </c>
      <c r="L1090" s="23"/>
      <c r="M1090" s="21">
        <f t="shared" si="7"/>
        <v>1896.93</v>
      </c>
    </row>
    <row r="1091" ht="20.25" customHeight="1" outlineLevel="1">
      <c r="A1091" s="12">
        <v>46010.0</v>
      </c>
      <c r="B1091" s="13" t="s">
        <v>16</v>
      </c>
      <c r="C1091" s="28" t="s">
        <v>1014</v>
      </c>
      <c r="D1091" s="20">
        <v>360.0</v>
      </c>
      <c r="E1091" s="21">
        <f t="shared" si="1"/>
        <v>6622.97</v>
      </c>
      <c r="F1091" s="23"/>
      <c r="G1091" s="21">
        <f t="shared" si="2"/>
        <v>463418.13</v>
      </c>
      <c r="H1091" s="23"/>
      <c r="I1091" s="21">
        <f t="shared" si="6"/>
        <v>1086.41</v>
      </c>
      <c r="J1091" s="23"/>
      <c r="K1091" s="21">
        <f t="shared" si="4"/>
        <v>300520.4</v>
      </c>
      <c r="L1091" s="23"/>
      <c r="M1091" s="21">
        <f t="shared" si="7"/>
        <v>1896.93</v>
      </c>
    </row>
    <row r="1092" ht="20.25" customHeight="1" outlineLevel="1">
      <c r="A1092" s="12">
        <v>46010.0</v>
      </c>
      <c r="B1092" s="13" t="s">
        <v>12</v>
      </c>
      <c r="C1092" s="28" t="s">
        <v>1015</v>
      </c>
      <c r="D1092" s="20"/>
      <c r="E1092" s="21">
        <f t="shared" si="1"/>
        <v>6622.97</v>
      </c>
      <c r="F1092" s="23"/>
      <c r="G1092" s="21">
        <f t="shared" si="2"/>
        <v>463418.13</v>
      </c>
      <c r="H1092" s="22">
        <v>-681.49</v>
      </c>
      <c r="I1092" s="21">
        <f t="shared" si="6"/>
        <v>404.92</v>
      </c>
      <c r="J1092" s="23"/>
      <c r="K1092" s="21">
        <f t="shared" si="4"/>
        <v>300520.4</v>
      </c>
      <c r="L1092" s="23"/>
      <c r="M1092" s="21">
        <f t="shared" si="7"/>
        <v>1896.93</v>
      </c>
    </row>
    <row r="1093" ht="20.25" customHeight="1" outlineLevel="1">
      <c r="A1093" s="12">
        <v>46011.0</v>
      </c>
      <c r="B1093" s="13" t="s">
        <v>16</v>
      </c>
      <c r="C1093" s="205" t="s">
        <v>1016</v>
      </c>
      <c r="D1093" s="20"/>
      <c r="E1093" s="21">
        <f t="shared" si="1"/>
        <v>6622.97</v>
      </c>
      <c r="F1093" s="23"/>
      <c r="G1093" s="21">
        <f t="shared" si="2"/>
        <v>463418.13</v>
      </c>
      <c r="H1093" s="23"/>
      <c r="I1093" s="21">
        <f t="shared" si="6"/>
        <v>404.92</v>
      </c>
      <c r="J1093" s="23">
        <v>250.0</v>
      </c>
      <c r="K1093" s="21">
        <f t="shared" si="4"/>
        <v>300770.4</v>
      </c>
      <c r="L1093" s="23"/>
      <c r="M1093" s="21">
        <f t="shared" si="7"/>
        <v>1896.93</v>
      </c>
    </row>
    <row r="1094" ht="20.25" customHeight="1" outlineLevel="1">
      <c r="A1094" s="12">
        <v>46011.0</v>
      </c>
      <c r="B1094" s="13" t="s">
        <v>16</v>
      </c>
      <c r="C1094" s="61" t="s">
        <v>605</v>
      </c>
      <c r="D1094" s="20">
        <v>25.0</v>
      </c>
      <c r="E1094" s="21">
        <f t="shared" si="1"/>
        <v>6647.97</v>
      </c>
      <c r="F1094" s="23"/>
      <c r="G1094" s="21">
        <f t="shared" si="2"/>
        <v>463418.13</v>
      </c>
      <c r="H1094" s="23"/>
      <c r="I1094" s="21">
        <f t="shared" si="6"/>
        <v>404.92</v>
      </c>
      <c r="J1094" s="23"/>
      <c r="K1094" s="21">
        <f t="shared" si="4"/>
        <v>300770.4</v>
      </c>
      <c r="L1094" s="23"/>
      <c r="M1094" s="21">
        <f t="shared" si="7"/>
        <v>1896.93</v>
      </c>
    </row>
    <row r="1095" ht="20.25" customHeight="1" outlineLevel="1">
      <c r="A1095" s="12">
        <v>46013.0</v>
      </c>
      <c r="B1095" s="13" t="s">
        <v>63</v>
      </c>
      <c r="C1095" s="69" t="s">
        <v>1017</v>
      </c>
      <c r="D1095" s="20"/>
      <c r="E1095" s="21">
        <f t="shared" si="1"/>
        <v>6647.97</v>
      </c>
      <c r="F1095" s="51">
        <v>1012.6</v>
      </c>
      <c r="G1095" s="21">
        <f t="shared" si="2"/>
        <v>464430.73</v>
      </c>
      <c r="H1095" s="23"/>
      <c r="I1095" s="21">
        <f t="shared" si="6"/>
        <v>404.92</v>
      </c>
      <c r="J1095" s="23"/>
      <c r="K1095" s="21">
        <f t="shared" si="4"/>
        <v>300770.4</v>
      </c>
      <c r="L1095" s="23"/>
      <c r="M1095" s="21">
        <f t="shared" si="7"/>
        <v>1896.93</v>
      </c>
    </row>
    <row r="1096" ht="20.25" customHeight="1" outlineLevel="1">
      <c r="A1096" s="12">
        <v>46013.0</v>
      </c>
      <c r="B1096" s="13" t="s">
        <v>16</v>
      </c>
      <c r="C1096" s="211" t="s">
        <v>1018</v>
      </c>
      <c r="D1096" s="20"/>
      <c r="E1096" s="21">
        <f t="shared" si="1"/>
        <v>6647.97</v>
      </c>
      <c r="F1096" s="23"/>
      <c r="G1096" s="21">
        <f t="shared" si="2"/>
        <v>464430.73</v>
      </c>
      <c r="H1096" s="23"/>
      <c r="I1096" s="21">
        <f t="shared" si="6"/>
        <v>404.92</v>
      </c>
      <c r="J1096" s="23">
        <v>301.0</v>
      </c>
      <c r="K1096" s="21">
        <f t="shared" si="4"/>
        <v>301071.4</v>
      </c>
      <c r="L1096" s="23"/>
      <c r="M1096" s="21">
        <f t="shared" si="7"/>
        <v>1896.93</v>
      </c>
    </row>
    <row r="1097" ht="20.25" customHeight="1" outlineLevel="1">
      <c r="A1097" s="12">
        <v>46013.0</v>
      </c>
      <c r="B1097" s="13" t="s">
        <v>16</v>
      </c>
      <c r="C1097" s="61" t="s">
        <v>1019</v>
      </c>
      <c r="D1097" s="20">
        <v>799.0</v>
      </c>
      <c r="E1097" s="21">
        <f t="shared" si="1"/>
        <v>7446.97</v>
      </c>
      <c r="F1097" s="23"/>
      <c r="G1097" s="21">
        <f t="shared" si="2"/>
        <v>464430.73</v>
      </c>
      <c r="H1097" s="23"/>
      <c r="I1097" s="21">
        <f t="shared" si="6"/>
        <v>404.92</v>
      </c>
      <c r="J1097" s="23"/>
      <c r="K1097" s="21">
        <f t="shared" si="4"/>
        <v>301071.4</v>
      </c>
      <c r="L1097" s="23"/>
      <c r="M1097" s="21">
        <f t="shared" si="7"/>
        <v>1896.93</v>
      </c>
    </row>
    <row r="1098" ht="20.25" customHeight="1" outlineLevel="1">
      <c r="A1098" s="12">
        <v>46013.0</v>
      </c>
      <c r="B1098" s="13" t="s">
        <v>12</v>
      </c>
      <c r="C1098" s="28" t="s">
        <v>1020</v>
      </c>
      <c r="D1098" s="20"/>
      <c r="E1098" s="21">
        <f t="shared" si="1"/>
        <v>7446.97</v>
      </c>
      <c r="F1098" s="22">
        <v>-446.0</v>
      </c>
      <c r="G1098" s="21">
        <f t="shared" si="2"/>
        <v>463984.73</v>
      </c>
      <c r="H1098" s="23"/>
      <c r="I1098" s="21">
        <f t="shared" si="6"/>
        <v>404.92</v>
      </c>
      <c r="J1098" s="23"/>
      <c r="K1098" s="21">
        <f t="shared" si="4"/>
        <v>301071.4</v>
      </c>
      <c r="L1098" s="23"/>
      <c r="M1098" s="21">
        <f t="shared" si="7"/>
        <v>1896.93</v>
      </c>
    </row>
    <row r="1099" ht="20.25" customHeight="1" outlineLevel="1">
      <c r="A1099" s="12">
        <v>46013.0</v>
      </c>
      <c r="B1099" s="13" t="s">
        <v>16</v>
      </c>
      <c r="C1099" s="28" t="s">
        <v>1021</v>
      </c>
      <c r="D1099" s="20"/>
      <c r="E1099" s="21">
        <f t="shared" si="1"/>
        <v>7446.97</v>
      </c>
      <c r="F1099" s="23">
        <v>125.0</v>
      </c>
      <c r="G1099" s="21">
        <f t="shared" si="2"/>
        <v>464109.73</v>
      </c>
      <c r="H1099" s="23"/>
      <c r="I1099" s="21">
        <f t="shared" si="6"/>
        <v>404.92</v>
      </c>
      <c r="J1099" s="23"/>
      <c r="K1099" s="21">
        <f t="shared" si="4"/>
        <v>301071.4</v>
      </c>
      <c r="L1099" s="23"/>
      <c r="M1099" s="21">
        <f t="shared" si="7"/>
        <v>1896.93</v>
      </c>
    </row>
    <row r="1100" ht="20.25" customHeight="1" outlineLevel="1">
      <c r="A1100" s="12">
        <v>46013.0</v>
      </c>
      <c r="B1100" s="13" t="s">
        <v>16</v>
      </c>
      <c r="C1100" s="28" t="s">
        <v>1022</v>
      </c>
      <c r="D1100" s="20"/>
      <c r="E1100" s="21">
        <f t="shared" si="1"/>
        <v>7446.97</v>
      </c>
      <c r="F1100" s="23">
        <v>55.0</v>
      </c>
      <c r="G1100" s="21">
        <f t="shared" si="2"/>
        <v>464164.73</v>
      </c>
      <c r="H1100" s="23"/>
      <c r="I1100" s="21">
        <f t="shared" si="6"/>
        <v>404.92</v>
      </c>
      <c r="J1100" s="23"/>
      <c r="K1100" s="21">
        <f t="shared" si="4"/>
        <v>301071.4</v>
      </c>
      <c r="L1100" s="23"/>
      <c r="M1100" s="21">
        <f t="shared" si="7"/>
        <v>1896.93</v>
      </c>
    </row>
    <row r="1101" ht="20.25" customHeight="1" outlineLevel="1">
      <c r="A1101" s="12">
        <v>46013.0</v>
      </c>
      <c r="B1101" s="13" t="s">
        <v>16</v>
      </c>
      <c r="C1101" s="28" t="s">
        <v>1023</v>
      </c>
      <c r="D1101" s="20"/>
      <c r="E1101" s="21">
        <f t="shared" si="1"/>
        <v>7446.97</v>
      </c>
      <c r="F1101" s="23">
        <v>155.0</v>
      </c>
      <c r="G1101" s="21">
        <f t="shared" si="2"/>
        <v>464319.73</v>
      </c>
      <c r="H1101" s="23"/>
      <c r="I1101" s="21">
        <f t="shared" si="6"/>
        <v>404.92</v>
      </c>
      <c r="J1101" s="23"/>
      <c r="K1101" s="21">
        <f t="shared" si="4"/>
        <v>301071.4</v>
      </c>
      <c r="L1101" s="23"/>
      <c r="M1101" s="21">
        <f t="shared" si="7"/>
        <v>1896.93</v>
      </c>
    </row>
    <row r="1102" ht="20.25" customHeight="1" outlineLevel="1">
      <c r="A1102" s="12">
        <v>46013.0</v>
      </c>
      <c r="B1102" s="13" t="s">
        <v>16</v>
      </c>
      <c r="C1102" s="28" t="s">
        <v>1024</v>
      </c>
      <c r="D1102" s="20"/>
      <c r="E1102" s="21">
        <f t="shared" si="1"/>
        <v>7446.97</v>
      </c>
      <c r="F1102" s="23">
        <v>20.0</v>
      </c>
      <c r="G1102" s="21">
        <f t="shared" si="2"/>
        <v>464339.73</v>
      </c>
      <c r="H1102" s="23"/>
      <c r="I1102" s="21">
        <f t="shared" si="6"/>
        <v>404.92</v>
      </c>
      <c r="J1102" s="23"/>
      <c r="K1102" s="21">
        <f t="shared" si="4"/>
        <v>301071.4</v>
      </c>
      <c r="L1102" s="23"/>
      <c r="M1102" s="21">
        <f t="shared" si="7"/>
        <v>1896.93</v>
      </c>
    </row>
    <row r="1103" ht="20.25" customHeight="1" outlineLevel="1">
      <c r="A1103" s="12">
        <v>46013.0</v>
      </c>
      <c r="B1103" s="13" t="s">
        <v>16</v>
      </c>
      <c r="C1103" s="205" t="s">
        <v>1025</v>
      </c>
      <c r="D1103" s="20"/>
      <c r="E1103" s="21">
        <f t="shared" si="1"/>
        <v>7446.97</v>
      </c>
      <c r="F1103" s="23"/>
      <c r="G1103" s="21">
        <f t="shared" si="2"/>
        <v>464339.73</v>
      </c>
      <c r="H1103" s="23"/>
      <c r="I1103" s="21">
        <f t="shared" si="6"/>
        <v>404.92</v>
      </c>
      <c r="J1103" s="23">
        <v>325.0</v>
      </c>
      <c r="K1103" s="21">
        <f t="shared" si="4"/>
        <v>301396.4</v>
      </c>
      <c r="L1103" s="23"/>
      <c r="M1103" s="21">
        <f t="shared" si="7"/>
        <v>1896.93</v>
      </c>
    </row>
    <row r="1104" ht="20.25" customHeight="1" outlineLevel="1">
      <c r="A1104" s="12">
        <v>46013.0</v>
      </c>
      <c r="B1104" s="13" t="s">
        <v>16</v>
      </c>
      <c r="C1104" s="28" t="s">
        <v>1026</v>
      </c>
      <c r="D1104" s="20"/>
      <c r="E1104" s="21">
        <f t="shared" si="1"/>
        <v>7446.97</v>
      </c>
      <c r="F1104" s="23"/>
      <c r="G1104" s="21">
        <f t="shared" si="2"/>
        <v>464339.73</v>
      </c>
      <c r="H1104" s="23"/>
      <c r="I1104" s="21">
        <f t="shared" si="6"/>
        <v>404.92</v>
      </c>
      <c r="J1104" s="23">
        <v>25.0</v>
      </c>
      <c r="K1104" s="21">
        <f t="shared" si="4"/>
        <v>301421.4</v>
      </c>
      <c r="L1104" s="23"/>
      <c r="M1104" s="21">
        <f t="shared" si="7"/>
        <v>1896.93</v>
      </c>
    </row>
    <row r="1105" ht="20.25" customHeight="1" outlineLevel="1">
      <c r="A1105" s="12">
        <v>46013.0</v>
      </c>
      <c r="B1105" s="13" t="s">
        <v>16</v>
      </c>
      <c r="C1105" s="70" t="s">
        <v>1027</v>
      </c>
      <c r="D1105" s="20"/>
      <c r="E1105" s="21">
        <f t="shared" si="1"/>
        <v>7446.97</v>
      </c>
      <c r="F1105" s="23"/>
      <c r="G1105" s="21">
        <f t="shared" si="2"/>
        <v>464339.73</v>
      </c>
      <c r="H1105" s="23"/>
      <c r="I1105" s="21">
        <f t="shared" si="6"/>
        <v>404.92</v>
      </c>
      <c r="J1105" s="23">
        <v>215.0</v>
      </c>
      <c r="K1105" s="21">
        <f t="shared" si="4"/>
        <v>301636.4</v>
      </c>
      <c r="L1105" s="23"/>
      <c r="M1105" s="21">
        <f t="shared" si="7"/>
        <v>1896.93</v>
      </c>
    </row>
    <row r="1106" ht="20.25" customHeight="1" outlineLevel="1">
      <c r="A1106" s="12">
        <v>46013.0</v>
      </c>
      <c r="B1106" s="13" t="s">
        <v>16</v>
      </c>
      <c r="C1106" s="28" t="s">
        <v>1028</v>
      </c>
      <c r="D1106" s="20"/>
      <c r="E1106" s="21">
        <f t="shared" si="1"/>
        <v>7446.97</v>
      </c>
      <c r="F1106" s="23"/>
      <c r="G1106" s="21">
        <f t="shared" si="2"/>
        <v>464339.73</v>
      </c>
      <c r="H1106" s="23"/>
      <c r="I1106" s="21">
        <f t="shared" si="6"/>
        <v>404.92</v>
      </c>
      <c r="J1106" s="23">
        <v>55.0</v>
      </c>
      <c r="K1106" s="21">
        <f t="shared" si="4"/>
        <v>301691.4</v>
      </c>
      <c r="L1106" s="23"/>
      <c r="M1106" s="21">
        <f t="shared" si="7"/>
        <v>1896.93</v>
      </c>
    </row>
    <row r="1107" ht="20.25" customHeight="1" outlineLevel="1">
      <c r="A1107" s="12">
        <v>46013.0</v>
      </c>
      <c r="B1107" s="13" t="s">
        <v>428</v>
      </c>
      <c r="C1107" s="28" t="s">
        <v>248</v>
      </c>
      <c r="D1107" s="20"/>
      <c r="E1107" s="21">
        <f t="shared" si="1"/>
        <v>7446.97</v>
      </c>
      <c r="F1107" s="23"/>
      <c r="G1107" s="21">
        <f t="shared" si="2"/>
        <v>464339.73</v>
      </c>
      <c r="H1107" s="23">
        <v>344.0</v>
      </c>
      <c r="I1107" s="21">
        <f t="shared" si="6"/>
        <v>748.92</v>
      </c>
      <c r="J1107" s="23"/>
      <c r="K1107" s="21">
        <f t="shared" si="4"/>
        <v>301691.4</v>
      </c>
      <c r="L1107" s="23"/>
      <c r="M1107" s="21">
        <f t="shared" si="7"/>
        <v>1896.93</v>
      </c>
    </row>
    <row r="1108" ht="20.25" customHeight="1" outlineLevel="1">
      <c r="A1108" s="12">
        <v>46013.0</v>
      </c>
      <c r="B1108" s="13" t="s">
        <v>12</v>
      </c>
      <c r="C1108" s="28" t="s">
        <v>1029</v>
      </c>
      <c r="D1108" s="20"/>
      <c r="E1108" s="21">
        <f t="shared" si="1"/>
        <v>7446.97</v>
      </c>
      <c r="F1108" s="23"/>
      <c r="G1108" s="21">
        <f t="shared" si="2"/>
        <v>464339.73</v>
      </c>
      <c r="H1108" s="22">
        <v>-178.15</v>
      </c>
      <c r="I1108" s="21">
        <f t="shared" si="6"/>
        <v>570.77</v>
      </c>
      <c r="J1108" s="23"/>
      <c r="K1108" s="21">
        <f t="shared" si="4"/>
        <v>301691.4</v>
      </c>
      <c r="L1108" s="23"/>
      <c r="M1108" s="21">
        <f t="shared" si="7"/>
        <v>1896.93</v>
      </c>
    </row>
    <row r="1109" ht="20.25" customHeight="1" outlineLevel="1">
      <c r="A1109" s="12">
        <v>46014.0</v>
      </c>
      <c r="B1109" s="13" t="s">
        <v>16</v>
      </c>
      <c r="C1109" s="61" t="s">
        <v>1030</v>
      </c>
      <c r="D1109" s="20">
        <v>330.0</v>
      </c>
      <c r="E1109" s="21">
        <f t="shared" si="1"/>
        <v>7776.97</v>
      </c>
      <c r="F1109" s="23"/>
      <c r="G1109" s="21">
        <f t="shared" si="2"/>
        <v>464339.73</v>
      </c>
      <c r="H1109" s="23"/>
      <c r="I1109" s="21">
        <f t="shared" si="6"/>
        <v>570.77</v>
      </c>
      <c r="J1109" s="23"/>
      <c r="K1109" s="21">
        <f t="shared" si="4"/>
        <v>301691.4</v>
      </c>
      <c r="L1109" s="23"/>
      <c r="M1109" s="21">
        <f t="shared" si="7"/>
        <v>1896.93</v>
      </c>
    </row>
    <row r="1110" ht="20.25" customHeight="1" outlineLevel="1">
      <c r="A1110" s="12">
        <v>46014.0</v>
      </c>
      <c r="B1110" s="13" t="s">
        <v>12</v>
      </c>
      <c r="C1110" s="28" t="s">
        <v>1031</v>
      </c>
      <c r="D1110" s="20"/>
      <c r="E1110" s="21">
        <f t="shared" si="1"/>
        <v>7776.97</v>
      </c>
      <c r="F1110" s="22">
        <v>-4996.6</v>
      </c>
      <c r="G1110" s="21">
        <f t="shared" si="2"/>
        <v>459343.13</v>
      </c>
      <c r="H1110" s="23"/>
      <c r="I1110" s="21">
        <f t="shared" si="6"/>
        <v>570.77</v>
      </c>
      <c r="J1110" s="23"/>
      <c r="K1110" s="21">
        <f t="shared" si="4"/>
        <v>301691.4</v>
      </c>
      <c r="L1110" s="23"/>
      <c r="M1110" s="21">
        <f t="shared" si="7"/>
        <v>1896.93</v>
      </c>
    </row>
    <row r="1111" ht="20.25" customHeight="1" outlineLevel="1">
      <c r="A1111" s="12">
        <v>46014.0</v>
      </c>
      <c r="B1111" s="13" t="s">
        <v>12</v>
      </c>
      <c r="C1111" s="28" t="s">
        <v>1032</v>
      </c>
      <c r="D1111" s="20"/>
      <c r="E1111" s="21">
        <f t="shared" si="1"/>
        <v>7776.97</v>
      </c>
      <c r="F1111" s="22">
        <v>-732.0</v>
      </c>
      <c r="G1111" s="21">
        <f t="shared" si="2"/>
        <v>458611.13</v>
      </c>
      <c r="H1111" s="23"/>
      <c r="I1111" s="21">
        <f t="shared" si="6"/>
        <v>570.77</v>
      </c>
      <c r="J1111" s="23"/>
      <c r="K1111" s="21">
        <f t="shared" si="4"/>
        <v>301691.4</v>
      </c>
      <c r="L1111" s="23"/>
      <c r="M1111" s="21">
        <f t="shared" si="7"/>
        <v>1896.93</v>
      </c>
    </row>
    <row r="1112" ht="20.25" customHeight="1" outlineLevel="1">
      <c r="A1112" s="12">
        <v>46014.0</v>
      </c>
      <c r="B1112" s="13" t="s">
        <v>16</v>
      </c>
      <c r="C1112" s="28" t="s">
        <v>1033</v>
      </c>
      <c r="D1112" s="20"/>
      <c r="E1112" s="21">
        <f t="shared" si="1"/>
        <v>7776.97</v>
      </c>
      <c r="F1112" s="23">
        <v>65.0</v>
      </c>
      <c r="G1112" s="21">
        <f t="shared" si="2"/>
        <v>458676.13</v>
      </c>
      <c r="H1112" s="23"/>
      <c r="I1112" s="21">
        <f t="shared" si="6"/>
        <v>570.77</v>
      </c>
      <c r="J1112" s="23"/>
      <c r="K1112" s="21">
        <f t="shared" si="4"/>
        <v>301691.4</v>
      </c>
      <c r="L1112" s="23"/>
      <c r="M1112" s="21">
        <f t="shared" si="7"/>
        <v>1896.93</v>
      </c>
    </row>
    <row r="1113" ht="20.25" customHeight="1" outlineLevel="1">
      <c r="A1113" s="12">
        <v>46014.0</v>
      </c>
      <c r="B1113" s="13" t="s">
        <v>16</v>
      </c>
      <c r="C1113" s="28" t="s">
        <v>1034</v>
      </c>
      <c r="D1113" s="20"/>
      <c r="E1113" s="21">
        <f t="shared" si="1"/>
        <v>7776.97</v>
      </c>
      <c r="F1113" s="23">
        <v>20.0</v>
      </c>
      <c r="G1113" s="21">
        <f t="shared" si="2"/>
        <v>458696.13</v>
      </c>
      <c r="H1113" s="23"/>
      <c r="I1113" s="21">
        <f t="shared" si="6"/>
        <v>570.77</v>
      </c>
      <c r="J1113" s="23"/>
      <c r="K1113" s="21">
        <f t="shared" si="4"/>
        <v>301691.4</v>
      </c>
      <c r="L1113" s="23"/>
      <c r="M1113" s="21">
        <f t="shared" si="7"/>
        <v>1896.93</v>
      </c>
    </row>
    <row r="1114" ht="20.25" customHeight="1" outlineLevel="1">
      <c r="A1114" s="12">
        <v>46014.0</v>
      </c>
      <c r="B1114" s="13" t="s">
        <v>16</v>
      </c>
      <c r="C1114" s="28" t="s">
        <v>1035</v>
      </c>
      <c r="D1114" s="20"/>
      <c r="E1114" s="21">
        <f t="shared" si="1"/>
        <v>7776.97</v>
      </c>
      <c r="F1114" s="23">
        <v>140.0</v>
      </c>
      <c r="G1114" s="21">
        <f t="shared" si="2"/>
        <v>458836.13</v>
      </c>
      <c r="H1114" s="23"/>
      <c r="I1114" s="21">
        <f t="shared" si="6"/>
        <v>570.77</v>
      </c>
      <c r="J1114" s="23"/>
      <c r="K1114" s="21">
        <f t="shared" si="4"/>
        <v>301691.4</v>
      </c>
      <c r="L1114" s="23"/>
      <c r="M1114" s="21">
        <f t="shared" si="7"/>
        <v>1896.93</v>
      </c>
    </row>
    <row r="1115" ht="20.25" customHeight="1" outlineLevel="1">
      <c r="A1115" s="12">
        <v>46014.0</v>
      </c>
      <c r="B1115" s="13" t="s">
        <v>63</v>
      </c>
      <c r="C1115" s="69" t="s">
        <v>1036</v>
      </c>
      <c r="D1115" s="20"/>
      <c r="E1115" s="21">
        <f t="shared" si="1"/>
        <v>7776.97</v>
      </c>
      <c r="F1115" s="51">
        <v>6679.5</v>
      </c>
      <c r="G1115" s="21">
        <f t="shared" si="2"/>
        <v>465515.63</v>
      </c>
      <c r="H1115" s="23"/>
      <c r="I1115" s="21">
        <f t="shared" si="6"/>
        <v>570.77</v>
      </c>
      <c r="J1115" s="23"/>
      <c r="K1115" s="21">
        <f t="shared" si="4"/>
        <v>301691.4</v>
      </c>
      <c r="L1115" s="23"/>
      <c r="M1115" s="21">
        <f t="shared" si="7"/>
        <v>1896.93</v>
      </c>
    </row>
    <row r="1116" ht="20.25" customHeight="1" outlineLevel="1">
      <c r="A1116" s="12">
        <v>46014.0</v>
      </c>
      <c r="B1116" s="13" t="s">
        <v>63</v>
      </c>
      <c r="C1116" s="69" t="s">
        <v>1037</v>
      </c>
      <c r="D1116" s="20"/>
      <c r="E1116" s="21">
        <f t="shared" si="1"/>
        <v>7776.97</v>
      </c>
      <c r="F1116" s="51">
        <v>658.8</v>
      </c>
      <c r="G1116" s="21">
        <f t="shared" si="2"/>
        <v>466174.43</v>
      </c>
      <c r="H1116" s="23"/>
      <c r="I1116" s="21">
        <f t="shared" si="6"/>
        <v>570.77</v>
      </c>
      <c r="J1116" s="23"/>
      <c r="K1116" s="21">
        <f t="shared" si="4"/>
        <v>301691.4</v>
      </c>
      <c r="L1116" s="23"/>
      <c r="M1116" s="21">
        <f t="shared" si="7"/>
        <v>1896.93</v>
      </c>
    </row>
    <row r="1117" ht="20.25" customHeight="1" outlineLevel="1">
      <c r="A1117" s="12">
        <v>46014.0</v>
      </c>
      <c r="B1117" s="13" t="s">
        <v>63</v>
      </c>
      <c r="C1117" s="69" t="s">
        <v>1038</v>
      </c>
      <c r="D1117" s="20"/>
      <c r="E1117" s="21">
        <f t="shared" si="1"/>
        <v>7776.97</v>
      </c>
      <c r="F1117" s="51">
        <v>427.0</v>
      </c>
      <c r="G1117" s="21">
        <f t="shared" si="2"/>
        <v>466601.43</v>
      </c>
      <c r="H1117" s="23"/>
      <c r="I1117" s="21">
        <f t="shared" si="6"/>
        <v>570.77</v>
      </c>
      <c r="J1117" s="23"/>
      <c r="K1117" s="21">
        <f t="shared" si="4"/>
        <v>301691.4</v>
      </c>
      <c r="L1117" s="23"/>
      <c r="M1117" s="21">
        <f t="shared" si="7"/>
        <v>1896.93</v>
      </c>
    </row>
    <row r="1118" ht="20.25" customHeight="1" outlineLevel="1">
      <c r="A1118" s="12">
        <v>46014.0</v>
      </c>
      <c r="B1118" s="13" t="s">
        <v>14</v>
      </c>
      <c r="C1118" s="28" t="s">
        <v>1039</v>
      </c>
      <c r="D1118" s="20"/>
      <c r="E1118" s="21">
        <f t="shared" si="1"/>
        <v>7776.97</v>
      </c>
      <c r="F1118" s="22">
        <v>-531.2</v>
      </c>
      <c r="G1118" s="21">
        <f t="shared" si="2"/>
        <v>466070.23</v>
      </c>
      <c r="H1118" s="23"/>
      <c r="I1118" s="21">
        <f t="shared" si="6"/>
        <v>570.77</v>
      </c>
      <c r="J1118" s="23"/>
      <c r="K1118" s="21">
        <f t="shared" si="4"/>
        <v>301691.4</v>
      </c>
      <c r="L1118" s="23"/>
      <c r="M1118" s="21">
        <f t="shared" si="7"/>
        <v>1896.93</v>
      </c>
    </row>
    <row r="1119" ht="20.25" customHeight="1" outlineLevel="1">
      <c r="A1119" s="12">
        <v>46014.0</v>
      </c>
      <c r="B1119" s="13" t="s">
        <v>14</v>
      </c>
      <c r="C1119" s="28" t="s">
        <v>34</v>
      </c>
      <c r="D1119" s="20"/>
      <c r="E1119" s="21">
        <f t="shared" si="1"/>
        <v>7776.97</v>
      </c>
      <c r="F1119" s="23"/>
      <c r="G1119" s="21">
        <f t="shared" si="2"/>
        <v>466070.23</v>
      </c>
      <c r="H1119" s="23"/>
      <c r="I1119" s="21">
        <f t="shared" si="6"/>
        <v>570.77</v>
      </c>
      <c r="J1119" s="22">
        <v>-18.3</v>
      </c>
      <c r="K1119" s="21">
        <f t="shared" si="4"/>
        <v>301673.1</v>
      </c>
      <c r="L1119" s="23"/>
      <c r="M1119" s="21">
        <f t="shared" si="7"/>
        <v>1896.93</v>
      </c>
    </row>
    <row r="1120" ht="20.25" customHeight="1" outlineLevel="1">
      <c r="A1120" s="12">
        <v>46014.0</v>
      </c>
      <c r="B1120" s="13" t="s">
        <v>14</v>
      </c>
      <c r="C1120" s="28" t="s">
        <v>34</v>
      </c>
      <c r="D1120" s="20"/>
      <c r="E1120" s="21">
        <f t="shared" si="1"/>
        <v>7776.97</v>
      </c>
      <c r="F1120" s="23"/>
      <c r="G1120" s="21">
        <f t="shared" si="2"/>
        <v>466070.23</v>
      </c>
      <c r="H1120" s="23"/>
      <c r="I1120" s="21">
        <f t="shared" si="6"/>
        <v>570.77</v>
      </c>
      <c r="J1120" s="22">
        <v>-41.39</v>
      </c>
      <c r="K1120" s="21">
        <f t="shared" si="4"/>
        <v>301631.71</v>
      </c>
      <c r="L1120" s="23"/>
      <c r="M1120" s="21">
        <f t="shared" si="7"/>
        <v>1896.93</v>
      </c>
    </row>
    <row r="1121" ht="20.25" customHeight="1" outlineLevel="1">
      <c r="A1121" s="12">
        <v>46014.0</v>
      </c>
      <c r="B1121" s="13" t="s">
        <v>14</v>
      </c>
      <c r="C1121" s="28" t="s">
        <v>34</v>
      </c>
      <c r="D1121" s="20"/>
      <c r="E1121" s="21">
        <f t="shared" si="1"/>
        <v>7776.97</v>
      </c>
      <c r="F1121" s="23"/>
      <c r="G1121" s="21">
        <f t="shared" si="2"/>
        <v>466070.23</v>
      </c>
      <c r="H1121" s="23"/>
      <c r="I1121" s="21">
        <f t="shared" si="6"/>
        <v>570.77</v>
      </c>
      <c r="J1121" s="22">
        <v>-270.0</v>
      </c>
      <c r="K1121" s="21">
        <f t="shared" si="4"/>
        <v>301361.71</v>
      </c>
      <c r="L1121" s="23"/>
      <c r="M1121" s="21">
        <f t="shared" si="7"/>
        <v>1896.93</v>
      </c>
    </row>
    <row r="1122" ht="20.25" customHeight="1" outlineLevel="1">
      <c r="A1122" s="12">
        <v>46014.0</v>
      </c>
      <c r="B1122" s="13" t="s">
        <v>16</v>
      </c>
      <c r="C1122" s="28" t="s">
        <v>1040</v>
      </c>
      <c r="D1122" s="20"/>
      <c r="E1122" s="21">
        <f t="shared" si="1"/>
        <v>7776.97</v>
      </c>
      <c r="F1122" s="23"/>
      <c r="G1122" s="21">
        <f t="shared" si="2"/>
        <v>466070.23</v>
      </c>
      <c r="H1122" s="23"/>
      <c r="I1122" s="21">
        <f t="shared" si="6"/>
        <v>570.77</v>
      </c>
      <c r="J1122" s="23">
        <v>80.0</v>
      </c>
      <c r="K1122" s="21">
        <f t="shared" si="4"/>
        <v>301441.71</v>
      </c>
      <c r="L1122" s="23"/>
      <c r="M1122" s="21">
        <f t="shared" si="7"/>
        <v>1896.93</v>
      </c>
    </row>
    <row r="1123" ht="20.25" customHeight="1" outlineLevel="1">
      <c r="A1123" s="12">
        <v>46015.0</v>
      </c>
      <c r="B1123" s="13" t="s">
        <v>16</v>
      </c>
      <c r="C1123" s="28" t="s">
        <v>1041</v>
      </c>
      <c r="D1123" s="20"/>
      <c r="E1123" s="21">
        <f t="shared" si="1"/>
        <v>7776.97</v>
      </c>
      <c r="F1123" s="23">
        <v>754.0</v>
      </c>
      <c r="G1123" s="21">
        <f t="shared" si="2"/>
        <v>466824.23</v>
      </c>
      <c r="H1123" s="23"/>
      <c r="I1123" s="21">
        <f t="shared" si="6"/>
        <v>570.77</v>
      </c>
      <c r="J1123" s="23"/>
      <c r="K1123" s="21">
        <f t="shared" si="4"/>
        <v>301441.71</v>
      </c>
      <c r="L1123" s="23"/>
      <c r="M1123" s="21">
        <f t="shared" si="7"/>
        <v>1896.93</v>
      </c>
    </row>
    <row r="1124" ht="20.25" customHeight="1" outlineLevel="1">
      <c r="A1124" s="12">
        <v>46015.0</v>
      </c>
      <c r="B1124" s="13" t="s">
        <v>16</v>
      </c>
      <c r="C1124" s="28" t="s">
        <v>1042</v>
      </c>
      <c r="D1124" s="20"/>
      <c r="E1124" s="21">
        <f t="shared" si="1"/>
        <v>7776.97</v>
      </c>
      <c r="F1124" s="23">
        <v>117.0</v>
      </c>
      <c r="G1124" s="21">
        <f t="shared" si="2"/>
        <v>466941.23</v>
      </c>
      <c r="H1124" s="23"/>
      <c r="I1124" s="21">
        <f t="shared" si="6"/>
        <v>570.77</v>
      </c>
      <c r="J1124" s="23"/>
      <c r="K1124" s="21">
        <f t="shared" si="4"/>
        <v>301441.71</v>
      </c>
      <c r="L1124" s="23"/>
      <c r="M1124" s="21">
        <f t="shared" si="7"/>
        <v>1896.93</v>
      </c>
    </row>
    <row r="1125" ht="20.25" customHeight="1" outlineLevel="1">
      <c r="A1125" s="12">
        <v>46015.0</v>
      </c>
      <c r="B1125" s="13" t="s">
        <v>12</v>
      </c>
      <c r="C1125" s="28" t="s">
        <v>593</v>
      </c>
      <c r="D1125" s="20"/>
      <c r="E1125" s="21">
        <f t="shared" si="1"/>
        <v>7776.97</v>
      </c>
      <c r="F1125" s="22">
        <v>-303.39</v>
      </c>
      <c r="G1125" s="21">
        <f t="shared" si="2"/>
        <v>466637.84</v>
      </c>
      <c r="H1125" s="23"/>
      <c r="I1125" s="21">
        <f t="shared" si="6"/>
        <v>570.77</v>
      </c>
      <c r="J1125" s="23"/>
      <c r="K1125" s="21">
        <f t="shared" si="4"/>
        <v>301441.71</v>
      </c>
      <c r="L1125" s="23"/>
      <c r="M1125" s="21">
        <f t="shared" si="7"/>
        <v>1896.93</v>
      </c>
    </row>
    <row r="1126" ht="20.25" customHeight="1" outlineLevel="1">
      <c r="A1126" s="12">
        <v>46015.0</v>
      </c>
      <c r="B1126" s="13" t="s">
        <v>14</v>
      </c>
      <c r="C1126" s="28" t="s">
        <v>34</v>
      </c>
      <c r="D1126" s="20"/>
      <c r="E1126" s="21">
        <f t="shared" si="1"/>
        <v>7776.97</v>
      </c>
      <c r="F1126" s="23"/>
      <c r="G1126" s="21">
        <f t="shared" si="2"/>
        <v>466637.84</v>
      </c>
      <c r="H1126" s="23"/>
      <c r="I1126" s="21">
        <f t="shared" si="6"/>
        <v>570.77</v>
      </c>
      <c r="J1126" s="22">
        <v>-434.0</v>
      </c>
      <c r="K1126" s="21">
        <f t="shared" si="4"/>
        <v>301007.71</v>
      </c>
      <c r="L1126" s="23"/>
      <c r="M1126" s="21">
        <f t="shared" si="7"/>
        <v>1896.93</v>
      </c>
    </row>
    <row r="1127" ht="20.25" customHeight="1" outlineLevel="1">
      <c r="A1127" s="12">
        <v>46015.0</v>
      </c>
      <c r="B1127" s="13" t="s">
        <v>16</v>
      </c>
      <c r="C1127" s="28" t="s">
        <v>1043</v>
      </c>
      <c r="D1127" s="20"/>
      <c r="E1127" s="21">
        <f t="shared" si="1"/>
        <v>7776.97</v>
      </c>
      <c r="F1127" s="23"/>
      <c r="G1127" s="21">
        <f t="shared" si="2"/>
        <v>466637.84</v>
      </c>
      <c r="H1127" s="23"/>
      <c r="I1127" s="21">
        <f t="shared" si="6"/>
        <v>570.77</v>
      </c>
      <c r="J1127" s="23">
        <v>20.0</v>
      </c>
      <c r="K1127" s="21">
        <f t="shared" si="4"/>
        <v>301027.71</v>
      </c>
      <c r="L1127" s="23"/>
      <c r="M1127" s="21">
        <f t="shared" si="7"/>
        <v>1896.93</v>
      </c>
    </row>
    <row r="1128" ht="20.25" customHeight="1" outlineLevel="1">
      <c r="A1128" s="12">
        <v>46015.0</v>
      </c>
      <c r="B1128" s="13" t="s">
        <v>16</v>
      </c>
      <c r="C1128" s="28" t="s">
        <v>1044</v>
      </c>
      <c r="D1128" s="20"/>
      <c r="E1128" s="21">
        <f t="shared" si="1"/>
        <v>7776.97</v>
      </c>
      <c r="F1128" s="23"/>
      <c r="G1128" s="21">
        <f t="shared" si="2"/>
        <v>466637.84</v>
      </c>
      <c r="H1128" s="23"/>
      <c r="I1128" s="21">
        <f t="shared" si="6"/>
        <v>570.77</v>
      </c>
      <c r="J1128" s="23">
        <v>40.0</v>
      </c>
      <c r="K1128" s="21">
        <f t="shared" si="4"/>
        <v>301067.71</v>
      </c>
      <c r="L1128" s="23"/>
      <c r="M1128" s="21">
        <f t="shared" si="7"/>
        <v>1896.93</v>
      </c>
    </row>
    <row r="1129" ht="20.25" customHeight="1" outlineLevel="1">
      <c r="A1129" s="12">
        <v>46020.0</v>
      </c>
      <c r="B1129" s="13" t="s">
        <v>16</v>
      </c>
      <c r="C1129" s="28" t="s">
        <v>1045</v>
      </c>
      <c r="D1129" s="20"/>
      <c r="E1129" s="21">
        <f t="shared" si="1"/>
        <v>7776.97</v>
      </c>
      <c r="F1129" s="23">
        <v>90.0</v>
      </c>
      <c r="G1129" s="21">
        <f t="shared" si="2"/>
        <v>466727.84</v>
      </c>
      <c r="H1129" s="23"/>
      <c r="I1129" s="21">
        <f t="shared" si="6"/>
        <v>570.77</v>
      </c>
      <c r="J1129" s="23"/>
      <c r="K1129" s="21">
        <f t="shared" si="4"/>
        <v>301067.71</v>
      </c>
      <c r="L1129" s="23"/>
      <c r="M1129" s="21">
        <f t="shared" si="7"/>
        <v>1896.93</v>
      </c>
    </row>
    <row r="1130" ht="20.25" customHeight="1" outlineLevel="1">
      <c r="A1130" s="12">
        <v>46020.0</v>
      </c>
      <c r="B1130" s="13" t="s">
        <v>16</v>
      </c>
      <c r="C1130" s="28" t="s">
        <v>1046</v>
      </c>
      <c r="D1130" s="20"/>
      <c r="E1130" s="21">
        <f t="shared" si="1"/>
        <v>7776.97</v>
      </c>
      <c r="F1130" s="23">
        <v>301.0</v>
      </c>
      <c r="G1130" s="21">
        <f t="shared" si="2"/>
        <v>467028.84</v>
      </c>
      <c r="H1130" s="23"/>
      <c r="I1130" s="21">
        <f t="shared" si="6"/>
        <v>570.77</v>
      </c>
      <c r="J1130" s="23"/>
      <c r="K1130" s="21">
        <f t="shared" si="4"/>
        <v>301067.71</v>
      </c>
      <c r="L1130" s="23"/>
      <c r="M1130" s="21">
        <f t="shared" si="7"/>
        <v>1896.93</v>
      </c>
    </row>
    <row r="1131" ht="20.25" customHeight="1" outlineLevel="1">
      <c r="A1131" s="12">
        <v>46020.0</v>
      </c>
      <c r="B1131" s="13" t="s">
        <v>16</v>
      </c>
      <c r="C1131" s="28" t="s">
        <v>1047</v>
      </c>
      <c r="D1131" s="20"/>
      <c r="E1131" s="21">
        <f t="shared" si="1"/>
        <v>7776.97</v>
      </c>
      <c r="F1131" s="23">
        <v>43.0</v>
      </c>
      <c r="G1131" s="21">
        <f t="shared" si="2"/>
        <v>467071.84</v>
      </c>
      <c r="H1131" s="23"/>
      <c r="I1131" s="21">
        <f t="shared" si="6"/>
        <v>570.77</v>
      </c>
      <c r="J1131" s="23"/>
      <c r="K1131" s="21">
        <f t="shared" si="4"/>
        <v>301067.71</v>
      </c>
      <c r="L1131" s="23"/>
      <c r="M1131" s="21">
        <f t="shared" si="7"/>
        <v>1896.93</v>
      </c>
    </row>
    <row r="1132" ht="20.25" customHeight="1" outlineLevel="1">
      <c r="A1132" s="12">
        <v>46020.0</v>
      </c>
      <c r="B1132" s="13" t="s">
        <v>16</v>
      </c>
      <c r="C1132" s="28" t="s">
        <v>1048</v>
      </c>
      <c r="D1132" s="20"/>
      <c r="E1132" s="21">
        <f t="shared" si="1"/>
        <v>7776.97</v>
      </c>
      <c r="F1132" s="23">
        <v>442.0</v>
      </c>
      <c r="G1132" s="21">
        <f t="shared" si="2"/>
        <v>467513.84</v>
      </c>
      <c r="H1132" s="23"/>
      <c r="I1132" s="21">
        <f t="shared" si="6"/>
        <v>570.77</v>
      </c>
      <c r="J1132" s="23"/>
      <c r="K1132" s="21">
        <f t="shared" si="4"/>
        <v>301067.71</v>
      </c>
      <c r="L1132" s="23"/>
      <c r="M1132" s="21">
        <f t="shared" si="7"/>
        <v>1896.93</v>
      </c>
    </row>
    <row r="1133" ht="20.25" customHeight="1" outlineLevel="1">
      <c r="A1133" s="12">
        <v>46020.0</v>
      </c>
      <c r="B1133" s="13" t="s">
        <v>174</v>
      </c>
      <c r="C1133" s="28" t="s">
        <v>1049</v>
      </c>
      <c r="D1133" s="20"/>
      <c r="E1133" s="21">
        <f t="shared" si="1"/>
        <v>7776.97</v>
      </c>
      <c r="F1133" s="23"/>
      <c r="G1133" s="21">
        <f t="shared" si="2"/>
        <v>467513.84</v>
      </c>
      <c r="H1133" s="23"/>
      <c r="I1133" s="21">
        <f t="shared" si="6"/>
        <v>570.77</v>
      </c>
      <c r="J1133" s="22">
        <v>-4707.12</v>
      </c>
      <c r="K1133" s="21">
        <f t="shared" si="4"/>
        <v>296360.59</v>
      </c>
      <c r="L1133" s="23"/>
      <c r="M1133" s="21">
        <f t="shared" si="7"/>
        <v>1896.93</v>
      </c>
    </row>
    <row r="1134" ht="20.25" customHeight="1" outlineLevel="1">
      <c r="A1134" s="12">
        <v>46020.0</v>
      </c>
      <c r="B1134" s="13" t="s">
        <v>14</v>
      </c>
      <c r="C1134" s="28" t="s">
        <v>34</v>
      </c>
      <c r="D1134" s="20"/>
      <c r="E1134" s="21">
        <f t="shared" si="1"/>
        <v>7776.97</v>
      </c>
      <c r="F1134" s="23"/>
      <c r="G1134" s="21">
        <f t="shared" si="2"/>
        <v>467513.84</v>
      </c>
      <c r="H1134" s="23"/>
      <c r="I1134" s="21">
        <f t="shared" si="6"/>
        <v>570.77</v>
      </c>
      <c r="J1134" s="22">
        <v>-152.85</v>
      </c>
      <c r="K1134" s="21">
        <f t="shared" si="4"/>
        <v>296207.74</v>
      </c>
      <c r="L1134" s="23"/>
      <c r="M1134" s="21">
        <f t="shared" si="7"/>
        <v>1896.93</v>
      </c>
    </row>
    <row r="1135" ht="20.25" customHeight="1" outlineLevel="1">
      <c r="A1135" s="12">
        <v>46020.0</v>
      </c>
      <c r="B1135" s="13" t="s">
        <v>14</v>
      </c>
      <c r="C1135" s="28" t="s">
        <v>34</v>
      </c>
      <c r="D1135" s="20"/>
      <c r="E1135" s="21">
        <f t="shared" si="1"/>
        <v>7776.97</v>
      </c>
      <c r="F1135" s="23"/>
      <c r="G1135" s="21">
        <f t="shared" si="2"/>
        <v>467513.84</v>
      </c>
      <c r="H1135" s="23"/>
      <c r="I1135" s="21">
        <f t="shared" si="6"/>
        <v>570.77</v>
      </c>
      <c r="J1135" s="22">
        <v>-29.0</v>
      </c>
      <c r="K1135" s="21">
        <f t="shared" si="4"/>
        <v>296178.74</v>
      </c>
      <c r="L1135" s="23"/>
      <c r="M1135" s="21">
        <f t="shared" si="7"/>
        <v>1896.93</v>
      </c>
    </row>
    <row r="1136" ht="20.25" customHeight="1" outlineLevel="1">
      <c r="A1136" s="12">
        <v>46020.0</v>
      </c>
      <c r="B1136" s="13" t="s">
        <v>14</v>
      </c>
      <c r="C1136" s="28" t="s">
        <v>34</v>
      </c>
      <c r="D1136" s="20"/>
      <c r="E1136" s="21">
        <f t="shared" si="1"/>
        <v>7776.97</v>
      </c>
      <c r="F1136" s="23"/>
      <c r="G1136" s="21">
        <f t="shared" si="2"/>
        <v>467513.84</v>
      </c>
      <c r="H1136" s="23"/>
      <c r="I1136" s="21">
        <f t="shared" si="6"/>
        <v>570.77</v>
      </c>
      <c r="J1136" s="22">
        <v>-23.75</v>
      </c>
      <c r="K1136" s="21">
        <f t="shared" si="4"/>
        <v>296154.99</v>
      </c>
      <c r="L1136" s="23"/>
      <c r="M1136" s="21">
        <f t="shared" si="7"/>
        <v>1896.93</v>
      </c>
    </row>
    <row r="1137" ht="20.25" customHeight="1" outlineLevel="1">
      <c r="A1137" s="12">
        <v>46020.0</v>
      </c>
      <c r="B1137" s="13" t="s">
        <v>16</v>
      </c>
      <c r="C1137" s="28" t="s">
        <v>1050</v>
      </c>
      <c r="D1137" s="20">
        <v>203.0</v>
      </c>
      <c r="E1137" s="21">
        <f t="shared" si="1"/>
        <v>7979.97</v>
      </c>
      <c r="F1137" s="23"/>
      <c r="G1137" s="21">
        <f t="shared" si="2"/>
        <v>467513.84</v>
      </c>
      <c r="H1137" s="23"/>
      <c r="I1137" s="21">
        <f t="shared" si="6"/>
        <v>570.77</v>
      </c>
      <c r="J1137" s="23"/>
      <c r="K1137" s="21">
        <f t="shared" si="4"/>
        <v>296154.99</v>
      </c>
      <c r="L1137" s="23"/>
      <c r="M1137" s="21">
        <f t="shared" si="7"/>
        <v>1896.93</v>
      </c>
    </row>
    <row r="1138" ht="20.25" customHeight="1" outlineLevel="1">
      <c r="A1138" s="12">
        <v>46020.0</v>
      </c>
      <c r="B1138" s="13" t="s">
        <v>368</v>
      </c>
      <c r="C1138" s="28" t="s">
        <v>1051</v>
      </c>
      <c r="D1138" s="20"/>
      <c r="E1138" s="21">
        <f t="shared" si="1"/>
        <v>7979.97</v>
      </c>
      <c r="F1138" s="22">
        <v>-2205.38</v>
      </c>
      <c r="G1138" s="21">
        <f t="shared" si="2"/>
        <v>465308.46</v>
      </c>
      <c r="H1138" s="23"/>
      <c r="I1138" s="21">
        <f t="shared" si="6"/>
        <v>570.77</v>
      </c>
      <c r="J1138" s="23"/>
      <c r="K1138" s="21">
        <f t="shared" si="4"/>
        <v>296154.99</v>
      </c>
      <c r="L1138" s="23"/>
      <c r="M1138" s="21">
        <f t="shared" si="7"/>
        <v>1896.93</v>
      </c>
    </row>
    <row r="1139" ht="20.25" customHeight="1" outlineLevel="1">
      <c r="A1139" s="12">
        <v>46020.0</v>
      </c>
      <c r="B1139" s="13" t="s">
        <v>368</v>
      </c>
      <c r="C1139" s="28" t="s">
        <v>1052</v>
      </c>
      <c r="D1139" s="20"/>
      <c r="E1139" s="21">
        <f t="shared" si="1"/>
        <v>7979.97</v>
      </c>
      <c r="F1139" s="22">
        <v>-1095.0</v>
      </c>
      <c r="G1139" s="21">
        <f t="shared" si="2"/>
        <v>464213.46</v>
      </c>
      <c r="H1139" s="23"/>
      <c r="I1139" s="21">
        <f t="shared" si="6"/>
        <v>570.77</v>
      </c>
      <c r="J1139" s="23"/>
      <c r="K1139" s="21">
        <f t="shared" si="4"/>
        <v>296154.99</v>
      </c>
      <c r="L1139" s="23"/>
      <c r="M1139" s="21">
        <f t="shared" si="7"/>
        <v>1896.93</v>
      </c>
    </row>
    <row r="1140" ht="20.25" customHeight="1" outlineLevel="1">
      <c r="A1140" s="12">
        <v>46020.0</v>
      </c>
      <c r="B1140" s="13" t="s">
        <v>368</v>
      </c>
      <c r="C1140" s="28" t="s">
        <v>1053</v>
      </c>
      <c r="D1140" s="20"/>
      <c r="E1140" s="21">
        <f t="shared" si="1"/>
        <v>7979.97</v>
      </c>
      <c r="F1140" s="22">
        <v>-2295.0</v>
      </c>
      <c r="G1140" s="21">
        <f t="shared" si="2"/>
        <v>461918.46</v>
      </c>
      <c r="H1140" s="23"/>
      <c r="I1140" s="21">
        <f t="shared" si="6"/>
        <v>570.77</v>
      </c>
      <c r="J1140" s="23"/>
      <c r="K1140" s="21">
        <f t="shared" si="4"/>
        <v>296154.99</v>
      </c>
      <c r="L1140" s="23"/>
      <c r="M1140" s="21">
        <f t="shared" si="7"/>
        <v>1896.93</v>
      </c>
    </row>
    <row r="1141" ht="20.25" customHeight="1" outlineLevel="1">
      <c r="A1141" s="12">
        <v>46020.0</v>
      </c>
      <c r="B1141" s="13" t="s">
        <v>368</v>
      </c>
      <c r="C1141" s="28" t="s">
        <v>1054</v>
      </c>
      <c r="D1141" s="20"/>
      <c r="E1141" s="21">
        <f t="shared" si="1"/>
        <v>7979.97</v>
      </c>
      <c r="F1141" s="22">
        <v>-3665.0</v>
      </c>
      <c r="G1141" s="21">
        <f t="shared" si="2"/>
        <v>458253.46</v>
      </c>
      <c r="H1141" s="23"/>
      <c r="I1141" s="21">
        <f t="shared" si="6"/>
        <v>570.77</v>
      </c>
      <c r="J1141" s="23"/>
      <c r="K1141" s="21">
        <f t="shared" si="4"/>
        <v>296154.99</v>
      </c>
      <c r="L1141" s="23"/>
      <c r="M1141" s="21">
        <f t="shared" si="7"/>
        <v>1896.93</v>
      </c>
    </row>
    <row r="1142" ht="20.25" customHeight="1" outlineLevel="1">
      <c r="A1142" s="12">
        <v>46020.0</v>
      </c>
      <c r="B1142" s="13" t="s">
        <v>368</v>
      </c>
      <c r="C1142" s="28" t="s">
        <v>1055</v>
      </c>
      <c r="D1142" s="20"/>
      <c r="E1142" s="21">
        <f t="shared" si="1"/>
        <v>7979.97</v>
      </c>
      <c r="F1142" s="22">
        <v>-1870.0</v>
      </c>
      <c r="G1142" s="21">
        <f t="shared" si="2"/>
        <v>456383.46</v>
      </c>
      <c r="H1142" s="23"/>
      <c r="I1142" s="21">
        <f t="shared" si="6"/>
        <v>570.77</v>
      </c>
      <c r="J1142" s="23"/>
      <c r="K1142" s="21">
        <f t="shared" si="4"/>
        <v>296154.99</v>
      </c>
      <c r="L1142" s="23"/>
      <c r="M1142" s="21">
        <f t="shared" si="7"/>
        <v>1896.93</v>
      </c>
    </row>
    <row r="1143" ht="20.25" customHeight="1" outlineLevel="1">
      <c r="A1143" s="12">
        <v>46020.0</v>
      </c>
      <c r="B1143" s="13" t="s">
        <v>12</v>
      </c>
      <c r="C1143" s="28" t="s">
        <v>1056</v>
      </c>
      <c r="D1143" s="20"/>
      <c r="E1143" s="21">
        <f t="shared" si="1"/>
        <v>7979.97</v>
      </c>
      <c r="F1143" s="22">
        <v>-1488.19</v>
      </c>
      <c r="G1143" s="21">
        <f t="shared" si="2"/>
        <v>454895.27</v>
      </c>
      <c r="H1143" s="23"/>
      <c r="I1143" s="21">
        <f t="shared" si="6"/>
        <v>570.77</v>
      </c>
      <c r="J1143" s="23"/>
      <c r="K1143" s="21">
        <f t="shared" si="4"/>
        <v>296154.99</v>
      </c>
      <c r="L1143" s="23"/>
      <c r="M1143" s="21">
        <f t="shared" si="7"/>
        <v>1896.93</v>
      </c>
    </row>
    <row r="1144" ht="20.25" customHeight="1" outlineLevel="1">
      <c r="A1144" s="12">
        <v>46020.0</v>
      </c>
      <c r="B1144" s="13" t="s">
        <v>368</v>
      </c>
      <c r="C1144" s="28" t="s">
        <v>1057</v>
      </c>
      <c r="D1144" s="20"/>
      <c r="E1144" s="21">
        <f t="shared" si="1"/>
        <v>7979.97</v>
      </c>
      <c r="F1144" s="22">
        <v>-1616.0</v>
      </c>
      <c r="G1144" s="21">
        <f t="shared" si="2"/>
        <v>453279.27</v>
      </c>
      <c r="H1144" s="23"/>
      <c r="I1144" s="21">
        <f t="shared" si="6"/>
        <v>570.77</v>
      </c>
      <c r="J1144" s="23"/>
      <c r="K1144" s="21">
        <f t="shared" si="4"/>
        <v>296154.99</v>
      </c>
      <c r="L1144" s="23"/>
      <c r="M1144" s="21">
        <f t="shared" si="7"/>
        <v>1896.93</v>
      </c>
    </row>
    <row r="1145" ht="20.25" customHeight="1" outlineLevel="1">
      <c r="A1145" s="12">
        <v>46020.0</v>
      </c>
      <c r="B1145" s="13" t="s">
        <v>368</v>
      </c>
      <c r="C1145" s="28" t="s">
        <v>1058</v>
      </c>
      <c r="D1145" s="20"/>
      <c r="E1145" s="21">
        <f t="shared" si="1"/>
        <v>7979.97</v>
      </c>
      <c r="F1145" s="22">
        <v>-7855.0</v>
      </c>
      <c r="G1145" s="21">
        <f t="shared" si="2"/>
        <v>445424.27</v>
      </c>
      <c r="H1145" s="23"/>
      <c r="I1145" s="21">
        <f t="shared" si="6"/>
        <v>570.77</v>
      </c>
      <c r="J1145" s="23"/>
      <c r="K1145" s="21">
        <f t="shared" si="4"/>
        <v>296154.99</v>
      </c>
      <c r="L1145" s="23"/>
      <c r="M1145" s="21">
        <f t="shared" si="7"/>
        <v>1896.93</v>
      </c>
    </row>
    <row r="1146" ht="20.25" customHeight="1" outlineLevel="1">
      <c r="A1146" s="12">
        <v>46020.0</v>
      </c>
      <c r="B1146" s="13" t="s">
        <v>368</v>
      </c>
      <c r="C1146" s="28" t="s">
        <v>1059</v>
      </c>
      <c r="D1146" s="20"/>
      <c r="E1146" s="21">
        <f t="shared" si="1"/>
        <v>7979.97</v>
      </c>
      <c r="F1146" s="22">
        <v>-1690.0</v>
      </c>
      <c r="G1146" s="21">
        <f t="shared" si="2"/>
        <v>443734.27</v>
      </c>
      <c r="H1146" s="23"/>
      <c r="I1146" s="21">
        <f t="shared" si="6"/>
        <v>570.77</v>
      </c>
      <c r="J1146" s="23"/>
      <c r="K1146" s="21">
        <f t="shared" si="4"/>
        <v>296154.99</v>
      </c>
      <c r="L1146" s="23"/>
      <c r="M1146" s="21">
        <f t="shared" si="7"/>
        <v>1896.93</v>
      </c>
    </row>
    <row r="1147" ht="20.25" customHeight="1" outlineLevel="1">
      <c r="A1147" s="12">
        <v>46020.0</v>
      </c>
      <c r="B1147" s="13" t="s">
        <v>368</v>
      </c>
      <c r="C1147" s="70" t="s">
        <v>1060</v>
      </c>
      <c r="D1147" s="20"/>
      <c r="E1147" s="21">
        <f t="shared" si="1"/>
        <v>7979.97</v>
      </c>
      <c r="F1147" s="22">
        <v>-244.0</v>
      </c>
      <c r="G1147" s="21">
        <f t="shared" si="2"/>
        <v>443490.27</v>
      </c>
      <c r="H1147" s="23"/>
      <c r="I1147" s="21">
        <f t="shared" si="6"/>
        <v>570.77</v>
      </c>
      <c r="J1147" s="23"/>
      <c r="K1147" s="21">
        <f t="shared" si="4"/>
        <v>296154.99</v>
      </c>
      <c r="L1147" s="23"/>
      <c r="M1147" s="21">
        <f t="shared" si="7"/>
        <v>1896.93</v>
      </c>
    </row>
    <row r="1148" ht="20.25" customHeight="1" outlineLevel="1">
      <c r="A1148" s="12">
        <v>46021.0</v>
      </c>
      <c r="B1148" s="13" t="s">
        <v>70</v>
      </c>
      <c r="C1148" s="28" t="s">
        <v>1061</v>
      </c>
      <c r="D1148" s="20"/>
      <c r="E1148" s="21">
        <f t="shared" si="1"/>
        <v>7979.97</v>
      </c>
      <c r="F1148" s="22">
        <v>-16850.0</v>
      </c>
      <c r="G1148" s="21">
        <f t="shared" si="2"/>
        <v>426640.27</v>
      </c>
      <c r="H1148" s="23"/>
      <c r="I1148" s="21">
        <f t="shared" si="6"/>
        <v>570.77</v>
      </c>
      <c r="J1148" s="23"/>
      <c r="K1148" s="21">
        <f t="shared" si="4"/>
        <v>296154.99</v>
      </c>
      <c r="L1148" s="23"/>
      <c r="M1148" s="21">
        <f t="shared" si="7"/>
        <v>1896.93</v>
      </c>
    </row>
    <row r="1149" ht="20.25" customHeight="1" outlineLevel="1">
      <c r="A1149" s="12">
        <v>46021.0</v>
      </c>
      <c r="B1149" s="13" t="s">
        <v>70</v>
      </c>
      <c r="C1149" s="28" t="s">
        <v>1062</v>
      </c>
      <c r="D1149" s="20"/>
      <c r="E1149" s="21">
        <f t="shared" si="1"/>
        <v>7979.97</v>
      </c>
      <c r="F1149" s="22">
        <v>-3181.0</v>
      </c>
      <c r="G1149" s="21">
        <f t="shared" si="2"/>
        <v>423459.27</v>
      </c>
      <c r="H1149" s="23"/>
      <c r="I1149" s="21">
        <f t="shared" si="6"/>
        <v>570.77</v>
      </c>
      <c r="J1149" s="23"/>
      <c r="K1149" s="21">
        <f t="shared" si="4"/>
        <v>296154.99</v>
      </c>
      <c r="L1149" s="23"/>
      <c r="M1149" s="21">
        <f t="shared" si="7"/>
        <v>1896.93</v>
      </c>
    </row>
    <row r="1150" ht="20.25" customHeight="1" outlineLevel="1">
      <c r="A1150" s="12">
        <v>46021.0</v>
      </c>
      <c r="B1150" s="13" t="s">
        <v>368</v>
      </c>
      <c r="C1150" s="28" t="s">
        <v>1063</v>
      </c>
      <c r="D1150" s="20"/>
      <c r="E1150" s="21">
        <f t="shared" si="1"/>
        <v>7979.97</v>
      </c>
      <c r="F1150" s="22">
        <v>-916.0</v>
      </c>
      <c r="G1150" s="21">
        <f t="shared" si="2"/>
        <v>422543.27</v>
      </c>
      <c r="H1150" s="23"/>
      <c r="I1150" s="21">
        <f t="shared" si="6"/>
        <v>570.77</v>
      </c>
      <c r="J1150" s="23"/>
      <c r="K1150" s="21">
        <f t="shared" si="4"/>
        <v>296154.99</v>
      </c>
      <c r="L1150" s="23"/>
      <c r="M1150" s="21">
        <f t="shared" si="7"/>
        <v>1896.93</v>
      </c>
    </row>
    <row r="1151" ht="20.25" customHeight="1" outlineLevel="1">
      <c r="A1151" s="12">
        <v>46021.0</v>
      </c>
      <c r="B1151" s="13" t="s">
        <v>368</v>
      </c>
      <c r="C1151" s="28" t="s">
        <v>1064</v>
      </c>
      <c r="D1151" s="20"/>
      <c r="E1151" s="21">
        <f t="shared" si="1"/>
        <v>7979.97</v>
      </c>
      <c r="F1151" s="22">
        <v>-1708.0</v>
      </c>
      <c r="G1151" s="21">
        <f t="shared" si="2"/>
        <v>420835.27</v>
      </c>
      <c r="H1151" s="23"/>
      <c r="I1151" s="21">
        <f t="shared" si="6"/>
        <v>570.77</v>
      </c>
      <c r="J1151" s="23"/>
      <c r="K1151" s="21">
        <f t="shared" si="4"/>
        <v>296154.99</v>
      </c>
      <c r="L1151" s="23"/>
      <c r="M1151" s="21">
        <f t="shared" si="7"/>
        <v>1896.93</v>
      </c>
    </row>
    <row r="1152" ht="20.25" customHeight="1" outlineLevel="1">
      <c r="A1152" s="12">
        <v>46021.0</v>
      </c>
      <c r="B1152" s="13" t="s">
        <v>368</v>
      </c>
      <c r="C1152" s="28" t="s">
        <v>1065</v>
      </c>
      <c r="D1152" s="20"/>
      <c r="E1152" s="21">
        <f t="shared" si="1"/>
        <v>7979.97</v>
      </c>
      <c r="F1152" s="22">
        <v>-4358.0</v>
      </c>
      <c r="G1152" s="21">
        <f t="shared" si="2"/>
        <v>416477.27</v>
      </c>
      <c r="H1152" s="23"/>
      <c r="I1152" s="21">
        <f t="shared" si="6"/>
        <v>570.77</v>
      </c>
      <c r="J1152" s="23"/>
      <c r="K1152" s="21">
        <f t="shared" si="4"/>
        <v>296154.99</v>
      </c>
      <c r="L1152" s="23"/>
      <c r="M1152" s="21">
        <f t="shared" si="7"/>
        <v>1896.93</v>
      </c>
    </row>
    <row r="1153" ht="20.25" customHeight="1" outlineLevel="1">
      <c r="A1153" s="12">
        <v>46021.0</v>
      </c>
      <c r="B1153" s="13" t="s">
        <v>368</v>
      </c>
      <c r="C1153" s="70" t="s">
        <v>1066</v>
      </c>
      <c r="D1153" s="20"/>
      <c r="E1153" s="21">
        <f t="shared" si="1"/>
        <v>7979.97</v>
      </c>
      <c r="F1153" s="22">
        <v>-3328.0</v>
      </c>
      <c r="G1153" s="21">
        <f t="shared" si="2"/>
        <v>413149.27</v>
      </c>
      <c r="H1153" s="23"/>
      <c r="I1153" s="21">
        <f t="shared" si="6"/>
        <v>570.77</v>
      </c>
      <c r="J1153" s="23"/>
      <c r="K1153" s="21">
        <f t="shared" si="4"/>
        <v>296154.99</v>
      </c>
      <c r="L1153" s="23"/>
      <c r="M1153" s="21">
        <f t="shared" si="7"/>
        <v>1896.93</v>
      </c>
    </row>
    <row r="1154" ht="20.25" customHeight="1" outlineLevel="1">
      <c r="A1154" s="12">
        <v>46021.0</v>
      </c>
      <c r="B1154" s="13" t="s">
        <v>368</v>
      </c>
      <c r="C1154" s="28" t="s">
        <v>1067</v>
      </c>
      <c r="D1154" s="20"/>
      <c r="E1154" s="21">
        <f t="shared" si="1"/>
        <v>7979.97</v>
      </c>
      <c r="F1154" s="22">
        <v>-7630.0</v>
      </c>
      <c r="G1154" s="21">
        <f t="shared" si="2"/>
        <v>405519.27</v>
      </c>
      <c r="H1154" s="23"/>
      <c r="I1154" s="21">
        <f t="shared" si="6"/>
        <v>570.77</v>
      </c>
      <c r="J1154" s="23"/>
      <c r="K1154" s="21">
        <f t="shared" si="4"/>
        <v>296154.99</v>
      </c>
      <c r="L1154" s="23"/>
      <c r="M1154" s="21">
        <f t="shared" si="7"/>
        <v>1896.93</v>
      </c>
    </row>
    <row r="1155" ht="20.25" customHeight="1" outlineLevel="1">
      <c r="A1155" s="12">
        <v>46021.0</v>
      </c>
      <c r="B1155" s="13" t="s">
        <v>63</v>
      </c>
      <c r="C1155" s="208" t="s">
        <v>1068</v>
      </c>
      <c r="D1155" s="20"/>
      <c r="E1155" s="21">
        <f t="shared" si="1"/>
        <v>7979.97</v>
      </c>
      <c r="F1155" s="51">
        <v>549.4</v>
      </c>
      <c r="G1155" s="21">
        <f t="shared" si="2"/>
        <v>406068.67</v>
      </c>
      <c r="H1155" s="23"/>
      <c r="I1155" s="21">
        <f t="shared" si="6"/>
        <v>570.77</v>
      </c>
      <c r="J1155" s="23"/>
      <c r="K1155" s="21">
        <f t="shared" si="4"/>
        <v>296154.99</v>
      </c>
      <c r="L1155" s="23"/>
      <c r="M1155" s="21">
        <f t="shared" si="7"/>
        <v>1896.93</v>
      </c>
    </row>
    <row r="1156" ht="20.25" customHeight="1" outlineLevel="1">
      <c r="A1156" s="12">
        <v>46021.0</v>
      </c>
      <c r="B1156" s="13" t="s">
        <v>16</v>
      </c>
      <c r="C1156" s="28" t="s">
        <v>1069</v>
      </c>
      <c r="D1156" s="20"/>
      <c r="E1156" s="21">
        <f t="shared" si="1"/>
        <v>7979.97</v>
      </c>
      <c r="F1156" s="23">
        <v>117.0</v>
      </c>
      <c r="G1156" s="21">
        <f t="shared" si="2"/>
        <v>406185.67</v>
      </c>
      <c r="H1156" s="23"/>
      <c r="I1156" s="21">
        <f t="shared" si="6"/>
        <v>570.77</v>
      </c>
      <c r="J1156" s="23"/>
      <c r="K1156" s="21">
        <f t="shared" si="4"/>
        <v>296154.99</v>
      </c>
      <c r="L1156" s="23"/>
      <c r="M1156" s="21">
        <f t="shared" si="7"/>
        <v>1896.93</v>
      </c>
    </row>
    <row r="1157" ht="20.25" customHeight="1" outlineLevel="1">
      <c r="A1157" s="12">
        <v>46021.0</v>
      </c>
      <c r="B1157" s="13" t="s">
        <v>16</v>
      </c>
      <c r="C1157" s="207" t="s">
        <v>1070</v>
      </c>
      <c r="D1157" s="20"/>
      <c r="E1157" s="21">
        <f t="shared" si="1"/>
        <v>7979.97</v>
      </c>
      <c r="F1157" s="23">
        <v>127.0</v>
      </c>
      <c r="G1157" s="21">
        <f t="shared" si="2"/>
        <v>406312.67</v>
      </c>
      <c r="H1157" s="23"/>
      <c r="I1157" s="21">
        <f t="shared" si="6"/>
        <v>570.77</v>
      </c>
      <c r="J1157" s="23"/>
      <c r="K1157" s="21">
        <f t="shared" si="4"/>
        <v>296154.99</v>
      </c>
      <c r="L1157" s="23"/>
      <c r="M1157" s="21">
        <f t="shared" si="7"/>
        <v>1896.93</v>
      </c>
    </row>
    <row r="1158" ht="20.25" customHeight="1" outlineLevel="1">
      <c r="A1158" s="12">
        <v>46021.0</v>
      </c>
      <c r="B1158" s="13" t="s">
        <v>16</v>
      </c>
      <c r="C1158" s="207" t="s">
        <v>1071</v>
      </c>
      <c r="D1158" s="20"/>
      <c r="E1158" s="21">
        <f t="shared" si="1"/>
        <v>7979.97</v>
      </c>
      <c r="F1158" s="23">
        <v>117.0</v>
      </c>
      <c r="G1158" s="21">
        <f t="shared" si="2"/>
        <v>406429.67</v>
      </c>
      <c r="H1158" s="23"/>
      <c r="I1158" s="21">
        <f t="shared" si="6"/>
        <v>570.77</v>
      </c>
      <c r="J1158" s="23"/>
      <c r="K1158" s="21">
        <f t="shared" si="4"/>
        <v>296154.99</v>
      </c>
      <c r="L1158" s="23"/>
      <c r="M1158" s="21">
        <f t="shared" si="7"/>
        <v>1896.93</v>
      </c>
    </row>
    <row r="1159" ht="20.25" customHeight="1" outlineLevel="1">
      <c r="A1159" s="12">
        <v>46021.0</v>
      </c>
      <c r="B1159" s="13" t="s">
        <v>63</v>
      </c>
      <c r="C1159" s="212" t="s">
        <v>1072</v>
      </c>
      <c r="D1159" s="20"/>
      <c r="E1159" s="21">
        <f t="shared" si="1"/>
        <v>7979.97</v>
      </c>
      <c r="F1159" s="51">
        <v>244.0</v>
      </c>
      <c r="G1159" s="21">
        <f t="shared" si="2"/>
        <v>406673.67</v>
      </c>
      <c r="H1159" s="23"/>
      <c r="I1159" s="21">
        <f t="shared" si="6"/>
        <v>570.77</v>
      </c>
      <c r="J1159" s="23"/>
      <c r="K1159" s="21">
        <f t="shared" si="4"/>
        <v>296154.99</v>
      </c>
      <c r="L1159" s="23"/>
      <c r="M1159" s="21">
        <f t="shared" si="7"/>
        <v>1896.93</v>
      </c>
    </row>
    <row r="1160" ht="20.25" customHeight="1" outlineLevel="1">
      <c r="A1160" s="12">
        <v>46021.0</v>
      </c>
      <c r="B1160" s="13" t="s">
        <v>12</v>
      </c>
      <c r="C1160" s="207" t="s">
        <v>1073</v>
      </c>
      <c r="D1160" s="20"/>
      <c r="E1160" s="21">
        <f t="shared" si="1"/>
        <v>7979.97</v>
      </c>
      <c r="F1160" s="22">
        <v>-200.0</v>
      </c>
      <c r="G1160" s="21">
        <f t="shared" si="2"/>
        <v>406473.67</v>
      </c>
      <c r="H1160" s="23"/>
      <c r="I1160" s="21">
        <f t="shared" si="6"/>
        <v>570.77</v>
      </c>
      <c r="J1160" s="23"/>
      <c r="K1160" s="21">
        <f t="shared" si="4"/>
        <v>296154.99</v>
      </c>
      <c r="L1160" s="23"/>
      <c r="M1160" s="21">
        <f t="shared" si="7"/>
        <v>1896.93</v>
      </c>
    </row>
    <row r="1161" ht="20.25" customHeight="1" outlineLevel="1">
      <c r="A1161" s="12">
        <v>46021.0</v>
      </c>
      <c r="B1161" s="13" t="s">
        <v>368</v>
      </c>
      <c r="C1161" s="207" t="s">
        <v>1074</v>
      </c>
      <c r="D1161" s="20"/>
      <c r="E1161" s="21">
        <f t="shared" si="1"/>
        <v>7979.97</v>
      </c>
      <c r="F1161" s="23"/>
      <c r="G1161" s="21">
        <f t="shared" si="2"/>
        <v>406473.67</v>
      </c>
      <c r="H1161" s="23"/>
      <c r="I1161" s="21">
        <f t="shared" si="6"/>
        <v>570.77</v>
      </c>
      <c r="J1161" s="22">
        <v>-2000.0</v>
      </c>
      <c r="K1161" s="21">
        <f t="shared" si="4"/>
        <v>294154.99</v>
      </c>
      <c r="L1161" s="23"/>
      <c r="M1161" s="21">
        <f t="shared" si="7"/>
        <v>1896.93</v>
      </c>
    </row>
    <row r="1162" ht="20.25" customHeight="1" outlineLevel="1">
      <c r="A1162" s="12">
        <v>46021.0</v>
      </c>
      <c r="B1162" s="13" t="s">
        <v>368</v>
      </c>
      <c r="C1162" s="207" t="s">
        <v>1075</v>
      </c>
      <c r="D1162" s="20"/>
      <c r="E1162" s="21">
        <f t="shared" si="1"/>
        <v>7979.97</v>
      </c>
      <c r="F1162" s="23"/>
      <c r="G1162" s="21">
        <f t="shared" si="2"/>
        <v>406473.67</v>
      </c>
      <c r="H1162" s="23"/>
      <c r="I1162" s="21">
        <f t="shared" si="6"/>
        <v>570.77</v>
      </c>
      <c r="J1162" s="22">
        <v>-2000.0</v>
      </c>
      <c r="K1162" s="21">
        <f t="shared" si="4"/>
        <v>292154.99</v>
      </c>
      <c r="L1162" s="23"/>
      <c r="M1162" s="21">
        <f t="shared" si="7"/>
        <v>1896.93</v>
      </c>
    </row>
    <row r="1163" ht="20.25" customHeight="1" outlineLevel="1">
      <c r="A1163" s="12">
        <v>46021.0</v>
      </c>
      <c r="B1163" s="13" t="s">
        <v>14</v>
      </c>
      <c r="C1163" s="207" t="s">
        <v>1076</v>
      </c>
      <c r="D1163" s="20"/>
      <c r="E1163" s="21">
        <f t="shared" si="1"/>
        <v>7979.97</v>
      </c>
      <c r="F1163" s="23"/>
      <c r="G1163" s="21">
        <f t="shared" si="2"/>
        <v>406473.67</v>
      </c>
      <c r="H1163" s="23"/>
      <c r="I1163" s="21">
        <f t="shared" si="6"/>
        <v>570.77</v>
      </c>
      <c r="J1163" s="22">
        <v>-0.5</v>
      </c>
      <c r="K1163" s="21">
        <f t="shared" si="4"/>
        <v>292154.49</v>
      </c>
      <c r="L1163" s="23"/>
      <c r="M1163" s="21">
        <f t="shared" si="7"/>
        <v>1896.93</v>
      </c>
    </row>
    <row r="1164" ht="20.25" customHeight="1" outlineLevel="1">
      <c r="A1164" s="12">
        <v>46021.0</v>
      </c>
      <c r="B1164" s="13" t="s">
        <v>14</v>
      </c>
      <c r="C1164" s="207" t="s">
        <v>1077</v>
      </c>
      <c r="D1164" s="20"/>
      <c r="E1164" s="21">
        <f t="shared" si="1"/>
        <v>7979.97</v>
      </c>
      <c r="F1164" s="23"/>
      <c r="G1164" s="21">
        <f t="shared" si="2"/>
        <v>406473.67</v>
      </c>
      <c r="H1164" s="23"/>
      <c r="I1164" s="21">
        <f t="shared" si="6"/>
        <v>570.77</v>
      </c>
      <c r="J1164" s="22">
        <v>-0.5</v>
      </c>
      <c r="K1164" s="21">
        <f t="shared" si="4"/>
        <v>292153.99</v>
      </c>
      <c r="L1164" s="23"/>
      <c r="M1164" s="21">
        <f t="shared" si="7"/>
        <v>1896.93</v>
      </c>
    </row>
    <row r="1165" ht="20.25" customHeight="1" outlineLevel="1">
      <c r="A1165" s="12">
        <v>46022.0</v>
      </c>
      <c r="B1165" s="13" t="s">
        <v>12</v>
      </c>
      <c r="C1165" s="209" t="s">
        <v>882</v>
      </c>
      <c r="D1165" s="20"/>
      <c r="E1165" s="21">
        <f t="shared" si="1"/>
        <v>7979.97</v>
      </c>
      <c r="F1165" s="23"/>
      <c r="G1165" s="21">
        <f t="shared" si="2"/>
        <v>406473.67</v>
      </c>
      <c r="H1165" s="23"/>
      <c r="I1165" s="21">
        <f t="shared" si="6"/>
        <v>570.77</v>
      </c>
      <c r="J1165" s="22">
        <v>-85.4</v>
      </c>
      <c r="K1165" s="21">
        <f t="shared" si="4"/>
        <v>292068.59</v>
      </c>
      <c r="L1165" s="23"/>
      <c r="M1165" s="21">
        <f t="shared" si="7"/>
        <v>1896.93</v>
      </c>
    </row>
    <row r="1166" ht="20.25" customHeight="1" outlineLevel="1">
      <c r="A1166" s="12">
        <v>46022.0</v>
      </c>
      <c r="B1166" s="13" t="s">
        <v>12</v>
      </c>
      <c r="C1166" s="209" t="s">
        <v>640</v>
      </c>
      <c r="D1166" s="20"/>
      <c r="E1166" s="21">
        <f t="shared" si="1"/>
        <v>7979.97</v>
      </c>
      <c r="F1166" s="23"/>
      <c r="G1166" s="21">
        <f t="shared" si="2"/>
        <v>406473.67</v>
      </c>
      <c r="H1166" s="23"/>
      <c r="I1166" s="21">
        <f t="shared" si="6"/>
        <v>570.77</v>
      </c>
      <c r="J1166" s="22">
        <v>-4133.94</v>
      </c>
      <c r="K1166" s="21">
        <f t="shared" si="4"/>
        <v>287934.65</v>
      </c>
      <c r="L1166" s="23"/>
      <c r="M1166" s="21">
        <f t="shared" si="7"/>
        <v>1896.93</v>
      </c>
    </row>
    <row r="1167" ht="20.25" customHeight="1" outlineLevel="1">
      <c r="A1167" s="12">
        <v>46022.0</v>
      </c>
      <c r="B1167" s="13" t="s">
        <v>16</v>
      </c>
      <c r="C1167" s="207" t="s">
        <v>1078</v>
      </c>
      <c r="D1167" s="20"/>
      <c r="E1167" s="21">
        <f t="shared" si="1"/>
        <v>7979.97</v>
      </c>
      <c r="F1167" s="23"/>
      <c r="G1167" s="21">
        <f t="shared" si="2"/>
        <v>406473.67</v>
      </c>
      <c r="H1167" s="23"/>
      <c r="I1167" s="21">
        <f t="shared" si="6"/>
        <v>570.77</v>
      </c>
      <c r="J1167" s="23">
        <v>20.0</v>
      </c>
      <c r="K1167" s="21">
        <f t="shared" si="4"/>
        <v>287954.65</v>
      </c>
      <c r="L1167" s="23"/>
      <c r="M1167" s="21">
        <f t="shared" si="7"/>
        <v>1896.93</v>
      </c>
    </row>
    <row r="1168" ht="20.25" customHeight="1" outlineLevel="1">
      <c r="A1168" s="12">
        <v>46022.0</v>
      </c>
      <c r="B1168" s="13" t="s">
        <v>428</v>
      </c>
      <c r="C1168" s="207" t="s">
        <v>1079</v>
      </c>
      <c r="D1168" s="20"/>
      <c r="E1168" s="21">
        <f t="shared" si="1"/>
        <v>7979.97</v>
      </c>
      <c r="F1168" s="23"/>
      <c r="G1168" s="21">
        <f t="shared" si="2"/>
        <v>406473.67</v>
      </c>
      <c r="H1168" s="23"/>
      <c r="I1168" s="21">
        <f t="shared" si="6"/>
        <v>570.77</v>
      </c>
      <c r="J1168" s="23">
        <v>21.69</v>
      </c>
      <c r="K1168" s="21">
        <f t="shared" si="4"/>
        <v>287976.34</v>
      </c>
      <c r="L1168" s="23"/>
      <c r="M1168" s="21">
        <f t="shared" si="7"/>
        <v>1896.93</v>
      </c>
    </row>
    <row r="1169" ht="20.25" customHeight="1" outlineLevel="1">
      <c r="A1169" s="12">
        <v>46022.0</v>
      </c>
      <c r="B1169" s="13" t="s">
        <v>14</v>
      </c>
      <c r="C1169" s="207" t="s">
        <v>320</v>
      </c>
      <c r="D1169" s="20"/>
      <c r="E1169" s="21">
        <f t="shared" si="1"/>
        <v>7979.97</v>
      </c>
      <c r="F1169" s="23"/>
      <c r="G1169" s="21">
        <f t="shared" si="2"/>
        <v>406473.67</v>
      </c>
      <c r="H1169" s="23"/>
      <c r="I1169" s="21">
        <f t="shared" si="6"/>
        <v>570.77</v>
      </c>
      <c r="J1169" s="22">
        <v>-25.35</v>
      </c>
      <c r="K1169" s="21">
        <f t="shared" si="4"/>
        <v>287950.99</v>
      </c>
      <c r="L1169" s="23"/>
      <c r="M1169" s="21">
        <f t="shared" si="7"/>
        <v>1896.93</v>
      </c>
    </row>
    <row r="1170" ht="20.25" customHeight="1" outlineLevel="1">
      <c r="A1170" s="12">
        <v>46023.0</v>
      </c>
      <c r="B1170" s="13" t="s">
        <v>14</v>
      </c>
      <c r="C1170" s="207" t="s">
        <v>1080</v>
      </c>
      <c r="D1170" s="20"/>
      <c r="E1170" s="21">
        <f t="shared" si="1"/>
        <v>7979.97</v>
      </c>
      <c r="F1170" s="23"/>
      <c r="G1170" s="21">
        <f t="shared" si="2"/>
        <v>406473.67</v>
      </c>
      <c r="H1170" s="23"/>
      <c r="I1170" s="21">
        <f t="shared" si="6"/>
        <v>570.77</v>
      </c>
      <c r="J1170" s="23"/>
      <c r="K1170" s="21">
        <f t="shared" si="4"/>
        <v>287950.99</v>
      </c>
      <c r="L1170" s="22">
        <v>-2.0</v>
      </c>
      <c r="M1170" s="21">
        <f t="shared" si="7"/>
        <v>1894.93</v>
      </c>
    </row>
    <row r="1171" ht="20.25" customHeight="1" outlineLevel="1">
      <c r="A1171" s="12">
        <v>46024.0</v>
      </c>
      <c r="B1171" s="13" t="s">
        <v>16</v>
      </c>
      <c r="C1171" s="207" t="s">
        <v>1081</v>
      </c>
      <c r="D1171" s="20"/>
      <c r="E1171" s="21">
        <f t="shared" si="1"/>
        <v>7979.97</v>
      </c>
      <c r="F1171" s="23">
        <v>37.0</v>
      </c>
      <c r="G1171" s="21">
        <f t="shared" si="2"/>
        <v>406510.67</v>
      </c>
      <c r="H1171" s="23"/>
      <c r="I1171" s="21">
        <f t="shared" si="6"/>
        <v>570.77</v>
      </c>
      <c r="J1171" s="23"/>
      <c r="K1171" s="21">
        <f t="shared" si="4"/>
        <v>287950.99</v>
      </c>
      <c r="L1171" s="23"/>
      <c r="M1171" s="21">
        <f t="shared" si="7"/>
        <v>1894.93</v>
      </c>
    </row>
    <row r="1172" ht="20.25" customHeight="1" outlineLevel="1">
      <c r="A1172" s="12">
        <v>46024.0</v>
      </c>
      <c r="B1172" s="13" t="s">
        <v>16</v>
      </c>
      <c r="C1172" s="207" t="s">
        <v>1082</v>
      </c>
      <c r="D1172" s="20"/>
      <c r="E1172" s="21">
        <f t="shared" si="1"/>
        <v>7979.97</v>
      </c>
      <c r="F1172" s="23">
        <v>37.0</v>
      </c>
      <c r="G1172" s="21">
        <f t="shared" si="2"/>
        <v>406547.67</v>
      </c>
      <c r="H1172" s="23"/>
      <c r="I1172" s="21">
        <f t="shared" si="6"/>
        <v>570.77</v>
      </c>
      <c r="J1172" s="23"/>
      <c r="K1172" s="21">
        <f t="shared" si="4"/>
        <v>287950.99</v>
      </c>
      <c r="L1172" s="23"/>
      <c r="M1172" s="21">
        <f t="shared" si="7"/>
        <v>1894.93</v>
      </c>
    </row>
    <row r="1173" ht="20.25" customHeight="1" outlineLevel="1">
      <c r="A1173" s="12">
        <v>46024.0</v>
      </c>
      <c r="B1173" s="13" t="s">
        <v>16</v>
      </c>
      <c r="C1173" s="207" t="s">
        <v>1083</v>
      </c>
      <c r="D1173" s="20"/>
      <c r="E1173" s="21">
        <f t="shared" si="1"/>
        <v>7979.97</v>
      </c>
      <c r="F1173" s="23">
        <v>259.0</v>
      </c>
      <c r="G1173" s="21">
        <f t="shared" si="2"/>
        <v>406806.67</v>
      </c>
      <c r="H1173" s="23"/>
      <c r="I1173" s="21">
        <f t="shared" si="6"/>
        <v>570.77</v>
      </c>
      <c r="J1173" s="23"/>
      <c r="K1173" s="21">
        <f t="shared" si="4"/>
        <v>287950.99</v>
      </c>
      <c r="L1173" s="23"/>
      <c r="M1173" s="21">
        <f t="shared" si="7"/>
        <v>1894.93</v>
      </c>
    </row>
    <row r="1174" ht="20.25" customHeight="1" outlineLevel="1">
      <c r="A1174" s="12">
        <v>46024.0</v>
      </c>
      <c r="B1174" s="13" t="s">
        <v>16</v>
      </c>
      <c r="C1174" s="207" t="s">
        <v>1084</v>
      </c>
      <c r="D1174" s="20"/>
      <c r="E1174" s="21">
        <f t="shared" si="1"/>
        <v>7979.97</v>
      </c>
      <c r="F1174" s="23"/>
      <c r="G1174" s="21">
        <f t="shared" si="2"/>
        <v>406806.67</v>
      </c>
      <c r="H1174" s="23"/>
      <c r="I1174" s="21">
        <f t="shared" si="6"/>
        <v>570.77</v>
      </c>
      <c r="J1174" s="23">
        <v>43.0</v>
      </c>
      <c r="K1174" s="21">
        <f t="shared" si="4"/>
        <v>287993.99</v>
      </c>
      <c r="L1174" s="23"/>
      <c r="M1174" s="21">
        <f t="shared" si="7"/>
        <v>1894.93</v>
      </c>
    </row>
    <row r="1175" ht="20.25" customHeight="1" outlineLevel="1">
      <c r="A1175" s="12">
        <v>46024.0</v>
      </c>
      <c r="B1175" s="13" t="s">
        <v>57</v>
      </c>
      <c r="C1175" s="207" t="s">
        <v>33</v>
      </c>
      <c r="D1175" s="20"/>
      <c r="E1175" s="21">
        <f t="shared" si="1"/>
        <v>7979.97</v>
      </c>
      <c r="F1175" s="23"/>
      <c r="G1175" s="21">
        <f t="shared" si="2"/>
        <v>406806.67</v>
      </c>
      <c r="H1175" s="23"/>
      <c r="I1175" s="21">
        <f t="shared" si="6"/>
        <v>570.77</v>
      </c>
      <c r="J1175" s="22">
        <v>-509.07</v>
      </c>
      <c r="K1175" s="21">
        <f t="shared" si="4"/>
        <v>287484.92</v>
      </c>
      <c r="L1175" s="23"/>
      <c r="M1175" s="21">
        <f t="shared" si="7"/>
        <v>1894.93</v>
      </c>
    </row>
    <row r="1176" ht="20.25" customHeight="1" outlineLevel="1">
      <c r="A1176" s="12">
        <v>46024.0</v>
      </c>
      <c r="B1176" s="13" t="s">
        <v>16</v>
      </c>
      <c r="C1176" s="209" t="s">
        <v>1085</v>
      </c>
      <c r="D1176" s="20"/>
      <c r="E1176" s="21">
        <f t="shared" si="1"/>
        <v>7979.97</v>
      </c>
      <c r="F1176" s="23"/>
      <c r="G1176" s="21">
        <f t="shared" si="2"/>
        <v>406806.67</v>
      </c>
      <c r="H1176" s="23"/>
      <c r="I1176" s="21">
        <f t="shared" si="6"/>
        <v>570.77</v>
      </c>
      <c r="J1176" s="23">
        <v>117.0</v>
      </c>
      <c r="K1176" s="21">
        <f t="shared" si="4"/>
        <v>287601.92</v>
      </c>
      <c r="L1176" s="23"/>
      <c r="M1176" s="21">
        <f t="shared" si="7"/>
        <v>1894.93</v>
      </c>
    </row>
    <row r="1177" ht="20.25" customHeight="1" outlineLevel="1">
      <c r="A1177" s="12">
        <v>46025.0</v>
      </c>
      <c r="B1177" s="13" t="s">
        <v>12</v>
      </c>
      <c r="C1177" s="209" t="s">
        <v>1086</v>
      </c>
      <c r="D1177" s="20"/>
      <c r="E1177" s="21">
        <f t="shared" si="1"/>
        <v>7979.97</v>
      </c>
      <c r="F1177" s="22">
        <v>-37.44</v>
      </c>
      <c r="G1177" s="21">
        <f t="shared" si="2"/>
        <v>406769.23</v>
      </c>
      <c r="H1177" s="23"/>
      <c r="I1177" s="21">
        <f t="shared" si="6"/>
        <v>570.77</v>
      </c>
      <c r="J1177" s="23"/>
      <c r="K1177" s="21">
        <f t="shared" si="4"/>
        <v>287601.92</v>
      </c>
      <c r="L1177" s="23"/>
      <c r="M1177" s="21">
        <f t="shared" si="7"/>
        <v>1894.93</v>
      </c>
    </row>
    <row r="1178" ht="20.25" customHeight="1" outlineLevel="1">
      <c r="A1178" s="12">
        <v>46025.0</v>
      </c>
      <c r="B1178" s="13" t="s">
        <v>14</v>
      </c>
      <c r="C1178" s="209" t="s">
        <v>30</v>
      </c>
      <c r="D1178" s="20"/>
      <c r="E1178" s="21">
        <f t="shared" si="1"/>
        <v>7979.97</v>
      </c>
      <c r="F1178" s="22">
        <v>-8.49</v>
      </c>
      <c r="G1178" s="21">
        <f t="shared" si="2"/>
        <v>406760.74</v>
      </c>
      <c r="H1178" s="23"/>
      <c r="I1178" s="21">
        <f t="shared" si="6"/>
        <v>570.77</v>
      </c>
      <c r="J1178" s="23"/>
      <c r="K1178" s="21">
        <f t="shared" si="4"/>
        <v>287601.92</v>
      </c>
      <c r="L1178" s="23"/>
      <c r="M1178" s="21">
        <f t="shared" si="7"/>
        <v>1894.93</v>
      </c>
    </row>
    <row r="1179" ht="20.25" customHeight="1" outlineLevel="1">
      <c r="A1179" s="12">
        <v>46025.0</v>
      </c>
      <c r="B1179" s="13" t="s">
        <v>57</v>
      </c>
      <c r="C1179" s="207" t="s">
        <v>1087</v>
      </c>
      <c r="D1179" s="20"/>
      <c r="E1179" s="21">
        <f t="shared" si="1"/>
        <v>7979.97</v>
      </c>
      <c r="F1179" s="23"/>
      <c r="G1179" s="21">
        <f t="shared" si="2"/>
        <v>406760.74</v>
      </c>
      <c r="H1179" s="23"/>
      <c r="I1179" s="21">
        <f t="shared" si="6"/>
        <v>570.77</v>
      </c>
      <c r="J1179" s="22">
        <v>-1889.09</v>
      </c>
      <c r="K1179" s="21">
        <f t="shared" si="4"/>
        <v>285712.83</v>
      </c>
      <c r="L1179" s="23"/>
      <c r="M1179" s="21">
        <f t="shared" si="7"/>
        <v>1894.93</v>
      </c>
    </row>
    <row r="1180" ht="20.25" customHeight="1" outlineLevel="1">
      <c r="A1180" s="12">
        <v>46025.0</v>
      </c>
      <c r="B1180" s="13" t="s">
        <v>14</v>
      </c>
      <c r="C1180" s="209" t="s">
        <v>1088</v>
      </c>
      <c r="D1180" s="20"/>
      <c r="E1180" s="21">
        <f t="shared" si="1"/>
        <v>7979.97</v>
      </c>
      <c r="F1180" s="23"/>
      <c r="G1180" s="21">
        <f t="shared" si="2"/>
        <v>406760.74</v>
      </c>
      <c r="H1180" s="23"/>
      <c r="I1180" s="21">
        <f t="shared" si="6"/>
        <v>570.77</v>
      </c>
      <c r="J1180" s="22">
        <v>-25.21</v>
      </c>
      <c r="K1180" s="21">
        <f t="shared" si="4"/>
        <v>285687.62</v>
      </c>
      <c r="L1180" s="23"/>
      <c r="M1180" s="21">
        <f t="shared" si="7"/>
        <v>1894.93</v>
      </c>
    </row>
    <row r="1181" ht="20.25" customHeight="1" outlineLevel="1">
      <c r="A1181" s="12">
        <v>46027.0</v>
      </c>
      <c r="B1181" s="13" t="s">
        <v>16</v>
      </c>
      <c r="C1181" s="207" t="s">
        <v>1089</v>
      </c>
      <c r="D1181" s="20"/>
      <c r="E1181" s="21">
        <f t="shared" si="1"/>
        <v>7979.97</v>
      </c>
      <c r="F1181" s="23">
        <v>211.0</v>
      </c>
      <c r="G1181" s="21">
        <f t="shared" si="2"/>
        <v>406971.74</v>
      </c>
      <c r="H1181" s="23"/>
      <c r="I1181" s="21">
        <f t="shared" si="6"/>
        <v>570.77</v>
      </c>
      <c r="J1181" s="23"/>
      <c r="K1181" s="21">
        <f t="shared" si="4"/>
        <v>285687.62</v>
      </c>
      <c r="L1181" s="23"/>
      <c r="M1181" s="21">
        <f t="shared" si="7"/>
        <v>1894.93</v>
      </c>
    </row>
    <row r="1182" ht="20.25" customHeight="1" outlineLevel="1">
      <c r="A1182" s="12">
        <v>46027.0</v>
      </c>
      <c r="B1182" s="13" t="s">
        <v>16</v>
      </c>
      <c r="C1182" s="207" t="s">
        <v>1090</v>
      </c>
      <c r="D1182" s="20"/>
      <c r="E1182" s="21">
        <f t="shared" si="1"/>
        <v>7979.97</v>
      </c>
      <c r="F1182" s="23">
        <v>43.0</v>
      </c>
      <c r="G1182" s="21">
        <f t="shared" si="2"/>
        <v>407014.74</v>
      </c>
      <c r="H1182" s="23"/>
      <c r="I1182" s="21">
        <f t="shared" si="6"/>
        <v>570.77</v>
      </c>
      <c r="J1182" s="23"/>
      <c r="K1182" s="21">
        <f t="shared" si="4"/>
        <v>285687.62</v>
      </c>
      <c r="L1182" s="23"/>
      <c r="M1182" s="21">
        <f t="shared" si="7"/>
        <v>1894.93</v>
      </c>
    </row>
    <row r="1183" ht="20.25" customHeight="1" outlineLevel="1">
      <c r="A1183" s="12">
        <v>46027.0</v>
      </c>
      <c r="B1183" s="13" t="s">
        <v>14</v>
      </c>
      <c r="C1183" s="28" t="s">
        <v>1091</v>
      </c>
      <c r="D1183" s="20"/>
      <c r="E1183" s="21">
        <f t="shared" si="1"/>
        <v>7979.97</v>
      </c>
      <c r="F1183" s="22">
        <v>-10.0</v>
      </c>
      <c r="G1183" s="21">
        <f t="shared" si="2"/>
        <v>407004.74</v>
      </c>
      <c r="H1183" s="23"/>
      <c r="I1183" s="21">
        <f t="shared" si="6"/>
        <v>570.77</v>
      </c>
      <c r="J1183" s="23"/>
      <c r="K1183" s="21">
        <f t="shared" si="4"/>
        <v>285687.62</v>
      </c>
      <c r="L1183" s="23"/>
      <c r="M1183" s="21">
        <f t="shared" si="7"/>
        <v>1894.93</v>
      </c>
    </row>
    <row r="1184" ht="20.25" customHeight="1" outlineLevel="1">
      <c r="A1184" s="12">
        <v>46027.0</v>
      </c>
      <c r="B1184" s="13" t="s">
        <v>14</v>
      </c>
      <c r="C1184" s="70" t="s">
        <v>1092</v>
      </c>
      <c r="D1184" s="20"/>
      <c r="E1184" s="21">
        <f t="shared" si="1"/>
        <v>7979.97</v>
      </c>
      <c r="F1184" s="22">
        <v>-5.0</v>
      </c>
      <c r="G1184" s="21">
        <f t="shared" si="2"/>
        <v>406999.74</v>
      </c>
      <c r="H1184" s="23"/>
      <c r="I1184" s="21">
        <f t="shared" si="6"/>
        <v>570.77</v>
      </c>
      <c r="J1184" s="23"/>
      <c r="K1184" s="21">
        <f t="shared" si="4"/>
        <v>285687.62</v>
      </c>
      <c r="L1184" s="23"/>
      <c r="M1184" s="21">
        <f t="shared" si="7"/>
        <v>1894.93</v>
      </c>
    </row>
    <row r="1185" ht="20.25" customHeight="1" outlineLevel="1">
      <c r="A1185" s="12">
        <v>46027.0</v>
      </c>
      <c r="B1185" s="13" t="s">
        <v>14</v>
      </c>
      <c r="C1185" s="28" t="s">
        <v>34</v>
      </c>
      <c r="D1185" s="20"/>
      <c r="E1185" s="21">
        <f t="shared" si="1"/>
        <v>7979.97</v>
      </c>
      <c r="F1185" s="23"/>
      <c r="G1185" s="21">
        <f t="shared" si="2"/>
        <v>406999.74</v>
      </c>
      <c r="H1185" s="23"/>
      <c r="I1185" s="21">
        <f t="shared" si="6"/>
        <v>570.77</v>
      </c>
      <c r="J1185" s="22">
        <v>-25.27</v>
      </c>
      <c r="K1185" s="21">
        <f t="shared" si="4"/>
        <v>285662.35</v>
      </c>
      <c r="L1185" s="23"/>
      <c r="M1185" s="21">
        <f t="shared" si="7"/>
        <v>1894.93</v>
      </c>
    </row>
    <row r="1186" ht="20.25" customHeight="1" outlineLevel="1">
      <c r="A1186" s="12">
        <v>46028.0</v>
      </c>
      <c r="B1186" s="13" t="s">
        <v>16</v>
      </c>
      <c r="C1186" s="28" t="s">
        <v>1093</v>
      </c>
      <c r="D1186" s="20"/>
      <c r="E1186" s="21">
        <f t="shared" si="1"/>
        <v>7979.97</v>
      </c>
      <c r="F1186" s="23">
        <v>397.35</v>
      </c>
      <c r="G1186" s="21">
        <f t="shared" si="2"/>
        <v>407397.09</v>
      </c>
      <c r="H1186" s="23"/>
      <c r="I1186" s="21">
        <f t="shared" si="6"/>
        <v>570.77</v>
      </c>
      <c r="J1186" s="23"/>
      <c r="K1186" s="21">
        <f t="shared" si="4"/>
        <v>285662.35</v>
      </c>
      <c r="L1186" s="23"/>
      <c r="M1186" s="21">
        <f t="shared" si="7"/>
        <v>1894.93</v>
      </c>
    </row>
    <row r="1187" ht="20.25" customHeight="1" outlineLevel="1">
      <c r="A1187" s="12">
        <v>46029.0</v>
      </c>
      <c r="B1187" s="13" t="s">
        <v>14</v>
      </c>
      <c r="C1187" s="28" t="s">
        <v>49</v>
      </c>
      <c r="D1187" s="20"/>
      <c r="E1187" s="21">
        <f t="shared" si="1"/>
        <v>7979.97</v>
      </c>
      <c r="F1187" s="22">
        <v>-55.41</v>
      </c>
      <c r="G1187" s="21">
        <f t="shared" si="2"/>
        <v>407341.68</v>
      </c>
      <c r="H1187" s="23"/>
      <c r="I1187" s="21">
        <f t="shared" si="6"/>
        <v>570.77</v>
      </c>
      <c r="J1187" s="23"/>
      <c r="K1187" s="21">
        <f t="shared" si="4"/>
        <v>285662.35</v>
      </c>
      <c r="L1187" s="23"/>
      <c r="M1187" s="21">
        <f t="shared" si="7"/>
        <v>1894.93</v>
      </c>
    </row>
    <row r="1188" ht="20.25" customHeight="1" outlineLevel="1">
      <c r="A1188" s="12">
        <v>46029.0</v>
      </c>
      <c r="B1188" s="13" t="s">
        <v>14</v>
      </c>
      <c r="C1188" s="28" t="s">
        <v>48</v>
      </c>
      <c r="D1188" s="20"/>
      <c r="E1188" s="21">
        <f t="shared" si="1"/>
        <v>7979.97</v>
      </c>
      <c r="F1188" s="22">
        <v>-35.5</v>
      </c>
      <c r="G1188" s="21">
        <f t="shared" si="2"/>
        <v>407306.18</v>
      </c>
      <c r="H1188" s="23"/>
      <c r="I1188" s="21">
        <f t="shared" si="6"/>
        <v>570.77</v>
      </c>
      <c r="J1188" s="23"/>
      <c r="K1188" s="21">
        <f t="shared" si="4"/>
        <v>285662.35</v>
      </c>
      <c r="L1188" s="23"/>
      <c r="M1188" s="21">
        <f t="shared" si="7"/>
        <v>1894.93</v>
      </c>
    </row>
    <row r="1189" ht="20.25" customHeight="1" outlineLevel="1">
      <c r="A1189" s="12">
        <v>46029.0</v>
      </c>
      <c r="B1189" s="13" t="s">
        <v>14</v>
      </c>
      <c r="C1189" s="28" t="s">
        <v>52</v>
      </c>
      <c r="D1189" s="20"/>
      <c r="E1189" s="21">
        <f t="shared" si="1"/>
        <v>7979.97</v>
      </c>
      <c r="F1189" s="23"/>
      <c r="G1189" s="21">
        <f t="shared" si="2"/>
        <v>407306.18</v>
      </c>
      <c r="H1189" s="23"/>
      <c r="I1189" s="21">
        <f t="shared" si="6"/>
        <v>570.77</v>
      </c>
      <c r="J1189" s="22">
        <v>-24.26</v>
      </c>
      <c r="K1189" s="21">
        <f t="shared" si="4"/>
        <v>285638.09</v>
      </c>
      <c r="L1189" s="23"/>
      <c r="M1189" s="21">
        <f t="shared" si="7"/>
        <v>1894.93</v>
      </c>
    </row>
    <row r="1190" ht="20.25" customHeight="1" outlineLevel="1">
      <c r="A1190" s="12">
        <v>46029.0</v>
      </c>
      <c r="B1190" s="13" t="s">
        <v>14</v>
      </c>
      <c r="C1190" s="28" t="s">
        <v>34</v>
      </c>
      <c r="D1190" s="20"/>
      <c r="E1190" s="21">
        <f t="shared" si="1"/>
        <v>7979.97</v>
      </c>
      <c r="F1190" s="23"/>
      <c r="G1190" s="21">
        <f t="shared" si="2"/>
        <v>407306.18</v>
      </c>
      <c r="H1190" s="23"/>
      <c r="I1190" s="21">
        <f t="shared" si="6"/>
        <v>570.77</v>
      </c>
      <c r="J1190" s="22">
        <v>-29.99</v>
      </c>
      <c r="K1190" s="21">
        <f t="shared" si="4"/>
        <v>285608.1</v>
      </c>
      <c r="L1190" s="23"/>
      <c r="M1190" s="21">
        <f t="shared" si="7"/>
        <v>1894.93</v>
      </c>
    </row>
    <row r="1191" ht="20.25" customHeight="1" outlineLevel="1">
      <c r="A1191" s="12">
        <v>46029.0</v>
      </c>
      <c r="B1191" s="13" t="s">
        <v>14</v>
      </c>
      <c r="C1191" s="28" t="s">
        <v>1094</v>
      </c>
      <c r="D1191" s="20"/>
      <c r="E1191" s="21">
        <f t="shared" si="1"/>
        <v>7979.97</v>
      </c>
      <c r="F1191" s="22">
        <v>-50.0</v>
      </c>
      <c r="G1191" s="21">
        <f t="shared" si="2"/>
        <v>407256.18</v>
      </c>
      <c r="H1191" s="23"/>
      <c r="I1191" s="21">
        <f t="shared" si="6"/>
        <v>570.77</v>
      </c>
      <c r="J1191" s="23"/>
      <c r="K1191" s="21">
        <f t="shared" si="4"/>
        <v>285608.1</v>
      </c>
      <c r="L1191" s="23"/>
      <c r="M1191" s="21">
        <f t="shared" si="7"/>
        <v>1894.93</v>
      </c>
    </row>
    <row r="1192" ht="20.25" customHeight="1" outlineLevel="1">
      <c r="A1192" s="12">
        <v>46029.0</v>
      </c>
      <c r="B1192" s="13" t="s">
        <v>16</v>
      </c>
      <c r="C1192" s="28" t="s">
        <v>1095</v>
      </c>
      <c r="D1192" s="20"/>
      <c r="E1192" s="21">
        <f t="shared" si="1"/>
        <v>7979.97</v>
      </c>
      <c r="F1192" s="23">
        <v>150.0</v>
      </c>
      <c r="G1192" s="21">
        <f t="shared" si="2"/>
        <v>407406.18</v>
      </c>
      <c r="H1192" s="23"/>
      <c r="I1192" s="21">
        <f t="shared" si="6"/>
        <v>570.77</v>
      </c>
      <c r="J1192" s="23"/>
      <c r="K1192" s="21">
        <f t="shared" si="4"/>
        <v>285608.1</v>
      </c>
      <c r="L1192" s="23"/>
      <c r="M1192" s="21">
        <f t="shared" si="7"/>
        <v>1894.93</v>
      </c>
    </row>
    <row r="1193" ht="20.25" customHeight="1" outlineLevel="1">
      <c r="A1193" s="12">
        <v>46029.0</v>
      </c>
      <c r="B1193" s="13" t="s">
        <v>16</v>
      </c>
      <c r="C1193" s="28" t="s">
        <v>1096</v>
      </c>
      <c r="D1193" s="20"/>
      <c r="E1193" s="21">
        <f t="shared" si="1"/>
        <v>7979.97</v>
      </c>
      <c r="F1193" s="23">
        <v>127.0</v>
      </c>
      <c r="G1193" s="21">
        <f t="shared" si="2"/>
        <v>407533.18</v>
      </c>
      <c r="H1193" s="23"/>
      <c r="I1193" s="21">
        <f t="shared" si="6"/>
        <v>570.77</v>
      </c>
      <c r="J1193" s="23"/>
      <c r="K1193" s="21">
        <f t="shared" si="4"/>
        <v>285608.1</v>
      </c>
      <c r="L1193" s="23"/>
      <c r="M1193" s="21">
        <f t="shared" si="7"/>
        <v>1894.93</v>
      </c>
    </row>
    <row r="1194" ht="20.25" customHeight="1" outlineLevel="1">
      <c r="A1194" s="12">
        <v>46029.0</v>
      </c>
      <c r="B1194" s="13" t="s">
        <v>14</v>
      </c>
      <c r="C1194" s="28" t="s">
        <v>319</v>
      </c>
      <c r="D1194" s="73">
        <v>-4.99</v>
      </c>
      <c r="E1194" s="21">
        <f t="shared" si="1"/>
        <v>7974.98</v>
      </c>
      <c r="F1194" s="23"/>
      <c r="G1194" s="21">
        <f t="shared" si="2"/>
        <v>407533.18</v>
      </c>
      <c r="H1194" s="23"/>
      <c r="I1194" s="21">
        <f t="shared" si="6"/>
        <v>570.77</v>
      </c>
      <c r="J1194" s="23"/>
      <c r="K1194" s="21">
        <f t="shared" si="4"/>
        <v>285608.1</v>
      </c>
      <c r="L1194" s="23"/>
      <c r="M1194" s="21">
        <f t="shared" si="7"/>
        <v>1894.93</v>
      </c>
    </row>
    <row r="1195" ht="20.25" customHeight="1">
      <c r="A1195" s="12">
        <v>46029.0</v>
      </c>
      <c r="B1195" s="13" t="s">
        <v>14</v>
      </c>
      <c r="C1195" s="28" t="s">
        <v>1097</v>
      </c>
      <c r="D1195" s="20"/>
      <c r="E1195" s="21">
        <f t="shared" si="1"/>
        <v>7974.98</v>
      </c>
      <c r="F1195" s="23"/>
      <c r="G1195" s="21">
        <f t="shared" si="2"/>
        <v>407533.18</v>
      </c>
      <c r="H1195" s="22">
        <v>-200.0</v>
      </c>
      <c r="I1195" s="21">
        <f t="shared" si="6"/>
        <v>370.77</v>
      </c>
      <c r="J1195" s="23"/>
      <c r="K1195" s="21">
        <f t="shared" si="4"/>
        <v>285608.1</v>
      </c>
      <c r="L1195" s="23"/>
      <c r="M1195" s="21">
        <f t="shared" si="7"/>
        <v>1894.93</v>
      </c>
    </row>
    <row r="1196" ht="20.25" customHeight="1" outlineLevel="1">
      <c r="A1196" s="12">
        <v>46029.0</v>
      </c>
      <c r="B1196" s="13" t="s">
        <v>12</v>
      </c>
      <c r="C1196" s="28" t="s">
        <v>1098</v>
      </c>
      <c r="D1196" s="20"/>
      <c r="E1196" s="21">
        <f t="shared" si="1"/>
        <v>7974.98</v>
      </c>
      <c r="F1196" s="23"/>
      <c r="G1196" s="21">
        <f t="shared" si="2"/>
        <v>407533.18</v>
      </c>
      <c r="H1196" s="22">
        <v>-76.13</v>
      </c>
      <c r="I1196" s="21">
        <f t="shared" si="6"/>
        <v>294.64</v>
      </c>
      <c r="J1196" s="23"/>
      <c r="K1196" s="21">
        <f t="shared" si="4"/>
        <v>285608.1</v>
      </c>
      <c r="L1196" s="23"/>
      <c r="M1196" s="21">
        <f t="shared" si="7"/>
        <v>1894.93</v>
      </c>
    </row>
    <row r="1197" ht="20.25" customHeight="1" outlineLevel="1">
      <c r="A1197" s="12">
        <v>46030.0</v>
      </c>
      <c r="B1197" s="13" t="s">
        <v>179</v>
      </c>
      <c r="C1197" s="70" t="s">
        <v>470</v>
      </c>
      <c r="D1197" s="73">
        <v>-5030.0</v>
      </c>
      <c r="E1197" s="21">
        <f t="shared" si="1"/>
        <v>2944.98</v>
      </c>
      <c r="F1197" s="23"/>
      <c r="G1197" s="21">
        <f t="shared" si="2"/>
        <v>407533.18</v>
      </c>
      <c r="H1197" s="23"/>
      <c r="I1197" s="21">
        <f t="shared" si="6"/>
        <v>294.64</v>
      </c>
      <c r="J1197" s="23"/>
      <c r="K1197" s="21">
        <f t="shared" si="4"/>
        <v>285608.1</v>
      </c>
      <c r="L1197" s="23"/>
      <c r="M1197" s="21">
        <f t="shared" si="7"/>
        <v>1894.93</v>
      </c>
    </row>
    <row r="1198" ht="20.25" customHeight="1" outlineLevel="1">
      <c r="A1198" s="12">
        <v>46030.0</v>
      </c>
      <c r="B1198" s="13" t="s">
        <v>137</v>
      </c>
      <c r="C1198" s="28" t="s">
        <v>1099</v>
      </c>
      <c r="D1198" s="20"/>
      <c r="E1198" s="21">
        <f t="shared" si="1"/>
        <v>2944.98</v>
      </c>
      <c r="F1198" s="22">
        <v>-615.17</v>
      </c>
      <c r="G1198" s="21">
        <f t="shared" si="2"/>
        <v>406918.01</v>
      </c>
      <c r="H1198" s="23"/>
      <c r="I1198" s="21">
        <f t="shared" si="6"/>
        <v>294.64</v>
      </c>
      <c r="J1198" s="23"/>
      <c r="K1198" s="21">
        <f t="shared" si="4"/>
        <v>285608.1</v>
      </c>
      <c r="L1198" s="23"/>
      <c r="M1198" s="21">
        <f t="shared" si="7"/>
        <v>1894.93</v>
      </c>
    </row>
    <row r="1199" ht="20.25" customHeight="1" outlineLevel="1">
      <c r="A1199" s="12">
        <v>46030.0</v>
      </c>
      <c r="B1199" s="13" t="s">
        <v>137</v>
      </c>
      <c r="C1199" s="28" t="s">
        <v>1100</v>
      </c>
      <c r="D1199" s="20"/>
      <c r="E1199" s="21">
        <f t="shared" si="1"/>
        <v>2944.98</v>
      </c>
      <c r="F1199" s="22">
        <v>-206.92</v>
      </c>
      <c r="G1199" s="21">
        <f t="shared" si="2"/>
        <v>406711.09</v>
      </c>
      <c r="H1199" s="23"/>
      <c r="I1199" s="21">
        <f t="shared" si="6"/>
        <v>294.64</v>
      </c>
      <c r="J1199" s="23"/>
      <c r="K1199" s="21">
        <f t="shared" si="4"/>
        <v>285608.1</v>
      </c>
      <c r="L1199" s="23"/>
      <c r="M1199" s="21">
        <f t="shared" si="7"/>
        <v>1894.93</v>
      </c>
    </row>
    <row r="1200" ht="20.25" customHeight="1" outlineLevel="1">
      <c r="A1200" s="12">
        <v>46030.0</v>
      </c>
      <c r="B1200" s="13" t="s">
        <v>12</v>
      </c>
      <c r="C1200" s="28" t="s">
        <v>1101</v>
      </c>
      <c r="D1200" s="20"/>
      <c r="E1200" s="21">
        <f t="shared" si="1"/>
        <v>2944.98</v>
      </c>
      <c r="F1200" s="22">
        <v>-346.66</v>
      </c>
      <c r="G1200" s="21">
        <f t="shared" si="2"/>
        <v>406364.43</v>
      </c>
      <c r="H1200" s="23"/>
      <c r="I1200" s="21">
        <f t="shared" si="6"/>
        <v>294.64</v>
      </c>
      <c r="J1200" s="23"/>
      <c r="K1200" s="21">
        <f t="shared" si="4"/>
        <v>285608.1</v>
      </c>
      <c r="L1200" s="23"/>
      <c r="M1200" s="21">
        <f t="shared" si="7"/>
        <v>1894.93</v>
      </c>
    </row>
    <row r="1201" ht="20.25" customHeight="1" outlineLevel="1">
      <c r="A1201" s="12">
        <v>46030.0</v>
      </c>
      <c r="B1201" s="13" t="s">
        <v>12</v>
      </c>
      <c r="C1201" s="28" t="s">
        <v>1102</v>
      </c>
      <c r="D1201" s="20"/>
      <c r="E1201" s="21">
        <f t="shared" si="1"/>
        <v>2944.98</v>
      </c>
      <c r="F1201" s="22">
        <v>-401.0</v>
      </c>
      <c r="G1201" s="21">
        <f t="shared" si="2"/>
        <v>405963.43</v>
      </c>
      <c r="H1201" s="23"/>
      <c r="I1201" s="21">
        <f t="shared" si="6"/>
        <v>294.64</v>
      </c>
      <c r="J1201" s="23"/>
      <c r="K1201" s="21">
        <f t="shared" si="4"/>
        <v>285608.1</v>
      </c>
      <c r="L1201" s="23"/>
      <c r="M1201" s="21">
        <f t="shared" si="7"/>
        <v>1894.93</v>
      </c>
    </row>
    <row r="1202" ht="20.25" customHeight="1" outlineLevel="1">
      <c r="A1202" s="12">
        <v>46030.0</v>
      </c>
      <c r="B1202" s="13" t="s">
        <v>137</v>
      </c>
      <c r="C1202" s="202" t="s">
        <v>1103</v>
      </c>
      <c r="D1202" s="20"/>
      <c r="E1202" s="21">
        <f t="shared" si="1"/>
        <v>2944.98</v>
      </c>
      <c r="F1202" s="22">
        <v>-46.24</v>
      </c>
      <c r="G1202" s="21">
        <f t="shared" si="2"/>
        <v>405917.19</v>
      </c>
      <c r="H1202" s="23"/>
      <c r="I1202" s="21">
        <f t="shared" si="6"/>
        <v>294.64</v>
      </c>
      <c r="J1202" s="23"/>
      <c r="K1202" s="21">
        <f t="shared" si="4"/>
        <v>285608.1</v>
      </c>
      <c r="L1202" s="23"/>
      <c r="M1202" s="21">
        <f t="shared" si="7"/>
        <v>1894.93</v>
      </c>
    </row>
    <row r="1203" ht="20.25" customHeight="1" outlineLevel="1">
      <c r="A1203" s="12">
        <v>46030.0</v>
      </c>
      <c r="B1203" s="13" t="s">
        <v>16</v>
      </c>
      <c r="C1203" s="202" t="s">
        <v>1104</v>
      </c>
      <c r="D1203" s="20"/>
      <c r="E1203" s="21">
        <f t="shared" si="1"/>
        <v>2944.98</v>
      </c>
      <c r="F1203" s="23">
        <v>335.0</v>
      </c>
      <c r="G1203" s="21">
        <f t="shared" si="2"/>
        <v>406252.19</v>
      </c>
      <c r="H1203" s="23"/>
      <c r="I1203" s="21">
        <f t="shared" si="6"/>
        <v>294.64</v>
      </c>
      <c r="J1203" s="23"/>
      <c r="K1203" s="21">
        <f t="shared" si="4"/>
        <v>285608.1</v>
      </c>
      <c r="L1203" s="23"/>
      <c r="M1203" s="21">
        <f t="shared" si="7"/>
        <v>1894.93</v>
      </c>
    </row>
    <row r="1204" ht="20.25" customHeight="1" outlineLevel="1">
      <c r="A1204" s="12">
        <v>46030.0</v>
      </c>
      <c r="B1204" s="13" t="s">
        <v>16</v>
      </c>
      <c r="C1204" s="213" t="s">
        <v>1105</v>
      </c>
      <c r="D1204" s="20"/>
      <c r="E1204" s="21">
        <f t="shared" si="1"/>
        <v>2944.98</v>
      </c>
      <c r="F1204" s="23">
        <v>242.0</v>
      </c>
      <c r="G1204" s="21">
        <f t="shared" si="2"/>
        <v>406494.19</v>
      </c>
      <c r="H1204" s="23"/>
      <c r="I1204" s="21">
        <f t="shared" si="6"/>
        <v>294.64</v>
      </c>
      <c r="J1204" s="23"/>
      <c r="K1204" s="21">
        <f t="shared" si="4"/>
        <v>285608.1</v>
      </c>
      <c r="L1204" s="23"/>
      <c r="M1204" s="21">
        <f t="shared" si="7"/>
        <v>1894.93</v>
      </c>
    </row>
    <row r="1205" ht="20.25" customHeight="1" outlineLevel="1">
      <c r="A1205" s="12">
        <v>46030.0</v>
      </c>
      <c r="B1205" s="46" t="s">
        <v>179</v>
      </c>
      <c r="C1205" s="160" t="s">
        <v>482</v>
      </c>
      <c r="D1205" s="20"/>
      <c r="E1205" s="21">
        <f t="shared" si="1"/>
        <v>2944.98</v>
      </c>
      <c r="F1205" s="27">
        <v>5030.0</v>
      </c>
      <c r="G1205" s="21">
        <f t="shared" si="2"/>
        <v>411524.19</v>
      </c>
      <c r="H1205" s="23"/>
      <c r="I1205" s="21">
        <f t="shared" si="6"/>
        <v>294.64</v>
      </c>
      <c r="J1205" s="23"/>
      <c r="K1205" s="21">
        <f t="shared" si="4"/>
        <v>285608.1</v>
      </c>
      <c r="L1205" s="23"/>
      <c r="M1205" s="21">
        <f t="shared" si="7"/>
        <v>1894.93</v>
      </c>
    </row>
    <row r="1206" ht="20.25" customHeight="1" outlineLevel="1">
      <c r="A1206" s="12">
        <v>46030.0</v>
      </c>
      <c r="B1206" s="46" t="s">
        <v>14</v>
      </c>
      <c r="C1206" s="160" t="s">
        <v>66</v>
      </c>
      <c r="D1206" s="20"/>
      <c r="E1206" s="21">
        <f t="shared" si="1"/>
        <v>2944.98</v>
      </c>
      <c r="F1206" s="22">
        <v>-0.4</v>
      </c>
      <c r="G1206" s="21">
        <f t="shared" si="2"/>
        <v>411523.79</v>
      </c>
      <c r="H1206" s="23"/>
      <c r="I1206" s="21">
        <f t="shared" si="6"/>
        <v>294.64</v>
      </c>
      <c r="J1206" s="23"/>
      <c r="K1206" s="21">
        <f t="shared" si="4"/>
        <v>285608.1</v>
      </c>
      <c r="L1206" s="23"/>
      <c r="M1206" s="21">
        <f t="shared" si="7"/>
        <v>1894.93</v>
      </c>
    </row>
    <row r="1207" ht="20.25" customHeight="1" outlineLevel="1">
      <c r="A1207" s="12">
        <v>46030.0</v>
      </c>
      <c r="B1207" s="46" t="s">
        <v>14</v>
      </c>
      <c r="C1207" s="160" t="s">
        <v>65</v>
      </c>
      <c r="D1207" s="20"/>
      <c r="E1207" s="21">
        <f t="shared" si="1"/>
        <v>2944.98</v>
      </c>
      <c r="F1207" s="22">
        <v>-0.4</v>
      </c>
      <c r="G1207" s="21">
        <f t="shared" si="2"/>
        <v>411523.39</v>
      </c>
      <c r="H1207" s="23"/>
      <c r="I1207" s="21">
        <f t="shared" si="6"/>
        <v>294.64</v>
      </c>
      <c r="J1207" s="23"/>
      <c r="K1207" s="21">
        <f t="shared" si="4"/>
        <v>285608.1</v>
      </c>
      <c r="L1207" s="23"/>
      <c r="M1207" s="21">
        <f t="shared" si="7"/>
        <v>1894.93</v>
      </c>
    </row>
    <row r="1208" ht="20.25" customHeight="1" outlineLevel="1">
      <c r="A1208" s="12">
        <v>46030.0</v>
      </c>
      <c r="B1208" s="46" t="s">
        <v>16</v>
      </c>
      <c r="C1208" s="160" t="s">
        <v>1106</v>
      </c>
      <c r="D1208" s="20"/>
      <c r="E1208" s="21">
        <f t="shared" si="1"/>
        <v>2944.98</v>
      </c>
      <c r="F1208" s="23"/>
      <c r="G1208" s="21">
        <f t="shared" si="2"/>
        <v>411523.39</v>
      </c>
      <c r="H1208" s="23"/>
      <c r="I1208" s="21">
        <f t="shared" si="6"/>
        <v>294.64</v>
      </c>
      <c r="J1208" s="23">
        <v>1274.0</v>
      </c>
      <c r="K1208" s="21">
        <f t="shared" si="4"/>
        <v>286882.1</v>
      </c>
      <c r="L1208" s="23"/>
      <c r="M1208" s="21">
        <f t="shared" si="7"/>
        <v>1894.93</v>
      </c>
    </row>
    <row r="1209" ht="20.25" customHeight="1" outlineLevel="1">
      <c r="A1209" s="12">
        <v>46030.0</v>
      </c>
      <c r="B1209" s="46" t="s">
        <v>16</v>
      </c>
      <c r="C1209" s="160" t="s">
        <v>1107</v>
      </c>
      <c r="D1209" s="20">
        <v>384.0</v>
      </c>
      <c r="E1209" s="21">
        <f t="shared" si="1"/>
        <v>3328.98</v>
      </c>
      <c r="F1209" s="23"/>
      <c r="G1209" s="21">
        <f t="shared" si="2"/>
        <v>411523.39</v>
      </c>
      <c r="H1209" s="23"/>
      <c r="I1209" s="21">
        <f t="shared" si="6"/>
        <v>294.64</v>
      </c>
      <c r="J1209" s="23"/>
      <c r="K1209" s="21">
        <f t="shared" si="4"/>
        <v>286882.1</v>
      </c>
      <c r="L1209" s="23"/>
      <c r="M1209" s="21">
        <f t="shared" si="7"/>
        <v>1894.93</v>
      </c>
    </row>
    <row r="1210" ht="20.25" customHeight="1" outlineLevel="1">
      <c r="A1210" s="12">
        <v>46030.0</v>
      </c>
      <c r="B1210" s="46" t="s">
        <v>14</v>
      </c>
      <c r="C1210" s="160" t="s">
        <v>1108</v>
      </c>
      <c r="D1210" s="20"/>
      <c r="E1210" s="21">
        <f t="shared" si="1"/>
        <v>3328.98</v>
      </c>
      <c r="F1210" s="23"/>
      <c r="G1210" s="21">
        <f t="shared" si="2"/>
        <v>411523.39</v>
      </c>
      <c r="H1210" s="22">
        <v>-95.36</v>
      </c>
      <c r="I1210" s="21">
        <f t="shared" si="6"/>
        <v>199.28</v>
      </c>
      <c r="J1210" s="23"/>
      <c r="K1210" s="21">
        <f t="shared" si="4"/>
        <v>286882.1</v>
      </c>
      <c r="L1210" s="23"/>
      <c r="M1210" s="21">
        <f t="shared" si="7"/>
        <v>1894.93</v>
      </c>
    </row>
    <row r="1211" ht="20.25" customHeight="1" outlineLevel="1">
      <c r="A1211" s="12">
        <v>46031.0</v>
      </c>
      <c r="B1211" s="46" t="s">
        <v>16</v>
      </c>
      <c r="C1211" s="160" t="s">
        <v>1109</v>
      </c>
      <c r="D1211" s="20"/>
      <c r="E1211" s="21">
        <f t="shared" si="1"/>
        <v>3328.98</v>
      </c>
      <c r="F1211" s="23">
        <v>42.8</v>
      </c>
      <c r="G1211" s="21">
        <f t="shared" si="2"/>
        <v>411566.19</v>
      </c>
      <c r="H1211" s="23"/>
      <c r="I1211" s="21">
        <f t="shared" si="6"/>
        <v>199.28</v>
      </c>
      <c r="J1211" s="23"/>
      <c r="K1211" s="21">
        <f t="shared" si="4"/>
        <v>286882.1</v>
      </c>
      <c r="L1211" s="23"/>
      <c r="M1211" s="21">
        <f t="shared" si="7"/>
        <v>1894.93</v>
      </c>
    </row>
    <row r="1212" ht="20.25" customHeight="1" outlineLevel="1">
      <c r="A1212" s="12">
        <v>46031.0</v>
      </c>
      <c r="B1212" s="13" t="s">
        <v>12</v>
      </c>
      <c r="C1212" s="214" t="s">
        <v>1110</v>
      </c>
      <c r="D1212" s="20"/>
      <c r="E1212" s="21">
        <f t="shared" si="1"/>
        <v>3328.98</v>
      </c>
      <c r="F1212" s="22">
        <v>-700.0</v>
      </c>
      <c r="G1212" s="21">
        <f t="shared" si="2"/>
        <v>410866.19</v>
      </c>
      <c r="H1212" s="23"/>
      <c r="I1212" s="21">
        <f t="shared" si="6"/>
        <v>199.28</v>
      </c>
      <c r="J1212" s="23"/>
      <c r="K1212" s="21">
        <f t="shared" si="4"/>
        <v>286882.1</v>
      </c>
      <c r="L1212" s="23"/>
      <c r="M1212" s="21">
        <f t="shared" si="7"/>
        <v>1894.93</v>
      </c>
    </row>
    <row r="1213" ht="20.25" customHeight="1" outlineLevel="1">
      <c r="A1213" s="12">
        <v>46031.0</v>
      </c>
      <c r="B1213" s="13" t="s">
        <v>14</v>
      </c>
      <c r="C1213" s="28" t="s">
        <v>34</v>
      </c>
      <c r="D1213" s="20"/>
      <c r="E1213" s="21">
        <f t="shared" si="1"/>
        <v>3328.98</v>
      </c>
      <c r="F1213" s="23"/>
      <c r="G1213" s="21">
        <f t="shared" si="2"/>
        <v>410866.19</v>
      </c>
      <c r="H1213" s="23"/>
      <c r="I1213" s="21">
        <f t="shared" si="6"/>
        <v>199.28</v>
      </c>
      <c r="J1213" s="22">
        <v>-610.0</v>
      </c>
      <c r="K1213" s="21">
        <f t="shared" si="4"/>
        <v>286272.1</v>
      </c>
      <c r="L1213" s="23"/>
      <c r="M1213" s="21">
        <f t="shared" si="7"/>
        <v>1894.93</v>
      </c>
    </row>
    <row r="1214" ht="20.25" customHeight="1" outlineLevel="1">
      <c r="A1214" s="12">
        <v>46031.0</v>
      </c>
      <c r="B1214" s="13" t="s">
        <v>16</v>
      </c>
      <c r="C1214" s="28" t="s">
        <v>1111</v>
      </c>
      <c r="D1214" s="20"/>
      <c r="E1214" s="21">
        <f t="shared" si="1"/>
        <v>3328.98</v>
      </c>
      <c r="F1214" s="23">
        <v>466.0</v>
      </c>
      <c r="G1214" s="21">
        <f t="shared" si="2"/>
        <v>411332.19</v>
      </c>
      <c r="H1214" s="23"/>
      <c r="I1214" s="21">
        <f t="shared" si="6"/>
        <v>199.28</v>
      </c>
      <c r="J1214" s="23"/>
      <c r="K1214" s="21">
        <f t="shared" si="4"/>
        <v>286272.1</v>
      </c>
      <c r="L1214" s="23"/>
      <c r="M1214" s="21">
        <f t="shared" si="7"/>
        <v>1894.93</v>
      </c>
    </row>
    <row r="1215" ht="20.25" customHeight="1" outlineLevel="1">
      <c r="A1215" s="12">
        <v>46031.0</v>
      </c>
      <c r="B1215" s="13" t="s">
        <v>16</v>
      </c>
      <c r="C1215" s="28" t="s">
        <v>1112</v>
      </c>
      <c r="D1215" s="20"/>
      <c r="E1215" s="21">
        <f t="shared" si="1"/>
        <v>3328.98</v>
      </c>
      <c r="F1215" s="23">
        <v>215.0</v>
      </c>
      <c r="G1215" s="21">
        <f t="shared" si="2"/>
        <v>411547.19</v>
      </c>
      <c r="H1215" s="23"/>
      <c r="I1215" s="21">
        <f t="shared" si="6"/>
        <v>199.28</v>
      </c>
      <c r="J1215" s="23"/>
      <c r="K1215" s="21">
        <f t="shared" si="4"/>
        <v>286272.1</v>
      </c>
      <c r="L1215" s="23"/>
      <c r="M1215" s="21">
        <f t="shared" si="7"/>
        <v>1894.93</v>
      </c>
    </row>
    <row r="1216" ht="20.25" customHeight="1" outlineLevel="1">
      <c r="A1216" s="12">
        <v>46031.0</v>
      </c>
      <c r="B1216" s="13" t="s">
        <v>16</v>
      </c>
      <c r="C1216" s="28" t="s">
        <v>1113</v>
      </c>
      <c r="D1216" s="20"/>
      <c r="E1216" s="21">
        <f t="shared" si="1"/>
        <v>3328.98</v>
      </c>
      <c r="F1216" s="23">
        <v>379.0</v>
      </c>
      <c r="G1216" s="21">
        <f t="shared" si="2"/>
        <v>411926.19</v>
      </c>
      <c r="H1216" s="23"/>
      <c r="I1216" s="21">
        <f t="shared" si="6"/>
        <v>199.28</v>
      </c>
      <c r="J1216" s="23"/>
      <c r="K1216" s="21">
        <f t="shared" si="4"/>
        <v>286272.1</v>
      </c>
      <c r="L1216" s="23"/>
      <c r="M1216" s="21">
        <f t="shared" si="7"/>
        <v>1894.93</v>
      </c>
    </row>
    <row r="1217" ht="20.25" customHeight="1" outlineLevel="1">
      <c r="A1217" s="12">
        <v>46031.0</v>
      </c>
      <c r="B1217" s="13" t="s">
        <v>16</v>
      </c>
      <c r="C1217" s="42" t="s">
        <v>1114</v>
      </c>
      <c r="D1217" s="20"/>
      <c r="E1217" s="21">
        <f t="shared" si="1"/>
        <v>3328.98</v>
      </c>
      <c r="F1217" s="23"/>
      <c r="G1217" s="21">
        <f t="shared" si="2"/>
        <v>411926.19</v>
      </c>
      <c r="H1217" s="23"/>
      <c r="I1217" s="21">
        <f t="shared" si="6"/>
        <v>199.28</v>
      </c>
      <c r="J1217" s="23">
        <v>176.0</v>
      </c>
      <c r="K1217" s="21">
        <f t="shared" si="4"/>
        <v>286448.1</v>
      </c>
      <c r="L1217" s="23"/>
      <c r="M1217" s="21">
        <f t="shared" si="7"/>
        <v>1894.93</v>
      </c>
    </row>
    <row r="1218" ht="20.25" customHeight="1" outlineLevel="1">
      <c r="A1218" s="12">
        <v>46031.0</v>
      </c>
      <c r="B1218" s="13" t="s">
        <v>16</v>
      </c>
      <c r="C1218" s="28" t="s">
        <v>542</v>
      </c>
      <c r="D1218" s="20">
        <v>300.0</v>
      </c>
      <c r="E1218" s="21">
        <f t="shared" si="1"/>
        <v>3628.98</v>
      </c>
      <c r="F1218" s="23"/>
      <c r="G1218" s="21">
        <f t="shared" si="2"/>
        <v>411926.19</v>
      </c>
      <c r="H1218" s="23"/>
      <c r="I1218" s="21">
        <f t="shared" si="6"/>
        <v>199.28</v>
      </c>
      <c r="J1218" s="23"/>
      <c r="K1218" s="21">
        <f t="shared" si="4"/>
        <v>286448.1</v>
      </c>
      <c r="L1218" s="23"/>
      <c r="M1218" s="21">
        <f t="shared" si="7"/>
        <v>1894.93</v>
      </c>
    </row>
    <row r="1219" ht="20.25" customHeight="1" outlineLevel="1">
      <c r="A1219" s="12">
        <v>46032.0</v>
      </c>
      <c r="B1219" s="13" t="s">
        <v>16</v>
      </c>
      <c r="C1219" s="28" t="s">
        <v>1115</v>
      </c>
      <c r="D1219" s="20">
        <v>75.0</v>
      </c>
      <c r="E1219" s="21">
        <f t="shared" si="1"/>
        <v>3703.98</v>
      </c>
      <c r="F1219" s="23"/>
      <c r="G1219" s="21">
        <f t="shared" si="2"/>
        <v>411926.19</v>
      </c>
      <c r="H1219" s="23"/>
      <c r="I1219" s="21">
        <f t="shared" si="6"/>
        <v>199.28</v>
      </c>
      <c r="J1219" s="23"/>
      <c r="K1219" s="21">
        <f t="shared" si="4"/>
        <v>286448.1</v>
      </c>
      <c r="L1219" s="23"/>
      <c r="M1219" s="21">
        <f t="shared" si="7"/>
        <v>1894.93</v>
      </c>
    </row>
    <row r="1220" ht="20.25" customHeight="1" outlineLevel="1">
      <c r="A1220" s="12">
        <v>46032.0</v>
      </c>
      <c r="B1220" s="13" t="s">
        <v>14</v>
      </c>
      <c r="C1220" s="28" t="s">
        <v>1116</v>
      </c>
      <c r="D1220" s="73">
        <v>-20.0</v>
      </c>
      <c r="E1220" s="21">
        <f t="shared" si="1"/>
        <v>3683.98</v>
      </c>
      <c r="F1220" s="23"/>
      <c r="G1220" s="21">
        <f t="shared" si="2"/>
        <v>411926.19</v>
      </c>
      <c r="H1220" s="23"/>
      <c r="I1220" s="21">
        <f t="shared" si="6"/>
        <v>199.28</v>
      </c>
      <c r="J1220" s="23"/>
      <c r="K1220" s="21">
        <f t="shared" si="4"/>
        <v>286448.1</v>
      </c>
      <c r="L1220" s="23"/>
      <c r="M1220" s="21">
        <f t="shared" si="7"/>
        <v>1894.93</v>
      </c>
    </row>
    <row r="1221" ht="20.25" customHeight="1" outlineLevel="1">
      <c r="A1221" s="12">
        <v>46034.0</v>
      </c>
      <c r="B1221" s="13" t="s">
        <v>16</v>
      </c>
      <c r="C1221" s="28" t="s">
        <v>1117</v>
      </c>
      <c r="D1221" s="20"/>
      <c r="E1221" s="21">
        <f t="shared" si="1"/>
        <v>3683.98</v>
      </c>
      <c r="F1221" s="23">
        <v>42.8</v>
      </c>
      <c r="G1221" s="21">
        <f t="shared" si="2"/>
        <v>411968.99</v>
      </c>
      <c r="H1221" s="23"/>
      <c r="I1221" s="21">
        <f t="shared" si="6"/>
        <v>199.28</v>
      </c>
      <c r="J1221" s="23"/>
      <c r="K1221" s="21">
        <f t="shared" si="4"/>
        <v>286448.1</v>
      </c>
      <c r="L1221" s="23"/>
      <c r="M1221" s="21">
        <f t="shared" si="7"/>
        <v>1894.93</v>
      </c>
    </row>
    <row r="1222" ht="20.25" customHeight="1" outlineLevel="1">
      <c r="A1222" s="12">
        <v>46034.0</v>
      </c>
      <c r="B1222" s="13" t="s">
        <v>63</v>
      </c>
      <c r="C1222" s="207" t="s">
        <v>1118</v>
      </c>
      <c r="D1222" s="20"/>
      <c r="E1222" s="21">
        <f t="shared" si="1"/>
        <v>3683.98</v>
      </c>
      <c r="F1222" s="23">
        <v>6710.0</v>
      </c>
      <c r="G1222" s="21">
        <f t="shared" si="2"/>
        <v>418678.99</v>
      </c>
      <c r="H1222" s="23"/>
      <c r="I1222" s="21">
        <f t="shared" si="6"/>
        <v>199.28</v>
      </c>
      <c r="J1222" s="23"/>
      <c r="K1222" s="21">
        <f t="shared" si="4"/>
        <v>286448.1</v>
      </c>
      <c r="L1222" s="23"/>
      <c r="M1222" s="21">
        <f t="shared" si="7"/>
        <v>1894.93</v>
      </c>
    </row>
    <row r="1223" ht="20.25" customHeight="1" outlineLevel="1">
      <c r="A1223" s="12">
        <v>46034.0</v>
      </c>
      <c r="B1223" s="13" t="s">
        <v>63</v>
      </c>
      <c r="C1223" s="207" t="s">
        <v>1119</v>
      </c>
      <c r="D1223" s="20"/>
      <c r="E1223" s="21">
        <f t="shared" si="1"/>
        <v>3683.98</v>
      </c>
      <c r="F1223" s="23">
        <v>5637.35</v>
      </c>
      <c r="G1223" s="21">
        <f t="shared" si="2"/>
        <v>424316.34</v>
      </c>
      <c r="H1223" s="23"/>
      <c r="I1223" s="21">
        <f t="shared" si="6"/>
        <v>199.28</v>
      </c>
      <c r="J1223" s="23"/>
      <c r="K1223" s="21">
        <f t="shared" si="4"/>
        <v>286448.1</v>
      </c>
      <c r="L1223" s="23"/>
      <c r="M1223" s="21">
        <f t="shared" si="7"/>
        <v>1894.93</v>
      </c>
    </row>
    <row r="1224" ht="20.25" customHeight="1" outlineLevel="1">
      <c r="A1224" s="12">
        <v>46034.0</v>
      </c>
      <c r="B1224" s="13" t="s">
        <v>14</v>
      </c>
      <c r="C1224" s="215" t="s">
        <v>34</v>
      </c>
      <c r="D1224" s="20"/>
      <c r="E1224" s="21">
        <f t="shared" si="1"/>
        <v>3683.98</v>
      </c>
      <c r="F1224" s="23"/>
      <c r="G1224" s="21">
        <f t="shared" si="2"/>
        <v>424316.34</v>
      </c>
      <c r="H1224" s="23"/>
      <c r="I1224" s="21">
        <f t="shared" si="6"/>
        <v>199.28</v>
      </c>
      <c r="J1224" s="22">
        <v>-20.99</v>
      </c>
      <c r="K1224" s="21">
        <f t="shared" si="4"/>
        <v>286427.11</v>
      </c>
      <c r="L1224" s="23"/>
      <c r="M1224" s="21">
        <f t="shared" si="7"/>
        <v>1894.93</v>
      </c>
    </row>
    <row r="1225" ht="20.25" customHeight="1" outlineLevel="1">
      <c r="A1225" s="12">
        <v>46034.0</v>
      </c>
      <c r="B1225" s="13" t="s">
        <v>16</v>
      </c>
      <c r="C1225" s="215" t="s">
        <v>1120</v>
      </c>
      <c r="D1225" s="20"/>
      <c r="E1225" s="21">
        <f t="shared" si="1"/>
        <v>3683.98</v>
      </c>
      <c r="F1225" s="23"/>
      <c r="G1225" s="21">
        <f t="shared" si="2"/>
        <v>424316.34</v>
      </c>
      <c r="H1225" s="23"/>
      <c r="I1225" s="21">
        <f t="shared" si="6"/>
        <v>199.28</v>
      </c>
      <c r="J1225" s="23">
        <v>20.0</v>
      </c>
      <c r="K1225" s="21">
        <f t="shared" si="4"/>
        <v>286447.11</v>
      </c>
      <c r="L1225" s="23"/>
      <c r="M1225" s="21">
        <f t="shared" si="7"/>
        <v>1894.93</v>
      </c>
    </row>
    <row r="1226" ht="20.25" customHeight="1" outlineLevel="1">
      <c r="A1226" s="12">
        <v>46034.0</v>
      </c>
      <c r="B1226" s="13" t="s">
        <v>16</v>
      </c>
      <c r="C1226" s="215" t="s">
        <v>1121</v>
      </c>
      <c r="D1226" s="20"/>
      <c r="E1226" s="21">
        <f t="shared" si="1"/>
        <v>3683.98</v>
      </c>
      <c r="F1226" s="23"/>
      <c r="G1226" s="21">
        <f t="shared" si="2"/>
        <v>424316.34</v>
      </c>
      <c r="H1226" s="23"/>
      <c r="I1226" s="21">
        <f t="shared" si="6"/>
        <v>199.28</v>
      </c>
      <c r="J1226" s="23">
        <v>25.0</v>
      </c>
      <c r="K1226" s="21">
        <f t="shared" si="4"/>
        <v>286472.11</v>
      </c>
      <c r="L1226" s="23"/>
      <c r="M1226" s="21">
        <f t="shared" si="7"/>
        <v>1894.93</v>
      </c>
    </row>
    <row r="1227" ht="20.25" customHeight="1" outlineLevel="1">
      <c r="A1227" s="12">
        <v>46034.0</v>
      </c>
      <c r="B1227" s="13" t="s">
        <v>16</v>
      </c>
      <c r="C1227" s="215" t="s">
        <v>1122</v>
      </c>
      <c r="D1227" s="20"/>
      <c r="E1227" s="21">
        <f t="shared" si="1"/>
        <v>3683.98</v>
      </c>
      <c r="F1227" s="23"/>
      <c r="G1227" s="21">
        <f t="shared" si="2"/>
        <v>424316.34</v>
      </c>
      <c r="H1227" s="23"/>
      <c r="I1227" s="21">
        <f t="shared" si="6"/>
        <v>199.28</v>
      </c>
      <c r="J1227" s="23">
        <v>328.0</v>
      </c>
      <c r="K1227" s="21">
        <f t="shared" si="4"/>
        <v>286800.11</v>
      </c>
      <c r="L1227" s="23"/>
      <c r="M1227" s="21">
        <f t="shared" si="7"/>
        <v>1894.93</v>
      </c>
    </row>
    <row r="1228" ht="20.25" customHeight="1" outlineLevel="1">
      <c r="A1228" s="12">
        <v>46034.0</v>
      </c>
      <c r="B1228" s="13" t="s">
        <v>16</v>
      </c>
      <c r="C1228" s="215" t="s">
        <v>1123</v>
      </c>
      <c r="D1228" s="20"/>
      <c r="E1228" s="21">
        <f t="shared" si="1"/>
        <v>3683.98</v>
      </c>
      <c r="F1228" s="23"/>
      <c r="G1228" s="21">
        <f t="shared" si="2"/>
        <v>424316.34</v>
      </c>
      <c r="H1228" s="23"/>
      <c r="I1228" s="21">
        <f t="shared" si="6"/>
        <v>199.28</v>
      </c>
      <c r="J1228" s="23">
        <v>75.0</v>
      </c>
      <c r="K1228" s="21">
        <f t="shared" si="4"/>
        <v>286875.11</v>
      </c>
      <c r="L1228" s="23"/>
      <c r="M1228" s="21">
        <f t="shared" si="7"/>
        <v>1894.93</v>
      </c>
    </row>
    <row r="1229" ht="20.25" customHeight="1" outlineLevel="1">
      <c r="A1229" s="12">
        <v>46034.0</v>
      </c>
      <c r="B1229" s="13" t="s">
        <v>16</v>
      </c>
      <c r="C1229" s="207" t="s">
        <v>1124</v>
      </c>
      <c r="D1229" s="20"/>
      <c r="E1229" s="21">
        <f t="shared" si="1"/>
        <v>3683.98</v>
      </c>
      <c r="F1229" s="23">
        <v>25.0</v>
      </c>
      <c r="G1229" s="21">
        <f t="shared" si="2"/>
        <v>424341.34</v>
      </c>
      <c r="H1229" s="23"/>
      <c r="I1229" s="21">
        <f t="shared" si="6"/>
        <v>199.28</v>
      </c>
      <c r="J1229" s="23"/>
      <c r="K1229" s="21">
        <f t="shared" si="4"/>
        <v>286875.11</v>
      </c>
      <c r="L1229" s="23"/>
      <c r="M1229" s="21">
        <f t="shared" si="7"/>
        <v>1894.93</v>
      </c>
    </row>
    <row r="1230" ht="20.25" customHeight="1" outlineLevel="1">
      <c r="A1230" s="12">
        <v>46034.0</v>
      </c>
      <c r="B1230" s="13" t="s">
        <v>16</v>
      </c>
      <c r="C1230" s="207" t="s">
        <v>1125</v>
      </c>
      <c r="D1230" s="20"/>
      <c r="E1230" s="21">
        <f t="shared" si="1"/>
        <v>3683.98</v>
      </c>
      <c r="F1230" s="23">
        <v>50.0</v>
      </c>
      <c r="G1230" s="21">
        <f t="shared" si="2"/>
        <v>424391.34</v>
      </c>
      <c r="H1230" s="23"/>
      <c r="I1230" s="21">
        <f t="shared" si="6"/>
        <v>199.28</v>
      </c>
      <c r="J1230" s="23"/>
      <c r="K1230" s="21">
        <f t="shared" si="4"/>
        <v>286875.11</v>
      </c>
      <c r="L1230" s="23"/>
      <c r="M1230" s="21">
        <f t="shared" si="7"/>
        <v>1894.93</v>
      </c>
    </row>
    <row r="1231" ht="20.25" customHeight="1" outlineLevel="1">
      <c r="A1231" s="12">
        <v>46034.0</v>
      </c>
      <c r="B1231" s="13" t="s">
        <v>16</v>
      </c>
      <c r="C1231" s="207" t="s">
        <v>1126</v>
      </c>
      <c r="D1231" s="20"/>
      <c r="E1231" s="21">
        <f t="shared" si="1"/>
        <v>3683.98</v>
      </c>
      <c r="F1231" s="23">
        <v>889.0</v>
      </c>
      <c r="G1231" s="21">
        <f t="shared" si="2"/>
        <v>425280.34</v>
      </c>
      <c r="H1231" s="23"/>
      <c r="I1231" s="21">
        <f t="shared" si="6"/>
        <v>199.28</v>
      </c>
      <c r="J1231" s="23"/>
      <c r="K1231" s="21">
        <f t="shared" si="4"/>
        <v>286875.11</v>
      </c>
      <c r="L1231" s="23"/>
      <c r="M1231" s="21">
        <f t="shared" si="7"/>
        <v>1894.93</v>
      </c>
    </row>
    <row r="1232" ht="20.25" customHeight="1" outlineLevel="1">
      <c r="A1232" s="12">
        <v>46034.0</v>
      </c>
      <c r="B1232" s="13" t="s">
        <v>16</v>
      </c>
      <c r="C1232" s="207" t="s">
        <v>1127</v>
      </c>
      <c r="D1232" s="20"/>
      <c r="E1232" s="21">
        <f t="shared" si="1"/>
        <v>3683.98</v>
      </c>
      <c r="F1232" s="23">
        <v>415.0</v>
      </c>
      <c r="G1232" s="21">
        <f t="shared" si="2"/>
        <v>425695.34</v>
      </c>
      <c r="H1232" s="23"/>
      <c r="I1232" s="21">
        <f t="shared" si="6"/>
        <v>199.28</v>
      </c>
      <c r="J1232" s="23"/>
      <c r="K1232" s="21">
        <f t="shared" si="4"/>
        <v>286875.11</v>
      </c>
      <c r="L1232" s="23"/>
      <c r="M1232" s="21">
        <f t="shared" si="7"/>
        <v>1894.93</v>
      </c>
    </row>
    <row r="1233" ht="20.25" customHeight="1" outlineLevel="1">
      <c r="A1233" s="12">
        <v>46034.0</v>
      </c>
      <c r="B1233" s="13" t="s">
        <v>16</v>
      </c>
      <c r="C1233" s="207" t="s">
        <v>1128</v>
      </c>
      <c r="D1233" s="20"/>
      <c r="E1233" s="21">
        <f t="shared" si="1"/>
        <v>3683.98</v>
      </c>
      <c r="F1233" s="23">
        <v>624.0</v>
      </c>
      <c r="G1233" s="21">
        <f t="shared" si="2"/>
        <v>426319.34</v>
      </c>
      <c r="H1233" s="23"/>
      <c r="I1233" s="21">
        <f t="shared" si="6"/>
        <v>199.28</v>
      </c>
      <c r="J1233" s="23"/>
      <c r="K1233" s="21">
        <f t="shared" si="4"/>
        <v>286875.11</v>
      </c>
      <c r="L1233" s="23"/>
      <c r="M1233" s="21">
        <f t="shared" si="7"/>
        <v>1894.93</v>
      </c>
    </row>
    <row r="1234" ht="20.25" customHeight="1" outlineLevel="1">
      <c r="A1234" s="12">
        <v>46034.0</v>
      </c>
      <c r="B1234" s="13" t="s">
        <v>16</v>
      </c>
      <c r="C1234" s="207" t="s">
        <v>1129</v>
      </c>
      <c r="D1234" s="20">
        <v>165.0</v>
      </c>
      <c r="E1234" s="21">
        <f t="shared" si="1"/>
        <v>3848.98</v>
      </c>
      <c r="F1234" s="23"/>
      <c r="G1234" s="21">
        <f t="shared" si="2"/>
        <v>426319.34</v>
      </c>
      <c r="H1234" s="23"/>
      <c r="I1234" s="21">
        <f t="shared" si="6"/>
        <v>199.28</v>
      </c>
      <c r="J1234" s="23"/>
      <c r="K1234" s="21">
        <f t="shared" si="4"/>
        <v>286875.11</v>
      </c>
      <c r="L1234" s="23"/>
      <c r="M1234" s="21">
        <f t="shared" si="7"/>
        <v>1894.93</v>
      </c>
    </row>
    <row r="1235" ht="20.25" customHeight="1" outlineLevel="1">
      <c r="A1235" s="12">
        <v>46034.0</v>
      </c>
      <c r="B1235" s="13" t="s">
        <v>14</v>
      </c>
      <c r="C1235" s="207" t="s">
        <v>1130</v>
      </c>
      <c r="D1235" s="20"/>
      <c r="E1235" s="21">
        <f t="shared" si="1"/>
        <v>3848.98</v>
      </c>
      <c r="F1235" s="23"/>
      <c r="G1235" s="21">
        <f t="shared" si="2"/>
        <v>426319.34</v>
      </c>
      <c r="H1235" s="22">
        <v>-25.45</v>
      </c>
      <c r="I1235" s="21">
        <f t="shared" si="6"/>
        <v>173.83</v>
      </c>
      <c r="J1235" s="23"/>
      <c r="K1235" s="21">
        <f t="shared" si="4"/>
        <v>286875.11</v>
      </c>
      <c r="L1235" s="23"/>
      <c r="M1235" s="21">
        <f t="shared" si="7"/>
        <v>1894.93</v>
      </c>
    </row>
    <row r="1236" ht="20.25" customHeight="1" outlineLevel="1">
      <c r="A1236" s="12">
        <v>46035.0</v>
      </c>
      <c r="B1236" s="13" t="s">
        <v>14</v>
      </c>
      <c r="C1236" s="215" t="s">
        <v>34</v>
      </c>
      <c r="D1236" s="20"/>
      <c r="E1236" s="21">
        <f t="shared" si="1"/>
        <v>3848.98</v>
      </c>
      <c r="F1236" s="23"/>
      <c r="G1236" s="21">
        <f t="shared" si="2"/>
        <v>426319.34</v>
      </c>
      <c r="H1236" s="23"/>
      <c r="I1236" s="21">
        <f t="shared" si="6"/>
        <v>173.83</v>
      </c>
      <c r="J1236" s="22">
        <v>-24.02</v>
      </c>
      <c r="K1236" s="21">
        <f t="shared" si="4"/>
        <v>286851.09</v>
      </c>
      <c r="L1236" s="23"/>
      <c r="M1236" s="21">
        <f t="shared" si="7"/>
        <v>1894.93</v>
      </c>
    </row>
    <row r="1237" ht="20.25" customHeight="1" outlineLevel="1">
      <c r="A1237" s="12">
        <v>46035.0</v>
      </c>
      <c r="B1237" s="13" t="s">
        <v>16</v>
      </c>
      <c r="C1237" s="207" t="s">
        <v>1131</v>
      </c>
      <c r="D1237" s="20"/>
      <c r="E1237" s="21">
        <f t="shared" si="1"/>
        <v>3848.98</v>
      </c>
      <c r="F1237" s="23">
        <v>78.0</v>
      </c>
      <c r="G1237" s="21">
        <f t="shared" si="2"/>
        <v>426397.34</v>
      </c>
      <c r="H1237" s="23"/>
      <c r="I1237" s="21">
        <f t="shared" si="6"/>
        <v>173.83</v>
      </c>
      <c r="J1237" s="23"/>
      <c r="K1237" s="21">
        <f t="shared" si="4"/>
        <v>286851.09</v>
      </c>
      <c r="L1237" s="23"/>
      <c r="M1237" s="21">
        <f t="shared" si="7"/>
        <v>1894.93</v>
      </c>
    </row>
    <row r="1238" ht="20.25" customHeight="1" outlineLevel="1">
      <c r="A1238" s="12">
        <v>46035.0</v>
      </c>
      <c r="B1238" s="13" t="s">
        <v>16</v>
      </c>
      <c r="C1238" s="207" t="s">
        <v>1132</v>
      </c>
      <c r="D1238" s="20"/>
      <c r="E1238" s="21">
        <f t="shared" si="1"/>
        <v>3848.98</v>
      </c>
      <c r="F1238" s="23">
        <v>35.0</v>
      </c>
      <c r="G1238" s="21">
        <f t="shared" si="2"/>
        <v>426432.34</v>
      </c>
      <c r="H1238" s="23"/>
      <c r="I1238" s="21">
        <f t="shared" si="6"/>
        <v>173.83</v>
      </c>
      <c r="J1238" s="23"/>
      <c r="K1238" s="21">
        <f t="shared" si="4"/>
        <v>286851.09</v>
      </c>
      <c r="L1238" s="23"/>
      <c r="M1238" s="21">
        <f t="shared" si="7"/>
        <v>1894.93</v>
      </c>
    </row>
    <row r="1239" ht="20.25" customHeight="1" outlineLevel="1">
      <c r="A1239" s="12">
        <v>46035.0</v>
      </c>
      <c r="B1239" s="13" t="s">
        <v>16</v>
      </c>
      <c r="C1239" s="207" t="s">
        <v>1133</v>
      </c>
      <c r="D1239" s="20"/>
      <c r="E1239" s="21">
        <f t="shared" si="1"/>
        <v>3848.98</v>
      </c>
      <c r="F1239" s="23">
        <v>682.0</v>
      </c>
      <c r="G1239" s="21">
        <f t="shared" si="2"/>
        <v>427114.34</v>
      </c>
      <c r="H1239" s="23"/>
      <c r="I1239" s="21">
        <f t="shared" si="6"/>
        <v>173.83</v>
      </c>
      <c r="J1239" s="23"/>
      <c r="K1239" s="21">
        <f t="shared" si="4"/>
        <v>286851.09</v>
      </c>
      <c r="L1239" s="23"/>
      <c r="M1239" s="21">
        <f t="shared" si="7"/>
        <v>1894.93</v>
      </c>
    </row>
    <row r="1240" ht="20.25" customHeight="1" outlineLevel="1">
      <c r="A1240" s="12">
        <v>46035.0</v>
      </c>
      <c r="B1240" s="13" t="s">
        <v>16</v>
      </c>
      <c r="C1240" s="215" t="s">
        <v>1134</v>
      </c>
      <c r="D1240" s="20"/>
      <c r="E1240" s="21">
        <f t="shared" si="1"/>
        <v>3848.98</v>
      </c>
      <c r="F1240" s="23"/>
      <c r="G1240" s="21">
        <f t="shared" si="2"/>
        <v>427114.34</v>
      </c>
      <c r="H1240" s="23"/>
      <c r="I1240" s="21">
        <f t="shared" si="6"/>
        <v>173.83</v>
      </c>
      <c r="J1240" s="23">
        <v>1210.75</v>
      </c>
      <c r="K1240" s="21">
        <f t="shared" si="4"/>
        <v>288061.84</v>
      </c>
      <c r="L1240" s="23"/>
      <c r="M1240" s="21">
        <f t="shared" si="7"/>
        <v>1894.93</v>
      </c>
    </row>
    <row r="1241" ht="20.25" customHeight="1" outlineLevel="1">
      <c r="A1241" s="12">
        <v>46035.0</v>
      </c>
      <c r="B1241" s="13" t="s">
        <v>16</v>
      </c>
      <c r="C1241" s="28" t="s">
        <v>1135</v>
      </c>
      <c r="D1241" s="20">
        <v>245.0</v>
      </c>
      <c r="E1241" s="21">
        <f t="shared" si="1"/>
        <v>4093.98</v>
      </c>
      <c r="F1241" s="23"/>
      <c r="G1241" s="21">
        <f t="shared" si="2"/>
        <v>427114.34</v>
      </c>
      <c r="H1241" s="23"/>
      <c r="I1241" s="21">
        <f t="shared" si="6"/>
        <v>173.83</v>
      </c>
      <c r="J1241" s="23"/>
      <c r="K1241" s="21">
        <f t="shared" si="4"/>
        <v>288061.84</v>
      </c>
      <c r="L1241" s="23"/>
      <c r="M1241" s="21">
        <f t="shared" si="7"/>
        <v>1894.93</v>
      </c>
    </row>
    <row r="1242" ht="20.25" customHeight="1" outlineLevel="1">
      <c r="A1242" s="12">
        <v>46035.0</v>
      </c>
      <c r="B1242" s="13" t="s">
        <v>14</v>
      </c>
      <c r="C1242" s="28" t="s">
        <v>1136</v>
      </c>
      <c r="D1242" s="20"/>
      <c r="E1242" s="21">
        <f t="shared" si="1"/>
        <v>4093.98</v>
      </c>
      <c r="F1242" s="23"/>
      <c r="G1242" s="21">
        <f t="shared" si="2"/>
        <v>427114.34</v>
      </c>
      <c r="H1242" s="22">
        <v>-92.79</v>
      </c>
      <c r="I1242" s="21">
        <f t="shared" si="6"/>
        <v>81.04</v>
      </c>
      <c r="J1242" s="23"/>
      <c r="K1242" s="21">
        <f t="shared" si="4"/>
        <v>288061.84</v>
      </c>
      <c r="L1242" s="23"/>
      <c r="M1242" s="21">
        <f t="shared" si="7"/>
        <v>1894.93</v>
      </c>
    </row>
    <row r="1243" ht="20.25" customHeight="1" outlineLevel="1">
      <c r="A1243" s="12">
        <v>46036.0</v>
      </c>
      <c r="B1243" s="13" t="s">
        <v>12</v>
      </c>
      <c r="C1243" s="28" t="s">
        <v>1137</v>
      </c>
      <c r="D1243" s="20"/>
      <c r="E1243" s="21">
        <f t="shared" si="1"/>
        <v>4093.98</v>
      </c>
      <c r="F1243" s="22">
        <v>-1342.2</v>
      </c>
      <c r="G1243" s="21">
        <f t="shared" si="2"/>
        <v>425772.14</v>
      </c>
      <c r="H1243" s="23"/>
      <c r="I1243" s="21">
        <f t="shared" si="6"/>
        <v>81.04</v>
      </c>
      <c r="J1243" s="23"/>
      <c r="K1243" s="21">
        <f t="shared" si="4"/>
        <v>288061.84</v>
      </c>
      <c r="L1243" s="23"/>
      <c r="M1243" s="21">
        <f t="shared" si="7"/>
        <v>1894.93</v>
      </c>
    </row>
    <row r="1244" ht="20.25" customHeight="1" outlineLevel="1">
      <c r="A1244" s="12">
        <v>46036.0</v>
      </c>
      <c r="B1244" s="13" t="s">
        <v>16</v>
      </c>
      <c r="C1244" s="28" t="s">
        <v>1138</v>
      </c>
      <c r="D1244" s="20"/>
      <c r="E1244" s="21">
        <f t="shared" si="1"/>
        <v>4093.98</v>
      </c>
      <c r="F1244" s="23">
        <v>43.0</v>
      </c>
      <c r="G1244" s="21">
        <f t="shared" si="2"/>
        <v>425815.14</v>
      </c>
      <c r="H1244" s="23"/>
      <c r="I1244" s="21">
        <f t="shared" si="6"/>
        <v>81.04</v>
      </c>
      <c r="J1244" s="23"/>
      <c r="K1244" s="21">
        <f t="shared" si="4"/>
        <v>288061.84</v>
      </c>
      <c r="L1244" s="23"/>
      <c r="M1244" s="21">
        <f t="shared" si="7"/>
        <v>1894.93</v>
      </c>
    </row>
    <row r="1245" ht="20.25" customHeight="1" outlineLevel="1">
      <c r="A1245" s="12">
        <v>46036.0</v>
      </c>
      <c r="B1245" s="13" t="s">
        <v>16</v>
      </c>
      <c r="C1245" s="28" t="s">
        <v>1139</v>
      </c>
      <c r="D1245" s="20"/>
      <c r="E1245" s="21">
        <f t="shared" si="1"/>
        <v>4093.98</v>
      </c>
      <c r="F1245" s="23">
        <v>50.0</v>
      </c>
      <c r="G1245" s="21">
        <f t="shared" si="2"/>
        <v>425865.14</v>
      </c>
      <c r="H1245" s="23"/>
      <c r="I1245" s="21">
        <f t="shared" si="6"/>
        <v>81.04</v>
      </c>
      <c r="J1245" s="23"/>
      <c r="K1245" s="21">
        <f t="shared" si="4"/>
        <v>288061.84</v>
      </c>
      <c r="L1245" s="23"/>
      <c r="M1245" s="21">
        <f t="shared" si="7"/>
        <v>1894.93</v>
      </c>
    </row>
    <row r="1246" ht="20.25" customHeight="1" outlineLevel="1">
      <c r="A1246" s="12">
        <v>46036.0</v>
      </c>
      <c r="B1246" s="13" t="s">
        <v>16</v>
      </c>
      <c r="C1246" s="28" t="s">
        <v>1140</v>
      </c>
      <c r="D1246" s="20"/>
      <c r="E1246" s="21">
        <f t="shared" si="1"/>
        <v>4093.98</v>
      </c>
      <c r="F1246" s="23">
        <v>865.0</v>
      </c>
      <c r="G1246" s="21">
        <f t="shared" si="2"/>
        <v>426730.14</v>
      </c>
      <c r="H1246" s="23"/>
      <c r="I1246" s="21">
        <f t="shared" si="6"/>
        <v>81.04</v>
      </c>
      <c r="J1246" s="23"/>
      <c r="K1246" s="21">
        <f t="shared" si="4"/>
        <v>288061.84</v>
      </c>
      <c r="L1246" s="23"/>
      <c r="M1246" s="21">
        <f t="shared" si="7"/>
        <v>1894.93</v>
      </c>
    </row>
    <row r="1247" ht="20.25" customHeight="1" outlineLevel="1">
      <c r="A1247" s="12">
        <v>46036.0</v>
      </c>
      <c r="B1247" s="13" t="s">
        <v>16</v>
      </c>
      <c r="C1247" s="41" t="s">
        <v>1141</v>
      </c>
      <c r="D1247" s="20"/>
      <c r="E1247" s="21">
        <f t="shared" si="1"/>
        <v>4093.98</v>
      </c>
      <c r="F1247" s="23"/>
      <c r="G1247" s="21">
        <f t="shared" si="2"/>
        <v>426730.14</v>
      </c>
      <c r="H1247" s="23"/>
      <c r="I1247" s="21">
        <f t="shared" si="6"/>
        <v>81.04</v>
      </c>
      <c r="J1247" s="23">
        <v>100.0</v>
      </c>
      <c r="K1247" s="21">
        <f t="shared" si="4"/>
        <v>288161.84</v>
      </c>
      <c r="L1247" s="23"/>
      <c r="M1247" s="21">
        <f t="shared" si="7"/>
        <v>1894.93</v>
      </c>
    </row>
    <row r="1248" ht="20.25" customHeight="1" outlineLevel="1">
      <c r="A1248" s="12">
        <v>46036.0</v>
      </c>
      <c r="B1248" s="13" t="s">
        <v>16</v>
      </c>
      <c r="C1248" s="42" t="s">
        <v>1142</v>
      </c>
      <c r="D1248" s="20"/>
      <c r="E1248" s="21">
        <f t="shared" si="1"/>
        <v>4093.98</v>
      </c>
      <c r="F1248" s="23"/>
      <c r="G1248" s="21">
        <f t="shared" si="2"/>
        <v>426730.14</v>
      </c>
      <c r="H1248" s="23"/>
      <c r="I1248" s="21">
        <f t="shared" si="6"/>
        <v>81.04</v>
      </c>
      <c r="J1248" s="23">
        <v>707.3</v>
      </c>
      <c r="K1248" s="21">
        <f t="shared" si="4"/>
        <v>288869.14</v>
      </c>
      <c r="L1248" s="23"/>
      <c r="M1248" s="21">
        <f t="shared" si="7"/>
        <v>1894.93</v>
      </c>
    </row>
    <row r="1249" ht="20.25" customHeight="1" outlineLevel="1">
      <c r="A1249" s="12">
        <v>46036.0</v>
      </c>
      <c r="B1249" s="13" t="s">
        <v>16</v>
      </c>
      <c r="C1249" s="42" t="s">
        <v>1143</v>
      </c>
      <c r="D1249" s="20"/>
      <c r="E1249" s="21">
        <f t="shared" si="1"/>
        <v>4093.98</v>
      </c>
      <c r="F1249" s="23"/>
      <c r="G1249" s="21">
        <f t="shared" si="2"/>
        <v>426730.14</v>
      </c>
      <c r="H1249" s="23"/>
      <c r="I1249" s="21">
        <f t="shared" si="6"/>
        <v>81.04</v>
      </c>
      <c r="J1249" s="23">
        <v>1131.0</v>
      </c>
      <c r="K1249" s="21">
        <f t="shared" si="4"/>
        <v>290000.14</v>
      </c>
      <c r="L1249" s="23"/>
      <c r="M1249" s="21">
        <f t="shared" si="7"/>
        <v>1894.93</v>
      </c>
    </row>
    <row r="1250" ht="20.25" customHeight="1" outlineLevel="1">
      <c r="A1250" s="12">
        <v>46036.0</v>
      </c>
      <c r="B1250" s="13" t="s">
        <v>16</v>
      </c>
      <c r="C1250" s="28" t="s">
        <v>1144</v>
      </c>
      <c r="D1250" s="20">
        <v>318.0</v>
      </c>
      <c r="E1250" s="21">
        <f t="shared" si="1"/>
        <v>4411.98</v>
      </c>
      <c r="F1250" s="23"/>
      <c r="G1250" s="21">
        <f t="shared" si="2"/>
        <v>426730.14</v>
      </c>
      <c r="H1250" s="23"/>
      <c r="I1250" s="21">
        <f t="shared" si="6"/>
        <v>81.04</v>
      </c>
      <c r="J1250" s="23"/>
      <c r="K1250" s="21">
        <f t="shared" si="4"/>
        <v>290000.14</v>
      </c>
      <c r="L1250" s="23"/>
      <c r="M1250" s="21">
        <f t="shared" si="7"/>
        <v>1894.93</v>
      </c>
    </row>
    <row r="1251" ht="20.25" customHeight="1" outlineLevel="1">
      <c r="A1251" s="12">
        <v>46036.0</v>
      </c>
      <c r="B1251" s="13" t="s">
        <v>14</v>
      </c>
      <c r="C1251" s="28" t="s">
        <v>1145</v>
      </c>
      <c r="D1251" s="20"/>
      <c r="E1251" s="21">
        <f t="shared" si="1"/>
        <v>4411.98</v>
      </c>
      <c r="F1251" s="23"/>
      <c r="G1251" s="21">
        <f t="shared" si="2"/>
        <v>426730.14</v>
      </c>
      <c r="H1251" s="22">
        <v>-26.8</v>
      </c>
      <c r="I1251" s="21">
        <f t="shared" si="6"/>
        <v>54.24</v>
      </c>
      <c r="J1251" s="23"/>
      <c r="K1251" s="21">
        <f t="shared" si="4"/>
        <v>290000.14</v>
      </c>
      <c r="L1251" s="23"/>
      <c r="M1251" s="21">
        <f t="shared" si="7"/>
        <v>1894.93</v>
      </c>
    </row>
    <row r="1252" ht="20.25" customHeight="1" outlineLevel="1">
      <c r="A1252" s="12">
        <v>46037.0</v>
      </c>
      <c r="B1252" s="13" t="s">
        <v>16</v>
      </c>
      <c r="C1252" s="28" t="s">
        <v>1146</v>
      </c>
      <c r="D1252" s="20"/>
      <c r="E1252" s="21">
        <f t="shared" si="1"/>
        <v>4411.98</v>
      </c>
      <c r="F1252" s="23">
        <v>2234.5</v>
      </c>
      <c r="G1252" s="21">
        <f t="shared" si="2"/>
        <v>428964.64</v>
      </c>
      <c r="H1252" s="23"/>
      <c r="I1252" s="21">
        <f t="shared" si="6"/>
        <v>54.24</v>
      </c>
      <c r="J1252" s="23"/>
      <c r="K1252" s="21">
        <f t="shared" si="4"/>
        <v>290000.14</v>
      </c>
      <c r="L1252" s="23"/>
      <c r="M1252" s="21">
        <f t="shared" si="7"/>
        <v>1894.93</v>
      </c>
    </row>
    <row r="1253" ht="20.25" customHeight="1" outlineLevel="1">
      <c r="A1253" s="12">
        <v>46037.0</v>
      </c>
      <c r="B1253" s="13" t="s">
        <v>16</v>
      </c>
      <c r="C1253" s="28" t="s">
        <v>1147</v>
      </c>
      <c r="D1253" s="20"/>
      <c r="E1253" s="21">
        <f t="shared" si="1"/>
        <v>4411.98</v>
      </c>
      <c r="F1253" s="23">
        <v>45.0</v>
      </c>
      <c r="G1253" s="21">
        <f t="shared" si="2"/>
        <v>429009.64</v>
      </c>
      <c r="H1253" s="23"/>
      <c r="I1253" s="21">
        <f t="shared" si="6"/>
        <v>54.24</v>
      </c>
      <c r="J1253" s="23"/>
      <c r="K1253" s="21">
        <f t="shared" si="4"/>
        <v>290000.14</v>
      </c>
      <c r="L1253" s="23"/>
      <c r="M1253" s="21">
        <f t="shared" si="7"/>
        <v>1894.93</v>
      </c>
    </row>
    <row r="1254" ht="20.25" customHeight="1" outlineLevel="1">
      <c r="A1254" s="12">
        <v>46037.0</v>
      </c>
      <c r="B1254" s="13" t="s">
        <v>16</v>
      </c>
      <c r="C1254" s="28" t="s">
        <v>1148</v>
      </c>
      <c r="D1254" s="20"/>
      <c r="E1254" s="21">
        <f t="shared" si="1"/>
        <v>4411.98</v>
      </c>
      <c r="F1254" s="23">
        <v>309.0</v>
      </c>
      <c r="G1254" s="21">
        <f t="shared" si="2"/>
        <v>429318.64</v>
      </c>
      <c r="H1254" s="23"/>
      <c r="I1254" s="21">
        <f t="shared" si="6"/>
        <v>54.24</v>
      </c>
      <c r="J1254" s="23"/>
      <c r="K1254" s="21">
        <f t="shared" si="4"/>
        <v>290000.14</v>
      </c>
      <c r="L1254" s="23"/>
      <c r="M1254" s="21">
        <f t="shared" si="7"/>
        <v>1894.93</v>
      </c>
    </row>
    <row r="1255" ht="20.25" customHeight="1" outlineLevel="1">
      <c r="A1255" s="12">
        <v>46037.0</v>
      </c>
      <c r="B1255" s="13" t="s">
        <v>16</v>
      </c>
      <c r="C1255" s="28" t="s">
        <v>1149</v>
      </c>
      <c r="D1255" s="20"/>
      <c r="E1255" s="21">
        <f t="shared" si="1"/>
        <v>4411.98</v>
      </c>
      <c r="F1255" s="23">
        <v>605.9</v>
      </c>
      <c r="G1255" s="21">
        <f t="shared" si="2"/>
        <v>429924.54</v>
      </c>
      <c r="H1255" s="23"/>
      <c r="I1255" s="21">
        <f t="shared" si="6"/>
        <v>54.24</v>
      </c>
      <c r="J1255" s="23"/>
      <c r="K1255" s="21">
        <f t="shared" si="4"/>
        <v>290000.14</v>
      </c>
      <c r="L1255" s="23"/>
      <c r="M1255" s="21">
        <f t="shared" si="7"/>
        <v>1894.93</v>
      </c>
    </row>
    <row r="1256" ht="20.25" customHeight="1" outlineLevel="1">
      <c r="A1256" s="12">
        <v>46037.0</v>
      </c>
      <c r="B1256" s="13" t="s">
        <v>16</v>
      </c>
      <c r="C1256" s="28" t="s">
        <v>1150</v>
      </c>
      <c r="D1256" s="20"/>
      <c r="E1256" s="21">
        <f t="shared" si="1"/>
        <v>4411.98</v>
      </c>
      <c r="F1256" s="23">
        <v>384.0</v>
      </c>
      <c r="G1256" s="21">
        <f t="shared" si="2"/>
        <v>430308.54</v>
      </c>
      <c r="H1256" s="23"/>
      <c r="I1256" s="21">
        <f t="shared" si="6"/>
        <v>54.24</v>
      </c>
      <c r="J1256" s="23"/>
      <c r="K1256" s="21">
        <f t="shared" si="4"/>
        <v>290000.14</v>
      </c>
      <c r="L1256" s="23"/>
      <c r="M1256" s="21">
        <f t="shared" si="7"/>
        <v>1894.93</v>
      </c>
    </row>
    <row r="1257" ht="20.25" customHeight="1" outlineLevel="1">
      <c r="A1257" s="12">
        <v>46037.0</v>
      </c>
      <c r="B1257" s="13" t="s">
        <v>16</v>
      </c>
      <c r="C1257" s="41" t="s">
        <v>1151</v>
      </c>
      <c r="D1257" s="20"/>
      <c r="E1257" s="21">
        <f t="shared" si="1"/>
        <v>4411.98</v>
      </c>
      <c r="F1257" s="23"/>
      <c r="G1257" s="21">
        <f t="shared" si="2"/>
        <v>430308.54</v>
      </c>
      <c r="H1257" s="23"/>
      <c r="I1257" s="21">
        <f t="shared" si="6"/>
        <v>54.24</v>
      </c>
      <c r="J1257" s="23">
        <v>117.0</v>
      </c>
      <c r="K1257" s="21">
        <f t="shared" si="4"/>
        <v>290117.14</v>
      </c>
      <c r="L1257" s="23"/>
      <c r="M1257" s="21">
        <f t="shared" si="7"/>
        <v>1894.93</v>
      </c>
    </row>
    <row r="1258" ht="20.25" customHeight="1" outlineLevel="1">
      <c r="A1258" s="12">
        <v>46037.0</v>
      </c>
      <c r="B1258" s="13" t="s">
        <v>16</v>
      </c>
      <c r="C1258" s="41" t="s">
        <v>1152</v>
      </c>
      <c r="D1258" s="20"/>
      <c r="E1258" s="21">
        <f t="shared" si="1"/>
        <v>4411.98</v>
      </c>
      <c r="F1258" s="23"/>
      <c r="G1258" s="21">
        <f t="shared" si="2"/>
        <v>430308.54</v>
      </c>
      <c r="H1258" s="23"/>
      <c r="I1258" s="21">
        <f t="shared" si="6"/>
        <v>54.24</v>
      </c>
      <c r="J1258" s="23">
        <v>117.0</v>
      </c>
      <c r="K1258" s="21">
        <f t="shared" si="4"/>
        <v>290234.14</v>
      </c>
      <c r="L1258" s="23"/>
      <c r="M1258" s="21">
        <f t="shared" si="7"/>
        <v>1894.93</v>
      </c>
    </row>
    <row r="1259" ht="20.25" customHeight="1" outlineLevel="1">
      <c r="A1259" s="12">
        <v>46037.0</v>
      </c>
      <c r="B1259" s="13" t="s">
        <v>16</v>
      </c>
      <c r="C1259" s="42" t="s">
        <v>1153</v>
      </c>
      <c r="D1259" s="20"/>
      <c r="E1259" s="21">
        <f t="shared" si="1"/>
        <v>4411.98</v>
      </c>
      <c r="F1259" s="23"/>
      <c r="G1259" s="21">
        <f t="shared" si="2"/>
        <v>430308.54</v>
      </c>
      <c r="H1259" s="23"/>
      <c r="I1259" s="21">
        <f t="shared" si="6"/>
        <v>54.24</v>
      </c>
      <c r="J1259" s="23">
        <v>426.0</v>
      </c>
      <c r="K1259" s="21">
        <f t="shared" si="4"/>
        <v>290660.14</v>
      </c>
      <c r="L1259" s="23"/>
      <c r="M1259" s="21">
        <f t="shared" si="7"/>
        <v>1894.93</v>
      </c>
    </row>
    <row r="1260" ht="20.25" customHeight="1" outlineLevel="1">
      <c r="A1260" s="12">
        <v>46037.0</v>
      </c>
      <c r="B1260" s="13" t="s">
        <v>16</v>
      </c>
      <c r="C1260" s="42" t="s">
        <v>1154</v>
      </c>
      <c r="D1260" s="20"/>
      <c r="E1260" s="21">
        <f t="shared" si="1"/>
        <v>4411.98</v>
      </c>
      <c r="F1260" s="23"/>
      <c r="G1260" s="21">
        <f t="shared" si="2"/>
        <v>430308.54</v>
      </c>
      <c r="H1260" s="23"/>
      <c r="I1260" s="21">
        <f t="shared" si="6"/>
        <v>54.24</v>
      </c>
      <c r="J1260" s="23">
        <v>511.5</v>
      </c>
      <c r="K1260" s="21">
        <f t="shared" si="4"/>
        <v>291171.64</v>
      </c>
      <c r="L1260" s="23"/>
      <c r="M1260" s="21">
        <f t="shared" si="7"/>
        <v>1894.93</v>
      </c>
    </row>
    <row r="1261" ht="20.25" customHeight="1" outlineLevel="1">
      <c r="A1261" s="12">
        <v>46037.0</v>
      </c>
      <c r="B1261" s="13" t="s">
        <v>16</v>
      </c>
      <c r="C1261" s="41" t="s">
        <v>1155</v>
      </c>
      <c r="D1261" s="20"/>
      <c r="E1261" s="21">
        <f t="shared" si="1"/>
        <v>4411.98</v>
      </c>
      <c r="F1261" s="23"/>
      <c r="G1261" s="21">
        <f t="shared" si="2"/>
        <v>430308.54</v>
      </c>
      <c r="H1261" s="23"/>
      <c r="I1261" s="21">
        <f t="shared" si="6"/>
        <v>54.24</v>
      </c>
      <c r="J1261" s="23">
        <v>117.0</v>
      </c>
      <c r="K1261" s="21">
        <f t="shared" si="4"/>
        <v>291288.64</v>
      </c>
      <c r="L1261" s="23"/>
      <c r="M1261" s="21">
        <f t="shared" si="7"/>
        <v>1894.93</v>
      </c>
    </row>
    <row r="1262" ht="20.25" customHeight="1" outlineLevel="1">
      <c r="A1262" s="12">
        <v>46037.0</v>
      </c>
      <c r="B1262" s="13" t="s">
        <v>16</v>
      </c>
      <c r="C1262" s="41" t="s">
        <v>1156</v>
      </c>
      <c r="D1262" s="20"/>
      <c r="E1262" s="21">
        <f t="shared" si="1"/>
        <v>4411.98</v>
      </c>
      <c r="F1262" s="23"/>
      <c r="G1262" s="21">
        <f t="shared" si="2"/>
        <v>430308.54</v>
      </c>
      <c r="H1262" s="23"/>
      <c r="I1262" s="21">
        <f t="shared" si="6"/>
        <v>54.24</v>
      </c>
      <c r="J1262" s="23">
        <v>234.0</v>
      </c>
      <c r="K1262" s="21">
        <f t="shared" si="4"/>
        <v>291522.64</v>
      </c>
      <c r="L1262" s="23"/>
      <c r="M1262" s="21">
        <f t="shared" si="7"/>
        <v>1894.93</v>
      </c>
    </row>
    <row r="1263" ht="20.25" customHeight="1" outlineLevel="1">
      <c r="A1263" s="12">
        <v>46037.0</v>
      </c>
      <c r="B1263" s="13" t="s">
        <v>14</v>
      </c>
      <c r="C1263" s="42" t="s">
        <v>1157</v>
      </c>
      <c r="D1263" s="20"/>
      <c r="E1263" s="21">
        <f t="shared" si="1"/>
        <v>4411.98</v>
      </c>
      <c r="F1263" s="23"/>
      <c r="G1263" s="21">
        <f t="shared" si="2"/>
        <v>430308.54</v>
      </c>
      <c r="H1263" s="23"/>
      <c r="I1263" s="21">
        <f t="shared" si="6"/>
        <v>54.24</v>
      </c>
      <c r="J1263" s="22">
        <v>-43.92</v>
      </c>
      <c r="K1263" s="21">
        <f t="shared" si="4"/>
        <v>291478.72</v>
      </c>
      <c r="L1263" s="23"/>
      <c r="M1263" s="21">
        <f t="shared" si="7"/>
        <v>1894.93</v>
      </c>
    </row>
    <row r="1264" ht="20.25" customHeight="1" outlineLevel="1">
      <c r="A1264" s="12">
        <v>46037.0</v>
      </c>
      <c r="B1264" s="13" t="s">
        <v>16</v>
      </c>
      <c r="C1264" s="28" t="s">
        <v>1158</v>
      </c>
      <c r="D1264" s="20">
        <v>202.5</v>
      </c>
      <c r="E1264" s="21">
        <f t="shared" si="1"/>
        <v>4614.48</v>
      </c>
      <c r="F1264" s="23"/>
      <c r="G1264" s="21"/>
      <c r="H1264" s="23"/>
      <c r="I1264" s="21"/>
      <c r="J1264" s="23"/>
      <c r="K1264" s="21"/>
      <c r="L1264" s="23"/>
      <c r="M1264" s="21"/>
    </row>
    <row r="1265" ht="20.25" customHeight="1" outlineLevel="1">
      <c r="A1265" s="12">
        <v>46038.0</v>
      </c>
      <c r="B1265" s="13" t="s">
        <v>16</v>
      </c>
      <c r="C1265" s="28" t="s">
        <v>1159</v>
      </c>
      <c r="D1265" s="20"/>
      <c r="E1265" s="21">
        <f t="shared" si="1"/>
        <v>4614.48</v>
      </c>
      <c r="F1265" s="23">
        <v>258.0</v>
      </c>
      <c r="G1265" s="21">
        <f>F1265+G1263</f>
        <v>430566.54</v>
      </c>
      <c r="H1265" s="23"/>
      <c r="I1265" s="21">
        <f>H1265+I1263</f>
        <v>54.24</v>
      </c>
      <c r="J1265" s="23"/>
      <c r="K1265" s="21">
        <f>J1265+K1263</f>
        <v>291478.72</v>
      </c>
      <c r="L1265" s="23"/>
      <c r="M1265" s="21">
        <f>L1265+M1263</f>
        <v>1894.93</v>
      </c>
    </row>
    <row r="1266" ht="20.25" customHeight="1" outlineLevel="1">
      <c r="A1266" s="12">
        <v>46038.0</v>
      </c>
      <c r="B1266" s="13" t="s">
        <v>16</v>
      </c>
      <c r="C1266" s="28" t="s">
        <v>1160</v>
      </c>
      <c r="D1266" s="20"/>
      <c r="E1266" s="21">
        <f t="shared" si="1"/>
        <v>4614.48</v>
      </c>
      <c r="F1266" s="23">
        <v>1706.0</v>
      </c>
      <c r="G1266" s="21">
        <f t="shared" ref="G1266:G3311" si="8">F1266+G1265</f>
        <v>432272.54</v>
      </c>
      <c r="H1266" s="23"/>
      <c r="I1266" s="21">
        <f t="shared" ref="I1266:I1532" si="9">H1266+I1265</f>
        <v>54.24</v>
      </c>
      <c r="J1266" s="23"/>
      <c r="K1266" s="21">
        <f t="shared" ref="K1266:K1532" si="10">J1266+K1265</f>
        <v>291478.72</v>
      </c>
      <c r="L1266" s="23"/>
      <c r="M1266" s="21">
        <f t="shared" ref="M1266:M1532" si="11">L1266+M1265</f>
        <v>1894.93</v>
      </c>
    </row>
    <row r="1267" ht="20.25" customHeight="1" outlineLevel="1">
      <c r="A1267" s="12">
        <v>46038.0</v>
      </c>
      <c r="B1267" s="13" t="s">
        <v>16</v>
      </c>
      <c r="C1267" s="207" t="s">
        <v>1161</v>
      </c>
      <c r="D1267" s="20"/>
      <c r="E1267" s="21">
        <f t="shared" si="1"/>
        <v>4614.48</v>
      </c>
      <c r="F1267" s="23">
        <v>284.0</v>
      </c>
      <c r="G1267" s="21">
        <f t="shared" si="8"/>
        <v>432556.54</v>
      </c>
      <c r="H1267" s="23"/>
      <c r="I1267" s="21">
        <f t="shared" si="9"/>
        <v>54.24</v>
      </c>
      <c r="J1267" s="23"/>
      <c r="K1267" s="21">
        <f t="shared" si="10"/>
        <v>291478.72</v>
      </c>
      <c r="L1267" s="23"/>
      <c r="M1267" s="21">
        <f t="shared" si="11"/>
        <v>1894.93</v>
      </c>
    </row>
    <row r="1268" ht="20.25" customHeight="1" outlineLevel="1">
      <c r="A1268" s="12">
        <v>46038.0</v>
      </c>
      <c r="B1268" s="13" t="s">
        <v>63</v>
      </c>
      <c r="C1268" s="212" t="s">
        <v>1162</v>
      </c>
      <c r="D1268" s="20"/>
      <c r="E1268" s="21">
        <f t="shared" si="1"/>
        <v>4614.48</v>
      </c>
      <c r="F1268" s="51">
        <v>122.0</v>
      </c>
      <c r="G1268" s="21">
        <f t="shared" si="8"/>
        <v>432678.54</v>
      </c>
      <c r="H1268" s="23"/>
      <c r="I1268" s="21">
        <f t="shared" si="9"/>
        <v>54.24</v>
      </c>
      <c r="J1268" s="23"/>
      <c r="K1268" s="21">
        <f t="shared" si="10"/>
        <v>291478.72</v>
      </c>
      <c r="L1268" s="23"/>
      <c r="M1268" s="21">
        <f t="shared" si="11"/>
        <v>1894.93</v>
      </c>
    </row>
    <row r="1269" ht="20.25" customHeight="1" outlineLevel="1">
      <c r="A1269" s="12">
        <v>46038.0</v>
      </c>
      <c r="B1269" s="13" t="s">
        <v>63</v>
      </c>
      <c r="C1269" s="212" t="s">
        <v>1163</v>
      </c>
      <c r="D1269" s="20"/>
      <c r="E1269" s="21">
        <f t="shared" si="1"/>
        <v>4614.48</v>
      </c>
      <c r="F1269" s="51">
        <v>472.12</v>
      </c>
      <c r="G1269" s="21">
        <f t="shared" si="8"/>
        <v>433150.66</v>
      </c>
      <c r="H1269" s="23"/>
      <c r="I1269" s="21">
        <f t="shared" si="9"/>
        <v>54.24</v>
      </c>
      <c r="J1269" s="23"/>
      <c r="K1269" s="21">
        <f t="shared" si="10"/>
        <v>291478.72</v>
      </c>
      <c r="L1269" s="23"/>
      <c r="M1269" s="21">
        <f t="shared" si="11"/>
        <v>1894.93</v>
      </c>
    </row>
    <row r="1270" ht="20.25" customHeight="1" outlineLevel="1">
      <c r="A1270" s="12">
        <v>46038.0</v>
      </c>
      <c r="B1270" s="13" t="s">
        <v>174</v>
      </c>
      <c r="C1270" s="215" t="s">
        <v>1164</v>
      </c>
      <c r="D1270" s="20"/>
      <c r="E1270" s="21">
        <f t="shared" si="1"/>
        <v>4614.48</v>
      </c>
      <c r="F1270" s="23"/>
      <c r="G1270" s="21">
        <f t="shared" si="8"/>
        <v>433150.66</v>
      </c>
      <c r="H1270" s="23"/>
      <c r="I1270" s="21">
        <f t="shared" si="9"/>
        <v>54.24</v>
      </c>
      <c r="J1270" s="22">
        <v>-16905.71</v>
      </c>
      <c r="K1270" s="21">
        <f t="shared" si="10"/>
        <v>274573.01</v>
      </c>
      <c r="L1270" s="23"/>
      <c r="M1270" s="21">
        <f t="shared" si="11"/>
        <v>1894.93</v>
      </c>
    </row>
    <row r="1271" ht="20.25" customHeight="1" outlineLevel="1">
      <c r="A1271" s="12">
        <v>46038.0</v>
      </c>
      <c r="B1271" s="13" t="s">
        <v>174</v>
      </c>
      <c r="C1271" s="215" t="s">
        <v>1165</v>
      </c>
      <c r="D1271" s="20"/>
      <c r="E1271" s="21">
        <f t="shared" si="1"/>
        <v>4614.48</v>
      </c>
      <c r="F1271" s="23"/>
      <c r="G1271" s="21">
        <f t="shared" si="8"/>
        <v>433150.66</v>
      </c>
      <c r="H1271" s="23"/>
      <c r="I1271" s="21">
        <f t="shared" si="9"/>
        <v>54.24</v>
      </c>
      <c r="J1271" s="22">
        <v>-900.0</v>
      </c>
      <c r="K1271" s="21">
        <f t="shared" si="10"/>
        <v>273673.01</v>
      </c>
      <c r="L1271" s="23"/>
      <c r="M1271" s="21">
        <f t="shared" si="11"/>
        <v>1894.93</v>
      </c>
    </row>
    <row r="1272" ht="20.25" customHeight="1" outlineLevel="1">
      <c r="A1272" s="12">
        <v>46038.0</v>
      </c>
      <c r="B1272" s="13" t="s">
        <v>16</v>
      </c>
      <c r="C1272" s="216" t="s">
        <v>1166</v>
      </c>
      <c r="D1272" s="20"/>
      <c r="E1272" s="21">
        <f t="shared" si="1"/>
        <v>4614.48</v>
      </c>
      <c r="F1272" s="23"/>
      <c r="G1272" s="21">
        <f t="shared" si="8"/>
        <v>433150.66</v>
      </c>
      <c r="H1272" s="23"/>
      <c r="I1272" s="21">
        <f t="shared" si="9"/>
        <v>54.24</v>
      </c>
      <c r="J1272" s="23">
        <v>117.0</v>
      </c>
      <c r="K1272" s="21">
        <f t="shared" si="10"/>
        <v>273790.01</v>
      </c>
      <c r="L1272" s="23"/>
      <c r="M1272" s="21">
        <f t="shared" si="11"/>
        <v>1894.93</v>
      </c>
    </row>
    <row r="1273" ht="20.25" customHeight="1" outlineLevel="1">
      <c r="A1273" s="12">
        <v>46038.0</v>
      </c>
      <c r="B1273" s="13" t="s">
        <v>12</v>
      </c>
      <c r="C1273" s="207" t="s">
        <v>1167</v>
      </c>
      <c r="D1273" s="20"/>
      <c r="E1273" s="21">
        <f t="shared" si="1"/>
        <v>4614.48</v>
      </c>
      <c r="F1273" s="22">
        <v>-7145.54</v>
      </c>
      <c r="G1273" s="21">
        <f t="shared" si="8"/>
        <v>426005.12</v>
      </c>
      <c r="H1273" s="23"/>
      <c r="I1273" s="21">
        <f t="shared" si="9"/>
        <v>54.24</v>
      </c>
      <c r="J1273" s="23"/>
      <c r="K1273" s="21">
        <f t="shared" si="10"/>
        <v>273790.01</v>
      </c>
      <c r="L1273" s="23"/>
      <c r="M1273" s="21">
        <f t="shared" si="11"/>
        <v>1894.93</v>
      </c>
    </row>
    <row r="1274" ht="20.25" customHeight="1" outlineLevel="1">
      <c r="A1274" s="12">
        <v>46038.0</v>
      </c>
      <c r="B1274" s="13" t="s">
        <v>16</v>
      </c>
      <c r="C1274" s="42" t="s">
        <v>1168</v>
      </c>
      <c r="D1274" s="20"/>
      <c r="E1274" s="21">
        <f t="shared" si="1"/>
        <v>4614.48</v>
      </c>
      <c r="F1274" s="23"/>
      <c r="G1274" s="21">
        <f t="shared" si="8"/>
        <v>426005.12</v>
      </c>
      <c r="H1274" s="23"/>
      <c r="I1274" s="21">
        <f t="shared" si="9"/>
        <v>54.24</v>
      </c>
      <c r="J1274" s="23">
        <v>159.0</v>
      </c>
      <c r="K1274" s="21">
        <f t="shared" si="10"/>
        <v>273949.01</v>
      </c>
      <c r="L1274" s="23"/>
      <c r="M1274" s="21">
        <f t="shared" si="11"/>
        <v>1894.93</v>
      </c>
    </row>
    <row r="1275" ht="20.25" customHeight="1" outlineLevel="1">
      <c r="A1275" s="12">
        <v>46038.0</v>
      </c>
      <c r="B1275" s="13" t="s">
        <v>16</v>
      </c>
      <c r="C1275" s="42" t="s">
        <v>1169</v>
      </c>
      <c r="D1275" s="20"/>
      <c r="E1275" s="21">
        <f t="shared" si="1"/>
        <v>4614.48</v>
      </c>
      <c r="F1275" s="23"/>
      <c r="G1275" s="21">
        <f t="shared" si="8"/>
        <v>426005.12</v>
      </c>
      <c r="H1275" s="23"/>
      <c r="I1275" s="21">
        <f t="shared" si="9"/>
        <v>54.24</v>
      </c>
      <c r="J1275" s="23">
        <v>259.0</v>
      </c>
      <c r="K1275" s="21">
        <f t="shared" si="10"/>
        <v>274208.01</v>
      </c>
      <c r="L1275" s="23"/>
      <c r="M1275" s="21">
        <f t="shared" si="11"/>
        <v>1894.93</v>
      </c>
    </row>
    <row r="1276" ht="20.25" customHeight="1" outlineLevel="1">
      <c r="A1276" s="12">
        <v>46038.0</v>
      </c>
      <c r="B1276" s="13" t="s">
        <v>16</v>
      </c>
      <c r="C1276" s="28" t="s">
        <v>1170</v>
      </c>
      <c r="D1276" s="20">
        <v>118.0</v>
      </c>
      <c r="E1276" s="21">
        <f t="shared" si="1"/>
        <v>4732.48</v>
      </c>
      <c r="F1276" s="23"/>
      <c r="G1276" s="21">
        <f t="shared" si="8"/>
        <v>426005.12</v>
      </c>
      <c r="H1276" s="23"/>
      <c r="I1276" s="21">
        <f t="shared" si="9"/>
        <v>54.24</v>
      </c>
      <c r="J1276" s="23"/>
      <c r="K1276" s="21">
        <f t="shared" si="10"/>
        <v>274208.01</v>
      </c>
      <c r="L1276" s="23"/>
      <c r="M1276" s="21">
        <f t="shared" si="11"/>
        <v>1894.93</v>
      </c>
    </row>
    <row r="1277" ht="20.25" customHeight="1" outlineLevel="1">
      <c r="A1277" s="12">
        <v>46038.0</v>
      </c>
      <c r="B1277" s="13" t="s">
        <v>14</v>
      </c>
      <c r="C1277" s="28" t="s">
        <v>1171</v>
      </c>
      <c r="D1277" s="73">
        <v>-3.6</v>
      </c>
      <c r="E1277" s="21">
        <f t="shared" si="1"/>
        <v>4728.88</v>
      </c>
      <c r="F1277" s="23"/>
      <c r="G1277" s="21">
        <f t="shared" si="8"/>
        <v>426005.12</v>
      </c>
      <c r="H1277" s="23"/>
      <c r="I1277" s="21">
        <f t="shared" si="9"/>
        <v>54.24</v>
      </c>
      <c r="J1277" s="23"/>
      <c r="K1277" s="21">
        <f t="shared" si="10"/>
        <v>274208.01</v>
      </c>
      <c r="L1277" s="23"/>
      <c r="M1277" s="21">
        <f t="shared" si="11"/>
        <v>1894.93</v>
      </c>
    </row>
    <row r="1278" ht="20.25" customHeight="1" outlineLevel="1">
      <c r="A1278" s="12">
        <v>46039.0</v>
      </c>
      <c r="B1278" s="13" t="s">
        <v>428</v>
      </c>
      <c r="C1278" s="28" t="s">
        <v>1172</v>
      </c>
      <c r="D1278" s="20"/>
      <c r="E1278" s="21">
        <f t="shared" si="1"/>
        <v>4728.88</v>
      </c>
      <c r="F1278" s="23">
        <v>2.66</v>
      </c>
      <c r="G1278" s="21">
        <f t="shared" si="8"/>
        <v>426007.78</v>
      </c>
      <c r="H1278" s="23"/>
      <c r="I1278" s="21">
        <f t="shared" si="9"/>
        <v>54.24</v>
      </c>
      <c r="J1278" s="23"/>
      <c r="K1278" s="21">
        <f t="shared" si="10"/>
        <v>274208.01</v>
      </c>
      <c r="L1278" s="23"/>
      <c r="M1278" s="21">
        <f t="shared" si="11"/>
        <v>1894.93</v>
      </c>
    </row>
    <row r="1279" ht="20.25" customHeight="1" outlineLevel="1">
      <c r="A1279" s="12">
        <v>46039.0</v>
      </c>
      <c r="B1279" s="13" t="s">
        <v>428</v>
      </c>
      <c r="C1279" s="28" t="s">
        <v>1173</v>
      </c>
      <c r="D1279" s="20"/>
      <c r="E1279" s="21">
        <f t="shared" si="1"/>
        <v>4728.88</v>
      </c>
      <c r="F1279" s="23">
        <v>2.22</v>
      </c>
      <c r="G1279" s="21">
        <f t="shared" si="8"/>
        <v>426010</v>
      </c>
      <c r="H1279" s="23"/>
      <c r="I1279" s="21">
        <f t="shared" si="9"/>
        <v>54.24</v>
      </c>
      <c r="J1279" s="23"/>
      <c r="K1279" s="21">
        <f t="shared" si="10"/>
        <v>274208.01</v>
      </c>
      <c r="L1279" s="23"/>
      <c r="M1279" s="21">
        <f t="shared" si="11"/>
        <v>1894.93</v>
      </c>
    </row>
    <row r="1280" ht="20.25" customHeight="1" outlineLevel="1">
      <c r="A1280" s="12">
        <v>46039.0</v>
      </c>
      <c r="B1280" s="13" t="s">
        <v>428</v>
      </c>
      <c r="C1280" s="28" t="s">
        <v>1174</v>
      </c>
      <c r="D1280" s="20"/>
      <c r="E1280" s="21">
        <f t="shared" si="1"/>
        <v>4728.88</v>
      </c>
      <c r="F1280" s="23">
        <v>2.16</v>
      </c>
      <c r="G1280" s="21">
        <f t="shared" si="8"/>
        <v>426012.16</v>
      </c>
      <c r="H1280" s="23"/>
      <c r="I1280" s="21">
        <f t="shared" si="9"/>
        <v>54.24</v>
      </c>
      <c r="J1280" s="23"/>
      <c r="K1280" s="21">
        <f t="shared" si="10"/>
        <v>274208.01</v>
      </c>
      <c r="L1280" s="23"/>
      <c r="M1280" s="21">
        <f t="shared" si="11"/>
        <v>1894.93</v>
      </c>
    </row>
    <row r="1281" ht="20.25" customHeight="1" outlineLevel="1">
      <c r="A1281" s="12">
        <v>46039.0</v>
      </c>
      <c r="B1281" s="13" t="s">
        <v>428</v>
      </c>
      <c r="C1281" s="28" t="s">
        <v>1175</v>
      </c>
      <c r="D1281" s="20"/>
      <c r="E1281" s="21">
        <f t="shared" si="1"/>
        <v>4728.88</v>
      </c>
      <c r="F1281" s="23">
        <v>1.4</v>
      </c>
      <c r="G1281" s="21">
        <f t="shared" si="8"/>
        <v>426013.56</v>
      </c>
      <c r="H1281" s="23"/>
      <c r="I1281" s="21">
        <f t="shared" si="9"/>
        <v>54.24</v>
      </c>
      <c r="J1281" s="23"/>
      <c r="K1281" s="21">
        <f t="shared" si="10"/>
        <v>274208.01</v>
      </c>
      <c r="L1281" s="23"/>
      <c r="M1281" s="21">
        <f t="shared" si="11"/>
        <v>1894.93</v>
      </c>
    </row>
    <row r="1282" ht="20.25" customHeight="1" outlineLevel="1">
      <c r="A1282" s="12">
        <v>46039.0</v>
      </c>
      <c r="B1282" s="13" t="s">
        <v>428</v>
      </c>
      <c r="C1282" s="28" t="s">
        <v>1176</v>
      </c>
      <c r="D1282" s="20"/>
      <c r="E1282" s="21">
        <f t="shared" si="1"/>
        <v>4728.88</v>
      </c>
      <c r="F1282" s="23">
        <v>1.0</v>
      </c>
      <c r="G1282" s="21">
        <f t="shared" si="8"/>
        <v>426014.56</v>
      </c>
      <c r="H1282" s="23"/>
      <c r="I1282" s="21">
        <f t="shared" si="9"/>
        <v>54.24</v>
      </c>
      <c r="J1282" s="23"/>
      <c r="K1282" s="21">
        <f t="shared" si="10"/>
        <v>274208.01</v>
      </c>
      <c r="L1282" s="23"/>
      <c r="M1282" s="21">
        <f t="shared" si="11"/>
        <v>1894.93</v>
      </c>
    </row>
    <row r="1283" ht="20.25" customHeight="1" outlineLevel="1">
      <c r="A1283" s="12">
        <v>46039.0</v>
      </c>
      <c r="B1283" s="13" t="s">
        <v>428</v>
      </c>
      <c r="C1283" s="28" t="s">
        <v>1177</v>
      </c>
      <c r="D1283" s="20"/>
      <c r="E1283" s="21">
        <f t="shared" si="1"/>
        <v>4728.88</v>
      </c>
      <c r="F1283" s="23">
        <v>0.4</v>
      </c>
      <c r="G1283" s="21">
        <f t="shared" si="8"/>
        <v>426014.96</v>
      </c>
      <c r="H1283" s="23"/>
      <c r="I1283" s="21">
        <f t="shared" si="9"/>
        <v>54.24</v>
      </c>
      <c r="J1283" s="23"/>
      <c r="K1283" s="21">
        <f t="shared" si="10"/>
        <v>274208.01</v>
      </c>
      <c r="L1283" s="23"/>
      <c r="M1283" s="21">
        <f t="shared" si="11"/>
        <v>1894.93</v>
      </c>
    </row>
    <row r="1284" ht="20.25" customHeight="1" outlineLevel="1">
      <c r="A1284" s="12">
        <v>46039.0</v>
      </c>
      <c r="B1284" s="13" t="s">
        <v>428</v>
      </c>
      <c r="C1284" s="28" t="s">
        <v>1178</v>
      </c>
      <c r="D1284" s="20"/>
      <c r="E1284" s="21">
        <f t="shared" si="1"/>
        <v>4728.88</v>
      </c>
      <c r="F1284" s="23">
        <v>0.35</v>
      </c>
      <c r="G1284" s="21">
        <f t="shared" si="8"/>
        <v>426015.31</v>
      </c>
      <c r="H1284" s="23"/>
      <c r="I1284" s="21">
        <f t="shared" si="9"/>
        <v>54.24</v>
      </c>
      <c r="J1284" s="23"/>
      <c r="K1284" s="21">
        <f t="shared" si="10"/>
        <v>274208.01</v>
      </c>
      <c r="L1284" s="23"/>
      <c r="M1284" s="21">
        <f t="shared" si="11"/>
        <v>1894.93</v>
      </c>
    </row>
    <row r="1285" ht="20.25" customHeight="1" outlineLevel="1">
      <c r="A1285" s="12">
        <v>46039.0</v>
      </c>
      <c r="B1285" s="13" t="s">
        <v>428</v>
      </c>
      <c r="C1285" s="28" t="s">
        <v>1179</v>
      </c>
      <c r="D1285" s="20"/>
      <c r="E1285" s="21">
        <f t="shared" si="1"/>
        <v>4728.88</v>
      </c>
      <c r="F1285" s="23">
        <v>0.25</v>
      </c>
      <c r="G1285" s="21">
        <f t="shared" si="8"/>
        <v>426015.56</v>
      </c>
      <c r="H1285" s="23"/>
      <c r="I1285" s="21">
        <f t="shared" si="9"/>
        <v>54.24</v>
      </c>
      <c r="J1285" s="23"/>
      <c r="K1285" s="21">
        <f t="shared" si="10"/>
        <v>274208.01</v>
      </c>
      <c r="L1285" s="23"/>
      <c r="M1285" s="21">
        <f t="shared" si="11"/>
        <v>1894.93</v>
      </c>
    </row>
    <row r="1286" ht="20.25" customHeight="1" outlineLevel="1">
      <c r="A1286" s="12">
        <v>46039.0</v>
      </c>
      <c r="B1286" s="13" t="s">
        <v>428</v>
      </c>
      <c r="C1286" s="28" t="s">
        <v>1180</v>
      </c>
      <c r="D1286" s="20"/>
      <c r="E1286" s="21">
        <f t="shared" si="1"/>
        <v>4728.88</v>
      </c>
      <c r="F1286" s="23">
        <v>0.25</v>
      </c>
      <c r="G1286" s="21">
        <f t="shared" si="8"/>
        <v>426015.81</v>
      </c>
      <c r="H1286" s="23"/>
      <c r="I1286" s="21">
        <f t="shared" si="9"/>
        <v>54.24</v>
      </c>
      <c r="J1286" s="23"/>
      <c r="K1286" s="21">
        <f t="shared" si="10"/>
        <v>274208.01</v>
      </c>
      <c r="L1286" s="23"/>
      <c r="M1286" s="21">
        <f t="shared" si="11"/>
        <v>1894.93</v>
      </c>
    </row>
    <row r="1287" ht="20.25" customHeight="1" outlineLevel="1">
      <c r="A1287" s="12">
        <v>46039.0</v>
      </c>
      <c r="B1287" s="13" t="s">
        <v>428</v>
      </c>
      <c r="C1287" s="28" t="s">
        <v>1181</v>
      </c>
      <c r="D1287" s="20"/>
      <c r="E1287" s="21">
        <f t="shared" si="1"/>
        <v>4728.88</v>
      </c>
      <c r="F1287" s="23">
        <v>0.25</v>
      </c>
      <c r="G1287" s="21">
        <f t="shared" si="8"/>
        <v>426016.06</v>
      </c>
      <c r="H1287" s="23"/>
      <c r="I1287" s="21">
        <f t="shared" si="9"/>
        <v>54.24</v>
      </c>
      <c r="J1287" s="23"/>
      <c r="K1287" s="21">
        <f t="shared" si="10"/>
        <v>274208.01</v>
      </c>
      <c r="L1287" s="23"/>
      <c r="M1287" s="21">
        <f t="shared" si="11"/>
        <v>1894.93</v>
      </c>
    </row>
    <row r="1288" ht="20.25" customHeight="1" outlineLevel="1">
      <c r="A1288" s="12">
        <v>46039.0</v>
      </c>
      <c r="B1288" s="13" t="s">
        <v>428</v>
      </c>
      <c r="C1288" s="101" t="s">
        <v>1182</v>
      </c>
      <c r="D1288" s="20"/>
      <c r="E1288" s="21">
        <f t="shared" si="1"/>
        <v>4728.88</v>
      </c>
      <c r="F1288" s="23">
        <v>0.21</v>
      </c>
      <c r="G1288" s="21">
        <f t="shared" si="8"/>
        <v>426016.27</v>
      </c>
      <c r="H1288" s="23"/>
      <c r="I1288" s="21">
        <f t="shared" si="9"/>
        <v>54.24</v>
      </c>
      <c r="J1288" s="23"/>
      <c r="K1288" s="21">
        <f t="shared" si="10"/>
        <v>274208.01</v>
      </c>
      <c r="L1288" s="23"/>
      <c r="M1288" s="21">
        <f t="shared" si="11"/>
        <v>1894.93</v>
      </c>
    </row>
    <row r="1289" ht="20.25" customHeight="1" outlineLevel="1">
      <c r="A1289" s="12">
        <v>46039.0</v>
      </c>
      <c r="B1289" s="13" t="s">
        <v>428</v>
      </c>
      <c r="C1289" s="28" t="s">
        <v>1183</v>
      </c>
      <c r="D1289" s="20"/>
      <c r="E1289" s="21">
        <f t="shared" si="1"/>
        <v>4728.88</v>
      </c>
      <c r="F1289" s="23">
        <v>0.2</v>
      </c>
      <c r="G1289" s="21">
        <f t="shared" si="8"/>
        <v>426016.47</v>
      </c>
      <c r="H1289" s="23"/>
      <c r="I1289" s="21">
        <f t="shared" si="9"/>
        <v>54.24</v>
      </c>
      <c r="J1289" s="23"/>
      <c r="K1289" s="21">
        <f t="shared" si="10"/>
        <v>274208.01</v>
      </c>
      <c r="L1289" s="23"/>
      <c r="M1289" s="21">
        <f t="shared" si="11"/>
        <v>1894.93</v>
      </c>
    </row>
    <row r="1290" ht="20.25" customHeight="1" outlineLevel="1">
      <c r="A1290" s="12">
        <v>46039.0</v>
      </c>
      <c r="B1290" s="13" t="s">
        <v>428</v>
      </c>
      <c r="C1290" s="28" t="s">
        <v>1184</v>
      </c>
      <c r="D1290" s="20"/>
      <c r="E1290" s="21">
        <f t="shared" si="1"/>
        <v>4728.88</v>
      </c>
      <c r="F1290" s="23">
        <v>0.19</v>
      </c>
      <c r="G1290" s="21">
        <f t="shared" si="8"/>
        <v>426016.66</v>
      </c>
      <c r="H1290" s="23"/>
      <c r="I1290" s="21">
        <f t="shared" si="9"/>
        <v>54.24</v>
      </c>
      <c r="J1290" s="23"/>
      <c r="K1290" s="21">
        <f t="shared" si="10"/>
        <v>274208.01</v>
      </c>
      <c r="L1290" s="23"/>
      <c r="M1290" s="21">
        <f t="shared" si="11"/>
        <v>1894.93</v>
      </c>
    </row>
    <row r="1291" ht="20.25" customHeight="1" outlineLevel="1">
      <c r="A1291" s="12">
        <v>46039.0</v>
      </c>
      <c r="B1291" s="13" t="s">
        <v>428</v>
      </c>
      <c r="C1291" s="28" t="s">
        <v>1185</v>
      </c>
      <c r="D1291" s="20"/>
      <c r="E1291" s="21">
        <f t="shared" si="1"/>
        <v>4728.88</v>
      </c>
      <c r="F1291" s="23">
        <v>0.16</v>
      </c>
      <c r="G1291" s="21">
        <f t="shared" si="8"/>
        <v>426016.82</v>
      </c>
      <c r="H1291" s="23"/>
      <c r="I1291" s="21">
        <f t="shared" si="9"/>
        <v>54.24</v>
      </c>
      <c r="J1291" s="23"/>
      <c r="K1291" s="21">
        <f t="shared" si="10"/>
        <v>274208.01</v>
      </c>
      <c r="L1291" s="23"/>
      <c r="M1291" s="21">
        <f t="shared" si="11"/>
        <v>1894.93</v>
      </c>
    </row>
    <row r="1292" ht="20.25" customHeight="1" outlineLevel="1">
      <c r="A1292" s="12">
        <v>46039.0</v>
      </c>
      <c r="B1292" s="13" t="s">
        <v>428</v>
      </c>
      <c r="C1292" s="28" t="s">
        <v>1186</v>
      </c>
      <c r="D1292" s="20"/>
      <c r="E1292" s="21">
        <f t="shared" si="1"/>
        <v>4728.88</v>
      </c>
      <c r="F1292" s="23">
        <v>0.12</v>
      </c>
      <c r="G1292" s="21">
        <f t="shared" si="8"/>
        <v>426016.94</v>
      </c>
      <c r="H1292" s="23"/>
      <c r="I1292" s="21">
        <f t="shared" si="9"/>
        <v>54.24</v>
      </c>
      <c r="J1292" s="23"/>
      <c r="K1292" s="21">
        <f t="shared" si="10"/>
        <v>274208.01</v>
      </c>
      <c r="L1292" s="23"/>
      <c r="M1292" s="21">
        <f t="shared" si="11"/>
        <v>1894.93</v>
      </c>
    </row>
    <row r="1293" ht="20.25" customHeight="1" outlineLevel="1">
      <c r="A1293" s="12">
        <v>46039.0</v>
      </c>
      <c r="B1293" s="13" t="s">
        <v>428</v>
      </c>
      <c r="C1293" s="28" t="s">
        <v>1187</v>
      </c>
      <c r="D1293" s="20"/>
      <c r="E1293" s="21">
        <f t="shared" si="1"/>
        <v>4728.88</v>
      </c>
      <c r="F1293" s="23">
        <v>0.1</v>
      </c>
      <c r="G1293" s="21">
        <f t="shared" si="8"/>
        <v>426017.04</v>
      </c>
      <c r="H1293" s="23"/>
      <c r="I1293" s="21">
        <f t="shared" si="9"/>
        <v>54.24</v>
      </c>
      <c r="J1293" s="23"/>
      <c r="K1293" s="21">
        <f t="shared" si="10"/>
        <v>274208.01</v>
      </c>
      <c r="L1293" s="23"/>
      <c r="M1293" s="21">
        <f t="shared" si="11"/>
        <v>1894.93</v>
      </c>
    </row>
    <row r="1294" ht="20.25" customHeight="1" outlineLevel="1">
      <c r="A1294" s="12">
        <v>46039.0</v>
      </c>
      <c r="B1294" s="13" t="s">
        <v>428</v>
      </c>
      <c r="C1294" s="28" t="s">
        <v>1188</v>
      </c>
      <c r="D1294" s="20"/>
      <c r="E1294" s="21">
        <f t="shared" si="1"/>
        <v>4728.88</v>
      </c>
      <c r="F1294" s="23">
        <v>0.05</v>
      </c>
      <c r="G1294" s="21">
        <f t="shared" si="8"/>
        <v>426017.09</v>
      </c>
      <c r="H1294" s="23"/>
      <c r="I1294" s="21">
        <f t="shared" si="9"/>
        <v>54.24</v>
      </c>
      <c r="J1294" s="23"/>
      <c r="K1294" s="21">
        <f t="shared" si="10"/>
        <v>274208.01</v>
      </c>
      <c r="L1294" s="23"/>
      <c r="M1294" s="21">
        <f t="shared" si="11"/>
        <v>1894.93</v>
      </c>
    </row>
    <row r="1295" ht="20.25" customHeight="1" outlineLevel="1">
      <c r="A1295" s="12">
        <v>46039.0</v>
      </c>
      <c r="B1295" s="13" t="s">
        <v>16</v>
      </c>
      <c r="C1295" s="41" t="s">
        <v>1189</v>
      </c>
      <c r="D1295" s="20"/>
      <c r="E1295" s="21">
        <f t="shared" si="1"/>
        <v>4728.88</v>
      </c>
      <c r="F1295" s="23"/>
      <c r="G1295" s="21">
        <f t="shared" si="8"/>
        <v>426017.09</v>
      </c>
      <c r="H1295" s="23"/>
      <c r="I1295" s="21">
        <f t="shared" si="9"/>
        <v>54.24</v>
      </c>
      <c r="J1295" s="23">
        <v>117.0</v>
      </c>
      <c r="K1295" s="21">
        <f t="shared" si="10"/>
        <v>274325.01</v>
      </c>
      <c r="L1295" s="23"/>
      <c r="M1295" s="21">
        <f t="shared" si="11"/>
        <v>1894.93</v>
      </c>
    </row>
    <row r="1296" ht="20.25" customHeight="1" outlineLevel="1">
      <c r="A1296" s="12">
        <v>46039.0</v>
      </c>
      <c r="B1296" s="13" t="s">
        <v>16</v>
      </c>
      <c r="C1296" s="41" t="s">
        <v>1190</v>
      </c>
      <c r="D1296" s="20"/>
      <c r="E1296" s="21">
        <f t="shared" si="1"/>
        <v>4728.88</v>
      </c>
      <c r="F1296" s="23"/>
      <c r="G1296" s="21">
        <f t="shared" si="8"/>
        <v>426017.09</v>
      </c>
      <c r="H1296" s="23"/>
      <c r="I1296" s="21">
        <f t="shared" si="9"/>
        <v>54.24</v>
      </c>
      <c r="J1296" s="23">
        <v>376.0</v>
      </c>
      <c r="K1296" s="21">
        <f t="shared" si="10"/>
        <v>274701.01</v>
      </c>
      <c r="L1296" s="23"/>
      <c r="M1296" s="21">
        <f t="shared" si="11"/>
        <v>1894.93</v>
      </c>
    </row>
    <row r="1297" ht="20.25" customHeight="1" outlineLevel="1">
      <c r="A1297" s="12">
        <v>46039.0</v>
      </c>
      <c r="B1297" s="13" t="s">
        <v>16</v>
      </c>
      <c r="C1297" s="41" t="s">
        <v>1191</v>
      </c>
      <c r="D1297" s="20"/>
      <c r="E1297" s="21">
        <f t="shared" si="1"/>
        <v>4728.88</v>
      </c>
      <c r="F1297" s="23"/>
      <c r="G1297" s="21">
        <f t="shared" si="8"/>
        <v>426017.09</v>
      </c>
      <c r="H1297" s="23"/>
      <c r="I1297" s="21">
        <f t="shared" si="9"/>
        <v>54.24</v>
      </c>
      <c r="J1297" s="23">
        <v>234.0</v>
      </c>
      <c r="K1297" s="21">
        <f t="shared" si="10"/>
        <v>274935.01</v>
      </c>
      <c r="L1297" s="23"/>
      <c r="M1297" s="21">
        <f t="shared" si="11"/>
        <v>1894.93</v>
      </c>
    </row>
    <row r="1298" ht="20.25" customHeight="1" outlineLevel="1">
      <c r="A1298" s="12">
        <v>46039.0</v>
      </c>
      <c r="B1298" s="13" t="s">
        <v>16</v>
      </c>
      <c r="C1298" s="41" t="s">
        <v>1192</v>
      </c>
      <c r="D1298" s="20"/>
      <c r="E1298" s="21">
        <f t="shared" si="1"/>
        <v>4728.88</v>
      </c>
      <c r="F1298" s="23"/>
      <c r="G1298" s="21">
        <f t="shared" si="8"/>
        <v>426017.09</v>
      </c>
      <c r="H1298" s="23"/>
      <c r="I1298" s="21">
        <f t="shared" si="9"/>
        <v>54.24</v>
      </c>
      <c r="J1298" s="23">
        <v>117.0</v>
      </c>
      <c r="K1298" s="21">
        <f t="shared" si="10"/>
        <v>275052.01</v>
      </c>
      <c r="L1298" s="23"/>
      <c r="M1298" s="21">
        <f t="shared" si="11"/>
        <v>1894.93</v>
      </c>
    </row>
    <row r="1299" ht="20.25" customHeight="1" outlineLevel="1">
      <c r="A1299" s="12">
        <v>46039.0</v>
      </c>
      <c r="B1299" s="13" t="s">
        <v>16</v>
      </c>
      <c r="C1299" s="41" t="s">
        <v>1193</v>
      </c>
      <c r="D1299" s="20"/>
      <c r="E1299" s="21">
        <f t="shared" si="1"/>
        <v>4728.88</v>
      </c>
      <c r="F1299" s="23"/>
      <c r="G1299" s="21">
        <f t="shared" si="8"/>
        <v>426017.09</v>
      </c>
      <c r="H1299" s="23"/>
      <c r="I1299" s="21">
        <f t="shared" si="9"/>
        <v>54.24</v>
      </c>
      <c r="J1299" s="23">
        <v>117.0</v>
      </c>
      <c r="K1299" s="21">
        <f t="shared" si="10"/>
        <v>275169.01</v>
      </c>
      <c r="L1299" s="23"/>
      <c r="M1299" s="21">
        <f t="shared" si="11"/>
        <v>1894.93</v>
      </c>
    </row>
    <row r="1300" ht="20.25" customHeight="1" outlineLevel="1">
      <c r="A1300" s="12">
        <v>46039.0</v>
      </c>
      <c r="B1300" s="13" t="s">
        <v>16</v>
      </c>
      <c r="C1300" s="41" t="s">
        <v>1194</v>
      </c>
      <c r="D1300" s="20"/>
      <c r="E1300" s="21">
        <f t="shared" si="1"/>
        <v>4728.88</v>
      </c>
      <c r="F1300" s="23"/>
      <c r="G1300" s="21">
        <f t="shared" si="8"/>
        <v>426017.09</v>
      </c>
      <c r="H1300" s="23"/>
      <c r="I1300" s="21">
        <f t="shared" si="9"/>
        <v>54.24</v>
      </c>
      <c r="J1300" s="23">
        <v>117.0</v>
      </c>
      <c r="K1300" s="21">
        <f t="shared" si="10"/>
        <v>275286.01</v>
      </c>
      <c r="L1300" s="23"/>
      <c r="M1300" s="21">
        <f t="shared" si="11"/>
        <v>1894.93</v>
      </c>
    </row>
    <row r="1301" ht="20.25" customHeight="1" outlineLevel="1">
      <c r="A1301" s="12">
        <v>46039.0</v>
      </c>
      <c r="B1301" s="13" t="s">
        <v>16</v>
      </c>
      <c r="C1301" s="61" t="s">
        <v>1195</v>
      </c>
      <c r="D1301" s="20">
        <v>1199.0</v>
      </c>
      <c r="E1301" s="21">
        <f t="shared" si="1"/>
        <v>5927.88</v>
      </c>
      <c r="F1301" s="23"/>
      <c r="G1301" s="21">
        <f t="shared" si="8"/>
        <v>426017.09</v>
      </c>
      <c r="H1301" s="23"/>
      <c r="I1301" s="21">
        <f t="shared" si="9"/>
        <v>54.24</v>
      </c>
      <c r="J1301" s="23"/>
      <c r="K1301" s="21">
        <f t="shared" si="10"/>
        <v>275286.01</v>
      </c>
      <c r="L1301" s="23"/>
      <c r="M1301" s="21">
        <f t="shared" si="11"/>
        <v>1894.93</v>
      </c>
    </row>
    <row r="1302" ht="20.25" customHeight="1" outlineLevel="1">
      <c r="A1302" s="12">
        <v>46040.0</v>
      </c>
      <c r="B1302" s="13" t="s">
        <v>16</v>
      </c>
      <c r="C1302" s="61" t="s">
        <v>1196</v>
      </c>
      <c r="D1302" s="20">
        <v>500.0</v>
      </c>
      <c r="E1302" s="21">
        <f t="shared" si="1"/>
        <v>6427.88</v>
      </c>
      <c r="F1302" s="20"/>
      <c r="G1302" s="21">
        <f t="shared" si="8"/>
        <v>426017.09</v>
      </c>
      <c r="H1302" s="20"/>
      <c r="I1302" s="21">
        <f t="shared" si="9"/>
        <v>54.24</v>
      </c>
      <c r="J1302" s="20"/>
      <c r="K1302" s="21">
        <f t="shared" si="10"/>
        <v>275286.01</v>
      </c>
      <c r="L1302" s="20"/>
      <c r="M1302" s="21">
        <f t="shared" si="11"/>
        <v>1894.93</v>
      </c>
    </row>
    <row r="1303" ht="20.25" customHeight="1" outlineLevel="1">
      <c r="A1303" s="12">
        <v>46041.0</v>
      </c>
      <c r="B1303" s="13" t="s">
        <v>16</v>
      </c>
      <c r="C1303" s="28" t="s">
        <v>1197</v>
      </c>
      <c r="D1303" s="20"/>
      <c r="E1303" s="21">
        <f t="shared" si="1"/>
        <v>6427.88</v>
      </c>
      <c r="F1303" s="23">
        <v>324.6</v>
      </c>
      <c r="G1303" s="21">
        <f t="shared" si="8"/>
        <v>426341.69</v>
      </c>
      <c r="H1303" s="23"/>
      <c r="I1303" s="21">
        <f t="shared" si="9"/>
        <v>54.24</v>
      </c>
      <c r="J1303" s="23"/>
      <c r="K1303" s="21">
        <f t="shared" si="10"/>
        <v>275286.01</v>
      </c>
      <c r="L1303" s="23"/>
      <c r="M1303" s="21">
        <f t="shared" si="11"/>
        <v>1894.93</v>
      </c>
    </row>
    <row r="1304" ht="20.25" customHeight="1" outlineLevel="1">
      <c r="A1304" s="12">
        <v>46041.0</v>
      </c>
      <c r="B1304" s="13" t="s">
        <v>16</v>
      </c>
      <c r="C1304" s="41" t="s">
        <v>1198</v>
      </c>
      <c r="D1304" s="20"/>
      <c r="E1304" s="21">
        <f t="shared" si="1"/>
        <v>6427.88</v>
      </c>
      <c r="F1304" s="23"/>
      <c r="G1304" s="21">
        <f t="shared" si="8"/>
        <v>426341.69</v>
      </c>
      <c r="H1304" s="23"/>
      <c r="I1304" s="21">
        <f t="shared" si="9"/>
        <v>54.24</v>
      </c>
      <c r="J1304" s="23">
        <v>117.0</v>
      </c>
      <c r="K1304" s="21">
        <f t="shared" si="10"/>
        <v>275403.01</v>
      </c>
      <c r="L1304" s="23"/>
      <c r="M1304" s="21">
        <f t="shared" si="11"/>
        <v>1894.93</v>
      </c>
    </row>
    <row r="1305" ht="20.25" customHeight="1" outlineLevel="1">
      <c r="A1305" s="12">
        <v>46041.0</v>
      </c>
      <c r="B1305" s="13" t="s">
        <v>14</v>
      </c>
      <c r="C1305" s="42" t="s">
        <v>34</v>
      </c>
      <c r="D1305" s="20"/>
      <c r="E1305" s="21">
        <f t="shared" si="1"/>
        <v>6427.88</v>
      </c>
      <c r="F1305" s="23"/>
      <c r="G1305" s="21">
        <f t="shared" si="8"/>
        <v>426341.69</v>
      </c>
      <c r="H1305" s="23"/>
      <c r="I1305" s="21">
        <f t="shared" si="9"/>
        <v>54.24</v>
      </c>
      <c r="J1305" s="22">
        <v>-303.78</v>
      </c>
      <c r="K1305" s="21">
        <f t="shared" si="10"/>
        <v>275099.23</v>
      </c>
      <c r="L1305" s="23"/>
      <c r="M1305" s="21">
        <f t="shared" si="11"/>
        <v>1894.93</v>
      </c>
    </row>
    <row r="1306" ht="20.25" customHeight="1" outlineLevel="1">
      <c r="A1306" s="12">
        <v>46041.0</v>
      </c>
      <c r="B1306" s="13" t="s">
        <v>16</v>
      </c>
      <c r="C1306" s="41" t="s">
        <v>1199</v>
      </c>
      <c r="D1306" s="20"/>
      <c r="E1306" s="21">
        <f t="shared" si="1"/>
        <v>6427.88</v>
      </c>
      <c r="F1306" s="23"/>
      <c r="G1306" s="21">
        <f t="shared" si="8"/>
        <v>426341.69</v>
      </c>
      <c r="H1306" s="23"/>
      <c r="I1306" s="21">
        <f t="shared" si="9"/>
        <v>54.24</v>
      </c>
      <c r="J1306" s="23">
        <v>259.0</v>
      </c>
      <c r="K1306" s="21">
        <f t="shared" si="10"/>
        <v>275358.23</v>
      </c>
      <c r="L1306" s="23"/>
      <c r="M1306" s="21">
        <f t="shared" si="11"/>
        <v>1894.93</v>
      </c>
    </row>
    <row r="1307" ht="20.25" customHeight="1" outlineLevel="1">
      <c r="A1307" s="12">
        <v>46041.0</v>
      </c>
      <c r="B1307" s="13" t="s">
        <v>16</v>
      </c>
      <c r="C1307" s="41" t="s">
        <v>1200</v>
      </c>
      <c r="D1307" s="20"/>
      <c r="E1307" s="21">
        <f t="shared" si="1"/>
        <v>6427.88</v>
      </c>
      <c r="F1307" s="23"/>
      <c r="G1307" s="21">
        <f t="shared" si="8"/>
        <v>426341.69</v>
      </c>
      <c r="H1307" s="23"/>
      <c r="I1307" s="21">
        <f t="shared" si="9"/>
        <v>54.24</v>
      </c>
      <c r="J1307" s="23">
        <v>259.0</v>
      </c>
      <c r="K1307" s="21">
        <f t="shared" si="10"/>
        <v>275617.23</v>
      </c>
      <c r="L1307" s="23"/>
      <c r="M1307" s="21">
        <f t="shared" si="11"/>
        <v>1894.93</v>
      </c>
    </row>
    <row r="1308" ht="20.25" customHeight="1" outlineLevel="1">
      <c r="A1308" s="12">
        <v>46041.0</v>
      </c>
      <c r="B1308" s="13" t="s">
        <v>16</v>
      </c>
      <c r="C1308" s="28" t="s">
        <v>1201</v>
      </c>
      <c r="D1308" s="20"/>
      <c r="E1308" s="21">
        <f t="shared" si="1"/>
        <v>6427.88</v>
      </c>
      <c r="F1308" s="23">
        <v>704.0</v>
      </c>
      <c r="G1308" s="21">
        <f t="shared" si="8"/>
        <v>427045.69</v>
      </c>
      <c r="H1308" s="23"/>
      <c r="I1308" s="21">
        <f t="shared" si="9"/>
        <v>54.24</v>
      </c>
      <c r="J1308" s="23"/>
      <c r="K1308" s="21">
        <f t="shared" si="10"/>
        <v>275617.23</v>
      </c>
      <c r="L1308" s="23"/>
      <c r="M1308" s="21">
        <f t="shared" si="11"/>
        <v>1894.93</v>
      </c>
    </row>
    <row r="1309" ht="20.25" customHeight="1" outlineLevel="1">
      <c r="A1309" s="12">
        <v>46041.0</v>
      </c>
      <c r="B1309" s="13" t="s">
        <v>16</v>
      </c>
      <c r="C1309" s="28" t="s">
        <v>1202</v>
      </c>
      <c r="D1309" s="20"/>
      <c r="E1309" s="21">
        <f t="shared" si="1"/>
        <v>6427.88</v>
      </c>
      <c r="F1309" s="23">
        <v>2032.0</v>
      </c>
      <c r="G1309" s="21">
        <f t="shared" si="8"/>
        <v>429077.69</v>
      </c>
      <c r="H1309" s="23"/>
      <c r="I1309" s="21">
        <f t="shared" si="9"/>
        <v>54.24</v>
      </c>
      <c r="J1309" s="23"/>
      <c r="K1309" s="21">
        <f t="shared" si="10"/>
        <v>275617.23</v>
      </c>
      <c r="L1309" s="23"/>
      <c r="M1309" s="21">
        <f t="shared" si="11"/>
        <v>1894.93</v>
      </c>
    </row>
    <row r="1310" ht="20.25" customHeight="1" outlineLevel="1">
      <c r="A1310" s="12">
        <v>46041.0</v>
      </c>
      <c r="B1310" s="13" t="s">
        <v>16</v>
      </c>
      <c r="C1310" s="28" t="s">
        <v>1203</v>
      </c>
      <c r="D1310" s="20"/>
      <c r="E1310" s="21">
        <f t="shared" si="1"/>
        <v>6427.88</v>
      </c>
      <c r="F1310" s="23">
        <v>622.0</v>
      </c>
      <c r="G1310" s="21">
        <f t="shared" si="8"/>
        <v>429699.69</v>
      </c>
      <c r="H1310" s="23"/>
      <c r="I1310" s="21">
        <f t="shared" si="9"/>
        <v>54.24</v>
      </c>
      <c r="J1310" s="23"/>
      <c r="K1310" s="21">
        <f t="shared" si="10"/>
        <v>275617.23</v>
      </c>
      <c r="L1310" s="23"/>
      <c r="M1310" s="21">
        <f t="shared" si="11"/>
        <v>1894.93</v>
      </c>
    </row>
    <row r="1311" ht="20.25" customHeight="1" outlineLevel="1">
      <c r="A1311" s="12">
        <v>46041.0</v>
      </c>
      <c r="B1311" s="13" t="s">
        <v>16</v>
      </c>
      <c r="C1311" s="28" t="s">
        <v>1204</v>
      </c>
      <c r="D1311" s="20"/>
      <c r="E1311" s="21">
        <f t="shared" si="1"/>
        <v>6427.88</v>
      </c>
      <c r="F1311" s="23">
        <v>75.0</v>
      </c>
      <c r="G1311" s="21">
        <f t="shared" si="8"/>
        <v>429774.69</v>
      </c>
      <c r="H1311" s="23"/>
      <c r="I1311" s="21">
        <f t="shared" si="9"/>
        <v>54.24</v>
      </c>
      <c r="J1311" s="23"/>
      <c r="K1311" s="21">
        <f t="shared" si="10"/>
        <v>275617.23</v>
      </c>
      <c r="L1311" s="23"/>
      <c r="M1311" s="21">
        <f t="shared" si="11"/>
        <v>1894.93</v>
      </c>
    </row>
    <row r="1312" ht="20.25" customHeight="1" outlineLevel="1">
      <c r="A1312" s="12">
        <v>46041.0</v>
      </c>
      <c r="B1312" s="13" t="s">
        <v>16</v>
      </c>
      <c r="C1312" s="28" t="s">
        <v>1205</v>
      </c>
      <c r="D1312" s="20"/>
      <c r="E1312" s="21">
        <f t="shared" si="1"/>
        <v>6427.88</v>
      </c>
      <c r="F1312" s="23">
        <v>336.0</v>
      </c>
      <c r="G1312" s="21">
        <f t="shared" si="8"/>
        <v>430110.69</v>
      </c>
      <c r="H1312" s="23"/>
      <c r="I1312" s="21">
        <f t="shared" si="9"/>
        <v>54.24</v>
      </c>
      <c r="J1312" s="23"/>
      <c r="K1312" s="21">
        <f t="shared" si="10"/>
        <v>275617.23</v>
      </c>
      <c r="L1312" s="23"/>
      <c r="M1312" s="21">
        <f t="shared" si="11"/>
        <v>1894.93</v>
      </c>
    </row>
    <row r="1313" ht="20.25" customHeight="1" outlineLevel="1">
      <c r="A1313" s="12">
        <v>46041.0</v>
      </c>
      <c r="B1313" s="13" t="s">
        <v>16</v>
      </c>
      <c r="C1313" s="28" t="s">
        <v>1206</v>
      </c>
      <c r="D1313" s="20"/>
      <c r="E1313" s="21">
        <f t="shared" si="1"/>
        <v>6427.88</v>
      </c>
      <c r="F1313" s="23">
        <v>2072.0</v>
      </c>
      <c r="G1313" s="21">
        <f t="shared" si="8"/>
        <v>432182.69</v>
      </c>
      <c r="H1313" s="23"/>
      <c r="I1313" s="21">
        <f t="shared" si="9"/>
        <v>54.24</v>
      </c>
      <c r="J1313" s="23"/>
      <c r="K1313" s="21">
        <f t="shared" si="10"/>
        <v>275617.23</v>
      </c>
      <c r="L1313" s="23"/>
      <c r="M1313" s="21">
        <f t="shared" si="11"/>
        <v>1894.93</v>
      </c>
    </row>
    <row r="1314" ht="20.25" customHeight="1" outlineLevel="1">
      <c r="A1314" s="12">
        <v>46041.0</v>
      </c>
      <c r="B1314" s="13" t="s">
        <v>16</v>
      </c>
      <c r="C1314" s="28" t="s">
        <v>1207</v>
      </c>
      <c r="D1314" s="20"/>
      <c r="E1314" s="21">
        <f t="shared" si="1"/>
        <v>6427.88</v>
      </c>
      <c r="F1314" s="23">
        <v>551.0</v>
      </c>
      <c r="G1314" s="21">
        <f t="shared" si="8"/>
        <v>432733.69</v>
      </c>
      <c r="H1314" s="23"/>
      <c r="I1314" s="21">
        <f t="shared" si="9"/>
        <v>54.24</v>
      </c>
      <c r="J1314" s="23"/>
      <c r="K1314" s="21">
        <f t="shared" si="10"/>
        <v>275617.23</v>
      </c>
      <c r="L1314" s="23"/>
      <c r="M1314" s="21">
        <f t="shared" si="11"/>
        <v>1894.93</v>
      </c>
    </row>
    <row r="1315" ht="20.25" customHeight="1" outlineLevel="1">
      <c r="A1315" s="12">
        <v>46041.0</v>
      </c>
      <c r="B1315" s="13" t="s">
        <v>16</v>
      </c>
      <c r="C1315" s="28" t="s">
        <v>1208</v>
      </c>
      <c r="D1315" s="20"/>
      <c r="E1315" s="21">
        <f t="shared" si="1"/>
        <v>6427.88</v>
      </c>
      <c r="F1315" s="23">
        <v>399.5</v>
      </c>
      <c r="G1315" s="21">
        <f t="shared" si="8"/>
        <v>433133.19</v>
      </c>
      <c r="H1315" s="23"/>
      <c r="I1315" s="21">
        <f t="shared" si="9"/>
        <v>54.24</v>
      </c>
      <c r="J1315" s="23"/>
      <c r="K1315" s="21">
        <f t="shared" si="10"/>
        <v>275617.23</v>
      </c>
      <c r="L1315" s="23"/>
      <c r="M1315" s="21">
        <f t="shared" si="11"/>
        <v>1894.93</v>
      </c>
    </row>
    <row r="1316" ht="20.25" customHeight="1" outlineLevel="1">
      <c r="A1316" s="12">
        <v>46041.0</v>
      </c>
      <c r="B1316" s="13" t="s">
        <v>16</v>
      </c>
      <c r="C1316" s="28" t="s">
        <v>1209</v>
      </c>
      <c r="D1316" s="20"/>
      <c r="E1316" s="21">
        <f t="shared" si="1"/>
        <v>6427.88</v>
      </c>
      <c r="F1316" s="23">
        <v>415.0</v>
      </c>
      <c r="G1316" s="21">
        <f t="shared" si="8"/>
        <v>433548.19</v>
      </c>
      <c r="H1316" s="23"/>
      <c r="I1316" s="21">
        <f t="shared" si="9"/>
        <v>54.24</v>
      </c>
      <c r="J1316" s="23"/>
      <c r="K1316" s="21">
        <f t="shared" si="10"/>
        <v>275617.23</v>
      </c>
      <c r="L1316" s="23"/>
      <c r="M1316" s="21">
        <f t="shared" si="11"/>
        <v>1894.93</v>
      </c>
    </row>
    <row r="1317" ht="20.25" customHeight="1" outlineLevel="1">
      <c r="A1317" s="12">
        <v>46041.0</v>
      </c>
      <c r="B1317" s="13" t="s">
        <v>16</v>
      </c>
      <c r="C1317" s="41" t="s">
        <v>1210</v>
      </c>
      <c r="D1317" s="20"/>
      <c r="E1317" s="21">
        <f t="shared" si="1"/>
        <v>6427.88</v>
      </c>
      <c r="F1317" s="23"/>
      <c r="G1317" s="21">
        <f t="shared" si="8"/>
        <v>433548.19</v>
      </c>
      <c r="H1317" s="23"/>
      <c r="I1317" s="21">
        <f t="shared" si="9"/>
        <v>54.24</v>
      </c>
      <c r="J1317" s="23">
        <v>518.0</v>
      </c>
      <c r="K1317" s="21">
        <f t="shared" si="10"/>
        <v>276135.23</v>
      </c>
      <c r="L1317" s="23"/>
      <c r="M1317" s="21">
        <f t="shared" si="11"/>
        <v>1894.93</v>
      </c>
    </row>
    <row r="1318" ht="20.25" customHeight="1" outlineLevel="1">
      <c r="A1318" s="12">
        <v>46041.0</v>
      </c>
      <c r="B1318" s="13" t="s">
        <v>16</v>
      </c>
      <c r="C1318" s="42" t="s">
        <v>1211</v>
      </c>
      <c r="D1318" s="20"/>
      <c r="E1318" s="21">
        <f t="shared" si="1"/>
        <v>6427.88</v>
      </c>
      <c r="F1318" s="23"/>
      <c r="G1318" s="21">
        <f t="shared" si="8"/>
        <v>433548.19</v>
      </c>
      <c r="H1318" s="23"/>
      <c r="I1318" s="21">
        <f t="shared" si="9"/>
        <v>54.24</v>
      </c>
      <c r="J1318" s="23">
        <v>310.0</v>
      </c>
      <c r="K1318" s="21">
        <f t="shared" si="10"/>
        <v>276445.23</v>
      </c>
      <c r="L1318" s="23"/>
      <c r="M1318" s="21">
        <f t="shared" si="11"/>
        <v>1894.93</v>
      </c>
    </row>
    <row r="1319" ht="20.25" customHeight="1" outlineLevel="1">
      <c r="A1319" s="12">
        <v>46041.0</v>
      </c>
      <c r="B1319" s="13" t="s">
        <v>16</v>
      </c>
      <c r="C1319" s="217" t="s">
        <v>1212</v>
      </c>
      <c r="D1319" s="20"/>
      <c r="E1319" s="21">
        <f t="shared" si="1"/>
        <v>6427.88</v>
      </c>
      <c r="F1319" s="23"/>
      <c r="G1319" s="21">
        <f t="shared" si="8"/>
        <v>433548.19</v>
      </c>
      <c r="H1319" s="23"/>
      <c r="I1319" s="21">
        <f t="shared" si="9"/>
        <v>54.24</v>
      </c>
      <c r="J1319" s="23">
        <v>748.0</v>
      </c>
      <c r="K1319" s="21">
        <f t="shared" si="10"/>
        <v>277193.23</v>
      </c>
      <c r="L1319" s="23"/>
      <c r="M1319" s="21">
        <f t="shared" si="11"/>
        <v>1894.93</v>
      </c>
    </row>
    <row r="1320" ht="20.25" customHeight="1" outlineLevel="1">
      <c r="A1320" s="12">
        <v>46041.0</v>
      </c>
      <c r="B1320" s="13" t="s">
        <v>16</v>
      </c>
      <c r="C1320" s="42" t="s">
        <v>1213</v>
      </c>
      <c r="D1320" s="20"/>
      <c r="E1320" s="21">
        <f t="shared" si="1"/>
        <v>6427.88</v>
      </c>
      <c r="F1320" s="23"/>
      <c r="G1320" s="21">
        <f t="shared" si="8"/>
        <v>433548.19</v>
      </c>
      <c r="H1320" s="23"/>
      <c r="I1320" s="21">
        <f t="shared" si="9"/>
        <v>54.24</v>
      </c>
      <c r="J1320" s="23">
        <v>50.0</v>
      </c>
      <c r="K1320" s="21">
        <f t="shared" si="10"/>
        <v>277243.23</v>
      </c>
      <c r="L1320" s="23"/>
      <c r="M1320" s="21">
        <f t="shared" si="11"/>
        <v>1894.93</v>
      </c>
    </row>
    <row r="1321" ht="20.25" customHeight="1" outlineLevel="1">
      <c r="A1321" s="12">
        <v>46041.0</v>
      </c>
      <c r="B1321" s="13" t="s">
        <v>16</v>
      </c>
      <c r="C1321" s="42" t="s">
        <v>1214</v>
      </c>
      <c r="D1321" s="20"/>
      <c r="E1321" s="21">
        <f t="shared" si="1"/>
        <v>6427.88</v>
      </c>
      <c r="F1321" s="23"/>
      <c r="G1321" s="21">
        <f t="shared" si="8"/>
        <v>433548.19</v>
      </c>
      <c r="H1321" s="23"/>
      <c r="I1321" s="21">
        <f t="shared" si="9"/>
        <v>54.24</v>
      </c>
      <c r="J1321" s="23">
        <v>895.0</v>
      </c>
      <c r="K1321" s="21">
        <f t="shared" si="10"/>
        <v>278138.23</v>
      </c>
      <c r="L1321" s="23"/>
      <c r="M1321" s="21">
        <f t="shared" si="11"/>
        <v>1894.93</v>
      </c>
    </row>
    <row r="1322" ht="20.25" customHeight="1" outlineLevel="1">
      <c r="A1322" s="12">
        <v>46041.0</v>
      </c>
      <c r="B1322" s="13" t="s">
        <v>16</v>
      </c>
      <c r="C1322" s="28" t="s">
        <v>1215</v>
      </c>
      <c r="D1322" s="20">
        <v>279.0</v>
      </c>
      <c r="E1322" s="21">
        <f t="shared" si="1"/>
        <v>6706.88</v>
      </c>
      <c r="F1322" s="23"/>
      <c r="G1322" s="21">
        <f t="shared" si="8"/>
        <v>433548.19</v>
      </c>
      <c r="H1322" s="23"/>
      <c r="I1322" s="21">
        <f t="shared" si="9"/>
        <v>54.24</v>
      </c>
      <c r="J1322" s="23"/>
      <c r="K1322" s="21">
        <f t="shared" si="10"/>
        <v>278138.23</v>
      </c>
      <c r="L1322" s="23"/>
      <c r="M1322" s="21">
        <f t="shared" si="11"/>
        <v>1894.93</v>
      </c>
    </row>
    <row r="1323" ht="20.25" customHeight="1" outlineLevel="1">
      <c r="A1323" s="12">
        <v>46042.0</v>
      </c>
      <c r="B1323" s="13" t="s">
        <v>16</v>
      </c>
      <c r="C1323" s="28" t="s">
        <v>1216</v>
      </c>
      <c r="D1323" s="20"/>
      <c r="E1323" s="21">
        <f t="shared" si="1"/>
        <v>6706.88</v>
      </c>
      <c r="F1323" s="23">
        <v>450.0</v>
      </c>
      <c r="G1323" s="21">
        <f t="shared" si="8"/>
        <v>433998.19</v>
      </c>
      <c r="H1323" s="23"/>
      <c r="I1323" s="21">
        <f t="shared" si="9"/>
        <v>54.24</v>
      </c>
      <c r="J1323" s="23"/>
      <c r="K1323" s="21">
        <f t="shared" si="10"/>
        <v>278138.23</v>
      </c>
      <c r="L1323" s="23"/>
      <c r="M1323" s="21">
        <f t="shared" si="11"/>
        <v>1894.93</v>
      </c>
    </row>
    <row r="1324" ht="20.25" customHeight="1" outlineLevel="1">
      <c r="A1324" s="12">
        <v>46042.0</v>
      </c>
      <c r="B1324" s="13" t="s">
        <v>16</v>
      </c>
      <c r="C1324" s="28" t="s">
        <v>1217</v>
      </c>
      <c r="D1324" s="20"/>
      <c r="E1324" s="21">
        <f t="shared" si="1"/>
        <v>6706.88</v>
      </c>
      <c r="F1324" s="23">
        <v>142.0</v>
      </c>
      <c r="G1324" s="21">
        <f t="shared" si="8"/>
        <v>434140.19</v>
      </c>
      <c r="H1324" s="23"/>
      <c r="I1324" s="21">
        <f t="shared" si="9"/>
        <v>54.24</v>
      </c>
      <c r="J1324" s="23"/>
      <c r="K1324" s="21">
        <f t="shared" si="10"/>
        <v>278138.23</v>
      </c>
      <c r="L1324" s="23"/>
      <c r="M1324" s="21">
        <f t="shared" si="11"/>
        <v>1894.93</v>
      </c>
    </row>
    <row r="1325" ht="20.25" customHeight="1" outlineLevel="1">
      <c r="A1325" s="12">
        <v>46042.0</v>
      </c>
      <c r="B1325" s="13" t="s">
        <v>16</v>
      </c>
      <c r="C1325" s="28" t="s">
        <v>1218</v>
      </c>
      <c r="D1325" s="20"/>
      <c r="E1325" s="21">
        <f t="shared" si="1"/>
        <v>6706.88</v>
      </c>
      <c r="F1325" s="23">
        <v>88.0</v>
      </c>
      <c r="G1325" s="21">
        <f t="shared" si="8"/>
        <v>434228.19</v>
      </c>
      <c r="H1325" s="23"/>
      <c r="I1325" s="21">
        <f t="shared" si="9"/>
        <v>54.24</v>
      </c>
      <c r="J1325" s="23"/>
      <c r="K1325" s="21">
        <f t="shared" si="10"/>
        <v>278138.23</v>
      </c>
      <c r="L1325" s="23"/>
      <c r="M1325" s="21">
        <f t="shared" si="11"/>
        <v>1894.93</v>
      </c>
    </row>
    <row r="1326" ht="20.25" customHeight="1" outlineLevel="1">
      <c r="A1326" s="12">
        <v>46042.0</v>
      </c>
      <c r="B1326" s="13" t="s">
        <v>12</v>
      </c>
      <c r="C1326" s="28" t="s">
        <v>1219</v>
      </c>
      <c r="D1326" s="20"/>
      <c r="E1326" s="21">
        <f t="shared" si="1"/>
        <v>6706.88</v>
      </c>
      <c r="F1326" s="22">
        <v>-20.0</v>
      </c>
      <c r="G1326" s="21">
        <f t="shared" si="8"/>
        <v>434208.19</v>
      </c>
      <c r="H1326" s="23"/>
      <c r="I1326" s="21">
        <f t="shared" si="9"/>
        <v>54.24</v>
      </c>
      <c r="J1326" s="23"/>
      <c r="K1326" s="21">
        <f t="shared" si="10"/>
        <v>278138.23</v>
      </c>
      <c r="L1326" s="23"/>
      <c r="M1326" s="21">
        <f t="shared" si="11"/>
        <v>1894.93</v>
      </c>
    </row>
    <row r="1327" ht="20.25" customHeight="1" outlineLevel="1">
      <c r="A1327" s="12">
        <v>46042.0</v>
      </c>
      <c r="B1327" s="13" t="s">
        <v>16</v>
      </c>
      <c r="C1327" s="41" t="s">
        <v>1220</v>
      </c>
      <c r="D1327" s="20"/>
      <c r="E1327" s="21">
        <f t="shared" si="1"/>
        <v>6706.88</v>
      </c>
      <c r="F1327" s="23"/>
      <c r="G1327" s="21">
        <f t="shared" si="8"/>
        <v>434208.19</v>
      </c>
      <c r="H1327" s="23"/>
      <c r="I1327" s="21">
        <f t="shared" si="9"/>
        <v>54.24</v>
      </c>
      <c r="J1327" s="23">
        <v>259.0</v>
      </c>
      <c r="K1327" s="21">
        <f t="shared" si="10"/>
        <v>278397.23</v>
      </c>
      <c r="L1327" s="23"/>
      <c r="M1327" s="21">
        <f t="shared" si="11"/>
        <v>1894.93</v>
      </c>
    </row>
    <row r="1328" ht="20.25" customHeight="1" outlineLevel="1">
      <c r="A1328" s="12">
        <v>46042.0</v>
      </c>
      <c r="B1328" s="13" t="s">
        <v>16</v>
      </c>
      <c r="C1328" s="42" t="s">
        <v>34</v>
      </c>
      <c r="D1328" s="20"/>
      <c r="E1328" s="21">
        <f t="shared" si="1"/>
        <v>6706.88</v>
      </c>
      <c r="F1328" s="23"/>
      <c r="G1328" s="21">
        <f t="shared" si="8"/>
        <v>434208.19</v>
      </c>
      <c r="H1328" s="23"/>
      <c r="I1328" s="21">
        <f t="shared" si="9"/>
        <v>54.24</v>
      </c>
      <c r="J1328" s="22">
        <v>-18.3</v>
      </c>
      <c r="K1328" s="21">
        <f t="shared" si="10"/>
        <v>278378.93</v>
      </c>
      <c r="L1328" s="23"/>
      <c r="M1328" s="21">
        <f t="shared" si="11"/>
        <v>1894.93</v>
      </c>
    </row>
    <row r="1329" ht="20.25" customHeight="1" outlineLevel="1">
      <c r="A1329" s="12">
        <v>46042.0</v>
      </c>
      <c r="B1329" s="13" t="s">
        <v>16</v>
      </c>
      <c r="C1329" s="41" t="s">
        <v>1221</v>
      </c>
      <c r="D1329" s="20"/>
      <c r="E1329" s="21">
        <f t="shared" si="1"/>
        <v>6706.88</v>
      </c>
      <c r="F1329" s="23"/>
      <c r="G1329" s="21">
        <f t="shared" si="8"/>
        <v>434208.19</v>
      </c>
      <c r="H1329" s="23"/>
      <c r="I1329" s="21">
        <f t="shared" si="9"/>
        <v>54.24</v>
      </c>
      <c r="J1329" s="23">
        <v>117.0</v>
      </c>
      <c r="K1329" s="21">
        <f t="shared" si="10"/>
        <v>278495.93</v>
      </c>
      <c r="L1329" s="23"/>
      <c r="M1329" s="21">
        <f t="shared" si="11"/>
        <v>1894.93</v>
      </c>
    </row>
    <row r="1330" ht="20.25" customHeight="1" outlineLevel="1">
      <c r="A1330" s="12">
        <v>46042.0</v>
      </c>
      <c r="B1330" s="13" t="s">
        <v>16</v>
      </c>
      <c r="C1330" s="42" t="s">
        <v>1222</v>
      </c>
      <c r="D1330" s="20"/>
      <c r="E1330" s="21">
        <f t="shared" si="1"/>
        <v>6706.88</v>
      </c>
      <c r="F1330" s="23"/>
      <c r="G1330" s="21">
        <f t="shared" si="8"/>
        <v>434208.19</v>
      </c>
      <c r="H1330" s="23"/>
      <c r="I1330" s="21">
        <f t="shared" si="9"/>
        <v>54.24</v>
      </c>
      <c r="J1330" s="23">
        <v>309.0</v>
      </c>
      <c r="K1330" s="21">
        <f t="shared" si="10"/>
        <v>278804.93</v>
      </c>
      <c r="L1330" s="23"/>
      <c r="M1330" s="21">
        <f t="shared" si="11"/>
        <v>1894.93</v>
      </c>
    </row>
    <row r="1331" ht="20.25" customHeight="1" outlineLevel="1">
      <c r="A1331" s="12">
        <v>46042.0</v>
      </c>
      <c r="B1331" s="13" t="s">
        <v>16</v>
      </c>
      <c r="C1331" s="42" t="s">
        <v>1223</v>
      </c>
      <c r="D1331" s="20"/>
      <c r="E1331" s="21">
        <f t="shared" si="1"/>
        <v>6706.88</v>
      </c>
      <c r="F1331" s="23"/>
      <c r="G1331" s="21">
        <f t="shared" si="8"/>
        <v>434208.19</v>
      </c>
      <c r="H1331" s="23"/>
      <c r="I1331" s="21">
        <f t="shared" si="9"/>
        <v>54.24</v>
      </c>
      <c r="J1331" s="23">
        <v>1412.25</v>
      </c>
      <c r="K1331" s="21">
        <f t="shared" si="10"/>
        <v>280217.18</v>
      </c>
      <c r="L1331" s="23"/>
      <c r="M1331" s="21">
        <f t="shared" si="11"/>
        <v>1894.93</v>
      </c>
    </row>
    <row r="1332" ht="20.25" customHeight="1" outlineLevel="1">
      <c r="A1332" s="12">
        <v>46042.0</v>
      </c>
      <c r="B1332" s="13" t="s">
        <v>16</v>
      </c>
      <c r="C1332" s="28" t="s">
        <v>1224</v>
      </c>
      <c r="D1332" s="20">
        <v>399.0</v>
      </c>
      <c r="E1332" s="21">
        <f t="shared" si="1"/>
        <v>7105.88</v>
      </c>
      <c r="F1332" s="23"/>
      <c r="G1332" s="21">
        <f t="shared" si="8"/>
        <v>434208.19</v>
      </c>
      <c r="H1332" s="23"/>
      <c r="I1332" s="21">
        <f t="shared" si="9"/>
        <v>54.24</v>
      </c>
      <c r="J1332" s="23"/>
      <c r="K1332" s="21">
        <f t="shared" si="10"/>
        <v>280217.18</v>
      </c>
      <c r="L1332" s="23"/>
      <c r="M1332" s="21">
        <f t="shared" si="11"/>
        <v>1894.93</v>
      </c>
    </row>
    <row r="1333" ht="20.25" customHeight="1" outlineLevel="1">
      <c r="A1333" s="12">
        <v>46043.0</v>
      </c>
      <c r="B1333" s="13" t="s">
        <v>16</v>
      </c>
      <c r="C1333" s="28" t="s">
        <v>1225</v>
      </c>
      <c r="D1333" s="20"/>
      <c r="E1333" s="21">
        <f t="shared" si="1"/>
        <v>7105.88</v>
      </c>
      <c r="F1333" s="23">
        <v>465.0</v>
      </c>
      <c r="G1333" s="21">
        <f t="shared" si="8"/>
        <v>434673.19</v>
      </c>
      <c r="H1333" s="23"/>
      <c r="I1333" s="21">
        <f t="shared" si="9"/>
        <v>54.24</v>
      </c>
      <c r="J1333" s="23"/>
      <c r="K1333" s="21">
        <f t="shared" si="10"/>
        <v>280217.18</v>
      </c>
      <c r="L1333" s="23"/>
      <c r="M1333" s="21">
        <f t="shared" si="11"/>
        <v>1894.93</v>
      </c>
    </row>
    <row r="1334" ht="20.25" customHeight="1" outlineLevel="1">
      <c r="A1334" s="12">
        <v>46043.0</v>
      </c>
      <c r="B1334" s="13" t="s">
        <v>16</v>
      </c>
      <c r="C1334" s="28" t="s">
        <v>1226</v>
      </c>
      <c r="D1334" s="20"/>
      <c r="E1334" s="21">
        <f t="shared" si="1"/>
        <v>7105.88</v>
      </c>
      <c r="F1334" s="23">
        <v>88.0</v>
      </c>
      <c r="G1334" s="21">
        <f t="shared" si="8"/>
        <v>434761.19</v>
      </c>
      <c r="H1334" s="23"/>
      <c r="I1334" s="21">
        <f t="shared" si="9"/>
        <v>54.24</v>
      </c>
      <c r="J1334" s="23"/>
      <c r="K1334" s="21">
        <f t="shared" si="10"/>
        <v>280217.18</v>
      </c>
      <c r="L1334" s="23"/>
      <c r="M1334" s="21">
        <f t="shared" si="11"/>
        <v>1894.93</v>
      </c>
    </row>
    <row r="1335" ht="20.25" customHeight="1" outlineLevel="1">
      <c r="A1335" s="12">
        <v>46043.0</v>
      </c>
      <c r="B1335" s="13" t="s">
        <v>16</v>
      </c>
      <c r="C1335" s="28" t="s">
        <v>1227</v>
      </c>
      <c r="D1335" s="20"/>
      <c r="E1335" s="21">
        <f t="shared" si="1"/>
        <v>7105.88</v>
      </c>
      <c r="F1335" s="23">
        <v>50.0</v>
      </c>
      <c r="G1335" s="21">
        <f t="shared" si="8"/>
        <v>434811.19</v>
      </c>
      <c r="H1335" s="23"/>
      <c r="I1335" s="21">
        <f t="shared" si="9"/>
        <v>54.24</v>
      </c>
      <c r="J1335" s="23"/>
      <c r="K1335" s="21">
        <f t="shared" si="10"/>
        <v>280217.18</v>
      </c>
      <c r="L1335" s="23"/>
      <c r="M1335" s="21">
        <f t="shared" si="11"/>
        <v>1894.93</v>
      </c>
    </row>
    <row r="1336" ht="20.25" customHeight="1" outlineLevel="1">
      <c r="A1336" s="12">
        <v>46043.0</v>
      </c>
      <c r="B1336" s="13" t="s">
        <v>12</v>
      </c>
      <c r="C1336" s="42" t="s">
        <v>34</v>
      </c>
      <c r="D1336" s="20"/>
      <c r="E1336" s="21">
        <f t="shared" si="1"/>
        <v>7105.88</v>
      </c>
      <c r="F1336" s="23"/>
      <c r="G1336" s="21">
        <f t="shared" si="8"/>
        <v>434811.19</v>
      </c>
      <c r="H1336" s="23"/>
      <c r="I1336" s="21">
        <f t="shared" si="9"/>
        <v>54.24</v>
      </c>
      <c r="J1336" s="22">
        <v>-41.39</v>
      </c>
      <c r="K1336" s="21">
        <f t="shared" si="10"/>
        <v>280175.79</v>
      </c>
      <c r="L1336" s="23"/>
      <c r="M1336" s="21">
        <f t="shared" si="11"/>
        <v>1894.93</v>
      </c>
    </row>
    <row r="1337" ht="20.25" customHeight="1" outlineLevel="1">
      <c r="A1337" s="12">
        <v>46043.0</v>
      </c>
      <c r="B1337" s="13" t="s">
        <v>14</v>
      </c>
      <c r="C1337" s="42" t="s">
        <v>34</v>
      </c>
      <c r="D1337" s="20"/>
      <c r="E1337" s="21">
        <f t="shared" si="1"/>
        <v>7105.88</v>
      </c>
      <c r="F1337" s="23"/>
      <c r="G1337" s="21">
        <f t="shared" si="8"/>
        <v>434811.19</v>
      </c>
      <c r="H1337" s="23"/>
      <c r="I1337" s="21">
        <f t="shared" si="9"/>
        <v>54.24</v>
      </c>
      <c r="J1337" s="22">
        <v>-76.0</v>
      </c>
      <c r="K1337" s="21">
        <f t="shared" si="10"/>
        <v>280099.79</v>
      </c>
      <c r="L1337" s="23"/>
      <c r="M1337" s="21">
        <f t="shared" si="11"/>
        <v>1894.93</v>
      </c>
    </row>
    <row r="1338" ht="20.25" customHeight="1" outlineLevel="1">
      <c r="A1338" s="12">
        <v>46043.0</v>
      </c>
      <c r="B1338" s="13" t="s">
        <v>179</v>
      </c>
      <c r="C1338" s="28" t="s">
        <v>1228</v>
      </c>
      <c r="D1338" s="20"/>
      <c r="E1338" s="21">
        <f t="shared" si="1"/>
        <v>7105.88</v>
      </c>
      <c r="F1338" s="22">
        <v>-2000.0</v>
      </c>
      <c r="G1338" s="21">
        <f t="shared" si="8"/>
        <v>432811.19</v>
      </c>
      <c r="H1338" s="23"/>
      <c r="I1338" s="21">
        <f t="shared" si="9"/>
        <v>54.24</v>
      </c>
      <c r="J1338" s="23"/>
      <c r="K1338" s="21">
        <f t="shared" si="10"/>
        <v>280099.79</v>
      </c>
      <c r="L1338" s="23"/>
      <c r="M1338" s="21">
        <f t="shared" si="11"/>
        <v>1894.93</v>
      </c>
    </row>
    <row r="1339" ht="20.25" customHeight="1" outlineLevel="1">
      <c r="A1339" s="12">
        <v>46043.0</v>
      </c>
      <c r="B1339" s="13" t="s">
        <v>16</v>
      </c>
      <c r="C1339" s="28" t="s">
        <v>1229</v>
      </c>
      <c r="D1339" s="20"/>
      <c r="E1339" s="21">
        <f t="shared" si="1"/>
        <v>7105.88</v>
      </c>
      <c r="F1339" s="23"/>
      <c r="G1339" s="21">
        <f t="shared" si="8"/>
        <v>432811.19</v>
      </c>
      <c r="H1339" s="23"/>
      <c r="I1339" s="21">
        <f t="shared" si="9"/>
        <v>54.24</v>
      </c>
      <c r="J1339" s="23">
        <v>25.0</v>
      </c>
      <c r="K1339" s="21">
        <f t="shared" si="10"/>
        <v>280124.79</v>
      </c>
      <c r="L1339" s="23"/>
      <c r="M1339" s="21">
        <f t="shared" si="11"/>
        <v>1894.93</v>
      </c>
    </row>
    <row r="1340" ht="20.25" customHeight="1" outlineLevel="1">
      <c r="A1340" s="12">
        <v>46043.0</v>
      </c>
      <c r="B1340" s="13" t="s">
        <v>16</v>
      </c>
      <c r="C1340" s="28" t="s">
        <v>1230</v>
      </c>
      <c r="D1340" s="20"/>
      <c r="E1340" s="21">
        <f t="shared" si="1"/>
        <v>7105.88</v>
      </c>
      <c r="F1340" s="23"/>
      <c r="G1340" s="21">
        <f t="shared" si="8"/>
        <v>432811.19</v>
      </c>
      <c r="H1340" s="23"/>
      <c r="I1340" s="21">
        <f t="shared" si="9"/>
        <v>54.24</v>
      </c>
      <c r="J1340" s="23">
        <v>50.0</v>
      </c>
      <c r="K1340" s="21">
        <f t="shared" si="10"/>
        <v>280174.79</v>
      </c>
      <c r="L1340" s="23"/>
      <c r="M1340" s="21">
        <f t="shared" si="11"/>
        <v>1894.93</v>
      </c>
    </row>
    <row r="1341" ht="20.25" customHeight="1" outlineLevel="1">
      <c r="A1341" s="12">
        <v>46043.0</v>
      </c>
      <c r="B1341" s="13" t="s">
        <v>16</v>
      </c>
      <c r="C1341" s="28" t="s">
        <v>1231</v>
      </c>
      <c r="D1341" s="20">
        <v>15.0</v>
      </c>
      <c r="E1341" s="21">
        <f t="shared" si="1"/>
        <v>7120.88</v>
      </c>
      <c r="F1341" s="23"/>
      <c r="G1341" s="21">
        <f t="shared" si="8"/>
        <v>432811.19</v>
      </c>
      <c r="H1341" s="23"/>
      <c r="I1341" s="21">
        <f t="shared" si="9"/>
        <v>54.24</v>
      </c>
      <c r="J1341" s="23"/>
      <c r="K1341" s="21">
        <f t="shared" si="10"/>
        <v>280174.79</v>
      </c>
      <c r="L1341" s="23"/>
      <c r="M1341" s="21">
        <f t="shared" si="11"/>
        <v>1894.93</v>
      </c>
    </row>
    <row r="1342" ht="20.25" customHeight="1" outlineLevel="1">
      <c r="A1342" s="12">
        <v>46043.0</v>
      </c>
      <c r="B1342" s="13" t="s">
        <v>14</v>
      </c>
      <c r="C1342" s="28" t="s">
        <v>1232</v>
      </c>
      <c r="D1342" s="20"/>
      <c r="E1342" s="21">
        <f t="shared" si="1"/>
        <v>7120.88</v>
      </c>
      <c r="F1342" s="23"/>
      <c r="G1342" s="21">
        <f t="shared" si="8"/>
        <v>432811.19</v>
      </c>
      <c r="H1342" s="22">
        <v>-182.79</v>
      </c>
      <c r="I1342" s="21">
        <f t="shared" si="9"/>
        <v>-128.55</v>
      </c>
      <c r="J1342" s="23"/>
      <c r="K1342" s="21">
        <f t="shared" si="10"/>
        <v>280174.79</v>
      </c>
      <c r="L1342" s="23"/>
      <c r="M1342" s="21">
        <f t="shared" si="11"/>
        <v>1894.93</v>
      </c>
    </row>
    <row r="1343" ht="20.25" customHeight="1" outlineLevel="1">
      <c r="A1343" s="12">
        <v>46044.0</v>
      </c>
      <c r="B1343" s="13" t="s">
        <v>12</v>
      </c>
      <c r="C1343" s="28" t="s">
        <v>1233</v>
      </c>
      <c r="D1343" s="20"/>
      <c r="E1343" s="21">
        <f t="shared" si="1"/>
        <v>7120.88</v>
      </c>
      <c r="F1343" s="22">
        <v>-5916.5</v>
      </c>
      <c r="G1343" s="21">
        <f t="shared" si="8"/>
        <v>426894.69</v>
      </c>
      <c r="H1343" s="23"/>
      <c r="I1343" s="21">
        <f t="shared" si="9"/>
        <v>-128.55</v>
      </c>
      <c r="J1343" s="23"/>
      <c r="K1343" s="21">
        <f t="shared" si="10"/>
        <v>280174.79</v>
      </c>
      <c r="L1343" s="23"/>
      <c r="M1343" s="21">
        <f t="shared" si="11"/>
        <v>1894.93</v>
      </c>
    </row>
    <row r="1344" ht="20.25" customHeight="1" outlineLevel="1">
      <c r="A1344" s="12">
        <v>46044.0</v>
      </c>
      <c r="B1344" s="13" t="s">
        <v>16</v>
      </c>
      <c r="C1344" s="28" t="s">
        <v>1234</v>
      </c>
      <c r="D1344" s="20"/>
      <c r="E1344" s="21">
        <f t="shared" si="1"/>
        <v>7120.88</v>
      </c>
      <c r="F1344" s="23">
        <v>162.5</v>
      </c>
      <c r="G1344" s="21">
        <f t="shared" si="8"/>
        <v>427057.19</v>
      </c>
      <c r="H1344" s="23"/>
      <c r="I1344" s="21">
        <f t="shared" si="9"/>
        <v>-128.55</v>
      </c>
      <c r="J1344" s="23"/>
      <c r="K1344" s="21">
        <f t="shared" si="10"/>
        <v>280174.79</v>
      </c>
      <c r="L1344" s="23"/>
      <c r="M1344" s="21">
        <f t="shared" si="11"/>
        <v>1894.93</v>
      </c>
    </row>
    <row r="1345" ht="20.25" customHeight="1" outlineLevel="1">
      <c r="A1345" s="12">
        <v>46044.0</v>
      </c>
      <c r="B1345" s="13" t="s">
        <v>16</v>
      </c>
      <c r="C1345" s="28" t="s">
        <v>1235</v>
      </c>
      <c r="D1345" s="20"/>
      <c r="E1345" s="21">
        <f t="shared" si="1"/>
        <v>7120.88</v>
      </c>
      <c r="F1345" s="23">
        <v>25.0</v>
      </c>
      <c r="G1345" s="21">
        <f t="shared" si="8"/>
        <v>427082.19</v>
      </c>
      <c r="H1345" s="23"/>
      <c r="I1345" s="21">
        <f t="shared" si="9"/>
        <v>-128.55</v>
      </c>
      <c r="J1345" s="23"/>
      <c r="K1345" s="21">
        <f t="shared" si="10"/>
        <v>280174.79</v>
      </c>
      <c r="L1345" s="23"/>
      <c r="M1345" s="21">
        <f t="shared" si="11"/>
        <v>1894.93</v>
      </c>
    </row>
    <row r="1346" ht="20.25" customHeight="1" outlineLevel="1">
      <c r="A1346" s="12">
        <v>46044.0</v>
      </c>
      <c r="B1346" s="13" t="s">
        <v>16</v>
      </c>
      <c r="C1346" s="28" t="s">
        <v>1236</v>
      </c>
      <c r="D1346" s="20"/>
      <c r="E1346" s="21">
        <f t="shared" si="1"/>
        <v>7120.88</v>
      </c>
      <c r="F1346" s="23">
        <v>203.35</v>
      </c>
      <c r="G1346" s="21">
        <f t="shared" si="8"/>
        <v>427285.54</v>
      </c>
      <c r="H1346" s="23"/>
      <c r="I1346" s="21">
        <f t="shared" si="9"/>
        <v>-128.55</v>
      </c>
      <c r="J1346" s="23"/>
      <c r="K1346" s="21">
        <f t="shared" si="10"/>
        <v>280174.79</v>
      </c>
      <c r="L1346" s="23"/>
      <c r="M1346" s="21">
        <f t="shared" si="11"/>
        <v>1894.93</v>
      </c>
    </row>
    <row r="1347" ht="20.25" customHeight="1" outlineLevel="1">
      <c r="A1347" s="12">
        <v>46044.0</v>
      </c>
      <c r="B1347" s="13" t="s">
        <v>471</v>
      </c>
      <c r="C1347" s="28" t="s">
        <v>1237</v>
      </c>
      <c r="D1347" s="20"/>
      <c r="E1347" s="21">
        <f t="shared" si="1"/>
        <v>7120.88</v>
      </c>
      <c r="F1347" s="23"/>
      <c r="G1347" s="21">
        <f t="shared" si="8"/>
        <v>427285.54</v>
      </c>
      <c r="H1347" s="23"/>
      <c r="I1347" s="21">
        <f t="shared" si="9"/>
        <v>-128.55</v>
      </c>
      <c r="J1347" s="22">
        <v>-56807.0</v>
      </c>
      <c r="K1347" s="21">
        <f t="shared" si="10"/>
        <v>223367.79</v>
      </c>
      <c r="L1347" s="23"/>
      <c r="M1347" s="21">
        <f t="shared" si="11"/>
        <v>1894.93</v>
      </c>
    </row>
    <row r="1348" ht="20.25" customHeight="1" outlineLevel="1">
      <c r="A1348" s="12">
        <v>46044.0</v>
      </c>
      <c r="B1348" s="13" t="s">
        <v>14</v>
      </c>
      <c r="C1348" s="70" t="s">
        <v>1238</v>
      </c>
      <c r="D1348" s="20"/>
      <c r="E1348" s="21">
        <f t="shared" si="1"/>
        <v>7120.88</v>
      </c>
      <c r="F1348" s="23"/>
      <c r="G1348" s="21">
        <f t="shared" si="8"/>
        <v>427285.54</v>
      </c>
      <c r="H1348" s="23"/>
      <c r="I1348" s="21">
        <f t="shared" si="9"/>
        <v>-128.55</v>
      </c>
      <c r="J1348" s="22">
        <v>-0.5</v>
      </c>
      <c r="K1348" s="21">
        <f t="shared" si="10"/>
        <v>223367.29</v>
      </c>
      <c r="L1348" s="23"/>
      <c r="M1348" s="21">
        <f t="shared" si="11"/>
        <v>1894.93</v>
      </c>
    </row>
    <row r="1349" ht="20.25" customHeight="1" outlineLevel="1">
      <c r="A1349" s="12">
        <v>46044.0</v>
      </c>
      <c r="B1349" s="13" t="s">
        <v>16</v>
      </c>
      <c r="C1349" s="28" t="s">
        <v>1239</v>
      </c>
      <c r="D1349" s="20"/>
      <c r="E1349" s="21">
        <f t="shared" si="1"/>
        <v>7120.88</v>
      </c>
      <c r="F1349" s="23"/>
      <c r="G1349" s="21">
        <f t="shared" si="8"/>
        <v>427285.54</v>
      </c>
      <c r="H1349" s="23"/>
      <c r="I1349" s="21">
        <f t="shared" si="9"/>
        <v>-128.55</v>
      </c>
      <c r="J1349" s="23">
        <v>715.0</v>
      </c>
      <c r="K1349" s="21">
        <f t="shared" si="10"/>
        <v>224082.29</v>
      </c>
      <c r="L1349" s="23"/>
      <c r="M1349" s="21">
        <f t="shared" si="11"/>
        <v>1894.93</v>
      </c>
    </row>
    <row r="1350" ht="20.25" customHeight="1" outlineLevel="1">
      <c r="A1350" s="12">
        <v>46044.0</v>
      </c>
      <c r="B1350" s="13" t="s">
        <v>16</v>
      </c>
      <c r="C1350" s="207" t="s">
        <v>1240</v>
      </c>
      <c r="D1350" s="20">
        <v>320.0</v>
      </c>
      <c r="E1350" s="21">
        <f t="shared" si="1"/>
        <v>7440.88</v>
      </c>
      <c r="F1350" s="23"/>
      <c r="G1350" s="21">
        <f t="shared" si="8"/>
        <v>427285.54</v>
      </c>
      <c r="H1350" s="23"/>
      <c r="I1350" s="21">
        <f t="shared" si="9"/>
        <v>-128.55</v>
      </c>
      <c r="J1350" s="23"/>
      <c r="K1350" s="21">
        <f t="shared" si="10"/>
        <v>224082.29</v>
      </c>
      <c r="L1350" s="23"/>
      <c r="M1350" s="21">
        <f t="shared" si="11"/>
        <v>1894.93</v>
      </c>
    </row>
    <row r="1351" ht="20.25" customHeight="1" outlineLevel="1">
      <c r="A1351" s="12">
        <v>46044.0</v>
      </c>
      <c r="B1351" s="13" t="s">
        <v>179</v>
      </c>
      <c r="C1351" s="207" t="s">
        <v>1241</v>
      </c>
      <c r="D1351" s="20"/>
      <c r="E1351" s="21">
        <f t="shared" si="1"/>
        <v>7440.88</v>
      </c>
      <c r="F1351" s="23"/>
      <c r="G1351" s="21">
        <f t="shared" si="8"/>
        <v>427285.54</v>
      </c>
      <c r="H1351" s="23">
        <v>2000.0</v>
      </c>
      <c r="I1351" s="21">
        <f t="shared" si="9"/>
        <v>1871.45</v>
      </c>
      <c r="J1351" s="23"/>
      <c r="K1351" s="21">
        <f t="shared" si="10"/>
        <v>224082.29</v>
      </c>
      <c r="L1351" s="23"/>
      <c r="M1351" s="21">
        <f t="shared" si="11"/>
        <v>1894.93</v>
      </c>
    </row>
    <row r="1352" ht="20.25" customHeight="1" outlineLevel="1">
      <c r="A1352" s="12">
        <v>46045.0</v>
      </c>
      <c r="B1352" s="13" t="s">
        <v>16</v>
      </c>
      <c r="C1352" s="207" t="s">
        <v>1242</v>
      </c>
      <c r="D1352" s="20"/>
      <c r="E1352" s="21">
        <f t="shared" si="1"/>
        <v>7440.88</v>
      </c>
      <c r="F1352" s="23">
        <v>82.0</v>
      </c>
      <c r="G1352" s="21">
        <f t="shared" si="8"/>
        <v>427367.54</v>
      </c>
      <c r="H1352" s="23"/>
      <c r="I1352" s="21">
        <f t="shared" si="9"/>
        <v>1871.45</v>
      </c>
      <c r="J1352" s="23"/>
      <c r="K1352" s="21">
        <f t="shared" si="10"/>
        <v>224082.29</v>
      </c>
      <c r="L1352" s="23"/>
      <c r="M1352" s="21">
        <f t="shared" si="11"/>
        <v>1894.93</v>
      </c>
    </row>
    <row r="1353" ht="20.25" customHeight="1" outlineLevel="1">
      <c r="A1353" s="12">
        <v>46045.0</v>
      </c>
      <c r="B1353" s="13" t="s">
        <v>16</v>
      </c>
      <c r="C1353" s="207" t="s">
        <v>1243</v>
      </c>
      <c r="D1353" s="20"/>
      <c r="E1353" s="21">
        <f t="shared" si="1"/>
        <v>7440.88</v>
      </c>
      <c r="F1353" s="23">
        <v>306.0</v>
      </c>
      <c r="G1353" s="21">
        <f t="shared" si="8"/>
        <v>427673.54</v>
      </c>
      <c r="H1353" s="23"/>
      <c r="I1353" s="21">
        <f t="shared" si="9"/>
        <v>1871.45</v>
      </c>
      <c r="J1353" s="23"/>
      <c r="K1353" s="21">
        <f t="shared" si="10"/>
        <v>224082.29</v>
      </c>
      <c r="L1353" s="23"/>
      <c r="M1353" s="21">
        <f t="shared" si="11"/>
        <v>1894.93</v>
      </c>
    </row>
    <row r="1354" ht="20.25" customHeight="1" outlineLevel="1">
      <c r="A1354" s="12">
        <v>46045.0</v>
      </c>
      <c r="B1354" s="13" t="s">
        <v>16</v>
      </c>
      <c r="C1354" s="207" t="s">
        <v>1244</v>
      </c>
      <c r="D1354" s="20"/>
      <c r="E1354" s="21">
        <f t="shared" si="1"/>
        <v>7440.88</v>
      </c>
      <c r="F1354" s="23">
        <v>25.0</v>
      </c>
      <c r="G1354" s="21">
        <f t="shared" si="8"/>
        <v>427698.54</v>
      </c>
      <c r="H1354" s="23"/>
      <c r="I1354" s="21">
        <f t="shared" si="9"/>
        <v>1871.45</v>
      </c>
      <c r="J1354" s="23"/>
      <c r="K1354" s="21">
        <f t="shared" si="10"/>
        <v>224082.29</v>
      </c>
      <c r="L1354" s="23"/>
      <c r="M1354" s="21">
        <f t="shared" si="11"/>
        <v>1894.93</v>
      </c>
    </row>
    <row r="1355" ht="20.25" customHeight="1" outlineLevel="1">
      <c r="A1355" s="12">
        <v>46045.0</v>
      </c>
      <c r="B1355" s="13" t="s">
        <v>16</v>
      </c>
      <c r="C1355" s="207" t="s">
        <v>1245</v>
      </c>
      <c r="D1355" s="20"/>
      <c r="E1355" s="21">
        <f t="shared" si="1"/>
        <v>7440.88</v>
      </c>
      <c r="F1355" s="23">
        <v>1756.95</v>
      </c>
      <c r="G1355" s="21">
        <f t="shared" si="8"/>
        <v>429455.49</v>
      </c>
      <c r="H1355" s="23"/>
      <c r="I1355" s="21">
        <f t="shared" si="9"/>
        <v>1871.45</v>
      </c>
      <c r="J1355" s="23"/>
      <c r="K1355" s="21">
        <f t="shared" si="10"/>
        <v>224082.29</v>
      </c>
      <c r="L1355" s="23"/>
      <c r="M1355" s="21">
        <f t="shared" si="11"/>
        <v>1894.93</v>
      </c>
    </row>
    <row r="1356" ht="20.25" customHeight="1" outlineLevel="1">
      <c r="A1356" s="12">
        <v>46045.0</v>
      </c>
      <c r="B1356" s="13" t="s">
        <v>16</v>
      </c>
      <c r="C1356" s="207" t="s">
        <v>1246</v>
      </c>
      <c r="D1356" s="20"/>
      <c r="E1356" s="21">
        <f t="shared" si="1"/>
        <v>7440.88</v>
      </c>
      <c r="F1356" s="23">
        <v>44.8</v>
      </c>
      <c r="G1356" s="21">
        <f t="shared" si="8"/>
        <v>429500.29</v>
      </c>
      <c r="H1356" s="23"/>
      <c r="I1356" s="21">
        <f t="shared" si="9"/>
        <v>1871.45</v>
      </c>
      <c r="J1356" s="23"/>
      <c r="K1356" s="21">
        <f t="shared" si="10"/>
        <v>224082.29</v>
      </c>
      <c r="L1356" s="23"/>
      <c r="M1356" s="21">
        <f t="shared" si="11"/>
        <v>1894.93</v>
      </c>
    </row>
    <row r="1357" ht="20.25" customHeight="1" outlineLevel="1">
      <c r="A1357" s="12">
        <v>46045.0</v>
      </c>
      <c r="B1357" s="13" t="s">
        <v>14</v>
      </c>
      <c r="C1357" s="28" t="s">
        <v>1247</v>
      </c>
      <c r="D1357" s="20"/>
      <c r="E1357" s="21">
        <f t="shared" si="1"/>
        <v>7440.88</v>
      </c>
      <c r="F1357" s="22">
        <v>-124.0</v>
      </c>
      <c r="G1357" s="21">
        <f t="shared" si="8"/>
        <v>429376.29</v>
      </c>
      <c r="H1357" s="23"/>
      <c r="I1357" s="21">
        <f t="shared" si="9"/>
        <v>1871.45</v>
      </c>
      <c r="J1357" s="23"/>
      <c r="K1357" s="21">
        <f t="shared" si="10"/>
        <v>224082.29</v>
      </c>
      <c r="L1357" s="23"/>
      <c r="M1357" s="21">
        <f t="shared" si="11"/>
        <v>1894.93</v>
      </c>
    </row>
    <row r="1358" ht="20.25" customHeight="1" outlineLevel="1">
      <c r="A1358" s="12">
        <v>46045.0</v>
      </c>
      <c r="B1358" s="13" t="s">
        <v>14</v>
      </c>
      <c r="C1358" s="28" t="s">
        <v>34</v>
      </c>
      <c r="D1358" s="20"/>
      <c r="E1358" s="21">
        <f t="shared" si="1"/>
        <v>7440.88</v>
      </c>
      <c r="F1358" s="23"/>
      <c r="G1358" s="21">
        <f t="shared" si="8"/>
        <v>429376.29</v>
      </c>
      <c r="H1358" s="23"/>
      <c r="I1358" s="21">
        <f t="shared" si="9"/>
        <v>1871.45</v>
      </c>
      <c r="J1358" s="22">
        <v>-134.2</v>
      </c>
      <c r="K1358" s="21">
        <f t="shared" si="10"/>
        <v>223948.09</v>
      </c>
      <c r="L1358" s="23"/>
      <c r="M1358" s="21">
        <f t="shared" si="11"/>
        <v>1894.93</v>
      </c>
    </row>
    <row r="1359" ht="20.25" customHeight="1" outlineLevel="1">
      <c r="A1359" s="12">
        <v>46045.0</v>
      </c>
      <c r="B1359" s="13" t="s">
        <v>14</v>
      </c>
      <c r="C1359" s="28" t="s">
        <v>34</v>
      </c>
      <c r="D1359" s="20"/>
      <c r="E1359" s="21">
        <f t="shared" si="1"/>
        <v>7440.88</v>
      </c>
      <c r="F1359" s="23"/>
      <c r="G1359" s="21">
        <f t="shared" si="8"/>
        <v>429376.29</v>
      </c>
      <c r="H1359" s="23"/>
      <c r="I1359" s="21">
        <f t="shared" si="9"/>
        <v>1871.45</v>
      </c>
      <c r="J1359" s="22">
        <v>-23.9</v>
      </c>
      <c r="K1359" s="21">
        <f t="shared" si="10"/>
        <v>223924.19</v>
      </c>
      <c r="L1359" s="23"/>
      <c r="M1359" s="21">
        <f t="shared" si="11"/>
        <v>1894.93</v>
      </c>
    </row>
    <row r="1360" ht="20.25" customHeight="1" outlineLevel="1">
      <c r="A1360" s="12">
        <v>46045.0</v>
      </c>
      <c r="B1360" s="13" t="s">
        <v>16</v>
      </c>
      <c r="C1360" s="218" t="s">
        <v>1248</v>
      </c>
      <c r="D1360" s="20"/>
      <c r="E1360" s="21">
        <f t="shared" si="1"/>
        <v>7440.88</v>
      </c>
      <c r="F1360" s="23"/>
      <c r="G1360" s="21">
        <f t="shared" si="8"/>
        <v>429376.29</v>
      </c>
      <c r="H1360" s="23"/>
      <c r="I1360" s="21">
        <f t="shared" si="9"/>
        <v>1871.45</v>
      </c>
      <c r="J1360" s="23">
        <v>120.0</v>
      </c>
      <c r="K1360" s="21">
        <f t="shared" si="10"/>
        <v>224044.19</v>
      </c>
      <c r="L1360" s="23"/>
      <c r="M1360" s="21">
        <f t="shared" si="11"/>
        <v>1894.93</v>
      </c>
    </row>
    <row r="1361" ht="20.25" customHeight="1" outlineLevel="1">
      <c r="A1361" s="12">
        <v>46045.0</v>
      </c>
      <c r="B1361" s="13" t="s">
        <v>16</v>
      </c>
      <c r="C1361" s="28" t="s">
        <v>1249</v>
      </c>
      <c r="D1361" s="20"/>
      <c r="E1361" s="21">
        <f t="shared" si="1"/>
        <v>7440.88</v>
      </c>
      <c r="F1361" s="23"/>
      <c r="G1361" s="21">
        <f t="shared" si="8"/>
        <v>429376.29</v>
      </c>
      <c r="H1361" s="23"/>
      <c r="I1361" s="21">
        <f t="shared" si="9"/>
        <v>1871.45</v>
      </c>
      <c r="J1361" s="23">
        <v>68.0</v>
      </c>
      <c r="K1361" s="21">
        <f t="shared" si="10"/>
        <v>224112.19</v>
      </c>
      <c r="L1361" s="23"/>
      <c r="M1361" s="21">
        <f t="shared" si="11"/>
        <v>1894.93</v>
      </c>
    </row>
    <row r="1362" ht="20.25" customHeight="1" outlineLevel="1">
      <c r="A1362" s="12">
        <v>46045.0</v>
      </c>
      <c r="B1362" s="13" t="s">
        <v>16</v>
      </c>
      <c r="C1362" s="28" t="s">
        <v>1250</v>
      </c>
      <c r="D1362" s="20">
        <v>47.5</v>
      </c>
      <c r="E1362" s="21">
        <f t="shared" si="1"/>
        <v>7488.38</v>
      </c>
      <c r="F1362" s="23"/>
      <c r="G1362" s="21">
        <f t="shared" si="8"/>
        <v>429376.29</v>
      </c>
      <c r="H1362" s="23"/>
      <c r="I1362" s="21">
        <f t="shared" si="9"/>
        <v>1871.45</v>
      </c>
      <c r="J1362" s="23"/>
      <c r="K1362" s="21">
        <f t="shared" si="10"/>
        <v>224112.19</v>
      </c>
      <c r="L1362" s="23"/>
      <c r="M1362" s="21">
        <f t="shared" si="11"/>
        <v>1894.93</v>
      </c>
    </row>
    <row r="1363" ht="20.25" customHeight="1" outlineLevel="1">
      <c r="A1363" s="12">
        <v>46048.0</v>
      </c>
      <c r="B1363" s="13" t="s">
        <v>16</v>
      </c>
      <c r="C1363" s="28" t="s">
        <v>1251</v>
      </c>
      <c r="D1363" s="20"/>
      <c r="E1363" s="21">
        <f t="shared" si="1"/>
        <v>7488.38</v>
      </c>
      <c r="F1363" s="23">
        <v>50.0</v>
      </c>
      <c r="G1363" s="21">
        <f t="shared" si="8"/>
        <v>429426.29</v>
      </c>
      <c r="H1363" s="23"/>
      <c r="I1363" s="21">
        <f t="shared" si="9"/>
        <v>1871.45</v>
      </c>
      <c r="J1363" s="23"/>
      <c r="K1363" s="21">
        <f t="shared" si="10"/>
        <v>224112.19</v>
      </c>
      <c r="L1363" s="23"/>
      <c r="M1363" s="21">
        <f t="shared" si="11"/>
        <v>1894.93</v>
      </c>
    </row>
    <row r="1364" ht="20.25" customHeight="1" outlineLevel="1">
      <c r="A1364" s="12">
        <v>46048.0</v>
      </c>
      <c r="B1364" s="13" t="s">
        <v>16</v>
      </c>
      <c r="C1364" s="28" t="s">
        <v>1252</v>
      </c>
      <c r="D1364" s="20"/>
      <c r="E1364" s="21">
        <f t="shared" si="1"/>
        <v>7488.38</v>
      </c>
      <c r="F1364" s="23">
        <v>605.0</v>
      </c>
      <c r="G1364" s="21">
        <f t="shared" si="8"/>
        <v>430031.29</v>
      </c>
      <c r="H1364" s="23"/>
      <c r="I1364" s="21">
        <f t="shared" si="9"/>
        <v>1871.45</v>
      </c>
      <c r="J1364" s="23"/>
      <c r="K1364" s="21">
        <f t="shared" si="10"/>
        <v>224112.19</v>
      </c>
      <c r="L1364" s="23"/>
      <c r="M1364" s="21">
        <f t="shared" si="11"/>
        <v>1894.93</v>
      </c>
    </row>
    <row r="1365" ht="20.25" customHeight="1" outlineLevel="1">
      <c r="A1365" s="12">
        <v>46048.0</v>
      </c>
      <c r="B1365" s="13" t="s">
        <v>16</v>
      </c>
      <c r="C1365" s="28" t="s">
        <v>1253</v>
      </c>
      <c r="D1365" s="20"/>
      <c r="E1365" s="21">
        <f t="shared" si="1"/>
        <v>7488.38</v>
      </c>
      <c r="F1365" s="23">
        <v>45.0</v>
      </c>
      <c r="G1365" s="21">
        <f t="shared" si="8"/>
        <v>430076.29</v>
      </c>
      <c r="H1365" s="23"/>
      <c r="I1365" s="21">
        <f t="shared" si="9"/>
        <v>1871.45</v>
      </c>
      <c r="J1365" s="23"/>
      <c r="K1365" s="21">
        <f t="shared" si="10"/>
        <v>224112.19</v>
      </c>
      <c r="L1365" s="23"/>
      <c r="M1365" s="21">
        <f t="shared" si="11"/>
        <v>1894.93</v>
      </c>
    </row>
    <row r="1366" ht="20.25" customHeight="1" outlineLevel="1">
      <c r="A1366" s="12">
        <v>46048.0</v>
      </c>
      <c r="B1366" s="13" t="s">
        <v>16</v>
      </c>
      <c r="C1366" s="28" t="s">
        <v>1254</v>
      </c>
      <c r="D1366" s="20"/>
      <c r="E1366" s="21">
        <f t="shared" si="1"/>
        <v>7488.38</v>
      </c>
      <c r="F1366" s="23">
        <v>25.0</v>
      </c>
      <c r="G1366" s="21">
        <f t="shared" si="8"/>
        <v>430101.29</v>
      </c>
      <c r="H1366" s="23"/>
      <c r="I1366" s="21">
        <f t="shared" si="9"/>
        <v>1871.45</v>
      </c>
      <c r="J1366" s="23"/>
      <c r="K1366" s="21">
        <f t="shared" si="10"/>
        <v>224112.19</v>
      </c>
      <c r="L1366" s="23"/>
      <c r="M1366" s="21">
        <f t="shared" si="11"/>
        <v>1894.93</v>
      </c>
    </row>
    <row r="1367" ht="20.25" customHeight="1" outlineLevel="1">
      <c r="A1367" s="12">
        <v>46048.0</v>
      </c>
      <c r="B1367" s="13" t="s">
        <v>16</v>
      </c>
      <c r="C1367" s="28" t="s">
        <v>1255</v>
      </c>
      <c r="D1367" s="20"/>
      <c r="E1367" s="21">
        <f t="shared" si="1"/>
        <v>7488.38</v>
      </c>
      <c r="F1367" s="23">
        <v>25.0</v>
      </c>
      <c r="G1367" s="21">
        <f t="shared" si="8"/>
        <v>430126.29</v>
      </c>
      <c r="H1367" s="23"/>
      <c r="I1367" s="21">
        <f t="shared" si="9"/>
        <v>1871.45</v>
      </c>
      <c r="J1367" s="23"/>
      <c r="K1367" s="21">
        <f t="shared" si="10"/>
        <v>224112.19</v>
      </c>
      <c r="L1367" s="23"/>
      <c r="M1367" s="21">
        <f t="shared" si="11"/>
        <v>1894.93</v>
      </c>
    </row>
    <row r="1368" ht="20.25" customHeight="1" outlineLevel="1">
      <c r="A1368" s="12">
        <v>46048.0</v>
      </c>
      <c r="B1368" s="13" t="s">
        <v>16</v>
      </c>
      <c r="C1368" s="42" t="s">
        <v>1256</v>
      </c>
      <c r="D1368" s="20"/>
      <c r="E1368" s="21">
        <f t="shared" si="1"/>
        <v>7488.38</v>
      </c>
      <c r="F1368" s="23"/>
      <c r="G1368" s="21">
        <f t="shared" si="8"/>
        <v>430126.29</v>
      </c>
      <c r="H1368" s="23"/>
      <c r="I1368" s="21">
        <f t="shared" si="9"/>
        <v>1871.45</v>
      </c>
      <c r="J1368" s="23">
        <v>50.0</v>
      </c>
      <c r="K1368" s="21">
        <f t="shared" si="10"/>
        <v>224162.19</v>
      </c>
      <c r="L1368" s="23"/>
      <c r="M1368" s="21">
        <f t="shared" si="11"/>
        <v>1894.93</v>
      </c>
    </row>
    <row r="1369" ht="20.25" customHeight="1" outlineLevel="1">
      <c r="A1369" s="12">
        <v>46048.0</v>
      </c>
      <c r="B1369" s="13" t="s">
        <v>16</v>
      </c>
      <c r="C1369" s="42" t="s">
        <v>1257</v>
      </c>
      <c r="D1369" s="20"/>
      <c r="E1369" s="21">
        <f t="shared" si="1"/>
        <v>7488.38</v>
      </c>
      <c r="F1369" s="23"/>
      <c r="G1369" s="21">
        <f t="shared" si="8"/>
        <v>430126.29</v>
      </c>
      <c r="H1369" s="23"/>
      <c r="I1369" s="21">
        <f t="shared" si="9"/>
        <v>1871.45</v>
      </c>
      <c r="J1369" s="23">
        <v>461.28</v>
      </c>
      <c r="K1369" s="21">
        <f t="shared" si="10"/>
        <v>224623.47</v>
      </c>
      <c r="L1369" s="23"/>
      <c r="M1369" s="21">
        <f t="shared" si="11"/>
        <v>1894.93</v>
      </c>
    </row>
    <row r="1370" ht="20.25" customHeight="1" outlineLevel="1">
      <c r="A1370" s="12">
        <v>46048.0</v>
      </c>
      <c r="B1370" s="13" t="s">
        <v>16</v>
      </c>
      <c r="C1370" s="42" t="s">
        <v>1258</v>
      </c>
      <c r="D1370" s="20"/>
      <c r="E1370" s="21">
        <f t="shared" si="1"/>
        <v>7488.38</v>
      </c>
      <c r="F1370" s="23"/>
      <c r="G1370" s="21">
        <f t="shared" si="8"/>
        <v>430126.29</v>
      </c>
      <c r="H1370" s="23"/>
      <c r="I1370" s="21">
        <f t="shared" si="9"/>
        <v>1871.45</v>
      </c>
      <c r="J1370" s="23">
        <v>25.0</v>
      </c>
      <c r="K1370" s="21">
        <f t="shared" si="10"/>
        <v>224648.47</v>
      </c>
      <c r="L1370" s="23"/>
      <c r="M1370" s="21">
        <f t="shared" si="11"/>
        <v>1894.93</v>
      </c>
    </row>
    <row r="1371" ht="20.25" customHeight="1" outlineLevel="1">
      <c r="A1371" s="12">
        <v>46048.0</v>
      </c>
      <c r="B1371" s="13" t="s">
        <v>16</v>
      </c>
      <c r="C1371" s="42" t="s">
        <v>1259</v>
      </c>
      <c r="D1371" s="20"/>
      <c r="E1371" s="21">
        <f t="shared" si="1"/>
        <v>7488.38</v>
      </c>
      <c r="F1371" s="23"/>
      <c r="G1371" s="21">
        <f t="shared" si="8"/>
        <v>430126.29</v>
      </c>
      <c r="H1371" s="23"/>
      <c r="I1371" s="21">
        <f t="shared" si="9"/>
        <v>1871.45</v>
      </c>
      <c r="J1371" s="23">
        <v>25.0</v>
      </c>
      <c r="K1371" s="21">
        <f t="shared" si="10"/>
        <v>224673.47</v>
      </c>
      <c r="L1371" s="23"/>
      <c r="M1371" s="21">
        <f t="shared" si="11"/>
        <v>1894.93</v>
      </c>
    </row>
    <row r="1372" ht="20.25" customHeight="1" outlineLevel="1">
      <c r="A1372" s="12">
        <v>46048.0</v>
      </c>
      <c r="B1372" s="13" t="s">
        <v>16</v>
      </c>
      <c r="C1372" s="28" t="s">
        <v>1260</v>
      </c>
      <c r="D1372" s="20">
        <v>695.0</v>
      </c>
      <c r="E1372" s="21">
        <f t="shared" si="1"/>
        <v>8183.38</v>
      </c>
      <c r="F1372" s="23"/>
      <c r="G1372" s="21">
        <f t="shared" si="8"/>
        <v>430126.29</v>
      </c>
      <c r="H1372" s="23"/>
      <c r="I1372" s="21">
        <f t="shared" si="9"/>
        <v>1871.45</v>
      </c>
      <c r="J1372" s="23"/>
      <c r="K1372" s="21">
        <f t="shared" si="10"/>
        <v>224673.47</v>
      </c>
      <c r="L1372" s="23"/>
      <c r="M1372" s="21">
        <f t="shared" si="11"/>
        <v>1894.93</v>
      </c>
    </row>
    <row r="1373" ht="20.25" customHeight="1" outlineLevel="1">
      <c r="A1373" s="12">
        <v>46049.0</v>
      </c>
      <c r="B1373" s="13" t="s">
        <v>16</v>
      </c>
      <c r="C1373" s="28" t="s">
        <v>1261</v>
      </c>
      <c r="D1373" s="20"/>
      <c r="E1373" s="21">
        <f t="shared" si="1"/>
        <v>8183.38</v>
      </c>
      <c r="F1373" s="23">
        <v>1155.0</v>
      </c>
      <c r="G1373" s="21">
        <f t="shared" si="8"/>
        <v>431281.29</v>
      </c>
      <c r="H1373" s="23"/>
      <c r="I1373" s="21">
        <f t="shared" si="9"/>
        <v>1871.45</v>
      </c>
      <c r="J1373" s="23"/>
      <c r="K1373" s="21">
        <f t="shared" si="10"/>
        <v>224673.47</v>
      </c>
      <c r="L1373" s="23"/>
      <c r="M1373" s="21">
        <f t="shared" si="11"/>
        <v>1894.93</v>
      </c>
    </row>
    <row r="1374" ht="20.25" customHeight="1" outlineLevel="1">
      <c r="A1374" s="12">
        <v>46049.0</v>
      </c>
      <c r="B1374" s="13" t="s">
        <v>16</v>
      </c>
      <c r="C1374" s="28" t="s">
        <v>1262</v>
      </c>
      <c r="D1374" s="20"/>
      <c r="E1374" s="21">
        <f t="shared" si="1"/>
        <v>8183.38</v>
      </c>
      <c r="F1374" s="23">
        <v>50.0</v>
      </c>
      <c r="G1374" s="21">
        <f t="shared" si="8"/>
        <v>431331.29</v>
      </c>
      <c r="H1374" s="23"/>
      <c r="I1374" s="21">
        <f t="shared" si="9"/>
        <v>1871.45</v>
      </c>
      <c r="J1374" s="23"/>
      <c r="K1374" s="21">
        <f t="shared" si="10"/>
        <v>224673.47</v>
      </c>
      <c r="L1374" s="23"/>
      <c r="M1374" s="21">
        <f t="shared" si="11"/>
        <v>1894.93</v>
      </c>
    </row>
    <row r="1375" ht="20.25" customHeight="1" outlineLevel="1">
      <c r="A1375" s="12">
        <v>46049.0</v>
      </c>
      <c r="B1375" s="13" t="s">
        <v>16</v>
      </c>
      <c r="C1375" s="28" t="s">
        <v>1263</v>
      </c>
      <c r="D1375" s="20"/>
      <c r="E1375" s="21">
        <f t="shared" si="1"/>
        <v>8183.38</v>
      </c>
      <c r="F1375" s="23">
        <v>88.0</v>
      </c>
      <c r="G1375" s="21">
        <f t="shared" si="8"/>
        <v>431419.29</v>
      </c>
      <c r="H1375" s="23"/>
      <c r="I1375" s="21">
        <f t="shared" si="9"/>
        <v>1871.45</v>
      </c>
      <c r="J1375" s="23"/>
      <c r="K1375" s="21">
        <f t="shared" si="10"/>
        <v>224673.47</v>
      </c>
      <c r="L1375" s="23"/>
      <c r="M1375" s="21">
        <f t="shared" si="11"/>
        <v>1894.93</v>
      </c>
    </row>
    <row r="1376" ht="20.25" customHeight="1" outlineLevel="1">
      <c r="A1376" s="12">
        <v>46049.0</v>
      </c>
      <c r="B1376" s="13" t="s">
        <v>16</v>
      </c>
      <c r="C1376" s="216" t="s">
        <v>1264</v>
      </c>
      <c r="D1376" s="20"/>
      <c r="E1376" s="21">
        <f t="shared" si="1"/>
        <v>8183.38</v>
      </c>
      <c r="F1376" s="23"/>
      <c r="G1376" s="21">
        <f t="shared" si="8"/>
        <v>431419.29</v>
      </c>
      <c r="H1376" s="23"/>
      <c r="I1376" s="21">
        <f t="shared" si="9"/>
        <v>1871.45</v>
      </c>
      <c r="J1376" s="23">
        <v>176.0</v>
      </c>
      <c r="K1376" s="21">
        <f t="shared" si="10"/>
        <v>224849.47</v>
      </c>
      <c r="L1376" s="23"/>
      <c r="M1376" s="21">
        <f t="shared" si="11"/>
        <v>1894.93</v>
      </c>
    </row>
    <row r="1377" ht="20.25" customHeight="1" outlineLevel="1">
      <c r="A1377" s="12">
        <v>46049.0</v>
      </c>
      <c r="B1377" s="13" t="s">
        <v>14</v>
      </c>
      <c r="C1377" s="215" t="s">
        <v>34</v>
      </c>
      <c r="D1377" s="20"/>
      <c r="E1377" s="21">
        <f t="shared" si="1"/>
        <v>8183.38</v>
      </c>
      <c r="F1377" s="23"/>
      <c r="G1377" s="21">
        <f t="shared" si="8"/>
        <v>431419.29</v>
      </c>
      <c r="H1377" s="23"/>
      <c r="I1377" s="21">
        <f t="shared" si="9"/>
        <v>1871.45</v>
      </c>
      <c r="J1377" s="22">
        <v>-29.0</v>
      </c>
      <c r="K1377" s="21">
        <f t="shared" si="10"/>
        <v>224820.47</v>
      </c>
      <c r="L1377" s="23"/>
      <c r="M1377" s="21">
        <f t="shared" si="11"/>
        <v>1894.93</v>
      </c>
    </row>
    <row r="1378" ht="20.25" customHeight="1" outlineLevel="1">
      <c r="A1378" s="12">
        <v>46049.0</v>
      </c>
      <c r="B1378" s="13" t="s">
        <v>14</v>
      </c>
      <c r="C1378" s="215" t="s">
        <v>34</v>
      </c>
      <c r="D1378" s="20"/>
      <c r="E1378" s="21">
        <f t="shared" si="1"/>
        <v>8183.38</v>
      </c>
      <c r="F1378" s="23"/>
      <c r="G1378" s="21">
        <f t="shared" si="8"/>
        <v>431419.29</v>
      </c>
      <c r="H1378" s="23"/>
      <c r="I1378" s="21">
        <f t="shared" si="9"/>
        <v>1871.45</v>
      </c>
      <c r="J1378" s="22">
        <v>-23.8</v>
      </c>
      <c r="K1378" s="21">
        <f t="shared" si="10"/>
        <v>224796.67</v>
      </c>
      <c r="L1378" s="23"/>
      <c r="M1378" s="21">
        <f t="shared" si="11"/>
        <v>1894.93</v>
      </c>
    </row>
    <row r="1379" ht="20.25" customHeight="1" outlineLevel="1">
      <c r="A1379" s="12">
        <v>46049.0</v>
      </c>
      <c r="B1379" s="13" t="s">
        <v>16</v>
      </c>
      <c r="C1379" s="215" t="s">
        <v>1265</v>
      </c>
      <c r="D1379" s="20"/>
      <c r="E1379" s="21">
        <f t="shared" si="1"/>
        <v>8183.38</v>
      </c>
      <c r="F1379" s="23"/>
      <c r="G1379" s="21">
        <f t="shared" si="8"/>
        <v>431419.29</v>
      </c>
      <c r="H1379" s="23"/>
      <c r="I1379" s="21">
        <f t="shared" si="9"/>
        <v>1871.45</v>
      </c>
      <c r="J1379" s="23">
        <v>50.0</v>
      </c>
      <c r="K1379" s="21">
        <f t="shared" si="10"/>
        <v>224846.67</v>
      </c>
      <c r="L1379" s="23"/>
      <c r="M1379" s="21">
        <f t="shared" si="11"/>
        <v>1894.93</v>
      </c>
    </row>
    <row r="1380" ht="20.25" customHeight="1" outlineLevel="1">
      <c r="A1380" s="12">
        <v>46049.0</v>
      </c>
      <c r="B1380" s="13" t="s">
        <v>16</v>
      </c>
      <c r="C1380" s="207" t="s">
        <v>1266</v>
      </c>
      <c r="D1380" s="20">
        <v>50.0</v>
      </c>
      <c r="E1380" s="21">
        <f t="shared" si="1"/>
        <v>8233.38</v>
      </c>
      <c r="F1380" s="23"/>
      <c r="G1380" s="21">
        <f t="shared" si="8"/>
        <v>431419.29</v>
      </c>
      <c r="H1380" s="23"/>
      <c r="I1380" s="21">
        <f t="shared" si="9"/>
        <v>1871.45</v>
      </c>
      <c r="J1380" s="23"/>
      <c r="K1380" s="21">
        <f t="shared" si="10"/>
        <v>224846.67</v>
      </c>
      <c r="L1380" s="23"/>
      <c r="M1380" s="21">
        <f t="shared" si="11"/>
        <v>1894.93</v>
      </c>
    </row>
    <row r="1381" ht="20.25" customHeight="1" outlineLevel="1">
      <c r="A1381" s="12">
        <v>46050.0</v>
      </c>
      <c r="B1381" s="13" t="s">
        <v>63</v>
      </c>
      <c r="C1381" s="212" t="s">
        <v>1267</v>
      </c>
      <c r="D1381" s="20"/>
      <c r="E1381" s="21">
        <f t="shared" si="1"/>
        <v>8233.38</v>
      </c>
      <c r="F1381" s="51">
        <v>244.0</v>
      </c>
      <c r="G1381" s="21">
        <f t="shared" si="8"/>
        <v>431663.29</v>
      </c>
      <c r="H1381" s="23"/>
      <c r="I1381" s="21">
        <f t="shared" si="9"/>
        <v>1871.45</v>
      </c>
      <c r="J1381" s="23"/>
      <c r="K1381" s="21">
        <f t="shared" si="10"/>
        <v>224846.67</v>
      </c>
      <c r="L1381" s="23"/>
      <c r="M1381" s="21">
        <f t="shared" si="11"/>
        <v>1894.93</v>
      </c>
    </row>
    <row r="1382" ht="20.25" customHeight="1" outlineLevel="1">
      <c r="A1382" s="12">
        <v>46050.0</v>
      </c>
      <c r="B1382" s="13" t="s">
        <v>16</v>
      </c>
      <c r="C1382" s="216" t="s">
        <v>1268</v>
      </c>
      <c r="D1382" s="20"/>
      <c r="E1382" s="21">
        <f t="shared" si="1"/>
        <v>8233.38</v>
      </c>
      <c r="F1382" s="23"/>
      <c r="G1382" s="21">
        <f t="shared" si="8"/>
        <v>431663.29</v>
      </c>
      <c r="H1382" s="23"/>
      <c r="I1382" s="21">
        <f t="shared" si="9"/>
        <v>1871.45</v>
      </c>
      <c r="J1382" s="23">
        <v>409.0</v>
      </c>
      <c r="K1382" s="21">
        <f t="shared" si="10"/>
        <v>225255.67</v>
      </c>
      <c r="L1382" s="23"/>
      <c r="M1382" s="21">
        <f t="shared" si="11"/>
        <v>1894.93</v>
      </c>
    </row>
    <row r="1383" ht="20.25" customHeight="1" outlineLevel="1">
      <c r="A1383" s="12">
        <v>46050.0</v>
      </c>
      <c r="B1383" s="13" t="s">
        <v>14</v>
      </c>
      <c r="C1383" s="215" t="s">
        <v>34</v>
      </c>
      <c r="D1383" s="20"/>
      <c r="E1383" s="21">
        <f t="shared" si="1"/>
        <v>8233.38</v>
      </c>
      <c r="F1383" s="23"/>
      <c r="G1383" s="21">
        <f t="shared" si="8"/>
        <v>431663.29</v>
      </c>
      <c r="H1383" s="23"/>
      <c r="I1383" s="21">
        <f t="shared" si="9"/>
        <v>1871.45</v>
      </c>
      <c r="J1383" s="22">
        <v>-199.99</v>
      </c>
      <c r="K1383" s="21">
        <f t="shared" si="10"/>
        <v>225055.68</v>
      </c>
      <c r="L1383" s="23"/>
      <c r="M1383" s="21">
        <f t="shared" si="11"/>
        <v>1894.93</v>
      </c>
    </row>
    <row r="1384" ht="20.25" customHeight="1" outlineLevel="1">
      <c r="A1384" s="12">
        <v>46050.0</v>
      </c>
      <c r="B1384" s="13" t="s">
        <v>16</v>
      </c>
      <c r="C1384" s="207" t="s">
        <v>1269</v>
      </c>
      <c r="D1384" s="20"/>
      <c r="E1384" s="21">
        <f t="shared" si="1"/>
        <v>8233.38</v>
      </c>
      <c r="F1384" s="23">
        <v>55.0</v>
      </c>
      <c r="G1384" s="21">
        <f t="shared" si="8"/>
        <v>431718.29</v>
      </c>
      <c r="H1384" s="23"/>
      <c r="I1384" s="21">
        <f t="shared" si="9"/>
        <v>1871.45</v>
      </c>
      <c r="J1384" s="23"/>
      <c r="K1384" s="21">
        <f t="shared" si="10"/>
        <v>225055.68</v>
      </c>
      <c r="L1384" s="23"/>
      <c r="M1384" s="21">
        <f t="shared" si="11"/>
        <v>1894.93</v>
      </c>
    </row>
    <row r="1385" ht="20.25" customHeight="1" outlineLevel="1">
      <c r="A1385" s="12">
        <v>46050.0</v>
      </c>
      <c r="B1385" s="13" t="s">
        <v>16</v>
      </c>
      <c r="C1385" s="207" t="s">
        <v>1270</v>
      </c>
      <c r="D1385" s="20"/>
      <c r="E1385" s="21">
        <f t="shared" si="1"/>
        <v>8233.38</v>
      </c>
      <c r="F1385" s="23">
        <v>670.0</v>
      </c>
      <c r="G1385" s="21">
        <f t="shared" si="8"/>
        <v>432388.29</v>
      </c>
      <c r="H1385" s="23"/>
      <c r="I1385" s="21">
        <f t="shared" si="9"/>
        <v>1871.45</v>
      </c>
      <c r="J1385" s="23"/>
      <c r="K1385" s="21">
        <f t="shared" si="10"/>
        <v>225055.68</v>
      </c>
      <c r="L1385" s="23"/>
      <c r="M1385" s="21">
        <f t="shared" si="11"/>
        <v>1894.93</v>
      </c>
    </row>
    <row r="1386" ht="20.25" customHeight="1" outlineLevel="1">
      <c r="A1386" s="12">
        <v>46050.0</v>
      </c>
      <c r="B1386" s="13" t="s">
        <v>16</v>
      </c>
      <c r="C1386" s="207" t="s">
        <v>1271</v>
      </c>
      <c r="D1386" s="20"/>
      <c r="E1386" s="21">
        <f t="shared" si="1"/>
        <v>8233.38</v>
      </c>
      <c r="F1386" s="23"/>
      <c r="G1386" s="21">
        <f t="shared" si="8"/>
        <v>432388.29</v>
      </c>
      <c r="H1386" s="23"/>
      <c r="I1386" s="21">
        <f t="shared" si="9"/>
        <v>1871.45</v>
      </c>
      <c r="J1386" s="23">
        <v>25.0</v>
      </c>
      <c r="K1386" s="21">
        <f t="shared" si="10"/>
        <v>225080.68</v>
      </c>
      <c r="L1386" s="23"/>
      <c r="M1386" s="21">
        <f t="shared" si="11"/>
        <v>1894.93</v>
      </c>
    </row>
    <row r="1387" ht="20.25" customHeight="1" outlineLevel="1">
      <c r="A1387" s="12">
        <v>46050.0</v>
      </c>
      <c r="B1387" s="13" t="s">
        <v>16</v>
      </c>
      <c r="C1387" s="207" t="s">
        <v>1272</v>
      </c>
      <c r="D1387" s="20"/>
      <c r="E1387" s="21">
        <f t="shared" si="1"/>
        <v>8233.38</v>
      </c>
      <c r="F1387" s="23"/>
      <c r="G1387" s="21">
        <f t="shared" si="8"/>
        <v>432388.29</v>
      </c>
      <c r="H1387" s="23"/>
      <c r="I1387" s="21">
        <f t="shared" si="9"/>
        <v>1871.45</v>
      </c>
      <c r="J1387" s="23">
        <v>360.0</v>
      </c>
      <c r="K1387" s="21">
        <f t="shared" si="10"/>
        <v>225440.68</v>
      </c>
      <c r="L1387" s="23"/>
      <c r="M1387" s="21">
        <f t="shared" si="11"/>
        <v>1894.93</v>
      </c>
    </row>
    <row r="1388" ht="20.25" customHeight="1" outlineLevel="1">
      <c r="A1388" s="12">
        <v>46050.0</v>
      </c>
      <c r="B1388" s="13" t="s">
        <v>16</v>
      </c>
      <c r="C1388" s="207" t="s">
        <v>1273</v>
      </c>
      <c r="D1388" s="20">
        <v>150.0</v>
      </c>
      <c r="E1388" s="21">
        <f t="shared" si="1"/>
        <v>8383.38</v>
      </c>
      <c r="F1388" s="23"/>
      <c r="G1388" s="21">
        <f t="shared" si="8"/>
        <v>432388.29</v>
      </c>
      <c r="H1388" s="23"/>
      <c r="I1388" s="21">
        <f t="shared" si="9"/>
        <v>1871.45</v>
      </c>
      <c r="J1388" s="23"/>
      <c r="K1388" s="21">
        <f t="shared" si="10"/>
        <v>225440.68</v>
      </c>
      <c r="L1388" s="23"/>
      <c r="M1388" s="21">
        <f t="shared" si="11"/>
        <v>1894.93</v>
      </c>
    </row>
    <row r="1389" ht="20.25" customHeight="1" outlineLevel="1">
      <c r="A1389" s="12">
        <v>46051.0</v>
      </c>
      <c r="B1389" s="13" t="s">
        <v>12</v>
      </c>
      <c r="C1389" s="209" t="s">
        <v>1274</v>
      </c>
      <c r="D1389" s="20"/>
      <c r="E1389" s="21">
        <f t="shared" si="1"/>
        <v>8383.38</v>
      </c>
      <c r="F1389" s="22">
        <v>-890.0</v>
      </c>
      <c r="G1389" s="21">
        <f t="shared" si="8"/>
        <v>431498.29</v>
      </c>
      <c r="H1389" s="23"/>
      <c r="I1389" s="21">
        <f t="shared" si="9"/>
        <v>1871.45</v>
      </c>
      <c r="J1389" s="23"/>
      <c r="K1389" s="21">
        <f t="shared" si="10"/>
        <v>225440.68</v>
      </c>
      <c r="L1389" s="23"/>
      <c r="M1389" s="21">
        <f t="shared" si="11"/>
        <v>1894.93</v>
      </c>
    </row>
    <row r="1390" ht="20.25" customHeight="1" outlineLevel="1">
      <c r="A1390" s="12">
        <v>46051.0</v>
      </c>
      <c r="B1390" s="13" t="s">
        <v>14</v>
      </c>
      <c r="C1390" s="209" t="s">
        <v>1275</v>
      </c>
      <c r="D1390" s="20"/>
      <c r="E1390" s="21">
        <f t="shared" si="1"/>
        <v>8383.38</v>
      </c>
      <c r="F1390" s="22">
        <v>-200.0</v>
      </c>
      <c r="G1390" s="21">
        <f t="shared" si="8"/>
        <v>431298.29</v>
      </c>
      <c r="H1390" s="23"/>
      <c r="I1390" s="21">
        <f t="shared" si="9"/>
        <v>1871.45</v>
      </c>
      <c r="J1390" s="23"/>
      <c r="K1390" s="21">
        <f t="shared" si="10"/>
        <v>225440.68</v>
      </c>
      <c r="L1390" s="23"/>
      <c r="M1390" s="21">
        <f t="shared" si="11"/>
        <v>1894.93</v>
      </c>
    </row>
    <row r="1391" ht="20.25" customHeight="1" outlineLevel="1">
      <c r="A1391" s="12">
        <v>46051.0</v>
      </c>
      <c r="B1391" s="13" t="s">
        <v>16</v>
      </c>
      <c r="C1391" s="207" t="s">
        <v>1276</v>
      </c>
      <c r="D1391" s="20"/>
      <c r="E1391" s="21">
        <f t="shared" si="1"/>
        <v>8383.38</v>
      </c>
      <c r="F1391" s="23">
        <v>330.0</v>
      </c>
      <c r="G1391" s="21">
        <f t="shared" si="8"/>
        <v>431628.29</v>
      </c>
      <c r="H1391" s="23"/>
      <c r="I1391" s="21">
        <f t="shared" si="9"/>
        <v>1871.45</v>
      </c>
      <c r="J1391" s="23"/>
      <c r="K1391" s="21">
        <f t="shared" si="10"/>
        <v>225440.68</v>
      </c>
      <c r="L1391" s="23"/>
      <c r="M1391" s="21">
        <f t="shared" si="11"/>
        <v>1894.93</v>
      </c>
    </row>
    <row r="1392" ht="20.25" customHeight="1" outlineLevel="1">
      <c r="A1392" s="12">
        <v>46051.0</v>
      </c>
      <c r="B1392" s="13" t="s">
        <v>16</v>
      </c>
      <c r="C1392" s="207" t="s">
        <v>1277</v>
      </c>
      <c r="D1392" s="20"/>
      <c r="E1392" s="21">
        <f t="shared" si="1"/>
        <v>8383.38</v>
      </c>
      <c r="F1392" s="23">
        <v>380.0</v>
      </c>
      <c r="G1392" s="21">
        <f t="shared" si="8"/>
        <v>432008.29</v>
      </c>
      <c r="H1392" s="23"/>
      <c r="I1392" s="21">
        <f t="shared" si="9"/>
        <v>1871.45</v>
      </c>
      <c r="J1392" s="23"/>
      <c r="K1392" s="21">
        <f t="shared" si="10"/>
        <v>225440.68</v>
      </c>
      <c r="L1392" s="23"/>
      <c r="M1392" s="21">
        <f t="shared" si="11"/>
        <v>1894.93</v>
      </c>
    </row>
    <row r="1393" ht="20.25" customHeight="1" outlineLevel="1">
      <c r="A1393" s="12">
        <v>46051.0</v>
      </c>
      <c r="B1393" s="13" t="s">
        <v>16</v>
      </c>
      <c r="C1393" s="28" t="s">
        <v>1278</v>
      </c>
      <c r="D1393" s="20"/>
      <c r="E1393" s="21">
        <f t="shared" si="1"/>
        <v>8383.38</v>
      </c>
      <c r="F1393" s="23">
        <v>189.0</v>
      </c>
      <c r="G1393" s="21">
        <f t="shared" si="8"/>
        <v>432197.29</v>
      </c>
      <c r="H1393" s="23"/>
      <c r="I1393" s="21">
        <f t="shared" si="9"/>
        <v>1871.45</v>
      </c>
      <c r="J1393" s="23"/>
      <c r="K1393" s="21">
        <f t="shared" si="10"/>
        <v>225440.68</v>
      </c>
      <c r="L1393" s="23"/>
      <c r="M1393" s="21">
        <f t="shared" si="11"/>
        <v>1894.93</v>
      </c>
    </row>
    <row r="1394" ht="20.25" customHeight="1" outlineLevel="1">
      <c r="A1394" s="12">
        <v>46051.0</v>
      </c>
      <c r="B1394" s="13" t="s">
        <v>16</v>
      </c>
      <c r="C1394" s="205" t="s">
        <v>1279</v>
      </c>
      <c r="D1394" s="20"/>
      <c r="E1394" s="21">
        <f t="shared" si="1"/>
        <v>8383.38</v>
      </c>
      <c r="F1394" s="23"/>
      <c r="G1394" s="21">
        <f t="shared" si="8"/>
        <v>432197.29</v>
      </c>
      <c r="H1394" s="23"/>
      <c r="I1394" s="21">
        <f t="shared" si="9"/>
        <v>1871.45</v>
      </c>
      <c r="J1394" s="23">
        <v>325.0</v>
      </c>
      <c r="K1394" s="21">
        <f t="shared" si="10"/>
        <v>225765.68</v>
      </c>
      <c r="L1394" s="23"/>
      <c r="M1394" s="21">
        <f t="shared" si="11"/>
        <v>1894.93</v>
      </c>
    </row>
    <row r="1395" ht="20.25" customHeight="1" outlineLevel="1">
      <c r="A1395" s="12">
        <v>46051.0</v>
      </c>
      <c r="B1395" s="13" t="s">
        <v>16</v>
      </c>
      <c r="C1395" s="205" t="s">
        <v>1280</v>
      </c>
      <c r="D1395" s="20"/>
      <c r="E1395" s="21">
        <f t="shared" si="1"/>
        <v>8383.38</v>
      </c>
      <c r="F1395" s="23"/>
      <c r="G1395" s="21">
        <f t="shared" si="8"/>
        <v>432197.29</v>
      </c>
      <c r="H1395" s="23"/>
      <c r="I1395" s="21">
        <f t="shared" si="9"/>
        <v>1871.45</v>
      </c>
      <c r="J1395" s="23">
        <v>180.0</v>
      </c>
      <c r="K1395" s="21">
        <f t="shared" si="10"/>
        <v>225945.68</v>
      </c>
      <c r="L1395" s="23"/>
      <c r="M1395" s="21">
        <f t="shared" si="11"/>
        <v>1894.93</v>
      </c>
    </row>
    <row r="1396" ht="20.25" customHeight="1" outlineLevel="1">
      <c r="A1396" s="12">
        <v>46051.0</v>
      </c>
      <c r="B1396" s="13" t="s">
        <v>16</v>
      </c>
      <c r="C1396" s="28" t="s">
        <v>1281</v>
      </c>
      <c r="D1396" s="20"/>
      <c r="E1396" s="21">
        <f t="shared" si="1"/>
        <v>8383.38</v>
      </c>
      <c r="F1396" s="23"/>
      <c r="G1396" s="21">
        <f t="shared" si="8"/>
        <v>432197.29</v>
      </c>
      <c r="H1396" s="23"/>
      <c r="I1396" s="21">
        <f t="shared" si="9"/>
        <v>1871.45</v>
      </c>
      <c r="J1396" s="23">
        <v>25.0</v>
      </c>
      <c r="K1396" s="21">
        <f t="shared" si="10"/>
        <v>225970.68</v>
      </c>
      <c r="L1396" s="23"/>
      <c r="M1396" s="21">
        <f t="shared" si="11"/>
        <v>1894.93</v>
      </c>
    </row>
    <row r="1397" ht="20.25" customHeight="1" outlineLevel="1">
      <c r="A1397" s="12">
        <v>46051.0</v>
      </c>
      <c r="B1397" s="13" t="s">
        <v>16</v>
      </c>
      <c r="C1397" s="28" t="s">
        <v>1282</v>
      </c>
      <c r="D1397" s="20"/>
      <c r="E1397" s="21">
        <f t="shared" si="1"/>
        <v>8383.38</v>
      </c>
      <c r="F1397" s="23"/>
      <c r="G1397" s="21">
        <f t="shared" si="8"/>
        <v>432197.29</v>
      </c>
      <c r="H1397" s="23"/>
      <c r="I1397" s="21">
        <f t="shared" si="9"/>
        <v>1871.45</v>
      </c>
      <c r="J1397" s="23">
        <v>230.0</v>
      </c>
      <c r="K1397" s="21">
        <f t="shared" si="10"/>
        <v>226200.68</v>
      </c>
      <c r="L1397" s="23"/>
      <c r="M1397" s="21">
        <f t="shared" si="11"/>
        <v>1894.93</v>
      </c>
    </row>
    <row r="1398" ht="20.25" customHeight="1" outlineLevel="1">
      <c r="A1398" s="12">
        <v>46051.0</v>
      </c>
      <c r="B1398" s="13" t="s">
        <v>16</v>
      </c>
      <c r="C1398" s="28" t="s">
        <v>1283</v>
      </c>
      <c r="D1398" s="20">
        <v>220.0</v>
      </c>
      <c r="E1398" s="21">
        <f t="shared" si="1"/>
        <v>8603.38</v>
      </c>
      <c r="F1398" s="23"/>
      <c r="G1398" s="21">
        <f t="shared" si="8"/>
        <v>432197.29</v>
      </c>
      <c r="H1398" s="23"/>
      <c r="I1398" s="21">
        <f t="shared" si="9"/>
        <v>1871.45</v>
      </c>
      <c r="J1398" s="23"/>
      <c r="K1398" s="21">
        <f t="shared" si="10"/>
        <v>226200.68</v>
      </c>
      <c r="L1398" s="23"/>
      <c r="M1398" s="21">
        <f t="shared" si="11"/>
        <v>1894.93</v>
      </c>
    </row>
    <row r="1399" ht="20.25" customHeight="1" outlineLevel="1">
      <c r="A1399" s="12">
        <v>46052.0</v>
      </c>
      <c r="B1399" s="13" t="s">
        <v>16</v>
      </c>
      <c r="C1399" s="28" t="s">
        <v>1284</v>
      </c>
      <c r="D1399" s="20"/>
      <c r="E1399" s="21">
        <f t="shared" si="1"/>
        <v>8603.38</v>
      </c>
      <c r="F1399" s="23">
        <v>315.0</v>
      </c>
      <c r="G1399" s="21">
        <f t="shared" si="8"/>
        <v>432512.29</v>
      </c>
      <c r="H1399" s="23"/>
      <c r="I1399" s="21">
        <f t="shared" si="9"/>
        <v>1871.45</v>
      </c>
      <c r="J1399" s="23"/>
      <c r="K1399" s="21">
        <f t="shared" si="10"/>
        <v>226200.68</v>
      </c>
      <c r="L1399" s="23"/>
      <c r="M1399" s="21">
        <f t="shared" si="11"/>
        <v>1894.93</v>
      </c>
    </row>
    <row r="1400" ht="20.25" customHeight="1" outlineLevel="1">
      <c r="A1400" s="12">
        <v>46052.0</v>
      </c>
      <c r="B1400" s="13" t="s">
        <v>16</v>
      </c>
      <c r="C1400" s="28" t="s">
        <v>1285</v>
      </c>
      <c r="D1400" s="20"/>
      <c r="E1400" s="21">
        <f t="shared" si="1"/>
        <v>8603.38</v>
      </c>
      <c r="F1400" s="23">
        <v>55.0</v>
      </c>
      <c r="G1400" s="21">
        <f t="shared" si="8"/>
        <v>432567.29</v>
      </c>
      <c r="H1400" s="23"/>
      <c r="I1400" s="21">
        <f t="shared" si="9"/>
        <v>1871.45</v>
      </c>
      <c r="J1400" s="23"/>
      <c r="K1400" s="21">
        <f t="shared" si="10"/>
        <v>226200.68</v>
      </c>
      <c r="L1400" s="23"/>
      <c r="M1400" s="21">
        <f t="shared" si="11"/>
        <v>1894.93</v>
      </c>
    </row>
    <row r="1401" ht="20.25" customHeight="1" outlineLevel="1">
      <c r="A1401" s="12">
        <v>46052.0</v>
      </c>
      <c r="B1401" s="13" t="s">
        <v>16</v>
      </c>
      <c r="C1401" s="28" t="s">
        <v>1286</v>
      </c>
      <c r="D1401" s="20"/>
      <c r="E1401" s="21">
        <f t="shared" si="1"/>
        <v>8603.38</v>
      </c>
      <c r="F1401" s="23">
        <v>175.0</v>
      </c>
      <c r="G1401" s="21">
        <f t="shared" si="8"/>
        <v>432742.29</v>
      </c>
      <c r="H1401" s="23"/>
      <c r="I1401" s="21">
        <f t="shared" si="9"/>
        <v>1871.45</v>
      </c>
      <c r="J1401" s="23"/>
      <c r="K1401" s="21">
        <f t="shared" si="10"/>
        <v>226200.68</v>
      </c>
      <c r="L1401" s="23"/>
      <c r="M1401" s="21">
        <f t="shared" si="11"/>
        <v>1894.93</v>
      </c>
    </row>
    <row r="1402" ht="20.25" customHeight="1" outlineLevel="1">
      <c r="A1402" s="12">
        <v>46052.0</v>
      </c>
      <c r="B1402" s="13" t="s">
        <v>16</v>
      </c>
      <c r="C1402" s="28" t="s">
        <v>1287</v>
      </c>
      <c r="D1402" s="20"/>
      <c r="E1402" s="21">
        <f t="shared" si="1"/>
        <v>8603.38</v>
      </c>
      <c r="F1402" s="23"/>
      <c r="G1402" s="21">
        <f t="shared" si="8"/>
        <v>432742.29</v>
      </c>
      <c r="H1402" s="23"/>
      <c r="I1402" s="21">
        <f t="shared" si="9"/>
        <v>1871.45</v>
      </c>
      <c r="J1402" s="23">
        <v>370.0</v>
      </c>
      <c r="K1402" s="21">
        <f t="shared" si="10"/>
        <v>226570.68</v>
      </c>
      <c r="L1402" s="23"/>
      <c r="M1402" s="21">
        <f t="shared" si="11"/>
        <v>1894.93</v>
      </c>
    </row>
    <row r="1403" ht="20.25" customHeight="1" outlineLevel="1">
      <c r="A1403" s="12">
        <v>46052.0</v>
      </c>
      <c r="B1403" s="13" t="s">
        <v>16</v>
      </c>
      <c r="C1403" s="28" t="s">
        <v>1288</v>
      </c>
      <c r="D1403" s="20"/>
      <c r="E1403" s="21">
        <f t="shared" si="1"/>
        <v>8603.38</v>
      </c>
      <c r="F1403" s="23"/>
      <c r="G1403" s="21">
        <f t="shared" si="8"/>
        <v>432742.29</v>
      </c>
      <c r="H1403" s="23"/>
      <c r="I1403" s="21">
        <f t="shared" si="9"/>
        <v>1871.45</v>
      </c>
      <c r="J1403" s="23">
        <v>415.0</v>
      </c>
      <c r="K1403" s="21">
        <f t="shared" si="10"/>
        <v>226985.68</v>
      </c>
      <c r="L1403" s="23"/>
      <c r="M1403" s="21">
        <f t="shared" si="11"/>
        <v>1894.93</v>
      </c>
    </row>
    <row r="1404" ht="20.25" customHeight="1" outlineLevel="1">
      <c r="A1404" s="12">
        <v>46052.0</v>
      </c>
      <c r="B1404" s="13" t="s">
        <v>16</v>
      </c>
      <c r="C1404" s="28" t="s">
        <v>1289</v>
      </c>
      <c r="D1404" s="20">
        <v>340.0</v>
      </c>
      <c r="E1404" s="21">
        <f t="shared" si="1"/>
        <v>8943.38</v>
      </c>
      <c r="F1404" s="23"/>
      <c r="G1404" s="21">
        <f t="shared" si="8"/>
        <v>432742.29</v>
      </c>
      <c r="H1404" s="23"/>
      <c r="I1404" s="21">
        <f t="shared" si="9"/>
        <v>1871.45</v>
      </c>
      <c r="J1404" s="23"/>
      <c r="K1404" s="21">
        <f t="shared" si="10"/>
        <v>226985.68</v>
      </c>
      <c r="L1404" s="23"/>
      <c r="M1404" s="21">
        <f t="shared" si="11"/>
        <v>1894.93</v>
      </c>
    </row>
    <row r="1405" ht="20.25" customHeight="1" outlineLevel="1">
      <c r="A1405" s="12">
        <v>46053.0</v>
      </c>
      <c r="B1405" s="13" t="s">
        <v>14</v>
      </c>
      <c r="C1405" s="28" t="s">
        <v>1290</v>
      </c>
      <c r="D1405" s="73">
        <v>-9.4</v>
      </c>
      <c r="E1405" s="21">
        <f t="shared" si="1"/>
        <v>8933.98</v>
      </c>
      <c r="F1405" s="23"/>
      <c r="G1405" s="21">
        <f t="shared" si="8"/>
        <v>432742.29</v>
      </c>
      <c r="H1405" s="23"/>
      <c r="I1405" s="21">
        <f t="shared" si="9"/>
        <v>1871.45</v>
      </c>
      <c r="J1405" s="23"/>
      <c r="K1405" s="21">
        <f t="shared" si="10"/>
        <v>226985.68</v>
      </c>
      <c r="L1405" s="23"/>
      <c r="M1405" s="21">
        <f t="shared" si="11"/>
        <v>1894.93</v>
      </c>
    </row>
    <row r="1406" ht="20.25" customHeight="1" outlineLevel="1">
      <c r="A1406" s="12">
        <v>46053.0</v>
      </c>
      <c r="B1406" s="13" t="s">
        <v>16</v>
      </c>
      <c r="C1406" s="205" t="s">
        <v>1291</v>
      </c>
      <c r="D1406" s="20"/>
      <c r="E1406" s="21">
        <f t="shared" si="1"/>
        <v>8933.98</v>
      </c>
      <c r="F1406" s="23"/>
      <c r="G1406" s="21">
        <f t="shared" si="8"/>
        <v>432742.29</v>
      </c>
      <c r="H1406" s="23"/>
      <c r="I1406" s="21">
        <f t="shared" si="9"/>
        <v>1871.45</v>
      </c>
      <c r="J1406" s="23">
        <v>280.0</v>
      </c>
      <c r="K1406" s="21">
        <f t="shared" si="10"/>
        <v>227265.68</v>
      </c>
      <c r="L1406" s="23"/>
      <c r="M1406" s="21">
        <f t="shared" si="11"/>
        <v>1894.93</v>
      </c>
    </row>
    <row r="1407" ht="20.25" customHeight="1" outlineLevel="1">
      <c r="A1407" s="12">
        <v>46055.0</v>
      </c>
      <c r="B1407" s="13" t="s">
        <v>16</v>
      </c>
      <c r="C1407" s="28" t="s">
        <v>1292</v>
      </c>
      <c r="D1407" s="20"/>
      <c r="E1407" s="21">
        <f t="shared" si="1"/>
        <v>8933.98</v>
      </c>
      <c r="F1407" s="23">
        <v>84.0</v>
      </c>
      <c r="G1407" s="21">
        <f t="shared" si="8"/>
        <v>432826.29</v>
      </c>
      <c r="H1407" s="23"/>
      <c r="I1407" s="21">
        <f t="shared" si="9"/>
        <v>1871.45</v>
      </c>
      <c r="J1407" s="23"/>
      <c r="K1407" s="21">
        <f t="shared" si="10"/>
        <v>227265.68</v>
      </c>
      <c r="L1407" s="23"/>
      <c r="M1407" s="21">
        <f t="shared" si="11"/>
        <v>1894.93</v>
      </c>
    </row>
    <row r="1408" ht="20.25" customHeight="1" outlineLevel="1">
      <c r="A1408" s="12">
        <v>46055.0</v>
      </c>
      <c r="B1408" s="13" t="s">
        <v>16</v>
      </c>
      <c r="C1408" s="28" t="s">
        <v>1293</v>
      </c>
      <c r="D1408" s="20"/>
      <c r="E1408" s="21">
        <f t="shared" si="1"/>
        <v>8933.98</v>
      </c>
      <c r="F1408" s="23">
        <v>25.0</v>
      </c>
      <c r="G1408" s="21">
        <f t="shared" si="8"/>
        <v>432851.29</v>
      </c>
      <c r="H1408" s="23"/>
      <c r="I1408" s="21">
        <f t="shared" si="9"/>
        <v>1871.45</v>
      </c>
      <c r="J1408" s="23"/>
      <c r="K1408" s="21">
        <f t="shared" si="10"/>
        <v>227265.68</v>
      </c>
      <c r="L1408" s="23"/>
      <c r="M1408" s="21">
        <f t="shared" si="11"/>
        <v>1894.93</v>
      </c>
    </row>
    <row r="1409" ht="20.25" customHeight="1" outlineLevel="1">
      <c r="A1409" s="12">
        <v>46055.0</v>
      </c>
      <c r="B1409" s="13" t="s">
        <v>16</v>
      </c>
      <c r="C1409" s="28" t="s">
        <v>1294</v>
      </c>
      <c r="D1409" s="20"/>
      <c r="E1409" s="21">
        <f t="shared" si="1"/>
        <v>8933.98</v>
      </c>
      <c r="F1409" s="23">
        <v>412.8</v>
      </c>
      <c r="G1409" s="21">
        <f t="shared" si="8"/>
        <v>433264.09</v>
      </c>
      <c r="H1409" s="23"/>
      <c r="I1409" s="21">
        <f t="shared" si="9"/>
        <v>1871.45</v>
      </c>
      <c r="J1409" s="23"/>
      <c r="K1409" s="21">
        <f t="shared" si="10"/>
        <v>227265.68</v>
      </c>
      <c r="L1409" s="23"/>
      <c r="M1409" s="21">
        <f t="shared" si="11"/>
        <v>1894.93</v>
      </c>
    </row>
    <row r="1410" ht="20.25" customHeight="1" outlineLevel="1">
      <c r="A1410" s="12">
        <v>46055.0</v>
      </c>
      <c r="B1410" s="13" t="s">
        <v>16</v>
      </c>
      <c r="C1410" s="28" t="s">
        <v>1295</v>
      </c>
      <c r="D1410" s="20"/>
      <c r="E1410" s="21">
        <f t="shared" si="1"/>
        <v>8933.98</v>
      </c>
      <c r="F1410" s="23">
        <v>580.0</v>
      </c>
      <c r="G1410" s="21">
        <f t="shared" si="8"/>
        <v>433844.09</v>
      </c>
      <c r="H1410" s="23"/>
      <c r="I1410" s="21">
        <f t="shared" si="9"/>
        <v>1871.45</v>
      </c>
      <c r="J1410" s="23"/>
      <c r="K1410" s="21">
        <f t="shared" si="10"/>
        <v>227265.68</v>
      </c>
      <c r="L1410" s="23"/>
      <c r="M1410" s="21">
        <f t="shared" si="11"/>
        <v>1894.93</v>
      </c>
    </row>
    <row r="1411" ht="20.25" customHeight="1" outlineLevel="1">
      <c r="A1411" s="12">
        <v>46055.0</v>
      </c>
      <c r="B1411" s="13" t="s">
        <v>16</v>
      </c>
      <c r="C1411" s="28" t="s">
        <v>1296</v>
      </c>
      <c r="D1411" s="20"/>
      <c r="E1411" s="21">
        <f t="shared" si="1"/>
        <v>8933.98</v>
      </c>
      <c r="F1411" s="23">
        <v>182.5</v>
      </c>
      <c r="G1411" s="21">
        <f t="shared" si="8"/>
        <v>434026.59</v>
      </c>
      <c r="H1411" s="23"/>
      <c r="I1411" s="21">
        <f t="shared" si="9"/>
        <v>1871.45</v>
      </c>
      <c r="J1411" s="23"/>
      <c r="K1411" s="21">
        <f t="shared" si="10"/>
        <v>227265.68</v>
      </c>
      <c r="L1411" s="23"/>
      <c r="M1411" s="21">
        <f t="shared" si="11"/>
        <v>1894.93</v>
      </c>
    </row>
    <row r="1412" ht="20.25" customHeight="1" outlineLevel="1">
      <c r="A1412" s="12">
        <v>46055.0</v>
      </c>
      <c r="B1412" s="13" t="s">
        <v>16</v>
      </c>
      <c r="C1412" s="28" t="s">
        <v>1297</v>
      </c>
      <c r="D1412" s="20"/>
      <c r="E1412" s="21">
        <f t="shared" si="1"/>
        <v>8933.98</v>
      </c>
      <c r="F1412" s="23">
        <v>36.8</v>
      </c>
      <c r="G1412" s="21">
        <f t="shared" si="8"/>
        <v>434063.39</v>
      </c>
      <c r="H1412" s="23"/>
      <c r="I1412" s="21">
        <f t="shared" si="9"/>
        <v>1871.45</v>
      </c>
      <c r="J1412" s="23"/>
      <c r="K1412" s="21">
        <f t="shared" si="10"/>
        <v>227265.68</v>
      </c>
      <c r="L1412" s="23"/>
      <c r="M1412" s="21">
        <f t="shared" si="11"/>
        <v>1894.93</v>
      </c>
    </row>
    <row r="1413" ht="20.25" customHeight="1" outlineLevel="1">
      <c r="A1413" s="12">
        <v>46055.0</v>
      </c>
      <c r="B1413" s="13" t="s">
        <v>57</v>
      </c>
      <c r="C1413" s="28" t="s">
        <v>33</v>
      </c>
      <c r="D1413" s="20"/>
      <c r="E1413" s="21">
        <f t="shared" si="1"/>
        <v>8933.98</v>
      </c>
      <c r="F1413" s="23"/>
      <c r="G1413" s="21">
        <f t="shared" si="8"/>
        <v>434063.39</v>
      </c>
      <c r="H1413" s="23"/>
      <c r="I1413" s="21">
        <f t="shared" si="9"/>
        <v>1871.45</v>
      </c>
      <c r="J1413" s="22">
        <v>-509.07</v>
      </c>
      <c r="K1413" s="21">
        <f t="shared" si="10"/>
        <v>226756.61</v>
      </c>
      <c r="L1413" s="23"/>
      <c r="M1413" s="21">
        <f t="shared" si="11"/>
        <v>1894.93</v>
      </c>
    </row>
    <row r="1414" ht="20.25" customHeight="1" outlineLevel="1">
      <c r="A1414" s="12">
        <v>46055.0</v>
      </c>
      <c r="B1414" s="13" t="s">
        <v>12</v>
      </c>
      <c r="C1414" s="28" t="s">
        <v>1298</v>
      </c>
      <c r="D1414" s="20"/>
      <c r="E1414" s="21">
        <f t="shared" si="1"/>
        <v>8933.98</v>
      </c>
      <c r="F1414" s="23"/>
      <c r="G1414" s="21">
        <f t="shared" si="8"/>
        <v>434063.39</v>
      </c>
      <c r="H1414" s="23"/>
      <c r="I1414" s="21">
        <f t="shared" si="9"/>
        <v>1871.45</v>
      </c>
      <c r="J1414" s="22">
        <v>-202.51</v>
      </c>
      <c r="K1414" s="21">
        <f t="shared" si="10"/>
        <v>226554.1</v>
      </c>
      <c r="L1414" s="23"/>
      <c r="M1414" s="21">
        <f t="shared" si="11"/>
        <v>1894.93</v>
      </c>
    </row>
    <row r="1415" ht="20.25" customHeight="1" outlineLevel="1">
      <c r="A1415" s="12">
        <v>46055.0</v>
      </c>
      <c r="B1415" s="13" t="s">
        <v>12</v>
      </c>
      <c r="C1415" s="28" t="s">
        <v>640</v>
      </c>
      <c r="D1415" s="20"/>
      <c r="E1415" s="21">
        <f t="shared" si="1"/>
        <v>8933.98</v>
      </c>
      <c r="F1415" s="23"/>
      <c r="G1415" s="21">
        <f t="shared" si="8"/>
        <v>434063.39</v>
      </c>
      <c r="H1415" s="23"/>
      <c r="I1415" s="21">
        <f t="shared" si="9"/>
        <v>1871.45</v>
      </c>
      <c r="J1415" s="22">
        <v>-1427.01</v>
      </c>
      <c r="K1415" s="21">
        <f t="shared" si="10"/>
        <v>225127.09</v>
      </c>
      <c r="L1415" s="23"/>
      <c r="M1415" s="21">
        <f t="shared" si="11"/>
        <v>1894.93</v>
      </c>
    </row>
    <row r="1416" ht="20.25" customHeight="1" outlineLevel="1">
      <c r="A1416" s="12">
        <v>46055.0</v>
      </c>
      <c r="B1416" s="13" t="s">
        <v>12</v>
      </c>
      <c r="C1416" s="28" t="s">
        <v>882</v>
      </c>
      <c r="D1416" s="20"/>
      <c r="E1416" s="21">
        <f t="shared" si="1"/>
        <v>8933.98</v>
      </c>
      <c r="F1416" s="23"/>
      <c r="G1416" s="21">
        <f t="shared" si="8"/>
        <v>434063.39</v>
      </c>
      <c r="H1416" s="23"/>
      <c r="I1416" s="21">
        <f t="shared" si="9"/>
        <v>1871.45</v>
      </c>
      <c r="J1416" s="22">
        <v>-54.9</v>
      </c>
      <c r="K1416" s="21">
        <f t="shared" si="10"/>
        <v>225072.19</v>
      </c>
      <c r="L1416" s="23"/>
      <c r="M1416" s="21">
        <f t="shared" si="11"/>
        <v>1894.93</v>
      </c>
    </row>
    <row r="1417" ht="20.25" customHeight="1" outlineLevel="1">
      <c r="A1417" s="12">
        <v>46055.0</v>
      </c>
      <c r="B1417" s="13" t="s">
        <v>428</v>
      </c>
      <c r="C1417" s="28" t="s">
        <v>1299</v>
      </c>
      <c r="D1417" s="20"/>
      <c r="E1417" s="21">
        <f t="shared" si="1"/>
        <v>8933.98</v>
      </c>
      <c r="F1417" s="23"/>
      <c r="G1417" s="21">
        <f t="shared" si="8"/>
        <v>434063.39</v>
      </c>
      <c r="H1417" s="23"/>
      <c r="I1417" s="21">
        <f t="shared" si="9"/>
        <v>1871.45</v>
      </c>
      <c r="J1417" s="23">
        <v>75.0</v>
      </c>
      <c r="K1417" s="21">
        <f t="shared" si="10"/>
        <v>225147.19</v>
      </c>
      <c r="L1417" s="23"/>
      <c r="M1417" s="21">
        <f t="shared" si="11"/>
        <v>1894.93</v>
      </c>
    </row>
    <row r="1418" ht="20.25" customHeight="1" outlineLevel="1">
      <c r="A1418" s="12">
        <v>46055.0</v>
      </c>
      <c r="B1418" s="13" t="s">
        <v>16</v>
      </c>
      <c r="C1418" s="207" t="s">
        <v>1300</v>
      </c>
      <c r="D1418" s="20">
        <v>335.0</v>
      </c>
      <c r="E1418" s="21">
        <f t="shared" si="1"/>
        <v>9268.98</v>
      </c>
      <c r="F1418" s="23"/>
      <c r="G1418" s="21">
        <f t="shared" si="8"/>
        <v>434063.39</v>
      </c>
      <c r="H1418" s="23"/>
      <c r="I1418" s="21">
        <f t="shared" si="9"/>
        <v>1871.45</v>
      </c>
      <c r="J1418" s="23"/>
      <c r="K1418" s="21">
        <f t="shared" si="10"/>
        <v>225147.19</v>
      </c>
      <c r="L1418" s="23"/>
      <c r="M1418" s="21">
        <f t="shared" si="11"/>
        <v>1894.93</v>
      </c>
    </row>
    <row r="1419" ht="20.25" customHeight="1" outlineLevel="1">
      <c r="A1419" s="12">
        <v>46055.0</v>
      </c>
      <c r="B1419" s="13" t="s">
        <v>12</v>
      </c>
      <c r="C1419" s="207" t="s">
        <v>1301</v>
      </c>
      <c r="D1419" s="20"/>
      <c r="E1419" s="21">
        <f t="shared" si="1"/>
        <v>9268.98</v>
      </c>
      <c r="F1419" s="22">
        <v>-2597.38</v>
      </c>
      <c r="G1419" s="21">
        <f t="shared" si="8"/>
        <v>431466.01</v>
      </c>
      <c r="H1419" s="23"/>
      <c r="I1419" s="21">
        <f t="shared" si="9"/>
        <v>1871.45</v>
      </c>
      <c r="J1419" s="23"/>
      <c r="K1419" s="21">
        <f t="shared" si="10"/>
        <v>225147.19</v>
      </c>
      <c r="L1419" s="23"/>
      <c r="M1419" s="21">
        <f t="shared" si="11"/>
        <v>1894.93</v>
      </c>
    </row>
    <row r="1420" ht="20.25" customHeight="1" outlineLevel="1">
      <c r="A1420" s="12">
        <v>46055.0</v>
      </c>
      <c r="B1420" s="13" t="s">
        <v>70</v>
      </c>
      <c r="C1420" s="207" t="s">
        <v>1302</v>
      </c>
      <c r="D1420" s="20"/>
      <c r="E1420" s="21">
        <f t="shared" si="1"/>
        <v>9268.98</v>
      </c>
      <c r="F1420" s="22">
        <v>-2910.0</v>
      </c>
      <c r="G1420" s="21">
        <f t="shared" si="8"/>
        <v>428556.01</v>
      </c>
      <c r="H1420" s="23"/>
      <c r="I1420" s="21">
        <f t="shared" si="9"/>
        <v>1871.45</v>
      </c>
      <c r="J1420" s="23"/>
      <c r="K1420" s="21">
        <f t="shared" si="10"/>
        <v>225147.19</v>
      </c>
      <c r="L1420" s="23"/>
      <c r="M1420" s="21">
        <f t="shared" si="11"/>
        <v>1894.93</v>
      </c>
    </row>
    <row r="1421" ht="20.25" customHeight="1" outlineLevel="1">
      <c r="A1421" s="12">
        <v>46055.0</v>
      </c>
      <c r="B1421" s="13" t="s">
        <v>14</v>
      </c>
      <c r="C1421" s="207" t="s">
        <v>1303</v>
      </c>
      <c r="D1421" s="20"/>
      <c r="E1421" s="21">
        <f t="shared" si="1"/>
        <v>9268.98</v>
      </c>
      <c r="F1421" s="22">
        <v>-500.0</v>
      </c>
      <c r="G1421" s="21">
        <f t="shared" si="8"/>
        <v>428056.01</v>
      </c>
      <c r="H1421" s="23"/>
      <c r="I1421" s="21">
        <f t="shared" si="9"/>
        <v>1871.45</v>
      </c>
      <c r="J1421" s="23"/>
      <c r="K1421" s="21">
        <f t="shared" si="10"/>
        <v>225147.19</v>
      </c>
      <c r="L1421" s="23"/>
      <c r="M1421" s="21">
        <f t="shared" si="11"/>
        <v>1894.93</v>
      </c>
    </row>
    <row r="1422" ht="20.25" customHeight="1" outlineLevel="1">
      <c r="A1422" s="12">
        <v>46055.0</v>
      </c>
      <c r="B1422" s="13" t="s">
        <v>16</v>
      </c>
      <c r="C1422" s="207" t="s">
        <v>1304</v>
      </c>
      <c r="D1422" s="20"/>
      <c r="E1422" s="21">
        <f t="shared" si="1"/>
        <v>9268.98</v>
      </c>
      <c r="F1422" s="23"/>
      <c r="G1422" s="21">
        <f t="shared" si="8"/>
        <v>428056.01</v>
      </c>
      <c r="H1422" s="23"/>
      <c r="I1422" s="21">
        <f t="shared" si="9"/>
        <v>1871.45</v>
      </c>
      <c r="J1422" s="23">
        <v>110.0</v>
      </c>
      <c r="K1422" s="21">
        <f t="shared" si="10"/>
        <v>225257.19</v>
      </c>
      <c r="L1422" s="23"/>
      <c r="M1422" s="21">
        <f t="shared" si="11"/>
        <v>1894.93</v>
      </c>
    </row>
    <row r="1423" ht="20.25" customHeight="1" outlineLevel="1">
      <c r="A1423" s="12">
        <v>46055.0</v>
      </c>
      <c r="B1423" s="13" t="s">
        <v>16</v>
      </c>
      <c r="C1423" s="207" t="s">
        <v>1305</v>
      </c>
      <c r="D1423" s="20"/>
      <c r="E1423" s="21">
        <f t="shared" si="1"/>
        <v>9268.98</v>
      </c>
      <c r="F1423" s="23"/>
      <c r="G1423" s="21">
        <f t="shared" si="8"/>
        <v>428056.01</v>
      </c>
      <c r="H1423" s="23"/>
      <c r="I1423" s="21">
        <f t="shared" si="9"/>
        <v>1871.45</v>
      </c>
      <c r="J1423" s="23">
        <v>25.0</v>
      </c>
      <c r="K1423" s="21">
        <f t="shared" si="10"/>
        <v>225282.19</v>
      </c>
      <c r="L1423" s="23"/>
      <c r="M1423" s="21">
        <f t="shared" si="11"/>
        <v>1894.93</v>
      </c>
    </row>
    <row r="1424" ht="20.25" customHeight="1" outlineLevel="1">
      <c r="A1424" s="12">
        <v>46055.0</v>
      </c>
      <c r="B1424" s="13" t="s">
        <v>16</v>
      </c>
      <c r="C1424" s="207" t="s">
        <v>1306</v>
      </c>
      <c r="D1424" s="20"/>
      <c r="E1424" s="21">
        <f t="shared" si="1"/>
        <v>9268.98</v>
      </c>
      <c r="F1424" s="23"/>
      <c r="G1424" s="21">
        <f t="shared" si="8"/>
        <v>428056.01</v>
      </c>
      <c r="H1424" s="23"/>
      <c r="I1424" s="21">
        <f t="shared" si="9"/>
        <v>1871.45</v>
      </c>
      <c r="J1424" s="23">
        <v>65.0</v>
      </c>
      <c r="K1424" s="21">
        <f t="shared" si="10"/>
        <v>225347.19</v>
      </c>
      <c r="L1424" s="23"/>
      <c r="M1424" s="21">
        <f t="shared" si="11"/>
        <v>1894.93</v>
      </c>
    </row>
    <row r="1425" ht="20.25" customHeight="1" outlineLevel="1">
      <c r="A1425" s="12">
        <v>46055.0</v>
      </c>
      <c r="B1425" s="13" t="s">
        <v>14</v>
      </c>
      <c r="C1425" s="207" t="s">
        <v>1307</v>
      </c>
      <c r="D1425" s="20"/>
      <c r="E1425" s="21">
        <f t="shared" si="1"/>
        <v>9268.98</v>
      </c>
      <c r="F1425" s="23"/>
      <c r="G1425" s="21">
        <f t="shared" si="8"/>
        <v>428056.01</v>
      </c>
      <c r="H1425" s="22">
        <v>-10.37</v>
      </c>
      <c r="I1425" s="21">
        <f t="shared" si="9"/>
        <v>1861.08</v>
      </c>
      <c r="J1425" s="23"/>
      <c r="K1425" s="21">
        <f t="shared" si="10"/>
        <v>225347.19</v>
      </c>
      <c r="L1425" s="23"/>
      <c r="M1425" s="21">
        <f t="shared" si="11"/>
        <v>1894.93</v>
      </c>
    </row>
    <row r="1426" ht="20.25" customHeight="1" outlineLevel="1">
      <c r="A1426" s="12">
        <v>46055.0</v>
      </c>
      <c r="B1426" s="13" t="s">
        <v>14</v>
      </c>
      <c r="C1426" s="207" t="s">
        <v>1308</v>
      </c>
      <c r="D1426" s="20"/>
      <c r="E1426" s="21">
        <f t="shared" si="1"/>
        <v>9268.98</v>
      </c>
      <c r="F1426" s="23"/>
      <c r="G1426" s="21">
        <f t="shared" si="8"/>
        <v>428056.01</v>
      </c>
      <c r="H1426" s="22">
        <v>-26.88</v>
      </c>
      <c r="I1426" s="21">
        <f t="shared" si="9"/>
        <v>1834.2</v>
      </c>
      <c r="J1426" s="23"/>
      <c r="K1426" s="21">
        <f t="shared" si="10"/>
        <v>225347.19</v>
      </c>
      <c r="L1426" s="23"/>
      <c r="M1426" s="21">
        <f t="shared" si="11"/>
        <v>1894.93</v>
      </c>
    </row>
    <row r="1427" ht="20.25" customHeight="1" outlineLevel="1">
      <c r="A1427" s="12">
        <v>46056.0</v>
      </c>
      <c r="B1427" s="13" t="s">
        <v>16</v>
      </c>
      <c r="C1427" s="207" t="s">
        <v>1309</v>
      </c>
      <c r="D1427" s="20">
        <v>359.0</v>
      </c>
      <c r="E1427" s="21">
        <f t="shared" si="1"/>
        <v>9627.98</v>
      </c>
      <c r="F1427" s="23"/>
      <c r="G1427" s="21">
        <f t="shared" si="8"/>
        <v>428056.01</v>
      </c>
      <c r="H1427" s="23"/>
      <c r="I1427" s="21">
        <f t="shared" si="9"/>
        <v>1834.2</v>
      </c>
      <c r="J1427" s="23"/>
      <c r="K1427" s="21">
        <f t="shared" si="10"/>
        <v>225347.19</v>
      </c>
      <c r="L1427" s="23"/>
      <c r="M1427" s="21">
        <f t="shared" si="11"/>
        <v>1894.93</v>
      </c>
    </row>
    <row r="1428" ht="20.25" customHeight="1" outlineLevel="1">
      <c r="A1428" s="12">
        <v>46056.0</v>
      </c>
      <c r="B1428" s="13" t="s">
        <v>14</v>
      </c>
      <c r="C1428" s="207" t="s">
        <v>1310</v>
      </c>
      <c r="D1428" s="20"/>
      <c r="E1428" s="21">
        <f t="shared" si="1"/>
        <v>9627.98</v>
      </c>
      <c r="F1428" s="22">
        <v>-300.0</v>
      </c>
      <c r="G1428" s="21">
        <f t="shared" si="8"/>
        <v>427756.01</v>
      </c>
      <c r="H1428" s="23"/>
      <c r="I1428" s="21">
        <f t="shared" si="9"/>
        <v>1834.2</v>
      </c>
      <c r="J1428" s="23"/>
      <c r="K1428" s="21">
        <f t="shared" si="10"/>
        <v>225347.19</v>
      </c>
      <c r="L1428" s="23"/>
      <c r="M1428" s="21">
        <f t="shared" si="11"/>
        <v>1894.93</v>
      </c>
    </row>
    <row r="1429" ht="20.25" customHeight="1" outlineLevel="1">
      <c r="A1429" s="12">
        <v>46056.0</v>
      </c>
      <c r="B1429" s="13" t="s">
        <v>16</v>
      </c>
      <c r="C1429" s="207" t="s">
        <v>1311</v>
      </c>
      <c r="D1429" s="20"/>
      <c r="E1429" s="21">
        <f t="shared" si="1"/>
        <v>9627.98</v>
      </c>
      <c r="F1429" s="23">
        <v>480.0</v>
      </c>
      <c r="G1429" s="21">
        <f t="shared" si="8"/>
        <v>428236.01</v>
      </c>
      <c r="H1429" s="23"/>
      <c r="I1429" s="21">
        <f t="shared" si="9"/>
        <v>1834.2</v>
      </c>
      <c r="J1429" s="23"/>
      <c r="K1429" s="21">
        <f t="shared" si="10"/>
        <v>225347.19</v>
      </c>
      <c r="L1429" s="23"/>
      <c r="M1429" s="21">
        <f t="shared" si="11"/>
        <v>1894.93</v>
      </c>
    </row>
    <row r="1430" ht="20.25" customHeight="1" outlineLevel="1">
      <c r="A1430" s="12">
        <v>46056.0</v>
      </c>
      <c r="B1430" s="13" t="s">
        <v>16</v>
      </c>
      <c r="C1430" s="207" t="s">
        <v>1312</v>
      </c>
      <c r="D1430" s="20"/>
      <c r="E1430" s="21">
        <f t="shared" si="1"/>
        <v>9627.98</v>
      </c>
      <c r="F1430" s="23">
        <v>571.6</v>
      </c>
      <c r="G1430" s="21">
        <f t="shared" si="8"/>
        <v>428807.61</v>
      </c>
      <c r="H1430" s="23"/>
      <c r="I1430" s="21">
        <f t="shared" si="9"/>
        <v>1834.2</v>
      </c>
      <c r="J1430" s="23"/>
      <c r="K1430" s="21">
        <f t="shared" si="10"/>
        <v>225347.19</v>
      </c>
      <c r="L1430" s="23"/>
      <c r="M1430" s="21">
        <f t="shared" si="11"/>
        <v>1894.93</v>
      </c>
    </row>
    <row r="1431" ht="20.25" customHeight="1" outlineLevel="1">
      <c r="A1431" s="12">
        <v>46056.0</v>
      </c>
      <c r="B1431" s="13" t="s">
        <v>12</v>
      </c>
      <c r="C1431" s="207" t="s">
        <v>1313</v>
      </c>
      <c r="D1431" s="20"/>
      <c r="E1431" s="21">
        <f t="shared" si="1"/>
        <v>9627.98</v>
      </c>
      <c r="F1431" s="22">
        <v>-170.41</v>
      </c>
      <c r="G1431" s="21">
        <f t="shared" si="8"/>
        <v>428637.2</v>
      </c>
      <c r="H1431" s="23"/>
      <c r="I1431" s="21">
        <f t="shared" si="9"/>
        <v>1834.2</v>
      </c>
      <c r="J1431" s="23"/>
      <c r="K1431" s="21">
        <f t="shared" si="10"/>
        <v>225347.19</v>
      </c>
      <c r="L1431" s="23"/>
      <c r="M1431" s="21">
        <f t="shared" si="11"/>
        <v>1894.93</v>
      </c>
    </row>
    <row r="1432" ht="20.25" customHeight="1" outlineLevel="1">
      <c r="A1432" s="12">
        <v>46056.0</v>
      </c>
      <c r="B1432" s="13" t="s">
        <v>14</v>
      </c>
      <c r="C1432" s="207" t="s">
        <v>30</v>
      </c>
      <c r="D1432" s="20"/>
      <c r="E1432" s="21">
        <f t="shared" si="1"/>
        <v>9627.98</v>
      </c>
      <c r="F1432" s="22">
        <v>-8.49</v>
      </c>
      <c r="G1432" s="21">
        <f t="shared" si="8"/>
        <v>428628.71</v>
      </c>
      <c r="H1432" s="23"/>
      <c r="I1432" s="21">
        <f t="shared" si="9"/>
        <v>1834.2</v>
      </c>
      <c r="J1432" s="23"/>
      <c r="K1432" s="21">
        <f t="shared" si="10"/>
        <v>225347.19</v>
      </c>
      <c r="L1432" s="23"/>
      <c r="M1432" s="21">
        <f t="shared" si="11"/>
        <v>1894.93</v>
      </c>
    </row>
    <row r="1433" ht="20.25" customHeight="1" outlineLevel="1">
      <c r="A1433" s="12">
        <v>46056.0</v>
      </c>
      <c r="B1433" s="13" t="s">
        <v>14</v>
      </c>
      <c r="C1433" s="207" t="s">
        <v>34</v>
      </c>
      <c r="D1433" s="20"/>
      <c r="E1433" s="21">
        <f t="shared" si="1"/>
        <v>9627.98</v>
      </c>
      <c r="F1433" s="23"/>
      <c r="G1433" s="21">
        <f t="shared" si="8"/>
        <v>428628.71</v>
      </c>
      <c r="H1433" s="23"/>
      <c r="I1433" s="21">
        <f t="shared" si="9"/>
        <v>1834.2</v>
      </c>
      <c r="J1433" s="22">
        <v>-77.25</v>
      </c>
      <c r="K1433" s="21">
        <f t="shared" si="10"/>
        <v>225269.94</v>
      </c>
      <c r="L1433" s="23"/>
      <c r="M1433" s="21">
        <f t="shared" si="11"/>
        <v>1894.93</v>
      </c>
    </row>
    <row r="1434" ht="20.25" customHeight="1" outlineLevel="1">
      <c r="A1434" s="12">
        <v>46056.0</v>
      </c>
      <c r="B1434" s="13" t="s">
        <v>16</v>
      </c>
      <c r="C1434" s="207" t="s">
        <v>1314</v>
      </c>
      <c r="D1434" s="20"/>
      <c r="E1434" s="21">
        <f t="shared" si="1"/>
        <v>9627.98</v>
      </c>
      <c r="F1434" s="23"/>
      <c r="G1434" s="21">
        <f t="shared" si="8"/>
        <v>428628.71</v>
      </c>
      <c r="H1434" s="23"/>
      <c r="I1434" s="21">
        <f t="shared" si="9"/>
        <v>1834.2</v>
      </c>
      <c r="J1434" s="23">
        <v>175.0</v>
      </c>
      <c r="K1434" s="21">
        <f t="shared" si="10"/>
        <v>225444.94</v>
      </c>
      <c r="L1434" s="23"/>
      <c r="M1434" s="21">
        <f t="shared" si="11"/>
        <v>1894.93</v>
      </c>
    </row>
    <row r="1435" ht="20.25" customHeight="1" outlineLevel="1">
      <c r="A1435" s="12">
        <v>46056.0</v>
      </c>
      <c r="B1435" s="13" t="s">
        <v>57</v>
      </c>
      <c r="C1435" s="207" t="s">
        <v>1315</v>
      </c>
      <c r="D1435" s="20"/>
      <c r="E1435" s="21">
        <f t="shared" si="1"/>
        <v>9627.98</v>
      </c>
      <c r="F1435" s="23"/>
      <c r="G1435" s="21">
        <f t="shared" si="8"/>
        <v>428628.71</v>
      </c>
      <c r="H1435" s="23"/>
      <c r="I1435" s="21">
        <f t="shared" si="9"/>
        <v>1834.2</v>
      </c>
      <c r="J1435" s="22">
        <v>-1888.93</v>
      </c>
      <c r="K1435" s="21">
        <f t="shared" si="10"/>
        <v>223556.01</v>
      </c>
      <c r="L1435" s="23"/>
      <c r="M1435" s="21">
        <f t="shared" si="11"/>
        <v>1894.93</v>
      </c>
    </row>
    <row r="1436" ht="20.25" customHeight="1" outlineLevel="1">
      <c r="A1436" s="12">
        <v>46056.0</v>
      </c>
      <c r="B1436" s="13" t="s">
        <v>14</v>
      </c>
      <c r="C1436" s="28" t="s">
        <v>1316</v>
      </c>
      <c r="D1436" s="20"/>
      <c r="E1436" s="21">
        <f t="shared" si="1"/>
        <v>9627.98</v>
      </c>
      <c r="F1436" s="23"/>
      <c r="G1436" s="21">
        <f t="shared" si="8"/>
        <v>428628.71</v>
      </c>
      <c r="H1436" s="22">
        <v>-7.91</v>
      </c>
      <c r="I1436" s="21">
        <f t="shared" si="9"/>
        <v>1826.29</v>
      </c>
      <c r="J1436" s="23"/>
      <c r="K1436" s="21">
        <f t="shared" si="10"/>
        <v>223556.01</v>
      </c>
      <c r="L1436" s="23"/>
      <c r="M1436" s="21">
        <f t="shared" si="11"/>
        <v>1894.93</v>
      </c>
    </row>
    <row r="1437" ht="20.25" customHeight="1" outlineLevel="1">
      <c r="A1437" s="12">
        <v>46056.0</v>
      </c>
      <c r="B1437" s="13" t="s">
        <v>12</v>
      </c>
      <c r="C1437" s="28" t="s">
        <v>1317</v>
      </c>
      <c r="D1437" s="20"/>
      <c r="E1437" s="21">
        <f t="shared" si="1"/>
        <v>9627.98</v>
      </c>
      <c r="F1437" s="23"/>
      <c r="G1437" s="21">
        <f t="shared" si="8"/>
        <v>428628.71</v>
      </c>
      <c r="H1437" s="22">
        <v>-496.24</v>
      </c>
      <c r="I1437" s="21">
        <f t="shared" si="9"/>
        <v>1330.05</v>
      </c>
      <c r="J1437" s="23"/>
      <c r="K1437" s="21">
        <f t="shared" si="10"/>
        <v>223556.01</v>
      </c>
      <c r="L1437" s="23"/>
      <c r="M1437" s="21">
        <f t="shared" si="11"/>
        <v>1894.93</v>
      </c>
    </row>
    <row r="1438" ht="20.25" customHeight="1" outlineLevel="1">
      <c r="A1438" s="12">
        <v>46057.0</v>
      </c>
      <c r="B1438" s="13" t="s">
        <v>368</v>
      </c>
      <c r="C1438" s="28" t="s">
        <v>1318</v>
      </c>
      <c r="D1438" s="20"/>
      <c r="E1438" s="21">
        <f t="shared" si="1"/>
        <v>9627.98</v>
      </c>
      <c r="F1438" s="22">
        <v>-1360.0</v>
      </c>
      <c r="G1438" s="21">
        <f t="shared" si="8"/>
        <v>427268.71</v>
      </c>
      <c r="H1438" s="23"/>
      <c r="I1438" s="21">
        <f t="shared" si="9"/>
        <v>1330.05</v>
      </c>
      <c r="J1438" s="23"/>
      <c r="K1438" s="21">
        <f t="shared" si="10"/>
        <v>223556.01</v>
      </c>
      <c r="L1438" s="23"/>
      <c r="M1438" s="21">
        <f t="shared" si="11"/>
        <v>1894.93</v>
      </c>
    </row>
    <row r="1439" ht="20.25" customHeight="1" outlineLevel="1">
      <c r="A1439" s="12">
        <v>46057.0</v>
      </c>
      <c r="B1439" s="13" t="s">
        <v>368</v>
      </c>
      <c r="C1439" s="28" t="s">
        <v>1319</v>
      </c>
      <c r="D1439" s="20"/>
      <c r="E1439" s="21">
        <f t="shared" si="1"/>
        <v>9627.98</v>
      </c>
      <c r="F1439" s="22">
        <v>-2780.0</v>
      </c>
      <c r="G1439" s="21">
        <f t="shared" si="8"/>
        <v>424488.71</v>
      </c>
      <c r="H1439" s="23"/>
      <c r="I1439" s="21">
        <f t="shared" si="9"/>
        <v>1330.05</v>
      </c>
      <c r="J1439" s="23"/>
      <c r="K1439" s="21">
        <f t="shared" si="10"/>
        <v>223556.01</v>
      </c>
      <c r="L1439" s="23"/>
      <c r="M1439" s="21">
        <f t="shared" si="11"/>
        <v>1894.93</v>
      </c>
    </row>
    <row r="1440" ht="20.25" customHeight="1" outlineLevel="1">
      <c r="A1440" s="12">
        <v>46057.0</v>
      </c>
      <c r="B1440" s="13" t="s">
        <v>368</v>
      </c>
      <c r="C1440" s="28" t="s">
        <v>1320</v>
      </c>
      <c r="D1440" s="20"/>
      <c r="E1440" s="21">
        <f t="shared" si="1"/>
        <v>9627.98</v>
      </c>
      <c r="F1440" s="22">
        <v>-5290.0</v>
      </c>
      <c r="G1440" s="21">
        <f t="shared" si="8"/>
        <v>419198.71</v>
      </c>
      <c r="H1440" s="23"/>
      <c r="I1440" s="21">
        <f t="shared" si="9"/>
        <v>1330.05</v>
      </c>
      <c r="J1440" s="23"/>
      <c r="K1440" s="21">
        <f t="shared" si="10"/>
        <v>223556.01</v>
      </c>
      <c r="L1440" s="23"/>
      <c r="M1440" s="21">
        <f t="shared" si="11"/>
        <v>1894.93</v>
      </c>
    </row>
    <row r="1441" ht="20.25" customHeight="1" outlineLevel="1">
      <c r="A1441" s="12">
        <v>46057.0</v>
      </c>
      <c r="B1441" s="13" t="s">
        <v>368</v>
      </c>
      <c r="C1441" s="28" t="s">
        <v>1321</v>
      </c>
      <c r="D1441" s="20"/>
      <c r="E1441" s="21">
        <f t="shared" si="1"/>
        <v>9627.98</v>
      </c>
      <c r="F1441" s="22">
        <v>-3165.0</v>
      </c>
      <c r="G1441" s="21">
        <f t="shared" si="8"/>
        <v>416033.71</v>
      </c>
      <c r="H1441" s="23"/>
      <c r="I1441" s="21">
        <f t="shared" si="9"/>
        <v>1330.05</v>
      </c>
      <c r="J1441" s="23"/>
      <c r="K1441" s="21">
        <f t="shared" si="10"/>
        <v>223556.01</v>
      </c>
      <c r="L1441" s="23"/>
      <c r="M1441" s="21">
        <f t="shared" si="11"/>
        <v>1894.93</v>
      </c>
    </row>
    <row r="1442" ht="20.25" customHeight="1" outlineLevel="1">
      <c r="A1442" s="12">
        <v>46057.0</v>
      </c>
      <c r="B1442" s="13" t="s">
        <v>368</v>
      </c>
      <c r="C1442" s="28" t="s">
        <v>1322</v>
      </c>
      <c r="D1442" s="20"/>
      <c r="E1442" s="21">
        <f t="shared" si="1"/>
        <v>9627.98</v>
      </c>
      <c r="F1442" s="22">
        <v>-6425.0</v>
      </c>
      <c r="G1442" s="21">
        <f t="shared" si="8"/>
        <v>409608.71</v>
      </c>
      <c r="H1442" s="23"/>
      <c r="I1442" s="21">
        <f t="shared" si="9"/>
        <v>1330.05</v>
      </c>
      <c r="J1442" s="23"/>
      <c r="K1442" s="21">
        <f t="shared" si="10"/>
        <v>223556.01</v>
      </c>
      <c r="L1442" s="23"/>
      <c r="M1442" s="21">
        <f t="shared" si="11"/>
        <v>1894.93</v>
      </c>
    </row>
    <row r="1443" ht="20.25" customHeight="1" outlineLevel="1">
      <c r="A1443" s="12">
        <v>46057.0</v>
      </c>
      <c r="B1443" s="13" t="s">
        <v>368</v>
      </c>
      <c r="C1443" s="28" t="s">
        <v>1323</v>
      </c>
      <c r="D1443" s="20"/>
      <c r="E1443" s="21">
        <f t="shared" si="1"/>
        <v>9627.98</v>
      </c>
      <c r="F1443" s="22">
        <v>-4000.0</v>
      </c>
      <c r="G1443" s="21">
        <f t="shared" si="8"/>
        <v>405608.71</v>
      </c>
      <c r="H1443" s="23"/>
      <c r="I1443" s="21">
        <f t="shared" si="9"/>
        <v>1330.05</v>
      </c>
      <c r="J1443" s="23"/>
      <c r="K1443" s="21">
        <f t="shared" si="10"/>
        <v>223556.01</v>
      </c>
      <c r="L1443" s="23"/>
      <c r="M1443" s="21">
        <f t="shared" si="11"/>
        <v>1894.93</v>
      </c>
    </row>
    <row r="1444" ht="20.25" customHeight="1" outlineLevel="1">
      <c r="A1444" s="12">
        <v>46057.0</v>
      </c>
      <c r="B1444" s="13" t="s">
        <v>14</v>
      </c>
      <c r="C1444" s="28" t="s">
        <v>1324</v>
      </c>
      <c r="D1444" s="20"/>
      <c r="E1444" s="21">
        <f t="shared" si="1"/>
        <v>9627.98</v>
      </c>
      <c r="F1444" s="22">
        <v>-600.0</v>
      </c>
      <c r="G1444" s="21">
        <f t="shared" si="8"/>
        <v>405008.71</v>
      </c>
      <c r="H1444" s="23"/>
      <c r="I1444" s="21">
        <f t="shared" si="9"/>
        <v>1330.05</v>
      </c>
      <c r="J1444" s="23"/>
      <c r="K1444" s="21">
        <f t="shared" si="10"/>
        <v>223556.01</v>
      </c>
      <c r="L1444" s="23"/>
      <c r="M1444" s="21">
        <f t="shared" si="11"/>
        <v>1894.93</v>
      </c>
    </row>
    <row r="1445" ht="20.25" customHeight="1" outlineLevel="1">
      <c r="A1445" s="12">
        <v>46057.0</v>
      </c>
      <c r="B1445" s="13" t="s">
        <v>14</v>
      </c>
      <c r="C1445" s="28" t="s">
        <v>1325</v>
      </c>
      <c r="D1445" s="20"/>
      <c r="E1445" s="21">
        <f t="shared" si="1"/>
        <v>9627.98</v>
      </c>
      <c r="F1445" s="22">
        <v>-350.0</v>
      </c>
      <c r="G1445" s="21">
        <f t="shared" si="8"/>
        <v>404658.71</v>
      </c>
      <c r="H1445" s="23"/>
      <c r="I1445" s="21">
        <f t="shared" si="9"/>
        <v>1330.05</v>
      </c>
      <c r="J1445" s="23"/>
      <c r="K1445" s="21">
        <f t="shared" si="10"/>
        <v>223556.01</v>
      </c>
      <c r="L1445" s="23"/>
      <c r="M1445" s="21">
        <f t="shared" si="11"/>
        <v>1894.93</v>
      </c>
    </row>
    <row r="1446" ht="20.25" customHeight="1" outlineLevel="1">
      <c r="A1446" s="12">
        <v>46057.0</v>
      </c>
      <c r="B1446" s="13" t="s">
        <v>368</v>
      </c>
      <c r="C1446" s="28" t="s">
        <v>1326</v>
      </c>
      <c r="D1446" s="20"/>
      <c r="E1446" s="21">
        <f t="shared" si="1"/>
        <v>9627.98</v>
      </c>
      <c r="F1446" s="22">
        <v>-5035.0</v>
      </c>
      <c r="G1446" s="21">
        <f t="shared" si="8"/>
        <v>399623.71</v>
      </c>
      <c r="H1446" s="23"/>
      <c r="I1446" s="21">
        <f t="shared" si="9"/>
        <v>1330.05</v>
      </c>
      <c r="J1446" s="23"/>
      <c r="K1446" s="21">
        <f t="shared" si="10"/>
        <v>223556.01</v>
      </c>
      <c r="L1446" s="23"/>
      <c r="M1446" s="21">
        <f t="shared" si="11"/>
        <v>1894.93</v>
      </c>
    </row>
    <row r="1447" ht="20.25" customHeight="1" outlineLevel="1">
      <c r="A1447" s="12">
        <v>46057.0</v>
      </c>
      <c r="B1447" s="13" t="s">
        <v>16</v>
      </c>
      <c r="C1447" s="28" t="s">
        <v>1327</v>
      </c>
      <c r="D1447" s="20"/>
      <c r="E1447" s="21">
        <f t="shared" si="1"/>
        <v>9627.98</v>
      </c>
      <c r="F1447" s="23">
        <v>25.0</v>
      </c>
      <c r="G1447" s="21">
        <f t="shared" si="8"/>
        <v>399648.71</v>
      </c>
      <c r="H1447" s="23"/>
      <c r="I1447" s="21">
        <f t="shared" si="9"/>
        <v>1330.05</v>
      </c>
      <c r="J1447" s="23"/>
      <c r="K1447" s="21">
        <f t="shared" si="10"/>
        <v>223556.01</v>
      </c>
      <c r="L1447" s="23"/>
      <c r="M1447" s="21">
        <f t="shared" si="11"/>
        <v>1894.93</v>
      </c>
    </row>
    <row r="1448" ht="20.25" customHeight="1" outlineLevel="1">
      <c r="A1448" s="12">
        <v>46057.0</v>
      </c>
      <c r="B1448" s="13" t="s">
        <v>16</v>
      </c>
      <c r="C1448" s="28" t="s">
        <v>1328</v>
      </c>
      <c r="D1448" s="20"/>
      <c r="E1448" s="21">
        <f t="shared" si="1"/>
        <v>9627.98</v>
      </c>
      <c r="F1448" s="23">
        <v>139.0</v>
      </c>
      <c r="G1448" s="21">
        <f t="shared" si="8"/>
        <v>399787.71</v>
      </c>
      <c r="H1448" s="23"/>
      <c r="I1448" s="21">
        <f t="shared" si="9"/>
        <v>1330.05</v>
      </c>
      <c r="J1448" s="23"/>
      <c r="K1448" s="21">
        <f t="shared" si="10"/>
        <v>223556.01</v>
      </c>
      <c r="L1448" s="23"/>
      <c r="M1448" s="21">
        <f t="shared" si="11"/>
        <v>1894.93</v>
      </c>
    </row>
    <row r="1449" ht="20.25" customHeight="1" outlineLevel="1">
      <c r="A1449" s="12">
        <v>46057.0</v>
      </c>
      <c r="B1449" s="13" t="s">
        <v>16</v>
      </c>
      <c r="C1449" s="28" t="s">
        <v>1329</v>
      </c>
      <c r="D1449" s="20"/>
      <c r="E1449" s="21">
        <f t="shared" si="1"/>
        <v>9627.98</v>
      </c>
      <c r="F1449" s="23">
        <v>475.0</v>
      </c>
      <c r="G1449" s="21">
        <f t="shared" si="8"/>
        <v>400262.71</v>
      </c>
      <c r="H1449" s="23"/>
      <c r="I1449" s="21">
        <f t="shared" si="9"/>
        <v>1330.05</v>
      </c>
      <c r="J1449" s="23"/>
      <c r="K1449" s="21">
        <f t="shared" si="10"/>
        <v>223556.01</v>
      </c>
      <c r="L1449" s="23"/>
      <c r="M1449" s="21">
        <f t="shared" si="11"/>
        <v>1894.93</v>
      </c>
    </row>
    <row r="1450" ht="20.25" customHeight="1" outlineLevel="1">
      <c r="A1450" s="12">
        <v>46057.0</v>
      </c>
      <c r="B1450" s="13" t="s">
        <v>14</v>
      </c>
      <c r="C1450" s="28" t="s">
        <v>1330</v>
      </c>
      <c r="D1450" s="20"/>
      <c r="E1450" s="21">
        <f t="shared" si="1"/>
        <v>9627.98</v>
      </c>
      <c r="F1450" s="22">
        <v>-10.0</v>
      </c>
      <c r="G1450" s="21">
        <f t="shared" si="8"/>
        <v>400252.71</v>
      </c>
      <c r="H1450" s="23"/>
      <c r="I1450" s="21">
        <f t="shared" si="9"/>
        <v>1330.05</v>
      </c>
      <c r="J1450" s="23"/>
      <c r="K1450" s="21">
        <f t="shared" si="10"/>
        <v>223556.01</v>
      </c>
      <c r="L1450" s="23"/>
      <c r="M1450" s="21">
        <f t="shared" si="11"/>
        <v>1894.93</v>
      </c>
    </row>
    <row r="1451" ht="20.25" customHeight="1" outlineLevel="1">
      <c r="A1451" s="12">
        <v>46057.0</v>
      </c>
      <c r="B1451" s="13" t="s">
        <v>14</v>
      </c>
      <c r="C1451" s="28" t="s">
        <v>1331</v>
      </c>
      <c r="D1451" s="20"/>
      <c r="E1451" s="21">
        <f t="shared" si="1"/>
        <v>9627.98</v>
      </c>
      <c r="F1451" s="22">
        <v>-5.0</v>
      </c>
      <c r="G1451" s="21">
        <f t="shared" si="8"/>
        <v>400247.71</v>
      </c>
      <c r="H1451" s="23"/>
      <c r="I1451" s="21">
        <f t="shared" si="9"/>
        <v>1330.05</v>
      </c>
      <c r="J1451" s="23"/>
      <c r="K1451" s="21">
        <f t="shared" si="10"/>
        <v>223556.01</v>
      </c>
      <c r="L1451" s="23"/>
      <c r="M1451" s="21">
        <f t="shared" si="11"/>
        <v>1894.93</v>
      </c>
    </row>
    <row r="1452" ht="20.25" customHeight="1" outlineLevel="1">
      <c r="A1452" s="12">
        <v>46057.0</v>
      </c>
      <c r="B1452" s="13" t="s">
        <v>14</v>
      </c>
      <c r="C1452" s="28" t="s">
        <v>49</v>
      </c>
      <c r="D1452" s="20"/>
      <c r="E1452" s="21">
        <f t="shared" si="1"/>
        <v>9627.98</v>
      </c>
      <c r="F1452" s="22">
        <v>-144.59</v>
      </c>
      <c r="G1452" s="21">
        <f t="shared" si="8"/>
        <v>400103.12</v>
      </c>
      <c r="H1452" s="23"/>
      <c r="I1452" s="21">
        <f t="shared" si="9"/>
        <v>1330.05</v>
      </c>
      <c r="J1452" s="23"/>
      <c r="K1452" s="21">
        <f t="shared" si="10"/>
        <v>223556.01</v>
      </c>
      <c r="L1452" s="23"/>
      <c r="M1452" s="21">
        <f t="shared" si="11"/>
        <v>1894.93</v>
      </c>
    </row>
    <row r="1453" ht="20.25" customHeight="1" outlineLevel="1">
      <c r="A1453" s="12">
        <v>46057.0</v>
      </c>
      <c r="B1453" s="13" t="s">
        <v>14</v>
      </c>
      <c r="C1453" s="28" t="s">
        <v>48</v>
      </c>
      <c r="D1453" s="20"/>
      <c r="E1453" s="21">
        <f t="shared" si="1"/>
        <v>9627.98</v>
      </c>
      <c r="F1453" s="22">
        <v>-43.11</v>
      </c>
      <c r="G1453" s="21">
        <f t="shared" si="8"/>
        <v>400060.01</v>
      </c>
      <c r="H1453" s="23"/>
      <c r="I1453" s="21">
        <f t="shared" si="9"/>
        <v>1330.05</v>
      </c>
      <c r="J1453" s="23"/>
      <c r="K1453" s="21">
        <f t="shared" si="10"/>
        <v>223556.01</v>
      </c>
      <c r="L1453" s="23"/>
      <c r="M1453" s="21">
        <f t="shared" si="11"/>
        <v>1894.93</v>
      </c>
    </row>
    <row r="1454" ht="20.25" customHeight="1" outlineLevel="1">
      <c r="A1454" s="12">
        <v>46057.0</v>
      </c>
      <c r="B1454" s="13" t="s">
        <v>14</v>
      </c>
      <c r="C1454" s="28" t="s">
        <v>52</v>
      </c>
      <c r="D1454" s="20"/>
      <c r="E1454" s="21">
        <f t="shared" si="1"/>
        <v>9627.98</v>
      </c>
      <c r="F1454" s="23"/>
      <c r="G1454" s="21">
        <f t="shared" si="8"/>
        <v>400060.01</v>
      </c>
      <c r="H1454" s="23"/>
      <c r="I1454" s="21">
        <f t="shared" si="9"/>
        <v>1330.05</v>
      </c>
      <c r="J1454" s="22">
        <v>-84.24</v>
      </c>
      <c r="K1454" s="21">
        <f t="shared" si="10"/>
        <v>223471.77</v>
      </c>
      <c r="L1454" s="23"/>
      <c r="M1454" s="21">
        <f t="shared" si="11"/>
        <v>1894.93</v>
      </c>
    </row>
    <row r="1455" ht="20.25" customHeight="1" outlineLevel="1">
      <c r="A1455" s="12">
        <v>46057.0</v>
      </c>
      <c r="B1455" s="13" t="s">
        <v>14</v>
      </c>
      <c r="C1455" s="28" t="s">
        <v>34</v>
      </c>
      <c r="D1455" s="20"/>
      <c r="E1455" s="21">
        <f t="shared" si="1"/>
        <v>9627.98</v>
      </c>
      <c r="F1455" s="23"/>
      <c r="G1455" s="21">
        <f t="shared" si="8"/>
        <v>400060.01</v>
      </c>
      <c r="H1455" s="23"/>
      <c r="I1455" s="21">
        <f t="shared" si="9"/>
        <v>1330.05</v>
      </c>
      <c r="J1455" s="22">
        <v>-9.99</v>
      </c>
      <c r="K1455" s="21">
        <f t="shared" si="10"/>
        <v>223461.78</v>
      </c>
      <c r="L1455" s="23"/>
      <c r="M1455" s="21">
        <f t="shared" si="11"/>
        <v>1894.93</v>
      </c>
    </row>
    <row r="1456" ht="20.25" customHeight="1" outlineLevel="1">
      <c r="A1456" s="12">
        <v>46057.0</v>
      </c>
      <c r="B1456" s="13" t="s">
        <v>14</v>
      </c>
      <c r="C1456" s="28" t="s">
        <v>34</v>
      </c>
      <c r="D1456" s="20"/>
      <c r="E1456" s="21">
        <f t="shared" si="1"/>
        <v>9627.98</v>
      </c>
      <c r="F1456" s="23"/>
      <c r="G1456" s="21">
        <f t="shared" si="8"/>
        <v>400060.01</v>
      </c>
      <c r="H1456" s="23"/>
      <c r="I1456" s="21">
        <f t="shared" si="9"/>
        <v>1330.05</v>
      </c>
      <c r="J1456" s="22">
        <v>-23.7</v>
      </c>
      <c r="K1456" s="21">
        <f t="shared" si="10"/>
        <v>223438.08</v>
      </c>
      <c r="L1456" s="23"/>
      <c r="M1456" s="21">
        <f t="shared" si="11"/>
        <v>1894.93</v>
      </c>
    </row>
    <row r="1457" ht="20.25" customHeight="1" outlineLevel="1">
      <c r="A1457" s="12">
        <v>46057.0</v>
      </c>
      <c r="B1457" s="13" t="s">
        <v>16</v>
      </c>
      <c r="C1457" s="28" t="s">
        <v>1332</v>
      </c>
      <c r="D1457" s="20"/>
      <c r="E1457" s="21">
        <f t="shared" si="1"/>
        <v>9627.98</v>
      </c>
      <c r="F1457" s="23"/>
      <c r="G1457" s="21">
        <f t="shared" si="8"/>
        <v>400060.01</v>
      </c>
      <c r="H1457" s="23"/>
      <c r="I1457" s="21">
        <f t="shared" si="9"/>
        <v>1330.05</v>
      </c>
      <c r="J1457" s="23">
        <v>30.0</v>
      </c>
      <c r="K1457" s="21">
        <f t="shared" si="10"/>
        <v>223468.08</v>
      </c>
      <c r="L1457" s="23"/>
      <c r="M1457" s="21">
        <f t="shared" si="11"/>
        <v>1894.93</v>
      </c>
    </row>
    <row r="1458" ht="20.25" customHeight="1" outlineLevel="1">
      <c r="A1458" s="12">
        <v>46057.0</v>
      </c>
      <c r="B1458" s="13" t="s">
        <v>16</v>
      </c>
      <c r="C1458" s="28" t="s">
        <v>1333</v>
      </c>
      <c r="D1458" s="20"/>
      <c r="E1458" s="21">
        <f t="shared" si="1"/>
        <v>9627.98</v>
      </c>
      <c r="F1458" s="23"/>
      <c r="G1458" s="21">
        <f t="shared" si="8"/>
        <v>400060.01</v>
      </c>
      <c r="H1458" s="23"/>
      <c r="I1458" s="21">
        <f t="shared" si="9"/>
        <v>1330.05</v>
      </c>
      <c r="J1458" s="23">
        <v>644.0</v>
      </c>
      <c r="K1458" s="21">
        <f t="shared" si="10"/>
        <v>224112.08</v>
      </c>
      <c r="L1458" s="23"/>
      <c r="M1458" s="21">
        <f t="shared" si="11"/>
        <v>1894.93</v>
      </c>
    </row>
    <row r="1459" ht="20.25" customHeight="1" outlineLevel="1">
      <c r="A1459" s="12">
        <v>46057.0</v>
      </c>
      <c r="B1459" s="13" t="s">
        <v>16</v>
      </c>
      <c r="C1459" s="28" t="s">
        <v>1334</v>
      </c>
      <c r="D1459" s="20">
        <v>75.0</v>
      </c>
      <c r="E1459" s="21">
        <f t="shared" si="1"/>
        <v>9702.98</v>
      </c>
      <c r="F1459" s="23"/>
      <c r="G1459" s="21">
        <f t="shared" si="8"/>
        <v>400060.01</v>
      </c>
      <c r="H1459" s="23"/>
      <c r="I1459" s="21">
        <f t="shared" si="9"/>
        <v>1330.05</v>
      </c>
      <c r="J1459" s="23"/>
      <c r="K1459" s="21">
        <f t="shared" si="10"/>
        <v>224112.08</v>
      </c>
      <c r="L1459" s="23"/>
      <c r="M1459" s="21">
        <f t="shared" si="11"/>
        <v>1894.93</v>
      </c>
    </row>
    <row r="1460" ht="20.25" customHeight="1" outlineLevel="1">
      <c r="A1460" s="12">
        <v>46058.0</v>
      </c>
      <c r="B1460" s="13" t="s">
        <v>70</v>
      </c>
      <c r="C1460" s="28" t="s">
        <v>1335</v>
      </c>
      <c r="D1460" s="20"/>
      <c r="E1460" s="21">
        <f t="shared" si="1"/>
        <v>9702.98</v>
      </c>
      <c r="F1460" s="22">
        <v>-21005.0</v>
      </c>
      <c r="G1460" s="21">
        <f t="shared" si="8"/>
        <v>379055.01</v>
      </c>
      <c r="H1460" s="23"/>
      <c r="I1460" s="21">
        <f t="shared" si="9"/>
        <v>1330.05</v>
      </c>
      <c r="J1460" s="23"/>
      <c r="K1460" s="21">
        <f t="shared" si="10"/>
        <v>224112.08</v>
      </c>
      <c r="L1460" s="23"/>
      <c r="M1460" s="21">
        <f t="shared" si="11"/>
        <v>1894.93</v>
      </c>
    </row>
    <row r="1461" ht="20.25" customHeight="1" outlineLevel="1">
      <c r="A1461" s="12">
        <v>46058.0</v>
      </c>
      <c r="B1461" s="13" t="s">
        <v>12</v>
      </c>
      <c r="C1461" s="28" t="s">
        <v>1336</v>
      </c>
      <c r="D1461" s="20"/>
      <c r="E1461" s="21">
        <f t="shared" si="1"/>
        <v>9702.98</v>
      </c>
      <c r="F1461" s="22">
        <v>-500.0</v>
      </c>
      <c r="G1461" s="21">
        <f t="shared" si="8"/>
        <v>378555.01</v>
      </c>
      <c r="H1461" s="23"/>
      <c r="I1461" s="21">
        <f t="shared" si="9"/>
        <v>1330.05</v>
      </c>
      <c r="J1461" s="23"/>
      <c r="K1461" s="21">
        <f t="shared" si="10"/>
        <v>224112.08</v>
      </c>
      <c r="L1461" s="23"/>
      <c r="M1461" s="21">
        <f t="shared" si="11"/>
        <v>1894.93</v>
      </c>
    </row>
    <row r="1462" ht="20.25" customHeight="1" outlineLevel="1">
      <c r="A1462" s="12">
        <v>46058.0</v>
      </c>
      <c r="B1462" s="13" t="s">
        <v>16</v>
      </c>
      <c r="C1462" s="28" t="s">
        <v>1337</v>
      </c>
      <c r="D1462" s="20"/>
      <c r="E1462" s="21">
        <f t="shared" si="1"/>
        <v>9702.98</v>
      </c>
      <c r="F1462" s="23">
        <v>42.0</v>
      </c>
      <c r="G1462" s="21">
        <f t="shared" si="8"/>
        <v>378597.01</v>
      </c>
      <c r="H1462" s="23"/>
      <c r="I1462" s="21">
        <f t="shared" si="9"/>
        <v>1330.05</v>
      </c>
      <c r="J1462" s="23"/>
      <c r="K1462" s="21">
        <f t="shared" si="10"/>
        <v>224112.08</v>
      </c>
      <c r="L1462" s="23"/>
      <c r="M1462" s="21">
        <f t="shared" si="11"/>
        <v>1894.93</v>
      </c>
    </row>
    <row r="1463" ht="20.25" customHeight="1" outlineLevel="1">
      <c r="A1463" s="12">
        <v>46058.0</v>
      </c>
      <c r="B1463" s="13" t="s">
        <v>16</v>
      </c>
      <c r="C1463" s="28" t="s">
        <v>1338</v>
      </c>
      <c r="D1463" s="20"/>
      <c r="E1463" s="21">
        <f t="shared" si="1"/>
        <v>9702.98</v>
      </c>
      <c r="F1463" s="23">
        <v>249.0</v>
      </c>
      <c r="G1463" s="21">
        <f t="shared" si="8"/>
        <v>378846.01</v>
      </c>
      <c r="H1463" s="23"/>
      <c r="I1463" s="21">
        <f t="shared" si="9"/>
        <v>1330.05</v>
      </c>
      <c r="J1463" s="23"/>
      <c r="K1463" s="21">
        <f t="shared" si="10"/>
        <v>224112.08</v>
      </c>
      <c r="L1463" s="23"/>
      <c r="M1463" s="21">
        <f t="shared" si="11"/>
        <v>1894.93</v>
      </c>
    </row>
    <row r="1464" ht="20.25" customHeight="1" outlineLevel="1">
      <c r="A1464" s="12">
        <v>46058.0</v>
      </c>
      <c r="B1464" s="13" t="s">
        <v>16</v>
      </c>
      <c r="C1464" s="28" t="s">
        <v>1339</v>
      </c>
      <c r="D1464" s="20"/>
      <c r="E1464" s="21">
        <f t="shared" si="1"/>
        <v>9702.98</v>
      </c>
      <c r="F1464" s="23">
        <v>1904.0</v>
      </c>
      <c r="G1464" s="21">
        <f t="shared" si="8"/>
        <v>380750.01</v>
      </c>
      <c r="H1464" s="23"/>
      <c r="I1464" s="21">
        <f t="shared" si="9"/>
        <v>1330.05</v>
      </c>
      <c r="J1464" s="23"/>
      <c r="K1464" s="21">
        <f t="shared" si="10"/>
        <v>224112.08</v>
      </c>
      <c r="L1464" s="23"/>
      <c r="M1464" s="21">
        <f t="shared" si="11"/>
        <v>1894.93</v>
      </c>
    </row>
    <row r="1465" ht="20.25" customHeight="1" outlineLevel="1">
      <c r="A1465" s="12">
        <v>46058.0</v>
      </c>
      <c r="B1465" s="13" t="s">
        <v>16</v>
      </c>
      <c r="C1465" s="28" t="s">
        <v>1340</v>
      </c>
      <c r="D1465" s="20"/>
      <c r="E1465" s="21">
        <f t="shared" si="1"/>
        <v>9702.98</v>
      </c>
      <c r="F1465" s="23">
        <v>567.1</v>
      </c>
      <c r="G1465" s="21">
        <f t="shared" si="8"/>
        <v>381317.11</v>
      </c>
      <c r="H1465" s="23"/>
      <c r="I1465" s="21">
        <f t="shared" si="9"/>
        <v>1330.05</v>
      </c>
      <c r="J1465" s="23"/>
      <c r="K1465" s="21">
        <f t="shared" si="10"/>
        <v>224112.08</v>
      </c>
      <c r="L1465" s="23"/>
      <c r="M1465" s="21">
        <f t="shared" si="11"/>
        <v>1894.93</v>
      </c>
    </row>
    <row r="1466" ht="20.25" customHeight="1" outlineLevel="1">
      <c r="A1466" s="12">
        <v>46058.0</v>
      </c>
      <c r="B1466" s="13" t="s">
        <v>14</v>
      </c>
      <c r="C1466" s="28" t="s">
        <v>66</v>
      </c>
      <c r="D1466" s="20"/>
      <c r="E1466" s="21">
        <f t="shared" si="1"/>
        <v>9702.98</v>
      </c>
      <c r="F1466" s="22">
        <v>-0.4</v>
      </c>
      <c r="G1466" s="21">
        <f t="shared" si="8"/>
        <v>381316.71</v>
      </c>
      <c r="H1466" s="23"/>
      <c r="I1466" s="21">
        <f t="shared" si="9"/>
        <v>1330.05</v>
      </c>
      <c r="J1466" s="23"/>
      <c r="K1466" s="21">
        <f t="shared" si="10"/>
        <v>224112.08</v>
      </c>
      <c r="L1466" s="23"/>
      <c r="M1466" s="21">
        <f t="shared" si="11"/>
        <v>1894.93</v>
      </c>
    </row>
    <row r="1467" ht="20.25" customHeight="1" outlineLevel="1">
      <c r="A1467" s="12">
        <v>46058.0</v>
      </c>
      <c r="B1467" s="13" t="s">
        <v>14</v>
      </c>
      <c r="C1467" s="28" t="s">
        <v>65</v>
      </c>
      <c r="D1467" s="20"/>
      <c r="E1467" s="21">
        <f t="shared" si="1"/>
        <v>9702.98</v>
      </c>
      <c r="F1467" s="22">
        <v>-0.4</v>
      </c>
      <c r="G1467" s="21">
        <f t="shared" si="8"/>
        <v>381316.31</v>
      </c>
      <c r="H1467" s="23"/>
      <c r="I1467" s="21">
        <f t="shared" si="9"/>
        <v>1330.05</v>
      </c>
      <c r="J1467" s="23"/>
      <c r="K1467" s="21">
        <f t="shared" si="10"/>
        <v>224112.08</v>
      </c>
      <c r="L1467" s="23"/>
      <c r="M1467" s="21">
        <f t="shared" si="11"/>
        <v>1894.93</v>
      </c>
    </row>
    <row r="1468" ht="20.25" customHeight="1" outlineLevel="1">
      <c r="A1468" s="12">
        <v>46058.0</v>
      </c>
      <c r="B1468" s="13" t="s">
        <v>16</v>
      </c>
      <c r="C1468" s="28" t="s">
        <v>1341</v>
      </c>
      <c r="D1468" s="20"/>
      <c r="E1468" s="21">
        <f t="shared" si="1"/>
        <v>9702.98</v>
      </c>
      <c r="F1468" s="23"/>
      <c r="G1468" s="21">
        <f t="shared" si="8"/>
        <v>381316.31</v>
      </c>
      <c r="H1468" s="23"/>
      <c r="I1468" s="21">
        <f t="shared" si="9"/>
        <v>1330.05</v>
      </c>
      <c r="J1468" s="23">
        <v>370.0</v>
      </c>
      <c r="K1468" s="21">
        <f t="shared" si="10"/>
        <v>224482.08</v>
      </c>
      <c r="L1468" s="23"/>
      <c r="M1468" s="21">
        <f t="shared" si="11"/>
        <v>1894.93</v>
      </c>
    </row>
    <row r="1469" ht="20.25" customHeight="1" outlineLevel="1">
      <c r="A1469" s="12">
        <v>46058.0</v>
      </c>
      <c r="B1469" s="13" t="s">
        <v>16</v>
      </c>
      <c r="C1469" s="28" t="s">
        <v>1342</v>
      </c>
      <c r="D1469" s="20"/>
      <c r="E1469" s="21">
        <f t="shared" si="1"/>
        <v>9702.98</v>
      </c>
      <c r="F1469" s="23"/>
      <c r="G1469" s="21">
        <f t="shared" si="8"/>
        <v>381316.31</v>
      </c>
      <c r="H1469" s="23"/>
      <c r="I1469" s="21">
        <f t="shared" si="9"/>
        <v>1330.05</v>
      </c>
      <c r="J1469" s="23">
        <v>740.0</v>
      </c>
      <c r="K1469" s="21">
        <f t="shared" si="10"/>
        <v>225222.08</v>
      </c>
      <c r="L1469" s="23"/>
      <c r="M1469" s="21">
        <f t="shared" si="11"/>
        <v>1894.93</v>
      </c>
    </row>
    <row r="1470" ht="20.25" customHeight="1" outlineLevel="1">
      <c r="A1470" s="12">
        <v>46058.0</v>
      </c>
      <c r="B1470" s="13" t="s">
        <v>16</v>
      </c>
      <c r="C1470" s="28" t="s">
        <v>605</v>
      </c>
      <c r="D1470" s="20">
        <v>25.0</v>
      </c>
      <c r="E1470" s="21">
        <f t="shared" si="1"/>
        <v>9727.98</v>
      </c>
      <c r="F1470" s="23"/>
      <c r="G1470" s="21">
        <f t="shared" si="8"/>
        <v>381316.31</v>
      </c>
      <c r="H1470" s="23"/>
      <c r="I1470" s="21">
        <f t="shared" si="9"/>
        <v>1330.05</v>
      </c>
      <c r="J1470" s="23"/>
      <c r="K1470" s="21">
        <f t="shared" si="10"/>
        <v>225222.08</v>
      </c>
      <c r="L1470" s="23"/>
      <c r="M1470" s="21">
        <f t="shared" si="11"/>
        <v>1894.93</v>
      </c>
    </row>
    <row r="1471" ht="20.25" customHeight="1" outlineLevel="1">
      <c r="A1471" s="12">
        <v>46059.0</v>
      </c>
      <c r="B1471" s="13" t="s">
        <v>63</v>
      </c>
      <c r="C1471" s="69" t="s">
        <v>1343</v>
      </c>
      <c r="D1471" s="20"/>
      <c r="E1471" s="21">
        <f t="shared" si="1"/>
        <v>9727.98</v>
      </c>
      <c r="F1471" s="51">
        <v>1317.6</v>
      </c>
      <c r="G1471" s="21">
        <f t="shared" si="8"/>
        <v>382633.91</v>
      </c>
      <c r="H1471" s="23"/>
      <c r="I1471" s="21">
        <f t="shared" si="9"/>
        <v>1330.05</v>
      </c>
      <c r="J1471" s="23"/>
      <c r="K1471" s="21">
        <f t="shared" si="10"/>
        <v>225222.08</v>
      </c>
      <c r="L1471" s="23"/>
      <c r="M1471" s="21">
        <f t="shared" si="11"/>
        <v>1894.93</v>
      </c>
    </row>
    <row r="1472" ht="20.25" customHeight="1" outlineLevel="1">
      <c r="A1472" s="12">
        <v>46059.0</v>
      </c>
      <c r="B1472" s="13" t="s">
        <v>368</v>
      </c>
      <c r="C1472" s="28" t="s">
        <v>1344</v>
      </c>
      <c r="D1472" s="20"/>
      <c r="E1472" s="21">
        <f t="shared" si="1"/>
        <v>9727.98</v>
      </c>
      <c r="F1472" s="22">
        <v>-4230.0</v>
      </c>
      <c r="G1472" s="21">
        <f t="shared" si="8"/>
        <v>378403.91</v>
      </c>
      <c r="H1472" s="23"/>
      <c r="I1472" s="21">
        <f t="shared" si="9"/>
        <v>1330.05</v>
      </c>
      <c r="J1472" s="23"/>
      <c r="K1472" s="21">
        <f t="shared" si="10"/>
        <v>225222.08</v>
      </c>
      <c r="L1472" s="23"/>
      <c r="M1472" s="21">
        <f t="shared" si="11"/>
        <v>1894.93</v>
      </c>
    </row>
    <row r="1473" ht="20.25" customHeight="1" outlineLevel="1">
      <c r="A1473" s="12">
        <v>46059.0</v>
      </c>
      <c r="B1473" s="13" t="s">
        <v>368</v>
      </c>
      <c r="C1473" s="28" t="s">
        <v>1345</v>
      </c>
      <c r="D1473" s="20"/>
      <c r="E1473" s="21">
        <f t="shared" si="1"/>
        <v>9727.98</v>
      </c>
      <c r="F1473" s="22">
        <v>-3677.98</v>
      </c>
      <c r="G1473" s="21">
        <f t="shared" si="8"/>
        <v>374725.93</v>
      </c>
      <c r="H1473" s="23"/>
      <c r="I1473" s="21">
        <f t="shared" si="9"/>
        <v>1330.05</v>
      </c>
      <c r="J1473" s="23"/>
      <c r="K1473" s="21">
        <f t="shared" si="10"/>
        <v>225222.08</v>
      </c>
      <c r="L1473" s="23"/>
      <c r="M1473" s="21">
        <f t="shared" si="11"/>
        <v>1894.93</v>
      </c>
    </row>
    <row r="1474" ht="20.25" customHeight="1" outlineLevel="1">
      <c r="A1474" s="12">
        <v>46059.0</v>
      </c>
      <c r="B1474" s="13" t="s">
        <v>14</v>
      </c>
      <c r="C1474" s="28" t="s">
        <v>1346</v>
      </c>
      <c r="D1474" s="20"/>
      <c r="E1474" s="21">
        <f t="shared" si="1"/>
        <v>9727.98</v>
      </c>
      <c r="F1474" s="22">
        <v>-49.0</v>
      </c>
      <c r="G1474" s="21">
        <f t="shared" si="8"/>
        <v>374676.93</v>
      </c>
      <c r="H1474" s="23"/>
      <c r="I1474" s="21">
        <f t="shared" si="9"/>
        <v>1330.05</v>
      </c>
      <c r="J1474" s="23"/>
      <c r="K1474" s="21">
        <f t="shared" si="10"/>
        <v>225222.08</v>
      </c>
      <c r="L1474" s="23"/>
      <c r="M1474" s="21">
        <f t="shared" si="11"/>
        <v>1894.93</v>
      </c>
    </row>
    <row r="1475" ht="20.25" customHeight="1" outlineLevel="1">
      <c r="A1475" s="12">
        <v>46059.0</v>
      </c>
      <c r="B1475" s="13" t="s">
        <v>368</v>
      </c>
      <c r="C1475" s="28" t="s">
        <v>1347</v>
      </c>
      <c r="D1475" s="20"/>
      <c r="E1475" s="21">
        <f t="shared" si="1"/>
        <v>9727.98</v>
      </c>
      <c r="F1475" s="22">
        <v>-3101.2</v>
      </c>
      <c r="G1475" s="21">
        <f t="shared" si="8"/>
        <v>371575.73</v>
      </c>
      <c r="H1475" s="23"/>
      <c r="I1475" s="21">
        <f t="shared" si="9"/>
        <v>1330.05</v>
      </c>
      <c r="J1475" s="23"/>
      <c r="K1475" s="21">
        <f t="shared" si="10"/>
        <v>225222.08</v>
      </c>
      <c r="L1475" s="23"/>
      <c r="M1475" s="21">
        <f t="shared" si="11"/>
        <v>1894.93</v>
      </c>
    </row>
    <row r="1476" ht="20.25" customHeight="1" outlineLevel="1">
      <c r="A1476" s="12">
        <v>46059.0</v>
      </c>
      <c r="B1476" s="13" t="s">
        <v>16</v>
      </c>
      <c r="C1476" s="28" t="s">
        <v>1348</v>
      </c>
      <c r="D1476" s="20"/>
      <c r="E1476" s="21">
        <f t="shared" si="1"/>
        <v>9727.98</v>
      </c>
      <c r="F1476" s="23">
        <v>872.5</v>
      </c>
      <c r="G1476" s="21">
        <f t="shared" si="8"/>
        <v>372448.23</v>
      </c>
      <c r="H1476" s="23"/>
      <c r="I1476" s="21">
        <f t="shared" si="9"/>
        <v>1330.05</v>
      </c>
      <c r="J1476" s="23"/>
      <c r="K1476" s="21">
        <f t="shared" si="10"/>
        <v>225222.08</v>
      </c>
      <c r="L1476" s="23"/>
      <c r="M1476" s="21">
        <f t="shared" si="11"/>
        <v>1894.93</v>
      </c>
    </row>
    <row r="1477" ht="20.25" customHeight="1" outlineLevel="1">
      <c r="A1477" s="12">
        <v>46059.0</v>
      </c>
      <c r="B1477" s="13" t="s">
        <v>16</v>
      </c>
      <c r="C1477" s="28" t="s">
        <v>1349</v>
      </c>
      <c r="D1477" s="20"/>
      <c r="E1477" s="21">
        <f t="shared" si="1"/>
        <v>9727.98</v>
      </c>
      <c r="F1477" s="23">
        <v>25.0</v>
      </c>
      <c r="G1477" s="21">
        <f t="shared" si="8"/>
        <v>372473.23</v>
      </c>
      <c r="H1477" s="23"/>
      <c r="I1477" s="21">
        <f t="shared" si="9"/>
        <v>1330.05</v>
      </c>
      <c r="J1477" s="23"/>
      <c r="K1477" s="21">
        <f t="shared" si="10"/>
        <v>225222.08</v>
      </c>
      <c r="L1477" s="23"/>
      <c r="M1477" s="21">
        <f t="shared" si="11"/>
        <v>1894.93</v>
      </c>
    </row>
    <row r="1478" ht="20.25" customHeight="1" outlineLevel="1">
      <c r="A1478" s="12">
        <v>46059.0</v>
      </c>
      <c r="B1478" s="13" t="s">
        <v>16</v>
      </c>
      <c r="C1478" s="28" t="s">
        <v>1350</v>
      </c>
      <c r="D1478" s="20"/>
      <c r="E1478" s="21">
        <f t="shared" si="1"/>
        <v>9727.98</v>
      </c>
      <c r="F1478" s="23">
        <v>144.0</v>
      </c>
      <c r="G1478" s="21">
        <f t="shared" si="8"/>
        <v>372617.23</v>
      </c>
      <c r="H1478" s="23"/>
      <c r="I1478" s="21">
        <f t="shared" si="9"/>
        <v>1330.05</v>
      </c>
      <c r="J1478" s="23"/>
      <c r="K1478" s="21">
        <f t="shared" si="10"/>
        <v>225222.08</v>
      </c>
      <c r="L1478" s="23"/>
      <c r="M1478" s="21">
        <f t="shared" si="11"/>
        <v>1894.93</v>
      </c>
    </row>
    <row r="1479" ht="20.25" customHeight="1" outlineLevel="1">
      <c r="A1479" s="12">
        <v>46059.0</v>
      </c>
      <c r="B1479" s="13" t="s">
        <v>16</v>
      </c>
      <c r="C1479" s="28" t="s">
        <v>1351</v>
      </c>
      <c r="D1479" s="20"/>
      <c r="E1479" s="21">
        <f t="shared" si="1"/>
        <v>9727.98</v>
      </c>
      <c r="F1479" s="23"/>
      <c r="G1479" s="21">
        <f t="shared" si="8"/>
        <v>372617.23</v>
      </c>
      <c r="H1479" s="23"/>
      <c r="I1479" s="21">
        <f t="shared" si="9"/>
        <v>1330.05</v>
      </c>
      <c r="J1479" s="23">
        <v>139.0</v>
      </c>
      <c r="K1479" s="21">
        <f t="shared" si="10"/>
        <v>225361.08</v>
      </c>
      <c r="L1479" s="23"/>
      <c r="M1479" s="21">
        <f t="shared" si="11"/>
        <v>1894.93</v>
      </c>
    </row>
    <row r="1480" ht="20.25" customHeight="1" outlineLevel="1">
      <c r="A1480" s="12">
        <v>46059.0</v>
      </c>
      <c r="B1480" s="13" t="s">
        <v>16</v>
      </c>
      <c r="C1480" s="205" t="s">
        <v>1352</v>
      </c>
      <c r="D1480" s="20"/>
      <c r="E1480" s="21">
        <f t="shared" si="1"/>
        <v>9727.98</v>
      </c>
      <c r="F1480" s="23"/>
      <c r="G1480" s="21">
        <f t="shared" si="8"/>
        <v>372617.23</v>
      </c>
      <c r="H1480" s="23"/>
      <c r="I1480" s="21">
        <f t="shared" si="9"/>
        <v>1330.05</v>
      </c>
      <c r="J1480" s="23">
        <v>280.0</v>
      </c>
      <c r="K1480" s="21">
        <f t="shared" si="10"/>
        <v>225641.08</v>
      </c>
      <c r="L1480" s="23"/>
      <c r="M1480" s="21">
        <f t="shared" si="11"/>
        <v>1894.93</v>
      </c>
    </row>
    <row r="1481" ht="20.25" customHeight="1" outlineLevel="1">
      <c r="A1481" s="12">
        <v>46059.0</v>
      </c>
      <c r="B1481" s="13" t="s">
        <v>16</v>
      </c>
      <c r="C1481" s="28" t="s">
        <v>1353</v>
      </c>
      <c r="D1481" s="20">
        <v>167.5</v>
      </c>
      <c r="E1481" s="21">
        <f t="shared" si="1"/>
        <v>9895.48</v>
      </c>
      <c r="F1481" s="23"/>
      <c r="G1481" s="21">
        <f t="shared" si="8"/>
        <v>372617.23</v>
      </c>
      <c r="H1481" s="23"/>
      <c r="I1481" s="21">
        <f t="shared" si="9"/>
        <v>1330.05</v>
      </c>
      <c r="J1481" s="23"/>
      <c r="K1481" s="21">
        <f t="shared" si="10"/>
        <v>225641.08</v>
      </c>
      <c r="L1481" s="23"/>
      <c r="M1481" s="21">
        <f t="shared" si="11"/>
        <v>1894.93</v>
      </c>
    </row>
    <row r="1482" ht="20.25" customHeight="1" outlineLevel="1">
      <c r="A1482" s="12">
        <v>46059.0</v>
      </c>
      <c r="B1482" s="13" t="s">
        <v>14</v>
      </c>
      <c r="C1482" s="28" t="s">
        <v>319</v>
      </c>
      <c r="D1482" s="73">
        <v>-50.0</v>
      </c>
      <c r="E1482" s="21">
        <f t="shared" si="1"/>
        <v>9845.48</v>
      </c>
      <c r="F1482" s="23"/>
      <c r="G1482" s="21">
        <f t="shared" si="8"/>
        <v>372617.23</v>
      </c>
      <c r="H1482" s="23"/>
      <c r="I1482" s="21">
        <f t="shared" si="9"/>
        <v>1330.05</v>
      </c>
      <c r="J1482" s="23"/>
      <c r="K1482" s="21">
        <f t="shared" si="10"/>
        <v>225641.08</v>
      </c>
      <c r="L1482" s="23"/>
      <c r="M1482" s="21">
        <f t="shared" si="11"/>
        <v>1894.93</v>
      </c>
    </row>
    <row r="1483" ht="20.25" customHeight="1" outlineLevel="1">
      <c r="A1483" s="12">
        <v>46060.0</v>
      </c>
      <c r="B1483" s="13" t="s">
        <v>16</v>
      </c>
      <c r="C1483" s="28" t="s">
        <v>1354</v>
      </c>
      <c r="D1483" s="20">
        <v>40.0</v>
      </c>
      <c r="E1483" s="21">
        <f t="shared" si="1"/>
        <v>9885.48</v>
      </c>
      <c r="F1483" s="23"/>
      <c r="G1483" s="21">
        <f t="shared" si="8"/>
        <v>372617.23</v>
      </c>
      <c r="H1483" s="23"/>
      <c r="I1483" s="21">
        <f t="shared" si="9"/>
        <v>1330.05</v>
      </c>
      <c r="J1483" s="23"/>
      <c r="K1483" s="21">
        <f t="shared" si="10"/>
        <v>225641.08</v>
      </c>
      <c r="L1483" s="23"/>
      <c r="M1483" s="21">
        <f t="shared" si="11"/>
        <v>1894.93</v>
      </c>
    </row>
    <row r="1484" ht="20.25" customHeight="1" outlineLevel="1">
      <c r="A1484" s="12">
        <v>46062.0</v>
      </c>
      <c r="B1484" s="13" t="s">
        <v>16</v>
      </c>
      <c r="C1484" s="28" t="s">
        <v>1355</v>
      </c>
      <c r="D1484" s="20"/>
      <c r="E1484" s="21">
        <f t="shared" si="1"/>
        <v>9885.48</v>
      </c>
      <c r="F1484" s="23">
        <v>15.0</v>
      </c>
      <c r="G1484" s="21">
        <f t="shared" si="8"/>
        <v>372632.23</v>
      </c>
      <c r="H1484" s="23"/>
      <c r="I1484" s="21">
        <f t="shared" si="9"/>
        <v>1330.05</v>
      </c>
      <c r="J1484" s="23"/>
      <c r="K1484" s="21">
        <f t="shared" si="10"/>
        <v>225641.08</v>
      </c>
      <c r="L1484" s="23"/>
      <c r="M1484" s="21">
        <f t="shared" si="11"/>
        <v>1894.93</v>
      </c>
    </row>
    <row r="1485" ht="20.25" customHeight="1">
      <c r="A1485" s="12">
        <v>46062.0</v>
      </c>
      <c r="B1485" s="13" t="s">
        <v>16</v>
      </c>
      <c r="C1485" s="28" t="s">
        <v>1356</v>
      </c>
      <c r="D1485" s="20"/>
      <c r="E1485" s="21">
        <f t="shared" si="1"/>
        <v>9885.48</v>
      </c>
      <c r="F1485" s="23">
        <v>42.0</v>
      </c>
      <c r="G1485" s="21">
        <f t="shared" si="8"/>
        <v>372674.23</v>
      </c>
      <c r="H1485" s="23"/>
      <c r="I1485" s="21">
        <f t="shared" si="9"/>
        <v>1330.05</v>
      </c>
      <c r="J1485" s="23"/>
      <c r="K1485" s="21">
        <f t="shared" si="10"/>
        <v>225641.08</v>
      </c>
      <c r="L1485" s="23"/>
      <c r="M1485" s="21">
        <f t="shared" si="11"/>
        <v>1894.93</v>
      </c>
    </row>
    <row r="1486" ht="20.25" customHeight="1" outlineLevel="1">
      <c r="A1486" s="12">
        <v>46062.0</v>
      </c>
      <c r="B1486" s="13" t="s">
        <v>16</v>
      </c>
      <c r="C1486" s="28" t="s">
        <v>1357</v>
      </c>
      <c r="D1486" s="20"/>
      <c r="E1486" s="21">
        <f t="shared" si="1"/>
        <v>9885.48</v>
      </c>
      <c r="F1486" s="23">
        <v>445.0</v>
      </c>
      <c r="G1486" s="21">
        <f t="shared" si="8"/>
        <v>373119.23</v>
      </c>
      <c r="H1486" s="23"/>
      <c r="I1486" s="21">
        <f t="shared" si="9"/>
        <v>1330.05</v>
      </c>
      <c r="J1486" s="23"/>
      <c r="K1486" s="21">
        <f t="shared" si="10"/>
        <v>225641.08</v>
      </c>
      <c r="L1486" s="23"/>
      <c r="M1486" s="21">
        <f t="shared" si="11"/>
        <v>1894.93</v>
      </c>
    </row>
    <row r="1487" ht="20.25" customHeight="1" outlineLevel="1">
      <c r="A1487" s="12">
        <v>46062.0</v>
      </c>
      <c r="B1487" s="13" t="s">
        <v>16</v>
      </c>
      <c r="C1487" s="28" t="s">
        <v>1358</v>
      </c>
      <c r="D1487" s="20"/>
      <c r="E1487" s="21">
        <f t="shared" si="1"/>
        <v>9885.48</v>
      </c>
      <c r="F1487" s="23">
        <v>474.0</v>
      </c>
      <c r="G1487" s="21">
        <f t="shared" si="8"/>
        <v>373593.23</v>
      </c>
      <c r="H1487" s="23"/>
      <c r="I1487" s="21">
        <f t="shared" si="9"/>
        <v>1330.05</v>
      </c>
      <c r="J1487" s="23"/>
      <c r="K1487" s="21">
        <f t="shared" si="10"/>
        <v>225641.08</v>
      </c>
      <c r="L1487" s="23"/>
      <c r="M1487" s="21">
        <f t="shared" si="11"/>
        <v>1894.93</v>
      </c>
    </row>
    <row r="1488" ht="20.25" customHeight="1" outlineLevel="1">
      <c r="A1488" s="12">
        <v>46062.0</v>
      </c>
      <c r="B1488" s="13" t="s">
        <v>16</v>
      </c>
      <c r="C1488" s="28" t="s">
        <v>1359</v>
      </c>
      <c r="D1488" s="20"/>
      <c r="E1488" s="21">
        <f t="shared" si="1"/>
        <v>9885.48</v>
      </c>
      <c r="F1488" s="23">
        <v>215.0</v>
      </c>
      <c r="G1488" s="21">
        <f t="shared" si="8"/>
        <v>373808.23</v>
      </c>
      <c r="H1488" s="23"/>
      <c r="I1488" s="21">
        <f t="shared" si="9"/>
        <v>1330.05</v>
      </c>
      <c r="J1488" s="23"/>
      <c r="K1488" s="21">
        <f t="shared" si="10"/>
        <v>225641.08</v>
      </c>
      <c r="L1488" s="23"/>
      <c r="M1488" s="21">
        <f t="shared" si="11"/>
        <v>1894.93</v>
      </c>
    </row>
    <row r="1489" ht="20.25" customHeight="1" outlineLevel="1">
      <c r="A1489" s="12">
        <v>46062.0</v>
      </c>
      <c r="B1489" s="13" t="s">
        <v>16</v>
      </c>
      <c r="C1489" s="28" t="s">
        <v>1360</v>
      </c>
      <c r="D1489" s="20"/>
      <c r="E1489" s="21">
        <f t="shared" si="1"/>
        <v>9885.48</v>
      </c>
      <c r="F1489" s="23">
        <v>146.0</v>
      </c>
      <c r="G1489" s="21">
        <f t="shared" si="8"/>
        <v>373954.23</v>
      </c>
      <c r="H1489" s="23"/>
      <c r="I1489" s="21">
        <f t="shared" si="9"/>
        <v>1330.05</v>
      </c>
      <c r="J1489" s="23"/>
      <c r="K1489" s="21">
        <f t="shared" si="10"/>
        <v>225641.08</v>
      </c>
      <c r="L1489" s="23"/>
      <c r="M1489" s="21">
        <f t="shared" si="11"/>
        <v>1894.93</v>
      </c>
    </row>
    <row r="1490" ht="20.25" customHeight="1" outlineLevel="1">
      <c r="A1490" s="12">
        <v>46062.0</v>
      </c>
      <c r="B1490" s="13" t="s">
        <v>16</v>
      </c>
      <c r="C1490" s="28" t="s">
        <v>1361</v>
      </c>
      <c r="D1490" s="20"/>
      <c r="E1490" s="21">
        <f t="shared" si="1"/>
        <v>9885.48</v>
      </c>
      <c r="F1490" s="23">
        <v>32.5</v>
      </c>
      <c r="G1490" s="21">
        <f t="shared" si="8"/>
        <v>373986.73</v>
      </c>
      <c r="H1490" s="23"/>
      <c r="I1490" s="21">
        <f t="shared" si="9"/>
        <v>1330.05</v>
      </c>
      <c r="J1490" s="23"/>
      <c r="K1490" s="21">
        <f t="shared" si="10"/>
        <v>225641.08</v>
      </c>
      <c r="L1490" s="23"/>
      <c r="M1490" s="21">
        <f t="shared" si="11"/>
        <v>1894.93</v>
      </c>
    </row>
    <row r="1491" ht="20.25" customHeight="1" outlineLevel="1">
      <c r="A1491" s="12">
        <v>46062.0</v>
      </c>
      <c r="B1491" s="13" t="s">
        <v>16</v>
      </c>
      <c r="C1491" s="28" t="s">
        <v>1362</v>
      </c>
      <c r="D1491" s="20"/>
      <c r="E1491" s="21">
        <f t="shared" si="1"/>
        <v>9885.48</v>
      </c>
      <c r="F1491" s="23">
        <v>44.8</v>
      </c>
      <c r="G1491" s="21">
        <f t="shared" si="8"/>
        <v>374031.53</v>
      </c>
      <c r="H1491" s="23"/>
      <c r="I1491" s="21">
        <f t="shared" si="9"/>
        <v>1330.05</v>
      </c>
      <c r="J1491" s="23"/>
      <c r="K1491" s="21">
        <f t="shared" si="10"/>
        <v>225641.08</v>
      </c>
      <c r="L1491" s="23"/>
      <c r="M1491" s="21">
        <f t="shared" si="11"/>
        <v>1894.93</v>
      </c>
    </row>
    <row r="1492" ht="20.25" customHeight="1" outlineLevel="1">
      <c r="A1492" s="12">
        <v>46062.0</v>
      </c>
      <c r="B1492" s="13" t="s">
        <v>16</v>
      </c>
      <c r="C1492" s="205" t="s">
        <v>1363</v>
      </c>
      <c r="D1492" s="20"/>
      <c r="E1492" s="21">
        <f t="shared" si="1"/>
        <v>9885.48</v>
      </c>
      <c r="F1492" s="23"/>
      <c r="G1492" s="21">
        <f t="shared" si="8"/>
        <v>374031.53</v>
      </c>
      <c r="H1492" s="23"/>
      <c r="I1492" s="21">
        <f t="shared" si="9"/>
        <v>1330.05</v>
      </c>
      <c r="J1492" s="23">
        <v>550.0</v>
      </c>
      <c r="K1492" s="21">
        <f t="shared" si="10"/>
        <v>226191.08</v>
      </c>
      <c r="L1492" s="23"/>
      <c r="M1492" s="21">
        <f t="shared" si="11"/>
        <v>1894.93</v>
      </c>
    </row>
    <row r="1493" ht="20.25" customHeight="1" outlineLevel="1">
      <c r="A1493" s="12">
        <v>46062.0</v>
      </c>
      <c r="B1493" s="13" t="s">
        <v>16</v>
      </c>
      <c r="C1493" s="28" t="s">
        <v>1364</v>
      </c>
      <c r="D1493" s="20"/>
      <c r="E1493" s="21">
        <f t="shared" si="1"/>
        <v>9885.48</v>
      </c>
      <c r="F1493" s="23"/>
      <c r="G1493" s="21">
        <f t="shared" si="8"/>
        <v>374031.53</v>
      </c>
      <c r="H1493" s="23"/>
      <c r="I1493" s="21">
        <f t="shared" si="9"/>
        <v>1330.05</v>
      </c>
      <c r="J1493" s="23">
        <v>105.0</v>
      </c>
      <c r="K1493" s="21">
        <f t="shared" si="10"/>
        <v>226296.08</v>
      </c>
      <c r="L1493" s="23"/>
      <c r="M1493" s="21">
        <f t="shared" si="11"/>
        <v>1894.93</v>
      </c>
    </row>
    <row r="1494" ht="20.25" customHeight="1" outlineLevel="1">
      <c r="A1494" s="12">
        <v>46062.0</v>
      </c>
      <c r="B1494" s="13" t="s">
        <v>16</v>
      </c>
      <c r="C1494" s="28" t="s">
        <v>1365</v>
      </c>
      <c r="D1494" s="20"/>
      <c r="E1494" s="21">
        <f t="shared" si="1"/>
        <v>9885.48</v>
      </c>
      <c r="F1494" s="23"/>
      <c r="G1494" s="21">
        <f t="shared" si="8"/>
        <v>374031.53</v>
      </c>
      <c r="H1494" s="23"/>
      <c r="I1494" s="21">
        <f t="shared" si="9"/>
        <v>1330.05</v>
      </c>
      <c r="J1494" s="23">
        <v>695.0</v>
      </c>
      <c r="K1494" s="21">
        <f t="shared" si="10"/>
        <v>226991.08</v>
      </c>
      <c r="L1494" s="23"/>
      <c r="M1494" s="21">
        <f t="shared" si="11"/>
        <v>1894.93</v>
      </c>
    </row>
    <row r="1495" ht="20.25" customHeight="1" outlineLevel="1">
      <c r="A1495" s="12">
        <v>46062.0</v>
      </c>
      <c r="B1495" s="13" t="s">
        <v>16</v>
      </c>
      <c r="C1495" s="28" t="s">
        <v>1366</v>
      </c>
      <c r="D1495" s="20">
        <v>135.0</v>
      </c>
      <c r="E1495" s="21">
        <f t="shared" si="1"/>
        <v>10020.48</v>
      </c>
      <c r="F1495" s="23"/>
      <c r="G1495" s="21">
        <f t="shared" si="8"/>
        <v>374031.53</v>
      </c>
      <c r="H1495" s="23"/>
      <c r="I1495" s="21">
        <f t="shared" si="9"/>
        <v>1330.05</v>
      </c>
      <c r="J1495" s="23"/>
      <c r="K1495" s="21">
        <f t="shared" si="10"/>
        <v>226991.08</v>
      </c>
      <c r="L1495" s="23"/>
      <c r="M1495" s="21">
        <f t="shared" si="11"/>
        <v>1894.93</v>
      </c>
    </row>
    <row r="1496" ht="20.25" customHeight="1" outlineLevel="1">
      <c r="A1496" s="12">
        <v>46062.0</v>
      </c>
      <c r="B1496" s="13" t="s">
        <v>14</v>
      </c>
      <c r="C1496" s="28" t="s">
        <v>1367</v>
      </c>
      <c r="D1496" s="20"/>
      <c r="E1496" s="21">
        <f t="shared" si="1"/>
        <v>10020.48</v>
      </c>
      <c r="F1496" s="23"/>
      <c r="G1496" s="21">
        <f t="shared" si="8"/>
        <v>374031.53</v>
      </c>
      <c r="H1496" s="22">
        <v>-29.58</v>
      </c>
      <c r="I1496" s="21">
        <f t="shared" si="9"/>
        <v>1300.47</v>
      </c>
      <c r="J1496" s="23"/>
      <c r="K1496" s="21">
        <f t="shared" si="10"/>
        <v>226991.08</v>
      </c>
      <c r="L1496" s="23"/>
      <c r="M1496" s="21">
        <f t="shared" si="11"/>
        <v>1894.93</v>
      </c>
    </row>
    <row r="1497" ht="20.25" customHeight="1" outlineLevel="1">
      <c r="A1497" s="12">
        <v>46063.0</v>
      </c>
      <c r="B1497" s="13" t="s">
        <v>368</v>
      </c>
      <c r="C1497" s="28" t="s">
        <v>1368</v>
      </c>
      <c r="D1497" s="20"/>
      <c r="E1497" s="21">
        <f t="shared" si="1"/>
        <v>10020.48</v>
      </c>
      <c r="F1497" s="22">
        <v>-3230.0</v>
      </c>
      <c r="G1497" s="21">
        <f t="shared" si="8"/>
        <v>370801.53</v>
      </c>
      <c r="H1497" s="23"/>
      <c r="I1497" s="21">
        <f t="shared" si="9"/>
        <v>1300.47</v>
      </c>
      <c r="J1497" s="23"/>
      <c r="K1497" s="21">
        <f t="shared" si="10"/>
        <v>226991.08</v>
      </c>
      <c r="L1497" s="23"/>
      <c r="M1497" s="21">
        <f t="shared" si="11"/>
        <v>1894.93</v>
      </c>
    </row>
    <row r="1498" ht="20.25" customHeight="1" outlineLevel="1">
      <c r="A1498" s="12">
        <v>46063.0</v>
      </c>
      <c r="B1498" s="13" t="s">
        <v>368</v>
      </c>
      <c r="C1498" s="28" t="s">
        <v>1369</v>
      </c>
      <c r="D1498" s="20"/>
      <c r="E1498" s="21">
        <f t="shared" si="1"/>
        <v>10020.48</v>
      </c>
      <c r="F1498" s="22">
        <v>-166.0</v>
      </c>
      <c r="G1498" s="21">
        <f t="shared" si="8"/>
        <v>370635.53</v>
      </c>
      <c r="H1498" s="23"/>
      <c r="I1498" s="21">
        <f t="shared" si="9"/>
        <v>1300.47</v>
      </c>
      <c r="J1498" s="23"/>
      <c r="K1498" s="21">
        <f t="shared" si="10"/>
        <v>226991.08</v>
      </c>
      <c r="L1498" s="23"/>
      <c r="M1498" s="21">
        <f t="shared" si="11"/>
        <v>1894.93</v>
      </c>
    </row>
    <row r="1499" ht="20.25" customHeight="1" outlineLevel="1">
      <c r="A1499" s="12">
        <v>46063.0</v>
      </c>
      <c r="B1499" s="13" t="s">
        <v>368</v>
      </c>
      <c r="C1499" s="28" t="s">
        <v>1370</v>
      </c>
      <c r="D1499" s="20"/>
      <c r="E1499" s="21">
        <f t="shared" si="1"/>
        <v>10020.48</v>
      </c>
      <c r="F1499" s="22">
        <v>-570.0</v>
      </c>
      <c r="G1499" s="21">
        <f t="shared" si="8"/>
        <v>370065.53</v>
      </c>
      <c r="H1499" s="23"/>
      <c r="I1499" s="21">
        <f t="shared" si="9"/>
        <v>1300.47</v>
      </c>
      <c r="J1499" s="23"/>
      <c r="K1499" s="21">
        <f t="shared" si="10"/>
        <v>226991.08</v>
      </c>
      <c r="L1499" s="23"/>
      <c r="M1499" s="21">
        <f t="shared" si="11"/>
        <v>1894.93</v>
      </c>
    </row>
    <row r="1500" ht="20.25" customHeight="1" outlineLevel="1">
      <c r="A1500" s="12">
        <v>46063.0</v>
      </c>
      <c r="B1500" s="13" t="s">
        <v>16</v>
      </c>
      <c r="C1500" s="28" t="s">
        <v>1371</v>
      </c>
      <c r="D1500" s="20"/>
      <c r="E1500" s="21">
        <f t="shared" si="1"/>
        <v>10020.48</v>
      </c>
      <c r="F1500" s="23">
        <v>867.0</v>
      </c>
      <c r="G1500" s="21">
        <f t="shared" si="8"/>
        <v>370932.53</v>
      </c>
      <c r="H1500" s="23"/>
      <c r="I1500" s="21">
        <f t="shared" si="9"/>
        <v>1300.47</v>
      </c>
      <c r="J1500" s="23"/>
      <c r="K1500" s="21">
        <f t="shared" si="10"/>
        <v>226991.08</v>
      </c>
      <c r="L1500" s="23"/>
      <c r="M1500" s="21">
        <f t="shared" si="11"/>
        <v>1894.93</v>
      </c>
    </row>
    <row r="1501" ht="20.25" customHeight="1" outlineLevel="1">
      <c r="A1501" s="12">
        <v>46063.0</v>
      </c>
      <c r="B1501" s="13" t="s">
        <v>16</v>
      </c>
      <c r="C1501" s="28" t="s">
        <v>1372</v>
      </c>
      <c r="D1501" s="20"/>
      <c r="E1501" s="21">
        <f t="shared" si="1"/>
        <v>10020.48</v>
      </c>
      <c r="F1501" s="23">
        <v>471.0</v>
      </c>
      <c r="G1501" s="21">
        <f t="shared" si="8"/>
        <v>371403.53</v>
      </c>
      <c r="H1501" s="23"/>
      <c r="I1501" s="21">
        <f t="shared" si="9"/>
        <v>1300.47</v>
      </c>
      <c r="J1501" s="23"/>
      <c r="K1501" s="21">
        <f t="shared" si="10"/>
        <v>226991.08</v>
      </c>
      <c r="L1501" s="23"/>
      <c r="M1501" s="21">
        <f t="shared" si="11"/>
        <v>1894.93</v>
      </c>
    </row>
    <row r="1502" ht="20.25" customHeight="1" outlineLevel="1">
      <c r="A1502" s="12">
        <v>46063.0</v>
      </c>
      <c r="B1502" s="13" t="s">
        <v>16</v>
      </c>
      <c r="C1502" s="28" t="s">
        <v>1373</v>
      </c>
      <c r="D1502" s="20"/>
      <c r="E1502" s="21">
        <f t="shared" si="1"/>
        <v>10020.48</v>
      </c>
      <c r="F1502" s="23">
        <v>251.0</v>
      </c>
      <c r="G1502" s="21">
        <f t="shared" si="8"/>
        <v>371654.53</v>
      </c>
      <c r="H1502" s="23"/>
      <c r="I1502" s="21">
        <f t="shared" si="9"/>
        <v>1300.47</v>
      </c>
      <c r="J1502" s="23"/>
      <c r="K1502" s="21">
        <f t="shared" si="10"/>
        <v>226991.08</v>
      </c>
      <c r="L1502" s="23"/>
      <c r="M1502" s="21">
        <f t="shared" si="11"/>
        <v>1894.93</v>
      </c>
    </row>
    <row r="1503" ht="20.25" customHeight="1" outlineLevel="1">
      <c r="A1503" s="12">
        <v>46063.0</v>
      </c>
      <c r="B1503" s="13" t="s">
        <v>14</v>
      </c>
      <c r="C1503" s="28" t="s">
        <v>34</v>
      </c>
      <c r="D1503" s="20"/>
      <c r="E1503" s="21">
        <f t="shared" si="1"/>
        <v>10020.48</v>
      </c>
      <c r="F1503" s="23"/>
      <c r="G1503" s="21">
        <f t="shared" si="8"/>
        <v>371654.53</v>
      </c>
      <c r="H1503" s="23"/>
      <c r="I1503" s="21">
        <f t="shared" si="9"/>
        <v>1300.47</v>
      </c>
      <c r="J1503" s="22">
        <v>-20.99</v>
      </c>
      <c r="K1503" s="21">
        <f t="shared" si="10"/>
        <v>226970.09</v>
      </c>
      <c r="L1503" s="23"/>
      <c r="M1503" s="21">
        <f t="shared" si="11"/>
        <v>1894.93</v>
      </c>
    </row>
    <row r="1504" ht="20.25" customHeight="1" outlineLevel="1">
      <c r="A1504" s="12">
        <v>46063.0</v>
      </c>
      <c r="B1504" s="13" t="s">
        <v>16</v>
      </c>
      <c r="C1504" s="28" t="s">
        <v>1374</v>
      </c>
      <c r="D1504" s="20"/>
      <c r="E1504" s="21">
        <f t="shared" si="1"/>
        <v>10020.48</v>
      </c>
      <c r="F1504" s="23"/>
      <c r="G1504" s="21">
        <f t="shared" si="8"/>
        <v>371654.53</v>
      </c>
      <c r="H1504" s="23"/>
      <c r="I1504" s="21">
        <f t="shared" si="9"/>
        <v>1300.47</v>
      </c>
      <c r="J1504" s="23">
        <v>1912.0</v>
      </c>
      <c r="K1504" s="21">
        <f t="shared" si="10"/>
        <v>228882.09</v>
      </c>
      <c r="L1504" s="23"/>
      <c r="M1504" s="21">
        <f t="shared" si="11"/>
        <v>1894.93</v>
      </c>
    </row>
    <row r="1505" ht="20.25" customHeight="1" outlineLevel="1">
      <c r="A1505" s="12">
        <v>46063.0</v>
      </c>
      <c r="B1505" s="13" t="s">
        <v>16</v>
      </c>
      <c r="C1505" s="28" t="s">
        <v>1375</v>
      </c>
      <c r="D1505" s="20"/>
      <c r="E1505" s="21">
        <f t="shared" si="1"/>
        <v>10020.48</v>
      </c>
      <c r="F1505" s="23"/>
      <c r="G1505" s="21">
        <f t="shared" si="8"/>
        <v>371654.53</v>
      </c>
      <c r="H1505" s="23"/>
      <c r="I1505" s="21">
        <f t="shared" si="9"/>
        <v>1300.47</v>
      </c>
      <c r="J1505" s="23">
        <v>1084.0</v>
      </c>
      <c r="K1505" s="21">
        <f t="shared" si="10"/>
        <v>229966.09</v>
      </c>
      <c r="L1505" s="23"/>
      <c r="M1505" s="21">
        <f t="shared" si="11"/>
        <v>1894.93</v>
      </c>
    </row>
    <row r="1506" ht="20.25" customHeight="1" outlineLevel="1">
      <c r="A1506" s="12">
        <v>46063.0</v>
      </c>
      <c r="B1506" s="13" t="s">
        <v>16</v>
      </c>
      <c r="C1506" s="28" t="s">
        <v>1376</v>
      </c>
      <c r="D1506" s="20">
        <v>500.0</v>
      </c>
      <c r="E1506" s="21">
        <f t="shared" si="1"/>
        <v>10520.48</v>
      </c>
      <c r="F1506" s="23"/>
      <c r="G1506" s="21">
        <f t="shared" si="8"/>
        <v>371654.53</v>
      </c>
      <c r="H1506" s="23"/>
      <c r="I1506" s="21">
        <f t="shared" si="9"/>
        <v>1300.47</v>
      </c>
      <c r="J1506" s="23"/>
      <c r="K1506" s="21">
        <f t="shared" si="10"/>
        <v>229966.09</v>
      </c>
      <c r="L1506" s="23"/>
      <c r="M1506" s="21">
        <f t="shared" si="11"/>
        <v>1894.93</v>
      </c>
    </row>
    <row r="1507" ht="20.25" customHeight="1" outlineLevel="1">
      <c r="A1507" s="12">
        <v>46064.0</v>
      </c>
      <c r="B1507" s="13" t="s">
        <v>16</v>
      </c>
      <c r="C1507" s="28" t="s">
        <v>1377</v>
      </c>
      <c r="D1507" s="20"/>
      <c r="E1507" s="21">
        <f t="shared" si="1"/>
        <v>10520.48</v>
      </c>
      <c r="F1507" s="23">
        <v>21.8</v>
      </c>
      <c r="G1507" s="21">
        <f t="shared" si="8"/>
        <v>371676.33</v>
      </c>
      <c r="H1507" s="23"/>
      <c r="I1507" s="21">
        <f t="shared" si="9"/>
        <v>1300.47</v>
      </c>
      <c r="J1507" s="23"/>
      <c r="K1507" s="21">
        <f t="shared" si="10"/>
        <v>229966.09</v>
      </c>
      <c r="L1507" s="23"/>
      <c r="M1507" s="21">
        <f t="shared" si="11"/>
        <v>1894.93</v>
      </c>
    </row>
    <row r="1508" ht="20.25" customHeight="1" outlineLevel="1">
      <c r="A1508" s="12">
        <v>46064.0</v>
      </c>
      <c r="B1508" s="13" t="s">
        <v>63</v>
      </c>
      <c r="C1508" s="69" t="s">
        <v>1378</v>
      </c>
      <c r="D1508" s="20"/>
      <c r="E1508" s="21">
        <f t="shared" si="1"/>
        <v>10520.48</v>
      </c>
      <c r="F1508" s="51">
        <v>244.0</v>
      </c>
      <c r="G1508" s="21">
        <f t="shared" si="8"/>
        <v>371920.33</v>
      </c>
      <c r="H1508" s="23"/>
      <c r="I1508" s="21">
        <f t="shared" si="9"/>
        <v>1300.47</v>
      </c>
      <c r="J1508" s="23"/>
      <c r="K1508" s="21">
        <f t="shared" si="10"/>
        <v>229966.09</v>
      </c>
      <c r="L1508" s="23"/>
      <c r="M1508" s="21">
        <f t="shared" si="11"/>
        <v>1894.93</v>
      </c>
    </row>
    <row r="1509" ht="20.25" customHeight="1" outlineLevel="1">
      <c r="A1509" s="12">
        <v>46064.0</v>
      </c>
      <c r="B1509" s="13" t="s">
        <v>368</v>
      </c>
      <c r="C1509" s="28" t="s">
        <v>1379</v>
      </c>
      <c r="D1509" s="20"/>
      <c r="E1509" s="21">
        <f t="shared" si="1"/>
        <v>10520.48</v>
      </c>
      <c r="F1509" s="22">
        <v>-82.0</v>
      </c>
      <c r="G1509" s="21">
        <f t="shared" si="8"/>
        <v>371838.33</v>
      </c>
      <c r="H1509" s="23"/>
      <c r="I1509" s="21">
        <f t="shared" si="9"/>
        <v>1300.47</v>
      </c>
      <c r="J1509" s="23"/>
      <c r="K1509" s="21">
        <f t="shared" si="10"/>
        <v>229966.09</v>
      </c>
      <c r="L1509" s="23"/>
      <c r="M1509" s="21">
        <f t="shared" si="11"/>
        <v>1894.93</v>
      </c>
    </row>
    <row r="1510" ht="20.25" customHeight="1" outlineLevel="1">
      <c r="A1510" s="12">
        <v>46064.0</v>
      </c>
      <c r="B1510" s="13" t="s">
        <v>137</v>
      </c>
      <c r="C1510" s="28" t="s">
        <v>1380</v>
      </c>
      <c r="D1510" s="20"/>
      <c r="E1510" s="21">
        <f t="shared" si="1"/>
        <v>10520.48</v>
      </c>
      <c r="F1510" s="22">
        <v>-724.78</v>
      </c>
      <c r="G1510" s="21">
        <f t="shared" si="8"/>
        <v>371113.55</v>
      </c>
      <c r="H1510" s="23"/>
      <c r="I1510" s="21">
        <f t="shared" si="9"/>
        <v>1300.47</v>
      </c>
      <c r="J1510" s="23"/>
      <c r="K1510" s="21">
        <f t="shared" si="10"/>
        <v>229966.09</v>
      </c>
      <c r="L1510" s="23"/>
      <c r="M1510" s="21">
        <f t="shared" si="11"/>
        <v>1894.93</v>
      </c>
    </row>
    <row r="1511" ht="20.25" customHeight="1" outlineLevel="1">
      <c r="A1511" s="12">
        <v>46064.0</v>
      </c>
      <c r="B1511" s="13" t="s">
        <v>137</v>
      </c>
      <c r="C1511" s="207" t="s">
        <v>1381</v>
      </c>
      <c r="D1511" s="20"/>
      <c r="E1511" s="21">
        <f t="shared" si="1"/>
        <v>10520.48</v>
      </c>
      <c r="F1511" s="22">
        <v>-216.95</v>
      </c>
      <c r="G1511" s="21">
        <f t="shared" si="8"/>
        <v>370896.6</v>
      </c>
      <c r="H1511" s="23"/>
      <c r="I1511" s="21">
        <f t="shared" si="9"/>
        <v>1300.47</v>
      </c>
      <c r="J1511" s="23"/>
      <c r="K1511" s="21">
        <f t="shared" si="10"/>
        <v>229966.09</v>
      </c>
      <c r="L1511" s="23"/>
      <c r="M1511" s="21">
        <f t="shared" si="11"/>
        <v>1894.93</v>
      </c>
    </row>
    <row r="1512" ht="20.25" customHeight="1" outlineLevel="1">
      <c r="A1512" s="12">
        <v>46064.0</v>
      </c>
      <c r="B1512" s="13" t="s">
        <v>137</v>
      </c>
      <c r="C1512" s="28" t="s">
        <v>1382</v>
      </c>
      <c r="D1512" s="20"/>
      <c r="E1512" s="21">
        <f t="shared" si="1"/>
        <v>10520.48</v>
      </c>
      <c r="F1512" s="22">
        <v>-95.54</v>
      </c>
      <c r="G1512" s="21">
        <f t="shared" si="8"/>
        <v>370801.06</v>
      </c>
      <c r="H1512" s="23"/>
      <c r="I1512" s="21">
        <f t="shared" si="9"/>
        <v>1300.47</v>
      </c>
      <c r="J1512" s="23"/>
      <c r="K1512" s="21">
        <f t="shared" si="10"/>
        <v>229966.09</v>
      </c>
      <c r="L1512" s="23"/>
      <c r="M1512" s="21">
        <f t="shared" si="11"/>
        <v>1894.93</v>
      </c>
    </row>
    <row r="1513" ht="20.25" customHeight="1" outlineLevel="1">
      <c r="A1513" s="12">
        <v>46064.0</v>
      </c>
      <c r="B1513" s="13" t="s">
        <v>16</v>
      </c>
      <c r="C1513" s="28" t="s">
        <v>1383</v>
      </c>
      <c r="D1513" s="20"/>
      <c r="E1513" s="21">
        <f t="shared" si="1"/>
        <v>10520.48</v>
      </c>
      <c r="F1513" s="23">
        <v>569.0</v>
      </c>
      <c r="G1513" s="21">
        <f t="shared" si="8"/>
        <v>371370.06</v>
      </c>
      <c r="H1513" s="23"/>
      <c r="I1513" s="21">
        <f t="shared" si="9"/>
        <v>1300.47</v>
      </c>
      <c r="J1513" s="23"/>
      <c r="K1513" s="21">
        <f t="shared" si="10"/>
        <v>229966.09</v>
      </c>
      <c r="L1513" s="23"/>
      <c r="M1513" s="21">
        <f t="shared" si="11"/>
        <v>1894.93</v>
      </c>
    </row>
    <row r="1514" ht="20.25" customHeight="1" outlineLevel="1">
      <c r="A1514" s="12">
        <v>46064.0</v>
      </c>
      <c r="B1514" s="13" t="s">
        <v>16</v>
      </c>
      <c r="C1514" s="28" t="s">
        <v>1384</v>
      </c>
      <c r="D1514" s="20"/>
      <c r="E1514" s="21">
        <f t="shared" si="1"/>
        <v>10520.48</v>
      </c>
      <c r="F1514" s="23">
        <v>196.0</v>
      </c>
      <c r="G1514" s="21">
        <f t="shared" si="8"/>
        <v>371566.06</v>
      </c>
      <c r="H1514" s="23"/>
      <c r="I1514" s="21">
        <f t="shared" si="9"/>
        <v>1300.47</v>
      </c>
      <c r="J1514" s="23"/>
      <c r="K1514" s="21">
        <f t="shared" si="10"/>
        <v>229966.09</v>
      </c>
      <c r="L1514" s="23"/>
      <c r="M1514" s="21">
        <f t="shared" si="11"/>
        <v>1894.93</v>
      </c>
    </row>
    <row r="1515" ht="20.25" customHeight="1" outlineLevel="1">
      <c r="A1515" s="12">
        <v>46064.0</v>
      </c>
      <c r="B1515" s="13" t="s">
        <v>16</v>
      </c>
      <c r="C1515" s="28" t="s">
        <v>1385</v>
      </c>
      <c r="D1515" s="20"/>
      <c r="E1515" s="21">
        <f t="shared" si="1"/>
        <v>10520.48</v>
      </c>
      <c r="F1515" s="23">
        <v>2571.0</v>
      </c>
      <c r="G1515" s="21">
        <f t="shared" si="8"/>
        <v>374137.06</v>
      </c>
      <c r="H1515" s="23"/>
      <c r="I1515" s="21">
        <f t="shared" si="9"/>
        <v>1300.47</v>
      </c>
      <c r="J1515" s="23"/>
      <c r="K1515" s="21">
        <f t="shared" si="10"/>
        <v>229966.09</v>
      </c>
      <c r="L1515" s="23"/>
      <c r="M1515" s="21">
        <f t="shared" si="11"/>
        <v>1894.93</v>
      </c>
    </row>
    <row r="1516" ht="20.25" customHeight="1" outlineLevel="1">
      <c r="A1516" s="12">
        <v>46064.0</v>
      </c>
      <c r="B1516" s="13" t="s">
        <v>16</v>
      </c>
      <c r="C1516" s="28" t="s">
        <v>1386</v>
      </c>
      <c r="D1516" s="20"/>
      <c r="E1516" s="21">
        <f t="shared" si="1"/>
        <v>10520.48</v>
      </c>
      <c r="F1516" s="23"/>
      <c r="G1516" s="21">
        <f t="shared" si="8"/>
        <v>374137.06</v>
      </c>
      <c r="H1516" s="23"/>
      <c r="I1516" s="21">
        <f t="shared" si="9"/>
        <v>1300.47</v>
      </c>
      <c r="J1516" s="23">
        <v>341.0</v>
      </c>
      <c r="K1516" s="21">
        <f t="shared" si="10"/>
        <v>230307.09</v>
      </c>
      <c r="L1516" s="23"/>
      <c r="M1516" s="21">
        <f t="shared" si="11"/>
        <v>1894.93</v>
      </c>
    </row>
    <row r="1517" ht="20.25" customHeight="1" outlineLevel="1">
      <c r="A1517" s="12">
        <v>46064.0</v>
      </c>
      <c r="B1517" s="13" t="s">
        <v>16</v>
      </c>
      <c r="C1517" s="28" t="s">
        <v>1387</v>
      </c>
      <c r="D1517" s="20"/>
      <c r="E1517" s="21">
        <f t="shared" si="1"/>
        <v>10520.48</v>
      </c>
      <c r="F1517" s="23"/>
      <c r="G1517" s="21">
        <f t="shared" si="8"/>
        <v>374137.06</v>
      </c>
      <c r="H1517" s="23"/>
      <c r="I1517" s="21">
        <f t="shared" si="9"/>
        <v>1300.47</v>
      </c>
      <c r="J1517" s="23">
        <v>300.0</v>
      </c>
      <c r="K1517" s="21">
        <f t="shared" si="10"/>
        <v>230607.09</v>
      </c>
      <c r="L1517" s="23"/>
      <c r="M1517" s="21">
        <f t="shared" si="11"/>
        <v>1894.93</v>
      </c>
    </row>
    <row r="1518" ht="20.25" customHeight="1" outlineLevel="1">
      <c r="A1518" s="12">
        <v>46064.0</v>
      </c>
      <c r="B1518" s="13" t="s">
        <v>16</v>
      </c>
      <c r="C1518" s="205" t="s">
        <v>1388</v>
      </c>
      <c r="D1518" s="20"/>
      <c r="E1518" s="21">
        <f t="shared" si="1"/>
        <v>10520.48</v>
      </c>
      <c r="F1518" s="23"/>
      <c r="G1518" s="21">
        <f t="shared" si="8"/>
        <v>374137.06</v>
      </c>
      <c r="H1518" s="23"/>
      <c r="I1518" s="21">
        <f t="shared" si="9"/>
        <v>1300.47</v>
      </c>
      <c r="J1518" s="23">
        <v>280.0</v>
      </c>
      <c r="K1518" s="21">
        <f t="shared" si="10"/>
        <v>230887.09</v>
      </c>
      <c r="L1518" s="23"/>
      <c r="M1518" s="21">
        <f t="shared" si="11"/>
        <v>1894.93</v>
      </c>
    </row>
    <row r="1519" ht="20.25" customHeight="1" outlineLevel="1">
      <c r="A1519" s="12">
        <v>46064.0</v>
      </c>
      <c r="B1519" s="13" t="s">
        <v>16</v>
      </c>
      <c r="C1519" s="205" t="s">
        <v>1389</v>
      </c>
      <c r="D1519" s="20"/>
      <c r="E1519" s="21">
        <f t="shared" si="1"/>
        <v>10520.48</v>
      </c>
      <c r="F1519" s="23"/>
      <c r="G1519" s="21">
        <f t="shared" si="8"/>
        <v>374137.06</v>
      </c>
      <c r="H1519" s="23"/>
      <c r="I1519" s="21">
        <f t="shared" si="9"/>
        <v>1300.47</v>
      </c>
      <c r="J1519" s="23">
        <v>30.0</v>
      </c>
      <c r="K1519" s="21">
        <f t="shared" si="10"/>
        <v>230917.09</v>
      </c>
      <c r="L1519" s="23"/>
      <c r="M1519" s="21">
        <f t="shared" si="11"/>
        <v>1894.93</v>
      </c>
    </row>
    <row r="1520" ht="20.25" customHeight="1" outlineLevel="1">
      <c r="A1520" s="12">
        <v>46064.0</v>
      </c>
      <c r="B1520" s="46" t="s">
        <v>16</v>
      </c>
      <c r="C1520" s="59" t="s">
        <v>1390</v>
      </c>
      <c r="D1520" s="20">
        <v>93.0</v>
      </c>
      <c r="E1520" s="21">
        <f t="shared" si="1"/>
        <v>10613.48</v>
      </c>
      <c r="F1520" s="23"/>
      <c r="G1520" s="21">
        <f t="shared" si="8"/>
        <v>374137.06</v>
      </c>
      <c r="H1520" s="23"/>
      <c r="I1520" s="21">
        <f t="shared" si="9"/>
        <v>1300.47</v>
      </c>
      <c r="J1520" s="23"/>
      <c r="K1520" s="21">
        <f t="shared" si="10"/>
        <v>230917.09</v>
      </c>
      <c r="L1520" s="23"/>
      <c r="M1520" s="21">
        <f t="shared" si="11"/>
        <v>1894.93</v>
      </c>
    </row>
    <row r="1521" ht="20.25" customHeight="1" outlineLevel="1">
      <c r="A1521" s="12">
        <v>46064.0</v>
      </c>
      <c r="B1521" s="46" t="s">
        <v>14</v>
      </c>
      <c r="C1521" s="59" t="s">
        <v>1391</v>
      </c>
      <c r="D1521" s="20"/>
      <c r="E1521" s="21">
        <f t="shared" si="1"/>
        <v>10613.48</v>
      </c>
      <c r="F1521" s="23"/>
      <c r="G1521" s="21">
        <f t="shared" si="8"/>
        <v>374137.06</v>
      </c>
      <c r="H1521" s="22">
        <v>-13.1</v>
      </c>
      <c r="I1521" s="21">
        <f t="shared" si="9"/>
        <v>1287.37</v>
      </c>
      <c r="J1521" s="23"/>
      <c r="K1521" s="21">
        <f t="shared" si="10"/>
        <v>230917.09</v>
      </c>
      <c r="L1521" s="23"/>
      <c r="M1521" s="21">
        <f t="shared" si="11"/>
        <v>1894.93</v>
      </c>
    </row>
    <row r="1522" ht="20.25" customHeight="1" outlineLevel="1">
      <c r="A1522" s="12">
        <v>46065.0</v>
      </c>
      <c r="B1522" s="46" t="s">
        <v>368</v>
      </c>
      <c r="C1522" s="200" t="s">
        <v>1392</v>
      </c>
      <c r="D1522" s="20"/>
      <c r="E1522" s="21">
        <f t="shared" si="1"/>
        <v>10613.48</v>
      </c>
      <c r="F1522" s="22">
        <v>-450.0</v>
      </c>
      <c r="G1522" s="21">
        <f t="shared" si="8"/>
        <v>373687.06</v>
      </c>
      <c r="H1522" s="23"/>
      <c r="I1522" s="21">
        <f t="shared" si="9"/>
        <v>1287.37</v>
      </c>
      <c r="J1522" s="23"/>
      <c r="K1522" s="21">
        <f t="shared" si="10"/>
        <v>230917.09</v>
      </c>
      <c r="L1522" s="23"/>
      <c r="M1522" s="21">
        <f t="shared" si="11"/>
        <v>1894.93</v>
      </c>
    </row>
    <row r="1523" ht="20.25" customHeight="1" outlineLevel="1">
      <c r="A1523" s="12">
        <v>46065.0</v>
      </c>
      <c r="B1523" s="13" t="s">
        <v>16</v>
      </c>
      <c r="C1523" s="28" t="s">
        <v>1393</v>
      </c>
      <c r="D1523" s="20"/>
      <c r="E1523" s="21">
        <f t="shared" si="1"/>
        <v>10613.48</v>
      </c>
      <c r="F1523" s="23">
        <v>500.0</v>
      </c>
      <c r="G1523" s="21">
        <f t="shared" si="8"/>
        <v>374187.06</v>
      </c>
      <c r="H1523" s="23"/>
      <c r="I1523" s="21">
        <f t="shared" si="9"/>
        <v>1287.37</v>
      </c>
      <c r="J1523" s="23"/>
      <c r="K1523" s="21">
        <f t="shared" si="10"/>
        <v>230917.09</v>
      </c>
      <c r="L1523" s="23"/>
      <c r="M1523" s="21">
        <f t="shared" si="11"/>
        <v>1894.93</v>
      </c>
    </row>
    <row r="1524" ht="20.25" customHeight="1" outlineLevel="1">
      <c r="A1524" s="12">
        <v>46065.0</v>
      </c>
      <c r="B1524" s="13" t="s">
        <v>16</v>
      </c>
      <c r="C1524" s="28" t="s">
        <v>1394</v>
      </c>
      <c r="D1524" s="20"/>
      <c r="E1524" s="21">
        <f t="shared" si="1"/>
        <v>10613.48</v>
      </c>
      <c r="F1524" s="23">
        <v>554.0</v>
      </c>
      <c r="G1524" s="21">
        <f t="shared" si="8"/>
        <v>374741.06</v>
      </c>
      <c r="H1524" s="23"/>
      <c r="I1524" s="21">
        <f t="shared" si="9"/>
        <v>1287.37</v>
      </c>
      <c r="J1524" s="23"/>
      <c r="K1524" s="21">
        <f t="shared" si="10"/>
        <v>230917.09</v>
      </c>
      <c r="L1524" s="23"/>
      <c r="M1524" s="21">
        <f t="shared" si="11"/>
        <v>1894.93</v>
      </c>
    </row>
    <row r="1525" ht="20.25" customHeight="1" outlineLevel="1">
      <c r="A1525" s="12">
        <v>46065.0</v>
      </c>
      <c r="B1525" s="13" t="s">
        <v>16</v>
      </c>
      <c r="C1525" s="28" t="s">
        <v>1395</v>
      </c>
      <c r="D1525" s="20"/>
      <c r="E1525" s="21">
        <f t="shared" si="1"/>
        <v>10613.48</v>
      </c>
      <c r="F1525" s="23">
        <v>72.0</v>
      </c>
      <c r="G1525" s="21">
        <f t="shared" si="8"/>
        <v>374813.06</v>
      </c>
      <c r="H1525" s="23"/>
      <c r="I1525" s="21">
        <f t="shared" si="9"/>
        <v>1287.37</v>
      </c>
      <c r="J1525" s="23"/>
      <c r="K1525" s="21">
        <f t="shared" si="10"/>
        <v>230917.09</v>
      </c>
      <c r="L1525" s="23"/>
      <c r="M1525" s="21">
        <f t="shared" si="11"/>
        <v>1894.93</v>
      </c>
    </row>
    <row r="1526" ht="20.25" customHeight="1" outlineLevel="1">
      <c r="A1526" s="12">
        <v>46065.0</v>
      </c>
      <c r="B1526" s="13" t="s">
        <v>16</v>
      </c>
      <c r="C1526" s="205" t="s">
        <v>1396</v>
      </c>
      <c r="D1526" s="20"/>
      <c r="E1526" s="21">
        <f t="shared" si="1"/>
        <v>10613.48</v>
      </c>
      <c r="F1526" s="23"/>
      <c r="G1526" s="21">
        <f t="shared" si="8"/>
        <v>374813.06</v>
      </c>
      <c r="H1526" s="23"/>
      <c r="I1526" s="21">
        <f t="shared" si="9"/>
        <v>1287.37</v>
      </c>
      <c r="J1526" s="23">
        <v>280.0</v>
      </c>
      <c r="K1526" s="21">
        <f t="shared" si="10"/>
        <v>231197.09</v>
      </c>
      <c r="L1526" s="23"/>
      <c r="M1526" s="21">
        <f t="shared" si="11"/>
        <v>1894.93</v>
      </c>
    </row>
    <row r="1527" ht="20.25" customHeight="1" outlineLevel="1">
      <c r="A1527" s="12">
        <v>46065.0</v>
      </c>
      <c r="B1527" s="13" t="s">
        <v>16</v>
      </c>
      <c r="C1527" s="28" t="s">
        <v>1397</v>
      </c>
      <c r="D1527" s="20"/>
      <c r="E1527" s="21">
        <f t="shared" si="1"/>
        <v>10613.48</v>
      </c>
      <c r="F1527" s="23"/>
      <c r="G1527" s="21">
        <f t="shared" si="8"/>
        <v>374813.06</v>
      </c>
      <c r="H1527" s="23"/>
      <c r="I1527" s="21">
        <f t="shared" si="9"/>
        <v>1287.37</v>
      </c>
      <c r="J1527" s="23">
        <v>50.0</v>
      </c>
      <c r="K1527" s="21">
        <f t="shared" si="10"/>
        <v>231247.09</v>
      </c>
      <c r="L1527" s="23"/>
      <c r="M1527" s="21">
        <f t="shared" si="11"/>
        <v>1894.93</v>
      </c>
    </row>
    <row r="1528" ht="20.25" customHeight="1" outlineLevel="1">
      <c r="A1528" s="12">
        <v>46065.0</v>
      </c>
      <c r="B1528" s="13" t="s">
        <v>16</v>
      </c>
      <c r="C1528" s="28" t="s">
        <v>1398</v>
      </c>
      <c r="D1528" s="20"/>
      <c r="E1528" s="21">
        <f t="shared" si="1"/>
        <v>10613.48</v>
      </c>
      <c r="F1528" s="23"/>
      <c r="G1528" s="21">
        <f t="shared" si="8"/>
        <v>374813.06</v>
      </c>
      <c r="H1528" s="23"/>
      <c r="I1528" s="21">
        <f t="shared" si="9"/>
        <v>1287.37</v>
      </c>
      <c r="J1528" s="23">
        <v>1085.0</v>
      </c>
      <c r="K1528" s="21">
        <f t="shared" si="10"/>
        <v>232332.09</v>
      </c>
      <c r="L1528" s="23"/>
      <c r="M1528" s="21">
        <f t="shared" si="11"/>
        <v>1894.93</v>
      </c>
    </row>
    <row r="1529" ht="20.25" customHeight="1" outlineLevel="1">
      <c r="A1529" s="12">
        <v>46065.0</v>
      </c>
      <c r="B1529" s="13" t="s">
        <v>16</v>
      </c>
      <c r="C1529" s="28" t="s">
        <v>1399</v>
      </c>
      <c r="D1529" s="20">
        <v>75.0</v>
      </c>
      <c r="E1529" s="21">
        <f t="shared" si="1"/>
        <v>10688.48</v>
      </c>
      <c r="F1529" s="23"/>
      <c r="G1529" s="21">
        <f t="shared" si="8"/>
        <v>374813.06</v>
      </c>
      <c r="H1529" s="23"/>
      <c r="I1529" s="21">
        <f t="shared" si="9"/>
        <v>1287.37</v>
      </c>
      <c r="J1529" s="23"/>
      <c r="K1529" s="21">
        <f t="shared" si="10"/>
        <v>232332.09</v>
      </c>
      <c r="L1529" s="23"/>
      <c r="M1529" s="21">
        <f t="shared" si="11"/>
        <v>1894.93</v>
      </c>
    </row>
    <row r="1530" ht="20.25" customHeight="1" outlineLevel="1">
      <c r="A1530" s="12">
        <v>46065.0</v>
      </c>
      <c r="B1530" s="46" t="s">
        <v>12</v>
      </c>
      <c r="C1530" s="59" t="s">
        <v>1400</v>
      </c>
      <c r="D1530" s="20"/>
      <c r="E1530" s="21">
        <f t="shared" si="1"/>
        <v>10688.48</v>
      </c>
      <c r="F1530" s="23"/>
      <c r="G1530" s="21">
        <f t="shared" si="8"/>
        <v>374813.06</v>
      </c>
      <c r="H1530" s="22">
        <v>-200.0</v>
      </c>
      <c r="I1530" s="21">
        <f t="shared" si="9"/>
        <v>1087.37</v>
      </c>
      <c r="J1530" s="23"/>
      <c r="K1530" s="21">
        <f t="shared" si="10"/>
        <v>232332.09</v>
      </c>
      <c r="L1530" s="23"/>
      <c r="M1530" s="21">
        <f t="shared" si="11"/>
        <v>1894.93</v>
      </c>
    </row>
    <row r="1531" ht="20.25" customHeight="1" outlineLevel="1">
      <c r="A1531" s="12">
        <v>46065.0</v>
      </c>
      <c r="B1531" s="46" t="s">
        <v>14</v>
      </c>
      <c r="C1531" s="59" t="s">
        <v>1401</v>
      </c>
      <c r="D1531" s="20"/>
      <c r="E1531" s="21">
        <f t="shared" si="1"/>
        <v>10688.48</v>
      </c>
      <c r="F1531" s="23"/>
      <c r="G1531" s="21">
        <f t="shared" si="8"/>
        <v>374813.06</v>
      </c>
      <c r="H1531" s="22">
        <v>-31.26</v>
      </c>
      <c r="I1531" s="21">
        <f t="shared" si="9"/>
        <v>1056.11</v>
      </c>
      <c r="J1531" s="23"/>
      <c r="K1531" s="21">
        <f t="shared" si="10"/>
        <v>232332.09</v>
      </c>
      <c r="L1531" s="23"/>
      <c r="M1531" s="21">
        <f t="shared" si="11"/>
        <v>1894.93</v>
      </c>
    </row>
    <row r="1532" ht="20.25" customHeight="1" outlineLevel="1">
      <c r="A1532" s="12">
        <v>46066.0</v>
      </c>
      <c r="B1532" s="46" t="s">
        <v>179</v>
      </c>
      <c r="C1532" s="200" t="s">
        <v>470</v>
      </c>
      <c r="D1532" s="73">
        <v>-4000.0</v>
      </c>
      <c r="E1532" s="21">
        <f t="shared" si="1"/>
        <v>6688.48</v>
      </c>
      <c r="F1532" s="23"/>
      <c r="G1532" s="21">
        <f t="shared" si="8"/>
        <v>374813.06</v>
      </c>
      <c r="H1532" s="23"/>
      <c r="I1532" s="21">
        <f t="shared" si="9"/>
        <v>1056.11</v>
      </c>
      <c r="J1532" s="23"/>
      <c r="K1532" s="21">
        <f t="shared" si="10"/>
        <v>232332.09</v>
      </c>
      <c r="L1532" s="23"/>
      <c r="M1532" s="21">
        <f t="shared" si="11"/>
        <v>1894.93</v>
      </c>
    </row>
    <row r="1533" ht="20.25" customHeight="1" outlineLevel="1">
      <c r="A1533" s="12">
        <v>46066.0</v>
      </c>
      <c r="B1533" s="46" t="s">
        <v>368</v>
      </c>
      <c r="C1533" s="200" t="s">
        <v>1402</v>
      </c>
      <c r="D1533" s="20"/>
      <c r="E1533" s="21">
        <f t="shared" si="1"/>
        <v>6688.48</v>
      </c>
      <c r="F1533" s="22">
        <v>-90.0</v>
      </c>
      <c r="G1533" s="21">
        <f t="shared" si="8"/>
        <v>374723.06</v>
      </c>
      <c r="H1533" s="23"/>
      <c r="I1533" s="21">
        <f>H1533+I1531</f>
        <v>1056.11</v>
      </c>
      <c r="J1533" s="23"/>
      <c r="K1533" s="21">
        <f>J1533+K1531</f>
        <v>232332.09</v>
      </c>
      <c r="L1533" s="23"/>
      <c r="M1533" s="21">
        <f>L1533+M1531</f>
        <v>1894.93</v>
      </c>
    </row>
    <row r="1534" ht="20.25" customHeight="1" outlineLevel="1">
      <c r="A1534" s="12">
        <v>46066.0</v>
      </c>
      <c r="B1534" s="46" t="s">
        <v>16</v>
      </c>
      <c r="C1534" s="59" t="s">
        <v>1403</v>
      </c>
      <c r="D1534" s="20"/>
      <c r="E1534" s="21">
        <f t="shared" si="1"/>
        <v>6688.48</v>
      </c>
      <c r="F1534" s="23">
        <v>147.0</v>
      </c>
      <c r="G1534" s="21">
        <f t="shared" si="8"/>
        <v>374870.06</v>
      </c>
      <c r="H1534" s="23"/>
      <c r="I1534" s="21">
        <f t="shared" ref="I1534:I1897" si="12">H1534+I1533</f>
        <v>1056.11</v>
      </c>
      <c r="J1534" s="23"/>
      <c r="K1534" s="21">
        <f t="shared" ref="K1534:K3311" si="13">J1534+K1533</f>
        <v>232332.09</v>
      </c>
      <c r="L1534" s="23"/>
      <c r="M1534" s="21">
        <f t="shared" ref="M1534:M1897" si="14">L1534+M1533</f>
        <v>1894.93</v>
      </c>
    </row>
    <row r="1535" ht="20.25" customHeight="1" outlineLevel="1">
      <c r="A1535" s="12">
        <v>46066.0</v>
      </c>
      <c r="B1535" s="13" t="s">
        <v>16</v>
      </c>
      <c r="C1535" s="28" t="s">
        <v>1404</v>
      </c>
      <c r="D1535" s="20"/>
      <c r="E1535" s="21">
        <f t="shared" si="1"/>
        <v>6688.48</v>
      </c>
      <c r="F1535" s="23">
        <v>249.0</v>
      </c>
      <c r="G1535" s="21">
        <f t="shared" si="8"/>
        <v>375119.06</v>
      </c>
      <c r="H1535" s="23"/>
      <c r="I1535" s="21">
        <f t="shared" si="12"/>
        <v>1056.11</v>
      </c>
      <c r="J1535" s="23"/>
      <c r="K1535" s="21">
        <f t="shared" si="13"/>
        <v>232332.09</v>
      </c>
      <c r="L1535" s="23"/>
      <c r="M1535" s="21">
        <f t="shared" si="14"/>
        <v>1894.93</v>
      </c>
    </row>
    <row r="1536" ht="20.25" customHeight="1" outlineLevel="1">
      <c r="A1536" s="12">
        <v>46066.0</v>
      </c>
      <c r="B1536" s="13" t="s">
        <v>16</v>
      </c>
      <c r="C1536" s="28" t="s">
        <v>1405</v>
      </c>
      <c r="D1536" s="20"/>
      <c r="E1536" s="21">
        <f t="shared" si="1"/>
        <v>6688.48</v>
      </c>
      <c r="F1536" s="23">
        <v>135.0</v>
      </c>
      <c r="G1536" s="21">
        <f t="shared" si="8"/>
        <v>375254.06</v>
      </c>
      <c r="H1536" s="23"/>
      <c r="I1536" s="21">
        <f t="shared" si="12"/>
        <v>1056.11</v>
      </c>
      <c r="J1536" s="23"/>
      <c r="K1536" s="21">
        <f t="shared" si="13"/>
        <v>232332.09</v>
      </c>
      <c r="L1536" s="23"/>
      <c r="M1536" s="21">
        <f t="shared" si="14"/>
        <v>1894.93</v>
      </c>
    </row>
    <row r="1537" ht="20.25" customHeight="1" outlineLevel="1">
      <c r="A1537" s="12">
        <v>46066.0</v>
      </c>
      <c r="B1537" s="13" t="s">
        <v>16</v>
      </c>
      <c r="C1537" s="28" t="s">
        <v>1406</v>
      </c>
      <c r="D1537" s="20"/>
      <c r="E1537" s="21">
        <f t="shared" si="1"/>
        <v>6688.48</v>
      </c>
      <c r="F1537" s="23">
        <v>59.6</v>
      </c>
      <c r="G1537" s="21">
        <f t="shared" si="8"/>
        <v>375313.66</v>
      </c>
      <c r="H1537" s="23"/>
      <c r="I1537" s="21">
        <f t="shared" si="12"/>
        <v>1056.11</v>
      </c>
      <c r="J1537" s="23"/>
      <c r="K1537" s="21">
        <f t="shared" si="13"/>
        <v>232332.09</v>
      </c>
      <c r="L1537" s="23"/>
      <c r="M1537" s="21">
        <f t="shared" si="14"/>
        <v>1894.93</v>
      </c>
    </row>
    <row r="1538" ht="20.25" customHeight="1" outlineLevel="1">
      <c r="A1538" s="12">
        <v>46066.0</v>
      </c>
      <c r="B1538" s="13" t="s">
        <v>16</v>
      </c>
      <c r="C1538" s="28" t="s">
        <v>1407</v>
      </c>
      <c r="D1538" s="20"/>
      <c r="E1538" s="21">
        <f t="shared" si="1"/>
        <v>6688.48</v>
      </c>
      <c r="F1538" s="23">
        <v>576.0</v>
      </c>
      <c r="G1538" s="21">
        <f t="shared" si="8"/>
        <v>375889.66</v>
      </c>
      <c r="H1538" s="23"/>
      <c r="I1538" s="21">
        <f t="shared" si="12"/>
        <v>1056.11</v>
      </c>
      <c r="J1538" s="23"/>
      <c r="K1538" s="21">
        <f t="shared" si="13"/>
        <v>232332.09</v>
      </c>
      <c r="L1538" s="23"/>
      <c r="M1538" s="21">
        <f t="shared" si="14"/>
        <v>1894.93</v>
      </c>
    </row>
    <row r="1539" ht="20.25" customHeight="1" outlineLevel="1">
      <c r="A1539" s="12">
        <v>46066.0</v>
      </c>
      <c r="B1539" s="13" t="s">
        <v>63</v>
      </c>
      <c r="C1539" s="219" t="s">
        <v>1408</v>
      </c>
      <c r="D1539" s="20"/>
      <c r="E1539" s="21">
        <f t="shared" si="1"/>
        <v>6688.48</v>
      </c>
      <c r="F1539" s="51">
        <v>9232.57</v>
      </c>
      <c r="G1539" s="21">
        <f t="shared" si="8"/>
        <v>385122.23</v>
      </c>
      <c r="H1539" s="23"/>
      <c r="I1539" s="21">
        <f t="shared" si="12"/>
        <v>1056.11</v>
      </c>
      <c r="J1539" s="23"/>
      <c r="K1539" s="21">
        <f t="shared" si="13"/>
        <v>232332.09</v>
      </c>
      <c r="L1539" s="23"/>
      <c r="M1539" s="21">
        <f t="shared" si="14"/>
        <v>1894.93</v>
      </c>
    </row>
    <row r="1540" ht="20.25" customHeight="1" outlineLevel="1">
      <c r="A1540" s="12">
        <v>46066.0</v>
      </c>
      <c r="B1540" s="13" t="s">
        <v>63</v>
      </c>
      <c r="C1540" s="220" t="s">
        <v>1409</v>
      </c>
      <c r="D1540" s="20"/>
      <c r="E1540" s="21">
        <f t="shared" si="1"/>
        <v>6688.48</v>
      </c>
      <c r="F1540" s="51">
        <v>6710.0</v>
      </c>
      <c r="G1540" s="21">
        <f t="shared" si="8"/>
        <v>391832.23</v>
      </c>
      <c r="H1540" s="23"/>
      <c r="I1540" s="21">
        <f t="shared" si="12"/>
        <v>1056.11</v>
      </c>
      <c r="J1540" s="23"/>
      <c r="K1540" s="21">
        <f t="shared" si="13"/>
        <v>232332.09</v>
      </c>
      <c r="L1540" s="23"/>
      <c r="M1540" s="21">
        <f t="shared" si="14"/>
        <v>1894.93</v>
      </c>
    </row>
    <row r="1541" ht="20.25" customHeight="1" outlineLevel="1">
      <c r="A1541" s="12">
        <v>46066.0</v>
      </c>
      <c r="B1541" s="13" t="s">
        <v>63</v>
      </c>
      <c r="C1541" s="220" t="s">
        <v>1410</v>
      </c>
      <c r="D1541" s="20"/>
      <c r="E1541" s="21">
        <f t="shared" si="1"/>
        <v>6688.48</v>
      </c>
      <c r="F1541" s="51">
        <v>549.0</v>
      </c>
      <c r="G1541" s="21">
        <f t="shared" si="8"/>
        <v>392381.23</v>
      </c>
      <c r="H1541" s="23"/>
      <c r="I1541" s="21">
        <f t="shared" si="12"/>
        <v>1056.11</v>
      </c>
      <c r="J1541" s="23"/>
      <c r="K1541" s="21">
        <f t="shared" si="13"/>
        <v>232332.09</v>
      </c>
      <c r="L1541" s="23"/>
      <c r="M1541" s="21">
        <f t="shared" si="14"/>
        <v>1894.93</v>
      </c>
    </row>
    <row r="1542" ht="20.25" customHeight="1" outlineLevel="1">
      <c r="A1542" s="12">
        <v>46066.0</v>
      </c>
      <c r="B1542" s="13" t="s">
        <v>179</v>
      </c>
      <c r="C1542" s="221" t="s">
        <v>482</v>
      </c>
      <c r="D1542" s="20"/>
      <c r="E1542" s="21">
        <f t="shared" si="1"/>
        <v>6688.48</v>
      </c>
      <c r="F1542" s="27">
        <v>4000.0</v>
      </c>
      <c r="G1542" s="21">
        <f t="shared" si="8"/>
        <v>396381.23</v>
      </c>
      <c r="H1542" s="23"/>
      <c r="I1542" s="21">
        <f t="shared" si="12"/>
        <v>1056.11</v>
      </c>
      <c r="J1542" s="23"/>
      <c r="K1542" s="21">
        <f t="shared" si="13"/>
        <v>232332.09</v>
      </c>
      <c r="L1542" s="23"/>
      <c r="M1542" s="21">
        <f t="shared" si="14"/>
        <v>1894.93</v>
      </c>
    </row>
    <row r="1543" ht="20.25" customHeight="1" outlineLevel="1">
      <c r="A1543" s="12">
        <v>46066.0</v>
      </c>
      <c r="B1543" s="13" t="s">
        <v>14</v>
      </c>
      <c r="C1543" s="221" t="s">
        <v>34</v>
      </c>
      <c r="D1543" s="20"/>
      <c r="E1543" s="21">
        <f t="shared" si="1"/>
        <v>6688.48</v>
      </c>
      <c r="F1543" s="23"/>
      <c r="G1543" s="21">
        <f t="shared" si="8"/>
        <v>396381.23</v>
      </c>
      <c r="H1543" s="23"/>
      <c r="I1543" s="21">
        <f t="shared" si="12"/>
        <v>1056.11</v>
      </c>
      <c r="J1543" s="22">
        <v>-171.51</v>
      </c>
      <c r="K1543" s="21">
        <f t="shared" si="13"/>
        <v>232160.58</v>
      </c>
      <c r="L1543" s="23"/>
      <c r="M1543" s="21">
        <f t="shared" si="14"/>
        <v>1894.93</v>
      </c>
    </row>
    <row r="1544" ht="20.25" customHeight="1" outlineLevel="1">
      <c r="A1544" s="12">
        <v>46066.0</v>
      </c>
      <c r="B1544" s="13" t="s">
        <v>14</v>
      </c>
      <c r="C1544" s="221" t="s">
        <v>34</v>
      </c>
      <c r="D1544" s="20"/>
      <c r="E1544" s="21">
        <f t="shared" si="1"/>
        <v>6688.48</v>
      </c>
      <c r="F1544" s="23"/>
      <c r="G1544" s="21">
        <f t="shared" si="8"/>
        <v>396381.23</v>
      </c>
      <c r="H1544" s="23"/>
      <c r="I1544" s="21">
        <f t="shared" si="12"/>
        <v>1056.11</v>
      </c>
      <c r="J1544" s="22">
        <v>-23.59</v>
      </c>
      <c r="K1544" s="21">
        <f t="shared" si="13"/>
        <v>232136.99</v>
      </c>
      <c r="L1544" s="23"/>
      <c r="M1544" s="21">
        <f t="shared" si="14"/>
        <v>1894.93</v>
      </c>
    </row>
    <row r="1545" ht="20.25" customHeight="1" outlineLevel="1">
      <c r="A1545" s="12">
        <v>46066.0</v>
      </c>
      <c r="B1545" s="13" t="s">
        <v>16</v>
      </c>
      <c r="C1545" s="221" t="s">
        <v>1411</v>
      </c>
      <c r="D1545" s="20"/>
      <c r="E1545" s="21">
        <f t="shared" si="1"/>
        <v>6688.48</v>
      </c>
      <c r="F1545" s="23"/>
      <c r="G1545" s="21">
        <f t="shared" si="8"/>
        <v>396381.23</v>
      </c>
      <c r="H1545" s="23"/>
      <c r="I1545" s="21">
        <f t="shared" si="12"/>
        <v>1056.11</v>
      </c>
      <c r="J1545" s="23">
        <v>25.0</v>
      </c>
      <c r="K1545" s="21">
        <f t="shared" si="13"/>
        <v>232161.99</v>
      </c>
      <c r="L1545" s="23"/>
      <c r="M1545" s="21">
        <f t="shared" si="14"/>
        <v>1894.93</v>
      </c>
    </row>
    <row r="1546" ht="20.25" customHeight="1" outlineLevel="1">
      <c r="A1546" s="12">
        <v>46066.0</v>
      </c>
      <c r="B1546" s="13" t="s">
        <v>16</v>
      </c>
      <c r="C1546" s="221" t="s">
        <v>1412</v>
      </c>
      <c r="D1546" s="20"/>
      <c r="E1546" s="21">
        <f t="shared" si="1"/>
        <v>6688.48</v>
      </c>
      <c r="F1546" s="23"/>
      <c r="G1546" s="21">
        <f t="shared" si="8"/>
        <v>396381.23</v>
      </c>
      <c r="H1546" s="23"/>
      <c r="I1546" s="21">
        <f t="shared" si="12"/>
        <v>1056.11</v>
      </c>
      <c r="J1546" s="23">
        <v>245.0</v>
      </c>
      <c r="K1546" s="21">
        <f t="shared" si="13"/>
        <v>232406.99</v>
      </c>
      <c r="L1546" s="23"/>
      <c r="M1546" s="21">
        <f t="shared" si="14"/>
        <v>1894.93</v>
      </c>
    </row>
    <row r="1547" ht="20.25" customHeight="1" outlineLevel="1">
      <c r="A1547" s="12">
        <v>46066.0</v>
      </c>
      <c r="B1547" s="13" t="s">
        <v>16</v>
      </c>
      <c r="C1547" s="222" t="s">
        <v>1413</v>
      </c>
      <c r="D1547" s="20"/>
      <c r="E1547" s="21">
        <f t="shared" si="1"/>
        <v>6688.48</v>
      </c>
      <c r="F1547" s="23"/>
      <c r="G1547" s="21">
        <f t="shared" si="8"/>
        <v>396381.23</v>
      </c>
      <c r="H1547" s="23"/>
      <c r="I1547" s="21">
        <f t="shared" si="12"/>
        <v>1056.11</v>
      </c>
      <c r="J1547" s="23">
        <v>300.0</v>
      </c>
      <c r="K1547" s="21">
        <f t="shared" si="13"/>
        <v>232706.99</v>
      </c>
      <c r="L1547" s="23"/>
      <c r="M1547" s="21">
        <f t="shared" si="14"/>
        <v>1894.93</v>
      </c>
    </row>
    <row r="1548" ht="20.25" customHeight="1" outlineLevel="1">
      <c r="A1548" s="12">
        <v>46066.0</v>
      </c>
      <c r="B1548" s="13" t="s">
        <v>16</v>
      </c>
      <c r="C1548" s="221" t="s">
        <v>1414</v>
      </c>
      <c r="D1548" s="20">
        <v>155.0</v>
      </c>
      <c r="E1548" s="21">
        <f t="shared" si="1"/>
        <v>6843.48</v>
      </c>
      <c r="F1548" s="23"/>
      <c r="G1548" s="21">
        <f t="shared" si="8"/>
        <v>396381.23</v>
      </c>
      <c r="H1548" s="23"/>
      <c r="I1548" s="21">
        <f t="shared" si="12"/>
        <v>1056.11</v>
      </c>
      <c r="J1548" s="23"/>
      <c r="K1548" s="21">
        <f t="shared" si="13"/>
        <v>232706.99</v>
      </c>
      <c r="L1548" s="23"/>
      <c r="M1548" s="21">
        <f t="shared" si="14"/>
        <v>1894.93</v>
      </c>
    </row>
    <row r="1549" ht="20.25" customHeight="1" outlineLevel="1">
      <c r="A1549" s="12">
        <v>46067.0</v>
      </c>
      <c r="B1549" s="13" t="s">
        <v>16</v>
      </c>
      <c r="C1549" s="221" t="s">
        <v>1415</v>
      </c>
      <c r="D1549" s="20">
        <v>300.0</v>
      </c>
      <c r="E1549" s="21">
        <f t="shared" si="1"/>
        <v>7143.48</v>
      </c>
      <c r="F1549" s="23"/>
      <c r="G1549" s="21">
        <f t="shared" si="8"/>
        <v>396381.23</v>
      </c>
      <c r="H1549" s="23"/>
      <c r="I1549" s="21">
        <f t="shared" si="12"/>
        <v>1056.11</v>
      </c>
      <c r="J1549" s="23"/>
      <c r="K1549" s="21">
        <f t="shared" si="13"/>
        <v>232706.99</v>
      </c>
      <c r="L1549" s="23"/>
      <c r="M1549" s="21">
        <f t="shared" si="14"/>
        <v>1894.93</v>
      </c>
    </row>
    <row r="1550" ht="20.25" customHeight="1" outlineLevel="1">
      <c r="A1550" s="12">
        <v>46068.0</v>
      </c>
      <c r="B1550" s="13" t="s">
        <v>16</v>
      </c>
      <c r="C1550" s="221" t="s">
        <v>1416</v>
      </c>
      <c r="D1550" s="20">
        <v>50.0</v>
      </c>
      <c r="E1550" s="21">
        <f t="shared" si="1"/>
        <v>7193.48</v>
      </c>
      <c r="F1550" s="23"/>
      <c r="G1550" s="21">
        <f t="shared" si="8"/>
        <v>396381.23</v>
      </c>
      <c r="H1550" s="23"/>
      <c r="I1550" s="21">
        <f t="shared" si="12"/>
        <v>1056.11</v>
      </c>
      <c r="J1550" s="23"/>
      <c r="K1550" s="21">
        <f t="shared" si="13"/>
        <v>232706.99</v>
      </c>
      <c r="L1550" s="23"/>
      <c r="M1550" s="21">
        <f t="shared" si="14"/>
        <v>1894.93</v>
      </c>
    </row>
    <row r="1551" ht="20.25" customHeight="1" outlineLevel="1">
      <c r="A1551" s="12">
        <v>46069.0</v>
      </c>
      <c r="B1551" s="13" t="s">
        <v>16</v>
      </c>
      <c r="C1551" s="221" t="s">
        <v>1417</v>
      </c>
      <c r="D1551" s="20"/>
      <c r="E1551" s="21">
        <f t="shared" si="1"/>
        <v>7193.48</v>
      </c>
      <c r="F1551" s="23">
        <v>499.2</v>
      </c>
      <c r="G1551" s="21">
        <f t="shared" si="8"/>
        <v>396880.43</v>
      </c>
      <c r="H1551" s="23"/>
      <c r="I1551" s="21">
        <f t="shared" si="12"/>
        <v>1056.11</v>
      </c>
      <c r="J1551" s="23"/>
      <c r="K1551" s="21">
        <f t="shared" si="13"/>
        <v>232706.99</v>
      </c>
      <c r="L1551" s="23"/>
      <c r="M1551" s="21">
        <f t="shared" si="14"/>
        <v>1894.93</v>
      </c>
    </row>
    <row r="1552" ht="20.25" customHeight="1" outlineLevel="1">
      <c r="A1552" s="12">
        <v>46069.0</v>
      </c>
      <c r="B1552" s="13" t="s">
        <v>16</v>
      </c>
      <c r="C1552" s="221" t="s">
        <v>1418</v>
      </c>
      <c r="D1552" s="20"/>
      <c r="E1552" s="21">
        <f t="shared" si="1"/>
        <v>7193.48</v>
      </c>
      <c r="F1552" s="23">
        <v>19.8</v>
      </c>
      <c r="G1552" s="21">
        <f t="shared" si="8"/>
        <v>396900.23</v>
      </c>
      <c r="H1552" s="23"/>
      <c r="I1552" s="21">
        <f t="shared" si="12"/>
        <v>1056.11</v>
      </c>
      <c r="J1552" s="23"/>
      <c r="K1552" s="21">
        <f t="shared" si="13"/>
        <v>232706.99</v>
      </c>
      <c r="L1552" s="23"/>
      <c r="M1552" s="21">
        <f t="shared" si="14"/>
        <v>1894.93</v>
      </c>
    </row>
    <row r="1553" ht="20.25" customHeight="1" outlineLevel="1">
      <c r="A1553" s="12">
        <v>46069.0</v>
      </c>
      <c r="B1553" s="13" t="s">
        <v>14</v>
      </c>
      <c r="C1553" s="221" t="s">
        <v>555</v>
      </c>
      <c r="D1553" s="20"/>
      <c r="E1553" s="21">
        <f t="shared" si="1"/>
        <v>7193.48</v>
      </c>
      <c r="F1553" s="22">
        <v>-133.96</v>
      </c>
      <c r="G1553" s="21">
        <f t="shared" si="8"/>
        <v>396766.27</v>
      </c>
      <c r="H1553" s="23"/>
      <c r="I1553" s="21">
        <f t="shared" si="12"/>
        <v>1056.11</v>
      </c>
      <c r="J1553" s="23"/>
      <c r="K1553" s="21">
        <f t="shared" si="13"/>
        <v>232706.99</v>
      </c>
      <c r="L1553" s="23"/>
      <c r="M1553" s="21">
        <f t="shared" si="14"/>
        <v>1894.93</v>
      </c>
    </row>
    <row r="1554" ht="20.25" customHeight="1" outlineLevel="1">
      <c r="A1554" s="12">
        <v>46069.0</v>
      </c>
      <c r="B1554" s="13" t="s">
        <v>174</v>
      </c>
      <c r="C1554" s="221" t="s">
        <v>1419</v>
      </c>
      <c r="D1554" s="20"/>
      <c r="E1554" s="21">
        <f t="shared" si="1"/>
        <v>7193.48</v>
      </c>
      <c r="F1554" s="23"/>
      <c r="G1554" s="21">
        <f t="shared" si="8"/>
        <v>396766.27</v>
      </c>
      <c r="H1554" s="23"/>
      <c r="I1554" s="21">
        <f t="shared" si="12"/>
        <v>1056.11</v>
      </c>
      <c r="J1554" s="22">
        <v>-1019.25</v>
      </c>
      <c r="K1554" s="21">
        <f t="shared" si="13"/>
        <v>231687.74</v>
      </c>
      <c r="L1554" s="23"/>
      <c r="M1554" s="21">
        <f t="shared" si="14"/>
        <v>1894.93</v>
      </c>
    </row>
    <row r="1555" ht="20.25" customHeight="1" outlineLevel="1">
      <c r="A1555" s="12">
        <v>46069.0</v>
      </c>
      <c r="B1555" s="13" t="s">
        <v>174</v>
      </c>
      <c r="C1555" s="221" t="s">
        <v>1420</v>
      </c>
      <c r="D1555" s="20"/>
      <c r="E1555" s="21">
        <f t="shared" si="1"/>
        <v>7193.48</v>
      </c>
      <c r="F1555" s="23"/>
      <c r="G1555" s="21">
        <f t="shared" si="8"/>
        <v>396766.27</v>
      </c>
      <c r="H1555" s="23"/>
      <c r="I1555" s="21">
        <f t="shared" si="12"/>
        <v>1056.11</v>
      </c>
      <c r="J1555" s="22">
        <v>-13292.78</v>
      </c>
      <c r="K1555" s="21">
        <f t="shared" si="13"/>
        <v>218394.96</v>
      </c>
      <c r="L1555" s="23"/>
      <c r="M1555" s="21">
        <f t="shared" si="14"/>
        <v>1894.93</v>
      </c>
    </row>
    <row r="1556" ht="20.25" customHeight="1" outlineLevel="1">
      <c r="A1556" s="12">
        <v>46069.0</v>
      </c>
      <c r="B1556" s="13" t="s">
        <v>14</v>
      </c>
      <c r="C1556" s="221" t="s">
        <v>34</v>
      </c>
      <c r="D1556" s="20"/>
      <c r="E1556" s="21">
        <f t="shared" si="1"/>
        <v>7193.48</v>
      </c>
      <c r="F1556" s="23"/>
      <c r="G1556" s="21">
        <f t="shared" si="8"/>
        <v>396766.27</v>
      </c>
      <c r="H1556" s="23"/>
      <c r="I1556" s="21">
        <f t="shared" si="12"/>
        <v>1056.11</v>
      </c>
      <c r="J1556" s="22">
        <v>-67.1</v>
      </c>
      <c r="K1556" s="21">
        <f t="shared" si="13"/>
        <v>218327.86</v>
      </c>
      <c r="L1556" s="23"/>
      <c r="M1556" s="21">
        <f t="shared" si="14"/>
        <v>1894.93</v>
      </c>
    </row>
    <row r="1557" ht="20.25" customHeight="1" outlineLevel="1">
      <c r="A1557" s="12">
        <v>46069.0</v>
      </c>
      <c r="B1557" s="13" t="s">
        <v>14</v>
      </c>
      <c r="C1557" s="221" t="s">
        <v>1421</v>
      </c>
      <c r="D1557" s="20"/>
      <c r="E1557" s="21">
        <f t="shared" si="1"/>
        <v>7193.48</v>
      </c>
      <c r="F1557" s="22">
        <v>-60.0</v>
      </c>
      <c r="G1557" s="21">
        <f t="shared" si="8"/>
        <v>396706.27</v>
      </c>
      <c r="H1557" s="23"/>
      <c r="I1557" s="21">
        <f t="shared" si="12"/>
        <v>1056.11</v>
      </c>
      <c r="J1557" s="23"/>
      <c r="K1557" s="21">
        <f t="shared" si="13"/>
        <v>218327.86</v>
      </c>
      <c r="L1557" s="23"/>
      <c r="M1557" s="21">
        <f t="shared" si="14"/>
        <v>1894.93</v>
      </c>
    </row>
    <row r="1558" ht="20.25" customHeight="1" outlineLevel="1">
      <c r="A1558" s="12">
        <v>46069.0</v>
      </c>
      <c r="B1558" s="13" t="s">
        <v>14</v>
      </c>
      <c r="C1558" s="221" t="s">
        <v>1422</v>
      </c>
      <c r="D1558" s="20"/>
      <c r="E1558" s="21">
        <f t="shared" si="1"/>
        <v>7193.48</v>
      </c>
      <c r="F1558" s="22">
        <v>-400.0</v>
      </c>
      <c r="G1558" s="21">
        <f t="shared" si="8"/>
        <v>396306.27</v>
      </c>
      <c r="H1558" s="23"/>
      <c r="I1558" s="21">
        <f t="shared" si="12"/>
        <v>1056.11</v>
      </c>
      <c r="J1558" s="23"/>
      <c r="K1558" s="21">
        <f t="shared" si="13"/>
        <v>218327.86</v>
      </c>
      <c r="L1558" s="23"/>
      <c r="M1558" s="21">
        <f t="shared" si="14"/>
        <v>1894.93</v>
      </c>
    </row>
    <row r="1559" ht="20.25" customHeight="1" outlineLevel="1">
      <c r="A1559" s="12">
        <v>46069.0</v>
      </c>
      <c r="B1559" s="13" t="s">
        <v>12</v>
      </c>
      <c r="C1559" s="223" t="s">
        <v>1423</v>
      </c>
      <c r="D1559" s="20"/>
      <c r="E1559" s="21">
        <f t="shared" si="1"/>
        <v>7193.48</v>
      </c>
      <c r="F1559" s="22">
        <v>-180.0</v>
      </c>
      <c r="G1559" s="21">
        <f t="shared" si="8"/>
        <v>396126.27</v>
      </c>
      <c r="H1559" s="23"/>
      <c r="I1559" s="21">
        <f t="shared" si="12"/>
        <v>1056.11</v>
      </c>
      <c r="J1559" s="23"/>
      <c r="K1559" s="21">
        <f t="shared" si="13"/>
        <v>218327.86</v>
      </c>
      <c r="L1559" s="23"/>
      <c r="M1559" s="21">
        <f t="shared" si="14"/>
        <v>1894.93</v>
      </c>
    </row>
    <row r="1560" ht="20.25" customHeight="1" outlineLevel="1">
      <c r="A1560" s="12">
        <v>46069.0</v>
      </c>
      <c r="B1560" s="13" t="s">
        <v>16</v>
      </c>
      <c r="C1560" s="221" t="s">
        <v>1424</v>
      </c>
      <c r="D1560" s="20"/>
      <c r="E1560" s="21">
        <f t="shared" si="1"/>
        <v>7193.48</v>
      </c>
      <c r="F1560" s="23">
        <v>389.0</v>
      </c>
      <c r="G1560" s="21">
        <f t="shared" si="8"/>
        <v>396515.27</v>
      </c>
      <c r="H1560" s="23"/>
      <c r="I1560" s="21">
        <f t="shared" si="12"/>
        <v>1056.11</v>
      </c>
      <c r="J1560" s="23"/>
      <c r="K1560" s="21">
        <f t="shared" si="13"/>
        <v>218327.86</v>
      </c>
      <c r="L1560" s="23"/>
      <c r="M1560" s="21">
        <f t="shared" si="14"/>
        <v>1894.93</v>
      </c>
    </row>
    <row r="1561" ht="20.25" customHeight="1" outlineLevel="1">
      <c r="A1561" s="12">
        <v>46069.0</v>
      </c>
      <c r="B1561" s="13" t="s">
        <v>16</v>
      </c>
      <c r="C1561" s="224" t="s">
        <v>1425</v>
      </c>
      <c r="D1561" s="20"/>
      <c r="E1561" s="21">
        <f t="shared" si="1"/>
        <v>7193.48</v>
      </c>
      <c r="F1561" s="23">
        <v>633.0</v>
      </c>
      <c r="G1561" s="21">
        <f t="shared" si="8"/>
        <v>397148.27</v>
      </c>
      <c r="H1561" s="23"/>
      <c r="I1561" s="21">
        <f t="shared" si="12"/>
        <v>1056.11</v>
      </c>
      <c r="J1561" s="23"/>
      <c r="K1561" s="21">
        <f t="shared" si="13"/>
        <v>218327.86</v>
      </c>
      <c r="L1561" s="23"/>
      <c r="M1561" s="21">
        <f t="shared" si="14"/>
        <v>1894.93</v>
      </c>
    </row>
    <row r="1562" ht="20.25" customHeight="1" outlineLevel="1">
      <c r="A1562" s="12">
        <v>46069.0</v>
      </c>
      <c r="B1562" s="13" t="s">
        <v>16</v>
      </c>
      <c r="C1562" s="28" t="s">
        <v>1426</v>
      </c>
      <c r="D1562" s="20"/>
      <c r="E1562" s="21">
        <f t="shared" si="1"/>
        <v>7193.48</v>
      </c>
      <c r="F1562" s="23">
        <v>150.0</v>
      </c>
      <c r="G1562" s="21">
        <f t="shared" si="8"/>
        <v>397298.27</v>
      </c>
      <c r="H1562" s="23"/>
      <c r="I1562" s="21">
        <f t="shared" si="12"/>
        <v>1056.11</v>
      </c>
      <c r="J1562" s="23"/>
      <c r="K1562" s="21">
        <f t="shared" si="13"/>
        <v>218327.86</v>
      </c>
      <c r="L1562" s="23"/>
      <c r="M1562" s="21">
        <f t="shared" si="14"/>
        <v>1894.93</v>
      </c>
    </row>
    <row r="1563" ht="20.25" customHeight="1" outlineLevel="1">
      <c r="A1563" s="12">
        <v>46069.0</v>
      </c>
      <c r="B1563" s="13" t="s">
        <v>16</v>
      </c>
      <c r="C1563" s="28" t="s">
        <v>1427</v>
      </c>
      <c r="D1563" s="20"/>
      <c r="E1563" s="21">
        <f t="shared" si="1"/>
        <v>7193.48</v>
      </c>
      <c r="F1563" s="23">
        <v>102.0</v>
      </c>
      <c r="G1563" s="21">
        <f t="shared" si="8"/>
        <v>397400.27</v>
      </c>
      <c r="H1563" s="23"/>
      <c r="I1563" s="21">
        <f t="shared" si="12"/>
        <v>1056.11</v>
      </c>
      <c r="J1563" s="23"/>
      <c r="K1563" s="21">
        <f t="shared" si="13"/>
        <v>218327.86</v>
      </c>
      <c r="L1563" s="23"/>
      <c r="M1563" s="21">
        <f t="shared" si="14"/>
        <v>1894.93</v>
      </c>
    </row>
    <row r="1564" ht="20.25" customHeight="1" outlineLevel="1">
      <c r="A1564" s="12">
        <v>46069.0</v>
      </c>
      <c r="B1564" s="13" t="s">
        <v>16</v>
      </c>
      <c r="C1564" s="28" t="s">
        <v>1428</v>
      </c>
      <c r="D1564" s="20"/>
      <c r="E1564" s="21">
        <f t="shared" si="1"/>
        <v>7193.48</v>
      </c>
      <c r="F1564" s="23">
        <v>25.0</v>
      </c>
      <c r="G1564" s="21">
        <f t="shared" si="8"/>
        <v>397425.27</v>
      </c>
      <c r="H1564" s="23"/>
      <c r="I1564" s="21">
        <f t="shared" si="12"/>
        <v>1056.11</v>
      </c>
      <c r="J1564" s="23"/>
      <c r="K1564" s="21">
        <f t="shared" si="13"/>
        <v>218327.86</v>
      </c>
      <c r="L1564" s="23"/>
      <c r="M1564" s="21">
        <f t="shared" si="14"/>
        <v>1894.93</v>
      </c>
    </row>
    <row r="1565" ht="20.25" customHeight="1" outlineLevel="1">
      <c r="A1565" s="12">
        <v>46069.0</v>
      </c>
      <c r="B1565" s="46" t="s">
        <v>16</v>
      </c>
      <c r="C1565" s="59" t="s">
        <v>1429</v>
      </c>
      <c r="D1565" s="20"/>
      <c r="E1565" s="21">
        <f t="shared" si="1"/>
        <v>7193.48</v>
      </c>
      <c r="F1565" s="23">
        <v>181.0</v>
      </c>
      <c r="G1565" s="21">
        <f t="shared" si="8"/>
        <v>397606.27</v>
      </c>
      <c r="H1565" s="23"/>
      <c r="I1565" s="21">
        <f t="shared" si="12"/>
        <v>1056.11</v>
      </c>
      <c r="J1565" s="23"/>
      <c r="K1565" s="21">
        <f t="shared" si="13"/>
        <v>218327.86</v>
      </c>
      <c r="L1565" s="23"/>
      <c r="M1565" s="21">
        <f t="shared" si="14"/>
        <v>1894.93</v>
      </c>
    </row>
    <row r="1566" ht="20.25" customHeight="1" outlineLevel="1">
      <c r="A1566" s="12">
        <v>46069.0</v>
      </c>
      <c r="B1566" s="46" t="s">
        <v>16</v>
      </c>
      <c r="C1566" s="59" t="s">
        <v>1430</v>
      </c>
      <c r="D1566" s="20"/>
      <c r="E1566" s="21">
        <f t="shared" si="1"/>
        <v>7193.48</v>
      </c>
      <c r="F1566" s="23">
        <v>40.0</v>
      </c>
      <c r="G1566" s="21">
        <f t="shared" si="8"/>
        <v>397646.27</v>
      </c>
      <c r="H1566" s="23"/>
      <c r="I1566" s="21">
        <f t="shared" si="12"/>
        <v>1056.11</v>
      </c>
      <c r="J1566" s="23"/>
      <c r="K1566" s="21">
        <f t="shared" si="13"/>
        <v>218327.86</v>
      </c>
      <c r="L1566" s="23"/>
      <c r="M1566" s="21">
        <f t="shared" si="14"/>
        <v>1894.93</v>
      </c>
    </row>
    <row r="1567" ht="20.25" customHeight="1" outlineLevel="1">
      <c r="A1567" s="12">
        <v>46069.0</v>
      </c>
      <c r="B1567" s="46" t="s">
        <v>16</v>
      </c>
      <c r="C1567" s="59" t="s">
        <v>1431</v>
      </c>
      <c r="D1567" s="20"/>
      <c r="E1567" s="21">
        <f t="shared" si="1"/>
        <v>7193.48</v>
      </c>
      <c r="F1567" s="23">
        <v>159.0</v>
      </c>
      <c r="G1567" s="21">
        <f t="shared" si="8"/>
        <v>397805.27</v>
      </c>
      <c r="H1567" s="23"/>
      <c r="I1567" s="21">
        <f t="shared" si="12"/>
        <v>1056.11</v>
      </c>
      <c r="J1567" s="23"/>
      <c r="K1567" s="21">
        <f t="shared" si="13"/>
        <v>218327.86</v>
      </c>
      <c r="L1567" s="23"/>
      <c r="M1567" s="21">
        <f t="shared" si="14"/>
        <v>1894.93</v>
      </c>
    </row>
    <row r="1568" ht="20.25" customHeight="1" outlineLevel="1">
      <c r="A1568" s="12">
        <v>46069.0</v>
      </c>
      <c r="B1568" s="46" t="s">
        <v>16</v>
      </c>
      <c r="C1568" s="59" t="s">
        <v>1432</v>
      </c>
      <c r="D1568" s="20"/>
      <c r="E1568" s="21">
        <f t="shared" si="1"/>
        <v>7193.48</v>
      </c>
      <c r="F1568" s="23"/>
      <c r="G1568" s="21">
        <f t="shared" si="8"/>
        <v>397805.27</v>
      </c>
      <c r="H1568" s="23"/>
      <c r="I1568" s="21">
        <f t="shared" si="12"/>
        <v>1056.11</v>
      </c>
      <c r="J1568" s="23">
        <v>25.0</v>
      </c>
      <c r="K1568" s="21">
        <f t="shared" si="13"/>
        <v>218352.86</v>
      </c>
      <c r="L1568" s="23"/>
      <c r="M1568" s="21">
        <f t="shared" si="14"/>
        <v>1894.93</v>
      </c>
    </row>
    <row r="1569" ht="20.25" customHeight="1" outlineLevel="1">
      <c r="A1569" s="12">
        <v>46069.0</v>
      </c>
      <c r="B1569" s="46" t="s">
        <v>16</v>
      </c>
      <c r="C1569" s="59" t="s">
        <v>1433</v>
      </c>
      <c r="D1569" s="20"/>
      <c r="E1569" s="21">
        <f t="shared" si="1"/>
        <v>7193.48</v>
      </c>
      <c r="F1569" s="23"/>
      <c r="G1569" s="21">
        <f t="shared" si="8"/>
        <v>397805.27</v>
      </c>
      <c r="H1569" s="23"/>
      <c r="I1569" s="21">
        <f t="shared" si="12"/>
        <v>1056.11</v>
      </c>
      <c r="J1569" s="23">
        <v>399.4</v>
      </c>
      <c r="K1569" s="21">
        <f t="shared" si="13"/>
        <v>218752.26</v>
      </c>
      <c r="L1569" s="23"/>
      <c r="M1569" s="21">
        <f t="shared" si="14"/>
        <v>1894.93</v>
      </c>
    </row>
    <row r="1570" ht="20.25" customHeight="1" outlineLevel="1">
      <c r="A1570" s="12">
        <v>46069.0</v>
      </c>
      <c r="B1570" s="13" t="s">
        <v>16</v>
      </c>
      <c r="C1570" s="28" t="s">
        <v>1434</v>
      </c>
      <c r="D1570" s="20"/>
      <c r="E1570" s="21">
        <f t="shared" si="1"/>
        <v>7193.48</v>
      </c>
      <c r="F1570" s="23"/>
      <c r="G1570" s="21">
        <f t="shared" si="8"/>
        <v>397805.27</v>
      </c>
      <c r="H1570" s="23"/>
      <c r="I1570" s="21">
        <f t="shared" si="12"/>
        <v>1056.11</v>
      </c>
      <c r="J1570" s="23">
        <v>139.0</v>
      </c>
      <c r="K1570" s="21">
        <f t="shared" si="13"/>
        <v>218891.26</v>
      </c>
      <c r="L1570" s="23"/>
      <c r="M1570" s="21">
        <f t="shared" si="14"/>
        <v>1894.93</v>
      </c>
    </row>
    <row r="1571" ht="20.25" customHeight="1" outlineLevel="1">
      <c r="A1571" s="12">
        <v>46069.0</v>
      </c>
      <c r="B1571" s="13" t="s">
        <v>16</v>
      </c>
      <c r="C1571" s="28" t="s">
        <v>1435</v>
      </c>
      <c r="D1571" s="20"/>
      <c r="E1571" s="21">
        <f t="shared" si="1"/>
        <v>7193.48</v>
      </c>
      <c r="F1571" s="23"/>
      <c r="G1571" s="21">
        <f t="shared" si="8"/>
        <v>397805.27</v>
      </c>
      <c r="H1571" s="23"/>
      <c r="I1571" s="21">
        <f t="shared" si="12"/>
        <v>1056.11</v>
      </c>
      <c r="J1571" s="23">
        <v>75.0</v>
      </c>
      <c r="K1571" s="21">
        <f t="shared" si="13"/>
        <v>218966.26</v>
      </c>
      <c r="L1571" s="23"/>
      <c r="M1571" s="21">
        <f t="shared" si="14"/>
        <v>1894.93</v>
      </c>
    </row>
    <row r="1572" ht="20.25" customHeight="1" outlineLevel="1">
      <c r="A1572" s="12">
        <v>46069.0</v>
      </c>
      <c r="B1572" s="46" t="s">
        <v>16</v>
      </c>
      <c r="C1572" s="59" t="s">
        <v>1283</v>
      </c>
      <c r="D1572" s="20">
        <v>220.0</v>
      </c>
      <c r="E1572" s="21">
        <f t="shared" si="1"/>
        <v>7413.48</v>
      </c>
      <c r="F1572" s="23"/>
      <c r="G1572" s="21">
        <f t="shared" si="8"/>
        <v>397805.27</v>
      </c>
      <c r="H1572" s="23"/>
      <c r="I1572" s="21">
        <f t="shared" si="12"/>
        <v>1056.11</v>
      </c>
      <c r="J1572" s="23"/>
      <c r="K1572" s="21">
        <f t="shared" si="13"/>
        <v>218966.26</v>
      </c>
      <c r="L1572" s="23"/>
      <c r="M1572" s="21">
        <f t="shared" si="14"/>
        <v>1894.93</v>
      </c>
    </row>
    <row r="1573" ht="20.25" customHeight="1" outlineLevel="1">
      <c r="A1573" s="12">
        <v>46070.0</v>
      </c>
      <c r="B1573" s="46" t="s">
        <v>14</v>
      </c>
      <c r="C1573" s="59" t="s">
        <v>1436</v>
      </c>
      <c r="D1573" s="20"/>
      <c r="E1573" s="21">
        <f t="shared" si="1"/>
        <v>7413.48</v>
      </c>
      <c r="F1573" s="22">
        <v>-300.0</v>
      </c>
      <c r="G1573" s="21">
        <f t="shared" si="8"/>
        <v>397505.27</v>
      </c>
      <c r="H1573" s="23"/>
      <c r="I1573" s="21">
        <f t="shared" si="12"/>
        <v>1056.11</v>
      </c>
      <c r="J1573" s="23"/>
      <c r="K1573" s="21">
        <f t="shared" si="13"/>
        <v>218966.26</v>
      </c>
      <c r="L1573" s="23"/>
      <c r="M1573" s="21">
        <f t="shared" si="14"/>
        <v>1894.93</v>
      </c>
    </row>
    <row r="1574" ht="20.25" customHeight="1" outlineLevel="1">
      <c r="A1574" s="12">
        <v>46070.0</v>
      </c>
      <c r="B1574" s="13" t="s">
        <v>16</v>
      </c>
      <c r="C1574" s="28" t="s">
        <v>1437</v>
      </c>
      <c r="D1574" s="20"/>
      <c r="E1574" s="21">
        <f t="shared" si="1"/>
        <v>7413.48</v>
      </c>
      <c r="F1574" s="23">
        <v>295.5</v>
      </c>
      <c r="G1574" s="21">
        <f t="shared" si="8"/>
        <v>397800.77</v>
      </c>
      <c r="H1574" s="23"/>
      <c r="I1574" s="21">
        <f t="shared" si="12"/>
        <v>1056.11</v>
      </c>
      <c r="J1574" s="23"/>
      <c r="K1574" s="21">
        <f t="shared" si="13"/>
        <v>218966.26</v>
      </c>
      <c r="L1574" s="23"/>
      <c r="M1574" s="21">
        <f t="shared" si="14"/>
        <v>1894.93</v>
      </c>
    </row>
    <row r="1575" ht="20.25" customHeight="1" outlineLevel="1">
      <c r="A1575" s="12">
        <v>46070.0</v>
      </c>
      <c r="B1575" s="13" t="s">
        <v>16</v>
      </c>
      <c r="C1575" s="28" t="s">
        <v>1438</v>
      </c>
      <c r="D1575" s="20"/>
      <c r="E1575" s="21">
        <f t="shared" si="1"/>
        <v>7413.48</v>
      </c>
      <c r="F1575" s="23">
        <v>390.0</v>
      </c>
      <c r="G1575" s="21">
        <f t="shared" si="8"/>
        <v>398190.77</v>
      </c>
      <c r="H1575" s="23"/>
      <c r="I1575" s="21">
        <f t="shared" si="12"/>
        <v>1056.11</v>
      </c>
      <c r="J1575" s="23"/>
      <c r="K1575" s="21">
        <f t="shared" si="13"/>
        <v>218966.26</v>
      </c>
      <c r="L1575" s="23"/>
      <c r="M1575" s="21">
        <f t="shared" si="14"/>
        <v>1894.93</v>
      </c>
    </row>
    <row r="1576" ht="20.25" customHeight="1" outlineLevel="1">
      <c r="A1576" s="12">
        <v>46070.0</v>
      </c>
      <c r="B1576" s="13" t="s">
        <v>16</v>
      </c>
      <c r="C1576" s="28" t="s">
        <v>1439</v>
      </c>
      <c r="D1576" s="20"/>
      <c r="E1576" s="21">
        <f t="shared" si="1"/>
        <v>7413.48</v>
      </c>
      <c r="F1576" s="23">
        <v>230.0</v>
      </c>
      <c r="G1576" s="21">
        <f t="shared" si="8"/>
        <v>398420.77</v>
      </c>
      <c r="H1576" s="23"/>
      <c r="I1576" s="21">
        <f t="shared" si="12"/>
        <v>1056.11</v>
      </c>
      <c r="J1576" s="23"/>
      <c r="K1576" s="21">
        <f t="shared" si="13"/>
        <v>218966.26</v>
      </c>
      <c r="L1576" s="23"/>
      <c r="M1576" s="21">
        <f t="shared" si="14"/>
        <v>1894.93</v>
      </c>
    </row>
    <row r="1577" ht="20.25" customHeight="1" outlineLevel="1">
      <c r="A1577" s="12">
        <v>46070.0</v>
      </c>
      <c r="B1577" s="13" t="s">
        <v>16</v>
      </c>
      <c r="C1577" s="28" t="s">
        <v>1440</v>
      </c>
      <c r="D1577" s="20"/>
      <c r="E1577" s="21">
        <f t="shared" si="1"/>
        <v>7413.48</v>
      </c>
      <c r="F1577" s="23">
        <v>107.0</v>
      </c>
      <c r="G1577" s="21">
        <f t="shared" si="8"/>
        <v>398527.77</v>
      </c>
      <c r="H1577" s="23"/>
      <c r="I1577" s="21">
        <f t="shared" si="12"/>
        <v>1056.11</v>
      </c>
      <c r="J1577" s="23"/>
      <c r="K1577" s="21">
        <f t="shared" si="13"/>
        <v>218966.26</v>
      </c>
      <c r="L1577" s="23"/>
      <c r="M1577" s="21">
        <f t="shared" si="14"/>
        <v>1894.93</v>
      </c>
    </row>
    <row r="1578" ht="20.25" customHeight="1" outlineLevel="1">
      <c r="A1578" s="12">
        <v>46070.0</v>
      </c>
      <c r="B1578" s="13" t="s">
        <v>14</v>
      </c>
      <c r="C1578" s="28" t="s">
        <v>570</v>
      </c>
      <c r="D1578" s="20"/>
      <c r="E1578" s="21">
        <f t="shared" si="1"/>
        <v>7413.48</v>
      </c>
      <c r="F1578" s="22">
        <v>-0.4</v>
      </c>
      <c r="G1578" s="21">
        <f t="shared" si="8"/>
        <v>398527.37</v>
      </c>
      <c r="H1578" s="23"/>
      <c r="I1578" s="21">
        <f t="shared" si="12"/>
        <v>1056.11</v>
      </c>
      <c r="J1578" s="23"/>
      <c r="K1578" s="21">
        <f t="shared" si="13"/>
        <v>218966.26</v>
      </c>
      <c r="L1578" s="23"/>
      <c r="M1578" s="21">
        <f t="shared" si="14"/>
        <v>1894.93</v>
      </c>
    </row>
    <row r="1579" ht="20.25" customHeight="1" outlineLevel="1">
      <c r="A1579" s="12">
        <v>46070.0</v>
      </c>
      <c r="B1579" s="13" t="s">
        <v>16</v>
      </c>
      <c r="C1579" s="205" t="s">
        <v>1441</v>
      </c>
      <c r="D1579" s="20"/>
      <c r="E1579" s="21">
        <f t="shared" si="1"/>
        <v>7413.48</v>
      </c>
      <c r="F1579" s="23"/>
      <c r="G1579" s="21">
        <f t="shared" si="8"/>
        <v>398527.37</v>
      </c>
      <c r="H1579" s="23"/>
      <c r="I1579" s="21">
        <f t="shared" si="12"/>
        <v>1056.11</v>
      </c>
      <c r="J1579" s="23">
        <v>300.0</v>
      </c>
      <c r="K1579" s="21">
        <f t="shared" si="13"/>
        <v>219266.26</v>
      </c>
      <c r="L1579" s="23"/>
      <c r="M1579" s="21">
        <f t="shared" si="14"/>
        <v>1894.93</v>
      </c>
    </row>
    <row r="1580" ht="20.25" customHeight="1" outlineLevel="1">
      <c r="A1580" s="12">
        <v>46070.0</v>
      </c>
      <c r="B1580" s="13" t="s">
        <v>16</v>
      </c>
      <c r="C1580" s="28" t="s">
        <v>1442</v>
      </c>
      <c r="D1580" s="20"/>
      <c r="E1580" s="21">
        <f t="shared" si="1"/>
        <v>7413.48</v>
      </c>
      <c r="F1580" s="23"/>
      <c r="G1580" s="21">
        <f t="shared" si="8"/>
        <v>398527.37</v>
      </c>
      <c r="H1580" s="23"/>
      <c r="I1580" s="21">
        <f t="shared" si="12"/>
        <v>1056.11</v>
      </c>
      <c r="J1580" s="23">
        <v>212.0</v>
      </c>
      <c r="K1580" s="21">
        <f t="shared" si="13"/>
        <v>219478.26</v>
      </c>
      <c r="L1580" s="23"/>
      <c r="M1580" s="21">
        <f t="shared" si="14"/>
        <v>1894.93</v>
      </c>
    </row>
    <row r="1581" ht="20.25" customHeight="1" outlineLevel="1">
      <c r="A1581" s="12">
        <v>46070.0</v>
      </c>
      <c r="B1581" s="13" t="s">
        <v>16</v>
      </c>
      <c r="C1581" s="28" t="s">
        <v>1443</v>
      </c>
      <c r="D1581" s="20"/>
      <c r="E1581" s="21">
        <f t="shared" si="1"/>
        <v>7413.48</v>
      </c>
      <c r="F1581" s="23"/>
      <c r="G1581" s="21">
        <f t="shared" si="8"/>
        <v>398527.37</v>
      </c>
      <c r="H1581" s="23"/>
      <c r="I1581" s="21">
        <f t="shared" si="12"/>
        <v>1056.11</v>
      </c>
      <c r="J1581" s="23">
        <v>50.0</v>
      </c>
      <c r="K1581" s="21">
        <f t="shared" si="13"/>
        <v>219528.26</v>
      </c>
      <c r="L1581" s="23"/>
      <c r="M1581" s="21">
        <f t="shared" si="14"/>
        <v>1894.93</v>
      </c>
    </row>
    <row r="1582" ht="20.25" customHeight="1" outlineLevel="1">
      <c r="A1582" s="12">
        <v>46070.0</v>
      </c>
      <c r="B1582" s="13" t="s">
        <v>16</v>
      </c>
      <c r="C1582" s="28" t="s">
        <v>1399</v>
      </c>
      <c r="D1582" s="20">
        <v>75.0</v>
      </c>
      <c r="E1582" s="21">
        <f t="shared" si="1"/>
        <v>7488.48</v>
      </c>
      <c r="F1582" s="23"/>
      <c r="G1582" s="21">
        <f t="shared" si="8"/>
        <v>398527.37</v>
      </c>
      <c r="H1582" s="23"/>
      <c r="I1582" s="21">
        <f t="shared" si="12"/>
        <v>1056.11</v>
      </c>
      <c r="J1582" s="23"/>
      <c r="K1582" s="21">
        <f t="shared" si="13"/>
        <v>219528.26</v>
      </c>
      <c r="L1582" s="23"/>
      <c r="M1582" s="21">
        <f t="shared" si="14"/>
        <v>1894.93</v>
      </c>
    </row>
    <row r="1583" ht="20.25" customHeight="1" outlineLevel="1">
      <c r="A1583" s="12">
        <v>46071.0</v>
      </c>
      <c r="B1583" s="13" t="s">
        <v>16</v>
      </c>
      <c r="C1583" s="28" t="s">
        <v>1444</v>
      </c>
      <c r="D1583" s="20"/>
      <c r="E1583" s="21">
        <f t="shared" si="1"/>
        <v>7488.48</v>
      </c>
      <c r="F1583" s="23">
        <v>36.8</v>
      </c>
      <c r="G1583" s="21">
        <f t="shared" si="8"/>
        <v>398564.17</v>
      </c>
      <c r="H1583" s="23"/>
      <c r="I1583" s="21">
        <f t="shared" si="12"/>
        <v>1056.11</v>
      </c>
      <c r="J1583" s="23"/>
      <c r="K1583" s="21">
        <f t="shared" si="13"/>
        <v>219528.26</v>
      </c>
      <c r="L1583" s="23"/>
      <c r="M1583" s="21">
        <f t="shared" si="14"/>
        <v>1894.93</v>
      </c>
    </row>
    <row r="1584" ht="20.25" customHeight="1" outlineLevel="1">
      <c r="A1584" s="12">
        <v>46071.0</v>
      </c>
      <c r="B1584" s="13" t="s">
        <v>16</v>
      </c>
      <c r="C1584" s="28" t="s">
        <v>1445</v>
      </c>
      <c r="D1584" s="20"/>
      <c r="E1584" s="21">
        <f t="shared" si="1"/>
        <v>7488.48</v>
      </c>
      <c r="F1584" s="23">
        <v>25.0</v>
      </c>
      <c r="G1584" s="21">
        <f t="shared" si="8"/>
        <v>398589.17</v>
      </c>
      <c r="H1584" s="23"/>
      <c r="I1584" s="21">
        <f t="shared" si="12"/>
        <v>1056.11</v>
      </c>
      <c r="J1584" s="23"/>
      <c r="K1584" s="21">
        <f t="shared" si="13"/>
        <v>219528.26</v>
      </c>
      <c r="L1584" s="23"/>
      <c r="M1584" s="21">
        <f t="shared" si="14"/>
        <v>1894.93</v>
      </c>
    </row>
    <row r="1585" ht="20.25" customHeight="1" outlineLevel="1">
      <c r="A1585" s="12">
        <v>46071.0</v>
      </c>
      <c r="B1585" s="13" t="s">
        <v>16</v>
      </c>
      <c r="C1585" s="28" t="s">
        <v>1446</v>
      </c>
      <c r="D1585" s="20"/>
      <c r="E1585" s="21">
        <f t="shared" si="1"/>
        <v>7488.48</v>
      </c>
      <c r="F1585" s="23">
        <v>67.0</v>
      </c>
      <c r="G1585" s="21">
        <f t="shared" si="8"/>
        <v>398656.17</v>
      </c>
      <c r="H1585" s="23"/>
      <c r="I1585" s="21">
        <f t="shared" si="12"/>
        <v>1056.11</v>
      </c>
      <c r="J1585" s="23"/>
      <c r="K1585" s="21">
        <f t="shared" si="13"/>
        <v>219528.26</v>
      </c>
      <c r="L1585" s="23"/>
      <c r="M1585" s="21">
        <f t="shared" si="14"/>
        <v>1894.93</v>
      </c>
    </row>
    <row r="1586" ht="20.25" customHeight="1" outlineLevel="1">
      <c r="A1586" s="12">
        <v>46071.0</v>
      </c>
      <c r="B1586" s="13" t="s">
        <v>16</v>
      </c>
      <c r="C1586" s="28" t="s">
        <v>1447</v>
      </c>
      <c r="D1586" s="20"/>
      <c r="E1586" s="21">
        <f t="shared" si="1"/>
        <v>7488.48</v>
      </c>
      <c r="F1586" s="23"/>
      <c r="G1586" s="21">
        <f t="shared" si="8"/>
        <v>398656.17</v>
      </c>
      <c r="H1586" s="23"/>
      <c r="I1586" s="21">
        <f t="shared" si="12"/>
        <v>1056.11</v>
      </c>
      <c r="J1586" s="23">
        <v>732.0</v>
      </c>
      <c r="K1586" s="21">
        <f t="shared" si="13"/>
        <v>220260.26</v>
      </c>
      <c r="L1586" s="23"/>
      <c r="M1586" s="21">
        <f t="shared" si="14"/>
        <v>1894.93</v>
      </c>
    </row>
    <row r="1587" ht="20.25" customHeight="1" outlineLevel="1">
      <c r="A1587" s="12">
        <v>46071.0</v>
      </c>
      <c r="B1587" s="13" t="s">
        <v>16</v>
      </c>
      <c r="C1587" s="28" t="s">
        <v>1448</v>
      </c>
      <c r="D1587" s="20">
        <v>765.0</v>
      </c>
      <c r="E1587" s="21">
        <f t="shared" si="1"/>
        <v>8253.48</v>
      </c>
      <c r="F1587" s="23"/>
      <c r="G1587" s="21">
        <f t="shared" si="8"/>
        <v>398656.17</v>
      </c>
      <c r="H1587" s="23"/>
      <c r="I1587" s="21">
        <f t="shared" si="12"/>
        <v>1056.11</v>
      </c>
      <c r="J1587" s="23"/>
      <c r="K1587" s="21">
        <f t="shared" si="13"/>
        <v>220260.26</v>
      </c>
      <c r="L1587" s="23"/>
      <c r="M1587" s="21">
        <f t="shared" si="14"/>
        <v>1894.93</v>
      </c>
    </row>
    <row r="1588" ht="20.25" customHeight="1">
      <c r="A1588" s="12">
        <v>46071.0</v>
      </c>
      <c r="B1588" s="13" t="s">
        <v>14</v>
      </c>
      <c r="C1588" s="28" t="s">
        <v>319</v>
      </c>
      <c r="D1588" s="73">
        <v>-47.5</v>
      </c>
      <c r="E1588" s="21">
        <f t="shared" si="1"/>
        <v>8205.98</v>
      </c>
      <c r="F1588" s="23"/>
      <c r="G1588" s="21">
        <f t="shared" si="8"/>
        <v>398656.17</v>
      </c>
      <c r="H1588" s="23"/>
      <c r="I1588" s="21">
        <f t="shared" si="12"/>
        <v>1056.11</v>
      </c>
      <c r="J1588" s="23"/>
      <c r="K1588" s="21">
        <f t="shared" si="13"/>
        <v>220260.26</v>
      </c>
      <c r="L1588" s="23"/>
      <c r="M1588" s="21">
        <f t="shared" si="14"/>
        <v>1894.93</v>
      </c>
    </row>
    <row r="1589" ht="20.25" customHeight="1" outlineLevel="1">
      <c r="A1589" s="12">
        <v>46071.0</v>
      </c>
      <c r="B1589" s="13" t="s">
        <v>14</v>
      </c>
      <c r="C1589" s="28" t="s">
        <v>1449</v>
      </c>
      <c r="D1589" s="20"/>
      <c r="E1589" s="21">
        <f t="shared" si="1"/>
        <v>8205.98</v>
      </c>
      <c r="F1589" s="23"/>
      <c r="G1589" s="21">
        <f t="shared" si="8"/>
        <v>398656.17</v>
      </c>
      <c r="H1589" s="22">
        <v>-13.14</v>
      </c>
      <c r="I1589" s="21">
        <f t="shared" si="12"/>
        <v>1042.97</v>
      </c>
      <c r="J1589" s="23"/>
      <c r="K1589" s="21">
        <f t="shared" si="13"/>
        <v>220260.26</v>
      </c>
      <c r="L1589" s="23"/>
      <c r="M1589" s="21">
        <f t="shared" si="14"/>
        <v>1894.93</v>
      </c>
    </row>
    <row r="1590" ht="20.25" customHeight="1" outlineLevel="1">
      <c r="A1590" s="12">
        <v>46071.0</v>
      </c>
      <c r="B1590" s="46" t="s">
        <v>14</v>
      </c>
      <c r="C1590" s="59" t="s">
        <v>1450</v>
      </c>
      <c r="D1590" s="20"/>
      <c r="E1590" s="21">
        <f t="shared" si="1"/>
        <v>8205.98</v>
      </c>
      <c r="F1590" s="23"/>
      <c r="G1590" s="21">
        <f t="shared" si="8"/>
        <v>398656.17</v>
      </c>
      <c r="H1590" s="22">
        <v>-13.14</v>
      </c>
      <c r="I1590" s="21">
        <f t="shared" si="12"/>
        <v>1029.83</v>
      </c>
      <c r="J1590" s="23"/>
      <c r="K1590" s="21">
        <f t="shared" si="13"/>
        <v>220260.26</v>
      </c>
      <c r="L1590" s="23"/>
      <c r="M1590" s="21">
        <f t="shared" si="14"/>
        <v>1894.93</v>
      </c>
    </row>
    <row r="1591" ht="20.25" customHeight="1" outlineLevel="1">
      <c r="A1591" s="12">
        <v>46072.0</v>
      </c>
      <c r="B1591" s="46" t="s">
        <v>16</v>
      </c>
      <c r="C1591" s="59" t="s">
        <v>1451</v>
      </c>
      <c r="D1591" s="20"/>
      <c r="E1591" s="21">
        <f t="shared" si="1"/>
        <v>8205.98</v>
      </c>
      <c r="F1591" s="23">
        <v>2439.0</v>
      </c>
      <c r="G1591" s="21">
        <f t="shared" si="8"/>
        <v>401095.17</v>
      </c>
      <c r="H1591" s="23"/>
      <c r="I1591" s="21">
        <f t="shared" si="12"/>
        <v>1029.83</v>
      </c>
      <c r="J1591" s="23"/>
      <c r="K1591" s="21">
        <f t="shared" si="13"/>
        <v>220260.26</v>
      </c>
      <c r="L1591" s="23"/>
      <c r="M1591" s="21">
        <f t="shared" si="14"/>
        <v>1894.93</v>
      </c>
    </row>
    <row r="1592" ht="20.25" customHeight="1" outlineLevel="1">
      <c r="A1592" s="12">
        <v>46072.0</v>
      </c>
      <c r="B1592" s="46" t="s">
        <v>16</v>
      </c>
      <c r="C1592" s="59" t="s">
        <v>1452</v>
      </c>
      <c r="D1592" s="20"/>
      <c r="E1592" s="21">
        <f t="shared" si="1"/>
        <v>8205.98</v>
      </c>
      <c r="F1592" s="23">
        <v>50.0</v>
      </c>
      <c r="G1592" s="21">
        <f t="shared" si="8"/>
        <v>401145.17</v>
      </c>
      <c r="H1592" s="23"/>
      <c r="I1592" s="21">
        <f t="shared" si="12"/>
        <v>1029.83</v>
      </c>
      <c r="J1592" s="23"/>
      <c r="K1592" s="21">
        <f t="shared" si="13"/>
        <v>220260.26</v>
      </c>
      <c r="L1592" s="23"/>
      <c r="M1592" s="21">
        <f t="shared" si="14"/>
        <v>1894.93</v>
      </c>
    </row>
    <row r="1593" ht="20.25" customHeight="1" outlineLevel="1">
      <c r="A1593" s="12">
        <v>46072.0</v>
      </c>
      <c r="B1593" s="46" t="s">
        <v>16</v>
      </c>
      <c r="C1593" s="59" t="s">
        <v>1453</v>
      </c>
      <c r="D1593" s="20"/>
      <c r="E1593" s="21">
        <f t="shared" si="1"/>
        <v>8205.98</v>
      </c>
      <c r="F1593" s="23">
        <v>45.0</v>
      </c>
      <c r="G1593" s="21">
        <f t="shared" si="8"/>
        <v>401190.17</v>
      </c>
      <c r="H1593" s="23"/>
      <c r="I1593" s="21">
        <f t="shared" si="12"/>
        <v>1029.83</v>
      </c>
      <c r="J1593" s="23"/>
      <c r="K1593" s="21">
        <f t="shared" si="13"/>
        <v>220260.26</v>
      </c>
      <c r="L1593" s="23"/>
      <c r="M1593" s="21">
        <f t="shared" si="14"/>
        <v>1894.93</v>
      </c>
    </row>
    <row r="1594" ht="20.25" customHeight="1" outlineLevel="1">
      <c r="A1594" s="12">
        <v>46072.0</v>
      </c>
      <c r="B1594" s="46" t="s">
        <v>12</v>
      </c>
      <c r="C1594" s="59" t="s">
        <v>1454</v>
      </c>
      <c r="D1594" s="20"/>
      <c r="E1594" s="21">
        <f t="shared" si="1"/>
        <v>8205.98</v>
      </c>
      <c r="F1594" s="22">
        <v>-20.0</v>
      </c>
      <c r="G1594" s="21">
        <f t="shared" si="8"/>
        <v>401170.17</v>
      </c>
      <c r="H1594" s="23"/>
      <c r="I1594" s="21">
        <f t="shared" si="12"/>
        <v>1029.83</v>
      </c>
      <c r="J1594" s="23"/>
      <c r="K1594" s="21">
        <f t="shared" si="13"/>
        <v>220260.26</v>
      </c>
      <c r="L1594" s="23"/>
      <c r="M1594" s="21">
        <f t="shared" si="14"/>
        <v>1894.93</v>
      </c>
    </row>
    <row r="1595" ht="20.25" customHeight="1" outlineLevel="1">
      <c r="A1595" s="12">
        <v>46072.0</v>
      </c>
      <c r="B1595" s="46" t="s">
        <v>16</v>
      </c>
      <c r="C1595" s="59" t="s">
        <v>1455</v>
      </c>
      <c r="D1595" s="20"/>
      <c r="E1595" s="21">
        <f t="shared" si="1"/>
        <v>8205.98</v>
      </c>
      <c r="F1595" s="23"/>
      <c r="G1595" s="21">
        <f t="shared" si="8"/>
        <v>401170.17</v>
      </c>
      <c r="H1595" s="23"/>
      <c r="I1595" s="21">
        <f t="shared" si="12"/>
        <v>1029.83</v>
      </c>
      <c r="J1595" s="23">
        <v>55.0</v>
      </c>
      <c r="K1595" s="21">
        <f t="shared" si="13"/>
        <v>220315.26</v>
      </c>
      <c r="L1595" s="23"/>
      <c r="M1595" s="21">
        <f t="shared" si="14"/>
        <v>1894.93</v>
      </c>
    </row>
    <row r="1596" ht="20.25" customHeight="1" outlineLevel="1">
      <c r="A1596" s="12">
        <v>46073.0</v>
      </c>
      <c r="B1596" s="46" t="s">
        <v>16</v>
      </c>
      <c r="C1596" s="59" t="s">
        <v>1456</v>
      </c>
      <c r="D1596" s="20"/>
      <c r="E1596" s="21">
        <f t="shared" si="1"/>
        <v>8205.98</v>
      </c>
      <c r="F1596" s="23">
        <v>174.25</v>
      </c>
      <c r="G1596" s="21">
        <f t="shared" si="8"/>
        <v>401344.42</v>
      </c>
      <c r="H1596" s="23"/>
      <c r="I1596" s="21">
        <f t="shared" si="12"/>
        <v>1029.83</v>
      </c>
      <c r="J1596" s="23"/>
      <c r="K1596" s="21">
        <f t="shared" si="13"/>
        <v>220315.26</v>
      </c>
      <c r="L1596" s="23"/>
      <c r="M1596" s="21">
        <f t="shared" si="14"/>
        <v>1894.93</v>
      </c>
    </row>
    <row r="1597" ht="20.25" customHeight="1" outlineLevel="1">
      <c r="A1597" s="12">
        <v>46073.0</v>
      </c>
      <c r="B1597" s="46" t="s">
        <v>63</v>
      </c>
      <c r="C1597" s="201" t="s">
        <v>1457</v>
      </c>
      <c r="D1597" s="20"/>
      <c r="E1597" s="21">
        <f t="shared" si="1"/>
        <v>8205.98</v>
      </c>
      <c r="F1597" s="51">
        <v>1281.0</v>
      </c>
      <c r="G1597" s="21">
        <f t="shared" si="8"/>
        <v>402625.42</v>
      </c>
      <c r="H1597" s="23"/>
      <c r="I1597" s="21">
        <f t="shared" si="12"/>
        <v>1029.83</v>
      </c>
      <c r="J1597" s="23"/>
      <c r="K1597" s="21">
        <f t="shared" si="13"/>
        <v>220315.26</v>
      </c>
      <c r="L1597" s="23"/>
      <c r="M1597" s="21">
        <f t="shared" si="14"/>
        <v>1894.93</v>
      </c>
    </row>
    <row r="1598" ht="20.25" customHeight="1" outlineLevel="1">
      <c r="A1598" s="12">
        <v>46073.0</v>
      </c>
      <c r="B1598" s="13" t="s">
        <v>14</v>
      </c>
      <c r="C1598" s="28" t="s">
        <v>34</v>
      </c>
      <c r="D1598" s="20"/>
      <c r="E1598" s="21">
        <f t="shared" si="1"/>
        <v>8205.98</v>
      </c>
      <c r="F1598" s="23"/>
      <c r="G1598" s="21">
        <f t="shared" si="8"/>
        <v>402625.42</v>
      </c>
      <c r="H1598" s="23"/>
      <c r="I1598" s="21">
        <f t="shared" si="12"/>
        <v>1029.83</v>
      </c>
      <c r="J1598" s="22">
        <v>-18.3</v>
      </c>
      <c r="K1598" s="21">
        <f t="shared" si="13"/>
        <v>220296.96</v>
      </c>
      <c r="L1598" s="23"/>
      <c r="M1598" s="21">
        <f t="shared" si="14"/>
        <v>1894.93</v>
      </c>
    </row>
    <row r="1599" ht="20.25" customHeight="1" outlineLevel="1">
      <c r="A1599" s="12">
        <v>46073.0</v>
      </c>
      <c r="B1599" s="13" t="s">
        <v>12</v>
      </c>
      <c r="C1599" s="28" t="s">
        <v>1458</v>
      </c>
      <c r="D1599" s="20"/>
      <c r="E1599" s="21">
        <f t="shared" si="1"/>
        <v>8205.98</v>
      </c>
      <c r="F1599" s="22">
        <v>-17311.69</v>
      </c>
      <c r="G1599" s="21">
        <f t="shared" si="8"/>
        <v>385313.73</v>
      </c>
      <c r="H1599" s="23"/>
      <c r="I1599" s="21">
        <f t="shared" si="12"/>
        <v>1029.83</v>
      </c>
      <c r="J1599" s="23"/>
      <c r="K1599" s="21">
        <f t="shared" si="13"/>
        <v>220296.96</v>
      </c>
      <c r="L1599" s="23"/>
      <c r="M1599" s="21">
        <f t="shared" si="14"/>
        <v>1894.93</v>
      </c>
    </row>
    <row r="1600" ht="20.25" customHeight="1" outlineLevel="1">
      <c r="A1600" s="12">
        <v>46073.0</v>
      </c>
      <c r="B1600" s="13" t="s">
        <v>16</v>
      </c>
      <c r="C1600" s="28" t="s">
        <v>1459</v>
      </c>
      <c r="D1600" s="20"/>
      <c r="E1600" s="21">
        <f t="shared" si="1"/>
        <v>8205.98</v>
      </c>
      <c r="F1600" s="23">
        <v>193.0</v>
      </c>
      <c r="G1600" s="21">
        <f t="shared" si="8"/>
        <v>385506.73</v>
      </c>
      <c r="H1600" s="23"/>
      <c r="I1600" s="21">
        <f t="shared" si="12"/>
        <v>1029.83</v>
      </c>
      <c r="J1600" s="23"/>
      <c r="K1600" s="21">
        <f t="shared" si="13"/>
        <v>220296.96</v>
      </c>
      <c r="L1600" s="23"/>
      <c r="M1600" s="21">
        <f t="shared" si="14"/>
        <v>1894.93</v>
      </c>
    </row>
    <row r="1601" ht="20.25" customHeight="1" outlineLevel="1">
      <c r="A1601" s="12">
        <v>46073.0</v>
      </c>
      <c r="B1601" s="13" t="s">
        <v>16</v>
      </c>
      <c r="C1601" s="28" t="s">
        <v>1460</v>
      </c>
      <c r="D1601" s="20"/>
      <c r="E1601" s="21">
        <f t="shared" si="1"/>
        <v>8205.98</v>
      </c>
      <c r="F1601" s="23">
        <v>65.0</v>
      </c>
      <c r="G1601" s="21">
        <f t="shared" si="8"/>
        <v>385571.73</v>
      </c>
      <c r="H1601" s="23"/>
      <c r="I1601" s="21">
        <f t="shared" si="12"/>
        <v>1029.83</v>
      </c>
      <c r="J1601" s="23"/>
      <c r="K1601" s="21">
        <f t="shared" si="13"/>
        <v>220296.96</v>
      </c>
      <c r="L1601" s="23"/>
      <c r="M1601" s="21">
        <f t="shared" si="14"/>
        <v>1894.93</v>
      </c>
    </row>
    <row r="1602" ht="20.25" customHeight="1" outlineLevel="1">
      <c r="A1602" s="12">
        <v>46073.0</v>
      </c>
      <c r="B1602" s="13" t="s">
        <v>16</v>
      </c>
      <c r="C1602" s="28" t="s">
        <v>1461</v>
      </c>
      <c r="D1602" s="20"/>
      <c r="E1602" s="21">
        <f t="shared" si="1"/>
        <v>8205.98</v>
      </c>
      <c r="F1602" s="23">
        <v>1115.7</v>
      </c>
      <c r="G1602" s="21">
        <f t="shared" si="8"/>
        <v>386687.43</v>
      </c>
      <c r="H1602" s="23"/>
      <c r="I1602" s="21">
        <f t="shared" si="12"/>
        <v>1029.83</v>
      </c>
      <c r="J1602" s="23"/>
      <c r="K1602" s="21">
        <f t="shared" si="13"/>
        <v>220296.96</v>
      </c>
      <c r="L1602" s="23"/>
      <c r="M1602" s="21">
        <f t="shared" si="14"/>
        <v>1894.93</v>
      </c>
    </row>
    <row r="1603" ht="20.25" customHeight="1" outlineLevel="1">
      <c r="A1603" s="12">
        <v>46073.0</v>
      </c>
      <c r="B1603" s="13" t="s">
        <v>16</v>
      </c>
      <c r="C1603" s="28" t="s">
        <v>1462</v>
      </c>
      <c r="D1603" s="20"/>
      <c r="E1603" s="21">
        <f t="shared" si="1"/>
        <v>8205.98</v>
      </c>
      <c r="F1603" s="23"/>
      <c r="G1603" s="21">
        <f t="shared" si="8"/>
        <v>386687.43</v>
      </c>
      <c r="H1603" s="23"/>
      <c r="I1603" s="21">
        <f t="shared" si="12"/>
        <v>1029.83</v>
      </c>
      <c r="J1603" s="23">
        <v>224.0</v>
      </c>
      <c r="K1603" s="21">
        <f t="shared" si="13"/>
        <v>220520.96</v>
      </c>
      <c r="L1603" s="23"/>
      <c r="M1603" s="21">
        <f t="shared" si="14"/>
        <v>1894.93</v>
      </c>
    </row>
    <row r="1604" ht="20.25" customHeight="1" outlineLevel="1">
      <c r="A1604" s="12">
        <v>46073.0</v>
      </c>
      <c r="B1604" s="13" t="s">
        <v>16</v>
      </c>
      <c r="C1604" s="28" t="s">
        <v>1463</v>
      </c>
      <c r="D1604" s="20">
        <v>334.0</v>
      </c>
      <c r="E1604" s="21">
        <f t="shared" si="1"/>
        <v>8539.98</v>
      </c>
      <c r="F1604" s="23"/>
      <c r="G1604" s="21">
        <f t="shared" si="8"/>
        <v>386687.43</v>
      </c>
      <c r="H1604" s="23"/>
      <c r="I1604" s="21">
        <f t="shared" si="12"/>
        <v>1029.83</v>
      </c>
      <c r="J1604" s="23"/>
      <c r="K1604" s="21">
        <f t="shared" si="13"/>
        <v>220520.96</v>
      </c>
      <c r="L1604" s="23"/>
      <c r="M1604" s="21">
        <f t="shared" si="14"/>
        <v>1894.93</v>
      </c>
    </row>
    <row r="1605" ht="20.25" customHeight="1" outlineLevel="1">
      <c r="A1605" s="12">
        <v>46073.0</v>
      </c>
      <c r="B1605" s="13" t="s">
        <v>14</v>
      </c>
      <c r="C1605" s="28" t="s">
        <v>319</v>
      </c>
      <c r="D1605" s="73">
        <v>-13.5</v>
      </c>
      <c r="E1605" s="21">
        <f t="shared" si="1"/>
        <v>8526.48</v>
      </c>
      <c r="F1605" s="23"/>
      <c r="G1605" s="21">
        <f t="shared" si="8"/>
        <v>386687.43</v>
      </c>
      <c r="H1605" s="23"/>
      <c r="I1605" s="21">
        <f t="shared" si="12"/>
        <v>1029.83</v>
      </c>
      <c r="J1605" s="23"/>
      <c r="K1605" s="21">
        <f t="shared" si="13"/>
        <v>220520.96</v>
      </c>
      <c r="L1605" s="23"/>
      <c r="M1605" s="21">
        <f t="shared" si="14"/>
        <v>1894.93</v>
      </c>
    </row>
    <row r="1606" ht="20.25" customHeight="1" outlineLevel="1">
      <c r="A1606" s="12">
        <v>46074.0</v>
      </c>
      <c r="B1606" s="13" t="s">
        <v>16</v>
      </c>
      <c r="C1606" s="28" t="s">
        <v>527</v>
      </c>
      <c r="D1606" s="20">
        <v>325.0</v>
      </c>
      <c r="E1606" s="21">
        <f t="shared" si="1"/>
        <v>8851.48</v>
      </c>
      <c r="F1606" s="23"/>
      <c r="G1606" s="21">
        <f t="shared" si="8"/>
        <v>386687.43</v>
      </c>
      <c r="H1606" s="23"/>
      <c r="I1606" s="21">
        <f t="shared" si="12"/>
        <v>1029.83</v>
      </c>
      <c r="J1606" s="23"/>
      <c r="K1606" s="21">
        <f t="shared" si="13"/>
        <v>220520.96</v>
      </c>
      <c r="L1606" s="23"/>
      <c r="M1606" s="21">
        <f t="shared" si="14"/>
        <v>1894.93</v>
      </c>
    </row>
    <row r="1607" ht="20.25" customHeight="1" outlineLevel="1">
      <c r="A1607" s="12">
        <v>46076.0</v>
      </c>
      <c r="B1607" s="13" t="s">
        <v>14</v>
      </c>
      <c r="C1607" s="28" t="s">
        <v>34</v>
      </c>
      <c r="D1607" s="20"/>
      <c r="E1607" s="21">
        <f t="shared" si="1"/>
        <v>8851.48</v>
      </c>
      <c r="F1607" s="23"/>
      <c r="G1607" s="21">
        <f t="shared" si="8"/>
        <v>386687.43</v>
      </c>
      <c r="H1607" s="23"/>
      <c r="I1607" s="21">
        <f t="shared" si="12"/>
        <v>1029.83</v>
      </c>
      <c r="J1607" s="22">
        <v>-23.77</v>
      </c>
      <c r="K1607" s="21">
        <f t="shared" si="13"/>
        <v>220497.19</v>
      </c>
      <c r="L1607" s="23"/>
      <c r="M1607" s="21">
        <f t="shared" si="14"/>
        <v>1894.93</v>
      </c>
    </row>
    <row r="1608" ht="20.25" customHeight="1" outlineLevel="1">
      <c r="A1608" s="12">
        <v>46076.0</v>
      </c>
      <c r="B1608" s="13" t="s">
        <v>14</v>
      </c>
      <c r="C1608" s="28" t="s">
        <v>34</v>
      </c>
      <c r="D1608" s="20"/>
      <c r="E1608" s="21">
        <f t="shared" si="1"/>
        <v>8851.48</v>
      </c>
      <c r="F1608" s="23"/>
      <c r="G1608" s="21">
        <f t="shared" si="8"/>
        <v>386687.43</v>
      </c>
      <c r="H1608" s="23"/>
      <c r="I1608" s="21">
        <f t="shared" si="12"/>
        <v>1029.83</v>
      </c>
      <c r="J1608" s="22">
        <v>-45.99</v>
      </c>
      <c r="K1608" s="21">
        <f t="shared" si="13"/>
        <v>220451.2</v>
      </c>
      <c r="L1608" s="23"/>
      <c r="M1608" s="21">
        <f t="shared" si="14"/>
        <v>1894.93</v>
      </c>
    </row>
    <row r="1609" ht="20.25" customHeight="1" outlineLevel="1">
      <c r="A1609" s="12">
        <v>46076.0</v>
      </c>
      <c r="B1609" s="13" t="s">
        <v>16</v>
      </c>
      <c r="C1609" s="28" t="s">
        <v>1464</v>
      </c>
      <c r="D1609" s="20">
        <v>480.0</v>
      </c>
      <c r="E1609" s="21">
        <f t="shared" si="1"/>
        <v>9331.48</v>
      </c>
      <c r="F1609" s="23"/>
      <c r="G1609" s="21">
        <f t="shared" si="8"/>
        <v>386687.43</v>
      </c>
      <c r="H1609" s="23"/>
      <c r="I1609" s="21">
        <f t="shared" si="12"/>
        <v>1029.83</v>
      </c>
      <c r="J1609" s="23"/>
      <c r="K1609" s="21">
        <f t="shared" si="13"/>
        <v>220451.2</v>
      </c>
      <c r="L1609" s="23"/>
      <c r="M1609" s="21">
        <f t="shared" si="14"/>
        <v>1894.93</v>
      </c>
    </row>
    <row r="1610" ht="20.25" customHeight="1" outlineLevel="1">
      <c r="A1610" s="12">
        <v>46076.0</v>
      </c>
      <c r="B1610" s="13" t="s">
        <v>16</v>
      </c>
      <c r="C1610" s="28" t="s">
        <v>1465</v>
      </c>
      <c r="D1610" s="20"/>
      <c r="E1610" s="21">
        <f t="shared" si="1"/>
        <v>9331.48</v>
      </c>
      <c r="F1610" s="23">
        <v>495.0</v>
      </c>
      <c r="G1610" s="21">
        <f t="shared" si="8"/>
        <v>387182.43</v>
      </c>
      <c r="H1610" s="23"/>
      <c r="I1610" s="21">
        <f t="shared" si="12"/>
        <v>1029.83</v>
      </c>
      <c r="J1610" s="23"/>
      <c r="K1610" s="21">
        <f t="shared" si="13"/>
        <v>220451.2</v>
      </c>
      <c r="L1610" s="23"/>
      <c r="M1610" s="21">
        <f t="shared" si="14"/>
        <v>1894.93</v>
      </c>
    </row>
    <row r="1611" ht="20.25" customHeight="1" outlineLevel="1">
      <c r="A1611" s="12">
        <v>46076.0</v>
      </c>
      <c r="B1611" s="13" t="s">
        <v>16</v>
      </c>
      <c r="C1611" s="28" t="s">
        <v>1466</v>
      </c>
      <c r="D1611" s="20"/>
      <c r="E1611" s="21">
        <f t="shared" si="1"/>
        <v>9331.48</v>
      </c>
      <c r="F1611" s="23">
        <v>70.0</v>
      </c>
      <c r="G1611" s="21">
        <f t="shared" si="8"/>
        <v>387252.43</v>
      </c>
      <c r="H1611" s="23"/>
      <c r="I1611" s="21">
        <f t="shared" si="12"/>
        <v>1029.83</v>
      </c>
      <c r="J1611" s="23"/>
      <c r="K1611" s="21">
        <f t="shared" si="13"/>
        <v>220451.2</v>
      </c>
      <c r="L1611" s="23"/>
      <c r="M1611" s="21">
        <f t="shared" si="14"/>
        <v>1894.93</v>
      </c>
    </row>
    <row r="1612" ht="20.25" customHeight="1" outlineLevel="1">
      <c r="A1612" s="12">
        <v>46076.0</v>
      </c>
      <c r="B1612" s="13" t="s">
        <v>16</v>
      </c>
      <c r="C1612" s="28" t="s">
        <v>1467</v>
      </c>
      <c r="D1612" s="20"/>
      <c r="E1612" s="21">
        <f t="shared" si="1"/>
        <v>9331.48</v>
      </c>
      <c r="F1612" s="23">
        <v>32.0</v>
      </c>
      <c r="G1612" s="21">
        <f t="shared" si="8"/>
        <v>387284.43</v>
      </c>
      <c r="H1612" s="23"/>
      <c r="I1612" s="21">
        <f t="shared" si="12"/>
        <v>1029.83</v>
      </c>
      <c r="J1612" s="23"/>
      <c r="K1612" s="21">
        <f t="shared" si="13"/>
        <v>220451.2</v>
      </c>
      <c r="L1612" s="23"/>
      <c r="M1612" s="21">
        <f t="shared" si="14"/>
        <v>1894.93</v>
      </c>
    </row>
    <row r="1613" ht="20.25" customHeight="1" outlineLevel="1">
      <c r="A1613" s="12">
        <v>46076.0</v>
      </c>
      <c r="B1613" s="13" t="s">
        <v>16</v>
      </c>
      <c r="C1613" s="28" t="s">
        <v>1468</v>
      </c>
      <c r="D1613" s="20"/>
      <c r="E1613" s="21">
        <f t="shared" si="1"/>
        <v>9331.48</v>
      </c>
      <c r="F1613" s="23">
        <v>43.0</v>
      </c>
      <c r="G1613" s="21">
        <f t="shared" si="8"/>
        <v>387327.43</v>
      </c>
      <c r="H1613" s="23"/>
      <c r="I1613" s="21">
        <f t="shared" si="12"/>
        <v>1029.83</v>
      </c>
      <c r="J1613" s="23"/>
      <c r="K1613" s="21">
        <f t="shared" si="13"/>
        <v>220451.2</v>
      </c>
      <c r="L1613" s="23"/>
      <c r="M1613" s="21">
        <f t="shared" si="14"/>
        <v>1894.93</v>
      </c>
    </row>
    <row r="1614" ht="20.25" customHeight="1" outlineLevel="1">
      <c r="A1614" s="12">
        <v>46076.0</v>
      </c>
      <c r="B1614" s="13" t="s">
        <v>16</v>
      </c>
      <c r="C1614" s="28" t="s">
        <v>1469</v>
      </c>
      <c r="D1614" s="20"/>
      <c r="E1614" s="21">
        <f t="shared" si="1"/>
        <v>9331.48</v>
      </c>
      <c r="F1614" s="23">
        <v>82.0</v>
      </c>
      <c r="G1614" s="21">
        <f t="shared" si="8"/>
        <v>387409.43</v>
      </c>
      <c r="H1614" s="23"/>
      <c r="I1614" s="21">
        <f t="shared" si="12"/>
        <v>1029.83</v>
      </c>
      <c r="J1614" s="23"/>
      <c r="K1614" s="21">
        <f t="shared" si="13"/>
        <v>220451.2</v>
      </c>
      <c r="L1614" s="23"/>
      <c r="M1614" s="21">
        <f t="shared" si="14"/>
        <v>1894.93</v>
      </c>
    </row>
    <row r="1615" ht="20.25" customHeight="1" outlineLevel="1">
      <c r="A1615" s="12">
        <v>46076.0</v>
      </c>
      <c r="B1615" s="13" t="s">
        <v>16</v>
      </c>
      <c r="C1615" s="28" t="s">
        <v>1470</v>
      </c>
      <c r="D1615" s="20"/>
      <c r="E1615" s="21">
        <f t="shared" si="1"/>
        <v>9331.48</v>
      </c>
      <c r="F1615" s="23">
        <v>117.0</v>
      </c>
      <c r="G1615" s="21">
        <f t="shared" si="8"/>
        <v>387526.43</v>
      </c>
      <c r="H1615" s="23"/>
      <c r="I1615" s="21">
        <f t="shared" si="12"/>
        <v>1029.83</v>
      </c>
      <c r="J1615" s="23"/>
      <c r="K1615" s="21">
        <f t="shared" si="13"/>
        <v>220451.2</v>
      </c>
      <c r="L1615" s="23"/>
      <c r="M1615" s="21">
        <f t="shared" si="14"/>
        <v>1894.93</v>
      </c>
    </row>
    <row r="1616" ht="20.25" customHeight="1" outlineLevel="1">
      <c r="A1616" s="12">
        <v>46076.0</v>
      </c>
      <c r="B1616" s="13" t="s">
        <v>16</v>
      </c>
      <c r="C1616" s="205" t="s">
        <v>1471</v>
      </c>
      <c r="D1616" s="20"/>
      <c r="E1616" s="21">
        <f t="shared" si="1"/>
        <v>9331.48</v>
      </c>
      <c r="F1616" s="23"/>
      <c r="G1616" s="21">
        <f t="shared" si="8"/>
        <v>387526.43</v>
      </c>
      <c r="H1616" s="23"/>
      <c r="I1616" s="21">
        <f t="shared" si="12"/>
        <v>1029.83</v>
      </c>
      <c r="J1616" s="23">
        <v>193.0</v>
      </c>
      <c r="K1616" s="21">
        <f t="shared" si="13"/>
        <v>220644.2</v>
      </c>
      <c r="L1616" s="23"/>
      <c r="M1616" s="21">
        <f t="shared" si="14"/>
        <v>1894.93</v>
      </c>
    </row>
    <row r="1617" ht="20.25" customHeight="1" outlineLevel="1">
      <c r="A1617" s="12">
        <v>46076.0</v>
      </c>
      <c r="B1617" s="13" t="s">
        <v>16</v>
      </c>
      <c r="C1617" s="28" t="s">
        <v>1472</v>
      </c>
      <c r="D1617" s="20"/>
      <c r="E1617" s="21">
        <f t="shared" si="1"/>
        <v>9331.48</v>
      </c>
      <c r="F1617" s="23"/>
      <c r="G1617" s="21">
        <f t="shared" si="8"/>
        <v>387526.43</v>
      </c>
      <c r="H1617" s="23"/>
      <c r="I1617" s="21">
        <f t="shared" si="12"/>
        <v>1029.83</v>
      </c>
      <c r="J1617" s="23">
        <v>105.0</v>
      </c>
      <c r="K1617" s="21">
        <f t="shared" si="13"/>
        <v>220749.2</v>
      </c>
      <c r="L1617" s="23"/>
      <c r="M1617" s="21">
        <f t="shared" si="14"/>
        <v>1894.93</v>
      </c>
    </row>
    <row r="1618" ht="20.25" customHeight="1" outlineLevel="1">
      <c r="A1618" s="12">
        <v>46076.0</v>
      </c>
      <c r="B1618" s="13" t="s">
        <v>16</v>
      </c>
      <c r="C1618" s="28" t="s">
        <v>1473</v>
      </c>
      <c r="D1618" s="20"/>
      <c r="E1618" s="21">
        <f t="shared" si="1"/>
        <v>9331.48</v>
      </c>
      <c r="F1618" s="23"/>
      <c r="G1618" s="21">
        <f t="shared" si="8"/>
        <v>387526.43</v>
      </c>
      <c r="H1618" s="23"/>
      <c r="I1618" s="21">
        <f t="shared" si="12"/>
        <v>1029.83</v>
      </c>
      <c r="J1618" s="23">
        <v>25.0</v>
      </c>
      <c r="K1618" s="21">
        <f t="shared" si="13"/>
        <v>220774.2</v>
      </c>
      <c r="L1618" s="23"/>
      <c r="M1618" s="21">
        <f t="shared" si="14"/>
        <v>1894.93</v>
      </c>
    </row>
    <row r="1619" ht="20.25" customHeight="1" outlineLevel="1">
      <c r="A1619" s="12">
        <v>46076.0</v>
      </c>
      <c r="B1619" s="13" t="s">
        <v>16</v>
      </c>
      <c r="C1619" s="28" t="s">
        <v>1474</v>
      </c>
      <c r="D1619" s="20"/>
      <c r="E1619" s="21">
        <f t="shared" si="1"/>
        <v>9331.48</v>
      </c>
      <c r="F1619" s="23"/>
      <c r="G1619" s="21">
        <f t="shared" si="8"/>
        <v>387526.43</v>
      </c>
      <c r="H1619" s="23"/>
      <c r="I1619" s="21">
        <f t="shared" si="12"/>
        <v>1029.83</v>
      </c>
      <c r="J1619" s="23">
        <v>50.0</v>
      </c>
      <c r="K1619" s="21">
        <f t="shared" si="13"/>
        <v>220824.2</v>
      </c>
      <c r="L1619" s="23"/>
      <c r="M1619" s="21">
        <f t="shared" si="14"/>
        <v>1894.93</v>
      </c>
    </row>
    <row r="1620" ht="20.25" customHeight="1" outlineLevel="1">
      <c r="A1620" s="12">
        <v>46076.0</v>
      </c>
      <c r="B1620" s="13" t="s">
        <v>12</v>
      </c>
      <c r="C1620" s="28" t="s">
        <v>1475</v>
      </c>
      <c r="D1620" s="20"/>
      <c r="E1620" s="21">
        <f t="shared" si="1"/>
        <v>9331.48</v>
      </c>
      <c r="F1620" s="23"/>
      <c r="G1620" s="21">
        <f t="shared" si="8"/>
        <v>387526.43</v>
      </c>
      <c r="H1620" s="22">
        <v>-196.85</v>
      </c>
      <c r="I1620" s="21">
        <f t="shared" si="12"/>
        <v>832.98</v>
      </c>
      <c r="J1620" s="23"/>
      <c r="K1620" s="21">
        <f t="shared" si="13"/>
        <v>220824.2</v>
      </c>
      <c r="L1620" s="23"/>
      <c r="M1620" s="21">
        <f t="shared" si="14"/>
        <v>1894.93</v>
      </c>
    </row>
    <row r="1621" ht="20.25" customHeight="1" outlineLevel="1">
      <c r="A1621" s="12">
        <v>46076.0</v>
      </c>
      <c r="B1621" s="13" t="s">
        <v>14</v>
      </c>
      <c r="C1621" s="28" t="s">
        <v>1476</v>
      </c>
      <c r="D1621" s="20"/>
      <c r="E1621" s="21">
        <f t="shared" si="1"/>
        <v>9331.48</v>
      </c>
      <c r="F1621" s="23"/>
      <c r="G1621" s="21">
        <f t="shared" si="8"/>
        <v>387526.43</v>
      </c>
      <c r="H1621" s="22">
        <v>-13.76</v>
      </c>
      <c r="I1621" s="21">
        <f t="shared" si="12"/>
        <v>819.22</v>
      </c>
      <c r="J1621" s="23"/>
      <c r="K1621" s="21">
        <f t="shared" si="13"/>
        <v>220824.2</v>
      </c>
      <c r="L1621" s="23"/>
      <c r="M1621" s="21">
        <f t="shared" si="14"/>
        <v>1894.93</v>
      </c>
    </row>
    <row r="1622" ht="20.25" customHeight="1" outlineLevel="1">
      <c r="A1622" s="12">
        <v>46077.0</v>
      </c>
      <c r="B1622" s="13" t="s">
        <v>14</v>
      </c>
      <c r="C1622" s="28" t="s">
        <v>1477</v>
      </c>
      <c r="D1622" s="20"/>
      <c r="E1622" s="21">
        <f t="shared" si="1"/>
        <v>9331.48</v>
      </c>
      <c r="F1622" s="22">
        <v>-1500.0</v>
      </c>
      <c r="G1622" s="21">
        <f t="shared" si="8"/>
        <v>386026.43</v>
      </c>
      <c r="H1622" s="23"/>
      <c r="I1622" s="21">
        <f t="shared" si="12"/>
        <v>819.22</v>
      </c>
      <c r="J1622" s="23"/>
      <c r="K1622" s="21">
        <f t="shared" si="13"/>
        <v>220824.2</v>
      </c>
      <c r="L1622" s="23"/>
      <c r="M1622" s="21">
        <f t="shared" si="14"/>
        <v>1894.93</v>
      </c>
    </row>
    <row r="1623" ht="20.25" customHeight="1" outlineLevel="1">
      <c r="A1623" s="12">
        <v>46077.0</v>
      </c>
      <c r="B1623" s="13" t="s">
        <v>14</v>
      </c>
      <c r="C1623" s="28" t="s">
        <v>1478</v>
      </c>
      <c r="D1623" s="20"/>
      <c r="E1623" s="21">
        <f t="shared" si="1"/>
        <v>9331.48</v>
      </c>
      <c r="F1623" s="22">
        <v>-550.0</v>
      </c>
      <c r="G1623" s="21">
        <f t="shared" si="8"/>
        <v>385476.43</v>
      </c>
      <c r="H1623" s="23"/>
      <c r="I1623" s="21">
        <f t="shared" si="12"/>
        <v>819.22</v>
      </c>
      <c r="J1623" s="23"/>
      <c r="K1623" s="21">
        <f t="shared" si="13"/>
        <v>220824.2</v>
      </c>
      <c r="L1623" s="23"/>
      <c r="M1623" s="21">
        <f t="shared" si="14"/>
        <v>1894.93</v>
      </c>
    </row>
    <row r="1624" ht="20.25" customHeight="1" outlineLevel="1">
      <c r="A1624" s="12">
        <v>46077.0</v>
      </c>
      <c r="B1624" s="13" t="s">
        <v>16</v>
      </c>
      <c r="C1624" s="28" t="s">
        <v>1479</v>
      </c>
      <c r="D1624" s="20"/>
      <c r="E1624" s="21">
        <f t="shared" si="1"/>
        <v>9331.48</v>
      </c>
      <c r="F1624" s="23">
        <v>186.0</v>
      </c>
      <c r="G1624" s="21">
        <f t="shared" si="8"/>
        <v>385662.43</v>
      </c>
      <c r="H1624" s="23"/>
      <c r="I1624" s="21">
        <f t="shared" si="12"/>
        <v>819.22</v>
      </c>
      <c r="J1624" s="23"/>
      <c r="K1624" s="21">
        <f t="shared" si="13"/>
        <v>220824.2</v>
      </c>
      <c r="L1624" s="23"/>
      <c r="M1624" s="21">
        <f t="shared" si="14"/>
        <v>1894.93</v>
      </c>
    </row>
    <row r="1625" ht="20.25" customHeight="1" outlineLevel="1">
      <c r="A1625" s="12">
        <v>46077.0</v>
      </c>
      <c r="B1625" s="13" t="s">
        <v>16</v>
      </c>
      <c r="C1625" s="28" t="s">
        <v>1480</v>
      </c>
      <c r="D1625" s="20"/>
      <c r="E1625" s="21">
        <f t="shared" si="1"/>
        <v>9331.48</v>
      </c>
      <c r="F1625" s="23">
        <v>928.0</v>
      </c>
      <c r="G1625" s="21">
        <f t="shared" si="8"/>
        <v>386590.43</v>
      </c>
      <c r="H1625" s="23"/>
      <c r="I1625" s="21">
        <f t="shared" si="12"/>
        <v>819.22</v>
      </c>
      <c r="J1625" s="23"/>
      <c r="K1625" s="21">
        <f t="shared" si="13"/>
        <v>220824.2</v>
      </c>
      <c r="L1625" s="23"/>
      <c r="M1625" s="21">
        <f t="shared" si="14"/>
        <v>1894.93</v>
      </c>
    </row>
    <row r="1626" ht="20.25" customHeight="1" outlineLevel="1">
      <c r="A1626" s="12">
        <v>46077.0</v>
      </c>
      <c r="B1626" s="13" t="s">
        <v>16</v>
      </c>
      <c r="C1626" s="28" t="s">
        <v>1481</v>
      </c>
      <c r="D1626" s="20"/>
      <c r="E1626" s="21">
        <f t="shared" si="1"/>
        <v>9331.48</v>
      </c>
      <c r="F1626" s="23">
        <v>264.0</v>
      </c>
      <c r="G1626" s="21">
        <f t="shared" si="8"/>
        <v>386854.43</v>
      </c>
      <c r="H1626" s="23"/>
      <c r="I1626" s="21">
        <f t="shared" si="12"/>
        <v>819.22</v>
      </c>
      <c r="J1626" s="23"/>
      <c r="K1626" s="21">
        <f t="shared" si="13"/>
        <v>220824.2</v>
      </c>
      <c r="L1626" s="23"/>
      <c r="M1626" s="21">
        <f t="shared" si="14"/>
        <v>1894.93</v>
      </c>
    </row>
    <row r="1627" ht="20.25" customHeight="1" outlineLevel="1">
      <c r="A1627" s="12">
        <v>46077.0</v>
      </c>
      <c r="B1627" s="13" t="s">
        <v>12</v>
      </c>
      <c r="C1627" s="28" t="s">
        <v>1482</v>
      </c>
      <c r="D1627" s="20"/>
      <c r="E1627" s="21">
        <f t="shared" si="1"/>
        <v>9331.48</v>
      </c>
      <c r="F1627" s="22">
        <v>-124.0</v>
      </c>
      <c r="G1627" s="21">
        <f t="shared" si="8"/>
        <v>386730.43</v>
      </c>
      <c r="H1627" s="23"/>
      <c r="I1627" s="21">
        <f t="shared" si="12"/>
        <v>819.22</v>
      </c>
      <c r="J1627" s="23"/>
      <c r="K1627" s="21">
        <f t="shared" si="13"/>
        <v>220824.2</v>
      </c>
      <c r="L1627" s="23"/>
      <c r="M1627" s="21">
        <f t="shared" si="14"/>
        <v>1894.93</v>
      </c>
    </row>
    <row r="1628" ht="20.25" customHeight="1" outlineLevel="1">
      <c r="A1628" s="12">
        <v>46077.0</v>
      </c>
      <c r="B1628" s="13" t="s">
        <v>14</v>
      </c>
      <c r="C1628" s="28" t="s">
        <v>34</v>
      </c>
      <c r="D1628" s="20"/>
      <c r="E1628" s="21">
        <f t="shared" si="1"/>
        <v>9331.48</v>
      </c>
      <c r="F1628" s="23"/>
      <c r="G1628" s="21">
        <f t="shared" si="8"/>
        <v>386730.43</v>
      </c>
      <c r="H1628" s="23"/>
      <c r="I1628" s="21">
        <f t="shared" si="12"/>
        <v>819.22</v>
      </c>
      <c r="J1628" s="22">
        <v>-8.55</v>
      </c>
      <c r="K1628" s="21">
        <f t="shared" si="13"/>
        <v>220815.65</v>
      </c>
      <c r="L1628" s="23"/>
      <c r="M1628" s="21">
        <f t="shared" si="14"/>
        <v>1894.93</v>
      </c>
    </row>
    <row r="1629" ht="20.25" customHeight="1" outlineLevel="1">
      <c r="A1629" s="12">
        <v>46077.0</v>
      </c>
      <c r="B1629" s="13" t="s">
        <v>14</v>
      </c>
      <c r="C1629" s="28" t="s">
        <v>1483</v>
      </c>
      <c r="D1629" s="20"/>
      <c r="E1629" s="21">
        <f t="shared" si="1"/>
        <v>9331.48</v>
      </c>
      <c r="F1629" s="23"/>
      <c r="G1629" s="21">
        <f t="shared" si="8"/>
        <v>386730.43</v>
      </c>
      <c r="H1629" s="23"/>
      <c r="I1629" s="21">
        <f t="shared" si="12"/>
        <v>819.22</v>
      </c>
      <c r="J1629" s="22">
        <v>-16.0</v>
      </c>
      <c r="K1629" s="21">
        <f t="shared" si="13"/>
        <v>220799.65</v>
      </c>
      <c r="L1629" s="23"/>
      <c r="M1629" s="21">
        <f t="shared" si="14"/>
        <v>1894.93</v>
      </c>
    </row>
    <row r="1630" ht="20.25" customHeight="1" outlineLevel="1">
      <c r="A1630" s="12">
        <v>46077.0</v>
      </c>
      <c r="B1630" s="13" t="s">
        <v>16</v>
      </c>
      <c r="C1630" s="28" t="s">
        <v>1484</v>
      </c>
      <c r="D1630" s="20"/>
      <c r="E1630" s="21">
        <f t="shared" si="1"/>
        <v>9331.48</v>
      </c>
      <c r="F1630" s="23"/>
      <c r="G1630" s="21">
        <f t="shared" si="8"/>
        <v>386730.43</v>
      </c>
      <c r="H1630" s="23"/>
      <c r="I1630" s="21">
        <f t="shared" si="12"/>
        <v>819.22</v>
      </c>
      <c r="J1630" s="23">
        <v>25.0</v>
      </c>
      <c r="K1630" s="21">
        <f t="shared" si="13"/>
        <v>220824.65</v>
      </c>
      <c r="L1630" s="23"/>
      <c r="M1630" s="21">
        <f t="shared" si="14"/>
        <v>1894.93</v>
      </c>
    </row>
    <row r="1631" ht="20.25" customHeight="1" outlineLevel="1">
      <c r="A1631" s="12">
        <v>46077.0</v>
      </c>
      <c r="B1631" s="13" t="s">
        <v>16</v>
      </c>
      <c r="C1631" s="28" t="s">
        <v>1485</v>
      </c>
      <c r="D1631" s="20"/>
      <c r="E1631" s="21">
        <f t="shared" si="1"/>
        <v>9331.48</v>
      </c>
      <c r="F1631" s="23"/>
      <c r="G1631" s="21">
        <f t="shared" si="8"/>
        <v>386730.43</v>
      </c>
      <c r="H1631" s="23"/>
      <c r="I1631" s="21">
        <f t="shared" si="12"/>
        <v>819.22</v>
      </c>
      <c r="J1631" s="23">
        <v>25.0</v>
      </c>
      <c r="K1631" s="21">
        <f t="shared" si="13"/>
        <v>220849.65</v>
      </c>
      <c r="L1631" s="23"/>
      <c r="M1631" s="21">
        <f t="shared" si="14"/>
        <v>1894.93</v>
      </c>
    </row>
    <row r="1632" ht="20.25" customHeight="1" outlineLevel="1">
      <c r="A1632" s="12">
        <v>46077.0</v>
      </c>
      <c r="B1632" s="13" t="s">
        <v>16</v>
      </c>
      <c r="C1632" s="28" t="s">
        <v>1486</v>
      </c>
      <c r="D1632" s="20">
        <v>115.0</v>
      </c>
      <c r="E1632" s="21">
        <f t="shared" si="1"/>
        <v>9446.48</v>
      </c>
      <c r="F1632" s="23"/>
      <c r="G1632" s="21">
        <f t="shared" si="8"/>
        <v>386730.43</v>
      </c>
      <c r="H1632" s="23"/>
      <c r="I1632" s="21">
        <f t="shared" si="12"/>
        <v>819.22</v>
      </c>
      <c r="J1632" s="23"/>
      <c r="K1632" s="21">
        <f t="shared" si="13"/>
        <v>220849.65</v>
      </c>
      <c r="L1632" s="23"/>
      <c r="M1632" s="21">
        <f t="shared" si="14"/>
        <v>1894.93</v>
      </c>
    </row>
    <row r="1633" ht="20.25" customHeight="1" outlineLevel="1">
      <c r="A1633" s="12">
        <v>46077.0</v>
      </c>
      <c r="B1633" s="13" t="s">
        <v>14</v>
      </c>
      <c r="C1633" s="28" t="s">
        <v>1487</v>
      </c>
      <c r="D1633" s="20"/>
      <c r="E1633" s="21">
        <f t="shared" si="1"/>
        <v>9446.48</v>
      </c>
      <c r="F1633" s="23"/>
      <c r="G1633" s="21">
        <f t="shared" si="8"/>
        <v>386730.43</v>
      </c>
      <c r="H1633" s="22">
        <v>-27.52</v>
      </c>
      <c r="I1633" s="21">
        <f t="shared" si="12"/>
        <v>791.7</v>
      </c>
      <c r="J1633" s="23"/>
      <c r="K1633" s="21">
        <f t="shared" si="13"/>
        <v>220849.65</v>
      </c>
      <c r="L1633" s="23"/>
      <c r="M1633" s="21">
        <f t="shared" si="14"/>
        <v>1894.93</v>
      </c>
    </row>
    <row r="1634" ht="20.25" customHeight="1" outlineLevel="1">
      <c r="A1634" s="12">
        <v>46078.0</v>
      </c>
      <c r="B1634" s="13" t="s">
        <v>12</v>
      </c>
      <c r="C1634" s="28" t="s">
        <v>1488</v>
      </c>
      <c r="D1634" s="20"/>
      <c r="E1634" s="21">
        <f t="shared" si="1"/>
        <v>9446.48</v>
      </c>
      <c r="F1634" s="22">
        <v>-3129.6</v>
      </c>
      <c r="G1634" s="21">
        <f t="shared" si="8"/>
        <v>383600.83</v>
      </c>
      <c r="H1634" s="23"/>
      <c r="I1634" s="21">
        <f t="shared" si="12"/>
        <v>791.7</v>
      </c>
      <c r="J1634" s="23"/>
      <c r="K1634" s="21">
        <f t="shared" si="13"/>
        <v>220849.65</v>
      </c>
      <c r="L1634" s="23"/>
      <c r="M1634" s="21">
        <f t="shared" si="14"/>
        <v>1894.93</v>
      </c>
    </row>
    <row r="1635" ht="20.25" customHeight="1" outlineLevel="1">
      <c r="A1635" s="12">
        <v>46078.0</v>
      </c>
      <c r="B1635" s="13" t="s">
        <v>16</v>
      </c>
      <c r="C1635" s="28" t="s">
        <v>1489</v>
      </c>
      <c r="D1635" s="20"/>
      <c r="E1635" s="21">
        <f t="shared" si="1"/>
        <v>9446.48</v>
      </c>
      <c r="F1635" s="23">
        <v>324.0</v>
      </c>
      <c r="G1635" s="21">
        <f t="shared" si="8"/>
        <v>383924.83</v>
      </c>
      <c r="H1635" s="23"/>
      <c r="I1635" s="21">
        <f t="shared" si="12"/>
        <v>791.7</v>
      </c>
      <c r="J1635" s="23"/>
      <c r="K1635" s="21">
        <f t="shared" si="13"/>
        <v>220849.65</v>
      </c>
      <c r="L1635" s="23"/>
      <c r="M1635" s="21">
        <f t="shared" si="14"/>
        <v>1894.93</v>
      </c>
    </row>
    <row r="1636" ht="20.25" customHeight="1" outlineLevel="1">
      <c r="A1636" s="12">
        <v>46078.0</v>
      </c>
      <c r="B1636" s="13" t="s">
        <v>16</v>
      </c>
      <c r="C1636" s="28" t="s">
        <v>1490</v>
      </c>
      <c r="D1636" s="20"/>
      <c r="E1636" s="21">
        <f t="shared" si="1"/>
        <v>9446.48</v>
      </c>
      <c r="F1636" s="23">
        <v>600.0</v>
      </c>
      <c r="G1636" s="21">
        <f t="shared" si="8"/>
        <v>384524.83</v>
      </c>
      <c r="H1636" s="23"/>
      <c r="I1636" s="21">
        <f t="shared" si="12"/>
        <v>791.7</v>
      </c>
      <c r="J1636" s="23"/>
      <c r="K1636" s="21">
        <f t="shared" si="13"/>
        <v>220849.65</v>
      </c>
      <c r="L1636" s="23"/>
      <c r="M1636" s="21">
        <f t="shared" si="14"/>
        <v>1894.93</v>
      </c>
    </row>
    <row r="1637" ht="20.25" customHeight="1" outlineLevel="1">
      <c r="A1637" s="12">
        <v>46078.0</v>
      </c>
      <c r="B1637" s="13" t="s">
        <v>16</v>
      </c>
      <c r="C1637" s="28" t="s">
        <v>1491</v>
      </c>
      <c r="D1637" s="20"/>
      <c r="E1637" s="21">
        <f t="shared" si="1"/>
        <v>9446.48</v>
      </c>
      <c r="F1637" s="23">
        <v>59.0</v>
      </c>
      <c r="G1637" s="21">
        <f t="shared" si="8"/>
        <v>384583.83</v>
      </c>
      <c r="H1637" s="23"/>
      <c r="I1637" s="21">
        <f t="shared" si="12"/>
        <v>791.7</v>
      </c>
      <c r="J1637" s="23"/>
      <c r="K1637" s="21">
        <f t="shared" si="13"/>
        <v>220849.65</v>
      </c>
      <c r="L1637" s="23"/>
      <c r="M1637" s="21">
        <f t="shared" si="14"/>
        <v>1894.93</v>
      </c>
    </row>
    <row r="1638" ht="20.25" customHeight="1" outlineLevel="1">
      <c r="A1638" s="12">
        <v>46078.0</v>
      </c>
      <c r="B1638" s="13" t="s">
        <v>12</v>
      </c>
      <c r="C1638" s="28" t="s">
        <v>1492</v>
      </c>
      <c r="D1638" s="20"/>
      <c r="E1638" s="21">
        <f t="shared" si="1"/>
        <v>9446.48</v>
      </c>
      <c r="F1638" s="22">
        <v>-303.39</v>
      </c>
      <c r="G1638" s="21">
        <f t="shared" si="8"/>
        <v>384280.44</v>
      </c>
      <c r="H1638" s="23"/>
      <c r="I1638" s="21">
        <f t="shared" si="12"/>
        <v>791.7</v>
      </c>
      <c r="J1638" s="23"/>
      <c r="K1638" s="21">
        <f t="shared" si="13"/>
        <v>220849.65</v>
      </c>
      <c r="L1638" s="23"/>
      <c r="M1638" s="21">
        <f t="shared" si="14"/>
        <v>1894.93</v>
      </c>
    </row>
    <row r="1639" ht="20.25" customHeight="1" outlineLevel="1">
      <c r="A1639" s="12">
        <v>46078.0</v>
      </c>
      <c r="B1639" s="13" t="s">
        <v>14</v>
      </c>
      <c r="C1639" s="28" t="s">
        <v>34</v>
      </c>
      <c r="D1639" s="20"/>
      <c r="E1639" s="21">
        <f t="shared" si="1"/>
        <v>9446.48</v>
      </c>
      <c r="F1639" s="23"/>
      <c r="G1639" s="21">
        <f t="shared" si="8"/>
        <v>384280.44</v>
      </c>
      <c r="H1639" s="23"/>
      <c r="I1639" s="21">
        <f t="shared" si="12"/>
        <v>791.7</v>
      </c>
      <c r="J1639" s="22">
        <v>-29.0</v>
      </c>
      <c r="K1639" s="21">
        <f t="shared" si="13"/>
        <v>220820.65</v>
      </c>
      <c r="L1639" s="23"/>
      <c r="M1639" s="21">
        <f t="shared" si="14"/>
        <v>1894.93</v>
      </c>
    </row>
    <row r="1640" ht="20.25" customHeight="1" outlineLevel="1">
      <c r="A1640" s="12">
        <v>46078.0</v>
      </c>
      <c r="B1640" s="13" t="s">
        <v>14</v>
      </c>
      <c r="C1640" s="28" t="s">
        <v>34</v>
      </c>
      <c r="D1640" s="20"/>
      <c r="E1640" s="21">
        <f t="shared" si="1"/>
        <v>9446.48</v>
      </c>
      <c r="F1640" s="23"/>
      <c r="G1640" s="21">
        <f t="shared" si="8"/>
        <v>384280.44</v>
      </c>
      <c r="H1640" s="23"/>
      <c r="I1640" s="21">
        <f t="shared" si="12"/>
        <v>791.7</v>
      </c>
      <c r="J1640" s="22">
        <v>-23.7</v>
      </c>
      <c r="K1640" s="21">
        <f t="shared" si="13"/>
        <v>220796.95</v>
      </c>
      <c r="L1640" s="23"/>
      <c r="M1640" s="21">
        <f t="shared" si="14"/>
        <v>1894.93</v>
      </c>
    </row>
    <row r="1641" ht="20.25" customHeight="1" outlineLevel="1">
      <c r="A1641" s="12">
        <v>46078.0</v>
      </c>
      <c r="B1641" s="13" t="s">
        <v>16</v>
      </c>
      <c r="C1641" s="28" t="s">
        <v>1493</v>
      </c>
      <c r="D1641" s="20"/>
      <c r="E1641" s="21">
        <f t="shared" si="1"/>
        <v>9446.48</v>
      </c>
      <c r="F1641" s="23"/>
      <c r="G1641" s="21">
        <f t="shared" si="8"/>
        <v>384280.44</v>
      </c>
      <c r="H1641" s="23"/>
      <c r="I1641" s="21">
        <f t="shared" si="12"/>
        <v>791.7</v>
      </c>
      <c r="J1641" s="23">
        <v>25.0</v>
      </c>
      <c r="K1641" s="21">
        <f t="shared" si="13"/>
        <v>220821.95</v>
      </c>
      <c r="L1641" s="23"/>
      <c r="M1641" s="21">
        <f t="shared" si="14"/>
        <v>1894.93</v>
      </c>
    </row>
    <row r="1642" ht="20.25" customHeight="1" outlineLevel="1">
      <c r="A1642" s="12">
        <v>46078.0</v>
      </c>
      <c r="B1642" s="13" t="s">
        <v>16</v>
      </c>
      <c r="C1642" s="28" t="s">
        <v>1494</v>
      </c>
      <c r="D1642" s="20">
        <v>150.0</v>
      </c>
      <c r="E1642" s="21">
        <f t="shared" si="1"/>
        <v>9596.48</v>
      </c>
      <c r="F1642" s="23"/>
      <c r="G1642" s="21">
        <f t="shared" si="8"/>
        <v>384280.44</v>
      </c>
      <c r="H1642" s="23"/>
      <c r="I1642" s="21">
        <f t="shared" si="12"/>
        <v>791.7</v>
      </c>
      <c r="J1642" s="23"/>
      <c r="K1642" s="21">
        <f t="shared" si="13"/>
        <v>220821.95</v>
      </c>
      <c r="L1642" s="23"/>
      <c r="M1642" s="21">
        <f t="shared" si="14"/>
        <v>1894.93</v>
      </c>
    </row>
    <row r="1643" ht="20.25" customHeight="1" outlineLevel="1">
      <c r="A1643" s="12">
        <v>46078.0</v>
      </c>
      <c r="B1643" s="13" t="s">
        <v>14</v>
      </c>
      <c r="C1643" s="28" t="s">
        <v>1495</v>
      </c>
      <c r="D1643" s="73">
        <v>-9.0</v>
      </c>
      <c r="E1643" s="21">
        <f t="shared" si="1"/>
        <v>9587.48</v>
      </c>
      <c r="F1643" s="23"/>
      <c r="G1643" s="21">
        <f t="shared" si="8"/>
        <v>384280.44</v>
      </c>
      <c r="H1643" s="23"/>
      <c r="I1643" s="21">
        <f t="shared" si="12"/>
        <v>791.7</v>
      </c>
      <c r="J1643" s="23"/>
      <c r="K1643" s="21">
        <f t="shared" si="13"/>
        <v>220821.95</v>
      </c>
      <c r="L1643" s="23"/>
      <c r="M1643" s="21">
        <f t="shared" si="14"/>
        <v>1894.93</v>
      </c>
    </row>
    <row r="1644" ht="20.25" customHeight="1" outlineLevel="1">
      <c r="A1644" s="12">
        <v>46079.0</v>
      </c>
      <c r="B1644" s="13" t="s">
        <v>63</v>
      </c>
      <c r="C1644" s="182" t="s">
        <v>1496</v>
      </c>
      <c r="D1644" s="20">
        <v>500.0</v>
      </c>
      <c r="E1644" s="21">
        <f t="shared" si="1"/>
        <v>10087.48</v>
      </c>
      <c r="F1644" s="23"/>
      <c r="G1644" s="21">
        <f t="shared" si="8"/>
        <v>384280.44</v>
      </c>
      <c r="H1644" s="23"/>
      <c r="I1644" s="21">
        <f t="shared" si="12"/>
        <v>791.7</v>
      </c>
      <c r="J1644" s="23"/>
      <c r="K1644" s="21">
        <f t="shared" si="13"/>
        <v>220821.95</v>
      </c>
      <c r="L1644" s="23"/>
      <c r="M1644" s="21">
        <f t="shared" si="14"/>
        <v>1894.93</v>
      </c>
    </row>
    <row r="1645" ht="20.25" customHeight="1" outlineLevel="1">
      <c r="A1645" s="12">
        <v>46079.0</v>
      </c>
      <c r="B1645" s="13" t="s">
        <v>63</v>
      </c>
      <c r="C1645" s="69" t="s">
        <v>1497</v>
      </c>
      <c r="D1645" s="20"/>
      <c r="E1645" s="21">
        <f t="shared" si="1"/>
        <v>10087.48</v>
      </c>
      <c r="F1645" s="51">
        <v>427.0</v>
      </c>
      <c r="G1645" s="21">
        <f t="shared" si="8"/>
        <v>384707.44</v>
      </c>
      <c r="H1645" s="23"/>
      <c r="I1645" s="21">
        <f t="shared" si="12"/>
        <v>791.7</v>
      </c>
      <c r="J1645" s="23"/>
      <c r="K1645" s="21">
        <f t="shared" si="13"/>
        <v>220821.95</v>
      </c>
      <c r="L1645" s="23"/>
      <c r="M1645" s="21">
        <f t="shared" si="14"/>
        <v>1894.93</v>
      </c>
    </row>
    <row r="1646" ht="20.25" customHeight="1" outlineLevel="1">
      <c r="A1646" s="12">
        <v>46079.0</v>
      </c>
      <c r="B1646" s="13" t="s">
        <v>16</v>
      </c>
      <c r="C1646" s="28" t="s">
        <v>1498</v>
      </c>
      <c r="D1646" s="20"/>
      <c r="E1646" s="21">
        <f t="shared" si="1"/>
        <v>10087.48</v>
      </c>
      <c r="F1646" s="23">
        <v>74.0</v>
      </c>
      <c r="G1646" s="21">
        <f t="shared" si="8"/>
        <v>384781.44</v>
      </c>
      <c r="H1646" s="23"/>
      <c r="I1646" s="21">
        <f t="shared" si="12"/>
        <v>791.7</v>
      </c>
      <c r="J1646" s="23"/>
      <c r="K1646" s="21">
        <f t="shared" si="13"/>
        <v>220821.95</v>
      </c>
      <c r="L1646" s="23"/>
      <c r="M1646" s="21">
        <f t="shared" si="14"/>
        <v>1894.93</v>
      </c>
    </row>
    <row r="1647" ht="20.25" customHeight="1" outlineLevel="1">
      <c r="A1647" s="12">
        <v>46079.0</v>
      </c>
      <c r="B1647" s="13" t="s">
        <v>16</v>
      </c>
      <c r="C1647" s="28" t="s">
        <v>1499</v>
      </c>
      <c r="D1647" s="20"/>
      <c r="E1647" s="21">
        <f t="shared" si="1"/>
        <v>10087.48</v>
      </c>
      <c r="F1647" s="23">
        <v>739.0</v>
      </c>
      <c r="G1647" s="21">
        <f t="shared" si="8"/>
        <v>385520.44</v>
      </c>
      <c r="H1647" s="23"/>
      <c r="I1647" s="21">
        <f t="shared" si="12"/>
        <v>791.7</v>
      </c>
      <c r="J1647" s="23"/>
      <c r="K1647" s="21">
        <f t="shared" si="13"/>
        <v>220821.95</v>
      </c>
      <c r="L1647" s="23"/>
      <c r="M1647" s="21">
        <f t="shared" si="14"/>
        <v>1894.93</v>
      </c>
    </row>
    <row r="1648" ht="20.25" customHeight="1" outlineLevel="1">
      <c r="A1648" s="12">
        <v>46079.0</v>
      </c>
      <c r="B1648" s="13" t="s">
        <v>16</v>
      </c>
      <c r="C1648" s="28" t="s">
        <v>1500</v>
      </c>
      <c r="D1648" s="20"/>
      <c r="E1648" s="21">
        <f t="shared" si="1"/>
        <v>10087.48</v>
      </c>
      <c r="F1648" s="23">
        <v>744.0</v>
      </c>
      <c r="G1648" s="21">
        <f t="shared" si="8"/>
        <v>386264.44</v>
      </c>
      <c r="H1648" s="23"/>
      <c r="I1648" s="21">
        <f t="shared" si="12"/>
        <v>791.7</v>
      </c>
      <c r="J1648" s="23"/>
      <c r="K1648" s="21">
        <f t="shared" si="13"/>
        <v>220821.95</v>
      </c>
      <c r="L1648" s="23"/>
      <c r="M1648" s="21">
        <f t="shared" si="14"/>
        <v>1894.93</v>
      </c>
    </row>
    <row r="1649" ht="20.25" customHeight="1" outlineLevel="1">
      <c r="A1649" s="12">
        <v>46079.0</v>
      </c>
      <c r="B1649" s="13" t="s">
        <v>63</v>
      </c>
      <c r="C1649" s="69" t="s">
        <v>1501</v>
      </c>
      <c r="D1649" s="20"/>
      <c r="E1649" s="21">
        <f t="shared" si="1"/>
        <v>10087.48</v>
      </c>
      <c r="F1649" s="51">
        <v>366.0</v>
      </c>
      <c r="G1649" s="21">
        <f t="shared" si="8"/>
        <v>386630.44</v>
      </c>
      <c r="H1649" s="23"/>
      <c r="I1649" s="21">
        <f t="shared" si="12"/>
        <v>791.7</v>
      </c>
      <c r="J1649" s="23"/>
      <c r="K1649" s="21">
        <f t="shared" si="13"/>
        <v>220821.95</v>
      </c>
      <c r="L1649" s="23"/>
      <c r="M1649" s="21">
        <f t="shared" si="14"/>
        <v>1894.93</v>
      </c>
    </row>
    <row r="1650" ht="20.25" customHeight="1" outlineLevel="1">
      <c r="A1650" s="12">
        <v>46079.0</v>
      </c>
      <c r="B1650" s="13" t="s">
        <v>16</v>
      </c>
      <c r="C1650" s="207" t="s">
        <v>1502</v>
      </c>
      <c r="D1650" s="20"/>
      <c r="E1650" s="21">
        <f t="shared" si="1"/>
        <v>10087.48</v>
      </c>
      <c r="F1650" s="23"/>
      <c r="G1650" s="21">
        <f t="shared" si="8"/>
        <v>386630.44</v>
      </c>
      <c r="H1650" s="23"/>
      <c r="I1650" s="21">
        <f t="shared" si="12"/>
        <v>791.7</v>
      </c>
      <c r="J1650" s="23">
        <v>25.0</v>
      </c>
      <c r="K1650" s="21">
        <f t="shared" si="13"/>
        <v>220846.95</v>
      </c>
      <c r="L1650" s="23"/>
      <c r="M1650" s="21">
        <f t="shared" si="14"/>
        <v>1894.93</v>
      </c>
    </row>
    <row r="1651" ht="20.25" customHeight="1" outlineLevel="1">
      <c r="A1651" s="12">
        <v>46079.0</v>
      </c>
      <c r="B1651" s="13" t="s">
        <v>16</v>
      </c>
      <c r="C1651" s="207" t="s">
        <v>1503</v>
      </c>
      <c r="D1651" s="20"/>
      <c r="E1651" s="21">
        <f t="shared" si="1"/>
        <v>10087.48</v>
      </c>
      <c r="F1651" s="23"/>
      <c r="G1651" s="21">
        <f t="shared" si="8"/>
        <v>386630.44</v>
      </c>
      <c r="H1651" s="23"/>
      <c r="I1651" s="21">
        <f t="shared" si="12"/>
        <v>791.7</v>
      </c>
      <c r="J1651" s="23">
        <v>25.0</v>
      </c>
      <c r="K1651" s="21">
        <f t="shared" si="13"/>
        <v>220871.95</v>
      </c>
      <c r="L1651" s="23"/>
      <c r="M1651" s="21">
        <f t="shared" si="14"/>
        <v>1894.93</v>
      </c>
    </row>
    <row r="1652" ht="20.25" customHeight="1" outlineLevel="1">
      <c r="A1652" s="12">
        <v>46079.0</v>
      </c>
      <c r="B1652" s="13" t="s">
        <v>16</v>
      </c>
      <c r="C1652" s="207" t="s">
        <v>1354</v>
      </c>
      <c r="D1652" s="20">
        <v>40.0</v>
      </c>
      <c r="E1652" s="21">
        <f t="shared" si="1"/>
        <v>10127.48</v>
      </c>
      <c r="F1652" s="23"/>
      <c r="G1652" s="21">
        <f t="shared" si="8"/>
        <v>386630.44</v>
      </c>
      <c r="H1652" s="23"/>
      <c r="I1652" s="21">
        <f t="shared" si="12"/>
        <v>791.7</v>
      </c>
      <c r="J1652" s="23"/>
      <c r="K1652" s="21">
        <f t="shared" si="13"/>
        <v>220871.95</v>
      </c>
      <c r="L1652" s="23"/>
      <c r="M1652" s="21">
        <f t="shared" si="14"/>
        <v>1894.93</v>
      </c>
    </row>
    <row r="1653" ht="20.25" customHeight="1" outlineLevel="1">
      <c r="A1653" s="12">
        <v>46080.0</v>
      </c>
      <c r="B1653" s="13" t="s">
        <v>12</v>
      </c>
      <c r="C1653" s="207" t="s">
        <v>1504</v>
      </c>
      <c r="D1653" s="20"/>
      <c r="E1653" s="21">
        <f t="shared" si="1"/>
        <v>10127.48</v>
      </c>
      <c r="F1653" s="22">
        <v>-730.0</v>
      </c>
      <c r="G1653" s="21">
        <f t="shared" si="8"/>
        <v>385900.44</v>
      </c>
      <c r="H1653" s="23"/>
      <c r="I1653" s="21">
        <f t="shared" si="12"/>
        <v>791.7</v>
      </c>
      <c r="J1653" s="23"/>
      <c r="K1653" s="21">
        <f t="shared" si="13"/>
        <v>220871.95</v>
      </c>
      <c r="L1653" s="23"/>
      <c r="M1653" s="21">
        <f t="shared" si="14"/>
        <v>1894.93</v>
      </c>
    </row>
    <row r="1654" ht="20.25" customHeight="1" outlineLevel="1">
      <c r="A1654" s="12">
        <v>46080.0</v>
      </c>
      <c r="B1654" s="13" t="s">
        <v>16</v>
      </c>
      <c r="C1654" s="207" t="s">
        <v>1505</v>
      </c>
      <c r="D1654" s="20"/>
      <c r="E1654" s="21">
        <f t="shared" si="1"/>
        <v>10127.48</v>
      </c>
      <c r="F1654" s="23">
        <v>73.8</v>
      </c>
      <c r="G1654" s="21">
        <f t="shared" si="8"/>
        <v>385974.24</v>
      </c>
      <c r="H1654" s="23"/>
      <c r="I1654" s="21">
        <f t="shared" si="12"/>
        <v>791.7</v>
      </c>
      <c r="J1654" s="23"/>
      <c r="K1654" s="21">
        <f t="shared" si="13"/>
        <v>220871.95</v>
      </c>
      <c r="L1654" s="23"/>
      <c r="M1654" s="21">
        <f t="shared" si="14"/>
        <v>1894.93</v>
      </c>
    </row>
    <row r="1655" ht="20.25" customHeight="1" outlineLevel="1">
      <c r="A1655" s="12">
        <v>46080.0</v>
      </c>
      <c r="B1655" s="13" t="s">
        <v>16</v>
      </c>
      <c r="C1655" s="207" t="s">
        <v>1506</v>
      </c>
      <c r="D1655" s="20"/>
      <c r="E1655" s="21">
        <f t="shared" si="1"/>
        <v>10127.48</v>
      </c>
      <c r="F1655" s="23">
        <v>27.0</v>
      </c>
      <c r="G1655" s="21">
        <f t="shared" si="8"/>
        <v>386001.24</v>
      </c>
      <c r="H1655" s="23"/>
      <c r="I1655" s="21">
        <f t="shared" si="12"/>
        <v>791.7</v>
      </c>
      <c r="J1655" s="23"/>
      <c r="K1655" s="21">
        <f t="shared" si="13"/>
        <v>220871.95</v>
      </c>
      <c r="L1655" s="23"/>
      <c r="M1655" s="21">
        <f t="shared" si="14"/>
        <v>1894.93</v>
      </c>
    </row>
    <row r="1656" ht="20.25" customHeight="1" outlineLevel="1">
      <c r="A1656" s="12">
        <v>46080.0</v>
      </c>
      <c r="B1656" s="13" t="s">
        <v>16</v>
      </c>
      <c r="C1656" s="207" t="s">
        <v>1507</v>
      </c>
      <c r="D1656" s="20"/>
      <c r="E1656" s="21">
        <f t="shared" si="1"/>
        <v>10127.48</v>
      </c>
      <c r="F1656" s="23">
        <v>174.25</v>
      </c>
      <c r="G1656" s="21">
        <f t="shared" si="8"/>
        <v>386175.49</v>
      </c>
      <c r="H1656" s="23"/>
      <c r="I1656" s="21">
        <f t="shared" si="12"/>
        <v>791.7</v>
      </c>
      <c r="J1656" s="23"/>
      <c r="K1656" s="21">
        <f t="shared" si="13"/>
        <v>220871.95</v>
      </c>
      <c r="L1656" s="23"/>
      <c r="M1656" s="21">
        <f t="shared" si="14"/>
        <v>1894.93</v>
      </c>
    </row>
    <row r="1657" ht="20.25" customHeight="1" outlineLevel="1">
      <c r="A1657" s="12">
        <v>46080.0</v>
      </c>
      <c r="B1657" s="13" t="s">
        <v>16</v>
      </c>
      <c r="C1657" s="207" t="s">
        <v>1508</v>
      </c>
      <c r="D1657" s="20"/>
      <c r="E1657" s="21">
        <f t="shared" si="1"/>
        <v>10127.48</v>
      </c>
      <c r="F1657" s="23">
        <v>165.0</v>
      </c>
      <c r="G1657" s="21">
        <f t="shared" si="8"/>
        <v>386340.49</v>
      </c>
      <c r="H1657" s="23"/>
      <c r="I1657" s="21">
        <f t="shared" si="12"/>
        <v>791.7</v>
      </c>
      <c r="J1657" s="23"/>
      <c r="K1657" s="21">
        <f t="shared" si="13"/>
        <v>220871.95</v>
      </c>
      <c r="L1657" s="23"/>
      <c r="M1657" s="21">
        <f t="shared" si="14"/>
        <v>1894.93</v>
      </c>
    </row>
    <row r="1658" ht="20.25" customHeight="1" outlineLevel="1">
      <c r="A1658" s="12">
        <v>46080.0</v>
      </c>
      <c r="B1658" s="13" t="s">
        <v>63</v>
      </c>
      <c r="C1658" s="212" t="s">
        <v>1509</v>
      </c>
      <c r="D1658" s="20"/>
      <c r="E1658" s="21">
        <f t="shared" si="1"/>
        <v>10127.48</v>
      </c>
      <c r="F1658" s="51">
        <v>922.32</v>
      </c>
      <c r="G1658" s="21">
        <f t="shared" si="8"/>
        <v>387262.81</v>
      </c>
      <c r="H1658" s="23"/>
      <c r="I1658" s="21">
        <f t="shared" si="12"/>
        <v>791.7</v>
      </c>
      <c r="J1658" s="23"/>
      <c r="K1658" s="21">
        <f t="shared" si="13"/>
        <v>220871.95</v>
      </c>
      <c r="L1658" s="23"/>
      <c r="M1658" s="21">
        <f t="shared" si="14"/>
        <v>1894.93</v>
      </c>
    </row>
    <row r="1659" ht="20.25" customHeight="1" outlineLevel="1">
      <c r="A1659" s="12">
        <v>46080.0</v>
      </c>
      <c r="B1659" s="13" t="s">
        <v>16</v>
      </c>
      <c r="C1659" s="207" t="s">
        <v>1510</v>
      </c>
      <c r="D1659" s="20"/>
      <c r="E1659" s="21">
        <f t="shared" si="1"/>
        <v>10127.48</v>
      </c>
      <c r="F1659" s="23"/>
      <c r="G1659" s="21">
        <f t="shared" si="8"/>
        <v>387262.81</v>
      </c>
      <c r="H1659" s="23"/>
      <c r="I1659" s="21">
        <f t="shared" si="12"/>
        <v>791.7</v>
      </c>
      <c r="J1659" s="23">
        <v>50.0</v>
      </c>
      <c r="K1659" s="21">
        <f t="shared" si="13"/>
        <v>220921.95</v>
      </c>
      <c r="L1659" s="23"/>
      <c r="M1659" s="21">
        <f t="shared" si="14"/>
        <v>1894.93</v>
      </c>
    </row>
    <row r="1660" ht="20.25" customHeight="1" outlineLevel="1">
      <c r="A1660" s="12">
        <v>46080.0</v>
      </c>
      <c r="B1660" s="13" t="s">
        <v>16</v>
      </c>
      <c r="C1660" s="207" t="s">
        <v>1511</v>
      </c>
      <c r="D1660" s="20"/>
      <c r="E1660" s="21">
        <f t="shared" si="1"/>
        <v>10127.48</v>
      </c>
      <c r="F1660" s="23"/>
      <c r="G1660" s="21">
        <f t="shared" si="8"/>
        <v>387262.81</v>
      </c>
      <c r="H1660" s="23"/>
      <c r="I1660" s="21">
        <f t="shared" si="12"/>
        <v>791.7</v>
      </c>
      <c r="J1660" s="23">
        <v>25.0</v>
      </c>
      <c r="K1660" s="21">
        <f t="shared" si="13"/>
        <v>220946.95</v>
      </c>
      <c r="L1660" s="23"/>
      <c r="M1660" s="21">
        <f t="shared" si="14"/>
        <v>1894.93</v>
      </c>
    </row>
    <row r="1661" ht="20.25" customHeight="1" outlineLevel="1">
      <c r="A1661" s="12">
        <v>46080.0</v>
      </c>
      <c r="B1661" s="13" t="s">
        <v>16</v>
      </c>
      <c r="C1661" s="28" t="s">
        <v>1512</v>
      </c>
      <c r="D1661" s="20">
        <v>50.0</v>
      </c>
      <c r="E1661" s="21">
        <f t="shared" si="1"/>
        <v>10177.48</v>
      </c>
      <c r="F1661" s="23"/>
      <c r="G1661" s="21">
        <f t="shared" si="8"/>
        <v>387262.81</v>
      </c>
      <c r="H1661" s="23"/>
      <c r="I1661" s="21">
        <f t="shared" si="12"/>
        <v>791.7</v>
      </c>
      <c r="J1661" s="23"/>
      <c r="K1661" s="21">
        <f t="shared" si="13"/>
        <v>220946.95</v>
      </c>
      <c r="L1661" s="23"/>
      <c r="M1661" s="21">
        <f t="shared" si="14"/>
        <v>1894.93</v>
      </c>
    </row>
    <row r="1662" ht="20.25" customHeight="1" outlineLevel="1">
      <c r="A1662" s="12">
        <v>46080.0</v>
      </c>
      <c r="B1662" s="13" t="s">
        <v>14</v>
      </c>
      <c r="C1662" s="28" t="s">
        <v>1513</v>
      </c>
      <c r="D1662" s="20"/>
      <c r="E1662" s="21">
        <f t="shared" si="1"/>
        <v>10177.48</v>
      </c>
      <c r="F1662" s="23"/>
      <c r="G1662" s="21">
        <f t="shared" si="8"/>
        <v>387262.81</v>
      </c>
      <c r="H1662" s="22">
        <v>-14.74</v>
      </c>
      <c r="I1662" s="21">
        <f t="shared" si="12"/>
        <v>776.96</v>
      </c>
      <c r="J1662" s="23"/>
      <c r="K1662" s="21">
        <f t="shared" si="13"/>
        <v>220946.95</v>
      </c>
      <c r="L1662" s="23"/>
      <c r="M1662" s="21">
        <f t="shared" si="14"/>
        <v>1894.93</v>
      </c>
    </row>
    <row r="1663" ht="20.25" customHeight="1" outlineLevel="1">
      <c r="A1663" s="12">
        <v>46080.0</v>
      </c>
      <c r="B1663" s="13" t="s">
        <v>428</v>
      </c>
      <c r="C1663" s="70" t="s">
        <v>1514</v>
      </c>
      <c r="D1663" s="20"/>
      <c r="E1663" s="21">
        <f t="shared" si="1"/>
        <v>10177.48</v>
      </c>
      <c r="F1663" s="23"/>
      <c r="G1663" s="21">
        <f t="shared" si="8"/>
        <v>387262.81</v>
      </c>
      <c r="H1663" s="27">
        <v>4.72</v>
      </c>
      <c r="I1663" s="21">
        <f t="shared" si="12"/>
        <v>781.68</v>
      </c>
      <c r="J1663" s="23"/>
      <c r="K1663" s="21">
        <f t="shared" si="13"/>
        <v>220946.95</v>
      </c>
      <c r="L1663" s="23"/>
      <c r="M1663" s="21">
        <f t="shared" si="14"/>
        <v>1894.93</v>
      </c>
    </row>
    <row r="1664" ht="20.25" customHeight="1" outlineLevel="1">
      <c r="A1664" s="12">
        <v>46081.0</v>
      </c>
      <c r="B1664" s="13" t="s">
        <v>16</v>
      </c>
      <c r="C1664" s="28" t="s">
        <v>1515</v>
      </c>
      <c r="D1664" s="20">
        <v>195.0</v>
      </c>
      <c r="E1664" s="21">
        <f t="shared" si="1"/>
        <v>10372.48</v>
      </c>
      <c r="F1664" s="23"/>
      <c r="G1664" s="21">
        <f t="shared" si="8"/>
        <v>387262.81</v>
      </c>
      <c r="H1664" s="23"/>
      <c r="I1664" s="21">
        <f t="shared" si="12"/>
        <v>781.68</v>
      </c>
      <c r="J1664" s="23"/>
      <c r="K1664" s="21">
        <f t="shared" si="13"/>
        <v>220946.95</v>
      </c>
      <c r="L1664" s="23"/>
      <c r="M1664" s="21">
        <f t="shared" si="14"/>
        <v>1894.93</v>
      </c>
    </row>
    <row r="1665" ht="20.25" customHeight="1" outlineLevel="1">
      <c r="A1665" s="12">
        <v>46082.0</v>
      </c>
      <c r="B1665" s="13" t="s">
        <v>16</v>
      </c>
      <c r="C1665" s="28" t="s">
        <v>1516</v>
      </c>
      <c r="D1665" s="20">
        <v>27.0</v>
      </c>
      <c r="E1665" s="21">
        <f t="shared" si="1"/>
        <v>10399.48</v>
      </c>
      <c r="F1665" s="23"/>
      <c r="G1665" s="21">
        <f t="shared" si="8"/>
        <v>387262.81</v>
      </c>
      <c r="H1665" s="23"/>
      <c r="I1665" s="21">
        <f t="shared" si="12"/>
        <v>781.68</v>
      </c>
      <c r="J1665" s="23"/>
      <c r="K1665" s="21">
        <f t="shared" si="13"/>
        <v>220946.95</v>
      </c>
      <c r="L1665" s="23"/>
      <c r="M1665" s="21">
        <f t="shared" si="14"/>
        <v>1894.93</v>
      </c>
    </row>
    <row r="1666" ht="20.25" customHeight="1" outlineLevel="1">
      <c r="A1666" s="12">
        <v>46083.0</v>
      </c>
      <c r="B1666" s="13" t="s">
        <v>428</v>
      </c>
      <c r="C1666" s="28" t="s">
        <v>1517</v>
      </c>
      <c r="D1666" s="20"/>
      <c r="E1666" s="21">
        <f t="shared" si="1"/>
        <v>10399.48</v>
      </c>
      <c r="F1666" s="23">
        <v>3294.0</v>
      </c>
      <c r="G1666" s="21">
        <f t="shared" si="8"/>
        <v>390556.81</v>
      </c>
      <c r="H1666" s="23"/>
      <c r="I1666" s="21">
        <f t="shared" si="12"/>
        <v>781.68</v>
      </c>
      <c r="J1666" s="23"/>
      <c r="K1666" s="21">
        <f t="shared" si="13"/>
        <v>220946.95</v>
      </c>
      <c r="L1666" s="23"/>
      <c r="M1666" s="21">
        <f t="shared" si="14"/>
        <v>1894.93</v>
      </c>
    </row>
    <row r="1667" ht="20.25" customHeight="1" outlineLevel="1">
      <c r="A1667" s="12">
        <v>46083.0</v>
      </c>
      <c r="B1667" s="13" t="s">
        <v>12</v>
      </c>
      <c r="C1667" s="28" t="s">
        <v>882</v>
      </c>
      <c r="D1667" s="20"/>
      <c r="E1667" s="21">
        <f t="shared" si="1"/>
        <v>10399.48</v>
      </c>
      <c r="F1667" s="23"/>
      <c r="G1667" s="21">
        <f t="shared" si="8"/>
        <v>390556.81</v>
      </c>
      <c r="H1667" s="23"/>
      <c r="I1667" s="21">
        <f t="shared" si="12"/>
        <v>781.68</v>
      </c>
      <c r="J1667" s="22">
        <v>-54.9</v>
      </c>
      <c r="K1667" s="21">
        <f t="shared" si="13"/>
        <v>220892.05</v>
      </c>
      <c r="L1667" s="23"/>
      <c r="M1667" s="21">
        <f t="shared" si="14"/>
        <v>1894.93</v>
      </c>
    </row>
    <row r="1668" ht="20.25" customHeight="1" outlineLevel="1">
      <c r="A1668" s="12">
        <v>46083.0</v>
      </c>
      <c r="B1668" s="13" t="s">
        <v>57</v>
      </c>
      <c r="C1668" s="28" t="s">
        <v>33</v>
      </c>
      <c r="D1668" s="20"/>
      <c r="E1668" s="21">
        <f t="shared" si="1"/>
        <v>10399.48</v>
      </c>
      <c r="F1668" s="23"/>
      <c r="G1668" s="21">
        <f t="shared" si="8"/>
        <v>390556.81</v>
      </c>
      <c r="H1668" s="23"/>
      <c r="I1668" s="21">
        <f t="shared" si="12"/>
        <v>781.68</v>
      </c>
      <c r="J1668" s="22">
        <v>-509.07</v>
      </c>
      <c r="K1668" s="21">
        <f t="shared" si="13"/>
        <v>220382.98</v>
      </c>
      <c r="L1668" s="23"/>
      <c r="M1668" s="21">
        <f t="shared" si="14"/>
        <v>1894.93</v>
      </c>
    </row>
    <row r="1669" ht="20.25" customHeight="1" outlineLevel="1">
      <c r="A1669" s="12">
        <v>46083.0</v>
      </c>
      <c r="B1669" s="13" t="s">
        <v>16</v>
      </c>
      <c r="C1669" s="207" t="s">
        <v>1518</v>
      </c>
      <c r="D1669" s="20">
        <v>335.0</v>
      </c>
      <c r="E1669" s="21">
        <f t="shared" si="1"/>
        <v>10734.48</v>
      </c>
      <c r="F1669" s="23"/>
      <c r="G1669" s="21">
        <f t="shared" si="8"/>
        <v>390556.81</v>
      </c>
      <c r="H1669" s="23"/>
      <c r="I1669" s="21">
        <f t="shared" si="12"/>
        <v>781.68</v>
      </c>
      <c r="J1669" s="23"/>
      <c r="K1669" s="21">
        <f t="shared" si="13"/>
        <v>220382.98</v>
      </c>
      <c r="L1669" s="23"/>
      <c r="M1669" s="21">
        <f t="shared" si="14"/>
        <v>1894.93</v>
      </c>
    </row>
    <row r="1670" ht="20.25" customHeight="1" outlineLevel="1">
      <c r="A1670" s="12">
        <v>46083.0</v>
      </c>
      <c r="B1670" s="13" t="s">
        <v>14</v>
      </c>
      <c r="C1670" s="207" t="s">
        <v>319</v>
      </c>
      <c r="D1670" s="73">
        <v>-19.96</v>
      </c>
      <c r="E1670" s="21">
        <f t="shared" si="1"/>
        <v>10714.52</v>
      </c>
      <c r="F1670" s="23"/>
      <c r="G1670" s="21">
        <f t="shared" si="8"/>
        <v>390556.81</v>
      </c>
      <c r="H1670" s="23"/>
      <c r="I1670" s="21">
        <f t="shared" si="12"/>
        <v>781.68</v>
      </c>
      <c r="J1670" s="23"/>
      <c r="K1670" s="21">
        <f t="shared" si="13"/>
        <v>220382.98</v>
      </c>
      <c r="L1670" s="23"/>
      <c r="M1670" s="21">
        <f t="shared" si="14"/>
        <v>1894.93</v>
      </c>
    </row>
    <row r="1671" ht="20.25" customHeight="1" outlineLevel="1">
      <c r="A1671" s="12">
        <v>46083.0</v>
      </c>
      <c r="B1671" s="13" t="s">
        <v>16</v>
      </c>
      <c r="C1671" s="207" t="s">
        <v>1519</v>
      </c>
      <c r="D1671" s="20"/>
      <c r="E1671" s="21">
        <f t="shared" si="1"/>
        <v>10714.52</v>
      </c>
      <c r="F1671" s="23">
        <v>74.8</v>
      </c>
      <c r="G1671" s="21">
        <f t="shared" si="8"/>
        <v>390631.61</v>
      </c>
      <c r="H1671" s="23"/>
      <c r="I1671" s="21">
        <f t="shared" si="12"/>
        <v>781.68</v>
      </c>
      <c r="J1671" s="23"/>
      <c r="K1671" s="21">
        <f t="shared" si="13"/>
        <v>220382.98</v>
      </c>
      <c r="L1671" s="23"/>
      <c r="M1671" s="21">
        <f t="shared" si="14"/>
        <v>1894.93</v>
      </c>
    </row>
    <row r="1672" ht="20.25" customHeight="1" outlineLevel="1">
      <c r="A1672" s="12">
        <v>46083.0</v>
      </c>
      <c r="B1672" s="13" t="s">
        <v>16</v>
      </c>
      <c r="C1672" s="207" t="s">
        <v>1520</v>
      </c>
      <c r="D1672" s="20"/>
      <c r="E1672" s="21">
        <f t="shared" si="1"/>
        <v>10714.52</v>
      </c>
      <c r="F1672" s="23">
        <v>310.05</v>
      </c>
      <c r="G1672" s="21">
        <f t="shared" si="8"/>
        <v>390941.66</v>
      </c>
      <c r="H1672" s="23"/>
      <c r="I1672" s="21">
        <f t="shared" si="12"/>
        <v>781.68</v>
      </c>
      <c r="J1672" s="23"/>
      <c r="K1672" s="21">
        <f t="shared" si="13"/>
        <v>220382.98</v>
      </c>
      <c r="L1672" s="23"/>
      <c r="M1672" s="21">
        <f t="shared" si="14"/>
        <v>1894.93</v>
      </c>
    </row>
    <row r="1673" ht="20.25" customHeight="1" outlineLevel="1">
      <c r="A1673" s="12">
        <v>46083.0</v>
      </c>
      <c r="B1673" s="13" t="s">
        <v>16</v>
      </c>
      <c r="C1673" s="207" t="s">
        <v>1521</v>
      </c>
      <c r="D1673" s="20"/>
      <c r="E1673" s="21">
        <f t="shared" si="1"/>
        <v>10714.52</v>
      </c>
      <c r="F1673" s="23">
        <v>180.0</v>
      </c>
      <c r="G1673" s="21">
        <f t="shared" si="8"/>
        <v>391121.66</v>
      </c>
      <c r="H1673" s="23"/>
      <c r="I1673" s="21">
        <f t="shared" si="12"/>
        <v>781.68</v>
      </c>
      <c r="J1673" s="23"/>
      <c r="K1673" s="21">
        <f t="shared" si="13"/>
        <v>220382.98</v>
      </c>
      <c r="L1673" s="23"/>
      <c r="M1673" s="21">
        <f t="shared" si="14"/>
        <v>1894.93</v>
      </c>
    </row>
    <row r="1674" ht="20.25" customHeight="1" outlineLevel="1">
      <c r="A1674" s="12">
        <v>46083.0</v>
      </c>
      <c r="B1674" s="13" t="s">
        <v>16</v>
      </c>
      <c r="C1674" s="207" t="s">
        <v>1522</v>
      </c>
      <c r="D1674" s="20"/>
      <c r="E1674" s="21">
        <f t="shared" si="1"/>
        <v>10714.52</v>
      </c>
      <c r="F1674" s="23">
        <v>285.0</v>
      </c>
      <c r="G1674" s="21">
        <f t="shared" si="8"/>
        <v>391406.66</v>
      </c>
      <c r="H1674" s="23"/>
      <c r="I1674" s="21">
        <f t="shared" si="12"/>
        <v>781.68</v>
      </c>
      <c r="J1674" s="23"/>
      <c r="K1674" s="21">
        <f t="shared" si="13"/>
        <v>220382.98</v>
      </c>
      <c r="L1674" s="23"/>
      <c r="M1674" s="21">
        <f t="shared" si="14"/>
        <v>1894.93</v>
      </c>
    </row>
    <row r="1675" ht="20.25" customHeight="1" outlineLevel="1">
      <c r="A1675" s="12">
        <v>46083.0</v>
      </c>
      <c r="B1675" s="13" t="s">
        <v>16</v>
      </c>
      <c r="C1675" s="207" t="s">
        <v>1523</v>
      </c>
      <c r="D1675" s="20"/>
      <c r="E1675" s="21">
        <f t="shared" si="1"/>
        <v>10714.52</v>
      </c>
      <c r="F1675" s="23">
        <v>125.0</v>
      </c>
      <c r="G1675" s="21">
        <f t="shared" si="8"/>
        <v>391531.66</v>
      </c>
      <c r="H1675" s="23"/>
      <c r="I1675" s="21">
        <f t="shared" si="12"/>
        <v>781.68</v>
      </c>
      <c r="J1675" s="23"/>
      <c r="K1675" s="21">
        <f t="shared" si="13"/>
        <v>220382.98</v>
      </c>
      <c r="L1675" s="23"/>
      <c r="M1675" s="21">
        <f t="shared" si="14"/>
        <v>1894.93</v>
      </c>
    </row>
    <row r="1676" ht="20.25" customHeight="1" outlineLevel="1">
      <c r="A1676" s="12">
        <v>46083.0</v>
      </c>
      <c r="B1676" s="13" t="s">
        <v>16</v>
      </c>
      <c r="C1676" s="207" t="s">
        <v>1524</v>
      </c>
      <c r="D1676" s="20"/>
      <c r="E1676" s="21">
        <f t="shared" si="1"/>
        <v>10714.52</v>
      </c>
      <c r="F1676" s="23">
        <v>52.0</v>
      </c>
      <c r="G1676" s="21">
        <f t="shared" si="8"/>
        <v>391583.66</v>
      </c>
      <c r="H1676" s="23"/>
      <c r="I1676" s="21">
        <f t="shared" si="12"/>
        <v>781.68</v>
      </c>
      <c r="J1676" s="23"/>
      <c r="K1676" s="21">
        <f t="shared" si="13"/>
        <v>220382.98</v>
      </c>
      <c r="L1676" s="23"/>
      <c r="M1676" s="21">
        <f t="shared" si="14"/>
        <v>1894.93</v>
      </c>
    </row>
    <row r="1677" ht="20.25" customHeight="1" outlineLevel="1">
      <c r="A1677" s="12">
        <v>46083.0</v>
      </c>
      <c r="B1677" s="13" t="s">
        <v>16</v>
      </c>
      <c r="C1677" s="207" t="s">
        <v>1525</v>
      </c>
      <c r="D1677" s="20"/>
      <c r="E1677" s="21">
        <f t="shared" si="1"/>
        <v>10714.52</v>
      </c>
      <c r="F1677" s="23">
        <v>135.0</v>
      </c>
      <c r="G1677" s="21">
        <f t="shared" si="8"/>
        <v>391718.66</v>
      </c>
      <c r="H1677" s="23"/>
      <c r="I1677" s="21">
        <f t="shared" si="12"/>
        <v>781.68</v>
      </c>
      <c r="J1677" s="23"/>
      <c r="K1677" s="21">
        <f t="shared" si="13"/>
        <v>220382.98</v>
      </c>
      <c r="L1677" s="23"/>
      <c r="M1677" s="21">
        <f t="shared" si="14"/>
        <v>1894.93</v>
      </c>
    </row>
    <row r="1678" ht="20.25" customHeight="1" outlineLevel="1">
      <c r="A1678" s="12">
        <v>46083.0</v>
      </c>
      <c r="B1678" s="13" t="s">
        <v>16</v>
      </c>
      <c r="C1678" s="207" t="s">
        <v>1526</v>
      </c>
      <c r="D1678" s="20"/>
      <c r="E1678" s="21">
        <f t="shared" si="1"/>
        <v>10714.52</v>
      </c>
      <c r="F1678" s="23">
        <v>104.0</v>
      </c>
      <c r="G1678" s="21">
        <f t="shared" si="8"/>
        <v>391822.66</v>
      </c>
      <c r="H1678" s="23"/>
      <c r="I1678" s="21">
        <f t="shared" si="12"/>
        <v>781.68</v>
      </c>
      <c r="J1678" s="23"/>
      <c r="K1678" s="21">
        <f t="shared" si="13"/>
        <v>220382.98</v>
      </c>
      <c r="L1678" s="23"/>
      <c r="M1678" s="21">
        <f t="shared" si="14"/>
        <v>1894.93</v>
      </c>
    </row>
    <row r="1679" ht="20.25" customHeight="1" outlineLevel="1">
      <c r="A1679" s="12">
        <v>46083.0</v>
      </c>
      <c r="B1679" s="13" t="s">
        <v>16</v>
      </c>
      <c r="C1679" s="207" t="s">
        <v>1527</v>
      </c>
      <c r="D1679" s="20"/>
      <c r="E1679" s="21">
        <f t="shared" si="1"/>
        <v>10714.52</v>
      </c>
      <c r="F1679" s="23">
        <v>37.0</v>
      </c>
      <c r="G1679" s="21">
        <f t="shared" si="8"/>
        <v>391859.66</v>
      </c>
      <c r="H1679" s="23"/>
      <c r="I1679" s="21">
        <f t="shared" si="12"/>
        <v>781.68</v>
      </c>
      <c r="J1679" s="23"/>
      <c r="K1679" s="21">
        <f t="shared" si="13"/>
        <v>220382.98</v>
      </c>
      <c r="L1679" s="23"/>
      <c r="M1679" s="21">
        <f t="shared" si="14"/>
        <v>1894.93</v>
      </c>
    </row>
    <row r="1680" ht="20.25" customHeight="1" outlineLevel="1">
      <c r="A1680" s="12">
        <v>46083.0</v>
      </c>
      <c r="B1680" s="13" t="s">
        <v>16</v>
      </c>
      <c r="C1680" s="215" t="s">
        <v>1528</v>
      </c>
      <c r="D1680" s="20"/>
      <c r="E1680" s="21">
        <f t="shared" si="1"/>
        <v>10714.52</v>
      </c>
      <c r="F1680" s="23"/>
      <c r="G1680" s="21">
        <f t="shared" si="8"/>
        <v>391859.66</v>
      </c>
      <c r="H1680" s="23"/>
      <c r="I1680" s="21">
        <f t="shared" si="12"/>
        <v>781.68</v>
      </c>
      <c r="J1680" s="23">
        <v>25.0</v>
      </c>
      <c r="K1680" s="21">
        <f t="shared" si="13"/>
        <v>220407.98</v>
      </c>
      <c r="L1680" s="23"/>
      <c r="M1680" s="21">
        <f t="shared" si="14"/>
        <v>1894.93</v>
      </c>
    </row>
    <row r="1681" ht="20.25" customHeight="1" outlineLevel="1">
      <c r="A1681" s="12">
        <v>46083.0</v>
      </c>
      <c r="B1681" s="13" t="s">
        <v>16</v>
      </c>
      <c r="C1681" s="215" t="s">
        <v>1529</v>
      </c>
      <c r="D1681" s="20"/>
      <c r="E1681" s="21">
        <f t="shared" si="1"/>
        <v>10714.52</v>
      </c>
      <c r="F1681" s="23"/>
      <c r="G1681" s="21">
        <f t="shared" si="8"/>
        <v>391859.66</v>
      </c>
      <c r="H1681" s="23"/>
      <c r="I1681" s="21">
        <f t="shared" si="12"/>
        <v>781.68</v>
      </c>
      <c r="J1681" s="23">
        <v>400.0</v>
      </c>
      <c r="K1681" s="21">
        <f t="shared" si="13"/>
        <v>220807.98</v>
      </c>
      <c r="L1681" s="23"/>
      <c r="M1681" s="21">
        <f t="shared" si="14"/>
        <v>1894.93</v>
      </c>
    </row>
    <row r="1682" ht="20.25" customHeight="1" outlineLevel="1">
      <c r="A1682" s="12">
        <v>46083.0</v>
      </c>
      <c r="B1682" s="13" t="s">
        <v>16</v>
      </c>
      <c r="C1682" s="215" t="s">
        <v>1530</v>
      </c>
      <c r="D1682" s="20"/>
      <c r="E1682" s="21">
        <f t="shared" si="1"/>
        <v>10714.52</v>
      </c>
      <c r="F1682" s="23"/>
      <c r="G1682" s="21">
        <f t="shared" si="8"/>
        <v>391859.66</v>
      </c>
      <c r="H1682" s="23"/>
      <c r="I1682" s="21">
        <f t="shared" si="12"/>
        <v>781.68</v>
      </c>
      <c r="J1682" s="23">
        <v>984.0</v>
      </c>
      <c r="K1682" s="21">
        <f t="shared" si="13"/>
        <v>221791.98</v>
      </c>
      <c r="L1682" s="23"/>
      <c r="M1682" s="21">
        <f t="shared" si="14"/>
        <v>1894.93</v>
      </c>
    </row>
    <row r="1683" ht="20.25" customHeight="1" outlineLevel="1">
      <c r="A1683" s="12">
        <v>46084.0</v>
      </c>
      <c r="B1683" s="13" t="s">
        <v>368</v>
      </c>
      <c r="C1683" s="207" t="s">
        <v>1531</v>
      </c>
      <c r="D1683" s="20"/>
      <c r="E1683" s="21">
        <f t="shared" si="1"/>
        <v>10714.52</v>
      </c>
      <c r="F1683" s="22">
        <v>-7870.0</v>
      </c>
      <c r="G1683" s="21">
        <f t="shared" si="8"/>
        <v>383989.66</v>
      </c>
      <c r="H1683" s="23"/>
      <c r="I1683" s="21">
        <f t="shared" si="12"/>
        <v>781.68</v>
      </c>
      <c r="J1683" s="23"/>
      <c r="K1683" s="21">
        <f t="shared" si="13"/>
        <v>221791.98</v>
      </c>
      <c r="L1683" s="23"/>
      <c r="M1683" s="21">
        <f t="shared" si="14"/>
        <v>1894.93</v>
      </c>
    </row>
    <row r="1684" ht="20.25" customHeight="1" outlineLevel="1">
      <c r="A1684" s="12">
        <v>46084.0</v>
      </c>
      <c r="B1684" s="13" t="s">
        <v>368</v>
      </c>
      <c r="C1684" s="207" t="s">
        <v>1532</v>
      </c>
      <c r="D1684" s="20"/>
      <c r="E1684" s="21">
        <f t="shared" si="1"/>
        <v>10714.52</v>
      </c>
      <c r="F1684" s="22">
        <v>-4470.0</v>
      </c>
      <c r="G1684" s="21">
        <f t="shared" si="8"/>
        <v>379519.66</v>
      </c>
      <c r="H1684" s="23"/>
      <c r="I1684" s="21">
        <f t="shared" si="12"/>
        <v>781.68</v>
      </c>
      <c r="J1684" s="23"/>
      <c r="K1684" s="21">
        <f t="shared" si="13"/>
        <v>221791.98</v>
      </c>
      <c r="L1684" s="23"/>
      <c r="M1684" s="21">
        <f t="shared" si="14"/>
        <v>1894.93</v>
      </c>
    </row>
    <row r="1685" ht="20.25" customHeight="1" outlineLevel="1">
      <c r="A1685" s="12">
        <v>46084.0</v>
      </c>
      <c r="B1685" s="13" t="s">
        <v>368</v>
      </c>
      <c r="C1685" s="207" t="s">
        <v>1533</v>
      </c>
      <c r="D1685" s="20"/>
      <c r="E1685" s="21">
        <f t="shared" si="1"/>
        <v>10714.52</v>
      </c>
      <c r="F1685" s="22">
        <v>-4000.0</v>
      </c>
      <c r="G1685" s="21">
        <f t="shared" si="8"/>
        <v>375519.66</v>
      </c>
      <c r="H1685" s="23"/>
      <c r="I1685" s="21">
        <f t="shared" si="12"/>
        <v>781.68</v>
      </c>
      <c r="J1685" s="23"/>
      <c r="K1685" s="21">
        <f t="shared" si="13"/>
        <v>221791.98</v>
      </c>
      <c r="L1685" s="23"/>
      <c r="M1685" s="21">
        <f t="shared" si="14"/>
        <v>1894.93</v>
      </c>
    </row>
    <row r="1686" ht="20.25" customHeight="1" outlineLevel="1">
      <c r="A1686" s="12">
        <v>46084.0</v>
      </c>
      <c r="B1686" s="13" t="s">
        <v>368</v>
      </c>
      <c r="C1686" s="207" t="s">
        <v>1534</v>
      </c>
      <c r="D1686" s="20"/>
      <c r="E1686" s="21">
        <f t="shared" si="1"/>
        <v>10714.52</v>
      </c>
      <c r="F1686" s="22">
        <v>-3910.0</v>
      </c>
      <c r="G1686" s="21">
        <f t="shared" si="8"/>
        <v>371609.66</v>
      </c>
      <c r="H1686" s="23"/>
      <c r="I1686" s="21">
        <f t="shared" si="12"/>
        <v>781.68</v>
      </c>
      <c r="J1686" s="23"/>
      <c r="K1686" s="21">
        <f t="shared" si="13"/>
        <v>221791.98</v>
      </c>
      <c r="L1686" s="23"/>
      <c r="M1686" s="21">
        <f t="shared" si="14"/>
        <v>1894.93</v>
      </c>
    </row>
    <row r="1687" ht="20.25" customHeight="1" outlineLevel="1">
      <c r="A1687" s="12">
        <v>46084.0</v>
      </c>
      <c r="B1687" s="13" t="s">
        <v>368</v>
      </c>
      <c r="C1687" s="207" t="s">
        <v>1535</v>
      </c>
      <c r="D1687" s="20"/>
      <c r="E1687" s="21">
        <f t="shared" si="1"/>
        <v>10714.52</v>
      </c>
      <c r="F1687" s="22">
        <v>-4970.0</v>
      </c>
      <c r="G1687" s="21">
        <f t="shared" si="8"/>
        <v>366639.66</v>
      </c>
      <c r="H1687" s="23"/>
      <c r="I1687" s="21">
        <f t="shared" si="12"/>
        <v>781.68</v>
      </c>
      <c r="J1687" s="23"/>
      <c r="K1687" s="21">
        <f t="shared" si="13"/>
        <v>221791.98</v>
      </c>
      <c r="L1687" s="23"/>
      <c r="M1687" s="21">
        <f t="shared" si="14"/>
        <v>1894.93</v>
      </c>
    </row>
    <row r="1688" ht="20.25" customHeight="1" outlineLevel="1">
      <c r="A1688" s="12">
        <v>46084.0</v>
      </c>
      <c r="B1688" s="13" t="s">
        <v>368</v>
      </c>
      <c r="C1688" s="207" t="s">
        <v>1536</v>
      </c>
      <c r="D1688" s="20"/>
      <c r="E1688" s="21">
        <f t="shared" si="1"/>
        <v>10714.52</v>
      </c>
      <c r="F1688" s="22">
        <v>-7275.0</v>
      </c>
      <c r="G1688" s="21">
        <f t="shared" si="8"/>
        <v>359364.66</v>
      </c>
      <c r="H1688" s="23"/>
      <c r="I1688" s="21">
        <f t="shared" si="12"/>
        <v>781.68</v>
      </c>
      <c r="J1688" s="23"/>
      <c r="K1688" s="21">
        <f t="shared" si="13"/>
        <v>221791.98</v>
      </c>
      <c r="L1688" s="23"/>
      <c r="M1688" s="21">
        <f t="shared" si="14"/>
        <v>1894.93</v>
      </c>
    </row>
    <row r="1689" ht="20.25" customHeight="1" outlineLevel="1">
      <c r="A1689" s="12">
        <v>46084.0</v>
      </c>
      <c r="B1689" s="13" t="s">
        <v>368</v>
      </c>
      <c r="C1689" s="207" t="s">
        <v>1537</v>
      </c>
      <c r="D1689" s="20"/>
      <c r="E1689" s="21">
        <f t="shared" si="1"/>
        <v>10714.52</v>
      </c>
      <c r="F1689" s="22">
        <v>-4505.0</v>
      </c>
      <c r="G1689" s="21">
        <f t="shared" si="8"/>
        <v>354859.66</v>
      </c>
      <c r="H1689" s="23"/>
      <c r="I1689" s="21">
        <f t="shared" si="12"/>
        <v>781.68</v>
      </c>
      <c r="J1689" s="23"/>
      <c r="K1689" s="21">
        <f t="shared" si="13"/>
        <v>221791.98</v>
      </c>
      <c r="L1689" s="23"/>
      <c r="M1689" s="21">
        <f t="shared" si="14"/>
        <v>1894.93</v>
      </c>
    </row>
    <row r="1690" ht="20.25" customHeight="1" outlineLevel="1">
      <c r="A1690" s="12">
        <v>46084.0</v>
      </c>
      <c r="B1690" s="13" t="s">
        <v>16</v>
      </c>
      <c r="C1690" s="207" t="s">
        <v>1538</v>
      </c>
      <c r="D1690" s="20"/>
      <c r="E1690" s="21">
        <f t="shared" si="1"/>
        <v>10714.52</v>
      </c>
      <c r="F1690" s="23">
        <v>295.0</v>
      </c>
      <c r="G1690" s="21">
        <f t="shared" si="8"/>
        <v>355154.66</v>
      </c>
      <c r="H1690" s="23"/>
      <c r="I1690" s="21">
        <f t="shared" si="12"/>
        <v>781.68</v>
      </c>
      <c r="J1690" s="23"/>
      <c r="K1690" s="21">
        <f t="shared" si="13"/>
        <v>221791.98</v>
      </c>
      <c r="L1690" s="23"/>
      <c r="M1690" s="21">
        <f t="shared" si="14"/>
        <v>1894.93</v>
      </c>
    </row>
    <row r="1691" ht="20.25" customHeight="1" outlineLevel="1">
      <c r="A1691" s="12">
        <v>46084.0</v>
      </c>
      <c r="B1691" s="13" t="s">
        <v>16</v>
      </c>
      <c r="C1691" s="207" t="s">
        <v>1539</v>
      </c>
      <c r="D1691" s="20"/>
      <c r="E1691" s="21">
        <f t="shared" si="1"/>
        <v>10714.52</v>
      </c>
      <c r="F1691" s="23">
        <v>35.0</v>
      </c>
      <c r="G1691" s="21">
        <f t="shared" si="8"/>
        <v>355189.66</v>
      </c>
      <c r="H1691" s="23"/>
      <c r="I1691" s="21">
        <f t="shared" si="12"/>
        <v>781.68</v>
      </c>
      <c r="J1691" s="23"/>
      <c r="K1691" s="21">
        <f t="shared" si="13"/>
        <v>221791.98</v>
      </c>
      <c r="L1691" s="23"/>
      <c r="M1691" s="21">
        <f t="shared" si="14"/>
        <v>1894.93</v>
      </c>
    </row>
    <row r="1692" ht="20.25" customHeight="1" outlineLevel="1">
      <c r="A1692" s="12">
        <v>46084.0</v>
      </c>
      <c r="B1692" s="13" t="s">
        <v>63</v>
      </c>
      <c r="C1692" s="212" t="s">
        <v>1540</v>
      </c>
      <c r="D1692" s="20"/>
      <c r="E1692" s="21">
        <f t="shared" si="1"/>
        <v>10714.52</v>
      </c>
      <c r="F1692" s="51">
        <v>244.0</v>
      </c>
      <c r="G1692" s="21">
        <f t="shared" si="8"/>
        <v>355433.66</v>
      </c>
      <c r="H1692" s="23"/>
      <c r="I1692" s="21">
        <f t="shared" si="12"/>
        <v>781.68</v>
      </c>
      <c r="J1692" s="23"/>
      <c r="K1692" s="21">
        <f t="shared" si="13"/>
        <v>221791.98</v>
      </c>
      <c r="L1692" s="23"/>
      <c r="M1692" s="21">
        <f t="shared" si="14"/>
        <v>1894.93</v>
      </c>
    </row>
    <row r="1693" ht="20.25" customHeight="1" outlineLevel="1">
      <c r="A1693" s="12">
        <v>46084.0</v>
      </c>
      <c r="B1693" s="13" t="s">
        <v>14</v>
      </c>
      <c r="C1693" s="207" t="s">
        <v>1541</v>
      </c>
      <c r="D1693" s="20"/>
      <c r="E1693" s="21">
        <f t="shared" si="1"/>
        <v>10714.52</v>
      </c>
      <c r="F1693" s="22">
        <v>-75.84</v>
      </c>
      <c r="G1693" s="21">
        <f t="shared" si="8"/>
        <v>355357.82</v>
      </c>
      <c r="H1693" s="23"/>
      <c r="I1693" s="21">
        <f t="shared" si="12"/>
        <v>781.68</v>
      </c>
      <c r="J1693" s="23"/>
      <c r="K1693" s="21">
        <f t="shared" si="13"/>
        <v>221791.98</v>
      </c>
      <c r="L1693" s="23"/>
      <c r="M1693" s="21">
        <f t="shared" si="14"/>
        <v>1894.93</v>
      </c>
    </row>
    <row r="1694" ht="20.25" customHeight="1" outlineLevel="1">
      <c r="A1694" s="12">
        <v>46084.0</v>
      </c>
      <c r="B1694" s="13" t="s">
        <v>14</v>
      </c>
      <c r="C1694" s="207" t="s">
        <v>30</v>
      </c>
      <c r="D1694" s="20"/>
      <c r="E1694" s="21">
        <f t="shared" si="1"/>
        <v>10714.52</v>
      </c>
      <c r="F1694" s="22">
        <v>-7.67</v>
      </c>
      <c r="G1694" s="21">
        <f t="shared" si="8"/>
        <v>355350.15</v>
      </c>
      <c r="H1694" s="23"/>
      <c r="I1694" s="21">
        <f t="shared" si="12"/>
        <v>781.68</v>
      </c>
      <c r="J1694" s="23"/>
      <c r="K1694" s="21">
        <f t="shared" si="13"/>
        <v>221791.98</v>
      </c>
      <c r="L1694" s="23"/>
      <c r="M1694" s="21">
        <f t="shared" si="14"/>
        <v>1894.93</v>
      </c>
    </row>
    <row r="1695" ht="20.25" customHeight="1" outlineLevel="1">
      <c r="A1695" s="12">
        <v>46084.0</v>
      </c>
      <c r="B1695" s="13" t="s">
        <v>14</v>
      </c>
      <c r="C1695" s="215" t="s">
        <v>34</v>
      </c>
      <c r="D1695" s="20"/>
      <c r="E1695" s="21">
        <f t="shared" si="1"/>
        <v>10714.52</v>
      </c>
      <c r="F1695" s="23"/>
      <c r="G1695" s="21">
        <f t="shared" si="8"/>
        <v>355350.15</v>
      </c>
      <c r="H1695" s="23"/>
      <c r="I1695" s="21">
        <f t="shared" si="12"/>
        <v>781.68</v>
      </c>
      <c r="J1695" s="22">
        <v>-131.0</v>
      </c>
      <c r="K1695" s="21">
        <f t="shared" si="13"/>
        <v>221660.98</v>
      </c>
      <c r="L1695" s="23"/>
      <c r="M1695" s="21">
        <f t="shared" si="14"/>
        <v>1894.93</v>
      </c>
    </row>
    <row r="1696" ht="20.25" customHeight="1" outlineLevel="1">
      <c r="A1696" s="12">
        <v>46084.0</v>
      </c>
      <c r="B1696" s="13" t="s">
        <v>14</v>
      </c>
      <c r="C1696" s="215" t="s">
        <v>34</v>
      </c>
      <c r="D1696" s="20"/>
      <c r="E1696" s="21">
        <f t="shared" si="1"/>
        <v>10714.52</v>
      </c>
      <c r="F1696" s="23"/>
      <c r="G1696" s="21">
        <f t="shared" si="8"/>
        <v>355350.15</v>
      </c>
      <c r="H1696" s="23"/>
      <c r="I1696" s="21">
        <f t="shared" si="12"/>
        <v>781.68</v>
      </c>
      <c r="J1696" s="22">
        <v>-139.99</v>
      </c>
      <c r="K1696" s="21">
        <f t="shared" si="13"/>
        <v>221520.99</v>
      </c>
      <c r="L1696" s="23"/>
      <c r="M1696" s="21">
        <f t="shared" si="14"/>
        <v>1894.93</v>
      </c>
    </row>
    <row r="1697" ht="20.25" customHeight="1" outlineLevel="1">
      <c r="A1697" s="12">
        <v>46084.0</v>
      </c>
      <c r="B1697" s="13" t="s">
        <v>16</v>
      </c>
      <c r="C1697" s="215" t="s">
        <v>1542</v>
      </c>
      <c r="D1697" s="20"/>
      <c r="E1697" s="21">
        <f t="shared" si="1"/>
        <v>10714.52</v>
      </c>
      <c r="F1697" s="23"/>
      <c r="G1697" s="21">
        <f t="shared" si="8"/>
        <v>355350.15</v>
      </c>
      <c r="H1697" s="23"/>
      <c r="I1697" s="21">
        <f t="shared" si="12"/>
        <v>781.68</v>
      </c>
      <c r="J1697" s="23">
        <v>274.5</v>
      </c>
      <c r="K1697" s="21">
        <f t="shared" si="13"/>
        <v>221795.49</v>
      </c>
      <c r="L1697" s="23"/>
      <c r="M1697" s="21">
        <f t="shared" si="14"/>
        <v>1894.93</v>
      </c>
    </row>
    <row r="1698" ht="20.25" customHeight="1" outlineLevel="1">
      <c r="A1698" s="12">
        <v>46084.0</v>
      </c>
      <c r="B1698" s="13" t="s">
        <v>16</v>
      </c>
      <c r="C1698" s="215" t="s">
        <v>1543</v>
      </c>
      <c r="D1698" s="20"/>
      <c r="E1698" s="21">
        <f t="shared" si="1"/>
        <v>10714.52</v>
      </c>
      <c r="F1698" s="23"/>
      <c r="G1698" s="21">
        <f t="shared" si="8"/>
        <v>355350.15</v>
      </c>
      <c r="H1698" s="23"/>
      <c r="I1698" s="21">
        <f t="shared" si="12"/>
        <v>781.68</v>
      </c>
      <c r="J1698" s="23">
        <v>40.0</v>
      </c>
      <c r="K1698" s="21">
        <f t="shared" si="13"/>
        <v>221835.49</v>
      </c>
      <c r="L1698" s="23"/>
      <c r="M1698" s="21">
        <f t="shared" si="14"/>
        <v>1894.93</v>
      </c>
    </row>
    <row r="1699" ht="20.25" customHeight="1" outlineLevel="1">
      <c r="A1699" s="12">
        <v>46084.0</v>
      </c>
      <c r="B1699" s="13" t="s">
        <v>16</v>
      </c>
      <c r="C1699" s="216" t="s">
        <v>1544</v>
      </c>
      <c r="D1699" s="20"/>
      <c r="E1699" s="21">
        <f t="shared" si="1"/>
        <v>10714.52</v>
      </c>
      <c r="F1699" s="23"/>
      <c r="G1699" s="21">
        <f t="shared" si="8"/>
        <v>355350.15</v>
      </c>
      <c r="H1699" s="23"/>
      <c r="I1699" s="21">
        <f t="shared" si="12"/>
        <v>781.68</v>
      </c>
      <c r="J1699" s="23">
        <v>50.0</v>
      </c>
      <c r="K1699" s="21">
        <f t="shared" si="13"/>
        <v>221885.49</v>
      </c>
      <c r="L1699" s="23"/>
      <c r="M1699" s="21">
        <f t="shared" si="14"/>
        <v>1894.93</v>
      </c>
    </row>
    <row r="1700" ht="20.25" customHeight="1" outlineLevel="1">
      <c r="A1700" s="12">
        <v>46084.0</v>
      </c>
      <c r="B1700" s="13" t="s">
        <v>57</v>
      </c>
      <c r="C1700" s="215" t="s">
        <v>1545</v>
      </c>
      <c r="D1700" s="20"/>
      <c r="E1700" s="21">
        <f t="shared" si="1"/>
        <v>10714.52</v>
      </c>
      <c r="F1700" s="23"/>
      <c r="G1700" s="21">
        <f t="shared" si="8"/>
        <v>355350.15</v>
      </c>
      <c r="H1700" s="23"/>
      <c r="I1700" s="21">
        <f t="shared" si="12"/>
        <v>781.68</v>
      </c>
      <c r="J1700" s="22">
        <v>-1883.36</v>
      </c>
      <c r="K1700" s="21">
        <f t="shared" si="13"/>
        <v>220002.13</v>
      </c>
      <c r="L1700" s="23"/>
      <c r="M1700" s="21">
        <f t="shared" si="14"/>
        <v>1894.93</v>
      </c>
    </row>
    <row r="1701" ht="20.25" customHeight="1" outlineLevel="1">
      <c r="A1701" s="12">
        <v>46085.0</v>
      </c>
      <c r="B1701" s="13" t="s">
        <v>16</v>
      </c>
      <c r="C1701" s="207" t="s">
        <v>1546</v>
      </c>
      <c r="D1701" s="20">
        <v>1070.0</v>
      </c>
      <c r="E1701" s="21">
        <f t="shared" si="1"/>
        <v>11784.52</v>
      </c>
      <c r="F1701" s="23"/>
      <c r="G1701" s="21">
        <f t="shared" si="8"/>
        <v>355350.15</v>
      </c>
      <c r="H1701" s="23"/>
      <c r="I1701" s="21">
        <f t="shared" si="12"/>
        <v>781.68</v>
      </c>
      <c r="J1701" s="23"/>
      <c r="K1701" s="21">
        <f t="shared" si="13"/>
        <v>220002.13</v>
      </c>
      <c r="L1701" s="23"/>
      <c r="M1701" s="21">
        <f t="shared" si="14"/>
        <v>1894.93</v>
      </c>
    </row>
    <row r="1702" ht="20.25" customHeight="1" outlineLevel="1">
      <c r="A1702" s="12">
        <v>46085.0</v>
      </c>
      <c r="B1702" s="13" t="s">
        <v>12</v>
      </c>
      <c r="C1702" s="83" t="s">
        <v>1547</v>
      </c>
      <c r="D1702" s="20"/>
      <c r="E1702" s="21">
        <f t="shared" si="1"/>
        <v>11784.52</v>
      </c>
      <c r="F1702" s="22">
        <v>-2400.0</v>
      </c>
      <c r="G1702" s="21">
        <f t="shared" si="8"/>
        <v>352950.15</v>
      </c>
      <c r="H1702" s="23"/>
      <c r="I1702" s="21">
        <f t="shared" si="12"/>
        <v>781.68</v>
      </c>
      <c r="J1702" s="23"/>
      <c r="K1702" s="21">
        <f t="shared" si="13"/>
        <v>220002.13</v>
      </c>
      <c r="L1702" s="23"/>
      <c r="M1702" s="21">
        <f t="shared" si="14"/>
        <v>1894.93</v>
      </c>
    </row>
    <row r="1703" ht="20.25" customHeight="1" outlineLevel="1">
      <c r="A1703" s="12">
        <v>46085.0</v>
      </c>
      <c r="B1703" s="13" t="s">
        <v>16</v>
      </c>
      <c r="C1703" s="83" t="s">
        <v>1548</v>
      </c>
      <c r="D1703" s="20"/>
      <c r="E1703" s="21">
        <f t="shared" si="1"/>
        <v>11784.52</v>
      </c>
      <c r="F1703" s="23">
        <v>530.0</v>
      </c>
      <c r="G1703" s="21">
        <f t="shared" si="8"/>
        <v>353480.15</v>
      </c>
      <c r="H1703" s="23"/>
      <c r="I1703" s="21">
        <f t="shared" si="12"/>
        <v>781.68</v>
      </c>
      <c r="J1703" s="23"/>
      <c r="K1703" s="21">
        <f t="shared" si="13"/>
        <v>220002.13</v>
      </c>
      <c r="L1703" s="23"/>
      <c r="M1703" s="21">
        <f t="shared" si="14"/>
        <v>1894.93</v>
      </c>
    </row>
    <row r="1704" ht="20.25" customHeight="1" outlineLevel="1">
      <c r="A1704" s="12">
        <v>46085.0</v>
      </c>
      <c r="B1704" s="13" t="s">
        <v>16</v>
      </c>
      <c r="C1704" s="83" t="s">
        <v>1549</v>
      </c>
      <c r="D1704" s="20"/>
      <c r="E1704" s="21">
        <f t="shared" si="1"/>
        <v>11784.52</v>
      </c>
      <c r="F1704" s="23">
        <v>50.0</v>
      </c>
      <c r="G1704" s="21">
        <f t="shared" si="8"/>
        <v>353530.15</v>
      </c>
      <c r="H1704" s="23"/>
      <c r="I1704" s="21">
        <f t="shared" si="12"/>
        <v>781.68</v>
      </c>
      <c r="J1704" s="23"/>
      <c r="K1704" s="21">
        <f t="shared" si="13"/>
        <v>220002.13</v>
      </c>
      <c r="L1704" s="23"/>
      <c r="M1704" s="21">
        <f t="shared" si="14"/>
        <v>1894.93</v>
      </c>
    </row>
    <row r="1705" ht="20.25" customHeight="1" outlineLevel="1">
      <c r="A1705" s="12">
        <v>46085.0</v>
      </c>
      <c r="B1705" s="13" t="s">
        <v>16</v>
      </c>
      <c r="C1705" s="83" t="s">
        <v>1550</v>
      </c>
      <c r="D1705" s="20"/>
      <c r="E1705" s="21">
        <f t="shared" si="1"/>
        <v>11784.52</v>
      </c>
      <c r="F1705" s="23">
        <v>244.12</v>
      </c>
      <c r="G1705" s="21">
        <f t="shared" si="8"/>
        <v>353774.27</v>
      </c>
      <c r="H1705" s="23"/>
      <c r="I1705" s="21">
        <f t="shared" si="12"/>
        <v>781.68</v>
      </c>
      <c r="J1705" s="23"/>
      <c r="K1705" s="21">
        <f t="shared" si="13"/>
        <v>220002.13</v>
      </c>
      <c r="L1705" s="23"/>
      <c r="M1705" s="21">
        <f t="shared" si="14"/>
        <v>1894.93</v>
      </c>
    </row>
    <row r="1706" ht="20.25" customHeight="1" outlineLevel="1">
      <c r="A1706" s="12">
        <v>46085.0</v>
      </c>
      <c r="B1706" s="46" t="s">
        <v>14</v>
      </c>
      <c r="C1706" s="59" t="s">
        <v>1551</v>
      </c>
      <c r="D1706" s="20"/>
      <c r="E1706" s="21">
        <f t="shared" si="1"/>
        <v>11784.52</v>
      </c>
      <c r="F1706" s="22">
        <v>-10.0</v>
      </c>
      <c r="G1706" s="21">
        <f t="shared" si="8"/>
        <v>353764.27</v>
      </c>
      <c r="H1706" s="23"/>
      <c r="I1706" s="21">
        <f t="shared" si="12"/>
        <v>781.68</v>
      </c>
      <c r="J1706" s="23"/>
      <c r="K1706" s="21">
        <f t="shared" si="13"/>
        <v>220002.13</v>
      </c>
      <c r="L1706" s="23"/>
      <c r="M1706" s="21">
        <f t="shared" si="14"/>
        <v>1894.93</v>
      </c>
    </row>
    <row r="1707" ht="20.25" customHeight="1" outlineLevel="1">
      <c r="A1707" s="12">
        <v>46085.0</v>
      </c>
      <c r="B1707" s="46" t="s">
        <v>14</v>
      </c>
      <c r="C1707" s="59" t="s">
        <v>1552</v>
      </c>
      <c r="D1707" s="20"/>
      <c r="E1707" s="21">
        <f t="shared" si="1"/>
        <v>11784.52</v>
      </c>
      <c r="F1707" s="22">
        <v>-5.0</v>
      </c>
      <c r="G1707" s="21">
        <f t="shared" si="8"/>
        <v>353759.27</v>
      </c>
      <c r="H1707" s="23"/>
      <c r="I1707" s="21">
        <f t="shared" si="12"/>
        <v>781.68</v>
      </c>
      <c r="J1707" s="23"/>
      <c r="K1707" s="21">
        <f t="shared" si="13"/>
        <v>220002.13</v>
      </c>
      <c r="L1707" s="23"/>
      <c r="M1707" s="21">
        <f t="shared" si="14"/>
        <v>1894.93</v>
      </c>
    </row>
    <row r="1708" ht="20.25" customHeight="1" outlineLevel="1">
      <c r="A1708" s="12">
        <v>46085.0</v>
      </c>
      <c r="B1708" s="13" t="s">
        <v>14</v>
      </c>
      <c r="C1708" s="83" t="s">
        <v>49</v>
      </c>
      <c r="D1708" s="20"/>
      <c r="E1708" s="21">
        <f t="shared" si="1"/>
        <v>11784.52</v>
      </c>
      <c r="F1708" s="22">
        <v>-129.57</v>
      </c>
      <c r="G1708" s="21">
        <f t="shared" si="8"/>
        <v>353629.7</v>
      </c>
      <c r="H1708" s="23"/>
      <c r="I1708" s="21">
        <f t="shared" si="12"/>
        <v>781.68</v>
      </c>
      <c r="J1708" s="23"/>
      <c r="K1708" s="21">
        <f t="shared" si="13"/>
        <v>220002.13</v>
      </c>
      <c r="L1708" s="23"/>
      <c r="M1708" s="21">
        <f t="shared" si="14"/>
        <v>1894.93</v>
      </c>
    </row>
    <row r="1709" ht="20.25" customHeight="1" outlineLevel="1">
      <c r="A1709" s="12">
        <v>46085.0</v>
      </c>
      <c r="B1709" s="13" t="s">
        <v>14</v>
      </c>
      <c r="C1709" s="83" t="s">
        <v>48</v>
      </c>
      <c r="D1709" s="20"/>
      <c r="E1709" s="21">
        <f t="shared" si="1"/>
        <v>11784.52</v>
      </c>
      <c r="F1709" s="22">
        <v>-28.74</v>
      </c>
      <c r="G1709" s="21">
        <f t="shared" si="8"/>
        <v>353600.96</v>
      </c>
      <c r="H1709" s="23"/>
      <c r="I1709" s="21">
        <f t="shared" si="12"/>
        <v>781.68</v>
      </c>
      <c r="J1709" s="23"/>
      <c r="K1709" s="21">
        <f t="shared" si="13"/>
        <v>220002.13</v>
      </c>
      <c r="L1709" s="23"/>
      <c r="M1709" s="21">
        <f t="shared" si="14"/>
        <v>1894.93</v>
      </c>
    </row>
    <row r="1710" ht="20.25" customHeight="1" outlineLevel="1">
      <c r="A1710" s="12">
        <v>46085.0</v>
      </c>
      <c r="B1710" s="13" t="s">
        <v>14</v>
      </c>
      <c r="C1710" s="82" t="s">
        <v>52</v>
      </c>
      <c r="D1710" s="20"/>
      <c r="E1710" s="21">
        <f t="shared" si="1"/>
        <v>11784.52</v>
      </c>
      <c r="F1710" s="23"/>
      <c r="G1710" s="21">
        <f t="shared" si="8"/>
        <v>353600.96</v>
      </c>
      <c r="H1710" s="23"/>
      <c r="I1710" s="21">
        <f t="shared" si="12"/>
        <v>781.68</v>
      </c>
      <c r="J1710" s="22">
        <v>-73.83</v>
      </c>
      <c r="K1710" s="21">
        <f t="shared" si="13"/>
        <v>219928.3</v>
      </c>
      <c r="L1710" s="23"/>
      <c r="M1710" s="21">
        <f t="shared" si="14"/>
        <v>1894.93</v>
      </c>
    </row>
    <row r="1711" ht="20.25" customHeight="1" outlineLevel="1">
      <c r="A1711" s="12">
        <v>46085.0</v>
      </c>
      <c r="B1711" s="13" t="s">
        <v>14</v>
      </c>
      <c r="C1711" s="82" t="s">
        <v>34</v>
      </c>
      <c r="D1711" s="20"/>
      <c r="E1711" s="21">
        <f t="shared" si="1"/>
        <v>11784.52</v>
      </c>
      <c r="F1711" s="23"/>
      <c r="G1711" s="21">
        <f t="shared" si="8"/>
        <v>353600.96</v>
      </c>
      <c r="H1711" s="23"/>
      <c r="I1711" s="21">
        <f t="shared" si="12"/>
        <v>781.68</v>
      </c>
      <c r="J1711" s="22">
        <v>-9.99</v>
      </c>
      <c r="K1711" s="21">
        <f t="shared" si="13"/>
        <v>219918.31</v>
      </c>
      <c r="L1711" s="23"/>
      <c r="M1711" s="21">
        <f t="shared" si="14"/>
        <v>1894.93</v>
      </c>
    </row>
    <row r="1712" ht="20.25" customHeight="1" outlineLevel="1">
      <c r="A1712" s="12">
        <v>46085.0</v>
      </c>
      <c r="B1712" s="13" t="s">
        <v>14</v>
      </c>
      <c r="C1712" s="82" t="s">
        <v>34</v>
      </c>
      <c r="D1712" s="20"/>
      <c r="E1712" s="21">
        <f t="shared" si="1"/>
        <v>11784.52</v>
      </c>
      <c r="F1712" s="23"/>
      <c r="G1712" s="21">
        <f t="shared" si="8"/>
        <v>353600.96</v>
      </c>
      <c r="H1712" s="23"/>
      <c r="I1712" s="21">
        <f t="shared" si="12"/>
        <v>781.68</v>
      </c>
      <c r="J1712" s="22">
        <v>-107.12</v>
      </c>
      <c r="K1712" s="21">
        <f t="shared" si="13"/>
        <v>219811.19</v>
      </c>
      <c r="L1712" s="23"/>
      <c r="M1712" s="21">
        <f t="shared" si="14"/>
        <v>1894.93</v>
      </c>
    </row>
    <row r="1713" ht="20.25" customHeight="1" outlineLevel="1">
      <c r="A1713" s="12">
        <v>46085.0</v>
      </c>
      <c r="B1713" s="13" t="s">
        <v>16</v>
      </c>
      <c r="C1713" s="82" t="s">
        <v>1553</v>
      </c>
      <c r="D1713" s="20"/>
      <c r="E1713" s="21">
        <f t="shared" si="1"/>
        <v>11784.52</v>
      </c>
      <c r="F1713" s="23"/>
      <c r="G1713" s="21">
        <f t="shared" si="8"/>
        <v>353600.96</v>
      </c>
      <c r="H1713" s="23"/>
      <c r="I1713" s="21">
        <f t="shared" si="12"/>
        <v>781.68</v>
      </c>
      <c r="J1713" s="23">
        <v>150.0</v>
      </c>
      <c r="K1713" s="21">
        <f t="shared" si="13"/>
        <v>219961.19</v>
      </c>
      <c r="L1713" s="23"/>
      <c r="M1713" s="21">
        <f t="shared" si="14"/>
        <v>1894.93</v>
      </c>
    </row>
    <row r="1714" ht="20.25" customHeight="1" outlineLevel="1">
      <c r="A1714" s="12">
        <v>46085.0</v>
      </c>
      <c r="B1714" s="13" t="s">
        <v>16</v>
      </c>
      <c r="C1714" s="82" t="s">
        <v>1554</v>
      </c>
      <c r="D1714" s="20"/>
      <c r="E1714" s="21">
        <f t="shared" si="1"/>
        <v>11784.52</v>
      </c>
      <c r="F1714" s="23"/>
      <c r="G1714" s="21">
        <f t="shared" si="8"/>
        <v>353600.96</v>
      </c>
      <c r="H1714" s="23"/>
      <c r="I1714" s="21">
        <f t="shared" si="12"/>
        <v>781.68</v>
      </c>
      <c r="J1714" s="23">
        <v>193.0</v>
      </c>
      <c r="K1714" s="21">
        <f t="shared" si="13"/>
        <v>220154.19</v>
      </c>
      <c r="L1714" s="23"/>
      <c r="M1714" s="21">
        <f t="shared" si="14"/>
        <v>1894.93</v>
      </c>
    </row>
    <row r="1715" ht="20.25" customHeight="1" outlineLevel="1">
      <c r="A1715" s="12">
        <v>46086.0</v>
      </c>
      <c r="B1715" s="13" t="s">
        <v>16</v>
      </c>
      <c r="C1715" s="83" t="s">
        <v>1399</v>
      </c>
      <c r="D1715" s="20">
        <v>75.0</v>
      </c>
      <c r="E1715" s="21">
        <f t="shared" si="1"/>
        <v>11859.52</v>
      </c>
      <c r="F1715" s="23"/>
      <c r="G1715" s="21">
        <f t="shared" si="8"/>
        <v>353600.96</v>
      </c>
      <c r="H1715" s="23"/>
      <c r="I1715" s="21">
        <f t="shared" si="12"/>
        <v>781.68</v>
      </c>
      <c r="J1715" s="23"/>
      <c r="K1715" s="21">
        <f t="shared" si="13"/>
        <v>220154.19</v>
      </c>
      <c r="L1715" s="23"/>
      <c r="M1715" s="21">
        <f t="shared" si="14"/>
        <v>1894.93</v>
      </c>
    </row>
    <row r="1716" ht="20.25" customHeight="1" outlineLevel="1">
      <c r="A1716" s="12">
        <v>46086.0</v>
      </c>
      <c r="B1716" s="13" t="s">
        <v>16</v>
      </c>
      <c r="C1716" s="83" t="s">
        <v>1555</v>
      </c>
      <c r="D1716" s="20"/>
      <c r="E1716" s="21">
        <f t="shared" si="1"/>
        <v>11859.52</v>
      </c>
      <c r="F1716" s="23">
        <v>50.0</v>
      </c>
      <c r="G1716" s="21">
        <f t="shared" si="8"/>
        <v>353650.96</v>
      </c>
      <c r="H1716" s="23"/>
      <c r="I1716" s="21">
        <f t="shared" si="12"/>
        <v>781.68</v>
      </c>
      <c r="J1716" s="23"/>
      <c r="K1716" s="21">
        <f t="shared" si="13"/>
        <v>220154.19</v>
      </c>
      <c r="L1716" s="23"/>
      <c r="M1716" s="21">
        <f t="shared" si="14"/>
        <v>1894.93</v>
      </c>
    </row>
    <row r="1717" ht="20.25" customHeight="1" outlineLevel="1">
      <c r="A1717" s="12">
        <v>46086.0</v>
      </c>
      <c r="B1717" s="13" t="s">
        <v>16</v>
      </c>
      <c r="C1717" s="83" t="s">
        <v>1556</v>
      </c>
      <c r="D1717" s="20"/>
      <c r="E1717" s="21">
        <f t="shared" si="1"/>
        <v>11859.52</v>
      </c>
      <c r="F1717" s="23">
        <v>576.0</v>
      </c>
      <c r="G1717" s="21">
        <f t="shared" si="8"/>
        <v>354226.96</v>
      </c>
      <c r="H1717" s="23"/>
      <c r="I1717" s="21">
        <f t="shared" si="12"/>
        <v>781.68</v>
      </c>
      <c r="J1717" s="23"/>
      <c r="K1717" s="21">
        <f t="shared" si="13"/>
        <v>220154.19</v>
      </c>
      <c r="L1717" s="23"/>
      <c r="M1717" s="21">
        <f t="shared" si="14"/>
        <v>1894.93</v>
      </c>
    </row>
    <row r="1718" ht="20.25" customHeight="1" outlineLevel="1">
      <c r="A1718" s="12">
        <v>46086.0</v>
      </c>
      <c r="B1718" s="13" t="s">
        <v>14</v>
      </c>
      <c r="C1718" s="83" t="s">
        <v>65</v>
      </c>
      <c r="D1718" s="20"/>
      <c r="E1718" s="21">
        <f t="shared" si="1"/>
        <v>11859.52</v>
      </c>
      <c r="F1718" s="22">
        <v>-0.4</v>
      </c>
      <c r="G1718" s="21">
        <f t="shared" si="8"/>
        <v>354226.56</v>
      </c>
      <c r="H1718" s="23"/>
      <c r="I1718" s="21">
        <f t="shared" si="12"/>
        <v>781.68</v>
      </c>
      <c r="J1718" s="23"/>
      <c r="K1718" s="21">
        <f t="shared" si="13"/>
        <v>220154.19</v>
      </c>
      <c r="L1718" s="23"/>
      <c r="M1718" s="21">
        <f t="shared" si="14"/>
        <v>1894.93</v>
      </c>
    </row>
    <row r="1719" ht="20.25" customHeight="1" outlineLevel="1">
      <c r="A1719" s="12">
        <v>46086.0</v>
      </c>
      <c r="B1719" s="13" t="s">
        <v>14</v>
      </c>
      <c r="C1719" s="83" t="s">
        <v>66</v>
      </c>
      <c r="D1719" s="20"/>
      <c r="E1719" s="21">
        <f t="shared" si="1"/>
        <v>11859.52</v>
      </c>
      <c r="F1719" s="22">
        <v>-0.4</v>
      </c>
      <c r="G1719" s="21">
        <f t="shared" si="8"/>
        <v>354226.16</v>
      </c>
      <c r="H1719" s="23"/>
      <c r="I1719" s="21">
        <f t="shared" si="12"/>
        <v>781.68</v>
      </c>
      <c r="J1719" s="23"/>
      <c r="K1719" s="21">
        <f t="shared" si="13"/>
        <v>220154.19</v>
      </c>
      <c r="L1719" s="23"/>
      <c r="M1719" s="21">
        <f t="shared" si="14"/>
        <v>1894.93</v>
      </c>
    </row>
    <row r="1720" ht="20.25" customHeight="1" outlineLevel="1">
      <c r="A1720" s="12">
        <v>46086.0</v>
      </c>
      <c r="B1720" s="13" t="s">
        <v>16</v>
      </c>
      <c r="C1720" s="82" t="s">
        <v>1557</v>
      </c>
      <c r="D1720" s="20"/>
      <c r="E1720" s="21">
        <f t="shared" si="1"/>
        <v>11859.52</v>
      </c>
      <c r="F1720" s="23"/>
      <c r="G1720" s="21">
        <f t="shared" si="8"/>
        <v>354226.16</v>
      </c>
      <c r="H1720" s="23"/>
      <c r="I1720" s="21">
        <f t="shared" si="12"/>
        <v>781.68</v>
      </c>
      <c r="J1720" s="23">
        <v>175.0</v>
      </c>
      <c r="K1720" s="21">
        <f t="shared" si="13"/>
        <v>220329.19</v>
      </c>
      <c r="L1720" s="23"/>
      <c r="M1720" s="21">
        <f t="shared" si="14"/>
        <v>1894.93</v>
      </c>
    </row>
    <row r="1721" ht="20.25" customHeight="1" outlineLevel="1">
      <c r="A1721" s="12">
        <v>46087.0</v>
      </c>
      <c r="B1721" s="13" t="s">
        <v>14</v>
      </c>
      <c r="C1721" s="28" t="s">
        <v>1558</v>
      </c>
      <c r="D1721" s="73">
        <v>-14.7</v>
      </c>
      <c r="E1721" s="21">
        <f t="shared" si="1"/>
        <v>11844.82</v>
      </c>
      <c r="F1721" s="23"/>
      <c r="G1721" s="21">
        <f t="shared" si="8"/>
        <v>354226.16</v>
      </c>
      <c r="H1721" s="23"/>
      <c r="I1721" s="21">
        <f t="shared" si="12"/>
        <v>781.68</v>
      </c>
      <c r="J1721" s="23"/>
      <c r="K1721" s="21">
        <f t="shared" si="13"/>
        <v>220329.19</v>
      </c>
      <c r="L1721" s="23"/>
      <c r="M1721" s="21">
        <f t="shared" si="14"/>
        <v>1894.93</v>
      </c>
    </row>
    <row r="1722" ht="20.25" customHeight="1" outlineLevel="1">
      <c r="A1722" s="12">
        <v>46087.0</v>
      </c>
      <c r="B1722" s="13" t="s">
        <v>16</v>
      </c>
      <c r="C1722" s="207" t="s">
        <v>1559</v>
      </c>
      <c r="D1722" s="20">
        <v>50.0</v>
      </c>
      <c r="E1722" s="21">
        <f t="shared" si="1"/>
        <v>11894.82</v>
      </c>
      <c r="F1722" s="23"/>
      <c r="G1722" s="21">
        <f t="shared" si="8"/>
        <v>354226.16</v>
      </c>
      <c r="H1722" s="23"/>
      <c r="I1722" s="21">
        <f t="shared" si="12"/>
        <v>781.68</v>
      </c>
      <c r="J1722" s="23"/>
      <c r="K1722" s="21">
        <f t="shared" si="13"/>
        <v>220329.19</v>
      </c>
      <c r="L1722" s="23"/>
      <c r="M1722" s="21">
        <f t="shared" si="14"/>
        <v>1894.93</v>
      </c>
    </row>
    <row r="1723" ht="20.25" customHeight="1" outlineLevel="1">
      <c r="A1723" s="12">
        <v>46087.0</v>
      </c>
      <c r="B1723" s="13" t="s">
        <v>14</v>
      </c>
      <c r="C1723" s="209" t="s">
        <v>1560</v>
      </c>
      <c r="D1723" s="20"/>
      <c r="E1723" s="21">
        <f t="shared" si="1"/>
        <v>11894.82</v>
      </c>
      <c r="F1723" s="22">
        <v>-811.2</v>
      </c>
      <c r="G1723" s="21">
        <f t="shared" si="8"/>
        <v>353414.96</v>
      </c>
      <c r="H1723" s="23"/>
      <c r="I1723" s="21">
        <f t="shared" si="12"/>
        <v>781.68</v>
      </c>
      <c r="J1723" s="23"/>
      <c r="K1723" s="21">
        <f t="shared" si="13"/>
        <v>220329.19</v>
      </c>
      <c r="L1723" s="23"/>
      <c r="M1723" s="21">
        <f t="shared" si="14"/>
        <v>1894.93</v>
      </c>
    </row>
    <row r="1724" ht="20.25" customHeight="1" outlineLevel="1">
      <c r="A1724" s="12">
        <v>46087.0</v>
      </c>
      <c r="B1724" s="13" t="s">
        <v>12</v>
      </c>
      <c r="C1724" s="207" t="s">
        <v>1561</v>
      </c>
      <c r="D1724" s="20"/>
      <c r="E1724" s="21">
        <f t="shared" si="1"/>
        <v>11894.82</v>
      </c>
      <c r="F1724" s="22">
        <v>-11697.55</v>
      </c>
      <c r="G1724" s="21">
        <f t="shared" si="8"/>
        <v>341717.41</v>
      </c>
      <c r="H1724" s="23"/>
      <c r="I1724" s="21">
        <f t="shared" si="12"/>
        <v>781.68</v>
      </c>
      <c r="J1724" s="23"/>
      <c r="K1724" s="21">
        <f t="shared" si="13"/>
        <v>220329.19</v>
      </c>
      <c r="L1724" s="23"/>
      <c r="M1724" s="21">
        <f t="shared" si="14"/>
        <v>1894.93</v>
      </c>
    </row>
    <row r="1725" ht="20.25" customHeight="1" outlineLevel="1">
      <c r="A1725" s="12">
        <v>46087.0</v>
      </c>
      <c r="B1725" s="13" t="s">
        <v>368</v>
      </c>
      <c r="C1725" s="207" t="s">
        <v>1562</v>
      </c>
      <c r="D1725" s="20"/>
      <c r="E1725" s="21">
        <f t="shared" si="1"/>
        <v>11894.82</v>
      </c>
      <c r="F1725" s="22">
        <v>-8130.0</v>
      </c>
      <c r="G1725" s="21">
        <f t="shared" si="8"/>
        <v>333587.41</v>
      </c>
      <c r="H1725" s="23"/>
      <c r="I1725" s="21">
        <f t="shared" si="12"/>
        <v>781.68</v>
      </c>
      <c r="J1725" s="23"/>
      <c r="K1725" s="21">
        <f t="shared" si="13"/>
        <v>220329.19</v>
      </c>
      <c r="L1725" s="23"/>
      <c r="M1725" s="21">
        <f t="shared" si="14"/>
        <v>1894.93</v>
      </c>
    </row>
    <row r="1726" ht="20.25" customHeight="1" outlineLevel="1">
      <c r="A1726" s="12">
        <v>46087.0</v>
      </c>
      <c r="B1726" s="13" t="s">
        <v>368</v>
      </c>
      <c r="C1726" s="207" t="s">
        <v>1563</v>
      </c>
      <c r="D1726" s="20"/>
      <c r="E1726" s="21">
        <f t="shared" si="1"/>
        <v>11894.82</v>
      </c>
      <c r="F1726" s="22">
        <v>-375.0</v>
      </c>
      <c r="G1726" s="21">
        <f t="shared" si="8"/>
        <v>333212.41</v>
      </c>
      <c r="H1726" s="23"/>
      <c r="I1726" s="21">
        <f t="shared" si="12"/>
        <v>781.68</v>
      </c>
      <c r="J1726" s="23"/>
      <c r="K1726" s="21">
        <f t="shared" si="13"/>
        <v>220329.19</v>
      </c>
      <c r="L1726" s="23"/>
      <c r="M1726" s="21">
        <f t="shared" si="14"/>
        <v>1894.93</v>
      </c>
    </row>
    <row r="1727" ht="20.25" customHeight="1" outlineLevel="1">
      <c r="A1727" s="12">
        <v>46087.0</v>
      </c>
      <c r="B1727" s="13" t="s">
        <v>368</v>
      </c>
      <c r="C1727" s="207" t="s">
        <v>1564</v>
      </c>
      <c r="D1727" s="20"/>
      <c r="E1727" s="21">
        <f t="shared" si="1"/>
        <v>11894.82</v>
      </c>
      <c r="F1727" s="22">
        <v>-6034.35</v>
      </c>
      <c r="G1727" s="21">
        <f t="shared" si="8"/>
        <v>327178.06</v>
      </c>
      <c r="H1727" s="23"/>
      <c r="I1727" s="21">
        <f t="shared" si="12"/>
        <v>781.68</v>
      </c>
      <c r="J1727" s="23"/>
      <c r="K1727" s="21">
        <f t="shared" si="13"/>
        <v>220329.19</v>
      </c>
      <c r="L1727" s="23"/>
      <c r="M1727" s="21">
        <f t="shared" si="14"/>
        <v>1894.93</v>
      </c>
    </row>
    <row r="1728" ht="20.25" customHeight="1" outlineLevel="1">
      <c r="A1728" s="12">
        <v>46087.0</v>
      </c>
      <c r="B1728" s="13" t="s">
        <v>368</v>
      </c>
      <c r="C1728" s="28" t="s">
        <v>1565</v>
      </c>
      <c r="D1728" s="20"/>
      <c r="E1728" s="21">
        <f t="shared" si="1"/>
        <v>11894.82</v>
      </c>
      <c r="F1728" s="22">
        <v>-2858.25</v>
      </c>
      <c r="G1728" s="21">
        <f t="shared" si="8"/>
        <v>324319.81</v>
      </c>
      <c r="H1728" s="23"/>
      <c r="I1728" s="21">
        <f t="shared" si="12"/>
        <v>781.68</v>
      </c>
      <c r="J1728" s="23"/>
      <c r="K1728" s="21">
        <f t="shared" si="13"/>
        <v>220329.19</v>
      </c>
      <c r="L1728" s="23"/>
      <c r="M1728" s="21">
        <f t="shared" si="14"/>
        <v>1894.93</v>
      </c>
    </row>
    <row r="1729" ht="20.25" customHeight="1" outlineLevel="1">
      <c r="A1729" s="12">
        <v>46087.0</v>
      </c>
      <c r="B1729" s="13" t="s">
        <v>368</v>
      </c>
      <c r="C1729" s="70" t="s">
        <v>1566</v>
      </c>
      <c r="D1729" s="20"/>
      <c r="E1729" s="21">
        <f t="shared" si="1"/>
        <v>11894.82</v>
      </c>
      <c r="F1729" s="22">
        <v>-22450.0</v>
      </c>
      <c r="G1729" s="21">
        <f t="shared" si="8"/>
        <v>301869.81</v>
      </c>
      <c r="H1729" s="23"/>
      <c r="I1729" s="21">
        <f t="shared" si="12"/>
        <v>781.68</v>
      </c>
      <c r="J1729" s="23"/>
      <c r="K1729" s="21">
        <f t="shared" si="13"/>
        <v>220329.19</v>
      </c>
      <c r="L1729" s="23"/>
      <c r="M1729" s="21">
        <f t="shared" si="14"/>
        <v>1894.93</v>
      </c>
    </row>
    <row r="1730" ht="20.25" customHeight="1" outlineLevel="1">
      <c r="A1730" s="12">
        <v>46087.0</v>
      </c>
      <c r="B1730" s="13" t="s">
        <v>16</v>
      </c>
      <c r="C1730" s="28" t="s">
        <v>1567</v>
      </c>
      <c r="D1730" s="20"/>
      <c r="E1730" s="21">
        <f t="shared" si="1"/>
        <v>11894.82</v>
      </c>
      <c r="F1730" s="23">
        <v>25.0</v>
      </c>
      <c r="G1730" s="21">
        <f t="shared" si="8"/>
        <v>301894.81</v>
      </c>
      <c r="H1730" s="23"/>
      <c r="I1730" s="21">
        <f t="shared" si="12"/>
        <v>781.68</v>
      </c>
      <c r="J1730" s="23"/>
      <c r="K1730" s="21">
        <f t="shared" si="13"/>
        <v>220329.19</v>
      </c>
      <c r="L1730" s="23"/>
      <c r="M1730" s="21">
        <f t="shared" si="14"/>
        <v>1894.93</v>
      </c>
    </row>
    <row r="1731" ht="20.25" customHeight="1" outlineLevel="1">
      <c r="A1731" s="12">
        <v>46087.0</v>
      </c>
      <c r="B1731" s="13" t="s">
        <v>16</v>
      </c>
      <c r="C1731" s="28" t="s">
        <v>1568</v>
      </c>
      <c r="D1731" s="20"/>
      <c r="E1731" s="21">
        <f t="shared" si="1"/>
        <v>11894.82</v>
      </c>
      <c r="F1731" s="23">
        <v>75.0</v>
      </c>
      <c r="G1731" s="21">
        <f t="shared" si="8"/>
        <v>301969.81</v>
      </c>
      <c r="H1731" s="23"/>
      <c r="I1731" s="21">
        <f t="shared" si="12"/>
        <v>781.68</v>
      </c>
      <c r="J1731" s="23"/>
      <c r="K1731" s="21">
        <f t="shared" si="13"/>
        <v>220329.19</v>
      </c>
      <c r="L1731" s="23"/>
      <c r="M1731" s="21">
        <f t="shared" si="14"/>
        <v>1894.93</v>
      </c>
    </row>
    <row r="1732" ht="20.25" customHeight="1" outlineLevel="1">
      <c r="A1732" s="12">
        <v>46087.0</v>
      </c>
      <c r="B1732" s="13" t="s">
        <v>14</v>
      </c>
      <c r="C1732" s="42" t="s">
        <v>34</v>
      </c>
      <c r="D1732" s="20"/>
      <c r="E1732" s="21">
        <f t="shared" si="1"/>
        <v>11894.82</v>
      </c>
      <c r="F1732" s="23"/>
      <c r="G1732" s="21">
        <f t="shared" si="8"/>
        <v>301969.81</v>
      </c>
      <c r="H1732" s="23"/>
      <c r="I1732" s="21">
        <f t="shared" si="12"/>
        <v>781.68</v>
      </c>
      <c r="J1732" s="22">
        <v>-69.99</v>
      </c>
      <c r="K1732" s="21">
        <f t="shared" si="13"/>
        <v>220259.2</v>
      </c>
      <c r="L1732" s="23"/>
      <c r="M1732" s="21">
        <f t="shared" si="14"/>
        <v>1894.93</v>
      </c>
    </row>
    <row r="1733" ht="20.25" customHeight="1" outlineLevel="1">
      <c r="A1733" s="12">
        <v>46087.0</v>
      </c>
      <c r="B1733" s="13" t="s">
        <v>14</v>
      </c>
      <c r="C1733" s="42" t="s">
        <v>34</v>
      </c>
      <c r="D1733" s="20"/>
      <c r="E1733" s="21">
        <f t="shared" si="1"/>
        <v>11894.82</v>
      </c>
      <c r="F1733" s="23"/>
      <c r="G1733" s="21">
        <f t="shared" si="8"/>
        <v>301969.81</v>
      </c>
      <c r="H1733" s="23"/>
      <c r="I1733" s="21">
        <f t="shared" si="12"/>
        <v>781.68</v>
      </c>
      <c r="J1733" s="22">
        <v>-24.11</v>
      </c>
      <c r="K1733" s="21">
        <f t="shared" si="13"/>
        <v>220235.09</v>
      </c>
      <c r="L1733" s="23"/>
      <c r="M1733" s="21">
        <f t="shared" si="14"/>
        <v>1894.93</v>
      </c>
    </row>
    <row r="1734" ht="20.25" customHeight="1" outlineLevel="1">
      <c r="A1734" s="12">
        <v>46087.0</v>
      </c>
      <c r="B1734" s="13" t="s">
        <v>16</v>
      </c>
      <c r="C1734" s="41" t="s">
        <v>1569</v>
      </c>
      <c r="D1734" s="20"/>
      <c r="E1734" s="21">
        <f t="shared" si="1"/>
        <v>11894.82</v>
      </c>
      <c r="F1734" s="23"/>
      <c r="G1734" s="21">
        <f t="shared" si="8"/>
        <v>301969.81</v>
      </c>
      <c r="H1734" s="23"/>
      <c r="I1734" s="21">
        <f t="shared" si="12"/>
        <v>781.68</v>
      </c>
      <c r="J1734" s="23">
        <v>168.0</v>
      </c>
      <c r="K1734" s="21">
        <f t="shared" si="13"/>
        <v>220403.09</v>
      </c>
      <c r="L1734" s="23"/>
      <c r="M1734" s="21">
        <f t="shared" si="14"/>
        <v>1894.93</v>
      </c>
    </row>
    <row r="1735" ht="20.25" customHeight="1" outlineLevel="1">
      <c r="A1735" s="12">
        <v>46087.0</v>
      </c>
      <c r="B1735" s="13" t="s">
        <v>16</v>
      </c>
      <c r="C1735" s="42" t="s">
        <v>1570</v>
      </c>
      <c r="D1735" s="20"/>
      <c r="E1735" s="21">
        <f t="shared" si="1"/>
        <v>11894.82</v>
      </c>
      <c r="F1735" s="23"/>
      <c r="G1735" s="21">
        <f t="shared" si="8"/>
        <v>301969.81</v>
      </c>
      <c r="H1735" s="23"/>
      <c r="I1735" s="21">
        <f t="shared" si="12"/>
        <v>781.68</v>
      </c>
      <c r="J1735" s="23">
        <v>17.5</v>
      </c>
      <c r="K1735" s="21">
        <f t="shared" si="13"/>
        <v>220420.59</v>
      </c>
      <c r="L1735" s="23"/>
      <c r="M1735" s="21">
        <f t="shared" si="14"/>
        <v>1894.93</v>
      </c>
    </row>
    <row r="1736" ht="20.25" customHeight="1" outlineLevel="1">
      <c r="A1736" s="12">
        <v>46090.0</v>
      </c>
      <c r="B1736" s="13" t="s">
        <v>16</v>
      </c>
      <c r="C1736" s="28" t="s">
        <v>1571</v>
      </c>
      <c r="D1736" s="20"/>
      <c r="E1736" s="21">
        <f t="shared" si="1"/>
        <v>11894.82</v>
      </c>
      <c r="F1736" s="23">
        <v>30.0</v>
      </c>
      <c r="G1736" s="21">
        <f t="shared" si="8"/>
        <v>301999.81</v>
      </c>
      <c r="H1736" s="23"/>
      <c r="I1736" s="21">
        <f t="shared" si="12"/>
        <v>781.68</v>
      </c>
      <c r="J1736" s="23"/>
      <c r="K1736" s="21">
        <f t="shared" si="13"/>
        <v>220420.59</v>
      </c>
      <c r="L1736" s="23"/>
      <c r="M1736" s="21">
        <f t="shared" si="14"/>
        <v>1894.93</v>
      </c>
    </row>
    <row r="1737" ht="20.25" customHeight="1" outlineLevel="1">
      <c r="A1737" s="12">
        <v>46090.0</v>
      </c>
      <c r="B1737" s="13" t="s">
        <v>16</v>
      </c>
      <c r="C1737" s="83" t="s">
        <v>1572</v>
      </c>
      <c r="D1737" s="20"/>
      <c r="E1737" s="21">
        <f t="shared" si="1"/>
        <v>11894.82</v>
      </c>
      <c r="F1737" s="23">
        <v>439.0</v>
      </c>
      <c r="G1737" s="21">
        <f t="shared" si="8"/>
        <v>302438.81</v>
      </c>
      <c r="H1737" s="23"/>
      <c r="I1737" s="21">
        <f t="shared" si="12"/>
        <v>781.68</v>
      </c>
      <c r="J1737" s="23"/>
      <c r="K1737" s="21">
        <f t="shared" si="13"/>
        <v>220420.59</v>
      </c>
      <c r="L1737" s="23"/>
      <c r="M1737" s="21">
        <f t="shared" si="14"/>
        <v>1894.93</v>
      </c>
    </row>
    <row r="1738" ht="20.25" customHeight="1" outlineLevel="1">
      <c r="A1738" s="12">
        <v>46090.0</v>
      </c>
      <c r="B1738" s="13" t="s">
        <v>16</v>
      </c>
      <c r="C1738" s="83" t="s">
        <v>1573</v>
      </c>
      <c r="D1738" s="20"/>
      <c r="E1738" s="21">
        <f t="shared" si="1"/>
        <v>11894.82</v>
      </c>
      <c r="F1738" s="23">
        <v>237.0</v>
      </c>
      <c r="G1738" s="21">
        <f t="shared" si="8"/>
        <v>302675.81</v>
      </c>
      <c r="H1738" s="23"/>
      <c r="I1738" s="21">
        <f t="shared" si="12"/>
        <v>781.68</v>
      </c>
      <c r="J1738" s="23"/>
      <c r="K1738" s="21">
        <f t="shared" si="13"/>
        <v>220420.59</v>
      </c>
      <c r="L1738" s="23"/>
      <c r="M1738" s="21">
        <f t="shared" si="14"/>
        <v>1894.93</v>
      </c>
    </row>
    <row r="1739" ht="20.25" customHeight="1" outlineLevel="1">
      <c r="A1739" s="12">
        <v>46090.0</v>
      </c>
      <c r="B1739" s="13" t="s">
        <v>16</v>
      </c>
      <c r="C1739" s="83" t="s">
        <v>1574</v>
      </c>
      <c r="D1739" s="20"/>
      <c r="E1739" s="21">
        <f t="shared" si="1"/>
        <v>11894.82</v>
      </c>
      <c r="F1739" s="23">
        <v>37.0</v>
      </c>
      <c r="G1739" s="21">
        <f t="shared" si="8"/>
        <v>302712.81</v>
      </c>
      <c r="H1739" s="23"/>
      <c r="I1739" s="21">
        <f t="shared" si="12"/>
        <v>781.68</v>
      </c>
      <c r="J1739" s="23"/>
      <c r="K1739" s="21">
        <f t="shared" si="13"/>
        <v>220420.59</v>
      </c>
      <c r="L1739" s="23"/>
      <c r="M1739" s="21">
        <f t="shared" si="14"/>
        <v>1894.93</v>
      </c>
    </row>
    <row r="1740" ht="20.25" customHeight="1" outlineLevel="1">
      <c r="A1740" s="12">
        <v>46090.0</v>
      </c>
      <c r="B1740" s="13" t="s">
        <v>16</v>
      </c>
      <c r="C1740" s="83" t="s">
        <v>1575</v>
      </c>
      <c r="D1740" s="20"/>
      <c r="E1740" s="21">
        <f t="shared" si="1"/>
        <v>11894.82</v>
      </c>
      <c r="F1740" s="23">
        <v>243.0</v>
      </c>
      <c r="G1740" s="21">
        <f t="shared" si="8"/>
        <v>302955.81</v>
      </c>
      <c r="H1740" s="23"/>
      <c r="I1740" s="21">
        <f t="shared" si="12"/>
        <v>781.68</v>
      </c>
      <c r="J1740" s="23"/>
      <c r="K1740" s="21">
        <f t="shared" si="13"/>
        <v>220420.59</v>
      </c>
      <c r="L1740" s="23"/>
      <c r="M1740" s="21">
        <f t="shared" si="14"/>
        <v>1894.93</v>
      </c>
    </row>
    <row r="1741" ht="20.25" customHeight="1" outlineLevel="1">
      <c r="A1741" s="12">
        <v>46090.0</v>
      </c>
      <c r="B1741" s="13" t="s">
        <v>16</v>
      </c>
      <c r="C1741" s="83" t="s">
        <v>1576</v>
      </c>
      <c r="D1741" s="20"/>
      <c r="E1741" s="21">
        <f t="shared" si="1"/>
        <v>11894.82</v>
      </c>
      <c r="F1741" s="23">
        <v>175.0</v>
      </c>
      <c r="G1741" s="21">
        <f t="shared" si="8"/>
        <v>303130.81</v>
      </c>
      <c r="H1741" s="23"/>
      <c r="I1741" s="21">
        <f t="shared" si="12"/>
        <v>781.68</v>
      </c>
      <c r="J1741" s="23"/>
      <c r="K1741" s="21">
        <f t="shared" si="13"/>
        <v>220420.59</v>
      </c>
      <c r="L1741" s="23"/>
      <c r="M1741" s="21">
        <f t="shared" si="14"/>
        <v>1894.93</v>
      </c>
    </row>
    <row r="1742" ht="20.25" customHeight="1" outlineLevel="1">
      <c r="A1742" s="12">
        <v>46090.0</v>
      </c>
      <c r="B1742" s="13" t="s">
        <v>16</v>
      </c>
      <c r="C1742" s="82" t="s">
        <v>1577</v>
      </c>
      <c r="D1742" s="20"/>
      <c r="E1742" s="21">
        <f t="shared" si="1"/>
        <v>11894.82</v>
      </c>
      <c r="F1742" s="23"/>
      <c r="G1742" s="21">
        <f t="shared" si="8"/>
        <v>303130.81</v>
      </c>
      <c r="H1742" s="23"/>
      <c r="I1742" s="21">
        <f t="shared" si="12"/>
        <v>781.68</v>
      </c>
      <c r="J1742" s="23">
        <v>195.0</v>
      </c>
      <c r="K1742" s="21">
        <f t="shared" si="13"/>
        <v>220615.59</v>
      </c>
      <c r="L1742" s="23"/>
      <c r="M1742" s="21">
        <f t="shared" si="14"/>
        <v>1894.93</v>
      </c>
    </row>
    <row r="1743" ht="20.25" customHeight="1" outlineLevel="1">
      <c r="A1743" s="12">
        <v>46090.0</v>
      </c>
      <c r="B1743" s="13" t="s">
        <v>16</v>
      </c>
      <c r="C1743" s="82" t="s">
        <v>1578</v>
      </c>
      <c r="D1743" s="20"/>
      <c r="E1743" s="21">
        <f t="shared" si="1"/>
        <v>11894.82</v>
      </c>
      <c r="F1743" s="23"/>
      <c r="G1743" s="21">
        <f t="shared" si="8"/>
        <v>303130.81</v>
      </c>
      <c r="H1743" s="23"/>
      <c r="I1743" s="21">
        <f t="shared" si="12"/>
        <v>781.68</v>
      </c>
      <c r="J1743" s="23">
        <v>25.0</v>
      </c>
      <c r="K1743" s="21">
        <f t="shared" si="13"/>
        <v>220640.59</v>
      </c>
      <c r="L1743" s="23"/>
      <c r="M1743" s="21">
        <f t="shared" si="14"/>
        <v>1894.93</v>
      </c>
    </row>
    <row r="1744" ht="20.25" customHeight="1" outlineLevel="1">
      <c r="A1744" s="12">
        <v>46090.0</v>
      </c>
      <c r="B1744" s="13" t="s">
        <v>16</v>
      </c>
      <c r="C1744" s="42" t="s">
        <v>1579</v>
      </c>
      <c r="D1744" s="20"/>
      <c r="E1744" s="21">
        <f t="shared" si="1"/>
        <v>11894.82</v>
      </c>
      <c r="F1744" s="23"/>
      <c r="G1744" s="21">
        <f t="shared" si="8"/>
        <v>303130.81</v>
      </c>
      <c r="H1744" s="23"/>
      <c r="I1744" s="21">
        <f t="shared" si="12"/>
        <v>781.68</v>
      </c>
      <c r="J1744" s="23">
        <v>175.0</v>
      </c>
      <c r="K1744" s="21">
        <f t="shared" si="13"/>
        <v>220815.59</v>
      </c>
      <c r="L1744" s="23"/>
      <c r="M1744" s="21">
        <f t="shared" si="14"/>
        <v>1894.93</v>
      </c>
    </row>
    <row r="1745" ht="20.25" customHeight="1" outlineLevel="1">
      <c r="A1745" s="12">
        <v>46090.0</v>
      </c>
      <c r="B1745" s="13" t="s">
        <v>16</v>
      </c>
      <c r="C1745" s="41" t="s">
        <v>1580</v>
      </c>
      <c r="D1745" s="20"/>
      <c r="E1745" s="21">
        <f t="shared" si="1"/>
        <v>11894.82</v>
      </c>
      <c r="F1745" s="23"/>
      <c r="G1745" s="21">
        <f t="shared" si="8"/>
        <v>303130.81</v>
      </c>
      <c r="H1745" s="23"/>
      <c r="I1745" s="21">
        <f t="shared" si="12"/>
        <v>781.68</v>
      </c>
      <c r="J1745" s="23">
        <v>210.0</v>
      </c>
      <c r="K1745" s="21">
        <f t="shared" si="13"/>
        <v>221025.59</v>
      </c>
      <c r="L1745" s="23"/>
      <c r="M1745" s="21">
        <f t="shared" si="14"/>
        <v>1894.93</v>
      </c>
    </row>
    <row r="1746" ht="20.25" customHeight="1" outlineLevel="1">
      <c r="A1746" s="12">
        <v>46090.0</v>
      </c>
      <c r="B1746" s="13" t="s">
        <v>16</v>
      </c>
      <c r="C1746" s="28" t="s">
        <v>1581</v>
      </c>
      <c r="D1746" s="20">
        <v>285.0</v>
      </c>
      <c r="E1746" s="21">
        <f t="shared" si="1"/>
        <v>12179.82</v>
      </c>
      <c r="F1746" s="23"/>
      <c r="G1746" s="21">
        <f t="shared" si="8"/>
        <v>303130.81</v>
      </c>
      <c r="H1746" s="23"/>
      <c r="I1746" s="21">
        <f t="shared" si="12"/>
        <v>781.68</v>
      </c>
      <c r="J1746" s="23"/>
      <c r="K1746" s="21">
        <f t="shared" si="13"/>
        <v>221025.59</v>
      </c>
      <c r="L1746" s="23"/>
      <c r="M1746" s="21">
        <f t="shared" si="14"/>
        <v>1894.93</v>
      </c>
    </row>
    <row r="1747" ht="20.25" customHeight="1" outlineLevel="1">
      <c r="A1747" s="12">
        <v>46091.0</v>
      </c>
      <c r="B1747" s="13" t="s">
        <v>368</v>
      </c>
      <c r="C1747" s="28" t="s">
        <v>1582</v>
      </c>
      <c r="D1747" s="20"/>
      <c r="E1747" s="21">
        <f t="shared" si="1"/>
        <v>12179.82</v>
      </c>
      <c r="F1747" s="22">
        <v>-2160.0</v>
      </c>
      <c r="G1747" s="21">
        <f t="shared" si="8"/>
        <v>300970.81</v>
      </c>
      <c r="H1747" s="23"/>
      <c r="I1747" s="21">
        <f t="shared" si="12"/>
        <v>781.68</v>
      </c>
      <c r="J1747" s="23"/>
      <c r="K1747" s="21">
        <f t="shared" si="13"/>
        <v>221025.59</v>
      </c>
      <c r="L1747" s="23"/>
      <c r="M1747" s="21">
        <f t="shared" si="14"/>
        <v>1894.93</v>
      </c>
    </row>
    <row r="1748" ht="20.25" customHeight="1" outlineLevel="1">
      <c r="A1748" s="12">
        <v>46091.0</v>
      </c>
      <c r="B1748" s="13" t="s">
        <v>137</v>
      </c>
      <c r="C1748" s="28" t="s">
        <v>1583</v>
      </c>
      <c r="D1748" s="20"/>
      <c r="E1748" s="21">
        <f t="shared" si="1"/>
        <v>12179.82</v>
      </c>
      <c r="F1748" s="22">
        <v>-749.61</v>
      </c>
      <c r="G1748" s="21">
        <f t="shared" si="8"/>
        <v>300221.2</v>
      </c>
      <c r="H1748" s="23"/>
      <c r="I1748" s="21">
        <f t="shared" si="12"/>
        <v>781.68</v>
      </c>
      <c r="J1748" s="23"/>
      <c r="K1748" s="21">
        <f t="shared" si="13"/>
        <v>221025.59</v>
      </c>
      <c r="L1748" s="23"/>
      <c r="M1748" s="21">
        <f t="shared" si="14"/>
        <v>1894.93</v>
      </c>
    </row>
    <row r="1749" ht="20.25" customHeight="1" outlineLevel="1">
      <c r="A1749" s="12">
        <v>46091.0</v>
      </c>
      <c r="B1749" s="13" t="s">
        <v>137</v>
      </c>
      <c r="C1749" s="28" t="s">
        <v>1584</v>
      </c>
      <c r="D1749" s="20"/>
      <c r="E1749" s="21">
        <f t="shared" si="1"/>
        <v>12179.82</v>
      </c>
      <c r="F1749" s="22">
        <v>-241.29</v>
      </c>
      <c r="G1749" s="21">
        <f t="shared" si="8"/>
        <v>299979.91</v>
      </c>
      <c r="H1749" s="23"/>
      <c r="I1749" s="21">
        <f t="shared" si="12"/>
        <v>781.68</v>
      </c>
      <c r="J1749" s="23"/>
      <c r="K1749" s="21">
        <f t="shared" si="13"/>
        <v>221025.59</v>
      </c>
      <c r="L1749" s="23"/>
      <c r="M1749" s="21">
        <f t="shared" si="14"/>
        <v>1894.93</v>
      </c>
    </row>
    <row r="1750" ht="20.25" customHeight="1" outlineLevel="1">
      <c r="A1750" s="12">
        <v>46091.0</v>
      </c>
      <c r="B1750" s="13" t="s">
        <v>137</v>
      </c>
      <c r="C1750" s="28" t="s">
        <v>1585</v>
      </c>
      <c r="D1750" s="20"/>
      <c r="E1750" s="21">
        <f t="shared" si="1"/>
        <v>12179.82</v>
      </c>
      <c r="F1750" s="22">
        <v>-120.05</v>
      </c>
      <c r="G1750" s="21">
        <f t="shared" si="8"/>
        <v>299859.86</v>
      </c>
      <c r="H1750" s="23"/>
      <c r="I1750" s="21">
        <f t="shared" si="12"/>
        <v>781.68</v>
      </c>
      <c r="J1750" s="23"/>
      <c r="K1750" s="21">
        <f t="shared" si="13"/>
        <v>221025.59</v>
      </c>
      <c r="L1750" s="23"/>
      <c r="M1750" s="21">
        <f t="shared" si="14"/>
        <v>1894.93</v>
      </c>
    </row>
    <row r="1751" ht="20.25" customHeight="1" outlineLevel="1">
      <c r="A1751" s="12">
        <v>46091.0</v>
      </c>
      <c r="B1751" s="13" t="s">
        <v>16</v>
      </c>
      <c r="C1751" s="28" t="s">
        <v>1586</v>
      </c>
      <c r="D1751" s="20"/>
      <c r="E1751" s="21">
        <f t="shared" si="1"/>
        <v>12179.82</v>
      </c>
      <c r="F1751" s="23">
        <v>30.0</v>
      </c>
      <c r="G1751" s="21">
        <f t="shared" si="8"/>
        <v>299889.86</v>
      </c>
      <c r="H1751" s="23"/>
      <c r="I1751" s="21">
        <f t="shared" si="12"/>
        <v>781.68</v>
      </c>
      <c r="J1751" s="23"/>
      <c r="K1751" s="21">
        <f t="shared" si="13"/>
        <v>221025.59</v>
      </c>
      <c r="L1751" s="23"/>
      <c r="M1751" s="21">
        <f t="shared" si="14"/>
        <v>1894.93</v>
      </c>
    </row>
    <row r="1752" ht="20.25" customHeight="1" outlineLevel="1">
      <c r="A1752" s="12">
        <v>46091.0</v>
      </c>
      <c r="B1752" s="13" t="s">
        <v>16</v>
      </c>
      <c r="C1752" s="28" t="s">
        <v>1587</v>
      </c>
      <c r="D1752" s="20"/>
      <c r="E1752" s="21">
        <f t="shared" si="1"/>
        <v>12179.82</v>
      </c>
      <c r="F1752" s="23">
        <v>280.0</v>
      </c>
      <c r="G1752" s="21">
        <f t="shared" si="8"/>
        <v>300169.86</v>
      </c>
      <c r="H1752" s="23"/>
      <c r="I1752" s="21">
        <f t="shared" si="12"/>
        <v>781.68</v>
      </c>
      <c r="J1752" s="23"/>
      <c r="K1752" s="21">
        <f t="shared" si="13"/>
        <v>221025.59</v>
      </c>
      <c r="L1752" s="23"/>
      <c r="M1752" s="21">
        <f t="shared" si="14"/>
        <v>1894.93</v>
      </c>
    </row>
    <row r="1753" ht="20.25" customHeight="1" outlineLevel="1">
      <c r="A1753" s="12">
        <v>46091.0</v>
      </c>
      <c r="B1753" s="13" t="s">
        <v>16</v>
      </c>
      <c r="C1753" s="28" t="s">
        <v>1588</v>
      </c>
      <c r="D1753" s="20"/>
      <c r="E1753" s="21">
        <f t="shared" si="1"/>
        <v>12179.82</v>
      </c>
      <c r="F1753" s="23">
        <v>736.93</v>
      </c>
      <c r="G1753" s="21">
        <f t="shared" si="8"/>
        <v>300906.79</v>
      </c>
      <c r="H1753" s="23"/>
      <c r="I1753" s="21">
        <f t="shared" si="12"/>
        <v>781.68</v>
      </c>
      <c r="J1753" s="23"/>
      <c r="K1753" s="21">
        <f t="shared" si="13"/>
        <v>221025.59</v>
      </c>
      <c r="L1753" s="23"/>
      <c r="M1753" s="21">
        <f t="shared" si="14"/>
        <v>1894.93</v>
      </c>
    </row>
    <row r="1754" ht="20.25" customHeight="1" outlineLevel="1">
      <c r="A1754" s="12">
        <v>46091.0</v>
      </c>
      <c r="B1754" s="13" t="s">
        <v>16</v>
      </c>
      <c r="C1754" s="28" t="s">
        <v>1589</v>
      </c>
      <c r="D1754" s="20"/>
      <c r="E1754" s="21">
        <f t="shared" si="1"/>
        <v>12179.82</v>
      </c>
      <c r="F1754" s="23">
        <v>24.75</v>
      </c>
      <c r="G1754" s="21">
        <f t="shared" si="8"/>
        <v>300931.54</v>
      </c>
      <c r="H1754" s="23"/>
      <c r="I1754" s="21">
        <f t="shared" si="12"/>
        <v>781.68</v>
      </c>
      <c r="J1754" s="23"/>
      <c r="K1754" s="21">
        <f t="shared" si="13"/>
        <v>221025.59</v>
      </c>
      <c r="L1754" s="23"/>
      <c r="M1754" s="21">
        <f t="shared" si="14"/>
        <v>1894.93</v>
      </c>
    </row>
    <row r="1755" ht="20.25" customHeight="1" outlineLevel="1">
      <c r="A1755" s="12">
        <v>46091.0</v>
      </c>
      <c r="B1755" s="13" t="s">
        <v>14</v>
      </c>
      <c r="C1755" s="42" t="s">
        <v>34</v>
      </c>
      <c r="D1755" s="20"/>
      <c r="E1755" s="21">
        <f t="shared" si="1"/>
        <v>12179.82</v>
      </c>
      <c r="F1755" s="23"/>
      <c r="G1755" s="21">
        <f t="shared" si="8"/>
        <v>300931.54</v>
      </c>
      <c r="H1755" s="23"/>
      <c r="I1755" s="21">
        <f t="shared" si="12"/>
        <v>781.68</v>
      </c>
      <c r="J1755" s="22">
        <v>-20.99</v>
      </c>
      <c r="K1755" s="21">
        <f t="shared" si="13"/>
        <v>221004.6</v>
      </c>
      <c r="L1755" s="23"/>
      <c r="M1755" s="21">
        <f t="shared" si="14"/>
        <v>1894.93</v>
      </c>
    </row>
    <row r="1756" ht="20.25" customHeight="1" outlineLevel="1">
      <c r="A1756" s="12">
        <v>46091.0</v>
      </c>
      <c r="B1756" s="13" t="s">
        <v>16</v>
      </c>
      <c r="C1756" s="42" t="s">
        <v>1590</v>
      </c>
      <c r="D1756" s="20"/>
      <c r="E1756" s="21">
        <f t="shared" si="1"/>
        <v>12179.82</v>
      </c>
      <c r="F1756" s="23"/>
      <c r="G1756" s="21">
        <f t="shared" si="8"/>
        <v>300931.54</v>
      </c>
      <c r="H1756" s="23"/>
      <c r="I1756" s="21">
        <f t="shared" si="12"/>
        <v>781.68</v>
      </c>
      <c r="J1756" s="23">
        <v>505.0</v>
      </c>
      <c r="K1756" s="21">
        <f t="shared" si="13"/>
        <v>221509.6</v>
      </c>
      <c r="L1756" s="23"/>
      <c r="M1756" s="21">
        <f t="shared" si="14"/>
        <v>1894.93</v>
      </c>
    </row>
    <row r="1757" ht="20.25" customHeight="1" outlineLevel="1">
      <c r="A1757" s="12">
        <v>46091.0</v>
      </c>
      <c r="B1757" s="13" t="s">
        <v>16</v>
      </c>
      <c r="C1757" s="42" t="s">
        <v>1591</v>
      </c>
      <c r="D1757" s="20"/>
      <c r="E1757" s="21">
        <f t="shared" si="1"/>
        <v>12179.82</v>
      </c>
      <c r="F1757" s="23"/>
      <c r="G1757" s="21">
        <f t="shared" si="8"/>
        <v>300931.54</v>
      </c>
      <c r="H1757" s="23"/>
      <c r="I1757" s="21">
        <f t="shared" si="12"/>
        <v>781.68</v>
      </c>
      <c r="J1757" s="23">
        <v>25.0</v>
      </c>
      <c r="K1757" s="21">
        <f t="shared" si="13"/>
        <v>221534.6</v>
      </c>
      <c r="L1757" s="23"/>
      <c r="M1757" s="21">
        <f t="shared" si="14"/>
        <v>1894.93</v>
      </c>
    </row>
    <row r="1758" ht="20.25" customHeight="1" outlineLevel="1">
      <c r="A1758" s="12">
        <v>46091.0</v>
      </c>
      <c r="B1758" s="13" t="s">
        <v>16</v>
      </c>
      <c r="C1758" s="28" t="s">
        <v>1592</v>
      </c>
      <c r="D1758" s="20">
        <v>493.0</v>
      </c>
      <c r="E1758" s="21">
        <f t="shared" si="1"/>
        <v>12672.82</v>
      </c>
      <c r="F1758" s="23"/>
      <c r="G1758" s="21">
        <f t="shared" si="8"/>
        <v>300931.54</v>
      </c>
      <c r="H1758" s="23"/>
      <c r="I1758" s="21">
        <f t="shared" si="12"/>
        <v>781.68</v>
      </c>
      <c r="J1758" s="23"/>
      <c r="K1758" s="21">
        <f t="shared" si="13"/>
        <v>221534.6</v>
      </c>
      <c r="L1758" s="23"/>
      <c r="M1758" s="21">
        <f t="shared" si="14"/>
        <v>1894.93</v>
      </c>
    </row>
    <row r="1759" ht="20.25" customHeight="1" outlineLevel="1">
      <c r="A1759" s="12">
        <v>46092.0</v>
      </c>
      <c r="B1759" s="13" t="s">
        <v>16</v>
      </c>
      <c r="C1759" s="28" t="s">
        <v>1593</v>
      </c>
      <c r="D1759" s="20"/>
      <c r="E1759" s="21">
        <f t="shared" si="1"/>
        <v>12672.82</v>
      </c>
      <c r="F1759" s="23">
        <v>110.0</v>
      </c>
      <c r="G1759" s="21">
        <f t="shared" si="8"/>
        <v>301041.54</v>
      </c>
      <c r="H1759" s="23"/>
      <c r="I1759" s="21">
        <f t="shared" si="12"/>
        <v>781.68</v>
      </c>
      <c r="J1759" s="23"/>
      <c r="K1759" s="21">
        <f t="shared" si="13"/>
        <v>221534.6</v>
      </c>
      <c r="L1759" s="23"/>
      <c r="M1759" s="21">
        <f t="shared" si="14"/>
        <v>1894.93</v>
      </c>
    </row>
    <row r="1760" ht="20.25" customHeight="1" outlineLevel="1">
      <c r="A1760" s="12">
        <v>46092.0</v>
      </c>
      <c r="B1760" s="13" t="s">
        <v>16</v>
      </c>
      <c r="C1760" s="28" t="s">
        <v>1594</v>
      </c>
      <c r="D1760" s="20"/>
      <c r="E1760" s="21">
        <f t="shared" si="1"/>
        <v>12672.82</v>
      </c>
      <c r="F1760" s="23">
        <v>458.5</v>
      </c>
      <c r="G1760" s="21">
        <f t="shared" si="8"/>
        <v>301500.04</v>
      </c>
      <c r="H1760" s="23"/>
      <c r="I1760" s="21">
        <f t="shared" si="12"/>
        <v>781.68</v>
      </c>
      <c r="J1760" s="23"/>
      <c r="K1760" s="21">
        <f t="shared" si="13"/>
        <v>221534.6</v>
      </c>
      <c r="L1760" s="23"/>
      <c r="M1760" s="21">
        <f t="shared" si="14"/>
        <v>1894.93</v>
      </c>
    </row>
    <row r="1761" ht="20.25" customHeight="1" outlineLevel="1">
      <c r="A1761" s="12">
        <v>46092.0</v>
      </c>
      <c r="B1761" s="13" t="s">
        <v>368</v>
      </c>
      <c r="C1761" s="28" t="s">
        <v>1595</v>
      </c>
      <c r="D1761" s="20"/>
      <c r="E1761" s="21">
        <f t="shared" si="1"/>
        <v>12672.82</v>
      </c>
      <c r="F1761" s="22">
        <v>-312.0</v>
      </c>
      <c r="G1761" s="21">
        <f t="shared" si="8"/>
        <v>301188.04</v>
      </c>
      <c r="H1761" s="23"/>
      <c r="I1761" s="21">
        <f t="shared" si="12"/>
        <v>781.68</v>
      </c>
      <c r="J1761" s="23"/>
      <c r="K1761" s="21">
        <f t="shared" si="13"/>
        <v>221534.6</v>
      </c>
      <c r="L1761" s="23"/>
      <c r="M1761" s="21">
        <f t="shared" si="14"/>
        <v>1894.93</v>
      </c>
    </row>
    <row r="1762" ht="20.25" customHeight="1" outlineLevel="1">
      <c r="A1762" s="12">
        <v>46092.0</v>
      </c>
      <c r="B1762" s="13" t="s">
        <v>16</v>
      </c>
      <c r="C1762" s="207" t="s">
        <v>1596</v>
      </c>
      <c r="D1762" s="20"/>
      <c r="E1762" s="21">
        <f t="shared" si="1"/>
        <v>12672.82</v>
      </c>
      <c r="F1762" s="23"/>
      <c r="G1762" s="21">
        <f t="shared" si="8"/>
        <v>301188.04</v>
      </c>
      <c r="H1762" s="23"/>
      <c r="I1762" s="21">
        <f t="shared" si="12"/>
        <v>781.68</v>
      </c>
      <c r="J1762" s="23">
        <v>110.0</v>
      </c>
      <c r="K1762" s="21">
        <f t="shared" si="13"/>
        <v>221644.6</v>
      </c>
      <c r="L1762" s="23"/>
      <c r="M1762" s="21">
        <f t="shared" si="14"/>
        <v>1894.93</v>
      </c>
    </row>
    <row r="1763" ht="20.25" customHeight="1" outlineLevel="1">
      <c r="A1763" s="12">
        <v>46092.0</v>
      </c>
      <c r="B1763" s="13" t="s">
        <v>16</v>
      </c>
      <c r="C1763" s="28" t="s">
        <v>1597</v>
      </c>
      <c r="D1763" s="20"/>
      <c r="E1763" s="21">
        <f t="shared" si="1"/>
        <v>12672.82</v>
      </c>
      <c r="F1763" s="23"/>
      <c r="G1763" s="21">
        <f t="shared" si="8"/>
        <v>301188.04</v>
      </c>
      <c r="H1763" s="23"/>
      <c r="I1763" s="21">
        <f t="shared" si="12"/>
        <v>781.68</v>
      </c>
      <c r="J1763" s="23">
        <v>50.0</v>
      </c>
      <c r="K1763" s="21">
        <f t="shared" si="13"/>
        <v>221694.6</v>
      </c>
      <c r="L1763" s="23"/>
      <c r="M1763" s="21">
        <f t="shared" si="14"/>
        <v>1894.93</v>
      </c>
    </row>
    <row r="1764" ht="20.25" customHeight="1" outlineLevel="1">
      <c r="A1764" s="12">
        <v>46092.0</v>
      </c>
      <c r="B1764" s="13" t="s">
        <v>16</v>
      </c>
      <c r="C1764" s="28" t="s">
        <v>1598</v>
      </c>
      <c r="D1764" s="20">
        <v>115.0</v>
      </c>
      <c r="E1764" s="21">
        <f t="shared" si="1"/>
        <v>12787.82</v>
      </c>
      <c r="F1764" s="23"/>
      <c r="G1764" s="21">
        <f t="shared" si="8"/>
        <v>301188.04</v>
      </c>
      <c r="H1764" s="23"/>
      <c r="I1764" s="21">
        <f t="shared" si="12"/>
        <v>781.68</v>
      </c>
      <c r="J1764" s="23"/>
      <c r="K1764" s="21">
        <f t="shared" si="13"/>
        <v>221694.6</v>
      </c>
      <c r="L1764" s="23"/>
      <c r="M1764" s="21">
        <f t="shared" si="14"/>
        <v>1894.93</v>
      </c>
    </row>
    <row r="1765" ht="20.25" customHeight="1" outlineLevel="1">
      <c r="A1765" s="12">
        <v>46093.0</v>
      </c>
      <c r="B1765" s="13" t="s">
        <v>14</v>
      </c>
      <c r="C1765" s="28" t="s">
        <v>1599</v>
      </c>
      <c r="D1765" s="20"/>
      <c r="E1765" s="21">
        <f t="shared" si="1"/>
        <v>12787.82</v>
      </c>
      <c r="F1765" s="22">
        <v>-125.0</v>
      </c>
      <c r="G1765" s="21">
        <f t="shared" si="8"/>
        <v>301063.04</v>
      </c>
      <c r="H1765" s="23"/>
      <c r="I1765" s="21">
        <f t="shared" si="12"/>
        <v>781.68</v>
      </c>
      <c r="J1765" s="23"/>
      <c r="K1765" s="21">
        <f t="shared" si="13"/>
        <v>221694.6</v>
      </c>
      <c r="L1765" s="23"/>
      <c r="M1765" s="21">
        <f t="shared" si="14"/>
        <v>1894.93</v>
      </c>
    </row>
    <row r="1766" ht="20.25" customHeight="1" outlineLevel="1">
      <c r="A1766" s="12">
        <v>46093.0</v>
      </c>
      <c r="B1766" s="13" t="s">
        <v>368</v>
      </c>
      <c r="C1766" s="28" t="s">
        <v>1600</v>
      </c>
      <c r="D1766" s="20"/>
      <c r="E1766" s="21">
        <f t="shared" si="1"/>
        <v>12787.82</v>
      </c>
      <c r="F1766" s="22">
        <v>-126.8</v>
      </c>
      <c r="G1766" s="21">
        <f t="shared" si="8"/>
        <v>300936.24</v>
      </c>
      <c r="H1766" s="23"/>
      <c r="I1766" s="21">
        <f t="shared" si="12"/>
        <v>781.68</v>
      </c>
      <c r="J1766" s="23"/>
      <c r="K1766" s="21">
        <f t="shared" si="13"/>
        <v>221694.6</v>
      </c>
      <c r="L1766" s="23"/>
      <c r="M1766" s="21">
        <f t="shared" si="14"/>
        <v>1894.93</v>
      </c>
    </row>
    <row r="1767" ht="20.25" customHeight="1" outlineLevel="1">
      <c r="A1767" s="12">
        <v>46093.0</v>
      </c>
      <c r="B1767" s="13" t="s">
        <v>16</v>
      </c>
      <c r="C1767" s="28" t="s">
        <v>1601</v>
      </c>
      <c r="D1767" s="20"/>
      <c r="E1767" s="21">
        <f t="shared" si="1"/>
        <v>12787.82</v>
      </c>
      <c r="F1767" s="23">
        <v>106.0</v>
      </c>
      <c r="G1767" s="21">
        <f t="shared" si="8"/>
        <v>301042.24</v>
      </c>
      <c r="H1767" s="23"/>
      <c r="I1767" s="21">
        <f t="shared" si="12"/>
        <v>781.68</v>
      </c>
      <c r="J1767" s="23"/>
      <c r="K1767" s="21">
        <f t="shared" si="13"/>
        <v>221694.6</v>
      </c>
      <c r="L1767" s="23"/>
      <c r="M1767" s="21">
        <f t="shared" si="14"/>
        <v>1894.93</v>
      </c>
    </row>
    <row r="1768" ht="20.25" customHeight="1" outlineLevel="1">
      <c r="A1768" s="12">
        <v>46093.0</v>
      </c>
      <c r="B1768" s="13" t="s">
        <v>16</v>
      </c>
      <c r="C1768" s="28" t="s">
        <v>1602</v>
      </c>
      <c r="D1768" s="20"/>
      <c r="E1768" s="21">
        <f t="shared" si="1"/>
        <v>12787.82</v>
      </c>
      <c r="F1768" s="23">
        <v>75.0</v>
      </c>
      <c r="G1768" s="21">
        <f t="shared" si="8"/>
        <v>301117.24</v>
      </c>
      <c r="H1768" s="23"/>
      <c r="I1768" s="21">
        <f t="shared" si="12"/>
        <v>781.68</v>
      </c>
      <c r="J1768" s="23"/>
      <c r="K1768" s="21">
        <f t="shared" si="13"/>
        <v>221694.6</v>
      </c>
      <c r="L1768" s="23"/>
      <c r="M1768" s="21">
        <f t="shared" si="14"/>
        <v>1894.93</v>
      </c>
    </row>
    <row r="1769" ht="20.25" customHeight="1" outlineLevel="1">
      <c r="A1769" s="12">
        <v>46093.0</v>
      </c>
      <c r="B1769" s="13" t="s">
        <v>16</v>
      </c>
      <c r="C1769" s="28" t="s">
        <v>1603</v>
      </c>
      <c r="D1769" s="20"/>
      <c r="E1769" s="21">
        <f t="shared" si="1"/>
        <v>12787.82</v>
      </c>
      <c r="F1769" s="23">
        <v>543.0</v>
      </c>
      <c r="G1769" s="21">
        <f t="shared" si="8"/>
        <v>301660.24</v>
      </c>
      <c r="H1769" s="23"/>
      <c r="I1769" s="21">
        <f t="shared" si="12"/>
        <v>781.68</v>
      </c>
      <c r="J1769" s="23"/>
      <c r="K1769" s="21">
        <f t="shared" si="13"/>
        <v>221694.6</v>
      </c>
      <c r="L1769" s="23"/>
      <c r="M1769" s="21">
        <f t="shared" si="14"/>
        <v>1894.93</v>
      </c>
    </row>
    <row r="1770" ht="20.25" customHeight="1" outlineLevel="1">
      <c r="A1770" s="12">
        <v>46093.0</v>
      </c>
      <c r="B1770" s="13" t="s">
        <v>16</v>
      </c>
      <c r="C1770" s="28" t="s">
        <v>1604</v>
      </c>
      <c r="D1770" s="20"/>
      <c r="E1770" s="21">
        <f t="shared" si="1"/>
        <v>12787.82</v>
      </c>
      <c r="F1770" s="23">
        <v>36.8</v>
      </c>
      <c r="G1770" s="21">
        <f t="shared" si="8"/>
        <v>301697.04</v>
      </c>
      <c r="H1770" s="23"/>
      <c r="I1770" s="21">
        <f t="shared" si="12"/>
        <v>781.68</v>
      </c>
      <c r="J1770" s="23"/>
      <c r="K1770" s="21">
        <f t="shared" si="13"/>
        <v>221694.6</v>
      </c>
      <c r="L1770" s="23"/>
      <c r="M1770" s="21">
        <f t="shared" si="14"/>
        <v>1894.93</v>
      </c>
    </row>
    <row r="1771" ht="20.25" customHeight="1" outlineLevel="1">
      <c r="A1771" s="12">
        <v>46093.0</v>
      </c>
      <c r="B1771" s="13" t="s">
        <v>63</v>
      </c>
      <c r="C1771" s="69" t="s">
        <v>1605</v>
      </c>
      <c r="D1771" s="20"/>
      <c r="E1771" s="21">
        <f t="shared" si="1"/>
        <v>12787.82</v>
      </c>
      <c r="F1771" s="51">
        <v>244.0</v>
      </c>
      <c r="G1771" s="21">
        <f t="shared" si="8"/>
        <v>301941.04</v>
      </c>
      <c r="H1771" s="23"/>
      <c r="I1771" s="21">
        <f t="shared" si="12"/>
        <v>781.68</v>
      </c>
      <c r="J1771" s="23"/>
      <c r="K1771" s="21">
        <f t="shared" si="13"/>
        <v>221694.6</v>
      </c>
      <c r="L1771" s="23"/>
      <c r="M1771" s="21">
        <f t="shared" si="14"/>
        <v>1894.93</v>
      </c>
    </row>
    <row r="1772" ht="20.25" customHeight="1" outlineLevel="1">
      <c r="A1772" s="12">
        <v>46093.0</v>
      </c>
      <c r="B1772" s="13" t="s">
        <v>16</v>
      </c>
      <c r="C1772" s="28" t="s">
        <v>1606</v>
      </c>
      <c r="D1772" s="20"/>
      <c r="E1772" s="21">
        <f t="shared" si="1"/>
        <v>12787.82</v>
      </c>
      <c r="F1772" s="23"/>
      <c r="G1772" s="21">
        <f t="shared" si="8"/>
        <v>301941.04</v>
      </c>
      <c r="H1772" s="23"/>
      <c r="I1772" s="21">
        <f t="shared" si="12"/>
        <v>781.68</v>
      </c>
      <c r="J1772" s="23">
        <v>230.0</v>
      </c>
      <c r="K1772" s="21">
        <f t="shared" si="13"/>
        <v>221924.6</v>
      </c>
      <c r="L1772" s="23"/>
      <c r="M1772" s="21">
        <f t="shared" si="14"/>
        <v>1894.93</v>
      </c>
    </row>
    <row r="1773" ht="20.25" customHeight="1" outlineLevel="1">
      <c r="A1773" s="12">
        <v>46093.0</v>
      </c>
      <c r="B1773" s="13" t="s">
        <v>16</v>
      </c>
      <c r="C1773" s="28" t="s">
        <v>1607</v>
      </c>
      <c r="D1773" s="20"/>
      <c r="E1773" s="21">
        <f t="shared" si="1"/>
        <v>12787.82</v>
      </c>
      <c r="F1773" s="23"/>
      <c r="G1773" s="21">
        <f t="shared" si="8"/>
        <v>301941.04</v>
      </c>
      <c r="H1773" s="23"/>
      <c r="I1773" s="21">
        <f t="shared" si="12"/>
        <v>781.68</v>
      </c>
      <c r="J1773" s="23">
        <v>25.0</v>
      </c>
      <c r="K1773" s="21">
        <f t="shared" si="13"/>
        <v>221949.6</v>
      </c>
      <c r="L1773" s="23"/>
      <c r="M1773" s="21">
        <f t="shared" si="14"/>
        <v>1894.93</v>
      </c>
    </row>
    <row r="1774" ht="20.25" customHeight="1" outlineLevel="1">
      <c r="A1774" s="12">
        <v>46093.0</v>
      </c>
      <c r="B1774" s="13" t="s">
        <v>16</v>
      </c>
      <c r="C1774" s="225" t="s">
        <v>605</v>
      </c>
      <c r="D1774" s="20">
        <v>25.0</v>
      </c>
      <c r="E1774" s="21">
        <f t="shared" si="1"/>
        <v>12812.82</v>
      </c>
      <c r="F1774" s="23"/>
      <c r="G1774" s="21">
        <f t="shared" si="8"/>
        <v>301941.04</v>
      </c>
      <c r="H1774" s="23"/>
      <c r="I1774" s="21">
        <f t="shared" si="12"/>
        <v>781.68</v>
      </c>
      <c r="J1774" s="23"/>
      <c r="K1774" s="21">
        <f t="shared" si="13"/>
        <v>221949.6</v>
      </c>
      <c r="L1774" s="23"/>
      <c r="M1774" s="21">
        <f t="shared" si="14"/>
        <v>1894.93</v>
      </c>
    </row>
    <row r="1775" ht="20.25" customHeight="1" outlineLevel="1">
      <c r="A1775" s="12">
        <v>46094.0</v>
      </c>
      <c r="B1775" s="13" t="s">
        <v>12</v>
      </c>
      <c r="C1775" s="225" t="s">
        <v>1608</v>
      </c>
      <c r="D1775" s="20"/>
      <c r="E1775" s="21">
        <f t="shared" si="1"/>
        <v>12812.82</v>
      </c>
      <c r="F1775" s="22">
        <v>-192.0</v>
      </c>
      <c r="G1775" s="21">
        <f t="shared" si="8"/>
        <v>301749.04</v>
      </c>
      <c r="H1775" s="23"/>
      <c r="I1775" s="21">
        <f t="shared" si="12"/>
        <v>781.68</v>
      </c>
      <c r="J1775" s="23"/>
      <c r="K1775" s="21">
        <f t="shared" si="13"/>
        <v>221949.6</v>
      </c>
      <c r="L1775" s="23"/>
      <c r="M1775" s="21">
        <f t="shared" si="14"/>
        <v>1894.93</v>
      </c>
    </row>
    <row r="1776" ht="20.25" customHeight="1" outlineLevel="1">
      <c r="A1776" s="12">
        <v>46094.0</v>
      </c>
      <c r="B1776" s="13" t="s">
        <v>12</v>
      </c>
      <c r="C1776" s="225" t="s">
        <v>1609</v>
      </c>
      <c r="D1776" s="20"/>
      <c r="E1776" s="21">
        <f t="shared" si="1"/>
        <v>12812.82</v>
      </c>
      <c r="F1776" s="22">
        <v>-3047.54</v>
      </c>
      <c r="G1776" s="21">
        <f t="shared" si="8"/>
        <v>298701.5</v>
      </c>
      <c r="H1776" s="23"/>
      <c r="I1776" s="21">
        <f t="shared" si="12"/>
        <v>781.68</v>
      </c>
      <c r="J1776" s="23"/>
      <c r="K1776" s="21">
        <f t="shared" si="13"/>
        <v>221949.6</v>
      </c>
      <c r="L1776" s="23"/>
      <c r="M1776" s="21">
        <f t="shared" si="14"/>
        <v>1894.93</v>
      </c>
    </row>
    <row r="1777" ht="20.25" customHeight="1" outlineLevel="1">
      <c r="A1777" s="12">
        <v>46094.0</v>
      </c>
      <c r="B1777" s="13" t="s">
        <v>16</v>
      </c>
      <c r="C1777" s="225" t="s">
        <v>1610</v>
      </c>
      <c r="D1777" s="20"/>
      <c r="E1777" s="21">
        <f t="shared" si="1"/>
        <v>12812.82</v>
      </c>
      <c r="F1777" s="23">
        <v>225.0</v>
      </c>
      <c r="G1777" s="21">
        <f t="shared" si="8"/>
        <v>298926.5</v>
      </c>
      <c r="H1777" s="23"/>
      <c r="I1777" s="21">
        <f t="shared" si="12"/>
        <v>781.68</v>
      </c>
      <c r="J1777" s="23"/>
      <c r="K1777" s="21">
        <f t="shared" si="13"/>
        <v>221949.6</v>
      </c>
      <c r="L1777" s="23"/>
      <c r="M1777" s="21">
        <f t="shared" si="14"/>
        <v>1894.93</v>
      </c>
    </row>
    <row r="1778" ht="20.25" customHeight="1" outlineLevel="1">
      <c r="A1778" s="12">
        <v>46094.0</v>
      </c>
      <c r="B1778" s="13" t="s">
        <v>16</v>
      </c>
      <c r="C1778" s="225" t="s">
        <v>1611</v>
      </c>
      <c r="D1778" s="20"/>
      <c r="E1778" s="21">
        <f t="shared" si="1"/>
        <v>12812.82</v>
      </c>
      <c r="F1778" s="23">
        <v>37.0</v>
      </c>
      <c r="G1778" s="21">
        <f t="shared" si="8"/>
        <v>298963.5</v>
      </c>
      <c r="H1778" s="23"/>
      <c r="I1778" s="21">
        <f t="shared" si="12"/>
        <v>781.68</v>
      </c>
      <c r="J1778" s="23"/>
      <c r="K1778" s="21">
        <f t="shared" si="13"/>
        <v>221949.6</v>
      </c>
      <c r="L1778" s="23"/>
      <c r="M1778" s="21">
        <f t="shared" si="14"/>
        <v>1894.93</v>
      </c>
    </row>
    <row r="1779" ht="20.25" customHeight="1" outlineLevel="1">
      <c r="A1779" s="12">
        <v>46094.0</v>
      </c>
      <c r="B1779" s="13" t="s">
        <v>16</v>
      </c>
      <c r="C1779" s="226" t="s">
        <v>1612</v>
      </c>
      <c r="D1779" s="20"/>
      <c r="E1779" s="21">
        <f t="shared" si="1"/>
        <v>12812.82</v>
      </c>
      <c r="F1779" s="23">
        <v>180.0</v>
      </c>
      <c r="G1779" s="21">
        <f t="shared" si="8"/>
        <v>299143.5</v>
      </c>
      <c r="H1779" s="23"/>
      <c r="I1779" s="21">
        <f t="shared" si="12"/>
        <v>781.68</v>
      </c>
      <c r="J1779" s="23"/>
      <c r="K1779" s="21">
        <f t="shared" si="13"/>
        <v>221949.6</v>
      </c>
      <c r="L1779" s="23"/>
      <c r="M1779" s="21">
        <f t="shared" si="14"/>
        <v>1894.93</v>
      </c>
    </row>
    <row r="1780" ht="20.25" customHeight="1" outlineLevel="1">
      <c r="A1780" s="12">
        <v>46094.0</v>
      </c>
      <c r="B1780" s="13" t="s">
        <v>16</v>
      </c>
      <c r="C1780" s="225" t="s">
        <v>1613</v>
      </c>
      <c r="D1780" s="20"/>
      <c r="E1780" s="21">
        <f t="shared" si="1"/>
        <v>12812.82</v>
      </c>
      <c r="F1780" s="23">
        <v>31.8</v>
      </c>
      <c r="G1780" s="21">
        <f t="shared" si="8"/>
        <v>299175.3</v>
      </c>
      <c r="H1780" s="23"/>
      <c r="I1780" s="21">
        <f t="shared" si="12"/>
        <v>781.68</v>
      </c>
      <c r="J1780" s="23"/>
      <c r="K1780" s="21">
        <f t="shared" si="13"/>
        <v>221949.6</v>
      </c>
      <c r="L1780" s="23"/>
      <c r="M1780" s="21">
        <f t="shared" si="14"/>
        <v>1894.93</v>
      </c>
    </row>
    <row r="1781" ht="20.25" customHeight="1" outlineLevel="1">
      <c r="A1781" s="12">
        <v>46094.0</v>
      </c>
      <c r="B1781" s="13" t="s">
        <v>16</v>
      </c>
      <c r="C1781" s="225" t="s">
        <v>1614</v>
      </c>
      <c r="D1781" s="20"/>
      <c r="E1781" s="21">
        <f t="shared" si="1"/>
        <v>12812.82</v>
      </c>
      <c r="F1781" s="23"/>
      <c r="G1781" s="21">
        <f t="shared" si="8"/>
        <v>299175.3</v>
      </c>
      <c r="H1781" s="23"/>
      <c r="I1781" s="21">
        <f t="shared" si="12"/>
        <v>781.68</v>
      </c>
      <c r="J1781" s="23">
        <v>25.0</v>
      </c>
      <c r="K1781" s="21">
        <f t="shared" si="13"/>
        <v>221974.6</v>
      </c>
      <c r="L1781" s="23"/>
      <c r="M1781" s="21">
        <f t="shared" si="14"/>
        <v>1894.93</v>
      </c>
    </row>
    <row r="1782" ht="20.25" customHeight="1" outlineLevel="1">
      <c r="A1782" s="12">
        <v>46094.0</v>
      </c>
      <c r="B1782" s="13" t="s">
        <v>16</v>
      </c>
      <c r="C1782" s="225" t="s">
        <v>1615</v>
      </c>
      <c r="D1782" s="20"/>
      <c r="E1782" s="21">
        <f t="shared" si="1"/>
        <v>12812.82</v>
      </c>
      <c r="F1782" s="23"/>
      <c r="G1782" s="21">
        <f t="shared" si="8"/>
        <v>299175.3</v>
      </c>
      <c r="H1782" s="23"/>
      <c r="I1782" s="21">
        <f t="shared" si="12"/>
        <v>781.68</v>
      </c>
      <c r="J1782" s="23">
        <v>238.0</v>
      </c>
      <c r="K1782" s="21">
        <f t="shared" si="13"/>
        <v>222212.6</v>
      </c>
      <c r="L1782" s="23"/>
      <c r="M1782" s="21">
        <f t="shared" si="14"/>
        <v>1894.93</v>
      </c>
    </row>
    <row r="1783" ht="20.25" customHeight="1" outlineLevel="1">
      <c r="A1783" s="12">
        <v>46094.0</v>
      </c>
      <c r="B1783" s="13" t="s">
        <v>16</v>
      </c>
      <c r="C1783" s="225" t="s">
        <v>1616</v>
      </c>
      <c r="D1783" s="20">
        <v>260.0</v>
      </c>
      <c r="E1783" s="21">
        <f t="shared" si="1"/>
        <v>13072.82</v>
      </c>
      <c r="F1783" s="23"/>
      <c r="G1783" s="21">
        <f t="shared" si="8"/>
        <v>299175.3</v>
      </c>
      <c r="H1783" s="23"/>
      <c r="I1783" s="21">
        <f t="shared" si="12"/>
        <v>781.68</v>
      </c>
      <c r="J1783" s="23"/>
      <c r="K1783" s="21">
        <f t="shared" si="13"/>
        <v>222212.6</v>
      </c>
      <c r="L1783" s="23"/>
      <c r="M1783" s="21">
        <f t="shared" si="14"/>
        <v>1894.93</v>
      </c>
    </row>
    <row r="1784" ht="20.25" customHeight="1" outlineLevel="1">
      <c r="A1784" s="12">
        <v>46095.0</v>
      </c>
      <c r="B1784" s="13" t="s">
        <v>16</v>
      </c>
      <c r="C1784" s="225" t="s">
        <v>1617</v>
      </c>
      <c r="D1784" s="20">
        <v>140.0</v>
      </c>
      <c r="E1784" s="21">
        <f t="shared" si="1"/>
        <v>13212.82</v>
      </c>
      <c r="F1784" s="23"/>
      <c r="G1784" s="21">
        <f t="shared" si="8"/>
        <v>299175.3</v>
      </c>
      <c r="H1784" s="23"/>
      <c r="I1784" s="21">
        <f t="shared" si="12"/>
        <v>781.68</v>
      </c>
      <c r="J1784" s="23"/>
      <c r="K1784" s="21">
        <f t="shared" si="13"/>
        <v>222212.6</v>
      </c>
      <c r="L1784" s="23"/>
      <c r="M1784" s="21">
        <f t="shared" si="14"/>
        <v>1894.93</v>
      </c>
    </row>
    <row r="1785" ht="20.25" customHeight="1" outlineLevel="1">
      <c r="A1785" s="12">
        <v>46096.0</v>
      </c>
      <c r="B1785" s="13" t="s">
        <v>16</v>
      </c>
      <c r="C1785" s="225" t="s">
        <v>590</v>
      </c>
      <c r="D1785" s="20">
        <v>20.0</v>
      </c>
      <c r="E1785" s="21">
        <f t="shared" si="1"/>
        <v>13232.82</v>
      </c>
      <c r="F1785" s="23"/>
      <c r="G1785" s="21">
        <f t="shared" si="8"/>
        <v>299175.3</v>
      </c>
      <c r="H1785" s="23"/>
      <c r="I1785" s="21">
        <f t="shared" si="12"/>
        <v>781.68</v>
      </c>
      <c r="J1785" s="23"/>
      <c r="K1785" s="21">
        <f t="shared" si="13"/>
        <v>222212.6</v>
      </c>
      <c r="L1785" s="23"/>
      <c r="M1785" s="21">
        <f t="shared" si="14"/>
        <v>1894.93</v>
      </c>
    </row>
    <row r="1786" ht="20.25" customHeight="1" outlineLevel="1">
      <c r="A1786" s="12">
        <v>46097.0</v>
      </c>
      <c r="B1786" s="13" t="s">
        <v>179</v>
      </c>
      <c r="C1786" s="226" t="s">
        <v>470</v>
      </c>
      <c r="D1786" s="73">
        <v>-4000.0</v>
      </c>
      <c r="E1786" s="21">
        <f t="shared" si="1"/>
        <v>9232.82</v>
      </c>
      <c r="F1786" s="23"/>
      <c r="G1786" s="21">
        <f t="shared" si="8"/>
        <v>299175.3</v>
      </c>
      <c r="H1786" s="23"/>
      <c r="I1786" s="21">
        <f t="shared" si="12"/>
        <v>781.68</v>
      </c>
      <c r="J1786" s="23"/>
      <c r="K1786" s="21">
        <f t="shared" si="13"/>
        <v>222212.6</v>
      </c>
      <c r="L1786" s="23"/>
      <c r="M1786" s="21">
        <f t="shared" si="14"/>
        <v>1894.93</v>
      </c>
    </row>
    <row r="1787" ht="20.25" customHeight="1" outlineLevel="1">
      <c r="A1787" s="12">
        <v>46097.0</v>
      </c>
      <c r="B1787" s="13" t="s">
        <v>16</v>
      </c>
      <c r="C1787" s="225" t="s">
        <v>1618</v>
      </c>
      <c r="D1787" s="20"/>
      <c r="E1787" s="21">
        <f t="shared" si="1"/>
        <v>9232.82</v>
      </c>
      <c r="F1787" s="23">
        <v>212.0</v>
      </c>
      <c r="G1787" s="21">
        <f t="shared" si="8"/>
        <v>299387.3</v>
      </c>
      <c r="H1787" s="23"/>
      <c r="I1787" s="21">
        <f t="shared" si="12"/>
        <v>781.68</v>
      </c>
      <c r="J1787" s="23"/>
      <c r="K1787" s="21">
        <f t="shared" si="13"/>
        <v>222212.6</v>
      </c>
      <c r="L1787" s="23"/>
      <c r="M1787" s="21">
        <f t="shared" si="14"/>
        <v>1894.93</v>
      </c>
    </row>
    <row r="1788" ht="20.25" customHeight="1" outlineLevel="1">
      <c r="A1788" s="12">
        <v>46097.0</v>
      </c>
      <c r="B1788" s="13" t="s">
        <v>16</v>
      </c>
      <c r="C1788" s="28" t="s">
        <v>1619</v>
      </c>
      <c r="D1788" s="20"/>
      <c r="E1788" s="21">
        <f t="shared" si="1"/>
        <v>9232.82</v>
      </c>
      <c r="F1788" s="23">
        <v>435.0</v>
      </c>
      <c r="G1788" s="21">
        <f t="shared" si="8"/>
        <v>299822.3</v>
      </c>
      <c r="H1788" s="23"/>
      <c r="I1788" s="21">
        <f t="shared" si="12"/>
        <v>781.68</v>
      </c>
      <c r="J1788" s="23"/>
      <c r="K1788" s="21">
        <f t="shared" si="13"/>
        <v>222212.6</v>
      </c>
      <c r="L1788" s="23"/>
      <c r="M1788" s="21">
        <f t="shared" si="14"/>
        <v>1894.93</v>
      </c>
    </row>
    <row r="1789" ht="20.25" customHeight="1" outlineLevel="1">
      <c r="A1789" s="12">
        <v>46097.0</v>
      </c>
      <c r="B1789" s="13" t="s">
        <v>16</v>
      </c>
      <c r="C1789" s="28" t="s">
        <v>1620</v>
      </c>
      <c r="D1789" s="20"/>
      <c r="E1789" s="21">
        <f t="shared" si="1"/>
        <v>9232.82</v>
      </c>
      <c r="F1789" s="23">
        <v>37.0</v>
      </c>
      <c r="G1789" s="21">
        <f t="shared" si="8"/>
        <v>299859.3</v>
      </c>
      <c r="H1789" s="23"/>
      <c r="I1789" s="21">
        <f t="shared" si="12"/>
        <v>781.68</v>
      </c>
      <c r="J1789" s="23"/>
      <c r="K1789" s="21">
        <f t="shared" si="13"/>
        <v>222212.6</v>
      </c>
      <c r="L1789" s="23"/>
      <c r="M1789" s="21">
        <f t="shared" si="14"/>
        <v>1894.93</v>
      </c>
    </row>
    <row r="1790" ht="20.25" customHeight="1" outlineLevel="1">
      <c r="A1790" s="12">
        <v>46097.0</v>
      </c>
      <c r="B1790" s="13" t="s">
        <v>16</v>
      </c>
      <c r="C1790" s="28" t="s">
        <v>1621</v>
      </c>
      <c r="D1790" s="20"/>
      <c r="E1790" s="21">
        <f t="shared" si="1"/>
        <v>9232.82</v>
      </c>
      <c r="F1790" s="23">
        <v>360.0</v>
      </c>
      <c r="G1790" s="21">
        <f t="shared" si="8"/>
        <v>300219.3</v>
      </c>
      <c r="H1790" s="23"/>
      <c r="I1790" s="21">
        <f t="shared" si="12"/>
        <v>781.68</v>
      </c>
      <c r="J1790" s="23"/>
      <c r="K1790" s="21">
        <f t="shared" si="13"/>
        <v>222212.6</v>
      </c>
      <c r="L1790" s="23"/>
      <c r="M1790" s="21">
        <f t="shared" si="14"/>
        <v>1894.93</v>
      </c>
    </row>
    <row r="1791" ht="20.25" customHeight="1" outlineLevel="1">
      <c r="A1791" s="12">
        <v>46097.0</v>
      </c>
      <c r="B1791" s="13" t="s">
        <v>16</v>
      </c>
      <c r="C1791" s="28" t="s">
        <v>1622</v>
      </c>
      <c r="D1791" s="20"/>
      <c r="E1791" s="21">
        <f t="shared" si="1"/>
        <v>9232.82</v>
      </c>
      <c r="F1791" s="23">
        <v>589.2</v>
      </c>
      <c r="G1791" s="21">
        <f t="shared" si="8"/>
        <v>300808.5</v>
      </c>
      <c r="H1791" s="23"/>
      <c r="I1791" s="21">
        <f t="shared" si="12"/>
        <v>781.68</v>
      </c>
      <c r="J1791" s="23"/>
      <c r="K1791" s="21">
        <f t="shared" si="13"/>
        <v>222212.6</v>
      </c>
      <c r="L1791" s="23"/>
      <c r="M1791" s="21">
        <f t="shared" si="14"/>
        <v>1894.93</v>
      </c>
    </row>
    <row r="1792" ht="20.25" customHeight="1" outlineLevel="1">
      <c r="A1792" s="12">
        <v>46097.0</v>
      </c>
      <c r="B1792" s="13" t="s">
        <v>16</v>
      </c>
      <c r="C1792" s="28" t="s">
        <v>1623</v>
      </c>
      <c r="D1792" s="20"/>
      <c r="E1792" s="21">
        <f t="shared" si="1"/>
        <v>9232.82</v>
      </c>
      <c r="F1792" s="23">
        <v>264.0</v>
      </c>
      <c r="G1792" s="21">
        <f t="shared" si="8"/>
        <v>301072.5</v>
      </c>
      <c r="H1792" s="23"/>
      <c r="I1792" s="21">
        <f t="shared" si="12"/>
        <v>781.68</v>
      </c>
      <c r="J1792" s="23"/>
      <c r="K1792" s="21">
        <f t="shared" si="13"/>
        <v>222212.6</v>
      </c>
      <c r="L1792" s="23"/>
      <c r="M1792" s="21">
        <f t="shared" si="14"/>
        <v>1894.93</v>
      </c>
    </row>
    <row r="1793" ht="20.25" customHeight="1" outlineLevel="1">
      <c r="A1793" s="12">
        <v>46097.0</v>
      </c>
      <c r="B1793" s="13" t="s">
        <v>16</v>
      </c>
      <c r="C1793" s="83" t="s">
        <v>1624</v>
      </c>
      <c r="D1793" s="20"/>
      <c r="E1793" s="21">
        <f t="shared" si="1"/>
        <v>9232.82</v>
      </c>
      <c r="F1793" s="23">
        <v>470.0</v>
      </c>
      <c r="G1793" s="21">
        <f t="shared" si="8"/>
        <v>301542.5</v>
      </c>
      <c r="H1793" s="23"/>
      <c r="I1793" s="21">
        <f t="shared" si="12"/>
        <v>781.68</v>
      </c>
      <c r="J1793" s="23"/>
      <c r="K1793" s="21">
        <f t="shared" si="13"/>
        <v>222212.6</v>
      </c>
      <c r="L1793" s="23"/>
      <c r="M1793" s="21">
        <f t="shared" si="14"/>
        <v>1894.93</v>
      </c>
    </row>
    <row r="1794" ht="20.25" customHeight="1" outlineLevel="1">
      <c r="A1794" s="12">
        <v>46097.0</v>
      </c>
      <c r="B1794" s="13" t="s">
        <v>16</v>
      </c>
      <c r="C1794" s="83" t="s">
        <v>1625</v>
      </c>
      <c r="D1794" s="20"/>
      <c r="E1794" s="21">
        <f t="shared" si="1"/>
        <v>9232.82</v>
      </c>
      <c r="F1794" s="23">
        <v>85.0</v>
      </c>
      <c r="G1794" s="21">
        <f t="shared" si="8"/>
        <v>301627.5</v>
      </c>
      <c r="H1794" s="23"/>
      <c r="I1794" s="21">
        <f t="shared" si="12"/>
        <v>781.68</v>
      </c>
      <c r="J1794" s="23"/>
      <c r="K1794" s="21">
        <f t="shared" si="13"/>
        <v>222212.6</v>
      </c>
      <c r="L1794" s="23"/>
      <c r="M1794" s="21">
        <f t="shared" si="14"/>
        <v>1894.93</v>
      </c>
    </row>
    <row r="1795" ht="20.25" customHeight="1" outlineLevel="1">
      <c r="A1795" s="12">
        <v>46097.0</v>
      </c>
      <c r="B1795" s="13" t="s">
        <v>16</v>
      </c>
      <c r="C1795" s="83" t="s">
        <v>1626</v>
      </c>
      <c r="D1795" s="20"/>
      <c r="E1795" s="21">
        <f t="shared" si="1"/>
        <v>9232.82</v>
      </c>
      <c r="F1795" s="23">
        <v>489.18</v>
      </c>
      <c r="G1795" s="21">
        <f t="shared" si="8"/>
        <v>302116.68</v>
      </c>
      <c r="H1795" s="23"/>
      <c r="I1795" s="21">
        <f t="shared" si="12"/>
        <v>781.68</v>
      </c>
      <c r="J1795" s="23"/>
      <c r="K1795" s="21">
        <f t="shared" si="13"/>
        <v>222212.6</v>
      </c>
      <c r="L1795" s="23"/>
      <c r="M1795" s="21">
        <f t="shared" si="14"/>
        <v>1894.93</v>
      </c>
    </row>
    <row r="1796" ht="20.25" customHeight="1" outlineLevel="1">
      <c r="A1796" s="12">
        <v>46097.0</v>
      </c>
      <c r="B1796" s="13" t="s">
        <v>63</v>
      </c>
      <c r="C1796" s="84" t="s">
        <v>1627</v>
      </c>
      <c r="D1796" s="20"/>
      <c r="E1796" s="21">
        <f t="shared" si="1"/>
        <v>9232.82</v>
      </c>
      <c r="F1796" s="51">
        <v>11384.43</v>
      </c>
      <c r="G1796" s="21">
        <f t="shared" si="8"/>
        <v>313501.11</v>
      </c>
      <c r="H1796" s="23"/>
      <c r="I1796" s="21">
        <f t="shared" si="12"/>
        <v>781.68</v>
      </c>
      <c r="J1796" s="23"/>
      <c r="K1796" s="21">
        <f t="shared" si="13"/>
        <v>222212.6</v>
      </c>
      <c r="L1796" s="23"/>
      <c r="M1796" s="21">
        <f t="shared" si="14"/>
        <v>1894.93</v>
      </c>
    </row>
    <row r="1797" ht="20.25" customHeight="1" outlineLevel="1">
      <c r="A1797" s="12">
        <v>46097.0</v>
      </c>
      <c r="B1797" s="13" t="s">
        <v>63</v>
      </c>
      <c r="C1797" s="84" t="s">
        <v>1628</v>
      </c>
      <c r="D1797" s="20"/>
      <c r="E1797" s="21">
        <f t="shared" si="1"/>
        <v>9232.82</v>
      </c>
      <c r="F1797" s="51">
        <v>6710.0</v>
      </c>
      <c r="G1797" s="21">
        <f t="shared" si="8"/>
        <v>320211.11</v>
      </c>
      <c r="H1797" s="23"/>
      <c r="I1797" s="21">
        <f t="shared" si="12"/>
        <v>781.68</v>
      </c>
      <c r="J1797" s="23"/>
      <c r="K1797" s="21">
        <f t="shared" si="13"/>
        <v>222212.6</v>
      </c>
      <c r="L1797" s="23"/>
      <c r="M1797" s="21">
        <f t="shared" si="14"/>
        <v>1894.93</v>
      </c>
    </row>
    <row r="1798" ht="20.25" customHeight="1" outlineLevel="1">
      <c r="A1798" s="12">
        <v>46097.0</v>
      </c>
      <c r="B1798" s="13" t="s">
        <v>16</v>
      </c>
      <c r="C1798" s="83" t="s">
        <v>1629</v>
      </c>
      <c r="D1798" s="20"/>
      <c r="E1798" s="21">
        <f t="shared" si="1"/>
        <v>9232.82</v>
      </c>
      <c r="F1798" s="23">
        <v>528.0</v>
      </c>
      <c r="G1798" s="21">
        <f t="shared" si="8"/>
        <v>320739.11</v>
      </c>
      <c r="H1798" s="23"/>
      <c r="I1798" s="21">
        <f t="shared" si="12"/>
        <v>781.68</v>
      </c>
      <c r="J1798" s="23"/>
      <c r="K1798" s="21">
        <f t="shared" si="13"/>
        <v>222212.6</v>
      </c>
      <c r="L1798" s="23"/>
      <c r="M1798" s="21">
        <f t="shared" si="14"/>
        <v>1894.93</v>
      </c>
    </row>
    <row r="1799" ht="20.25" customHeight="1" outlineLevel="1">
      <c r="A1799" s="12">
        <v>46097.0</v>
      </c>
      <c r="B1799" s="13" t="s">
        <v>179</v>
      </c>
      <c r="C1799" s="83" t="s">
        <v>482</v>
      </c>
      <c r="D1799" s="20"/>
      <c r="E1799" s="21">
        <f t="shared" si="1"/>
        <v>9232.82</v>
      </c>
      <c r="F1799" s="27">
        <v>4000.0</v>
      </c>
      <c r="G1799" s="21">
        <f t="shared" si="8"/>
        <v>324739.11</v>
      </c>
      <c r="H1799" s="23"/>
      <c r="I1799" s="21">
        <f t="shared" si="12"/>
        <v>781.68</v>
      </c>
      <c r="J1799" s="23"/>
      <c r="K1799" s="21">
        <f t="shared" si="13"/>
        <v>222212.6</v>
      </c>
      <c r="L1799" s="23"/>
      <c r="M1799" s="21">
        <f t="shared" si="14"/>
        <v>1894.93</v>
      </c>
    </row>
    <row r="1800" ht="20.25" customHeight="1" outlineLevel="1">
      <c r="A1800" s="12">
        <v>46097.0</v>
      </c>
      <c r="B1800" s="13" t="s">
        <v>174</v>
      </c>
      <c r="C1800" s="28" t="s">
        <v>1630</v>
      </c>
      <c r="D1800" s="20"/>
      <c r="E1800" s="21">
        <f t="shared" si="1"/>
        <v>9232.82</v>
      </c>
      <c r="F1800" s="23"/>
      <c r="G1800" s="21">
        <f t="shared" si="8"/>
        <v>324739.11</v>
      </c>
      <c r="H1800" s="23"/>
      <c r="I1800" s="21">
        <f t="shared" si="12"/>
        <v>781.68</v>
      </c>
      <c r="J1800" s="22">
        <v>-13880.17</v>
      </c>
      <c r="K1800" s="21">
        <f t="shared" si="13"/>
        <v>208332.43</v>
      </c>
      <c r="L1800" s="23"/>
      <c r="M1800" s="21">
        <f t="shared" si="14"/>
        <v>1894.93</v>
      </c>
    </row>
    <row r="1801" ht="20.25" customHeight="1" outlineLevel="1">
      <c r="A1801" s="12">
        <v>46097.0</v>
      </c>
      <c r="B1801" s="13" t="s">
        <v>428</v>
      </c>
      <c r="C1801" s="28" t="s">
        <v>1631</v>
      </c>
      <c r="D1801" s="20"/>
      <c r="E1801" s="21">
        <f t="shared" si="1"/>
        <v>9232.82</v>
      </c>
      <c r="F1801" s="23"/>
      <c r="G1801" s="21">
        <f t="shared" si="8"/>
        <v>324739.11</v>
      </c>
      <c r="H1801" s="23"/>
      <c r="I1801" s="21">
        <f t="shared" si="12"/>
        <v>781.68</v>
      </c>
      <c r="J1801" s="23">
        <v>65.32</v>
      </c>
      <c r="K1801" s="21">
        <f t="shared" si="13"/>
        <v>208397.75</v>
      </c>
      <c r="L1801" s="23"/>
      <c r="M1801" s="21">
        <f t="shared" si="14"/>
        <v>1894.93</v>
      </c>
    </row>
    <row r="1802" ht="20.25" customHeight="1" outlineLevel="1">
      <c r="A1802" s="12">
        <v>46097.0</v>
      </c>
      <c r="B1802" s="13" t="s">
        <v>14</v>
      </c>
      <c r="C1802" s="28" t="s">
        <v>319</v>
      </c>
      <c r="D1802" s="73">
        <v>-5.0</v>
      </c>
      <c r="E1802" s="21">
        <f t="shared" si="1"/>
        <v>9227.82</v>
      </c>
      <c r="F1802" s="23"/>
      <c r="G1802" s="21">
        <f t="shared" si="8"/>
        <v>324739.11</v>
      </c>
      <c r="H1802" s="23"/>
      <c r="I1802" s="21">
        <f t="shared" si="12"/>
        <v>781.68</v>
      </c>
      <c r="J1802" s="23"/>
      <c r="K1802" s="21">
        <f t="shared" si="13"/>
        <v>208397.75</v>
      </c>
      <c r="L1802" s="23"/>
      <c r="M1802" s="21">
        <f t="shared" si="14"/>
        <v>1894.93</v>
      </c>
    </row>
    <row r="1803" ht="20.25" customHeight="1" outlineLevel="1">
      <c r="A1803" s="12">
        <v>46097.0</v>
      </c>
      <c r="B1803" s="13" t="s">
        <v>14</v>
      </c>
      <c r="C1803" s="28" t="s">
        <v>1632</v>
      </c>
      <c r="D1803" s="20"/>
      <c r="E1803" s="21">
        <f t="shared" si="1"/>
        <v>9227.82</v>
      </c>
      <c r="F1803" s="22">
        <v>-979.0</v>
      </c>
      <c r="G1803" s="21">
        <f t="shared" si="8"/>
        <v>323760.11</v>
      </c>
      <c r="H1803" s="23"/>
      <c r="I1803" s="21">
        <f t="shared" si="12"/>
        <v>781.68</v>
      </c>
      <c r="J1803" s="23"/>
      <c r="K1803" s="21">
        <f t="shared" si="13"/>
        <v>208397.75</v>
      </c>
      <c r="L1803" s="23"/>
      <c r="M1803" s="21">
        <f t="shared" si="14"/>
        <v>1894.93</v>
      </c>
    </row>
    <row r="1804" ht="20.25" customHeight="1" outlineLevel="1">
      <c r="A1804" s="12">
        <v>46097.0</v>
      </c>
      <c r="B1804" s="13" t="s">
        <v>16</v>
      </c>
      <c r="C1804" s="42" t="s">
        <v>1633</v>
      </c>
      <c r="D1804" s="20"/>
      <c r="E1804" s="21">
        <f t="shared" si="1"/>
        <v>9227.82</v>
      </c>
      <c r="F1804" s="23"/>
      <c r="G1804" s="21">
        <f t="shared" si="8"/>
        <v>323760.11</v>
      </c>
      <c r="H1804" s="23"/>
      <c r="I1804" s="21">
        <f t="shared" si="12"/>
        <v>781.68</v>
      </c>
      <c r="J1804" s="23">
        <v>80.0</v>
      </c>
      <c r="K1804" s="21">
        <f t="shared" si="13"/>
        <v>208477.75</v>
      </c>
      <c r="L1804" s="23"/>
      <c r="M1804" s="21">
        <f t="shared" si="14"/>
        <v>1894.93</v>
      </c>
    </row>
    <row r="1805" ht="20.25" customHeight="1" outlineLevel="1">
      <c r="A1805" s="12">
        <v>46097.0</v>
      </c>
      <c r="B1805" s="13" t="s">
        <v>16</v>
      </c>
      <c r="C1805" s="42" t="s">
        <v>1634</v>
      </c>
      <c r="D1805" s="20"/>
      <c r="E1805" s="21">
        <f t="shared" si="1"/>
        <v>9227.82</v>
      </c>
      <c r="F1805" s="23"/>
      <c r="G1805" s="21">
        <f t="shared" si="8"/>
        <v>323760.11</v>
      </c>
      <c r="H1805" s="23"/>
      <c r="I1805" s="21">
        <f t="shared" si="12"/>
        <v>781.68</v>
      </c>
      <c r="J1805" s="23">
        <v>105.0</v>
      </c>
      <c r="K1805" s="21">
        <f t="shared" si="13"/>
        <v>208582.75</v>
      </c>
      <c r="L1805" s="23"/>
      <c r="M1805" s="21">
        <f t="shared" si="14"/>
        <v>1894.93</v>
      </c>
    </row>
    <row r="1806" ht="20.25" customHeight="1" outlineLevel="1">
      <c r="A1806" s="12">
        <v>46097.0</v>
      </c>
      <c r="B1806" s="13" t="s">
        <v>16</v>
      </c>
      <c r="C1806" s="42" t="s">
        <v>1635</v>
      </c>
      <c r="D1806" s="20"/>
      <c r="E1806" s="21">
        <f t="shared" si="1"/>
        <v>9227.82</v>
      </c>
      <c r="F1806" s="23"/>
      <c r="G1806" s="21">
        <f t="shared" si="8"/>
        <v>323760.11</v>
      </c>
      <c r="H1806" s="23"/>
      <c r="I1806" s="21">
        <f t="shared" si="12"/>
        <v>781.68</v>
      </c>
      <c r="J1806" s="23">
        <v>30.0</v>
      </c>
      <c r="K1806" s="21">
        <f t="shared" si="13"/>
        <v>208612.75</v>
      </c>
      <c r="L1806" s="23"/>
      <c r="M1806" s="21">
        <f t="shared" si="14"/>
        <v>1894.93</v>
      </c>
    </row>
    <row r="1807" ht="20.25" customHeight="1" outlineLevel="1">
      <c r="A1807" s="12">
        <v>46097.0</v>
      </c>
      <c r="B1807" s="13" t="s">
        <v>16</v>
      </c>
      <c r="C1807" s="41" t="s">
        <v>1636</v>
      </c>
      <c r="D1807" s="20"/>
      <c r="E1807" s="21">
        <f t="shared" si="1"/>
        <v>9227.82</v>
      </c>
      <c r="F1807" s="23"/>
      <c r="G1807" s="21">
        <f t="shared" si="8"/>
        <v>323760.11</v>
      </c>
      <c r="H1807" s="23"/>
      <c r="I1807" s="21">
        <f t="shared" si="12"/>
        <v>781.68</v>
      </c>
      <c r="J1807" s="23">
        <v>550.0</v>
      </c>
      <c r="K1807" s="21">
        <f t="shared" si="13"/>
        <v>209162.75</v>
      </c>
      <c r="L1807" s="23"/>
      <c r="M1807" s="21">
        <f t="shared" si="14"/>
        <v>1894.93</v>
      </c>
    </row>
    <row r="1808" ht="20.25" customHeight="1" outlineLevel="1">
      <c r="A1808" s="12">
        <v>46098.0</v>
      </c>
      <c r="B1808" s="13" t="s">
        <v>14</v>
      </c>
      <c r="C1808" s="70" t="s">
        <v>1637</v>
      </c>
      <c r="D1808" s="20"/>
      <c r="E1808" s="21">
        <f t="shared" si="1"/>
        <v>9227.82</v>
      </c>
      <c r="F1808" s="22">
        <v>-155.0</v>
      </c>
      <c r="G1808" s="21">
        <f t="shared" si="8"/>
        <v>323605.11</v>
      </c>
      <c r="H1808" s="23"/>
      <c r="I1808" s="21">
        <f t="shared" si="12"/>
        <v>781.68</v>
      </c>
      <c r="J1808" s="23"/>
      <c r="K1808" s="21">
        <f t="shared" si="13"/>
        <v>209162.75</v>
      </c>
      <c r="L1808" s="23"/>
      <c r="M1808" s="21">
        <f t="shared" si="14"/>
        <v>1894.93</v>
      </c>
    </row>
    <row r="1809" ht="20.25" customHeight="1" outlineLevel="1">
      <c r="A1809" s="12">
        <v>46098.0</v>
      </c>
      <c r="B1809" s="13" t="s">
        <v>12</v>
      </c>
      <c r="C1809" s="28" t="s">
        <v>1638</v>
      </c>
      <c r="D1809" s="20"/>
      <c r="E1809" s="21">
        <f t="shared" si="1"/>
        <v>9227.82</v>
      </c>
      <c r="F1809" s="22">
        <v>-510.0</v>
      </c>
      <c r="G1809" s="21">
        <f t="shared" si="8"/>
        <v>323095.11</v>
      </c>
      <c r="H1809" s="23"/>
      <c r="I1809" s="21">
        <f t="shared" si="12"/>
        <v>781.68</v>
      </c>
      <c r="J1809" s="23"/>
      <c r="K1809" s="21">
        <f t="shared" si="13"/>
        <v>209162.75</v>
      </c>
      <c r="L1809" s="23"/>
      <c r="M1809" s="21">
        <f t="shared" si="14"/>
        <v>1894.93</v>
      </c>
    </row>
    <row r="1810" ht="20.25" customHeight="1" outlineLevel="1">
      <c r="A1810" s="12">
        <v>46098.0</v>
      </c>
      <c r="B1810" s="13" t="s">
        <v>16</v>
      </c>
      <c r="C1810" s="28" t="s">
        <v>1639</v>
      </c>
      <c r="D1810" s="20"/>
      <c r="E1810" s="21">
        <f t="shared" si="1"/>
        <v>9227.82</v>
      </c>
      <c r="F1810" s="23">
        <v>15.0</v>
      </c>
      <c r="G1810" s="21">
        <f t="shared" si="8"/>
        <v>323110.11</v>
      </c>
      <c r="H1810" s="23"/>
      <c r="I1810" s="21">
        <f t="shared" si="12"/>
        <v>781.68</v>
      </c>
      <c r="J1810" s="23"/>
      <c r="K1810" s="21">
        <f t="shared" si="13"/>
        <v>209162.75</v>
      </c>
      <c r="L1810" s="23"/>
      <c r="M1810" s="21">
        <f t="shared" si="14"/>
        <v>1894.93</v>
      </c>
    </row>
    <row r="1811" ht="20.25" customHeight="1" outlineLevel="1">
      <c r="A1811" s="12">
        <v>46098.0</v>
      </c>
      <c r="B1811" s="13" t="s">
        <v>16</v>
      </c>
      <c r="C1811" s="28" t="s">
        <v>1640</v>
      </c>
      <c r="D1811" s="20"/>
      <c r="E1811" s="21">
        <f t="shared" si="1"/>
        <v>9227.82</v>
      </c>
      <c r="F1811" s="23">
        <v>395.0</v>
      </c>
      <c r="G1811" s="21">
        <f t="shared" si="8"/>
        <v>323505.11</v>
      </c>
      <c r="H1811" s="23"/>
      <c r="I1811" s="21">
        <f t="shared" si="12"/>
        <v>781.68</v>
      </c>
      <c r="J1811" s="23"/>
      <c r="K1811" s="21">
        <f t="shared" si="13"/>
        <v>209162.75</v>
      </c>
      <c r="L1811" s="23"/>
      <c r="M1811" s="21">
        <f t="shared" si="14"/>
        <v>1894.93</v>
      </c>
    </row>
    <row r="1812" ht="20.25" customHeight="1" outlineLevel="1">
      <c r="A1812" s="12">
        <v>46098.0</v>
      </c>
      <c r="B1812" s="13" t="s">
        <v>14</v>
      </c>
      <c r="C1812" s="42" t="s">
        <v>34</v>
      </c>
      <c r="D1812" s="20"/>
      <c r="E1812" s="21">
        <f t="shared" si="1"/>
        <v>9227.82</v>
      </c>
      <c r="F1812" s="23"/>
      <c r="G1812" s="21">
        <f t="shared" si="8"/>
        <v>323505.11</v>
      </c>
      <c r="H1812" s="23"/>
      <c r="I1812" s="21">
        <f t="shared" si="12"/>
        <v>781.68</v>
      </c>
      <c r="J1812" s="22">
        <v>-24.46</v>
      </c>
      <c r="K1812" s="21">
        <f t="shared" si="13"/>
        <v>209138.29</v>
      </c>
      <c r="L1812" s="23"/>
      <c r="M1812" s="21">
        <f t="shared" si="14"/>
        <v>1894.93</v>
      </c>
    </row>
    <row r="1813" ht="20.25" customHeight="1" outlineLevel="1">
      <c r="A1813" s="12">
        <v>46098.0</v>
      </c>
      <c r="B1813" s="13" t="s">
        <v>14</v>
      </c>
      <c r="C1813" s="42" t="s">
        <v>34</v>
      </c>
      <c r="D1813" s="20"/>
      <c r="E1813" s="21">
        <f t="shared" si="1"/>
        <v>9227.82</v>
      </c>
      <c r="F1813" s="23"/>
      <c r="G1813" s="21">
        <f t="shared" si="8"/>
        <v>323505.11</v>
      </c>
      <c r="H1813" s="23"/>
      <c r="I1813" s="21">
        <f t="shared" si="12"/>
        <v>781.68</v>
      </c>
      <c r="J1813" s="22">
        <v>-1220.0</v>
      </c>
      <c r="K1813" s="21">
        <f t="shared" si="13"/>
        <v>207918.29</v>
      </c>
      <c r="L1813" s="23"/>
      <c r="M1813" s="21">
        <f t="shared" si="14"/>
        <v>1894.93</v>
      </c>
    </row>
    <row r="1814" ht="20.25" customHeight="1" outlineLevel="1">
      <c r="A1814" s="12">
        <v>46098.0</v>
      </c>
      <c r="B1814" s="13" t="s">
        <v>16</v>
      </c>
      <c r="C1814" s="41" t="s">
        <v>1641</v>
      </c>
      <c r="D1814" s="20"/>
      <c r="E1814" s="21">
        <f t="shared" si="1"/>
        <v>9227.82</v>
      </c>
      <c r="F1814" s="23"/>
      <c r="G1814" s="21">
        <f t="shared" si="8"/>
        <v>323505.11</v>
      </c>
      <c r="H1814" s="23"/>
      <c r="I1814" s="21">
        <f t="shared" si="12"/>
        <v>781.68</v>
      </c>
      <c r="J1814" s="23">
        <v>345.0</v>
      </c>
      <c r="K1814" s="21">
        <f t="shared" si="13"/>
        <v>208263.29</v>
      </c>
      <c r="L1814" s="23"/>
      <c r="M1814" s="21">
        <f t="shared" si="14"/>
        <v>1894.93</v>
      </c>
    </row>
    <row r="1815" ht="20.25" customHeight="1" outlineLevel="1">
      <c r="A1815" s="12">
        <v>46098.0</v>
      </c>
      <c r="B1815" s="13" t="s">
        <v>16</v>
      </c>
      <c r="C1815" s="28" t="s">
        <v>1642</v>
      </c>
      <c r="D1815" s="20">
        <v>140.0</v>
      </c>
      <c r="E1815" s="21">
        <f t="shared" si="1"/>
        <v>9367.82</v>
      </c>
      <c r="F1815" s="23"/>
      <c r="G1815" s="21">
        <f t="shared" si="8"/>
        <v>323505.11</v>
      </c>
      <c r="H1815" s="23"/>
      <c r="I1815" s="21">
        <f t="shared" si="12"/>
        <v>781.68</v>
      </c>
      <c r="J1815" s="23"/>
      <c r="K1815" s="21">
        <f t="shared" si="13"/>
        <v>208263.29</v>
      </c>
      <c r="L1815" s="23"/>
      <c r="M1815" s="21">
        <f t="shared" si="14"/>
        <v>1894.93</v>
      </c>
    </row>
    <row r="1816" ht="20.25" customHeight="1" outlineLevel="1">
      <c r="A1816" s="12">
        <v>46099.0</v>
      </c>
      <c r="B1816" s="13" t="s">
        <v>16</v>
      </c>
      <c r="C1816" s="28" t="s">
        <v>1643</v>
      </c>
      <c r="D1816" s="20"/>
      <c r="E1816" s="21">
        <f t="shared" si="1"/>
        <v>9367.82</v>
      </c>
      <c r="F1816" s="23">
        <v>430.0</v>
      </c>
      <c r="G1816" s="21">
        <f t="shared" si="8"/>
        <v>323935.11</v>
      </c>
      <c r="H1816" s="23"/>
      <c r="I1816" s="21">
        <f t="shared" si="12"/>
        <v>781.68</v>
      </c>
      <c r="J1816" s="23"/>
      <c r="K1816" s="21">
        <f t="shared" si="13"/>
        <v>208263.29</v>
      </c>
      <c r="L1816" s="23"/>
      <c r="M1816" s="21">
        <f t="shared" si="14"/>
        <v>1894.93</v>
      </c>
    </row>
    <row r="1817" ht="20.25" customHeight="1" outlineLevel="1">
      <c r="A1817" s="12">
        <v>46099.0</v>
      </c>
      <c r="B1817" s="13" t="s">
        <v>16</v>
      </c>
      <c r="C1817" s="225" t="s">
        <v>1644</v>
      </c>
      <c r="D1817" s="20"/>
      <c r="E1817" s="21">
        <f t="shared" si="1"/>
        <v>9367.82</v>
      </c>
      <c r="F1817" s="23">
        <v>75.0</v>
      </c>
      <c r="G1817" s="21">
        <f t="shared" si="8"/>
        <v>324010.11</v>
      </c>
      <c r="H1817" s="23"/>
      <c r="I1817" s="21">
        <f t="shared" si="12"/>
        <v>781.68</v>
      </c>
      <c r="J1817" s="23"/>
      <c r="K1817" s="21">
        <f t="shared" si="13"/>
        <v>208263.29</v>
      </c>
      <c r="L1817" s="23"/>
      <c r="M1817" s="21">
        <f t="shared" si="14"/>
        <v>1894.93</v>
      </c>
    </row>
    <row r="1818" ht="20.25" customHeight="1" outlineLevel="1">
      <c r="A1818" s="12">
        <v>46099.0</v>
      </c>
      <c r="B1818" s="13" t="s">
        <v>16</v>
      </c>
      <c r="C1818" s="227" t="s">
        <v>1645</v>
      </c>
      <c r="D1818" s="20"/>
      <c r="E1818" s="21">
        <f t="shared" si="1"/>
        <v>9367.82</v>
      </c>
      <c r="F1818" s="23"/>
      <c r="G1818" s="21">
        <f t="shared" si="8"/>
        <v>324010.11</v>
      </c>
      <c r="H1818" s="23"/>
      <c r="I1818" s="21">
        <f t="shared" si="12"/>
        <v>781.68</v>
      </c>
      <c r="J1818" s="23">
        <v>80.0</v>
      </c>
      <c r="K1818" s="21">
        <f t="shared" si="13"/>
        <v>208343.29</v>
      </c>
      <c r="L1818" s="23"/>
      <c r="M1818" s="21">
        <f t="shared" si="14"/>
        <v>1894.93</v>
      </c>
    </row>
    <row r="1819" ht="20.25" customHeight="1" outlineLevel="1">
      <c r="A1819" s="12">
        <v>46099.0</v>
      </c>
      <c r="B1819" s="46" t="s">
        <v>16</v>
      </c>
      <c r="C1819" s="59" t="s">
        <v>1642</v>
      </c>
      <c r="D1819" s="20">
        <v>140.0</v>
      </c>
      <c r="E1819" s="21">
        <f t="shared" si="1"/>
        <v>9507.82</v>
      </c>
      <c r="F1819" s="23"/>
      <c r="G1819" s="21">
        <f t="shared" si="8"/>
        <v>324010.11</v>
      </c>
      <c r="H1819" s="23"/>
      <c r="I1819" s="21">
        <f t="shared" si="12"/>
        <v>781.68</v>
      </c>
      <c r="J1819" s="23"/>
      <c r="K1819" s="21">
        <f t="shared" si="13"/>
        <v>208343.29</v>
      </c>
      <c r="L1819" s="23"/>
      <c r="M1819" s="21">
        <f t="shared" si="14"/>
        <v>1894.93</v>
      </c>
    </row>
    <row r="1820" ht="20.25" customHeight="1" outlineLevel="1">
      <c r="A1820" s="12">
        <v>46100.0</v>
      </c>
      <c r="B1820" s="46" t="s">
        <v>16</v>
      </c>
      <c r="C1820" s="59" t="s">
        <v>1646</v>
      </c>
      <c r="D1820" s="20"/>
      <c r="E1820" s="21">
        <f t="shared" si="1"/>
        <v>9507.82</v>
      </c>
      <c r="F1820" s="23">
        <v>432.5</v>
      </c>
      <c r="G1820" s="21">
        <f t="shared" si="8"/>
        <v>324442.61</v>
      </c>
      <c r="H1820" s="23"/>
      <c r="I1820" s="21">
        <f t="shared" si="12"/>
        <v>781.68</v>
      </c>
      <c r="J1820" s="23"/>
      <c r="K1820" s="21">
        <f t="shared" si="13"/>
        <v>208343.29</v>
      </c>
      <c r="L1820" s="23"/>
      <c r="M1820" s="21">
        <f t="shared" si="14"/>
        <v>1894.93</v>
      </c>
    </row>
    <row r="1821" ht="20.25" customHeight="1" outlineLevel="1">
      <c r="A1821" s="12">
        <v>46100.0</v>
      </c>
      <c r="B1821" s="46" t="s">
        <v>16</v>
      </c>
      <c r="C1821" s="59" t="s">
        <v>1647</v>
      </c>
      <c r="D1821" s="20"/>
      <c r="E1821" s="21">
        <f t="shared" si="1"/>
        <v>9507.82</v>
      </c>
      <c r="F1821" s="23">
        <v>132.0</v>
      </c>
      <c r="G1821" s="21">
        <f t="shared" si="8"/>
        <v>324574.61</v>
      </c>
      <c r="H1821" s="23"/>
      <c r="I1821" s="21">
        <f t="shared" si="12"/>
        <v>781.68</v>
      </c>
      <c r="J1821" s="23"/>
      <c r="K1821" s="21">
        <f t="shared" si="13"/>
        <v>208343.29</v>
      </c>
      <c r="L1821" s="23"/>
      <c r="M1821" s="21">
        <f t="shared" si="14"/>
        <v>1894.93</v>
      </c>
    </row>
    <row r="1822" ht="20.25" customHeight="1" outlineLevel="1">
      <c r="A1822" s="12">
        <v>46100.0</v>
      </c>
      <c r="B1822" s="13" t="s">
        <v>16</v>
      </c>
      <c r="C1822" s="228" t="s">
        <v>1648</v>
      </c>
      <c r="D1822" s="20"/>
      <c r="E1822" s="21">
        <f t="shared" si="1"/>
        <v>9507.82</v>
      </c>
      <c r="F1822" s="23"/>
      <c r="G1822" s="21">
        <f t="shared" si="8"/>
        <v>324574.61</v>
      </c>
      <c r="H1822" s="23"/>
      <c r="I1822" s="21">
        <f t="shared" si="12"/>
        <v>781.68</v>
      </c>
      <c r="J1822" s="23">
        <v>75.0</v>
      </c>
      <c r="K1822" s="21">
        <f t="shared" si="13"/>
        <v>208418.29</v>
      </c>
      <c r="L1822" s="23"/>
      <c r="M1822" s="21">
        <f t="shared" si="14"/>
        <v>1894.93</v>
      </c>
    </row>
    <row r="1823" ht="20.25" customHeight="1" outlineLevel="1">
      <c r="A1823" s="12">
        <v>46100.0</v>
      </c>
      <c r="B1823" s="13" t="s">
        <v>16</v>
      </c>
      <c r="C1823" s="225" t="s">
        <v>1649</v>
      </c>
      <c r="D1823" s="20">
        <v>72.5</v>
      </c>
      <c r="E1823" s="21">
        <f t="shared" si="1"/>
        <v>9580.32</v>
      </c>
      <c r="F1823" s="23"/>
      <c r="G1823" s="21">
        <f t="shared" si="8"/>
        <v>324574.61</v>
      </c>
      <c r="H1823" s="23"/>
      <c r="I1823" s="21">
        <f t="shared" si="12"/>
        <v>781.68</v>
      </c>
      <c r="J1823" s="23"/>
      <c r="K1823" s="21">
        <f t="shared" si="13"/>
        <v>208418.29</v>
      </c>
      <c r="L1823" s="23"/>
      <c r="M1823" s="21">
        <f t="shared" si="14"/>
        <v>1894.93</v>
      </c>
    </row>
    <row r="1824" ht="20.25" customHeight="1" outlineLevel="1">
      <c r="A1824" s="12">
        <v>46101.0</v>
      </c>
      <c r="B1824" s="13" t="s">
        <v>14</v>
      </c>
      <c r="C1824" s="229" t="s">
        <v>34</v>
      </c>
      <c r="D1824" s="20"/>
      <c r="E1824" s="21">
        <f t="shared" si="1"/>
        <v>9580.32</v>
      </c>
      <c r="F1824" s="23"/>
      <c r="G1824" s="21">
        <f t="shared" si="8"/>
        <v>324574.61</v>
      </c>
      <c r="H1824" s="23"/>
      <c r="I1824" s="21">
        <f t="shared" si="12"/>
        <v>781.68</v>
      </c>
      <c r="J1824" s="22">
        <v>-18.3</v>
      </c>
      <c r="K1824" s="21">
        <f t="shared" si="13"/>
        <v>208399.99</v>
      </c>
      <c r="L1824" s="23"/>
      <c r="M1824" s="21">
        <f t="shared" si="14"/>
        <v>1894.93</v>
      </c>
    </row>
    <row r="1825" ht="20.25" customHeight="1" outlineLevel="1">
      <c r="A1825" s="12">
        <v>46101.0</v>
      </c>
      <c r="B1825" s="13" t="s">
        <v>16</v>
      </c>
      <c r="C1825" s="225" t="s">
        <v>1650</v>
      </c>
      <c r="D1825" s="20"/>
      <c r="E1825" s="21">
        <f t="shared" si="1"/>
        <v>9580.32</v>
      </c>
      <c r="F1825" s="23">
        <v>770.0</v>
      </c>
      <c r="G1825" s="21">
        <f t="shared" si="8"/>
        <v>325344.61</v>
      </c>
      <c r="H1825" s="23"/>
      <c r="I1825" s="21">
        <f t="shared" si="12"/>
        <v>781.68</v>
      </c>
      <c r="J1825" s="23"/>
      <c r="K1825" s="21">
        <f t="shared" si="13"/>
        <v>208399.99</v>
      </c>
      <c r="L1825" s="23"/>
      <c r="M1825" s="21">
        <f t="shared" si="14"/>
        <v>1894.93</v>
      </c>
    </row>
    <row r="1826" ht="20.25" customHeight="1" outlineLevel="1">
      <c r="A1826" s="12">
        <v>46101.0</v>
      </c>
      <c r="B1826" s="13" t="s">
        <v>16</v>
      </c>
      <c r="C1826" s="225" t="s">
        <v>1651</v>
      </c>
      <c r="D1826" s="20">
        <v>45.0</v>
      </c>
      <c r="E1826" s="21">
        <f t="shared" si="1"/>
        <v>9625.32</v>
      </c>
      <c r="F1826" s="23"/>
      <c r="G1826" s="21">
        <f t="shared" si="8"/>
        <v>325344.61</v>
      </c>
      <c r="H1826" s="23"/>
      <c r="I1826" s="21">
        <f t="shared" si="12"/>
        <v>781.68</v>
      </c>
      <c r="J1826" s="23"/>
      <c r="K1826" s="21">
        <f t="shared" si="13"/>
        <v>208399.99</v>
      </c>
      <c r="L1826" s="23"/>
      <c r="M1826" s="21">
        <f t="shared" si="14"/>
        <v>1894.93</v>
      </c>
    </row>
    <row r="1827" ht="20.25" customHeight="1" outlineLevel="1">
      <c r="A1827" s="12">
        <v>46101.0</v>
      </c>
      <c r="B1827" s="13" t="s">
        <v>14</v>
      </c>
      <c r="C1827" s="225" t="s">
        <v>319</v>
      </c>
      <c r="D1827" s="20">
        <v>-24.4</v>
      </c>
      <c r="E1827" s="21">
        <f t="shared" si="1"/>
        <v>9600.92</v>
      </c>
      <c r="F1827" s="23"/>
      <c r="G1827" s="21">
        <f t="shared" si="8"/>
        <v>325344.61</v>
      </c>
      <c r="H1827" s="23"/>
      <c r="I1827" s="21">
        <f t="shared" si="12"/>
        <v>781.68</v>
      </c>
      <c r="J1827" s="23"/>
      <c r="K1827" s="21">
        <f t="shared" si="13"/>
        <v>208399.99</v>
      </c>
      <c r="L1827" s="23"/>
      <c r="M1827" s="21">
        <f t="shared" si="14"/>
        <v>1894.93</v>
      </c>
    </row>
    <row r="1828" ht="20.25" customHeight="1" outlineLevel="1">
      <c r="A1828" s="12">
        <v>46102.0</v>
      </c>
      <c r="B1828" s="13" t="s">
        <v>16</v>
      </c>
      <c r="C1828" s="28" t="s">
        <v>1652</v>
      </c>
      <c r="D1828" s="20">
        <v>60.0</v>
      </c>
      <c r="E1828" s="21">
        <f t="shared" si="1"/>
        <v>9660.92</v>
      </c>
      <c r="F1828" s="23"/>
      <c r="G1828" s="21">
        <f t="shared" si="8"/>
        <v>325344.61</v>
      </c>
      <c r="H1828" s="23"/>
      <c r="I1828" s="21">
        <f t="shared" si="12"/>
        <v>781.68</v>
      </c>
      <c r="J1828" s="23"/>
      <c r="K1828" s="21">
        <f t="shared" si="13"/>
        <v>208399.99</v>
      </c>
      <c r="L1828" s="23"/>
      <c r="M1828" s="21">
        <f t="shared" si="14"/>
        <v>1894.93</v>
      </c>
    </row>
    <row r="1829" ht="20.25" customHeight="1" outlineLevel="1">
      <c r="A1829" s="12">
        <v>46103.0</v>
      </c>
      <c r="B1829" s="13" t="s">
        <v>14</v>
      </c>
      <c r="C1829" s="28" t="s">
        <v>1558</v>
      </c>
      <c r="D1829" s="20">
        <v>-17.7</v>
      </c>
      <c r="E1829" s="21">
        <f t="shared" si="1"/>
        <v>9643.22</v>
      </c>
      <c r="F1829" s="23"/>
      <c r="G1829" s="21">
        <f t="shared" si="8"/>
        <v>325344.61</v>
      </c>
      <c r="H1829" s="23"/>
      <c r="I1829" s="21">
        <f t="shared" si="12"/>
        <v>781.68</v>
      </c>
      <c r="J1829" s="23"/>
      <c r="K1829" s="21">
        <f t="shared" si="13"/>
        <v>208399.99</v>
      </c>
      <c r="L1829" s="23"/>
      <c r="M1829" s="21">
        <f t="shared" si="14"/>
        <v>1894.93</v>
      </c>
    </row>
    <row r="1830" ht="20.25" customHeight="1" outlineLevel="1">
      <c r="A1830" s="12">
        <v>46104.0</v>
      </c>
      <c r="B1830" s="13" t="s">
        <v>14</v>
      </c>
      <c r="C1830" s="28" t="s">
        <v>34</v>
      </c>
      <c r="D1830" s="20"/>
      <c r="E1830" s="21">
        <f t="shared" si="1"/>
        <v>9643.22</v>
      </c>
      <c r="F1830" s="23"/>
      <c r="G1830" s="21">
        <f t="shared" si="8"/>
        <v>325344.61</v>
      </c>
      <c r="H1830" s="23"/>
      <c r="I1830" s="21">
        <f t="shared" si="12"/>
        <v>781.68</v>
      </c>
      <c r="J1830" s="22">
        <v>-45.99</v>
      </c>
      <c r="K1830" s="21">
        <f t="shared" si="13"/>
        <v>208354</v>
      </c>
      <c r="L1830" s="23"/>
      <c r="M1830" s="21">
        <f t="shared" si="14"/>
        <v>1894.93</v>
      </c>
    </row>
    <row r="1831" ht="20.25" customHeight="1" outlineLevel="1">
      <c r="A1831" s="12">
        <v>46104.0</v>
      </c>
      <c r="B1831" s="13" t="s">
        <v>12</v>
      </c>
      <c r="C1831" s="28" t="s">
        <v>1653</v>
      </c>
      <c r="D1831" s="20"/>
      <c r="E1831" s="21">
        <f t="shared" si="1"/>
        <v>9643.22</v>
      </c>
      <c r="F1831" s="22">
        <v>-819.78</v>
      </c>
      <c r="G1831" s="21">
        <f t="shared" si="8"/>
        <v>324524.83</v>
      </c>
      <c r="H1831" s="23"/>
      <c r="I1831" s="21">
        <f t="shared" si="12"/>
        <v>781.68</v>
      </c>
      <c r="J1831" s="23"/>
      <c r="K1831" s="21">
        <f t="shared" si="13"/>
        <v>208354</v>
      </c>
      <c r="L1831" s="23"/>
      <c r="M1831" s="21">
        <f t="shared" si="14"/>
        <v>1894.93</v>
      </c>
    </row>
    <row r="1832" ht="20.25" customHeight="1" outlineLevel="1">
      <c r="A1832" s="12">
        <v>46104.0</v>
      </c>
      <c r="B1832" s="13" t="s">
        <v>16</v>
      </c>
      <c r="C1832" s="28" t="s">
        <v>1654</v>
      </c>
      <c r="D1832" s="20"/>
      <c r="E1832" s="21">
        <f t="shared" si="1"/>
        <v>9643.22</v>
      </c>
      <c r="F1832" s="23">
        <v>325.0</v>
      </c>
      <c r="G1832" s="21">
        <f t="shared" si="8"/>
        <v>324849.83</v>
      </c>
      <c r="H1832" s="23"/>
      <c r="I1832" s="21">
        <f t="shared" si="12"/>
        <v>781.68</v>
      </c>
      <c r="J1832" s="23"/>
      <c r="K1832" s="21">
        <f t="shared" si="13"/>
        <v>208354</v>
      </c>
      <c r="L1832" s="23"/>
      <c r="M1832" s="21">
        <f t="shared" si="14"/>
        <v>1894.93</v>
      </c>
    </row>
    <row r="1833" ht="20.25" customHeight="1" outlineLevel="1">
      <c r="A1833" s="12">
        <v>46104.0</v>
      </c>
      <c r="B1833" s="13" t="s">
        <v>16</v>
      </c>
      <c r="C1833" s="28" t="s">
        <v>1655</v>
      </c>
      <c r="D1833" s="20"/>
      <c r="E1833" s="21">
        <f t="shared" si="1"/>
        <v>9643.22</v>
      </c>
      <c r="F1833" s="23">
        <v>25.0</v>
      </c>
      <c r="G1833" s="21">
        <f t="shared" si="8"/>
        <v>324874.83</v>
      </c>
      <c r="H1833" s="23"/>
      <c r="I1833" s="21">
        <f t="shared" si="12"/>
        <v>781.68</v>
      </c>
      <c r="J1833" s="23"/>
      <c r="K1833" s="21">
        <f t="shared" si="13"/>
        <v>208354</v>
      </c>
      <c r="L1833" s="23"/>
      <c r="M1833" s="21">
        <f t="shared" si="14"/>
        <v>1894.93</v>
      </c>
    </row>
    <row r="1834" ht="20.25" customHeight="1" outlineLevel="1">
      <c r="A1834" s="12">
        <v>46104.0</v>
      </c>
      <c r="B1834" s="13" t="s">
        <v>16</v>
      </c>
      <c r="C1834" s="28" t="s">
        <v>1656</v>
      </c>
      <c r="D1834" s="20"/>
      <c r="E1834" s="21">
        <f t="shared" si="1"/>
        <v>9643.22</v>
      </c>
      <c r="F1834" s="23">
        <v>212.0</v>
      </c>
      <c r="G1834" s="21">
        <f t="shared" si="8"/>
        <v>325086.83</v>
      </c>
      <c r="H1834" s="23"/>
      <c r="I1834" s="21">
        <f t="shared" si="12"/>
        <v>781.68</v>
      </c>
      <c r="J1834" s="23"/>
      <c r="K1834" s="21">
        <f t="shared" si="13"/>
        <v>208354</v>
      </c>
      <c r="L1834" s="23"/>
      <c r="M1834" s="21">
        <f t="shared" si="14"/>
        <v>1894.93</v>
      </c>
    </row>
    <row r="1835" ht="20.25" customHeight="1" outlineLevel="1">
      <c r="A1835" s="12">
        <v>46104.0</v>
      </c>
      <c r="B1835" s="13" t="s">
        <v>16</v>
      </c>
      <c r="C1835" s="28" t="s">
        <v>1657</v>
      </c>
      <c r="D1835" s="20"/>
      <c r="E1835" s="21">
        <f t="shared" si="1"/>
        <v>9643.22</v>
      </c>
      <c r="F1835" s="23">
        <v>201.0</v>
      </c>
      <c r="G1835" s="21">
        <f t="shared" si="8"/>
        <v>325287.83</v>
      </c>
      <c r="H1835" s="23"/>
      <c r="I1835" s="21">
        <f t="shared" si="12"/>
        <v>781.68</v>
      </c>
      <c r="J1835" s="23"/>
      <c r="K1835" s="21">
        <f t="shared" si="13"/>
        <v>208354</v>
      </c>
      <c r="L1835" s="23"/>
      <c r="M1835" s="21">
        <f t="shared" si="14"/>
        <v>1894.93</v>
      </c>
    </row>
    <row r="1836" ht="20.25" customHeight="1" outlineLevel="1">
      <c r="A1836" s="12">
        <v>46104.0</v>
      </c>
      <c r="B1836" s="13" t="s">
        <v>16</v>
      </c>
      <c r="C1836" s="28" t="s">
        <v>1658</v>
      </c>
      <c r="D1836" s="20"/>
      <c r="E1836" s="21">
        <f t="shared" si="1"/>
        <v>9643.22</v>
      </c>
      <c r="F1836" s="23">
        <v>303.0</v>
      </c>
      <c r="G1836" s="21">
        <f t="shared" si="8"/>
        <v>325590.83</v>
      </c>
      <c r="H1836" s="23"/>
      <c r="I1836" s="21">
        <f t="shared" si="12"/>
        <v>781.68</v>
      </c>
      <c r="J1836" s="23"/>
      <c r="K1836" s="21">
        <f t="shared" si="13"/>
        <v>208354</v>
      </c>
      <c r="L1836" s="23"/>
      <c r="M1836" s="21">
        <f t="shared" si="14"/>
        <v>1894.93</v>
      </c>
    </row>
    <row r="1837" ht="20.25" customHeight="1" outlineLevel="1">
      <c r="A1837" s="12">
        <v>46104.0</v>
      </c>
      <c r="B1837" s="13" t="s">
        <v>16</v>
      </c>
      <c r="C1837" s="41" t="s">
        <v>1659</v>
      </c>
      <c r="D1837" s="20"/>
      <c r="E1837" s="21">
        <f t="shared" si="1"/>
        <v>9643.22</v>
      </c>
      <c r="F1837" s="23"/>
      <c r="G1837" s="21">
        <f t="shared" si="8"/>
        <v>325590.83</v>
      </c>
      <c r="H1837" s="23"/>
      <c r="I1837" s="21">
        <f t="shared" si="12"/>
        <v>781.68</v>
      </c>
      <c r="J1837" s="23">
        <v>800.0</v>
      </c>
      <c r="K1837" s="21">
        <f t="shared" si="13"/>
        <v>209154</v>
      </c>
      <c r="L1837" s="23"/>
      <c r="M1837" s="21">
        <f t="shared" si="14"/>
        <v>1894.93</v>
      </c>
    </row>
    <row r="1838" ht="20.25" customHeight="1" outlineLevel="1">
      <c r="A1838" s="12">
        <v>46104.0</v>
      </c>
      <c r="B1838" s="13" t="s">
        <v>16</v>
      </c>
      <c r="C1838" s="42" t="s">
        <v>1660</v>
      </c>
      <c r="D1838" s="20"/>
      <c r="E1838" s="21">
        <f t="shared" si="1"/>
        <v>9643.22</v>
      </c>
      <c r="F1838" s="23"/>
      <c r="G1838" s="21">
        <f t="shared" si="8"/>
        <v>325590.83</v>
      </c>
      <c r="H1838" s="23"/>
      <c r="I1838" s="21">
        <f t="shared" si="12"/>
        <v>781.68</v>
      </c>
      <c r="J1838" s="23">
        <v>331.5</v>
      </c>
      <c r="K1838" s="21">
        <f t="shared" si="13"/>
        <v>209485.5</v>
      </c>
      <c r="L1838" s="23"/>
      <c r="M1838" s="21">
        <f t="shared" si="14"/>
        <v>1894.93</v>
      </c>
    </row>
    <row r="1839" ht="20.25" customHeight="1" outlineLevel="1">
      <c r="A1839" s="12">
        <v>46104.0</v>
      </c>
      <c r="B1839" s="13" t="s">
        <v>16</v>
      </c>
      <c r="C1839" s="42" t="s">
        <v>1661</v>
      </c>
      <c r="D1839" s="20"/>
      <c r="E1839" s="21">
        <f t="shared" si="1"/>
        <v>9643.22</v>
      </c>
      <c r="F1839" s="23"/>
      <c r="G1839" s="21">
        <f t="shared" si="8"/>
        <v>325590.83</v>
      </c>
      <c r="H1839" s="23"/>
      <c r="I1839" s="21">
        <f t="shared" si="12"/>
        <v>781.68</v>
      </c>
      <c r="J1839" s="23">
        <v>335.0</v>
      </c>
      <c r="K1839" s="21">
        <f t="shared" si="13"/>
        <v>209820.5</v>
      </c>
      <c r="L1839" s="23"/>
      <c r="M1839" s="21">
        <f t="shared" si="14"/>
        <v>1894.93</v>
      </c>
    </row>
    <row r="1840" ht="20.25" customHeight="1" outlineLevel="1">
      <c r="A1840" s="12">
        <v>46104.0</v>
      </c>
      <c r="B1840" s="13" t="s">
        <v>16</v>
      </c>
      <c r="C1840" s="42" t="s">
        <v>1662</v>
      </c>
      <c r="D1840" s="20"/>
      <c r="E1840" s="21">
        <f t="shared" si="1"/>
        <v>9643.22</v>
      </c>
      <c r="F1840" s="23"/>
      <c r="G1840" s="21">
        <f t="shared" si="8"/>
        <v>325590.83</v>
      </c>
      <c r="H1840" s="23"/>
      <c r="I1840" s="21">
        <f t="shared" si="12"/>
        <v>781.68</v>
      </c>
      <c r="J1840" s="23">
        <v>20.0</v>
      </c>
      <c r="K1840" s="21">
        <f t="shared" si="13"/>
        <v>209840.5</v>
      </c>
      <c r="L1840" s="23"/>
      <c r="M1840" s="21">
        <f t="shared" si="14"/>
        <v>1894.93</v>
      </c>
    </row>
    <row r="1841" ht="20.25" customHeight="1" outlineLevel="1">
      <c r="A1841" s="12">
        <v>46104.0</v>
      </c>
      <c r="B1841" s="13" t="s">
        <v>16</v>
      </c>
      <c r="C1841" s="28" t="s">
        <v>1663</v>
      </c>
      <c r="D1841" s="20">
        <v>445.0</v>
      </c>
      <c r="E1841" s="21">
        <f t="shared" si="1"/>
        <v>10088.22</v>
      </c>
      <c r="F1841" s="23"/>
      <c r="G1841" s="21">
        <f t="shared" si="8"/>
        <v>325590.83</v>
      </c>
      <c r="H1841" s="23"/>
      <c r="I1841" s="21">
        <f t="shared" si="12"/>
        <v>781.68</v>
      </c>
      <c r="J1841" s="23"/>
      <c r="K1841" s="21">
        <f t="shared" si="13"/>
        <v>209840.5</v>
      </c>
      <c r="L1841" s="23"/>
      <c r="M1841" s="21">
        <f t="shared" si="14"/>
        <v>1894.93</v>
      </c>
    </row>
    <row r="1842" ht="20.25" customHeight="1" outlineLevel="1">
      <c r="A1842" s="12">
        <v>46105.0</v>
      </c>
      <c r="B1842" s="13" t="s">
        <v>14</v>
      </c>
      <c r="C1842" s="28" t="s">
        <v>1664</v>
      </c>
      <c r="D1842" s="20"/>
      <c r="E1842" s="21">
        <f t="shared" si="1"/>
        <v>10088.22</v>
      </c>
      <c r="F1842" s="22">
        <v>-355.5</v>
      </c>
      <c r="G1842" s="21">
        <f t="shared" si="8"/>
        <v>325235.33</v>
      </c>
      <c r="H1842" s="23"/>
      <c r="I1842" s="21">
        <f t="shared" si="12"/>
        <v>781.68</v>
      </c>
      <c r="J1842" s="23"/>
      <c r="K1842" s="21">
        <f t="shared" si="13"/>
        <v>209840.5</v>
      </c>
      <c r="L1842" s="23"/>
      <c r="M1842" s="21">
        <f t="shared" si="14"/>
        <v>1894.93</v>
      </c>
    </row>
    <row r="1843" ht="20.25" customHeight="1" outlineLevel="1">
      <c r="A1843" s="12">
        <v>46105.0</v>
      </c>
      <c r="B1843" s="13" t="s">
        <v>16</v>
      </c>
      <c r="C1843" s="28" t="s">
        <v>1665</v>
      </c>
      <c r="D1843" s="20"/>
      <c r="E1843" s="21">
        <f t="shared" si="1"/>
        <v>10088.22</v>
      </c>
      <c r="F1843" s="23">
        <v>234.0</v>
      </c>
      <c r="G1843" s="21">
        <f t="shared" si="8"/>
        <v>325469.33</v>
      </c>
      <c r="H1843" s="23"/>
      <c r="I1843" s="21">
        <f t="shared" si="12"/>
        <v>781.68</v>
      </c>
      <c r="J1843" s="23"/>
      <c r="K1843" s="21">
        <f t="shared" si="13"/>
        <v>209840.5</v>
      </c>
      <c r="L1843" s="23"/>
      <c r="M1843" s="21">
        <f t="shared" si="14"/>
        <v>1894.93</v>
      </c>
    </row>
    <row r="1844" ht="20.25" customHeight="1" outlineLevel="1">
      <c r="A1844" s="12">
        <v>46105.0</v>
      </c>
      <c r="B1844" s="13" t="s">
        <v>16</v>
      </c>
      <c r="C1844" s="28" t="s">
        <v>1666</v>
      </c>
      <c r="D1844" s="20"/>
      <c r="E1844" s="21">
        <f t="shared" si="1"/>
        <v>10088.22</v>
      </c>
      <c r="F1844" s="23">
        <v>151.0</v>
      </c>
      <c r="G1844" s="21">
        <f t="shared" si="8"/>
        <v>325620.33</v>
      </c>
      <c r="H1844" s="23"/>
      <c r="I1844" s="21">
        <f t="shared" si="12"/>
        <v>781.68</v>
      </c>
      <c r="J1844" s="23"/>
      <c r="K1844" s="21">
        <f t="shared" si="13"/>
        <v>209840.5</v>
      </c>
      <c r="L1844" s="23"/>
      <c r="M1844" s="21">
        <f t="shared" si="14"/>
        <v>1894.93</v>
      </c>
    </row>
    <row r="1845" ht="20.25" customHeight="1" outlineLevel="1">
      <c r="A1845" s="12">
        <v>46105.0</v>
      </c>
      <c r="B1845" s="13" t="s">
        <v>16</v>
      </c>
      <c r="C1845" s="28" t="s">
        <v>1667</v>
      </c>
      <c r="D1845" s="20"/>
      <c r="E1845" s="21">
        <f t="shared" si="1"/>
        <v>10088.22</v>
      </c>
      <c r="F1845" s="23">
        <v>95.0</v>
      </c>
      <c r="G1845" s="21">
        <f t="shared" si="8"/>
        <v>325715.33</v>
      </c>
      <c r="H1845" s="23"/>
      <c r="I1845" s="21">
        <f t="shared" si="12"/>
        <v>781.68</v>
      </c>
      <c r="J1845" s="23"/>
      <c r="K1845" s="21">
        <f t="shared" si="13"/>
        <v>209840.5</v>
      </c>
      <c r="L1845" s="23"/>
      <c r="M1845" s="21">
        <f t="shared" si="14"/>
        <v>1894.93</v>
      </c>
    </row>
    <row r="1846" ht="20.25" customHeight="1" outlineLevel="1">
      <c r="A1846" s="12">
        <v>46105.0</v>
      </c>
      <c r="B1846" s="13" t="s">
        <v>16</v>
      </c>
      <c r="C1846" s="83" t="s">
        <v>1668</v>
      </c>
      <c r="D1846" s="20"/>
      <c r="E1846" s="21">
        <f t="shared" si="1"/>
        <v>10088.22</v>
      </c>
      <c r="F1846" s="23">
        <v>79.8</v>
      </c>
      <c r="G1846" s="21">
        <f t="shared" si="8"/>
        <v>325795.13</v>
      </c>
      <c r="H1846" s="23"/>
      <c r="I1846" s="21">
        <f t="shared" si="12"/>
        <v>781.68</v>
      </c>
      <c r="J1846" s="23"/>
      <c r="K1846" s="21">
        <f t="shared" si="13"/>
        <v>209840.5</v>
      </c>
      <c r="L1846" s="23"/>
      <c r="M1846" s="21">
        <f t="shared" si="14"/>
        <v>1894.93</v>
      </c>
    </row>
    <row r="1847" ht="20.25" customHeight="1" outlineLevel="1">
      <c r="A1847" s="12">
        <v>46105.0</v>
      </c>
      <c r="B1847" s="13" t="s">
        <v>14</v>
      </c>
      <c r="C1847" s="82" t="s">
        <v>34</v>
      </c>
      <c r="D1847" s="20"/>
      <c r="E1847" s="21">
        <f t="shared" si="1"/>
        <v>10088.22</v>
      </c>
      <c r="F1847" s="23"/>
      <c r="G1847" s="21">
        <f t="shared" si="8"/>
        <v>325795.13</v>
      </c>
      <c r="H1847" s="23"/>
      <c r="I1847" s="21">
        <f t="shared" si="12"/>
        <v>781.68</v>
      </c>
      <c r="J1847" s="22">
        <v>-9.04</v>
      </c>
      <c r="K1847" s="21">
        <f t="shared" si="13"/>
        <v>209831.46</v>
      </c>
      <c r="L1847" s="23"/>
      <c r="M1847" s="21">
        <f t="shared" si="14"/>
        <v>1894.93</v>
      </c>
    </row>
    <row r="1848" ht="20.25" customHeight="1" outlineLevel="1">
      <c r="A1848" s="12">
        <v>46105.0</v>
      </c>
      <c r="B1848" s="13" t="s">
        <v>14</v>
      </c>
      <c r="C1848" s="82" t="s">
        <v>34</v>
      </c>
      <c r="D1848" s="20"/>
      <c r="E1848" s="21">
        <f t="shared" si="1"/>
        <v>10088.22</v>
      </c>
      <c r="F1848" s="23"/>
      <c r="G1848" s="21">
        <f t="shared" si="8"/>
        <v>325795.13</v>
      </c>
      <c r="H1848" s="23"/>
      <c r="I1848" s="21">
        <f t="shared" si="12"/>
        <v>781.68</v>
      </c>
      <c r="J1848" s="22">
        <v>-67.81</v>
      </c>
      <c r="K1848" s="21">
        <f t="shared" si="13"/>
        <v>209763.65</v>
      </c>
      <c r="L1848" s="23"/>
      <c r="M1848" s="21">
        <f t="shared" si="14"/>
        <v>1894.93</v>
      </c>
    </row>
    <row r="1849" ht="20.25" customHeight="1" outlineLevel="1">
      <c r="A1849" s="12">
        <v>46105.0</v>
      </c>
      <c r="B1849" s="13" t="s">
        <v>16</v>
      </c>
      <c r="C1849" s="82" t="s">
        <v>1669</v>
      </c>
      <c r="D1849" s="20"/>
      <c r="E1849" s="21">
        <f t="shared" si="1"/>
        <v>10088.22</v>
      </c>
      <c r="F1849" s="23"/>
      <c r="G1849" s="21">
        <f t="shared" si="8"/>
        <v>325795.13</v>
      </c>
      <c r="H1849" s="23"/>
      <c r="I1849" s="21">
        <f t="shared" si="12"/>
        <v>781.68</v>
      </c>
      <c r="J1849" s="23">
        <v>50.0</v>
      </c>
      <c r="K1849" s="21">
        <f t="shared" si="13"/>
        <v>209813.65</v>
      </c>
      <c r="L1849" s="23"/>
      <c r="M1849" s="21">
        <f t="shared" si="14"/>
        <v>1894.93</v>
      </c>
    </row>
    <row r="1850" ht="20.25" customHeight="1" outlineLevel="1">
      <c r="A1850" s="12">
        <v>46105.0</v>
      </c>
      <c r="B1850" s="13" t="s">
        <v>16</v>
      </c>
      <c r="C1850" s="83" t="s">
        <v>1399</v>
      </c>
      <c r="D1850" s="20">
        <v>75.0</v>
      </c>
      <c r="E1850" s="21">
        <f t="shared" si="1"/>
        <v>10163.22</v>
      </c>
      <c r="F1850" s="23"/>
      <c r="G1850" s="21">
        <f t="shared" si="8"/>
        <v>325795.13</v>
      </c>
      <c r="H1850" s="23"/>
      <c r="I1850" s="21">
        <f t="shared" si="12"/>
        <v>781.68</v>
      </c>
      <c r="J1850" s="23"/>
      <c r="K1850" s="21">
        <f t="shared" si="13"/>
        <v>209813.65</v>
      </c>
      <c r="L1850" s="23"/>
      <c r="M1850" s="21">
        <f t="shared" si="14"/>
        <v>1894.93</v>
      </c>
    </row>
    <row r="1851" ht="20.25" customHeight="1" outlineLevel="1">
      <c r="A1851" s="12">
        <v>46106.0</v>
      </c>
      <c r="B1851" s="13" t="s">
        <v>12</v>
      </c>
      <c r="C1851" s="83" t="s">
        <v>1670</v>
      </c>
      <c r="D1851" s="20"/>
      <c r="E1851" s="21">
        <f t="shared" si="1"/>
        <v>10163.22</v>
      </c>
      <c r="F1851" s="22">
        <v>-3930.0</v>
      </c>
      <c r="G1851" s="21">
        <f t="shared" si="8"/>
        <v>321865.13</v>
      </c>
      <c r="H1851" s="23"/>
      <c r="I1851" s="21">
        <f t="shared" si="12"/>
        <v>781.68</v>
      </c>
      <c r="J1851" s="23"/>
      <c r="K1851" s="21">
        <f t="shared" si="13"/>
        <v>209813.65</v>
      </c>
      <c r="L1851" s="23"/>
      <c r="M1851" s="21">
        <f t="shared" si="14"/>
        <v>1894.93</v>
      </c>
    </row>
    <row r="1852" ht="20.25" customHeight="1" outlineLevel="1">
      <c r="A1852" s="12">
        <v>46106.0</v>
      </c>
      <c r="B1852" s="13" t="s">
        <v>14</v>
      </c>
      <c r="C1852" s="83" t="s">
        <v>1671</v>
      </c>
      <c r="D1852" s="20"/>
      <c r="E1852" s="21">
        <f t="shared" si="1"/>
        <v>10163.22</v>
      </c>
      <c r="F1852" s="22">
        <v>-278.47</v>
      </c>
      <c r="G1852" s="21">
        <f t="shared" si="8"/>
        <v>321586.66</v>
      </c>
      <c r="H1852" s="23"/>
      <c r="I1852" s="21">
        <f t="shared" si="12"/>
        <v>781.68</v>
      </c>
      <c r="J1852" s="23"/>
      <c r="K1852" s="21">
        <f t="shared" si="13"/>
        <v>209813.65</v>
      </c>
      <c r="L1852" s="23"/>
      <c r="M1852" s="21">
        <f t="shared" si="14"/>
        <v>1894.93</v>
      </c>
    </row>
    <row r="1853" ht="20.25" customHeight="1" outlineLevel="1">
      <c r="A1853" s="12">
        <v>46106.0</v>
      </c>
      <c r="B1853" s="13" t="s">
        <v>16</v>
      </c>
      <c r="C1853" s="83" t="s">
        <v>1672</v>
      </c>
      <c r="D1853" s="20"/>
      <c r="E1853" s="21">
        <f t="shared" si="1"/>
        <v>10163.22</v>
      </c>
      <c r="F1853" s="23">
        <v>360.0</v>
      </c>
      <c r="G1853" s="21">
        <f t="shared" si="8"/>
        <v>321946.66</v>
      </c>
      <c r="H1853" s="23"/>
      <c r="I1853" s="21">
        <f t="shared" si="12"/>
        <v>781.68</v>
      </c>
      <c r="J1853" s="23"/>
      <c r="K1853" s="21">
        <f t="shared" si="13"/>
        <v>209813.65</v>
      </c>
      <c r="L1853" s="23"/>
      <c r="M1853" s="21">
        <f t="shared" si="14"/>
        <v>1894.93</v>
      </c>
    </row>
    <row r="1854" ht="20.25" customHeight="1" outlineLevel="1">
      <c r="A1854" s="12">
        <v>46106.0</v>
      </c>
      <c r="B1854" s="13" t="s">
        <v>16</v>
      </c>
      <c r="C1854" s="83" t="s">
        <v>1673</v>
      </c>
      <c r="D1854" s="20"/>
      <c r="E1854" s="21">
        <f t="shared" si="1"/>
        <v>10163.22</v>
      </c>
      <c r="F1854" s="23">
        <v>25.0</v>
      </c>
      <c r="G1854" s="21">
        <f t="shared" si="8"/>
        <v>321971.66</v>
      </c>
      <c r="H1854" s="23"/>
      <c r="I1854" s="21">
        <f t="shared" si="12"/>
        <v>781.68</v>
      </c>
      <c r="J1854" s="23"/>
      <c r="K1854" s="21">
        <f t="shared" si="13"/>
        <v>209813.65</v>
      </c>
      <c r="L1854" s="23"/>
      <c r="M1854" s="21">
        <f t="shared" si="14"/>
        <v>1894.93</v>
      </c>
    </row>
    <row r="1855" ht="20.25" customHeight="1" outlineLevel="1">
      <c r="A1855" s="12">
        <v>46106.0</v>
      </c>
      <c r="B1855" s="13" t="s">
        <v>63</v>
      </c>
      <c r="C1855" s="84" t="s">
        <v>1674</v>
      </c>
      <c r="D1855" s="20"/>
      <c r="E1855" s="21">
        <f t="shared" si="1"/>
        <v>10163.22</v>
      </c>
      <c r="F1855" s="51">
        <v>244.0</v>
      </c>
      <c r="G1855" s="21">
        <f t="shared" si="8"/>
        <v>322215.66</v>
      </c>
      <c r="H1855" s="23"/>
      <c r="I1855" s="21">
        <f t="shared" si="12"/>
        <v>781.68</v>
      </c>
      <c r="J1855" s="23"/>
      <c r="K1855" s="21">
        <f t="shared" si="13"/>
        <v>209813.65</v>
      </c>
      <c r="L1855" s="23"/>
      <c r="M1855" s="21">
        <f t="shared" si="14"/>
        <v>1894.93</v>
      </c>
    </row>
    <row r="1856" ht="20.25" customHeight="1" outlineLevel="1">
      <c r="A1856" s="12">
        <v>46106.0</v>
      </c>
      <c r="B1856" s="13" t="s">
        <v>14</v>
      </c>
      <c r="C1856" s="82" t="s">
        <v>34</v>
      </c>
      <c r="D1856" s="20"/>
      <c r="E1856" s="21">
        <f t="shared" si="1"/>
        <v>10163.22</v>
      </c>
      <c r="F1856" s="23"/>
      <c r="G1856" s="21">
        <f t="shared" si="8"/>
        <v>322215.66</v>
      </c>
      <c r="H1856" s="23"/>
      <c r="I1856" s="21">
        <f t="shared" si="12"/>
        <v>781.68</v>
      </c>
      <c r="J1856" s="22">
        <v>-29.0</v>
      </c>
      <c r="K1856" s="21">
        <f t="shared" si="13"/>
        <v>209784.65</v>
      </c>
      <c r="L1856" s="23"/>
      <c r="M1856" s="21">
        <f t="shared" si="14"/>
        <v>1894.93</v>
      </c>
    </row>
    <row r="1857" ht="20.25" customHeight="1" outlineLevel="1">
      <c r="A1857" s="12">
        <v>46106.0</v>
      </c>
      <c r="B1857" s="13" t="s">
        <v>14</v>
      </c>
      <c r="C1857" s="82" t="s">
        <v>34</v>
      </c>
      <c r="D1857" s="20"/>
      <c r="E1857" s="21">
        <f t="shared" si="1"/>
        <v>10163.22</v>
      </c>
      <c r="F1857" s="23"/>
      <c r="G1857" s="21">
        <f t="shared" si="8"/>
        <v>322215.66</v>
      </c>
      <c r="H1857" s="23"/>
      <c r="I1857" s="21">
        <f t="shared" si="12"/>
        <v>781.68</v>
      </c>
      <c r="J1857" s="22">
        <v>-24.3</v>
      </c>
      <c r="K1857" s="21">
        <f t="shared" si="13"/>
        <v>209760.35</v>
      </c>
      <c r="L1857" s="23"/>
      <c r="M1857" s="21">
        <f t="shared" si="14"/>
        <v>1894.93</v>
      </c>
    </row>
    <row r="1858" ht="20.25" customHeight="1" outlineLevel="1">
      <c r="A1858" s="12">
        <v>46106.0</v>
      </c>
      <c r="B1858" s="13" t="s">
        <v>16</v>
      </c>
      <c r="C1858" s="42" t="s">
        <v>1675</v>
      </c>
      <c r="D1858" s="20"/>
      <c r="E1858" s="21">
        <f t="shared" si="1"/>
        <v>10163.22</v>
      </c>
      <c r="F1858" s="23"/>
      <c r="G1858" s="21">
        <f t="shared" si="8"/>
        <v>322215.66</v>
      </c>
      <c r="H1858" s="23"/>
      <c r="I1858" s="21">
        <f t="shared" si="12"/>
        <v>781.68</v>
      </c>
      <c r="J1858" s="23">
        <v>25.0</v>
      </c>
      <c r="K1858" s="21">
        <f t="shared" si="13"/>
        <v>209785.35</v>
      </c>
      <c r="L1858" s="23"/>
      <c r="M1858" s="21">
        <f t="shared" si="14"/>
        <v>1894.93</v>
      </c>
    </row>
    <row r="1859" ht="20.25" customHeight="1" outlineLevel="1">
      <c r="A1859" s="12">
        <v>46106.0</v>
      </c>
      <c r="B1859" s="13" t="s">
        <v>16</v>
      </c>
      <c r="C1859" s="28" t="s">
        <v>1642</v>
      </c>
      <c r="D1859" s="20">
        <v>140.0</v>
      </c>
      <c r="E1859" s="21">
        <f t="shared" si="1"/>
        <v>10303.22</v>
      </c>
      <c r="F1859" s="23"/>
      <c r="G1859" s="21">
        <f t="shared" si="8"/>
        <v>322215.66</v>
      </c>
      <c r="H1859" s="23"/>
      <c r="I1859" s="21">
        <f t="shared" si="12"/>
        <v>781.68</v>
      </c>
      <c r="J1859" s="23"/>
      <c r="K1859" s="21">
        <f t="shared" si="13"/>
        <v>209785.35</v>
      </c>
      <c r="L1859" s="23"/>
      <c r="M1859" s="21">
        <f t="shared" si="14"/>
        <v>1894.93</v>
      </c>
    </row>
    <row r="1860" ht="20.25" customHeight="1" outlineLevel="1">
      <c r="A1860" s="12">
        <v>46107.0</v>
      </c>
      <c r="B1860" s="13" t="s">
        <v>12</v>
      </c>
      <c r="C1860" s="213" t="s">
        <v>1676</v>
      </c>
      <c r="D1860" s="20"/>
      <c r="E1860" s="21">
        <f t="shared" si="1"/>
        <v>10303.22</v>
      </c>
      <c r="F1860" s="22">
        <v>-4998.2</v>
      </c>
      <c r="G1860" s="21">
        <f t="shared" si="8"/>
        <v>317217.46</v>
      </c>
      <c r="H1860" s="23"/>
      <c r="I1860" s="21">
        <f t="shared" si="12"/>
        <v>781.68</v>
      </c>
      <c r="J1860" s="23"/>
      <c r="K1860" s="21">
        <f t="shared" si="13"/>
        <v>209785.35</v>
      </c>
      <c r="L1860" s="23"/>
      <c r="M1860" s="21">
        <f t="shared" si="14"/>
        <v>1894.93</v>
      </c>
    </row>
    <row r="1861" ht="20.25" customHeight="1" outlineLevel="1">
      <c r="A1861" s="12">
        <v>46107.0</v>
      </c>
      <c r="B1861" s="13" t="s">
        <v>16</v>
      </c>
      <c r="C1861" s="213" t="s">
        <v>1677</v>
      </c>
      <c r="D1861" s="20"/>
      <c r="E1861" s="21">
        <f t="shared" si="1"/>
        <v>10303.22</v>
      </c>
      <c r="F1861" s="23">
        <v>169.0</v>
      </c>
      <c r="G1861" s="21">
        <f t="shared" si="8"/>
        <v>317386.46</v>
      </c>
      <c r="H1861" s="23"/>
      <c r="I1861" s="21">
        <f t="shared" si="12"/>
        <v>781.68</v>
      </c>
      <c r="J1861" s="23"/>
      <c r="K1861" s="21">
        <f t="shared" si="13"/>
        <v>209785.35</v>
      </c>
      <c r="L1861" s="23"/>
      <c r="M1861" s="21">
        <f t="shared" si="14"/>
        <v>1894.93</v>
      </c>
    </row>
    <row r="1862" ht="20.25" customHeight="1" outlineLevel="1">
      <c r="A1862" s="12">
        <v>46107.0</v>
      </c>
      <c r="B1862" s="13" t="s">
        <v>16</v>
      </c>
      <c r="C1862" s="213" t="s">
        <v>1678</v>
      </c>
      <c r="D1862" s="20"/>
      <c r="E1862" s="21">
        <f t="shared" si="1"/>
        <v>10303.22</v>
      </c>
      <c r="F1862" s="23">
        <v>266.0</v>
      </c>
      <c r="G1862" s="21">
        <f t="shared" si="8"/>
        <v>317652.46</v>
      </c>
      <c r="H1862" s="23"/>
      <c r="I1862" s="21">
        <f t="shared" si="12"/>
        <v>781.68</v>
      </c>
      <c r="J1862" s="23"/>
      <c r="K1862" s="21">
        <f t="shared" si="13"/>
        <v>209785.35</v>
      </c>
      <c r="L1862" s="23"/>
      <c r="M1862" s="21">
        <f t="shared" si="14"/>
        <v>1894.93</v>
      </c>
    </row>
    <row r="1863" ht="20.25" customHeight="1" outlineLevel="1">
      <c r="A1863" s="12">
        <v>46107.0</v>
      </c>
      <c r="B1863" s="13" t="s">
        <v>63</v>
      </c>
      <c r="C1863" s="230" t="s">
        <v>1679</v>
      </c>
      <c r="D1863" s="20"/>
      <c r="E1863" s="21">
        <f t="shared" si="1"/>
        <v>10303.22</v>
      </c>
      <c r="F1863" s="51">
        <v>305.0</v>
      </c>
      <c r="G1863" s="21">
        <f t="shared" si="8"/>
        <v>317957.46</v>
      </c>
      <c r="H1863" s="23"/>
      <c r="I1863" s="21">
        <f t="shared" si="12"/>
        <v>781.68</v>
      </c>
      <c r="J1863" s="23"/>
      <c r="K1863" s="21">
        <f t="shared" si="13"/>
        <v>209785.35</v>
      </c>
      <c r="L1863" s="23"/>
      <c r="M1863" s="21">
        <f t="shared" si="14"/>
        <v>1894.93</v>
      </c>
    </row>
    <row r="1864" ht="20.25" customHeight="1" outlineLevel="1">
      <c r="A1864" s="12">
        <v>46107.0</v>
      </c>
      <c r="B1864" s="13" t="s">
        <v>16</v>
      </c>
      <c r="C1864" s="231" t="s">
        <v>1680</v>
      </c>
      <c r="D1864" s="20"/>
      <c r="E1864" s="21">
        <f t="shared" si="1"/>
        <v>10303.22</v>
      </c>
      <c r="F1864" s="23"/>
      <c r="G1864" s="21">
        <f t="shared" si="8"/>
        <v>317957.46</v>
      </c>
      <c r="H1864" s="23"/>
      <c r="I1864" s="21">
        <f t="shared" si="12"/>
        <v>781.68</v>
      </c>
      <c r="J1864" s="23">
        <v>270.0</v>
      </c>
      <c r="K1864" s="21">
        <f t="shared" si="13"/>
        <v>210055.35</v>
      </c>
      <c r="L1864" s="23"/>
      <c r="M1864" s="21">
        <f t="shared" si="14"/>
        <v>1894.93</v>
      </c>
    </row>
    <row r="1865" ht="20.25" customHeight="1" outlineLevel="1">
      <c r="A1865" s="12">
        <v>46108.0</v>
      </c>
      <c r="B1865" s="13" t="s">
        <v>16</v>
      </c>
      <c r="C1865" s="213" t="s">
        <v>1681</v>
      </c>
      <c r="D1865" s="20"/>
      <c r="E1865" s="21">
        <f t="shared" si="1"/>
        <v>10303.22</v>
      </c>
      <c r="F1865" s="23">
        <v>460.0</v>
      </c>
      <c r="G1865" s="21">
        <f t="shared" si="8"/>
        <v>318417.46</v>
      </c>
      <c r="H1865" s="23"/>
      <c r="I1865" s="21">
        <f t="shared" si="12"/>
        <v>781.68</v>
      </c>
      <c r="J1865" s="23"/>
      <c r="K1865" s="21">
        <f t="shared" si="13"/>
        <v>210055.35</v>
      </c>
      <c r="L1865" s="23"/>
      <c r="M1865" s="21">
        <f t="shared" si="14"/>
        <v>1894.93</v>
      </c>
    </row>
    <row r="1866" ht="20.25" customHeight="1" outlineLevel="1">
      <c r="A1866" s="12">
        <v>46108.0</v>
      </c>
      <c r="B1866" s="13" t="s">
        <v>63</v>
      </c>
      <c r="C1866" s="230" t="s">
        <v>1682</v>
      </c>
      <c r="D1866" s="20"/>
      <c r="E1866" s="21">
        <f t="shared" si="1"/>
        <v>10303.22</v>
      </c>
      <c r="F1866" s="51">
        <v>122.0</v>
      </c>
      <c r="G1866" s="21">
        <f t="shared" si="8"/>
        <v>318539.46</v>
      </c>
      <c r="H1866" s="23"/>
      <c r="I1866" s="21">
        <f t="shared" si="12"/>
        <v>781.68</v>
      </c>
      <c r="J1866" s="23"/>
      <c r="K1866" s="21">
        <f t="shared" si="13"/>
        <v>210055.35</v>
      </c>
      <c r="L1866" s="23"/>
      <c r="M1866" s="21">
        <f t="shared" si="14"/>
        <v>1894.93</v>
      </c>
    </row>
    <row r="1867" ht="20.25" customHeight="1" outlineLevel="1">
      <c r="A1867" s="12">
        <v>46108.0</v>
      </c>
      <c r="B1867" s="13" t="s">
        <v>16</v>
      </c>
      <c r="C1867" s="231" t="s">
        <v>1683</v>
      </c>
      <c r="D1867" s="20"/>
      <c r="E1867" s="21">
        <f t="shared" si="1"/>
        <v>10303.22</v>
      </c>
      <c r="F1867" s="23"/>
      <c r="G1867" s="21">
        <f t="shared" si="8"/>
        <v>318539.46</v>
      </c>
      <c r="H1867" s="23"/>
      <c r="I1867" s="21">
        <f t="shared" si="12"/>
        <v>781.68</v>
      </c>
      <c r="J1867" s="23">
        <v>25.0</v>
      </c>
      <c r="K1867" s="21">
        <f t="shared" si="13"/>
        <v>210080.35</v>
      </c>
      <c r="L1867" s="23"/>
      <c r="M1867" s="21">
        <f t="shared" si="14"/>
        <v>1894.93</v>
      </c>
    </row>
    <row r="1868" ht="20.25" customHeight="1" outlineLevel="1">
      <c r="A1868" s="12">
        <v>46108.0</v>
      </c>
      <c r="B1868" s="13" t="s">
        <v>16</v>
      </c>
      <c r="C1868" s="213" t="s">
        <v>1684</v>
      </c>
      <c r="D1868" s="20">
        <v>450.0</v>
      </c>
      <c r="E1868" s="21">
        <f t="shared" si="1"/>
        <v>10753.22</v>
      </c>
      <c r="F1868" s="23"/>
      <c r="G1868" s="21">
        <f t="shared" si="8"/>
        <v>318539.46</v>
      </c>
      <c r="H1868" s="23"/>
      <c r="I1868" s="21">
        <f t="shared" si="12"/>
        <v>781.68</v>
      </c>
      <c r="J1868" s="23"/>
      <c r="K1868" s="21">
        <f t="shared" si="13"/>
        <v>210080.35</v>
      </c>
      <c r="L1868" s="23"/>
      <c r="M1868" s="21">
        <f t="shared" si="14"/>
        <v>1894.93</v>
      </c>
    </row>
    <row r="1869" ht="20.25" customHeight="1" outlineLevel="1">
      <c r="A1869" s="12">
        <v>46109.0</v>
      </c>
      <c r="B1869" s="13" t="s">
        <v>16</v>
      </c>
      <c r="C1869" s="213" t="s">
        <v>1685</v>
      </c>
      <c r="D1869" s="20">
        <v>600.0</v>
      </c>
      <c r="E1869" s="21">
        <f t="shared" si="1"/>
        <v>11353.22</v>
      </c>
      <c r="F1869" s="23"/>
      <c r="G1869" s="21">
        <f t="shared" si="8"/>
        <v>318539.46</v>
      </c>
      <c r="H1869" s="23"/>
      <c r="I1869" s="21">
        <f t="shared" si="12"/>
        <v>781.68</v>
      </c>
      <c r="J1869" s="23"/>
      <c r="K1869" s="21">
        <f t="shared" si="13"/>
        <v>210080.35</v>
      </c>
      <c r="L1869" s="23"/>
      <c r="M1869" s="21">
        <f t="shared" si="14"/>
        <v>1894.93</v>
      </c>
    </row>
    <row r="1870" ht="20.25" customHeight="1" outlineLevel="1">
      <c r="A1870" s="12">
        <v>46111.0</v>
      </c>
      <c r="B1870" s="13" t="s">
        <v>63</v>
      </c>
      <c r="C1870" s="182" t="s">
        <v>1686</v>
      </c>
      <c r="D1870" s="20">
        <v>500.0</v>
      </c>
      <c r="E1870" s="21">
        <f t="shared" si="1"/>
        <v>11853.22</v>
      </c>
      <c r="F1870" s="23"/>
      <c r="G1870" s="21">
        <f t="shared" si="8"/>
        <v>318539.46</v>
      </c>
      <c r="H1870" s="23"/>
      <c r="I1870" s="21">
        <f t="shared" si="12"/>
        <v>781.68</v>
      </c>
      <c r="J1870" s="23"/>
      <c r="K1870" s="21">
        <f t="shared" si="13"/>
        <v>210080.35</v>
      </c>
      <c r="L1870" s="23"/>
      <c r="M1870" s="21">
        <f t="shared" si="14"/>
        <v>1894.93</v>
      </c>
    </row>
    <row r="1871" ht="20.25" customHeight="1" outlineLevel="1">
      <c r="A1871" s="12">
        <v>46111.0</v>
      </c>
      <c r="B1871" s="13" t="s">
        <v>14</v>
      </c>
      <c r="C1871" s="112" t="s">
        <v>34</v>
      </c>
      <c r="D1871" s="20"/>
      <c r="E1871" s="21">
        <f t="shared" si="1"/>
        <v>11853.22</v>
      </c>
      <c r="F1871" s="23"/>
      <c r="G1871" s="21">
        <f t="shared" si="8"/>
        <v>318539.46</v>
      </c>
      <c r="H1871" s="23"/>
      <c r="I1871" s="21">
        <f t="shared" si="12"/>
        <v>781.68</v>
      </c>
      <c r="J1871" s="22">
        <v>-3.02</v>
      </c>
      <c r="K1871" s="21">
        <f t="shared" si="13"/>
        <v>210077.33</v>
      </c>
      <c r="L1871" s="23"/>
      <c r="M1871" s="21">
        <f t="shared" si="14"/>
        <v>1894.93</v>
      </c>
    </row>
    <row r="1872" ht="20.25" customHeight="1" outlineLevel="1">
      <c r="A1872" s="12">
        <v>46111.0</v>
      </c>
      <c r="B1872" s="13" t="s">
        <v>14</v>
      </c>
      <c r="C1872" s="85" t="s">
        <v>34</v>
      </c>
      <c r="D1872" s="20"/>
      <c r="E1872" s="21">
        <f t="shared" si="1"/>
        <v>11853.22</v>
      </c>
      <c r="F1872" s="23"/>
      <c r="G1872" s="21">
        <f t="shared" si="8"/>
        <v>318539.46</v>
      </c>
      <c r="H1872" s="23"/>
      <c r="I1872" s="21">
        <f t="shared" si="12"/>
        <v>781.68</v>
      </c>
      <c r="J1872" s="22">
        <v>-24.23</v>
      </c>
      <c r="K1872" s="21">
        <f t="shared" si="13"/>
        <v>210053.1</v>
      </c>
      <c r="L1872" s="23"/>
      <c r="M1872" s="21">
        <f t="shared" si="14"/>
        <v>1894.93</v>
      </c>
    </row>
    <row r="1873" ht="20.25" customHeight="1" outlineLevel="1">
      <c r="A1873" s="12">
        <v>46111.0</v>
      </c>
      <c r="B1873" s="13" t="s">
        <v>16</v>
      </c>
      <c r="C1873" s="85" t="s">
        <v>1687</v>
      </c>
      <c r="D1873" s="20">
        <v>115.0</v>
      </c>
      <c r="E1873" s="21">
        <f t="shared" si="1"/>
        <v>11968.22</v>
      </c>
      <c r="F1873" s="23"/>
      <c r="G1873" s="21">
        <f t="shared" si="8"/>
        <v>318539.46</v>
      </c>
      <c r="H1873" s="23"/>
      <c r="I1873" s="21">
        <f t="shared" si="12"/>
        <v>781.68</v>
      </c>
      <c r="J1873" s="23"/>
      <c r="K1873" s="21">
        <f t="shared" si="13"/>
        <v>210053.1</v>
      </c>
      <c r="L1873" s="23"/>
      <c r="M1873" s="21">
        <f t="shared" si="14"/>
        <v>1894.93</v>
      </c>
    </row>
    <row r="1874" ht="20.25" customHeight="1" outlineLevel="1">
      <c r="A1874" s="12">
        <v>46111.0</v>
      </c>
      <c r="B1874" s="13" t="s">
        <v>16</v>
      </c>
      <c r="C1874" s="87" t="s">
        <v>1688</v>
      </c>
      <c r="D1874" s="20"/>
      <c r="E1874" s="21">
        <f t="shared" si="1"/>
        <v>11968.22</v>
      </c>
      <c r="F1874" s="23"/>
      <c r="G1874" s="21">
        <f t="shared" si="8"/>
        <v>318539.46</v>
      </c>
      <c r="H1874" s="23"/>
      <c r="I1874" s="21">
        <f t="shared" si="12"/>
        <v>781.68</v>
      </c>
      <c r="J1874" s="23">
        <v>25.0</v>
      </c>
      <c r="K1874" s="21">
        <f t="shared" si="13"/>
        <v>210078.1</v>
      </c>
      <c r="L1874" s="23"/>
      <c r="M1874" s="21">
        <f t="shared" si="14"/>
        <v>1894.93</v>
      </c>
    </row>
    <row r="1875" ht="20.25" customHeight="1" outlineLevel="1">
      <c r="A1875" s="12">
        <v>46111.0</v>
      </c>
      <c r="B1875" s="13" t="s">
        <v>16</v>
      </c>
      <c r="C1875" s="232" t="s">
        <v>1689</v>
      </c>
      <c r="D1875" s="20"/>
      <c r="E1875" s="21">
        <f t="shared" si="1"/>
        <v>11968.22</v>
      </c>
      <c r="F1875" s="23"/>
      <c r="G1875" s="21">
        <f t="shared" si="8"/>
        <v>318539.46</v>
      </c>
      <c r="H1875" s="23"/>
      <c r="I1875" s="21">
        <f t="shared" si="12"/>
        <v>781.68</v>
      </c>
      <c r="J1875" s="23">
        <v>25.0</v>
      </c>
      <c r="K1875" s="21">
        <f t="shared" si="13"/>
        <v>210103.1</v>
      </c>
      <c r="L1875" s="23"/>
      <c r="M1875" s="21">
        <f t="shared" si="14"/>
        <v>1894.93</v>
      </c>
    </row>
    <row r="1876" ht="20.25" customHeight="1" outlineLevel="1">
      <c r="A1876" s="12">
        <v>46112.0</v>
      </c>
      <c r="B1876" s="46" t="s">
        <v>16</v>
      </c>
      <c r="C1876" s="83" t="s">
        <v>721</v>
      </c>
      <c r="D1876" s="20">
        <v>25.0</v>
      </c>
      <c r="E1876" s="21">
        <f t="shared" si="1"/>
        <v>11993.22</v>
      </c>
      <c r="F1876" s="23"/>
      <c r="G1876" s="21">
        <f t="shared" si="8"/>
        <v>318539.46</v>
      </c>
      <c r="H1876" s="23"/>
      <c r="I1876" s="21">
        <f t="shared" si="12"/>
        <v>781.68</v>
      </c>
      <c r="J1876" s="23"/>
      <c r="K1876" s="21">
        <f t="shared" si="13"/>
        <v>210103.1</v>
      </c>
      <c r="L1876" s="23"/>
      <c r="M1876" s="21">
        <f t="shared" si="14"/>
        <v>1894.93</v>
      </c>
    </row>
    <row r="1877" ht="20.25" customHeight="1" outlineLevel="1">
      <c r="A1877" s="12">
        <v>46112.0</v>
      </c>
      <c r="B1877" s="46" t="s">
        <v>174</v>
      </c>
      <c r="C1877" s="82" t="s">
        <v>1690</v>
      </c>
      <c r="D1877" s="20"/>
      <c r="E1877" s="21">
        <f t="shared" si="1"/>
        <v>11993.22</v>
      </c>
      <c r="F1877" s="23"/>
      <c r="G1877" s="21">
        <f t="shared" si="8"/>
        <v>318539.46</v>
      </c>
      <c r="H1877" s="23"/>
      <c r="I1877" s="21">
        <f t="shared" si="12"/>
        <v>781.68</v>
      </c>
      <c r="J1877" s="22">
        <v>-3824.98</v>
      </c>
      <c r="K1877" s="21">
        <f t="shared" si="13"/>
        <v>206278.12</v>
      </c>
      <c r="L1877" s="23"/>
      <c r="M1877" s="21">
        <f t="shared" si="14"/>
        <v>1894.93</v>
      </c>
    </row>
    <row r="1878" ht="20.25" customHeight="1" outlineLevel="1">
      <c r="A1878" s="12">
        <v>46112.0</v>
      </c>
      <c r="B1878" s="46" t="s">
        <v>12</v>
      </c>
      <c r="C1878" s="82" t="s">
        <v>882</v>
      </c>
      <c r="D1878" s="20"/>
      <c r="E1878" s="21">
        <f t="shared" si="1"/>
        <v>11993.22</v>
      </c>
      <c r="F1878" s="23"/>
      <c r="G1878" s="21">
        <f t="shared" si="8"/>
        <v>318539.46</v>
      </c>
      <c r="H1878" s="23"/>
      <c r="I1878" s="21">
        <f t="shared" si="12"/>
        <v>781.68</v>
      </c>
      <c r="J1878" s="22">
        <v>-54.9</v>
      </c>
      <c r="K1878" s="21">
        <f t="shared" si="13"/>
        <v>206223.22</v>
      </c>
      <c r="L1878" s="23"/>
      <c r="M1878" s="21">
        <f t="shared" si="14"/>
        <v>1894.93</v>
      </c>
    </row>
    <row r="1879" ht="20.25" customHeight="1" outlineLevel="1">
      <c r="A1879" s="12">
        <v>46112.0</v>
      </c>
      <c r="B1879" s="46" t="s">
        <v>12</v>
      </c>
      <c r="C1879" s="82" t="s">
        <v>308</v>
      </c>
      <c r="D1879" s="20"/>
      <c r="E1879" s="21">
        <f t="shared" si="1"/>
        <v>11993.22</v>
      </c>
      <c r="F1879" s="23"/>
      <c r="G1879" s="21">
        <f t="shared" si="8"/>
        <v>318539.46</v>
      </c>
      <c r="H1879" s="23"/>
      <c r="I1879" s="21">
        <f t="shared" si="12"/>
        <v>781.68</v>
      </c>
      <c r="J1879" s="22">
        <v>-201.3</v>
      </c>
      <c r="K1879" s="21">
        <f t="shared" si="13"/>
        <v>206021.92</v>
      </c>
      <c r="L1879" s="23"/>
      <c r="M1879" s="21">
        <f t="shared" si="14"/>
        <v>1894.93</v>
      </c>
    </row>
    <row r="1880" ht="20.25" customHeight="1" outlineLevel="1">
      <c r="A1880" s="12">
        <v>46112.0</v>
      </c>
      <c r="B1880" s="46" t="s">
        <v>14</v>
      </c>
      <c r="C1880" s="82" t="s">
        <v>34</v>
      </c>
      <c r="D1880" s="20"/>
      <c r="E1880" s="21">
        <f t="shared" si="1"/>
        <v>11993.22</v>
      </c>
      <c r="F1880" s="23"/>
      <c r="G1880" s="21">
        <f t="shared" si="8"/>
        <v>318539.46</v>
      </c>
      <c r="H1880" s="23"/>
      <c r="I1880" s="21">
        <f t="shared" si="12"/>
        <v>781.68</v>
      </c>
      <c r="J1880" s="22">
        <v>-139.99</v>
      </c>
      <c r="K1880" s="21">
        <f t="shared" si="13"/>
        <v>205881.93</v>
      </c>
      <c r="L1880" s="23"/>
      <c r="M1880" s="21">
        <f t="shared" si="14"/>
        <v>1894.93</v>
      </c>
    </row>
    <row r="1881" ht="20.25" customHeight="1" outlineLevel="1">
      <c r="A1881" s="12">
        <v>46112.0</v>
      </c>
      <c r="B1881" s="46" t="s">
        <v>16</v>
      </c>
      <c r="C1881" s="82" t="s">
        <v>1691</v>
      </c>
      <c r="D1881" s="20"/>
      <c r="E1881" s="21">
        <f t="shared" si="1"/>
        <v>11993.22</v>
      </c>
      <c r="F1881" s="23"/>
      <c r="G1881" s="21">
        <f t="shared" si="8"/>
        <v>318539.46</v>
      </c>
      <c r="H1881" s="23"/>
      <c r="I1881" s="21">
        <f t="shared" si="12"/>
        <v>781.68</v>
      </c>
      <c r="J1881" s="23">
        <v>433.0</v>
      </c>
      <c r="K1881" s="21">
        <f t="shared" si="13"/>
        <v>206314.93</v>
      </c>
      <c r="L1881" s="23"/>
      <c r="M1881" s="21">
        <f t="shared" si="14"/>
        <v>1894.93</v>
      </c>
    </row>
    <row r="1882" ht="20.25" customHeight="1" outlineLevel="1">
      <c r="A1882" s="12">
        <v>46112.0</v>
      </c>
      <c r="B1882" s="46" t="s">
        <v>14</v>
      </c>
      <c r="C1882" s="82" t="s">
        <v>320</v>
      </c>
      <c r="D1882" s="20"/>
      <c r="E1882" s="21">
        <f t="shared" si="1"/>
        <v>11993.22</v>
      </c>
      <c r="F1882" s="23"/>
      <c r="G1882" s="21">
        <f t="shared" si="8"/>
        <v>318539.46</v>
      </c>
      <c r="H1882" s="23"/>
      <c r="I1882" s="21">
        <f t="shared" si="12"/>
        <v>781.68</v>
      </c>
      <c r="J1882" s="22">
        <v>-25.35</v>
      </c>
      <c r="K1882" s="21">
        <f t="shared" si="13"/>
        <v>206289.58</v>
      </c>
      <c r="L1882" s="23"/>
      <c r="M1882" s="21">
        <f t="shared" si="14"/>
        <v>1894.93</v>
      </c>
    </row>
    <row r="1883" ht="20.25" customHeight="1" outlineLevel="1">
      <c r="A1883" s="12">
        <v>46113.0</v>
      </c>
      <c r="B1883" s="46" t="s">
        <v>16</v>
      </c>
      <c r="C1883" s="83" t="s">
        <v>1685</v>
      </c>
      <c r="D1883" s="20">
        <v>600.0</v>
      </c>
      <c r="E1883" s="21">
        <f t="shared" si="1"/>
        <v>12593.22</v>
      </c>
      <c r="F1883" s="23"/>
      <c r="G1883" s="21">
        <f t="shared" si="8"/>
        <v>318539.46</v>
      </c>
      <c r="H1883" s="23"/>
      <c r="I1883" s="21">
        <f t="shared" si="12"/>
        <v>781.68</v>
      </c>
      <c r="J1883" s="23"/>
      <c r="K1883" s="21">
        <f t="shared" si="13"/>
        <v>206289.58</v>
      </c>
      <c r="L1883" s="23"/>
      <c r="M1883" s="21">
        <f t="shared" si="14"/>
        <v>1894.93</v>
      </c>
    </row>
    <row r="1884" ht="20.25" customHeight="1" outlineLevel="1">
      <c r="A1884" s="12">
        <v>46113.0</v>
      </c>
      <c r="B1884" s="46" t="s">
        <v>14</v>
      </c>
      <c r="C1884" s="82" t="s">
        <v>1692</v>
      </c>
      <c r="D1884" s="20"/>
      <c r="E1884" s="21">
        <f t="shared" si="1"/>
        <v>12593.22</v>
      </c>
      <c r="F1884" s="23"/>
      <c r="G1884" s="21">
        <f t="shared" si="8"/>
        <v>318539.46</v>
      </c>
      <c r="H1884" s="23"/>
      <c r="I1884" s="21">
        <f t="shared" si="12"/>
        <v>781.68</v>
      </c>
      <c r="J1884" s="22">
        <v>-29.1</v>
      </c>
      <c r="K1884" s="21">
        <f t="shared" si="13"/>
        <v>206260.48</v>
      </c>
      <c r="L1884" s="23"/>
      <c r="M1884" s="21">
        <f t="shared" si="14"/>
        <v>1894.93</v>
      </c>
    </row>
    <row r="1885" ht="20.25" customHeight="1" outlineLevel="1">
      <c r="A1885" s="12">
        <v>46114.0</v>
      </c>
      <c r="B1885" s="46" t="s">
        <v>57</v>
      </c>
      <c r="C1885" s="82" t="s">
        <v>33</v>
      </c>
      <c r="D1885" s="20"/>
      <c r="E1885" s="21">
        <f t="shared" si="1"/>
        <v>12593.22</v>
      </c>
      <c r="F1885" s="23"/>
      <c r="G1885" s="21">
        <f t="shared" si="8"/>
        <v>318539.46</v>
      </c>
      <c r="H1885" s="23"/>
      <c r="I1885" s="21">
        <f t="shared" si="12"/>
        <v>781.68</v>
      </c>
      <c r="J1885" s="22">
        <v>-509.07</v>
      </c>
      <c r="K1885" s="21">
        <f t="shared" si="13"/>
        <v>205751.41</v>
      </c>
      <c r="L1885" s="23"/>
      <c r="M1885" s="21">
        <f t="shared" si="14"/>
        <v>1894.93</v>
      </c>
    </row>
    <row r="1886" ht="20.25" customHeight="1" outlineLevel="1">
      <c r="A1886" s="12">
        <v>46114.0</v>
      </c>
      <c r="B1886" s="46" t="s">
        <v>16</v>
      </c>
      <c r="C1886" s="102" t="s">
        <v>1693</v>
      </c>
      <c r="D1886" s="20"/>
      <c r="E1886" s="21">
        <f t="shared" si="1"/>
        <v>12593.22</v>
      </c>
      <c r="F1886" s="23"/>
      <c r="G1886" s="21">
        <f t="shared" si="8"/>
        <v>318539.46</v>
      </c>
      <c r="H1886" s="23"/>
      <c r="I1886" s="21">
        <f t="shared" si="12"/>
        <v>781.68</v>
      </c>
      <c r="J1886" s="23">
        <v>270.0</v>
      </c>
      <c r="K1886" s="21">
        <f t="shared" si="13"/>
        <v>206021.41</v>
      </c>
      <c r="L1886" s="23"/>
      <c r="M1886" s="21">
        <f t="shared" si="14"/>
        <v>1894.93</v>
      </c>
    </row>
    <row r="1887" ht="20.25" customHeight="1" outlineLevel="1">
      <c r="A1887" s="12">
        <v>46115.0</v>
      </c>
      <c r="B1887" s="46" t="s">
        <v>57</v>
      </c>
      <c r="C1887" s="82" t="s">
        <v>1694</v>
      </c>
      <c r="D1887" s="20"/>
      <c r="E1887" s="21">
        <f t="shared" si="1"/>
        <v>12593.22</v>
      </c>
      <c r="F1887" s="23"/>
      <c r="G1887" s="21">
        <f t="shared" si="8"/>
        <v>318539.46</v>
      </c>
      <c r="H1887" s="23"/>
      <c r="I1887" s="21">
        <f t="shared" si="12"/>
        <v>781.68</v>
      </c>
      <c r="J1887" s="22">
        <v>-1888.21</v>
      </c>
      <c r="K1887" s="21">
        <f t="shared" si="13"/>
        <v>204133.2</v>
      </c>
      <c r="L1887" s="23"/>
      <c r="M1887" s="21">
        <f t="shared" si="14"/>
        <v>1894.93</v>
      </c>
    </row>
    <row r="1888" ht="20.25" customHeight="1" outlineLevel="1">
      <c r="A1888" s="12">
        <v>46119.0</v>
      </c>
      <c r="B1888" s="13" t="s">
        <v>14</v>
      </c>
      <c r="C1888" s="82" t="s">
        <v>52</v>
      </c>
      <c r="D1888" s="20"/>
      <c r="E1888" s="21">
        <f t="shared" si="1"/>
        <v>12593.22</v>
      </c>
      <c r="F1888" s="23"/>
      <c r="G1888" s="21">
        <f t="shared" si="8"/>
        <v>318539.46</v>
      </c>
      <c r="H1888" s="23"/>
      <c r="I1888" s="21">
        <f t="shared" si="12"/>
        <v>781.68</v>
      </c>
      <c r="J1888" s="22">
        <v>-32.92</v>
      </c>
      <c r="K1888" s="21">
        <f t="shared" si="13"/>
        <v>204100.28</v>
      </c>
      <c r="L1888" s="23"/>
      <c r="M1888" s="21">
        <f t="shared" si="14"/>
        <v>1894.93</v>
      </c>
    </row>
    <row r="1889" ht="20.25" customHeight="1" outlineLevel="1">
      <c r="A1889" s="12">
        <v>46119.0</v>
      </c>
      <c r="B1889" s="13" t="s">
        <v>16</v>
      </c>
      <c r="C1889" s="82" t="s">
        <v>1695</v>
      </c>
      <c r="D1889" s="20"/>
      <c r="E1889" s="21">
        <f t="shared" si="1"/>
        <v>12593.22</v>
      </c>
      <c r="F1889" s="23"/>
      <c r="G1889" s="21">
        <f t="shared" si="8"/>
        <v>318539.46</v>
      </c>
      <c r="H1889" s="23"/>
      <c r="I1889" s="21">
        <f t="shared" si="12"/>
        <v>781.68</v>
      </c>
      <c r="J1889" s="23">
        <v>230.0</v>
      </c>
      <c r="K1889" s="21">
        <f t="shared" si="13"/>
        <v>204330.28</v>
      </c>
      <c r="L1889" s="23"/>
      <c r="M1889" s="21">
        <f t="shared" si="14"/>
        <v>1894.93</v>
      </c>
    </row>
    <row r="1890" ht="20.25" customHeight="1" outlineLevel="1">
      <c r="A1890" s="12">
        <v>46119.0</v>
      </c>
      <c r="B1890" s="13" t="s">
        <v>16</v>
      </c>
      <c r="C1890" s="102" t="s">
        <v>1696</v>
      </c>
      <c r="D1890" s="20"/>
      <c r="E1890" s="21">
        <f t="shared" si="1"/>
        <v>12593.22</v>
      </c>
      <c r="F1890" s="23"/>
      <c r="G1890" s="21">
        <f t="shared" si="8"/>
        <v>318539.46</v>
      </c>
      <c r="H1890" s="23"/>
      <c r="I1890" s="21">
        <f t="shared" si="12"/>
        <v>781.68</v>
      </c>
      <c r="J1890" s="23">
        <v>100.0</v>
      </c>
      <c r="K1890" s="21">
        <f t="shared" si="13"/>
        <v>204430.28</v>
      </c>
      <c r="L1890" s="23"/>
      <c r="M1890" s="21">
        <f t="shared" si="14"/>
        <v>1894.93</v>
      </c>
    </row>
    <row r="1891" ht="20.25" customHeight="1" outlineLevel="1">
      <c r="A1891" s="12"/>
      <c r="B1891" s="13"/>
      <c r="C1891" s="85"/>
      <c r="D1891" s="20"/>
      <c r="E1891" s="21">
        <f t="shared" si="1"/>
        <v>12593.22</v>
      </c>
      <c r="F1891" s="23"/>
      <c r="G1891" s="21">
        <f t="shared" si="8"/>
        <v>318539.46</v>
      </c>
      <c r="H1891" s="23"/>
      <c r="I1891" s="21">
        <f t="shared" si="12"/>
        <v>781.68</v>
      </c>
      <c r="J1891" s="23"/>
      <c r="K1891" s="21">
        <f t="shared" si="13"/>
        <v>204430.28</v>
      </c>
      <c r="L1891" s="23"/>
      <c r="M1891" s="21">
        <f t="shared" si="14"/>
        <v>1894.93</v>
      </c>
    </row>
    <row r="1892" ht="20.25" customHeight="1" outlineLevel="1">
      <c r="A1892" s="12"/>
      <c r="B1892" s="13"/>
      <c r="C1892" s="107"/>
      <c r="D1892" s="20"/>
      <c r="E1892" s="21">
        <f t="shared" si="1"/>
        <v>12593.22</v>
      </c>
      <c r="F1892" s="23"/>
      <c r="G1892" s="21">
        <f t="shared" si="8"/>
        <v>318539.46</v>
      </c>
      <c r="H1892" s="23"/>
      <c r="I1892" s="21">
        <f t="shared" si="12"/>
        <v>781.68</v>
      </c>
      <c r="J1892" s="23"/>
      <c r="K1892" s="21">
        <f t="shared" si="13"/>
        <v>204430.28</v>
      </c>
      <c r="L1892" s="23"/>
      <c r="M1892" s="21">
        <f t="shared" si="14"/>
        <v>1894.93</v>
      </c>
    </row>
    <row r="1893" ht="20.25" customHeight="1" outlineLevel="1">
      <c r="A1893" s="12"/>
      <c r="B1893" s="13"/>
      <c r="C1893" s="85"/>
      <c r="D1893" s="20"/>
      <c r="E1893" s="21">
        <f t="shared" si="1"/>
        <v>12593.22</v>
      </c>
      <c r="F1893" s="23"/>
      <c r="G1893" s="21">
        <f t="shared" si="8"/>
        <v>318539.46</v>
      </c>
      <c r="H1893" s="23"/>
      <c r="I1893" s="21">
        <f t="shared" si="12"/>
        <v>781.68</v>
      </c>
      <c r="J1893" s="23"/>
      <c r="K1893" s="21">
        <f t="shared" si="13"/>
        <v>204430.28</v>
      </c>
      <c r="L1893" s="23"/>
      <c r="M1893" s="21">
        <f t="shared" si="14"/>
        <v>1894.93</v>
      </c>
    </row>
    <row r="1894" ht="20.25" customHeight="1" outlineLevel="1">
      <c r="A1894" s="12"/>
      <c r="B1894" s="13"/>
      <c r="C1894" s="85"/>
      <c r="D1894" s="20"/>
      <c r="E1894" s="21">
        <f t="shared" si="1"/>
        <v>12593.22</v>
      </c>
      <c r="F1894" s="23"/>
      <c r="G1894" s="21">
        <f t="shared" si="8"/>
        <v>318539.46</v>
      </c>
      <c r="H1894" s="23"/>
      <c r="I1894" s="21">
        <f t="shared" si="12"/>
        <v>781.68</v>
      </c>
      <c r="J1894" s="23"/>
      <c r="K1894" s="21">
        <f t="shared" si="13"/>
        <v>204430.28</v>
      </c>
      <c r="L1894" s="23"/>
      <c r="M1894" s="21">
        <f t="shared" si="14"/>
        <v>1894.93</v>
      </c>
    </row>
    <row r="1895" ht="20.25" customHeight="1" outlineLevel="1">
      <c r="A1895" s="12"/>
      <c r="B1895" s="13"/>
      <c r="C1895" s="85"/>
      <c r="D1895" s="20"/>
      <c r="E1895" s="21">
        <f t="shared" si="1"/>
        <v>12593.22</v>
      </c>
      <c r="F1895" s="23"/>
      <c r="G1895" s="21">
        <f t="shared" si="8"/>
        <v>318539.46</v>
      </c>
      <c r="H1895" s="23"/>
      <c r="I1895" s="21">
        <f t="shared" si="12"/>
        <v>781.68</v>
      </c>
      <c r="J1895" s="23"/>
      <c r="K1895" s="21">
        <f t="shared" si="13"/>
        <v>204430.28</v>
      </c>
      <c r="L1895" s="23"/>
      <c r="M1895" s="21">
        <f t="shared" si="14"/>
        <v>1894.93</v>
      </c>
    </row>
    <row r="1896" ht="20.25" customHeight="1" outlineLevel="1">
      <c r="A1896" s="12"/>
      <c r="B1896" s="13"/>
      <c r="C1896" s="85"/>
      <c r="D1896" s="20"/>
      <c r="E1896" s="21">
        <f t="shared" si="1"/>
        <v>12593.22</v>
      </c>
      <c r="F1896" s="23"/>
      <c r="G1896" s="21">
        <f t="shared" si="8"/>
        <v>318539.46</v>
      </c>
      <c r="H1896" s="23"/>
      <c r="I1896" s="21">
        <f t="shared" si="12"/>
        <v>781.68</v>
      </c>
      <c r="J1896" s="23"/>
      <c r="K1896" s="21">
        <f t="shared" si="13"/>
        <v>204430.28</v>
      </c>
      <c r="L1896" s="23"/>
      <c r="M1896" s="21">
        <f t="shared" si="14"/>
        <v>1894.93</v>
      </c>
    </row>
    <row r="1897" ht="20.25" customHeight="1" outlineLevel="1">
      <c r="A1897" s="12"/>
      <c r="B1897" s="13"/>
      <c r="C1897" s="85"/>
      <c r="D1897" s="20"/>
      <c r="E1897" s="21">
        <f t="shared" si="1"/>
        <v>12593.22</v>
      </c>
      <c r="F1897" s="23"/>
      <c r="G1897" s="21">
        <f t="shared" si="8"/>
        <v>318539.46</v>
      </c>
      <c r="H1897" s="23"/>
      <c r="I1897" s="21">
        <f t="shared" si="12"/>
        <v>781.68</v>
      </c>
      <c r="J1897" s="23"/>
      <c r="K1897" s="21">
        <f t="shared" si="13"/>
        <v>204430.28</v>
      </c>
      <c r="L1897" s="23"/>
      <c r="M1897" s="21">
        <f t="shared" si="14"/>
        <v>1894.93</v>
      </c>
    </row>
    <row r="1898" ht="20.25" customHeight="1" outlineLevel="1">
      <c r="A1898" s="12"/>
      <c r="B1898" s="13"/>
      <c r="C1898" s="85"/>
      <c r="D1898" s="20"/>
      <c r="E1898" s="21">
        <f t="shared" si="1"/>
        <v>12593.22</v>
      </c>
      <c r="F1898" s="23"/>
      <c r="G1898" s="21">
        <f t="shared" si="8"/>
        <v>318539.46</v>
      </c>
      <c r="H1898" s="23"/>
      <c r="I1898" s="21">
        <f>H1898+I1886</f>
        <v>781.68</v>
      </c>
      <c r="J1898" s="23"/>
      <c r="K1898" s="21">
        <f t="shared" si="13"/>
        <v>204430.28</v>
      </c>
      <c r="L1898" s="23"/>
      <c r="M1898" s="21">
        <f>L1898+M1886</f>
        <v>1894.93</v>
      </c>
    </row>
    <row r="1899" ht="20.25" customHeight="1" outlineLevel="1">
      <c r="A1899" s="12"/>
      <c r="B1899" s="13"/>
      <c r="C1899" s="85"/>
      <c r="D1899" s="20"/>
      <c r="E1899" s="21">
        <f t="shared" si="1"/>
        <v>12593.22</v>
      </c>
      <c r="F1899" s="23"/>
      <c r="G1899" s="21">
        <f t="shared" si="8"/>
        <v>318539.46</v>
      </c>
      <c r="H1899" s="23"/>
      <c r="I1899" s="21">
        <f t="shared" ref="I1899:I3311" si="15">H1899+I1898</f>
        <v>781.68</v>
      </c>
      <c r="J1899" s="23"/>
      <c r="K1899" s="21">
        <f t="shared" si="13"/>
        <v>204430.28</v>
      </c>
      <c r="L1899" s="23"/>
      <c r="M1899" s="21">
        <f t="shared" ref="M1899:M3311" si="16">L1899+M1898</f>
        <v>1894.93</v>
      </c>
    </row>
    <row r="1900" ht="20.25" customHeight="1" outlineLevel="1">
      <c r="A1900" s="12"/>
      <c r="B1900" s="13"/>
      <c r="C1900" s="87"/>
      <c r="D1900" s="20"/>
      <c r="E1900" s="21">
        <f t="shared" si="1"/>
        <v>12593.22</v>
      </c>
      <c r="F1900" s="23"/>
      <c r="G1900" s="21">
        <f t="shared" si="8"/>
        <v>318539.46</v>
      </c>
      <c r="H1900" s="23"/>
      <c r="I1900" s="21">
        <f t="shared" si="15"/>
        <v>781.68</v>
      </c>
      <c r="J1900" s="23"/>
      <c r="K1900" s="21">
        <f t="shared" si="13"/>
        <v>204430.28</v>
      </c>
      <c r="L1900" s="23"/>
      <c r="M1900" s="21">
        <f t="shared" si="16"/>
        <v>1894.93</v>
      </c>
    </row>
    <row r="1901" ht="20.25" customHeight="1" outlineLevel="1">
      <c r="A1901" s="12"/>
      <c r="B1901" s="13"/>
      <c r="C1901" s="87"/>
      <c r="D1901" s="20"/>
      <c r="E1901" s="21">
        <f t="shared" si="1"/>
        <v>12593.22</v>
      </c>
      <c r="F1901" s="23"/>
      <c r="G1901" s="21">
        <f t="shared" si="8"/>
        <v>318539.46</v>
      </c>
      <c r="H1901" s="23"/>
      <c r="I1901" s="21">
        <f t="shared" si="15"/>
        <v>781.68</v>
      </c>
      <c r="J1901" s="23"/>
      <c r="K1901" s="21">
        <f t="shared" si="13"/>
        <v>204430.28</v>
      </c>
      <c r="L1901" s="23"/>
      <c r="M1901" s="21">
        <f t="shared" si="16"/>
        <v>1894.93</v>
      </c>
    </row>
    <row r="1902" ht="20.25" customHeight="1" outlineLevel="1">
      <c r="A1902" s="12"/>
      <c r="B1902" s="13"/>
      <c r="C1902" s="85"/>
      <c r="D1902" s="20"/>
      <c r="E1902" s="21">
        <f t="shared" si="1"/>
        <v>12593.22</v>
      </c>
      <c r="F1902" s="23"/>
      <c r="G1902" s="21">
        <f t="shared" si="8"/>
        <v>318539.46</v>
      </c>
      <c r="H1902" s="23"/>
      <c r="I1902" s="21">
        <f t="shared" si="15"/>
        <v>781.68</v>
      </c>
      <c r="J1902" s="23"/>
      <c r="K1902" s="21">
        <f t="shared" si="13"/>
        <v>204430.28</v>
      </c>
      <c r="L1902" s="23"/>
      <c r="M1902" s="21">
        <f t="shared" si="16"/>
        <v>1894.93</v>
      </c>
    </row>
    <row r="1903" ht="20.25" customHeight="1" outlineLevel="1">
      <c r="A1903" s="12"/>
      <c r="B1903" s="13"/>
      <c r="C1903" s="85"/>
      <c r="D1903" s="20"/>
      <c r="E1903" s="21">
        <f t="shared" si="1"/>
        <v>12593.22</v>
      </c>
      <c r="F1903" s="23"/>
      <c r="G1903" s="21">
        <f t="shared" si="8"/>
        <v>318539.46</v>
      </c>
      <c r="H1903" s="23"/>
      <c r="I1903" s="21">
        <f t="shared" si="15"/>
        <v>781.68</v>
      </c>
      <c r="J1903" s="23"/>
      <c r="K1903" s="21">
        <f t="shared" si="13"/>
        <v>204430.28</v>
      </c>
      <c r="L1903" s="23"/>
      <c r="M1903" s="21">
        <f t="shared" si="16"/>
        <v>1894.93</v>
      </c>
    </row>
    <row r="1904" ht="20.25" customHeight="1" outlineLevel="1">
      <c r="A1904" s="12"/>
      <c r="B1904" s="13"/>
      <c r="C1904" s="85"/>
      <c r="D1904" s="20"/>
      <c r="E1904" s="21">
        <f t="shared" si="1"/>
        <v>12593.22</v>
      </c>
      <c r="F1904" s="23"/>
      <c r="G1904" s="21">
        <f t="shared" si="8"/>
        <v>318539.46</v>
      </c>
      <c r="H1904" s="23"/>
      <c r="I1904" s="21">
        <f t="shared" si="15"/>
        <v>781.68</v>
      </c>
      <c r="J1904" s="23"/>
      <c r="K1904" s="21">
        <f t="shared" si="13"/>
        <v>204430.28</v>
      </c>
      <c r="L1904" s="23"/>
      <c r="M1904" s="21">
        <f t="shared" si="16"/>
        <v>1894.93</v>
      </c>
    </row>
    <row r="1905" ht="20.25" customHeight="1" outlineLevel="1">
      <c r="A1905" s="12"/>
      <c r="B1905" s="13"/>
      <c r="C1905" s="87"/>
      <c r="D1905" s="20"/>
      <c r="E1905" s="21">
        <f t="shared" si="1"/>
        <v>12593.22</v>
      </c>
      <c r="F1905" s="23"/>
      <c r="G1905" s="21">
        <f t="shared" si="8"/>
        <v>318539.46</v>
      </c>
      <c r="H1905" s="23"/>
      <c r="I1905" s="21">
        <f t="shared" si="15"/>
        <v>781.68</v>
      </c>
      <c r="J1905" s="23"/>
      <c r="K1905" s="21">
        <f t="shared" si="13"/>
        <v>204430.28</v>
      </c>
      <c r="L1905" s="23"/>
      <c r="M1905" s="21">
        <f t="shared" si="16"/>
        <v>1894.93</v>
      </c>
    </row>
    <row r="1906" ht="20.25" customHeight="1" outlineLevel="1">
      <c r="A1906" s="12"/>
      <c r="B1906" s="13"/>
      <c r="C1906" s="87"/>
      <c r="D1906" s="20"/>
      <c r="E1906" s="21">
        <f t="shared" si="1"/>
        <v>12593.22</v>
      </c>
      <c r="F1906" s="23"/>
      <c r="G1906" s="21">
        <f t="shared" si="8"/>
        <v>318539.46</v>
      </c>
      <c r="H1906" s="23"/>
      <c r="I1906" s="21">
        <f t="shared" si="15"/>
        <v>781.68</v>
      </c>
      <c r="J1906" s="23"/>
      <c r="K1906" s="21">
        <f t="shared" si="13"/>
        <v>204430.28</v>
      </c>
      <c r="L1906" s="23"/>
      <c r="M1906" s="21">
        <f t="shared" si="16"/>
        <v>1894.93</v>
      </c>
    </row>
    <row r="1907" ht="20.25" customHeight="1" outlineLevel="1">
      <c r="A1907" s="12"/>
      <c r="B1907" s="13"/>
      <c r="C1907" s="87"/>
      <c r="D1907" s="20"/>
      <c r="E1907" s="21">
        <f t="shared" si="1"/>
        <v>12593.22</v>
      </c>
      <c r="F1907" s="23"/>
      <c r="G1907" s="21">
        <f t="shared" si="8"/>
        <v>318539.46</v>
      </c>
      <c r="H1907" s="23"/>
      <c r="I1907" s="21">
        <f t="shared" si="15"/>
        <v>781.68</v>
      </c>
      <c r="J1907" s="23"/>
      <c r="K1907" s="21">
        <f t="shared" si="13"/>
        <v>204430.28</v>
      </c>
      <c r="L1907" s="23"/>
      <c r="M1907" s="21">
        <f t="shared" si="16"/>
        <v>1894.93</v>
      </c>
    </row>
    <row r="1908" ht="20.25" customHeight="1" outlineLevel="1">
      <c r="A1908" s="12"/>
      <c r="B1908" s="13"/>
      <c r="C1908" s="87"/>
      <c r="D1908" s="20"/>
      <c r="E1908" s="21">
        <f t="shared" si="1"/>
        <v>12593.22</v>
      </c>
      <c r="F1908" s="23"/>
      <c r="G1908" s="21">
        <f t="shared" si="8"/>
        <v>318539.46</v>
      </c>
      <c r="H1908" s="23"/>
      <c r="I1908" s="21">
        <f t="shared" si="15"/>
        <v>781.68</v>
      </c>
      <c r="J1908" s="23"/>
      <c r="K1908" s="21">
        <f t="shared" si="13"/>
        <v>204430.28</v>
      </c>
      <c r="L1908" s="23"/>
      <c r="M1908" s="21">
        <f t="shared" si="16"/>
        <v>1894.93</v>
      </c>
    </row>
    <row r="1909" ht="20.25" customHeight="1" outlineLevel="1">
      <c r="A1909" s="12"/>
      <c r="B1909" s="13"/>
      <c r="C1909" s="87"/>
      <c r="D1909" s="20"/>
      <c r="E1909" s="21">
        <f t="shared" si="1"/>
        <v>12593.22</v>
      </c>
      <c r="F1909" s="23"/>
      <c r="G1909" s="21">
        <f t="shared" si="8"/>
        <v>318539.46</v>
      </c>
      <c r="H1909" s="23"/>
      <c r="I1909" s="21">
        <f t="shared" si="15"/>
        <v>781.68</v>
      </c>
      <c r="J1909" s="23"/>
      <c r="K1909" s="21">
        <f t="shared" si="13"/>
        <v>204430.28</v>
      </c>
      <c r="L1909" s="23"/>
      <c r="M1909" s="21">
        <f t="shared" si="16"/>
        <v>1894.93</v>
      </c>
    </row>
    <row r="1910" ht="20.25" customHeight="1" outlineLevel="1">
      <c r="A1910" s="12"/>
      <c r="B1910" s="13"/>
      <c r="C1910" s="87"/>
      <c r="D1910" s="20"/>
      <c r="E1910" s="21">
        <f t="shared" si="1"/>
        <v>12593.22</v>
      </c>
      <c r="F1910" s="23"/>
      <c r="G1910" s="21">
        <f t="shared" si="8"/>
        <v>318539.46</v>
      </c>
      <c r="H1910" s="23"/>
      <c r="I1910" s="21">
        <f t="shared" si="15"/>
        <v>781.68</v>
      </c>
      <c r="J1910" s="23"/>
      <c r="K1910" s="21">
        <f t="shared" si="13"/>
        <v>204430.28</v>
      </c>
      <c r="L1910" s="23"/>
      <c r="M1910" s="21">
        <f t="shared" si="16"/>
        <v>1894.93</v>
      </c>
    </row>
    <row r="1911" ht="20.25" customHeight="1" outlineLevel="1">
      <c r="A1911" s="12"/>
      <c r="B1911" s="13"/>
      <c r="C1911" s="85"/>
      <c r="D1911" s="20"/>
      <c r="E1911" s="21">
        <f t="shared" si="1"/>
        <v>12593.22</v>
      </c>
      <c r="F1911" s="23"/>
      <c r="G1911" s="21">
        <f t="shared" si="8"/>
        <v>318539.46</v>
      </c>
      <c r="H1911" s="23"/>
      <c r="I1911" s="21">
        <f t="shared" si="15"/>
        <v>781.68</v>
      </c>
      <c r="J1911" s="23"/>
      <c r="K1911" s="21">
        <f t="shared" si="13"/>
        <v>204430.28</v>
      </c>
      <c r="L1911" s="23"/>
      <c r="M1911" s="21">
        <f t="shared" si="16"/>
        <v>1894.93</v>
      </c>
    </row>
    <row r="1912" ht="20.25" customHeight="1" outlineLevel="1">
      <c r="A1912" s="12"/>
      <c r="B1912" s="13"/>
      <c r="C1912" s="85"/>
      <c r="D1912" s="20"/>
      <c r="E1912" s="21">
        <f t="shared" si="1"/>
        <v>12593.22</v>
      </c>
      <c r="F1912" s="23"/>
      <c r="G1912" s="21">
        <f t="shared" si="8"/>
        <v>318539.46</v>
      </c>
      <c r="H1912" s="23"/>
      <c r="I1912" s="21">
        <f t="shared" si="15"/>
        <v>781.68</v>
      </c>
      <c r="J1912" s="23"/>
      <c r="K1912" s="21">
        <f t="shared" si="13"/>
        <v>204430.28</v>
      </c>
      <c r="L1912" s="23"/>
      <c r="M1912" s="21">
        <f t="shared" si="16"/>
        <v>1894.93</v>
      </c>
    </row>
    <row r="1913" ht="20.25" customHeight="1" outlineLevel="1">
      <c r="A1913" s="12"/>
      <c r="B1913" s="13"/>
      <c r="C1913" s="85"/>
      <c r="D1913" s="20"/>
      <c r="E1913" s="21">
        <f t="shared" si="1"/>
        <v>12593.22</v>
      </c>
      <c r="F1913" s="23"/>
      <c r="G1913" s="21">
        <f t="shared" si="8"/>
        <v>318539.46</v>
      </c>
      <c r="H1913" s="23"/>
      <c r="I1913" s="21">
        <f t="shared" si="15"/>
        <v>781.68</v>
      </c>
      <c r="J1913" s="23"/>
      <c r="K1913" s="21">
        <f t="shared" si="13"/>
        <v>204430.28</v>
      </c>
      <c r="L1913" s="23"/>
      <c r="M1913" s="21">
        <f t="shared" si="16"/>
        <v>1894.93</v>
      </c>
    </row>
    <row r="1914" ht="20.25" customHeight="1" outlineLevel="1">
      <c r="A1914" s="12"/>
      <c r="B1914" s="13"/>
      <c r="C1914" s="87"/>
      <c r="D1914" s="20"/>
      <c r="E1914" s="21">
        <f t="shared" si="1"/>
        <v>12593.22</v>
      </c>
      <c r="F1914" s="23"/>
      <c r="G1914" s="21">
        <f t="shared" si="8"/>
        <v>318539.46</v>
      </c>
      <c r="H1914" s="23"/>
      <c r="I1914" s="21">
        <f t="shared" si="15"/>
        <v>781.68</v>
      </c>
      <c r="J1914" s="23"/>
      <c r="K1914" s="21">
        <f t="shared" si="13"/>
        <v>204430.28</v>
      </c>
      <c r="L1914" s="23"/>
      <c r="M1914" s="21">
        <f t="shared" si="16"/>
        <v>1894.93</v>
      </c>
    </row>
    <row r="1915" ht="20.25" customHeight="1" outlineLevel="1">
      <c r="A1915" s="12"/>
      <c r="B1915" s="13"/>
      <c r="C1915" s="87"/>
      <c r="D1915" s="20"/>
      <c r="E1915" s="21">
        <f t="shared" si="1"/>
        <v>12593.22</v>
      </c>
      <c r="F1915" s="23"/>
      <c r="G1915" s="21">
        <f t="shared" si="8"/>
        <v>318539.46</v>
      </c>
      <c r="H1915" s="23"/>
      <c r="I1915" s="21">
        <f t="shared" si="15"/>
        <v>781.68</v>
      </c>
      <c r="J1915" s="23"/>
      <c r="K1915" s="21">
        <f t="shared" si="13"/>
        <v>204430.28</v>
      </c>
      <c r="L1915" s="23"/>
      <c r="M1915" s="21">
        <f t="shared" si="16"/>
        <v>1894.93</v>
      </c>
    </row>
    <row r="1916" ht="20.25" customHeight="1" outlineLevel="1">
      <c r="A1916" s="12"/>
      <c r="B1916" s="13"/>
      <c r="C1916" s="87"/>
      <c r="D1916" s="20"/>
      <c r="E1916" s="21">
        <f t="shared" si="1"/>
        <v>12593.22</v>
      </c>
      <c r="F1916" s="23"/>
      <c r="G1916" s="21">
        <f t="shared" si="8"/>
        <v>318539.46</v>
      </c>
      <c r="H1916" s="23"/>
      <c r="I1916" s="21">
        <f t="shared" si="15"/>
        <v>781.68</v>
      </c>
      <c r="J1916" s="23"/>
      <c r="K1916" s="21">
        <f t="shared" si="13"/>
        <v>204430.28</v>
      </c>
      <c r="L1916" s="23"/>
      <c r="M1916" s="21">
        <f t="shared" si="16"/>
        <v>1894.93</v>
      </c>
    </row>
    <row r="1917" ht="20.25" customHeight="1" outlineLevel="1">
      <c r="A1917" s="12"/>
      <c r="B1917" s="13"/>
      <c r="C1917" s="87"/>
      <c r="D1917" s="20"/>
      <c r="E1917" s="21">
        <f t="shared" si="1"/>
        <v>12593.22</v>
      </c>
      <c r="F1917" s="23"/>
      <c r="G1917" s="21">
        <f t="shared" si="8"/>
        <v>318539.46</v>
      </c>
      <c r="H1917" s="23"/>
      <c r="I1917" s="21">
        <f t="shared" si="15"/>
        <v>781.68</v>
      </c>
      <c r="J1917" s="23"/>
      <c r="K1917" s="21">
        <f t="shared" si="13"/>
        <v>204430.28</v>
      </c>
      <c r="L1917" s="23"/>
      <c r="M1917" s="21">
        <f t="shared" si="16"/>
        <v>1894.93</v>
      </c>
    </row>
    <row r="1918" ht="20.25" customHeight="1" outlineLevel="1">
      <c r="A1918" s="12"/>
      <c r="B1918" s="13"/>
      <c r="C1918" s="87"/>
      <c r="D1918" s="20"/>
      <c r="E1918" s="21">
        <f t="shared" si="1"/>
        <v>12593.22</v>
      </c>
      <c r="F1918" s="23"/>
      <c r="G1918" s="21">
        <f t="shared" si="8"/>
        <v>318539.46</v>
      </c>
      <c r="H1918" s="23"/>
      <c r="I1918" s="21">
        <f t="shared" si="15"/>
        <v>781.68</v>
      </c>
      <c r="J1918" s="23"/>
      <c r="K1918" s="21">
        <f t="shared" si="13"/>
        <v>204430.28</v>
      </c>
      <c r="L1918" s="23"/>
      <c r="M1918" s="21">
        <f t="shared" si="16"/>
        <v>1894.93</v>
      </c>
    </row>
    <row r="1919" ht="20.25" customHeight="1" outlineLevel="1">
      <c r="A1919" s="12"/>
      <c r="B1919" s="13"/>
      <c r="C1919" s="85"/>
      <c r="D1919" s="20"/>
      <c r="E1919" s="21">
        <f t="shared" si="1"/>
        <v>12593.22</v>
      </c>
      <c r="F1919" s="23"/>
      <c r="G1919" s="21">
        <f t="shared" si="8"/>
        <v>318539.46</v>
      </c>
      <c r="H1919" s="23"/>
      <c r="I1919" s="21">
        <f t="shared" si="15"/>
        <v>781.68</v>
      </c>
      <c r="J1919" s="23"/>
      <c r="K1919" s="21">
        <f t="shared" si="13"/>
        <v>204430.28</v>
      </c>
      <c r="L1919" s="23"/>
      <c r="M1919" s="21">
        <f t="shared" si="16"/>
        <v>1894.93</v>
      </c>
    </row>
    <row r="1920" ht="20.25" customHeight="1" outlineLevel="1">
      <c r="A1920" s="12"/>
      <c r="B1920" s="13"/>
      <c r="C1920" s="85"/>
      <c r="D1920" s="20"/>
      <c r="E1920" s="21">
        <f t="shared" si="1"/>
        <v>12593.22</v>
      </c>
      <c r="F1920" s="23"/>
      <c r="G1920" s="21">
        <f t="shared" si="8"/>
        <v>318539.46</v>
      </c>
      <c r="H1920" s="23"/>
      <c r="I1920" s="21">
        <f t="shared" si="15"/>
        <v>781.68</v>
      </c>
      <c r="J1920" s="23"/>
      <c r="K1920" s="21">
        <f t="shared" si="13"/>
        <v>204430.28</v>
      </c>
      <c r="L1920" s="23"/>
      <c r="M1920" s="21">
        <f t="shared" si="16"/>
        <v>1894.93</v>
      </c>
    </row>
    <row r="1921" ht="20.25" customHeight="1" outlineLevel="1">
      <c r="A1921" s="12"/>
      <c r="B1921" s="13"/>
      <c r="C1921" s="87"/>
      <c r="D1921" s="20"/>
      <c r="E1921" s="21">
        <f t="shared" si="1"/>
        <v>12593.22</v>
      </c>
      <c r="F1921" s="23"/>
      <c r="G1921" s="21">
        <f t="shared" si="8"/>
        <v>318539.46</v>
      </c>
      <c r="H1921" s="23"/>
      <c r="I1921" s="21">
        <f t="shared" si="15"/>
        <v>781.68</v>
      </c>
      <c r="J1921" s="23"/>
      <c r="K1921" s="21">
        <f t="shared" si="13"/>
        <v>204430.28</v>
      </c>
      <c r="L1921" s="23"/>
      <c r="M1921" s="21">
        <f t="shared" si="16"/>
        <v>1894.93</v>
      </c>
    </row>
    <row r="1922" ht="20.25" customHeight="1" outlineLevel="1">
      <c r="A1922" s="12"/>
      <c r="B1922" s="13"/>
      <c r="C1922" s="85"/>
      <c r="D1922" s="20"/>
      <c r="E1922" s="21">
        <f t="shared" si="1"/>
        <v>12593.22</v>
      </c>
      <c r="F1922" s="23"/>
      <c r="G1922" s="21">
        <f t="shared" si="8"/>
        <v>318539.46</v>
      </c>
      <c r="H1922" s="23"/>
      <c r="I1922" s="21">
        <f t="shared" si="15"/>
        <v>781.68</v>
      </c>
      <c r="J1922" s="23"/>
      <c r="K1922" s="21">
        <f t="shared" si="13"/>
        <v>204430.28</v>
      </c>
      <c r="L1922" s="23"/>
      <c r="M1922" s="21">
        <f t="shared" si="16"/>
        <v>1894.93</v>
      </c>
    </row>
    <row r="1923" ht="20.25" customHeight="1" outlineLevel="1">
      <c r="A1923" s="12"/>
      <c r="B1923" s="13"/>
      <c r="C1923" s="85"/>
      <c r="D1923" s="20"/>
      <c r="E1923" s="21">
        <f t="shared" si="1"/>
        <v>12593.22</v>
      </c>
      <c r="F1923" s="23"/>
      <c r="G1923" s="21">
        <f t="shared" si="8"/>
        <v>318539.46</v>
      </c>
      <c r="H1923" s="23"/>
      <c r="I1923" s="21">
        <f t="shared" si="15"/>
        <v>781.68</v>
      </c>
      <c r="J1923" s="23"/>
      <c r="K1923" s="21">
        <f t="shared" si="13"/>
        <v>204430.28</v>
      </c>
      <c r="L1923" s="23"/>
      <c r="M1923" s="21">
        <f t="shared" si="16"/>
        <v>1894.93</v>
      </c>
    </row>
    <row r="1924" ht="20.25" customHeight="1" outlineLevel="1">
      <c r="A1924" s="12"/>
      <c r="B1924" s="13"/>
      <c r="C1924" s="85"/>
      <c r="D1924" s="20"/>
      <c r="E1924" s="21">
        <f t="shared" si="1"/>
        <v>12593.22</v>
      </c>
      <c r="F1924" s="23"/>
      <c r="G1924" s="21">
        <f t="shared" si="8"/>
        <v>318539.46</v>
      </c>
      <c r="H1924" s="23"/>
      <c r="I1924" s="21">
        <f t="shared" si="15"/>
        <v>781.68</v>
      </c>
      <c r="J1924" s="23"/>
      <c r="K1924" s="21">
        <f t="shared" si="13"/>
        <v>204430.28</v>
      </c>
      <c r="L1924" s="23"/>
      <c r="M1924" s="21">
        <f t="shared" si="16"/>
        <v>1894.93</v>
      </c>
    </row>
    <row r="1925" ht="20.25" customHeight="1" outlineLevel="1">
      <c r="A1925" s="12"/>
      <c r="B1925" s="13"/>
      <c r="C1925" s="107"/>
      <c r="D1925" s="20"/>
      <c r="E1925" s="21">
        <f t="shared" si="1"/>
        <v>12593.22</v>
      </c>
      <c r="F1925" s="23"/>
      <c r="G1925" s="21">
        <f t="shared" si="8"/>
        <v>318539.46</v>
      </c>
      <c r="H1925" s="23"/>
      <c r="I1925" s="21">
        <f t="shared" si="15"/>
        <v>781.68</v>
      </c>
      <c r="J1925" s="23"/>
      <c r="K1925" s="21">
        <f t="shared" si="13"/>
        <v>204430.28</v>
      </c>
      <c r="L1925" s="23"/>
      <c r="M1925" s="21">
        <f t="shared" si="16"/>
        <v>1894.93</v>
      </c>
    </row>
    <row r="1926" ht="20.25" customHeight="1" outlineLevel="1">
      <c r="A1926" s="12"/>
      <c r="B1926" s="13"/>
      <c r="C1926" s="85"/>
      <c r="D1926" s="20"/>
      <c r="E1926" s="21">
        <f t="shared" si="1"/>
        <v>12593.22</v>
      </c>
      <c r="F1926" s="23"/>
      <c r="G1926" s="21">
        <f t="shared" si="8"/>
        <v>318539.46</v>
      </c>
      <c r="H1926" s="23"/>
      <c r="I1926" s="21">
        <f t="shared" si="15"/>
        <v>781.68</v>
      </c>
      <c r="J1926" s="23"/>
      <c r="K1926" s="21">
        <f t="shared" si="13"/>
        <v>204430.28</v>
      </c>
      <c r="L1926" s="23"/>
      <c r="M1926" s="21">
        <f t="shared" si="16"/>
        <v>1894.93</v>
      </c>
    </row>
    <row r="1927" ht="20.25" customHeight="1" outlineLevel="1">
      <c r="A1927" s="12"/>
      <c r="B1927" s="13"/>
      <c r="C1927" s="85"/>
      <c r="D1927" s="20"/>
      <c r="E1927" s="21">
        <f t="shared" si="1"/>
        <v>12593.22</v>
      </c>
      <c r="F1927" s="23"/>
      <c r="G1927" s="21">
        <f t="shared" si="8"/>
        <v>318539.46</v>
      </c>
      <c r="H1927" s="23"/>
      <c r="I1927" s="21">
        <f t="shared" si="15"/>
        <v>781.68</v>
      </c>
      <c r="J1927" s="23"/>
      <c r="K1927" s="21">
        <f t="shared" si="13"/>
        <v>204430.28</v>
      </c>
      <c r="L1927" s="23"/>
      <c r="M1927" s="21">
        <f t="shared" si="16"/>
        <v>1894.93</v>
      </c>
    </row>
    <row r="1928" ht="20.25" customHeight="1" outlineLevel="1">
      <c r="A1928" s="12"/>
      <c r="B1928" s="13"/>
      <c r="C1928" s="85"/>
      <c r="D1928" s="20"/>
      <c r="E1928" s="21">
        <f t="shared" si="1"/>
        <v>12593.22</v>
      </c>
      <c r="F1928" s="23"/>
      <c r="G1928" s="21">
        <f t="shared" si="8"/>
        <v>318539.46</v>
      </c>
      <c r="H1928" s="23"/>
      <c r="I1928" s="21">
        <f t="shared" si="15"/>
        <v>781.68</v>
      </c>
      <c r="J1928" s="23"/>
      <c r="K1928" s="21">
        <f t="shared" si="13"/>
        <v>204430.28</v>
      </c>
      <c r="L1928" s="23"/>
      <c r="M1928" s="21">
        <f t="shared" si="16"/>
        <v>1894.93</v>
      </c>
    </row>
    <row r="1929" ht="20.25" customHeight="1" outlineLevel="1">
      <c r="A1929" s="12"/>
      <c r="B1929" s="13"/>
      <c r="C1929" s="85"/>
      <c r="D1929" s="20"/>
      <c r="E1929" s="21">
        <f t="shared" si="1"/>
        <v>12593.22</v>
      </c>
      <c r="F1929" s="23"/>
      <c r="G1929" s="21">
        <f t="shared" si="8"/>
        <v>318539.46</v>
      </c>
      <c r="H1929" s="23"/>
      <c r="I1929" s="21">
        <f t="shared" si="15"/>
        <v>781.68</v>
      </c>
      <c r="J1929" s="23"/>
      <c r="K1929" s="21">
        <f t="shared" si="13"/>
        <v>204430.28</v>
      </c>
      <c r="L1929" s="23"/>
      <c r="M1929" s="21">
        <f t="shared" si="16"/>
        <v>1894.93</v>
      </c>
    </row>
    <row r="1930" ht="20.25" customHeight="1" outlineLevel="1">
      <c r="A1930" s="12"/>
      <c r="B1930" s="13"/>
      <c r="C1930" s="85"/>
      <c r="D1930" s="20"/>
      <c r="E1930" s="21">
        <f t="shared" si="1"/>
        <v>12593.22</v>
      </c>
      <c r="F1930" s="23"/>
      <c r="G1930" s="21">
        <f t="shared" si="8"/>
        <v>318539.46</v>
      </c>
      <c r="H1930" s="23"/>
      <c r="I1930" s="21">
        <f t="shared" si="15"/>
        <v>781.68</v>
      </c>
      <c r="J1930" s="23"/>
      <c r="K1930" s="21">
        <f t="shared" si="13"/>
        <v>204430.28</v>
      </c>
      <c r="L1930" s="23"/>
      <c r="M1930" s="21">
        <f t="shared" si="16"/>
        <v>1894.93</v>
      </c>
    </row>
    <row r="1931" ht="20.25" customHeight="1" outlineLevel="1">
      <c r="A1931" s="12"/>
      <c r="B1931" s="13"/>
      <c r="C1931" s="87"/>
      <c r="D1931" s="20"/>
      <c r="E1931" s="21">
        <f t="shared" si="1"/>
        <v>12593.22</v>
      </c>
      <c r="F1931" s="23"/>
      <c r="G1931" s="21">
        <f t="shared" si="8"/>
        <v>318539.46</v>
      </c>
      <c r="H1931" s="23"/>
      <c r="I1931" s="21">
        <f t="shared" si="15"/>
        <v>781.68</v>
      </c>
      <c r="J1931" s="23"/>
      <c r="K1931" s="21">
        <f t="shared" si="13"/>
        <v>204430.28</v>
      </c>
      <c r="L1931" s="23"/>
      <c r="M1931" s="21">
        <f t="shared" si="16"/>
        <v>1894.93</v>
      </c>
    </row>
    <row r="1932" ht="20.25" customHeight="1" outlineLevel="1">
      <c r="A1932" s="12"/>
      <c r="B1932" s="13"/>
      <c r="C1932" s="87"/>
      <c r="D1932" s="20"/>
      <c r="E1932" s="21">
        <f t="shared" si="1"/>
        <v>12593.22</v>
      </c>
      <c r="F1932" s="23"/>
      <c r="G1932" s="21">
        <f t="shared" si="8"/>
        <v>318539.46</v>
      </c>
      <c r="H1932" s="23"/>
      <c r="I1932" s="21">
        <f t="shared" si="15"/>
        <v>781.68</v>
      </c>
      <c r="J1932" s="23"/>
      <c r="K1932" s="21">
        <f t="shared" si="13"/>
        <v>204430.28</v>
      </c>
      <c r="L1932" s="23"/>
      <c r="M1932" s="21">
        <f t="shared" si="16"/>
        <v>1894.93</v>
      </c>
    </row>
    <row r="1933" ht="20.25" customHeight="1" outlineLevel="1">
      <c r="A1933" s="12"/>
      <c r="B1933" s="13"/>
      <c r="C1933" s="87"/>
      <c r="D1933" s="20"/>
      <c r="E1933" s="21">
        <f t="shared" si="1"/>
        <v>12593.22</v>
      </c>
      <c r="F1933" s="23"/>
      <c r="G1933" s="21">
        <f t="shared" si="8"/>
        <v>318539.46</v>
      </c>
      <c r="H1933" s="23"/>
      <c r="I1933" s="21">
        <f t="shared" si="15"/>
        <v>781.68</v>
      </c>
      <c r="J1933" s="23"/>
      <c r="K1933" s="21">
        <f t="shared" si="13"/>
        <v>204430.28</v>
      </c>
      <c r="L1933" s="23"/>
      <c r="M1933" s="21">
        <f t="shared" si="16"/>
        <v>1894.93</v>
      </c>
    </row>
    <row r="1934" ht="20.25" customHeight="1" outlineLevel="1">
      <c r="A1934" s="12"/>
      <c r="B1934" s="13"/>
      <c r="C1934" s="87"/>
      <c r="D1934" s="20"/>
      <c r="E1934" s="21">
        <f t="shared" si="1"/>
        <v>12593.22</v>
      </c>
      <c r="F1934" s="23"/>
      <c r="G1934" s="21">
        <f t="shared" si="8"/>
        <v>318539.46</v>
      </c>
      <c r="H1934" s="23"/>
      <c r="I1934" s="21">
        <f t="shared" si="15"/>
        <v>781.68</v>
      </c>
      <c r="J1934" s="23"/>
      <c r="K1934" s="21">
        <f t="shared" si="13"/>
        <v>204430.28</v>
      </c>
      <c r="L1934" s="23"/>
      <c r="M1934" s="21">
        <f t="shared" si="16"/>
        <v>1894.93</v>
      </c>
    </row>
    <row r="1935" ht="20.25" customHeight="1" outlineLevel="1">
      <c r="A1935" s="12"/>
      <c r="B1935" s="13"/>
      <c r="C1935" s="87"/>
      <c r="D1935" s="20"/>
      <c r="E1935" s="21">
        <f t="shared" si="1"/>
        <v>12593.22</v>
      </c>
      <c r="F1935" s="23"/>
      <c r="G1935" s="21">
        <f t="shared" si="8"/>
        <v>318539.46</v>
      </c>
      <c r="H1935" s="23"/>
      <c r="I1935" s="21">
        <f t="shared" si="15"/>
        <v>781.68</v>
      </c>
      <c r="J1935" s="23"/>
      <c r="K1935" s="21">
        <f t="shared" si="13"/>
        <v>204430.28</v>
      </c>
      <c r="L1935" s="23"/>
      <c r="M1935" s="21">
        <f t="shared" si="16"/>
        <v>1894.93</v>
      </c>
    </row>
    <row r="1936" ht="20.25" customHeight="1" outlineLevel="1">
      <c r="A1936" s="12"/>
      <c r="B1936" s="13"/>
      <c r="C1936" s="87"/>
      <c r="D1936" s="20"/>
      <c r="E1936" s="21">
        <f t="shared" si="1"/>
        <v>12593.22</v>
      </c>
      <c r="F1936" s="23"/>
      <c r="G1936" s="21">
        <f t="shared" si="8"/>
        <v>318539.46</v>
      </c>
      <c r="H1936" s="23"/>
      <c r="I1936" s="21">
        <f t="shared" si="15"/>
        <v>781.68</v>
      </c>
      <c r="J1936" s="23"/>
      <c r="K1936" s="21">
        <f t="shared" si="13"/>
        <v>204430.28</v>
      </c>
      <c r="L1936" s="23"/>
      <c r="M1936" s="21">
        <f t="shared" si="16"/>
        <v>1894.93</v>
      </c>
    </row>
    <row r="1937" ht="20.25" customHeight="1" outlineLevel="1">
      <c r="A1937" s="12"/>
      <c r="B1937" s="13"/>
      <c r="C1937" s="87"/>
      <c r="D1937" s="20"/>
      <c r="E1937" s="21">
        <f t="shared" si="1"/>
        <v>12593.22</v>
      </c>
      <c r="F1937" s="23"/>
      <c r="G1937" s="21">
        <f t="shared" si="8"/>
        <v>318539.46</v>
      </c>
      <c r="H1937" s="23"/>
      <c r="I1937" s="21">
        <f t="shared" si="15"/>
        <v>781.68</v>
      </c>
      <c r="J1937" s="23"/>
      <c r="K1937" s="21">
        <f t="shared" si="13"/>
        <v>204430.28</v>
      </c>
      <c r="L1937" s="23"/>
      <c r="M1937" s="21">
        <f t="shared" si="16"/>
        <v>1894.93</v>
      </c>
    </row>
    <row r="1938" ht="20.25" customHeight="1" outlineLevel="1">
      <c r="A1938" s="12"/>
      <c r="B1938" s="13"/>
      <c r="C1938" s="85"/>
      <c r="D1938" s="20"/>
      <c r="E1938" s="21">
        <f t="shared" si="1"/>
        <v>12593.22</v>
      </c>
      <c r="F1938" s="23"/>
      <c r="G1938" s="21">
        <f t="shared" si="8"/>
        <v>318539.46</v>
      </c>
      <c r="H1938" s="23"/>
      <c r="I1938" s="21">
        <f t="shared" si="15"/>
        <v>781.68</v>
      </c>
      <c r="J1938" s="23"/>
      <c r="K1938" s="21">
        <f t="shared" si="13"/>
        <v>204430.28</v>
      </c>
      <c r="L1938" s="23"/>
      <c r="M1938" s="21">
        <f t="shared" si="16"/>
        <v>1894.93</v>
      </c>
    </row>
    <row r="1939" ht="20.25" customHeight="1" outlineLevel="1">
      <c r="A1939" s="12"/>
      <c r="B1939" s="13"/>
      <c r="C1939" s="85"/>
      <c r="D1939" s="20"/>
      <c r="E1939" s="21">
        <f t="shared" si="1"/>
        <v>12593.22</v>
      </c>
      <c r="F1939" s="23"/>
      <c r="G1939" s="21">
        <f t="shared" si="8"/>
        <v>318539.46</v>
      </c>
      <c r="H1939" s="23"/>
      <c r="I1939" s="21">
        <f t="shared" si="15"/>
        <v>781.68</v>
      </c>
      <c r="J1939" s="23"/>
      <c r="K1939" s="21">
        <f t="shared" si="13"/>
        <v>204430.28</v>
      </c>
      <c r="L1939" s="23"/>
      <c r="M1939" s="21">
        <f t="shared" si="16"/>
        <v>1894.93</v>
      </c>
    </row>
    <row r="1940" ht="20.25" customHeight="1" outlineLevel="1">
      <c r="A1940" s="12"/>
      <c r="B1940" s="13"/>
      <c r="C1940" s="85"/>
      <c r="D1940" s="20"/>
      <c r="E1940" s="21">
        <f t="shared" si="1"/>
        <v>12593.22</v>
      </c>
      <c r="F1940" s="23"/>
      <c r="G1940" s="21">
        <f t="shared" si="8"/>
        <v>318539.46</v>
      </c>
      <c r="H1940" s="23"/>
      <c r="I1940" s="21">
        <f t="shared" si="15"/>
        <v>781.68</v>
      </c>
      <c r="J1940" s="23"/>
      <c r="K1940" s="21">
        <f t="shared" si="13"/>
        <v>204430.28</v>
      </c>
      <c r="L1940" s="23"/>
      <c r="M1940" s="21">
        <f t="shared" si="16"/>
        <v>1894.93</v>
      </c>
    </row>
    <row r="1941" ht="20.25" customHeight="1" outlineLevel="1">
      <c r="A1941" s="12"/>
      <c r="B1941" s="13"/>
      <c r="C1941" s="87"/>
      <c r="D1941" s="20"/>
      <c r="E1941" s="21">
        <f t="shared" si="1"/>
        <v>12593.22</v>
      </c>
      <c r="F1941" s="23"/>
      <c r="G1941" s="21">
        <f t="shared" si="8"/>
        <v>318539.46</v>
      </c>
      <c r="H1941" s="23"/>
      <c r="I1941" s="21">
        <f t="shared" si="15"/>
        <v>781.68</v>
      </c>
      <c r="J1941" s="23"/>
      <c r="K1941" s="21">
        <f t="shared" si="13"/>
        <v>204430.28</v>
      </c>
      <c r="L1941" s="23"/>
      <c r="M1941" s="21">
        <f t="shared" si="16"/>
        <v>1894.93</v>
      </c>
    </row>
    <row r="1942" ht="20.25" customHeight="1" outlineLevel="1">
      <c r="A1942" s="12"/>
      <c r="B1942" s="13"/>
      <c r="C1942" s="87"/>
      <c r="D1942" s="20"/>
      <c r="E1942" s="21">
        <f t="shared" si="1"/>
        <v>12593.22</v>
      </c>
      <c r="F1942" s="23"/>
      <c r="G1942" s="21">
        <f t="shared" si="8"/>
        <v>318539.46</v>
      </c>
      <c r="H1942" s="23"/>
      <c r="I1942" s="21">
        <f t="shared" si="15"/>
        <v>781.68</v>
      </c>
      <c r="J1942" s="23"/>
      <c r="K1942" s="21">
        <f t="shared" si="13"/>
        <v>204430.28</v>
      </c>
      <c r="L1942" s="23"/>
      <c r="M1942" s="21">
        <f t="shared" si="16"/>
        <v>1894.93</v>
      </c>
    </row>
    <row r="1943" ht="20.25" customHeight="1" outlineLevel="1">
      <c r="A1943" s="12"/>
      <c r="B1943" s="13"/>
      <c r="C1943" s="87"/>
      <c r="D1943" s="20"/>
      <c r="E1943" s="21">
        <f t="shared" si="1"/>
        <v>12593.22</v>
      </c>
      <c r="F1943" s="23"/>
      <c r="G1943" s="21">
        <f t="shared" si="8"/>
        <v>318539.46</v>
      </c>
      <c r="H1943" s="23"/>
      <c r="I1943" s="21">
        <f t="shared" si="15"/>
        <v>781.68</v>
      </c>
      <c r="J1943" s="23"/>
      <c r="K1943" s="21">
        <f t="shared" si="13"/>
        <v>204430.28</v>
      </c>
      <c r="L1943" s="23"/>
      <c r="M1943" s="21">
        <f t="shared" si="16"/>
        <v>1894.93</v>
      </c>
    </row>
    <row r="1944" ht="20.25" customHeight="1" outlineLevel="1">
      <c r="A1944" s="12"/>
      <c r="B1944" s="13"/>
      <c r="C1944" s="85"/>
      <c r="D1944" s="20"/>
      <c r="E1944" s="21">
        <f t="shared" si="1"/>
        <v>12593.22</v>
      </c>
      <c r="F1944" s="23"/>
      <c r="G1944" s="21">
        <f t="shared" si="8"/>
        <v>318539.46</v>
      </c>
      <c r="H1944" s="23"/>
      <c r="I1944" s="21">
        <f t="shared" si="15"/>
        <v>781.68</v>
      </c>
      <c r="J1944" s="23"/>
      <c r="K1944" s="21">
        <f t="shared" si="13"/>
        <v>204430.28</v>
      </c>
      <c r="L1944" s="23"/>
      <c r="M1944" s="21">
        <f t="shared" si="16"/>
        <v>1894.93</v>
      </c>
    </row>
    <row r="1945" ht="20.25" customHeight="1" outlineLevel="1">
      <c r="A1945" s="12"/>
      <c r="B1945" s="13"/>
      <c r="C1945" s="85"/>
      <c r="D1945" s="20"/>
      <c r="E1945" s="21">
        <f t="shared" si="1"/>
        <v>12593.22</v>
      </c>
      <c r="F1945" s="23"/>
      <c r="G1945" s="21">
        <f t="shared" si="8"/>
        <v>318539.46</v>
      </c>
      <c r="H1945" s="23"/>
      <c r="I1945" s="21">
        <f t="shared" si="15"/>
        <v>781.68</v>
      </c>
      <c r="J1945" s="23"/>
      <c r="K1945" s="21">
        <f t="shared" si="13"/>
        <v>204430.28</v>
      </c>
      <c r="L1945" s="23"/>
      <c r="M1945" s="21">
        <f t="shared" si="16"/>
        <v>1894.93</v>
      </c>
    </row>
    <row r="1946" ht="20.25" customHeight="1" outlineLevel="1">
      <c r="A1946" s="12"/>
      <c r="B1946" s="13"/>
      <c r="C1946" s="85"/>
      <c r="D1946" s="20"/>
      <c r="E1946" s="21">
        <f t="shared" si="1"/>
        <v>12593.22</v>
      </c>
      <c r="F1946" s="23"/>
      <c r="G1946" s="21">
        <f t="shared" si="8"/>
        <v>318539.46</v>
      </c>
      <c r="H1946" s="23"/>
      <c r="I1946" s="21">
        <f t="shared" si="15"/>
        <v>781.68</v>
      </c>
      <c r="J1946" s="23"/>
      <c r="K1946" s="21">
        <f t="shared" si="13"/>
        <v>204430.28</v>
      </c>
      <c r="L1946" s="23"/>
      <c r="M1946" s="21">
        <f t="shared" si="16"/>
        <v>1894.93</v>
      </c>
    </row>
    <row r="1947" ht="20.25" customHeight="1" outlineLevel="1">
      <c r="A1947" s="12"/>
      <c r="B1947" s="13"/>
      <c r="C1947" s="87"/>
      <c r="D1947" s="20"/>
      <c r="E1947" s="21">
        <f t="shared" si="1"/>
        <v>12593.22</v>
      </c>
      <c r="F1947" s="23"/>
      <c r="G1947" s="21">
        <f t="shared" si="8"/>
        <v>318539.46</v>
      </c>
      <c r="H1947" s="23"/>
      <c r="I1947" s="21">
        <f t="shared" si="15"/>
        <v>781.68</v>
      </c>
      <c r="J1947" s="23"/>
      <c r="K1947" s="21">
        <f t="shared" si="13"/>
        <v>204430.28</v>
      </c>
      <c r="L1947" s="23"/>
      <c r="M1947" s="21">
        <f t="shared" si="16"/>
        <v>1894.93</v>
      </c>
    </row>
    <row r="1948" ht="20.25" customHeight="1" outlineLevel="1">
      <c r="A1948" s="12"/>
      <c r="B1948" s="13"/>
      <c r="C1948" s="87"/>
      <c r="D1948" s="20"/>
      <c r="E1948" s="21">
        <f t="shared" si="1"/>
        <v>12593.22</v>
      </c>
      <c r="F1948" s="23"/>
      <c r="G1948" s="21">
        <f t="shared" si="8"/>
        <v>318539.46</v>
      </c>
      <c r="H1948" s="23"/>
      <c r="I1948" s="21">
        <f t="shared" si="15"/>
        <v>781.68</v>
      </c>
      <c r="J1948" s="23"/>
      <c r="K1948" s="21">
        <f t="shared" si="13"/>
        <v>204430.28</v>
      </c>
      <c r="L1948" s="23"/>
      <c r="M1948" s="21">
        <f t="shared" si="16"/>
        <v>1894.93</v>
      </c>
    </row>
    <row r="1949" ht="20.25" customHeight="1" outlineLevel="1">
      <c r="A1949" s="12"/>
      <c r="B1949" s="13"/>
      <c r="C1949" s="85"/>
      <c r="D1949" s="20"/>
      <c r="E1949" s="21">
        <f t="shared" si="1"/>
        <v>12593.22</v>
      </c>
      <c r="F1949" s="23"/>
      <c r="G1949" s="21">
        <f t="shared" si="8"/>
        <v>318539.46</v>
      </c>
      <c r="H1949" s="23"/>
      <c r="I1949" s="21">
        <f t="shared" si="15"/>
        <v>781.68</v>
      </c>
      <c r="J1949" s="23"/>
      <c r="K1949" s="21">
        <f t="shared" si="13"/>
        <v>204430.28</v>
      </c>
      <c r="L1949" s="23"/>
      <c r="M1949" s="21">
        <f t="shared" si="16"/>
        <v>1894.93</v>
      </c>
    </row>
    <row r="1950" ht="20.25" customHeight="1" outlineLevel="1">
      <c r="A1950" s="12"/>
      <c r="B1950" s="13"/>
      <c r="C1950" s="85"/>
      <c r="D1950" s="20"/>
      <c r="E1950" s="21">
        <f t="shared" si="1"/>
        <v>12593.22</v>
      </c>
      <c r="F1950" s="23"/>
      <c r="G1950" s="21">
        <f t="shared" si="8"/>
        <v>318539.46</v>
      </c>
      <c r="H1950" s="23"/>
      <c r="I1950" s="21">
        <f t="shared" si="15"/>
        <v>781.68</v>
      </c>
      <c r="J1950" s="23"/>
      <c r="K1950" s="21">
        <f t="shared" si="13"/>
        <v>204430.28</v>
      </c>
      <c r="L1950" s="23"/>
      <c r="M1950" s="21">
        <f t="shared" si="16"/>
        <v>1894.93</v>
      </c>
    </row>
    <row r="1951" ht="20.25" customHeight="1" outlineLevel="1">
      <c r="A1951" s="12"/>
      <c r="B1951" s="13"/>
      <c r="C1951" s="85"/>
      <c r="D1951" s="20"/>
      <c r="E1951" s="21">
        <f t="shared" si="1"/>
        <v>12593.22</v>
      </c>
      <c r="F1951" s="23"/>
      <c r="G1951" s="21">
        <f t="shared" si="8"/>
        <v>318539.46</v>
      </c>
      <c r="H1951" s="23"/>
      <c r="I1951" s="21">
        <f t="shared" si="15"/>
        <v>781.68</v>
      </c>
      <c r="J1951" s="23"/>
      <c r="K1951" s="21">
        <f t="shared" si="13"/>
        <v>204430.28</v>
      </c>
      <c r="L1951" s="23"/>
      <c r="M1951" s="21">
        <f t="shared" si="16"/>
        <v>1894.93</v>
      </c>
    </row>
    <row r="1952" ht="20.25" customHeight="1" outlineLevel="1">
      <c r="A1952" s="12"/>
      <c r="B1952" s="13"/>
      <c r="C1952" s="85"/>
      <c r="D1952" s="20"/>
      <c r="E1952" s="21">
        <f t="shared" si="1"/>
        <v>12593.22</v>
      </c>
      <c r="F1952" s="23"/>
      <c r="G1952" s="21">
        <f t="shared" si="8"/>
        <v>318539.46</v>
      </c>
      <c r="H1952" s="23"/>
      <c r="I1952" s="21">
        <f t="shared" si="15"/>
        <v>781.68</v>
      </c>
      <c r="J1952" s="23"/>
      <c r="K1952" s="21">
        <f t="shared" si="13"/>
        <v>204430.28</v>
      </c>
      <c r="L1952" s="23"/>
      <c r="M1952" s="21">
        <f t="shared" si="16"/>
        <v>1894.93</v>
      </c>
    </row>
    <row r="1953" ht="20.25" customHeight="1" outlineLevel="1">
      <c r="A1953" s="12"/>
      <c r="B1953" s="13"/>
      <c r="C1953" s="85"/>
      <c r="D1953" s="20"/>
      <c r="E1953" s="21">
        <f t="shared" si="1"/>
        <v>12593.22</v>
      </c>
      <c r="F1953" s="23"/>
      <c r="G1953" s="21">
        <f t="shared" si="8"/>
        <v>318539.46</v>
      </c>
      <c r="H1953" s="23"/>
      <c r="I1953" s="21">
        <f t="shared" si="15"/>
        <v>781.68</v>
      </c>
      <c r="J1953" s="23"/>
      <c r="K1953" s="21">
        <f t="shared" si="13"/>
        <v>204430.28</v>
      </c>
      <c r="L1953" s="23"/>
      <c r="M1953" s="21">
        <f t="shared" si="16"/>
        <v>1894.93</v>
      </c>
    </row>
    <row r="1954" ht="20.25" customHeight="1" outlineLevel="1">
      <c r="A1954" s="12"/>
      <c r="B1954" s="13"/>
      <c r="C1954" s="85"/>
      <c r="D1954" s="20"/>
      <c r="E1954" s="21">
        <f t="shared" si="1"/>
        <v>12593.22</v>
      </c>
      <c r="F1954" s="23"/>
      <c r="G1954" s="21">
        <f t="shared" si="8"/>
        <v>318539.46</v>
      </c>
      <c r="H1954" s="23"/>
      <c r="I1954" s="21">
        <f t="shared" si="15"/>
        <v>781.68</v>
      </c>
      <c r="J1954" s="23"/>
      <c r="K1954" s="21">
        <f t="shared" si="13"/>
        <v>204430.28</v>
      </c>
      <c r="L1954" s="23"/>
      <c r="M1954" s="21">
        <f t="shared" si="16"/>
        <v>1894.93</v>
      </c>
    </row>
    <row r="1955" ht="20.25" customHeight="1" outlineLevel="1">
      <c r="A1955" s="12"/>
      <c r="B1955" s="13"/>
      <c r="C1955" s="85"/>
      <c r="D1955" s="20"/>
      <c r="E1955" s="21">
        <f t="shared" si="1"/>
        <v>12593.22</v>
      </c>
      <c r="F1955" s="23"/>
      <c r="G1955" s="21">
        <f t="shared" si="8"/>
        <v>318539.46</v>
      </c>
      <c r="H1955" s="23"/>
      <c r="I1955" s="21">
        <f t="shared" si="15"/>
        <v>781.68</v>
      </c>
      <c r="J1955" s="23"/>
      <c r="K1955" s="21">
        <f t="shared" si="13"/>
        <v>204430.28</v>
      </c>
      <c r="L1955" s="23"/>
      <c r="M1955" s="21">
        <f t="shared" si="16"/>
        <v>1894.93</v>
      </c>
    </row>
    <row r="1956" ht="20.25" customHeight="1" outlineLevel="1">
      <c r="A1956" s="12"/>
      <c r="B1956" s="13"/>
      <c r="C1956" s="85"/>
      <c r="D1956" s="20"/>
      <c r="E1956" s="21">
        <f t="shared" si="1"/>
        <v>12593.22</v>
      </c>
      <c r="F1956" s="23"/>
      <c r="G1956" s="21">
        <f t="shared" si="8"/>
        <v>318539.46</v>
      </c>
      <c r="H1956" s="23"/>
      <c r="I1956" s="21">
        <f t="shared" si="15"/>
        <v>781.68</v>
      </c>
      <c r="J1956" s="23"/>
      <c r="K1956" s="21">
        <f t="shared" si="13"/>
        <v>204430.28</v>
      </c>
      <c r="L1956" s="23"/>
      <c r="M1956" s="21">
        <f t="shared" si="16"/>
        <v>1894.93</v>
      </c>
    </row>
    <row r="1957" ht="20.25" customHeight="1" outlineLevel="1">
      <c r="A1957" s="12"/>
      <c r="B1957" s="13"/>
      <c r="C1957" s="85"/>
      <c r="D1957" s="20"/>
      <c r="E1957" s="21">
        <f t="shared" si="1"/>
        <v>12593.22</v>
      </c>
      <c r="F1957" s="23"/>
      <c r="G1957" s="21">
        <f t="shared" si="8"/>
        <v>318539.46</v>
      </c>
      <c r="H1957" s="23"/>
      <c r="I1957" s="21">
        <f t="shared" si="15"/>
        <v>781.68</v>
      </c>
      <c r="J1957" s="23"/>
      <c r="K1957" s="21">
        <f t="shared" si="13"/>
        <v>204430.28</v>
      </c>
      <c r="L1957" s="23"/>
      <c r="M1957" s="21">
        <f t="shared" si="16"/>
        <v>1894.93</v>
      </c>
    </row>
    <row r="1958" ht="20.25" customHeight="1" outlineLevel="1">
      <c r="A1958" s="12"/>
      <c r="B1958" s="13"/>
      <c r="C1958" s="87"/>
      <c r="D1958" s="20"/>
      <c r="E1958" s="21">
        <f t="shared" si="1"/>
        <v>12593.22</v>
      </c>
      <c r="F1958" s="23"/>
      <c r="G1958" s="21">
        <f t="shared" si="8"/>
        <v>318539.46</v>
      </c>
      <c r="H1958" s="23"/>
      <c r="I1958" s="21">
        <f t="shared" si="15"/>
        <v>781.68</v>
      </c>
      <c r="J1958" s="23"/>
      <c r="K1958" s="21">
        <f t="shared" si="13"/>
        <v>204430.28</v>
      </c>
      <c r="L1958" s="23"/>
      <c r="M1958" s="21">
        <f t="shared" si="16"/>
        <v>1894.93</v>
      </c>
    </row>
    <row r="1959" ht="20.25" customHeight="1" outlineLevel="1">
      <c r="A1959" s="12"/>
      <c r="B1959" s="13"/>
      <c r="C1959" s="87"/>
      <c r="D1959" s="20"/>
      <c r="E1959" s="21">
        <f t="shared" si="1"/>
        <v>12593.22</v>
      </c>
      <c r="F1959" s="23"/>
      <c r="G1959" s="21">
        <f t="shared" si="8"/>
        <v>318539.46</v>
      </c>
      <c r="H1959" s="23"/>
      <c r="I1959" s="21">
        <f t="shared" si="15"/>
        <v>781.68</v>
      </c>
      <c r="J1959" s="23"/>
      <c r="K1959" s="21">
        <f t="shared" si="13"/>
        <v>204430.28</v>
      </c>
      <c r="L1959" s="23"/>
      <c r="M1959" s="21">
        <f t="shared" si="16"/>
        <v>1894.93</v>
      </c>
    </row>
    <row r="1960" ht="20.25" customHeight="1" outlineLevel="1">
      <c r="A1960" s="12"/>
      <c r="B1960" s="13"/>
      <c r="C1960" s="87"/>
      <c r="D1960" s="20"/>
      <c r="E1960" s="21">
        <f t="shared" si="1"/>
        <v>12593.22</v>
      </c>
      <c r="F1960" s="23"/>
      <c r="G1960" s="21">
        <f t="shared" si="8"/>
        <v>318539.46</v>
      </c>
      <c r="H1960" s="23"/>
      <c r="I1960" s="21">
        <f t="shared" si="15"/>
        <v>781.68</v>
      </c>
      <c r="J1960" s="23"/>
      <c r="K1960" s="21">
        <f t="shared" si="13"/>
        <v>204430.28</v>
      </c>
      <c r="L1960" s="23"/>
      <c r="M1960" s="21">
        <f t="shared" si="16"/>
        <v>1894.93</v>
      </c>
    </row>
    <row r="1961" ht="20.25" customHeight="1" outlineLevel="1">
      <c r="A1961" s="12"/>
      <c r="B1961" s="13"/>
      <c r="C1961" s="87"/>
      <c r="D1961" s="20"/>
      <c r="E1961" s="21">
        <f t="shared" si="1"/>
        <v>12593.22</v>
      </c>
      <c r="F1961" s="23"/>
      <c r="G1961" s="21">
        <f t="shared" si="8"/>
        <v>318539.46</v>
      </c>
      <c r="H1961" s="23"/>
      <c r="I1961" s="21">
        <f t="shared" si="15"/>
        <v>781.68</v>
      </c>
      <c r="J1961" s="23"/>
      <c r="K1961" s="21">
        <f t="shared" si="13"/>
        <v>204430.28</v>
      </c>
      <c r="L1961" s="23"/>
      <c r="M1961" s="21">
        <f t="shared" si="16"/>
        <v>1894.93</v>
      </c>
    </row>
    <row r="1962" ht="20.25" customHeight="1" outlineLevel="1">
      <c r="A1962" s="12"/>
      <c r="B1962" s="13"/>
      <c r="C1962" s="87"/>
      <c r="D1962" s="20"/>
      <c r="E1962" s="21">
        <f t="shared" si="1"/>
        <v>12593.22</v>
      </c>
      <c r="F1962" s="23"/>
      <c r="G1962" s="21">
        <f t="shared" si="8"/>
        <v>318539.46</v>
      </c>
      <c r="H1962" s="23"/>
      <c r="I1962" s="21">
        <f t="shared" si="15"/>
        <v>781.68</v>
      </c>
      <c r="J1962" s="23"/>
      <c r="K1962" s="21">
        <f t="shared" si="13"/>
        <v>204430.28</v>
      </c>
      <c r="L1962" s="23"/>
      <c r="M1962" s="21">
        <f t="shared" si="16"/>
        <v>1894.93</v>
      </c>
    </row>
    <row r="1963" ht="20.25" customHeight="1" outlineLevel="1">
      <c r="A1963" s="12"/>
      <c r="B1963" s="13"/>
      <c r="C1963" s="85"/>
      <c r="D1963" s="20"/>
      <c r="E1963" s="21">
        <f t="shared" si="1"/>
        <v>12593.22</v>
      </c>
      <c r="F1963" s="23"/>
      <c r="G1963" s="21">
        <f t="shared" si="8"/>
        <v>318539.46</v>
      </c>
      <c r="H1963" s="23"/>
      <c r="I1963" s="21">
        <f t="shared" si="15"/>
        <v>781.68</v>
      </c>
      <c r="J1963" s="23"/>
      <c r="K1963" s="21">
        <f t="shared" si="13"/>
        <v>204430.28</v>
      </c>
      <c r="L1963" s="23"/>
      <c r="M1963" s="21">
        <f t="shared" si="16"/>
        <v>1894.93</v>
      </c>
    </row>
    <row r="1964" ht="20.25" customHeight="1" outlineLevel="1">
      <c r="A1964" s="12"/>
      <c r="B1964" s="13"/>
      <c r="C1964" s="85"/>
      <c r="D1964" s="20"/>
      <c r="E1964" s="21">
        <f t="shared" si="1"/>
        <v>12593.22</v>
      </c>
      <c r="F1964" s="23"/>
      <c r="G1964" s="21">
        <f t="shared" si="8"/>
        <v>318539.46</v>
      </c>
      <c r="H1964" s="23"/>
      <c r="I1964" s="21">
        <f t="shared" si="15"/>
        <v>781.68</v>
      </c>
      <c r="J1964" s="23"/>
      <c r="K1964" s="21">
        <f t="shared" si="13"/>
        <v>204430.28</v>
      </c>
      <c r="L1964" s="23"/>
      <c r="M1964" s="21">
        <f t="shared" si="16"/>
        <v>1894.93</v>
      </c>
    </row>
    <row r="1965" ht="20.25" customHeight="1" outlineLevel="1">
      <c r="A1965" s="12"/>
      <c r="B1965" s="13"/>
      <c r="C1965" s="85"/>
      <c r="D1965" s="20"/>
      <c r="E1965" s="21">
        <f t="shared" si="1"/>
        <v>12593.22</v>
      </c>
      <c r="F1965" s="23"/>
      <c r="G1965" s="21">
        <f t="shared" si="8"/>
        <v>318539.46</v>
      </c>
      <c r="H1965" s="23"/>
      <c r="I1965" s="21">
        <f t="shared" si="15"/>
        <v>781.68</v>
      </c>
      <c r="J1965" s="23"/>
      <c r="K1965" s="21">
        <f t="shared" si="13"/>
        <v>204430.28</v>
      </c>
      <c r="L1965" s="23"/>
      <c r="M1965" s="21">
        <f t="shared" si="16"/>
        <v>1894.93</v>
      </c>
    </row>
    <row r="1966" ht="20.25" customHeight="1" outlineLevel="1">
      <c r="A1966" s="12"/>
      <c r="B1966" s="13"/>
      <c r="C1966" s="85"/>
      <c r="D1966" s="20"/>
      <c r="E1966" s="21">
        <f t="shared" si="1"/>
        <v>12593.22</v>
      </c>
      <c r="F1966" s="23"/>
      <c r="G1966" s="21">
        <f t="shared" si="8"/>
        <v>318539.46</v>
      </c>
      <c r="H1966" s="23"/>
      <c r="I1966" s="21">
        <f t="shared" si="15"/>
        <v>781.68</v>
      </c>
      <c r="J1966" s="23"/>
      <c r="K1966" s="21">
        <f t="shared" si="13"/>
        <v>204430.28</v>
      </c>
      <c r="L1966" s="23"/>
      <c r="M1966" s="21">
        <f t="shared" si="16"/>
        <v>1894.93</v>
      </c>
    </row>
    <row r="1967" ht="20.25" customHeight="1" outlineLevel="1">
      <c r="A1967" s="12"/>
      <c r="B1967" s="13"/>
      <c r="C1967" s="85"/>
      <c r="D1967" s="20"/>
      <c r="E1967" s="21">
        <f t="shared" si="1"/>
        <v>12593.22</v>
      </c>
      <c r="F1967" s="23"/>
      <c r="G1967" s="21">
        <f t="shared" si="8"/>
        <v>318539.46</v>
      </c>
      <c r="H1967" s="23"/>
      <c r="I1967" s="21">
        <f t="shared" si="15"/>
        <v>781.68</v>
      </c>
      <c r="J1967" s="23"/>
      <c r="K1967" s="21">
        <f t="shared" si="13"/>
        <v>204430.28</v>
      </c>
      <c r="L1967" s="23"/>
      <c r="M1967" s="21">
        <f t="shared" si="16"/>
        <v>1894.93</v>
      </c>
    </row>
    <row r="1968" ht="20.25" customHeight="1" outlineLevel="1">
      <c r="A1968" s="12"/>
      <c r="B1968" s="13"/>
      <c r="C1968" s="85"/>
      <c r="D1968" s="20"/>
      <c r="E1968" s="21">
        <f t="shared" si="1"/>
        <v>12593.22</v>
      </c>
      <c r="F1968" s="23"/>
      <c r="G1968" s="21">
        <f t="shared" si="8"/>
        <v>318539.46</v>
      </c>
      <c r="H1968" s="23"/>
      <c r="I1968" s="21">
        <f t="shared" si="15"/>
        <v>781.68</v>
      </c>
      <c r="J1968" s="23"/>
      <c r="K1968" s="21">
        <f t="shared" si="13"/>
        <v>204430.28</v>
      </c>
      <c r="L1968" s="23"/>
      <c r="M1968" s="21">
        <f t="shared" si="16"/>
        <v>1894.93</v>
      </c>
    </row>
    <row r="1969" ht="20.25" customHeight="1" outlineLevel="1">
      <c r="A1969" s="12"/>
      <c r="B1969" s="13"/>
      <c r="C1969" s="85"/>
      <c r="D1969" s="20"/>
      <c r="E1969" s="21">
        <f t="shared" si="1"/>
        <v>12593.22</v>
      </c>
      <c r="F1969" s="23"/>
      <c r="G1969" s="21">
        <f t="shared" si="8"/>
        <v>318539.46</v>
      </c>
      <c r="H1969" s="23"/>
      <c r="I1969" s="21">
        <f t="shared" si="15"/>
        <v>781.68</v>
      </c>
      <c r="J1969" s="23"/>
      <c r="K1969" s="21">
        <f t="shared" si="13"/>
        <v>204430.28</v>
      </c>
      <c r="L1969" s="23"/>
      <c r="M1969" s="21">
        <f t="shared" si="16"/>
        <v>1894.93</v>
      </c>
    </row>
    <row r="1970" ht="20.25" customHeight="1" outlineLevel="1">
      <c r="A1970" s="12"/>
      <c r="B1970" s="13"/>
      <c r="C1970" s="85"/>
      <c r="D1970" s="20"/>
      <c r="E1970" s="21">
        <f t="shared" si="1"/>
        <v>12593.22</v>
      </c>
      <c r="F1970" s="23"/>
      <c r="G1970" s="21">
        <f t="shared" si="8"/>
        <v>318539.46</v>
      </c>
      <c r="H1970" s="23"/>
      <c r="I1970" s="21">
        <f t="shared" si="15"/>
        <v>781.68</v>
      </c>
      <c r="J1970" s="23"/>
      <c r="K1970" s="21">
        <f t="shared" si="13"/>
        <v>204430.28</v>
      </c>
      <c r="L1970" s="23"/>
      <c r="M1970" s="21">
        <f t="shared" si="16"/>
        <v>1894.93</v>
      </c>
    </row>
    <row r="1971" ht="20.25" customHeight="1" outlineLevel="1">
      <c r="A1971" s="12"/>
      <c r="B1971" s="13"/>
      <c r="C1971" s="85"/>
      <c r="D1971" s="20"/>
      <c r="E1971" s="21">
        <f t="shared" si="1"/>
        <v>12593.22</v>
      </c>
      <c r="F1971" s="23"/>
      <c r="G1971" s="21">
        <f t="shared" si="8"/>
        <v>318539.46</v>
      </c>
      <c r="H1971" s="23"/>
      <c r="I1971" s="21">
        <f t="shared" si="15"/>
        <v>781.68</v>
      </c>
      <c r="J1971" s="23"/>
      <c r="K1971" s="21">
        <f t="shared" si="13"/>
        <v>204430.28</v>
      </c>
      <c r="L1971" s="23"/>
      <c r="M1971" s="21">
        <f t="shared" si="16"/>
        <v>1894.93</v>
      </c>
    </row>
    <row r="1972" ht="20.25" customHeight="1" outlineLevel="1">
      <c r="A1972" s="12"/>
      <c r="B1972" s="13"/>
      <c r="C1972" s="85"/>
      <c r="D1972" s="20"/>
      <c r="E1972" s="21">
        <f t="shared" si="1"/>
        <v>12593.22</v>
      </c>
      <c r="F1972" s="23"/>
      <c r="G1972" s="21">
        <f t="shared" si="8"/>
        <v>318539.46</v>
      </c>
      <c r="H1972" s="23"/>
      <c r="I1972" s="21">
        <f t="shared" si="15"/>
        <v>781.68</v>
      </c>
      <c r="J1972" s="23"/>
      <c r="K1972" s="21">
        <f t="shared" si="13"/>
        <v>204430.28</v>
      </c>
      <c r="L1972" s="23"/>
      <c r="M1972" s="21">
        <f t="shared" si="16"/>
        <v>1894.93</v>
      </c>
    </row>
    <row r="1973" ht="20.25" customHeight="1" outlineLevel="1">
      <c r="A1973" s="12"/>
      <c r="B1973" s="13"/>
      <c r="C1973" s="85"/>
      <c r="D1973" s="20"/>
      <c r="E1973" s="21">
        <f t="shared" si="1"/>
        <v>12593.22</v>
      </c>
      <c r="F1973" s="23"/>
      <c r="G1973" s="21">
        <f t="shared" si="8"/>
        <v>318539.46</v>
      </c>
      <c r="H1973" s="23"/>
      <c r="I1973" s="21">
        <f t="shared" si="15"/>
        <v>781.68</v>
      </c>
      <c r="J1973" s="23"/>
      <c r="K1973" s="21">
        <f t="shared" si="13"/>
        <v>204430.28</v>
      </c>
      <c r="L1973" s="23"/>
      <c r="M1973" s="21">
        <f t="shared" si="16"/>
        <v>1894.93</v>
      </c>
    </row>
    <row r="1974" ht="20.25" customHeight="1" outlineLevel="1">
      <c r="A1974" s="12"/>
      <c r="B1974" s="13"/>
      <c r="C1974" s="85"/>
      <c r="D1974" s="20"/>
      <c r="E1974" s="21">
        <f t="shared" si="1"/>
        <v>12593.22</v>
      </c>
      <c r="F1974" s="23"/>
      <c r="G1974" s="21">
        <f t="shared" si="8"/>
        <v>318539.46</v>
      </c>
      <c r="H1974" s="23"/>
      <c r="I1974" s="21">
        <f t="shared" si="15"/>
        <v>781.68</v>
      </c>
      <c r="J1974" s="23"/>
      <c r="K1974" s="21">
        <f t="shared" si="13"/>
        <v>204430.28</v>
      </c>
      <c r="L1974" s="23"/>
      <c r="M1974" s="21">
        <f t="shared" si="16"/>
        <v>1894.93</v>
      </c>
    </row>
    <row r="1975" ht="20.25" customHeight="1" outlineLevel="1">
      <c r="A1975" s="12"/>
      <c r="B1975" s="13"/>
      <c r="C1975" s="85"/>
      <c r="D1975" s="20"/>
      <c r="E1975" s="21">
        <f t="shared" si="1"/>
        <v>12593.22</v>
      </c>
      <c r="F1975" s="23"/>
      <c r="G1975" s="21">
        <f t="shared" si="8"/>
        <v>318539.46</v>
      </c>
      <c r="H1975" s="23"/>
      <c r="I1975" s="21">
        <f t="shared" si="15"/>
        <v>781.68</v>
      </c>
      <c r="J1975" s="23"/>
      <c r="K1975" s="21">
        <f t="shared" si="13"/>
        <v>204430.28</v>
      </c>
      <c r="L1975" s="23"/>
      <c r="M1975" s="21">
        <f t="shared" si="16"/>
        <v>1894.93</v>
      </c>
    </row>
    <row r="1976" ht="20.25" customHeight="1" outlineLevel="1">
      <c r="A1976" s="12"/>
      <c r="B1976" s="13"/>
      <c r="C1976" s="85"/>
      <c r="D1976" s="20"/>
      <c r="E1976" s="21">
        <f t="shared" si="1"/>
        <v>12593.22</v>
      </c>
      <c r="F1976" s="23"/>
      <c r="G1976" s="21">
        <f t="shared" si="8"/>
        <v>318539.46</v>
      </c>
      <c r="H1976" s="23"/>
      <c r="I1976" s="21">
        <f t="shared" si="15"/>
        <v>781.68</v>
      </c>
      <c r="J1976" s="23"/>
      <c r="K1976" s="21">
        <f t="shared" si="13"/>
        <v>204430.28</v>
      </c>
      <c r="L1976" s="23"/>
      <c r="M1976" s="21">
        <f t="shared" si="16"/>
        <v>1894.93</v>
      </c>
    </row>
    <row r="1977" ht="20.25" customHeight="1" outlineLevel="1">
      <c r="A1977" s="12"/>
      <c r="B1977" s="13"/>
      <c r="C1977" s="85"/>
      <c r="D1977" s="20"/>
      <c r="E1977" s="21">
        <f t="shared" si="1"/>
        <v>12593.22</v>
      </c>
      <c r="F1977" s="23"/>
      <c r="G1977" s="21">
        <f t="shared" si="8"/>
        <v>318539.46</v>
      </c>
      <c r="H1977" s="23"/>
      <c r="I1977" s="21">
        <f t="shared" si="15"/>
        <v>781.68</v>
      </c>
      <c r="J1977" s="23"/>
      <c r="K1977" s="21">
        <f t="shared" si="13"/>
        <v>204430.28</v>
      </c>
      <c r="L1977" s="23"/>
      <c r="M1977" s="21">
        <f t="shared" si="16"/>
        <v>1894.93</v>
      </c>
    </row>
    <row r="1978" ht="20.25" customHeight="1" outlineLevel="1">
      <c r="A1978" s="12"/>
      <c r="B1978" s="13"/>
      <c r="C1978" s="85"/>
      <c r="D1978" s="20"/>
      <c r="E1978" s="21">
        <f t="shared" si="1"/>
        <v>12593.22</v>
      </c>
      <c r="F1978" s="23"/>
      <c r="G1978" s="21">
        <f t="shared" si="8"/>
        <v>318539.46</v>
      </c>
      <c r="H1978" s="23"/>
      <c r="I1978" s="21">
        <f t="shared" si="15"/>
        <v>781.68</v>
      </c>
      <c r="J1978" s="23"/>
      <c r="K1978" s="21">
        <f t="shared" si="13"/>
        <v>204430.28</v>
      </c>
      <c r="L1978" s="23"/>
      <c r="M1978" s="21">
        <f t="shared" si="16"/>
        <v>1894.93</v>
      </c>
    </row>
    <row r="1979" ht="20.25" customHeight="1" outlineLevel="1">
      <c r="A1979" s="12"/>
      <c r="B1979" s="13"/>
      <c r="C1979" s="85"/>
      <c r="D1979" s="20"/>
      <c r="E1979" s="21">
        <f t="shared" si="1"/>
        <v>12593.22</v>
      </c>
      <c r="F1979" s="23"/>
      <c r="G1979" s="21">
        <f t="shared" si="8"/>
        <v>318539.46</v>
      </c>
      <c r="H1979" s="23"/>
      <c r="I1979" s="21">
        <f t="shared" si="15"/>
        <v>781.68</v>
      </c>
      <c r="J1979" s="23"/>
      <c r="K1979" s="21">
        <f t="shared" si="13"/>
        <v>204430.28</v>
      </c>
      <c r="L1979" s="23"/>
      <c r="M1979" s="21">
        <f t="shared" si="16"/>
        <v>1894.93</v>
      </c>
    </row>
    <row r="1980" ht="20.25" customHeight="1" outlineLevel="1">
      <c r="A1980" s="12"/>
      <c r="B1980" s="13"/>
      <c r="C1980" s="85"/>
      <c r="D1980" s="20"/>
      <c r="E1980" s="21">
        <f t="shared" si="1"/>
        <v>12593.22</v>
      </c>
      <c r="F1980" s="23"/>
      <c r="G1980" s="21">
        <f t="shared" si="8"/>
        <v>318539.46</v>
      </c>
      <c r="H1980" s="23"/>
      <c r="I1980" s="21">
        <f t="shared" si="15"/>
        <v>781.68</v>
      </c>
      <c r="J1980" s="23"/>
      <c r="K1980" s="21">
        <f t="shared" si="13"/>
        <v>204430.28</v>
      </c>
      <c r="L1980" s="23"/>
      <c r="M1980" s="21">
        <f t="shared" si="16"/>
        <v>1894.93</v>
      </c>
    </row>
    <row r="1981" ht="20.25" customHeight="1" outlineLevel="1">
      <c r="A1981" s="12"/>
      <c r="B1981" s="13"/>
      <c r="C1981" s="85"/>
      <c r="D1981" s="20"/>
      <c r="E1981" s="21">
        <f t="shared" si="1"/>
        <v>12593.22</v>
      </c>
      <c r="F1981" s="23"/>
      <c r="G1981" s="21">
        <f t="shared" si="8"/>
        <v>318539.46</v>
      </c>
      <c r="H1981" s="23"/>
      <c r="I1981" s="21">
        <f t="shared" si="15"/>
        <v>781.68</v>
      </c>
      <c r="J1981" s="23"/>
      <c r="K1981" s="21">
        <f t="shared" si="13"/>
        <v>204430.28</v>
      </c>
      <c r="L1981" s="23"/>
      <c r="M1981" s="21">
        <f t="shared" si="16"/>
        <v>1894.93</v>
      </c>
    </row>
    <row r="1982" ht="20.25" customHeight="1" outlineLevel="1">
      <c r="A1982" s="12"/>
      <c r="B1982" s="13"/>
      <c r="C1982" s="85"/>
      <c r="D1982" s="20"/>
      <c r="E1982" s="21">
        <f t="shared" si="1"/>
        <v>12593.22</v>
      </c>
      <c r="F1982" s="23"/>
      <c r="G1982" s="21">
        <f t="shared" si="8"/>
        <v>318539.46</v>
      </c>
      <c r="H1982" s="23"/>
      <c r="I1982" s="21">
        <f t="shared" si="15"/>
        <v>781.68</v>
      </c>
      <c r="J1982" s="23"/>
      <c r="K1982" s="21">
        <f t="shared" si="13"/>
        <v>204430.28</v>
      </c>
      <c r="L1982" s="23"/>
      <c r="M1982" s="21">
        <f t="shared" si="16"/>
        <v>1894.93</v>
      </c>
    </row>
    <row r="1983" ht="20.25" customHeight="1" outlineLevel="1">
      <c r="A1983" s="12"/>
      <c r="B1983" s="13"/>
      <c r="C1983" s="85"/>
      <c r="D1983" s="20"/>
      <c r="E1983" s="21">
        <f t="shared" si="1"/>
        <v>12593.22</v>
      </c>
      <c r="F1983" s="23"/>
      <c r="G1983" s="21">
        <f t="shared" si="8"/>
        <v>318539.46</v>
      </c>
      <c r="H1983" s="23"/>
      <c r="I1983" s="21">
        <f t="shared" si="15"/>
        <v>781.68</v>
      </c>
      <c r="J1983" s="23"/>
      <c r="K1983" s="21">
        <f t="shared" si="13"/>
        <v>204430.28</v>
      </c>
      <c r="L1983" s="23"/>
      <c r="M1983" s="21">
        <f t="shared" si="16"/>
        <v>1894.93</v>
      </c>
    </row>
    <row r="1984" ht="20.25" customHeight="1" outlineLevel="1">
      <c r="A1984" s="12"/>
      <c r="B1984" s="13"/>
      <c r="C1984" s="85"/>
      <c r="D1984" s="20"/>
      <c r="E1984" s="21">
        <f t="shared" si="1"/>
        <v>12593.22</v>
      </c>
      <c r="F1984" s="23"/>
      <c r="G1984" s="21">
        <f t="shared" si="8"/>
        <v>318539.46</v>
      </c>
      <c r="H1984" s="23"/>
      <c r="I1984" s="21">
        <f t="shared" si="15"/>
        <v>781.68</v>
      </c>
      <c r="J1984" s="23"/>
      <c r="K1984" s="21">
        <f t="shared" si="13"/>
        <v>204430.28</v>
      </c>
      <c r="L1984" s="23"/>
      <c r="M1984" s="21">
        <f t="shared" si="16"/>
        <v>1894.93</v>
      </c>
    </row>
    <row r="1985" ht="20.25" customHeight="1" outlineLevel="1">
      <c r="A1985" s="12"/>
      <c r="B1985" s="13"/>
      <c r="C1985" s="85"/>
      <c r="D1985" s="20"/>
      <c r="E1985" s="21">
        <f t="shared" si="1"/>
        <v>12593.22</v>
      </c>
      <c r="F1985" s="23"/>
      <c r="G1985" s="21">
        <f t="shared" si="8"/>
        <v>318539.46</v>
      </c>
      <c r="H1985" s="23"/>
      <c r="I1985" s="21">
        <f t="shared" si="15"/>
        <v>781.68</v>
      </c>
      <c r="J1985" s="23"/>
      <c r="K1985" s="21">
        <f t="shared" si="13"/>
        <v>204430.28</v>
      </c>
      <c r="L1985" s="23"/>
      <c r="M1985" s="21">
        <f t="shared" si="16"/>
        <v>1894.93</v>
      </c>
    </row>
    <row r="1986" ht="20.25" customHeight="1" outlineLevel="1">
      <c r="A1986" s="12"/>
      <c r="B1986" s="13"/>
      <c r="C1986" s="85"/>
      <c r="D1986" s="20"/>
      <c r="E1986" s="21">
        <f t="shared" si="1"/>
        <v>12593.22</v>
      </c>
      <c r="F1986" s="23"/>
      <c r="G1986" s="21">
        <f t="shared" si="8"/>
        <v>318539.46</v>
      </c>
      <c r="H1986" s="23"/>
      <c r="I1986" s="21">
        <f t="shared" si="15"/>
        <v>781.68</v>
      </c>
      <c r="J1986" s="23"/>
      <c r="K1986" s="21">
        <f t="shared" si="13"/>
        <v>204430.28</v>
      </c>
      <c r="L1986" s="23"/>
      <c r="M1986" s="21">
        <f t="shared" si="16"/>
        <v>1894.93</v>
      </c>
    </row>
    <row r="1987" ht="20.25" customHeight="1" outlineLevel="1">
      <c r="A1987" s="12"/>
      <c r="B1987" s="13"/>
      <c r="C1987" s="85"/>
      <c r="D1987" s="20"/>
      <c r="E1987" s="21">
        <f t="shared" si="1"/>
        <v>12593.22</v>
      </c>
      <c r="F1987" s="23"/>
      <c r="G1987" s="21">
        <f t="shared" si="8"/>
        <v>318539.46</v>
      </c>
      <c r="H1987" s="23"/>
      <c r="I1987" s="21">
        <f t="shared" si="15"/>
        <v>781.68</v>
      </c>
      <c r="J1987" s="23"/>
      <c r="K1987" s="21">
        <f t="shared" si="13"/>
        <v>204430.28</v>
      </c>
      <c r="L1987" s="23"/>
      <c r="M1987" s="21">
        <f t="shared" si="16"/>
        <v>1894.93</v>
      </c>
    </row>
    <row r="1988" ht="20.25" customHeight="1" outlineLevel="1">
      <c r="A1988" s="12"/>
      <c r="B1988" s="13"/>
      <c r="C1988" s="85"/>
      <c r="D1988" s="20"/>
      <c r="E1988" s="21">
        <f t="shared" si="1"/>
        <v>12593.22</v>
      </c>
      <c r="F1988" s="23"/>
      <c r="G1988" s="21">
        <f t="shared" si="8"/>
        <v>318539.46</v>
      </c>
      <c r="H1988" s="23"/>
      <c r="I1988" s="21">
        <f t="shared" si="15"/>
        <v>781.68</v>
      </c>
      <c r="J1988" s="23"/>
      <c r="K1988" s="21">
        <f t="shared" si="13"/>
        <v>204430.28</v>
      </c>
      <c r="L1988" s="23"/>
      <c r="M1988" s="21">
        <f t="shared" si="16"/>
        <v>1894.93</v>
      </c>
    </row>
    <row r="1989" ht="20.25" customHeight="1" outlineLevel="1">
      <c r="A1989" s="12"/>
      <c r="B1989" s="13"/>
      <c r="C1989" s="85"/>
      <c r="D1989" s="20"/>
      <c r="E1989" s="21">
        <f t="shared" si="1"/>
        <v>12593.22</v>
      </c>
      <c r="F1989" s="23"/>
      <c r="G1989" s="21">
        <f t="shared" si="8"/>
        <v>318539.46</v>
      </c>
      <c r="H1989" s="23"/>
      <c r="I1989" s="21">
        <f t="shared" si="15"/>
        <v>781.68</v>
      </c>
      <c r="J1989" s="23"/>
      <c r="K1989" s="21">
        <f t="shared" si="13"/>
        <v>204430.28</v>
      </c>
      <c r="L1989" s="23"/>
      <c r="M1989" s="21">
        <f t="shared" si="16"/>
        <v>1894.93</v>
      </c>
    </row>
    <row r="1990" ht="20.25" customHeight="1" outlineLevel="1">
      <c r="A1990" s="12"/>
      <c r="B1990" s="13"/>
      <c r="C1990" s="85"/>
      <c r="D1990" s="20"/>
      <c r="E1990" s="21">
        <f t="shared" si="1"/>
        <v>12593.22</v>
      </c>
      <c r="F1990" s="23"/>
      <c r="G1990" s="21">
        <f t="shared" si="8"/>
        <v>318539.46</v>
      </c>
      <c r="H1990" s="23"/>
      <c r="I1990" s="21">
        <f t="shared" si="15"/>
        <v>781.68</v>
      </c>
      <c r="J1990" s="23"/>
      <c r="K1990" s="21">
        <f t="shared" si="13"/>
        <v>204430.28</v>
      </c>
      <c r="L1990" s="23"/>
      <c r="M1990" s="21">
        <f t="shared" si="16"/>
        <v>1894.93</v>
      </c>
    </row>
    <row r="1991" ht="20.25" customHeight="1" outlineLevel="1">
      <c r="A1991" s="12"/>
      <c r="B1991" s="13"/>
      <c r="C1991" s="85"/>
      <c r="D1991" s="20"/>
      <c r="E1991" s="21">
        <f t="shared" si="1"/>
        <v>12593.22</v>
      </c>
      <c r="F1991" s="23"/>
      <c r="G1991" s="21">
        <f t="shared" si="8"/>
        <v>318539.46</v>
      </c>
      <c r="H1991" s="23"/>
      <c r="I1991" s="21">
        <f t="shared" si="15"/>
        <v>781.68</v>
      </c>
      <c r="J1991" s="23"/>
      <c r="K1991" s="21">
        <f t="shared" si="13"/>
        <v>204430.28</v>
      </c>
      <c r="L1991" s="23"/>
      <c r="M1991" s="21">
        <f t="shared" si="16"/>
        <v>1894.93</v>
      </c>
    </row>
    <row r="1992" ht="20.25" customHeight="1" outlineLevel="1">
      <c r="A1992" s="12"/>
      <c r="B1992" s="13"/>
      <c r="C1992" s="85"/>
      <c r="D1992" s="20"/>
      <c r="E1992" s="21">
        <f t="shared" si="1"/>
        <v>12593.22</v>
      </c>
      <c r="F1992" s="23"/>
      <c r="G1992" s="21">
        <f t="shared" si="8"/>
        <v>318539.46</v>
      </c>
      <c r="H1992" s="23"/>
      <c r="I1992" s="21">
        <f t="shared" si="15"/>
        <v>781.68</v>
      </c>
      <c r="J1992" s="23"/>
      <c r="K1992" s="21">
        <f t="shared" si="13"/>
        <v>204430.28</v>
      </c>
      <c r="L1992" s="23"/>
      <c r="M1992" s="21">
        <f t="shared" si="16"/>
        <v>1894.93</v>
      </c>
    </row>
    <row r="1993" ht="20.25" customHeight="1" outlineLevel="1">
      <c r="A1993" s="12"/>
      <c r="B1993" s="13"/>
      <c r="C1993" s="85"/>
      <c r="D1993" s="20"/>
      <c r="E1993" s="21">
        <f t="shared" si="1"/>
        <v>12593.22</v>
      </c>
      <c r="F1993" s="23"/>
      <c r="G1993" s="21">
        <f t="shared" si="8"/>
        <v>318539.46</v>
      </c>
      <c r="H1993" s="23"/>
      <c r="I1993" s="21">
        <f t="shared" si="15"/>
        <v>781.68</v>
      </c>
      <c r="J1993" s="23"/>
      <c r="K1993" s="21">
        <f t="shared" si="13"/>
        <v>204430.28</v>
      </c>
      <c r="L1993" s="23"/>
      <c r="M1993" s="21">
        <f t="shared" si="16"/>
        <v>1894.93</v>
      </c>
    </row>
    <row r="1994" ht="20.25" customHeight="1" outlineLevel="1">
      <c r="A1994" s="12"/>
      <c r="B1994" s="13"/>
      <c r="C1994" s="85"/>
      <c r="D1994" s="20"/>
      <c r="E1994" s="21">
        <f t="shared" si="1"/>
        <v>12593.22</v>
      </c>
      <c r="F1994" s="23"/>
      <c r="G1994" s="21">
        <f t="shared" si="8"/>
        <v>318539.46</v>
      </c>
      <c r="H1994" s="23"/>
      <c r="I1994" s="21">
        <f t="shared" si="15"/>
        <v>781.68</v>
      </c>
      <c r="J1994" s="23"/>
      <c r="K1994" s="21">
        <f t="shared" si="13"/>
        <v>204430.28</v>
      </c>
      <c r="L1994" s="23"/>
      <c r="M1994" s="21">
        <f t="shared" si="16"/>
        <v>1894.93</v>
      </c>
    </row>
    <row r="1995" ht="20.25" customHeight="1" outlineLevel="1">
      <c r="A1995" s="12"/>
      <c r="B1995" s="13"/>
      <c r="C1995" s="85"/>
      <c r="D1995" s="20"/>
      <c r="E1995" s="21">
        <f t="shared" si="1"/>
        <v>12593.22</v>
      </c>
      <c r="F1995" s="23"/>
      <c r="G1995" s="21">
        <f t="shared" si="8"/>
        <v>318539.46</v>
      </c>
      <c r="H1995" s="23"/>
      <c r="I1995" s="21">
        <f t="shared" si="15"/>
        <v>781.68</v>
      </c>
      <c r="J1995" s="23"/>
      <c r="K1995" s="21">
        <f t="shared" si="13"/>
        <v>204430.28</v>
      </c>
      <c r="L1995" s="23"/>
      <c r="M1995" s="21">
        <f t="shared" si="16"/>
        <v>1894.93</v>
      </c>
    </row>
    <row r="1996" ht="20.25" customHeight="1" outlineLevel="1">
      <c r="A1996" s="12"/>
      <c r="B1996" s="13"/>
      <c r="C1996" s="85"/>
      <c r="D1996" s="20"/>
      <c r="E1996" s="21">
        <f t="shared" si="1"/>
        <v>12593.22</v>
      </c>
      <c r="F1996" s="23"/>
      <c r="G1996" s="21">
        <f t="shared" si="8"/>
        <v>318539.46</v>
      </c>
      <c r="H1996" s="23"/>
      <c r="I1996" s="21">
        <f t="shared" si="15"/>
        <v>781.68</v>
      </c>
      <c r="J1996" s="23"/>
      <c r="K1996" s="21">
        <f t="shared" si="13"/>
        <v>204430.28</v>
      </c>
      <c r="L1996" s="23"/>
      <c r="M1996" s="21">
        <f t="shared" si="16"/>
        <v>1894.93</v>
      </c>
    </row>
    <row r="1997" ht="20.25" customHeight="1" outlineLevel="1">
      <c r="A1997" s="12"/>
      <c r="B1997" s="13"/>
      <c r="C1997" s="85"/>
      <c r="D1997" s="20"/>
      <c r="E1997" s="21">
        <f t="shared" si="1"/>
        <v>12593.22</v>
      </c>
      <c r="F1997" s="23"/>
      <c r="G1997" s="21">
        <f t="shared" si="8"/>
        <v>318539.46</v>
      </c>
      <c r="H1997" s="23"/>
      <c r="I1997" s="21">
        <f t="shared" si="15"/>
        <v>781.68</v>
      </c>
      <c r="J1997" s="23"/>
      <c r="K1997" s="21">
        <f t="shared" si="13"/>
        <v>204430.28</v>
      </c>
      <c r="L1997" s="23"/>
      <c r="M1997" s="21">
        <f t="shared" si="16"/>
        <v>1894.93</v>
      </c>
    </row>
    <row r="1998" ht="20.25" customHeight="1" outlineLevel="1">
      <c r="A1998" s="12"/>
      <c r="B1998" s="13"/>
      <c r="C1998" s="85"/>
      <c r="D1998" s="20"/>
      <c r="E1998" s="21">
        <f t="shared" si="1"/>
        <v>12593.22</v>
      </c>
      <c r="F1998" s="23"/>
      <c r="G1998" s="21">
        <f t="shared" si="8"/>
        <v>318539.46</v>
      </c>
      <c r="H1998" s="23"/>
      <c r="I1998" s="21">
        <f t="shared" si="15"/>
        <v>781.68</v>
      </c>
      <c r="J1998" s="23"/>
      <c r="K1998" s="21">
        <f t="shared" si="13"/>
        <v>204430.28</v>
      </c>
      <c r="L1998" s="23"/>
      <c r="M1998" s="21">
        <f t="shared" si="16"/>
        <v>1894.93</v>
      </c>
    </row>
    <row r="1999" ht="20.25" customHeight="1" outlineLevel="1">
      <c r="A1999" s="12"/>
      <c r="B1999" s="13"/>
      <c r="C1999" s="85"/>
      <c r="D1999" s="20"/>
      <c r="E1999" s="21">
        <f t="shared" si="1"/>
        <v>12593.22</v>
      </c>
      <c r="F1999" s="23"/>
      <c r="G1999" s="21">
        <f t="shared" si="8"/>
        <v>318539.46</v>
      </c>
      <c r="H1999" s="23"/>
      <c r="I1999" s="21">
        <f t="shared" si="15"/>
        <v>781.68</v>
      </c>
      <c r="J1999" s="23"/>
      <c r="K1999" s="21">
        <f t="shared" si="13"/>
        <v>204430.28</v>
      </c>
      <c r="L1999" s="23"/>
      <c r="M1999" s="21">
        <f t="shared" si="16"/>
        <v>1894.93</v>
      </c>
    </row>
    <row r="2000" ht="20.25" customHeight="1" outlineLevel="1">
      <c r="A2000" s="12"/>
      <c r="B2000" s="13"/>
      <c r="C2000" s="85"/>
      <c r="D2000" s="20"/>
      <c r="E2000" s="21">
        <f t="shared" si="1"/>
        <v>12593.22</v>
      </c>
      <c r="F2000" s="23"/>
      <c r="G2000" s="21">
        <f t="shared" si="8"/>
        <v>318539.46</v>
      </c>
      <c r="H2000" s="23"/>
      <c r="I2000" s="21">
        <f t="shared" si="15"/>
        <v>781.68</v>
      </c>
      <c r="J2000" s="23"/>
      <c r="K2000" s="21">
        <f t="shared" si="13"/>
        <v>204430.28</v>
      </c>
      <c r="L2000" s="23"/>
      <c r="M2000" s="21">
        <f t="shared" si="16"/>
        <v>1894.93</v>
      </c>
    </row>
    <row r="2001" ht="20.25" customHeight="1" outlineLevel="1">
      <c r="A2001" s="12"/>
      <c r="B2001" s="13"/>
      <c r="C2001" s="85"/>
      <c r="D2001" s="20"/>
      <c r="E2001" s="21">
        <f t="shared" si="1"/>
        <v>12593.22</v>
      </c>
      <c r="F2001" s="23"/>
      <c r="G2001" s="21">
        <f t="shared" si="8"/>
        <v>318539.46</v>
      </c>
      <c r="H2001" s="23"/>
      <c r="I2001" s="21">
        <f t="shared" si="15"/>
        <v>781.68</v>
      </c>
      <c r="J2001" s="23"/>
      <c r="K2001" s="21">
        <f t="shared" si="13"/>
        <v>204430.28</v>
      </c>
      <c r="L2001" s="23"/>
      <c r="M2001" s="21">
        <f t="shared" si="16"/>
        <v>1894.93</v>
      </c>
    </row>
    <row r="2002" ht="20.25" customHeight="1" outlineLevel="1">
      <c r="A2002" s="12"/>
      <c r="B2002" s="13"/>
      <c r="C2002" s="85"/>
      <c r="D2002" s="20"/>
      <c r="E2002" s="21">
        <f t="shared" si="1"/>
        <v>12593.22</v>
      </c>
      <c r="F2002" s="23"/>
      <c r="G2002" s="21">
        <f t="shared" si="8"/>
        <v>318539.46</v>
      </c>
      <c r="H2002" s="23"/>
      <c r="I2002" s="21">
        <f t="shared" si="15"/>
        <v>781.68</v>
      </c>
      <c r="J2002" s="23"/>
      <c r="K2002" s="21">
        <f t="shared" si="13"/>
        <v>204430.28</v>
      </c>
      <c r="L2002" s="23"/>
      <c r="M2002" s="21">
        <f t="shared" si="16"/>
        <v>1894.93</v>
      </c>
    </row>
    <row r="2003" ht="20.25" customHeight="1" outlineLevel="1">
      <c r="A2003" s="12"/>
      <c r="B2003" s="13"/>
      <c r="C2003" s="85"/>
      <c r="D2003" s="20"/>
      <c r="E2003" s="21">
        <f t="shared" si="1"/>
        <v>12593.22</v>
      </c>
      <c r="F2003" s="23"/>
      <c r="G2003" s="21">
        <f t="shared" si="8"/>
        <v>318539.46</v>
      </c>
      <c r="H2003" s="23"/>
      <c r="I2003" s="21">
        <f t="shared" si="15"/>
        <v>781.68</v>
      </c>
      <c r="J2003" s="23"/>
      <c r="K2003" s="21">
        <f t="shared" si="13"/>
        <v>204430.28</v>
      </c>
      <c r="L2003" s="23"/>
      <c r="M2003" s="21">
        <f t="shared" si="16"/>
        <v>1894.93</v>
      </c>
    </row>
    <row r="2004" ht="20.25" customHeight="1" outlineLevel="1">
      <c r="A2004" s="12"/>
      <c r="B2004" s="13"/>
      <c r="C2004" s="233"/>
      <c r="D2004" s="20"/>
      <c r="E2004" s="21">
        <f t="shared" si="1"/>
        <v>12593.22</v>
      </c>
      <c r="F2004" s="23"/>
      <c r="G2004" s="21">
        <f t="shared" si="8"/>
        <v>318539.46</v>
      </c>
      <c r="H2004" s="23"/>
      <c r="I2004" s="21">
        <f t="shared" si="15"/>
        <v>781.68</v>
      </c>
      <c r="J2004" s="23"/>
      <c r="K2004" s="21">
        <f t="shared" si="13"/>
        <v>204430.28</v>
      </c>
      <c r="L2004" s="23"/>
      <c r="M2004" s="21">
        <f t="shared" si="16"/>
        <v>1894.93</v>
      </c>
    </row>
    <row r="2005" ht="20.25" customHeight="1" outlineLevel="1">
      <c r="A2005" s="12"/>
      <c r="B2005" s="13"/>
      <c r="C2005" s="85"/>
      <c r="D2005" s="20"/>
      <c r="E2005" s="21">
        <f t="shared" si="1"/>
        <v>12593.22</v>
      </c>
      <c r="F2005" s="23"/>
      <c r="G2005" s="21">
        <f t="shared" si="8"/>
        <v>318539.46</v>
      </c>
      <c r="H2005" s="23"/>
      <c r="I2005" s="21">
        <f t="shared" si="15"/>
        <v>781.68</v>
      </c>
      <c r="J2005" s="23"/>
      <c r="K2005" s="21">
        <f t="shared" si="13"/>
        <v>204430.28</v>
      </c>
      <c r="L2005" s="23"/>
      <c r="M2005" s="21">
        <f t="shared" si="16"/>
        <v>1894.93</v>
      </c>
    </row>
    <row r="2006" ht="20.25" customHeight="1" outlineLevel="1">
      <c r="A2006" s="12"/>
      <c r="B2006" s="13"/>
      <c r="C2006" s="85"/>
      <c r="D2006" s="20"/>
      <c r="E2006" s="21">
        <f t="shared" si="1"/>
        <v>12593.22</v>
      </c>
      <c r="F2006" s="23"/>
      <c r="G2006" s="21">
        <f t="shared" si="8"/>
        <v>318539.46</v>
      </c>
      <c r="H2006" s="23"/>
      <c r="I2006" s="21">
        <f t="shared" si="15"/>
        <v>781.68</v>
      </c>
      <c r="J2006" s="23"/>
      <c r="K2006" s="21">
        <f t="shared" si="13"/>
        <v>204430.28</v>
      </c>
      <c r="L2006" s="23"/>
      <c r="M2006" s="21">
        <f t="shared" si="16"/>
        <v>1894.93</v>
      </c>
    </row>
    <row r="2007" ht="20.25" customHeight="1" outlineLevel="1">
      <c r="A2007" s="12"/>
      <c r="B2007" s="13"/>
      <c r="C2007" s="85"/>
      <c r="D2007" s="20"/>
      <c r="E2007" s="21">
        <f t="shared" si="1"/>
        <v>12593.22</v>
      </c>
      <c r="F2007" s="23"/>
      <c r="G2007" s="21">
        <f t="shared" si="8"/>
        <v>318539.46</v>
      </c>
      <c r="H2007" s="23"/>
      <c r="I2007" s="21">
        <f t="shared" si="15"/>
        <v>781.68</v>
      </c>
      <c r="J2007" s="23"/>
      <c r="K2007" s="21">
        <f t="shared" si="13"/>
        <v>204430.28</v>
      </c>
      <c r="L2007" s="23"/>
      <c r="M2007" s="21">
        <f t="shared" si="16"/>
        <v>1894.93</v>
      </c>
    </row>
    <row r="2008" ht="20.25" customHeight="1" outlineLevel="1">
      <c r="A2008" s="12"/>
      <c r="B2008" s="13"/>
      <c r="C2008" s="85"/>
      <c r="D2008" s="20"/>
      <c r="E2008" s="21">
        <f t="shared" si="1"/>
        <v>12593.22</v>
      </c>
      <c r="F2008" s="23"/>
      <c r="G2008" s="21">
        <f t="shared" si="8"/>
        <v>318539.46</v>
      </c>
      <c r="H2008" s="23"/>
      <c r="I2008" s="21">
        <f t="shared" si="15"/>
        <v>781.68</v>
      </c>
      <c r="J2008" s="23"/>
      <c r="K2008" s="21">
        <f t="shared" si="13"/>
        <v>204430.28</v>
      </c>
      <c r="L2008" s="23"/>
      <c r="M2008" s="21">
        <f t="shared" si="16"/>
        <v>1894.93</v>
      </c>
    </row>
    <row r="2009" ht="20.25" customHeight="1" outlineLevel="1">
      <c r="A2009" s="12"/>
      <c r="B2009" s="13"/>
      <c r="C2009" s="234"/>
      <c r="D2009" s="20"/>
      <c r="E2009" s="21">
        <f t="shared" si="1"/>
        <v>12593.22</v>
      </c>
      <c r="F2009" s="23"/>
      <c r="G2009" s="21">
        <f t="shared" si="8"/>
        <v>318539.46</v>
      </c>
      <c r="H2009" s="23"/>
      <c r="I2009" s="21">
        <f t="shared" si="15"/>
        <v>781.68</v>
      </c>
      <c r="J2009" s="23"/>
      <c r="K2009" s="21">
        <f t="shared" si="13"/>
        <v>204430.28</v>
      </c>
      <c r="L2009" s="23"/>
      <c r="M2009" s="21">
        <f t="shared" si="16"/>
        <v>1894.93</v>
      </c>
    </row>
    <row r="2010" ht="20.25" customHeight="1" outlineLevel="1">
      <c r="A2010" s="12"/>
      <c r="B2010" s="46"/>
      <c r="C2010" s="59"/>
      <c r="D2010" s="20"/>
      <c r="E2010" s="21">
        <f t="shared" si="1"/>
        <v>12593.22</v>
      </c>
      <c r="F2010" s="23"/>
      <c r="G2010" s="21">
        <f t="shared" si="8"/>
        <v>318539.46</v>
      </c>
      <c r="H2010" s="23"/>
      <c r="I2010" s="21">
        <f t="shared" si="15"/>
        <v>781.68</v>
      </c>
      <c r="J2010" s="23"/>
      <c r="K2010" s="21">
        <f t="shared" si="13"/>
        <v>204430.28</v>
      </c>
      <c r="L2010" s="23"/>
      <c r="M2010" s="21">
        <f t="shared" si="16"/>
        <v>1894.93</v>
      </c>
    </row>
    <row r="2011" ht="20.25" customHeight="1" outlineLevel="1">
      <c r="A2011" s="12"/>
      <c r="B2011" s="46"/>
      <c r="C2011" s="59"/>
      <c r="D2011" s="20"/>
      <c r="E2011" s="21">
        <f t="shared" si="1"/>
        <v>12593.22</v>
      </c>
      <c r="F2011" s="23"/>
      <c r="G2011" s="21">
        <f t="shared" si="8"/>
        <v>318539.46</v>
      </c>
      <c r="H2011" s="23"/>
      <c r="I2011" s="21">
        <f t="shared" si="15"/>
        <v>781.68</v>
      </c>
      <c r="J2011" s="23"/>
      <c r="K2011" s="21">
        <f t="shared" si="13"/>
        <v>204430.28</v>
      </c>
      <c r="L2011" s="23"/>
      <c r="M2011" s="21">
        <f t="shared" si="16"/>
        <v>1894.93</v>
      </c>
    </row>
    <row r="2012" ht="20.25" customHeight="1" outlineLevel="1">
      <c r="A2012" s="12"/>
      <c r="B2012" s="46"/>
      <c r="C2012" s="55"/>
      <c r="D2012" s="20"/>
      <c r="E2012" s="21">
        <f t="shared" si="1"/>
        <v>12593.22</v>
      </c>
      <c r="F2012" s="23"/>
      <c r="G2012" s="21">
        <f t="shared" si="8"/>
        <v>318539.46</v>
      </c>
      <c r="H2012" s="23"/>
      <c r="I2012" s="21">
        <f t="shared" si="15"/>
        <v>781.68</v>
      </c>
      <c r="J2012" s="23"/>
      <c r="K2012" s="21">
        <f t="shared" si="13"/>
        <v>204430.28</v>
      </c>
      <c r="L2012" s="23"/>
      <c r="M2012" s="21">
        <f t="shared" si="16"/>
        <v>1894.93</v>
      </c>
    </row>
    <row r="2013" ht="20.25" customHeight="1" outlineLevel="1">
      <c r="A2013" s="12"/>
      <c r="B2013" s="46"/>
      <c r="C2013" s="55"/>
      <c r="D2013" s="20"/>
      <c r="E2013" s="21">
        <f t="shared" si="1"/>
        <v>12593.22</v>
      </c>
      <c r="F2013" s="23"/>
      <c r="G2013" s="21">
        <f t="shared" si="8"/>
        <v>318539.46</v>
      </c>
      <c r="H2013" s="23"/>
      <c r="I2013" s="21">
        <f t="shared" si="15"/>
        <v>781.68</v>
      </c>
      <c r="J2013" s="23"/>
      <c r="K2013" s="21">
        <f t="shared" si="13"/>
        <v>204430.28</v>
      </c>
      <c r="L2013" s="23"/>
      <c r="M2013" s="21">
        <f t="shared" si="16"/>
        <v>1894.93</v>
      </c>
    </row>
    <row r="2014" ht="20.25" customHeight="1" outlineLevel="1">
      <c r="A2014" s="12"/>
      <c r="B2014" s="46"/>
      <c r="C2014" s="59"/>
      <c r="D2014" s="20"/>
      <c r="E2014" s="21">
        <f t="shared" si="1"/>
        <v>12593.22</v>
      </c>
      <c r="F2014" s="23"/>
      <c r="G2014" s="21">
        <f t="shared" si="8"/>
        <v>318539.46</v>
      </c>
      <c r="H2014" s="23"/>
      <c r="I2014" s="21">
        <f t="shared" si="15"/>
        <v>781.68</v>
      </c>
      <c r="J2014" s="23"/>
      <c r="K2014" s="21">
        <f t="shared" si="13"/>
        <v>204430.28</v>
      </c>
      <c r="L2014" s="23"/>
      <c r="M2014" s="21">
        <f t="shared" si="16"/>
        <v>1894.93</v>
      </c>
    </row>
    <row r="2015" ht="20.25" customHeight="1" outlineLevel="1">
      <c r="A2015" s="12"/>
      <c r="B2015" s="46"/>
      <c r="C2015" s="59"/>
      <c r="D2015" s="20"/>
      <c r="E2015" s="21">
        <f t="shared" si="1"/>
        <v>12593.22</v>
      </c>
      <c r="F2015" s="23"/>
      <c r="G2015" s="21">
        <f t="shared" si="8"/>
        <v>318539.46</v>
      </c>
      <c r="H2015" s="23"/>
      <c r="I2015" s="21">
        <f t="shared" si="15"/>
        <v>781.68</v>
      </c>
      <c r="J2015" s="23"/>
      <c r="K2015" s="21">
        <f t="shared" si="13"/>
        <v>204430.28</v>
      </c>
      <c r="L2015" s="23"/>
      <c r="M2015" s="21">
        <f t="shared" si="16"/>
        <v>1894.93</v>
      </c>
    </row>
    <row r="2016" ht="20.25" customHeight="1" outlineLevel="1">
      <c r="A2016" s="12"/>
      <c r="B2016" s="46"/>
      <c r="C2016" s="59"/>
      <c r="D2016" s="20"/>
      <c r="E2016" s="21">
        <f t="shared" si="1"/>
        <v>12593.22</v>
      </c>
      <c r="F2016" s="23"/>
      <c r="G2016" s="21">
        <f t="shared" si="8"/>
        <v>318539.46</v>
      </c>
      <c r="H2016" s="23"/>
      <c r="I2016" s="21">
        <f t="shared" si="15"/>
        <v>781.68</v>
      </c>
      <c r="J2016" s="23"/>
      <c r="K2016" s="21">
        <f t="shared" si="13"/>
        <v>204430.28</v>
      </c>
      <c r="L2016" s="23"/>
      <c r="M2016" s="21">
        <f t="shared" si="16"/>
        <v>1894.93</v>
      </c>
    </row>
    <row r="2017" ht="20.25" customHeight="1" outlineLevel="1">
      <c r="A2017" s="12"/>
      <c r="B2017" s="46"/>
      <c r="C2017" s="59"/>
      <c r="D2017" s="20"/>
      <c r="E2017" s="21">
        <f t="shared" si="1"/>
        <v>12593.22</v>
      </c>
      <c r="F2017" s="23"/>
      <c r="G2017" s="21">
        <f t="shared" si="8"/>
        <v>318539.46</v>
      </c>
      <c r="H2017" s="23"/>
      <c r="I2017" s="21">
        <f t="shared" si="15"/>
        <v>781.68</v>
      </c>
      <c r="J2017" s="23"/>
      <c r="K2017" s="21">
        <f t="shared" si="13"/>
        <v>204430.28</v>
      </c>
      <c r="L2017" s="23"/>
      <c r="M2017" s="21">
        <f t="shared" si="16"/>
        <v>1894.93</v>
      </c>
    </row>
    <row r="2018" ht="20.25" customHeight="1" outlineLevel="1">
      <c r="A2018" s="12"/>
      <c r="B2018" s="46"/>
      <c r="C2018" s="59"/>
      <c r="D2018" s="20"/>
      <c r="E2018" s="21">
        <f t="shared" si="1"/>
        <v>12593.22</v>
      </c>
      <c r="F2018" s="23"/>
      <c r="G2018" s="21">
        <f t="shared" si="8"/>
        <v>318539.46</v>
      </c>
      <c r="H2018" s="23"/>
      <c r="I2018" s="21">
        <f t="shared" si="15"/>
        <v>781.68</v>
      </c>
      <c r="J2018" s="23"/>
      <c r="K2018" s="21">
        <f t="shared" si="13"/>
        <v>204430.28</v>
      </c>
      <c r="L2018" s="23"/>
      <c r="M2018" s="21">
        <f t="shared" si="16"/>
        <v>1894.93</v>
      </c>
    </row>
    <row r="2019" ht="20.25" customHeight="1" outlineLevel="1">
      <c r="A2019" s="12"/>
      <c r="B2019" s="46"/>
      <c r="C2019" s="59"/>
      <c r="D2019" s="20"/>
      <c r="E2019" s="21">
        <f t="shared" si="1"/>
        <v>12593.22</v>
      </c>
      <c r="F2019" s="23"/>
      <c r="G2019" s="21">
        <f t="shared" si="8"/>
        <v>318539.46</v>
      </c>
      <c r="H2019" s="23"/>
      <c r="I2019" s="21">
        <f t="shared" si="15"/>
        <v>781.68</v>
      </c>
      <c r="J2019" s="23"/>
      <c r="K2019" s="21">
        <f t="shared" si="13"/>
        <v>204430.28</v>
      </c>
      <c r="L2019" s="23"/>
      <c r="M2019" s="21">
        <f t="shared" si="16"/>
        <v>1894.93</v>
      </c>
    </row>
    <row r="2020" ht="20.25" customHeight="1" outlineLevel="1">
      <c r="A2020" s="12"/>
      <c r="B2020" s="46"/>
      <c r="C2020" s="55"/>
      <c r="D2020" s="20"/>
      <c r="E2020" s="21">
        <f t="shared" si="1"/>
        <v>12593.22</v>
      </c>
      <c r="F2020" s="23"/>
      <c r="G2020" s="21">
        <f t="shared" si="8"/>
        <v>318539.46</v>
      </c>
      <c r="H2020" s="23"/>
      <c r="I2020" s="21">
        <f t="shared" si="15"/>
        <v>781.68</v>
      </c>
      <c r="J2020" s="23"/>
      <c r="K2020" s="21">
        <f t="shared" si="13"/>
        <v>204430.28</v>
      </c>
      <c r="L2020" s="23"/>
      <c r="M2020" s="21">
        <f t="shared" si="16"/>
        <v>1894.93</v>
      </c>
    </row>
    <row r="2021" ht="20.25" customHeight="1" outlineLevel="1">
      <c r="A2021" s="12"/>
      <c r="B2021" s="46"/>
      <c r="C2021" s="55"/>
      <c r="D2021" s="20"/>
      <c r="E2021" s="21">
        <f t="shared" si="1"/>
        <v>12593.22</v>
      </c>
      <c r="F2021" s="23"/>
      <c r="G2021" s="21">
        <f t="shared" si="8"/>
        <v>318539.46</v>
      </c>
      <c r="H2021" s="23"/>
      <c r="I2021" s="21">
        <f t="shared" si="15"/>
        <v>781.68</v>
      </c>
      <c r="J2021" s="23"/>
      <c r="K2021" s="21">
        <f t="shared" si="13"/>
        <v>204430.28</v>
      </c>
      <c r="L2021" s="23"/>
      <c r="M2021" s="21">
        <f t="shared" si="16"/>
        <v>1894.93</v>
      </c>
    </row>
    <row r="2022" ht="20.25" customHeight="1" outlineLevel="1">
      <c r="A2022" s="12"/>
      <c r="B2022" s="46"/>
      <c r="C2022" s="55"/>
      <c r="D2022" s="20"/>
      <c r="E2022" s="21">
        <f t="shared" si="1"/>
        <v>12593.22</v>
      </c>
      <c r="F2022" s="23"/>
      <c r="G2022" s="21">
        <f t="shared" si="8"/>
        <v>318539.46</v>
      </c>
      <c r="H2022" s="23"/>
      <c r="I2022" s="21">
        <f t="shared" si="15"/>
        <v>781.68</v>
      </c>
      <c r="J2022" s="23"/>
      <c r="K2022" s="21">
        <f t="shared" si="13"/>
        <v>204430.28</v>
      </c>
      <c r="L2022" s="23"/>
      <c r="M2022" s="21">
        <f t="shared" si="16"/>
        <v>1894.93</v>
      </c>
    </row>
    <row r="2023" ht="20.25" customHeight="1" outlineLevel="1">
      <c r="A2023" s="12"/>
      <c r="B2023" s="46"/>
      <c r="C2023" s="59"/>
      <c r="D2023" s="20"/>
      <c r="E2023" s="21">
        <f t="shared" si="1"/>
        <v>12593.22</v>
      </c>
      <c r="F2023" s="23"/>
      <c r="G2023" s="21">
        <f t="shared" si="8"/>
        <v>318539.46</v>
      </c>
      <c r="H2023" s="23"/>
      <c r="I2023" s="21">
        <f t="shared" si="15"/>
        <v>781.68</v>
      </c>
      <c r="J2023" s="23"/>
      <c r="K2023" s="21">
        <f t="shared" si="13"/>
        <v>204430.28</v>
      </c>
      <c r="L2023" s="23"/>
      <c r="M2023" s="21">
        <f t="shared" si="16"/>
        <v>1894.93</v>
      </c>
    </row>
    <row r="2024" ht="20.25" customHeight="1" outlineLevel="1">
      <c r="A2024" s="12"/>
      <c r="B2024" s="13"/>
      <c r="C2024" s="121"/>
      <c r="D2024" s="20"/>
      <c r="E2024" s="21">
        <f t="shared" si="1"/>
        <v>12593.22</v>
      </c>
      <c r="F2024" s="23"/>
      <c r="G2024" s="21">
        <f t="shared" si="8"/>
        <v>318539.46</v>
      </c>
      <c r="H2024" s="23"/>
      <c r="I2024" s="21">
        <f t="shared" si="15"/>
        <v>781.68</v>
      </c>
      <c r="J2024" s="23"/>
      <c r="K2024" s="21">
        <f t="shared" si="13"/>
        <v>204430.28</v>
      </c>
      <c r="L2024" s="23"/>
      <c r="M2024" s="21">
        <f t="shared" si="16"/>
        <v>1894.93</v>
      </c>
    </row>
    <row r="2025" ht="20.25" customHeight="1" outlineLevel="1">
      <c r="A2025" s="12"/>
      <c r="B2025" s="13"/>
      <c r="C2025" s="85"/>
      <c r="D2025" s="20"/>
      <c r="E2025" s="21">
        <f t="shared" si="1"/>
        <v>12593.22</v>
      </c>
      <c r="F2025" s="23"/>
      <c r="G2025" s="21">
        <f t="shared" si="8"/>
        <v>318539.46</v>
      </c>
      <c r="H2025" s="23"/>
      <c r="I2025" s="21">
        <f t="shared" si="15"/>
        <v>781.68</v>
      </c>
      <c r="J2025" s="23"/>
      <c r="K2025" s="21">
        <f t="shared" si="13"/>
        <v>204430.28</v>
      </c>
      <c r="L2025" s="23"/>
      <c r="M2025" s="21">
        <f t="shared" si="16"/>
        <v>1894.93</v>
      </c>
    </row>
    <row r="2026" ht="20.25" customHeight="1" outlineLevel="1">
      <c r="A2026" s="12"/>
      <c r="B2026" s="13"/>
      <c r="C2026" s="85"/>
      <c r="D2026" s="20"/>
      <c r="E2026" s="21">
        <f t="shared" si="1"/>
        <v>12593.22</v>
      </c>
      <c r="F2026" s="23"/>
      <c r="G2026" s="21">
        <f t="shared" si="8"/>
        <v>318539.46</v>
      </c>
      <c r="H2026" s="23"/>
      <c r="I2026" s="21">
        <f t="shared" si="15"/>
        <v>781.68</v>
      </c>
      <c r="J2026" s="23"/>
      <c r="K2026" s="21">
        <f t="shared" si="13"/>
        <v>204430.28</v>
      </c>
      <c r="L2026" s="23"/>
      <c r="M2026" s="21">
        <f t="shared" si="16"/>
        <v>1894.93</v>
      </c>
    </row>
    <row r="2027" ht="20.25" customHeight="1" outlineLevel="1">
      <c r="A2027" s="12"/>
      <c r="B2027" s="13"/>
      <c r="C2027" s="85"/>
      <c r="D2027" s="20"/>
      <c r="E2027" s="21">
        <f t="shared" si="1"/>
        <v>12593.22</v>
      </c>
      <c r="F2027" s="23"/>
      <c r="G2027" s="21">
        <f t="shared" si="8"/>
        <v>318539.46</v>
      </c>
      <c r="H2027" s="23"/>
      <c r="I2027" s="21">
        <f t="shared" si="15"/>
        <v>781.68</v>
      </c>
      <c r="J2027" s="23"/>
      <c r="K2027" s="21">
        <f t="shared" si="13"/>
        <v>204430.28</v>
      </c>
      <c r="L2027" s="23"/>
      <c r="M2027" s="21">
        <f t="shared" si="16"/>
        <v>1894.93</v>
      </c>
    </row>
    <row r="2028" ht="20.25" customHeight="1" outlineLevel="1">
      <c r="A2028" s="12"/>
      <c r="B2028" s="13"/>
      <c r="C2028" s="85"/>
      <c r="D2028" s="20"/>
      <c r="E2028" s="21">
        <f t="shared" si="1"/>
        <v>12593.22</v>
      </c>
      <c r="F2028" s="23"/>
      <c r="G2028" s="21">
        <f t="shared" si="8"/>
        <v>318539.46</v>
      </c>
      <c r="H2028" s="23"/>
      <c r="I2028" s="21">
        <f t="shared" si="15"/>
        <v>781.68</v>
      </c>
      <c r="J2028" s="23"/>
      <c r="K2028" s="21">
        <f t="shared" si="13"/>
        <v>204430.28</v>
      </c>
      <c r="L2028" s="23"/>
      <c r="M2028" s="21">
        <f t="shared" si="16"/>
        <v>1894.93</v>
      </c>
    </row>
    <row r="2029" ht="20.25" customHeight="1" outlineLevel="1">
      <c r="A2029" s="12"/>
      <c r="B2029" s="13"/>
      <c r="C2029" s="85"/>
      <c r="D2029" s="20"/>
      <c r="E2029" s="21">
        <f t="shared" si="1"/>
        <v>12593.22</v>
      </c>
      <c r="F2029" s="23"/>
      <c r="G2029" s="21">
        <f t="shared" si="8"/>
        <v>318539.46</v>
      </c>
      <c r="H2029" s="23"/>
      <c r="I2029" s="21">
        <f t="shared" si="15"/>
        <v>781.68</v>
      </c>
      <c r="J2029" s="23"/>
      <c r="K2029" s="21">
        <f t="shared" si="13"/>
        <v>204430.28</v>
      </c>
      <c r="L2029" s="23"/>
      <c r="M2029" s="21">
        <f t="shared" si="16"/>
        <v>1894.93</v>
      </c>
    </row>
    <row r="2030" ht="20.25" customHeight="1" outlineLevel="1">
      <c r="A2030" s="12"/>
      <c r="B2030" s="13"/>
      <c r="C2030" s="87"/>
      <c r="D2030" s="20"/>
      <c r="E2030" s="21">
        <f t="shared" si="1"/>
        <v>12593.22</v>
      </c>
      <c r="F2030" s="23"/>
      <c r="G2030" s="21">
        <f t="shared" si="8"/>
        <v>318539.46</v>
      </c>
      <c r="H2030" s="23"/>
      <c r="I2030" s="21">
        <f t="shared" si="15"/>
        <v>781.68</v>
      </c>
      <c r="J2030" s="23"/>
      <c r="K2030" s="21">
        <f t="shared" si="13"/>
        <v>204430.28</v>
      </c>
      <c r="L2030" s="23"/>
      <c r="M2030" s="21">
        <f t="shared" si="16"/>
        <v>1894.93</v>
      </c>
    </row>
    <row r="2031" ht="20.25" customHeight="1" outlineLevel="1">
      <c r="A2031" s="12"/>
      <c r="B2031" s="13"/>
      <c r="C2031" s="85"/>
      <c r="D2031" s="20"/>
      <c r="E2031" s="21">
        <f t="shared" si="1"/>
        <v>12593.22</v>
      </c>
      <c r="F2031" s="23"/>
      <c r="G2031" s="21">
        <f t="shared" si="8"/>
        <v>318539.46</v>
      </c>
      <c r="H2031" s="23"/>
      <c r="I2031" s="21">
        <f t="shared" si="15"/>
        <v>781.68</v>
      </c>
      <c r="J2031" s="23"/>
      <c r="K2031" s="21">
        <f t="shared" si="13"/>
        <v>204430.28</v>
      </c>
      <c r="L2031" s="23"/>
      <c r="M2031" s="21">
        <f t="shared" si="16"/>
        <v>1894.93</v>
      </c>
    </row>
    <row r="2032" ht="20.25" customHeight="1" outlineLevel="1">
      <c r="A2032" s="12"/>
      <c r="B2032" s="13"/>
      <c r="C2032" s="85"/>
      <c r="D2032" s="20"/>
      <c r="E2032" s="21">
        <f t="shared" si="1"/>
        <v>12593.22</v>
      </c>
      <c r="F2032" s="23"/>
      <c r="G2032" s="21">
        <f t="shared" si="8"/>
        <v>318539.46</v>
      </c>
      <c r="H2032" s="23"/>
      <c r="I2032" s="21">
        <f t="shared" si="15"/>
        <v>781.68</v>
      </c>
      <c r="J2032" s="23"/>
      <c r="K2032" s="21">
        <f t="shared" si="13"/>
        <v>204430.28</v>
      </c>
      <c r="L2032" s="23"/>
      <c r="M2032" s="21">
        <f t="shared" si="16"/>
        <v>1894.93</v>
      </c>
    </row>
    <row r="2033" ht="20.25" customHeight="1" outlineLevel="1">
      <c r="A2033" s="12"/>
      <c r="B2033" s="13"/>
      <c r="C2033" s="85"/>
      <c r="D2033" s="20"/>
      <c r="E2033" s="21">
        <f t="shared" si="1"/>
        <v>12593.22</v>
      </c>
      <c r="F2033" s="23"/>
      <c r="G2033" s="21">
        <f t="shared" si="8"/>
        <v>318539.46</v>
      </c>
      <c r="H2033" s="23"/>
      <c r="I2033" s="21">
        <f t="shared" si="15"/>
        <v>781.68</v>
      </c>
      <c r="J2033" s="23"/>
      <c r="K2033" s="21">
        <f t="shared" si="13"/>
        <v>204430.28</v>
      </c>
      <c r="L2033" s="23"/>
      <c r="M2033" s="21">
        <f t="shared" si="16"/>
        <v>1894.93</v>
      </c>
    </row>
    <row r="2034" ht="20.25" customHeight="1" outlineLevel="1">
      <c r="A2034" s="12"/>
      <c r="B2034" s="13"/>
      <c r="C2034" s="85"/>
      <c r="D2034" s="20"/>
      <c r="E2034" s="21">
        <f t="shared" si="1"/>
        <v>12593.22</v>
      </c>
      <c r="F2034" s="23"/>
      <c r="G2034" s="21">
        <f t="shared" si="8"/>
        <v>318539.46</v>
      </c>
      <c r="H2034" s="23"/>
      <c r="I2034" s="21">
        <f t="shared" si="15"/>
        <v>781.68</v>
      </c>
      <c r="J2034" s="23"/>
      <c r="K2034" s="21">
        <f t="shared" si="13"/>
        <v>204430.28</v>
      </c>
      <c r="L2034" s="23"/>
      <c r="M2034" s="21">
        <f t="shared" si="16"/>
        <v>1894.93</v>
      </c>
    </row>
    <row r="2035" ht="20.25" customHeight="1" outlineLevel="1">
      <c r="A2035" s="12"/>
      <c r="B2035" s="13"/>
      <c r="C2035" s="85"/>
      <c r="D2035" s="20"/>
      <c r="E2035" s="21">
        <f t="shared" si="1"/>
        <v>12593.22</v>
      </c>
      <c r="F2035" s="23"/>
      <c r="G2035" s="21">
        <f t="shared" si="8"/>
        <v>318539.46</v>
      </c>
      <c r="H2035" s="23"/>
      <c r="I2035" s="21">
        <f t="shared" si="15"/>
        <v>781.68</v>
      </c>
      <c r="J2035" s="23"/>
      <c r="K2035" s="21">
        <f t="shared" si="13"/>
        <v>204430.28</v>
      </c>
      <c r="L2035" s="23"/>
      <c r="M2035" s="21">
        <f t="shared" si="16"/>
        <v>1894.93</v>
      </c>
    </row>
    <row r="2036" ht="20.25" customHeight="1" outlineLevel="1">
      <c r="A2036" s="12"/>
      <c r="B2036" s="13"/>
      <c r="C2036" s="85"/>
      <c r="D2036" s="20"/>
      <c r="E2036" s="21">
        <f t="shared" si="1"/>
        <v>12593.22</v>
      </c>
      <c r="F2036" s="23"/>
      <c r="G2036" s="21">
        <f t="shared" si="8"/>
        <v>318539.46</v>
      </c>
      <c r="H2036" s="23"/>
      <c r="I2036" s="21">
        <f t="shared" si="15"/>
        <v>781.68</v>
      </c>
      <c r="J2036" s="23"/>
      <c r="K2036" s="21">
        <f t="shared" si="13"/>
        <v>204430.28</v>
      </c>
      <c r="L2036" s="23"/>
      <c r="M2036" s="21">
        <f t="shared" si="16"/>
        <v>1894.93</v>
      </c>
    </row>
    <row r="2037" ht="20.25" customHeight="1" outlineLevel="1">
      <c r="A2037" s="12"/>
      <c r="B2037" s="13"/>
      <c r="C2037" s="87"/>
      <c r="D2037" s="20"/>
      <c r="E2037" s="21">
        <f t="shared" si="1"/>
        <v>12593.22</v>
      </c>
      <c r="F2037" s="23"/>
      <c r="G2037" s="21">
        <f t="shared" si="8"/>
        <v>318539.46</v>
      </c>
      <c r="H2037" s="23"/>
      <c r="I2037" s="21">
        <f t="shared" si="15"/>
        <v>781.68</v>
      </c>
      <c r="J2037" s="23"/>
      <c r="K2037" s="21">
        <f t="shared" si="13"/>
        <v>204430.28</v>
      </c>
      <c r="L2037" s="23"/>
      <c r="M2037" s="21">
        <f t="shared" si="16"/>
        <v>1894.93</v>
      </c>
    </row>
    <row r="2038" ht="20.25" customHeight="1" outlineLevel="1">
      <c r="A2038" s="12"/>
      <c r="B2038" s="13"/>
      <c r="C2038" s="85"/>
      <c r="D2038" s="20"/>
      <c r="E2038" s="21">
        <f t="shared" si="1"/>
        <v>12593.22</v>
      </c>
      <c r="F2038" s="23"/>
      <c r="G2038" s="21">
        <f t="shared" si="8"/>
        <v>318539.46</v>
      </c>
      <c r="H2038" s="23"/>
      <c r="I2038" s="21">
        <f t="shared" si="15"/>
        <v>781.68</v>
      </c>
      <c r="J2038" s="23"/>
      <c r="K2038" s="21">
        <f t="shared" si="13"/>
        <v>204430.28</v>
      </c>
      <c r="L2038" s="23"/>
      <c r="M2038" s="21">
        <f t="shared" si="16"/>
        <v>1894.93</v>
      </c>
    </row>
    <row r="2039" ht="20.25" customHeight="1" outlineLevel="1">
      <c r="A2039" s="12"/>
      <c r="B2039" s="13"/>
      <c r="C2039" s="85"/>
      <c r="D2039" s="20"/>
      <c r="E2039" s="21">
        <f t="shared" si="1"/>
        <v>12593.22</v>
      </c>
      <c r="F2039" s="23"/>
      <c r="G2039" s="21">
        <f t="shared" si="8"/>
        <v>318539.46</v>
      </c>
      <c r="H2039" s="23"/>
      <c r="I2039" s="21">
        <f t="shared" si="15"/>
        <v>781.68</v>
      </c>
      <c r="J2039" s="23"/>
      <c r="K2039" s="21">
        <f t="shared" si="13"/>
        <v>204430.28</v>
      </c>
      <c r="L2039" s="23"/>
      <c r="M2039" s="21">
        <f t="shared" si="16"/>
        <v>1894.93</v>
      </c>
    </row>
    <row r="2040" ht="20.25" customHeight="1" outlineLevel="1">
      <c r="A2040" s="12"/>
      <c r="B2040" s="13"/>
      <c r="C2040" s="85"/>
      <c r="D2040" s="20"/>
      <c r="E2040" s="21">
        <f t="shared" si="1"/>
        <v>12593.22</v>
      </c>
      <c r="F2040" s="23"/>
      <c r="G2040" s="21">
        <f t="shared" si="8"/>
        <v>318539.46</v>
      </c>
      <c r="H2040" s="23"/>
      <c r="I2040" s="21">
        <f t="shared" si="15"/>
        <v>781.68</v>
      </c>
      <c r="J2040" s="23"/>
      <c r="K2040" s="21">
        <f t="shared" si="13"/>
        <v>204430.28</v>
      </c>
      <c r="L2040" s="23"/>
      <c r="M2040" s="21">
        <f t="shared" si="16"/>
        <v>1894.93</v>
      </c>
    </row>
    <row r="2041" ht="20.25" customHeight="1" outlineLevel="1">
      <c r="A2041" s="12"/>
      <c r="B2041" s="13"/>
      <c r="C2041" s="85"/>
      <c r="D2041" s="20"/>
      <c r="E2041" s="21">
        <f t="shared" si="1"/>
        <v>12593.22</v>
      </c>
      <c r="F2041" s="23"/>
      <c r="G2041" s="21">
        <f t="shared" si="8"/>
        <v>318539.46</v>
      </c>
      <c r="H2041" s="23"/>
      <c r="I2041" s="21">
        <f t="shared" si="15"/>
        <v>781.68</v>
      </c>
      <c r="J2041" s="23"/>
      <c r="K2041" s="21">
        <f t="shared" si="13"/>
        <v>204430.28</v>
      </c>
      <c r="L2041" s="23"/>
      <c r="M2041" s="21">
        <f t="shared" si="16"/>
        <v>1894.93</v>
      </c>
    </row>
    <row r="2042" ht="20.25" customHeight="1" outlineLevel="1">
      <c r="A2042" s="12"/>
      <c r="B2042" s="13"/>
      <c r="C2042" s="85"/>
      <c r="D2042" s="20"/>
      <c r="E2042" s="21">
        <f t="shared" si="1"/>
        <v>12593.22</v>
      </c>
      <c r="F2042" s="23"/>
      <c r="G2042" s="21">
        <f t="shared" si="8"/>
        <v>318539.46</v>
      </c>
      <c r="H2042" s="23"/>
      <c r="I2042" s="21">
        <f t="shared" si="15"/>
        <v>781.68</v>
      </c>
      <c r="J2042" s="23"/>
      <c r="K2042" s="21">
        <f t="shared" si="13"/>
        <v>204430.28</v>
      </c>
      <c r="L2042" s="23"/>
      <c r="M2042" s="21">
        <f t="shared" si="16"/>
        <v>1894.93</v>
      </c>
    </row>
    <row r="2043" ht="20.25" customHeight="1" outlineLevel="1">
      <c r="A2043" s="12"/>
      <c r="B2043" s="13"/>
      <c r="C2043" s="85"/>
      <c r="D2043" s="20"/>
      <c r="E2043" s="21">
        <f t="shared" si="1"/>
        <v>12593.22</v>
      </c>
      <c r="F2043" s="23"/>
      <c r="G2043" s="21">
        <f t="shared" si="8"/>
        <v>318539.46</v>
      </c>
      <c r="H2043" s="23"/>
      <c r="I2043" s="21">
        <f t="shared" si="15"/>
        <v>781.68</v>
      </c>
      <c r="J2043" s="23"/>
      <c r="K2043" s="21">
        <f t="shared" si="13"/>
        <v>204430.28</v>
      </c>
      <c r="L2043" s="23"/>
      <c r="M2043" s="21">
        <f t="shared" si="16"/>
        <v>1894.93</v>
      </c>
    </row>
    <row r="2044" ht="20.25" customHeight="1" outlineLevel="1">
      <c r="A2044" s="12"/>
      <c r="B2044" s="13"/>
      <c r="C2044" s="85"/>
      <c r="D2044" s="20"/>
      <c r="E2044" s="21">
        <f t="shared" si="1"/>
        <v>12593.22</v>
      </c>
      <c r="F2044" s="23"/>
      <c r="G2044" s="21">
        <f t="shared" si="8"/>
        <v>318539.46</v>
      </c>
      <c r="H2044" s="23"/>
      <c r="I2044" s="21">
        <f t="shared" si="15"/>
        <v>781.68</v>
      </c>
      <c r="J2044" s="23"/>
      <c r="K2044" s="21">
        <f t="shared" si="13"/>
        <v>204430.28</v>
      </c>
      <c r="L2044" s="23"/>
      <c r="M2044" s="21">
        <f t="shared" si="16"/>
        <v>1894.93</v>
      </c>
    </row>
    <row r="2045" ht="20.25" customHeight="1" outlineLevel="1">
      <c r="A2045" s="12"/>
      <c r="B2045" s="13"/>
      <c r="C2045" s="85"/>
      <c r="D2045" s="20"/>
      <c r="E2045" s="21">
        <f t="shared" si="1"/>
        <v>12593.22</v>
      </c>
      <c r="F2045" s="23"/>
      <c r="G2045" s="21">
        <f t="shared" si="8"/>
        <v>318539.46</v>
      </c>
      <c r="H2045" s="23"/>
      <c r="I2045" s="21">
        <f t="shared" si="15"/>
        <v>781.68</v>
      </c>
      <c r="J2045" s="23"/>
      <c r="K2045" s="21">
        <f t="shared" si="13"/>
        <v>204430.28</v>
      </c>
      <c r="L2045" s="23"/>
      <c r="M2045" s="21">
        <f t="shared" si="16"/>
        <v>1894.93</v>
      </c>
    </row>
    <row r="2046" ht="20.25" customHeight="1" outlineLevel="1">
      <c r="A2046" s="12"/>
      <c r="B2046" s="13"/>
      <c r="C2046" s="85"/>
      <c r="D2046" s="20"/>
      <c r="E2046" s="21">
        <f t="shared" si="1"/>
        <v>12593.22</v>
      </c>
      <c r="F2046" s="23"/>
      <c r="G2046" s="21">
        <f t="shared" si="8"/>
        <v>318539.46</v>
      </c>
      <c r="H2046" s="23"/>
      <c r="I2046" s="21">
        <f t="shared" si="15"/>
        <v>781.68</v>
      </c>
      <c r="J2046" s="23"/>
      <c r="K2046" s="21">
        <f t="shared" si="13"/>
        <v>204430.28</v>
      </c>
      <c r="L2046" s="23"/>
      <c r="M2046" s="21">
        <f t="shared" si="16"/>
        <v>1894.93</v>
      </c>
    </row>
    <row r="2047" ht="20.25" customHeight="1" outlineLevel="1">
      <c r="A2047" s="12"/>
      <c r="B2047" s="13"/>
      <c r="C2047" s="85"/>
      <c r="D2047" s="20"/>
      <c r="E2047" s="21">
        <f t="shared" si="1"/>
        <v>12593.22</v>
      </c>
      <c r="F2047" s="23"/>
      <c r="G2047" s="21">
        <f t="shared" si="8"/>
        <v>318539.46</v>
      </c>
      <c r="H2047" s="23"/>
      <c r="I2047" s="21">
        <f t="shared" si="15"/>
        <v>781.68</v>
      </c>
      <c r="J2047" s="23"/>
      <c r="K2047" s="21">
        <f t="shared" si="13"/>
        <v>204430.28</v>
      </c>
      <c r="L2047" s="23"/>
      <c r="M2047" s="21">
        <f t="shared" si="16"/>
        <v>1894.93</v>
      </c>
    </row>
    <row r="2048" ht="20.25" customHeight="1" outlineLevel="1">
      <c r="A2048" s="12"/>
      <c r="B2048" s="13"/>
      <c r="C2048" s="85"/>
      <c r="D2048" s="20"/>
      <c r="E2048" s="21">
        <f t="shared" si="1"/>
        <v>12593.22</v>
      </c>
      <c r="F2048" s="23"/>
      <c r="G2048" s="21">
        <f t="shared" si="8"/>
        <v>318539.46</v>
      </c>
      <c r="H2048" s="23"/>
      <c r="I2048" s="21">
        <f t="shared" si="15"/>
        <v>781.68</v>
      </c>
      <c r="J2048" s="23"/>
      <c r="K2048" s="21">
        <f t="shared" si="13"/>
        <v>204430.28</v>
      </c>
      <c r="L2048" s="23"/>
      <c r="M2048" s="21">
        <f t="shared" si="16"/>
        <v>1894.93</v>
      </c>
    </row>
    <row r="2049" ht="20.25" customHeight="1" outlineLevel="1">
      <c r="A2049" s="12"/>
      <c r="B2049" s="13"/>
      <c r="C2049" s="85"/>
      <c r="D2049" s="20"/>
      <c r="E2049" s="21">
        <f t="shared" si="1"/>
        <v>12593.22</v>
      </c>
      <c r="F2049" s="23"/>
      <c r="G2049" s="21">
        <f t="shared" si="8"/>
        <v>318539.46</v>
      </c>
      <c r="H2049" s="23"/>
      <c r="I2049" s="21">
        <f t="shared" si="15"/>
        <v>781.68</v>
      </c>
      <c r="J2049" s="23"/>
      <c r="K2049" s="21">
        <f t="shared" si="13"/>
        <v>204430.28</v>
      </c>
      <c r="L2049" s="23"/>
      <c r="M2049" s="21">
        <f t="shared" si="16"/>
        <v>1894.93</v>
      </c>
    </row>
    <row r="2050" ht="20.25" customHeight="1" outlineLevel="1">
      <c r="A2050" s="12"/>
      <c r="B2050" s="13"/>
      <c r="C2050" s="85"/>
      <c r="D2050" s="20"/>
      <c r="E2050" s="21">
        <f t="shared" si="1"/>
        <v>12593.22</v>
      </c>
      <c r="F2050" s="23"/>
      <c r="G2050" s="21">
        <f t="shared" si="8"/>
        <v>318539.46</v>
      </c>
      <c r="H2050" s="23"/>
      <c r="I2050" s="21">
        <f t="shared" si="15"/>
        <v>781.68</v>
      </c>
      <c r="J2050" s="23"/>
      <c r="K2050" s="21">
        <f t="shared" si="13"/>
        <v>204430.28</v>
      </c>
      <c r="L2050" s="23"/>
      <c r="M2050" s="21">
        <f t="shared" si="16"/>
        <v>1894.93</v>
      </c>
    </row>
    <row r="2051" ht="20.25" customHeight="1" outlineLevel="1">
      <c r="A2051" s="12"/>
      <c r="B2051" s="13"/>
      <c r="C2051" s="85"/>
      <c r="D2051" s="20"/>
      <c r="E2051" s="21">
        <f t="shared" si="1"/>
        <v>12593.22</v>
      </c>
      <c r="F2051" s="23"/>
      <c r="G2051" s="21">
        <f t="shared" si="8"/>
        <v>318539.46</v>
      </c>
      <c r="H2051" s="23"/>
      <c r="I2051" s="21">
        <f t="shared" si="15"/>
        <v>781.68</v>
      </c>
      <c r="J2051" s="23"/>
      <c r="K2051" s="21">
        <f t="shared" si="13"/>
        <v>204430.28</v>
      </c>
      <c r="L2051" s="23"/>
      <c r="M2051" s="21">
        <f t="shared" si="16"/>
        <v>1894.93</v>
      </c>
    </row>
    <row r="2052" ht="20.25" customHeight="1" outlineLevel="1">
      <c r="A2052" s="12"/>
      <c r="B2052" s="13"/>
      <c r="C2052" s="85"/>
      <c r="D2052" s="20"/>
      <c r="E2052" s="21">
        <f t="shared" si="1"/>
        <v>12593.22</v>
      </c>
      <c r="F2052" s="23"/>
      <c r="G2052" s="21">
        <f t="shared" si="8"/>
        <v>318539.46</v>
      </c>
      <c r="H2052" s="23"/>
      <c r="I2052" s="21">
        <f t="shared" si="15"/>
        <v>781.68</v>
      </c>
      <c r="J2052" s="23"/>
      <c r="K2052" s="21">
        <f t="shared" si="13"/>
        <v>204430.28</v>
      </c>
      <c r="L2052" s="23"/>
      <c r="M2052" s="21">
        <f t="shared" si="16"/>
        <v>1894.93</v>
      </c>
    </row>
    <row r="2053" ht="20.25" customHeight="1" outlineLevel="1">
      <c r="A2053" s="12"/>
      <c r="B2053" s="13"/>
      <c r="C2053" s="85"/>
      <c r="D2053" s="20"/>
      <c r="E2053" s="21">
        <f t="shared" si="1"/>
        <v>12593.22</v>
      </c>
      <c r="F2053" s="23"/>
      <c r="G2053" s="21">
        <f t="shared" si="8"/>
        <v>318539.46</v>
      </c>
      <c r="H2053" s="23"/>
      <c r="I2053" s="21">
        <f t="shared" si="15"/>
        <v>781.68</v>
      </c>
      <c r="J2053" s="23"/>
      <c r="K2053" s="21">
        <f t="shared" si="13"/>
        <v>204430.28</v>
      </c>
      <c r="L2053" s="23"/>
      <c r="M2053" s="21">
        <f t="shared" si="16"/>
        <v>1894.93</v>
      </c>
    </row>
    <row r="2054" ht="20.25" customHeight="1" outlineLevel="1">
      <c r="A2054" s="12"/>
      <c r="B2054" s="13"/>
      <c r="C2054" s="85"/>
      <c r="D2054" s="20"/>
      <c r="E2054" s="21">
        <f t="shared" si="1"/>
        <v>12593.22</v>
      </c>
      <c r="F2054" s="23"/>
      <c r="G2054" s="21">
        <f t="shared" si="8"/>
        <v>318539.46</v>
      </c>
      <c r="H2054" s="23"/>
      <c r="I2054" s="21">
        <f t="shared" si="15"/>
        <v>781.68</v>
      </c>
      <c r="J2054" s="23"/>
      <c r="K2054" s="21">
        <f t="shared" si="13"/>
        <v>204430.28</v>
      </c>
      <c r="L2054" s="23"/>
      <c r="M2054" s="21">
        <f t="shared" si="16"/>
        <v>1894.93</v>
      </c>
    </row>
    <row r="2055" ht="20.25" customHeight="1" outlineLevel="1">
      <c r="A2055" s="12"/>
      <c r="B2055" s="13"/>
      <c r="C2055" s="85"/>
      <c r="D2055" s="20"/>
      <c r="E2055" s="21">
        <f t="shared" si="1"/>
        <v>12593.22</v>
      </c>
      <c r="F2055" s="23"/>
      <c r="G2055" s="21">
        <f t="shared" si="8"/>
        <v>318539.46</v>
      </c>
      <c r="H2055" s="23"/>
      <c r="I2055" s="21">
        <f t="shared" si="15"/>
        <v>781.68</v>
      </c>
      <c r="J2055" s="23"/>
      <c r="K2055" s="21">
        <f t="shared" si="13"/>
        <v>204430.28</v>
      </c>
      <c r="L2055" s="23"/>
      <c r="M2055" s="21">
        <f t="shared" si="16"/>
        <v>1894.93</v>
      </c>
    </row>
    <row r="2056" ht="20.25" customHeight="1" outlineLevel="1">
      <c r="A2056" s="12"/>
      <c r="B2056" s="13"/>
      <c r="C2056" s="85"/>
      <c r="D2056" s="20"/>
      <c r="E2056" s="21">
        <f t="shared" si="1"/>
        <v>12593.22</v>
      </c>
      <c r="F2056" s="23"/>
      <c r="G2056" s="21">
        <f t="shared" si="8"/>
        <v>318539.46</v>
      </c>
      <c r="H2056" s="23"/>
      <c r="I2056" s="21">
        <f t="shared" si="15"/>
        <v>781.68</v>
      </c>
      <c r="J2056" s="23"/>
      <c r="K2056" s="21">
        <f t="shared" si="13"/>
        <v>204430.28</v>
      </c>
      <c r="L2056" s="23"/>
      <c r="M2056" s="21">
        <f t="shared" si="16"/>
        <v>1894.93</v>
      </c>
    </row>
    <row r="2057" ht="20.25" customHeight="1" outlineLevel="1">
      <c r="A2057" s="12"/>
      <c r="B2057" s="13"/>
      <c r="C2057" s="85"/>
      <c r="D2057" s="20"/>
      <c r="E2057" s="21">
        <f t="shared" si="1"/>
        <v>12593.22</v>
      </c>
      <c r="F2057" s="23"/>
      <c r="G2057" s="21">
        <f t="shared" si="8"/>
        <v>318539.46</v>
      </c>
      <c r="H2057" s="23"/>
      <c r="I2057" s="21">
        <f t="shared" si="15"/>
        <v>781.68</v>
      </c>
      <c r="J2057" s="23"/>
      <c r="K2057" s="21">
        <f t="shared" si="13"/>
        <v>204430.28</v>
      </c>
      <c r="L2057" s="23"/>
      <c r="M2057" s="21">
        <f t="shared" si="16"/>
        <v>1894.93</v>
      </c>
    </row>
    <row r="2058" ht="20.25" customHeight="1" outlineLevel="1">
      <c r="A2058" s="12"/>
      <c r="B2058" s="13"/>
      <c r="C2058" s="85"/>
      <c r="D2058" s="20"/>
      <c r="E2058" s="21">
        <f t="shared" si="1"/>
        <v>12593.22</v>
      </c>
      <c r="F2058" s="23"/>
      <c r="G2058" s="21">
        <f t="shared" si="8"/>
        <v>318539.46</v>
      </c>
      <c r="H2058" s="23"/>
      <c r="I2058" s="21">
        <f t="shared" si="15"/>
        <v>781.68</v>
      </c>
      <c r="J2058" s="23"/>
      <c r="K2058" s="21">
        <f t="shared" si="13"/>
        <v>204430.28</v>
      </c>
      <c r="L2058" s="23"/>
      <c r="M2058" s="21">
        <f t="shared" si="16"/>
        <v>1894.93</v>
      </c>
    </row>
    <row r="2059" ht="20.25" customHeight="1" outlineLevel="1">
      <c r="A2059" s="12"/>
      <c r="B2059" s="13"/>
      <c r="C2059" s="85"/>
      <c r="D2059" s="20"/>
      <c r="E2059" s="21">
        <f t="shared" si="1"/>
        <v>12593.22</v>
      </c>
      <c r="F2059" s="23"/>
      <c r="G2059" s="21">
        <f t="shared" si="8"/>
        <v>318539.46</v>
      </c>
      <c r="H2059" s="23"/>
      <c r="I2059" s="21">
        <f t="shared" si="15"/>
        <v>781.68</v>
      </c>
      <c r="J2059" s="23"/>
      <c r="K2059" s="21">
        <f t="shared" si="13"/>
        <v>204430.28</v>
      </c>
      <c r="L2059" s="23"/>
      <c r="M2059" s="21">
        <f t="shared" si="16"/>
        <v>1894.93</v>
      </c>
    </row>
    <row r="2060" ht="20.25" customHeight="1" outlineLevel="1">
      <c r="A2060" s="12"/>
      <c r="B2060" s="13"/>
      <c r="C2060" s="85"/>
      <c r="D2060" s="20"/>
      <c r="E2060" s="21">
        <f t="shared" si="1"/>
        <v>12593.22</v>
      </c>
      <c r="F2060" s="23"/>
      <c r="G2060" s="21">
        <f t="shared" si="8"/>
        <v>318539.46</v>
      </c>
      <c r="H2060" s="23"/>
      <c r="I2060" s="21">
        <f t="shared" si="15"/>
        <v>781.68</v>
      </c>
      <c r="J2060" s="23"/>
      <c r="K2060" s="21">
        <f t="shared" si="13"/>
        <v>204430.28</v>
      </c>
      <c r="L2060" s="23"/>
      <c r="M2060" s="21">
        <f t="shared" si="16"/>
        <v>1894.93</v>
      </c>
    </row>
    <row r="2061" ht="20.25" customHeight="1" outlineLevel="1">
      <c r="A2061" s="12"/>
      <c r="B2061" s="13"/>
      <c r="C2061" s="107"/>
      <c r="D2061" s="20"/>
      <c r="E2061" s="21">
        <f t="shared" si="1"/>
        <v>12593.22</v>
      </c>
      <c r="F2061" s="23"/>
      <c r="G2061" s="21">
        <f t="shared" si="8"/>
        <v>318539.46</v>
      </c>
      <c r="H2061" s="23"/>
      <c r="I2061" s="21">
        <f t="shared" si="15"/>
        <v>781.68</v>
      </c>
      <c r="J2061" s="23"/>
      <c r="K2061" s="21">
        <f t="shared" si="13"/>
        <v>204430.28</v>
      </c>
      <c r="L2061" s="23"/>
      <c r="M2061" s="21">
        <f t="shared" si="16"/>
        <v>1894.93</v>
      </c>
    </row>
    <row r="2062" ht="20.25" customHeight="1" outlineLevel="1">
      <c r="A2062" s="12"/>
      <c r="B2062" s="13"/>
      <c r="C2062" s="107"/>
      <c r="D2062" s="20"/>
      <c r="E2062" s="21">
        <f t="shared" si="1"/>
        <v>12593.22</v>
      </c>
      <c r="F2062" s="23"/>
      <c r="G2062" s="21">
        <f t="shared" si="8"/>
        <v>318539.46</v>
      </c>
      <c r="H2062" s="23"/>
      <c r="I2062" s="21">
        <f t="shared" si="15"/>
        <v>781.68</v>
      </c>
      <c r="J2062" s="23"/>
      <c r="K2062" s="21">
        <f t="shared" si="13"/>
        <v>204430.28</v>
      </c>
      <c r="L2062" s="23"/>
      <c r="M2062" s="21">
        <f t="shared" si="16"/>
        <v>1894.93</v>
      </c>
    </row>
    <row r="2063" ht="20.25" customHeight="1" outlineLevel="1">
      <c r="A2063" s="12"/>
      <c r="B2063" s="13"/>
      <c r="C2063" s="85"/>
      <c r="D2063" s="20"/>
      <c r="E2063" s="21">
        <f t="shared" si="1"/>
        <v>12593.22</v>
      </c>
      <c r="F2063" s="23"/>
      <c r="G2063" s="21">
        <f t="shared" si="8"/>
        <v>318539.46</v>
      </c>
      <c r="H2063" s="23"/>
      <c r="I2063" s="21">
        <f t="shared" si="15"/>
        <v>781.68</v>
      </c>
      <c r="J2063" s="23"/>
      <c r="K2063" s="21">
        <f t="shared" si="13"/>
        <v>204430.28</v>
      </c>
      <c r="L2063" s="23"/>
      <c r="M2063" s="21">
        <f t="shared" si="16"/>
        <v>1894.93</v>
      </c>
    </row>
    <row r="2064" ht="20.25" customHeight="1" outlineLevel="1">
      <c r="A2064" s="12"/>
      <c r="B2064" s="13"/>
      <c r="C2064" s="85"/>
      <c r="D2064" s="20"/>
      <c r="E2064" s="21">
        <f t="shared" si="1"/>
        <v>12593.22</v>
      </c>
      <c r="F2064" s="23"/>
      <c r="G2064" s="21">
        <f t="shared" si="8"/>
        <v>318539.46</v>
      </c>
      <c r="H2064" s="23"/>
      <c r="I2064" s="21">
        <f t="shared" si="15"/>
        <v>781.68</v>
      </c>
      <c r="J2064" s="23"/>
      <c r="K2064" s="21">
        <f t="shared" si="13"/>
        <v>204430.28</v>
      </c>
      <c r="L2064" s="23"/>
      <c r="M2064" s="21">
        <f t="shared" si="16"/>
        <v>1894.93</v>
      </c>
    </row>
    <row r="2065" ht="20.25" customHeight="1" outlineLevel="1">
      <c r="A2065" s="12"/>
      <c r="B2065" s="13"/>
      <c r="C2065" s="85"/>
      <c r="D2065" s="20"/>
      <c r="E2065" s="21">
        <f t="shared" si="1"/>
        <v>12593.22</v>
      </c>
      <c r="F2065" s="23"/>
      <c r="G2065" s="21">
        <f t="shared" si="8"/>
        <v>318539.46</v>
      </c>
      <c r="H2065" s="23"/>
      <c r="I2065" s="21">
        <f t="shared" si="15"/>
        <v>781.68</v>
      </c>
      <c r="J2065" s="23"/>
      <c r="K2065" s="21">
        <f t="shared" si="13"/>
        <v>204430.28</v>
      </c>
      <c r="L2065" s="23"/>
      <c r="M2065" s="21">
        <f t="shared" si="16"/>
        <v>1894.93</v>
      </c>
    </row>
    <row r="2066" ht="20.25" customHeight="1" outlineLevel="1">
      <c r="A2066" s="12"/>
      <c r="B2066" s="13"/>
      <c r="C2066" s="85"/>
      <c r="D2066" s="20"/>
      <c r="E2066" s="21">
        <f t="shared" si="1"/>
        <v>12593.22</v>
      </c>
      <c r="F2066" s="23"/>
      <c r="G2066" s="21">
        <f t="shared" si="8"/>
        <v>318539.46</v>
      </c>
      <c r="H2066" s="23"/>
      <c r="I2066" s="21">
        <f t="shared" si="15"/>
        <v>781.68</v>
      </c>
      <c r="J2066" s="23"/>
      <c r="K2066" s="21">
        <f t="shared" si="13"/>
        <v>204430.28</v>
      </c>
      <c r="L2066" s="23"/>
      <c r="M2066" s="21">
        <f t="shared" si="16"/>
        <v>1894.93</v>
      </c>
    </row>
    <row r="2067" ht="20.25" customHeight="1" outlineLevel="1">
      <c r="A2067" s="12"/>
      <c r="B2067" s="13"/>
      <c r="C2067" s="85"/>
      <c r="D2067" s="20"/>
      <c r="E2067" s="21">
        <f t="shared" si="1"/>
        <v>12593.22</v>
      </c>
      <c r="F2067" s="23"/>
      <c r="G2067" s="21">
        <f t="shared" si="8"/>
        <v>318539.46</v>
      </c>
      <c r="H2067" s="23"/>
      <c r="I2067" s="21">
        <f t="shared" si="15"/>
        <v>781.68</v>
      </c>
      <c r="J2067" s="23"/>
      <c r="K2067" s="21">
        <f t="shared" si="13"/>
        <v>204430.28</v>
      </c>
      <c r="L2067" s="23"/>
      <c r="M2067" s="21">
        <f t="shared" si="16"/>
        <v>1894.93</v>
      </c>
    </row>
    <row r="2068" ht="20.25" customHeight="1" outlineLevel="1">
      <c r="A2068" s="12"/>
      <c r="B2068" s="13"/>
      <c r="C2068" s="85"/>
      <c r="D2068" s="20"/>
      <c r="E2068" s="21">
        <f t="shared" si="1"/>
        <v>12593.22</v>
      </c>
      <c r="F2068" s="23"/>
      <c r="G2068" s="21">
        <f t="shared" si="8"/>
        <v>318539.46</v>
      </c>
      <c r="H2068" s="23"/>
      <c r="I2068" s="21">
        <f t="shared" si="15"/>
        <v>781.68</v>
      </c>
      <c r="J2068" s="23"/>
      <c r="K2068" s="21">
        <f t="shared" si="13"/>
        <v>204430.28</v>
      </c>
      <c r="L2068" s="23"/>
      <c r="M2068" s="21">
        <f t="shared" si="16"/>
        <v>1894.93</v>
      </c>
    </row>
    <row r="2069" ht="20.25" customHeight="1" outlineLevel="1">
      <c r="A2069" s="12"/>
      <c r="B2069" s="13"/>
      <c r="C2069" s="85"/>
      <c r="D2069" s="20"/>
      <c r="E2069" s="21">
        <f t="shared" si="1"/>
        <v>12593.22</v>
      </c>
      <c r="F2069" s="23"/>
      <c r="G2069" s="21">
        <f t="shared" si="8"/>
        <v>318539.46</v>
      </c>
      <c r="H2069" s="23"/>
      <c r="I2069" s="21">
        <f t="shared" si="15"/>
        <v>781.68</v>
      </c>
      <c r="J2069" s="23"/>
      <c r="K2069" s="21">
        <f t="shared" si="13"/>
        <v>204430.28</v>
      </c>
      <c r="L2069" s="23"/>
      <c r="M2069" s="21">
        <f t="shared" si="16"/>
        <v>1894.93</v>
      </c>
    </row>
    <row r="2070" ht="20.25" customHeight="1" outlineLevel="1">
      <c r="A2070" s="12"/>
      <c r="B2070" s="13"/>
      <c r="C2070" s="85"/>
      <c r="D2070" s="20"/>
      <c r="E2070" s="21">
        <f t="shared" si="1"/>
        <v>12593.22</v>
      </c>
      <c r="F2070" s="23"/>
      <c r="G2070" s="21">
        <f t="shared" si="8"/>
        <v>318539.46</v>
      </c>
      <c r="H2070" s="23"/>
      <c r="I2070" s="21">
        <f t="shared" si="15"/>
        <v>781.68</v>
      </c>
      <c r="J2070" s="23"/>
      <c r="K2070" s="21">
        <f t="shared" si="13"/>
        <v>204430.28</v>
      </c>
      <c r="L2070" s="23"/>
      <c r="M2070" s="21">
        <f t="shared" si="16"/>
        <v>1894.93</v>
      </c>
    </row>
    <row r="2071" ht="20.25" customHeight="1" outlineLevel="1">
      <c r="A2071" s="12"/>
      <c r="B2071" s="13"/>
      <c r="C2071" s="85"/>
      <c r="D2071" s="20"/>
      <c r="E2071" s="21">
        <f t="shared" si="1"/>
        <v>12593.22</v>
      </c>
      <c r="F2071" s="23"/>
      <c r="G2071" s="21">
        <f t="shared" si="8"/>
        <v>318539.46</v>
      </c>
      <c r="H2071" s="23"/>
      <c r="I2071" s="21">
        <f t="shared" si="15"/>
        <v>781.68</v>
      </c>
      <c r="J2071" s="23"/>
      <c r="K2071" s="21">
        <f t="shared" si="13"/>
        <v>204430.28</v>
      </c>
      <c r="L2071" s="23"/>
      <c r="M2071" s="21">
        <f t="shared" si="16"/>
        <v>1894.93</v>
      </c>
    </row>
    <row r="2072" ht="20.25" customHeight="1" outlineLevel="1">
      <c r="A2072" s="12"/>
      <c r="B2072" s="13"/>
      <c r="C2072" s="85"/>
      <c r="D2072" s="20"/>
      <c r="E2072" s="21">
        <f t="shared" si="1"/>
        <v>12593.22</v>
      </c>
      <c r="F2072" s="23"/>
      <c r="G2072" s="21">
        <f t="shared" si="8"/>
        <v>318539.46</v>
      </c>
      <c r="H2072" s="23"/>
      <c r="I2072" s="21">
        <f t="shared" si="15"/>
        <v>781.68</v>
      </c>
      <c r="J2072" s="23"/>
      <c r="K2072" s="21">
        <f t="shared" si="13"/>
        <v>204430.28</v>
      </c>
      <c r="L2072" s="23"/>
      <c r="M2072" s="21">
        <f t="shared" si="16"/>
        <v>1894.93</v>
      </c>
    </row>
    <row r="2073" ht="20.25" customHeight="1" outlineLevel="1">
      <c r="A2073" s="12"/>
      <c r="B2073" s="13"/>
      <c r="C2073" s="85"/>
      <c r="D2073" s="20"/>
      <c r="E2073" s="21">
        <f t="shared" si="1"/>
        <v>12593.22</v>
      </c>
      <c r="F2073" s="23"/>
      <c r="G2073" s="21">
        <f t="shared" si="8"/>
        <v>318539.46</v>
      </c>
      <c r="H2073" s="23"/>
      <c r="I2073" s="21">
        <f t="shared" si="15"/>
        <v>781.68</v>
      </c>
      <c r="J2073" s="23"/>
      <c r="K2073" s="21">
        <f t="shared" si="13"/>
        <v>204430.28</v>
      </c>
      <c r="L2073" s="23"/>
      <c r="M2073" s="21">
        <f t="shared" si="16"/>
        <v>1894.93</v>
      </c>
    </row>
    <row r="2074" ht="20.25" customHeight="1" outlineLevel="1">
      <c r="A2074" s="12"/>
      <c r="B2074" s="13"/>
      <c r="C2074" s="85"/>
      <c r="D2074" s="20"/>
      <c r="E2074" s="21">
        <f t="shared" si="1"/>
        <v>12593.22</v>
      </c>
      <c r="F2074" s="23"/>
      <c r="G2074" s="21">
        <f t="shared" si="8"/>
        <v>318539.46</v>
      </c>
      <c r="H2074" s="23"/>
      <c r="I2074" s="21">
        <f t="shared" si="15"/>
        <v>781.68</v>
      </c>
      <c r="J2074" s="23"/>
      <c r="K2074" s="21">
        <f t="shared" si="13"/>
        <v>204430.28</v>
      </c>
      <c r="L2074" s="23"/>
      <c r="M2074" s="21">
        <f t="shared" si="16"/>
        <v>1894.93</v>
      </c>
    </row>
    <row r="2075" ht="20.25" customHeight="1" outlineLevel="1">
      <c r="A2075" s="12"/>
      <c r="B2075" s="13"/>
      <c r="C2075" s="85"/>
      <c r="D2075" s="20"/>
      <c r="E2075" s="21">
        <f t="shared" si="1"/>
        <v>12593.22</v>
      </c>
      <c r="F2075" s="23"/>
      <c r="G2075" s="21">
        <f t="shared" si="8"/>
        <v>318539.46</v>
      </c>
      <c r="H2075" s="23"/>
      <c r="I2075" s="21">
        <f t="shared" si="15"/>
        <v>781.68</v>
      </c>
      <c r="J2075" s="23"/>
      <c r="K2075" s="21">
        <f t="shared" si="13"/>
        <v>204430.28</v>
      </c>
      <c r="L2075" s="23"/>
      <c r="M2075" s="21">
        <f t="shared" si="16"/>
        <v>1894.93</v>
      </c>
    </row>
    <row r="2076" ht="20.25" customHeight="1" outlineLevel="1">
      <c r="A2076" s="12"/>
      <c r="B2076" s="13"/>
      <c r="C2076" s="85"/>
      <c r="D2076" s="20"/>
      <c r="E2076" s="21">
        <f t="shared" si="1"/>
        <v>12593.22</v>
      </c>
      <c r="F2076" s="23"/>
      <c r="G2076" s="21">
        <f t="shared" si="8"/>
        <v>318539.46</v>
      </c>
      <c r="H2076" s="23"/>
      <c r="I2076" s="21">
        <f t="shared" si="15"/>
        <v>781.68</v>
      </c>
      <c r="J2076" s="23"/>
      <c r="K2076" s="21">
        <f t="shared" si="13"/>
        <v>204430.28</v>
      </c>
      <c r="L2076" s="23"/>
      <c r="M2076" s="21">
        <f t="shared" si="16"/>
        <v>1894.93</v>
      </c>
    </row>
    <row r="2077" ht="20.25" customHeight="1" outlineLevel="1">
      <c r="A2077" s="12"/>
      <c r="B2077" s="13"/>
      <c r="C2077" s="85"/>
      <c r="D2077" s="20"/>
      <c r="E2077" s="21">
        <f t="shared" si="1"/>
        <v>12593.22</v>
      </c>
      <c r="F2077" s="23"/>
      <c r="G2077" s="21">
        <f t="shared" si="8"/>
        <v>318539.46</v>
      </c>
      <c r="H2077" s="23"/>
      <c r="I2077" s="21">
        <f t="shared" si="15"/>
        <v>781.68</v>
      </c>
      <c r="J2077" s="23"/>
      <c r="K2077" s="21">
        <f t="shared" si="13"/>
        <v>204430.28</v>
      </c>
      <c r="L2077" s="23"/>
      <c r="M2077" s="21">
        <f t="shared" si="16"/>
        <v>1894.93</v>
      </c>
    </row>
    <row r="2078" ht="20.25" customHeight="1" outlineLevel="1">
      <c r="A2078" s="12"/>
      <c r="B2078" s="13"/>
      <c r="C2078" s="107"/>
      <c r="D2078" s="20"/>
      <c r="E2078" s="21">
        <f t="shared" si="1"/>
        <v>12593.22</v>
      </c>
      <c r="F2078" s="23"/>
      <c r="G2078" s="21">
        <f t="shared" si="8"/>
        <v>318539.46</v>
      </c>
      <c r="H2078" s="23"/>
      <c r="I2078" s="21">
        <f t="shared" si="15"/>
        <v>781.68</v>
      </c>
      <c r="J2078" s="23"/>
      <c r="K2078" s="21">
        <f t="shared" si="13"/>
        <v>204430.28</v>
      </c>
      <c r="L2078" s="23"/>
      <c r="M2078" s="21">
        <f t="shared" si="16"/>
        <v>1894.93</v>
      </c>
    </row>
    <row r="2079" ht="20.25" customHeight="1" outlineLevel="1">
      <c r="A2079" s="12"/>
      <c r="B2079" s="13"/>
      <c r="C2079" s="85"/>
      <c r="D2079" s="20"/>
      <c r="E2079" s="21">
        <f t="shared" si="1"/>
        <v>12593.22</v>
      </c>
      <c r="F2079" s="23"/>
      <c r="G2079" s="21">
        <f t="shared" si="8"/>
        <v>318539.46</v>
      </c>
      <c r="H2079" s="23"/>
      <c r="I2079" s="21">
        <f t="shared" si="15"/>
        <v>781.68</v>
      </c>
      <c r="J2079" s="23"/>
      <c r="K2079" s="21">
        <f t="shared" si="13"/>
        <v>204430.28</v>
      </c>
      <c r="L2079" s="23"/>
      <c r="M2079" s="21">
        <f t="shared" si="16"/>
        <v>1894.93</v>
      </c>
    </row>
    <row r="2080" ht="20.25" customHeight="1" outlineLevel="1">
      <c r="A2080" s="12"/>
      <c r="B2080" s="13"/>
      <c r="C2080" s="85"/>
      <c r="D2080" s="20"/>
      <c r="E2080" s="21">
        <f t="shared" si="1"/>
        <v>12593.22</v>
      </c>
      <c r="F2080" s="23"/>
      <c r="G2080" s="21">
        <f t="shared" si="8"/>
        <v>318539.46</v>
      </c>
      <c r="H2080" s="23"/>
      <c r="I2080" s="21">
        <f t="shared" si="15"/>
        <v>781.68</v>
      </c>
      <c r="J2080" s="23"/>
      <c r="K2080" s="21">
        <f t="shared" si="13"/>
        <v>204430.28</v>
      </c>
      <c r="L2080" s="23"/>
      <c r="M2080" s="21">
        <f t="shared" si="16"/>
        <v>1894.93</v>
      </c>
    </row>
    <row r="2081" ht="20.25" customHeight="1" outlineLevel="1">
      <c r="A2081" s="12"/>
      <c r="B2081" s="13"/>
      <c r="C2081" s="85"/>
      <c r="D2081" s="20"/>
      <c r="E2081" s="21">
        <f t="shared" si="1"/>
        <v>12593.22</v>
      </c>
      <c r="F2081" s="23"/>
      <c r="G2081" s="21">
        <f t="shared" si="8"/>
        <v>318539.46</v>
      </c>
      <c r="H2081" s="23"/>
      <c r="I2081" s="21">
        <f t="shared" si="15"/>
        <v>781.68</v>
      </c>
      <c r="J2081" s="23"/>
      <c r="K2081" s="21">
        <f t="shared" si="13"/>
        <v>204430.28</v>
      </c>
      <c r="L2081" s="23"/>
      <c r="M2081" s="21">
        <f t="shared" si="16"/>
        <v>1894.93</v>
      </c>
    </row>
    <row r="2082" ht="20.25" customHeight="1" outlineLevel="1">
      <c r="A2082" s="12"/>
      <c r="B2082" s="13"/>
      <c r="C2082" s="85"/>
      <c r="D2082" s="20"/>
      <c r="E2082" s="21">
        <f t="shared" si="1"/>
        <v>12593.22</v>
      </c>
      <c r="F2082" s="23"/>
      <c r="G2082" s="21">
        <f t="shared" si="8"/>
        <v>318539.46</v>
      </c>
      <c r="H2082" s="23"/>
      <c r="I2082" s="21">
        <f t="shared" si="15"/>
        <v>781.68</v>
      </c>
      <c r="J2082" s="23"/>
      <c r="K2082" s="21">
        <f t="shared" si="13"/>
        <v>204430.28</v>
      </c>
      <c r="L2082" s="23"/>
      <c r="M2082" s="21">
        <f t="shared" si="16"/>
        <v>1894.93</v>
      </c>
    </row>
    <row r="2083" ht="20.25" customHeight="1" outlineLevel="1">
      <c r="A2083" s="12"/>
      <c r="B2083" s="13"/>
      <c r="C2083" s="85"/>
      <c r="D2083" s="20"/>
      <c r="E2083" s="21">
        <f t="shared" si="1"/>
        <v>12593.22</v>
      </c>
      <c r="F2083" s="23"/>
      <c r="G2083" s="21">
        <f t="shared" si="8"/>
        <v>318539.46</v>
      </c>
      <c r="H2083" s="23"/>
      <c r="I2083" s="21">
        <f t="shared" si="15"/>
        <v>781.68</v>
      </c>
      <c r="J2083" s="23"/>
      <c r="K2083" s="21">
        <f t="shared" si="13"/>
        <v>204430.28</v>
      </c>
      <c r="L2083" s="23"/>
      <c r="M2083" s="21">
        <f t="shared" si="16"/>
        <v>1894.93</v>
      </c>
    </row>
    <row r="2084" ht="20.25" customHeight="1" outlineLevel="1">
      <c r="A2084" s="12"/>
      <c r="B2084" s="13"/>
      <c r="C2084" s="85"/>
      <c r="D2084" s="20"/>
      <c r="E2084" s="21">
        <f t="shared" si="1"/>
        <v>12593.22</v>
      </c>
      <c r="F2084" s="23"/>
      <c r="G2084" s="21">
        <f t="shared" si="8"/>
        <v>318539.46</v>
      </c>
      <c r="H2084" s="23"/>
      <c r="I2084" s="21">
        <f t="shared" si="15"/>
        <v>781.68</v>
      </c>
      <c r="J2084" s="23"/>
      <c r="K2084" s="21">
        <f t="shared" si="13"/>
        <v>204430.28</v>
      </c>
      <c r="L2084" s="23"/>
      <c r="M2084" s="21">
        <f t="shared" si="16"/>
        <v>1894.93</v>
      </c>
    </row>
    <row r="2085" ht="20.25" customHeight="1" outlineLevel="1">
      <c r="A2085" s="12"/>
      <c r="B2085" s="13"/>
      <c r="C2085" s="85"/>
      <c r="D2085" s="20"/>
      <c r="E2085" s="21">
        <f t="shared" si="1"/>
        <v>12593.22</v>
      </c>
      <c r="F2085" s="23"/>
      <c r="G2085" s="21">
        <f t="shared" si="8"/>
        <v>318539.46</v>
      </c>
      <c r="H2085" s="23"/>
      <c r="I2085" s="21">
        <f t="shared" si="15"/>
        <v>781.68</v>
      </c>
      <c r="J2085" s="23"/>
      <c r="K2085" s="21">
        <f t="shared" si="13"/>
        <v>204430.28</v>
      </c>
      <c r="L2085" s="23"/>
      <c r="M2085" s="21">
        <f t="shared" si="16"/>
        <v>1894.93</v>
      </c>
    </row>
    <row r="2086" ht="20.25" customHeight="1" outlineLevel="1">
      <c r="A2086" s="12"/>
      <c r="B2086" s="13"/>
      <c r="C2086" s="85"/>
      <c r="D2086" s="20"/>
      <c r="E2086" s="21">
        <f t="shared" si="1"/>
        <v>12593.22</v>
      </c>
      <c r="F2086" s="23"/>
      <c r="G2086" s="21">
        <f t="shared" si="8"/>
        <v>318539.46</v>
      </c>
      <c r="H2086" s="23"/>
      <c r="I2086" s="21">
        <f t="shared" si="15"/>
        <v>781.68</v>
      </c>
      <c r="J2086" s="23"/>
      <c r="K2086" s="21">
        <f t="shared" si="13"/>
        <v>204430.28</v>
      </c>
      <c r="L2086" s="23"/>
      <c r="M2086" s="21">
        <f t="shared" si="16"/>
        <v>1894.93</v>
      </c>
    </row>
    <row r="2087" ht="20.25" customHeight="1" outlineLevel="1">
      <c r="A2087" s="12"/>
      <c r="B2087" s="13"/>
      <c r="C2087" s="85"/>
      <c r="D2087" s="20"/>
      <c r="E2087" s="21">
        <f t="shared" si="1"/>
        <v>12593.22</v>
      </c>
      <c r="F2087" s="23"/>
      <c r="G2087" s="21">
        <f t="shared" si="8"/>
        <v>318539.46</v>
      </c>
      <c r="H2087" s="23"/>
      <c r="I2087" s="21">
        <f t="shared" si="15"/>
        <v>781.68</v>
      </c>
      <c r="J2087" s="23"/>
      <c r="K2087" s="21">
        <f t="shared" si="13"/>
        <v>204430.28</v>
      </c>
      <c r="L2087" s="23"/>
      <c r="M2087" s="21">
        <f t="shared" si="16"/>
        <v>1894.93</v>
      </c>
    </row>
    <row r="2088" ht="20.25" customHeight="1" outlineLevel="1">
      <c r="A2088" s="12"/>
      <c r="B2088" s="13"/>
      <c r="C2088" s="85"/>
      <c r="D2088" s="20"/>
      <c r="E2088" s="21">
        <f t="shared" si="1"/>
        <v>12593.22</v>
      </c>
      <c r="F2088" s="23"/>
      <c r="G2088" s="21">
        <f t="shared" si="8"/>
        <v>318539.46</v>
      </c>
      <c r="H2088" s="23"/>
      <c r="I2088" s="21">
        <f t="shared" si="15"/>
        <v>781.68</v>
      </c>
      <c r="J2088" s="23"/>
      <c r="K2088" s="21">
        <f t="shared" si="13"/>
        <v>204430.28</v>
      </c>
      <c r="L2088" s="23"/>
      <c r="M2088" s="21">
        <f t="shared" si="16"/>
        <v>1894.93</v>
      </c>
    </row>
    <row r="2089" ht="20.25" customHeight="1" outlineLevel="1">
      <c r="A2089" s="12"/>
      <c r="B2089" s="13"/>
      <c r="C2089" s="85"/>
      <c r="D2089" s="20"/>
      <c r="E2089" s="21">
        <f t="shared" si="1"/>
        <v>12593.22</v>
      </c>
      <c r="F2089" s="23"/>
      <c r="G2089" s="21">
        <f t="shared" si="8"/>
        <v>318539.46</v>
      </c>
      <c r="H2089" s="23"/>
      <c r="I2089" s="21">
        <f t="shared" si="15"/>
        <v>781.68</v>
      </c>
      <c r="J2089" s="23"/>
      <c r="K2089" s="21">
        <f t="shared" si="13"/>
        <v>204430.28</v>
      </c>
      <c r="L2089" s="23"/>
      <c r="M2089" s="21">
        <f t="shared" si="16"/>
        <v>1894.93</v>
      </c>
    </row>
    <row r="2090" ht="20.25" customHeight="1" outlineLevel="1">
      <c r="A2090" s="12"/>
      <c r="B2090" s="13"/>
      <c r="C2090" s="85"/>
      <c r="D2090" s="20"/>
      <c r="E2090" s="21">
        <f t="shared" si="1"/>
        <v>12593.22</v>
      </c>
      <c r="F2090" s="23"/>
      <c r="G2090" s="21">
        <f t="shared" si="8"/>
        <v>318539.46</v>
      </c>
      <c r="H2090" s="23"/>
      <c r="I2090" s="21">
        <f t="shared" si="15"/>
        <v>781.68</v>
      </c>
      <c r="J2090" s="23"/>
      <c r="K2090" s="21">
        <f t="shared" si="13"/>
        <v>204430.28</v>
      </c>
      <c r="L2090" s="23"/>
      <c r="M2090" s="21">
        <f t="shared" si="16"/>
        <v>1894.93</v>
      </c>
    </row>
    <row r="2091" ht="20.25" customHeight="1" outlineLevel="1">
      <c r="A2091" s="12"/>
      <c r="B2091" s="13"/>
      <c r="C2091" s="85"/>
      <c r="D2091" s="20"/>
      <c r="E2091" s="21">
        <f t="shared" si="1"/>
        <v>12593.22</v>
      </c>
      <c r="F2091" s="23"/>
      <c r="G2091" s="21">
        <f t="shared" si="8"/>
        <v>318539.46</v>
      </c>
      <c r="H2091" s="23"/>
      <c r="I2091" s="21">
        <f t="shared" si="15"/>
        <v>781.68</v>
      </c>
      <c r="J2091" s="23"/>
      <c r="K2091" s="21">
        <f t="shared" si="13"/>
        <v>204430.28</v>
      </c>
      <c r="L2091" s="23"/>
      <c r="M2091" s="21">
        <f t="shared" si="16"/>
        <v>1894.93</v>
      </c>
    </row>
    <row r="2092" ht="20.25" customHeight="1" outlineLevel="1">
      <c r="A2092" s="12"/>
      <c r="B2092" s="13"/>
      <c r="C2092" s="85"/>
      <c r="D2092" s="20"/>
      <c r="E2092" s="21">
        <f t="shared" si="1"/>
        <v>12593.22</v>
      </c>
      <c r="F2092" s="23"/>
      <c r="G2092" s="21">
        <f t="shared" si="8"/>
        <v>318539.46</v>
      </c>
      <c r="H2092" s="23"/>
      <c r="I2092" s="21">
        <f t="shared" si="15"/>
        <v>781.68</v>
      </c>
      <c r="J2092" s="23"/>
      <c r="K2092" s="21">
        <f t="shared" si="13"/>
        <v>204430.28</v>
      </c>
      <c r="L2092" s="23"/>
      <c r="M2092" s="21">
        <f t="shared" si="16"/>
        <v>1894.93</v>
      </c>
    </row>
    <row r="2093" ht="20.25" customHeight="1" outlineLevel="1">
      <c r="A2093" s="12"/>
      <c r="B2093" s="13"/>
      <c r="C2093" s="85"/>
      <c r="D2093" s="20"/>
      <c r="E2093" s="21">
        <f t="shared" si="1"/>
        <v>12593.22</v>
      </c>
      <c r="F2093" s="23"/>
      <c r="G2093" s="21">
        <f t="shared" si="8"/>
        <v>318539.46</v>
      </c>
      <c r="H2093" s="23"/>
      <c r="I2093" s="21">
        <f t="shared" si="15"/>
        <v>781.68</v>
      </c>
      <c r="J2093" s="23"/>
      <c r="K2093" s="21">
        <f t="shared" si="13"/>
        <v>204430.28</v>
      </c>
      <c r="L2093" s="23"/>
      <c r="M2093" s="21">
        <f t="shared" si="16"/>
        <v>1894.93</v>
      </c>
    </row>
    <row r="2094" ht="20.25" customHeight="1" outlineLevel="1">
      <c r="A2094" s="12"/>
      <c r="B2094" s="13"/>
      <c r="C2094" s="85"/>
      <c r="D2094" s="20"/>
      <c r="E2094" s="21">
        <f t="shared" si="1"/>
        <v>12593.22</v>
      </c>
      <c r="F2094" s="23"/>
      <c r="G2094" s="21">
        <f t="shared" si="8"/>
        <v>318539.46</v>
      </c>
      <c r="H2094" s="23"/>
      <c r="I2094" s="21">
        <f t="shared" si="15"/>
        <v>781.68</v>
      </c>
      <c r="J2094" s="23"/>
      <c r="K2094" s="21">
        <f t="shared" si="13"/>
        <v>204430.28</v>
      </c>
      <c r="L2094" s="23"/>
      <c r="M2094" s="21">
        <f t="shared" si="16"/>
        <v>1894.93</v>
      </c>
    </row>
    <row r="2095" ht="20.25" customHeight="1" outlineLevel="1">
      <c r="A2095" s="12"/>
      <c r="B2095" s="13"/>
      <c r="C2095" s="85"/>
      <c r="D2095" s="20"/>
      <c r="E2095" s="21">
        <f t="shared" si="1"/>
        <v>12593.22</v>
      </c>
      <c r="F2095" s="23"/>
      <c r="G2095" s="21">
        <f t="shared" si="8"/>
        <v>318539.46</v>
      </c>
      <c r="H2095" s="23"/>
      <c r="I2095" s="21">
        <f t="shared" si="15"/>
        <v>781.68</v>
      </c>
      <c r="J2095" s="23"/>
      <c r="K2095" s="21">
        <f t="shared" si="13"/>
        <v>204430.28</v>
      </c>
      <c r="L2095" s="23"/>
      <c r="M2095" s="21">
        <f t="shared" si="16"/>
        <v>1894.93</v>
      </c>
    </row>
    <row r="2096" ht="20.25" customHeight="1" outlineLevel="1">
      <c r="A2096" s="12"/>
      <c r="B2096" s="13"/>
      <c r="C2096" s="85"/>
      <c r="D2096" s="20"/>
      <c r="E2096" s="21">
        <f t="shared" si="1"/>
        <v>12593.22</v>
      </c>
      <c r="F2096" s="23"/>
      <c r="G2096" s="21">
        <f t="shared" si="8"/>
        <v>318539.46</v>
      </c>
      <c r="H2096" s="23"/>
      <c r="I2096" s="21">
        <f t="shared" si="15"/>
        <v>781.68</v>
      </c>
      <c r="J2096" s="23"/>
      <c r="K2096" s="21">
        <f t="shared" si="13"/>
        <v>204430.28</v>
      </c>
      <c r="L2096" s="23"/>
      <c r="M2096" s="21">
        <f t="shared" si="16"/>
        <v>1894.93</v>
      </c>
    </row>
    <row r="2097" ht="20.25" customHeight="1" outlineLevel="1">
      <c r="A2097" s="12"/>
      <c r="B2097" s="13"/>
      <c r="C2097" s="85"/>
      <c r="D2097" s="20"/>
      <c r="E2097" s="21">
        <f t="shared" si="1"/>
        <v>12593.22</v>
      </c>
      <c r="F2097" s="23"/>
      <c r="G2097" s="21">
        <f t="shared" si="8"/>
        <v>318539.46</v>
      </c>
      <c r="H2097" s="23"/>
      <c r="I2097" s="21">
        <f t="shared" si="15"/>
        <v>781.68</v>
      </c>
      <c r="J2097" s="23"/>
      <c r="K2097" s="21">
        <f t="shared" si="13"/>
        <v>204430.28</v>
      </c>
      <c r="L2097" s="23"/>
      <c r="M2097" s="21">
        <f t="shared" si="16"/>
        <v>1894.93</v>
      </c>
    </row>
    <row r="2098" ht="20.25" customHeight="1" outlineLevel="1">
      <c r="A2098" s="12"/>
      <c r="B2098" s="13"/>
      <c r="C2098" s="85"/>
      <c r="D2098" s="20"/>
      <c r="E2098" s="21">
        <f t="shared" si="1"/>
        <v>12593.22</v>
      </c>
      <c r="F2098" s="23"/>
      <c r="G2098" s="21">
        <f t="shared" si="8"/>
        <v>318539.46</v>
      </c>
      <c r="H2098" s="23"/>
      <c r="I2098" s="21">
        <f t="shared" si="15"/>
        <v>781.68</v>
      </c>
      <c r="J2098" s="23"/>
      <c r="K2098" s="21">
        <f t="shared" si="13"/>
        <v>204430.28</v>
      </c>
      <c r="L2098" s="23"/>
      <c r="M2098" s="21">
        <f t="shared" si="16"/>
        <v>1894.93</v>
      </c>
    </row>
    <row r="2099" ht="20.25" customHeight="1" outlineLevel="1">
      <c r="A2099" s="12"/>
      <c r="B2099" s="13"/>
      <c r="C2099" s="85"/>
      <c r="D2099" s="20"/>
      <c r="E2099" s="21">
        <f t="shared" si="1"/>
        <v>12593.22</v>
      </c>
      <c r="F2099" s="23"/>
      <c r="G2099" s="21">
        <f t="shared" si="8"/>
        <v>318539.46</v>
      </c>
      <c r="H2099" s="23"/>
      <c r="I2099" s="21">
        <f t="shared" si="15"/>
        <v>781.68</v>
      </c>
      <c r="J2099" s="23"/>
      <c r="K2099" s="21">
        <f t="shared" si="13"/>
        <v>204430.28</v>
      </c>
      <c r="L2099" s="23"/>
      <c r="M2099" s="21">
        <f t="shared" si="16"/>
        <v>1894.93</v>
      </c>
    </row>
    <row r="2100" ht="20.25" customHeight="1" outlineLevel="1">
      <c r="A2100" s="12"/>
      <c r="B2100" s="13"/>
      <c r="C2100" s="85"/>
      <c r="D2100" s="20"/>
      <c r="E2100" s="21">
        <f t="shared" si="1"/>
        <v>12593.22</v>
      </c>
      <c r="F2100" s="23"/>
      <c r="G2100" s="21">
        <f t="shared" si="8"/>
        <v>318539.46</v>
      </c>
      <c r="H2100" s="23"/>
      <c r="I2100" s="21">
        <f t="shared" si="15"/>
        <v>781.68</v>
      </c>
      <c r="J2100" s="23"/>
      <c r="K2100" s="21">
        <f t="shared" si="13"/>
        <v>204430.28</v>
      </c>
      <c r="L2100" s="23"/>
      <c r="M2100" s="21">
        <f t="shared" si="16"/>
        <v>1894.93</v>
      </c>
    </row>
    <row r="2101" ht="20.25" customHeight="1" outlineLevel="1">
      <c r="A2101" s="12"/>
      <c r="B2101" s="13"/>
      <c r="C2101" s="85"/>
      <c r="D2101" s="20"/>
      <c r="E2101" s="21">
        <f t="shared" si="1"/>
        <v>12593.22</v>
      </c>
      <c r="F2101" s="23"/>
      <c r="G2101" s="21">
        <f t="shared" si="8"/>
        <v>318539.46</v>
      </c>
      <c r="H2101" s="23"/>
      <c r="I2101" s="21">
        <f t="shared" si="15"/>
        <v>781.68</v>
      </c>
      <c r="J2101" s="23"/>
      <c r="K2101" s="21">
        <f t="shared" si="13"/>
        <v>204430.28</v>
      </c>
      <c r="L2101" s="23"/>
      <c r="M2101" s="21">
        <f t="shared" si="16"/>
        <v>1894.93</v>
      </c>
    </row>
    <row r="2102" ht="20.25" customHeight="1" outlineLevel="1">
      <c r="A2102" s="12"/>
      <c r="B2102" s="13"/>
      <c r="C2102" s="85"/>
      <c r="D2102" s="20"/>
      <c r="E2102" s="21">
        <f t="shared" si="1"/>
        <v>12593.22</v>
      </c>
      <c r="F2102" s="23"/>
      <c r="G2102" s="21">
        <f t="shared" si="8"/>
        <v>318539.46</v>
      </c>
      <c r="H2102" s="23"/>
      <c r="I2102" s="21">
        <f t="shared" si="15"/>
        <v>781.68</v>
      </c>
      <c r="J2102" s="23"/>
      <c r="K2102" s="21">
        <f t="shared" si="13"/>
        <v>204430.28</v>
      </c>
      <c r="L2102" s="23"/>
      <c r="M2102" s="21">
        <f t="shared" si="16"/>
        <v>1894.93</v>
      </c>
    </row>
    <row r="2103" ht="20.25" customHeight="1" outlineLevel="1">
      <c r="A2103" s="12"/>
      <c r="B2103" s="13"/>
      <c r="C2103" s="85"/>
      <c r="D2103" s="20"/>
      <c r="E2103" s="21">
        <f t="shared" si="1"/>
        <v>12593.22</v>
      </c>
      <c r="F2103" s="23"/>
      <c r="G2103" s="21">
        <f t="shared" si="8"/>
        <v>318539.46</v>
      </c>
      <c r="H2103" s="23"/>
      <c r="I2103" s="21">
        <f t="shared" si="15"/>
        <v>781.68</v>
      </c>
      <c r="J2103" s="23"/>
      <c r="K2103" s="21">
        <f t="shared" si="13"/>
        <v>204430.28</v>
      </c>
      <c r="L2103" s="23"/>
      <c r="M2103" s="21">
        <f t="shared" si="16"/>
        <v>1894.93</v>
      </c>
    </row>
    <row r="2104" ht="20.25" customHeight="1" outlineLevel="1">
      <c r="A2104" s="12"/>
      <c r="B2104" s="13"/>
      <c r="C2104" s="85"/>
      <c r="D2104" s="20"/>
      <c r="E2104" s="21">
        <f t="shared" si="1"/>
        <v>12593.22</v>
      </c>
      <c r="F2104" s="23"/>
      <c r="G2104" s="21">
        <f t="shared" si="8"/>
        <v>318539.46</v>
      </c>
      <c r="H2104" s="23"/>
      <c r="I2104" s="21">
        <f t="shared" si="15"/>
        <v>781.68</v>
      </c>
      <c r="J2104" s="23"/>
      <c r="K2104" s="21">
        <f t="shared" si="13"/>
        <v>204430.28</v>
      </c>
      <c r="L2104" s="23"/>
      <c r="M2104" s="21">
        <f t="shared" si="16"/>
        <v>1894.93</v>
      </c>
    </row>
    <row r="2105" ht="20.25" customHeight="1" outlineLevel="1">
      <c r="A2105" s="12"/>
      <c r="B2105" s="13"/>
      <c r="C2105" s="85"/>
      <c r="D2105" s="20"/>
      <c r="E2105" s="21">
        <f t="shared" si="1"/>
        <v>12593.22</v>
      </c>
      <c r="F2105" s="23"/>
      <c r="G2105" s="21">
        <f t="shared" si="8"/>
        <v>318539.46</v>
      </c>
      <c r="H2105" s="23"/>
      <c r="I2105" s="21">
        <f t="shared" si="15"/>
        <v>781.68</v>
      </c>
      <c r="J2105" s="23"/>
      <c r="K2105" s="21">
        <f t="shared" si="13"/>
        <v>204430.28</v>
      </c>
      <c r="L2105" s="23"/>
      <c r="M2105" s="21">
        <f t="shared" si="16"/>
        <v>1894.93</v>
      </c>
    </row>
    <row r="2106" ht="20.25" customHeight="1" outlineLevel="1">
      <c r="A2106" s="12"/>
      <c r="B2106" s="13"/>
      <c r="C2106" s="85"/>
      <c r="D2106" s="20"/>
      <c r="E2106" s="21">
        <f t="shared" si="1"/>
        <v>12593.22</v>
      </c>
      <c r="F2106" s="23"/>
      <c r="G2106" s="21">
        <f t="shared" si="8"/>
        <v>318539.46</v>
      </c>
      <c r="H2106" s="23"/>
      <c r="I2106" s="21">
        <f t="shared" si="15"/>
        <v>781.68</v>
      </c>
      <c r="J2106" s="23"/>
      <c r="K2106" s="21">
        <f t="shared" si="13"/>
        <v>204430.28</v>
      </c>
      <c r="L2106" s="23"/>
      <c r="M2106" s="21">
        <f t="shared" si="16"/>
        <v>1894.93</v>
      </c>
    </row>
    <row r="2107" ht="20.25" customHeight="1" outlineLevel="1">
      <c r="A2107" s="12"/>
      <c r="B2107" s="13"/>
      <c r="C2107" s="85"/>
      <c r="D2107" s="20"/>
      <c r="E2107" s="21">
        <f t="shared" si="1"/>
        <v>12593.22</v>
      </c>
      <c r="F2107" s="23"/>
      <c r="G2107" s="21">
        <f t="shared" si="8"/>
        <v>318539.46</v>
      </c>
      <c r="H2107" s="23"/>
      <c r="I2107" s="21">
        <f t="shared" si="15"/>
        <v>781.68</v>
      </c>
      <c r="J2107" s="23"/>
      <c r="K2107" s="21">
        <f t="shared" si="13"/>
        <v>204430.28</v>
      </c>
      <c r="L2107" s="23"/>
      <c r="M2107" s="21">
        <f t="shared" si="16"/>
        <v>1894.93</v>
      </c>
    </row>
    <row r="2108" ht="20.25" customHeight="1" outlineLevel="1">
      <c r="A2108" s="12"/>
      <c r="B2108" s="13"/>
      <c r="C2108" s="85"/>
      <c r="D2108" s="20"/>
      <c r="E2108" s="21">
        <f t="shared" si="1"/>
        <v>12593.22</v>
      </c>
      <c r="F2108" s="23"/>
      <c r="G2108" s="21">
        <f t="shared" si="8"/>
        <v>318539.46</v>
      </c>
      <c r="H2108" s="23"/>
      <c r="I2108" s="21">
        <f t="shared" si="15"/>
        <v>781.68</v>
      </c>
      <c r="J2108" s="23"/>
      <c r="K2108" s="21">
        <f t="shared" si="13"/>
        <v>204430.28</v>
      </c>
      <c r="L2108" s="23"/>
      <c r="M2108" s="21">
        <f t="shared" si="16"/>
        <v>1894.93</v>
      </c>
    </row>
    <row r="2109" ht="20.25" customHeight="1" outlineLevel="1">
      <c r="A2109" s="12"/>
      <c r="B2109" s="13"/>
      <c r="C2109" s="85"/>
      <c r="D2109" s="20"/>
      <c r="E2109" s="21">
        <f t="shared" si="1"/>
        <v>12593.22</v>
      </c>
      <c r="F2109" s="23"/>
      <c r="G2109" s="21">
        <f t="shared" si="8"/>
        <v>318539.46</v>
      </c>
      <c r="H2109" s="23"/>
      <c r="I2109" s="21">
        <f t="shared" si="15"/>
        <v>781.68</v>
      </c>
      <c r="J2109" s="23"/>
      <c r="K2109" s="21">
        <f t="shared" si="13"/>
        <v>204430.28</v>
      </c>
      <c r="L2109" s="23"/>
      <c r="M2109" s="21">
        <f t="shared" si="16"/>
        <v>1894.93</v>
      </c>
    </row>
    <row r="2110" ht="20.25" customHeight="1" outlineLevel="1">
      <c r="A2110" s="12"/>
      <c r="B2110" s="13"/>
      <c r="C2110" s="85"/>
      <c r="D2110" s="20"/>
      <c r="E2110" s="21">
        <f t="shared" si="1"/>
        <v>12593.22</v>
      </c>
      <c r="F2110" s="23"/>
      <c r="G2110" s="21">
        <f t="shared" si="8"/>
        <v>318539.46</v>
      </c>
      <c r="H2110" s="23"/>
      <c r="I2110" s="21">
        <f t="shared" si="15"/>
        <v>781.68</v>
      </c>
      <c r="J2110" s="23"/>
      <c r="K2110" s="21">
        <f t="shared" si="13"/>
        <v>204430.28</v>
      </c>
      <c r="L2110" s="23"/>
      <c r="M2110" s="21">
        <f t="shared" si="16"/>
        <v>1894.93</v>
      </c>
    </row>
    <row r="2111" ht="20.25" customHeight="1" outlineLevel="1">
      <c r="A2111" s="12"/>
      <c r="B2111" s="13"/>
      <c r="C2111" s="85"/>
      <c r="D2111" s="20"/>
      <c r="E2111" s="21">
        <f t="shared" si="1"/>
        <v>12593.22</v>
      </c>
      <c r="F2111" s="23"/>
      <c r="G2111" s="21">
        <f t="shared" si="8"/>
        <v>318539.46</v>
      </c>
      <c r="H2111" s="23"/>
      <c r="I2111" s="21">
        <f t="shared" si="15"/>
        <v>781.68</v>
      </c>
      <c r="J2111" s="23"/>
      <c r="K2111" s="21">
        <f t="shared" si="13"/>
        <v>204430.28</v>
      </c>
      <c r="L2111" s="23"/>
      <c r="M2111" s="21">
        <f t="shared" si="16"/>
        <v>1894.93</v>
      </c>
    </row>
    <row r="2112" ht="20.25" customHeight="1" outlineLevel="1">
      <c r="A2112" s="12"/>
      <c r="B2112" s="13"/>
      <c r="C2112" s="85"/>
      <c r="D2112" s="20"/>
      <c r="E2112" s="21">
        <f t="shared" si="1"/>
        <v>12593.22</v>
      </c>
      <c r="F2112" s="23"/>
      <c r="G2112" s="21">
        <f t="shared" si="8"/>
        <v>318539.46</v>
      </c>
      <c r="H2112" s="23"/>
      <c r="I2112" s="21">
        <f t="shared" si="15"/>
        <v>781.68</v>
      </c>
      <c r="J2112" s="23"/>
      <c r="K2112" s="21">
        <f t="shared" si="13"/>
        <v>204430.28</v>
      </c>
      <c r="L2112" s="23"/>
      <c r="M2112" s="21">
        <f t="shared" si="16"/>
        <v>1894.93</v>
      </c>
    </row>
    <row r="2113" ht="20.25" customHeight="1" outlineLevel="1">
      <c r="A2113" s="12"/>
      <c r="B2113" s="13"/>
      <c r="C2113" s="85"/>
      <c r="D2113" s="20"/>
      <c r="E2113" s="21">
        <f t="shared" si="1"/>
        <v>12593.22</v>
      </c>
      <c r="F2113" s="23"/>
      <c r="G2113" s="21">
        <f t="shared" si="8"/>
        <v>318539.46</v>
      </c>
      <c r="H2113" s="23"/>
      <c r="I2113" s="21">
        <f t="shared" si="15"/>
        <v>781.68</v>
      </c>
      <c r="J2113" s="23"/>
      <c r="K2113" s="21">
        <f t="shared" si="13"/>
        <v>204430.28</v>
      </c>
      <c r="L2113" s="23"/>
      <c r="M2113" s="21">
        <f t="shared" si="16"/>
        <v>1894.93</v>
      </c>
    </row>
    <row r="2114" ht="20.25" customHeight="1" outlineLevel="1">
      <c r="A2114" s="12"/>
      <c r="B2114" s="13"/>
      <c r="C2114" s="85"/>
      <c r="D2114" s="20"/>
      <c r="E2114" s="21">
        <f t="shared" si="1"/>
        <v>12593.22</v>
      </c>
      <c r="F2114" s="23"/>
      <c r="G2114" s="21">
        <f t="shared" si="8"/>
        <v>318539.46</v>
      </c>
      <c r="H2114" s="23"/>
      <c r="I2114" s="21">
        <f t="shared" si="15"/>
        <v>781.68</v>
      </c>
      <c r="J2114" s="23"/>
      <c r="K2114" s="21">
        <f t="shared" si="13"/>
        <v>204430.28</v>
      </c>
      <c r="L2114" s="23"/>
      <c r="M2114" s="21">
        <f t="shared" si="16"/>
        <v>1894.93</v>
      </c>
    </row>
    <row r="2115" ht="20.25" customHeight="1" outlineLevel="1">
      <c r="A2115" s="12"/>
      <c r="B2115" s="13"/>
      <c r="C2115" s="113"/>
      <c r="D2115" s="20"/>
      <c r="E2115" s="21">
        <f t="shared" si="1"/>
        <v>12593.22</v>
      </c>
      <c r="F2115" s="23"/>
      <c r="G2115" s="21">
        <f t="shared" si="8"/>
        <v>318539.46</v>
      </c>
      <c r="H2115" s="23"/>
      <c r="I2115" s="21">
        <f t="shared" si="15"/>
        <v>781.68</v>
      </c>
      <c r="J2115" s="23"/>
      <c r="K2115" s="21">
        <f t="shared" si="13"/>
        <v>204430.28</v>
      </c>
      <c r="L2115" s="23"/>
      <c r="M2115" s="21">
        <f t="shared" si="16"/>
        <v>1894.93</v>
      </c>
    </row>
    <row r="2116" ht="20.25" customHeight="1" outlineLevel="1">
      <c r="A2116" s="12"/>
      <c r="B2116" s="13"/>
      <c r="C2116" s="85"/>
      <c r="D2116" s="20"/>
      <c r="E2116" s="21">
        <f t="shared" si="1"/>
        <v>12593.22</v>
      </c>
      <c r="F2116" s="23"/>
      <c r="G2116" s="21">
        <f t="shared" si="8"/>
        <v>318539.46</v>
      </c>
      <c r="H2116" s="23"/>
      <c r="I2116" s="21">
        <f t="shared" si="15"/>
        <v>781.68</v>
      </c>
      <c r="J2116" s="23"/>
      <c r="K2116" s="21">
        <f t="shared" si="13"/>
        <v>204430.28</v>
      </c>
      <c r="L2116" s="23"/>
      <c r="M2116" s="21">
        <f t="shared" si="16"/>
        <v>1894.93</v>
      </c>
    </row>
    <row r="2117" ht="20.25" customHeight="1" outlineLevel="1">
      <c r="A2117" s="12"/>
      <c r="B2117" s="13"/>
      <c r="C2117" s="85"/>
      <c r="D2117" s="20"/>
      <c r="E2117" s="21">
        <f t="shared" si="1"/>
        <v>12593.22</v>
      </c>
      <c r="F2117" s="23"/>
      <c r="G2117" s="21">
        <f t="shared" si="8"/>
        <v>318539.46</v>
      </c>
      <c r="H2117" s="23"/>
      <c r="I2117" s="21">
        <f t="shared" si="15"/>
        <v>781.68</v>
      </c>
      <c r="J2117" s="23"/>
      <c r="K2117" s="21">
        <f t="shared" si="13"/>
        <v>204430.28</v>
      </c>
      <c r="L2117" s="23"/>
      <c r="M2117" s="21">
        <f t="shared" si="16"/>
        <v>1894.93</v>
      </c>
    </row>
    <row r="2118" ht="20.25" customHeight="1" outlineLevel="1">
      <c r="A2118" s="12"/>
      <c r="B2118" s="13"/>
      <c r="C2118" s="87"/>
      <c r="D2118" s="20"/>
      <c r="E2118" s="21">
        <f t="shared" si="1"/>
        <v>12593.22</v>
      </c>
      <c r="F2118" s="23"/>
      <c r="G2118" s="21">
        <f t="shared" si="8"/>
        <v>318539.46</v>
      </c>
      <c r="H2118" s="23"/>
      <c r="I2118" s="21">
        <f t="shared" si="15"/>
        <v>781.68</v>
      </c>
      <c r="J2118" s="23"/>
      <c r="K2118" s="21">
        <f t="shared" si="13"/>
        <v>204430.28</v>
      </c>
      <c r="L2118" s="23"/>
      <c r="M2118" s="21">
        <f t="shared" si="16"/>
        <v>1894.93</v>
      </c>
    </row>
    <row r="2119" ht="20.25" customHeight="1" outlineLevel="1">
      <c r="A2119" s="12"/>
      <c r="B2119" s="13"/>
      <c r="C2119" s="85"/>
      <c r="D2119" s="20"/>
      <c r="E2119" s="21">
        <f t="shared" si="1"/>
        <v>12593.22</v>
      </c>
      <c r="F2119" s="23"/>
      <c r="G2119" s="21">
        <f t="shared" si="8"/>
        <v>318539.46</v>
      </c>
      <c r="H2119" s="23"/>
      <c r="I2119" s="21">
        <f t="shared" si="15"/>
        <v>781.68</v>
      </c>
      <c r="J2119" s="23"/>
      <c r="K2119" s="21">
        <f t="shared" si="13"/>
        <v>204430.28</v>
      </c>
      <c r="L2119" s="23"/>
      <c r="M2119" s="21">
        <f t="shared" si="16"/>
        <v>1894.93</v>
      </c>
    </row>
    <row r="2120" ht="20.25" customHeight="1" outlineLevel="1">
      <c r="A2120" s="12"/>
      <c r="B2120" s="13"/>
      <c r="C2120" s="87"/>
      <c r="D2120" s="20"/>
      <c r="E2120" s="21">
        <f t="shared" si="1"/>
        <v>12593.22</v>
      </c>
      <c r="F2120" s="23"/>
      <c r="G2120" s="21">
        <f t="shared" si="8"/>
        <v>318539.46</v>
      </c>
      <c r="H2120" s="23"/>
      <c r="I2120" s="21">
        <f t="shared" si="15"/>
        <v>781.68</v>
      </c>
      <c r="J2120" s="23"/>
      <c r="K2120" s="21">
        <f t="shared" si="13"/>
        <v>204430.28</v>
      </c>
      <c r="L2120" s="23"/>
      <c r="M2120" s="21">
        <f t="shared" si="16"/>
        <v>1894.93</v>
      </c>
    </row>
    <row r="2121" ht="20.25" customHeight="1" outlineLevel="1">
      <c r="A2121" s="12"/>
      <c r="B2121" s="13"/>
      <c r="C2121" s="85"/>
      <c r="D2121" s="20"/>
      <c r="E2121" s="21">
        <f t="shared" si="1"/>
        <v>12593.22</v>
      </c>
      <c r="F2121" s="23"/>
      <c r="G2121" s="21">
        <f t="shared" si="8"/>
        <v>318539.46</v>
      </c>
      <c r="H2121" s="23"/>
      <c r="I2121" s="21">
        <f t="shared" si="15"/>
        <v>781.68</v>
      </c>
      <c r="J2121" s="23"/>
      <c r="K2121" s="21">
        <f t="shared" si="13"/>
        <v>204430.28</v>
      </c>
      <c r="L2121" s="23"/>
      <c r="M2121" s="21">
        <f t="shared" si="16"/>
        <v>1894.93</v>
      </c>
    </row>
    <row r="2122" ht="20.25" customHeight="1" outlineLevel="1">
      <c r="A2122" s="12"/>
      <c r="B2122" s="13"/>
      <c r="C2122" s="85"/>
      <c r="D2122" s="20"/>
      <c r="E2122" s="21">
        <f t="shared" si="1"/>
        <v>12593.22</v>
      </c>
      <c r="F2122" s="23"/>
      <c r="G2122" s="21">
        <f t="shared" si="8"/>
        <v>318539.46</v>
      </c>
      <c r="H2122" s="23"/>
      <c r="I2122" s="21">
        <f t="shared" si="15"/>
        <v>781.68</v>
      </c>
      <c r="J2122" s="23"/>
      <c r="K2122" s="21">
        <f t="shared" si="13"/>
        <v>204430.28</v>
      </c>
      <c r="L2122" s="23"/>
      <c r="M2122" s="21">
        <f t="shared" si="16"/>
        <v>1894.93</v>
      </c>
    </row>
    <row r="2123" ht="20.25" customHeight="1" outlineLevel="1">
      <c r="A2123" s="12"/>
      <c r="B2123" s="13"/>
      <c r="C2123" s="85"/>
      <c r="D2123" s="20"/>
      <c r="E2123" s="21">
        <f t="shared" si="1"/>
        <v>12593.22</v>
      </c>
      <c r="F2123" s="23"/>
      <c r="G2123" s="21">
        <f t="shared" si="8"/>
        <v>318539.46</v>
      </c>
      <c r="H2123" s="23"/>
      <c r="I2123" s="21">
        <f t="shared" si="15"/>
        <v>781.68</v>
      </c>
      <c r="J2123" s="23"/>
      <c r="K2123" s="21">
        <f t="shared" si="13"/>
        <v>204430.28</v>
      </c>
      <c r="L2123" s="23"/>
      <c r="M2123" s="21">
        <f t="shared" si="16"/>
        <v>1894.93</v>
      </c>
    </row>
    <row r="2124" ht="20.25" customHeight="1" outlineLevel="1">
      <c r="A2124" s="12"/>
      <c r="B2124" s="13"/>
      <c r="C2124" s="234"/>
      <c r="D2124" s="20"/>
      <c r="E2124" s="21">
        <f t="shared" si="1"/>
        <v>12593.22</v>
      </c>
      <c r="F2124" s="23"/>
      <c r="G2124" s="21">
        <f t="shared" si="8"/>
        <v>318539.46</v>
      </c>
      <c r="H2124" s="23"/>
      <c r="I2124" s="21">
        <f t="shared" si="15"/>
        <v>781.68</v>
      </c>
      <c r="J2124" s="23"/>
      <c r="K2124" s="21">
        <f t="shared" si="13"/>
        <v>204430.28</v>
      </c>
      <c r="L2124" s="23"/>
      <c r="M2124" s="21">
        <f t="shared" si="16"/>
        <v>1894.93</v>
      </c>
    </row>
    <row r="2125" ht="20.25" customHeight="1" outlineLevel="1">
      <c r="A2125" s="12"/>
      <c r="B2125" s="13"/>
      <c r="C2125" s="165"/>
      <c r="D2125" s="20"/>
      <c r="E2125" s="21">
        <f t="shared" si="1"/>
        <v>12593.22</v>
      </c>
      <c r="F2125" s="23"/>
      <c r="G2125" s="21">
        <f t="shared" si="8"/>
        <v>318539.46</v>
      </c>
      <c r="H2125" s="23"/>
      <c r="I2125" s="21">
        <f t="shared" si="15"/>
        <v>781.68</v>
      </c>
      <c r="J2125" s="23"/>
      <c r="K2125" s="21">
        <f t="shared" si="13"/>
        <v>204430.28</v>
      </c>
      <c r="L2125" s="23"/>
      <c r="M2125" s="21">
        <f t="shared" si="16"/>
        <v>1894.93</v>
      </c>
    </row>
    <row r="2126" ht="20.25" customHeight="1" outlineLevel="1">
      <c r="A2126" s="12"/>
      <c r="B2126" s="13"/>
      <c r="C2126" s="165"/>
      <c r="D2126" s="20"/>
      <c r="E2126" s="21">
        <f t="shared" si="1"/>
        <v>12593.22</v>
      </c>
      <c r="F2126" s="23"/>
      <c r="G2126" s="21">
        <f t="shared" si="8"/>
        <v>318539.46</v>
      </c>
      <c r="H2126" s="23"/>
      <c r="I2126" s="21">
        <f t="shared" si="15"/>
        <v>781.68</v>
      </c>
      <c r="J2126" s="23"/>
      <c r="K2126" s="21">
        <f t="shared" si="13"/>
        <v>204430.28</v>
      </c>
      <c r="L2126" s="23"/>
      <c r="M2126" s="21">
        <f t="shared" si="16"/>
        <v>1894.93</v>
      </c>
    </row>
    <row r="2127" ht="20.25" customHeight="1" outlineLevel="1">
      <c r="A2127" s="12"/>
      <c r="B2127" s="13"/>
      <c r="C2127" s="165"/>
      <c r="D2127" s="20"/>
      <c r="E2127" s="21">
        <f t="shared" si="1"/>
        <v>12593.22</v>
      </c>
      <c r="F2127" s="23"/>
      <c r="G2127" s="21">
        <f t="shared" si="8"/>
        <v>318539.46</v>
      </c>
      <c r="H2127" s="23"/>
      <c r="I2127" s="21">
        <f t="shared" si="15"/>
        <v>781.68</v>
      </c>
      <c r="J2127" s="23"/>
      <c r="K2127" s="21">
        <f t="shared" si="13"/>
        <v>204430.28</v>
      </c>
      <c r="L2127" s="23"/>
      <c r="M2127" s="21">
        <f t="shared" si="16"/>
        <v>1894.93</v>
      </c>
    </row>
    <row r="2128" ht="20.25" customHeight="1" outlineLevel="1">
      <c r="A2128" s="12"/>
      <c r="B2128" s="13"/>
      <c r="C2128" s="165"/>
      <c r="D2128" s="20"/>
      <c r="E2128" s="21">
        <f t="shared" si="1"/>
        <v>12593.22</v>
      </c>
      <c r="F2128" s="23"/>
      <c r="G2128" s="21">
        <f t="shared" si="8"/>
        <v>318539.46</v>
      </c>
      <c r="H2128" s="23"/>
      <c r="I2128" s="21">
        <f t="shared" si="15"/>
        <v>781.68</v>
      </c>
      <c r="J2128" s="23"/>
      <c r="K2128" s="21">
        <f t="shared" si="13"/>
        <v>204430.28</v>
      </c>
      <c r="L2128" s="23"/>
      <c r="M2128" s="21">
        <f t="shared" si="16"/>
        <v>1894.93</v>
      </c>
    </row>
    <row r="2129" ht="20.25" customHeight="1" outlineLevel="1">
      <c r="A2129" s="12"/>
      <c r="B2129" s="13"/>
      <c r="C2129" s="235"/>
      <c r="D2129" s="20"/>
      <c r="E2129" s="21">
        <f t="shared" si="1"/>
        <v>12593.22</v>
      </c>
      <c r="F2129" s="23"/>
      <c r="G2129" s="21">
        <f t="shared" si="8"/>
        <v>318539.46</v>
      </c>
      <c r="H2129" s="23"/>
      <c r="I2129" s="21">
        <f t="shared" si="15"/>
        <v>781.68</v>
      </c>
      <c r="J2129" s="23"/>
      <c r="K2129" s="21">
        <f t="shared" si="13"/>
        <v>204430.28</v>
      </c>
      <c r="L2129" s="23"/>
      <c r="M2129" s="21">
        <f t="shared" si="16"/>
        <v>1894.93</v>
      </c>
    </row>
    <row r="2130" ht="20.25" customHeight="1" outlineLevel="1">
      <c r="A2130" s="12"/>
      <c r="B2130" s="46"/>
      <c r="C2130" s="55"/>
      <c r="D2130" s="20"/>
      <c r="E2130" s="21">
        <f t="shared" si="1"/>
        <v>12593.22</v>
      </c>
      <c r="F2130" s="23"/>
      <c r="G2130" s="21">
        <f t="shared" si="8"/>
        <v>318539.46</v>
      </c>
      <c r="H2130" s="23"/>
      <c r="I2130" s="21">
        <f t="shared" si="15"/>
        <v>781.68</v>
      </c>
      <c r="J2130" s="23"/>
      <c r="K2130" s="21">
        <f t="shared" si="13"/>
        <v>204430.28</v>
      </c>
      <c r="L2130" s="23"/>
      <c r="M2130" s="21">
        <f t="shared" si="16"/>
        <v>1894.93</v>
      </c>
    </row>
    <row r="2131" ht="20.25" customHeight="1" outlineLevel="1">
      <c r="A2131" s="12"/>
      <c r="B2131" s="46"/>
      <c r="C2131" s="55"/>
      <c r="D2131" s="20"/>
      <c r="E2131" s="21">
        <f t="shared" si="1"/>
        <v>12593.22</v>
      </c>
      <c r="F2131" s="23"/>
      <c r="G2131" s="21">
        <f t="shared" si="8"/>
        <v>318539.46</v>
      </c>
      <c r="H2131" s="23"/>
      <c r="I2131" s="21">
        <f t="shared" si="15"/>
        <v>781.68</v>
      </c>
      <c r="J2131" s="23"/>
      <c r="K2131" s="21">
        <f t="shared" si="13"/>
        <v>204430.28</v>
      </c>
      <c r="L2131" s="23"/>
      <c r="M2131" s="21">
        <f t="shared" si="16"/>
        <v>1894.93</v>
      </c>
    </row>
    <row r="2132" ht="20.25" customHeight="1" outlineLevel="1">
      <c r="A2132" s="12"/>
      <c r="B2132" s="46"/>
      <c r="C2132" s="59"/>
      <c r="D2132" s="20"/>
      <c r="E2132" s="21">
        <f t="shared" si="1"/>
        <v>12593.22</v>
      </c>
      <c r="F2132" s="23"/>
      <c r="G2132" s="21">
        <f t="shared" si="8"/>
        <v>318539.46</v>
      </c>
      <c r="H2132" s="23"/>
      <c r="I2132" s="21">
        <f t="shared" si="15"/>
        <v>781.68</v>
      </c>
      <c r="J2132" s="23"/>
      <c r="K2132" s="21">
        <f t="shared" si="13"/>
        <v>204430.28</v>
      </c>
      <c r="L2132" s="23"/>
      <c r="M2132" s="21">
        <f t="shared" si="16"/>
        <v>1894.93</v>
      </c>
    </row>
    <row r="2133" ht="20.25" customHeight="1" outlineLevel="1">
      <c r="A2133" s="12"/>
      <c r="B2133" s="46"/>
      <c r="C2133" s="59"/>
      <c r="D2133" s="20"/>
      <c r="E2133" s="21">
        <f t="shared" si="1"/>
        <v>12593.22</v>
      </c>
      <c r="F2133" s="23"/>
      <c r="G2133" s="21">
        <f t="shared" si="8"/>
        <v>318539.46</v>
      </c>
      <c r="H2133" s="23"/>
      <c r="I2133" s="21">
        <f t="shared" si="15"/>
        <v>781.68</v>
      </c>
      <c r="J2133" s="23"/>
      <c r="K2133" s="21">
        <f t="shared" si="13"/>
        <v>204430.28</v>
      </c>
      <c r="L2133" s="23"/>
      <c r="M2133" s="21">
        <f t="shared" si="16"/>
        <v>1894.93</v>
      </c>
    </row>
    <row r="2134" ht="20.25" customHeight="1" outlineLevel="1">
      <c r="A2134" s="12"/>
      <c r="B2134" s="46"/>
      <c r="C2134" s="59"/>
      <c r="D2134" s="20"/>
      <c r="E2134" s="21">
        <f t="shared" si="1"/>
        <v>12593.22</v>
      </c>
      <c r="F2134" s="23"/>
      <c r="G2134" s="21">
        <f t="shared" si="8"/>
        <v>318539.46</v>
      </c>
      <c r="H2134" s="23"/>
      <c r="I2134" s="21">
        <f t="shared" si="15"/>
        <v>781.68</v>
      </c>
      <c r="J2134" s="23"/>
      <c r="K2134" s="21">
        <f t="shared" si="13"/>
        <v>204430.28</v>
      </c>
      <c r="L2134" s="23"/>
      <c r="M2134" s="21">
        <f t="shared" si="16"/>
        <v>1894.93</v>
      </c>
    </row>
    <row r="2135" ht="20.25" customHeight="1" outlineLevel="1">
      <c r="A2135" s="12"/>
      <c r="B2135" s="46"/>
      <c r="C2135" s="59"/>
      <c r="D2135" s="20"/>
      <c r="E2135" s="21">
        <f t="shared" si="1"/>
        <v>12593.22</v>
      </c>
      <c r="F2135" s="23"/>
      <c r="G2135" s="21">
        <f t="shared" si="8"/>
        <v>318539.46</v>
      </c>
      <c r="H2135" s="23"/>
      <c r="I2135" s="21">
        <f t="shared" si="15"/>
        <v>781.68</v>
      </c>
      <c r="J2135" s="23"/>
      <c r="K2135" s="21">
        <f t="shared" si="13"/>
        <v>204430.28</v>
      </c>
      <c r="L2135" s="23"/>
      <c r="M2135" s="21">
        <f t="shared" si="16"/>
        <v>1894.93</v>
      </c>
    </row>
    <row r="2136" ht="20.25" customHeight="1" outlineLevel="1">
      <c r="A2136" s="12"/>
      <c r="B2136" s="46"/>
      <c r="C2136" s="55"/>
      <c r="D2136" s="20"/>
      <c r="E2136" s="21">
        <f t="shared" si="1"/>
        <v>12593.22</v>
      </c>
      <c r="F2136" s="23"/>
      <c r="G2136" s="21">
        <f t="shared" si="8"/>
        <v>318539.46</v>
      </c>
      <c r="H2136" s="23"/>
      <c r="I2136" s="21">
        <f t="shared" si="15"/>
        <v>781.68</v>
      </c>
      <c r="J2136" s="23"/>
      <c r="K2136" s="21">
        <f t="shared" si="13"/>
        <v>204430.28</v>
      </c>
      <c r="L2136" s="23"/>
      <c r="M2136" s="21">
        <f t="shared" si="16"/>
        <v>1894.93</v>
      </c>
    </row>
    <row r="2137" ht="20.25" customHeight="1" outlineLevel="1">
      <c r="A2137" s="12"/>
      <c r="B2137" s="46"/>
      <c r="C2137" s="55"/>
      <c r="D2137" s="20"/>
      <c r="E2137" s="21">
        <f t="shared" si="1"/>
        <v>12593.22</v>
      </c>
      <c r="F2137" s="23"/>
      <c r="G2137" s="21">
        <f t="shared" si="8"/>
        <v>318539.46</v>
      </c>
      <c r="H2137" s="23"/>
      <c r="I2137" s="21">
        <f t="shared" si="15"/>
        <v>781.68</v>
      </c>
      <c r="J2137" s="23"/>
      <c r="K2137" s="21">
        <f t="shared" si="13"/>
        <v>204430.28</v>
      </c>
      <c r="L2137" s="23"/>
      <c r="M2137" s="21">
        <f t="shared" si="16"/>
        <v>1894.93</v>
      </c>
    </row>
    <row r="2138" ht="20.25" customHeight="1" outlineLevel="1">
      <c r="A2138" s="12"/>
      <c r="B2138" s="46"/>
      <c r="C2138" s="59"/>
      <c r="D2138" s="20"/>
      <c r="E2138" s="21">
        <f t="shared" si="1"/>
        <v>12593.22</v>
      </c>
      <c r="F2138" s="23"/>
      <c r="G2138" s="21">
        <f t="shared" si="8"/>
        <v>318539.46</v>
      </c>
      <c r="H2138" s="23"/>
      <c r="I2138" s="21">
        <f t="shared" si="15"/>
        <v>781.68</v>
      </c>
      <c r="J2138" s="23"/>
      <c r="K2138" s="21">
        <f t="shared" si="13"/>
        <v>204430.28</v>
      </c>
      <c r="L2138" s="23"/>
      <c r="M2138" s="21">
        <f t="shared" si="16"/>
        <v>1894.93</v>
      </c>
    </row>
    <row r="2139" ht="20.25" customHeight="1" outlineLevel="1">
      <c r="A2139" s="12"/>
      <c r="B2139" s="46"/>
      <c r="C2139" s="59"/>
      <c r="D2139" s="20"/>
      <c r="E2139" s="21">
        <f t="shared" si="1"/>
        <v>12593.22</v>
      </c>
      <c r="F2139" s="23"/>
      <c r="G2139" s="21">
        <f t="shared" si="8"/>
        <v>318539.46</v>
      </c>
      <c r="H2139" s="23"/>
      <c r="I2139" s="21">
        <f t="shared" si="15"/>
        <v>781.68</v>
      </c>
      <c r="J2139" s="23"/>
      <c r="K2139" s="21">
        <f t="shared" si="13"/>
        <v>204430.28</v>
      </c>
      <c r="L2139" s="23"/>
      <c r="M2139" s="21">
        <f t="shared" si="16"/>
        <v>1894.93</v>
      </c>
    </row>
    <row r="2140" ht="20.25" customHeight="1" outlineLevel="1">
      <c r="A2140" s="12"/>
      <c r="B2140" s="46"/>
      <c r="C2140" s="55"/>
      <c r="D2140" s="20"/>
      <c r="E2140" s="21">
        <f t="shared" si="1"/>
        <v>12593.22</v>
      </c>
      <c r="F2140" s="23"/>
      <c r="G2140" s="21">
        <f t="shared" si="8"/>
        <v>318539.46</v>
      </c>
      <c r="H2140" s="23"/>
      <c r="I2140" s="21">
        <f t="shared" si="15"/>
        <v>781.68</v>
      </c>
      <c r="J2140" s="23"/>
      <c r="K2140" s="21">
        <f t="shared" si="13"/>
        <v>204430.28</v>
      </c>
      <c r="L2140" s="23"/>
      <c r="M2140" s="21">
        <f t="shared" si="16"/>
        <v>1894.93</v>
      </c>
    </row>
    <row r="2141" ht="20.25" customHeight="1" outlineLevel="1">
      <c r="A2141" s="12"/>
      <c r="B2141" s="46"/>
      <c r="C2141" s="59"/>
      <c r="D2141" s="20"/>
      <c r="E2141" s="21">
        <f t="shared" si="1"/>
        <v>12593.22</v>
      </c>
      <c r="F2141" s="23"/>
      <c r="G2141" s="21">
        <f t="shared" si="8"/>
        <v>318539.46</v>
      </c>
      <c r="H2141" s="23"/>
      <c r="I2141" s="21">
        <f t="shared" si="15"/>
        <v>781.68</v>
      </c>
      <c r="J2141" s="23"/>
      <c r="K2141" s="21">
        <f t="shared" si="13"/>
        <v>204430.28</v>
      </c>
      <c r="L2141" s="23"/>
      <c r="M2141" s="21">
        <f t="shared" si="16"/>
        <v>1894.93</v>
      </c>
    </row>
    <row r="2142" ht="20.25" customHeight="1" outlineLevel="1">
      <c r="A2142" s="12"/>
      <c r="B2142" s="46"/>
      <c r="C2142" s="59"/>
      <c r="D2142" s="20"/>
      <c r="E2142" s="21">
        <f t="shared" si="1"/>
        <v>12593.22</v>
      </c>
      <c r="F2142" s="23"/>
      <c r="G2142" s="21">
        <f t="shared" si="8"/>
        <v>318539.46</v>
      </c>
      <c r="H2142" s="23"/>
      <c r="I2142" s="21">
        <f t="shared" si="15"/>
        <v>781.68</v>
      </c>
      <c r="J2142" s="23"/>
      <c r="K2142" s="21">
        <f t="shared" si="13"/>
        <v>204430.28</v>
      </c>
      <c r="L2142" s="23"/>
      <c r="M2142" s="21">
        <f t="shared" si="16"/>
        <v>1894.93</v>
      </c>
    </row>
    <row r="2143" ht="20.25" customHeight="1" outlineLevel="1">
      <c r="A2143" s="12"/>
      <c r="B2143" s="46"/>
      <c r="C2143" s="59"/>
      <c r="D2143" s="20"/>
      <c r="E2143" s="21">
        <f t="shared" si="1"/>
        <v>12593.22</v>
      </c>
      <c r="F2143" s="23"/>
      <c r="G2143" s="21">
        <f t="shared" si="8"/>
        <v>318539.46</v>
      </c>
      <c r="H2143" s="23"/>
      <c r="I2143" s="21">
        <f t="shared" si="15"/>
        <v>781.68</v>
      </c>
      <c r="J2143" s="23"/>
      <c r="K2143" s="21">
        <f t="shared" si="13"/>
        <v>204430.28</v>
      </c>
      <c r="L2143" s="23"/>
      <c r="M2143" s="21">
        <f t="shared" si="16"/>
        <v>1894.93</v>
      </c>
    </row>
    <row r="2144" ht="20.25" customHeight="1" outlineLevel="1">
      <c r="A2144" s="12"/>
      <c r="B2144" s="46"/>
      <c r="C2144" s="55"/>
      <c r="D2144" s="20"/>
      <c r="E2144" s="21">
        <f t="shared" si="1"/>
        <v>12593.22</v>
      </c>
      <c r="F2144" s="23"/>
      <c r="G2144" s="21">
        <f t="shared" si="8"/>
        <v>318539.46</v>
      </c>
      <c r="H2144" s="23"/>
      <c r="I2144" s="21">
        <f t="shared" si="15"/>
        <v>781.68</v>
      </c>
      <c r="J2144" s="23"/>
      <c r="K2144" s="21">
        <f t="shared" si="13"/>
        <v>204430.28</v>
      </c>
      <c r="L2144" s="23"/>
      <c r="M2144" s="21">
        <f t="shared" si="16"/>
        <v>1894.93</v>
      </c>
    </row>
    <row r="2145" ht="20.25" customHeight="1" outlineLevel="1">
      <c r="A2145" s="12"/>
      <c r="B2145" s="46"/>
      <c r="C2145" s="55"/>
      <c r="D2145" s="20"/>
      <c r="E2145" s="21">
        <f t="shared" si="1"/>
        <v>12593.22</v>
      </c>
      <c r="F2145" s="23"/>
      <c r="G2145" s="21">
        <f t="shared" si="8"/>
        <v>318539.46</v>
      </c>
      <c r="H2145" s="23"/>
      <c r="I2145" s="21">
        <f t="shared" si="15"/>
        <v>781.68</v>
      </c>
      <c r="J2145" s="23"/>
      <c r="K2145" s="21">
        <f t="shared" si="13"/>
        <v>204430.28</v>
      </c>
      <c r="L2145" s="23"/>
      <c r="M2145" s="21">
        <f t="shared" si="16"/>
        <v>1894.93</v>
      </c>
    </row>
    <row r="2146" ht="20.25" customHeight="1" outlineLevel="1">
      <c r="A2146" s="12"/>
      <c r="B2146" s="46"/>
      <c r="C2146" s="59"/>
      <c r="D2146" s="20"/>
      <c r="E2146" s="21">
        <f t="shared" si="1"/>
        <v>12593.22</v>
      </c>
      <c r="F2146" s="23"/>
      <c r="G2146" s="21">
        <f t="shared" si="8"/>
        <v>318539.46</v>
      </c>
      <c r="H2146" s="23"/>
      <c r="I2146" s="21">
        <f t="shared" si="15"/>
        <v>781.68</v>
      </c>
      <c r="J2146" s="23"/>
      <c r="K2146" s="21">
        <f t="shared" si="13"/>
        <v>204430.28</v>
      </c>
      <c r="L2146" s="23"/>
      <c r="M2146" s="21">
        <f t="shared" si="16"/>
        <v>1894.93</v>
      </c>
    </row>
    <row r="2147" ht="20.25" customHeight="1" outlineLevel="1">
      <c r="A2147" s="12"/>
      <c r="B2147" s="46"/>
      <c r="C2147" s="59"/>
      <c r="D2147" s="20"/>
      <c r="E2147" s="21">
        <f t="shared" si="1"/>
        <v>12593.22</v>
      </c>
      <c r="F2147" s="23"/>
      <c r="G2147" s="21">
        <f t="shared" si="8"/>
        <v>318539.46</v>
      </c>
      <c r="H2147" s="23"/>
      <c r="I2147" s="21">
        <f t="shared" si="15"/>
        <v>781.68</v>
      </c>
      <c r="J2147" s="23"/>
      <c r="K2147" s="21">
        <f t="shared" si="13"/>
        <v>204430.28</v>
      </c>
      <c r="L2147" s="23"/>
      <c r="M2147" s="21">
        <f t="shared" si="16"/>
        <v>1894.93</v>
      </c>
    </row>
    <row r="2148" ht="20.25" customHeight="1" outlineLevel="1">
      <c r="A2148" s="12"/>
      <c r="B2148" s="46"/>
      <c r="C2148" s="200"/>
      <c r="D2148" s="20"/>
      <c r="E2148" s="21">
        <f t="shared" si="1"/>
        <v>12593.22</v>
      </c>
      <c r="F2148" s="23"/>
      <c r="G2148" s="21">
        <f t="shared" si="8"/>
        <v>318539.46</v>
      </c>
      <c r="H2148" s="23"/>
      <c r="I2148" s="21">
        <f t="shared" si="15"/>
        <v>781.68</v>
      </c>
      <c r="J2148" s="23"/>
      <c r="K2148" s="21">
        <f t="shared" si="13"/>
        <v>204430.28</v>
      </c>
      <c r="L2148" s="23"/>
      <c r="M2148" s="21">
        <f t="shared" si="16"/>
        <v>1894.93</v>
      </c>
    </row>
    <row r="2149" ht="20.25" customHeight="1" outlineLevel="1">
      <c r="A2149" s="12"/>
      <c r="B2149" s="13"/>
      <c r="C2149" s="236"/>
      <c r="D2149" s="20"/>
      <c r="E2149" s="21">
        <f t="shared" si="1"/>
        <v>12593.22</v>
      </c>
      <c r="F2149" s="23"/>
      <c r="G2149" s="21">
        <f t="shared" si="8"/>
        <v>318539.46</v>
      </c>
      <c r="H2149" s="23"/>
      <c r="I2149" s="21">
        <f t="shared" si="15"/>
        <v>781.68</v>
      </c>
      <c r="J2149" s="23"/>
      <c r="K2149" s="21">
        <f t="shared" si="13"/>
        <v>204430.28</v>
      </c>
      <c r="L2149" s="23"/>
      <c r="M2149" s="21">
        <f t="shared" si="16"/>
        <v>1894.93</v>
      </c>
    </row>
    <row r="2150" ht="20.25" customHeight="1" outlineLevel="1">
      <c r="A2150" s="12"/>
      <c r="B2150" s="13"/>
      <c r="C2150" s="85"/>
      <c r="D2150" s="20"/>
      <c r="E2150" s="21">
        <f t="shared" si="1"/>
        <v>12593.22</v>
      </c>
      <c r="F2150" s="23"/>
      <c r="G2150" s="21">
        <f t="shared" si="8"/>
        <v>318539.46</v>
      </c>
      <c r="H2150" s="23"/>
      <c r="I2150" s="21">
        <f t="shared" si="15"/>
        <v>781.68</v>
      </c>
      <c r="J2150" s="23"/>
      <c r="K2150" s="21">
        <f t="shared" si="13"/>
        <v>204430.28</v>
      </c>
      <c r="L2150" s="23"/>
      <c r="M2150" s="21">
        <f t="shared" si="16"/>
        <v>1894.93</v>
      </c>
    </row>
    <row r="2151" ht="20.25" customHeight="1" outlineLevel="1">
      <c r="A2151" s="12"/>
      <c r="B2151" s="13"/>
      <c r="C2151" s="101"/>
      <c r="D2151" s="20"/>
      <c r="E2151" s="21">
        <f t="shared" si="1"/>
        <v>12593.22</v>
      </c>
      <c r="F2151" s="23"/>
      <c r="G2151" s="21">
        <f t="shared" si="8"/>
        <v>318539.46</v>
      </c>
      <c r="H2151" s="23"/>
      <c r="I2151" s="21">
        <f t="shared" si="15"/>
        <v>781.68</v>
      </c>
      <c r="J2151" s="23"/>
      <c r="K2151" s="21">
        <f t="shared" si="13"/>
        <v>204430.28</v>
      </c>
      <c r="L2151" s="23"/>
      <c r="M2151" s="21">
        <f t="shared" si="16"/>
        <v>1894.93</v>
      </c>
    </row>
    <row r="2152" ht="20.25" customHeight="1" outlineLevel="1">
      <c r="A2152" s="12"/>
      <c r="B2152" s="13"/>
      <c r="C2152" s="28"/>
      <c r="D2152" s="20"/>
      <c r="E2152" s="21">
        <f t="shared" si="1"/>
        <v>12593.22</v>
      </c>
      <c r="F2152" s="23"/>
      <c r="G2152" s="21">
        <f t="shared" si="8"/>
        <v>318539.46</v>
      </c>
      <c r="H2152" s="23"/>
      <c r="I2152" s="21">
        <f t="shared" si="15"/>
        <v>781.68</v>
      </c>
      <c r="J2152" s="23"/>
      <c r="K2152" s="21">
        <f t="shared" si="13"/>
        <v>204430.28</v>
      </c>
      <c r="L2152" s="23"/>
      <c r="M2152" s="21">
        <f t="shared" si="16"/>
        <v>1894.93</v>
      </c>
    </row>
    <row r="2153" ht="20.25" customHeight="1" outlineLevel="1">
      <c r="A2153" s="12"/>
      <c r="B2153" s="13"/>
      <c r="C2153" s="28"/>
      <c r="D2153" s="20"/>
      <c r="E2153" s="21">
        <f t="shared" si="1"/>
        <v>12593.22</v>
      </c>
      <c r="F2153" s="23"/>
      <c r="G2153" s="21">
        <f t="shared" si="8"/>
        <v>318539.46</v>
      </c>
      <c r="H2153" s="23"/>
      <c r="I2153" s="21">
        <f t="shared" si="15"/>
        <v>781.68</v>
      </c>
      <c r="J2153" s="23"/>
      <c r="K2153" s="21">
        <f t="shared" si="13"/>
        <v>204430.28</v>
      </c>
      <c r="L2153" s="23"/>
      <c r="M2153" s="21">
        <f t="shared" si="16"/>
        <v>1894.93</v>
      </c>
    </row>
    <row r="2154" ht="20.25" customHeight="1" outlineLevel="1">
      <c r="A2154" s="12"/>
      <c r="B2154" s="13"/>
      <c r="C2154" s="28"/>
      <c r="D2154" s="20"/>
      <c r="E2154" s="21">
        <f t="shared" si="1"/>
        <v>12593.22</v>
      </c>
      <c r="F2154" s="23"/>
      <c r="G2154" s="21">
        <f t="shared" si="8"/>
        <v>318539.46</v>
      </c>
      <c r="H2154" s="23"/>
      <c r="I2154" s="21">
        <f t="shared" si="15"/>
        <v>781.68</v>
      </c>
      <c r="J2154" s="23"/>
      <c r="K2154" s="21">
        <f t="shared" si="13"/>
        <v>204430.28</v>
      </c>
      <c r="L2154" s="23"/>
      <c r="M2154" s="21">
        <f t="shared" si="16"/>
        <v>1894.93</v>
      </c>
    </row>
    <row r="2155" ht="20.25" customHeight="1" outlineLevel="1">
      <c r="A2155" s="12"/>
      <c r="B2155" s="13"/>
      <c r="C2155" s="42"/>
      <c r="D2155" s="20"/>
      <c r="E2155" s="21">
        <f t="shared" si="1"/>
        <v>12593.22</v>
      </c>
      <c r="F2155" s="23"/>
      <c r="G2155" s="21">
        <f t="shared" si="8"/>
        <v>318539.46</v>
      </c>
      <c r="H2155" s="23"/>
      <c r="I2155" s="21">
        <f t="shared" si="15"/>
        <v>781.68</v>
      </c>
      <c r="J2155" s="23"/>
      <c r="K2155" s="21">
        <f t="shared" si="13"/>
        <v>204430.28</v>
      </c>
      <c r="L2155" s="23"/>
      <c r="M2155" s="21">
        <f t="shared" si="16"/>
        <v>1894.93</v>
      </c>
    </row>
    <row r="2156" ht="20.25" customHeight="1" outlineLevel="1">
      <c r="A2156" s="12"/>
      <c r="B2156" s="13"/>
      <c r="C2156" s="42"/>
      <c r="D2156" s="20"/>
      <c r="E2156" s="21">
        <f t="shared" si="1"/>
        <v>12593.22</v>
      </c>
      <c r="F2156" s="23"/>
      <c r="G2156" s="21">
        <f t="shared" si="8"/>
        <v>318539.46</v>
      </c>
      <c r="H2156" s="23"/>
      <c r="I2156" s="21">
        <f t="shared" si="15"/>
        <v>781.68</v>
      </c>
      <c r="J2156" s="23"/>
      <c r="K2156" s="21">
        <f t="shared" si="13"/>
        <v>204430.28</v>
      </c>
      <c r="L2156" s="23"/>
      <c r="M2156" s="21">
        <f t="shared" si="16"/>
        <v>1894.93</v>
      </c>
    </row>
    <row r="2157" ht="20.25" customHeight="1" outlineLevel="1">
      <c r="A2157" s="12"/>
      <c r="B2157" s="13"/>
      <c r="C2157" s="42"/>
      <c r="D2157" s="20"/>
      <c r="E2157" s="21">
        <f t="shared" si="1"/>
        <v>12593.22</v>
      </c>
      <c r="F2157" s="23"/>
      <c r="G2157" s="21">
        <f t="shared" si="8"/>
        <v>318539.46</v>
      </c>
      <c r="H2157" s="23"/>
      <c r="I2157" s="21">
        <f t="shared" si="15"/>
        <v>781.68</v>
      </c>
      <c r="J2157" s="23"/>
      <c r="K2157" s="21">
        <f t="shared" si="13"/>
        <v>204430.28</v>
      </c>
      <c r="L2157" s="23"/>
      <c r="M2157" s="21">
        <f t="shared" si="16"/>
        <v>1894.93</v>
      </c>
    </row>
    <row r="2158" ht="20.25" customHeight="1" outlineLevel="1">
      <c r="A2158" s="12"/>
      <c r="B2158" s="13"/>
      <c r="C2158" s="237"/>
      <c r="D2158" s="20"/>
      <c r="E2158" s="21">
        <f t="shared" si="1"/>
        <v>12593.22</v>
      </c>
      <c r="F2158" s="23"/>
      <c r="G2158" s="21">
        <f t="shared" si="8"/>
        <v>318539.46</v>
      </c>
      <c r="H2158" s="23"/>
      <c r="I2158" s="21">
        <f t="shared" si="15"/>
        <v>781.68</v>
      </c>
      <c r="J2158" s="23"/>
      <c r="K2158" s="21">
        <f t="shared" si="13"/>
        <v>204430.28</v>
      </c>
      <c r="L2158" s="23"/>
      <c r="M2158" s="21">
        <f t="shared" si="16"/>
        <v>1894.93</v>
      </c>
    </row>
    <row r="2159" ht="20.25" customHeight="1" outlineLevel="1">
      <c r="A2159" s="12"/>
      <c r="B2159" s="13"/>
      <c r="C2159" s="87"/>
      <c r="D2159" s="20"/>
      <c r="E2159" s="21">
        <f t="shared" si="1"/>
        <v>12593.22</v>
      </c>
      <c r="F2159" s="23"/>
      <c r="G2159" s="21">
        <f t="shared" si="8"/>
        <v>318539.46</v>
      </c>
      <c r="H2159" s="23"/>
      <c r="I2159" s="21">
        <f t="shared" si="15"/>
        <v>781.68</v>
      </c>
      <c r="J2159" s="23"/>
      <c r="K2159" s="21">
        <f t="shared" si="13"/>
        <v>204430.28</v>
      </c>
      <c r="L2159" s="23"/>
      <c r="M2159" s="21">
        <f t="shared" si="16"/>
        <v>1894.93</v>
      </c>
    </row>
    <row r="2160" ht="20.25" customHeight="1" outlineLevel="1">
      <c r="A2160" s="12"/>
      <c r="B2160" s="13"/>
      <c r="C2160" s="87"/>
      <c r="D2160" s="20"/>
      <c r="E2160" s="21">
        <f t="shared" si="1"/>
        <v>12593.22</v>
      </c>
      <c r="F2160" s="23"/>
      <c r="G2160" s="21">
        <f t="shared" si="8"/>
        <v>318539.46</v>
      </c>
      <c r="H2160" s="23"/>
      <c r="I2160" s="21">
        <f t="shared" si="15"/>
        <v>781.68</v>
      </c>
      <c r="J2160" s="23"/>
      <c r="K2160" s="21">
        <f t="shared" si="13"/>
        <v>204430.28</v>
      </c>
      <c r="L2160" s="23"/>
      <c r="M2160" s="21">
        <f t="shared" si="16"/>
        <v>1894.93</v>
      </c>
    </row>
    <row r="2161" ht="20.25" customHeight="1" outlineLevel="1">
      <c r="A2161" s="12"/>
      <c r="B2161" s="13"/>
      <c r="C2161" s="238"/>
      <c r="D2161" s="20"/>
      <c r="E2161" s="21">
        <f t="shared" si="1"/>
        <v>12593.22</v>
      </c>
      <c r="F2161" s="23"/>
      <c r="G2161" s="21">
        <f t="shared" si="8"/>
        <v>318539.46</v>
      </c>
      <c r="H2161" s="23"/>
      <c r="I2161" s="21">
        <f t="shared" si="15"/>
        <v>781.68</v>
      </c>
      <c r="J2161" s="23"/>
      <c r="K2161" s="21">
        <f t="shared" si="13"/>
        <v>204430.28</v>
      </c>
      <c r="L2161" s="23"/>
      <c r="M2161" s="21">
        <f t="shared" si="16"/>
        <v>1894.93</v>
      </c>
    </row>
    <row r="2162" ht="20.25" customHeight="1" outlineLevel="1">
      <c r="A2162" s="12"/>
      <c r="B2162" s="13"/>
      <c r="C2162" s="238"/>
      <c r="D2162" s="20"/>
      <c r="E2162" s="21">
        <f t="shared" si="1"/>
        <v>12593.22</v>
      </c>
      <c r="F2162" s="23"/>
      <c r="G2162" s="21">
        <f t="shared" si="8"/>
        <v>318539.46</v>
      </c>
      <c r="H2162" s="23"/>
      <c r="I2162" s="21">
        <f t="shared" si="15"/>
        <v>781.68</v>
      </c>
      <c r="J2162" s="23"/>
      <c r="K2162" s="21">
        <f t="shared" si="13"/>
        <v>204430.28</v>
      </c>
      <c r="L2162" s="23"/>
      <c r="M2162" s="21">
        <f t="shared" si="16"/>
        <v>1894.93</v>
      </c>
    </row>
    <row r="2163" ht="20.25" customHeight="1" outlineLevel="1">
      <c r="A2163" s="12"/>
      <c r="B2163" s="13"/>
      <c r="C2163" s="238"/>
      <c r="D2163" s="20"/>
      <c r="E2163" s="21">
        <f t="shared" si="1"/>
        <v>12593.22</v>
      </c>
      <c r="F2163" s="23"/>
      <c r="G2163" s="21">
        <f t="shared" si="8"/>
        <v>318539.46</v>
      </c>
      <c r="H2163" s="23"/>
      <c r="I2163" s="21">
        <f t="shared" si="15"/>
        <v>781.68</v>
      </c>
      <c r="J2163" s="23"/>
      <c r="K2163" s="21">
        <f t="shared" si="13"/>
        <v>204430.28</v>
      </c>
      <c r="L2163" s="23"/>
      <c r="M2163" s="21">
        <f t="shared" si="16"/>
        <v>1894.93</v>
      </c>
    </row>
    <row r="2164" ht="20.25" customHeight="1" outlineLevel="1">
      <c r="A2164" s="12"/>
      <c r="B2164" s="13"/>
      <c r="C2164" s="239"/>
      <c r="D2164" s="20"/>
      <c r="E2164" s="21">
        <f t="shared" si="1"/>
        <v>12593.22</v>
      </c>
      <c r="F2164" s="23"/>
      <c r="G2164" s="21">
        <f t="shared" si="8"/>
        <v>318539.46</v>
      </c>
      <c r="H2164" s="23"/>
      <c r="I2164" s="21">
        <f t="shared" si="15"/>
        <v>781.68</v>
      </c>
      <c r="J2164" s="23"/>
      <c r="K2164" s="21">
        <f t="shared" si="13"/>
        <v>204430.28</v>
      </c>
      <c r="L2164" s="23"/>
      <c r="M2164" s="21">
        <f t="shared" si="16"/>
        <v>1894.93</v>
      </c>
    </row>
    <row r="2165" ht="20.25" customHeight="1" outlineLevel="1">
      <c r="A2165" s="12"/>
      <c r="B2165" s="13"/>
      <c r="C2165" s="239"/>
      <c r="D2165" s="20"/>
      <c r="E2165" s="21">
        <f t="shared" si="1"/>
        <v>12593.22</v>
      </c>
      <c r="F2165" s="23"/>
      <c r="G2165" s="21">
        <f t="shared" si="8"/>
        <v>318539.46</v>
      </c>
      <c r="H2165" s="23"/>
      <c r="I2165" s="21">
        <f t="shared" si="15"/>
        <v>781.68</v>
      </c>
      <c r="J2165" s="23"/>
      <c r="K2165" s="21">
        <f t="shared" si="13"/>
        <v>204430.28</v>
      </c>
      <c r="L2165" s="23"/>
      <c r="M2165" s="21">
        <f t="shared" si="16"/>
        <v>1894.93</v>
      </c>
    </row>
    <row r="2166" ht="20.25" customHeight="1" outlineLevel="1">
      <c r="A2166" s="12"/>
      <c r="B2166" s="13"/>
      <c r="C2166" s="239"/>
      <c r="D2166" s="20"/>
      <c r="E2166" s="21">
        <f t="shared" si="1"/>
        <v>12593.22</v>
      </c>
      <c r="F2166" s="23"/>
      <c r="G2166" s="21">
        <f t="shared" si="8"/>
        <v>318539.46</v>
      </c>
      <c r="H2166" s="23"/>
      <c r="I2166" s="21">
        <f t="shared" si="15"/>
        <v>781.68</v>
      </c>
      <c r="J2166" s="23"/>
      <c r="K2166" s="21">
        <f t="shared" si="13"/>
        <v>204430.28</v>
      </c>
      <c r="L2166" s="23"/>
      <c r="M2166" s="21">
        <f t="shared" si="16"/>
        <v>1894.93</v>
      </c>
    </row>
    <row r="2167" ht="20.25" customHeight="1" outlineLevel="1">
      <c r="A2167" s="12"/>
      <c r="B2167" s="13"/>
      <c r="C2167" s="240"/>
      <c r="D2167" s="20"/>
      <c r="E2167" s="21">
        <f t="shared" si="1"/>
        <v>12593.22</v>
      </c>
      <c r="F2167" s="23"/>
      <c r="G2167" s="21">
        <f t="shared" si="8"/>
        <v>318539.46</v>
      </c>
      <c r="H2167" s="23"/>
      <c r="I2167" s="21">
        <f t="shared" si="15"/>
        <v>781.68</v>
      </c>
      <c r="J2167" s="23"/>
      <c r="K2167" s="21">
        <f t="shared" si="13"/>
        <v>204430.28</v>
      </c>
      <c r="L2167" s="23"/>
      <c r="M2167" s="21">
        <f t="shared" si="16"/>
        <v>1894.93</v>
      </c>
    </row>
    <row r="2168" ht="20.25" customHeight="1" outlineLevel="1">
      <c r="A2168" s="12"/>
      <c r="B2168" s="13"/>
      <c r="C2168" s="28"/>
      <c r="D2168" s="20"/>
      <c r="E2168" s="21">
        <f t="shared" si="1"/>
        <v>12593.22</v>
      </c>
      <c r="F2168" s="23"/>
      <c r="G2168" s="21">
        <f t="shared" si="8"/>
        <v>318539.46</v>
      </c>
      <c r="H2168" s="23"/>
      <c r="I2168" s="21">
        <f t="shared" si="15"/>
        <v>781.68</v>
      </c>
      <c r="J2168" s="23"/>
      <c r="K2168" s="21">
        <f t="shared" si="13"/>
        <v>204430.28</v>
      </c>
      <c r="L2168" s="23"/>
      <c r="M2168" s="21">
        <f t="shared" si="16"/>
        <v>1894.93</v>
      </c>
    </row>
    <row r="2169" ht="20.25" customHeight="1" outlineLevel="1">
      <c r="A2169" s="12"/>
      <c r="B2169" s="13"/>
      <c r="C2169" s="28"/>
      <c r="D2169" s="20"/>
      <c r="E2169" s="21">
        <f t="shared" si="1"/>
        <v>12593.22</v>
      </c>
      <c r="F2169" s="23"/>
      <c r="G2169" s="21">
        <f t="shared" si="8"/>
        <v>318539.46</v>
      </c>
      <c r="H2169" s="23"/>
      <c r="I2169" s="21">
        <f t="shared" si="15"/>
        <v>781.68</v>
      </c>
      <c r="J2169" s="23"/>
      <c r="K2169" s="21">
        <f t="shared" si="13"/>
        <v>204430.28</v>
      </c>
      <c r="L2169" s="23"/>
      <c r="M2169" s="21">
        <f t="shared" si="16"/>
        <v>1894.93</v>
      </c>
    </row>
    <row r="2170" ht="20.25" customHeight="1" outlineLevel="1">
      <c r="A2170" s="12"/>
      <c r="B2170" s="13"/>
      <c r="C2170" s="42"/>
      <c r="D2170" s="20"/>
      <c r="E2170" s="21">
        <f t="shared" si="1"/>
        <v>12593.22</v>
      </c>
      <c r="F2170" s="23"/>
      <c r="G2170" s="21">
        <f t="shared" si="8"/>
        <v>318539.46</v>
      </c>
      <c r="H2170" s="23"/>
      <c r="I2170" s="21">
        <f t="shared" si="15"/>
        <v>781.68</v>
      </c>
      <c r="J2170" s="23"/>
      <c r="K2170" s="21">
        <f t="shared" si="13"/>
        <v>204430.28</v>
      </c>
      <c r="L2170" s="23"/>
      <c r="M2170" s="21">
        <f t="shared" si="16"/>
        <v>1894.93</v>
      </c>
    </row>
    <row r="2171" ht="20.25" customHeight="1" outlineLevel="1">
      <c r="A2171" s="12"/>
      <c r="B2171" s="13"/>
      <c r="C2171" s="28"/>
      <c r="D2171" s="20"/>
      <c r="E2171" s="21">
        <f t="shared" si="1"/>
        <v>12593.22</v>
      </c>
      <c r="F2171" s="23"/>
      <c r="G2171" s="21">
        <f t="shared" si="8"/>
        <v>318539.46</v>
      </c>
      <c r="H2171" s="23"/>
      <c r="I2171" s="21">
        <f t="shared" si="15"/>
        <v>781.68</v>
      </c>
      <c r="J2171" s="23"/>
      <c r="K2171" s="21">
        <f t="shared" si="13"/>
        <v>204430.28</v>
      </c>
      <c r="L2171" s="23"/>
      <c r="M2171" s="21">
        <f t="shared" si="16"/>
        <v>1894.93</v>
      </c>
    </row>
    <row r="2172" ht="20.25" customHeight="1" outlineLevel="1">
      <c r="A2172" s="12"/>
      <c r="B2172" s="13"/>
      <c r="C2172" s="28"/>
      <c r="D2172" s="20"/>
      <c r="E2172" s="21">
        <f t="shared" si="1"/>
        <v>12593.22</v>
      </c>
      <c r="F2172" s="23"/>
      <c r="G2172" s="21">
        <f t="shared" si="8"/>
        <v>318539.46</v>
      </c>
      <c r="H2172" s="23"/>
      <c r="I2172" s="21">
        <f t="shared" si="15"/>
        <v>781.68</v>
      </c>
      <c r="J2172" s="23"/>
      <c r="K2172" s="21">
        <f t="shared" si="13"/>
        <v>204430.28</v>
      </c>
      <c r="L2172" s="23"/>
      <c r="M2172" s="21">
        <f t="shared" si="16"/>
        <v>1894.93</v>
      </c>
    </row>
    <row r="2173" ht="20.25" customHeight="1" outlineLevel="1">
      <c r="A2173" s="12"/>
      <c r="B2173" s="13"/>
      <c r="C2173" s="28"/>
      <c r="D2173" s="20"/>
      <c r="E2173" s="21">
        <f t="shared" si="1"/>
        <v>12593.22</v>
      </c>
      <c r="F2173" s="23"/>
      <c r="G2173" s="21">
        <f t="shared" si="8"/>
        <v>318539.46</v>
      </c>
      <c r="H2173" s="23"/>
      <c r="I2173" s="21">
        <f t="shared" si="15"/>
        <v>781.68</v>
      </c>
      <c r="J2173" s="23"/>
      <c r="K2173" s="21">
        <f t="shared" si="13"/>
        <v>204430.28</v>
      </c>
      <c r="L2173" s="23"/>
      <c r="M2173" s="21">
        <f t="shared" si="16"/>
        <v>1894.93</v>
      </c>
    </row>
    <row r="2174" ht="20.25" customHeight="1" outlineLevel="1">
      <c r="A2174" s="12"/>
      <c r="B2174" s="13"/>
      <c r="C2174" s="28"/>
      <c r="D2174" s="20"/>
      <c r="E2174" s="21">
        <f t="shared" si="1"/>
        <v>12593.22</v>
      </c>
      <c r="F2174" s="23"/>
      <c r="G2174" s="21">
        <f t="shared" si="8"/>
        <v>318539.46</v>
      </c>
      <c r="H2174" s="23"/>
      <c r="I2174" s="21">
        <f t="shared" si="15"/>
        <v>781.68</v>
      </c>
      <c r="J2174" s="23"/>
      <c r="K2174" s="21">
        <f t="shared" si="13"/>
        <v>204430.28</v>
      </c>
      <c r="L2174" s="23"/>
      <c r="M2174" s="21">
        <f t="shared" si="16"/>
        <v>1894.93</v>
      </c>
    </row>
    <row r="2175" ht="20.25" customHeight="1" outlineLevel="1">
      <c r="A2175" s="12"/>
      <c r="B2175" s="13"/>
      <c r="C2175" s="42"/>
      <c r="D2175" s="20"/>
      <c r="E2175" s="21">
        <f t="shared" si="1"/>
        <v>12593.22</v>
      </c>
      <c r="F2175" s="23"/>
      <c r="G2175" s="21">
        <f t="shared" si="8"/>
        <v>318539.46</v>
      </c>
      <c r="H2175" s="23"/>
      <c r="I2175" s="21">
        <f t="shared" si="15"/>
        <v>781.68</v>
      </c>
      <c r="J2175" s="23"/>
      <c r="K2175" s="21">
        <f t="shared" si="13"/>
        <v>204430.28</v>
      </c>
      <c r="L2175" s="23"/>
      <c r="M2175" s="21">
        <f t="shared" si="16"/>
        <v>1894.93</v>
      </c>
    </row>
    <row r="2176" ht="20.25" customHeight="1" outlineLevel="1">
      <c r="A2176" s="12"/>
      <c r="B2176" s="13"/>
      <c r="C2176" s="28"/>
      <c r="D2176" s="20"/>
      <c r="E2176" s="21">
        <f t="shared" si="1"/>
        <v>12593.22</v>
      </c>
      <c r="F2176" s="23"/>
      <c r="G2176" s="21">
        <f t="shared" si="8"/>
        <v>318539.46</v>
      </c>
      <c r="H2176" s="23"/>
      <c r="I2176" s="21">
        <f t="shared" si="15"/>
        <v>781.68</v>
      </c>
      <c r="J2176" s="23"/>
      <c r="K2176" s="21">
        <f t="shared" si="13"/>
        <v>204430.28</v>
      </c>
      <c r="L2176" s="23"/>
      <c r="M2176" s="21">
        <f t="shared" si="16"/>
        <v>1894.93</v>
      </c>
    </row>
    <row r="2177" ht="20.25" customHeight="1" outlineLevel="1">
      <c r="A2177" s="12"/>
      <c r="B2177" s="13"/>
      <c r="C2177" s="28"/>
      <c r="D2177" s="20"/>
      <c r="E2177" s="21">
        <f t="shared" si="1"/>
        <v>12593.22</v>
      </c>
      <c r="F2177" s="23"/>
      <c r="G2177" s="21">
        <f t="shared" si="8"/>
        <v>318539.46</v>
      </c>
      <c r="H2177" s="23"/>
      <c r="I2177" s="21">
        <f t="shared" si="15"/>
        <v>781.68</v>
      </c>
      <c r="J2177" s="23"/>
      <c r="K2177" s="21">
        <f t="shared" si="13"/>
        <v>204430.28</v>
      </c>
      <c r="L2177" s="23"/>
      <c r="M2177" s="21">
        <f t="shared" si="16"/>
        <v>1894.93</v>
      </c>
    </row>
    <row r="2178" ht="20.25" customHeight="1" outlineLevel="1">
      <c r="A2178" s="12"/>
      <c r="B2178" s="13"/>
      <c r="C2178" s="28"/>
      <c r="D2178" s="20"/>
      <c r="E2178" s="21">
        <f t="shared" si="1"/>
        <v>12593.22</v>
      </c>
      <c r="F2178" s="23"/>
      <c r="G2178" s="21">
        <f t="shared" si="8"/>
        <v>318539.46</v>
      </c>
      <c r="H2178" s="23"/>
      <c r="I2178" s="21">
        <f t="shared" si="15"/>
        <v>781.68</v>
      </c>
      <c r="J2178" s="23"/>
      <c r="K2178" s="21">
        <f t="shared" si="13"/>
        <v>204430.28</v>
      </c>
      <c r="L2178" s="23"/>
      <c r="M2178" s="21">
        <f t="shared" si="16"/>
        <v>1894.93</v>
      </c>
    </row>
    <row r="2179" ht="20.25" customHeight="1" outlineLevel="1">
      <c r="A2179" s="12"/>
      <c r="B2179" s="13"/>
      <c r="C2179" s="28"/>
      <c r="D2179" s="20"/>
      <c r="E2179" s="21">
        <f t="shared" si="1"/>
        <v>12593.22</v>
      </c>
      <c r="F2179" s="23"/>
      <c r="G2179" s="21">
        <f t="shared" si="8"/>
        <v>318539.46</v>
      </c>
      <c r="H2179" s="23"/>
      <c r="I2179" s="21">
        <f t="shared" si="15"/>
        <v>781.68</v>
      </c>
      <c r="J2179" s="23"/>
      <c r="K2179" s="21">
        <f t="shared" si="13"/>
        <v>204430.28</v>
      </c>
      <c r="L2179" s="23"/>
      <c r="M2179" s="21">
        <f t="shared" si="16"/>
        <v>1894.93</v>
      </c>
    </row>
    <row r="2180" ht="20.25" customHeight="1" outlineLevel="1">
      <c r="A2180" s="12"/>
      <c r="B2180" s="13"/>
      <c r="C2180" s="28"/>
      <c r="D2180" s="20"/>
      <c r="E2180" s="21">
        <f t="shared" si="1"/>
        <v>12593.22</v>
      </c>
      <c r="F2180" s="23"/>
      <c r="G2180" s="21">
        <f t="shared" si="8"/>
        <v>318539.46</v>
      </c>
      <c r="H2180" s="23"/>
      <c r="I2180" s="21">
        <f t="shared" si="15"/>
        <v>781.68</v>
      </c>
      <c r="J2180" s="23"/>
      <c r="K2180" s="21">
        <f t="shared" si="13"/>
        <v>204430.28</v>
      </c>
      <c r="L2180" s="23"/>
      <c r="M2180" s="21">
        <f t="shared" si="16"/>
        <v>1894.93</v>
      </c>
    </row>
    <row r="2181" ht="20.25" customHeight="1" outlineLevel="1">
      <c r="A2181" s="12"/>
      <c r="B2181" s="13"/>
      <c r="C2181" s="42"/>
      <c r="D2181" s="20"/>
      <c r="E2181" s="21">
        <f t="shared" si="1"/>
        <v>12593.22</v>
      </c>
      <c r="F2181" s="23"/>
      <c r="G2181" s="21">
        <f t="shared" si="8"/>
        <v>318539.46</v>
      </c>
      <c r="H2181" s="23"/>
      <c r="I2181" s="21">
        <f t="shared" si="15"/>
        <v>781.68</v>
      </c>
      <c r="J2181" s="23"/>
      <c r="K2181" s="21">
        <f t="shared" si="13"/>
        <v>204430.28</v>
      </c>
      <c r="L2181" s="23"/>
      <c r="M2181" s="21">
        <f t="shared" si="16"/>
        <v>1894.93</v>
      </c>
    </row>
    <row r="2182" ht="20.25" customHeight="1" outlineLevel="1">
      <c r="A2182" s="12"/>
      <c r="B2182" s="13"/>
      <c r="C2182" s="42"/>
      <c r="D2182" s="20"/>
      <c r="E2182" s="21">
        <f t="shared" si="1"/>
        <v>12593.22</v>
      </c>
      <c r="F2182" s="23"/>
      <c r="G2182" s="21">
        <f t="shared" si="8"/>
        <v>318539.46</v>
      </c>
      <c r="H2182" s="23"/>
      <c r="I2182" s="21">
        <f t="shared" si="15"/>
        <v>781.68</v>
      </c>
      <c r="J2182" s="23"/>
      <c r="K2182" s="21">
        <f t="shared" si="13"/>
        <v>204430.28</v>
      </c>
      <c r="L2182" s="23"/>
      <c r="M2182" s="21">
        <f t="shared" si="16"/>
        <v>1894.93</v>
      </c>
    </row>
    <row r="2183" ht="20.25" customHeight="1" outlineLevel="1">
      <c r="A2183" s="12"/>
      <c r="B2183" s="13"/>
      <c r="C2183" s="42"/>
      <c r="D2183" s="20"/>
      <c r="E2183" s="21">
        <f t="shared" si="1"/>
        <v>12593.22</v>
      </c>
      <c r="F2183" s="23"/>
      <c r="G2183" s="21">
        <f t="shared" si="8"/>
        <v>318539.46</v>
      </c>
      <c r="H2183" s="23"/>
      <c r="I2183" s="21">
        <f t="shared" si="15"/>
        <v>781.68</v>
      </c>
      <c r="J2183" s="23"/>
      <c r="K2183" s="21">
        <f t="shared" si="13"/>
        <v>204430.28</v>
      </c>
      <c r="L2183" s="23"/>
      <c r="M2183" s="21">
        <f t="shared" si="16"/>
        <v>1894.93</v>
      </c>
    </row>
    <row r="2184" ht="20.25" customHeight="1" outlineLevel="1">
      <c r="A2184" s="12"/>
      <c r="B2184" s="13"/>
      <c r="C2184" s="42"/>
      <c r="D2184" s="20"/>
      <c r="E2184" s="21">
        <f t="shared" si="1"/>
        <v>12593.22</v>
      </c>
      <c r="F2184" s="23"/>
      <c r="G2184" s="21">
        <f t="shared" si="8"/>
        <v>318539.46</v>
      </c>
      <c r="H2184" s="23"/>
      <c r="I2184" s="21">
        <f t="shared" si="15"/>
        <v>781.68</v>
      </c>
      <c r="J2184" s="23"/>
      <c r="K2184" s="21">
        <f t="shared" si="13"/>
        <v>204430.28</v>
      </c>
      <c r="L2184" s="23"/>
      <c r="M2184" s="21">
        <f t="shared" si="16"/>
        <v>1894.93</v>
      </c>
    </row>
    <row r="2185" ht="20.25" customHeight="1" outlineLevel="1">
      <c r="A2185" s="12"/>
      <c r="B2185" s="13"/>
      <c r="C2185" s="28"/>
      <c r="D2185" s="20"/>
      <c r="E2185" s="21">
        <f t="shared" si="1"/>
        <v>12593.22</v>
      </c>
      <c r="F2185" s="23"/>
      <c r="G2185" s="21">
        <f t="shared" si="8"/>
        <v>318539.46</v>
      </c>
      <c r="H2185" s="23"/>
      <c r="I2185" s="21">
        <f t="shared" si="15"/>
        <v>781.68</v>
      </c>
      <c r="J2185" s="23"/>
      <c r="K2185" s="21">
        <f t="shared" si="13"/>
        <v>204430.28</v>
      </c>
      <c r="L2185" s="23"/>
      <c r="M2185" s="21">
        <f t="shared" si="16"/>
        <v>1894.93</v>
      </c>
    </row>
    <row r="2186" ht="20.25" customHeight="1" outlineLevel="1">
      <c r="A2186" s="12"/>
      <c r="B2186" s="13"/>
      <c r="C2186" s="28"/>
      <c r="D2186" s="20"/>
      <c r="E2186" s="21">
        <f t="shared" si="1"/>
        <v>12593.22</v>
      </c>
      <c r="F2186" s="23"/>
      <c r="G2186" s="21">
        <f t="shared" si="8"/>
        <v>318539.46</v>
      </c>
      <c r="H2186" s="23"/>
      <c r="I2186" s="21">
        <f t="shared" si="15"/>
        <v>781.68</v>
      </c>
      <c r="J2186" s="23"/>
      <c r="K2186" s="21">
        <f t="shared" si="13"/>
        <v>204430.28</v>
      </c>
      <c r="L2186" s="23"/>
      <c r="M2186" s="21">
        <f t="shared" si="16"/>
        <v>1894.93</v>
      </c>
    </row>
    <row r="2187" ht="20.25" customHeight="1" outlineLevel="1">
      <c r="A2187" s="12"/>
      <c r="B2187" s="13"/>
      <c r="C2187" s="225"/>
      <c r="D2187" s="20"/>
      <c r="E2187" s="21">
        <f t="shared" si="1"/>
        <v>12593.22</v>
      </c>
      <c r="F2187" s="23"/>
      <c r="G2187" s="21">
        <f t="shared" si="8"/>
        <v>318539.46</v>
      </c>
      <c r="H2187" s="23"/>
      <c r="I2187" s="21">
        <f t="shared" si="15"/>
        <v>781.68</v>
      </c>
      <c r="J2187" s="23"/>
      <c r="K2187" s="21">
        <f t="shared" si="13"/>
        <v>204430.28</v>
      </c>
      <c r="L2187" s="23"/>
      <c r="M2187" s="21">
        <f t="shared" si="16"/>
        <v>1894.93</v>
      </c>
    </row>
    <row r="2188" ht="20.25" customHeight="1" outlineLevel="1">
      <c r="A2188" s="12"/>
      <c r="B2188" s="13"/>
      <c r="C2188" s="225"/>
      <c r="D2188" s="20"/>
      <c r="E2188" s="21">
        <f t="shared" si="1"/>
        <v>12593.22</v>
      </c>
      <c r="F2188" s="23"/>
      <c r="G2188" s="21">
        <f t="shared" si="8"/>
        <v>318539.46</v>
      </c>
      <c r="H2188" s="23"/>
      <c r="I2188" s="21">
        <f t="shared" si="15"/>
        <v>781.68</v>
      </c>
      <c r="J2188" s="23"/>
      <c r="K2188" s="21">
        <f t="shared" si="13"/>
        <v>204430.28</v>
      </c>
      <c r="L2188" s="23"/>
      <c r="M2188" s="21">
        <f t="shared" si="16"/>
        <v>1894.93</v>
      </c>
    </row>
    <row r="2189" ht="20.25" customHeight="1" outlineLevel="1">
      <c r="A2189" s="12"/>
      <c r="B2189" s="13"/>
      <c r="C2189" s="225"/>
      <c r="D2189" s="20"/>
      <c r="E2189" s="21">
        <f t="shared" si="1"/>
        <v>12593.22</v>
      </c>
      <c r="F2189" s="23"/>
      <c r="G2189" s="21">
        <f t="shared" si="8"/>
        <v>318539.46</v>
      </c>
      <c r="H2189" s="23"/>
      <c r="I2189" s="21">
        <f t="shared" si="15"/>
        <v>781.68</v>
      </c>
      <c r="J2189" s="23"/>
      <c r="K2189" s="21">
        <f t="shared" si="13"/>
        <v>204430.28</v>
      </c>
      <c r="L2189" s="23"/>
      <c r="M2189" s="21">
        <f t="shared" si="16"/>
        <v>1894.93</v>
      </c>
    </row>
    <row r="2190" ht="20.25" customHeight="1" outlineLevel="1">
      <c r="A2190" s="12"/>
      <c r="B2190" s="13"/>
      <c r="C2190" s="28"/>
      <c r="D2190" s="20"/>
      <c r="E2190" s="21">
        <f t="shared" si="1"/>
        <v>12593.22</v>
      </c>
      <c r="F2190" s="23"/>
      <c r="G2190" s="21">
        <f t="shared" si="8"/>
        <v>318539.46</v>
      </c>
      <c r="H2190" s="23"/>
      <c r="I2190" s="21">
        <f t="shared" si="15"/>
        <v>781.68</v>
      </c>
      <c r="J2190" s="23"/>
      <c r="K2190" s="21">
        <f t="shared" si="13"/>
        <v>204430.28</v>
      </c>
      <c r="L2190" s="23"/>
      <c r="M2190" s="21">
        <f t="shared" si="16"/>
        <v>1894.93</v>
      </c>
    </row>
    <row r="2191" ht="20.25" customHeight="1" outlineLevel="1">
      <c r="A2191" s="12"/>
      <c r="B2191" s="13"/>
      <c r="C2191" s="28"/>
      <c r="D2191" s="20"/>
      <c r="E2191" s="21">
        <f t="shared" si="1"/>
        <v>12593.22</v>
      </c>
      <c r="F2191" s="23"/>
      <c r="G2191" s="21">
        <f t="shared" si="8"/>
        <v>318539.46</v>
      </c>
      <c r="H2191" s="23"/>
      <c r="I2191" s="21">
        <f t="shared" si="15"/>
        <v>781.68</v>
      </c>
      <c r="J2191" s="23"/>
      <c r="K2191" s="21">
        <f t="shared" si="13"/>
        <v>204430.28</v>
      </c>
      <c r="L2191" s="23"/>
      <c r="M2191" s="21">
        <f t="shared" si="16"/>
        <v>1894.93</v>
      </c>
    </row>
    <row r="2192" ht="20.25" customHeight="1" outlineLevel="1">
      <c r="A2192" s="12"/>
      <c r="B2192" s="13"/>
      <c r="C2192" s="28"/>
      <c r="D2192" s="20"/>
      <c r="E2192" s="21">
        <f t="shared" si="1"/>
        <v>12593.22</v>
      </c>
      <c r="F2192" s="23"/>
      <c r="G2192" s="21">
        <f t="shared" si="8"/>
        <v>318539.46</v>
      </c>
      <c r="H2192" s="23"/>
      <c r="I2192" s="21">
        <f t="shared" si="15"/>
        <v>781.68</v>
      </c>
      <c r="J2192" s="23"/>
      <c r="K2192" s="21">
        <f t="shared" si="13"/>
        <v>204430.28</v>
      </c>
      <c r="L2192" s="23"/>
      <c r="M2192" s="21">
        <f t="shared" si="16"/>
        <v>1894.93</v>
      </c>
    </row>
    <row r="2193" ht="20.25" customHeight="1" outlineLevel="1">
      <c r="A2193" s="12"/>
      <c r="B2193" s="13"/>
      <c r="C2193" s="42"/>
      <c r="D2193" s="20"/>
      <c r="E2193" s="21">
        <f t="shared" si="1"/>
        <v>12593.22</v>
      </c>
      <c r="F2193" s="23"/>
      <c r="G2193" s="21">
        <f t="shared" si="8"/>
        <v>318539.46</v>
      </c>
      <c r="H2193" s="23"/>
      <c r="I2193" s="21">
        <f t="shared" si="15"/>
        <v>781.68</v>
      </c>
      <c r="J2193" s="23"/>
      <c r="K2193" s="21">
        <f t="shared" si="13"/>
        <v>204430.28</v>
      </c>
      <c r="L2193" s="23"/>
      <c r="M2193" s="21">
        <f t="shared" si="16"/>
        <v>1894.93</v>
      </c>
    </row>
    <row r="2194" ht="20.25" customHeight="1" outlineLevel="1">
      <c r="A2194" s="12"/>
      <c r="B2194" s="13"/>
      <c r="C2194" s="42"/>
      <c r="D2194" s="20"/>
      <c r="E2194" s="21">
        <f t="shared" si="1"/>
        <v>12593.22</v>
      </c>
      <c r="F2194" s="23"/>
      <c r="G2194" s="21">
        <f t="shared" si="8"/>
        <v>318539.46</v>
      </c>
      <c r="H2194" s="23"/>
      <c r="I2194" s="21">
        <f t="shared" si="15"/>
        <v>781.68</v>
      </c>
      <c r="J2194" s="23"/>
      <c r="K2194" s="21">
        <f t="shared" si="13"/>
        <v>204430.28</v>
      </c>
      <c r="L2194" s="23"/>
      <c r="M2194" s="21">
        <f t="shared" si="16"/>
        <v>1894.93</v>
      </c>
    </row>
    <row r="2195" ht="20.25" customHeight="1" outlineLevel="1">
      <c r="A2195" s="12"/>
      <c r="B2195" s="13"/>
      <c r="C2195" s="42"/>
      <c r="D2195" s="20"/>
      <c r="E2195" s="21">
        <f t="shared" si="1"/>
        <v>12593.22</v>
      </c>
      <c r="F2195" s="23"/>
      <c r="G2195" s="21">
        <f t="shared" si="8"/>
        <v>318539.46</v>
      </c>
      <c r="H2195" s="23"/>
      <c r="I2195" s="21">
        <f t="shared" si="15"/>
        <v>781.68</v>
      </c>
      <c r="J2195" s="23"/>
      <c r="K2195" s="21">
        <f t="shared" si="13"/>
        <v>204430.28</v>
      </c>
      <c r="L2195" s="23"/>
      <c r="M2195" s="21">
        <f t="shared" si="16"/>
        <v>1894.93</v>
      </c>
    </row>
    <row r="2196" ht="20.25" customHeight="1" outlineLevel="1">
      <c r="A2196" s="12"/>
      <c r="B2196" s="13"/>
      <c r="C2196" s="42"/>
      <c r="D2196" s="20"/>
      <c r="E2196" s="21">
        <f t="shared" si="1"/>
        <v>12593.22</v>
      </c>
      <c r="F2196" s="23"/>
      <c r="G2196" s="21">
        <f t="shared" si="8"/>
        <v>318539.46</v>
      </c>
      <c r="H2196" s="23"/>
      <c r="I2196" s="21">
        <f t="shared" si="15"/>
        <v>781.68</v>
      </c>
      <c r="J2196" s="23"/>
      <c r="K2196" s="21">
        <f t="shared" si="13"/>
        <v>204430.28</v>
      </c>
      <c r="L2196" s="23"/>
      <c r="M2196" s="21">
        <f t="shared" si="16"/>
        <v>1894.93</v>
      </c>
    </row>
    <row r="2197" ht="20.25" customHeight="1" outlineLevel="1">
      <c r="A2197" s="12"/>
      <c r="B2197" s="13"/>
      <c r="C2197" s="42"/>
      <c r="D2197" s="20"/>
      <c r="E2197" s="21">
        <f t="shared" si="1"/>
        <v>12593.22</v>
      </c>
      <c r="F2197" s="23"/>
      <c r="G2197" s="21">
        <f t="shared" si="8"/>
        <v>318539.46</v>
      </c>
      <c r="H2197" s="23"/>
      <c r="I2197" s="21">
        <f t="shared" si="15"/>
        <v>781.68</v>
      </c>
      <c r="J2197" s="23"/>
      <c r="K2197" s="21">
        <f t="shared" si="13"/>
        <v>204430.28</v>
      </c>
      <c r="L2197" s="23"/>
      <c r="M2197" s="21">
        <f t="shared" si="16"/>
        <v>1894.93</v>
      </c>
    </row>
    <row r="2198" ht="20.25" customHeight="1" outlineLevel="1">
      <c r="A2198" s="12"/>
      <c r="B2198" s="13"/>
      <c r="C2198" s="42"/>
      <c r="D2198" s="20"/>
      <c r="E2198" s="21">
        <f t="shared" si="1"/>
        <v>12593.22</v>
      </c>
      <c r="F2198" s="23"/>
      <c r="G2198" s="21">
        <f t="shared" si="8"/>
        <v>318539.46</v>
      </c>
      <c r="H2198" s="23"/>
      <c r="I2198" s="21">
        <f t="shared" si="15"/>
        <v>781.68</v>
      </c>
      <c r="J2198" s="23"/>
      <c r="K2198" s="21">
        <f t="shared" si="13"/>
        <v>204430.28</v>
      </c>
      <c r="L2198" s="23"/>
      <c r="M2198" s="21">
        <f t="shared" si="16"/>
        <v>1894.93</v>
      </c>
    </row>
    <row r="2199" ht="20.25" customHeight="1" outlineLevel="1">
      <c r="A2199" s="12"/>
      <c r="B2199" s="13"/>
      <c r="C2199" s="42"/>
      <c r="D2199" s="20"/>
      <c r="E2199" s="21">
        <f t="shared" si="1"/>
        <v>12593.22</v>
      </c>
      <c r="F2199" s="23"/>
      <c r="G2199" s="21">
        <f t="shared" si="8"/>
        <v>318539.46</v>
      </c>
      <c r="H2199" s="23"/>
      <c r="I2199" s="21">
        <f t="shared" si="15"/>
        <v>781.68</v>
      </c>
      <c r="J2199" s="23"/>
      <c r="K2199" s="21">
        <f t="shared" si="13"/>
        <v>204430.28</v>
      </c>
      <c r="L2199" s="23"/>
      <c r="M2199" s="21">
        <f t="shared" si="16"/>
        <v>1894.93</v>
      </c>
    </row>
    <row r="2200" ht="20.25" customHeight="1" outlineLevel="1">
      <c r="A2200" s="12"/>
      <c r="B2200" s="13"/>
      <c r="C2200" s="28"/>
      <c r="D2200" s="20"/>
      <c r="E2200" s="21">
        <f t="shared" si="1"/>
        <v>12593.22</v>
      </c>
      <c r="F2200" s="23"/>
      <c r="G2200" s="21">
        <f t="shared" si="8"/>
        <v>318539.46</v>
      </c>
      <c r="H2200" s="23"/>
      <c r="I2200" s="21">
        <f t="shared" si="15"/>
        <v>781.68</v>
      </c>
      <c r="J2200" s="23"/>
      <c r="K2200" s="21">
        <f t="shared" si="13"/>
        <v>204430.28</v>
      </c>
      <c r="L2200" s="23"/>
      <c r="M2200" s="21">
        <f t="shared" si="16"/>
        <v>1894.93</v>
      </c>
    </row>
    <row r="2201" ht="20.25" customHeight="1" outlineLevel="1">
      <c r="A2201" s="12"/>
      <c r="B2201" s="13"/>
      <c r="C2201" s="42"/>
      <c r="D2201" s="20"/>
      <c r="E2201" s="21">
        <f t="shared" si="1"/>
        <v>12593.22</v>
      </c>
      <c r="F2201" s="23"/>
      <c r="G2201" s="21">
        <f t="shared" si="8"/>
        <v>318539.46</v>
      </c>
      <c r="H2201" s="23"/>
      <c r="I2201" s="21">
        <f t="shared" si="15"/>
        <v>781.68</v>
      </c>
      <c r="J2201" s="23"/>
      <c r="K2201" s="21">
        <f t="shared" si="13"/>
        <v>204430.28</v>
      </c>
      <c r="L2201" s="23"/>
      <c r="M2201" s="21">
        <f t="shared" si="16"/>
        <v>1894.93</v>
      </c>
    </row>
    <row r="2202" ht="20.25" customHeight="1" outlineLevel="1">
      <c r="A2202" s="12"/>
      <c r="B2202" s="13"/>
      <c r="C2202" s="42"/>
      <c r="D2202" s="20"/>
      <c r="E2202" s="21">
        <f t="shared" si="1"/>
        <v>12593.22</v>
      </c>
      <c r="F2202" s="23"/>
      <c r="G2202" s="21">
        <f t="shared" si="8"/>
        <v>318539.46</v>
      </c>
      <c r="H2202" s="23"/>
      <c r="I2202" s="21">
        <f t="shared" si="15"/>
        <v>781.68</v>
      </c>
      <c r="J2202" s="23"/>
      <c r="K2202" s="21">
        <f t="shared" si="13"/>
        <v>204430.28</v>
      </c>
      <c r="L2202" s="23"/>
      <c r="M2202" s="21">
        <f t="shared" si="16"/>
        <v>1894.93</v>
      </c>
    </row>
    <row r="2203" ht="20.25" customHeight="1" outlineLevel="1">
      <c r="A2203" s="12"/>
      <c r="B2203" s="13"/>
      <c r="C2203" s="229"/>
      <c r="D2203" s="20"/>
      <c r="E2203" s="21">
        <f t="shared" si="1"/>
        <v>12593.22</v>
      </c>
      <c r="F2203" s="23"/>
      <c r="G2203" s="21">
        <f t="shared" si="8"/>
        <v>318539.46</v>
      </c>
      <c r="H2203" s="23"/>
      <c r="I2203" s="21">
        <f t="shared" si="15"/>
        <v>781.68</v>
      </c>
      <c r="J2203" s="23"/>
      <c r="K2203" s="21">
        <f t="shared" si="13"/>
        <v>204430.28</v>
      </c>
      <c r="L2203" s="23"/>
      <c r="M2203" s="21">
        <f t="shared" si="16"/>
        <v>1894.93</v>
      </c>
    </row>
    <row r="2204" ht="20.25" customHeight="1" outlineLevel="1">
      <c r="A2204" s="12"/>
      <c r="B2204" s="13"/>
      <c r="C2204" s="229"/>
      <c r="D2204" s="20"/>
      <c r="E2204" s="21">
        <f t="shared" si="1"/>
        <v>12593.22</v>
      </c>
      <c r="F2204" s="23"/>
      <c r="G2204" s="21">
        <f t="shared" si="8"/>
        <v>318539.46</v>
      </c>
      <c r="H2204" s="23"/>
      <c r="I2204" s="21">
        <f t="shared" si="15"/>
        <v>781.68</v>
      </c>
      <c r="J2204" s="23"/>
      <c r="K2204" s="21">
        <f t="shared" si="13"/>
        <v>204430.28</v>
      </c>
      <c r="L2204" s="23"/>
      <c r="M2204" s="21">
        <f t="shared" si="16"/>
        <v>1894.93</v>
      </c>
    </row>
    <row r="2205" ht="20.25" customHeight="1" outlineLevel="1">
      <c r="A2205" s="12"/>
      <c r="B2205" s="13"/>
      <c r="C2205" s="28"/>
      <c r="D2205" s="20"/>
      <c r="E2205" s="21">
        <f t="shared" si="1"/>
        <v>12593.22</v>
      </c>
      <c r="F2205" s="23"/>
      <c r="G2205" s="21">
        <f t="shared" si="8"/>
        <v>318539.46</v>
      </c>
      <c r="H2205" s="23"/>
      <c r="I2205" s="21">
        <f t="shared" si="15"/>
        <v>781.68</v>
      </c>
      <c r="J2205" s="23"/>
      <c r="K2205" s="21">
        <f t="shared" si="13"/>
        <v>204430.28</v>
      </c>
      <c r="L2205" s="23"/>
      <c r="M2205" s="21">
        <f t="shared" si="16"/>
        <v>1894.93</v>
      </c>
    </row>
    <row r="2206" ht="20.25" customHeight="1" outlineLevel="1">
      <c r="A2206" s="12"/>
      <c r="B2206" s="13"/>
      <c r="C2206" s="28"/>
      <c r="D2206" s="20"/>
      <c r="E2206" s="21">
        <f t="shared" si="1"/>
        <v>12593.22</v>
      </c>
      <c r="F2206" s="23"/>
      <c r="G2206" s="21">
        <f t="shared" si="8"/>
        <v>318539.46</v>
      </c>
      <c r="H2206" s="23"/>
      <c r="I2206" s="21">
        <f t="shared" si="15"/>
        <v>781.68</v>
      </c>
      <c r="J2206" s="23"/>
      <c r="K2206" s="21">
        <f t="shared" si="13"/>
        <v>204430.28</v>
      </c>
      <c r="L2206" s="23"/>
      <c r="M2206" s="21">
        <f t="shared" si="16"/>
        <v>1894.93</v>
      </c>
    </row>
    <row r="2207" ht="20.25" customHeight="1" outlineLevel="1">
      <c r="A2207" s="12"/>
      <c r="B2207" s="13"/>
      <c r="C2207" s="28"/>
      <c r="D2207" s="20"/>
      <c r="E2207" s="21">
        <f t="shared" si="1"/>
        <v>12593.22</v>
      </c>
      <c r="F2207" s="23"/>
      <c r="G2207" s="21">
        <f t="shared" si="8"/>
        <v>318539.46</v>
      </c>
      <c r="H2207" s="23"/>
      <c r="I2207" s="21">
        <f t="shared" si="15"/>
        <v>781.68</v>
      </c>
      <c r="J2207" s="23"/>
      <c r="K2207" s="21">
        <f t="shared" si="13"/>
        <v>204430.28</v>
      </c>
      <c r="L2207" s="23"/>
      <c r="M2207" s="21">
        <f t="shared" si="16"/>
        <v>1894.93</v>
      </c>
    </row>
    <row r="2208" ht="20.25" customHeight="1" outlineLevel="1">
      <c r="A2208" s="12"/>
      <c r="B2208" s="13"/>
      <c r="C2208" s="42"/>
      <c r="D2208" s="20"/>
      <c r="E2208" s="21">
        <f t="shared" si="1"/>
        <v>12593.22</v>
      </c>
      <c r="F2208" s="23"/>
      <c r="G2208" s="21">
        <f t="shared" si="8"/>
        <v>318539.46</v>
      </c>
      <c r="H2208" s="23"/>
      <c r="I2208" s="21">
        <f t="shared" si="15"/>
        <v>781.68</v>
      </c>
      <c r="J2208" s="23"/>
      <c r="K2208" s="21">
        <f t="shared" si="13"/>
        <v>204430.28</v>
      </c>
      <c r="L2208" s="23"/>
      <c r="M2208" s="21">
        <f t="shared" si="16"/>
        <v>1894.93</v>
      </c>
    </row>
    <row r="2209" ht="20.25" customHeight="1" outlineLevel="1">
      <c r="A2209" s="12"/>
      <c r="B2209" s="13"/>
      <c r="C2209" s="42"/>
      <c r="D2209" s="20"/>
      <c r="E2209" s="21">
        <f t="shared" si="1"/>
        <v>12593.22</v>
      </c>
      <c r="F2209" s="23"/>
      <c r="G2209" s="21">
        <f t="shared" si="8"/>
        <v>318539.46</v>
      </c>
      <c r="H2209" s="23"/>
      <c r="I2209" s="21">
        <f t="shared" si="15"/>
        <v>781.68</v>
      </c>
      <c r="J2209" s="23"/>
      <c r="K2209" s="21">
        <f t="shared" si="13"/>
        <v>204430.28</v>
      </c>
      <c r="L2209" s="23"/>
      <c r="M2209" s="21">
        <f t="shared" si="16"/>
        <v>1894.93</v>
      </c>
    </row>
    <row r="2210" ht="20.25" customHeight="1" outlineLevel="1">
      <c r="A2210" s="12"/>
      <c r="B2210" s="13"/>
      <c r="C2210" s="42"/>
      <c r="D2210" s="20"/>
      <c r="E2210" s="21">
        <f t="shared" si="1"/>
        <v>12593.22</v>
      </c>
      <c r="F2210" s="23"/>
      <c r="G2210" s="21">
        <f t="shared" si="8"/>
        <v>318539.46</v>
      </c>
      <c r="H2210" s="23"/>
      <c r="I2210" s="21">
        <f t="shared" si="15"/>
        <v>781.68</v>
      </c>
      <c r="J2210" s="23"/>
      <c r="K2210" s="21">
        <f t="shared" si="13"/>
        <v>204430.28</v>
      </c>
      <c r="L2210" s="23"/>
      <c r="M2210" s="21">
        <f t="shared" si="16"/>
        <v>1894.93</v>
      </c>
    </row>
    <row r="2211" ht="20.25" customHeight="1" outlineLevel="1">
      <c r="A2211" s="12"/>
      <c r="B2211" s="13"/>
      <c r="C2211" s="42"/>
      <c r="D2211" s="20"/>
      <c r="E2211" s="21">
        <f t="shared" si="1"/>
        <v>12593.22</v>
      </c>
      <c r="F2211" s="23"/>
      <c r="G2211" s="21">
        <f t="shared" si="8"/>
        <v>318539.46</v>
      </c>
      <c r="H2211" s="23"/>
      <c r="I2211" s="21">
        <f t="shared" si="15"/>
        <v>781.68</v>
      </c>
      <c r="J2211" s="23"/>
      <c r="K2211" s="21">
        <f t="shared" si="13"/>
        <v>204430.28</v>
      </c>
      <c r="L2211" s="23"/>
      <c r="M2211" s="21">
        <f t="shared" si="16"/>
        <v>1894.93</v>
      </c>
    </row>
    <row r="2212" ht="20.25" customHeight="1" outlineLevel="1">
      <c r="A2212" s="12"/>
      <c r="B2212" s="13"/>
      <c r="C2212" s="28"/>
      <c r="D2212" s="20"/>
      <c r="E2212" s="21">
        <f t="shared" si="1"/>
        <v>12593.22</v>
      </c>
      <c r="F2212" s="23"/>
      <c r="G2212" s="21">
        <f t="shared" si="8"/>
        <v>318539.46</v>
      </c>
      <c r="H2212" s="23"/>
      <c r="I2212" s="21">
        <f t="shared" si="15"/>
        <v>781.68</v>
      </c>
      <c r="J2212" s="23"/>
      <c r="K2212" s="21">
        <f t="shared" si="13"/>
        <v>204430.28</v>
      </c>
      <c r="L2212" s="23"/>
      <c r="M2212" s="21">
        <f t="shared" si="16"/>
        <v>1894.93</v>
      </c>
    </row>
    <row r="2213" ht="20.25" customHeight="1" outlineLevel="1">
      <c r="A2213" s="12"/>
      <c r="B2213" s="13"/>
      <c r="C2213" s="28"/>
      <c r="D2213" s="20"/>
      <c r="E2213" s="21">
        <f t="shared" si="1"/>
        <v>12593.22</v>
      </c>
      <c r="F2213" s="23"/>
      <c r="G2213" s="21">
        <f t="shared" si="8"/>
        <v>318539.46</v>
      </c>
      <c r="H2213" s="23"/>
      <c r="I2213" s="21">
        <f t="shared" si="15"/>
        <v>781.68</v>
      </c>
      <c r="J2213" s="23"/>
      <c r="K2213" s="21">
        <f t="shared" si="13"/>
        <v>204430.28</v>
      </c>
      <c r="L2213" s="23"/>
      <c r="M2213" s="21">
        <f t="shared" si="16"/>
        <v>1894.93</v>
      </c>
    </row>
    <row r="2214" ht="20.25" customHeight="1" outlineLevel="1">
      <c r="A2214" s="12"/>
      <c r="B2214" s="13"/>
      <c r="C2214" s="28"/>
      <c r="D2214" s="20"/>
      <c r="E2214" s="21">
        <f t="shared" si="1"/>
        <v>12593.22</v>
      </c>
      <c r="F2214" s="23"/>
      <c r="G2214" s="21">
        <f t="shared" si="8"/>
        <v>318539.46</v>
      </c>
      <c r="H2214" s="23"/>
      <c r="I2214" s="21">
        <f t="shared" si="15"/>
        <v>781.68</v>
      </c>
      <c r="J2214" s="23"/>
      <c r="K2214" s="21">
        <f t="shared" si="13"/>
        <v>204430.28</v>
      </c>
      <c r="L2214" s="23"/>
      <c r="M2214" s="21">
        <f t="shared" si="16"/>
        <v>1894.93</v>
      </c>
    </row>
    <row r="2215" ht="20.25" customHeight="1" outlineLevel="1">
      <c r="A2215" s="12"/>
      <c r="B2215" s="13"/>
      <c r="C2215" s="28"/>
      <c r="D2215" s="20"/>
      <c r="E2215" s="21">
        <f t="shared" si="1"/>
        <v>12593.22</v>
      </c>
      <c r="F2215" s="23"/>
      <c r="G2215" s="21">
        <f t="shared" si="8"/>
        <v>318539.46</v>
      </c>
      <c r="H2215" s="23"/>
      <c r="I2215" s="21">
        <f t="shared" si="15"/>
        <v>781.68</v>
      </c>
      <c r="J2215" s="23"/>
      <c r="K2215" s="21">
        <f t="shared" si="13"/>
        <v>204430.28</v>
      </c>
      <c r="L2215" s="23"/>
      <c r="M2215" s="21">
        <f t="shared" si="16"/>
        <v>1894.93</v>
      </c>
    </row>
    <row r="2216" ht="20.25" customHeight="1" outlineLevel="1">
      <c r="A2216" s="12"/>
      <c r="B2216" s="13"/>
      <c r="C2216" s="28"/>
      <c r="D2216" s="20"/>
      <c r="E2216" s="21">
        <f t="shared" si="1"/>
        <v>12593.22</v>
      </c>
      <c r="F2216" s="23"/>
      <c r="G2216" s="21">
        <f t="shared" si="8"/>
        <v>318539.46</v>
      </c>
      <c r="H2216" s="23"/>
      <c r="I2216" s="21">
        <f t="shared" si="15"/>
        <v>781.68</v>
      </c>
      <c r="J2216" s="23"/>
      <c r="K2216" s="21">
        <f t="shared" si="13"/>
        <v>204430.28</v>
      </c>
      <c r="L2216" s="23"/>
      <c r="M2216" s="21">
        <f t="shared" si="16"/>
        <v>1894.93</v>
      </c>
    </row>
    <row r="2217" ht="20.25" customHeight="1" outlineLevel="1">
      <c r="A2217" s="12"/>
      <c r="B2217" s="13"/>
      <c r="C2217" s="28"/>
      <c r="D2217" s="20"/>
      <c r="E2217" s="21">
        <f t="shared" si="1"/>
        <v>12593.22</v>
      </c>
      <c r="F2217" s="23"/>
      <c r="G2217" s="21">
        <f t="shared" si="8"/>
        <v>318539.46</v>
      </c>
      <c r="H2217" s="23"/>
      <c r="I2217" s="21">
        <f t="shared" si="15"/>
        <v>781.68</v>
      </c>
      <c r="J2217" s="23"/>
      <c r="K2217" s="21">
        <f t="shared" si="13"/>
        <v>204430.28</v>
      </c>
      <c r="L2217" s="23"/>
      <c r="M2217" s="21">
        <f t="shared" si="16"/>
        <v>1894.93</v>
      </c>
    </row>
    <row r="2218" ht="20.25" customHeight="1" outlineLevel="1">
      <c r="A2218" s="12"/>
      <c r="B2218" s="13"/>
      <c r="C2218" s="42"/>
      <c r="D2218" s="20"/>
      <c r="E2218" s="21">
        <f t="shared" si="1"/>
        <v>12593.22</v>
      </c>
      <c r="F2218" s="23"/>
      <c r="G2218" s="21">
        <f t="shared" si="8"/>
        <v>318539.46</v>
      </c>
      <c r="H2218" s="23"/>
      <c r="I2218" s="21">
        <f t="shared" si="15"/>
        <v>781.68</v>
      </c>
      <c r="J2218" s="23"/>
      <c r="K2218" s="21">
        <f t="shared" si="13"/>
        <v>204430.28</v>
      </c>
      <c r="L2218" s="23"/>
      <c r="M2218" s="21">
        <f t="shared" si="16"/>
        <v>1894.93</v>
      </c>
    </row>
    <row r="2219" ht="20.25" customHeight="1" outlineLevel="1">
      <c r="A2219" s="12"/>
      <c r="B2219" s="13"/>
      <c r="C2219" s="42"/>
      <c r="D2219" s="20"/>
      <c r="E2219" s="21">
        <f t="shared" si="1"/>
        <v>12593.22</v>
      </c>
      <c r="F2219" s="23"/>
      <c r="G2219" s="21">
        <f t="shared" si="8"/>
        <v>318539.46</v>
      </c>
      <c r="H2219" s="23"/>
      <c r="I2219" s="21">
        <f t="shared" si="15"/>
        <v>781.68</v>
      </c>
      <c r="J2219" s="23"/>
      <c r="K2219" s="21">
        <f t="shared" si="13"/>
        <v>204430.28</v>
      </c>
      <c r="L2219" s="23"/>
      <c r="M2219" s="21">
        <f t="shared" si="16"/>
        <v>1894.93</v>
      </c>
    </row>
    <row r="2220" ht="20.25" customHeight="1" outlineLevel="1">
      <c r="A2220" s="12"/>
      <c r="B2220" s="13"/>
      <c r="C2220" s="42"/>
      <c r="D2220" s="20"/>
      <c r="E2220" s="21">
        <f t="shared" si="1"/>
        <v>12593.22</v>
      </c>
      <c r="F2220" s="23"/>
      <c r="G2220" s="21">
        <f t="shared" si="8"/>
        <v>318539.46</v>
      </c>
      <c r="H2220" s="23"/>
      <c r="I2220" s="21">
        <f t="shared" si="15"/>
        <v>781.68</v>
      </c>
      <c r="J2220" s="23"/>
      <c r="K2220" s="21">
        <f t="shared" si="13"/>
        <v>204430.28</v>
      </c>
      <c r="L2220" s="23"/>
      <c r="M2220" s="21">
        <f t="shared" si="16"/>
        <v>1894.93</v>
      </c>
    </row>
    <row r="2221" ht="20.25" customHeight="1" outlineLevel="1">
      <c r="A2221" s="12"/>
      <c r="B2221" s="13"/>
      <c r="C2221" s="225"/>
      <c r="D2221" s="20"/>
      <c r="E2221" s="21">
        <f t="shared" si="1"/>
        <v>12593.22</v>
      </c>
      <c r="F2221" s="23"/>
      <c r="G2221" s="21">
        <f t="shared" si="8"/>
        <v>318539.46</v>
      </c>
      <c r="H2221" s="23"/>
      <c r="I2221" s="21">
        <f t="shared" si="15"/>
        <v>781.68</v>
      </c>
      <c r="J2221" s="23"/>
      <c r="K2221" s="21">
        <f t="shared" si="13"/>
        <v>204430.28</v>
      </c>
      <c r="L2221" s="23"/>
      <c r="M2221" s="21">
        <f t="shared" si="16"/>
        <v>1894.93</v>
      </c>
    </row>
    <row r="2222" ht="20.25" customHeight="1" outlineLevel="1">
      <c r="A2222" s="12"/>
      <c r="B2222" s="13"/>
      <c r="C2222" s="28"/>
      <c r="D2222" s="20"/>
      <c r="E2222" s="21">
        <f t="shared" si="1"/>
        <v>12593.22</v>
      </c>
      <c r="F2222" s="23"/>
      <c r="G2222" s="21">
        <f t="shared" si="8"/>
        <v>318539.46</v>
      </c>
      <c r="H2222" s="23"/>
      <c r="I2222" s="21">
        <f t="shared" si="15"/>
        <v>781.68</v>
      </c>
      <c r="J2222" s="23"/>
      <c r="K2222" s="21">
        <f t="shared" si="13"/>
        <v>204430.28</v>
      </c>
      <c r="L2222" s="23"/>
      <c r="M2222" s="21">
        <f t="shared" si="16"/>
        <v>1894.93</v>
      </c>
    </row>
    <row r="2223" ht="20.25" customHeight="1" outlineLevel="1">
      <c r="A2223" s="12"/>
      <c r="B2223" s="13"/>
      <c r="C2223" s="28"/>
      <c r="D2223" s="20"/>
      <c r="E2223" s="21">
        <f t="shared" si="1"/>
        <v>12593.22</v>
      </c>
      <c r="F2223" s="23"/>
      <c r="G2223" s="21">
        <f t="shared" si="8"/>
        <v>318539.46</v>
      </c>
      <c r="H2223" s="23"/>
      <c r="I2223" s="21">
        <f t="shared" si="15"/>
        <v>781.68</v>
      </c>
      <c r="J2223" s="23"/>
      <c r="K2223" s="21">
        <f t="shared" si="13"/>
        <v>204430.28</v>
      </c>
      <c r="L2223" s="23"/>
      <c r="M2223" s="21">
        <f t="shared" si="16"/>
        <v>1894.93</v>
      </c>
    </row>
    <row r="2224" ht="20.25" customHeight="1" outlineLevel="1">
      <c r="A2224" s="12"/>
      <c r="B2224" s="13"/>
      <c r="C2224" s="225"/>
      <c r="D2224" s="20"/>
      <c r="E2224" s="21">
        <f t="shared" si="1"/>
        <v>12593.22</v>
      </c>
      <c r="F2224" s="23"/>
      <c r="G2224" s="21">
        <f t="shared" si="8"/>
        <v>318539.46</v>
      </c>
      <c r="H2224" s="23"/>
      <c r="I2224" s="21">
        <f t="shared" si="15"/>
        <v>781.68</v>
      </c>
      <c r="J2224" s="23"/>
      <c r="K2224" s="21">
        <f t="shared" si="13"/>
        <v>204430.28</v>
      </c>
      <c r="L2224" s="23"/>
      <c r="M2224" s="21">
        <f t="shared" si="16"/>
        <v>1894.93</v>
      </c>
    </row>
    <row r="2225" ht="20.25" customHeight="1" outlineLevel="1">
      <c r="A2225" s="12"/>
      <c r="B2225" s="13"/>
      <c r="C2225" s="225"/>
      <c r="D2225" s="20"/>
      <c r="E2225" s="21">
        <f t="shared" si="1"/>
        <v>12593.22</v>
      </c>
      <c r="F2225" s="23"/>
      <c r="G2225" s="21">
        <f t="shared" si="8"/>
        <v>318539.46</v>
      </c>
      <c r="H2225" s="23"/>
      <c r="I2225" s="21">
        <f t="shared" si="15"/>
        <v>781.68</v>
      </c>
      <c r="J2225" s="23"/>
      <c r="K2225" s="21">
        <f t="shared" si="13"/>
        <v>204430.28</v>
      </c>
      <c r="L2225" s="23"/>
      <c r="M2225" s="21">
        <f t="shared" si="16"/>
        <v>1894.93</v>
      </c>
    </row>
    <row r="2226" ht="20.25" customHeight="1" outlineLevel="1">
      <c r="A2226" s="12"/>
      <c r="B2226" s="46"/>
      <c r="C2226" s="59"/>
      <c r="D2226" s="20"/>
      <c r="E2226" s="21">
        <f t="shared" si="1"/>
        <v>12593.22</v>
      </c>
      <c r="F2226" s="23"/>
      <c r="G2226" s="21">
        <f t="shared" si="8"/>
        <v>318539.46</v>
      </c>
      <c r="H2226" s="23"/>
      <c r="I2226" s="21">
        <f t="shared" si="15"/>
        <v>781.68</v>
      </c>
      <c r="J2226" s="23"/>
      <c r="K2226" s="21">
        <f t="shared" si="13"/>
        <v>204430.28</v>
      </c>
      <c r="L2226" s="23"/>
      <c r="M2226" s="21">
        <f t="shared" si="16"/>
        <v>1894.93</v>
      </c>
    </row>
    <row r="2227" ht="20.25" customHeight="1" outlineLevel="1">
      <c r="A2227" s="12"/>
      <c r="B2227" s="46"/>
      <c r="C2227" s="59"/>
      <c r="D2227" s="20"/>
      <c r="E2227" s="21">
        <f t="shared" si="1"/>
        <v>12593.22</v>
      </c>
      <c r="F2227" s="23"/>
      <c r="G2227" s="21">
        <f t="shared" si="8"/>
        <v>318539.46</v>
      </c>
      <c r="H2227" s="23"/>
      <c r="I2227" s="21">
        <f t="shared" si="15"/>
        <v>781.68</v>
      </c>
      <c r="J2227" s="23"/>
      <c r="K2227" s="21">
        <f t="shared" si="13"/>
        <v>204430.28</v>
      </c>
      <c r="L2227" s="23"/>
      <c r="M2227" s="21">
        <f t="shared" si="16"/>
        <v>1894.93</v>
      </c>
    </row>
    <row r="2228" ht="20.25" customHeight="1" outlineLevel="1">
      <c r="A2228" s="12"/>
      <c r="B2228" s="46"/>
      <c r="C2228" s="59"/>
      <c r="D2228" s="20"/>
      <c r="E2228" s="21">
        <f t="shared" si="1"/>
        <v>12593.22</v>
      </c>
      <c r="F2228" s="23"/>
      <c r="G2228" s="21">
        <f t="shared" si="8"/>
        <v>318539.46</v>
      </c>
      <c r="H2228" s="23"/>
      <c r="I2228" s="21">
        <f t="shared" si="15"/>
        <v>781.68</v>
      </c>
      <c r="J2228" s="23"/>
      <c r="K2228" s="21">
        <f t="shared" si="13"/>
        <v>204430.28</v>
      </c>
      <c r="L2228" s="23"/>
      <c r="M2228" s="21">
        <f t="shared" si="16"/>
        <v>1894.93</v>
      </c>
    </row>
    <row r="2229" ht="20.25" customHeight="1" outlineLevel="1">
      <c r="A2229" s="12"/>
      <c r="B2229" s="46"/>
      <c r="C2229" s="55"/>
      <c r="D2229" s="20"/>
      <c r="E2229" s="21">
        <f t="shared" si="1"/>
        <v>12593.22</v>
      </c>
      <c r="F2229" s="23"/>
      <c r="G2229" s="21">
        <f t="shared" si="8"/>
        <v>318539.46</v>
      </c>
      <c r="H2229" s="23"/>
      <c r="I2229" s="21">
        <f t="shared" si="15"/>
        <v>781.68</v>
      </c>
      <c r="J2229" s="23"/>
      <c r="K2229" s="21">
        <f t="shared" si="13"/>
        <v>204430.28</v>
      </c>
      <c r="L2229" s="23"/>
      <c r="M2229" s="21">
        <f t="shared" si="16"/>
        <v>1894.93</v>
      </c>
    </row>
    <row r="2230" ht="20.25" customHeight="1" outlineLevel="1">
      <c r="A2230" s="12"/>
      <c r="B2230" s="46"/>
      <c r="C2230" s="55"/>
      <c r="D2230" s="20"/>
      <c r="E2230" s="21">
        <f t="shared" si="1"/>
        <v>12593.22</v>
      </c>
      <c r="F2230" s="23"/>
      <c r="G2230" s="21">
        <f t="shared" si="8"/>
        <v>318539.46</v>
      </c>
      <c r="H2230" s="23"/>
      <c r="I2230" s="21">
        <f t="shared" si="15"/>
        <v>781.68</v>
      </c>
      <c r="J2230" s="23"/>
      <c r="K2230" s="21">
        <f t="shared" si="13"/>
        <v>204430.28</v>
      </c>
      <c r="L2230" s="23"/>
      <c r="M2230" s="21">
        <f t="shared" si="16"/>
        <v>1894.93</v>
      </c>
    </row>
    <row r="2231" ht="20.25" customHeight="1" outlineLevel="1">
      <c r="A2231" s="12"/>
      <c r="B2231" s="46"/>
      <c r="C2231" s="55"/>
      <c r="D2231" s="20"/>
      <c r="E2231" s="21">
        <f t="shared" si="1"/>
        <v>12593.22</v>
      </c>
      <c r="F2231" s="23"/>
      <c r="G2231" s="21">
        <f t="shared" si="8"/>
        <v>318539.46</v>
      </c>
      <c r="H2231" s="23"/>
      <c r="I2231" s="21">
        <f t="shared" si="15"/>
        <v>781.68</v>
      </c>
      <c r="J2231" s="23"/>
      <c r="K2231" s="21">
        <f t="shared" si="13"/>
        <v>204430.28</v>
      </c>
      <c r="L2231" s="23"/>
      <c r="M2231" s="21">
        <f t="shared" si="16"/>
        <v>1894.93</v>
      </c>
    </row>
    <row r="2232" ht="20.25" customHeight="1" outlineLevel="1">
      <c r="A2232" s="12"/>
      <c r="B2232" s="46"/>
      <c r="C2232" s="55"/>
      <c r="D2232" s="20"/>
      <c r="E2232" s="21">
        <f t="shared" si="1"/>
        <v>12593.22</v>
      </c>
      <c r="F2232" s="23"/>
      <c r="G2232" s="21">
        <f t="shared" si="8"/>
        <v>318539.46</v>
      </c>
      <c r="H2232" s="23"/>
      <c r="I2232" s="21">
        <f t="shared" si="15"/>
        <v>781.68</v>
      </c>
      <c r="J2232" s="23"/>
      <c r="K2232" s="21">
        <f t="shared" si="13"/>
        <v>204430.28</v>
      </c>
      <c r="L2232" s="23"/>
      <c r="M2232" s="21">
        <f t="shared" si="16"/>
        <v>1894.93</v>
      </c>
    </row>
    <row r="2233" ht="20.25" customHeight="1" outlineLevel="1">
      <c r="A2233" s="12"/>
      <c r="B2233" s="46"/>
      <c r="C2233" s="55"/>
      <c r="D2233" s="20"/>
      <c r="E2233" s="21">
        <f t="shared" si="1"/>
        <v>12593.22</v>
      </c>
      <c r="F2233" s="23"/>
      <c r="G2233" s="21">
        <f t="shared" si="8"/>
        <v>318539.46</v>
      </c>
      <c r="H2233" s="23"/>
      <c r="I2233" s="21">
        <f t="shared" si="15"/>
        <v>781.68</v>
      </c>
      <c r="J2233" s="23"/>
      <c r="K2233" s="21">
        <f t="shared" si="13"/>
        <v>204430.28</v>
      </c>
      <c r="L2233" s="23"/>
      <c r="M2233" s="21">
        <f t="shared" si="16"/>
        <v>1894.93</v>
      </c>
    </row>
    <row r="2234" ht="20.25" customHeight="1" outlineLevel="1">
      <c r="A2234" s="12"/>
      <c r="B2234" s="13"/>
      <c r="C2234" s="28"/>
      <c r="D2234" s="20"/>
      <c r="E2234" s="21">
        <f t="shared" si="1"/>
        <v>12593.22</v>
      </c>
      <c r="F2234" s="23"/>
      <c r="G2234" s="21">
        <f t="shared" si="8"/>
        <v>318539.46</v>
      </c>
      <c r="H2234" s="23"/>
      <c r="I2234" s="21">
        <f t="shared" si="15"/>
        <v>781.68</v>
      </c>
      <c r="J2234" s="23"/>
      <c r="K2234" s="21">
        <f t="shared" si="13"/>
        <v>204430.28</v>
      </c>
      <c r="L2234" s="23"/>
      <c r="M2234" s="21">
        <f t="shared" si="16"/>
        <v>1894.93</v>
      </c>
    </row>
    <row r="2235" ht="20.25" customHeight="1" outlineLevel="1">
      <c r="A2235" s="12"/>
      <c r="B2235" s="13"/>
      <c r="C2235" s="28"/>
      <c r="D2235" s="20"/>
      <c r="E2235" s="21">
        <f t="shared" si="1"/>
        <v>12593.22</v>
      </c>
      <c r="F2235" s="23"/>
      <c r="G2235" s="21">
        <f t="shared" si="8"/>
        <v>318539.46</v>
      </c>
      <c r="H2235" s="23"/>
      <c r="I2235" s="21">
        <f t="shared" si="15"/>
        <v>781.68</v>
      </c>
      <c r="J2235" s="23"/>
      <c r="K2235" s="21">
        <f t="shared" si="13"/>
        <v>204430.28</v>
      </c>
      <c r="L2235" s="23"/>
      <c r="M2235" s="21">
        <f t="shared" si="16"/>
        <v>1894.93</v>
      </c>
    </row>
    <row r="2236" ht="20.25" customHeight="1" outlineLevel="1">
      <c r="A2236" s="12"/>
      <c r="B2236" s="13"/>
      <c r="C2236" s="28"/>
      <c r="D2236" s="20"/>
      <c r="E2236" s="21">
        <f t="shared" si="1"/>
        <v>12593.22</v>
      </c>
      <c r="F2236" s="23"/>
      <c r="G2236" s="21">
        <f t="shared" si="8"/>
        <v>318539.46</v>
      </c>
      <c r="H2236" s="23"/>
      <c r="I2236" s="21">
        <f t="shared" si="15"/>
        <v>781.68</v>
      </c>
      <c r="J2236" s="23"/>
      <c r="K2236" s="21">
        <f t="shared" si="13"/>
        <v>204430.28</v>
      </c>
      <c r="L2236" s="23"/>
      <c r="M2236" s="21">
        <f t="shared" si="16"/>
        <v>1894.93</v>
      </c>
    </row>
    <row r="2237" ht="20.25" customHeight="1" outlineLevel="1">
      <c r="A2237" s="12"/>
      <c r="B2237" s="13"/>
      <c r="C2237" s="28"/>
      <c r="D2237" s="20"/>
      <c r="E2237" s="21">
        <f t="shared" si="1"/>
        <v>12593.22</v>
      </c>
      <c r="F2237" s="23"/>
      <c r="G2237" s="21">
        <f t="shared" si="8"/>
        <v>318539.46</v>
      </c>
      <c r="H2237" s="23"/>
      <c r="I2237" s="21">
        <f t="shared" si="15"/>
        <v>781.68</v>
      </c>
      <c r="J2237" s="23"/>
      <c r="K2237" s="21">
        <f t="shared" si="13"/>
        <v>204430.28</v>
      </c>
      <c r="L2237" s="23"/>
      <c r="M2237" s="21">
        <f t="shared" si="16"/>
        <v>1894.93</v>
      </c>
    </row>
    <row r="2238" ht="20.25" customHeight="1" outlineLevel="1">
      <c r="A2238" s="12"/>
      <c r="B2238" s="13"/>
      <c r="C2238" s="28"/>
      <c r="D2238" s="20"/>
      <c r="E2238" s="21">
        <f t="shared" si="1"/>
        <v>12593.22</v>
      </c>
      <c r="F2238" s="23"/>
      <c r="G2238" s="21">
        <f t="shared" si="8"/>
        <v>318539.46</v>
      </c>
      <c r="H2238" s="23"/>
      <c r="I2238" s="21">
        <f t="shared" si="15"/>
        <v>781.68</v>
      </c>
      <c r="J2238" s="23"/>
      <c r="K2238" s="21">
        <f t="shared" si="13"/>
        <v>204430.28</v>
      </c>
      <c r="L2238" s="23"/>
      <c r="M2238" s="21">
        <f t="shared" si="16"/>
        <v>1894.93</v>
      </c>
    </row>
    <row r="2239" ht="20.25" customHeight="1" outlineLevel="1">
      <c r="A2239" s="12"/>
      <c r="B2239" s="13"/>
      <c r="C2239" s="28"/>
      <c r="D2239" s="20"/>
      <c r="E2239" s="21">
        <f t="shared" si="1"/>
        <v>12593.22</v>
      </c>
      <c r="F2239" s="23"/>
      <c r="G2239" s="21">
        <f t="shared" si="8"/>
        <v>318539.46</v>
      </c>
      <c r="H2239" s="23"/>
      <c r="I2239" s="21">
        <f t="shared" si="15"/>
        <v>781.68</v>
      </c>
      <c r="J2239" s="23"/>
      <c r="K2239" s="21">
        <f t="shared" si="13"/>
        <v>204430.28</v>
      </c>
      <c r="L2239" s="23"/>
      <c r="M2239" s="21">
        <f t="shared" si="16"/>
        <v>1894.93</v>
      </c>
    </row>
    <row r="2240" ht="20.25" customHeight="1" outlineLevel="1">
      <c r="A2240" s="12"/>
      <c r="B2240" s="13"/>
      <c r="C2240" s="42"/>
      <c r="D2240" s="20"/>
      <c r="E2240" s="21">
        <f t="shared" si="1"/>
        <v>12593.22</v>
      </c>
      <c r="F2240" s="23"/>
      <c r="G2240" s="21">
        <f t="shared" si="8"/>
        <v>318539.46</v>
      </c>
      <c r="H2240" s="23"/>
      <c r="I2240" s="21">
        <f t="shared" si="15"/>
        <v>781.68</v>
      </c>
      <c r="J2240" s="23"/>
      <c r="K2240" s="21">
        <f t="shared" si="13"/>
        <v>204430.28</v>
      </c>
      <c r="L2240" s="23"/>
      <c r="M2240" s="21">
        <f t="shared" si="16"/>
        <v>1894.93</v>
      </c>
    </row>
    <row r="2241" ht="20.25" customHeight="1" outlineLevel="1">
      <c r="A2241" s="12"/>
      <c r="B2241" s="13"/>
      <c r="C2241" s="42"/>
      <c r="D2241" s="20"/>
      <c r="E2241" s="21">
        <f t="shared" si="1"/>
        <v>12593.22</v>
      </c>
      <c r="F2241" s="23"/>
      <c r="G2241" s="21">
        <f t="shared" si="8"/>
        <v>318539.46</v>
      </c>
      <c r="H2241" s="23"/>
      <c r="I2241" s="21">
        <f t="shared" si="15"/>
        <v>781.68</v>
      </c>
      <c r="J2241" s="23"/>
      <c r="K2241" s="21">
        <f t="shared" si="13"/>
        <v>204430.28</v>
      </c>
      <c r="L2241" s="23"/>
      <c r="M2241" s="21">
        <f t="shared" si="16"/>
        <v>1894.93</v>
      </c>
    </row>
    <row r="2242" ht="20.25" customHeight="1" outlineLevel="1">
      <c r="A2242" s="12"/>
      <c r="B2242" s="13"/>
      <c r="C2242" s="42"/>
      <c r="D2242" s="20"/>
      <c r="E2242" s="21">
        <f t="shared" si="1"/>
        <v>12593.22</v>
      </c>
      <c r="F2242" s="23"/>
      <c r="G2242" s="21">
        <f t="shared" si="8"/>
        <v>318539.46</v>
      </c>
      <c r="H2242" s="23"/>
      <c r="I2242" s="21">
        <f t="shared" si="15"/>
        <v>781.68</v>
      </c>
      <c r="J2242" s="23"/>
      <c r="K2242" s="21">
        <f t="shared" si="13"/>
        <v>204430.28</v>
      </c>
      <c r="L2242" s="23"/>
      <c r="M2242" s="21">
        <f t="shared" si="16"/>
        <v>1894.93</v>
      </c>
    </row>
    <row r="2243" ht="20.25" customHeight="1" outlineLevel="1">
      <c r="A2243" s="12"/>
      <c r="B2243" s="13"/>
      <c r="C2243" s="28"/>
      <c r="D2243" s="20"/>
      <c r="E2243" s="21">
        <f t="shared" si="1"/>
        <v>12593.22</v>
      </c>
      <c r="F2243" s="23"/>
      <c r="G2243" s="21">
        <f t="shared" si="8"/>
        <v>318539.46</v>
      </c>
      <c r="H2243" s="23"/>
      <c r="I2243" s="21">
        <f t="shared" si="15"/>
        <v>781.68</v>
      </c>
      <c r="J2243" s="23"/>
      <c r="K2243" s="21">
        <f t="shared" si="13"/>
        <v>204430.28</v>
      </c>
      <c r="L2243" s="23"/>
      <c r="M2243" s="21">
        <f t="shared" si="16"/>
        <v>1894.93</v>
      </c>
    </row>
    <row r="2244" ht="20.25" customHeight="1" outlineLevel="1">
      <c r="A2244" s="12"/>
      <c r="B2244" s="13"/>
      <c r="C2244" s="28"/>
      <c r="D2244" s="20"/>
      <c r="E2244" s="21">
        <f t="shared" si="1"/>
        <v>12593.22</v>
      </c>
      <c r="F2244" s="23"/>
      <c r="G2244" s="21">
        <f t="shared" si="8"/>
        <v>318539.46</v>
      </c>
      <c r="H2244" s="23"/>
      <c r="I2244" s="21">
        <f t="shared" si="15"/>
        <v>781.68</v>
      </c>
      <c r="J2244" s="23"/>
      <c r="K2244" s="21">
        <f t="shared" si="13"/>
        <v>204430.28</v>
      </c>
      <c r="L2244" s="23"/>
      <c r="M2244" s="21">
        <f t="shared" si="16"/>
        <v>1894.93</v>
      </c>
    </row>
    <row r="2245" ht="20.25" customHeight="1" outlineLevel="1">
      <c r="A2245" s="12"/>
      <c r="B2245" s="13"/>
      <c r="C2245" s="28"/>
      <c r="D2245" s="20"/>
      <c r="E2245" s="21">
        <f t="shared" si="1"/>
        <v>12593.22</v>
      </c>
      <c r="F2245" s="23"/>
      <c r="G2245" s="21">
        <f t="shared" si="8"/>
        <v>318539.46</v>
      </c>
      <c r="H2245" s="23"/>
      <c r="I2245" s="21">
        <f t="shared" si="15"/>
        <v>781.68</v>
      </c>
      <c r="J2245" s="23"/>
      <c r="K2245" s="21">
        <f t="shared" si="13"/>
        <v>204430.28</v>
      </c>
      <c r="L2245" s="23"/>
      <c r="M2245" s="21">
        <f t="shared" si="16"/>
        <v>1894.93</v>
      </c>
    </row>
    <row r="2246" ht="20.25" customHeight="1" outlineLevel="1">
      <c r="A2246" s="12"/>
      <c r="B2246" s="13"/>
      <c r="C2246" s="229"/>
      <c r="D2246" s="20"/>
      <c r="E2246" s="21">
        <f t="shared" si="1"/>
        <v>12593.22</v>
      </c>
      <c r="F2246" s="23"/>
      <c r="G2246" s="21">
        <f t="shared" si="8"/>
        <v>318539.46</v>
      </c>
      <c r="H2246" s="23"/>
      <c r="I2246" s="21">
        <f t="shared" si="15"/>
        <v>781.68</v>
      </c>
      <c r="J2246" s="23"/>
      <c r="K2246" s="21">
        <f t="shared" si="13"/>
        <v>204430.28</v>
      </c>
      <c r="L2246" s="23"/>
      <c r="M2246" s="21">
        <f t="shared" si="16"/>
        <v>1894.93</v>
      </c>
    </row>
    <row r="2247" ht="20.25" customHeight="1" outlineLevel="1">
      <c r="A2247" s="12"/>
      <c r="B2247" s="13"/>
      <c r="C2247" s="229"/>
      <c r="D2247" s="20"/>
      <c r="E2247" s="21">
        <f t="shared" si="1"/>
        <v>12593.22</v>
      </c>
      <c r="F2247" s="23"/>
      <c r="G2247" s="21">
        <f t="shared" si="8"/>
        <v>318539.46</v>
      </c>
      <c r="H2247" s="23"/>
      <c r="I2247" s="21">
        <f t="shared" si="15"/>
        <v>781.68</v>
      </c>
      <c r="J2247" s="23"/>
      <c r="K2247" s="21">
        <f t="shared" si="13"/>
        <v>204430.28</v>
      </c>
      <c r="L2247" s="23"/>
      <c r="M2247" s="21">
        <f t="shared" si="16"/>
        <v>1894.93</v>
      </c>
    </row>
    <row r="2248" ht="20.25" customHeight="1" outlineLevel="1">
      <c r="A2248" s="12"/>
      <c r="B2248" s="13"/>
      <c r="C2248" s="225"/>
      <c r="D2248" s="20"/>
      <c r="E2248" s="21">
        <f t="shared" si="1"/>
        <v>12593.22</v>
      </c>
      <c r="F2248" s="23"/>
      <c r="G2248" s="21">
        <f t="shared" si="8"/>
        <v>318539.46</v>
      </c>
      <c r="H2248" s="23"/>
      <c r="I2248" s="21">
        <f t="shared" si="15"/>
        <v>781.68</v>
      </c>
      <c r="J2248" s="23"/>
      <c r="K2248" s="21">
        <f t="shared" si="13"/>
        <v>204430.28</v>
      </c>
      <c r="L2248" s="23"/>
      <c r="M2248" s="21">
        <f t="shared" si="16"/>
        <v>1894.93</v>
      </c>
    </row>
    <row r="2249" ht="20.25" customHeight="1" outlineLevel="1">
      <c r="A2249" s="12"/>
      <c r="B2249" s="13"/>
      <c r="C2249" s="226"/>
      <c r="D2249" s="20"/>
      <c r="E2249" s="21">
        <f t="shared" si="1"/>
        <v>12593.22</v>
      </c>
      <c r="F2249" s="23"/>
      <c r="G2249" s="21">
        <f t="shared" si="8"/>
        <v>318539.46</v>
      </c>
      <c r="H2249" s="23"/>
      <c r="I2249" s="21">
        <f t="shared" si="15"/>
        <v>781.68</v>
      </c>
      <c r="J2249" s="23"/>
      <c r="K2249" s="21">
        <f t="shared" si="13"/>
        <v>204430.28</v>
      </c>
      <c r="L2249" s="23"/>
      <c r="M2249" s="21">
        <f t="shared" si="16"/>
        <v>1894.93</v>
      </c>
    </row>
    <row r="2250" ht="20.25" customHeight="1" outlineLevel="1">
      <c r="A2250" s="12"/>
      <c r="B2250" s="13"/>
      <c r="C2250" s="28"/>
      <c r="D2250" s="20"/>
      <c r="E2250" s="21">
        <f t="shared" si="1"/>
        <v>12593.22</v>
      </c>
      <c r="F2250" s="23"/>
      <c r="G2250" s="21">
        <f t="shared" si="8"/>
        <v>318539.46</v>
      </c>
      <c r="H2250" s="23"/>
      <c r="I2250" s="21">
        <f t="shared" si="15"/>
        <v>781.68</v>
      </c>
      <c r="J2250" s="23"/>
      <c r="K2250" s="21">
        <f t="shared" si="13"/>
        <v>204430.28</v>
      </c>
      <c r="L2250" s="23"/>
      <c r="M2250" s="21">
        <f t="shared" si="16"/>
        <v>1894.93</v>
      </c>
    </row>
    <row r="2251" ht="20.25" customHeight="1" outlineLevel="1">
      <c r="A2251" s="12"/>
      <c r="B2251" s="13"/>
      <c r="C2251" s="28"/>
      <c r="D2251" s="20"/>
      <c r="E2251" s="21">
        <f t="shared" si="1"/>
        <v>12593.22</v>
      </c>
      <c r="F2251" s="23"/>
      <c r="G2251" s="21">
        <f t="shared" si="8"/>
        <v>318539.46</v>
      </c>
      <c r="H2251" s="23"/>
      <c r="I2251" s="21">
        <f t="shared" si="15"/>
        <v>781.68</v>
      </c>
      <c r="J2251" s="23"/>
      <c r="K2251" s="21">
        <f t="shared" si="13"/>
        <v>204430.28</v>
      </c>
      <c r="L2251" s="23"/>
      <c r="M2251" s="21">
        <f t="shared" si="16"/>
        <v>1894.93</v>
      </c>
    </row>
    <row r="2252" ht="20.25" customHeight="1" outlineLevel="1">
      <c r="A2252" s="12"/>
      <c r="B2252" s="13"/>
      <c r="C2252" s="28"/>
      <c r="D2252" s="20"/>
      <c r="E2252" s="21">
        <f t="shared" si="1"/>
        <v>12593.22</v>
      </c>
      <c r="F2252" s="23"/>
      <c r="G2252" s="21">
        <f t="shared" si="8"/>
        <v>318539.46</v>
      </c>
      <c r="H2252" s="23"/>
      <c r="I2252" s="21">
        <f t="shared" si="15"/>
        <v>781.68</v>
      </c>
      <c r="J2252" s="23"/>
      <c r="K2252" s="21">
        <f t="shared" si="13"/>
        <v>204430.28</v>
      </c>
      <c r="L2252" s="23"/>
      <c r="M2252" s="21">
        <f t="shared" si="16"/>
        <v>1894.93</v>
      </c>
    </row>
    <row r="2253" ht="20.25" customHeight="1" outlineLevel="1">
      <c r="A2253" s="12"/>
      <c r="B2253" s="13"/>
      <c r="C2253" s="28"/>
      <c r="D2253" s="20"/>
      <c r="E2253" s="21">
        <f t="shared" si="1"/>
        <v>12593.22</v>
      </c>
      <c r="F2253" s="23"/>
      <c r="G2253" s="21">
        <f t="shared" si="8"/>
        <v>318539.46</v>
      </c>
      <c r="H2253" s="23"/>
      <c r="I2253" s="21">
        <f t="shared" si="15"/>
        <v>781.68</v>
      </c>
      <c r="J2253" s="23"/>
      <c r="K2253" s="21">
        <f t="shared" si="13"/>
        <v>204430.28</v>
      </c>
      <c r="L2253" s="23"/>
      <c r="M2253" s="21">
        <f t="shared" si="16"/>
        <v>1894.93</v>
      </c>
    </row>
    <row r="2254" ht="20.25" customHeight="1" outlineLevel="1">
      <c r="A2254" s="12"/>
      <c r="B2254" s="13"/>
      <c r="C2254" s="28"/>
      <c r="D2254" s="20"/>
      <c r="E2254" s="21">
        <f t="shared" si="1"/>
        <v>12593.22</v>
      </c>
      <c r="F2254" s="23"/>
      <c r="G2254" s="21">
        <f t="shared" si="8"/>
        <v>318539.46</v>
      </c>
      <c r="H2254" s="23"/>
      <c r="I2254" s="21">
        <f t="shared" si="15"/>
        <v>781.68</v>
      </c>
      <c r="J2254" s="23"/>
      <c r="K2254" s="21">
        <f t="shared" si="13"/>
        <v>204430.28</v>
      </c>
      <c r="L2254" s="23"/>
      <c r="M2254" s="21">
        <f t="shared" si="16"/>
        <v>1894.93</v>
      </c>
    </row>
    <row r="2255" ht="20.25" customHeight="1" outlineLevel="1">
      <c r="A2255" s="12"/>
      <c r="B2255" s="13"/>
      <c r="C2255" s="28"/>
      <c r="D2255" s="20"/>
      <c r="E2255" s="21">
        <f t="shared" si="1"/>
        <v>12593.22</v>
      </c>
      <c r="F2255" s="23"/>
      <c r="G2255" s="21">
        <f t="shared" si="8"/>
        <v>318539.46</v>
      </c>
      <c r="H2255" s="23"/>
      <c r="I2255" s="21">
        <f t="shared" si="15"/>
        <v>781.68</v>
      </c>
      <c r="J2255" s="23"/>
      <c r="K2255" s="21">
        <f t="shared" si="13"/>
        <v>204430.28</v>
      </c>
      <c r="L2255" s="23"/>
      <c r="M2255" s="21">
        <f t="shared" si="16"/>
        <v>1894.93</v>
      </c>
    </row>
    <row r="2256" ht="20.25" customHeight="1" outlineLevel="1">
      <c r="A2256" s="12"/>
      <c r="B2256" s="13"/>
      <c r="C2256" s="42"/>
      <c r="D2256" s="20"/>
      <c r="E2256" s="21">
        <f t="shared" si="1"/>
        <v>12593.22</v>
      </c>
      <c r="F2256" s="23"/>
      <c r="G2256" s="21">
        <f t="shared" si="8"/>
        <v>318539.46</v>
      </c>
      <c r="H2256" s="23"/>
      <c r="I2256" s="21">
        <f t="shared" si="15"/>
        <v>781.68</v>
      </c>
      <c r="J2256" s="23"/>
      <c r="K2256" s="21">
        <f t="shared" si="13"/>
        <v>204430.28</v>
      </c>
      <c r="L2256" s="23"/>
      <c r="M2256" s="21">
        <f t="shared" si="16"/>
        <v>1894.93</v>
      </c>
    </row>
    <row r="2257" ht="20.25" customHeight="1" outlineLevel="1">
      <c r="A2257" s="12"/>
      <c r="B2257" s="13"/>
      <c r="C2257" s="42"/>
      <c r="D2257" s="20"/>
      <c r="E2257" s="21">
        <f t="shared" si="1"/>
        <v>12593.22</v>
      </c>
      <c r="F2257" s="23"/>
      <c r="G2257" s="21">
        <f t="shared" si="8"/>
        <v>318539.46</v>
      </c>
      <c r="H2257" s="23"/>
      <c r="I2257" s="21">
        <f t="shared" si="15"/>
        <v>781.68</v>
      </c>
      <c r="J2257" s="23"/>
      <c r="K2257" s="21">
        <f t="shared" si="13"/>
        <v>204430.28</v>
      </c>
      <c r="L2257" s="23"/>
      <c r="M2257" s="21">
        <f t="shared" si="16"/>
        <v>1894.93</v>
      </c>
    </row>
    <row r="2258" ht="20.25" customHeight="1" outlineLevel="1">
      <c r="A2258" s="12"/>
      <c r="B2258" s="13"/>
      <c r="C2258" s="42"/>
      <c r="D2258" s="20"/>
      <c r="E2258" s="21">
        <f t="shared" si="1"/>
        <v>12593.22</v>
      </c>
      <c r="F2258" s="23"/>
      <c r="G2258" s="21">
        <f t="shared" si="8"/>
        <v>318539.46</v>
      </c>
      <c r="H2258" s="23"/>
      <c r="I2258" s="21">
        <f t="shared" si="15"/>
        <v>781.68</v>
      </c>
      <c r="J2258" s="23"/>
      <c r="K2258" s="21">
        <f t="shared" si="13"/>
        <v>204430.28</v>
      </c>
      <c r="L2258" s="23"/>
      <c r="M2258" s="21">
        <f t="shared" si="16"/>
        <v>1894.93</v>
      </c>
    </row>
    <row r="2259" ht="20.25" customHeight="1" outlineLevel="1">
      <c r="A2259" s="12"/>
      <c r="B2259" s="13"/>
      <c r="C2259" s="28"/>
      <c r="D2259" s="20"/>
      <c r="E2259" s="21">
        <f t="shared" si="1"/>
        <v>12593.22</v>
      </c>
      <c r="F2259" s="23"/>
      <c r="G2259" s="21">
        <f t="shared" si="8"/>
        <v>318539.46</v>
      </c>
      <c r="H2259" s="23"/>
      <c r="I2259" s="21">
        <f t="shared" si="15"/>
        <v>781.68</v>
      </c>
      <c r="J2259" s="23"/>
      <c r="K2259" s="21">
        <f t="shared" si="13"/>
        <v>204430.28</v>
      </c>
      <c r="L2259" s="23"/>
      <c r="M2259" s="21">
        <f t="shared" si="16"/>
        <v>1894.93</v>
      </c>
    </row>
    <row r="2260" ht="20.25" customHeight="1" outlineLevel="1">
      <c r="A2260" s="12"/>
      <c r="B2260" s="13"/>
      <c r="C2260" s="28"/>
      <c r="D2260" s="20"/>
      <c r="E2260" s="21">
        <f t="shared" si="1"/>
        <v>12593.22</v>
      </c>
      <c r="F2260" s="23"/>
      <c r="G2260" s="21">
        <f t="shared" si="8"/>
        <v>318539.46</v>
      </c>
      <c r="H2260" s="23"/>
      <c r="I2260" s="21">
        <f t="shared" si="15"/>
        <v>781.68</v>
      </c>
      <c r="J2260" s="23"/>
      <c r="K2260" s="21">
        <f t="shared" si="13"/>
        <v>204430.28</v>
      </c>
      <c r="L2260" s="23"/>
      <c r="M2260" s="21">
        <f t="shared" si="16"/>
        <v>1894.93</v>
      </c>
    </row>
    <row r="2261" ht="20.25" customHeight="1" outlineLevel="1">
      <c r="A2261" s="12"/>
      <c r="B2261" s="13"/>
      <c r="C2261" s="42"/>
      <c r="D2261" s="20"/>
      <c r="E2261" s="21">
        <f t="shared" si="1"/>
        <v>12593.22</v>
      </c>
      <c r="F2261" s="23"/>
      <c r="G2261" s="21">
        <f t="shared" si="8"/>
        <v>318539.46</v>
      </c>
      <c r="H2261" s="23"/>
      <c r="I2261" s="21">
        <f t="shared" si="15"/>
        <v>781.68</v>
      </c>
      <c r="J2261" s="23"/>
      <c r="K2261" s="21">
        <f t="shared" si="13"/>
        <v>204430.28</v>
      </c>
      <c r="L2261" s="23"/>
      <c r="M2261" s="21">
        <f t="shared" si="16"/>
        <v>1894.93</v>
      </c>
    </row>
    <row r="2262" ht="20.25" customHeight="1" outlineLevel="1">
      <c r="A2262" s="12"/>
      <c r="B2262" s="13"/>
      <c r="C2262" s="42"/>
      <c r="D2262" s="20"/>
      <c r="E2262" s="21">
        <f t="shared" si="1"/>
        <v>12593.22</v>
      </c>
      <c r="F2262" s="23"/>
      <c r="G2262" s="21">
        <f t="shared" si="8"/>
        <v>318539.46</v>
      </c>
      <c r="H2262" s="23"/>
      <c r="I2262" s="21">
        <f t="shared" si="15"/>
        <v>781.68</v>
      </c>
      <c r="J2262" s="23"/>
      <c r="K2262" s="21">
        <f t="shared" si="13"/>
        <v>204430.28</v>
      </c>
      <c r="L2262" s="23"/>
      <c r="M2262" s="21">
        <f t="shared" si="16"/>
        <v>1894.93</v>
      </c>
    </row>
    <row r="2263" ht="20.25" customHeight="1" outlineLevel="1">
      <c r="A2263" s="12"/>
      <c r="B2263" s="13"/>
      <c r="C2263" s="70"/>
      <c r="D2263" s="20"/>
      <c r="E2263" s="21">
        <f t="shared" si="1"/>
        <v>12593.22</v>
      </c>
      <c r="F2263" s="23"/>
      <c r="G2263" s="21">
        <f t="shared" si="8"/>
        <v>318539.46</v>
      </c>
      <c r="H2263" s="23"/>
      <c r="I2263" s="21">
        <f t="shared" si="15"/>
        <v>781.68</v>
      </c>
      <c r="J2263" s="23"/>
      <c r="K2263" s="21">
        <f t="shared" si="13"/>
        <v>204430.28</v>
      </c>
      <c r="L2263" s="23"/>
      <c r="M2263" s="21">
        <f t="shared" si="16"/>
        <v>1894.93</v>
      </c>
    </row>
    <row r="2264" ht="20.25" customHeight="1" outlineLevel="1">
      <c r="A2264" s="12"/>
      <c r="B2264" s="13"/>
      <c r="C2264" s="70"/>
      <c r="D2264" s="20"/>
      <c r="E2264" s="21">
        <f t="shared" si="1"/>
        <v>12593.22</v>
      </c>
      <c r="F2264" s="23"/>
      <c r="G2264" s="21">
        <f t="shared" si="8"/>
        <v>318539.46</v>
      </c>
      <c r="H2264" s="23"/>
      <c r="I2264" s="21">
        <f t="shared" si="15"/>
        <v>781.68</v>
      </c>
      <c r="J2264" s="23"/>
      <c r="K2264" s="21">
        <f t="shared" si="13"/>
        <v>204430.28</v>
      </c>
      <c r="L2264" s="23"/>
      <c r="M2264" s="21">
        <f t="shared" si="16"/>
        <v>1894.93</v>
      </c>
    </row>
    <row r="2265" ht="20.25" customHeight="1" outlineLevel="1">
      <c r="A2265" s="12"/>
      <c r="B2265" s="13"/>
      <c r="C2265" s="28"/>
      <c r="D2265" s="20"/>
      <c r="E2265" s="21">
        <f t="shared" si="1"/>
        <v>12593.22</v>
      </c>
      <c r="F2265" s="23"/>
      <c r="G2265" s="21">
        <f t="shared" si="8"/>
        <v>318539.46</v>
      </c>
      <c r="H2265" s="23"/>
      <c r="I2265" s="21">
        <f t="shared" si="15"/>
        <v>781.68</v>
      </c>
      <c r="J2265" s="23"/>
      <c r="K2265" s="21">
        <f t="shared" si="13"/>
        <v>204430.28</v>
      </c>
      <c r="L2265" s="23"/>
      <c r="M2265" s="21">
        <f t="shared" si="16"/>
        <v>1894.93</v>
      </c>
    </row>
    <row r="2266" ht="20.25" customHeight="1" outlineLevel="1">
      <c r="A2266" s="12"/>
      <c r="B2266" s="13"/>
      <c r="C2266" s="44"/>
      <c r="D2266" s="20"/>
      <c r="E2266" s="21">
        <f t="shared" si="1"/>
        <v>12593.22</v>
      </c>
      <c r="F2266" s="23"/>
      <c r="G2266" s="21">
        <f t="shared" si="8"/>
        <v>318539.46</v>
      </c>
      <c r="H2266" s="23"/>
      <c r="I2266" s="21">
        <f t="shared" si="15"/>
        <v>781.68</v>
      </c>
      <c r="J2266" s="23"/>
      <c r="K2266" s="21">
        <f t="shared" si="13"/>
        <v>204430.28</v>
      </c>
      <c r="L2266" s="23"/>
      <c r="M2266" s="21">
        <f t="shared" si="16"/>
        <v>1894.93</v>
      </c>
    </row>
    <row r="2267" ht="20.25" customHeight="1" outlineLevel="1">
      <c r="A2267" s="12"/>
      <c r="B2267" s="13"/>
      <c r="C2267" s="42"/>
      <c r="D2267" s="20"/>
      <c r="E2267" s="21">
        <f t="shared" si="1"/>
        <v>12593.22</v>
      </c>
      <c r="F2267" s="23"/>
      <c r="G2267" s="21">
        <f t="shared" si="8"/>
        <v>318539.46</v>
      </c>
      <c r="H2267" s="23"/>
      <c r="I2267" s="21">
        <f t="shared" si="15"/>
        <v>781.68</v>
      </c>
      <c r="J2267" s="23"/>
      <c r="K2267" s="21">
        <f t="shared" si="13"/>
        <v>204430.28</v>
      </c>
      <c r="L2267" s="23"/>
      <c r="M2267" s="21">
        <f t="shared" si="16"/>
        <v>1894.93</v>
      </c>
    </row>
    <row r="2268" ht="20.25" customHeight="1" outlineLevel="1">
      <c r="A2268" s="12"/>
      <c r="B2268" s="13"/>
      <c r="C2268" s="42"/>
      <c r="D2268" s="20"/>
      <c r="E2268" s="21">
        <f t="shared" si="1"/>
        <v>12593.22</v>
      </c>
      <c r="F2268" s="23"/>
      <c r="G2268" s="21">
        <f t="shared" si="8"/>
        <v>318539.46</v>
      </c>
      <c r="H2268" s="23"/>
      <c r="I2268" s="21">
        <f t="shared" si="15"/>
        <v>781.68</v>
      </c>
      <c r="J2268" s="23"/>
      <c r="K2268" s="21">
        <f t="shared" si="13"/>
        <v>204430.28</v>
      </c>
      <c r="L2268" s="23"/>
      <c r="M2268" s="21">
        <f t="shared" si="16"/>
        <v>1894.93</v>
      </c>
    </row>
    <row r="2269" ht="20.25" customHeight="1" outlineLevel="1">
      <c r="A2269" s="12"/>
      <c r="B2269" s="13"/>
      <c r="C2269" s="42"/>
      <c r="D2269" s="20"/>
      <c r="E2269" s="21">
        <f t="shared" si="1"/>
        <v>12593.22</v>
      </c>
      <c r="F2269" s="23"/>
      <c r="G2269" s="21">
        <f t="shared" si="8"/>
        <v>318539.46</v>
      </c>
      <c r="H2269" s="23"/>
      <c r="I2269" s="21">
        <f t="shared" si="15"/>
        <v>781.68</v>
      </c>
      <c r="J2269" s="23"/>
      <c r="K2269" s="21">
        <f t="shared" si="13"/>
        <v>204430.28</v>
      </c>
      <c r="L2269" s="23"/>
      <c r="M2269" s="21">
        <f t="shared" si="16"/>
        <v>1894.93</v>
      </c>
    </row>
    <row r="2270" ht="20.25" customHeight="1" outlineLevel="1">
      <c r="A2270" s="12"/>
      <c r="B2270" s="13"/>
      <c r="C2270" s="28"/>
      <c r="D2270" s="20"/>
      <c r="E2270" s="21">
        <f t="shared" si="1"/>
        <v>12593.22</v>
      </c>
      <c r="F2270" s="23"/>
      <c r="G2270" s="21">
        <f t="shared" si="8"/>
        <v>318539.46</v>
      </c>
      <c r="H2270" s="23"/>
      <c r="I2270" s="21">
        <f t="shared" si="15"/>
        <v>781.68</v>
      </c>
      <c r="J2270" s="23"/>
      <c r="K2270" s="21">
        <f t="shared" si="13"/>
        <v>204430.28</v>
      </c>
      <c r="L2270" s="23"/>
      <c r="M2270" s="21">
        <f t="shared" si="16"/>
        <v>1894.93</v>
      </c>
    </row>
    <row r="2271" ht="20.25" customHeight="1" outlineLevel="1">
      <c r="A2271" s="12"/>
      <c r="B2271" s="13"/>
      <c r="C2271" s="28"/>
      <c r="D2271" s="20"/>
      <c r="E2271" s="21">
        <f t="shared" si="1"/>
        <v>12593.22</v>
      </c>
      <c r="F2271" s="23"/>
      <c r="G2271" s="21">
        <f t="shared" si="8"/>
        <v>318539.46</v>
      </c>
      <c r="H2271" s="23"/>
      <c r="I2271" s="21">
        <f t="shared" si="15"/>
        <v>781.68</v>
      </c>
      <c r="J2271" s="23"/>
      <c r="K2271" s="21">
        <f t="shared" si="13"/>
        <v>204430.28</v>
      </c>
      <c r="L2271" s="23"/>
      <c r="M2271" s="21">
        <f t="shared" si="16"/>
        <v>1894.93</v>
      </c>
    </row>
    <row r="2272" ht="20.25" customHeight="1" outlineLevel="1">
      <c r="A2272" s="12"/>
      <c r="B2272" s="13"/>
      <c r="C2272" s="28"/>
      <c r="D2272" s="20"/>
      <c r="E2272" s="21">
        <f t="shared" si="1"/>
        <v>12593.22</v>
      </c>
      <c r="F2272" s="23"/>
      <c r="G2272" s="21">
        <f t="shared" si="8"/>
        <v>318539.46</v>
      </c>
      <c r="H2272" s="23"/>
      <c r="I2272" s="21">
        <f t="shared" si="15"/>
        <v>781.68</v>
      </c>
      <c r="J2272" s="23"/>
      <c r="K2272" s="21">
        <f t="shared" si="13"/>
        <v>204430.28</v>
      </c>
      <c r="L2272" s="23"/>
      <c r="M2272" s="21">
        <f t="shared" si="16"/>
        <v>1894.93</v>
      </c>
    </row>
    <row r="2273" ht="20.25" customHeight="1" outlineLevel="1">
      <c r="A2273" s="12"/>
      <c r="B2273" s="13"/>
      <c r="C2273" s="28"/>
      <c r="D2273" s="20"/>
      <c r="E2273" s="21">
        <f t="shared" si="1"/>
        <v>12593.22</v>
      </c>
      <c r="F2273" s="23"/>
      <c r="G2273" s="21">
        <f t="shared" si="8"/>
        <v>318539.46</v>
      </c>
      <c r="H2273" s="23"/>
      <c r="I2273" s="21">
        <f t="shared" si="15"/>
        <v>781.68</v>
      </c>
      <c r="J2273" s="23"/>
      <c r="K2273" s="21">
        <f t="shared" si="13"/>
        <v>204430.28</v>
      </c>
      <c r="L2273" s="23"/>
      <c r="M2273" s="21">
        <f t="shared" si="16"/>
        <v>1894.93</v>
      </c>
    </row>
    <row r="2274" ht="20.25" customHeight="1" outlineLevel="1">
      <c r="A2274" s="12"/>
      <c r="B2274" s="13"/>
      <c r="C2274" s="28"/>
      <c r="D2274" s="20"/>
      <c r="E2274" s="21">
        <f t="shared" si="1"/>
        <v>12593.22</v>
      </c>
      <c r="F2274" s="23"/>
      <c r="G2274" s="21">
        <f t="shared" si="8"/>
        <v>318539.46</v>
      </c>
      <c r="H2274" s="23"/>
      <c r="I2274" s="21">
        <f t="shared" si="15"/>
        <v>781.68</v>
      </c>
      <c r="J2274" s="23"/>
      <c r="K2274" s="21">
        <f t="shared" si="13"/>
        <v>204430.28</v>
      </c>
      <c r="L2274" s="23"/>
      <c r="M2274" s="21">
        <f t="shared" si="16"/>
        <v>1894.93</v>
      </c>
    </row>
    <row r="2275" ht="20.25" customHeight="1" outlineLevel="1">
      <c r="A2275" s="12"/>
      <c r="B2275" s="13"/>
      <c r="C2275" s="28"/>
      <c r="D2275" s="20"/>
      <c r="E2275" s="21">
        <f t="shared" si="1"/>
        <v>12593.22</v>
      </c>
      <c r="F2275" s="23"/>
      <c r="G2275" s="21">
        <f t="shared" si="8"/>
        <v>318539.46</v>
      </c>
      <c r="H2275" s="23"/>
      <c r="I2275" s="21">
        <f t="shared" si="15"/>
        <v>781.68</v>
      </c>
      <c r="J2275" s="23"/>
      <c r="K2275" s="21">
        <f t="shared" si="13"/>
        <v>204430.28</v>
      </c>
      <c r="L2275" s="23"/>
      <c r="M2275" s="21">
        <f t="shared" si="16"/>
        <v>1894.93</v>
      </c>
    </row>
    <row r="2276" ht="20.25" customHeight="1" outlineLevel="1">
      <c r="A2276" s="12"/>
      <c r="B2276" s="13"/>
      <c r="C2276" s="72"/>
      <c r="D2276" s="20"/>
      <c r="E2276" s="21">
        <f t="shared" si="1"/>
        <v>12593.22</v>
      </c>
      <c r="F2276" s="23"/>
      <c r="G2276" s="21">
        <f t="shared" si="8"/>
        <v>318539.46</v>
      </c>
      <c r="H2276" s="23"/>
      <c r="I2276" s="21">
        <f t="shared" si="15"/>
        <v>781.68</v>
      </c>
      <c r="J2276" s="23"/>
      <c r="K2276" s="21">
        <f t="shared" si="13"/>
        <v>204430.28</v>
      </c>
      <c r="L2276" s="23"/>
      <c r="M2276" s="21">
        <f t="shared" si="16"/>
        <v>1894.93</v>
      </c>
    </row>
    <row r="2277" ht="20.25" customHeight="1" outlineLevel="1">
      <c r="A2277" s="12"/>
      <c r="B2277" s="13"/>
      <c r="C2277" s="44"/>
      <c r="D2277" s="20"/>
      <c r="E2277" s="21">
        <f t="shared" si="1"/>
        <v>12593.22</v>
      </c>
      <c r="F2277" s="23"/>
      <c r="G2277" s="21">
        <f t="shared" si="8"/>
        <v>318539.46</v>
      </c>
      <c r="H2277" s="23"/>
      <c r="I2277" s="21">
        <f t="shared" si="15"/>
        <v>781.68</v>
      </c>
      <c r="J2277" s="23"/>
      <c r="K2277" s="21">
        <f t="shared" si="13"/>
        <v>204430.28</v>
      </c>
      <c r="L2277" s="23"/>
      <c r="M2277" s="21">
        <f t="shared" si="16"/>
        <v>1894.93</v>
      </c>
    </row>
    <row r="2278" ht="20.25" customHeight="1" outlineLevel="1">
      <c r="A2278" s="12"/>
      <c r="B2278" s="13"/>
      <c r="C2278" s="44"/>
      <c r="D2278" s="20"/>
      <c r="E2278" s="21">
        <f t="shared" si="1"/>
        <v>12593.22</v>
      </c>
      <c r="F2278" s="23"/>
      <c r="G2278" s="21">
        <f t="shared" si="8"/>
        <v>318539.46</v>
      </c>
      <c r="H2278" s="23"/>
      <c r="I2278" s="21">
        <f t="shared" si="15"/>
        <v>781.68</v>
      </c>
      <c r="J2278" s="23"/>
      <c r="K2278" s="21">
        <f t="shared" si="13"/>
        <v>204430.28</v>
      </c>
      <c r="L2278" s="23"/>
      <c r="M2278" s="21">
        <f t="shared" si="16"/>
        <v>1894.93</v>
      </c>
    </row>
    <row r="2279" ht="20.25" customHeight="1" outlineLevel="1">
      <c r="A2279" s="12"/>
      <c r="B2279" s="46"/>
      <c r="C2279" s="59"/>
      <c r="D2279" s="20"/>
      <c r="E2279" s="21">
        <f t="shared" si="1"/>
        <v>12593.22</v>
      </c>
      <c r="F2279" s="23"/>
      <c r="G2279" s="21">
        <f t="shared" si="8"/>
        <v>318539.46</v>
      </c>
      <c r="H2279" s="23"/>
      <c r="I2279" s="21">
        <f t="shared" si="15"/>
        <v>781.68</v>
      </c>
      <c r="J2279" s="23"/>
      <c r="K2279" s="21">
        <f t="shared" si="13"/>
        <v>204430.28</v>
      </c>
      <c r="L2279" s="23"/>
      <c r="M2279" s="21">
        <f t="shared" si="16"/>
        <v>1894.93</v>
      </c>
    </row>
    <row r="2280" ht="20.25" customHeight="1" outlineLevel="1">
      <c r="A2280" s="12"/>
      <c r="B2280" s="46"/>
      <c r="C2280" s="55"/>
      <c r="D2280" s="20"/>
      <c r="E2280" s="21">
        <f t="shared" si="1"/>
        <v>12593.22</v>
      </c>
      <c r="F2280" s="23"/>
      <c r="G2280" s="21">
        <f t="shared" si="8"/>
        <v>318539.46</v>
      </c>
      <c r="H2280" s="23"/>
      <c r="I2280" s="21">
        <f t="shared" si="15"/>
        <v>781.68</v>
      </c>
      <c r="J2280" s="23"/>
      <c r="K2280" s="21">
        <f t="shared" si="13"/>
        <v>204430.28</v>
      </c>
      <c r="L2280" s="23"/>
      <c r="M2280" s="21">
        <f t="shared" si="16"/>
        <v>1894.93</v>
      </c>
    </row>
    <row r="2281" ht="20.25" customHeight="1" outlineLevel="1">
      <c r="A2281" s="12"/>
      <c r="B2281" s="46"/>
      <c r="C2281" s="55"/>
      <c r="D2281" s="20"/>
      <c r="E2281" s="21">
        <f t="shared" si="1"/>
        <v>12593.22</v>
      </c>
      <c r="F2281" s="23"/>
      <c r="G2281" s="21">
        <f t="shared" si="8"/>
        <v>318539.46</v>
      </c>
      <c r="H2281" s="23"/>
      <c r="I2281" s="21">
        <f t="shared" si="15"/>
        <v>781.68</v>
      </c>
      <c r="J2281" s="23"/>
      <c r="K2281" s="21">
        <f t="shared" si="13"/>
        <v>204430.28</v>
      </c>
      <c r="L2281" s="23"/>
      <c r="M2281" s="21">
        <f t="shared" si="16"/>
        <v>1894.93</v>
      </c>
    </row>
    <row r="2282" ht="20.25" customHeight="1" outlineLevel="1">
      <c r="A2282" s="12"/>
      <c r="B2282" s="46"/>
      <c r="C2282" s="55"/>
      <c r="D2282" s="20"/>
      <c r="E2282" s="21">
        <f t="shared" si="1"/>
        <v>12593.22</v>
      </c>
      <c r="F2282" s="23"/>
      <c r="G2282" s="21">
        <f t="shared" si="8"/>
        <v>318539.46</v>
      </c>
      <c r="H2282" s="23"/>
      <c r="I2282" s="21">
        <f t="shared" si="15"/>
        <v>781.68</v>
      </c>
      <c r="J2282" s="23"/>
      <c r="K2282" s="21">
        <f t="shared" si="13"/>
        <v>204430.28</v>
      </c>
      <c r="L2282" s="23"/>
      <c r="M2282" s="21">
        <f t="shared" si="16"/>
        <v>1894.93</v>
      </c>
    </row>
    <row r="2283" ht="20.25" customHeight="1" outlineLevel="1">
      <c r="A2283" s="12"/>
      <c r="B2283" s="46"/>
      <c r="C2283" s="59"/>
      <c r="D2283" s="20"/>
      <c r="E2283" s="21">
        <f t="shared" si="1"/>
        <v>12593.22</v>
      </c>
      <c r="F2283" s="23"/>
      <c r="G2283" s="21">
        <f t="shared" si="8"/>
        <v>318539.46</v>
      </c>
      <c r="H2283" s="23"/>
      <c r="I2283" s="21">
        <f t="shared" si="15"/>
        <v>781.68</v>
      </c>
      <c r="J2283" s="23"/>
      <c r="K2283" s="21">
        <f t="shared" si="13"/>
        <v>204430.28</v>
      </c>
      <c r="L2283" s="23"/>
      <c r="M2283" s="21">
        <f t="shared" si="16"/>
        <v>1894.93</v>
      </c>
    </row>
    <row r="2284" ht="20.25" customHeight="1" outlineLevel="1">
      <c r="A2284" s="12"/>
      <c r="B2284" s="46"/>
      <c r="C2284" s="28"/>
      <c r="D2284" s="20"/>
      <c r="E2284" s="21">
        <f t="shared" si="1"/>
        <v>12593.22</v>
      </c>
      <c r="F2284" s="23"/>
      <c r="G2284" s="21">
        <f t="shared" si="8"/>
        <v>318539.46</v>
      </c>
      <c r="H2284" s="23"/>
      <c r="I2284" s="21">
        <f t="shared" si="15"/>
        <v>781.68</v>
      </c>
      <c r="J2284" s="23"/>
      <c r="K2284" s="21">
        <f t="shared" si="13"/>
        <v>204430.28</v>
      </c>
      <c r="L2284" s="23"/>
      <c r="M2284" s="21">
        <f t="shared" si="16"/>
        <v>1894.93</v>
      </c>
    </row>
    <row r="2285" ht="20.25" customHeight="1" outlineLevel="1">
      <c r="A2285" s="12"/>
      <c r="B2285" s="46"/>
      <c r="C2285" s="28"/>
      <c r="D2285" s="20"/>
      <c r="E2285" s="21">
        <f t="shared" si="1"/>
        <v>12593.22</v>
      </c>
      <c r="F2285" s="23"/>
      <c r="G2285" s="21">
        <f t="shared" si="8"/>
        <v>318539.46</v>
      </c>
      <c r="H2285" s="23"/>
      <c r="I2285" s="21">
        <f t="shared" si="15"/>
        <v>781.68</v>
      </c>
      <c r="J2285" s="23"/>
      <c r="K2285" s="21">
        <f t="shared" si="13"/>
        <v>204430.28</v>
      </c>
      <c r="L2285" s="23"/>
      <c r="M2285" s="21">
        <f t="shared" si="16"/>
        <v>1894.93</v>
      </c>
    </row>
    <row r="2286" ht="20.25" customHeight="1" outlineLevel="1">
      <c r="A2286" s="12"/>
      <c r="B2286" s="46"/>
      <c r="C2286" s="42"/>
      <c r="D2286" s="20"/>
      <c r="E2286" s="21">
        <f t="shared" si="1"/>
        <v>12593.22</v>
      </c>
      <c r="F2286" s="23"/>
      <c r="G2286" s="21">
        <f t="shared" si="8"/>
        <v>318539.46</v>
      </c>
      <c r="H2286" s="23"/>
      <c r="I2286" s="21">
        <f t="shared" si="15"/>
        <v>781.68</v>
      </c>
      <c r="J2286" s="23"/>
      <c r="K2286" s="21">
        <f t="shared" si="13"/>
        <v>204430.28</v>
      </c>
      <c r="L2286" s="23"/>
      <c r="M2286" s="21">
        <f t="shared" si="16"/>
        <v>1894.93</v>
      </c>
    </row>
    <row r="2287" ht="20.25" customHeight="1" outlineLevel="1">
      <c r="A2287" s="12"/>
      <c r="B2287" s="46"/>
      <c r="C2287" s="70"/>
      <c r="D2287" s="20"/>
      <c r="E2287" s="21">
        <f t="shared" si="1"/>
        <v>12593.22</v>
      </c>
      <c r="F2287" s="23"/>
      <c r="G2287" s="21">
        <f t="shared" si="8"/>
        <v>318539.46</v>
      </c>
      <c r="H2287" s="23"/>
      <c r="I2287" s="21">
        <f t="shared" si="15"/>
        <v>781.68</v>
      </c>
      <c r="J2287" s="23"/>
      <c r="K2287" s="21">
        <f t="shared" si="13"/>
        <v>204430.28</v>
      </c>
      <c r="L2287" s="23"/>
      <c r="M2287" s="21">
        <f t="shared" si="16"/>
        <v>1894.93</v>
      </c>
    </row>
    <row r="2288" ht="20.25" customHeight="1" outlineLevel="1">
      <c r="A2288" s="12"/>
      <c r="B2288" s="46"/>
      <c r="C2288" s="28"/>
      <c r="D2288" s="20"/>
      <c r="E2288" s="21">
        <f t="shared" si="1"/>
        <v>12593.22</v>
      </c>
      <c r="F2288" s="23"/>
      <c r="G2288" s="21">
        <f t="shared" si="8"/>
        <v>318539.46</v>
      </c>
      <c r="H2288" s="23"/>
      <c r="I2288" s="21">
        <f t="shared" si="15"/>
        <v>781.68</v>
      </c>
      <c r="J2288" s="23"/>
      <c r="K2288" s="21">
        <f t="shared" si="13"/>
        <v>204430.28</v>
      </c>
      <c r="L2288" s="23"/>
      <c r="M2288" s="21">
        <f t="shared" si="16"/>
        <v>1894.93</v>
      </c>
    </row>
    <row r="2289" ht="20.25" customHeight="1" outlineLevel="1">
      <c r="A2289" s="12"/>
      <c r="B2289" s="46"/>
      <c r="C2289" s="28"/>
      <c r="D2289" s="20"/>
      <c r="E2289" s="21">
        <f t="shared" si="1"/>
        <v>12593.22</v>
      </c>
      <c r="F2289" s="23"/>
      <c r="G2289" s="21">
        <f t="shared" si="8"/>
        <v>318539.46</v>
      </c>
      <c r="H2289" s="23"/>
      <c r="I2289" s="21">
        <f t="shared" si="15"/>
        <v>781.68</v>
      </c>
      <c r="J2289" s="23"/>
      <c r="K2289" s="21">
        <f t="shared" si="13"/>
        <v>204430.28</v>
      </c>
      <c r="L2289" s="23"/>
      <c r="M2289" s="21">
        <f t="shared" si="16"/>
        <v>1894.93</v>
      </c>
    </row>
    <row r="2290" ht="20.25" customHeight="1" outlineLevel="1">
      <c r="A2290" s="12"/>
      <c r="B2290" s="46"/>
      <c r="C2290" s="42"/>
      <c r="D2290" s="20"/>
      <c r="E2290" s="21">
        <f t="shared" si="1"/>
        <v>12593.22</v>
      </c>
      <c r="F2290" s="23"/>
      <c r="G2290" s="21">
        <f t="shared" si="8"/>
        <v>318539.46</v>
      </c>
      <c r="H2290" s="23"/>
      <c r="I2290" s="21">
        <f t="shared" si="15"/>
        <v>781.68</v>
      </c>
      <c r="J2290" s="23"/>
      <c r="K2290" s="21">
        <f t="shared" si="13"/>
        <v>204430.28</v>
      </c>
      <c r="L2290" s="23"/>
      <c r="M2290" s="21">
        <f t="shared" si="16"/>
        <v>1894.93</v>
      </c>
    </row>
    <row r="2291" ht="20.25" customHeight="1" outlineLevel="1">
      <c r="A2291" s="12"/>
      <c r="B2291" s="13"/>
      <c r="C2291" s="28"/>
      <c r="D2291" s="20"/>
      <c r="E2291" s="21">
        <f t="shared" si="1"/>
        <v>12593.22</v>
      </c>
      <c r="F2291" s="23"/>
      <c r="G2291" s="21">
        <f t="shared" si="8"/>
        <v>318539.46</v>
      </c>
      <c r="H2291" s="23"/>
      <c r="I2291" s="21">
        <f t="shared" si="15"/>
        <v>781.68</v>
      </c>
      <c r="J2291" s="23"/>
      <c r="K2291" s="21">
        <f t="shared" si="13"/>
        <v>204430.28</v>
      </c>
      <c r="L2291" s="23"/>
      <c r="M2291" s="21">
        <f t="shared" si="16"/>
        <v>1894.93</v>
      </c>
    </row>
    <row r="2292" ht="20.25" customHeight="1" outlineLevel="1">
      <c r="A2292" s="12"/>
      <c r="B2292" s="13"/>
      <c r="C2292" s="28"/>
      <c r="D2292" s="20"/>
      <c r="E2292" s="21">
        <f t="shared" si="1"/>
        <v>12593.22</v>
      </c>
      <c r="F2292" s="23"/>
      <c r="G2292" s="21">
        <f t="shared" si="8"/>
        <v>318539.46</v>
      </c>
      <c r="H2292" s="23"/>
      <c r="I2292" s="21">
        <f t="shared" si="15"/>
        <v>781.68</v>
      </c>
      <c r="J2292" s="23"/>
      <c r="K2292" s="21">
        <f t="shared" si="13"/>
        <v>204430.28</v>
      </c>
      <c r="L2292" s="23"/>
      <c r="M2292" s="21">
        <f t="shared" si="16"/>
        <v>1894.93</v>
      </c>
    </row>
    <row r="2293" ht="20.25" customHeight="1" outlineLevel="1">
      <c r="A2293" s="12"/>
      <c r="B2293" s="13"/>
      <c r="C2293" s="28"/>
      <c r="D2293" s="20"/>
      <c r="E2293" s="21">
        <f t="shared" si="1"/>
        <v>12593.22</v>
      </c>
      <c r="F2293" s="23"/>
      <c r="G2293" s="21">
        <f t="shared" si="8"/>
        <v>318539.46</v>
      </c>
      <c r="H2293" s="23"/>
      <c r="I2293" s="21">
        <f t="shared" si="15"/>
        <v>781.68</v>
      </c>
      <c r="J2293" s="23"/>
      <c r="K2293" s="21">
        <f t="shared" si="13"/>
        <v>204430.28</v>
      </c>
      <c r="L2293" s="23"/>
      <c r="M2293" s="21">
        <f t="shared" si="16"/>
        <v>1894.93</v>
      </c>
    </row>
    <row r="2294" ht="20.25" customHeight="1" outlineLevel="1">
      <c r="A2294" s="12"/>
      <c r="B2294" s="13"/>
      <c r="C2294" s="28"/>
      <c r="D2294" s="20"/>
      <c r="E2294" s="21">
        <f t="shared" si="1"/>
        <v>12593.22</v>
      </c>
      <c r="F2294" s="23"/>
      <c r="G2294" s="21">
        <f t="shared" si="8"/>
        <v>318539.46</v>
      </c>
      <c r="H2294" s="23"/>
      <c r="I2294" s="21">
        <f t="shared" si="15"/>
        <v>781.68</v>
      </c>
      <c r="J2294" s="23"/>
      <c r="K2294" s="21">
        <f t="shared" si="13"/>
        <v>204430.28</v>
      </c>
      <c r="L2294" s="23"/>
      <c r="M2294" s="21">
        <f t="shared" si="16"/>
        <v>1894.93</v>
      </c>
    </row>
    <row r="2295" ht="20.25" customHeight="1" outlineLevel="1">
      <c r="A2295" s="12"/>
      <c r="B2295" s="13"/>
      <c r="C2295" s="44"/>
      <c r="D2295" s="20"/>
      <c r="E2295" s="21">
        <f t="shared" si="1"/>
        <v>12593.22</v>
      </c>
      <c r="F2295" s="23"/>
      <c r="G2295" s="21">
        <f t="shared" si="8"/>
        <v>318539.46</v>
      </c>
      <c r="H2295" s="23"/>
      <c r="I2295" s="21">
        <f t="shared" si="15"/>
        <v>781.68</v>
      </c>
      <c r="J2295" s="23"/>
      <c r="K2295" s="21">
        <f t="shared" si="13"/>
        <v>204430.28</v>
      </c>
      <c r="L2295" s="23"/>
      <c r="M2295" s="21">
        <f t="shared" si="16"/>
        <v>1894.93</v>
      </c>
    </row>
    <row r="2296" ht="20.25" customHeight="1" outlineLevel="1">
      <c r="A2296" s="12"/>
      <c r="B2296" s="13"/>
      <c r="C2296" s="28"/>
      <c r="D2296" s="20"/>
      <c r="E2296" s="21">
        <f t="shared" si="1"/>
        <v>12593.22</v>
      </c>
      <c r="F2296" s="23"/>
      <c r="G2296" s="21">
        <f t="shared" si="8"/>
        <v>318539.46</v>
      </c>
      <c r="H2296" s="23"/>
      <c r="I2296" s="21">
        <f t="shared" si="15"/>
        <v>781.68</v>
      </c>
      <c r="J2296" s="23"/>
      <c r="K2296" s="21">
        <f t="shared" si="13"/>
        <v>204430.28</v>
      </c>
      <c r="L2296" s="23"/>
      <c r="M2296" s="21">
        <f t="shared" si="16"/>
        <v>1894.93</v>
      </c>
    </row>
    <row r="2297" ht="20.25" customHeight="1" outlineLevel="1">
      <c r="A2297" s="12"/>
      <c r="B2297" s="13"/>
      <c r="C2297" s="42"/>
      <c r="D2297" s="20"/>
      <c r="E2297" s="21">
        <f t="shared" si="1"/>
        <v>12593.22</v>
      </c>
      <c r="F2297" s="23"/>
      <c r="G2297" s="21">
        <f t="shared" si="8"/>
        <v>318539.46</v>
      </c>
      <c r="H2297" s="23"/>
      <c r="I2297" s="21">
        <f t="shared" si="15"/>
        <v>781.68</v>
      </c>
      <c r="J2297" s="23"/>
      <c r="K2297" s="21">
        <f t="shared" si="13"/>
        <v>204430.28</v>
      </c>
      <c r="L2297" s="23"/>
      <c r="M2297" s="21">
        <f t="shared" si="16"/>
        <v>1894.93</v>
      </c>
    </row>
    <row r="2298" ht="20.25" customHeight="1" outlineLevel="1">
      <c r="A2298" s="12"/>
      <c r="B2298" s="13"/>
      <c r="C2298" s="42"/>
      <c r="D2298" s="20"/>
      <c r="E2298" s="21">
        <f t="shared" si="1"/>
        <v>12593.22</v>
      </c>
      <c r="F2298" s="23"/>
      <c r="G2298" s="21">
        <f t="shared" si="8"/>
        <v>318539.46</v>
      </c>
      <c r="H2298" s="23"/>
      <c r="I2298" s="21">
        <f t="shared" si="15"/>
        <v>781.68</v>
      </c>
      <c r="J2298" s="23"/>
      <c r="K2298" s="21">
        <f t="shared" si="13"/>
        <v>204430.28</v>
      </c>
      <c r="L2298" s="23"/>
      <c r="M2298" s="21">
        <f t="shared" si="16"/>
        <v>1894.93</v>
      </c>
    </row>
    <row r="2299" ht="20.25" customHeight="1" outlineLevel="1">
      <c r="A2299" s="12"/>
      <c r="B2299" s="13"/>
      <c r="C2299" s="42"/>
      <c r="D2299" s="20"/>
      <c r="E2299" s="21">
        <f t="shared" si="1"/>
        <v>12593.22</v>
      </c>
      <c r="F2299" s="23"/>
      <c r="G2299" s="21">
        <f t="shared" si="8"/>
        <v>318539.46</v>
      </c>
      <c r="H2299" s="23"/>
      <c r="I2299" s="21">
        <f t="shared" si="15"/>
        <v>781.68</v>
      </c>
      <c r="J2299" s="23"/>
      <c r="K2299" s="21">
        <f t="shared" si="13"/>
        <v>204430.28</v>
      </c>
      <c r="L2299" s="23"/>
      <c r="M2299" s="21">
        <f t="shared" si="16"/>
        <v>1894.93</v>
      </c>
    </row>
    <row r="2300" ht="20.25" customHeight="1" outlineLevel="1">
      <c r="A2300" s="12"/>
      <c r="B2300" s="13"/>
      <c r="C2300" s="42"/>
      <c r="D2300" s="20"/>
      <c r="E2300" s="21">
        <f t="shared" si="1"/>
        <v>12593.22</v>
      </c>
      <c r="F2300" s="23"/>
      <c r="G2300" s="21">
        <f t="shared" si="8"/>
        <v>318539.46</v>
      </c>
      <c r="H2300" s="23"/>
      <c r="I2300" s="21">
        <f t="shared" si="15"/>
        <v>781.68</v>
      </c>
      <c r="J2300" s="23"/>
      <c r="K2300" s="21">
        <f t="shared" si="13"/>
        <v>204430.28</v>
      </c>
      <c r="L2300" s="23"/>
      <c r="M2300" s="21">
        <f t="shared" si="16"/>
        <v>1894.93</v>
      </c>
    </row>
    <row r="2301" ht="20.25" customHeight="1" outlineLevel="1">
      <c r="A2301" s="12"/>
      <c r="B2301" s="13"/>
      <c r="C2301" s="42"/>
      <c r="D2301" s="20"/>
      <c r="E2301" s="21">
        <f t="shared" si="1"/>
        <v>12593.22</v>
      </c>
      <c r="F2301" s="23"/>
      <c r="G2301" s="21">
        <f t="shared" si="8"/>
        <v>318539.46</v>
      </c>
      <c r="H2301" s="23"/>
      <c r="I2301" s="21">
        <f t="shared" si="15"/>
        <v>781.68</v>
      </c>
      <c r="J2301" s="23"/>
      <c r="K2301" s="21">
        <f t="shared" si="13"/>
        <v>204430.28</v>
      </c>
      <c r="L2301" s="23"/>
      <c r="M2301" s="21">
        <f t="shared" si="16"/>
        <v>1894.93</v>
      </c>
    </row>
    <row r="2302" ht="20.25" customHeight="1" outlineLevel="1">
      <c r="A2302" s="12"/>
      <c r="B2302" s="13"/>
      <c r="C2302" s="42"/>
      <c r="D2302" s="20"/>
      <c r="E2302" s="21">
        <f t="shared" si="1"/>
        <v>12593.22</v>
      </c>
      <c r="F2302" s="23"/>
      <c r="G2302" s="21">
        <f t="shared" si="8"/>
        <v>318539.46</v>
      </c>
      <c r="H2302" s="23"/>
      <c r="I2302" s="21">
        <f t="shared" si="15"/>
        <v>781.68</v>
      </c>
      <c r="J2302" s="23"/>
      <c r="K2302" s="21">
        <f t="shared" si="13"/>
        <v>204430.28</v>
      </c>
      <c r="L2302" s="23"/>
      <c r="M2302" s="21">
        <f t="shared" si="16"/>
        <v>1894.93</v>
      </c>
    </row>
    <row r="2303" ht="20.25" customHeight="1" outlineLevel="1">
      <c r="A2303" s="12"/>
      <c r="B2303" s="13"/>
      <c r="C2303" s="70"/>
      <c r="D2303" s="20"/>
      <c r="E2303" s="21">
        <f t="shared" si="1"/>
        <v>12593.22</v>
      </c>
      <c r="F2303" s="23"/>
      <c r="G2303" s="21">
        <f t="shared" si="8"/>
        <v>318539.46</v>
      </c>
      <c r="H2303" s="23"/>
      <c r="I2303" s="21">
        <f t="shared" si="15"/>
        <v>781.68</v>
      </c>
      <c r="J2303" s="23"/>
      <c r="K2303" s="21">
        <f t="shared" si="13"/>
        <v>204430.28</v>
      </c>
      <c r="L2303" s="23"/>
      <c r="M2303" s="21">
        <f t="shared" si="16"/>
        <v>1894.93</v>
      </c>
    </row>
    <row r="2304" ht="20.25" customHeight="1" outlineLevel="1">
      <c r="A2304" s="12"/>
      <c r="B2304" s="13"/>
      <c r="C2304" s="28"/>
      <c r="D2304" s="20"/>
      <c r="E2304" s="21">
        <f t="shared" si="1"/>
        <v>12593.22</v>
      </c>
      <c r="F2304" s="23"/>
      <c r="G2304" s="21">
        <f t="shared" si="8"/>
        <v>318539.46</v>
      </c>
      <c r="H2304" s="23"/>
      <c r="I2304" s="21">
        <f t="shared" si="15"/>
        <v>781.68</v>
      </c>
      <c r="J2304" s="23"/>
      <c r="K2304" s="21">
        <f t="shared" si="13"/>
        <v>204430.28</v>
      </c>
      <c r="L2304" s="23"/>
      <c r="M2304" s="21">
        <f t="shared" si="16"/>
        <v>1894.93</v>
      </c>
    </row>
    <row r="2305" ht="20.25" customHeight="1" outlineLevel="1">
      <c r="A2305" s="12"/>
      <c r="B2305" s="13"/>
      <c r="C2305" s="28"/>
      <c r="D2305" s="20"/>
      <c r="E2305" s="21">
        <f t="shared" si="1"/>
        <v>12593.22</v>
      </c>
      <c r="F2305" s="23"/>
      <c r="G2305" s="21">
        <f t="shared" si="8"/>
        <v>318539.46</v>
      </c>
      <c r="H2305" s="23"/>
      <c r="I2305" s="21">
        <f t="shared" si="15"/>
        <v>781.68</v>
      </c>
      <c r="J2305" s="23"/>
      <c r="K2305" s="21">
        <f t="shared" si="13"/>
        <v>204430.28</v>
      </c>
      <c r="L2305" s="23"/>
      <c r="M2305" s="21">
        <f t="shared" si="16"/>
        <v>1894.93</v>
      </c>
    </row>
    <row r="2306" ht="20.25" customHeight="1" outlineLevel="1">
      <c r="A2306" s="12"/>
      <c r="B2306" s="13"/>
      <c r="C2306" s="28"/>
      <c r="D2306" s="20"/>
      <c r="E2306" s="21">
        <f t="shared" si="1"/>
        <v>12593.22</v>
      </c>
      <c r="F2306" s="23"/>
      <c r="G2306" s="21">
        <f t="shared" si="8"/>
        <v>318539.46</v>
      </c>
      <c r="H2306" s="23"/>
      <c r="I2306" s="21">
        <f t="shared" si="15"/>
        <v>781.68</v>
      </c>
      <c r="J2306" s="23"/>
      <c r="K2306" s="21">
        <f t="shared" si="13"/>
        <v>204430.28</v>
      </c>
      <c r="L2306" s="23"/>
      <c r="M2306" s="21">
        <f t="shared" si="16"/>
        <v>1894.93</v>
      </c>
    </row>
    <row r="2307" ht="20.25" customHeight="1" outlineLevel="1">
      <c r="A2307" s="12"/>
      <c r="B2307" s="13"/>
      <c r="C2307" s="112"/>
      <c r="D2307" s="20"/>
      <c r="E2307" s="21">
        <f t="shared" si="1"/>
        <v>12593.22</v>
      </c>
      <c r="F2307" s="23"/>
      <c r="G2307" s="21">
        <f t="shared" si="8"/>
        <v>318539.46</v>
      </c>
      <c r="H2307" s="23"/>
      <c r="I2307" s="21">
        <f t="shared" si="15"/>
        <v>781.68</v>
      </c>
      <c r="J2307" s="23"/>
      <c r="K2307" s="21">
        <f t="shared" si="13"/>
        <v>204430.28</v>
      </c>
      <c r="L2307" s="23"/>
      <c r="M2307" s="21">
        <f t="shared" si="16"/>
        <v>1894.93</v>
      </c>
    </row>
    <row r="2308" ht="20.25" customHeight="1" outlineLevel="1">
      <c r="A2308" s="12"/>
      <c r="B2308" s="13"/>
      <c r="C2308" s="165"/>
      <c r="D2308" s="20"/>
      <c r="E2308" s="21">
        <f t="shared" si="1"/>
        <v>12593.22</v>
      </c>
      <c r="F2308" s="23"/>
      <c r="G2308" s="21">
        <f t="shared" si="8"/>
        <v>318539.46</v>
      </c>
      <c r="H2308" s="23"/>
      <c r="I2308" s="21">
        <f t="shared" si="15"/>
        <v>781.68</v>
      </c>
      <c r="J2308" s="23"/>
      <c r="K2308" s="21">
        <f t="shared" si="13"/>
        <v>204430.28</v>
      </c>
      <c r="L2308" s="23"/>
      <c r="M2308" s="21">
        <f t="shared" si="16"/>
        <v>1894.93</v>
      </c>
    </row>
    <row r="2309" ht="20.25" customHeight="1" outlineLevel="1">
      <c r="A2309" s="12"/>
      <c r="B2309" s="13"/>
      <c r="C2309" s="101"/>
      <c r="D2309" s="20"/>
      <c r="E2309" s="21">
        <f t="shared" si="1"/>
        <v>12593.22</v>
      </c>
      <c r="F2309" s="23"/>
      <c r="G2309" s="21">
        <f t="shared" si="8"/>
        <v>318539.46</v>
      </c>
      <c r="H2309" s="23"/>
      <c r="I2309" s="21">
        <f t="shared" si="15"/>
        <v>781.68</v>
      </c>
      <c r="J2309" s="23"/>
      <c r="K2309" s="21">
        <f t="shared" si="13"/>
        <v>204430.28</v>
      </c>
      <c r="L2309" s="23"/>
      <c r="M2309" s="21">
        <f t="shared" si="16"/>
        <v>1894.93</v>
      </c>
    </row>
    <row r="2310" ht="20.25" customHeight="1" outlineLevel="1">
      <c r="A2310" s="12"/>
      <c r="B2310" s="13"/>
      <c r="C2310" s="28"/>
      <c r="D2310" s="20"/>
      <c r="E2310" s="21">
        <f t="shared" si="1"/>
        <v>12593.22</v>
      </c>
      <c r="F2310" s="23"/>
      <c r="G2310" s="21">
        <f t="shared" si="8"/>
        <v>318539.46</v>
      </c>
      <c r="H2310" s="23"/>
      <c r="I2310" s="21">
        <f t="shared" si="15"/>
        <v>781.68</v>
      </c>
      <c r="J2310" s="23"/>
      <c r="K2310" s="21">
        <f t="shared" si="13"/>
        <v>204430.28</v>
      </c>
      <c r="L2310" s="23"/>
      <c r="M2310" s="21">
        <f t="shared" si="16"/>
        <v>1894.93</v>
      </c>
    </row>
    <row r="2311" ht="20.25" customHeight="1" outlineLevel="1">
      <c r="A2311" s="12"/>
      <c r="B2311" s="13"/>
      <c r="C2311" s="28"/>
      <c r="D2311" s="20"/>
      <c r="E2311" s="21">
        <f t="shared" si="1"/>
        <v>12593.22</v>
      </c>
      <c r="F2311" s="23"/>
      <c r="G2311" s="21">
        <f t="shared" si="8"/>
        <v>318539.46</v>
      </c>
      <c r="H2311" s="23"/>
      <c r="I2311" s="21">
        <f t="shared" si="15"/>
        <v>781.68</v>
      </c>
      <c r="J2311" s="23"/>
      <c r="K2311" s="21">
        <f t="shared" si="13"/>
        <v>204430.28</v>
      </c>
      <c r="L2311" s="23"/>
      <c r="M2311" s="21">
        <f t="shared" si="16"/>
        <v>1894.93</v>
      </c>
    </row>
    <row r="2312" ht="20.25" customHeight="1" outlineLevel="1">
      <c r="A2312" s="12"/>
      <c r="B2312" s="13"/>
      <c r="C2312" s="28"/>
      <c r="D2312" s="20"/>
      <c r="E2312" s="21">
        <f t="shared" si="1"/>
        <v>12593.22</v>
      </c>
      <c r="F2312" s="23"/>
      <c r="G2312" s="21">
        <f t="shared" si="8"/>
        <v>318539.46</v>
      </c>
      <c r="H2312" s="23"/>
      <c r="I2312" s="21">
        <f t="shared" si="15"/>
        <v>781.68</v>
      </c>
      <c r="J2312" s="23"/>
      <c r="K2312" s="21">
        <f t="shared" si="13"/>
        <v>204430.28</v>
      </c>
      <c r="L2312" s="23"/>
      <c r="M2312" s="21">
        <f t="shared" si="16"/>
        <v>1894.93</v>
      </c>
    </row>
    <row r="2313" ht="20.25" customHeight="1" outlineLevel="1">
      <c r="A2313" s="12"/>
      <c r="B2313" s="13"/>
      <c r="C2313" s="28"/>
      <c r="D2313" s="20"/>
      <c r="E2313" s="21">
        <f t="shared" si="1"/>
        <v>12593.22</v>
      </c>
      <c r="F2313" s="23"/>
      <c r="G2313" s="21">
        <f t="shared" si="8"/>
        <v>318539.46</v>
      </c>
      <c r="H2313" s="23"/>
      <c r="I2313" s="21">
        <f t="shared" si="15"/>
        <v>781.68</v>
      </c>
      <c r="J2313" s="23"/>
      <c r="K2313" s="21">
        <f t="shared" si="13"/>
        <v>204430.28</v>
      </c>
      <c r="L2313" s="23"/>
      <c r="M2313" s="21">
        <f t="shared" si="16"/>
        <v>1894.93</v>
      </c>
    </row>
    <row r="2314" ht="20.25" customHeight="1" outlineLevel="1">
      <c r="A2314" s="12"/>
      <c r="B2314" s="13"/>
      <c r="C2314" s="42"/>
      <c r="D2314" s="20"/>
      <c r="E2314" s="21">
        <f t="shared" si="1"/>
        <v>12593.22</v>
      </c>
      <c r="F2314" s="23"/>
      <c r="G2314" s="21">
        <f t="shared" si="8"/>
        <v>318539.46</v>
      </c>
      <c r="H2314" s="23"/>
      <c r="I2314" s="21">
        <f t="shared" si="15"/>
        <v>781.68</v>
      </c>
      <c r="J2314" s="23"/>
      <c r="K2314" s="21">
        <f t="shared" si="13"/>
        <v>204430.28</v>
      </c>
      <c r="L2314" s="23"/>
      <c r="M2314" s="21">
        <f t="shared" si="16"/>
        <v>1894.93</v>
      </c>
    </row>
    <row r="2315" ht="20.25" customHeight="1" outlineLevel="1">
      <c r="A2315" s="12"/>
      <c r="B2315" s="13"/>
      <c r="C2315" s="42"/>
      <c r="D2315" s="20"/>
      <c r="E2315" s="21">
        <f t="shared" si="1"/>
        <v>12593.22</v>
      </c>
      <c r="F2315" s="23"/>
      <c r="G2315" s="21">
        <f t="shared" si="8"/>
        <v>318539.46</v>
      </c>
      <c r="H2315" s="23"/>
      <c r="I2315" s="21">
        <f t="shared" si="15"/>
        <v>781.68</v>
      </c>
      <c r="J2315" s="23"/>
      <c r="K2315" s="21">
        <f t="shared" si="13"/>
        <v>204430.28</v>
      </c>
      <c r="L2315" s="23"/>
      <c r="M2315" s="21">
        <f t="shared" si="16"/>
        <v>1894.93</v>
      </c>
    </row>
    <row r="2316" ht="20.25" customHeight="1" outlineLevel="1">
      <c r="A2316" s="12"/>
      <c r="B2316" s="13"/>
      <c r="C2316" s="42"/>
      <c r="D2316" s="20"/>
      <c r="E2316" s="21">
        <f t="shared" si="1"/>
        <v>12593.22</v>
      </c>
      <c r="F2316" s="23"/>
      <c r="G2316" s="21">
        <f t="shared" si="8"/>
        <v>318539.46</v>
      </c>
      <c r="H2316" s="23"/>
      <c r="I2316" s="21">
        <f t="shared" si="15"/>
        <v>781.68</v>
      </c>
      <c r="J2316" s="23"/>
      <c r="K2316" s="21">
        <f t="shared" si="13"/>
        <v>204430.28</v>
      </c>
      <c r="L2316" s="23"/>
      <c r="M2316" s="21">
        <f t="shared" si="16"/>
        <v>1894.93</v>
      </c>
    </row>
    <row r="2317" ht="20.25" customHeight="1" outlineLevel="1">
      <c r="A2317" s="12"/>
      <c r="B2317" s="13"/>
      <c r="C2317" s="42"/>
      <c r="D2317" s="20"/>
      <c r="E2317" s="21">
        <f t="shared" si="1"/>
        <v>12593.22</v>
      </c>
      <c r="F2317" s="23"/>
      <c r="G2317" s="21">
        <f t="shared" si="8"/>
        <v>318539.46</v>
      </c>
      <c r="H2317" s="23"/>
      <c r="I2317" s="21">
        <f t="shared" si="15"/>
        <v>781.68</v>
      </c>
      <c r="J2317" s="23"/>
      <c r="K2317" s="21">
        <f t="shared" si="13"/>
        <v>204430.28</v>
      </c>
      <c r="L2317" s="23"/>
      <c r="M2317" s="21">
        <f t="shared" si="16"/>
        <v>1894.93</v>
      </c>
    </row>
    <row r="2318" ht="20.25" customHeight="1" outlineLevel="1">
      <c r="A2318" s="12"/>
      <c r="B2318" s="13"/>
      <c r="C2318" s="42"/>
      <c r="D2318" s="20"/>
      <c r="E2318" s="21">
        <f t="shared" si="1"/>
        <v>12593.22</v>
      </c>
      <c r="F2318" s="23"/>
      <c r="G2318" s="21">
        <f t="shared" si="8"/>
        <v>318539.46</v>
      </c>
      <c r="H2318" s="23"/>
      <c r="I2318" s="21">
        <f t="shared" si="15"/>
        <v>781.68</v>
      </c>
      <c r="J2318" s="23"/>
      <c r="K2318" s="21">
        <f t="shared" si="13"/>
        <v>204430.28</v>
      </c>
      <c r="L2318" s="23"/>
      <c r="M2318" s="21">
        <f t="shared" si="16"/>
        <v>1894.93</v>
      </c>
    </row>
    <row r="2319" ht="20.25" customHeight="1" outlineLevel="1">
      <c r="A2319" s="12"/>
      <c r="B2319" s="13"/>
      <c r="C2319" s="28"/>
      <c r="D2319" s="20"/>
      <c r="E2319" s="21">
        <f t="shared" si="1"/>
        <v>12593.22</v>
      </c>
      <c r="F2319" s="23"/>
      <c r="G2319" s="21">
        <f t="shared" si="8"/>
        <v>318539.46</v>
      </c>
      <c r="H2319" s="23"/>
      <c r="I2319" s="21">
        <f t="shared" si="15"/>
        <v>781.68</v>
      </c>
      <c r="J2319" s="23"/>
      <c r="K2319" s="21">
        <f t="shared" si="13"/>
        <v>204430.28</v>
      </c>
      <c r="L2319" s="23"/>
      <c r="M2319" s="21">
        <f t="shared" si="16"/>
        <v>1894.93</v>
      </c>
    </row>
    <row r="2320" ht="20.25" customHeight="1" outlineLevel="1">
      <c r="A2320" s="12"/>
      <c r="B2320" s="13"/>
      <c r="C2320" s="28"/>
      <c r="D2320" s="20"/>
      <c r="E2320" s="21">
        <f t="shared" si="1"/>
        <v>12593.22</v>
      </c>
      <c r="F2320" s="23"/>
      <c r="G2320" s="21">
        <f t="shared" si="8"/>
        <v>318539.46</v>
      </c>
      <c r="H2320" s="23"/>
      <c r="I2320" s="21">
        <f t="shared" si="15"/>
        <v>781.68</v>
      </c>
      <c r="J2320" s="23"/>
      <c r="K2320" s="21">
        <f t="shared" si="13"/>
        <v>204430.28</v>
      </c>
      <c r="L2320" s="23"/>
      <c r="M2320" s="21">
        <f t="shared" si="16"/>
        <v>1894.93</v>
      </c>
    </row>
    <row r="2321" ht="20.25" customHeight="1" outlineLevel="1">
      <c r="A2321" s="12"/>
      <c r="B2321" s="13"/>
      <c r="C2321" s="28"/>
      <c r="D2321" s="20"/>
      <c r="E2321" s="21">
        <f t="shared" si="1"/>
        <v>12593.22</v>
      </c>
      <c r="F2321" s="23"/>
      <c r="G2321" s="21">
        <f t="shared" si="8"/>
        <v>318539.46</v>
      </c>
      <c r="H2321" s="23"/>
      <c r="I2321" s="21">
        <f t="shared" si="15"/>
        <v>781.68</v>
      </c>
      <c r="J2321" s="23"/>
      <c r="K2321" s="21">
        <f t="shared" si="13"/>
        <v>204430.28</v>
      </c>
      <c r="L2321" s="23"/>
      <c r="M2321" s="21">
        <f t="shared" si="16"/>
        <v>1894.93</v>
      </c>
    </row>
    <row r="2322" ht="20.25" customHeight="1" outlineLevel="1">
      <c r="A2322" s="12"/>
      <c r="B2322" s="13"/>
      <c r="C2322" s="28"/>
      <c r="D2322" s="20"/>
      <c r="E2322" s="21">
        <f t="shared" si="1"/>
        <v>12593.22</v>
      </c>
      <c r="F2322" s="23"/>
      <c r="G2322" s="21">
        <f t="shared" si="8"/>
        <v>318539.46</v>
      </c>
      <c r="H2322" s="23"/>
      <c r="I2322" s="21">
        <f t="shared" si="15"/>
        <v>781.68</v>
      </c>
      <c r="J2322" s="23"/>
      <c r="K2322" s="21">
        <f t="shared" si="13"/>
        <v>204430.28</v>
      </c>
      <c r="L2322" s="23"/>
      <c r="M2322" s="21">
        <f t="shared" si="16"/>
        <v>1894.93</v>
      </c>
    </row>
    <row r="2323" ht="20.25" customHeight="1" outlineLevel="1">
      <c r="A2323" s="12"/>
      <c r="B2323" s="13"/>
      <c r="C2323" s="28"/>
      <c r="D2323" s="20"/>
      <c r="E2323" s="21">
        <f t="shared" si="1"/>
        <v>12593.22</v>
      </c>
      <c r="F2323" s="23"/>
      <c r="G2323" s="21">
        <f t="shared" si="8"/>
        <v>318539.46</v>
      </c>
      <c r="H2323" s="23"/>
      <c r="I2323" s="21">
        <f t="shared" si="15"/>
        <v>781.68</v>
      </c>
      <c r="J2323" s="23"/>
      <c r="K2323" s="21">
        <f t="shared" si="13"/>
        <v>204430.28</v>
      </c>
      <c r="L2323" s="23"/>
      <c r="M2323" s="21">
        <f t="shared" si="16"/>
        <v>1894.93</v>
      </c>
    </row>
    <row r="2324" ht="20.25" customHeight="1" outlineLevel="1">
      <c r="A2324" s="12"/>
      <c r="B2324" s="13"/>
      <c r="C2324" s="28"/>
      <c r="D2324" s="20"/>
      <c r="E2324" s="21">
        <f t="shared" si="1"/>
        <v>12593.22</v>
      </c>
      <c r="F2324" s="23"/>
      <c r="G2324" s="21">
        <f t="shared" si="8"/>
        <v>318539.46</v>
      </c>
      <c r="H2324" s="23"/>
      <c r="I2324" s="21">
        <f t="shared" si="15"/>
        <v>781.68</v>
      </c>
      <c r="J2324" s="23"/>
      <c r="K2324" s="21">
        <f t="shared" si="13"/>
        <v>204430.28</v>
      </c>
      <c r="L2324" s="23"/>
      <c r="M2324" s="21">
        <f t="shared" si="16"/>
        <v>1894.93</v>
      </c>
    </row>
    <row r="2325" ht="20.25" customHeight="1" outlineLevel="1">
      <c r="A2325" s="12"/>
      <c r="B2325" s="13"/>
      <c r="C2325" s="42"/>
      <c r="D2325" s="20"/>
      <c r="E2325" s="21">
        <f t="shared" si="1"/>
        <v>12593.22</v>
      </c>
      <c r="F2325" s="23"/>
      <c r="G2325" s="21">
        <f t="shared" si="8"/>
        <v>318539.46</v>
      </c>
      <c r="H2325" s="23"/>
      <c r="I2325" s="21">
        <f t="shared" si="15"/>
        <v>781.68</v>
      </c>
      <c r="J2325" s="23"/>
      <c r="K2325" s="21">
        <f t="shared" si="13"/>
        <v>204430.28</v>
      </c>
      <c r="L2325" s="23"/>
      <c r="M2325" s="21">
        <f t="shared" si="16"/>
        <v>1894.93</v>
      </c>
    </row>
    <row r="2326" ht="20.25" customHeight="1" outlineLevel="1">
      <c r="A2326" s="12"/>
      <c r="B2326" s="13"/>
      <c r="C2326" s="42"/>
      <c r="D2326" s="20"/>
      <c r="E2326" s="21">
        <f t="shared" si="1"/>
        <v>12593.22</v>
      </c>
      <c r="F2326" s="23"/>
      <c r="G2326" s="21">
        <f t="shared" si="8"/>
        <v>318539.46</v>
      </c>
      <c r="H2326" s="23"/>
      <c r="I2326" s="21">
        <f t="shared" si="15"/>
        <v>781.68</v>
      </c>
      <c r="J2326" s="23"/>
      <c r="K2326" s="21">
        <f t="shared" si="13"/>
        <v>204430.28</v>
      </c>
      <c r="L2326" s="23"/>
      <c r="M2326" s="21">
        <f t="shared" si="16"/>
        <v>1894.93</v>
      </c>
    </row>
    <row r="2327" ht="20.25" customHeight="1" outlineLevel="1">
      <c r="A2327" s="12"/>
      <c r="B2327" s="13"/>
      <c r="C2327" s="42"/>
      <c r="D2327" s="20"/>
      <c r="E2327" s="21">
        <f t="shared" si="1"/>
        <v>12593.22</v>
      </c>
      <c r="F2327" s="23"/>
      <c r="G2327" s="21">
        <f t="shared" si="8"/>
        <v>318539.46</v>
      </c>
      <c r="H2327" s="23"/>
      <c r="I2327" s="21">
        <f t="shared" si="15"/>
        <v>781.68</v>
      </c>
      <c r="J2327" s="23"/>
      <c r="K2327" s="21">
        <f t="shared" si="13"/>
        <v>204430.28</v>
      </c>
      <c r="L2327" s="23"/>
      <c r="M2327" s="21">
        <f t="shared" si="16"/>
        <v>1894.93</v>
      </c>
    </row>
    <row r="2328" ht="20.25" customHeight="1" outlineLevel="1">
      <c r="A2328" s="12"/>
      <c r="B2328" s="13"/>
      <c r="C2328" s="28"/>
      <c r="D2328" s="20"/>
      <c r="E2328" s="21">
        <f t="shared" si="1"/>
        <v>12593.22</v>
      </c>
      <c r="F2328" s="23"/>
      <c r="G2328" s="21">
        <f t="shared" si="8"/>
        <v>318539.46</v>
      </c>
      <c r="H2328" s="23"/>
      <c r="I2328" s="21">
        <f t="shared" si="15"/>
        <v>781.68</v>
      </c>
      <c r="J2328" s="23"/>
      <c r="K2328" s="21">
        <f t="shared" si="13"/>
        <v>204430.28</v>
      </c>
      <c r="L2328" s="23"/>
      <c r="M2328" s="21">
        <f t="shared" si="16"/>
        <v>1894.93</v>
      </c>
    </row>
    <row r="2329" ht="20.25" customHeight="1" outlineLevel="1">
      <c r="A2329" s="12"/>
      <c r="B2329" s="13"/>
      <c r="C2329" s="44"/>
      <c r="D2329" s="20"/>
      <c r="E2329" s="21">
        <f t="shared" si="1"/>
        <v>12593.22</v>
      </c>
      <c r="F2329" s="23"/>
      <c r="G2329" s="21">
        <f t="shared" si="8"/>
        <v>318539.46</v>
      </c>
      <c r="H2329" s="23"/>
      <c r="I2329" s="21">
        <f t="shared" si="15"/>
        <v>781.68</v>
      </c>
      <c r="J2329" s="23"/>
      <c r="K2329" s="21">
        <f t="shared" si="13"/>
        <v>204430.28</v>
      </c>
      <c r="L2329" s="23"/>
      <c r="M2329" s="21">
        <f t="shared" si="16"/>
        <v>1894.93</v>
      </c>
    </row>
    <row r="2330" ht="20.25" customHeight="1" outlineLevel="1">
      <c r="A2330" s="12"/>
      <c r="B2330" s="13"/>
      <c r="C2330" s="44"/>
      <c r="D2330" s="20"/>
      <c r="E2330" s="21">
        <f t="shared" si="1"/>
        <v>12593.22</v>
      </c>
      <c r="F2330" s="23"/>
      <c r="G2330" s="21">
        <f t="shared" si="8"/>
        <v>318539.46</v>
      </c>
      <c r="H2330" s="23"/>
      <c r="I2330" s="21">
        <f t="shared" si="15"/>
        <v>781.68</v>
      </c>
      <c r="J2330" s="23"/>
      <c r="K2330" s="21">
        <f t="shared" si="13"/>
        <v>204430.28</v>
      </c>
      <c r="L2330" s="23"/>
      <c r="M2330" s="21">
        <f t="shared" si="16"/>
        <v>1894.93</v>
      </c>
    </row>
    <row r="2331" ht="20.25" customHeight="1" outlineLevel="1">
      <c r="A2331" s="12"/>
      <c r="B2331" s="13"/>
      <c r="C2331" s="44"/>
      <c r="D2331" s="20"/>
      <c r="E2331" s="21">
        <f t="shared" si="1"/>
        <v>12593.22</v>
      </c>
      <c r="F2331" s="23"/>
      <c r="G2331" s="21">
        <f t="shared" si="8"/>
        <v>318539.46</v>
      </c>
      <c r="H2331" s="23"/>
      <c r="I2331" s="21">
        <f t="shared" si="15"/>
        <v>781.68</v>
      </c>
      <c r="J2331" s="23"/>
      <c r="K2331" s="21">
        <f t="shared" si="13"/>
        <v>204430.28</v>
      </c>
      <c r="L2331" s="23"/>
      <c r="M2331" s="21">
        <f t="shared" si="16"/>
        <v>1894.93</v>
      </c>
    </row>
    <row r="2332" ht="20.25" customHeight="1" outlineLevel="1">
      <c r="A2332" s="12"/>
      <c r="B2332" s="13"/>
      <c r="C2332" s="44"/>
      <c r="D2332" s="20"/>
      <c r="E2332" s="21">
        <f t="shared" si="1"/>
        <v>12593.22</v>
      </c>
      <c r="F2332" s="23"/>
      <c r="G2332" s="21">
        <f t="shared" si="8"/>
        <v>318539.46</v>
      </c>
      <c r="H2332" s="23"/>
      <c r="I2332" s="21">
        <f t="shared" si="15"/>
        <v>781.68</v>
      </c>
      <c r="J2332" s="23"/>
      <c r="K2332" s="21">
        <f t="shared" si="13"/>
        <v>204430.28</v>
      </c>
      <c r="L2332" s="23"/>
      <c r="M2332" s="21">
        <f t="shared" si="16"/>
        <v>1894.93</v>
      </c>
    </row>
    <row r="2333" ht="20.25" customHeight="1" outlineLevel="1">
      <c r="A2333" s="12"/>
      <c r="B2333" s="13"/>
      <c r="C2333" s="44"/>
      <c r="D2333" s="20"/>
      <c r="E2333" s="21">
        <f t="shared" si="1"/>
        <v>12593.22</v>
      </c>
      <c r="F2333" s="23"/>
      <c r="G2333" s="21">
        <f t="shared" si="8"/>
        <v>318539.46</v>
      </c>
      <c r="H2333" s="23"/>
      <c r="I2333" s="21">
        <f t="shared" si="15"/>
        <v>781.68</v>
      </c>
      <c r="J2333" s="23"/>
      <c r="K2333" s="21">
        <f t="shared" si="13"/>
        <v>204430.28</v>
      </c>
      <c r="L2333" s="23"/>
      <c r="M2333" s="21">
        <f t="shared" si="16"/>
        <v>1894.93</v>
      </c>
    </row>
    <row r="2334" ht="20.25" customHeight="1" outlineLevel="1">
      <c r="A2334" s="12"/>
      <c r="B2334" s="13"/>
      <c r="C2334" s="28"/>
      <c r="D2334" s="20"/>
      <c r="E2334" s="21">
        <f t="shared" si="1"/>
        <v>12593.22</v>
      </c>
      <c r="F2334" s="23"/>
      <c r="G2334" s="21">
        <f t="shared" si="8"/>
        <v>318539.46</v>
      </c>
      <c r="H2334" s="23"/>
      <c r="I2334" s="21">
        <f t="shared" si="15"/>
        <v>781.68</v>
      </c>
      <c r="J2334" s="23"/>
      <c r="K2334" s="21">
        <f t="shared" si="13"/>
        <v>204430.28</v>
      </c>
      <c r="L2334" s="23"/>
      <c r="M2334" s="21">
        <f t="shared" si="16"/>
        <v>1894.93</v>
      </c>
    </row>
    <row r="2335" ht="20.25" customHeight="1" outlineLevel="1">
      <c r="A2335" s="12"/>
      <c r="B2335" s="13"/>
      <c r="C2335" s="28"/>
      <c r="D2335" s="20"/>
      <c r="E2335" s="21">
        <f t="shared" si="1"/>
        <v>12593.22</v>
      </c>
      <c r="F2335" s="23"/>
      <c r="G2335" s="21">
        <f t="shared" si="8"/>
        <v>318539.46</v>
      </c>
      <c r="H2335" s="23"/>
      <c r="I2335" s="21">
        <f t="shared" si="15"/>
        <v>781.68</v>
      </c>
      <c r="J2335" s="23"/>
      <c r="K2335" s="21">
        <f t="shared" si="13"/>
        <v>204430.28</v>
      </c>
      <c r="L2335" s="23"/>
      <c r="M2335" s="21">
        <f t="shared" si="16"/>
        <v>1894.93</v>
      </c>
    </row>
    <row r="2336" ht="20.25" customHeight="1" outlineLevel="1">
      <c r="A2336" s="12"/>
      <c r="B2336" s="13"/>
      <c r="C2336" s="28"/>
      <c r="D2336" s="20"/>
      <c r="E2336" s="21">
        <f t="shared" si="1"/>
        <v>12593.22</v>
      </c>
      <c r="F2336" s="23"/>
      <c r="G2336" s="21">
        <f t="shared" si="8"/>
        <v>318539.46</v>
      </c>
      <c r="H2336" s="23"/>
      <c r="I2336" s="21">
        <f t="shared" si="15"/>
        <v>781.68</v>
      </c>
      <c r="J2336" s="23"/>
      <c r="K2336" s="21">
        <f t="shared" si="13"/>
        <v>204430.28</v>
      </c>
      <c r="L2336" s="23"/>
      <c r="M2336" s="21">
        <f t="shared" si="16"/>
        <v>1894.93</v>
      </c>
    </row>
    <row r="2337" ht="20.25" customHeight="1" outlineLevel="1">
      <c r="A2337" s="12"/>
      <c r="B2337" s="13"/>
      <c r="C2337" s="28"/>
      <c r="D2337" s="20"/>
      <c r="E2337" s="21">
        <f t="shared" si="1"/>
        <v>12593.22</v>
      </c>
      <c r="F2337" s="23"/>
      <c r="G2337" s="21">
        <f t="shared" si="8"/>
        <v>318539.46</v>
      </c>
      <c r="H2337" s="23"/>
      <c r="I2337" s="21">
        <f t="shared" si="15"/>
        <v>781.68</v>
      </c>
      <c r="J2337" s="23"/>
      <c r="K2337" s="21">
        <f t="shared" si="13"/>
        <v>204430.28</v>
      </c>
      <c r="L2337" s="23"/>
      <c r="M2337" s="21">
        <f t="shared" si="16"/>
        <v>1894.93</v>
      </c>
    </row>
    <row r="2338" ht="20.25" customHeight="1" outlineLevel="1">
      <c r="A2338" s="12"/>
      <c r="B2338" s="13"/>
      <c r="C2338" s="42"/>
      <c r="D2338" s="20"/>
      <c r="E2338" s="21">
        <f t="shared" si="1"/>
        <v>12593.22</v>
      </c>
      <c r="F2338" s="23"/>
      <c r="G2338" s="21">
        <f t="shared" si="8"/>
        <v>318539.46</v>
      </c>
      <c r="H2338" s="23"/>
      <c r="I2338" s="21">
        <f t="shared" si="15"/>
        <v>781.68</v>
      </c>
      <c r="J2338" s="23"/>
      <c r="K2338" s="21">
        <f t="shared" si="13"/>
        <v>204430.28</v>
      </c>
      <c r="L2338" s="23"/>
      <c r="M2338" s="21">
        <f t="shared" si="16"/>
        <v>1894.93</v>
      </c>
    </row>
    <row r="2339" ht="20.25" customHeight="1" outlineLevel="1">
      <c r="A2339" s="12"/>
      <c r="B2339" s="13"/>
      <c r="C2339" s="42"/>
      <c r="D2339" s="20"/>
      <c r="E2339" s="21">
        <f t="shared" si="1"/>
        <v>12593.22</v>
      </c>
      <c r="F2339" s="23"/>
      <c r="G2339" s="21">
        <f t="shared" si="8"/>
        <v>318539.46</v>
      </c>
      <c r="H2339" s="23"/>
      <c r="I2339" s="21">
        <f t="shared" si="15"/>
        <v>781.68</v>
      </c>
      <c r="J2339" s="23"/>
      <c r="K2339" s="21">
        <f t="shared" si="13"/>
        <v>204430.28</v>
      </c>
      <c r="L2339" s="23"/>
      <c r="M2339" s="21">
        <f t="shared" si="16"/>
        <v>1894.93</v>
      </c>
    </row>
    <row r="2340" ht="20.25" customHeight="1" outlineLevel="1">
      <c r="A2340" s="12"/>
      <c r="B2340" s="13"/>
      <c r="C2340" s="42"/>
      <c r="D2340" s="20"/>
      <c r="E2340" s="21">
        <f t="shared" si="1"/>
        <v>12593.22</v>
      </c>
      <c r="F2340" s="23"/>
      <c r="G2340" s="21">
        <f t="shared" si="8"/>
        <v>318539.46</v>
      </c>
      <c r="H2340" s="23"/>
      <c r="I2340" s="21">
        <f t="shared" si="15"/>
        <v>781.68</v>
      </c>
      <c r="J2340" s="23"/>
      <c r="K2340" s="21">
        <f t="shared" si="13"/>
        <v>204430.28</v>
      </c>
      <c r="L2340" s="23"/>
      <c r="M2340" s="21">
        <f t="shared" si="16"/>
        <v>1894.93</v>
      </c>
    </row>
    <row r="2341" ht="20.25" customHeight="1" outlineLevel="1">
      <c r="A2341" s="12"/>
      <c r="B2341" s="13"/>
      <c r="C2341" s="42"/>
      <c r="D2341" s="20"/>
      <c r="E2341" s="21">
        <f t="shared" si="1"/>
        <v>12593.22</v>
      </c>
      <c r="F2341" s="23"/>
      <c r="G2341" s="21">
        <f t="shared" si="8"/>
        <v>318539.46</v>
      </c>
      <c r="H2341" s="23"/>
      <c r="I2341" s="21">
        <f t="shared" si="15"/>
        <v>781.68</v>
      </c>
      <c r="J2341" s="23"/>
      <c r="K2341" s="21">
        <f t="shared" si="13"/>
        <v>204430.28</v>
      </c>
      <c r="L2341" s="23"/>
      <c r="M2341" s="21">
        <f t="shared" si="16"/>
        <v>1894.93</v>
      </c>
    </row>
    <row r="2342" ht="20.25" customHeight="1" outlineLevel="1">
      <c r="A2342" s="12"/>
      <c r="B2342" s="13"/>
      <c r="C2342" s="28"/>
      <c r="D2342" s="20"/>
      <c r="E2342" s="21">
        <f t="shared" si="1"/>
        <v>12593.22</v>
      </c>
      <c r="F2342" s="23"/>
      <c r="G2342" s="21">
        <f t="shared" si="8"/>
        <v>318539.46</v>
      </c>
      <c r="H2342" s="23"/>
      <c r="I2342" s="21">
        <f t="shared" si="15"/>
        <v>781.68</v>
      </c>
      <c r="J2342" s="23"/>
      <c r="K2342" s="21">
        <f t="shared" si="13"/>
        <v>204430.28</v>
      </c>
      <c r="L2342" s="23"/>
      <c r="M2342" s="21">
        <f t="shared" si="16"/>
        <v>1894.93</v>
      </c>
    </row>
    <row r="2343" ht="20.25" customHeight="1" outlineLevel="1">
      <c r="A2343" s="12"/>
      <c r="B2343" s="13"/>
      <c r="C2343" s="28"/>
      <c r="D2343" s="20"/>
      <c r="E2343" s="21">
        <f t="shared" si="1"/>
        <v>12593.22</v>
      </c>
      <c r="F2343" s="23"/>
      <c r="G2343" s="21">
        <f t="shared" si="8"/>
        <v>318539.46</v>
      </c>
      <c r="H2343" s="23"/>
      <c r="I2343" s="21">
        <f t="shared" si="15"/>
        <v>781.68</v>
      </c>
      <c r="J2343" s="23"/>
      <c r="K2343" s="21">
        <f t="shared" si="13"/>
        <v>204430.28</v>
      </c>
      <c r="L2343" s="23"/>
      <c r="M2343" s="21">
        <f t="shared" si="16"/>
        <v>1894.93</v>
      </c>
    </row>
    <row r="2344" ht="20.25" customHeight="1" outlineLevel="1">
      <c r="A2344" s="12"/>
      <c r="B2344" s="13"/>
      <c r="C2344" s="28"/>
      <c r="D2344" s="20"/>
      <c r="E2344" s="21">
        <f t="shared" si="1"/>
        <v>12593.22</v>
      </c>
      <c r="F2344" s="23"/>
      <c r="G2344" s="21">
        <f t="shared" si="8"/>
        <v>318539.46</v>
      </c>
      <c r="H2344" s="23"/>
      <c r="I2344" s="21">
        <f t="shared" si="15"/>
        <v>781.68</v>
      </c>
      <c r="J2344" s="23"/>
      <c r="K2344" s="21">
        <f t="shared" si="13"/>
        <v>204430.28</v>
      </c>
      <c r="L2344" s="23"/>
      <c r="M2344" s="21">
        <f t="shared" si="16"/>
        <v>1894.93</v>
      </c>
    </row>
    <row r="2345" ht="20.25" customHeight="1" outlineLevel="1">
      <c r="A2345" s="12"/>
      <c r="B2345" s="13"/>
      <c r="C2345" s="28"/>
      <c r="D2345" s="20"/>
      <c r="E2345" s="21">
        <f t="shared" si="1"/>
        <v>12593.22</v>
      </c>
      <c r="F2345" s="23"/>
      <c r="G2345" s="21">
        <f t="shared" si="8"/>
        <v>318539.46</v>
      </c>
      <c r="H2345" s="23"/>
      <c r="I2345" s="21">
        <f t="shared" si="15"/>
        <v>781.68</v>
      </c>
      <c r="J2345" s="23"/>
      <c r="K2345" s="21">
        <f t="shared" si="13"/>
        <v>204430.28</v>
      </c>
      <c r="L2345" s="23"/>
      <c r="M2345" s="21">
        <f t="shared" si="16"/>
        <v>1894.93</v>
      </c>
    </row>
    <row r="2346" ht="20.25" customHeight="1" outlineLevel="1">
      <c r="A2346" s="12"/>
      <c r="B2346" s="13"/>
      <c r="C2346" s="229"/>
      <c r="D2346" s="20"/>
      <c r="E2346" s="21">
        <f t="shared" si="1"/>
        <v>12593.22</v>
      </c>
      <c r="F2346" s="23"/>
      <c r="G2346" s="21">
        <f t="shared" si="8"/>
        <v>318539.46</v>
      </c>
      <c r="H2346" s="23"/>
      <c r="I2346" s="21">
        <f t="shared" si="15"/>
        <v>781.68</v>
      </c>
      <c r="J2346" s="23"/>
      <c r="K2346" s="21">
        <f t="shared" si="13"/>
        <v>204430.28</v>
      </c>
      <c r="L2346" s="23"/>
      <c r="M2346" s="21">
        <f t="shared" si="16"/>
        <v>1894.93</v>
      </c>
    </row>
    <row r="2347" ht="20.25" customHeight="1" outlineLevel="1">
      <c r="A2347" s="12"/>
      <c r="B2347" s="13"/>
      <c r="C2347" s="225"/>
      <c r="D2347" s="20"/>
      <c r="E2347" s="21">
        <f t="shared" si="1"/>
        <v>12593.22</v>
      </c>
      <c r="F2347" s="23"/>
      <c r="G2347" s="21">
        <f t="shared" si="8"/>
        <v>318539.46</v>
      </c>
      <c r="H2347" s="23"/>
      <c r="I2347" s="21">
        <f t="shared" si="15"/>
        <v>781.68</v>
      </c>
      <c r="J2347" s="23"/>
      <c r="K2347" s="21">
        <f t="shared" si="13"/>
        <v>204430.28</v>
      </c>
      <c r="L2347" s="23"/>
      <c r="M2347" s="21">
        <f t="shared" si="16"/>
        <v>1894.93</v>
      </c>
    </row>
    <row r="2348" ht="20.25" customHeight="1" outlineLevel="1">
      <c r="A2348" s="12"/>
      <c r="B2348" s="13"/>
      <c r="C2348" s="229"/>
      <c r="D2348" s="20"/>
      <c r="E2348" s="21">
        <f t="shared" si="1"/>
        <v>12593.22</v>
      </c>
      <c r="F2348" s="23"/>
      <c r="G2348" s="21">
        <f t="shared" si="8"/>
        <v>318539.46</v>
      </c>
      <c r="H2348" s="23"/>
      <c r="I2348" s="21">
        <f t="shared" si="15"/>
        <v>781.68</v>
      </c>
      <c r="J2348" s="23"/>
      <c r="K2348" s="21">
        <f t="shared" si="13"/>
        <v>204430.28</v>
      </c>
      <c r="L2348" s="23"/>
      <c r="M2348" s="21">
        <f t="shared" si="16"/>
        <v>1894.93</v>
      </c>
    </row>
    <row r="2349" ht="20.25" customHeight="1" outlineLevel="1">
      <c r="A2349" s="12"/>
      <c r="B2349" s="13"/>
      <c r="C2349" s="229"/>
      <c r="D2349" s="20"/>
      <c r="E2349" s="21">
        <f t="shared" si="1"/>
        <v>12593.22</v>
      </c>
      <c r="F2349" s="23"/>
      <c r="G2349" s="21">
        <f t="shared" si="8"/>
        <v>318539.46</v>
      </c>
      <c r="H2349" s="23"/>
      <c r="I2349" s="21">
        <f t="shared" si="15"/>
        <v>781.68</v>
      </c>
      <c r="J2349" s="23"/>
      <c r="K2349" s="21">
        <f t="shared" si="13"/>
        <v>204430.28</v>
      </c>
      <c r="L2349" s="23"/>
      <c r="M2349" s="21">
        <f t="shared" si="16"/>
        <v>1894.93</v>
      </c>
    </row>
    <row r="2350" ht="20.25" customHeight="1" outlineLevel="1">
      <c r="A2350" s="12"/>
      <c r="B2350" s="13"/>
      <c r="C2350" s="229"/>
      <c r="D2350" s="20"/>
      <c r="E2350" s="21">
        <f t="shared" si="1"/>
        <v>12593.22</v>
      </c>
      <c r="F2350" s="23"/>
      <c r="G2350" s="21">
        <f t="shared" si="8"/>
        <v>318539.46</v>
      </c>
      <c r="H2350" s="23"/>
      <c r="I2350" s="21">
        <f t="shared" si="15"/>
        <v>781.68</v>
      </c>
      <c r="J2350" s="23"/>
      <c r="K2350" s="21">
        <f t="shared" si="13"/>
        <v>204430.28</v>
      </c>
      <c r="L2350" s="23"/>
      <c r="M2350" s="21">
        <f t="shared" si="16"/>
        <v>1894.93</v>
      </c>
    </row>
    <row r="2351" ht="20.25" customHeight="1" outlineLevel="1">
      <c r="A2351" s="12"/>
      <c r="B2351" s="13"/>
      <c r="C2351" s="28"/>
      <c r="D2351" s="20"/>
      <c r="E2351" s="21">
        <f t="shared" si="1"/>
        <v>12593.22</v>
      </c>
      <c r="F2351" s="23"/>
      <c r="G2351" s="21">
        <f t="shared" si="8"/>
        <v>318539.46</v>
      </c>
      <c r="H2351" s="23"/>
      <c r="I2351" s="21">
        <f t="shared" si="15"/>
        <v>781.68</v>
      </c>
      <c r="J2351" s="23"/>
      <c r="K2351" s="21">
        <f t="shared" si="13"/>
        <v>204430.28</v>
      </c>
      <c r="L2351" s="23"/>
      <c r="M2351" s="21">
        <f t="shared" si="16"/>
        <v>1894.93</v>
      </c>
    </row>
    <row r="2352" ht="20.25" customHeight="1" outlineLevel="1">
      <c r="A2352" s="12"/>
      <c r="B2352" s="13"/>
      <c r="C2352" s="28"/>
      <c r="D2352" s="20"/>
      <c r="E2352" s="21">
        <f t="shared" si="1"/>
        <v>12593.22</v>
      </c>
      <c r="F2352" s="23"/>
      <c r="G2352" s="21">
        <f t="shared" si="8"/>
        <v>318539.46</v>
      </c>
      <c r="H2352" s="23"/>
      <c r="I2352" s="21">
        <f t="shared" si="15"/>
        <v>781.68</v>
      </c>
      <c r="J2352" s="23"/>
      <c r="K2352" s="21">
        <f t="shared" si="13"/>
        <v>204430.28</v>
      </c>
      <c r="L2352" s="23"/>
      <c r="M2352" s="21">
        <f t="shared" si="16"/>
        <v>1894.93</v>
      </c>
    </row>
    <row r="2353" ht="20.25" customHeight="1" outlineLevel="1">
      <c r="A2353" s="12"/>
      <c r="B2353" s="13"/>
      <c r="C2353" s="28"/>
      <c r="D2353" s="20"/>
      <c r="E2353" s="21">
        <f t="shared" si="1"/>
        <v>12593.22</v>
      </c>
      <c r="F2353" s="23"/>
      <c r="G2353" s="21">
        <f t="shared" si="8"/>
        <v>318539.46</v>
      </c>
      <c r="H2353" s="23"/>
      <c r="I2353" s="21">
        <f t="shared" si="15"/>
        <v>781.68</v>
      </c>
      <c r="J2353" s="23"/>
      <c r="K2353" s="21">
        <f t="shared" si="13"/>
        <v>204430.28</v>
      </c>
      <c r="L2353" s="23"/>
      <c r="M2353" s="21">
        <f t="shared" si="16"/>
        <v>1894.93</v>
      </c>
    </row>
    <row r="2354" ht="20.25" customHeight="1" outlineLevel="1">
      <c r="A2354" s="12"/>
      <c r="B2354" s="13"/>
      <c r="C2354" s="112"/>
      <c r="D2354" s="20"/>
      <c r="E2354" s="21">
        <f t="shared" si="1"/>
        <v>12593.22</v>
      </c>
      <c r="F2354" s="23"/>
      <c r="G2354" s="21">
        <f t="shared" si="8"/>
        <v>318539.46</v>
      </c>
      <c r="H2354" s="23"/>
      <c r="I2354" s="21">
        <f t="shared" si="15"/>
        <v>781.68</v>
      </c>
      <c r="J2354" s="23"/>
      <c r="K2354" s="21">
        <f t="shared" si="13"/>
        <v>204430.28</v>
      </c>
      <c r="L2354" s="23"/>
      <c r="M2354" s="21">
        <f t="shared" si="16"/>
        <v>1894.93</v>
      </c>
    </row>
    <row r="2355" ht="20.25" customHeight="1" outlineLevel="1">
      <c r="A2355" s="12"/>
      <c r="B2355" s="13"/>
      <c r="C2355" s="85"/>
      <c r="D2355" s="20"/>
      <c r="E2355" s="21">
        <f t="shared" si="1"/>
        <v>12593.22</v>
      </c>
      <c r="F2355" s="23"/>
      <c r="G2355" s="21">
        <f t="shared" si="8"/>
        <v>318539.46</v>
      </c>
      <c r="H2355" s="23"/>
      <c r="I2355" s="21">
        <f t="shared" si="15"/>
        <v>781.68</v>
      </c>
      <c r="J2355" s="23"/>
      <c r="K2355" s="21">
        <f t="shared" si="13"/>
        <v>204430.28</v>
      </c>
      <c r="L2355" s="23"/>
      <c r="M2355" s="21">
        <f t="shared" si="16"/>
        <v>1894.93</v>
      </c>
    </row>
    <row r="2356" ht="20.25" customHeight="1" outlineLevel="1">
      <c r="A2356" s="12"/>
      <c r="B2356" s="13"/>
      <c r="C2356" s="107"/>
      <c r="D2356" s="20"/>
      <c r="E2356" s="21">
        <f t="shared" si="1"/>
        <v>12593.22</v>
      </c>
      <c r="F2356" s="23"/>
      <c r="G2356" s="21">
        <f t="shared" si="8"/>
        <v>318539.46</v>
      </c>
      <c r="H2356" s="23"/>
      <c r="I2356" s="21">
        <f t="shared" si="15"/>
        <v>781.68</v>
      </c>
      <c r="J2356" s="23"/>
      <c r="K2356" s="21">
        <f t="shared" si="13"/>
        <v>204430.28</v>
      </c>
      <c r="L2356" s="23"/>
      <c r="M2356" s="21">
        <f t="shared" si="16"/>
        <v>1894.93</v>
      </c>
    </row>
    <row r="2357" ht="20.25" customHeight="1" outlineLevel="1">
      <c r="A2357" s="12"/>
      <c r="B2357" s="13"/>
      <c r="C2357" s="107"/>
      <c r="D2357" s="20"/>
      <c r="E2357" s="21">
        <f t="shared" si="1"/>
        <v>12593.22</v>
      </c>
      <c r="F2357" s="23"/>
      <c r="G2357" s="21">
        <f t="shared" si="8"/>
        <v>318539.46</v>
      </c>
      <c r="H2357" s="23"/>
      <c r="I2357" s="21">
        <f t="shared" si="15"/>
        <v>781.68</v>
      </c>
      <c r="J2357" s="23"/>
      <c r="K2357" s="21">
        <f t="shared" si="13"/>
        <v>204430.28</v>
      </c>
      <c r="L2357" s="23"/>
      <c r="M2357" s="21">
        <f t="shared" si="16"/>
        <v>1894.93</v>
      </c>
    </row>
    <row r="2358" ht="20.25" customHeight="1" outlineLevel="1">
      <c r="A2358" s="12"/>
      <c r="B2358" s="13"/>
      <c r="C2358" s="85"/>
      <c r="D2358" s="20"/>
      <c r="E2358" s="21">
        <f t="shared" si="1"/>
        <v>12593.22</v>
      </c>
      <c r="F2358" s="23"/>
      <c r="G2358" s="21">
        <f t="shared" si="8"/>
        <v>318539.46</v>
      </c>
      <c r="H2358" s="23"/>
      <c r="I2358" s="21">
        <f t="shared" si="15"/>
        <v>781.68</v>
      </c>
      <c r="J2358" s="23"/>
      <c r="K2358" s="21">
        <f t="shared" si="13"/>
        <v>204430.28</v>
      </c>
      <c r="L2358" s="23"/>
      <c r="M2358" s="21">
        <f t="shared" si="16"/>
        <v>1894.93</v>
      </c>
    </row>
    <row r="2359" ht="20.25" customHeight="1" outlineLevel="1">
      <c r="A2359" s="12"/>
      <c r="B2359" s="13"/>
      <c r="C2359" s="85"/>
      <c r="D2359" s="20"/>
      <c r="E2359" s="21">
        <f t="shared" si="1"/>
        <v>12593.22</v>
      </c>
      <c r="F2359" s="23"/>
      <c r="G2359" s="21">
        <f t="shared" si="8"/>
        <v>318539.46</v>
      </c>
      <c r="H2359" s="23"/>
      <c r="I2359" s="21">
        <f t="shared" si="15"/>
        <v>781.68</v>
      </c>
      <c r="J2359" s="23"/>
      <c r="K2359" s="21">
        <f t="shared" si="13"/>
        <v>204430.28</v>
      </c>
      <c r="L2359" s="23"/>
      <c r="M2359" s="21">
        <f t="shared" si="16"/>
        <v>1894.93</v>
      </c>
    </row>
    <row r="2360" ht="20.25" customHeight="1" outlineLevel="1">
      <c r="A2360" s="12"/>
      <c r="B2360" s="13"/>
      <c r="C2360" s="85"/>
      <c r="D2360" s="20"/>
      <c r="E2360" s="21">
        <f t="shared" si="1"/>
        <v>12593.22</v>
      </c>
      <c r="F2360" s="23"/>
      <c r="G2360" s="21">
        <f t="shared" si="8"/>
        <v>318539.46</v>
      </c>
      <c r="H2360" s="23"/>
      <c r="I2360" s="21">
        <f t="shared" si="15"/>
        <v>781.68</v>
      </c>
      <c r="J2360" s="23"/>
      <c r="K2360" s="21">
        <f t="shared" si="13"/>
        <v>204430.28</v>
      </c>
      <c r="L2360" s="23"/>
      <c r="M2360" s="21">
        <f t="shared" si="16"/>
        <v>1894.93</v>
      </c>
    </row>
    <row r="2361" ht="20.25" customHeight="1" outlineLevel="1">
      <c r="A2361" s="12"/>
      <c r="B2361" s="13"/>
      <c r="C2361" s="85"/>
      <c r="D2361" s="20"/>
      <c r="E2361" s="21">
        <f t="shared" si="1"/>
        <v>12593.22</v>
      </c>
      <c r="F2361" s="23"/>
      <c r="G2361" s="21">
        <f t="shared" si="8"/>
        <v>318539.46</v>
      </c>
      <c r="H2361" s="23"/>
      <c r="I2361" s="21">
        <f t="shared" si="15"/>
        <v>781.68</v>
      </c>
      <c r="J2361" s="23"/>
      <c r="K2361" s="21">
        <f t="shared" si="13"/>
        <v>204430.28</v>
      </c>
      <c r="L2361" s="23"/>
      <c r="M2361" s="21">
        <f t="shared" si="16"/>
        <v>1894.93</v>
      </c>
    </row>
    <row r="2362" ht="20.25" customHeight="1" outlineLevel="1">
      <c r="A2362" s="12"/>
      <c r="B2362" s="13"/>
      <c r="C2362" s="85"/>
      <c r="D2362" s="20"/>
      <c r="E2362" s="21">
        <f t="shared" si="1"/>
        <v>12593.22</v>
      </c>
      <c r="F2362" s="23"/>
      <c r="G2362" s="21">
        <f t="shared" si="8"/>
        <v>318539.46</v>
      </c>
      <c r="H2362" s="23"/>
      <c r="I2362" s="21">
        <f t="shared" si="15"/>
        <v>781.68</v>
      </c>
      <c r="J2362" s="23"/>
      <c r="K2362" s="21">
        <f t="shared" si="13"/>
        <v>204430.28</v>
      </c>
      <c r="L2362" s="23"/>
      <c r="M2362" s="21">
        <f t="shared" si="16"/>
        <v>1894.93</v>
      </c>
    </row>
    <row r="2363" ht="20.25" customHeight="1" outlineLevel="1">
      <c r="A2363" s="12"/>
      <c r="B2363" s="13"/>
      <c r="C2363" s="85"/>
      <c r="D2363" s="20"/>
      <c r="E2363" s="21">
        <f t="shared" si="1"/>
        <v>12593.22</v>
      </c>
      <c r="F2363" s="23"/>
      <c r="G2363" s="21">
        <f t="shared" si="8"/>
        <v>318539.46</v>
      </c>
      <c r="H2363" s="23"/>
      <c r="I2363" s="21">
        <f t="shared" si="15"/>
        <v>781.68</v>
      </c>
      <c r="J2363" s="23"/>
      <c r="K2363" s="21">
        <f t="shared" si="13"/>
        <v>204430.28</v>
      </c>
      <c r="L2363" s="23"/>
      <c r="M2363" s="21">
        <f t="shared" si="16"/>
        <v>1894.93</v>
      </c>
    </row>
    <row r="2364" ht="20.25" customHeight="1" outlineLevel="1">
      <c r="A2364" s="12"/>
      <c r="B2364" s="13"/>
      <c r="C2364" s="85"/>
      <c r="D2364" s="20"/>
      <c r="E2364" s="21">
        <f t="shared" si="1"/>
        <v>12593.22</v>
      </c>
      <c r="F2364" s="23"/>
      <c r="G2364" s="21">
        <f t="shared" si="8"/>
        <v>318539.46</v>
      </c>
      <c r="H2364" s="23"/>
      <c r="I2364" s="21">
        <f t="shared" si="15"/>
        <v>781.68</v>
      </c>
      <c r="J2364" s="23"/>
      <c r="K2364" s="21">
        <f t="shared" si="13"/>
        <v>204430.28</v>
      </c>
      <c r="L2364" s="23"/>
      <c r="M2364" s="21">
        <f t="shared" si="16"/>
        <v>1894.93</v>
      </c>
    </row>
    <row r="2365" ht="20.25" customHeight="1" outlineLevel="1">
      <c r="A2365" s="12"/>
      <c r="B2365" s="13"/>
      <c r="C2365" s="85"/>
      <c r="D2365" s="20"/>
      <c r="E2365" s="21">
        <f t="shared" si="1"/>
        <v>12593.22</v>
      </c>
      <c r="F2365" s="23"/>
      <c r="G2365" s="21">
        <f t="shared" si="8"/>
        <v>318539.46</v>
      </c>
      <c r="H2365" s="23"/>
      <c r="I2365" s="21">
        <f t="shared" si="15"/>
        <v>781.68</v>
      </c>
      <c r="J2365" s="23"/>
      <c r="K2365" s="21">
        <f t="shared" si="13"/>
        <v>204430.28</v>
      </c>
      <c r="L2365" s="23"/>
      <c r="M2365" s="21">
        <f t="shared" si="16"/>
        <v>1894.93</v>
      </c>
    </row>
    <row r="2366" ht="20.25" customHeight="1" outlineLevel="1">
      <c r="A2366" s="12"/>
      <c r="B2366" s="13"/>
      <c r="C2366" s="85"/>
      <c r="D2366" s="20"/>
      <c r="E2366" s="21">
        <f t="shared" si="1"/>
        <v>12593.22</v>
      </c>
      <c r="F2366" s="23"/>
      <c r="G2366" s="21">
        <f t="shared" si="8"/>
        <v>318539.46</v>
      </c>
      <c r="H2366" s="23"/>
      <c r="I2366" s="21">
        <f t="shared" si="15"/>
        <v>781.68</v>
      </c>
      <c r="J2366" s="23"/>
      <c r="K2366" s="21">
        <f t="shared" si="13"/>
        <v>204430.28</v>
      </c>
      <c r="L2366" s="23"/>
      <c r="M2366" s="21">
        <f t="shared" si="16"/>
        <v>1894.93</v>
      </c>
    </row>
    <row r="2367" ht="20.25" customHeight="1" outlineLevel="1">
      <c r="A2367" s="12"/>
      <c r="B2367" s="13"/>
      <c r="C2367" s="85"/>
      <c r="D2367" s="20"/>
      <c r="E2367" s="21">
        <f t="shared" si="1"/>
        <v>12593.22</v>
      </c>
      <c r="F2367" s="23"/>
      <c r="G2367" s="21">
        <f t="shared" si="8"/>
        <v>318539.46</v>
      </c>
      <c r="H2367" s="23"/>
      <c r="I2367" s="21">
        <f t="shared" si="15"/>
        <v>781.68</v>
      </c>
      <c r="J2367" s="23"/>
      <c r="K2367" s="21">
        <f t="shared" si="13"/>
        <v>204430.28</v>
      </c>
      <c r="L2367" s="23"/>
      <c r="M2367" s="21">
        <f t="shared" si="16"/>
        <v>1894.93</v>
      </c>
    </row>
    <row r="2368" ht="20.25" customHeight="1" outlineLevel="1">
      <c r="A2368" s="12"/>
      <c r="B2368" s="13"/>
      <c r="C2368" s="85"/>
      <c r="D2368" s="20"/>
      <c r="E2368" s="21">
        <f t="shared" si="1"/>
        <v>12593.22</v>
      </c>
      <c r="F2368" s="23"/>
      <c r="G2368" s="21">
        <f t="shared" si="8"/>
        <v>318539.46</v>
      </c>
      <c r="H2368" s="23"/>
      <c r="I2368" s="21">
        <f t="shared" si="15"/>
        <v>781.68</v>
      </c>
      <c r="J2368" s="23"/>
      <c r="K2368" s="21">
        <f t="shared" si="13"/>
        <v>204430.28</v>
      </c>
      <c r="L2368" s="23"/>
      <c r="M2368" s="21">
        <f t="shared" si="16"/>
        <v>1894.93</v>
      </c>
    </row>
    <row r="2369" ht="20.25" customHeight="1" outlineLevel="1">
      <c r="A2369" s="12"/>
      <c r="B2369" s="13"/>
      <c r="C2369" s="85"/>
      <c r="D2369" s="20"/>
      <c r="E2369" s="21">
        <f t="shared" si="1"/>
        <v>12593.22</v>
      </c>
      <c r="F2369" s="23"/>
      <c r="G2369" s="21">
        <f t="shared" si="8"/>
        <v>318539.46</v>
      </c>
      <c r="H2369" s="23"/>
      <c r="I2369" s="21">
        <f t="shared" si="15"/>
        <v>781.68</v>
      </c>
      <c r="J2369" s="23"/>
      <c r="K2369" s="21">
        <f t="shared" si="13"/>
        <v>204430.28</v>
      </c>
      <c r="L2369" s="23"/>
      <c r="M2369" s="21">
        <f t="shared" si="16"/>
        <v>1894.93</v>
      </c>
    </row>
    <row r="2370" ht="20.25" customHeight="1" outlineLevel="1">
      <c r="A2370" s="12"/>
      <c r="B2370" s="13"/>
      <c r="C2370" s="239"/>
      <c r="D2370" s="20"/>
      <c r="E2370" s="21">
        <f t="shared" si="1"/>
        <v>12593.22</v>
      </c>
      <c r="F2370" s="23"/>
      <c r="G2370" s="21">
        <f t="shared" si="8"/>
        <v>318539.46</v>
      </c>
      <c r="H2370" s="23"/>
      <c r="I2370" s="21">
        <f t="shared" si="15"/>
        <v>781.68</v>
      </c>
      <c r="J2370" s="23"/>
      <c r="K2370" s="21">
        <f t="shared" si="13"/>
        <v>204430.28</v>
      </c>
      <c r="L2370" s="23"/>
      <c r="M2370" s="21">
        <f t="shared" si="16"/>
        <v>1894.93</v>
      </c>
    </row>
    <row r="2371" ht="20.25" customHeight="1" outlineLevel="1">
      <c r="A2371" s="12"/>
      <c r="B2371" s="13"/>
      <c r="C2371" s="239"/>
      <c r="D2371" s="20"/>
      <c r="E2371" s="21">
        <f t="shared" si="1"/>
        <v>12593.22</v>
      </c>
      <c r="F2371" s="23"/>
      <c r="G2371" s="21">
        <f t="shared" si="8"/>
        <v>318539.46</v>
      </c>
      <c r="H2371" s="23"/>
      <c r="I2371" s="21">
        <f t="shared" si="15"/>
        <v>781.68</v>
      </c>
      <c r="J2371" s="23"/>
      <c r="K2371" s="21">
        <f t="shared" si="13"/>
        <v>204430.28</v>
      </c>
      <c r="L2371" s="23"/>
      <c r="M2371" s="21">
        <f t="shared" si="16"/>
        <v>1894.93</v>
      </c>
    </row>
    <row r="2372" ht="20.25" customHeight="1" outlineLevel="1">
      <c r="A2372" s="12"/>
      <c r="B2372" s="13"/>
      <c r="C2372" s="239"/>
      <c r="D2372" s="20"/>
      <c r="E2372" s="21">
        <f t="shared" si="1"/>
        <v>12593.22</v>
      </c>
      <c r="F2372" s="23"/>
      <c r="G2372" s="21">
        <f t="shared" si="8"/>
        <v>318539.46</v>
      </c>
      <c r="H2372" s="23"/>
      <c r="I2372" s="21">
        <f t="shared" si="15"/>
        <v>781.68</v>
      </c>
      <c r="J2372" s="23"/>
      <c r="K2372" s="21">
        <f t="shared" si="13"/>
        <v>204430.28</v>
      </c>
      <c r="L2372" s="23"/>
      <c r="M2372" s="21">
        <f t="shared" si="16"/>
        <v>1894.93</v>
      </c>
    </row>
    <row r="2373" ht="20.25" customHeight="1" outlineLevel="1">
      <c r="A2373" s="12"/>
      <c r="B2373" s="13"/>
      <c r="C2373" s="239"/>
      <c r="D2373" s="20"/>
      <c r="E2373" s="21">
        <f t="shared" si="1"/>
        <v>12593.22</v>
      </c>
      <c r="F2373" s="23"/>
      <c r="G2373" s="21">
        <f t="shared" si="8"/>
        <v>318539.46</v>
      </c>
      <c r="H2373" s="23"/>
      <c r="I2373" s="21">
        <f t="shared" si="15"/>
        <v>781.68</v>
      </c>
      <c r="J2373" s="23"/>
      <c r="K2373" s="21">
        <f t="shared" si="13"/>
        <v>204430.28</v>
      </c>
      <c r="L2373" s="23"/>
      <c r="M2373" s="21">
        <f t="shared" si="16"/>
        <v>1894.93</v>
      </c>
    </row>
    <row r="2374" ht="20.25" customHeight="1" outlineLevel="1">
      <c r="A2374" s="12"/>
      <c r="B2374" s="13"/>
      <c r="C2374" s="239"/>
      <c r="D2374" s="20"/>
      <c r="E2374" s="21">
        <f t="shared" si="1"/>
        <v>12593.22</v>
      </c>
      <c r="F2374" s="23"/>
      <c r="G2374" s="21">
        <f t="shared" si="8"/>
        <v>318539.46</v>
      </c>
      <c r="H2374" s="23"/>
      <c r="I2374" s="21">
        <f t="shared" si="15"/>
        <v>781.68</v>
      </c>
      <c r="J2374" s="23"/>
      <c r="K2374" s="21">
        <f t="shared" si="13"/>
        <v>204430.28</v>
      </c>
      <c r="L2374" s="23"/>
      <c r="M2374" s="21">
        <f t="shared" si="16"/>
        <v>1894.93</v>
      </c>
    </row>
    <row r="2375" ht="20.25" customHeight="1" outlineLevel="1">
      <c r="A2375" s="12"/>
      <c r="B2375" s="13"/>
      <c r="C2375" s="85"/>
      <c r="D2375" s="20"/>
      <c r="E2375" s="21">
        <f t="shared" si="1"/>
        <v>12593.22</v>
      </c>
      <c r="F2375" s="23"/>
      <c r="G2375" s="21">
        <f t="shared" si="8"/>
        <v>318539.46</v>
      </c>
      <c r="H2375" s="23"/>
      <c r="I2375" s="21">
        <f t="shared" si="15"/>
        <v>781.68</v>
      </c>
      <c r="J2375" s="23"/>
      <c r="K2375" s="21">
        <f t="shared" si="13"/>
        <v>204430.28</v>
      </c>
      <c r="L2375" s="23"/>
      <c r="M2375" s="21">
        <f t="shared" si="16"/>
        <v>1894.93</v>
      </c>
    </row>
    <row r="2376" ht="20.25" customHeight="1" outlineLevel="1">
      <c r="A2376" s="12"/>
      <c r="B2376" s="13"/>
      <c r="C2376" s="85"/>
      <c r="D2376" s="20"/>
      <c r="E2376" s="21">
        <f t="shared" si="1"/>
        <v>12593.22</v>
      </c>
      <c r="F2376" s="23"/>
      <c r="G2376" s="21">
        <f t="shared" si="8"/>
        <v>318539.46</v>
      </c>
      <c r="H2376" s="23"/>
      <c r="I2376" s="21">
        <f t="shared" si="15"/>
        <v>781.68</v>
      </c>
      <c r="J2376" s="23"/>
      <c r="K2376" s="21">
        <f t="shared" si="13"/>
        <v>204430.28</v>
      </c>
      <c r="L2376" s="23"/>
      <c r="M2376" s="21">
        <f t="shared" si="16"/>
        <v>1894.93</v>
      </c>
    </row>
    <row r="2377" ht="20.25" customHeight="1" outlineLevel="1">
      <c r="A2377" s="12"/>
      <c r="B2377" s="13"/>
      <c r="C2377" s="165"/>
      <c r="D2377" s="20"/>
      <c r="E2377" s="21">
        <f t="shared" si="1"/>
        <v>12593.22</v>
      </c>
      <c r="F2377" s="23"/>
      <c r="G2377" s="21">
        <f t="shared" si="8"/>
        <v>318539.46</v>
      </c>
      <c r="H2377" s="23"/>
      <c r="I2377" s="21">
        <f t="shared" si="15"/>
        <v>781.68</v>
      </c>
      <c r="J2377" s="23"/>
      <c r="K2377" s="21">
        <f t="shared" si="13"/>
        <v>204430.28</v>
      </c>
      <c r="L2377" s="23"/>
      <c r="M2377" s="21">
        <f t="shared" si="16"/>
        <v>1894.93</v>
      </c>
    </row>
    <row r="2378" ht="20.25" customHeight="1" outlineLevel="1">
      <c r="A2378" s="12"/>
      <c r="B2378" s="13"/>
      <c r="C2378" s="239"/>
      <c r="D2378" s="20"/>
      <c r="E2378" s="21">
        <f t="shared" si="1"/>
        <v>12593.22</v>
      </c>
      <c r="F2378" s="23"/>
      <c r="G2378" s="21">
        <f t="shared" si="8"/>
        <v>318539.46</v>
      </c>
      <c r="H2378" s="23"/>
      <c r="I2378" s="21">
        <f t="shared" si="15"/>
        <v>781.68</v>
      </c>
      <c r="J2378" s="23"/>
      <c r="K2378" s="21">
        <f t="shared" si="13"/>
        <v>204430.28</v>
      </c>
      <c r="L2378" s="23"/>
      <c r="M2378" s="21">
        <f t="shared" si="16"/>
        <v>1894.93</v>
      </c>
    </row>
    <row r="2379" ht="20.25" customHeight="1" outlineLevel="1">
      <c r="A2379" s="12"/>
      <c r="B2379" s="13"/>
      <c r="C2379" s="241"/>
      <c r="D2379" s="20"/>
      <c r="E2379" s="21">
        <f t="shared" si="1"/>
        <v>12593.22</v>
      </c>
      <c r="F2379" s="23"/>
      <c r="G2379" s="21">
        <f t="shared" si="8"/>
        <v>318539.46</v>
      </c>
      <c r="H2379" s="23"/>
      <c r="I2379" s="21">
        <f t="shared" si="15"/>
        <v>781.68</v>
      </c>
      <c r="J2379" s="23"/>
      <c r="K2379" s="21">
        <f t="shared" si="13"/>
        <v>204430.28</v>
      </c>
      <c r="L2379" s="23"/>
      <c r="M2379" s="21">
        <f t="shared" si="16"/>
        <v>1894.93</v>
      </c>
    </row>
    <row r="2380" ht="20.25" customHeight="1" outlineLevel="1">
      <c r="A2380" s="12"/>
      <c r="B2380" s="46"/>
      <c r="C2380" s="59"/>
      <c r="D2380" s="20"/>
      <c r="E2380" s="21">
        <f t="shared" si="1"/>
        <v>12593.22</v>
      </c>
      <c r="F2380" s="23"/>
      <c r="G2380" s="21">
        <f t="shared" si="8"/>
        <v>318539.46</v>
      </c>
      <c r="H2380" s="23"/>
      <c r="I2380" s="21">
        <f t="shared" si="15"/>
        <v>781.68</v>
      </c>
      <c r="J2380" s="23"/>
      <c r="K2380" s="21">
        <f t="shared" si="13"/>
        <v>204430.28</v>
      </c>
      <c r="L2380" s="23"/>
      <c r="M2380" s="21">
        <f t="shared" si="16"/>
        <v>1894.93</v>
      </c>
    </row>
    <row r="2381" ht="20.25" customHeight="1" outlineLevel="1">
      <c r="A2381" s="12"/>
      <c r="B2381" s="46"/>
      <c r="C2381" s="59"/>
      <c r="D2381" s="20"/>
      <c r="E2381" s="21">
        <f t="shared" si="1"/>
        <v>12593.22</v>
      </c>
      <c r="F2381" s="23"/>
      <c r="G2381" s="21">
        <f t="shared" si="8"/>
        <v>318539.46</v>
      </c>
      <c r="H2381" s="23"/>
      <c r="I2381" s="21">
        <f t="shared" si="15"/>
        <v>781.68</v>
      </c>
      <c r="J2381" s="23"/>
      <c r="K2381" s="21">
        <f t="shared" si="13"/>
        <v>204430.28</v>
      </c>
      <c r="L2381" s="23"/>
      <c r="M2381" s="21">
        <f t="shared" si="16"/>
        <v>1894.93</v>
      </c>
    </row>
    <row r="2382" ht="20.25" customHeight="1" outlineLevel="1">
      <c r="A2382" s="12"/>
      <c r="B2382" s="46"/>
      <c r="C2382" s="59"/>
      <c r="D2382" s="20"/>
      <c r="E2382" s="21">
        <f t="shared" si="1"/>
        <v>12593.22</v>
      </c>
      <c r="F2382" s="23"/>
      <c r="G2382" s="21">
        <f t="shared" si="8"/>
        <v>318539.46</v>
      </c>
      <c r="H2382" s="23"/>
      <c r="I2382" s="21">
        <f t="shared" si="15"/>
        <v>781.68</v>
      </c>
      <c r="J2382" s="23"/>
      <c r="K2382" s="21">
        <f t="shared" si="13"/>
        <v>204430.28</v>
      </c>
      <c r="L2382" s="23"/>
      <c r="M2382" s="21">
        <f t="shared" si="16"/>
        <v>1894.93</v>
      </c>
    </row>
    <row r="2383" ht="20.25" customHeight="1" outlineLevel="1">
      <c r="A2383" s="12"/>
      <c r="B2383" s="46"/>
      <c r="C2383" s="59"/>
      <c r="D2383" s="20"/>
      <c r="E2383" s="21">
        <f t="shared" si="1"/>
        <v>12593.22</v>
      </c>
      <c r="F2383" s="23"/>
      <c r="G2383" s="21">
        <f t="shared" si="8"/>
        <v>318539.46</v>
      </c>
      <c r="H2383" s="23"/>
      <c r="I2383" s="21">
        <f t="shared" si="15"/>
        <v>781.68</v>
      </c>
      <c r="J2383" s="23"/>
      <c r="K2383" s="21">
        <f t="shared" si="13"/>
        <v>204430.28</v>
      </c>
      <c r="L2383" s="23"/>
      <c r="M2383" s="21">
        <f t="shared" si="16"/>
        <v>1894.93</v>
      </c>
    </row>
    <row r="2384" ht="20.25" customHeight="1" outlineLevel="1">
      <c r="A2384" s="12"/>
      <c r="B2384" s="46"/>
      <c r="C2384" s="59"/>
      <c r="D2384" s="20"/>
      <c r="E2384" s="21">
        <f t="shared" si="1"/>
        <v>12593.22</v>
      </c>
      <c r="F2384" s="23"/>
      <c r="G2384" s="21">
        <f t="shared" si="8"/>
        <v>318539.46</v>
      </c>
      <c r="H2384" s="23"/>
      <c r="I2384" s="21">
        <f t="shared" si="15"/>
        <v>781.68</v>
      </c>
      <c r="J2384" s="23"/>
      <c r="K2384" s="21">
        <f t="shared" si="13"/>
        <v>204430.28</v>
      </c>
      <c r="L2384" s="23"/>
      <c r="M2384" s="21">
        <f t="shared" si="16"/>
        <v>1894.93</v>
      </c>
    </row>
    <row r="2385" ht="20.25" customHeight="1" outlineLevel="1">
      <c r="A2385" s="12"/>
      <c r="B2385" s="46"/>
      <c r="C2385" s="59"/>
      <c r="D2385" s="20"/>
      <c r="E2385" s="21">
        <f t="shared" si="1"/>
        <v>12593.22</v>
      </c>
      <c r="F2385" s="23"/>
      <c r="G2385" s="21">
        <f t="shared" si="8"/>
        <v>318539.46</v>
      </c>
      <c r="H2385" s="23"/>
      <c r="I2385" s="21">
        <f t="shared" si="15"/>
        <v>781.68</v>
      </c>
      <c r="J2385" s="23"/>
      <c r="K2385" s="21">
        <f t="shared" si="13"/>
        <v>204430.28</v>
      </c>
      <c r="L2385" s="23"/>
      <c r="M2385" s="21">
        <f t="shared" si="16"/>
        <v>1894.93</v>
      </c>
    </row>
    <row r="2386" ht="20.25" customHeight="1" outlineLevel="1">
      <c r="A2386" s="12"/>
      <c r="B2386" s="46"/>
      <c r="C2386" s="59"/>
      <c r="D2386" s="20"/>
      <c r="E2386" s="21">
        <f t="shared" si="1"/>
        <v>12593.22</v>
      </c>
      <c r="F2386" s="23"/>
      <c r="G2386" s="21">
        <f t="shared" si="8"/>
        <v>318539.46</v>
      </c>
      <c r="H2386" s="23"/>
      <c r="I2386" s="21">
        <f t="shared" si="15"/>
        <v>781.68</v>
      </c>
      <c r="J2386" s="23"/>
      <c r="K2386" s="21">
        <f t="shared" si="13"/>
        <v>204430.28</v>
      </c>
      <c r="L2386" s="23"/>
      <c r="M2386" s="21">
        <f t="shared" si="16"/>
        <v>1894.93</v>
      </c>
    </row>
    <row r="2387" ht="20.25" customHeight="1" outlineLevel="1">
      <c r="A2387" s="12"/>
      <c r="B2387" s="46"/>
      <c r="C2387" s="59"/>
      <c r="D2387" s="20"/>
      <c r="E2387" s="21">
        <f t="shared" si="1"/>
        <v>12593.22</v>
      </c>
      <c r="F2387" s="23"/>
      <c r="G2387" s="21">
        <f t="shared" si="8"/>
        <v>318539.46</v>
      </c>
      <c r="H2387" s="23"/>
      <c r="I2387" s="21">
        <f t="shared" si="15"/>
        <v>781.68</v>
      </c>
      <c r="J2387" s="23"/>
      <c r="K2387" s="21">
        <f t="shared" si="13"/>
        <v>204430.28</v>
      </c>
      <c r="L2387" s="23"/>
      <c r="M2387" s="21">
        <f t="shared" si="16"/>
        <v>1894.93</v>
      </c>
    </row>
    <row r="2388" ht="20.25" customHeight="1" outlineLevel="1">
      <c r="A2388" s="12"/>
      <c r="B2388" s="46"/>
      <c r="C2388" s="59"/>
      <c r="D2388" s="20"/>
      <c r="E2388" s="21">
        <f t="shared" si="1"/>
        <v>12593.22</v>
      </c>
      <c r="F2388" s="23"/>
      <c r="G2388" s="21">
        <f t="shared" si="8"/>
        <v>318539.46</v>
      </c>
      <c r="H2388" s="23"/>
      <c r="I2388" s="21">
        <f t="shared" si="15"/>
        <v>781.68</v>
      </c>
      <c r="J2388" s="23"/>
      <c r="K2388" s="21">
        <f t="shared" si="13"/>
        <v>204430.28</v>
      </c>
      <c r="L2388" s="23"/>
      <c r="M2388" s="21">
        <f t="shared" si="16"/>
        <v>1894.93</v>
      </c>
    </row>
    <row r="2389" ht="20.25" customHeight="1" outlineLevel="1">
      <c r="A2389" s="12"/>
      <c r="B2389" s="46"/>
      <c r="C2389" s="59"/>
      <c r="D2389" s="20"/>
      <c r="E2389" s="21">
        <f t="shared" si="1"/>
        <v>12593.22</v>
      </c>
      <c r="F2389" s="23"/>
      <c r="G2389" s="21">
        <f t="shared" si="8"/>
        <v>318539.46</v>
      </c>
      <c r="H2389" s="23"/>
      <c r="I2389" s="21">
        <f t="shared" si="15"/>
        <v>781.68</v>
      </c>
      <c r="J2389" s="23"/>
      <c r="K2389" s="21">
        <f t="shared" si="13"/>
        <v>204430.28</v>
      </c>
      <c r="L2389" s="23"/>
      <c r="M2389" s="21">
        <f t="shared" si="16"/>
        <v>1894.93</v>
      </c>
    </row>
    <row r="2390" ht="20.25" customHeight="1" outlineLevel="1">
      <c r="A2390" s="12"/>
      <c r="B2390" s="46"/>
      <c r="C2390" s="59"/>
      <c r="D2390" s="20"/>
      <c r="E2390" s="21">
        <f t="shared" si="1"/>
        <v>12593.22</v>
      </c>
      <c r="F2390" s="23"/>
      <c r="G2390" s="21">
        <f t="shared" si="8"/>
        <v>318539.46</v>
      </c>
      <c r="H2390" s="23"/>
      <c r="I2390" s="21">
        <f t="shared" si="15"/>
        <v>781.68</v>
      </c>
      <c r="J2390" s="23"/>
      <c r="K2390" s="21">
        <f t="shared" si="13"/>
        <v>204430.28</v>
      </c>
      <c r="L2390" s="23"/>
      <c r="M2390" s="21">
        <f t="shared" si="16"/>
        <v>1894.93</v>
      </c>
    </row>
    <row r="2391" ht="20.25" customHeight="1" outlineLevel="1">
      <c r="A2391" s="12"/>
      <c r="B2391" s="46"/>
      <c r="C2391" s="59"/>
      <c r="D2391" s="20"/>
      <c r="E2391" s="21">
        <f t="shared" si="1"/>
        <v>12593.22</v>
      </c>
      <c r="F2391" s="23"/>
      <c r="G2391" s="21">
        <f t="shared" si="8"/>
        <v>318539.46</v>
      </c>
      <c r="H2391" s="23"/>
      <c r="I2391" s="21">
        <f t="shared" si="15"/>
        <v>781.68</v>
      </c>
      <c r="J2391" s="23"/>
      <c r="K2391" s="21">
        <f t="shared" si="13"/>
        <v>204430.28</v>
      </c>
      <c r="L2391" s="23"/>
      <c r="M2391" s="21">
        <f t="shared" si="16"/>
        <v>1894.93</v>
      </c>
    </row>
    <row r="2392" ht="20.25" customHeight="1" outlineLevel="1">
      <c r="A2392" s="12"/>
      <c r="B2392" s="46"/>
      <c r="C2392" s="59"/>
      <c r="D2392" s="20"/>
      <c r="E2392" s="21">
        <f t="shared" si="1"/>
        <v>12593.22</v>
      </c>
      <c r="F2392" s="23"/>
      <c r="G2392" s="21">
        <f t="shared" si="8"/>
        <v>318539.46</v>
      </c>
      <c r="H2392" s="23"/>
      <c r="I2392" s="21">
        <f t="shared" si="15"/>
        <v>781.68</v>
      </c>
      <c r="J2392" s="23"/>
      <c r="K2392" s="21">
        <f t="shared" si="13"/>
        <v>204430.28</v>
      </c>
      <c r="L2392" s="23"/>
      <c r="M2392" s="21">
        <f t="shared" si="16"/>
        <v>1894.93</v>
      </c>
    </row>
    <row r="2393" ht="20.25" customHeight="1" outlineLevel="1">
      <c r="A2393" s="12"/>
      <c r="B2393" s="46"/>
      <c r="C2393" s="200"/>
      <c r="D2393" s="20"/>
      <c r="E2393" s="21">
        <f t="shared" si="1"/>
        <v>12593.22</v>
      </c>
      <c r="F2393" s="23"/>
      <c r="G2393" s="21">
        <f t="shared" si="8"/>
        <v>318539.46</v>
      </c>
      <c r="H2393" s="23"/>
      <c r="I2393" s="21">
        <f t="shared" si="15"/>
        <v>781.68</v>
      </c>
      <c r="J2393" s="23"/>
      <c r="K2393" s="21">
        <f t="shared" si="13"/>
        <v>204430.28</v>
      </c>
      <c r="L2393" s="23"/>
      <c r="M2393" s="21">
        <f t="shared" si="16"/>
        <v>1894.93</v>
      </c>
    </row>
    <row r="2394" ht="20.25" customHeight="1" outlineLevel="1">
      <c r="A2394" s="12"/>
      <c r="B2394" s="46"/>
      <c r="C2394" s="59"/>
      <c r="D2394" s="20"/>
      <c r="E2394" s="21">
        <f t="shared" si="1"/>
        <v>12593.22</v>
      </c>
      <c r="F2394" s="23"/>
      <c r="G2394" s="21">
        <f t="shared" si="8"/>
        <v>318539.46</v>
      </c>
      <c r="H2394" s="23"/>
      <c r="I2394" s="21">
        <f t="shared" si="15"/>
        <v>781.68</v>
      </c>
      <c r="J2394" s="23"/>
      <c r="K2394" s="21">
        <f t="shared" si="13"/>
        <v>204430.28</v>
      </c>
      <c r="L2394" s="23"/>
      <c r="M2394" s="21">
        <f t="shared" si="16"/>
        <v>1894.93</v>
      </c>
    </row>
    <row r="2395" ht="20.25" customHeight="1" outlineLevel="1">
      <c r="A2395" s="12"/>
      <c r="B2395" s="46"/>
      <c r="C2395" s="59"/>
      <c r="D2395" s="20"/>
      <c r="E2395" s="21">
        <f t="shared" si="1"/>
        <v>12593.22</v>
      </c>
      <c r="F2395" s="23"/>
      <c r="G2395" s="21">
        <f t="shared" si="8"/>
        <v>318539.46</v>
      </c>
      <c r="H2395" s="23"/>
      <c r="I2395" s="21">
        <f t="shared" si="15"/>
        <v>781.68</v>
      </c>
      <c r="J2395" s="23"/>
      <c r="K2395" s="21">
        <f t="shared" si="13"/>
        <v>204430.28</v>
      </c>
      <c r="L2395" s="23"/>
      <c r="M2395" s="21">
        <f t="shared" si="16"/>
        <v>1894.93</v>
      </c>
    </row>
    <row r="2396" ht="20.25" customHeight="1" outlineLevel="1">
      <c r="A2396" s="12"/>
      <c r="B2396" s="13"/>
      <c r="C2396" s="28"/>
      <c r="D2396" s="20"/>
      <c r="E2396" s="21">
        <f t="shared" si="1"/>
        <v>12593.22</v>
      </c>
      <c r="F2396" s="23"/>
      <c r="G2396" s="21">
        <f t="shared" si="8"/>
        <v>318539.46</v>
      </c>
      <c r="H2396" s="23"/>
      <c r="I2396" s="21">
        <f t="shared" si="15"/>
        <v>781.68</v>
      </c>
      <c r="J2396" s="23"/>
      <c r="K2396" s="21">
        <f t="shared" si="13"/>
        <v>204430.28</v>
      </c>
      <c r="L2396" s="23"/>
      <c r="M2396" s="21">
        <f t="shared" si="16"/>
        <v>1894.93</v>
      </c>
    </row>
    <row r="2397" ht="20.25" customHeight="1" outlineLevel="1">
      <c r="A2397" s="12"/>
      <c r="B2397" s="13"/>
      <c r="C2397" s="42"/>
      <c r="D2397" s="20"/>
      <c r="E2397" s="21">
        <f t="shared" si="1"/>
        <v>12593.22</v>
      </c>
      <c r="F2397" s="23"/>
      <c r="G2397" s="21">
        <f t="shared" si="8"/>
        <v>318539.46</v>
      </c>
      <c r="H2397" s="23"/>
      <c r="I2397" s="21">
        <f t="shared" si="15"/>
        <v>781.68</v>
      </c>
      <c r="J2397" s="23"/>
      <c r="K2397" s="21">
        <f t="shared" si="13"/>
        <v>204430.28</v>
      </c>
      <c r="L2397" s="23"/>
      <c r="M2397" s="21">
        <f t="shared" si="16"/>
        <v>1894.93</v>
      </c>
    </row>
    <row r="2398" ht="20.25" customHeight="1" outlineLevel="1">
      <c r="A2398" s="12"/>
      <c r="B2398" s="13"/>
      <c r="C2398" s="42"/>
      <c r="D2398" s="20"/>
      <c r="E2398" s="21">
        <f t="shared" si="1"/>
        <v>12593.22</v>
      </c>
      <c r="F2398" s="23"/>
      <c r="G2398" s="21">
        <f t="shared" si="8"/>
        <v>318539.46</v>
      </c>
      <c r="H2398" s="23"/>
      <c r="I2398" s="21">
        <f t="shared" si="15"/>
        <v>781.68</v>
      </c>
      <c r="J2398" s="23"/>
      <c r="K2398" s="21">
        <f t="shared" si="13"/>
        <v>204430.28</v>
      </c>
      <c r="L2398" s="23"/>
      <c r="M2398" s="21">
        <f t="shared" si="16"/>
        <v>1894.93</v>
      </c>
    </row>
    <row r="2399" ht="20.25" customHeight="1" outlineLevel="1">
      <c r="A2399" s="12"/>
      <c r="B2399" s="13"/>
      <c r="C2399" s="70"/>
      <c r="D2399" s="20"/>
      <c r="E2399" s="21">
        <f t="shared" si="1"/>
        <v>12593.22</v>
      </c>
      <c r="F2399" s="23"/>
      <c r="G2399" s="21">
        <f t="shared" si="8"/>
        <v>318539.46</v>
      </c>
      <c r="H2399" s="23"/>
      <c r="I2399" s="21">
        <f t="shared" si="15"/>
        <v>781.68</v>
      </c>
      <c r="J2399" s="23"/>
      <c r="K2399" s="21">
        <f t="shared" si="13"/>
        <v>204430.28</v>
      </c>
      <c r="L2399" s="23"/>
      <c r="M2399" s="21">
        <f t="shared" si="16"/>
        <v>1894.93</v>
      </c>
    </row>
    <row r="2400" ht="20.25" customHeight="1" outlineLevel="1">
      <c r="A2400" s="12"/>
      <c r="B2400" s="13"/>
      <c r="C2400" s="225"/>
      <c r="D2400" s="20"/>
      <c r="E2400" s="21">
        <f t="shared" si="1"/>
        <v>12593.22</v>
      </c>
      <c r="F2400" s="23"/>
      <c r="G2400" s="21">
        <f t="shared" si="8"/>
        <v>318539.46</v>
      </c>
      <c r="H2400" s="23"/>
      <c r="I2400" s="21">
        <f t="shared" si="15"/>
        <v>781.68</v>
      </c>
      <c r="J2400" s="23"/>
      <c r="K2400" s="21">
        <f t="shared" si="13"/>
        <v>204430.28</v>
      </c>
      <c r="L2400" s="23"/>
      <c r="M2400" s="21">
        <f t="shared" si="16"/>
        <v>1894.93</v>
      </c>
    </row>
    <row r="2401" ht="20.25" customHeight="1" outlineLevel="1">
      <c r="A2401" s="12"/>
      <c r="B2401" s="13"/>
      <c r="C2401" s="225"/>
      <c r="D2401" s="20"/>
      <c r="E2401" s="21">
        <f t="shared" si="1"/>
        <v>12593.22</v>
      </c>
      <c r="F2401" s="23"/>
      <c r="G2401" s="21">
        <f t="shared" si="8"/>
        <v>318539.46</v>
      </c>
      <c r="H2401" s="23"/>
      <c r="I2401" s="21">
        <f t="shared" si="15"/>
        <v>781.68</v>
      </c>
      <c r="J2401" s="23"/>
      <c r="K2401" s="21">
        <f t="shared" si="13"/>
        <v>204430.28</v>
      </c>
      <c r="L2401" s="23"/>
      <c r="M2401" s="21">
        <f t="shared" si="16"/>
        <v>1894.93</v>
      </c>
    </row>
    <row r="2402" ht="20.25" customHeight="1" outlineLevel="1">
      <c r="A2402" s="12"/>
      <c r="B2402" s="13"/>
      <c r="C2402" s="225"/>
      <c r="D2402" s="20"/>
      <c r="E2402" s="21">
        <f t="shared" si="1"/>
        <v>12593.22</v>
      </c>
      <c r="F2402" s="23"/>
      <c r="G2402" s="21">
        <f t="shared" si="8"/>
        <v>318539.46</v>
      </c>
      <c r="H2402" s="23"/>
      <c r="I2402" s="21">
        <f t="shared" si="15"/>
        <v>781.68</v>
      </c>
      <c r="J2402" s="23"/>
      <c r="K2402" s="21">
        <f t="shared" si="13"/>
        <v>204430.28</v>
      </c>
      <c r="L2402" s="23"/>
      <c r="M2402" s="21">
        <f t="shared" si="16"/>
        <v>1894.93</v>
      </c>
    </row>
    <row r="2403" ht="20.25" customHeight="1" outlineLevel="1">
      <c r="A2403" s="12"/>
      <c r="B2403" s="13"/>
      <c r="C2403" s="229"/>
      <c r="D2403" s="20"/>
      <c r="E2403" s="21">
        <f t="shared" si="1"/>
        <v>12593.22</v>
      </c>
      <c r="F2403" s="23"/>
      <c r="G2403" s="21">
        <f t="shared" si="8"/>
        <v>318539.46</v>
      </c>
      <c r="H2403" s="23"/>
      <c r="I2403" s="21">
        <f t="shared" si="15"/>
        <v>781.68</v>
      </c>
      <c r="J2403" s="23"/>
      <c r="K2403" s="21">
        <f t="shared" si="13"/>
        <v>204430.28</v>
      </c>
      <c r="L2403" s="23"/>
      <c r="M2403" s="21">
        <f t="shared" si="16"/>
        <v>1894.93</v>
      </c>
    </row>
    <row r="2404" ht="20.25" customHeight="1" outlineLevel="1">
      <c r="A2404" s="12"/>
      <c r="B2404" s="13"/>
      <c r="C2404" s="229"/>
      <c r="D2404" s="20"/>
      <c r="E2404" s="21">
        <f t="shared" si="1"/>
        <v>12593.22</v>
      </c>
      <c r="F2404" s="23"/>
      <c r="G2404" s="21">
        <f t="shared" si="8"/>
        <v>318539.46</v>
      </c>
      <c r="H2404" s="23"/>
      <c r="I2404" s="21">
        <f t="shared" si="15"/>
        <v>781.68</v>
      </c>
      <c r="J2404" s="23"/>
      <c r="K2404" s="21">
        <f t="shared" si="13"/>
        <v>204430.28</v>
      </c>
      <c r="L2404" s="23"/>
      <c r="M2404" s="21">
        <f t="shared" si="16"/>
        <v>1894.93</v>
      </c>
    </row>
    <row r="2405" ht="20.25" customHeight="1" outlineLevel="1">
      <c r="A2405" s="12"/>
      <c r="B2405" s="13"/>
      <c r="C2405" s="225"/>
      <c r="D2405" s="20"/>
      <c r="E2405" s="21">
        <f t="shared" si="1"/>
        <v>12593.22</v>
      </c>
      <c r="F2405" s="23"/>
      <c r="G2405" s="21">
        <f t="shared" si="8"/>
        <v>318539.46</v>
      </c>
      <c r="H2405" s="23"/>
      <c r="I2405" s="21">
        <f t="shared" si="15"/>
        <v>781.68</v>
      </c>
      <c r="J2405" s="23"/>
      <c r="K2405" s="21">
        <f t="shared" si="13"/>
        <v>204430.28</v>
      </c>
      <c r="L2405" s="23"/>
      <c r="M2405" s="21">
        <f t="shared" si="16"/>
        <v>1894.93</v>
      </c>
    </row>
    <row r="2406" ht="20.25" customHeight="1" outlineLevel="1">
      <c r="A2406" s="12"/>
      <c r="B2406" s="13"/>
      <c r="C2406" s="225"/>
      <c r="D2406" s="20"/>
      <c r="E2406" s="21">
        <f t="shared" si="1"/>
        <v>12593.22</v>
      </c>
      <c r="F2406" s="23"/>
      <c r="G2406" s="21">
        <f t="shared" si="8"/>
        <v>318539.46</v>
      </c>
      <c r="H2406" s="23"/>
      <c r="I2406" s="21">
        <f t="shared" si="15"/>
        <v>781.68</v>
      </c>
      <c r="J2406" s="23"/>
      <c r="K2406" s="21">
        <f t="shared" si="13"/>
        <v>204430.28</v>
      </c>
      <c r="L2406" s="23"/>
      <c r="M2406" s="21">
        <f t="shared" si="16"/>
        <v>1894.93</v>
      </c>
    </row>
    <row r="2407" ht="20.25" customHeight="1" outlineLevel="1">
      <c r="A2407" s="12"/>
      <c r="B2407" s="13"/>
      <c r="C2407" s="28"/>
      <c r="D2407" s="20"/>
      <c r="E2407" s="21">
        <f t="shared" si="1"/>
        <v>12593.22</v>
      </c>
      <c r="F2407" s="23"/>
      <c r="G2407" s="21">
        <f t="shared" si="8"/>
        <v>318539.46</v>
      </c>
      <c r="H2407" s="23"/>
      <c r="I2407" s="21">
        <f t="shared" si="15"/>
        <v>781.68</v>
      </c>
      <c r="J2407" s="23"/>
      <c r="K2407" s="21">
        <f t="shared" si="13"/>
        <v>204430.28</v>
      </c>
      <c r="L2407" s="23"/>
      <c r="M2407" s="21">
        <f t="shared" si="16"/>
        <v>1894.93</v>
      </c>
    </row>
    <row r="2408" ht="20.25" customHeight="1" outlineLevel="1">
      <c r="A2408" s="12"/>
      <c r="B2408" s="13"/>
      <c r="C2408" s="28"/>
      <c r="D2408" s="20"/>
      <c r="E2408" s="21">
        <f t="shared" si="1"/>
        <v>12593.22</v>
      </c>
      <c r="F2408" s="23"/>
      <c r="G2408" s="21">
        <f t="shared" si="8"/>
        <v>318539.46</v>
      </c>
      <c r="H2408" s="23"/>
      <c r="I2408" s="21">
        <f t="shared" si="15"/>
        <v>781.68</v>
      </c>
      <c r="J2408" s="23"/>
      <c r="K2408" s="21">
        <f t="shared" si="13"/>
        <v>204430.28</v>
      </c>
      <c r="L2408" s="23"/>
      <c r="M2408" s="21">
        <f t="shared" si="16"/>
        <v>1894.93</v>
      </c>
    </row>
    <row r="2409" ht="20.25" customHeight="1" outlineLevel="1">
      <c r="A2409" s="12"/>
      <c r="B2409" s="13"/>
      <c r="C2409" s="28"/>
      <c r="D2409" s="20"/>
      <c r="E2409" s="21">
        <f t="shared" si="1"/>
        <v>12593.22</v>
      </c>
      <c r="F2409" s="23"/>
      <c r="G2409" s="21">
        <f t="shared" si="8"/>
        <v>318539.46</v>
      </c>
      <c r="H2409" s="23"/>
      <c r="I2409" s="21">
        <f t="shared" si="15"/>
        <v>781.68</v>
      </c>
      <c r="J2409" s="23"/>
      <c r="K2409" s="21">
        <f t="shared" si="13"/>
        <v>204430.28</v>
      </c>
      <c r="L2409" s="23"/>
      <c r="M2409" s="21">
        <f t="shared" si="16"/>
        <v>1894.93</v>
      </c>
    </row>
    <row r="2410" ht="20.25" customHeight="1" outlineLevel="1">
      <c r="A2410" s="12"/>
      <c r="B2410" s="13"/>
      <c r="C2410" s="28"/>
      <c r="D2410" s="20"/>
      <c r="E2410" s="21">
        <f t="shared" si="1"/>
        <v>12593.22</v>
      </c>
      <c r="F2410" s="23"/>
      <c r="G2410" s="21">
        <f t="shared" si="8"/>
        <v>318539.46</v>
      </c>
      <c r="H2410" s="23"/>
      <c r="I2410" s="21">
        <f t="shared" si="15"/>
        <v>781.68</v>
      </c>
      <c r="J2410" s="23"/>
      <c r="K2410" s="21">
        <f t="shared" si="13"/>
        <v>204430.28</v>
      </c>
      <c r="L2410" s="23"/>
      <c r="M2410" s="21">
        <f t="shared" si="16"/>
        <v>1894.93</v>
      </c>
    </row>
    <row r="2411" ht="20.25" customHeight="1" outlineLevel="1">
      <c r="A2411" s="12"/>
      <c r="B2411" s="13"/>
      <c r="C2411" s="28"/>
      <c r="D2411" s="20"/>
      <c r="E2411" s="21">
        <f t="shared" si="1"/>
        <v>12593.22</v>
      </c>
      <c r="F2411" s="23"/>
      <c r="G2411" s="21">
        <f t="shared" si="8"/>
        <v>318539.46</v>
      </c>
      <c r="H2411" s="23"/>
      <c r="I2411" s="21">
        <f t="shared" si="15"/>
        <v>781.68</v>
      </c>
      <c r="J2411" s="23"/>
      <c r="K2411" s="21">
        <f t="shared" si="13"/>
        <v>204430.28</v>
      </c>
      <c r="L2411" s="23"/>
      <c r="M2411" s="21">
        <f t="shared" si="16"/>
        <v>1894.93</v>
      </c>
    </row>
    <row r="2412" ht="20.25" customHeight="1" outlineLevel="1">
      <c r="A2412" s="12"/>
      <c r="B2412" s="13"/>
      <c r="C2412" s="42"/>
      <c r="D2412" s="20"/>
      <c r="E2412" s="21">
        <f t="shared" si="1"/>
        <v>12593.22</v>
      </c>
      <c r="F2412" s="23"/>
      <c r="G2412" s="21">
        <f t="shared" si="8"/>
        <v>318539.46</v>
      </c>
      <c r="H2412" s="23"/>
      <c r="I2412" s="21">
        <f t="shared" si="15"/>
        <v>781.68</v>
      </c>
      <c r="J2412" s="23"/>
      <c r="K2412" s="21">
        <f t="shared" si="13"/>
        <v>204430.28</v>
      </c>
      <c r="L2412" s="23"/>
      <c r="M2412" s="21">
        <f t="shared" si="16"/>
        <v>1894.93</v>
      </c>
    </row>
    <row r="2413" ht="20.25" customHeight="1" outlineLevel="1">
      <c r="A2413" s="12"/>
      <c r="B2413" s="13"/>
      <c r="C2413" s="42"/>
      <c r="D2413" s="20"/>
      <c r="E2413" s="21">
        <f t="shared" si="1"/>
        <v>12593.22</v>
      </c>
      <c r="F2413" s="23"/>
      <c r="G2413" s="21">
        <f t="shared" si="8"/>
        <v>318539.46</v>
      </c>
      <c r="H2413" s="23"/>
      <c r="I2413" s="21">
        <f t="shared" si="15"/>
        <v>781.68</v>
      </c>
      <c r="J2413" s="23"/>
      <c r="K2413" s="21">
        <f t="shared" si="13"/>
        <v>204430.28</v>
      </c>
      <c r="L2413" s="23"/>
      <c r="M2413" s="21">
        <f t="shared" si="16"/>
        <v>1894.93</v>
      </c>
    </row>
    <row r="2414" ht="20.25" customHeight="1" outlineLevel="1">
      <c r="A2414" s="12"/>
      <c r="B2414" s="13"/>
      <c r="C2414" s="42"/>
      <c r="D2414" s="20"/>
      <c r="E2414" s="21">
        <f t="shared" si="1"/>
        <v>12593.22</v>
      </c>
      <c r="F2414" s="23"/>
      <c r="G2414" s="21">
        <f t="shared" si="8"/>
        <v>318539.46</v>
      </c>
      <c r="H2414" s="23"/>
      <c r="I2414" s="21">
        <f t="shared" si="15"/>
        <v>781.68</v>
      </c>
      <c r="J2414" s="23"/>
      <c r="K2414" s="21">
        <f t="shared" si="13"/>
        <v>204430.28</v>
      </c>
      <c r="L2414" s="23"/>
      <c r="M2414" s="21">
        <f t="shared" si="16"/>
        <v>1894.93</v>
      </c>
    </row>
    <row r="2415" ht="20.25" customHeight="1" outlineLevel="1">
      <c r="A2415" s="12"/>
      <c r="B2415" s="13"/>
      <c r="C2415" s="42"/>
      <c r="D2415" s="20"/>
      <c r="E2415" s="21">
        <f t="shared" si="1"/>
        <v>12593.22</v>
      </c>
      <c r="F2415" s="23"/>
      <c r="G2415" s="21">
        <f t="shared" si="8"/>
        <v>318539.46</v>
      </c>
      <c r="H2415" s="23"/>
      <c r="I2415" s="21">
        <f t="shared" si="15"/>
        <v>781.68</v>
      </c>
      <c r="J2415" s="23"/>
      <c r="K2415" s="21">
        <f t="shared" si="13"/>
        <v>204430.28</v>
      </c>
      <c r="L2415" s="23"/>
      <c r="M2415" s="21">
        <f t="shared" si="16"/>
        <v>1894.93</v>
      </c>
    </row>
    <row r="2416" ht="20.25" customHeight="1" outlineLevel="1">
      <c r="A2416" s="12"/>
      <c r="B2416" s="13"/>
      <c r="C2416" s="28"/>
      <c r="D2416" s="20"/>
      <c r="E2416" s="21">
        <f t="shared" si="1"/>
        <v>12593.22</v>
      </c>
      <c r="F2416" s="23"/>
      <c r="G2416" s="21">
        <f t="shared" si="8"/>
        <v>318539.46</v>
      </c>
      <c r="H2416" s="23"/>
      <c r="I2416" s="21">
        <f t="shared" si="15"/>
        <v>781.68</v>
      </c>
      <c r="J2416" s="23"/>
      <c r="K2416" s="21">
        <f t="shared" si="13"/>
        <v>204430.28</v>
      </c>
      <c r="L2416" s="23"/>
      <c r="M2416" s="21">
        <f t="shared" si="16"/>
        <v>1894.93</v>
      </c>
    </row>
    <row r="2417" ht="20.25" customHeight="1" outlineLevel="1">
      <c r="A2417" s="12"/>
      <c r="B2417" s="13"/>
      <c r="C2417" s="28"/>
      <c r="D2417" s="20"/>
      <c r="E2417" s="21">
        <f t="shared" si="1"/>
        <v>12593.22</v>
      </c>
      <c r="F2417" s="23"/>
      <c r="G2417" s="21">
        <f t="shared" si="8"/>
        <v>318539.46</v>
      </c>
      <c r="H2417" s="23"/>
      <c r="I2417" s="21">
        <f t="shared" si="15"/>
        <v>781.68</v>
      </c>
      <c r="J2417" s="23"/>
      <c r="K2417" s="21">
        <f t="shared" si="13"/>
        <v>204430.28</v>
      </c>
      <c r="L2417" s="23"/>
      <c r="M2417" s="21">
        <f t="shared" si="16"/>
        <v>1894.93</v>
      </c>
    </row>
    <row r="2418" ht="20.25" customHeight="1" outlineLevel="1">
      <c r="A2418" s="12"/>
      <c r="B2418" s="13"/>
      <c r="C2418" s="28"/>
      <c r="D2418" s="20"/>
      <c r="E2418" s="21">
        <f t="shared" si="1"/>
        <v>12593.22</v>
      </c>
      <c r="F2418" s="23"/>
      <c r="G2418" s="21">
        <f t="shared" si="8"/>
        <v>318539.46</v>
      </c>
      <c r="H2418" s="23"/>
      <c r="I2418" s="21">
        <f t="shared" si="15"/>
        <v>781.68</v>
      </c>
      <c r="J2418" s="23"/>
      <c r="K2418" s="21">
        <f t="shared" si="13"/>
        <v>204430.28</v>
      </c>
      <c r="L2418" s="23"/>
      <c r="M2418" s="21">
        <f t="shared" si="16"/>
        <v>1894.93</v>
      </c>
    </row>
    <row r="2419" ht="20.25" customHeight="1" outlineLevel="1">
      <c r="A2419" s="12"/>
      <c r="B2419" s="13"/>
      <c r="C2419" s="42"/>
      <c r="D2419" s="20"/>
      <c r="E2419" s="21">
        <f t="shared" si="1"/>
        <v>12593.22</v>
      </c>
      <c r="F2419" s="23"/>
      <c r="G2419" s="21">
        <f t="shared" si="8"/>
        <v>318539.46</v>
      </c>
      <c r="H2419" s="23"/>
      <c r="I2419" s="21">
        <f t="shared" si="15"/>
        <v>781.68</v>
      </c>
      <c r="J2419" s="23"/>
      <c r="K2419" s="21">
        <f t="shared" si="13"/>
        <v>204430.28</v>
      </c>
      <c r="L2419" s="23"/>
      <c r="M2419" s="21">
        <f t="shared" si="16"/>
        <v>1894.93</v>
      </c>
    </row>
    <row r="2420" ht="20.25" customHeight="1" outlineLevel="1">
      <c r="A2420" s="12"/>
      <c r="B2420" s="13"/>
      <c r="C2420" s="42"/>
      <c r="D2420" s="20"/>
      <c r="E2420" s="21">
        <f t="shared" si="1"/>
        <v>12593.22</v>
      </c>
      <c r="F2420" s="23"/>
      <c r="G2420" s="21">
        <f t="shared" si="8"/>
        <v>318539.46</v>
      </c>
      <c r="H2420" s="23"/>
      <c r="I2420" s="21">
        <f t="shared" si="15"/>
        <v>781.68</v>
      </c>
      <c r="J2420" s="23"/>
      <c r="K2420" s="21">
        <f t="shared" si="13"/>
        <v>204430.28</v>
      </c>
      <c r="L2420" s="23"/>
      <c r="M2420" s="21">
        <f t="shared" si="16"/>
        <v>1894.93</v>
      </c>
    </row>
    <row r="2421" ht="20.25" customHeight="1" outlineLevel="1">
      <c r="A2421" s="12"/>
      <c r="B2421" s="13"/>
      <c r="C2421" s="42"/>
      <c r="D2421" s="20"/>
      <c r="E2421" s="21">
        <f t="shared" si="1"/>
        <v>12593.22</v>
      </c>
      <c r="F2421" s="23"/>
      <c r="G2421" s="21">
        <f t="shared" si="8"/>
        <v>318539.46</v>
      </c>
      <c r="H2421" s="23"/>
      <c r="I2421" s="21">
        <f t="shared" si="15"/>
        <v>781.68</v>
      </c>
      <c r="J2421" s="23"/>
      <c r="K2421" s="21">
        <f t="shared" si="13"/>
        <v>204430.28</v>
      </c>
      <c r="L2421" s="23"/>
      <c r="M2421" s="21">
        <f t="shared" si="16"/>
        <v>1894.93</v>
      </c>
    </row>
    <row r="2422" ht="20.25" customHeight="1" outlineLevel="1">
      <c r="A2422" s="12"/>
      <c r="B2422" s="13"/>
      <c r="C2422" s="229"/>
      <c r="D2422" s="20"/>
      <c r="E2422" s="21">
        <f t="shared" si="1"/>
        <v>12593.22</v>
      </c>
      <c r="F2422" s="23"/>
      <c r="G2422" s="21">
        <f t="shared" si="8"/>
        <v>318539.46</v>
      </c>
      <c r="H2422" s="23"/>
      <c r="I2422" s="21">
        <f t="shared" si="15"/>
        <v>781.68</v>
      </c>
      <c r="J2422" s="23"/>
      <c r="K2422" s="21">
        <f t="shared" si="13"/>
        <v>204430.28</v>
      </c>
      <c r="L2422" s="23"/>
      <c r="M2422" s="21">
        <f t="shared" si="16"/>
        <v>1894.93</v>
      </c>
    </row>
    <row r="2423" ht="20.25" customHeight="1" outlineLevel="1">
      <c r="A2423" s="12"/>
      <c r="B2423" s="13"/>
      <c r="C2423" s="229"/>
      <c r="D2423" s="20"/>
      <c r="E2423" s="21">
        <f t="shared" si="1"/>
        <v>12593.22</v>
      </c>
      <c r="F2423" s="23"/>
      <c r="G2423" s="21">
        <f t="shared" si="8"/>
        <v>318539.46</v>
      </c>
      <c r="H2423" s="23"/>
      <c r="I2423" s="21">
        <f t="shared" si="15"/>
        <v>781.68</v>
      </c>
      <c r="J2423" s="23"/>
      <c r="K2423" s="21">
        <f t="shared" si="13"/>
        <v>204430.28</v>
      </c>
      <c r="L2423" s="23"/>
      <c r="M2423" s="21">
        <f t="shared" si="16"/>
        <v>1894.93</v>
      </c>
    </row>
    <row r="2424" ht="20.25" customHeight="1" outlineLevel="1">
      <c r="A2424" s="12"/>
      <c r="B2424" s="13"/>
      <c r="C2424" s="229"/>
      <c r="D2424" s="20"/>
      <c r="E2424" s="21">
        <f t="shared" si="1"/>
        <v>12593.22</v>
      </c>
      <c r="F2424" s="23"/>
      <c r="G2424" s="21">
        <f t="shared" si="8"/>
        <v>318539.46</v>
      </c>
      <c r="H2424" s="23"/>
      <c r="I2424" s="21">
        <f t="shared" si="15"/>
        <v>781.68</v>
      </c>
      <c r="J2424" s="23"/>
      <c r="K2424" s="21">
        <f t="shared" si="13"/>
        <v>204430.28</v>
      </c>
      <c r="L2424" s="23"/>
      <c r="M2424" s="21">
        <f t="shared" si="16"/>
        <v>1894.93</v>
      </c>
    </row>
    <row r="2425" ht="20.25" customHeight="1" outlineLevel="1">
      <c r="A2425" s="12"/>
      <c r="B2425" s="13"/>
      <c r="C2425" s="229"/>
      <c r="D2425" s="20"/>
      <c r="E2425" s="21">
        <f t="shared" si="1"/>
        <v>12593.22</v>
      </c>
      <c r="F2425" s="23"/>
      <c r="G2425" s="21">
        <f t="shared" si="8"/>
        <v>318539.46</v>
      </c>
      <c r="H2425" s="23"/>
      <c r="I2425" s="21">
        <f t="shared" si="15"/>
        <v>781.68</v>
      </c>
      <c r="J2425" s="23"/>
      <c r="K2425" s="21">
        <f t="shared" si="13"/>
        <v>204430.28</v>
      </c>
      <c r="L2425" s="23"/>
      <c r="M2425" s="21">
        <f t="shared" si="16"/>
        <v>1894.93</v>
      </c>
    </row>
    <row r="2426" ht="20.25" customHeight="1" outlineLevel="1">
      <c r="A2426" s="12"/>
      <c r="B2426" s="13"/>
      <c r="C2426" s="242"/>
      <c r="D2426" s="20"/>
      <c r="E2426" s="21">
        <f t="shared" si="1"/>
        <v>12593.22</v>
      </c>
      <c r="F2426" s="23"/>
      <c r="G2426" s="21">
        <f t="shared" si="8"/>
        <v>318539.46</v>
      </c>
      <c r="H2426" s="23"/>
      <c r="I2426" s="21">
        <f t="shared" si="15"/>
        <v>781.68</v>
      </c>
      <c r="J2426" s="23"/>
      <c r="K2426" s="21">
        <f t="shared" si="13"/>
        <v>204430.28</v>
      </c>
      <c r="L2426" s="23"/>
      <c r="M2426" s="21">
        <f t="shared" si="16"/>
        <v>1894.93</v>
      </c>
    </row>
    <row r="2427" ht="20.25" customHeight="1" outlineLevel="1">
      <c r="A2427" s="12"/>
      <c r="B2427" s="13"/>
      <c r="C2427" s="239"/>
      <c r="D2427" s="20"/>
      <c r="E2427" s="21">
        <f t="shared" si="1"/>
        <v>12593.22</v>
      </c>
      <c r="F2427" s="23"/>
      <c r="G2427" s="21">
        <f t="shared" si="8"/>
        <v>318539.46</v>
      </c>
      <c r="H2427" s="23"/>
      <c r="I2427" s="21">
        <f t="shared" si="15"/>
        <v>781.68</v>
      </c>
      <c r="J2427" s="23"/>
      <c r="K2427" s="21">
        <f t="shared" si="13"/>
        <v>204430.28</v>
      </c>
      <c r="L2427" s="23"/>
      <c r="M2427" s="21">
        <f t="shared" si="16"/>
        <v>1894.93</v>
      </c>
    </row>
    <row r="2428" ht="20.25" customHeight="1" outlineLevel="1">
      <c r="A2428" s="12"/>
      <c r="B2428" s="13"/>
      <c r="C2428" s="239"/>
      <c r="D2428" s="20"/>
      <c r="E2428" s="21">
        <f t="shared" si="1"/>
        <v>12593.22</v>
      </c>
      <c r="F2428" s="23"/>
      <c r="G2428" s="21">
        <f t="shared" si="8"/>
        <v>318539.46</v>
      </c>
      <c r="H2428" s="23"/>
      <c r="I2428" s="21">
        <f t="shared" si="15"/>
        <v>781.68</v>
      </c>
      <c r="J2428" s="23"/>
      <c r="K2428" s="21">
        <f t="shared" si="13"/>
        <v>204430.28</v>
      </c>
      <c r="L2428" s="23"/>
      <c r="M2428" s="21">
        <f t="shared" si="16"/>
        <v>1894.93</v>
      </c>
    </row>
    <row r="2429" ht="20.25" customHeight="1" outlineLevel="1">
      <c r="A2429" s="12"/>
      <c r="B2429" s="13"/>
      <c r="C2429" s="239"/>
      <c r="D2429" s="20"/>
      <c r="E2429" s="21">
        <f t="shared" si="1"/>
        <v>12593.22</v>
      </c>
      <c r="F2429" s="23"/>
      <c r="G2429" s="21">
        <f t="shared" si="8"/>
        <v>318539.46</v>
      </c>
      <c r="H2429" s="23"/>
      <c r="I2429" s="21">
        <f t="shared" si="15"/>
        <v>781.68</v>
      </c>
      <c r="J2429" s="23"/>
      <c r="K2429" s="21">
        <f t="shared" si="13"/>
        <v>204430.28</v>
      </c>
      <c r="L2429" s="23"/>
      <c r="M2429" s="21">
        <f t="shared" si="16"/>
        <v>1894.93</v>
      </c>
    </row>
    <row r="2430" ht="20.25" customHeight="1" outlineLevel="1">
      <c r="A2430" s="12"/>
      <c r="B2430" s="13"/>
      <c r="C2430" s="239"/>
      <c r="D2430" s="20"/>
      <c r="E2430" s="21">
        <f t="shared" si="1"/>
        <v>12593.22</v>
      </c>
      <c r="F2430" s="23"/>
      <c r="G2430" s="21">
        <f t="shared" si="8"/>
        <v>318539.46</v>
      </c>
      <c r="H2430" s="23"/>
      <c r="I2430" s="21">
        <f t="shared" si="15"/>
        <v>781.68</v>
      </c>
      <c r="J2430" s="23"/>
      <c r="K2430" s="21">
        <f t="shared" si="13"/>
        <v>204430.28</v>
      </c>
      <c r="L2430" s="23"/>
      <c r="M2430" s="21">
        <f t="shared" si="16"/>
        <v>1894.93</v>
      </c>
    </row>
    <row r="2431" ht="20.25" customHeight="1" outlineLevel="1">
      <c r="A2431" s="12"/>
      <c r="B2431" s="13"/>
      <c r="C2431" s="239"/>
      <c r="D2431" s="20"/>
      <c r="E2431" s="21">
        <f t="shared" si="1"/>
        <v>12593.22</v>
      </c>
      <c r="F2431" s="23"/>
      <c r="G2431" s="21">
        <f t="shared" si="8"/>
        <v>318539.46</v>
      </c>
      <c r="H2431" s="23"/>
      <c r="I2431" s="21">
        <f t="shared" si="15"/>
        <v>781.68</v>
      </c>
      <c r="J2431" s="23"/>
      <c r="K2431" s="21">
        <f t="shared" si="13"/>
        <v>204430.28</v>
      </c>
      <c r="L2431" s="23"/>
      <c r="M2431" s="21">
        <f t="shared" si="16"/>
        <v>1894.93</v>
      </c>
    </row>
    <row r="2432" ht="20.25" customHeight="1" outlineLevel="1">
      <c r="A2432" s="12"/>
      <c r="B2432" s="13"/>
      <c r="C2432" s="238"/>
      <c r="D2432" s="20"/>
      <c r="E2432" s="21">
        <f t="shared" si="1"/>
        <v>12593.22</v>
      </c>
      <c r="F2432" s="23"/>
      <c r="G2432" s="21">
        <f t="shared" si="8"/>
        <v>318539.46</v>
      </c>
      <c r="H2432" s="23"/>
      <c r="I2432" s="21">
        <f t="shared" si="15"/>
        <v>781.68</v>
      </c>
      <c r="J2432" s="23"/>
      <c r="K2432" s="21">
        <f t="shared" si="13"/>
        <v>204430.28</v>
      </c>
      <c r="L2432" s="23"/>
      <c r="M2432" s="21">
        <f t="shared" si="16"/>
        <v>1894.93</v>
      </c>
    </row>
    <row r="2433" ht="20.25" customHeight="1" outlineLevel="1">
      <c r="A2433" s="12"/>
      <c r="B2433" s="13"/>
      <c r="C2433" s="239"/>
      <c r="D2433" s="20"/>
      <c r="E2433" s="21">
        <f t="shared" si="1"/>
        <v>12593.22</v>
      </c>
      <c r="F2433" s="23"/>
      <c r="G2433" s="21">
        <f t="shared" si="8"/>
        <v>318539.46</v>
      </c>
      <c r="H2433" s="23"/>
      <c r="I2433" s="21">
        <f t="shared" si="15"/>
        <v>781.68</v>
      </c>
      <c r="J2433" s="23"/>
      <c r="K2433" s="21">
        <f t="shared" si="13"/>
        <v>204430.28</v>
      </c>
      <c r="L2433" s="23"/>
      <c r="M2433" s="21">
        <f t="shared" si="16"/>
        <v>1894.93</v>
      </c>
    </row>
    <row r="2434" ht="20.25" customHeight="1" outlineLevel="1">
      <c r="A2434" s="12"/>
      <c r="B2434" s="13"/>
      <c r="C2434" s="239"/>
      <c r="D2434" s="20"/>
      <c r="E2434" s="21">
        <f t="shared" si="1"/>
        <v>12593.22</v>
      </c>
      <c r="F2434" s="23"/>
      <c r="G2434" s="21">
        <f t="shared" si="8"/>
        <v>318539.46</v>
      </c>
      <c r="H2434" s="23"/>
      <c r="I2434" s="21">
        <f t="shared" si="15"/>
        <v>781.68</v>
      </c>
      <c r="J2434" s="23"/>
      <c r="K2434" s="21">
        <f t="shared" si="13"/>
        <v>204430.28</v>
      </c>
      <c r="L2434" s="23"/>
      <c r="M2434" s="21">
        <f t="shared" si="16"/>
        <v>1894.93</v>
      </c>
    </row>
    <row r="2435" ht="20.25" customHeight="1" outlineLevel="1">
      <c r="A2435" s="12"/>
      <c r="B2435" s="13"/>
      <c r="C2435" s="239"/>
      <c r="D2435" s="20"/>
      <c r="E2435" s="21">
        <f t="shared" si="1"/>
        <v>12593.22</v>
      </c>
      <c r="F2435" s="23"/>
      <c r="G2435" s="21">
        <f t="shared" si="8"/>
        <v>318539.46</v>
      </c>
      <c r="H2435" s="23"/>
      <c r="I2435" s="21">
        <f t="shared" si="15"/>
        <v>781.68</v>
      </c>
      <c r="J2435" s="23"/>
      <c r="K2435" s="21">
        <f t="shared" si="13"/>
        <v>204430.28</v>
      </c>
      <c r="L2435" s="23"/>
      <c r="M2435" s="21">
        <f t="shared" si="16"/>
        <v>1894.93</v>
      </c>
    </row>
    <row r="2436" ht="20.25" customHeight="1" outlineLevel="1">
      <c r="A2436" s="12"/>
      <c r="B2436" s="13"/>
      <c r="C2436" s="239"/>
      <c r="D2436" s="20"/>
      <c r="E2436" s="21">
        <f t="shared" si="1"/>
        <v>12593.22</v>
      </c>
      <c r="F2436" s="23"/>
      <c r="G2436" s="21">
        <f t="shared" si="8"/>
        <v>318539.46</v>
      </c>
      <c r="H2436" s="23"/>
      <c r="I2436" s="21">
        <f t="shared" si="15"/>
        <v>781.68</v>
      </c>
      <c r="J2436" s="23"/>
      <c r="K2436" s="21">
        <f t="shared" si="13"/>
        <v>204430.28</v>
      </c>
      <c r="L2436" s="23"/>
      <c r="M2436" s="21">
        <f t="shared" si="16"/>
        <v>1894.93</v>
      </c>
    </row>
    <row r="2437" ht="20.25" customHeight="1" outlineLevel="1">
      <c r="A2437" s="12"/>
      <c r="B2437" s="13"/>
      <c r="C2437" s="239"/>
      <c r="D2437" s="20"/>
      <c r="E2437" s="21">
        <f t="shared" si="1"/>
        <v>12593.22</v>
      </c>
      <c r="F2437" s="23"/>
      <c r="G2437" s="21">
        <f t="shared" si="8"/>
        <v>318539.46</v>
      </c>
      <c r="H2437" s="23"/>
      <c r="I2437" s="21">
        <f t="shared" si="15"/>
        <v>781.68</v>
      </c>
      <c r="J2437" s="23"/>
      <c r="K2437" s="21">
        <f t="shared" si="13"/>
        <v>204430.28</v>
      </c>
      <c r="L2437" s="23"/>
      <c r="M2437" s="21">
        <f t="shared" si="16"/>
        <v>1894.93</v>
      </c>
    </row>
    <row r="2438" ht="20.25" customHeight="1" outlineLevel="1">
      <c r="A2438" s="12"/>
      <c r="B2438" s="13"/>
      <c r="C2438" s="239"/>
      <c r="D2438" s="20"/>
      <c r="E2438" s="21">
        <f t="shared" si="1"/>
        <v>12593.22</v>
      </c>
      <c r="F2438" s="23"/>
      <c r="G2438" s="21">
        <f t="shared" si="8"/>
        <v>318539.46</v>
      </c>
      <c r="H2438" s="23"/>
      <c r="I2438" s="21">
        <f t="shared" si="15"/>
        <v>781.68</v>
      </c>
      <c r="J2438" s="23"/>
      <c r="K2438" s="21">
        <f t="shared" si="13"/>
        <v>204430.28</v>
      </c>
      <c r="L2438" s="23"/>
      <c r="M2438" s="21">
        <f t="shared" si="16"/>
        <v>1894.93</v>
      </c>
    </row>
    <row r="2439" ht="20.25" customHeight="1" outlineLevel="1">
      <c r="A2439" s="12"/>
      <c r="B2439" s="13"/>
      <c r="C2439" s="239"/>
      <c r="D2439" s="20"/>
      <c r="E2439" s="21">
        <f t="shared" si="1"/>
        <v>12593.22</v>
      </c>
      <c r="F2439" s="23"/>
      <c r="G2439" s="21">
        <f t="shared" si="8"/>
        <v>318539.46</v>
      </c>
      <c r="H2439" s="23"/>
      <c r="I2439" s="21">
        <f t="shared" si="15"/>
        <v>781.68</v>
      </c>
      <c r="J2439" s="23"/>
      <c r="K2439" s="21">
        <f t="shared" si="13"/>
        <v>204430.28</v>
      </c>
      <c r="L2439" s="23"/>
      <c r="M2439" s="21">
        <f t="shared" si="16"/>
        <v>1894.93</v>
      </c>
    </row>
    <row r="2440" ht="20.25" customHeight="1" outlineLevel="1">
      <c r="A2440" s="12"/>
      <c r="B2440" s="13"/>
      <c r="C2440" s="239"/>
      <c r="D2440" s="20"/>
      <c r="E2440" s="21">
        <f t="shared" si="1"/>
        <v>12593.22</v>
      </c>
      <c r="F2440" s="23"/>
      <c r="G2440" s="21">
        <f t="shared" si="8"/>
        <v>318539.46</v>
      </c>
      <c r="H2440" s="23"/>
      <c r="I2440" s="21">
        <f t="shared" si="15"/>
        <v>781.68</v>
      </c>
      <c r="J2440" s="23"/>
      <c r="K2440" s="21">
        <f t="shared" si="13"/>
        <v>204430.28</v>
      </c>
      <c r="L2440" s="23"/>
      <c r="M2440" s="21">
        <f t="shared" si="16"/>
        <v>1894.93</v>
      </c>
    </row>
    <row r="2441" ht="20.25" customHeight="1" outlineLevel="1">
      <c r="A2441" s="12"/>
      <c r="B2441" s="13"/>
      <c r="C2441" s="85"/>
      <c r="D2441" s="20"/>
      <c r="E2441" s="21">
        <f t="shared" si="1"/>
        <v>12593.22</v>
      </c>
      <c r="F2441" s="23"/>
      <c r="G2441" s="21">
        <f t="shared" si="8"/>
        <v>318539.46</v>
      </c>
      <c r="H2441" s="23"/>
      <c r="I2441" s="21">
        <f t="shared" si="15"/>
        <v>781.68</v>
      </c>
      <c r="J2441" s="23"/>
      <c r="K2441" s="21">
        <f t="shared" si="13"/>
        <v>204430.28</v>
      </c>
      <c r="L2441" s="23"/>
      <c r="M2441" s="21">
        <f t="shared" si="16"/>
        <v>1894.93</v>
      </c>
    </row>
    <row r="2442" ht="20.25" customHeight="1" outlineLevel="1">
      <c r="A2442" s="12"/>
      <c r="B2442" s="13"/>
      <c r="C2442" s="85"/>
      <c r="D2442" s="20"/>
      <c r="E2442" s="21">
        <f t="shared" si="1"/>
        <v>12593.22</v>
      </c>
      <c r="F2442" s="23"/>
      <c r="G2442" s="21">
        <f t="shared" si="8"/>
        <v>318539.46</v>
      </c>
      <c r="H2442" s="23"/>
      <c r="I2442" s="21">
        <f t="shared" si="15"/>
        <v>781.68</v>
      </c>
      <c r="J2442" s="23"/>
      <c r="K2442" s="21">
        <f t="shared" si="13"/>
        <v>204430.28</v>
      </c>
      <c r="L2442" s="23"/>
      <c r="M2442" s="21">
        <f t="shared" si="16"/>
        <v>1894.93</v>
      </c>
    </row>
    <row r="2443" ht="20.25" customHeight="1" outlineLevel="1">
      <c r="A2443" s="12"/>
      <c r="B2443" s="13"/>
      <c r="C2443" s="107"/>
      <c r="D2443" s="20"/>
      <c r="E2443" s="21">
        <f t="shared" si="1"/>
        <v>12593.22</v>
      </c>
      <c r="F2443" s="23"/>
      <c r="G2443" s="21">
        <f t="shared" si="8"/>
        <v>318539.46</v>
      </c>
      <c r="H2443" s="23"/>
      <c r="I2443" s="21">
        <f t="shared" si="15"/>
        <v>781.68</v>
      </c>
      <c r="J2443" s="23"/>
      <c r="K2443" s="21">
        <f t="shared" si="13"/>
        <v>204430.28</v>
      </c>
      <c r="L2443" s="23"/>
      <c r="M2443" s="21">
        <f t="shared" si="16"/>
        <v>1894.93</v>
      </c>
    </row>
    <row r="2444" ht="20.25" customHeight="1" outlineLevel="1">
      <c r="A2444" s="12"/>
      <c r="B2444" s="13"/>
      <c r="C2444" s="85"/>
      <c r="D2444" s="20"/>
      <c r="E2444" s="21">
        <f t="shared" si="1"/>
        <v>12593.22</v>
      </c>
      <c r="F2444" s="23"/>
      <c r="G2444" s="21">
        <f t="shared" si="8"/>
        <v>318539.46</v>
      </c>
      <c r="H2444" s="23"/>
      <c r="I2444" s="21">
        <f t="shared" si="15"/>
        <v>781.68</v>
      </c>
      <c r="J2444" s="23"/>
      <c r="K2444" s="21">
        <f t="shared" si="13"/>
        <v>204430.28</v>
      </c>
      <c r="L2444" s="23"/>
      <c r="M2444" s="21">
        <f t="shared" si="16"/>
        <v>1894.93</v>
      </c>
    </row>
    <row r="2445" ht="20.25" customHeight="1" outlineLevel="1">
      <c r="A2445" s="12"/>
      <c r="B2445" s="13"/>
      <c r="C2445" s="93"/>
      <c r="D2445" s="20"/>
      <c r="E2445" s="21">
        <f t="shared" si="1"/>
        <v>12593.22</v>
      </c>
      <c r="F2445" s="23"/>
      <c r="G2445" s="21">
        <f t="shared" si="8"/>
        <v>318539.46</v>
      </c>
      <c r="H2445" s="23"/>
      <c r="I2445" s="21">
        <f t="shared" si="15"/>
        <v>781.68</v>
      </c>
      <c r="J2445" s="23"/>
      <c r="K2445" s="21">
        <f t="shared" si="13"/>
        <v>204430.28</v>
      </c>
      <c r="L2445" s="23"/>
      <c r="M2445" s="21">
        <f t="shared" si="16"/>
        <v>1894.93</v>
      </c>
    </row>
    <row r="2446" ht="20.25" customHeight="1" outlineLevel="1">
      <c r="A2446" s="12"/>
      <c r="B2446" s="13"/>
      <c r="C2446" s="28"/>
      <c r="D2446" s="20"/>
      <c r="E2446" s="21">
        <f t="shared" si="1"/>
        <v>12593.22</v>
      </c>
      <c r="F2446" s="23"/>
      <c r="G2446" s="21">
        <f t="shared" si="8"/>
        <v>318539.46</v>
      </c>
      <c r="H2446" s="23"/>
      <c r="I2446" s="21">
        <f t="shared" si="15"/>
        <v>781.68</v>
      </c>
      <c r="J2446" s="23"/>
      <c r="K2446" s="21">
        <f t="shared" si="13"/>
        <v>204430.28</v>
      </c>
      <c r="L2446" s="23"/>
      <c r="M2446" s="21">
        <f t="shared" si="16"/>
        <v>1894.93</v>
      </c>
    </row>
    <row r="2447" ht="20.25" customHeight="1" outlineLevel="1">
      <c r="A2447" s="12"/>
      <c r="B2447" s="13"/>
      <c r="C2447" s="28"/>
      <c r="D2447" s="20"/>
      <c r="E2447" s="21">
        <f t="shared" si="1"/>
        <v>12593.22</v>
      </c>
      <c r="F2447" s="23"/>
      <c r="G2447" s="21">
        <f t="shared" si="8"/>
        <v>318539.46</v>
      </c>
      <c r="H2447" s="23"/>
      <c r="I2447" s="21">
        <f t="shared" si="15"/>
        <v>781.68</v>
      </c>
      <c r="J2447" s="23"/>
      <c r="K2447" s="21">
        <f t="shared" si="13"/>
        <v>204430.28</v>
      </c>
      <c r="L2447" s="23"/>
      <c r="M2447" s="21">
        <f t="shared" si="16"/>
        <v>1894.93</v>
      </c>
    </row>
    <row r="2448" ht="20.25" customHeight="1" outlineLevel="1">
      <c r="A2448" s="12"/>
      <c r="B2448" s="13"/>
      <c r="C2448" s="28"/>
      <c r="D2448" s="20"/>
      <c r="E2448" s="21">
        <f t="shared" si="1"/>
        <v>12593.22</v>
      </c>
      <c r="F2448" s="23"/>
      <c r="G2448" s="21">
        <f t="shared" si="8"/>
        <v>318539.46</v>
      </c>
      <c r="H2448" s="23"/>
      <c r="I2448" s="21">
        <f t="shared" si="15"/>
        <v>781.68</v>
      </c>
      <c r="J2448" s="23"/>
      <c r="K2448" s="21">
        <f t="shared" si="13"/>
        <v>204430.28</v>
      </c>
      <c r="L2448" s="23"/>
      <c r="M2448" s="21">
        <f t="shared" si="16"/>
        <v>1894.93</v>
      </c>
    </row>
    <row r="2449" ht="20.25" customHeight="1" outlineLevel="1">
      <c r="A2449" s="12"/>
      <c r="B2449" s="13"/>
      <c r="C2449" s="28"/>
      <c r="D2449" s="20"/>
      <c r="E2449" s="21">
        <f t="shared" si="1"/>
        <v>12593.22</v>
      </c>
      <c r="F2449" s="23"/>
      <c r="G2449" s="21">
        <f t="shared" si="8"/>
        <v>318539.46</v>
      </c>
      <c r="H2449" s="23"/>
      <c r="I2449" s="21">
        <f t="shared" si="15"/>
        <v>781.68</v>
      </c>
      <c r="J2449" s="23"/>
      <c r="K2449" s="21">
        <f t="shared" si="13"/>
        <v>204430.28</v>
      </c>
      <c r="L2449" s="23"/>
      <c r="M2449" s="21">
        <f t="shared" si="16"/>
        <v>1894.93</v>
      </c>
    </row>
    <row r="2450" ht="20.25" customHeight="1" outlineLevel="1">
      <c r="A2450" s="12"/>
      <c r="B2450" s="13"/>
      <c r="C2450" s="28"/>
      <c r="D2450" s="20"/>
      <c r="E2450" s="21">
        <f t="shared" si="1"/>
        <v>12593.22</v>
      </c>
      <c r="F2450" s="23"/>
      <c r="G2450" s="21">
        <f t="shared" si="8"/>
        <v>318539.46</v>
      </c>
      <c r="H2450" s="23"/>
      <c r="I2450" s="21">
        <f t="shared" si="15"/>
        <v>781.68</v>
      </c>
      <c r="J2450" s="23"/>
      <c r="K2450" s="21">
        <f t="shared" si="13"/>
        <v>204430.28</v>
      </c>
      <c r="L2450" s="23"/>
      <c r="M2450" s="21">
        <f t="shared" si="16"/>
        <v>1894.93</v>
      </c>
    </row>
    <row r="2451" ht="20.25" customHeight="1" outlineLevel="1">
      <c r="A2451" s="12"/>
      <c r="B2451" s="13"/>
      <c r="C2451" s="28"/>
      <c r="D2451" s="20"/>
      <c r="E2451" s="21">
        <f t="shared" si="1"/>
        <v>12593.22</v>
      </c>
      <c r="F2451" s="23"/>
      <c r="G2451" s="21">
        <f t="shared" si="8"/>
        <v>318539.46</v>
      </c>
      <c r="H2451" s="23"/>
      <c r="I2451" s="21">
        <f t="shared" si="15"/>
        <v>781.68</v>
      </c>
      <c r="J2451" s="23"/>
      <c r="K2451" s="21">
        <f t="shared" si="13"/>
        <v>204430.28</v>
      </c>
      <c r="L2451" s="23"/>
      <c r="M2451" s="21">
        <f t="shared" si="16"/>
        <v>1894.93</v>
      </c>
    </row>
    <row r="2452" ht="20.25" customHeight="1" outlineLevel="1">
      <c r="A2452" s="12"/>
      <c r="B2452" s="13"/>
      <c r="C2452" s="28"/>
      <c r="D2452" s="20"/>
      <c r="E2452" s="21">
        <f t="shared" si="1"/>
        <v>12593.22</v>
      </c>
      <c r="F2452" s="23"/>
      <c r="G2452" s="21">
        <f t="shared" si="8"/>
        <v>318539.46</v>
      </c>
      <c r="H2452" s="23"/>
      <c r="I2452" s="21">
        <f t="shared" si="15"/>
        <v>781.68</v>
      </c>
      <c r="J2452" s="23"/>
      <c r="K2452" s="21">
        <f t="shared" si="13"/>
        <v>204430.28</v>
      </c>
      <c r="L2452" s="23"/>
      <c r="M2452" s="21">
        <f t="shared" si="16"/>
        <v>1894.93</v>
      </c>
    </row>
    <row r="2453" ht="20.25" customHeight="1" outlineLevel="1">
      <c r="A2453" s="12"/>
      <c r="B2453" s="13"/>
      <c r="C2453" s="28"/>
      <c r="D2453" s="20"/>
      <c r="E2453" s="21">
        <f t="shared" si="1"/>
        <v>12593.22</v>
      </c>
      <c r="F2453" s="23"/>
      <c r="G2453" s="21">
        <f t="shared" si="8"/>
        <v>318539.46</v>
      </c>
      <c r="H2453" s="23"/>
      <c r="I2453" s="21">
        <f t="shared" si="15"/>
        <v>781.68</v>
      </c>
      <c r="J2453" s="23"/>
      <c r="K2453" s="21">
        <f t="shared" si="13"/>
        <v>204430.28</v>
      </c>
      <c r="L2453" s="23"/>
      <c r="M2453" s="21">
        <f t="shared" si="16"/>
        <v>1894.93</v>
      </c>
    </row>
    <row r="2454" ht="20.25" customHeight="1" outlineLevel="1">
      <c r="A2454" s="12"/>
      <c r="B2454" s="13"/>
      <c r="C2454" s="28"/>
      <c r="D2454" s="20"/>
      <c r="E2454" s="21">
        <f t="shared" si="1"/>
        <v>12593.22</v>
      </c>
      <c r="F2454" s="23"/>
      <c r="G2454" s="21">
        <f t="shared" si="8"/>
        <v>318539.46</v>
      </c>
      <c r="H2454" s="23"/>
      <c r="I2454" s="21">
        <f t="shared" si="15"/>
        <v>781.68</v>
      </c>
      <c r="J2454" s="23"/>
      <c r="K2454" s="21">
        <f t="shared" si="13"/>
        <v>204430.28</v>
      </c>
      <c r="L2454" s="23"/>
      <c r="M2454" s="21">
        <f t="shared" si="16"/>
        <v>1894.93</v>
      </c>
    </row>
    <row r="2455" ht="20.25" customHeight="1" outlineLevel="1">
      <c r="A2455" s="12"/>
      <c r="B2455" s="13"/>
      <c r="C2455" s="112"/>
      <c r="D2455" s="20"/>
      <c r="E2455" s="21">
        <f t="shared" si="1"/>
        <v>12593.22</v>
      </c>
      <c r="F2455" s="23"/>
      <c r="G2455" s="21">
        <f t="shared" si="8"/>
        <v>318539.46</v>
      </c>
      <c r="H2455" s="23"/>
      <c r="I2455" s="21">
        <f t="shared" si="15"/>
        <v>781.68</v>
      </c>
      <c r="J2455" s="23"/>
      <c r="K2455" s="21">
        <f t="shared" si="13"/>
        <v>204430.28</v>
      </c>
      <c r="L2455" s="23"/>
      <c r="M2455" s="21">
        <f t="shared" si="16"/>
        <v>1894.93</v>
      </c>
    </row>
    <row r="2456" ht="20.25" customHeight="1" outlineLevel="1">
      <c r="A2456" s="12"/>
      <c r="B2456" s="13"/>
      <c r="C2456" s="85"/>
      <c r="D2456" s="20"/>
      <c r="E2456" s="21">
        <f t="shared" si="1"/>
        <v>12593.22</v>
      </c>
      <c r="F2456" s="23"/>
      <c r="G2456" s="21">
        <f t="shared" si="8"/>
        <v>318539.46</v>
      </c>
      <c r="H2456" s="23"/>
      <c r="I2456" s="21">
        <f t="shared" si="15"/>
        <v>781.68</v>
      </c>
      <c r="J2456" s="23"/>
      <c r="K2456" s="21">
        <f t="shared" si="13"/>
        <v>204430.28</v>
      </c>
      <c r="L2456" s="23"/>
      <c r="M2456" s="21">
        <f t="shared" si="16"/>
        <v>1894.93</v>
      </c>
    </row>
    <row r="2457" ht="20.25" customHeight="1" outlineLevel="1">
      <c r="A2457" s="12"/>
      <c r="B2457" s="13"/>
      <c r="C2457" s="87"/>
      <c r="D2457" s="20"/>
      <c r="E2457" s="21">
        <f t="shared" si="1"/>
        <v>12593.22</v>
      </c>
      <c r="F2457" s="23"/>
      <c r="G2457" s="21">
        <f t="shared" si="8"/>
        <v>318539.46</v>
      </c>
      <c r="H2457" s="23"/>
      <c r="I2457" s="21">
        <f t="shared" si="15"/>
        <v>781.68</v>
      </c>
      <c r="J2457" s="23"/>
      <c r="K2457" s="21">
        <f t="shared" si="13"/>
        <v>204430.28</v>
      </c>
      <c r="L2457" s="23"/>
      <c r="M2457" s="21">
        <f t="shared" si="16"/>
        <v>1894.93</v>
      </c>
    </row>
    <row r="2458" ht="20.25" customHeight="1" outlineLevel="1">
      <c r="A2458" s="12"/>
      <c r="B2458" s="13"/>
      <c r="C2458" s="87"/>
      <c r="D2458" s="20"/>
      <c r="E2458" s="21">
        <f t="shared" si="1"/>
        <v>12593.22</v>
      </c>
      <c r="F2458" s="23"/>
      <c r="G2458" s="21">
        <f t="shared" si="8"/>
        <v>318539.46</v>
      </c>
      <c r="H2458" s="23"/>
      <c r="I2458" s="21">
        <f t="shared" si="15"/>
        <v>781.68</v>
      </c>
      <c r="J2458" s="23"/>
      <c r="K2458" s="21">
        <f t="shared" si="13"/>
        <v>204430.28</v>
      </c>
      <c r="L2458" s="23"/>
      <c r="M2458" s="21">
        <f t="shared" si="16"/>
        <v>1894.93</v>
      </c>
    </row>
    <row r="2459" ht="20.25" customHeight="1" outlineLevel="1">
      <c r="A2459" s="12"/>
      <c r="B2459" s="13"/>
      <c r="C2459" s="85"/>
      <c r="D2459" s="20"/>
      <c r="E2459" s="21">
        <f t="shared" si="1"/>
        <v>12593.22</v>
      </c>
      <c r="F2459" s="23"/>
      <c r="G2459" s="21">
        <f t="shared" si="8"/>
        <v>318539.46</v>
      </c>
      <c r="H2459" s="23"/>
      <c r="I2459" s="21">
        <f t="shared" si="15"/>
        <v>781.68</v>
      </c>
      <c r="J2459" s="23"/>
      <c r="K2459" s="21">
        <f t="shared" si="13"/>
        <v>204430.28</v>
      </c>
      <c r="L2459" s="23"/>
      <c r="M2459" s="21">
        <f t="shared" si="16"/>
        <v>1894.93</v>
      </c>
    </row>
    <row r="2460" ht="20.25" customHeight="1" outlineLevel="1">
      <c r="A2460" s="12"/>
      <c r="B2460" s="13"/>
      <c r="C2460" s="85"/>
      <c r="D2460" s="20"/>
      <c r="E2460" s="21">
        <f t="shared" si="1"/>
        <v>12593.22</v>
      </c>
      <c r="F2460" s="23"/>
      <c r="G2460" s="21">
        <f t="shared" si="8"/>
        <v>318539.46</v>
      </c>
      <c r="H2460" s="23"/>
      <c r="I2460" s="21">
        <f t="shared" si="15"/>
        <v>781.68</v>
      </c>
      <c r="J2460" s="23"/>
      <c r="K2460" s="21">
        <f t="shared" si="13"/>
        <v>204430.28</v>
      </c>
      <c r="L2460" s="23"/>
      <c r="M2460" s="21">
        <f t="shared" si="16"/>
        <v>1894.93</v>
      </c>
    </row>
    <row r="2461" ht="20.25" customHeight="1" outlineLevel="1">
      <c r="A2461" s="12"/>
      <c r="B2461" s="13"/>
      <c r="C2461" s="85"/>
      <c r="D2461" s="20"/>
      <c r="E2461" s="21">
        <f t="shared" si="1"/>
        <v>12593.22</v>
      </c>
      <c r="F2461" s="23"/>
      <c r="G2461" s="21">
        <f t="shared" si="8"/>
        <v>318539.46</v>
      </c>
      <c r="H2461" s="23"/>
      <c r="I2461" s="21">
        <f t="shared" si="15"/>
        <v>781.68</v>
      </c>
      <c r="J2461" s="23"/>
      <c r="K2461" s="21">
        <f t="shared" si="13"/>
        <v>204430.28</v>
      </c>
      <c r="L2461" s="23"/>
      <c r="M2461" s="21">
        <f t="shared" si="16"/>
        <v>1894.93</v>
      </c>
    </row>
    <row r="2462" ht="20.25" customHeight="1" outlineLevel="1">
      <c r="A2462" s="12"/>
      <c r="B2462" s="13"/>
      <c r="C2462" s="85"/>
      <c r="D2462" s="20"/>
      <c r="E2462" s="21">
        <f t="shared" si="1"/>
        <v>12593.22</v>
      </c>
      <c r="F2462" s="23"/>
      <c r="G2462" s="21">
        <f t="shared" si="8"/>
        <v>318539.46</v>
      </c>
      <c r="H2462" s="23"/>
      <c r="I2462" s="21">
        <f t="shared" si="15"/>
        <v>781.68</v>
      </c>
      <c r="J2462" s="23"/>
      <c r="K2462" s="21">
        <f t="shared" si="13"/>
        <v>204430.28</v>
      </c>
      <c r="L2462" s="23"/>
      <c r="M2462" s="21">
        <f t="shared" si="16"/>
        <v>1894.93</v>
      </c>
    </row>
    <row r="2463" ht="20.25" customHeight="1" outlineLevel="1">
      <c r="A2463" s="12"/>
      <c r="B2463" s="13"/>
      <c r="C2463" s="87"/>
      <c r="D2463" s="20"/>
      <c r="E2463" s="21">
        <f t="shared" si="1"/>
        <v>12593.22</v>
      </c>
      <c r="F2463" s="23"/>
      <c r="G2463" s="21">
        <f t="shared" si="8"/>
        <v>318539.46</v>
      </c>
      <c r="H2463" s="23"/>
      <c r="I2463" s="21">
        <f t="shared" si="15"/>
        <v>781.68</v>
      </c>
      <c r="J2463" s="23"/>
      <c r="K2463" s="21">
        <f t="shared" si="13"/>
        <v>204430.28</v>
      </c>
      <c r="L2463" s="23"/>
      <c r="M2463" s="21">
        <f t="shared" si="16"/>
        <v>1894.93</v>
      </c>
    </row>
    <row r="2464" ht="20.25" customHeight="1" outlineLevel="1">
      <c r="A2464" s="12"/>
      <c r="B2464" s="13"/>
      <c r="C2464" s="243"/>
      <c r="D2464" s="20"/>
      <c r="E2464" s="21">
        <f t="shared" si="1"/>
        <v>12593.22</v>
      </c>
      <c r="F2464" s="23"/>
      <c r="G2464" s="21">
        <f t="shared" si="8"/>
        <v>318539.46</v>
      </c>
      <c r="H2464" s="23"/>
      <c r="I2464" s="21">
        <f t="shared" si="15"/>
        <v>781.68</v>
      </c>
      <c r="J2464" s="23"/>
      <c r="K2464" s="21">
        <f t="shared" si="13"/>
        <v>204430.28</v>
      </c>
      <c r="L2464" s="23"/>
      <c r="M2464" s="21">
        <f t="shared" si="16"/>
        <v>1894.93</v>
      </c>
    </row>
    <row r="2465" ht="20.25" customHeight="1" outlineLevel="1">
      <c r="A2465" s="12"/>
      <c r="B2465" s="13"/>
      <c r="C2465" s="42"/>
      <c r="D2465" s="20"/>
      <c r="E2465" s="21">
        <f t="shared" si="1"/>
        <v>12593.22</v>
      </c>
      <c r="F2465" s="23"/>
      <c r="G2465" s="21">
        <f t="shared" si="8"/>
        <v>318539.46</v>
      </c>
      <c r="H2465" s="23"/>
      <c r="I2465" s="21">
        <f t="shared" si="15"/>
        <v>781.68</v>
      </c>
      <c r="J2465" s="23"/>
      <c r="K2465" s="21">
        <f t="shared" si="13"/>
        <v>204430.28</v>
      </c>
      <c r="L2465" s="23"/>
      <c r="M2465" s="21">
        <f t="shared" si="16"/>
        <v>1894.93</v>
      </c>
    </row>
    <row r="2466" ht="20.25" customHeight="1" outlineLevel="1">
      <c r="A2466" s="12"/>
      <c r="B2466" s="13"/>
      <c r="C2466" s="28"/>
      <c r="D2466" s="20"/>
      <c r="E2466" s="21">
        <f t="shared" si="1"/>
        <v>12593.22</v>
      </c>
      <c r="F2466" s="23"/>
      <c r="G2466" s="21">
        <f t="shared" si="8"/>
        <v>318539.46</v>
      </c>
      <c r="H2466" s="23"/>
      <c r="I2466" s="21">
        <f t="shared" si="15"/>
        <v>781.68</v>
      </c>
      <c r="J2466" s="23"/>
      <c r="K2466" s="21">
        <f t="shared" si="13"/>
        <v>204430.28</v>
      </c>
      <c r="L2466" s="23"/>
      <c r="M2466" s="21">
        <f t="shared" si="16"/>
        <v>1894.93</v>
      </c>
    </row>
    <row r="2467" ht="20.25" customHeight="1" outlineLevel="1">
      <c r="A2467" s="12"/>
      <c r="B2467" s="13"/>
      <c r="C2467" s="28"/>
      <c r="D2467" s="20"/>
      <c r="E2467" s="21">
        <f t="shared" si="1"/>
        <v>12593.22</v>
      </c>
      <c r="F2467" s="23"/>
      <c r="G2467" s="21">
        <f t="shared" si="8"/>
        <v>318539.46</v>
      </c>
      <c r="H2467" s="23"/>
      <c r="I2467" s="21">
        <f t="shared" si="15"/>
        <v>781.68</v>
      </c>
      <c r="J2467" s="23"/>
      <c r="K2467" s="21">
        <f t="shared" si="13"/>
        <v>204430.28</v>
      </c>
      <c r="L2467" s="23"/>
      <c r="M2467" s="21">
        <f t="shared" si="16"/>
        <v>1894.93</v>
      </c>
    </row>
    <row r="2468" ht="20.25" customHeight="1" outlineLevel="1">
      <c r="A2468" s="12"/>
      <c r="B2468" s="13"/>
      <c r="C2468" s="28"/>
      <c r="D2468" s="20"/>
      <c r="E2468" s="21">
        <f t="shared" si="1"/>
        <v>12593.22</v>
      </c>
      <c r="F2468" s="23"/>
      <c r="G2468" s="21">
        <f t="shared" si="8"/>
        <v>318539.46</v>
      </c>
      <c r="H2468" s="23"/>
      <c r="I2468" s="21">
        <f t="shared" si="15"/>
        <v>781.68</v>
      </c>
      <c r="J2468" s="23"/>
      <c r="K2468" s="21">
        <f t="shared" si="13"/>
        <v>204430.28</v>
      </c>
      <c r="L2468" s="23"/>
      <c r="M2468" s="21">
        <f t="shared" si="16"/>
        <v>1894.93</v>
      </c>
    </row>
    <row r="2469" ht="20.25" customHeight="1" outlineLevel="1">
      <c r="A2469" s="12"/>
      <c r="B2469" s="13"/>
      <c r="C2469" s="28"/>
      <c r="D2469" s="20"/>
      <c r="E2469" s="21">
        <f t="shared" si="1"/>
        <v>12593.22</v>
      </c>
      <c r="F2469" s="23"/>
      <c r="G2469" s="21">
        <f t="shared" si="8"/>
        <v>318539.46</v>
      </c>
      <c r="H2469" s="23"/>
      <c r="I2469" s="21">
        <f t="shared" si="15"/>
        <v>781.68</v>
      </c>
      <c r="J2469" s="23"/>
      <c r="K2469" s="21">
        <f t="shared" si="13"/>
        <v>204430.28</v>
      </c>
      <c r="L2469" s="23"/>
      <c r="M2469" s="21">
        <f t="shared" si="16"/>
        <v>1894.93</v>
      </c>
    </row>
    <row r="2470" ht="20.25" customHeight="1" outlineLevel="1">
      <c r="A2470" s="12"/>
      <c r="B2470" s="13"/>
      <c r="C2470" s="42"/>
      <c r="D2470" s="20"/>
      <c r="E2470" s="21">
        <f t="shared" si="1"/>
        <v>12593.22</v>
      </c>
      <c r="F2470" s="23"/>
      <c r="G2470" s="21">
        <f t="shared" si="8"/>
        <v>318539.46</v>
      </c>
      <c r="H2470" s="23"/>
      <c r="I2470" s="21">
        <f t="shared" si="15"/>
        <v>781.68</v>
      </c>
      <c r="J2470" s="23"/>
      <c r="K2470" s="21">
        <f t="shared" si="13"/>
        <v>204430.28</v>
      </c>
      <c r="L2470" s="23"/>
      <c r="M2470" s="21">
        <f t="shared" si="16"/>
        <v>1894.93</v>
      </c>
    </row>
    <row r="2471" ht="20.25" customHeight="1" outlineLevel="1">
      <c r="A2471" s="12"/>
      <c r="B2471" s="13"/>
      <c r="C2471" s="42"/>
      <c r="D2471" s="20"/>
      <c r="E2471" s="21">
        <f t="shared" si="1"/>
        <v>12593.22</v>
      </c>
      <c r="F2471" s="23"/>
      <c r="G2471" s="21">
        <f t="shared" si="8"/>
        <v>318539.46</v>
      </c>
      <c r="H2471" s="23"/>
      <c r="I2471" s="21">
        <f t="shared" si="15"/>
        <v>781.68</v>
      </c>
      <c r="J2471" s="23"/>
      <c r="K2471" s="21">
        <f t="shared" si="13"/>
        <v>204430.28</v>
      </c>
      <c r="L2471" s="23"/>
      <c r="M2471" s="21">
        <f t="shared" si="16"/>
        <v>1894.93</v>
      </c>
    </row>
    <row r="2472" ht="20.25" customHeight="1" outlineLevel="1">
      <c r="A2472" s="12"/>
      <c r="B2472" s="13"/>
      <c r="C2472" s="42"/>
      <c r="D2472" s="20"/>
      <c r="E2472" s="21">
        <f t="shared" si="1"/>
        <v>12593.22</v>
      </c>
      <c r="F2472" s="23"/>
      <c r="G2472" s="21">
        <f t="shared" si="8"/>
        <v>318539.46</v>
      </c>
      <c r="H2472" s="23"/>
      <c r="I2472" s="21">
        <f t="shared" si="15"/>
        <v>781.68</v>
      </c>
      <c r="J2472" s="23"/>
      <c r="K2472" s="21">
        <f t="shared" si="13"/>
        <v>204430.28</v>
      </c>
      <c r="L2472" s="23"/>
      <c r="M2472" s="21">
        <f t="shared" si="16"/>
        <v>1894.93</v>
      </c>
    </row>
    <row r="2473" ht="20.25" customHeight="1" outlineLevel="1">
      <c r="A2473" s="12"/>
      <c r="B2473" s="13"/>
      <c r="C2473" s="28"/>
      <c r="D2473" s="20"/>
      <c r="E2473" s="21">
        <f t="shared" si="1"/>
        <v>12593.22</v>
      </c>
      <c r="F2473" s="23"/>
      <c r="G2473" s="21">
        <f t="shared" si="8"/>
        <v>318539.46</v>
      </c>
      <c r="H2473" s="23"/>
      <c r="I2473" s="21">
        <f t="shared" si="15"/>
        <v>781.68</v>
      </c>
      <c r="J2473" s="23"/>
      <c r="K2473" s="21">
        <f t="shared" si="13"/>
        <v>204430.28</v>
      </c>
      <c r="L2473" s="23"/>
      <c r="M2473" s="21">
        <f t="shared" si="16"/>
        <v>1894.93</v>
      </c>
    </row>
    <row r="2474" ht="20.25" customHeight="1" outlineLevel="1">
      <c r="A2474" s="12"/>
      <c r="B2474" s="13"/>
      <c r="C2474" s="28"/>
      <c r="D2474" s="20"/>
      <c r="E2474" s="21">
        <f t="shared" si="1"/>
        <v>12593.22</v>
      </c>
      <c r="F2474" s="23"/>
      <c r="G2474" s="21">
        <f t="shared" si="8"/>
        <v>318539.46</v>
      </c>
      <c r="H2474" s="23"/>
      <c r="I2474" s="21">
        <f t="shared" si="15"/>
        <v>781.68</v>
      </c>
      <c r="J2474" s="23"/>
      <c r="K2474" s="21">
        <f t="shared" si="13"/>
        <v>204430.28</v>
      </c>
      <c r="L2474" s="23"/>
      <c r="M2474" s="21">
        <f t="shared" si="16"/>
        <v>1894.93</v>
      </c>
    </row>
    <row r="2475" ht="20.25" customHeight="1" outlineLevel="1">
      <c r="A2475" s="12"/>
      <c r="B2475" s="13"/>
      <c r="C2475" s="28"/>
      <c r="D2475" s="20"/>
      <c r="E2475" s="21">
        <f t="shared" si="1"/>
        <v>12593.22</v>
      </c>
      <c r="F2475" s="23"/>
      <c r="G2475" s="21">
        <f t="shared" si="8"/>
        <v>318539.46</v>
      </c>
      <c r="H2475" s="23"/>
      <c r="I2475" s="21">
        <f t="shared" si="15"/>
        <v>781.68</v>
      </c>
      <c r="J2475" s="23"/>
      <c r="K2475" s="21">
        <f t="shared" si="13"/>
        <v>204430.28</v>
      </c>
      <c r="L2475" s="23"/>
      <c r="M2475" s="21">
        <f t="shared" si="16"/>
        <v>1894.93</v>
      </c>
    </row>
    <row r="2476" ht="20.25" customHeight="1" outlineLevel="1">
      <c r="A2476" s="12"/>
      <c r="B2476" s="13"/>
      <c r="C2476" s="28"/>
      <c r="D2476" s="20"/>
      <c r="E2476" s="21">
        <f t="shared" si="1"/>
        <v>12593.22</v>
      </c>
      <c r="F2476" s="23"/>
      <c r="G2476" s="21">
        <f t="shared" si="8"/>
        <v>318539.46</v>
      </c>
      <c r="H2476" s="23"/>
      <c r="I2476" s="21">
        <f t="shared" si="15"/>
        <v>781.68</v>
      </c>
      <c r="J2476" s="23"/>
      <c r="K2476" s="21">
        <f t="shared" si="13"/>
        <v>204430.28</v>
      </c>
      <c r="L2476" s="23"/>
      <c r="M2476" s="21">
        <f t="shared" si="16"/>
        <v>1894.93</v>
      </c>
    </row>
    <row r="2477" ht="20.25" customHeight="1" outlineLevel="1">
      <c r="A2477" s="12"/>
      <c r="B2477" s="13"/>
      <c r="C2477" s="28"/>
      <c r="D2477" s="20"/>
      <c r="E2477" s="21">
        <f t="shared" si="1"/>
        <v>12593.22</v>
      </c>
      <c r="F2477" s="23"/>
      <c r="G2477" s="21">
        <f t="shared" si="8"/>
        <v>318539.46</v>
      </c>
      <c r="H2477" s="23"/>
      <c r="I2477" s="21">
        <f t="shared" si="15"/>
        <v>781.68</v>
      </c>
      <c r="J2477" s="23"/>
      <c r="K2477" s="21">
        <f t="shared" si="13"/>
        <v>204430.28</v>
      </c>
      <c r="L2477" s="23"/>
      <c r="M2477" s="21">
        <f t="shared" si="16"/>
        <v>1894.93</v>
      </c>
    </row>
    <row r="2478" ht="20.25" customHeight="1" outlineLevel="1">
      <c r="A2478" s="12"/>
      <c r="B2478" s="13"/>
      <c r="C2478" s="28"/>
      <c r="D2478" s="20"/>
      <c r="E2478" s="21">
        <f t="shared" si="1"/>
        <v>12593.22</v>
      </c>
      <c r="F2478" s="23"/>
      <c r="G2478" s="21">
        <f t="shared" si="8"/>
        <v>318539.46</v>
      </c>
      <c r="H2478" s="23"/>
      <c r="I2478" s="21">
        <f t="shared" si="15"/>
        <v>781.68</v>
      </c>
      <c r="J2478" s="23"/>
      <c r="K2478" s="21">
        <f t="shared" si="13"/>
        <v>204430.28</v>
      </c>
      <c r="L2478" s="23"/>
      <c r="M2478" s="21">
        <f t="shared" si="16"/>
        <v>1894.93</v>
      </c>
    </row>
    <row r="2479" ht="20.25" customHeight="1" outlineLevel="1">
      <c r="A2479" s="12"/>
      <c r="B2479" s="13"/>
      <c r="C2479" s="28"/>
      <c r="D2479" s="20"/>
      <c r="E2479" s="21">
        <f t="shared" si="1"/>
        <v>12593.22</v>
      </c>
      <c r="F2479" s="23"/>
      <c r="G2479" s="21">
        <f t="shared" si="8"/>
        <v>318539.46</v>
      </c>
      <c r="H2479" s="23"/>
      <c r="I2479" s="21">
        <f t="shared" si="15"/>
        <v>781.68</v>
      </c>
      <c r="J2479" s="23"/>
      <c r="K2479" s="21">
        <f t="shared" si="13"/>
        <v>204430.28</v>
      </c>
      <c r="L2479" s="23"/>
      <c r="M2479" s="21">
        <f t="shared" si="16"/>
        <v>1894.93</v>
      </c>
    </row>
    <row r="2480" ht="20.25" customHeight="1" outlineLevel="1">
      <c r="A2480" s="12"/>
      <c r="B2480" s="13"/>
      <c r="C2480" s="42"/>
      <c r="D2480" s="20"/>
      <c r="E2480" s="21">
        <f t="shared" si="1"/>
        <v>12593.22</v>
      </c>
      <c r="F2480" s="23"/>
      <c r="G2480" s="21">
        <f t="shared" si="8"/>
        <v>318539.46</v>
      </c>
      <c r="H2480" s="23"/>
      <c r="I2480" s="21">
        <f t="shared" si="15"/>
        <v>781.68</v>
      </c>
      <c r="J2480" s="23"/>
      <c r="K2480" s="21">
        <f t="shared" si="13"/>
        <v>204430.28</v>
      </c>
      <c r="L2480" s="23"/>
      <c r="M2480" s="21">
        <f t="shared" si="16"/>
        <v>1894.93</v>
      </c>
    </row>
    <row r="2481" ht="20.25" customHeight="1" outlineLevel="1">
      <c r="A2481" s="12"/>
      <c r="B2481" s="13"/>
      <c r="C2481" s="42"/>
      <c r="D2481" s="20"/>
      <c r="E2481" s="21">
        <f t="shared" si="1"/>
        <v>12593.22</v>
      </c>
      <c r="F2481" s="23"/>
      <c r="G2481" s="21">
        <f t="shared" si="8"/>
        <v>318539.46</v>
      </c>
      <c r="H2481" s="23"/>
      <c r="I2481" s="21">
        <f t="shared" si="15"/>
        <v>781.68</v>
      </c>
      <c r="J2481" s="23"/>
      <c r="K2481" s="21">
        <f t="shared" si="13"/>
        <v>204430.28</v>
      </c>
      <c r="L2481" s="23"/>
      <c r="M2481" s="21">
        <f t="shared" si="16"/>
        <v>1894.93</v>
      </c>
    </row>
    <row r="2482" ht="20.25" customHeight="1" outlineLevel="1">
      <c r="A2482" s="12"/>
      <c r="B2482" s="13"/>
      <c r="C2482" s="42"/>
      <c r="D2482" s="20"/>
      <c r="E2482" s="21">
        <f t="shared" si="1"/>
        <v>12593.22</v>
      </c>
      <c r="F2482" s="23"/>
      <c r="G2482" s="21">
        <f t="shared" si="8"/>
        <v>318539.46</v>
      </c>
      <c r="H2482" s="23"/>
      <c r="I2482" s="21">
        <f t="shared" si="15"/>
        <v>781.68</v>
      </c>
      <c r="J2482" s="23"/>
      <c r="K2482" s="21">
        <f t="shared" si="13"/>
        <v>204430.28</v>
      </c>
      <c r="L2482" s="23"/>
      <c r="M2482" s="21">
        <f t="shared" si="16"/>
        <v>1894.93</v>
      </c>
    </row>
    <row r="2483" ht="20.25" customHeight="1" outlineLevel="1">
      <c r="A2483" s="12"/>
      <c r="B2483" s="13"/>
      <c r="C2483" s="42"/>
      <c r="D2483" s="20"/>
      <c r="E2483" s="21">
        <f t="shared" si="1"/>
        <v>12593.22</v>
      </c>
      <c r="F2483" s="23"/>
      <c r="G2483" s="21">
        <f t="shared" si="8"/>
        <v>318539.46</v>
      </c>
      <c r="H2483" s="23"/>
      <c r="I2483" s="21">
        <f t="shared" si="15"/>
        <v>781.68</v>
      </c>
      <c r="J2483" s="23"/>
      <c r="K2483" s="21">
        <f t="shared" si="13"/>
        <v>204430.28</v>
      </c>
      <c r="L2483" s="23"/>
      <c r="M2483" s="21">
        <f t="shared" si="16"/>
        <v>1894.93</v>
      </c>
    </row>
    <row r="2484" ht="20.25" customHeight="1" outlineLevel="1">
      <c r="A2484" s="12"/>
      <c r="B2484" s="13"/>
      <c r="C2484" s="229"/>
      <c r="D2484" s="20"/>
      <c r="E2484" s="21">
        <f t="shared" si="1"/>
        <v>12593.22</v>
      </c>
      <c r="F2484" s="23"/>
      <c r="G2484" s="21">
        <f t="shared" si="8"/>
        <v>318539.46</v>
      </c>
      <c r="H2484" s="23"/>
      <c r="I2484" s="21">
        <f t="shared" si="15"/>
        <v>781.68</v>
      </c>
      <c r="J2484" s="23"/>
      <c r="K2484" s="21">
        <f t="shared" si="13"/>
        <v>204430.28</v>
      </c>
      <c r="L2484" s="23"/>
      <c r="M2484" s="21">
        <f t="shared" si="16"/>
        <v>1894.93</v>
      </c>
    </row>
    <row r="2485" ht="20.25" customHeight="1" outlineLevel="1">
      <c r="A2485" s="12"/>
      <c r="B2485" s="13"/>
      <c r="C2485" s="42"/>
      <c r="D2485" s="20"/>
      <c r="E2485" s="21">
        <f t="shared" si="1"/>
        <v>12593.22</v>
      </c>
      <c r="F2485" s="23"/>
      <c r="G2485" s="21">
        <f t="shared" si="8"/>
        <v>318539.46</v>
      </c>
      <c r="H2485" s="23"/>
      <c r="I2485" s="21">
        <f t="shared" si="15"/>
        <v>781.68</v>
      </c>
      <c r="J2485" s="23"/>
      <c r="K2485" s="21">
        <f t="shared" si="13"/>
        <v>204430.28</v>
      </c>
      <c r="L2485" s="23"/>
      <c r="M2485" s="21">
        <f t="shared" si="16"/>
        <v>1894.93</v>
      </c>
    </row>
    <row r="2486" ht="20.25" customHeight="1" outlineLevel="1">
      <c r="A2486" s="12"/>
      <c r="B2486" s="13"/>
      <c r="C2486" s="42"/>
      <c r="D2486" s="20"/>
      <c r="E2486" s="21">
        <f t="shared" si="1"/>
        <v>12593.22</v>
      </c>
      <c r="F2486" s="23"/>
      <c r="G2486" s="21">
        <f t="shared" si="8"/>
        <v>318539.46</v>
      </c>
      <c r="H2486" s="23"/>
      <c r="I2486" s="21">
        <f t="shared" si="15"/>
        <v>781.68</v>
      </c>
      <c r="J2486" s="23"/>
      <c r="K2486" s="21">
        <f t="shared" si="13"/>
        <v>204430.28</v>
      </c>
      <c r="L2486" s="23"/>
      <c r="M2486" s="21">
        <f t="shared" si="16"/>
        <v>1894.93</v>
      </c>
    </row>
    <row r="2487" ht="20.25" customHeight="1" outlineLevel="1">
      <c r="A2487" s="12"/>
      <c r="B2487" s="13"/>
      <c r="C2487" s="42"/>
      <c r="D2487" s="20"/>
      <c r="E2487" s="21">
        <f t="shared" si="1"/>
        <v>12593.22</v>
      </c>
      <c r="F2487" s="23"/>
      <c r="G2487" s="21">
        <f t="shared" si="8"/>
        <v>318539.46</v>
      </c>
      <c r="H2487" s="23"/>
      <c r="I2487" s="21">
        <f t="shared" si="15"/>
        <v>781.68</v>
      </c>
      <c r="J2487" s="23"/>
      <c r="K2487" s="21">
        <f t="shared" si="13"/>
        <v>204430.28</v>
      </c>
      <c r="L2487" s="23"/>
      <c r="M2487" s="21">
        <f t="shared" si="16"/>
        <v>1894.93</v>
      </c>
    </row>
    <row r="2488" ht="20.25" customHeight="1" outlineLevel="1">
      <c r="A2488" s="12"/>
      <c r="B2488" s="13"/>
      <c r="C2488" s="42"/>
      <c r="D2488" s="20"/>
      <c r="E2488" s="21">
        <f t="shared" si="1"/>
        <v>12593.22</v>
      </c>
      <c r="F2488" s="23"/>
      <c r="G2488" s="21">
        <f t="shared" si="8"/>
        <v>318539.46</v>
      </c>
      <c r="H2488" s="23"/>
      <c r="I2488" s="21">
        <f t="shared" si="15"/>
        <v>781.68</v>
      </c>
      <c r="J2488" s="23"/>
      <c r="K2488" s="21">
        <f t="shared" si="13"/>
        <v>204430.28</v>
      </c>
      <c r="L2488" s="23"/>
      <c r="M2488" s="21">
        <f t="shared" si="16"/>
        <v>1894.93</v>
      </c>
    </row>
    <row r="2489" ht="20.25" customHeight="1" outlineLevel="1">
      <c r="A2489" s="12"/>
      <c r="B2489" s="13"/>
      <c r="C2489" s="28"/>
      <c r="D2489" s="20"/>
      <c r="E2489" s="21">
        <f t="shared" si="1"/>
        <v>12593.22</v>
      </c>
      <c r="F2489" s="23"/>
      <c r="G2489" s="21">
        <f t="shared" si="8"/>
        <v>318539.46</v>
      </c>
      <c r="H2489" s="23"/>
      <c r="I2489" s="21">
        <f t="shared" si="15"/>
        <v>781.68</v>
      </c>
      <c r="J2489" s="23"/>
      <c r="K2489" s="21">
        <f t="shared" si="13"/>
        <v>204430.28</v>
      </c>
      <c r="L2489" s="23"/>
      <c r="M2489" s="21">
        <f t="shared" si="16"/>
        <v>1894.93</v>
      </c>
    </row>
    <row r="2490" ht="20.25" customHeight="1" outlineLevel="1">
      <c r="A2490" s="12"/>
      <c r="B2490" s="13"/>
      <c r="C2490" s="112"/>
      <c r="D2490" s="20"/>
      <c r="E2490" s="21">
        <f t="shared" si="1"/>
        <v>12593.22</v>
      </c>
      <c r="F2490" s="23"/>
      <c r="G2490" s="21">
        <f t="shared" si="8"/>
        <v>318539.46</v>
      </c>
      <c r="H2490" s="23"/>
      <c r="I2490" s="21">
        <f t="shared" si="15"/>
        <v>781.68</v>
      </c>
      <c r="J2490" s="23"/>
      <c r="K2490" s="21">
        <f t="shared" si="13"/>
        <v>204430.28</v>
      </c>
      <c r="L2490" s="23"/>
      <c r="M2490" s="21">
        <f t="shared" si="16"/>
        <v>1894.93</v>
      </c>
    </row>
    <row r="2491" ht="20.25" customHeight="1" outlineLevel="1">
      <c r="A2491" s="12"/>
      <c r="B2491" s="13"/>
      <c r="C2491" s="85"/>
      <c r="D2491" s="20"/>
      <c r="E2491" s="21">
        <f t="shared" si="1"/>
        <v>12593.22</v>
      </c>
      <c r="F2491" s="23"/>
      <c r="G2491" s="21">
        <f t="shared" si="8"/>
        <v>318539.46</v>
      </c>
      <c r="H2491" s="23"/>
      <c r="I2491" s="21">
        <f t="shared" si="15"/>
        <v>781.68</v>
      </c>
      <c r="J2491" s="23"/>
      <c r="K2491" s="21">
        <f t="shared" si="13"/>
        <v>204430.28</v>
      </c>
      <c r="L2491" s="23"/>
      <c r="M2491" s="21">
        <f t="shared" si="16"/>
        <v>1894.93</v>
      </c>
    </row>
    <row r="2492" ht="20.25" customHeight="1" outlineLevel="1">
      <c r="A2492" s="12"/>
      <c r="B2492" s="13"/>
      <c r="C2492" s="93"/>
      <c r="D2492" s="20"/>
      <c r="E2492" s="21">
        <f t="shared" si="1"/>
        <v>12593.22</v>
      </c>
      <c r="F2492" s="23"/>
      <c r="G2492" s="21">
        <f t="shared" si="8"/>
        <v>318539.46</v>
      </c>
      <c r="H2492" s="23"/>
      <c r="I2492" s="21">
        <f t="shared" si="15"/>
        <v>781.68</v>
      </c>
      <c r="J2492" s="23"/>
      <c r="K2492" s="21">
        <f t="shared" si="13"/>
        <v>204430.28</v>
      </c>
      <c r="L2492" s="23"/>
      <c r="M2492" s="21">
        <f t="shared" si="16"/>
        <v>1894.93</v>
      </c>
    </row>
    <row r="2493" ht="20.25" customHeight="1" outlineLevel="1">
      <c r="A2493" s="12"/>
      <c r="B2493" s="13"/>
      <c r="C2493" s="42"/>
      <c r="D2493" s="20"/>
      <c r="E2493" s="21">
        <f t="shared" si="1"/>
        <v>12593.22</v>
      </c>
      <c r="F2493" s="23"/>
      <c r="G2493" s="21">
        <f t="shared" si="8"/>
        <v>318539.46</v>
      </c>
      <c r="H2493" s="23"/>
      <c r="I2493" s="21">
        <f t="shared" si="15"/>
        <v>781.68</v>
      </c>
      <c r="J2493" s="23"/>
      <c r="K2493" s="21">
        <f t="shared" si="13"/>
        <v>204430.28</v>
      </c>
      <c r="L2493" s="23"/>
      <c r="M2493" s="21">
        <f t="shared" si="16"/>
        <v>1894.93</v>
      </c>
    </row>
    <row r="2494" ht="20.25" customHeight="1" outlineLevel="1">
      <c r="A2494" s="12"/>
      <c r="B2494" s="13"/>
      <c r="C2494" s="42"/>
      <c r="D2494" s="20"/>
      <c r="E2494" s="21">
        <f t="shared" si="1"/>
        <v>12593.22</v>
      </c>
      <c r="F2494" s="23"/>
      <c r="G2494" s="21">
        <f t="shared" si="8"/>
        <v>318539.46</v>
      </c>
      <c r="H2494" s="23"/>
      <c r="I2494" s="21">
        <f t="shared" si="15"/>
        <v>781.68</v>
      </c>
      <c r="J2494" s="23"/>
      <c r="K2494" s="21">
        <f t="shared" si="13"/>
        <v>204430.28</v>
      </c>
      <c r="L2494" s="23"/>
      <c r="M2494" s="21">
        <f t="shared" si="16"/>
        <v>1894.93</v>
      </c>
    </row>
    <row r="2495" ht="20.25" customHeight="1" outlineLevel="1">
      <c r="A2495" s="12"/>
      <c r="B2495" s="13"/>
      <c r="C2495" s="42"/>
      <c r="D2495" s="20"/>
      <c r="E2495" s="21">
        <f t="shared" si="1"/>
        <v>12593.22</v>
      </c>
      <c r="F2495" s="23"/>
      <c r="G2495" s="21">
        <f t="shared" si="8"/>
        <v>318539.46</v>
      </c>
      <c r="H2495" s="23"/>
      <c r="I2495" s="21">
        <f t="shared" si="15"/>
        <v>781.68</v>
      </c>
      <c r="J2495" s="23"/>
      <c r="K2495" s="21">
        <f t="shared" si="13"/>
        <v>204430.28</v>
      </c>
      <c r="L2495" s="23"/>
      <c r="M2495" s="21">
        <f t="shared" si="16"/>
        <v>1894.93</v>
      </c>
    </row>
    <row r="2496" ht="20.25" customHeight="1" outlineLevel="1">
      <c r="A2496" s="12"/>
      <c r="B2496" s="13"/>
      <c r="C2496" s="42"/>
      <c r="D2496" s="20"/>
      <c r="E2496" s="21">
        <f t="shared" si="1"/>
        <v>12593.22</v>
      </c>
      <c r="F2496" s="23"/>
      <c r="G2496" s="21">
        <f t="shared" si="8"/>
        <v>318539.46</v>
      </c>
      <c r="H2496" s="23"/>
      <c r="I2496" s="21">
        <f t="shared" si="15"/>
        <v>781.68</v>
      </c>
      <c r="J2496" s="23"/>
      <c r="K2496" s="21">
        <f t="shared" si="13"/>
        <v>204430.28</v>
      </c>
      <c r="L2496" s="23"/>
      <c r="M2496" s="21">
        <f t="shared" si="16"/>
        <v>1894.93</v>
      </c>
    </row>
    <row r="2497" ht="20.25" customHeight="1" outlineLevel="1">
      <c r="A2497" s="12"/>
      <c r="B2497" s="13"/>
      <c r="C2497" s="28"/>
      <c r="D2497" s="20"/>
      <c r="E2497" s="21">
        <f t="shared" si="1"/>
        <v>12593.22</v>
      </c>
      <c r="F2497" s="23"/>
      <c r="G2497" s="21">
        <f t="shared" si="8"/>
        <v>318539.46</v>
      </c>
      <c r="H2497" s="23"/>
      <c r="I2497" s="21">
        <f t="shared" si="15"/>
        <v>781.68</v>
      </c>
      <c r="J2497" s="23"/>
      <c r="K2497" s="21">
        <f t="shared" si="13"/>
        <v>204430.28</v>
      </c>
      <c r="L2497" s="23"/>
      <c r="M2497" s="21">
        <f t="shared" si="16"/>
        <v>1894.93</v>
      </c>
    </row>
    <row r="2498" ht="20.25" customHeight="1" outlineLevel="1">
      <c r="A2498" s="12"/>
      <c r="B2498" s="13"/>
      <c r="C2498" s="28"/>
      <c r="D2498" s="20"/>
      <c r="E2498" s="21">
        <f t="shared" si="1"/>
        <v>12593.22</v>
      </c>
      <c r="F2498" s="23"/>
      <c r="G2498" s="21">
        <f t="shared" si="8"/>
        <v>318539.46</v>
      </c>
      <c r="H2498" s="23"/>
      <c r="I2498" s="21">
        <f t="shared" si="15"/>
        <v>781.68</v>
      </c>
      <c r="J2498" s="23"/>
      <c r="K2498" s="21">
        <f t="shared" si="13"/>
        <v>204430.28</v>
      </c>
      <c r="L2498" s="23"/>
      <c r="M2498" s="21">
        <f t="shared" si="16"/>
        <v>1894.93</v>
      </c>
    </row>
    <row r="2499" ht="20.25" customHeight="1" outlineLevel="1">
      <c r="A2499" s="12"/>
      <c r="B2499" s="13"/>
      <c r="C2499" s="28"/>
      <c r="D2499" s="20"/>
      <c r="E2499" s="21">
        <f t="shared" si="1"/>
        <v>12593.22</v>
      </c>
      <c r="F2499" s="23"/>
      <c r="G2499" s="21">
        <f t="shared" si="8"/>
        <v>318539.46</v>
      </c>
      <c r="H2499" s="23"/>
      <c r="I2499" s="21">
        <f t="shared" si="15"/>
        <v>781.68</v>
      </c>
      <c r="J2499" s="23"/>
      <c r="K2499" s="21">
        <f t="shared" si="13"/>
        <v>204430.28</v>
      </c>
      <c r="L2499" s="23"/>
      <c r="M2499" s="21">
        <f t="shared" si="16"/>
        <v>1894.93</v>
      </c>
    </row>
    <row r="2500" ht="20.25" customHeight="1" outlineLevel="1">
      <c r="A2500" s="12"/>
      <c r="B2500" s="13"/>
      <c r="C2500" s="42"/>
      <c r="D2500" s="20"/>
      <c r="E2500" s="21">
        <f t="shared" si="1"/>
        <v>12593.22</v>
      </c>
      <c r="F2500" s="23"/>
      <c r="G2500" s="21">
        <f t="shared" si="8"/>
        <v>318539.46</v>
      </c>
      <c r="H2500" s="23"/>
      <c r="I2500" s="21">
        <f t="shared" si="15"/>
        <v>781.68</v>
      </c>
      <c r="J2500" s="23"/>
      <c r="K2500" s="21">
        <f t="shared" si="13"/>
        <v>204430.28</v>
      </c>
      <c r="L2500" s="23"/>
      <c r="M2500" s="21">
        <f t="shared" si="16"/>
        <v>1894.93</v>
      </c>
    </row>
    <row r="2501" ht="20.25" customHeight="1" outlineLevel="1">
      <c r="A2501" s="12"/>
      <c r="B2501" s="13"/>
      <c r="C2501" s="42"/>
      <c r="D2501" s="20"/>
      <c r="E2501" s="21">
        <f t="shared" si="1"/>
        <v>12593.22</v>
      </c>
      <c r="F2501" s="23"/>
      <c r="G2501" s="21">
        <f t="shared" si="8"/>
        <v>318539.46</v>
      </c>
      <c r="H2501" s="23"/>
      <c r="I2501" s="21">
        <f t="shared" si="15"/>
        <v>781.68</v>
      </c>
      <c r="J2501" s="23"/>
      <c r="K2501" s="21">
        <f t="shared" si="13"/>
        <v>204430.28</v>
      </c>
      <c r="L2501" s="23"/>
      <c r="M2501" s="21">
        <f t="shared" si="16"/>
        <v>1894.93</v>
      </c>
    </row>
    <row r="2502" ht="20.25" customHeight="1" outlineLevel="1">
      <c r="A2502" s="12"/>
      <c r="B2502" s="13"/>
      <c r="C2502" s="42"/>
      <c r="D2502" s="20"/>
      <c r="E2502" s="21">
        <f t="shared" si="1"/>
        <v>12593.22</v>
      </c>
      <c r="F2502" s="23"/>
      <c r="G2502" s="21">
        <f t="shared" si="8"/>
        <v>318539.46</v>
      </c>
      <c r="H2502" s="23"/>
      <c r="I2502" s="21">
        <f t="shared" si="15"/>
        <v>781.68</v>
      </c>
      <c r="J2502" s="23"/>
      <c r="K2502" s="21">
        <f t="shared" si="13"/>
        <v>204430.28</v>
      </c>
      <c r="L2502" s="23"/>
      <c r="M2502" s="21">
        <f t="shared" si="16"/>
        <v>1894.93</v>
      </c>
    </row>
    <row r="2503" ht="20.25" customHeight="1" outlineLevel="1">
      <c r="A2503" s="12"/>
      <c r="B2503" s="13"/>
      <c r="C2503" s="28"/>
      <c r="D2503" s="20"/>
      <c r="E2503" s="21">
        <f t="shared" si="1"/>
        <v>12593.22</v>
      </c>
      <c r="F2503" s="23"/>
      <c r="G2503" s="21">
        <f t="shared" si="8"/>
        <v>318539.46</v>
      </c>
      <c r="H2503" s="23"/>
      <c r="I2503" s="21">
        <f t="shared" si="15"/>
        <v>781.68</v>
      </c>
      <c r="J2503" s="23"/>
      <c r="K2503" s="21">
        <f t="shared" si="13"/>
        <v>204430.28</v>
      </c>
      <c r="L2503" s="23"/>
      <c r="M2503" s="21">
        <f t="shared" si="16"/>
        <v>1894.93</v>
      </c>
    </row>
    <row r="2504" ht="20.25" customHeight="1" outlineLevel="1">
      <c r="A2504" s="12"/>
      <c r="B2504" s="13"/>
      <c r="C2504" s="28"/>
      <c r="D2504" s="20"/>
      <c r="E2504" s="21">
        <f t="shared" si="1"/>
        <v>12593.22</v>
      </c>
      <c r="F2504" s="23"/>
      <c r="G2504" s="21">
        <f t="shared" si="8"/>
        <v>318539.46</v>
      </c>
      <c r="H2504" s="23"/>
      <c r="I2504" s="21">
        <f t="shared" si="15"/>
        <v>781.68</v>
      </c>
      <c r="J2504" s="23"/>
      <c r="K2504" s="21">
        <f t="shared" si="13"/>
        <v>204430.28</v>
      </c>
      <c r="L2504" s="23"/>
      <c r="M2504" s="21">
        <f t="shared" si="16"/>
        <v>1894.93</v>
      </c>
    </row>
    <row r="2505" ht="20.25" customHeight="1" outlineLevel="1">
      <c r="A2505" s="12"/>
      <c r="B2505" s="13"/>
      <c r="C2505" s="28"/>
      <c r="D2505" s="20"/>
      <c r="E2505" s="21">
        <f t="shared" si="1"/>
        <v>12593.22</v>
      </c>
      <c r="F2505" s="23"/>
      <c r="G2505" s="21">
        <f t="shared" si="8"/>
        <v>318539.46</v>
      </c>
      <c r="H2505" s="23"/>
      <c r="I2505" s="21">
        <f t="shared" si="15"/>
        <v>781.68</v>
      </c>
      <c r="J2505" s="23"/>
      <c r="K2505" s="21">
        <f t="shared" si="13"/>
        <v>204430.28</v>
      </c>
      <c r="L2505" s="23"/>
      <c r="M2505" s="21">
        <f t="shared" si="16"/>
        <v>1894.93</v>
      </c>
    </row>
    <row r="2506" ht="20.25" customHeight="1" outlineLevel="1">
      <c r="A2506" s="12"/>
      <c r="B2506" s="13"/>
      <c r="C2506" s="28"/>
      <c r="D2506" s="20"/>
      <c r="E2506" s="21">
        <f t="shared" si="1"/>
        <v>12593.22</v>
      </c>
      <c r="F2506" s="23"/>
      <c r="G2506" s="21">
        <f t="shared" si="8"/>
        <v>318539.46</v>
      </c>
      <c r="H2506" s="23"/>
      <c r="I2506" s="21">
        <f t="shared" si="15"/>
        <v>781.68</v>
      </c>
      <c r="J2506" s="23"/>
      <c r="K2506" s="21">
        <f t="shared" si="13"/>
        <v>204430.28</v>
      </c>
      <c r="L2506" s="23"/>
      <c r="M2506" s="21">
        <f t="shared" si="16"/>
        <v>1894.93</v>
      </c>
    </row>
    <row r="2507" ht="20.25" customHeight="1" outlineLevel="1">
      <c r="A2507" s="12"/>
      <c r="B2507" s="13"/>
      <c r="C2507" s="225"/>
      <c r="D2507" s="20"/>
      <c r="E2507" s="21">
        <f t="shared" si="1"/>
        <v>12593.22</v>
      </c>
      <c r="F2507" s="23"/>
      <c r="G2507" s="21">
        <f t="shared" si="8"/>
        <v>318539.46</v>
      </c>
      <c r="H2507" s="23"/>
      <c r="I2507" s="21">
        <f t="shared" si="15"/>
        <v>781.68</v>
      </c>
      <c r="J2507" s="23"/>
      <c r="K2507" s="21">
        <f t="shared" si="13"/>
        <v>204430.28</v>
      </c>
      <c r="L2507" s="23"/>
      <c r="M2507" s="21">
        <f t="shared" si="16"/>
        <v>1894.93</v>
      </c>
    </row>
    <row r="2508" ht="20.25" customHeight="1" outlineLevel="1">
      <c r="A2508" s="12"/>
      <c r="B2508" s="13"/>
      <c r="C2508" s="229"/>
      <c r="D2508" s="20"/>
      <c r="E2508" s="21">
        <f t="shared" si="1"/>
        <v>12593.22</v>
      </c>
      <c r="F2508" s="23"/>
      <c r="G2508" s="21">
        <f t="shared" si="8"/>
        <v>318539.46</v>
      </c>
      <c r="H2508" s="23"/>
      <c r="I2508" s="21">
        <f t="shared" si="15"/>
        <v>781.68</v>
      </c>
      <c r="J2508" s="23"/>
      <c r="K2508" s="21">
        <f t="shared" si="13"/>
        <v>204430.28</v>
      </c>
      <c r="L2508" s="23"/>
      <c r="M2508" s="21">
        <f t="shared" si="16"/>
        <v>1894.93</v>
      </c>
    </row>
    <row r="2509" ht="20.25" customHeight="1" outlineLevel="1">
      <c r="A2509" s="12"/>
      <c r="B2509" s="13"/>
      <c r="C2509" s="229"/>
      <c r="D2509" s="20"/>
      <c r="E2509" s="21">
        <f t="shared" si="1"/>
        <v>12593.22</v>
      </c>
      <c r="F2509" s="23"/>
      <c r="G2509" s="21">
        <f t="shared" si="8"/>
        <v>318539.46</v>
      </c>
      <c r="H2509" s="23"/>
      <c r="I2509" s="21">
        <f t="shared" si="15"/>
        <v>781.68</v>
      </c>
      <c r="J2509" s="23"/>
      <c r="K2509" s="21">
        <f t="shared" si="13"/>
        <v>204430.28</v>
      </c>
      <c r="L2509" s="23"/>
      <c r="M2509" s="21">
        <f t="shared" si="16"/>
        <v>1894.93</v>
      </c>
    </row>
    <row r="2510" ht="20.25" customHeight="1" outlineLevel="1">
      <c r="A2510" s="12"/>
      <c r="B2510" s="13"/>
      <c r="C2510" s="242"/>
      <c r="D2510" s="20"/>
      <c r="E2510" s="21">
        <f t="shared" si="1"/>
        <v>12593.22</v>
      </c>
      <c r="F2510" s="23"/>
      <c r="G2510" s="21">
        <f t="shared" si="8"/>
        <v>318539.46</v>
      </c>
      <c r="H2510" s="23"/>
      <c r="I2510" s="21">
        <f t="shared" si="15"/>
        <v>781.68</v>
      </c>
      <c r="J2510" s="23"/>
      <c r="K2510" s="21">
        <f t="shared" si="13"/>
        <v>204430.28</v>
      </c>
      <c r="L2510" s="23"/>
      <c r="M2510" s="21">
        <f t="shared" si="16"/>
        <v>1894.93</v>
      </c>
    </row>
    <row r="2511" ht="20.25" customHeight="1" outlineLevel="1">
      <c r="A2511" s="12"/>
      <c r="B2511" s="13"/>
      <c r="C2511" s="238"/>
      <c r="D2511" s="20"/>
      <c r="E2511" s="21">
        <f t="shared" si="1"/>
        <v>12593.22</v>
      </c>
      <c r="F2511" s="23"/>
      <c r="G2511" s="21">
        <f t="shared" si="8"/>
        <v>318539.46</v>
      </c>
      <c r="H2511" s="23"/>
      <c r="I2511" s="21">
        <f t="shared" si="15"/>
        <v>781.68</v>
      </c>
      <c r="J2511" s="23"/>
      <c r="K2511" s="21">
        <f t="shared" si="13"/>
        <v>204430.28</v>
      </c>
      <c r="L2511" s="23"/>
      <c r="M2511" s="21">
        <f t="shared" si="16"/>
        <v>1894.93</v>
      </c>
    </row>
    <row r="2512" ht="20.25" customHeight="1" outlineLevel="1">
      <c r="A2512" s="12"/>
      <c r="B2512" s="13"/>
      <c r="C2512" s="238"/>
      <c r="D2512" s="20"/>
      <c r="E2512" s="21">
        <f t="shared" si="1"/>
        <v>12593.22</v>
      </c>
      <c r="F2512" s="23"/>
      <c r="G2512" s="21">
        <f t="shared" si="8"/>
        <v>318539.46</v>
      </c>
      <c r="H2512" s="23"/>
      <c r="I2512" s="21">
        <f t="shared" si="15"/>
        <v>781.68</v>
      </c>
      <c r="J2512" s="23"/>
      <c r="K2512" s="21">
        <f t="shared" si="13"/>
        <v>204430.28</v>
      </c>
      <c r="L2512" s="23"/>
      <c r="M2512" s="21">
        <f t="shared" si="16"/>
        <v>1894.93</v>
      </c>
    </row>
    <row r="2513" ht="20.25" customHeight="1" outlineLevel="1">
      <c r="A2513" s="12"/>
      <c r="B2513" s="13"/>
      <c r="C2513" s="238"/>
      <c r="D2513" s="20"/>
      <c r="E2513" s="21">
        <f t="shared" si="1"/>
        <v>12593.22</v>
      </c>
      <c r="F2513" s="23"/>
      <c r="G2513" s="21">
        <f t="shared" si="8"/>
        <v>318539.46</v>
      </c>
      <c r="H2513" s="23"/>
      <c r="I2513" s="21">
        <f t="shared" si="15"/>
        <v>781.68</v>
      </c>
      <c r="J2513" s="23"/>
      <c r="K2513" s="21">
        <f t="shared" si="13"/>
        <v>204430.28</v>
      </c>
      <c r="L2513" s="23"/>
      <c r="M2513" s="21">
        <f t="shared" si="16"/>
        <v>1894.93</v>
      </c>
    </row>
    <row r="2514" ht="20.25" customHeight="1" outlineLevel="1">
      <c r="A2514" s="12"/>
      <c r="B2514" s="13"/>
      <c r="C2514" s="239"/>
      <c r="D2514" s="20"/>
      <c r="E2514" s="21">
        <f t="shared" si="1"/>
        <v>12593.22</v>
      </c>
      <c r="F2514" s="23"/>
      <c r="G2514" s="21">
        <f t="shared" si="8"/>
        <v>318539.46</v>
      </c>
      <c r="H2514" s="23"/>
      <c r="I2514" s="21">
        <f t="shared" si="15"/>
        <v>781.68</v>
      </c>
      <c r="J2514" s="23"/>
      <c r="K2514" s="21">
        <f t="shared" si="13"/>
        <v>204430.28</v>
      </c>
      <c r="L2514" s="23"/>
      <c r="M2514" s="21">
        <f t="shared" si="16"/>
        <v>1894.93</v>
      </c>
    </row>
    <row r="2515" ht="20.25" customHeight="1" outlineLevel="1">
      <c r="A2515" s="12"/>
      <c r="B2515" s="13"/>
      <c r="C2515" s="239"/>
      <c r="D2515" s="20"/>
      <c r="E2515" s="21">
        <f t="shared" si="1"/>
        <v>12593.22</v>
      </c>
      <c r="F2515" s="23"/>
      <c r="G2515" s="21">
        <f t="shared" si="8"/>
        <v>318539.46</v>
      </c>
      <c r="H2515" s="23"/>
      <c r="I2515" s="21">
        <f t="shared" si="15"/>
        <v>781.68</v>
      </c>
      <c r="J2515" s="23"/>
      <c r="K2515" s="21">
        <f t="shared" si="13"/>
        <v>204430.28</v>
      </c>
      <c r="L2515" s="23"/>
      <c r="M2515" s="21">
        <f t="shared" si="16"/>
        <v>1894.93</v>
      </c>
    </row>
    <row r="2516" ht="20.25" customHeight="1" outlineLevel="1">
      <c r="A2516" s="12"/>
      <c r="B2516" s="13"/>
      <c r="C2516" s="238"/>
      <c r="D2516" s="20"/>
      <c r="E2516" s="21">
        <f t="shared" si="1"/>
        <v>12593.22</v>
      </c>
      <c r="F2516" s="23"/>
      <c r="G2516" s="21">
        <f t="shared" si="8"/>
        <v>318539.46</v>
      </c>
      <c r="H2516" s="23"/>
      <c r="I2516" s="21">
        <f t="shared" si="15"/>
        <v>781.68</v>
      </c>
      <c r="J2516" s="23"/>
      <c r="K2516" s="21">
        <f t="shared" si="13"/>
        <v>204430.28</v>
      </c>
      <c r="L2516" s="23"/>
      <c r="M2516" s="21">
        <f t="shared" si="16"/>
        <v>1894.93</v>
      </c>
    </row>
    <row r="2517" ht="20.25" customHeight="1" outlineLevel="1">
      <c r="A2517" s="12"/>
      <c r="B2517" s="13"/>
      <c r="C2517" s="238"/>
      <c r="D2517" s="20"/>
      <c r="E2517" s="21">
        <f t="shared" si="1"/>
        <v>12593.22</v>
      </c>
      <c r="F2517" s="23"/>
      <c r="G2517" s="21">
        <f t="shared" si="8"/>
        <v>318539.46</v>
      </c>
      <c r="H2517" s="23"/>
      <c r="I2517" s="21">
        <f t="shared" si="15"/>
        <v>781.68</v>
      </c>
      <c r="J2517" s="23"/>
      <c r="K2517" s="21">
        <f t="shared" si="13"/>
        <v>204430.28</v>
      </c>
      <c r="L2517" s="23"/>
      <c r="M2517" s="21">
        <f t="shared" si="16"/>
        <v>1894.93</v>
      </c>
    </row>
    <row r="2518" ht="20.25" customHeight="1" outlineLevel="1">
      <c r="A2518" s="12"/>
      <c r="B2518" s="13"/>
      <c r="C2518" s="238"/>
      <c r="D2518" s="20"/>
      <c r="E2518" s="21">
        <f t="shared" si="1"/>
        <v>12593.22</v>
      </c>
      <c r="F2518" s="23"/>
      <c r="G2518" s="21">
        <f t="shared" si="8"/>
        <v>318539.46</v>
      </c>
      <c r="H2518" s="23"/>
      <c r="I2518" s="21">
        <f t="shared" si="15"/>
        <v>781.68</v>
      </c>
      <c r="J2518" s="23"/>
      <c r="K2518" s="21">
        <f t="shared" si="13"/>
        <v>204430.28</v>
      </c>
      <c r="L2518" s="23"/>
      <c r="M2518" s="21">
        <f t="shared" si="16"/>
        <v>1894.93</v>
      </c>
    </row>
    <row r="2519" ht="20.25" customHeight="1" outlineLevel="1">
      <c r="A2519" s="12"/>
      <c r="B2519" s="13"/>
      <c r="C2519" s="238"/>
      <c r="D2519" s="20"/>
      <c r="E2519" s="21">
        <f t="shared" si="1"/>
        <v>12593.22</v>
      </c>
      <c r="F2519" s="23"/>
      <c r="G2519" s="21">
        <f t="shared" si="8"/>
        <v>318539.46</v>
      </c>
      <c r="H2519" s="23"/>
      <c r="I2519" s="21">
        <f t="shared" si="15"/>
        <v>781.68</v>
      </c>
      <c r="J2519" s="23"/>
      <c r="K2519" s="21">
        <f t="shared" si="13"/>
        <v>204430.28</v>
      </c>
      <c r="L2519" s="23"/>
      <c r="M2519" s="21">
        <f t="shared" si="16"/>
        <v>1894.93</v>
      </c>
    </row>
    <row r="2520" ht="20.25" customHeight="1" outlineLevel="1">
      <c r="A2520" s="12"/>
      <c r="B2520" s="13"/>
      <c r="C2520" s="85"/>
      <c r="D2520" s="20"/>
      <c r="E2520" s="21">
        <f t="shared" si="1"/>
        <v>12593.22</v>
      </c>
      <c r="F2520" s="23"/>
      <c r="G2520" s="21">
        <f t="shared" si="8"/>
        <v>318539.46</v>
      </c>
      <c r="H2520" s="23"/>
      <c r="I2520" s="21">
        <f t="shared" si="15"/>
        <v>781.68</v>
      </c>
      <c r="J2520" s="23"/>
      <c r="K2520" s="21">
        <f t="shared" si="13"/>
        <v>204430.28</v>
      </c>
      <c r="L2520" s="23"/>
      <c r="M2520" s="21">
        <f t="shared" si="16"/>
        <v>1894.93</v>
      </c>
    </row>
    <row r="2521" ht="20.25" customHeight="1" outlineLevel="1">
      <c r="A2521" s="12"/>
      <c r="B2521" s="13"/>
      <c r="C2521" s="85"/>
      <c r="D2521" s="20"/>
      <c r="E2521" s="21">
        <f t="shared" si="1"/>
        <v>12593.22</v>
      </c>
      <c r="F2521" s="23"/>
      <c r="G2521" s="21">
        <f t="shared" si="8"/>
        <v>318539.46</v>
      </c>
      <c r="H2521" s="23"/>
      <c r="I2521" s="21">
        <f t="shared" si="15"/>
        <v>781.68</v>
      </c>
      <c r="J2521" s="23"/>
      <c r="K2521" s="21">
        <f t="shared" si="13"/>
        <v>204430.28</v>
      </c>
      <c r="L2521" s="23"/>
      <c r="M2521" s="21">
        <f t="shared" si="16"/>
        <v>1894.93</v>
      </c>
    </row>
    <row r="2522" ht="20.25" customHeight="1" outlineLevel="1">
      <c r="A2522" s="12"/>
      <c r="B2522" s="13"/>
      <c r="C2522" s="85"/>
      <c r="D2522" s="20"/>
      <c r="E2522" s="21">
        <f t="shared" si="1"/>
        <v>12593.22</v>
      </c>
      <c r="F2522" s="23"/>
      <c r="G2522" s="21">
        <f t="shared" si="8"/>
        <v>318539.46</v>
      </c>
      <c r="H2522" s="23"/>
      <c r="I2522" s="21">
        <f t="shared" si="15"/>
        <v>781.68</v>
      </c>
      <c r="J2522" s="23"/>
      <c r="K2522" s="21">
        <f t="shared" si="13"/>
        <v>204430.28</v>
      </c>
      <c r="L2522" s="23"/>
      <c r="M2522" s="21">
        <f t="shared" si="16"/>
        <v>1894.93</v>
      </c>
    </row>
    <row r="2523" ht="20.25" customHeight="1" outlineLevel="1">
      <c r="A2523" s="12"/>
      <c r="B2523" s="13"/>
      <c r="C2523" s="85"/>
      <c r="D2523" s="20"/>
      <c r="E2523" s="21">
        <f t="shared" si="1"/>
        <v>12593.22</v>
      </c>
      <c r="F2523" s="23"/>
      <c r="G2523" s="21">
        <f t="shared" si="8"/>
        <v>318539.46</v>
      </c>
      <c r="H2523" s="23"/>
      <c r="I2523" s="21">
        <f t="shared" si="15"/>
        <v>781.68</v>
      </c>
      <c r="J2523" s="23"/>
      <c r="K2523" s="21">
        <f t="shared" si="13"/>
        <v>204430.28</v>
      </c>
      <c r="L2523" s="23"/>
      <c r="M2523" s="21">
        <f t="shared" si="16"/>
        <v>1894.93</v>
      </c>
    </row>
    <row r="2524" ht="20.25" customHeight="1" outlineLevel="1">
      <c r="A2524" s="12"/>
      <c r="B2524" s="13"/>
      <c r="C2524" s="85"/>
      <c r="D2524" s="20"/>
      <c r="E2524" s="21">
        <f t="shared" si="1"/>
        <v>12593.22</v>
      </c>
      <c r="F2524" s="23"/>
      <c r="G2524" s="21">
        <f t="shared" si="8"/>
        <v>318539.46</v>
      </c>
      <c r="H2524" s="23"/>
      <c r="I2524" s="21">
        <f t="shared" si="15"/>
        <v>781.68</v>
      </c>
      <c r="J2524" s="23"/>
      <c r="K2524" s="21">
        <f t="shared" si="13"/>
        <v>204430.28</v>
      </c>
      <c r="L2524" s="23"/>
      <c r="M2524" s="21">
        <f t="shared" si="16"/>
        <v>1894.93</v>
      </c>
    </row>
    <row r="2525" ht="20.25" customHeight="1" outlineLevel="1">
      <c r="A2525" s="12"/>
      <c r="B2525" s="13"/>
      <c r="C2525" s="85"/>
      <c r="D2525" s="20"/>
      <c r="E2525" s="21">
        <f t="shared" si="1"/>
        <v>12593.22</v>
      </c>
      <c r="F2525" s="23"/>
      <c r="G2525" s="21">
        <f t="shared" si="8"/>
        <v>318539.46</v>
      </c>
      <c r="H2525" s="23"/>
      <c r="I2525" s="21">
        <f t="shared" si="15"/>
        <v>781.68</v>
      </c>
      <c r="J2525" s="23"/>
      <c r="K2525" s="21">
        <f t="shared" si="13"/>
        <v>204430.28</v>
      </c>
      <c r="L2525" s="23"/>
      <c r="M2525" s="21">
        <f t="shared" si="16"/>
        <v>1894.93</v>
      </c>
    </row>
    <row r="2526" ht="20.25" customHeight="1" outlineLevel="1">
      <c r="A2526" s="12"/>
      <c r="B2526" s="13"/>
      <c r="C2526" s="85"/>
      <c r="D2526" s="20"/>
      <c r="E2526" s="21">
        <f t="shared" si="1"/>
        <v>12593.22</v>
      </c>
      <c r="F2526" s="23"/>
      <c r="G2526" s="21">
        <f t="shared" si="8"/>
        <v>318539.46</v>
      </c>
      <c r="H2526" s="23"/>
      <c r="I2526" s="21">
        <f t="shared" si="15"/>
        <v>781.68</v>
      </c>
      <c r="J2526" s="23"/>
      <c r="K2526" s="21">
        <f t="shared" si="13"/>
        <v>204430.28</v>
      </c>
      <c r="L2526" s="23"/>
      <c r="M2526" s="21">
        <f t="shared" si="16"/>
        <v>1894.93</v>
      </c>
    </row>
    <row r="2527" ht="20.25" customHeight="1" outlineLevel="1">
      <c r="A2527" s="12"/>
      <c r="B2527" s="13"/>
      <c r="C2527" s="85"/>
      <c r="D2527" s="20"/>
      <c r="E2527" s="21">
        <f t="shared" si="1"/>
        <v>12593.22</v>
      </c>
      <c r="F2527" s="23"/>
      <c r="G2527" s="21">
        <f t="shared" si="8"/>
        <v>318539.46</v>
      </c>
      <c r="H2527" s="23"/>
      <c r="I2527" s="21">
        <f t="shared" si="15"/>
        <v>781.68</v>
      </c>
      <c r="J2527" s="23"/>
      <c r="K2527" s="21">
        <f t="shared" si="13"/>
        <v>204430.28</v>
      </c>
      <c r="L2527" s="23"/>
      <c r="M2527" s="21">
        <f t="shared" si="16"/>
        <v>1894.93</v>
      </c>
    </row>
    <row r="2528" ht="20.25" customHeight="1" outlineLevel="1">
      <c r="A2528" s="12"/>
      <c r="B2528" s="13"/>
      <c r="C2528" s="85"/>
      <c r="D2528" s="20"/>
      <c r="E2528" s="21">
        <f t="shared" si="1"/>
        <v>12593.22</v>
      </c>
      <c r="F2528" s="23"/>
      <c r="G2528" s="21">
        <f t="shared" si="8"/>
        <v>318539.46</v>
      </c>
      <c r="H2528" s="23"/>
      <c r="I2528" s="21">
        <f t="shared" si="15"/>
        <v>781.68</v>
      </c>
      <c r="J2528" s="23"/>
      <c r="K2528" s="21">
        <f t="shared" si="13"/>
        <v>204430.28</v>
      </c>
      <c r="L2528" s="23"/>
      <c r="M2528" s="21">
        <f t="shared" si="16"/>
        <v>1894.93</v>
      </c>
    </row>
    <row r="2529" ht="20.25" customHeight="1" outlineLevel="1">
      <c r="A2529" s="12"/>
      <c r="B2529" s="13"/>
      <c r="C2529" s="85"/>
      <c r="D2529" s="20"/>
      <c r="E2529" s="21">
        <f t="shared" si="1"/>
        <v>12593.22</v>
      </c>
      <c r="F2529" s="23"/>
      <c r="G2529" s="21">
        <f t="shared" si="8"/>
        <v>318539.46</v>
      </c>
      <c r="H2529" s="23"/>
      <c r="I2529" s="21">
        <f t="shared" si="15"/>
        <v>781.68</v>
      </c>
      <c r="J2529" s="23"/>
      <c r="K2529" s="21">
        <f t="shared" si="13"/>
        <v>204430.28</v>
      </c>
      <c r="L2529" s="23"/>
      <c r="M2529" s="21">
        <f t="shared" si="16"/>
        <v>1894.93</v>
      </c>
    </row>
    <row r="2530" ht="20.25" customHeight="1" outlineLevel="1">
      <c r="A2530" s="12"/>
      <c r="B2530" s="13"/>
      <c r="C2530" s="85"/>
      <c r="D2530" s="20"/>
      <c r="E2530" s="21">
        <f t="shared" si="1"/>
        <v>12593.22</v>
      </c>
      <c r="F2530" s="23"/>
      <c r="G2530" s="21">
        <f t="shared" si="8"/>
        <v>318539.46</v>
      </c>
      <c r="H2530" s="23"/>
      <c r="I2530" s="21">
        <f t="shared" si="15"/>
        <v>781.68</v>
      </c>
      <c r="J2530" s="23"/>
      <c r="K2530" s="21">
        <f t="shared" si="13"/>
        <v>204430.28</v>
      </c>
      <c r="L2530" s="23"/>
      <c r="M2530" s="21">
        <f t="shared" si="16"/>
        <v>1894.93</v>
      </c>
    </row>
    <row r="2531" ht="20.25" customHeight="1" outlineLevel="1">
      <c r="A2531" s="12"/>
      <c r="B2531" s="13"/>
      <c r="C2531" s="85"/>
      <c r="D2531" s="20"/>
      <c r="E2531" s="21">
        <f t="shared" si="1"/>
        <v>12593.22</v>
      </c>
      <c r="F2531" s="23"/>
      <c r="G2531" s="21">
        <f t="shared" si="8"/>
        <v>318539.46</v>
      </c>
      <c r="H2531" s="23"/>
      <c r="I2531" s="21">
        <f t="shared" si="15"/>
        <v>781.68</v>
      </c>
      <c r="J2531" s="23"/>
      <c r="K2531" s="21">
        <f t="shared" si="13"/>
        <v>204430.28</v>
      </c>
      <c r="L2531" s="23"/>
      <c r="M2531" s="21">
        <f t="shared" si="16"/>
        <v>1894.93</v>
      </c>
    </row>
    <row r="2532" ht="20.25" customHeight="1" outlineLevel="1">
      <c r="A2532" s="12"/>
      <c r="B2532" s="13"/>
      <c r="C2532" s="85"/>
      <c r="D2532" s="20"/>
      <c r="E2532" s="21">
        <f t="shared" si="1"/>
        <v>12593.22</v>
      </c>
      <c r="F2532" s="23"/>
      <c r="G2532" s="21">
        <f t="shared" si="8"/>
        <v>318539.46</v>
      </c>
      <c r="H2532" s="23"/>
      <c r="I2532" s="21">
        <f t="shared" si="15"/>
        <v>781.68</v>
      </c>
      <c r="J2532" s="23"/>
      <c r="K2532" s="21">
        <f t="shared" si="13"/>
        <v>204430.28</v>
      </c>
      <c r="L2532" s="23"/>
      <c r="M2532" s="21">
        <f t="shared" si="16"/>
        <v>1894.93</v>
      </c>
    </row>
    <row r="2533" ht="20.25" customHeight="1" outlineLevel="1">
      <c r="A2533" s="12"/>
      <c r="B2533" s="13"/>
      <c r="C2533" s="85"/>
      <c r="D2533" s="20"/>
      <c r="E2533" s="21">
        <f t="shared" si="1"/>
        <v>12593.22</v>
      </c>
      <c r="F2533" s="23"/>
      <c r="G2533" s="21">
        <f t="shared" si="8"/>
        <v>318539.46</v>
      </c>
      <c r="H2533" s="23"/>
      <c r="I2533" s="21">
        <f t="shared" si="15"/>
        <v>781.68</v>
      </c>
      <c r="J2533" s="23"/>
      <c r="K2533" s="21">
        <f t="shared" si="13"/>
        <v>204430.28</v>
      </c>
      <c r="L2533" s="23"/>
      <c r="M2533" s="21">
        <f t="shared" si="16"/>
        <v>1894.93</v>
      </c>
    </row>
    <row r="2534" ht="20.25" customHeight="1" outlineLevel="1">
      <c r="A2534" s="12"/>
      <c r="B2534" s="13"/>
      <c r="C2534" s="85"/>
      <c r="D2534" s="20"/>
      <c r="E2534" s="21">
        <f t="shared" si="1"/>
        <v>12593.22</v>
      </c>
      <c r="F2534" s="23"/>
      <c r="G2534" s="21">
        <f t="shared" si="8"/>
        <v>318539.46</v>
      </c>
      <c r="H2534" s="23"/>
      <c r="I2534" s="21">
        <f t="shared" si="15"/>
        <v>781.68</v>
      </c>
      <c r="J2534" s="23"/>
      <c r="K2534" s="21">
        <f t="shared" si="13"/>
        <v>204430.28</v>
      </c>
      <c r="L2534" s="23"/>
      <c r="M2534" s="21">
        <f t="shared" si="16"/>
        <v>1894.93</v>
      </c>
    </row>
    <row r="2535" ht="20.25" customHeight="1" outlineLevel="1">
      <c r="A2535" s="12"/>
      <c r="B2535" s="13"/>
      <c r="C2535" s="85"/>
      <c r="D2535" s="20"/>
      <c r="E2535" s="21">
        <f t="shared" si="1"/>
        <v>12593.22</v>
      </c>
      <c r="F2535" s="23"/>
      <c r="G2535" s="21">
        <f t="shared" si="8"/>
        <v>318539.46</v>
      </c>
      <c r="H2535" s="23"/>
      <c r="I2535" s="21">
        <f t="shared" si="15"/>
        <v>781.68</v>
      </c>
      <c r="J2535" s="23"/>
      <c r="K2535" s="21">
        <f t="shared" si="13"/>
        <v>204430.28</v>
      </c>
      <c r="L2535" s="23"/>
      <c r="M2535" s="21">
        <f t="shared" si="16"/>
        <v>1894.93</v>
      </c>
    </row>
    <row r="2536" ht="20.25" customHeight="1" outlineLevel="1">
      <c r="A2536" s="12"/>
      <c r="B2536" s="13"/>
      <c r="C2536" s="85"/>
      <c r="D2536" s="20"/>
      <c r="E2536" s="21">
        <f t="shared" si="1"/>
        <v>12593.22</v>
      </c>
      <c r="F2536" s="23"/>
      <c r="G2536" s="21">
        <f t="shared" si="8"/>
        <v>318539.46</v>
      </c>
      <c r="H2536" s="23"/>
      <c r="I2536" s="21">
        <f t="shared" si="15"/>
        <v>781.68</v>
      </c>
      <c r="J2536" s="23"/>
      <c r="K2536" s="21">
        <f t="shared" si="13"/>
        <v>204430.28</v>
      </c>
      <c r="L2536" s="23"/>
      <c r="M2536" s="21">
        <f t="shared" si="16"/>
        <v>1894.93</v>
      </c>
    </row>
    <row r="2537" ht="20.25" customHeight="1" outlineLevel="1">
      <c r="A2537" s="12"/>
      <c r="B2537" s="13"/>
      <c r="C2537" s="85"/>
      <c r="D2537" s="20"/>
      <c r="E2537" s="21">
        <f t="shared" si="1"/>
        <v>12593.22</v>
      </c>
      <c r="F2537" s="23"/>
      <c r="G2537" s="21">
        <f t="shared" si="8"/>
        <v>318539.46</v>
      </c>
      <c r="H2537" s="23"/>
      <c r="I2537" s="21">
        <f t="shared" si="15"/>
        <v>781.68</v>
      </c>
      <c r="J2537" s="23"/>
      <c r="K2537" s="21">
        <f t="shared" si="13"/>
        <v>204430.28</v>
      </c>
      <c r="L2537" s="23"/>
      <c r="M2537" s="21">
        <f t="shared" si="16"/>
        <v>1894.93</v>
      </c>
    </row>
    <row r="2538" ht="20.25" customHeight="1" outlineLevel="1">
      <c r="A2538" s="12"/>
      <c r="B2538" s="13"/>
      <c r="C2538" s="85"/>
      <c r="D2538" s="20"/>
      <c r="E2538" s="21">
        <f t="shared" si="1"/>
        <v>12593.22</v>
      </c>
      <c r="F2538" s="23"/>
      <c r="G2538" s="21">
        <f t="shared" si="8"/>
        <v>318539.46</v>
      </c>
      <c r="H2538" s="23"/>
      <c r="I2538" s="21">
        <f t="shared" si="15"/>
        <v>781.68</v>
      </c>
      <c r="J2538" s="23"/>
      <c r="K2538" s="21">
        <f t="shared" si="13"/>
        <v>204430.28</v>
      </c>
      <c r="L2538" s="23"/>
      <c r="M2538" s="21">
        <f t="shared" si="16"/>
        <v>1894.93</v>
      </c>
    </row>
    <row r="2539" ht="20.25" customHeight="1" outlineLevel="1">
      <c r="A2539" s="12"/>
      <c r="B2539" s="13"/>
      <c r="C2539" s="85"/>
      <c r="D2539" s="20"/>
      <c r="E2539" s="21">
        <f t="shared" si="1"/>
        <v>12593.22</v>
      </c>
      <c r="F2539" s="23"/>
      <c r="G2539" s="21">
        <f t="shared" si="8"/>
        <v>318539.46</v>
      </c>
      <c r="H2539" s="23"/>
      <c r="I2539" s="21">
        <f t="shared" si="15"/>
        <v>781.68</v>
      </c>
      <c r="J2539" s="23"/>
      <c r="K2539" s="21">
        <f t="shared" si="13"/>
        <v>204430.28</v>
      </c>
      <c r="L2539" s="23"/>
      <c r="M2539" s="21">
        <f t="shared" si="16"/>
        <v>1894.93</v>
      </c>
    </row>
    <row r="2540" ht="20.25" customHeight="1" outlineLevel="1">
      <c r="A2540" s="12"/>
      <c r="B2540" s="13"/>
      <c r="C2540" s="85"/>
      <c r="D2540" s="20"/>
      <c r="E2540" s="21">
        <f t="shared" si="1"/>
        <v>12593.22</v>
      </c>
      <c r="F2540" s="23"/>
      <c r="G2540" s="21">
        <f t="shared" si="8"/>
        <v>318539.46</v>
      </c>
      <c r="H2540" s="23"/>
      <c r="I2540" s="21">
        <f t="shared" si="15"/>
        <v>781.68</v>
      </c>
      <c r="J2540" s="23"/>
      <c r="K2540" s="21">
        <f t="shared" si="13"/>
        <v>204430.28</v>
      </c>
      <c r="L2540" s="23"/>
      <c r="M2540" s="21">
        <f t="shared" si="16"/>
        <v>1894.93</v>
      </c>
    </row>
    <row r="2541" ht="20.25" customHeight="1" outlineLevel="1">
      <c r="A2541" s="12"/>
      <c r="B2541" s="13"/>
      <c r="C2541" s="85"/>
      <c r="D2541" s="20"/>
      <c r="E2541" s="21">
        <f t="shared" si="1"/>
        <v>12593.22</v>
      </c>
      <c r="F2541" s="23"/>
      <c r="G2541" s="21">
        <f t="shared" si="8"/>
        <v>318539.46</v>
      </c>
      <c r="H2541" s="23"/>
      <c r="I2541" s="21">
        <f t="shared" si="15"/>
        <v>781.68</v>
      </c>
      <c r="J2541" s="23"/>
      <c r="K2541" s="21">
        <f t="shared" si="13"/>
        <v>204430.28</v>
      </c>
      <c r="L2541" s="23"/>
      <c r="M2541" s="21">
        <f t="shared" si="16"/>
        <v>1894.93</v>
      </c>
    </row>
    <row r="2542" ht="20.25" customHeight="1" outlineLevel="1">
      <c r="A2542" s="12"/>
      <c r="B2542" s="13"/>
      <c r="C2542" s="85"/>
      <c r="D2542" s="20"/>
      <c r="E2542" s="21">
        <f t="shared" si="1"/>
        <v>12593.22</v>
      </c>
      <c r="F2542" s="23"/>
      <c r="G2542" s="21">
        <f t="shared" si="8"/>
        <v>318539.46</v>
      </c>
      <c r="H2542" s="23"/>
      <c r="I2542" s="21">
        <f t="shared" si="15"/>
        <v>781.68</v>
      </c>
      <c r="J2542" s="23"/>
      <c r="K2542" s="21">
        <f t="shared" si="13"/>
        <v>204430.28</v>
      </c>
      <c r="L2542" s="23"/>
      <c r="M2542" s="21">
        <f t="shared" si="16"/>
        <v>1894.93</v>
      </c>
    </row>
    <row r="2543" ht="20.25" customHeight="1" outlineLevel="1">
      <c r="A2543" s="12"/>
      <c r="B2543" s="13"/>
      <c r="C2543" s="85"/>
      <c r="D2543" s="20"/>
      <c r="E2543" s="21">
        <f t="shared" si="1"/>
        <v>12593.22</v>
      </c>
      <c r="F2543" s="23"/>
      <c r="G2543" s="21">
        <f t="shared" si="8"/>
        <v>318539.46</v>
      </c>
      <c r="H2543" s="23"/>
      <c r="I2543" s="21">
        <f t="shared" si="15"/>
        <v>781.68</v>
      </c>
      <c r="J2543" s="23"/>
      <c r="K2543" s="21">
        <f t="shared" si="13"/>
        <v>204430.28</v>
      </c>
      <c r="L2543" s="23"/>
      <c r="M2543" s="21">
        <f t="shared" si="16"/>
        <v>1894.93</v>
      </c>
    </row>
    <row r="2544" ht="20.25" customHeight="1" outlineLevel="1">
      <c r="A2544" s="12"/>
      <c r="B2544" s="13"/>
      <c r="C2544" s="234"/>
      <c r="D2544" s="20"/>
      <c r="E2544" s="21">
        <f t="shared" si="1"/>
        <v>12593.22</v>
      </c>
      <c r="F2544" s="23"/>
      <c r="G2544" s="21">
        <f t="shared" si="8"/>
        <v>318539.46</v>
      </c>
      <c r="H2544" s="23"/>
      <c r="I2544" s="21">
        <f t="shared" si="15"/>
        <v>781.68</v>
      </c>
      <c r="J2544" s="23"/>
      <c r="K2544" s="21">
        <f t="shared" si="13"/>
        <v>204430.28</v>
      </c>
      <c r="L2544" s="23"/>
      <c r="M2544" s="21">
        <f t="shared" si="16"/>
        <v>1894.93</v>
      </c>
    </row>
    <row r="2545" ht="20.25" customHeight="1" outlineLevel="1">
      <c r="A2545" s="12"/>
      <c r="B2545" s="46"/>
      <c r="C2545" s="59"/>
      <c r="D2545" s="20"/>
      <c r="E2545" s="21">
        <f t="shared" si="1"/>
        <v>12593.22</v>
      </c>
      <c r="F2545" s="23"/>
      <c r="G2545" s="21">
        <f t="shared" si="8"/>
        <v>318539.46</v>
      </c>
      <c r="H2545" s="23"/>
      <c r="I2545" s="21">
        <f t="shared" si="15"/>
        <v>781.68</v>
      </c>
      <c r="J2545" s="23"/>
      <c r="K2545" s="21">
        <f t="shared" si="13"/>
        <v>204430.28</v>
      </c>
      <c r="L2545" s="23"/>
      <c r="M2545" s="21">
        <f t="shared" si="16"/>
        <v>1894.93</v>
      </c>
    </row>
    <row r="2546" ht="20.25" customHeight="1" outlineLevel="1">
      <c r="A2546" s="12"/>
      <c r="B2546" s="46"/>
      <c r="C2546" s="59"/>
      <c r="D2546" s="20"/>
      <c r="E2546" s="21">
        <f t="shared" si="1"/>
        <v>12593.22</v>
      </c>
      <c r="F2546" s="23"/>
      <c r="G2546" s="21">
        <f t="shared" si="8"/>
        <v>318539.46</v>
      </c>
      <c r="H2546" s="23"/>
      <c r="I2546" s="21">
        <f t="shared" si="15"/>
        <v>781.68</v>
      </c>
      <c r="J2546" s="23"/>
      <c r="K2546" s="21">
        <f t="shared" si="13"/>
        <v>204430.28</v>
      </c>
      <c r="L2546" s="23"/>
      <c r="M2546" s="21">
        <f t="shared" si="16"/>
        <v>1894.93</v>
      </c>
    </row>
    <row r="2547" ht="20.25" customHeight="1" outlineLevel="1">
      <c r="A2547" s="12"/>
      <c r="B2547" s="46"/>
      <c r="C2547" s="59"/>
      <c r="D2547" s="20"/>
      <c r="E2547" s="21">
        <f t="shared" si="1"/>
        <v>12593.22</v>
      </c>
      <c r="F2547" s="23"/>
      <c r="G2547" s="21">
        <f t="shared" si="8"/>
        <v>318539.46</v>
      </c>
      <c r="H2547" s="23"/>
      <c r="I2547" s="21">
        <f t="shared" si="15"/>
        <v>781.68</v>
      </c>
      <c r="J2547" s="23"/>
      <c r="K2547" s="21">
        <f t="shared" si="13"/>
        <v>204430.28</v>
      </c>
      <c r="L2547" s="23"/>
      <c r="M2547" s="21">
        <f t="shared" si="16"/>
        <v>1894.93</v>
      </c>
    </row>
    <row r="2548" ht="20.25" customHeight="1" outlineLevel="1">
      <c r="A2548" s="12"/>
      <c r="B2548" s="46"/>
      <c r="C2548" s="59"/>
      <c r="D2548" s="20"/>
      <c r="E2548" s="21">
        <f t="shared" si="1"/>
        <v>12593.22</v>
      </c>
      <c r="F2548" s="23"/>
      <c r="G2548" s="21">
        <f t="shared" si="8"/>
        <v>318539.46</v>
      </c>
      <c r="H2548" s="23"/>
      <c r="I2548" s="21">
        <f t="shared" si="15"/>
        <v>781.68</v>
      </c>
      <c r="J2548" s="23"/>
      <c r="K2548" s="21">
        <f t="shared" si="13"/>
        <v>204430.28</v>
      </c>
      <c r="L2548" s="23"/>
      <c r="M2548" s="21">
        <f t="shared" si="16"/>
        <v>1894.93</v>
      </c>
    </row>
    <row r="2549" ht="20.25" customHeight="1" outlineLevel="1">
      <c r="A2549" s="12"/>
      <c r="B2549" s="46"/>
      <c r="C2549" s="55"/>
      <c r="D2549" s="20"/>
      <c r="E2549" s="21">
        <f t="shared" si="1"/>
        <v>12593.22</v>
      </c>
      <c r="F2549" s="23"/>
      <c r="G2549" s="21">
        <f t="shared" si="8"/>
        <v>318539.46</v>
      </c>
      <c r="H2549" s="23"/>
      <c r="I2549" s="21">
        <f t="shared" si="15"/>
        <v>781.68</v>
      </c>
      <c r="J2549" s="23"/>
      <c r="K2549" s="21">
        <f t="shared" si="13"/>
        <v>204430.28</v>
      </c>
      <c r="L2549" s="23"/>
      <c r="M2549" s="21">
        <f t="shared" si="16"/>
        <v>1894.93</v>
      </c>
    </row>
    <row r="2550" ht="20.25" customHeight="1" outlineLevel="1">
      <c r="A2550" s="12"/>
      <c r="B2550" s="46"/>
      <c r="C2550" s="55"/>
      <c r="D2550" s="20"/>
      <c r="E2550" s="21">
        <f t="shared" si="1"/>
        <v>12593.22</v>
      </c>
      <c r="F2550" s="23"/>
      <c r="G2550" s="21">
        <f t="shared" si="8"/>
        <v>318539.46</v>
      </c>
      <c r="H2550" s="23"/>
      <c r="I2550" s="21">
        <f t="shared" si="15"/>
        <v>781.68</v>
      </c>
      <c r="J2550" s="23"/>
      <c r="K2550" s="21">
        <f t="shared" si="13"/>
        <v>204430.28</v>
      </c>
      <c r="L2550" s="23"/>
      <c r="M2550" s="21">
        <f t="shared" si="16"/>
        <v>1894.93</v>
      </c>
    </row>
    <row r="2551" ht="20.25" customHeight="1" outlineLevel="1">
      <c r="A2551" s="12"/>
      <c r="B2551" s="46"/>
      <c r="C2551" s="55"/>
      <c r="D2551" s="20"/>
      <c r="E2551" s="21">
        <f t="shared" si="1"/>
        <v>12593.22</v>
      </c>
      <c r="F2551" s="23"/>
      <c r="G2551" s="21">
        <f t="shared" si="8"/>
        <v>318539.46</v>
      </c>
      <c r="H2551" s="23"/>
      <c r="I2551" s="21">
        <f t="shared" si="15"/>
        <v>781.68</v>
      </c>
      <c r="J2551" s="23"/>
      <c r="K2551" s="21">
        <f t="shared" si="13"/>
        <v>204430.28</v>
      </c>
      <c r="L2551" s="23"/>
      <c r="M2551" s="21">
        <f t="shared" si="16"/>
        <v>1894.93</v>
      </c>
    </row>
    <row r="2552" ht="20.25" customHeight="1" outlineLevel="1">
      <c r="A2552" s="12"/>
      <c r="B2552" s="46"/>
      <c r="C2552" s="55"/>
      <c r="D2552" s="20"/>
      <c r="E2552" s="21">
        <f t="shared" si="1"/>
        <v>12593.22</v>
      </c>
      <c r="F2552" s="23"/>
      <c r="G2552" s="21">
        <f t="shared" si="8"/>
        <v>318539.46</v>
      </c>
      <c r="H2552" s="23"/>
      <c r="I2552" s="21">
        <f t="shared" si="15"/>
        <v>781.68</v>
      </c>
      <c r="J2552" s="23"/>
      <c r="K2552" s="21">
        <f t="shared" si="13"/>
        <v>204430.28</v>
      </c>
      <c r="L2552" s="23"/>
      <c r="M2552" s="21">
        <f t="shared" si="16"/>
        <v>1894.93</v>
      </c>
    </row>
    <row r="2553" ht="20.25" customHeight="1" outlineLevel="1">
      <c r="A2553" s="12"/>
      <c r="B2553" s="46"/>
      <c r="C2553" s="55"/>
      <c r="D2553" s="20"/>
      <c r="E2553" s="21">
        <f t="shared" si="1"/>
        <v>12593.22</v>
      </c>
      <c r="F2553" s="23"/>
      <c r="G2553" s="21">
        <f t="shared" si="8"/>
        <v>318539.46</v>
      </c>
      <c r="H2553" s="23"/>
      <c r="I2553" s="21">
        <f t="shared" si="15"/>
        <v>781.68</v>
      </c>
      <c r="J2553" s="23"/>
      <c r="K2553" s="21">
        <f t="shared" si="13"/>
        <v>204430.28</v>
      </c>
      <c r="L2553" s="23"/>
      <c r="M2553" s="21">
        <f t="shared" si="16"/>
        <v>1894.93</v>
      </c>
    </row>
    <row r="2554" ht="20.25" customHeight="1" outlineLevel="1">
      <c r="A2554" s="12"/>
      <c r="B2554" s="46"/>
      <c r="C2554" s="55"/>
      <c r="D2554" s="20"/>
      <c r="E2554" s="21">
        <f t="shared" si="1"/>
        <v>12593.22</v>
      </c>
      <c r="F2554" s="23"/>
      <c r="G2554" s="21">
        <f t="shared" si="8"/>
        <v>318539.46</v>
      </c>
      <c r="H2554" s="23"/>
      <c r="I2554" s="21">
        <f t="shared" si="15"/>
        <v>781.68</v>
      </c>
      <c r="J2554" s="23"/>
      <c r="K2554" s="21">
        <f t="shared" si="13"/>
        <v>204430.28</v>
      </c>
      <c r="L2554" s="23"/>
      <c r="M2554" s="21">
        <f t="shared" si="16"/>
        <v>1894.93</v>
      </c>
    </row>
    <row r="2555" ht="20.25" customHeight="1" outlineLevel="1">
      <c r="A2555" s="12"/>
      <c r="B2555" s="46"/>
      <c r="C2555" s="59"/>
      <c r="D2555" s="20"/>
      <c r="E2555" s="21">
        <f t="shared" si="1"/>
        <v>12593.22</v>
      </c>
      <c r="F2555" s="23"/>
      <c r="G2555" s="21">
        <f t="shared" si="8"/>
        <v>318539.46</v>
      </c>
      <c r="H2555" s="23"/>
      <c r="I2555" s="21">
        <f t="shared" si="15"/>
        <v>781.68</v>
      </c>
      <c r="J2555" s="23"/>
      <c r="K2555" s="21">
        <f t="shared" si="13"/>
        <v>204430.28</v>
      </c>
      <c r="L2555" s="23"/>
      <c r="M2555" s="21">
        <f t="shared" si="16"/>
        <v>1894.93</v>
      </c>
    </row>
    <row r="2556" ht="20.25" customHeight="1" outlineLevel="1">
      <c r="A2556" s="12"/>
      <c r="B2556" s="46"/>
      <c r="C2556" s="59"/>
      <c r="D2556" s="20"/>
      <c r="E2556" s="21">
        <f t="shared" si="1"/>
        <v>12593.22</v>
      </c>
      <c r="F2556" s="23"/>
      <c r="G2556" s="21">
        <f t="shared" si="8"/>
        <v>318539.46</v>
      </c>
      <c r="H2556" s="23"/>
      <c r="I2556" s="21">
        <f t="shared" si="15"/>
        <v>781.68</v>
      </c>
      <c r="J2556" s="23"/>
      <c r="K2556" s="21">
        <f t="shared" si="13"/>
        <v>204430.28</v>
      </c>
      <c r="L2556" s="23"/>
      <c r="M2556" s="21">
        <f t="shared" si="16"/>
        <v>1894.93</v>
      </c>
    </row>
    <row r="2557" ht="20.25" customHeight="1" outlineLevel="1">
      <c r="A2557" s="12"/>
      <c r="B2557" s="46"/>
      <c r="C2557" s="59"/>
      <c r="D2557" s="20"/>
      <c r="E2557" s="21">
        <f t="shared" si="1"/>
        <v>12593.22</v>
      </c>
      <c r="F2557" s="23"/>
      <c r="G2557" s="21">
        <f t="shared" si="8"/>
        <v>318539.46</v>
      </c>
      <c r="H2557" s="23"/>
      <c r="I2557" s="21">
        <f t="shared" si="15"/>
        <v>781.68</v>
      </c>
      <c r="J2557" s="23"/>
      <c r="K2557" s="21">
        <f t="shared" si="13"/>
        <v>204430.28</v>
      </c>
      <c r="L2557" s="23"/>
      <c r="M2557" s="21">
        <f t="shared" si="16"/>
        <v>1894.93</v>
      </c>
    </row>
    <row r="2558" ht="20.25" customHeight="1" outlineLevel="1">
      <c r="A2558" s="12"/>
      <c r="B2558" s="46"/>
      <c r="C2558" s="59"/>
      <c r="D2558" s="20"/>
      <c r="E2558" s="21">
        <f t="shared" si="1"/>
        <v>12593.22</v>
      </c>
      <c r="F2558" s="23"/>
      <c r="G2558" s="21">
        <f t="shared" si="8"/>
        <v>318539.46</v>
      </c>
      <c r="H2558" s="23"/>
      <c r="I2558" s="21">
        <f t="shared" si="15"/>
        <v>781.68</v>
      </c>
      <c r="J2558" s="23"/>
      <c r="K2558" s="21">
        <f t="shared" si="13"/>
        <v>204430.28</v>
      </c>
      <c r="L2558" s="23"/>
      <c r="M2558" s="21">
        <f t="shared" si="16"/>
        <v>1894.93</v>
      </c>
    </row>
    <row r="2559" ht="20.25" customHeight="1" outlineLevel="1">
      <c r="A2559" s="12"/>
      <c r="B2559" s="46"/>
      <c r="C2559" s="59"/>
      <c r="D2559" s="20"/>
      <c r="E2559" s="21">
        <f t="shared" si="1"/>
        <v>12593.22</v>
      </c>
      <c r="F2559" s="23"/>
      <c r="G2559" s="21">
        <f t="shared" si="8"/>
        <v>318539.46</v>
      </c>
      <c r="H2559" s="23"/>
      <c r="I2559" s="21">
        <f t="shared" si="15"/>
        <v>781.68</v>
      </c>
      <c r="J2559" s="23"/>
      <c r="K2559" s="21">
        <f t="shared" si="13"/>
        <v>204430.28</v>
      </c>
      <c r="L2559" s="23"/>
      <c r="M2559" s="21">
        <f t="shared" si="16"/>
        <v>1894.93</v>
      </c>
    </row>
    <row r="2560" ht="20.25" customHeight="1" outlineLevel="1">
      <c r="A2560" s="12"/>
      <c r="B2560" s="46"/>
      <c r="C2560" s="59"/>
      <c r="D2560" s="20"/>
      <c r="E2560" s="21">
        <f t="shared" si="1"/>
        <v>12593.22</v>
      </c>
      <c r="F2560" s="23"/>
      <c r="G2560" s="21">
        <f t="shared" si="8"/>
        <v>318539.46</v>
      </c>
      <c r="H2560" s="23"/>
      <c r="I2560" s="21">
        <f t="shared" si="15"/>
        <v>781.68</v>
      </c>
      <c r="J2560" s="23"/>
      <c r="K2560" s="21">
        <f t="shared" si="13"/>
        <v>204430.28</v>
      </c>
      <c r="L2560" s="23"/>
      <c r="M2560" s="21">
        <f t="shared" si="16"/>
        <v>1894.93</v>
      </c>
    </row>
    <row r="2561" ht="20.25" customHeight="1" outlineLevel="1">
      <c r="A2561" s="12"/>
      <c r="B2561" s="46"/>
      <c r="C2561" s="59"/>
      <c r="D2561" s="20"/>
      <c r="E2561" s="21">
        <f t="shared" si="1"/>
        <v>12593.22</v>
      </c>
      <c r="F2561" s="23"/>
      <c r="G2561" s="21">
        <f t="shared" si="8"/>
        <v>318539.46</v>
      </c>
      <c r="H2561" s="23"/>
      <c r="I2561" s="21">
        <f t="shared" si="15"/>
        <v>781.68</v>
      </c>
      <c r="J2561" s="23"/>
      <c r="K2561" s="21">
        <f t="shared" si="13"/>
        <v>204430.28</v>
      </c>
      <c r="L2561" s="23"/>
      <c r="M2561" s="21">
        <f t="shared" si="16"/>
        <v>1894.93</v>
      </c>
    </row>
    <row r="2562" ht="20.25" customHeight="1" outlineLevel="1">
      <c r="A2562" s="12"/>
      <c r="B2562" s="46"/>
      <c r="C2562" s="59"/>
      <c r="D2562" s="20"/>
      <c r="E2562" s="21">
        <f t="shared" si="1"/>
        <v>12593.22</v>
      </c>
      <c r="F2562" s="23"/>
      <c r="G2562" s="21">
        <f t="shared" si="8"/>
        <v>318539.46</v>
      </c>
      <c r="H2562" s="23"/>
      <c r="I2562" s="21">
        <f t="shared" si="15"/>
        <v>781.68</v>
      </c>
      <c r="J2562" s="23"/>
      <c r="K2562" s="21">
        <f t="shared" si="13"/>
        <v>204430.28</v>
      </c>
      <c r="L2562" s="23"/>
      <c r="M2562" s="21">
        <f t="shared" si="16"/>
        <v>1894.93</v>
      </c>
    </row>
    <row r="2563" ht="20.25" customHeight="1" outlineLevel="1">
      <c r="A2563" s="12"/>
      <c r="B2563" s="46"/>
      <c r="C2563" s="59"/>
      <c r="D2563" s="20"/>
      <c r="E2563" s="21">
        <f t="shared" si="1"/>
        <v>12593.22</v>
      </c>
      <c r="F2563" s="23"/>
      <c r="G2563" s="21">
        <f t="shared" si="8"/>
        <v>318539.46</v>
      </c>
      <c r="H2563" s="23"/>
      <c r="I2563" s="21">
        <f t="shared" si="15"/>
        <v>781.68</v>
      </c>
      <c r="J2563" s="23"/>
      <c r="K2563" s="21">
        <f t="shared" si="13"/>
        <v>204430.28</v>
      </c>
      <c r="L2563" s="23"/>
      <c r="M2563" s="21">
        <f t="shared" si="16"/>
        <v>1894.93</v>
      </c>
    </row>
    <row r="2564" ht="20.25" customHeight="1" outlineLevel="1">
      <c r="A2564" s="12"/>
      <c r="B2564" s="46"/>
      <c r="C2564" s="55"/>
      <c r="D2564" s="20"/>
      <c r="E2564" s="21">
        <f t="shared" si="1"/>
        <v>12593.22</v>
      </c>
      <c r="F2564" s="23"/>
      <c r="G2564" s="21">
        <f t="shared" si="8"/>
        <v>318539.46</v>
      </c>
      <c r="H2564" s="23"/>
      <c r="I2564" s="21">
        <f t="shared" si="15"/>
        <v>781.68</v>
      </c>
      <c r="J2564" s="23"/>
      <c r="K2564" s="21">
        <f t="shared" si="13"/>
        <v>204430.28</v>
      </c>
      <c r="L2564" s="23"/>
      <c r="M2564" s="21">
        <f t="shared" si="16"/>
        <v>1894.93</v>
      </c>
    </row>
    <row r="2565" ht="20.25" customHeight="1" outlineLevel="1">
      <c r="A2565" s="12"/>
      <c r="B2565" s="46"/>
      <c r="C2565" s="55"/>
      <c r="D2565" s="20"/>
      <c r="E2565" s="21">
        <f t="shared" si="1"/>
        <v>12593.22</v>
      </c>
      <c r="F2565" s="23"/>
      <c r="G2565" s="21">
        <f t="shared" si="8"/>
        <v>318539.46</v>
      </c>
      <c r="H2565" s="23"/>
      <c r="I2565" s="21">
        <f t="shared" si="15"/>
        <v>781.68</v>
      </c>
      <c r="J2565" s="23"/>
      <c r="K2565" s="21">
        <f t="shared" si="13"/>
        <v>204430.28</v>
      </c>
      <c r="L2565" s="23"/>
      <c r="M2565" s="21">
        <f t="shared" si="16"/>
        <v>1894.93</v>
      </c>
    </row>
    <row r="2566" ht="20.25" customHeight="1" outlineLevel="1">
      <c r="A2566" s="12"/>
      <c r="B2566" s="46"/>
      <c r="C2566" s="55"/>
      <c r="D2566" s="20"/>
      <c r="E2566" s="21">
        <f t="shared" si="1"/>
        <v>12593.22</v>
      </c>
      <c r="F2566" s="23"/>
      <c r="G2566" s="21">
        <f t="shared" si="8"/>
        <v>318539.46</v>
      </c>
      <c r="H2566" s="23"/>
      <c r="I2566" s="21">
        <f t="shared" si="15"/>
        <v>781.68</v>
      </c>
      <c r="J2566" s="23"/>
      <c r="K2566" s="21">
        <f t="shared" si="13"/>
        <v>204430.28</v>
      </c>
      <c r="L2566" s="23"/>
      <c r="M2566" s="21">
        <f t="shared" si="16"/>
        <v>1894.93</v>
      </c>
    </row>
    <row r="2567" ht="20.25" customHeight="1" outlineLevel="1">
      <c r="A2567" s="12"/>
      <c r="B2567" s="46"/>
      <c r="C2567" s="55"/>
      <c r="D2567" s="20"/>
      <c r="E2567" s="21">
        <f t="shared" si="1"/>
        <v>12593.22</v>
      </c>
      <c r="F2567" s="23"/>
      <c r="G2567" s="21">
        <f t="shared" si="8"/>
        <v>318539.46</v>
      </c>
      <c r="H2567" s="23"/>
      <c r="I2567" s="21">
        <f t="shared" si="15"/>
        <v>781.68</v>
      </c>
      <c r="J2567" s="23"/>
      <c r="K2567" s="21">
        <f t="shared" si="13"/>
        <v>204430.28</v>
      </c>
      <c r="L2567" s="23"/>
      <c r="M2567" s="21">
        <f t="shared" si="16"/>
        <v>1894.93</v>
      </c>
    </row>
    <row r="2568" ht="20.25" customHeight="1" outlineLevel="1">
      <c r="A2568" s="12"/>
      <c r="B2568" s="46"/>
      <c r="C2568" s="55"/>
      <c r="D2568" s="20"/>
      <c r="E2568" s="21">
        <f t="shared" si="1"/>
        <v>12593.22</v>
      </c>
      <c r="F2568" s="23"/>
      <c r="G2568" s="21">
        <f t="shared" si="8"/>
        <v>318539.46</v>
      </c>
      <c r="H2568" s="23"/>
      <c r="I2568" s="21">
        <f t="shared" si="15"/>
        <v>781.68</v>
      </c>
      <c r="J2568" s="23"/>
      <c r="K2568" s="21">
        <f t="shared" si="13"/>
        <v>204430.28</v>
      </c>
      <c r="L2568" s="23"/>
      <c r="M2568" s="21">
        <f t="shared" si="16"/>
        <v>1894.93</v>
      </c>
    </row>
    <row r="2569" ht="20.25" customHeight="1" outlineLevel="1">
      <c r="A2569" s="12"/>
      <c r="B2569" s="46"/>
      <c r="C2569" s="55"/>
      <c r="D2569" s="20"/>
      <c r="E2569" s="21">
        <f t="shared" si="1"/>
        <v>12593.22</v>
      </c>
      <c r="F2569" s="23"/>
      <c r="G2569" s="21">
        <f t="shared" si="8"/>
        <v>318539.46</v>
      </c>
      <c r="H2569" s="23"/>
      <c r="I2569" s="21">
        <f t="shared" si="15"/>
        <v>781.68</v>
      </c>
      <c r="J2569" s="23"/>
      <c r="K2569" s="21">
        <f t="shared" si="13"/>
        <v>204430.28</v>
      </c>
      <c r="L2569" s="23"/>
      <c r="M2569" s="21">
        <f t="shared" si="16"/>
        <v>1894.93</v>
      </c>
    </row>
    <row r="2570" ht="20.25" customHeight="1" outlineLevel="1">
      <c r="A2570" s="12"/>
      <c r="B2570" s="46"/>
      <c r="C2570" s="55"/>
      <c r="D2570" s="20"/>
      <c r="E2570" s="21">
        <f t="shared" si="1"/>
        <v>12593.22</v>
      </c>
      <c r="F2570" s="23"/>
      <c r="G2570" s="21">
        <f t="shared" si="8"/>
        <v>318539.46</v>
      </c>
      <c r="H2570" s="23"/>
      <c r="I2570" s="21">
        <f t="shared" si="15"/>
        <v>781.68</v>
      </c>
      <c r="J2570" s="23"/>
      <c r="K2570" s="21">
        <f t="shared" si="13"/>
        <v>204430.28</v>
      </c>
      <c r="L2570" s="23"/>
      <c r="M2570" s="21">
        <f t="shared" si="16"/>
        <v>1894.93</v>
      </c>
    </row>
    <row r="2571" ht="20.25" customHeight="1" outlineLevel="1">
      <c r="A2571" s="12"/>
      <c r="B2571" s="46"/>
      <c r="C2571" s="55"/>
      <c r="D2571" s="20"/>
      <c r="E2571" s="21">
        <f t="shared" si="1"/>
        <v>12593.22</v>
      </c>
      <c r="F2571" s="23"/>
      <c r="G2571" s="21">
        <f t="shared" si="8"/>
        <v>318539.46</v>
      </c>
      <c r="H2571" s="23"/>
      <c r="I2571" s="21">
        <f t="shared" si="15"/>
        <v>781.68</v>
      </c>
      <c r="J2571" s="23"/>
      <c r="K2571" s="21">
        <f t="shared" si="13"/>
        <v>204430.28</v>
      </c>
      <c r="L2571" s="23"/>
      <c r="M2571" s="21">
        <f t="shared" si="16"/>
        <v>1894.93</v>
      </c>
    </row>
    <row r="2572" ht="20.25" customHeight="1" outlineLevel="1">
      <c r="A2572" s="12"/>
      <c r="B2572" s="46"/>
      <c r="C2572" s="59"/>
      <c r="D2572" s="20"/>
      <c r="E2572" s="21">
        <f t="shared" si="1"/>
        <v>12593.22</v>
      </c>
      <c r="F2572" s="23"/>
      <c r="G2572" s="21">
        <f t="shared" si="8"/>
        <v>318539.46</v>
      </c>
      <c r="H2572" s="23"/>
      <c r="I2572" s="21">
        <f t="shared" si="15"/>
        <v>781.68</v>
      </c>
      <c r="J2572" s="23"/>
      <c r="K2572" s="21">
        <f t="shared" si="13"/>
        <v>204430.28</v>
      </c>
      <c r="L2572" s="23"/>
      <c r="M2572" s="21">
        <f t="shared" si="16"/>
        <v>1894.93</v>
      </c>
    </row>
    <row r="2573" ht="20.25" customHeight="1" outlineLevel="1">
      <c r="A2573" s="12"/>
      <c r="B2573" s="46"/>
      <c r="C2573" s="59"/>
      <c r="D2573" s="20"/>
      <c r="E2573" s="21">
        <f t="shared" si="1"/>
        <v>12593.22</v>
      </c>
      <c r="F2573" s="23"/>
      <c r="G2573" s="21">
        <f t="shared" si="8"/>
        <v>318539.46</v>
      </c>
      <c r="H2573" s="23"/>
      <c r="I2573" s="21">
        <f t="shared" si="15"/>
        <v>781.68</v>
      </c>
      <c r="J2573" s="23"/>
      <c r="K2573" s="21">
        <f t="shared" si="13"/>
        <v>204430.28</v>
      </c>
      <c r="L2573" s="23"/>
      <c r="M2573" s="21">
        <f t="shared" si="16"/>
        <v>1894.93</v>
      </c>
    </row>
    <row r="2574" ht="20.25" customHeight="1" outlineLevel="1">
      <c r="A2574" s="12"/>
      <c r="B2574" s="46"/>
      <c r="C2574" s="59"/>
      <c r="D2574" s="20"/>
      <c r="E2574" s="21">
        <f t="shared" si="1"/>
        <v>12593.22</v>
      </c>
      <c r="F2574" s="23"/>
      <c r="G2574" s="21">
        <f t="shared" si="8"/>
        <v>318539.46</v>
      </c>
      <c r="H2574" s="23"/>
      <c r="I2574" s="21">
        <f t="shared" si="15"/>
        <v>781.68</v>
      </c>
      <c r="J2574" s="23"/>
      <c r="K2574" s="21">
        <f t="shared" si="13"/>
        <v>204430.28</v>
      </c>
      <c r="L2574" s="23"/>
      <c r="M2574" s="21">
        <f t="shared" si="16"/>
        <v>1894.93</v>
      </c>
    </row>
    <row r="2575" ht="20.25" customHeight="1" outlineLevel="1">
      <c r="A2575" s="12"/>
      <c r="B2575" s="46"/>
      <c r="C2575" s="59"/>
      <c r="D2575" s="20"/>
      <c r="E2575" s="21">
        <f t="shared" si="1"/>
        <v>12593.22</v>
      </c>
      <c r="F2575" s="23"/>
      <c r="G2575" s="21">
        <f t="shared" si="8"/>
        <v>318539.46</v>
      </c>
      <c r="H2575" s="23"/>
      <c r="I2575" s="21">
        <f t="shared" si="15"/>
        <v>781.68</v>
      </c>
      <c r="J2575" s="23"/>
      <c r="K2575" s="21">
        <f t="shared" si="13"/>
        <v>204430.28</v>
      </c>
      <c r="L2575" s="23"/>
      <c r="M2575" s="21">
        <f t="shared" si="16"/>
        <v>1894.93</v>
      </c>
    </row>
    <row r="2576" ht="20.25" customHeight="1" outlineLevel="1">
      <c r="A2576" s="12"/>
      <c r="B2576" s="46"/>
      <c r="C2576" s="59"/>
      <c r="D2576" s="20"/>
      <c r="E2576" s="21">
        <f t="shared" si="1"/>
        <v>12593.22</v>
      </c>
      <c r="F2576" s="23"/>
      <c r="G2576" s="21">
        <f t="shared" si="8"/>
        <v>318539.46</v>
      </c>
      <c r="H2576" s="23"/>
      <c r="I2576" s="21">
        <f t="shared" si="15"/>
        <v>781.68</v>
      </c>
      <c r="J2576" s="23"/>
      <c r="K2576" s="21">
        <f t="shared" si="13"/>
        <v>204430.28</v>
      </c>
      <c r="L2576" s="23"/>
      <c r="M2576" s="21">
        <f t="shared" si="16"/>
        <v>1894.93</v>
      </c>
    </row>
    <row r="2577" ht="20.25" customHeight="1" outlineLevel="1">
      <c r="A2577" s="12"/>
      <c r="B2577" s="46"/>
      <c r="C2577" s="59"/>
      <c r="D2577" s="20"/>
      <c r="E2577" s="21">
        <f t="shared" si="1"/>
        <v>12593.22</v>
      </c>
      <c r="F2577" s="23"/>
      <c r="G2577" s="21">
        <f t="shared" si="8"/>
        <v>318539.46</v>
      </c>
      <c r="H2577" s="23"/>
      <c r="I2577" s="21">
        <f t="shared" si="15"/>
        <v>781.68</v>
      </c>
      <c r="J2577" s="23"/>
      <c r="K2577" s="21">
        <f t="shared" si="13"/>
        <v>204430.28</v>
      </c>
      <c r="L2577" s="23"/>
      <c r="M2577" s="21">
        <f t="shared" si="16"/>
        <v>1894.93</v>
      </c>
    </row>
    <row r="2578" ht="20.25" customHeight="1" outlineLevel="1">
      <c r="A2578" s="12"/>
      <c r="B2578" s="46"/>
      <c r="C2578" s="59"/>
      <c r="D2578" s="20"/>
      <c r="E2578" s="21">
        <f t="shared" si="1"/>
        <v>12593.22</v>
      </c>
      <c r="F2578" s="23"/>
      <c r="G2578" s="21">
        <f t="shared" si="8"/>
        <v>318539.46</v>
      </c>
      <c r="H2578" s="23"/>
      <c r="I2578" s="21">
        <f t="shared" si="15"/>
        <v>781.68</v>
      </c>
      <c r="J2578" s="23"/>
      <c r="K2578" s="21">
        <f t="shared" si="13"/>
        <v>204430.28</v>
      </c>
      <c r="L2578" s="23"/>
      <c r="M2578" s="21">
        <f t="shared" si="16"/>
        <v>1894.93</v>
      </c>
    </row>
    <row r="2579" ht="20.25" customHeight="1" outlineLevel="1">
      <c r="A2579" s="12"/>
      <c r="B2579" s="46"/>
      <c r="C2579" s="55"/>
      <c r="D2579" s="20"/>
      <c r="E2579" s="21">
        <f t="shared" si="1"/>
        <v>12593.22</v>
      </c>
      <c r="F2579" s="23"/>
      <c r="G2579" s="21">
        <f t="shared" si="8"/>
        <v>318539.46</v>
      </c>
      <c r="H2579" s="23"/>
      <c r="I2579" s="21">
        <f t="shared" si="15"/>
        <v>781.68</v>
      </c>
      <c r="J2579" s="23"/>
      <c r="K2579" s="21">
        <f t="shared" si="13"/>
        <v>204430.28</v>
      </c>
      <c r="L2579" s="23"/>
      <c r="M2579" s="21">
        <f t="shared" si="16"/>
        <v>1894.93</v>
      </c>
    </row>
    <row r="2580" ht="20.25" customHeight="1" outlineLevel="1">
      <c r="A2580" s="12"/>
      <c r="B2580" s="46"/>
      <c r="C2580" s="55"/>
      <c r="D2580" s="20"/>
      <c r="E2580" s="21">
        <f t="shared" si="1"/>
        <v>12593.22</v>
      </c>
      <c r="F2580" s="23"/>
      <c r="G2580" s="21">
        <f t="shared" si="8"/>
        <v>318539.46</v>
      </c>
      <c r="H2580" s="23"/>
      <c r="I2580" s="21">
        <f t="shared" si="15"/>
        <v>781.68</v>
      </c>
      <c r="J2580" s="23"/>
      <c r="K2580" s="21">
        <f t="shared" si="13"/>
        <v>204430.28</v>
      </c>
      <c r="L2580" s="23"/>
      <c r="M2580" s="21">
        <f t="shared" si="16"/>
        <v>1894.93</v>
      </c>
    </row>
    <row r="2581" ht="20.25" customHeight="1" outlineLevel="1">
      <c r="A2581" s="12"/>
      <c r="B2581" s="46"/>
      <c r="C2581" s="55"/>
      <c r="D2581" s="20"/>
      <c r="E2581" s="21">
        <f t="shared" si="1"/>
        <v>12593.22</v>
      </c>
      <c r="F2581" s="23"/>
      <c r="G2581" s="21">
        <f t="shared" si="8"/>
        <v>318539.46</v>
      </c>
      <c r="H2581" s="23"/>
      <c r="I2581" s="21">
        <f t="shared" si="15"/>
        <v>781.68</v>
      </c>
      <c r="J2581" s="23"/>
      <c r="K2581" s="21">
        <f t="shared" si="13"/>
        <v>204430.28</v>
      </c>
      <c r="L2581" s="23"/>
      <c r="M2581" s="21">
        <f t="shared" si="16"/>
        <v>1894.93</v>
      </c>
    </row>
    <row r="2582" ht="20.25" customHeight="1" outlineLevel="1">
      <c r="A2582" s="12"/>
      <c r="B2582" s="46"/>
      <c r="C2582" s="55"/>
      <c r="D2582" s="20"/>
      <c r="E2582" s="21">
        <f t="shared" si="1"/>
        <v>12593.22</v>
      </c>
      <c r="F2582" s="23"/>
      <c r="G2582" s="21">
        <f t="shared" si="8"/>
        <v>318539.46</v>
      </c>
      <c r="H2582" s="23"/>
      <c r="I2582" s="21">
        <f t="shared" si="15"/>
        <v>781.68</v>
      </c>
      <c r="J2582" s="23"/>
      <c r="K2582" s="21">
        <f t="shared" si="13"/>
        <v>204430.28</v>
      </c>
      <c r="L2582" s="23"/>
      <c r="M2582" s="21">
        <f t="shared" si="16"/>
        <v>1894.93</v>
      </c>
    </row>
    <row r="2583" ht="20.25" customHeight="1" outlineLevel="1">
      <c r="A2583" s="12"/>
      <c r="B2583" s="46"/>
      <c r="C2583" s="55"/>
      <c r="D2583" s="20"/>
      <c r="E2583" s="21">
        <f t="shared" si="1"/>
        <v>12593.22</v>
      </c>
      <c r="F2583" s="23"/>
      <c r="G2583" s="21">
        <f t="shared" si="8"/>
        <v>318539.46</v>
      </c>
      <c r="H2583" s="23"/>
      <c r="I2583" s="21">
        <f t="shared" si="15"/>
        <v>781.68</v>
      </c>
      <c r="J2583" s="23"/>
      <c r="K2583" s="21">
        <f t="shared" si="13"/>
        <v>204430.28</v>
      </c>
      <c r="L2583" s="23"/>
      <c r="M2583" s="21">
        <f t="shared" si="16"/>
        <v>1894.93</v>
      </c>
    </row>
    <row r="2584" ht="20.25" customHeight="1" outlineLevel="1">
      <c r="A2584" s="12"/>
      <c r="B2584" s="46"/>
      <c r="C2584" s="55"/>
      <c r="D2584" s="20"/>
      <c r="E2584" s="21">
        <f t="shared" si="1"/>
        <v>12593.22</v>
      </c>
      <c r="F2584" s="23"/>
      <c r="G2584" s="21">
        <f t="shared" si="8"/>
        <v>318539.46</v>
      </c>
      <c r="H2584" s="23"/>
      <c r="I2584" s="21">
        <f t="shared" si="15"/>
        <v>781.68</v>
      </c>
      <c r="J2584" s="23"/>
      <c r="K2584" s="21">
        <f t="shared" si="13"/>
        <v>204430.28</v>
      </c>
      <c r="L2584" s="23"/>
      <c r="M2584" s="21">
        <f t="shared" si="16"/>
        <v>1894.93</v>
      </c>
    </row>
    <row r="2585" ht="20.25" customHeight="1" outlineLevel="1">
      <c r="A2585" s="12"/>
      <c r="B2585" s="46"/>
      <c r="C2585" s="55"/>
      <c r="D2585" s="20"/>
      <c r="E2585" s="21">
        <f t="shared" si="1"/>
        <v>12593.22</v>
      </c>
      <c r="F2585" s="23"/>
      <c r="G2585" s="21">
        <f t="shared" si="8"/>
        <v>318539.46</v>
      </c>
      <c r="H2585" s="23"/>
      <c r="I2585" s="21">
        <f t="shared" si="15"/>
        <v>781.68</v>
      </c>
      <c r="J2585" s="23"/>
      <c r="K2585" s="21">
        <f t="shared" si="13"/>
        <v>204430.28</v>
      </c>
      <c r="L2585" s="23"/>
      <c r="M2585" s="21">
        <f t="shared" si="16"/>
        <v>1894.93</v>
      </c>
    </row>
    <row r="2586" ht="20.25" customHeight="1" outlineLevel="1">
      <c r="A2586" s="12"/>
      <c r="B2586" s="46"/>
      <c r="C2586" s="55"/>
      <c r="D2586" s="20"/>
      <c r="E2586" s="21">
        <f t="shared" si="1"/>
        <v>12593.22</v>
      </c>
      <c r="F2586" s="23"/>
      <c r="G2586" s="21">
        <f t="shared" si="8"/>
        <v>318539.46</v>
      </c>
      <c r="H2586" s="23"/>
      <c r="I2586" s="21">
        <f t="shared" si="15"/>
        <v>781.68</v>
      </c>
      <c r="J2586" s="23"/>
      <c r="K2586" s="21">
        <f t="shared" si="13"/>
        <v>204430.28</v>
      </c>
      <c r="L2586" s="23"/>
      <c r="M2586" s="21">
        <f t="shared" si="16"/>
        <v>1894.93</v>
      </c>
    </row>
    <row r="2587" ht="20.25" customHeight="1" outlineLevel="1">
      <c r="A2587" s="12"/>
      <c r="B2587" s="46"/>
      <c r="C2587" s="55"/>
      <c r="D2587" s="20"/>
      <c r="E2587" s="21">
        <f t="shared" si="1"/>
        <v>12593.22</v>
      </c>
      <c r="F2587" s="23"/>
      <c r="G2587" s="21">
        <f t="shared" si="8"/>
        <v>318539.46</v>
      </c>
      <c r="H2587" s="23"/>
      <c r="I2587" s="21">
        <f t="shared" si="15"/>
        <v>781.68</v>
      </c>
      <c r="J2587" s="23"/>
      <c r="K2587" s="21">
        <f t="shared" si="13"/>
        <v>204430.28</v>
      </c>
      <c r="L2587" s="23"/>
      <c r="M2587" s="21">
        <f t="shared" si="16"/>
        <v>1894.93</v>
      </c>
    </row>
    <row r="2588" ht="20.25" customHeight="1" outlineLevel="1">
      <c r="A2588" s="12"/>
      <c r="B2588" s="46"/>
      <c r="C2588" s="59"/>
      <c r="D2588" s="20"/>
      <c r="E2588" s="21">
        <f t="shared" si="1"/>
        <v>12593.22</v>
      </c>
      <c r="F2588" s="23"/>
      <c r="G2588" s="21">
        <f t="shared" si="8"/>
        <v>318539.46</v>
      </c>
      <c r="H2588" s="23"/>
      <c r="I2588" s="21">
        <f t="shared" si="15"/>
        <v>781.68</v>
      </c>
      <c r="J2588" s="23"/>
      <c r="K2588" s="21">
        <f t="shared" si="13"/>
        <v>204430.28</v>
      </c>
      <c r="L2588" s="23"/>
      <c r="M2588" s="21">
        <f t="shared" si="16"/>
        <v>1894.93</v>
      </c>
    </row>
    <row r="2589" ht="20.25" customHeight="1" outlineLevel="1">
      <c r="A2589" s="12"/>
      <c r="B2589" s="46"/>
      <c r="C2589" s="59"/>
      <c r="D2589" s="20"/>
      <c r="E2589" s="21">
        <f t="shared" si="1"/>
        <v>12593.22</v>
      </c>
      <c r="F2589" s="23"/>
      <c r="G2589" s="21">
        <f t="shared" si="8"/>
        <v>318539.46</v>
      </c>
      <c r="H2589" s="23"/>
      <c r="I2589" s="21">
        <f t="shared" si="15"/>
        <v>781.68</v>
      </c>
      <c r="J2589" s="23"/>
      <c r="K2589" s="21">
        <f t="shared" si="13"/>
        <v>204430.28</v>
      </c>
      <c r="L2589" s="23"/>
      <c r="M2589" s="21">
        <f t="shared" si="16"/>
        <v>1894.93</v>
      </c>
    </row>
    <row r="2590" ht="20.25" customHeight="1" outlineLevel="1">
      <c r="A2590" s="12"/>
      <c r="B2590" s="46"/>
      <c r="C2590" s="59"/>
      <c r="D2590" s="20"/>
      <c r="E2590" s="21">
        <f t="shared" si="1"/>
        <v>12593.22</v>
      </c>
      <c r="F2590" s="23"/>
      <c r="G2590" s="21">
        <f t="shared" si="8"/>
        <v>318539.46</v>
      </c>
      <c r="H2590" s="23"/>
      <c r="I2590" s="21">
        <f t="shared" si="15"/>
        <v>781.68</v>
      </c>
      <c r="J2590" s="23"/>
      <c r="K2590" s="21">
        <f t="shared" si="13"/>
        <v>204430.28</v>
      </c>
      <c r="L2590" s="23"/>
      <c r="M2590" s="21">
        <f t="shared" si="16"/>
        <v>1894.93</v>
      </c>
    </row>
    <row r="2591" ht="20.25" customHeight="1" outlineLevel="1">
      <c r="A2591" s="12"/>
      <c r="B2591" s="46"/>
      <c r="C2591" s="55"/>
      <c r="D2591" s="20"/>
      <c r="E2591" s="21">
        <f t="shared" si="1"/>
        <v>12593.22</v>
      </c>
      <c r="F2591" s="23"/>
      <c r="G2591" s="21">
        <f t="shared" si="8"/>
        <v>318539.46</v>
      </c>
      <c r="H2591" s="23"/>
      <c r="I2591" s="21">
        <f t="shared" si="15"/>
        <v>781.68</v>
      </c>
      <c r="J2591" s="23"/>
      <c r="K2591" s="21">
        <f t="shared" si="13"/>
        <v>204430.28</v>
      </c>
      <c r="L2591" s="23"/>
      <c r="M2591" s="21">
        <f t="shared" si="16"/>
        <v>1894.93</v>
      </c>
    </row>
    <row r="2592" ht="20.25" customHeight="1" outlineLevel="1">
      <c r="A2592" s="12"/>
      <c r="B2592" s="46"/>
      <c r="C2592" s="55"/>
      <c r="D2592" s="20"/>
      <c r="E2592" s="21">
        <f t="shared" si="1"/>
        <v>12593.22</v>
      </c>
      <c r="F2592" s="23"/>
      <c r="G2592" s="21">
        <f t="shared" si="8"/>
        <v>318539.46</v>
      </c>
      <c r="H2592" s="23"/>
      <c r="I2592" s="21">
        <f t="shared" si="15"/>
        <v>781.68</v>
      </c>
      <c r="J2592" s="23"/>
      <c r="K2592" s="21">
        <f t="shared" si="13"/>
        <v>204430.28</v>
      </c>
      <c r="L2592" s="23"/>
      <c r="M2592" s="21">
        <f t="shared" si="16"/>
        <v>1894.93</v>
      </c>
    </row>
    <row r="2593" ht="20.25" customHeight="1" outlineLevel="1">
      <c r="A2593" s="12"/>
      <c r="B2593" s="46"/>
      <c r="C2593" s="55"/>
      <c r="D2593" s="20"/>
      <c r="E2593" s="21">
        <f t="shared" si="1"/>
        <v>12593.22</v>
      </c>
      <c r="F2593" s="23"/>
      <c r="G2593" s="21">
        <f t="shared" si="8"/>
        <v>318539.46</v>
      </c>
      <c r="H2593" s="23"/>
      <c r="I2593" s="21">
        <f t="shared" si="15"/>
        <v>781.68</v>
      </c>
      <c r="J2593" s="23"/>
      <c r="K2593" s="21">
        <f t="shared" si="13"/>
        <v>204430.28</v>
      </c>
      <c r="L2593" s="23"/>
      <c r="M2593" s="21">
        <f t="shared" si="16"/>
        <v>1894.93</v>
      </c>
    </row>
    <row r="2594" ht="20.25" customHeight="1" outlineLevel="1">
      <c r="A2594" s="12"/>
      <c r="B2594" s="46"/>
      <c r="C2594" s="55"/>
      <c r="D2594" s="20"/>
      <c r="E2594" s="21">
        <f t="shared" si="1"/>
        <v>12593.22</v>
      </c>
      <c r="F2594" s="23"/>
      <c r="G2594" s="21">
        <f t="shared" si="8"/>
        <v>318539.46</v>
      </c>
      <c r="H2594" s="23"/>
      <c r="I2594" s="21">
        <f t="shared" si="15"/>
        <v>781.68</v>
      </c>
      <c r="J2594" s="23"/>
      <c r="K2594" s="21">
        <f t="shared" si="13"/>
        <v>204430.28</v>
      </c>
      <c r="L2594" s="23"/>
      <c r="M2594" s="21">
        <f t="shared" si="16"/>
        <v>1894.93</v>
      </c>
    </row>
    <row r="2595" ht="20.25" customHeight="1" outlineLevel="1">
      <c r="A2595" s="12"/>
      <c r="B2595" s="46"/>
      <c r="C2595" s="59"/>
      <c r="D2595" s="20"/>
      <c r="E2595" s="21">
        <f t="shared" si="1"/>
        <v>12593.22</v>
      </c>
      <c r="F2595" s="23"/>
      <c r="G2595" s="21">
        <f t="shared" si="8"/>
        <v>318539.46</v>
      </c>
      <c r="H2595" s="23"/>
      <c r="I2595" s="21">
        <f t="shared" si="15"/>
        <v>781.68</v>
      </c>
      <c r="J2595" s="23"/>
      <c r="K2595" s="21">
        <f t="shared" si="13"/>
        <v>204430.28</v>
      </c>
      <c r="L2595" s="23"/>
      <c r="M2595" s="21">
        <f t="shared" si="16"/>
        <v>1894.93</v>
      </c>
    </row>
    <row r="2596" ht="20.25" customHeight="1" outlineLevel="1">
      <c r="A2596" s="12"/>
      <c r="B2596" s="13"/>
      <c r="C2596" s="28"/>
      <c r="D2596" s="20"/>
      <c r="E2596" s="21">
        <f t="shared" si="1"/>
        <v>12593.22</v>
      </c>
      <c r="F2596" s="23"/>
      <c r="G2596" s="21">
        <f t="shared" si="8"/>
        <v>318539.46</v>
      </c>
      <c r="H2596" s="23"/>
      <c r="I2596" s="21">
        <f t="shared" si="15"/>
        <v>781.68</v>
      </c>
      <c r="J2596" s="23"/>
      <c r="K2596" s="21">
        <f t="shared" si="13"/>
        <v>204430.28</v>
      </c>
      <c r="L2596" s="23"/>
      <c r="M2596" s="21">
        <f t="shared" si="16"/>
        <v>1894.93</v>
      </c>
    </row>
    <row r="2597" ht="20.25" customHeight="1" outlineLevel="1">
      <c r="A2597" s="12"/>
      <c r="B2597" s="13"/>
      <c r="C2597" s="28"/>
      <c r="D2597" s="20"/>
      <c r="E2597" s="21">
        <f t="shared" si="1"/>
        <v>12593.22</v>
      </c>
      <c r="F2597" s="23"/>
      <c r="G2597" s="21">
        <f t="shared" si="8"/>
        <v>318539.46</v>
      </c>
      <c r="H2597" s="23"/>
      <c r="I2597" s="21">
        <f t="shared" si="15"/>
        <v>781.68</v>
      </c>
      <c r="J2597" s="23"/>
      <c r="K2597" s="21">
        <f t="shared" si="13"/>
        <v>204430.28</v>
      </c>
      <c r="L2597" s="23"/>
      <c r="M2597" s="21">
        <f t="shared" si="16"/>
        <v>1894.93</v>
      </c>
    </row>
    <row r="2598" ht="20.25" customHeight="1" outlineLevel="1">
      <c r="A2598" s="12"/>
      <c r="B2598" s="13"/>
      <c r="C2598" s="28"/>
      <c r="D2598" s="20"/>
      <c r="E2598" s="21">
        <f t="shared" si="1"/>
        <v>12593.22</v>
      </c>
      <c r="F2598" s="23"/>
      <c r="G2598" s="21">
        <f t="shared" si="8"/>
        <v>318539.46</v>
      </c>
      <c r="H2598" s="23"/>
      <c r="I2598" s="21">
        <f t="shared" si="15"/>
        <v>781.68</v>
      </c>
      <c r="J2598" s="23"/>
      <c r="K2598" s="21">
        <f t="shared" si="13"/>
        <v>204430.28</v>
      </c>
      <c r="L2598" s="23"/>
      <c r="M2598" s="21">
        <f t="shared" si="16"/>
        <v>1894.93</v>
      </c>
    </row>
    <row r="2599" ht="20.25" customHeight="1" outlineLevel="1">
      <c r="A2599" s="12"/>
      <c r="B2599" s="13"/>
      <c r="C2599" s="42"/>
      <c r="D2599" s="20"/>
      <c r="E2599" s="21">
        <f t="shared" si="1"/>
        <v>12593.22</v>
      </c>
      <c r="F2599" s="23"/>
      <c r="G2599" s="21">
        <f t="shared" si="8"/>
        <v>318539.46</v>
      </c>
      <c r="H2599" s="23"/>
      <c r="I2599" s="21">
        <f t="shared" si="15"/>
        <v>781.68</v>
      </c>
      <c r="J2599" s="23"/>
      <c r="K2599" s="21">
        <f t="shared" si="13"/>
        <v>204430.28</v>
      </c>
      <c r="L2599" s="23"/>
      <c r="M2599" s="21">
        <f t="shared" si="16"/>
        <v>1894.93</v>
      </c>
    </row>
    <row r="2600" ht="20.25" customHeight="1" outlineLevel="1">
      <c r="A2600" s="12"/>
      <c r="B2600" s="13"/>
      <c r="C2600" s="42"/>
      <c r="D2600" s="20"/>
      <c r="E2600" s="21">
        <f t="shared" si="1"/>
        <v>12593.22</v>
      </c>
      <c r="F2600" s="23"/>
      <c r="G2600" s="21">
        <f t="shared" si="8"/>
        <v>318539.46</v>
      </c>
      <c r="H2600" s="23"/>
      <c r="I2600" s="21">
        <f t="shared" si="15"/>
        <v>781.68</v>
      </c>
      <c r="J2600" s="23"/>
      <c r="K2600" s="21">
        <f t="shared" si="13"/>
        <v>204430.28</v>
      </c>
      <c r="L2600" s="23"/>
      <c r="M2600" s="21">
        <f t="shared" si="16"/>
        <v>1894.93</v>
      </c>
    </row>
    <row r="2601" ht="20.25" customHeight="1" outlineLevel="1">
      <c r="A2601" s="12"/>
      <c r="B2601" s="13"/>
      <c r="C2601" s="42"/>
      <c r="D2601" s="20"/>
      <c r="E2601" s="21">
        <f t="shared" si="1"/>
        <v>12593.22</v>
      </c>
      <c r="F2601" s="23"/>
      <c r="G2601" s="21">
        <f t="shared" si="8"/>
        <v>318539.46</v>
      </c>
      <c r="H2601" s="23"/>
      <c r="I2601" s="21">
        <f t="shared" si="15"/>
        <v>781.68</v>
      </c>
      <c r="J2601" s="23"/>
      <c r="K2601" s="21">
        <f t="shared" si="13"/>
        <v>204430.28</v>
      </c>
      <c r="L2601" s="23"/>
      <c r="M2601" s="21">
        <f t="shared" si="16"/>
        <v>1894.93</v>
      </c>
    </row>
    <row r="2602" ht="20.25" customHeight="1" outlineLevel="1">
      <c r="A2602" s="12"/>
      <c r="B2602" s="13"/>
      <c r="C2602" s="42"/>
      <c r="D2602" s="20"/>
      <c r="E2602" s="21">
        <f t="shared" si="1"/>
        <v>12593.22</v>
      </c>
      <c r="F2602" s="23"/>
      <c r="G2602" s="21">
        <f t="shared" si="8"/>
        <v>318539.46</v>
      </c>
      <c r="H2602" s="23"/>
      <c r="I2602" s="21">
        <f t="shared" si="15"/>
        <v>781.68</v>
      </c>
      <c r="J2602" s="23"/>
      <c r="K2602" s="21">
        <f t="shared" si="13"/>
        <v>204430.28</v>
      </c>
      <c r="L2602" s="23"/>
      <c r="M2602" s="21">
        <f t="shared" si="16"/>
        <v>1894.93</v>
      </c>
    </row>
    <row r="2603" ht="20.25" customHeight="1" outlineLevel="1">
      <c r="A2603" s="12"/>
      <c r="B2603" s="13"/>
      <c r="C2603" s="28"/>
      <c r="D2603" s="20"/>
      <c r="E2603" s="21">
        <f t="shared" si="1"/>
        <v>12593.22</v>
      </c>
      <c r="F2603" s="23"/>
      <c r="G2603" s="21">
        <f t="shared" si="8"/>
        <v>318539.46</v>
      </c>
      <c r="H2603" s="23"/>
      <c r="I2603" s="21">
        <f t="shared" si="15"/>
        <v>781.68</v>
      </c>
      <c r="J2603" s="23"/>
      <c r="K2603" s="21">
        <f t="shared" si="13"/>
        <v>204430.28</v>
      </c>
      <c r="L2603" s="23"/>
      <c r="M2603" s="21">
        <f t="shared" si="16"/>
        <v>1894.93</v>
      </c>
    </row>
    <row r="2604" ht="20.25" customHeight="1" outlineLevel="1">
      <c r="A2604" s="12"/>
      <c r="B2604" s="13"/>
      <c r="C2604" s="28"/>
      <c r="D2604" s="20"/>
      <c r="E2604" s="21">
        <f t="shared" si="1"/>
        <v>12593.22</v>
      </c>
      <c r="F2604" s="23"/>
      <c r="G2604" s="21">
        <f t="shared" si="8"/>
        <v>318539.46</v>
      </c>
      <c r="H2604" s="23"/>
      <c r="I2604" s="21">
        <f t="shared" si="15"/>
        <v>781.68</v>
      </c>
      <c r="J2604" s="23"/>
      <c r="K2604" s="21">
        <f t="shared" si="13"/>
        <v>204430.28</v>
      </c>
      <c r="L2604" s="23"/>
      <c r="M2604" s="21">
        <f t="shared" si="16"/>
        <v>1894.93</v>
      </c>
    </row>
    <row r="2605" ht="20.25" customHeight="1" outlineLevel="1">
      <c r="A2605" s="12"/>
      <c r="B2605" s="13"/>
      <c r="C2605" s="28"/>
      <c r="D2605" s="20"/>
      <c r="E2605" s="21">
        <f t="shared" si="1"/>
        <v>12593.22</v>
      </c>
      <c r="F2605" s="23"/>
      <c r="G2605" s="21">
        <f t="shared" si="8"/>
        <v>318539.46</v>
      </c>
      <c r="H2605" s="23"/>
      <c r="I2605" s="21">
        <f t="shared" si="15"/>
        <v>781.68</v>
      </c>
      <c r="J2605" s="23"/>
      <c r="K2605" s="21">
        <f t="shared" si="13"/>
        <v>204430.28</v>
      </c>
      <c r="L2605" s="23"/>
      <c r="M2605" s="21">
        <f t="shared" si="16"/>
        <v>1894.93</v>
      </c>
    </row>
    <row r="2606" ht="20.25" customHeight="1" outlineLevel="1">
      <c r="A2606" s="12"/>
      <c r="B2606" s="13"/>
      <c r="C2606" s="28"/>
      <c r="D2606" s="20"/>
      <c r="E2606" s="21">
        <f t="shared" si="1"/>
        <v>12593.22</v>
      </c>
      <c r="F2606" s="23"/>
      <c r="G2606" s="21">
        <f t="shared" si="8"/>
        <v>318539.46</v>
      </c>
      <c r="H2606" s="23"/>
      <c r="I2606" s="21">
        <f t="shared" si="15"/>
        <v>781.68</v>
      </c>
      <c r="J2606" s="23"/>
      <c r="K2606" s="21">
        <f t="shared" si="13"/>
        <v>204430.28</v>
      </c>
      <c r="L2606" s="23"/>
      <c r="M2606" s="21">
        <f t="shared" si="16"/>
        <v>1894.93</v>
      </c>
    </row>
    <row r="2607" ht="20.25" customHeight="1" outlineLevel="1">
      <c r="A2607" s="12"/>
      <c r="B2607" s="13"/>
      <c r="C2607" s="28"/>
      <c r="D2607" s="20"/>
      <c r="E2607" s="21">
        <f t="shared" si="1"/>
        <v>12593.22</v>
      </c>
      <c r="F2607" s="23"/>
      <c r="G2607" s="21">
        <f t="shared" si="8"/>
        <v>318539.46</v>
      </c>
      <c r="H2607" s="23"/>
      <c r="I2607" s="21">
        <f t="shared" si="15"/>
        <v>781.68</v>
      </c>
      <c r="J2607" s="23"/>
      <c r="K2607" s="21">
        <f t="shared" si="13"/>
        <v>204430.28</v>
      </c>
      <c r="L2607" s="23"/>
      <c r="M2607" s="21">
        <f t="shared" si="16"/>
        <v>1894.93</v>
      </c>
    </row>
    <row r="2608" ht="20.25" customHeight="1" outlineLevel="1">
      <c r="A2608" s="12"/>
      <c r="B2608" s="13"/>
      <c r="C2608" s="42"/>
      <c r="D2608" s="20"/>
      <c r="E2608" s="21">
        <f t="shared" si="1"/>
        <v>12593.22</v>
      </c>
      <c r="F2608" s="23"/>
      <c r="G2608" s="21">
        <f t="shared" si="8"/>
        <v>318539.46</v>
      </c>
      <c r="H2608" s="23"/>
      <c r="I2608" s="21">
        <f t="shared" si="15"/>
        <v>781.68</v>
      </c>
      <c r="J2608" s="23"/>
      <c r="K2608" s="21">
        <f t="shared" si="13"/>
        <v>204430.28</v>
      </c>
      <c r="L2608" s="23"/>
      <c r="M2608" s="21">
        <f t="shared" si="16"/>
        <v>1894.93</v>
      </c>
    </row>
    <row r="2609" ht="20.25" customHeight="1" outlineLevel="1">
      <c r="A2609" s="12"/>
      <c r="B2609" s="13"/>
      <c r="C2609" s="42"/>
      <c r="D2609" s="20"/>
      <c r="E2609" s="21">
        <f t="shared" si="1"/>
        <v>12593.22</v>
      </c>
      <c r="F2609" s="23"/>
      <c r="G2609" s="21">
        <f t="shared" si="8"/>
        <v>318539.46</v>
      </c>
      <c r="H2609" s="23"/>
      <c r="I2609" s="21">
        <f t="shared" si="15"/>
        <v>781.68</v>
      </c>
      <c r="J2609" s="23"/>
      <c r="K2609" s="21">
        <f t="shared" si="13"/>
        <v>204430.28</v>
      </c>
      <c r="L2609" s="23"/>
      <c r="M2609" s="21">
        <f t="shared" si="16"/>
        <v>1894.93</v>
      </c>
    </row>
    <row r="2610" ht="20.25" customHeight="1" outlineLevel="1">
      <c r="A2610" s="12"/>
      <c r="B2610" s="13"/>
      <c r="C2610" s="28"/>
      <c r="D2610" s="20"/>
      <c r="E2610" s="21">
        <f t="shared" si="1"/>
        <v>12593.22</v>
      </c>
      <c r="F2610" s="23"/>
      <c r="G2610" s="21">
        <f t="shared" si="8"/>
        <v>318539.46</v>
      </c>
      <c r="H2610" s="23"/>
      <c r="I2610" s="21">
        <f t="shared" si="15"/>
        <v>781.68</v>
      </c>
      <c r="J2610" s="23"/>
      <c r="K2610" s="21">
        <f t="shared" si="13"/>
        <v>204430.28</v>
      </c>
      <c r="L2610" s="23"/>
      <c r="M2610" s="21">
        <f t="shared" si="16"/>
        <v>1894.93</v>
      </c>
    </row>
    <row r="2611" ht="20.25" customHeight="1" outlineLevel="1">
      <c r="A2611" s="12"/>
      <c r="B2611" s="13"/>
      <c r="C2611" s="28"/>
      <c r="D2611" s="20"/>
      <c r="E2611" s="21">
        <f t="shared" si="1"/>
        <v>12593.22</v>
      </c>
      <c r="F2611" s="23"/>
      <c r="G2611" s="21">
        <f t="shared" si="8"/>
        <v>318539.46</v>
      </c>
      <c r="H2611" s="23"/>
      <c r="I2611" s="21">
        <f t="shared" si="15"/>
        <v>781.68</v>
      </c>
      <c r="J2611" s="23"/>
      <c r="K2611" s="21">
        <f t="shared" si="13"/>
        <v>204430.28</v>
      </c>
      <c r="L2611" s="23"/>
      <c r="M2611" s="21">
        <f t="shared" si="16"/>
        <v>1894.93</v>
      </c>
    </row>
    <row r="2612" ht="20.25" customHeight="1" outlineLevel="1">
      <c r="A2612" s="12"/>
      <c r="B2612" s="13"/>
      <c r="C2612" s="28"/>
      <c r="D2612" s="20"/>
      <c r="E2612" s="21">
        <f t="shared" si="1"/>
        <v>12593.22</v>
      </c>
      <c r="F2612" s="23"/>
      <c r="G2612" s="21">
        <f t="shared" si="8"/>
        <v>318539.46</v>
      </c>
      <c r="H2612" s="23"/>
      <c r="I2612" s="21">
        <f t="shared" si="15"/>
        <v>781.68</v>
      </c>
      <c r="J2612" s="23"/>
      <c r="K2612" s="21">
        <f t="shared" si="13"/>
        <v>204430.28</v>
      </c>
      <c r="L2612" s="23"/>
      <c r="M2612" s="21">
        <f t="shared" si="16"/>
        <v>1894.93</v>
      </c>
    </row>
    <row r="2613" ht="20.25" customHeight="1" outlineLevel="1">
      <c r="A2613" s="12"/>
      <c r="B2613" s="13"/>
      <c r="C2613" s="28"/>
      <c r="D2613" s="20"/>
      <c r="E2613" s="21">
        <f t="shared" si="1"/>
        <v>12593.22</v>
      </c>
      <c r="F2613" s="23"/>
      <c r="G2613" s="21">
        <f t="shared" si="8"/>
        <v>318539.46</v>
      </c>
      <c r="H2613" s="23"/>
      <c r="I2613" s="21">
        <f t="shared" si="15"/>
        <v>781.68</v>
      </c>
      <c r="J2613" s="23"/>
      <c r="K2613" s="21">
        <f t="shared" si="13"/>
        <v>204430.28</v>
      </c>
      <c r="L2613" s="23"/>
      <c r="M2613" s="21">
        <f t="shared" si="16"/>
        <v>1894.93</v>
      </c>
    </row>
    <row r="2614" ht="20.25" customHeight="1" outlineLevel="1">
      <c r="A2614" s="12"/>
      <c r="B2614" s="13"/>
      <c r="C2614" s="28"/>
      <c r="D2614" s="20"/>
      <c r="E2614" s="21">
        <f t="shared" si="1"/>
        <v>12593.22</v>
      </c>
      <c r="F2614" s="23"/>
      <c r="G2614" s="21">
        <f t="shared" si="8"/>
        <v>318539.46</v>
      </c>
      <c r="H2614" s="23"/>
      <c r="I2614" s="21">
        <f t="shared" si="15"/>
        <v>781.68</v>
      </c>
      <c r="J2614" s="23"/>
      <c r="K2614" s="21">
        <f t="shared" si="13"/>
        <v>204430.28</v>
      </c>
      <c r="L2614" s="23"/>
      <c r="M2614" s="21">
        <f t="shared" si="16"/>
        <v>1894.93</v>
      </c>
    </row>
    <row r="2615" ht="20.25" customHeight="1" outlineLevel="1">
      <c r="A2615" s="12"/>
      <c r="B2615" s="13"/>
      <c r="C2615" s="42"/>
      <c r="D2615" s="20"/>
      <c r="E2615" s="21">
        <f t="shared" si="1"/>
        <v>12593.22</v>
      </c>
      <c r="F2615" s="23"/>
      <c r="G2615" s="21">
        <f t="shared" si="8"/>
        <v>318539.46</v>
      </c>
      <c r="H2615" s="23"/>
      <c r="I2615" s="21">
        <f t="shared" si="15"/>
        <v>781.68</v>
      </c>
      <c r="J2615" s="23"/>
      <c r="K2615" s="21">
        <f t="shared" si="13"/>
        <v>204430.28</v>
      </c>
      <c r="L2615" s="23"/>
      <c r="M2615" s="21">
        <f t="shared" si="16"/>
        <v>1894.93</v>
      </c>
    </row>
    <row r="2616" ht="20.25" customHeight="1" outlineLevel="1">
      <c r="A2616" s="12"/>
      <c r="B2616" s="13"/>
      <c r="C2616" s="42"/>
      <c r="D2616" s="20"/>
      <c r="E2616" s="21">
        <f t="shared" si="1"/>
        <v>12593.22</v>
      </c>
      <c r="F2616" s="23"/>
      <c r="G2616" s="21">
        <f t="shared" si="8"/>
        <v>318539.46</v>
      </c>
      <c r="H2616" s="23"/>
      <c r="I2616" s="21">
        <f t="shared" si="15"/>
        <v>781.68</v>
      </c>
      <c r="J2616" s="23"/>
      <c r="K2616" s="21">
        <f t="shared" si="13"/>
        <v>204430.28</v>
      </c>
      <c r="L2616" s="23"/>
      <c r="M2616" s="21">
        <f t="shared" si="16"/>
        <v>1894.93</v>
      </c>
    </row>
    <row r="2617" ht="20.25" customHeight="1" outlineLevel="1">
      <c r="A2617" s="12"/>
      <c r="B2617" s="13"/>
      <c r="C2617" s="28"/>
      <c r="D2617" s="20"/>
      <c r="E2617" s="21">
        <f t="shared" si="1"/>
        <v>12593.22</v>
      </c>
      <c r="F2617" s="23"/>
      <c r="G2617" s="21">
        <f t="shared" si="8"/>
        <v>318539.46</v>
      </c>
      <c r="H2617" s="23"/>
      <c r="I2617" s="21">
        <f t="shared" si="15"/>
        <v>781.68</v>
      </c>
      <c r="J2617" s="23"/>
      <c r="K2617" s="21">
        <f t="shared" si="13"/>
        <v>204430.28</v>
      </c>
      <c r="L2617" s="23"/>
      <c r="M2617" s="21">
        <f t="shared" si="16"/>
        <v>1894.93</v>
      </c>
    </row>
    <row r="2618" ht="20.25" customHeight="1" outlineLevel="1">
      <c r="A2618" s="12"/>
      <c r="B2618" s="13"/>
      <c r="C2618" s="28"/>
      <c r="D2618" s="20"/>
      <c r="E2618" s="21">
        <f t="shared" si="1"/>
        <v>12593.22</v>
      </c>
      <c r="F2618" s="23"/>
      <c r="G2618" s="21">
        <f t="shared" si="8"/>
        <v>318539.46</v>
      </c>
      <c r="H2618" s="23"/>
      <c r="I2618" s="21">
        <f t="shared" si="15"/>
        <v>781.68</v>
      </c>
      <c r="J2618" s="23"/>
      <c r="K2618" s="21">
        <f t="shared" si="13"/>
        <v>204430.28</v>
      </c>
      <c r="L2618" s="23"/>
      <c r="M2618" s="21">
        <f t="shared" si="16"/>
        <v>1894.93</v>
      </c>
    </row>
    <row r="2619" ht="20.25" customHeight="1" outlineLevel="1">
      <c r="A2619" s="12"/>
      <c r="B2619" s="13"/>
      <c r="C2619" s="28"/>
      <c r="D2619" s="20"/>
      <c r="E2619" s="21">
        <f t="shared" si="1"/>
        <v>12593.22</v>
      </c>
      <c r="F2619" s="23"/>
      <c r="G2619" s="21">
        <f t="shared" si="8"/>
        <v>318539.46</v>
      </c>
      <c r="H2619" s="23"/>
      <c r="I2619" s="21">
        <f t="shared" si="15"/>
        <v>781.68</v>
      </c>
      <c r="J2619" s="23"/>
      <c r="K2619" s="21">
        <f t="shared" si="13"/>
        <v>204430.28</v>
      </c>
      <c r="L2619" s="23"/>
      <c r="M2619" s="21">
        <f t="shared" si="16"/>
        <v>1894.93</v>
      </c>
    </row>
    <row r="2620" ht="20.25" customHeight="1" outlineLevel="1">
      <c r="A2620" s="12"/>
      <c r="B2620" s="13"/>
      <c r="C2620" s="28"/>
      <c r="D2620" s="20"/>
      <c r="E2620" s="21">
        <f t="shared" si="1"/>
        <v>12593.22</v>
      </c>
      <c r="F2620" s="23"/>
      <c r="G2620" s="21">
        <f t="shared" si="8"/>
        <v>318539.46</v>
      </c>
      <c r="H2620" s="23"/>
      <c r="I2620" s="21">
        <f t="shared" si="15"/>
        <v>781.68</v>
      </c>
      <c r="J2620" s="23"/>
      <c r="K2620" s="21">
        <f t="shared" si="13"/>
        <v>204430.28</v>
      </c>
      <c r="L2620" s="23"/>
      <c r="M2620" s="21">
        <f t="shared" si="16"/>
        <v>1894.93</v>
      </c>
    </row>
    <row r="2621" ht="20.25" customHeight="1" outlineLevel="1">
      <c r="A2621" s="12"/>
      <c r="B2621" s="13"/>
      <c r="C2621" s="28"/>
      <c r="D2621" s="20"/>
      <c r="E2621" s="21">
        <f t="shared" si="1"/>
        <v>12593.22</v>
      </c>
      <c r="F2621" s="23"/>
      <c r="G2621" s="21">
        <f t="shared" si="8"/>
        <v>318539.46</v>
      </c>
      <c r="H2621" s="23"/>
      <c r="I2621" s="21">
        <f t="shared" si="15"/>
        <v>781.68</v>
      </c>
      <c r="J2621" s="23"/>
      <c r="K2621" s="21">
        <f t="shared" si="13"/>
        <v>204430.28</v>
      </c>
      <c r="L2621" s="23"/>
      <c r="M2621" s="21">
        <f t="shared" si="16"/>
        <v>1894.93</v>
      </c>
    </row>
    <row r="2622" ht="20.25" customHeight="1" outlineLevel="1">
      <c r="A2622" s="12"/>
      <c r="B2622" s="13"/>
      <c r="C2622" s="28"/>
      <c r="D2622" s="20"/>
      <c r="E2622" s="21">
        <f t="shared" si="1"/>
        <v>12593.22</v>
      </c>
      <c r="F2622" s="23"/>
      <c r="G2622" s="21">
        <f t="shared" si="8"/>
        <v>318539.46</v>
      </c>
      <c r="H2622" s="23"/>
      <c r="I2622" s="21">
        <f t="shared" si="15"/>
        <v>781.68</v>
      </c>
      <c r="J2622" s="23"/>
      <c r="K2622" s="21">
        <f t="shared" si="13"/>
        <v>204430.28</v>
      </c>
      <c r="L2622" s="23"/>
      <c r="M2622" s="21">
        <f t="shared" si="16"/>
        <v>1894.93</v>
      </c>
    </row>
    <row r="2623" ht="20.25" customHeight="1" outlineLevel="1">
      <c r="A2623" s="12"/>
      <c r="B2623" s="13"/>
      <c r="C2623" s="28"/>
      <c r="D2623" s="20"/>
      <c r="E2623" s="21">
        <f t="shared" si="1"/>
        <v>12593.22</v>
      </c>
      <c r="F2623" s="23"/>
      <c r="G2623" s="21">
        <f t="shared" si="8"/>
        <v>318539.46</v>
      </c>
      <c r="H2623" s="23"/>
      <c r="I2623" s="21">
        <f t="shared" si="15"/>
        <v>781.68</v>
      </c>
      <c r="J2623" s="23"/>
      <c r="K2623" s="21">
        <f t="shared" si="13"/>
        <v>204430.28</v>
      </c>
      <c r="L2623" s="23"/>
      <c r="M2623" s="21">
        <f t="shared" si="16"/>
        <v>1894.93</v>
      </c>
    </row>
    <row r="2624" ht="20.25" customHeight="1" outlineLevel="1">
      <c r="A2624" s="12"/>
      <c r="B2624" s="13"/>
      <c r="C2624" s="28"/>
      <c r="D2624" s="20"/>
      <c r="E2624" s="21">
        <f t="shared" si="1"/>
        <v>12593.22</v>
      </c>
      <c r="F2624" s="23"/>
      <c r="G2624" s="21">
        <f t="shared" si="8"/>
        <v>318539.46</v>
      </c>
      <c r="H2624" s="23"/>
      <c r="I2624" s="21">
        <f t="shared" si="15"/>
        <v>781.68</v>
      </c>
      <c r="J2624" s="23"/>
      <c r="K2624" s="21">
        <f t="shared" si="13"/>
        <v>204430.28</v>
      </c>
      <c r="L2624" s="23"/>
      <c r="M2624" s="21">
        <f t="shared" si="16"/>
        <v>1894.93</v>
      </c>
    </row>
    <row r="2625" ht="20.25" customHeight="1" outlineLevel="1">
      <c r="A2625" s="12"/>
      <c r="B2625" s="13"/>
      <c r="C2625" s="42"/>
      <c r="D2625" s="20"/>
      <c r="E2625" s="21">
        <f t="shared" si="1"/>
        <v>12593.22</v>
      </c>
      <c r="F2625" s="23"/>
      <c r="G2625" s="21">
        <f t="shared" si="8"/>
        <v>318539.46</v>
      </c>
      <c r="H2625" s="23"/>
      <c r="I2625" s="21">
        <f t="shared" si="15"/>
        <v>781.68</v>
      </c>
      <c r="J2625" s="23"/>
      <c r="K2625" s="21">
        <f t="shared" si="13"/>
        <v>204430.28</v>
      </c>
      <c r="L2625" s="23"/>
      <c r="M2625" s="21">
        <f t="shared" si="16"/>
        <v>1894.93</v>
      </c>
    </row>
    <row r="2626" ht="20.25" customHeight="1" outlineLevel="1">
      <c r="A2626" s="12"/>
      <c r="B2626" s="13"/>
      <c r="C2626" s="42"/>
      <c r="D2626" s="20"/>
      <c r="E2626" s="21">
        <f t="shared" si="1"/>
        <v>12593.22</v>
      </c>
      <c r="F2626" s="23"/>
      <c r="G2626" s="21">
        <f t="shared" si="8"/>
        <v>318539.46</v>
      </c>
      <c r="H2626" s="23"/>
      <c r="I2626" s="21">
        <f t="shared" si="15"/>
        <v>781.68</v>
      </c>
      <c r="J2626" s="23"/>
      <c r="K2626" s="21">
        <f t="shared" si="13"/>
        <v>204430.28</v>
      </c>
      <c r="L2626" s="23"/>
      <c r="M2626" s="21">
        <f t="shared" si="16"/>
        <v>1894.93</v>
      </c>
    </row>
    <row r="2627" ht="20.25" customHeight="1" outlineLevel="1">
      <c r="A2627" s="12"/>
      <c r="B2627" s="13"/>
      <c r="C2627" s="42"/>
      <c r="D2627" s="20"/>
      <c r="E2627" s="21">
        <f t="shared" si="1"/>
        <v>12593.22</v>
      </c>
      <c r="F2627" s="23"/>
      <c r="G2627" s="21">
        <f t="shared" si="8"/>
        <v>318539.46</v>
      </c>
      <c r="H2627" s="23"/>
      <c r="I2627" s="21">
        <f t="shared" si="15"/>
        <v>781.68</v>
      </c>
      <c r="J2627" s="23"/>
      <c r="K2627" s="21">
        <f t="shared" si="13"/>
        <v>204430.28</v>
      </c>
      <c r="L2627" s="23"/>
      <c r="M2627" s="21">
        <f t="shared" si="16"/>
        <v>1894.93</v>
      </c>
    </row>
    <row r="2628" ht="20.25" customHeight="1" outlineLevel="1">
      <c r="A2628" s="12"/>
      <c r="B2628" s="13"/>
      <c r="C2628" s="42"/>
      <c r="D2628" s="20"/>
      <c r="E2628" s="21">
        <f t="shared" si="1"/>
        <v>12593.22</v>
      </c>
      <c r="F2628" s="23"/>
      <c r="G2628" s="21">
        <f t="shared" si="8"/>
        <v>318539.46</v>
      </c>
      <c r="H2628" s="23"/>
      <c r="I2628" s="21">
        <f t="shared" si="15"/>
        <v>781.68</v>
      </c>
      <c r="J2628" s="23"/>
      <c r="K2628" s="21">
        <f t="shared" si="13"/>
        <v>204430.28</v>
      </c>
      <c r="L2628" s="23"/>
      <c r="M2628" s="21">
        <f t="shared" si="16"/>
        <v>1894.93</v>
      </c>
    </row>
    <row r="2629" ht="20.25" customHeight="1" outlineLevel="1">
      <c r="A2629" s="12"/>
      <c r="B2629" s="13"/>
      <c r="C2629" s="42"/>
      <c r="D2629" s="20"/>
      <c r="E2629" s="21">
        <f t="shared" si="1"/>
        <v>12593.22</v>
      </c>
      <c r="F2629" s="23"/>
      <c r="G2629" s="21">
        <f t="shared" si="8"/>
        <v>318539.46</v>
      </c>
      <c r="H2629" s="23"/>
      <c r="I2629" s="21">
        <f t="shared" si="15"/>
        <v>781.68</v>
      </c>
      <c r="J2629" s="23"/>
      <c r="K2629" s="21">
        <f t="shared" si="13"/>
        <v>204430.28</v>
      </c>
      <c r="L2629" s="23"/>
      <c r="M2629" s="21">
        <f t="shared" si="16"/>
        <v>1894.93</v>
      </c>
    </row>
    <row r="2630" ht="20.25" customHeight="1" outlineLevel="1">
      <c r="A2630" s="12"/>
      <c r="B2630" s="13"/>
      <c r="C2630" s="28"/>
      <c r="D2630" s="20"/>
      <c r="E2630" s="21">
        <f t="shared" si="1"/>
        <v>12593.22</v>
      </c>
      <c r="F2630" s="23"/>
      <c r="G2630" s="21">
        <f t="shared" si="8"/>
        <v>318539.46</v>
      </c>
      <c r="H2630" s="23"/>
      <c r="I2630" s="21">
        <f t="shared" si="15"/>
        <v>781.68</v>
      </c>
      <c r="J2630" s="23"/>
      <c r="K2630" s="21">
        <f t="shared" si="13"/>
        <v>204430.28</v>
      </c>
      <c r="L2630" s="23"/>
      <c r="M2630" s="21">
        <f t="shared" si="16"/>
        <v>1894.93</v>
      </c>
    </row>
    <row r="2631" ht="20.25" customHeight="1" outlineLevel="1">
      <c r="A2631" s="12"/>
      <c r="B2631" s="13"/>
      <c r="C2631" s="28"/>
      <c r="D2631" s="20"/>
      <c r="E2631" s="21">
        <f t="shared" si="1"/>
        <v>12593.22</v>
      </c>
      <c r="F2631" s="23"/>
      <c r="G2631" s="21">
        <f t="shared" si="8"/>
        <v>318539.46</v>
      </c>
      <c r="H2631" s="23"/>
      <c r="I2631" s="21">
        <f t="shared" si="15"/>
        <v>781.68</v>
      </c>
      <c r="J2631" s="23"/>
      <c r="K2631" s="21">
        <f t="shared" si="13"/>
        <v>204430.28</v>
      </c>
      <c r="L2631" s="23"/>
      <c r="M2631" s="21">
        <f t="shared" si="16"/>
        <v>1894.93</v>
      </c>
    </row>
    <row r="2632" ht="20.25" customHeight="1" outlineLevel="1">
      <c r="A2632" s="12"/>
      <c r="B2632" s="13"/>
      <c r="C2632" s="28"/>
      <c r="D2632" s="20"/>
      <c r="E2632" s="21">
        <f t="shared" si="1"/>
        <v>12593.22</v>
      </c>
      <c r="F2632" s="23"/>
      <c r="G2632" s="21">
        <f t="shared" si="8"/>
        <v>318539.46</v>
      </c>
      <c r="H2632" s="23"/>
      <c r="I2632" s="21">
        <f t="shared" si="15"/>
        <v>781.68</v>
      </c>
      <c r="J2632" s="23"/>
      <c r="K2632" s="21">
        <f t="shared" si="13"/>
        <v>204430.28</v>
      </c>
      <c r="L2632" s="23"/>
      <c r="M2632" s="21">
        <f t="shared" si="16"/>
        <v>1894.93</v>
      </c>
    </row>
    <row r="2633" ht="20.25" customHeight="1" outlineLevel="1">
      <c r="A2633" s="12"/>
      <c r="B2633" s="13"/>
      <c r="C2633" s="28"/>
      <c r="D2633" s="20"/>
      <c r="E2633" s="21">
        <f t="shared" si="1"/>
        <v>12593.22</v>
      </c>
      <c r="F2633" s="23"/>
      <c r="G2633" s="21">
        <f t="shared" si="8"/>
        <v>318539.46</v>
      </c>
      <c r="H2633" s="23"/>
      <c r="I2633" s="21">
        <f t="shared" si="15"/>
        <v>781.68</v>
      </c>
      <c r="J2633" s="23"/>
      <c r="K2633" s="21">
        <f t="shared" si="13"/>
        <v>204430.28</v>
      </c>
      <c r="L2633" s="23"/>
      <c r="M2633" s="21">
        <f t="shared" si="16"/>
        <v>1894.93</v>
      </c>
    </row>
    <row r="2634" ht="20.25" customHeight="1" outlineLevel="1">
      <c r="A2634" s="12"/>
      <c r="B2634" s="13"/>
      <c r="C2634" s="28"/>
      <c r="D2634" s="20"/>
      <c r="E2634" s="21">
        <f t="shared" si="1"/>
        <v>12593.22</v>
      </c>
      <c r="F2634" s="23"/>
      <c r="G2634" s="21">
        <f t="shared" si="8"/>
        <v>318539.46</v>
      </c>
      <c r="H2634" s="23"/>
      <c r="I2634" s="21">
        <f t="shared" si="15"/>
        <v>781.68</v>
      </c>
      <c r="J2634" s="23"/>
      <c r="K2634" s="21">
        <f t="shared" si="13"/>
        <v>204430.28</v>
      </c>
      <c r="L2634" s="23"/>
      <c r="M2634" s="21">
        <f t="shared" si="16"/>
        <v>1894.93</v>
      </c>
    </row>
    <row r="2635" ht="20.25" customHeight="1" outlineLevel="1">
      <c r="A2635" s="12"/>
      <c r="B2635" s="13"/>
      <c r="C2635" s="28"/>
      <c r="D2635" s="20"/>
      <c r="E2635" s="21">
        <f t="shared" si="1"/>
        <v>12593.22</v>
      </c>
      <c r="F2635" s="23"/>
      <c r="G2635" s="21">
        <f t="shared" si="8"/>
        <v>318539.46</v>
      </c>
      <c r="H2635" s="23"/>
      <c r="I2635" s="21">
        <f t="shared" si="15"/>
        <v>781.68</v>
      </c>
      <c r="J2635" s="23"/>
      <c r="K2635" s="21">
        <f t="shared" si="13"/>
        <v>204430.28</v>
      </c>
      <c r="L2635" s="23"/>
      <c r="M2635" s="21">
        <f t="shared" si="16"/>
        <v>1894.93</v>
      </c>
    </row>
    <row r="2636" ht="20.25" customHeight="1" outlineLevel="1">
      <c r="A2636" s="12"/>
      <c r="B2636" s="13"/>
      <c r="C2636" s="28"/>
      <c r="D2636" s="20"/>
      <c r="E2636" s="21">
        <f t="shared" si="1"/>
        <v>12593.22</v>
      </c>
      <c r="F2636" s="23"/>
      <c r="G2636" s="21">
        <f t="shared" si="8"/>
        <v>318539.46</v>
      </c>
      <c r="H2636" s="23"/>
      <c r="I2636" s="21">
        <f t="shared" si="15"/>
        <v>781.68</v>
      </c>
      <c r="J2636" s="23"/>
      <c r="K2636" s="21">
        <f t="shared" si="13"/>
        <v>204430.28</v>
      </c>
      <c r="L2636" s="23"/>
      <c r="M2636" s="21">
        <f t="shared" si="16"/>
        <v>1894.93</v>
      </c>
    </row>
    <row r="2637" ht="20.25" customHeight="1" outlineLevel="1">
      <c r="A2637" s="12"/>
      <c r="B2637" s="13"/>
      <c r="C2637" s="28"/>
      <c r="D2637" s="20"/>
      <c r="E2637" s="21">
        <f t="shared" si="1"/>
        <v>12593.22</v>
      </c>
      <c r="F2637" s="23"/>
      <c r="G2637" s="21">
        <f t="shared" si="8"/>
        <v>318539.46</v>
      </c>
      <c r="H2637" s="23"/>
      <c r="I2637" s="21">
        <f t="shared" si="15"/>
        <v>781.68</v>
      </c>
      <c r="J2637" s="23"/>
      <c r="K2637" s="21">
        <f t="shared" si="13"/>
        <v>204430.28</v>
      </c>
      <c r="L2637" s="23"/>
      <c r="M2637" s="21">
        <f t="shared" si="16"/>
        <v>1894.93</v>
      </c>
    </row>
    <row r="2638" ht="20.25" customHeight="1" outlineLevel="1">
      <c r="A2638" s="12"/>
      <c r="B2638" s="13"/>
      <c r="C2638" s="42"/>
      <c r="D2638" s="20"/>
      <c r="E2638" s="21">
        <f t="shared" si="1"/>
        <v>12593.22</v>
      </c>
      <c r="F2638" s="23"/>
      <c r="G2638" s="21">
        <f t="shared" si="8"/>
        <v>318539.46</v>
      </c>
      <c r="H2638" s="23"/>
      <c r="I2638" s="21">
        <f t="shared" si="15"/>
        <v>781.68</v>
      </c>
      <c r="J2638" s="23"/>
      <c r="K2638" s="21">
        <f t="shared" si="13"/>
        <v>204430.28</v>
      </c>
      <c r="L2638" s="23"/>
      <c r="M2638" s="21">
        <f t="shared" si="16"/>
        <v>1894.93</v>
      </c>
    </row>
    <row r="2639" ht="20.25" customHeight="1" outlineLevel="1">
      <c r="A2639" s="12"/>
      <c r="B2639" s="13"/>
      <c r="C2639" s="42"/>
      <c r="D2639" s="20"/>
      <c r="E2639" s="21">
        <f t="shared" si="1"/>
        <v>12593.22</v>
      </c>
      <c r="F2639" s="23"/>
      <c r="G2639" s="21">
        <f t="shared" si="8"/>
        <v>318539.46</v>
      </c>
      <c r="H2639" s="23"/>
      <c r="I2639" s="21">
        <f t="shared" si="15"/>
        <v>781.68</v>
      </c>
      <c r="J2639" s="23"/>
      <c r="K2639" s="21">
        <f t="shared" si="13"/>
        <v>204430.28</v>
      </c>
      <c r="L2639" s="23"/>
      <c r="M2639" s="21">
        <f t="shared" si="16"/>
        <v>1894.93</v>
      </c>
    </row>
    <row r="2640" ht="20.25" customHeight="1" outlineLevel="1">
      <c r="A2640" s="12"/>
      <c r="B2640" s="13"/>
      <c r="C2640" s="42"/>
      <c r="D2640" s="20"/>
      <c r="E2640" s="21">
        <f t="shared" si="1"/>
        <v>12593.22</v>
      </c>
      <c r="F2640" s="23"/>
      <c r="G2640" s="21">
        <f t="shared" si="8"/>
        <v>318539.46</v>
      </c>
      <c r="H2640" s="23"/>
      <c r="I2640" s="21">
        <f t="shared" si="15"/>
        <v>781.68</v>
      </c>
      <c r="J2640" s="23"/>
      <c r="K2640" s="21">
        <f t="shared" si="13"/>
        <v>204430.28</v>
      </c>
      <c r="L2640" s="23"/>
      <c r="M2640" s="21">
        <f t="shared" si="16"/>
        <v>1894.93</v>
      </c>
    </row>
    <row r="2641" ht="20.25" customHeight="1" outlineLevel="1">
      <c r="A2641" s="12"/>
      <c r="B2641" s="13"/>
      <c r="C2641" s="42"/>
      <c r="D2641" s="20"/>
      <c r="E2641" s="21">
        <f t="shared" si="1"/>
        <v>12593.22</v>
      </c>
      <c r="F2641" s="23"/>
      <c r="G2641" s="21">
        <f t="shared" si="8"/>
        <v>318539.46</v>
      </c>
      <c r="H2641" s="23"/>
      <c r="I2641" s="21">
        <f t="shared" si="15"/>
        <v>781.68</v>
      </c>
      <c r="J2641" s="23"/>
      <c r="K2641" s="21">
        <f t="shared" si="13"/>
        <v>204430.28</v>
      </c>
      <c r="L2641" s="23"/>
      <c r="M2641" s="21">
        <f t="shared" si="16"/>
        <v>1894.93</v>
      </c>
    </row>
    <row r="2642" ht="20.25" customHeight="1" outlineLevel="1">
      <c r="A2642" s="12"/>
      <c r="B2642" s="13"/>
      <c r="C2642" s="42"/>
      <c r="D2642" s="20"/>
      <c r="E2642" s="21">
        <f t="shared" si="1"/>
        <v>12593.22</v>
      </c>
      <c r="F2642" s="23"/>
      <c r="G2642" s="21">
        <f t="shared" si="8"/>
        <v>318539.46</v>
      </c>
      <c r="H2642" s="23"/>
      <c r="I2642" s="21">
        <f t="shared" si="15"/>
        <v>781.68</v>
      </c>
      <c r="J2642" s="23"/>
      <c r="K2642" s="21">
        <f t="shared" si="13"/>
        <v>204430.28</v>
      </c>
      <c r="L2642" s="23"/>
      <c r="M2642" s="21">
        <f t="shared" si="16"/>
        <v>1894.93</v>
      </c>
    </row>
    <row r="2643" ht="20.25" customHeight="1" outlineLevel="1">
      <c r="A2643" s="12"/>
      <c r="B2643" s="13"/>
      <c r="C2643" s="42"/>
      <c r="D2643" s="20"/>
      <c r="E2643" s="21">
        <f t="shared" si="1"/>
        <v>12593.22</v>
      </c>
      <c r="F2643" s="23"/>
      <c r="G2643" s="21">
        <f t="shared" si="8"/>
        <v>318539.46</v>
      </c>
      <c r="H2643" s="23"/>
      <c r="I2643" s="21">
        <f t="shared" si="15"/>
        <v>781.68</v>
      </c>
      <c r="J2643" s="23"/>
      <c r="K2643" s="21">
        <f t="shared" si="13"/>
        <v>204430.28</v>
      </c>
      <c r="L2643" s="23"/>
      <c r="M2643" s="21">
        <f t="shared" si="16"/>
        <v>1894.93</v>
      </c>
    </row>
    <row r="2644" ht="20.25" customHeight="1" outlineLevel="1">
      <c r="A2644" s="12"/>
      <c r="B2644" s="13"/>
      <c r="C2644" s="42"/>
      <c r="D2644" s="20"/>
      <c r="E2644" s="21">
        <f t="shared" si="1"/>
        <v>12593.22</v>
      </c>
      <c r="F2644" s="23"/>
      <c r="G2644" s="21">
        <f t="shared" si="8"/>
        <v>318539.46</v>
      </c>
      <c r="H2644" s="23"/>
      <c r="I2644" s="21">
        <f t="shared" si="15"/>
        <v>781.68</v>
      </c>
      <c r="J2644" s="23"/>
      <c r="K2644" s="21">
        <f t="shared" si="13"/>
        <v>204430.28</v>
      </c>
      <c r="L2644" s="23"/>
      <c r="M2644" s="21">
        <f t="shared" si="16"/>
        <v>1894.93</v>
      </c>
    </row>
    <row r="2645" ht="20.25" customHeight="1" outlineLevel="1">
      <c r="A2645" s="12"/>
      <c r="B2645" s="13"/>
      <c r="C2645" s="42"/>
      <c r="D2645" s="20"/>
      <c r="E2645" s="21">
        <f t="shared" si="1"/>
        <v>12593.22</v>
      </c>
      <c r="F2645" s="23"/>
      <c r="G2645" s="21">
        <f t="shared" si="8"/>
        <v>318539.46</v>
      </c>
      <c r="H2645" s="23"/>
      <c r="I2645" s="21">
        <f t="shared" si="15"/>
        <v>781.68</v>
      </c>
      <c r="J2645" s="23"/>
      <c r="K2645" s="21">
        <f t="shared" si="13"/>
        <v>204430.28</v>
      </c>
      <c r="L2645" s="23"/>
      <c r="M2645" s="21">
        <f t="shared" si="16"/>
        <v>1894.93</v>
      </c>
    </row>
    <row r="2646" ht="20.25" customHeight="1" outlineLevel="1">
      <c r="A2646" s="12"/>
      <c r="B2646" s="13"/>
      <c r="C2646" s="42"/>
      <c r="D2646" s="20"/>
      <c r="E2646" s="21">
        <f t="shared" si="1"/>
        <v>12593.22</v>
      </c>
      <c r="F2646" s="23"/>
      <c r="G2646" s="21">
        <f t="shared" si="8"/>
        <v>318539.46</v>
      </c>
      <c r="H2646" s="23"/>
      <c r="I2646" s="21">
        <f t="shared" si="15"/>
        <v>781.68</v>
      </c>
      <c r="J2646" s="23"/>
      <c r="K2646" s="21">
        <f t="shared" si="13"/>
        <v>204430.28</v>
      </c>
      <c r="L2646" s="23"/>
      <c r="M2646" s="21">
        <f t="shared" si="16"/>
        <v>1894.93</v>
      </c>
    </row>
    <row r="2647" ht="20.25" customHeight="1" outlineLevel="1">
      <c r="A2647" s="12"/>
      <c r="B2647" s="13"/>
      <c r="C2647" s="28"/>
      <c r="D2647" s="20"/>
      <c r="E2647" s="21">
        <f t="shared" si="1"/>
        <v>12593.22</v>
      </c>
      <c r="F2647" s="23"/>
      <c r="G2647" s="21">
        <f t="shared" si="8"/>
        <v>318539.46</v>
      </c>
      <c r="H2647" s="23"/>
      <c r="I2647" s="21">
        <f t="shared" si="15"/>
        <v>781.68</v>
      </c>
      <c r="J2647" s="23"/>
      <c r="K2647" s="21">
        <f t="shared" si="13"/>
        <v>204430.28</v>
      </c>
      <c r="L2647" s="23"/>
      <c r="M2647" s="21">
        <f t="shared" si="16"/>
        <v>1894.93</v>
      </c>
    </row>
    <row r="2648" ht="20.25" customHeight="1" outlineLevel="1">
      <c r="A2648" s="12"/>
      <c r="B2648" s="13"/>
      <c r="C2648" s="28"/>
      <c r="D2648" s="20"/>
      <c r="E2648" s="21">
        <f t="shared" si="1"/>
        <v>12593.22</v>
      </c>
      <c r="F2648" s="23"/>
      <c r="G2648" s="21">
        <f t="shared" si="8"/>
        <v>318539.46</v>
      </c>
      <c r="H2648" s="23"/>
      <c r="I2648" s="21">
        <f t="shared" si="15"/>
        <v>781.68</v>
      </c>
      <c r="J2648" s="23"/>
      <c r="K2648" s="21">
        <f t="shared" si="13"/>
        <v>204430.28</v>
      </c>
      <c r="L2648" s="23"/>
      <c r="M2648" s="21">
        <f t="shared" si="16"/>
        <v>1894.93</v>
      </c>
    </row>
    <row r="2649" ht="20.25" customHeight="1" outlineLevel="1">
      <c r="A2649" s="12"/>
      <c r="B2649" s="13"/>
      <c r="C2649" s="28"/>
      <c r="D2649" s="20"/>
      <c r="E2649" s="21">
        <f t="shared" si="1"/>
        <v>12593.22</v>
      </c>
      <c r="F2649" s="23"/>
      <c r="G2649" s="21">
        <f t="shared" si="8"/>
        <v>318539.46</v>
      </c>
      <c r="H2649" s="23"/>
      <c r="I2649" s="21">
        <f t="shared" si="15"/>
        <v>781.68</v>
      </c>
      <c r="J2649" s="23"/>
      <c r="K2649" s="21">
        <f t="shared" si="13"/>
        <v>204430.28</v>
      </c>
      <c r="L2649" s="23"/>
      <c r="M2649" s="21">
        <f t="shared" si="16"/>
        <v>1894.93</v>
      </c>
    </row>
    <row r="2650" ht="20.25" customHeight="1" outlineLevel="1">
      <c r="A2650" s="12"/>
      <c r="B2650" s="13"/>
      <c r="C2650" s="28"/>
      <c r="D2650" s="20"/>
      <c r="E2650" s="21">
        <f t="shared" si="1"/>
        <v>12593.22</v>
      </c>
      <c r="F2650" s="23"/>
      <c r="G2650" s="21">
        <f t="shared" si="8"/>
        <v>318539.46</v>
      </c>
      <c r="H2650" s="23"/>
      <c r="I2650" s="21">
        <f t="shared" si="15"/>
        <v>781.68</v>
      </c>
      <c r="J2650" s="23"/>
      <c r="K2650" s="21">
        <f t="shared" si="13"/>
        <v>204430.28</v>
      </c>
      <c r="L2650" s="23"/>
      <c r="M2650" s="21">
        <f t="shared" si="16"/>
        <v>1894.93</v>
      </c>
    </row>
    <row r="2651" ht="20.25" customHeight="1" outlineLevel="1">
      <c r="A2651" s="12"/>
      <c r="B2651" s="13"/>
      <c r="C2651" s="42"/>
      <c r="D2651" s="20"/>
      <c r="E2651" s="21">
        <f t="shared" si="1"/>
        <v>12593.22</v>
      </c>
      <c r="F2651" s="23"/>
      <c r="G2651" s="21">
        <f t="shared" si="8"/>
        <v>318539.46</v>
      </c>
      <c r="H2651" s="23"/>
      <c r="I2651" s="21">
        <f t="shared" si="15"/>
        <v>781.68</v>
      </c>
      <c r="J2651" s="23"/>
      <c r="K2651" s="21">
        <f t="shared" si="13"/>
        <v>204430.28</v>
      </c>
      <c r="L2651" s="23"/>
      <c r="M2651" s="21">
        <f t="shared" si="16"/>
        <v>1894.93</v>
      </c>
    </row>
    <row r="2652" ht="20.25" customHeight="1" outlineLevel="1">
      <c r="A2652" s="12"/>
      <c r="B2652" s="13"/>
      <c r="C2652" s="42"/>
      <c r="D2652" s="20"/>
      <c r="E2652" s="21">
        <f t="shared" si="1"/>
        <v>12593.22</v>
      </c>
      <c r="F2652" s="23"/>
      <c r="G2652" s="21">
        <f t="shared" si="8"/>
        <v>318539.46</v>
      </c>
      <c r="H2652" s="23"/>
      <c r="I2652" s="21">
        <f t="shared" si="15"/>
        <v>781.68</v>
      </c>
      <c r="J2652" s="23"/>
      <c r="K2652" s="21">
        <f t="shared" si="13"/>
        <v>204430.28</v>
      </c>
      <c r="L2652" s="23"/>
      <c r="M2652" s="21">
        <f t="shared" si="16"/>
        <v>1894.93</v>
      </c>
    </row>
    <row r="2653" ht="20.25" customHeight="1" outlineLevel="1">
      <c r="A2653" s="12"/>
      <c r="B2653" s="13"/>
      <c r="C2653" s="28"/>
      <c r="D2653" s="20"/>
      <c r="E2653" s="21">
        <f t="shared" si="1"/>
        <v>12593.22</v>
      </c>
      <c r="F2653" s="23"/>
      <c r="G2653" s="21">
        <f t="shared" si="8"/>
        <v>318539.46</v>
      </c>
      <c r="H2653" s="23"/>
      <c r="I2653" s="21">
        <f t="shared" si="15"/>
        <v>781.68</v>
      </c>
      <c r="J2653" s="23"/>
      <c r="K2653" s="21">
        <f t="shared" si="13"/>
        <v>204430.28</v>
      </c>
      <c r="L2653" s="23"/>
      <c r="M2653" s="21">
        <f t="shared" si="16"/>
        <v>1894.93</v>
      </c>
    </row>
    <row r="2654" ht="20.25" customHeight="1" outlineLevel="1">
      <c r="A2654" s="12"/>
      <c r="B2654" s="13"/>
      <c r="C2654" s="28"/>
      <c r="D2654" s="20"/>
      <c r="E2654" s="21">
        <f t="shared" si="1"/>
        <v>12593.22</v>
      </c>
      <c r="F2654" s="23"/>
      <c r="G2654" s="21">
        <f t="shared" si="8"/>
        <v>318539.46</v>
      </c>
      <c r="H2654" s="23"/>
      <c r="I2654" s="21">
        <f t="shared" si="15"/>
        <v>781.68</v>
      </c>
      <c r="J2654" s="23"/>
      <c r="K2654" s="21">
        <f t="shared" si="13"/>
        <v>204430.28</v>
      </c>
      <c r="L2654" s="23"/>
      <c r="M2654" s="21">
        <f t="shared" si="16"/>
        <v>1894.93</v>
      </c>
    </row>
    <row r="2655" ht="20.25" customHeight="1" outlineLevel="1">
      <c r="A2655" s="12"/>
      <c r="B2655" s="13"/>
      <c r="C2655" s="28"/>
      <c r="D2655" s="20"/>
      <c r="E2655" s="21">
        <f t="shared" si="1"/>
        <v>12593.22</v>
      </c>
      <c r="F2655" s="23"/>
      <c r="G2655" s="21">
        <f t="shared" si="8"/>
        <v>318539.46</v>
      </c>
      <c r="H2655" s="23"/>
      <c r="I2655" s="21">
        <f t="shared" si="15"/>
        <v>781.68</v>
      </c>
      <c r="J2655" s="23"/>
      <c r="K2655" s="21">
        <f t="shared" si="13"/>
        <v>204430.28</v>
      </c>
      <c r="L2655" s="23"/>
      <c r="M2655" s="21">
        <f t="shared" si="16"/>
        <v>1894.93</v>
      </c>
    </row>
    <row r="2656" ht="20.25" customHeight="1" outlineLevel="1">
      <c r="A2656" s="12"/>
      <c r="B2656" s="13"/>
      <c r="C2656" s="42"/>
      <c r="D2656" s="20"/>
      <c r="E2656" s="21">
        <f t="shared" si="1"/>
        <v>12593.22</v>
      </c>
      <c r="F2656" s="23"/>
      <c r="G2656" s="21">
        <f t="shared" si="8"/>
        <v>318539.46</v>
      </c>
      <c r="H2656" s="23"/>
      <c r="I2656" s="21">
        <f t="shared" si="15"/>
        <v>781.68</v>
      </c>
      <c r="J2656" s="23"/>
      <c r="K2656" s="21">
        <f t="shared" si="13"/>
        <v>204430.28</v>
      </c>
      <c r="L2656" s="23"/>
      <c r="M2656" s="21">
        <f t="shared" si="16"/>
        <v>1894.93</v>
      </c>
    </row>
    <row r="2657" ht="20.25" customHeight="1" outlineLevel="1">
      <c r="A2657" s="12"/>
      <c r="B2657" s="13"/>
      <c r="C2657" s="42"/>
      <c r="D2657" s="20"/>
      <c r="E2657" s="21">
        <f t="shared" si="1"/>
        <v>12593.22</v>
      </c>
      <c r="F2657" s="23"/>
      <c r="G2657" s="21">
        <f t="shared" si="8"/>
        <v>318539.46</v>
      </c>
      <c r="H2657" s="23"/>
      <c r="I2657" s="21">
        <f t="shared" si="15"/>
        <v>781.68</v>
      </c>
      <c r="J2657" s="23"/>
      <c r="K2657" s="21">
        <f t="shared" si="13"/>
        <v>204430.28</v>
      </c>
      <c r="L2657" s="23"/>
      <c r="M2657" s="21">
        <f t="shared" si="16"/>
        <v>1894.93</v>
      </c>
    </row>
    <row r="2658" ht="20.25" customHeight="1" outlineLevel="1">
      <c r="A2658" s="12"/>
      <c r="B2658" s="13"/>
      <c r="C2658" s="42"/>
      <c r="D2658" s="20"/>
      <c r="E2658" s="21">
        <f t="shared" si="1"/>
        <v>12593.22</v>
      </c>
      <c r="F2658" s="23"/>
      <c r="G2658" s="21">
        <f t="shared" si="8"/>
        <v>318539.46</v>
      </c>
      <c r="H2658" s="23"/>
      <c r="I2658" s="21">
        <f t="shared" si="15"/>
        <v>781.68</v>
      </c>
      <c r="J2658" s="23"/>
      <c r="K2658" s="21">
        <f t="shared" si="13"/>
        <v>204430.28</v>
      </c>
      <c r="L2658" s="23"/>
      <c r="M2658" s="21">
        <f t="shared" si="16"/>
        <v>1894.93</v>
      </c>
    </row>
    <row r="2659" ht="20.25" customHeight="1" outlineLevel="1">
      <c r="A2659" s="12"/>
      <c r="B2659" s="13"/>
      <c r="C2659" s="28"/>
      <c r="D2659" s="20"/>
      <c r="E2659" s="21">
        <f t="shared" si="1"/>
        <v>12593.22</v>
      </c>
      <c r="F2659" s="23"/>
      <c r="G2659" s="21">
        <f t="shared" si="8"/>
        <v>318539.46</v>
      </c>
      <c r="H2659" s="23"/>
      <c r="I2659" s="21">
        <f t="shared" si="15"/>
        <v>781.68</v>
      </c>
      <c r="J2659" s="23"/>
      <c r="K2659" s="21">
        <f t="shared" si="13"/>
        <v>204430.28</v>
      </c>
      <c r="L2659" s="23"/>
      <c r="M2659" s="21">
        <f t="shared" si="16"/>
        <v>1894.93</v>
      </c>
    </row>
    <row r="2660" ht="20.25" customHeight="1" outlineLevel="1">
      <c r="A2660" s="12"/>
      <c r="B2660" s="13"/>
      <c r="C2660" s="28"/>
      <c r="D2660" s="20"/>
      <c r="E2660" s="21">
        <f t="shared" si="1"/>
        <v>12593.22</v>
      </c>
      <c r="F2660" s="23"/>
      <c r="G2660" s="21">
        <f t="shared" si="8"/>
        <v>318539.46</v>
      </c>
      <c r="H2660" s="23"/>
      <c r="I2660" s="21">
        <f t="shared" si="15"/>
        <v>781.68</v>
      </c>
      <c r="J2660" s="23"/>
      <c r="K2660" s="21">
        <f t="shared" si="13"/>
        <v>204430.28</v>
      </c>
      <c r="L2660" s="23"/>
      <c r="M2660" s="21">
        <f t="shared" si="16"/>
        <v>1894.93</v>
      </c>
    </row>
    <row r="2661" ht="20.25" customHeight="1" outlineLevel="1">
      <c r="A2661" s="12"/>
      <c r="B2661" s="13"/>
      <c r="C2661" s="28"/>
      <c r="D2661" s="20"/>
      <c r="E2661" s="21">
        <f t="shared" si="1"/>
        <v>12593.22</v>
      </c>
      <c r="F2661" s="23"/>
      <c r="G2661" s="21">
        <f t="shared" si="8"/>
        <v>318539.46</v>
      </c>
      <c r="H2661" s="23"/>
      <c r="I2661" s="21">
        <f t="shared" si="15"/>
        <v>781.68</v>
      </c>
      <c r="J2661" s="23"/>
      <c r="K2661" s="21">
        <f t="shared" si="13"/>
        <v>204430.28</v>
      </c>
      <c r="L2661" s="23"/>
      <c r="M2661" s="21">
        <f t="shared" si="16"/>
        <v>1894.93</v>
      </c>
    </row>
    <row r="2662" ht="20.25" customHeight="1" outlineLevel="1">
      <c r="A2662" s="12"/>
      <c r="B2662" s="13"/>
      <c r="C2662" s="28"/>
      <c r="D2662" s="20"/>
      <c r="E2662" s="21">
        <f t="shared" si="1"/>
        <v>12593.22</v>
      </c>
      <c r="F2662" s="23"/>
      <c r="G2662" s="21">
        <f t="shared" si="8"/>
        <v>318539.46</v>
      </c>
      <c r="H2662" s="23"/>
      <c r="I2662" s="21">
        <f t="shared" si="15"/>
        <v>781.68</v>
      </c>
      <c r="J2662" s="23"/>
      <c r="K2662" s="21">
        <f t="shared" si="13"/>
        <v>204430.28</v>
      </c>
      <c r="L2662" s="23"/>
      <c r="M2662" s="21">
        <f t="shared" si="16"/>
        <v>1894.93</v>
      </c>
    </row>
    <row r="2663" ht="20.25" customHeight="1" outlineLevel="1">
      <c r="A2663" s="12"/>
      <c r="B2663" s="13"/>
      <c r="C2663" s="28"/>
      <c r="D2663" s="20"/>
      <c r="E2663" s="21">
        <f t="shared" si="1"/>
        <v>12593.22</v>
      </c>
      <c r="F2663" s="23"/>
      <c r="G2663" s="21">
        <f t="shared" si="8"/>
        <v>318539.46</v>
      </c>
      <c r="H2663" s="23"/>
      <c r="I2663" s="21">
        <f t="shared" si="15"/>
        <v>781.68</v>
      </c>
      <c r="J2663" s="23"/>
      <c r="K2663" s="21">
        <f t="shared" si="13"/>
        <v>204430.28</v>
      </c>
      <c r="L2663" s="23"/>
      <c r="M2663" s="21">
        <f t="shared" si="16"/>
        <v>1894.93</v>
      </c>
    </row>
    <row r="2664" ht="20.25" customHeight="1" outlineLevel="1">
      <c r="A2664" s="12"/>
      <c r="B2664" s="13"/>
      <c r="C2664" s="28"/>
      <c r="D2664" s="20"/>
      <c r="E2664" s="21">
        <f t="shared" si="1"/>
        <v>12593.22</v>
      </c>
      <c r="F2664" s="23"/>
      <c r="G2664" s="21">
        <f t="shared" si="8"/>
        <v>318539.46</v>
      </c>
      <c r="H2664" s="23"/>
      <c r="I2664" s="21">
        <f t="shared" si="15"/>
        <v>781.68</v>
      </c>
      <c r="J2664" s="23"/>
      <c r="K2664" s="21">
        <f t="shared" si="13"/>
        <v>204430.28</v>
      </c>
      <c r="L2664" s="23"/>
      <c r="M2664" s="21">
        <f t="shared" si="16"/>
        <v>1894.93</v>
      </c>
    </row>
    <row r="2665" ht="20.25" customHeight="1" outlineLevel="1">
      <c r="A2665" s="12"/>
      <c r="B2665" s="13"/>
      <c r="C2665" s="28"/>
      <c r="D2665" s="20"/>
      <c r="E2665" s="21">
        <f t="shared" si="1"/>
        <v>12593.22</v>
      </c>
      <c r="F2665" s="23"/>
      <c r="G2665" s="21">
        <f t="shared" si="8"/>
        <v>318539.46</v>
      </c>
      <c r="H2665" s="23"/>
      <c r="I2665" s="21">
        <f t="shared" si="15"/>
        <v>781.68</v>
      </c>
      <c r="J2665" s="23"/>
      <c r="K2665" s="21">
        <f t="shared" si="13"/>
        <v>204430.28</v>
      </c>
      <c r="L2665" s="23"/>
      <c r="M2665" s="21">
        <f t="shared" si="16"/>
        <v>1894.93</v>
      </c>
    </row>
    <row r="2666" ht="20.25" customHeight="1" outlineLevel="1">
      <c r="A2666" s="12"/>
      <c r="B2666" s="13"/>
      <c r="C2666" s="42"/>
      <c r="D2666" s="20"/>
      <c r="E2666" s="21">
        <f t="shared" si="1"/>
        <v>12593.22</v>
      </c>
      <c r="F2666" s="23"/>
      <c r="G2666" s="21">
        <f t="shared" si="8"/>
        <v>318539.46</v>
      </c>
      <c r="H2666" s="23"/>
      <c r="I2666" s="21">
        <f t="shared" si="15"/>
        <v>781.68</v>
      </c>
      <c r="J2666" s="23"/>
      <c r="K2666" s="21">
        <f t="shared" si="13"/>
        <v>204430.28</v>
      </c>
      <c r="L2666" s="23"/>
      <c r="M2666" s="21">
        <f t="shared" si="16"/>
        <v>1894.93</v>
      </c>
    </row>
    <row r="2667" ht="20.25" customHeight="1" outlineLevel="1">
      <c r="A2667" s="12"/>
      <c r="B2667" s="13"/>
      <c r="C2667" s="42"/>
      <c r="D2667" s="20"/>
      <c r="E2667" s="21">
        <f t="shared" si="1"/>
        <v>12593.22</v>
      </c>
      <c r="F2667" s="23"/>
      <c r="G2667" s="21">
        <f t="shared" si="8"/>
        <v>318539.46</v>
      </c>
      <c r="H2667" s="23"/>
      <c r="I2667" s="21">
        <f t="shared" si="15"/>
        <v>781.68</v>
      </c>
      <c r="J2667" s="23"/>
      <c r="K2667" s="21">
        <f t="shared" si="13"/>
        <v>204430.28</v>
      </c>
      <c r="L2667" s="23"/>
      <c r="M2667" s="21">
        <f t="shared" si="16"/>
        <v>1894.93</v>
      </c>
    </row>
    <row r="2668" ht="20.25" customHeight="1" outlineLevel="1">
      <c r="A2668" s="12"/>
      <c r="B2668" s="13"/>
      <c r="C2668" s="42"/>
      <c r="D2668" s="20"/>
      <c r="E2668" s="21">
        <f t="shared" si="1"/>
        <v>12593.22</v>
      </c>
      <c r="F2668" s="23"/>
      <c r="G2668" s="21">
        <f t="shared" si="8"/>
        <v>318539.46</v>
      </c>
      <c r="H2668" s="23"/>
      <c r="I2668" s="21">
        <f t="shared" si="15"/>
        <v>781.68</v>
      </c>
      <c r="J2668" s="23"/>
      <c r="K2668" s="21">
        <f t="shared" si="13"/>
        <v>204430.28</v>
      </c>
      <c r="L2668" s="23"/>
      <c r="M2668" s="21">
        <f t="shared" si="16"/>
        <v>1894.93</v>
      </c>
    </row>
    <row r="2669" ht="20.25" customHeight="1" outlineLevel="1">
      <c r="A2669" s="12"/>
      <c r="B2669" s="13"/>
      <c r="C2669" s="42"/>
      <c r="D2669" s="20"/>
      <c r="E2669" s="21">
        <f t="shared" si="1"/>
        <v>12593.22</v>
      </c>
      <c r="F2669" s="23"/>
      <c r="G2669" s="21">
        <f t="shared" si="8"/>
        <v>318539.46</v>
      </c>
      <c r="H2669" s="23"/>
      <c r="I2669" s="21">
        <f t="shared" si="15"/>
        <v>781.68</v>
      </c>
      <c r="J2669" s="23"/>
      <c r="K2669" s="21">
        <f t="shared" si="13"/>
        <v>204430.28</v>
      </c>
      <c r="L2669" s="23"/>
      <c r="M2669" s="21">
        <f t="shared" si="16"/>
        <v>1894.93</v>
      </c>
    </row>
    <row r="2670" ht="20.25" customHeight="1" outlineLevel="1">
      <c r="A2670" s="12"/>
      <c r="B2670" s="13"/>
      <c r="C2670" s="42"/>
      <c r="D2670" s="20"/>
      <c r="E2670" s="21">
        <f t="shared" si="1"/>
        <v>12593.22</v>
      </c>
      <c r="F2670" s="23"/>
      <c r="G2670" s="21">
        <f t="shared" si="8"/>
        <v>318539.46</v>
      </c>
      <c r="H2670" s="23"/>
      <c r="I2670" s="21">
        <f t="shared" si="15"/>
        <v>781.68</v>
      </c>
      <c r="J2670" s="23"/>
      <c r="K2670" s="21">
        <f t="shared" si="13"/>
        <v>204430.28</v>
      </c>
      <c r="L2670" s="23"/>
      <c r="M2670" s="21">
        <f t="shared" si="16"/>
        <v>1894.93</v>
      </c>
    </row>
    <row r="2671" ht="20.25" customHeight="1" outlineLevel="1">
      <c r="A2671" s="12"/>
      <c r="B2671" s="13"/>
      <c r="C2671" s="42"/>
      <c r="D2671" s="20"/>
      <c r="E2671" s="21">
        <f t="shared" si="1"/>
        <v>12593.22</v>
      </c>
      <c r="F2671" s="23"/>
      <c r="G2671" s="21">
        <f t="shared" si="8"/>
        <v>318539.46</v>
      </c>
      <c r="H2671" s="23"/>
      <c r="I2671" s="21">
        <f t="shared" si="15"/>
        <v>781.68</v>
      </c>
      <c r="J2671" s="23"/>
      <c r="K2671" s="21">
        <f t="shared" si="13"/>
        <v>204430.28</v>
      </c>
      <c r="L2671" s="23"/>
      <c r="M2671" s="21">
        <f t="shared" si="16"/>
        <v>1894.93</v>
      </c>
    </row>
    <row r="2672" ht="20.25" customHeight="1" outlineLevel="1">
      <c r="A2672" s="12"/>
      <c r="B2672" s="13"/>
      <c r="C2672" s="42"/>
      <c r="D2672" s="20"/>
      <c r="E2672" s="21">
        <f t="shared" si="1"/>
        <v>12593.22</v>
      </c>
      <c r="F2672" s="23"/>
      <c r="G2672" s="21">
        <f t="shared" si="8"/>
        <v>318539.46</v>
      </c>
      <c r="H2672" s="23"/>
      <c r="I2672" s="21">
        <f t="shared" si="15"/>
        <v>781.68</v>
      </c>
      <c r="J2672" s="23"/>
      <c r="K2672" s="21">
        <f t="shared" si="13"/>
        <v>204430.28</v>
      </c>
      <c r="L2672" s="23"/>
      <c r="M2672" s="21">
        <f t="shared" si="16"/>
        <v>1894.93</v>
      </c>
    </row>
    <row r="2673" ht="20.25" customHeight="1" outlineLevel="1">
      <c r="A2673" s="12"/>
      <c r="B2673" s="13"/>
      <c r="C2673" s="28"/>
      <c r="D2673" s="20"/>
      <c r="E2673" s="21">
        <f t="shared" si="1"/>
        <v>12593.22</v>
      </c>
      <c r="F2673" s="23"/>
      <c r="G2673" s="21">
        <f t="shared" si="8"/>
        <v>318539.46</v>
      </c>
      <c r="H2673" s="23"/>
      <c r="I2673" s="21">
        <f t="shared" si="15"/>
        <v>781.68</v>
      </c>
      <c r="J2673" s="23"/>
      <c r="K2673" s="21">
        <f t="shared" si="13"/>
        <v>204430.28</v>
      </c>
      <c r="L2673" s="23"/>
      <c r="M2673" s="21">
        <f t="shared" si="16"/>
        <v>1894.93</v>
      </c>
    </row>
    <row r="2674" ht="20.25" customHeight="1" outlineLevel="1">
      <c r="A2674" s="12"/>
      <c r="B2674" s="13"/>
      <c r="C2674" s="28"/>
      <c r="D2674" s="20"/>
      <c r="E2674" s="21">
        <f t="shared" si="1"/>
        <v>12593.22</v>
      </c>
      <c r="F2674" s="23"/>
      <c r="G2674" s="21">
        <f t="shared" si="8"/>
        <v>318539.46</v>
      </c>
      <c r="H2674" s="23"/>
      <c r="I2674" s="21">
        <f t="shared" si="15"/>
        <v>781.68</v>
      </c>
      <c r="J2674" s="23"/>
      <c r="K2674" s="21">
        <f t="shared" si="13"/>
        <v>204430.28</v>
      </c>
      <c r="L2674" s="23"/>
      <c r="M2674" s="21">
        <f t="shared" si="16"/>
        <v>1894.93</v>
      </c>
    </row>
    <row r="2675" ht="20.25" customHeight="1" outlineLevel="1">
      <c r="A2675" s="12"/>
      <c r="B2675" s="13"/>
      <c r="C2675" s="28"/>
      <c r="D2675" s="20"/>
      <c r="E2675" s="21">
        <f t="shared" si="1"/>
        <v>12593.22</v>
      </c>
      <c r="F2675" s="23"/>
      <c r="G2675" s="21">
        <f t="shared" si="8"/>
        <v>318539.46</v>
      </c>
      <c r="H2675" s="23"/>
      <c r="I2675" s="21">
        <f t="shared" si="15"/>
        <v>781.68</v>
      </c>
      <c r="J2675" s="23"/>
      <c r="K2675" s="21">
        <f t="shared" si="13"/>
        <v>204430.28</v>
      </c>
      <c r="L2675" s="23"/>
      <c r="M2675" s="21">
        <f t="shared" si="16"/>
        <v>1894.93</v>
      </c>
    </row>
    <row r="2676" ht="20.25" customHeight="1" outlineLevel="1">
      <c r="A2676" s="12"/>
      <c r="B2676" s="13"/>
      <c r="C2676" s="42"/>
      <c r="D2676" s="20"/>
      <c r="E2676" s="21">
        <f t="shared" si="1"/>
        <v>12593.22</v>
      </c>
      <c r="F2676" s="23"/>
      <c r="G2676" s="21">
        <f t="shared" si="8"/>
        <v>318539.46</v>
      </c>
      <c r="H2676" s="23"/>
      <c r="I2676" s="21">
        <f t="shared" si="15"/>
        <v>781.68</v>
      </c>
      <c r="J2676" s="23"/>
      <c r="K2676" s="21">
        <f t="shared" si="13"/>
        <v>204430.28</v>
      </c>
      <c r="L2676" s="23"/>
      <c r="M2676" s="21">
        <f t="shared" si="16"/>
        <v>1894.93</v>
      </c>
    </row>
    <row r="2677" ht="20.25" customHeight="1" outlineLevel="1">
      <c r="A2677" s="12"/>
      <c r="B2677" s="13"/>
      <c r="C2677" s="42"/>
      <c r="D2677" s="20"/>
      <c r="E2677" s="21">
        <f t="shared" si="1"/>
        <v>12593.22</v>
      </c>
      <c r="F2677" s="23"/>
      <c r="G2677" s="21">
        <f t="shared" si="8"/>
        <v>318539.46</v>
      </c>
      <c r="H2677" s="23"/>
      <c r="I2677" s="21">
        <f t="shared" si="15"/>
        <v>781.68</v>
      </c>
      <c r="J2677" s="23"/>
      <c r="K2677" s="21">
        <f t="shared" si="13"/>
        <v>204430.28</v>
      </c>
      <c r="L2677" s="23"/>
      <c r="M2677" s="21">
        <f t="shared" si="16"/>
        <v>1894.93</v>
      </c>
    </row>
    <row r="2678" ht="20.25" customHeight="1" outlineLevel="1">
      <c r="A2678" s="12"/>
      <c r="B2678" s="13"/>
      <c r="C2678" s="42"/>
      <c r="D2678" s="20"/>
      <c r="E2678" s="21">
        <f t="shared" si="1"/>
        <v>12593.22</v>
      </c>
      <c r="F2678" s="23"/>
      <c r="G2678" s="21">
        <f t="shared" si="8"/>
        <v>318539.46</v>
      </c>
      <c r="H2678" s="23"/>
      <c r="I2678" s="21">
        <f t="shared" si="15"/>
        <v>781.68</v>
      </c>
      <c r="J2678" s="23"/>
      <c r="K2678" s="21">
        <f t="shared" si="13"/>
        <v>204430.28</v>
      </c>
      <c r="L2678" s="23"/>
      <c r="M2678" s="21">
        <f t="shared" si="16"/>
        <v>1894.93</v>
      </c>
    </row>
    <row r="2679" ht="20.25" customHeight="1" outlineLevel="1">
      <c r="A2679" s="12"/>
      <c r="B2679" s="13"/>
      <c r="C2679" s="42"/>
      <c r="D2679" s="20"/>
      <c r="E2679" s="21">
        <f t="shared" si="1"/>
        <v>12593.22</v>
      </c>
      <c r="F2679" s="23"/>
      <c r="G2679" s="21">
        <f t="shared" si="8"/>
        <v>318539.46</v>
      </c>
      <c r="H2679" s="23"/>
      <c r="I2679" s="21">
        <f t="shared" si="15"/>
        <v>781.68</v>
      </c>
      <c r="J2679" s="23"/>
      <c r="K2679" s="21">
        <f t="shared" si="13"/>
        <v>204430.28</v>
      </c>
      <c r="L2679" s="23"/>
      <c r="M2679" s="21">
        <f t="shared" si="16"/>
        <v>1894.93</v>
      </c>
    </row>
    <row r="2680" ht="20.25" customHeight="1" outlineLevel="1">
      <c r="A2680" s="12"/>
      <c r="B2680" s="13"/>
      <c r="C2680" s="42"/>
      <c r="D2680" s="20"/>
      <c r="E2680" s="21">
        <f t="shared" si="1"/>
        <v>12593.22</v>
      </c>
      <c r="F2680" s="23"/>
      <c r="G2680" s="21">
        <f t="shared" si="8"/>
        <v>318539.46</v>
      </c>
      <c r="H2680" s="23"/>
      <c r="I2680" s="21">
        <f t="shared" si="15"/>
        <v>781.68</v>
      </c>
      <c r="J2680" s="23"/>
      <c r="K2680" s="21">
        <f t="shared" si="13"/>
        <v>204430.28</v>
      </c>
      <c r="L2680" s="23"/>
      <c r="M2680" s="21">
        <f t="shared" si="16"/>
        <v>1894.93</v>
      </c>
    </row>
    <row r="2681" ht="20.25" customHeight="1" outlineLevel="1">
      <c r="A2681" s="12"/>
      <c r="B2681" s="13"/>
      <c r="C2681" s="42"/>
      <c r="D2681" s="20"/>
      <c r="E2681" s="21">
        <f t="shared" si="1"/>
        <v>12593.22</v>
      </c>
      <c r="F2681" s="23"/>
      <c r="G2681" s="21">
        <f t="shared" si="8"/>
        <v>318539.46</v>
      </c>
      <c r="H2681" s="23"/>
      <c r="I2681" s="21">
        <f t="shared" si="15"/>
        <v>781.68</v>
      </c>
      <c r="J2681" s="23"/>
      <c r="K2681" s="21">
        <f t="shared" si="13"/>
        <v>204430.28</v>
      </c>
      <c r="L2681" s="23"/>
      <c r="M2681" s="21">
        <f t="shared" si="16"/>
        <v>1894.93</v>
      </c>
    </row>
    <row r="2682" ht="20.25" customHeight="1" outlineLevel="1">
      <c r="A2682" s="12"/>
      <c r="B2682" s="13"/>
      <c r="C2682" s="42"/>
      <c r="D2682" s="20"/>
      <c r="E2682" s="21">
        <f t="shared" si="1"/>
        <v>12593.22</v>
      </c>
      <c r="F2682" s="23"/>
      <c r="G2682" s="21">
        <f t="shared" si="8"/>
        <v>318539.46</v>
      </c>
      <c r="H2682" s="23"/>
      <c r="I2682" s="21">
        <f t="shared" si="15"/>
        <v>781.68</v>
      </c>
      <c r="J2682" s="23"/>
      <c r="K2682" s="21">
        <f t="shared" si="13"/>
        <v>204430.28</v>
      </c>
      <c r="L2682" s="23"/>
      <c r="M2682" s="21">
        <f t="shared" si="16"/>
        <v>1894.93</v>
      </c>
    </row>
    <row r="2683" ht="20.25" customHeight="1" outlineLevel="1">
      <c r="A2683" s="12"/>
      <c r="B2683" s="13"/>
      <c r="C2683" s="42"/>
      <c r="D2683" s="20"/>
      <c r="E2683" s="21">
        <f t="shared" si="1"/>
        <v>12593.22</v>
      </c>
      <c r="F2683" s="23"/>
      <c r="G2683" s="21">
        <f t="shared" si="8"/>
        <v>318539.46</v>
      </c>
      <c r="H2683" s="23"/>
      <c r="I2683" s="21">
        <f t="shared" si="15"/>
        <v>781.68</v>
      </c>
      <c r="J2683" s="23"/>
      <c r="K2683" s="21">
        <f t="shared" si="13"/>
        <v>204430.28</v>
      </c>
      <c r="L2683" s="23"/>
      <c r="M2683" s="21">
        <f t="shared" si="16"/>
        <v>1894.93</v>
      </c>
    </row>
    <row r="2684" ht="20.25" customHeight="1" outlineLevel="1">
      <c r="A2684" s="12"/>
      <c r="B2684" s="13"/>
      <c r="C2684" s="28"/>
      <c r="D2684" s="20"/>
      <c r="E2684" s="21">
        <f t="shared" si="1"/>
        <v>12593.22</v>
      </c>
      <c r="F2684" s="23"/>
      <c r="G2684" s="21">
        <f t="shared" si="8"/>
        <v>318539.46</v>
      </c>
      <c r="H2684" s="23"/>
      <c r="I2684" s="21">
        <f t="shared" si="15"/>
        <v>781.68</v>
      </c>
      <c r="J2684" s="23"/>
      <c r="K2684" s="21">
        <f t="shared" si="13"/>
        <v>204430.28</v>
      </c>
      <c r="L2684" s="23"/>
      <c r="M2684" s="21">
        <f t="shared" si="16"/>
        <v>1894.93</v>
      </c>
    </row>
    <row r="2685" ht="20.25" customHeight="1" outlineLevel="1">
      <c r="A2685" s="12"/>
      <c r="B2685" s="13"/>
      <c r="C2685" s="28"/>
      <c r="D2685" s="20"/>
      <c r="E2685" s="21">
        <f t="shared" si="1"/>
        <v>12593.22</v>
      </c>
      <c r="F2685" s="23"/>
      <c r="G2685" s="21">
        <f t="shared" si="8"/>
        <v>318539.46</v>
      </c>
      <c r="H2685" s="23"/>
      <c r="I2685" s="21">
        <f t="shared" si="15"/>
        <v>781.68</v>
      </c>
      <c r="J2685" s="23"/>
      <c r="K2685" s="21">
        <f t="shared" si="13"/>
        <v>204430.28</v>
      </c>
      <c r="L2685" s="23"/>
      <c r="M2685" s="21">
        <f t="shared" si="16"/>
        <v>1894.93</v>
      </c>
    </row>
    <row r="2686" ht="20.25" customHeight="1" outlineLevel="1">
      <c r="A2686" s="12"/>
      <c r="B2686" s="13"/>
      <c r="C2686" s="28"/>
      <c r="D2686" s="20"/>
      <c r="E2686" s="21">
        <f t="shared" si="1"/>
        <v>12593.22</v>
      </c>
      <c r="F2686" s="23"/>
      <c r="G2686" s="21">
        <f t="shared" si="8"/>
        <v>318539.46</v>
      </c>
      <c r="H2686" s="23"/>
      <c r="I2686" s="21">
        <f t="shared" si="15"/>
        <v>781.68</v>
      </c>
      <c r="J2686" s="23"/>
      <c r="K2686" s="21">
        <f t="shared" si="13"/>
        <v>204430.28</v>
      </c>
      <c r="L2686" s="23"/>
      <c r="M2686" s="21">
        <f t="shared" si="16"/>
        <v>1894.93</v>
      </c>
    </row>
    <row r="2687" ht="20.25" customHeight="1" outlineLevel="1">
      <c r="A2687" s="12"/>
      <c r="B2687" s="13"/>
      <c r="C2687" s="28"/>
      <c r="D2687" s="20"/>
      <c r="E2687" s="21">
        <f t="shared" si="1"/>
        <v>12593.22</v>
      </c>
      <c r="F2687" s="23"/>
      <c r="G2687" s="21">
        <f t="shared" si="8"/>
        <v>318539.46</v>
      </c>
      <c r="H2687" s="23"/>
      <c r="I2687" s="21">
        <f t="shared" si="15"/>
        <v>781.68</v>
      </c>
      <c r="J2687" s="23"/>
      <c r="K2687" s="21">
        <f t="shared" si="13"/>
        <v>204430.28</v>
      </c>
      <c r="L2687" s="23"/>
      <c r="M2687" s="21">
        <f t="shared" si="16"/>
        <v>1894.93</v>
      </c>
    </row>
    <row r="2688" ht="20.25" customHeight="1" outlineLevel="1">
      <c r="A2688" s="12"/>
      <c r="B2688" s="13"/>
      <c r="C2688" s="28"/>
      <c r="D2688" s="20"/>
      <c r="E2688" s="21">
        <f t="shared" si="1"/>
        <v>12593.22</v>
      </c>
      <c r="F2688" s="23"/>
      <c r="G2688" s="21">
        <f t="shared" si="8"/>
        <v>318539.46</v>
      </c>
      <c r="H2688" s="23"/>
      <c r="I2688" s="21">
        <f t="shared" si="15"/>
        <v>781.68</v>
      </c>
      <c r="J2688" s="23"/>
      <c r="K2688" s="21">
        <f t="shared" si="13"/>
        <v>204430.28</v>
      </c>
      <c r="L2688" s="23"/>
      <c r="M2688" s="21">
        <f t="shared" si="16"/>
        <v>1894.93</v>
      </c>
    </row>
    <row r="2689" ht="20.25" customHeight="1" outlineLevel="1">
      <c r="A2689" s="12"/>
      <c r="B2689" s="13"/>
      <c r="C2689" s="28"/>
      <c r="D2689" s="20"/>
      <c r="E2689" s="21">
        <f t="shared" si="1"/>
        <v>12593.22</v>
      </c>
      <c r="F2689" s="23"/>
      <c r="G2689" s="21">
        <f t="shared" si="8"/>
        <v>318539.46</v>
      </c>
      <c r="H2689" s="23"/>
      <c r="I2689" s="21">
        <f t="shared" si="15"/>
        <v>781.68</v>
      </c>
      <c r="J2689" s="23"/>
      <c r="K2689" s="21">
        <f t="shared" si="13"/>
        <v>204430.28</v>
      </c>
      <c r="L2689" s="23"/>
      <c r="M2689" s="21">
        <f t="shared" si="16"/>
        <v>1894.93</v>
      </c>
    </row>
    <row r="2690" ht="20.25" customHeight="1" outlineLevel="1">
      <c r="A2690" s="12"/>
      <c r="B2690" s="13"/>
      <c r="C2690" s="42"/>
      <c r="D2690" s="20"/>
      <c r="E2690" s="21">
        <f t="shared" si="1"/>
        <v>12593.22</v>
      </c>
      <c r="F2690" s="23"/>
      <c r="G2690" s="21">
        <f t="shared" si="8"/>
        <v>318539.46</v>
      </c>
      <c r="H2690" s="23"/>
      <c r="I2690" s="21">
        <f t="shared" si="15"/>
        <v>781.68</v>
      </c>
      <c r="J2690" s="23"/>
      <c r="K2690" s="21">
        <f t="shared" si="13"/>
        <v>204430.28</v>
      </c>
      <c r="L2690" s="23"/>
      <c r="M2690" s="21">
        <f t="shared" si="16"/>
        <v>1894.93</v>
      </c>
    </row>
    <row r="2691" ht="20.25" customHeight="1" outlineLevel="1">
      <c r="A2691" s="12"/>
      <c r="B2691" s="13"/>
      <c r="C2691" s="42"/>
      <c r="D2691" s="20"/>
      <c r="E2691" s="21">
        <f t="shared" si="1"/>
        <v>12593.22</v>
      </c>
      <c r="F2691" s="23"/>
      <c r="G2691" s="21">
        <f t="shared" si="8"/>
        <v>318539.46</v>
      </c>
      <c r="H2691" s="23"/>
      <c r="I2691" s="21">
        <f t="shared" si="15"/>
        <v>781.68</v>
      </c>
      <c r="J2691" s="23"/>
      <c r="K2691" s="21">
        <f t="shared" si="13"/>
        <v>204430.28</v>
      </c>
      <c r="L2691" s="23"/>
      <c r="M2691" s="21">
        <f t="shared" si="16"/>
        <v>1894.93</v>
      </c>
    </row>
    <row r="2692" ht="20.25" customHeight="1" outlineLevel="1">
      <c r="A2692" s="12"/>
      <c r="B2692" s="13"/>
      <c r="C2692" s="42"/>
      <c r="D2692" s="20"/>
      <c r="E2692" s="21">
        <f t="shared" si="1"/>
        <v>12593.22</v>
      </c>
      <c r="F2692" s="23"/>
      <c r="G2692" s="21">
        <f t="shared" si="8"/>
        <v>318539.46</v>
      </c>
      <c r="H2692" s="23"/>
      <c r="I2692" s="21">
        <f t="shared" si="15"/>
        <v>781.68</v>
      </c>
      <c r="J2692" s="23"/>
      <c r="K2692" s="21">
        <f t="shared" si="13"/>
        <v>204430.28</v>
      </c>
      <c r="L2692" s="23"/>
      <c r="M2692" s="21">
        <f t="shared" si="16"/>
        <v>1894.93</v>
      </c>
    </row>
    <row r="2693" ht="20.25" customHeight="1" outlineLevel="1">
      <c r="A2693" s="12"/>
      <c r="B2693" s="13"/>
      <c r="C2693" s="42"/>
      <c r="D2693" s="20"/>
      <c r="E2693" s="21">
        <f t="shared" si="1"/>
        <v>12593.22</v>
      </c>
      <c r="F2693" s="23"/>
      <c r="G2693" s="21">
        <f t="shared" si="8"/>
        <v>318539.46</v>
      </c>
      <c r="H2693" s="23"/>
      <c r="I2693" s="21">
        <f t="shared" si="15"/>
        <v>781.68</v>
      </c>
      <c r="J2693" s="23"/>
      <c r="K2693" s="21">
        <f t="shared" si="13"/>
        <v>204430.28</v>
      </c>
      <c r="L2693" s="23"/>
      <c r="M2693" s="21">
        <f t="shared" si="16"/>
        <v>1894.93</v>
      </c>
    </row>
    <row r="2694" ht="20.25" customHeight="1" outlineLevel="1">
      <c r="A2694" s="12"/>
      <c r="B2694" s="13"/>
      <c r="C2694" s="28"/>
      <c r="D2694" s="20"/>
      <c r="E2694" s="21">
        <f t="shared" si="1"/>
        <v>12593.22</v>
      </c>
      <c r="F2694" s="23"/>
      <c r="G2694" s="21">
        <f t="shared" si="8"/>
        <v>318539.46</v>
      </c>
      <c r="H2694" s="23"/>
      <c r="I2694" s="21">
        <f t="shared" si="15"/>
        <v>781.68</v>
      </c>
      <c r="J2694" s="23"/>
      <c r="K2694" s="21">
        <f t="shared" si="13"/>
        <v>204430.28</v>
      </c>
      <c r="L2694" s="23"/>
      <c r="M2694" s="21">
        <f t="shared" si="16"/>
        <v>1894.93</v>
      </c>
    </row>
    <row r="2695" ht="20.25" customHeight="1" outlineLevel="1">
      <c r="A2695" s="12"/>
      <c r="B2695" s="13"/>
      <c r="C2695" s="28"/>
      <c r="D2695" s="20"/>
      <c r="E2695" s="21">
        <f t="shared" si="1"/>
        <v>12593.22</v>
      </c>
      <c r="F2695" s="23"/>
      <c r="G2695" s="21">
        <f t="shared" si="8"/>
        <v>318539.46</v>
      </c>
      <c r="H2695" s="23"/>
      <c r="I2695" s="21">
        <f t="shared" si="15"/>
        <v>781.68</v>
      </c>
      <c r="J2695" s="23"/>
      <c r="K2695" s="21">
        <f t="shared" si="13"/>
        <v>204430.28</v>
      </c>
      <c r="L2695" s="23"/>
      <c r="M2695" s="21">
        <f t="shared" si="16"/>
        <v>1894.93</v>
      </c>
    </row>
    <row r="2696" ht="20.25" customHeight="1" outlineLevel="1">
      <c r="A2696" s="12"/>
      <c r="B2696" s="13"/>
      <c r="C2696" s="42"/>
      <c r="D2696" s="20"/>
      <c r="E2696" s="21">
        <f t="shared" si="1"/>
        <v>12593.22</v>
      </c>
      <c r="F2696" s="23"/>
      <c r="G2696" s="21">
        <f t="shared" si="8"/>
        <v>318539.46</v>
      </c>
      <c r="H2696" s="23"/>
      <c r="I2696" s="21">
        <f t="shared" si="15"/>
        <v>781.68</v>
      </c>
      <c r="J2696" s="23"/>
      <c r="K2696" s="21">
        <f t="shared" si="13"/>
        <v>204430.28</v>
      </c>
      <c r="L2696" s="23"/>
      <c r="M2696" s="21">
        <f t="shared" si="16"/>
        <v>1894.93</v>
      </c>
    </row>
    <row r="2697" ht="20.25" customHeight="1" outlineLevel="1">
      <c r="A2697" s="12"/>
      <c r="B2697" s="13"/>
      <c r="C2697" s="42"/>
      <c r="D2697" s="20"/>
      <c r="E2697" s="21">
        <f t="shared" si="1"/>
        <v>12593.22</v>
      </c>
      <c r="F2697" s="23"/>
      <c r="G2697" s="21">
        <f t="shared" si="8"/>
        <v>318539.46</v>
      </c>
      <c r="H2697" s="23"/>
      <c r="I2697" s="21">
        <f t="shared" si="15"/>
        <v>781.68</v>
      </c>
      <c r="J2697" s="23"/>
      <c r="K2697" s="21">
        <f t="shared" si="13"/>
        <v>204430.28</v>
      </c>
      <c r="L2697" s="23"/>
      <c r="M2697" s="21">
        <f t="shared" si="16"/>
        <v>1894.93</v>
      </c>
    </row>
    <row r="2698" ht="20.25" customHeight="1" outlineLevel="1">
      <c r="A2698" s="12"/>
      <c r="B2698" s="13"/>
      <c r="C2698" s="42"/>
      <c r="D2698" s="20"/>
      <c r="E2698" s="21">
        <f t="shared" si="1"/>
        <v>12593.22</v>
      </c>
      <c r="F2698" s="23"/>
      <c r="G2698" s="21">
        <f t="shared" si="8"/>
        <v>318539.46</v>
      </c>
      <c r="H2698" s="23"/>
      <c r="I2698" s="21">
        <f t="shared" si="15"/>
        <v>781.68</v>
      </c>
      <c r="J2698" s="23"/>
      <c r="K2698" s="21">
        <f t="shared" si="13"/>
        <v>204430.28</v>
      </c>
      <c r="L2698" s="23"/>
      <c r="M2698" s="21">
        <f t="shared" si="16"/>
        <v>1894.93</v>
      </c>
    </row>
    <row r="2699" ht="20.25" customHeight="1" outlineLevel="1">
      <c r="A2699" s="12"/>
      <c r="B2699" s="13"/>
      <c r="C2699" s="42"/>
      <c r="D2699" s="20"/>
      <c r="E2699" s="21">
        <f t="shared" si="1"/>
        <v>12593.22</v>
      </c>
      <c r="F2699" s="23"/>
      <c r="G2699" s="21">
        <f t="shared" si="8"/>
        <v>318539.46</v>
      </c>
      <c r="H2699" s="23"/>
      <c r="I2699" s="21">
        <f t="shared" si="15"/>
        <v>781.68</v>
      </c>
      <c r="J2699" s="23"/>
      <c r="K2699" s="21">
        <f t="shared" si="13"/>
        <v>204430.28</v>
      </c>
      <c r="L2699" s="23"/>
      <c r="M2699" s="21">
        <f t="shared" si="16"/>
        <v>1894.93</v>
      </c>
    </row>
    <row r="2700" ht="20.25" customHeight="1" outlineLevel="1">
      <c r="A2700" s="12"/>
      <c r="B2700" s="13"/>
      <c r="C2700" s="42"/>
      <c r="D2700" s="20"/>
      <c r="E2700" s="21">
        <f t="shared" si="1"/>
        <v>12593.22</v>
      </c>
      <c r="F2700" s="23"/>
      <c r="G2700" s="21">
        <f t="shared" si="8"/>
        <v>318539.46</v>
      </c>
      <c r="H2700" s="23"/>
      <c r="I2700" s="21">
        <f t="shared" si="15"/>
        <v>781.68</v>
      </c>
      <c r="J2700" s="23"/>
      <c r="K2700" s="21">
        <f t="shared" si="13"/>
        <v>204430.28</v>
      </c>
      <c r="L2700" s="23"/>
      <c r="M2700" s="21">
        <f t="shared" si="16"/>
        <v>1894.93</v>
      </c>
    </row>
    <row r="2701" ht="20.25" customHeight="1" outlineLevel="1">
      <c r="A2701" s="12"/>
      <c r="B2701" s="13"/>
      <c r="C2701" s="42"/>
      <c r="D2701" s="20"/>
      <c r="E2701" s="21">
        <f t="shared" si="1"/>
        <v>12593.22</v>
      </c>
      <c r="F2701" s="23"/>
      <c r="G2701" s="21">
        <f t="shared" si="8"/>
        <v>318539.46</v>
      </c>
      <c r="H2701" s="23"/>
      <c r="I2701" s="21">
        <f t="shared" si="15"/>
        <v>781.68</v>
      </c>
      <c r="J2701" s="23"/>
      <c r="K2701" s="21">
        <f t="shared" si="13"/>
        <v>204430.28</v>
      </c>
      <c r="L2701" s="23"/>
      <c r="M2701" s="21">
        <f t="shared" si="16"/>
        <v>1894.93</v>
      </c>
    </row>
    <row r="2702" ht="20.25" customHeight="1" outlineLevel="1">
      <c r="A2702" s="12"/>
      <c r="B2702" s="13"/>
      <c r="C2702" s="42"/>
      <c r="D2702" s="20"/>
      <c r="E2702" s="21">
        <f t="shared" si="1"/>
        <v>12593.22</v>
      </c>
      <c r="F2702" s="23"/>
      <c r="G2702" s="21">
        <f t="shared" si="8"/>
        <v>318539.46</v>
      </c>
      <c r="H2702" s="23"/>
      <c r="I2702" s="21">
        <f t="shared" si="15"/>
        <v>781.68</v>
      </c>
      <c r="J2702" s="23"/>
      <c r="K2702" s="21">
        <f t="shared" si="13"/>
        <v>204430.28</v>
      </c>
      <c r="L2702" s="23"/>
      <c r="M2702" s="21">
        <f t="shared" si="16"/>
        <v>1894.93</v>
      </c>
    </row>
    <row r="2703" ht="20.25" customHeight="1" outlineLevel="1">
      <c r="A2703" s="12"/>
      <c r="B2703" s="13"/>
      <c r="C2703" s="42"/>
      <c r="D2703" s="20"/>
      <c r="E2703" s="21">
        <f t="shared" si="1"/>
        <v>12593.22</v>
      </c>
      <c r="F2703" s="23"/>
      <c r="G2703" s="21">
        <f t="shared" si="8"/>
        <v>318539.46</v>
      </c>
      <c r="H2703" s="23"/>
      <c r="I2703" s="21">
        <f t="shared" si="15"/>
        <v>781.68</v>
      </c>
      <c r="J2703" s="23"/>
      <c r="K2703" s="21">
        <f t="shared" si="13"/>
        <v>204430.28</v>
      </c>
      <c r="L2703" s="23"/>
      <c r="M2703" s="21">
        <f t="shared" si="16"/>
        <v>1894.93</v>
      </c>
    </row>
    <row r="2704" ht="20.25" customHeight="1" outlineLevel="1">
      <c r="A2704" s="12"/>
      <c r="B2704" s="13"/>
      <c r="C2704" s="42"/>
      <c r="D2704" s="20"/>
      <c r="E2704" s="21">
        <f t="shared" si="1"/>
        <v>12593.22</v>
      </c>
      <c r="F2704" s="23"/>
      <c r="G2704" s="21">
        <f t="shared" si="8"/>
        <v>318539.46</v>
      </c>
      <c r="H2704" s="23"/>
      <c r="I2704" s="21">
        <f t="shared" si="15"/>
        <v>781.68</v>
      </c>
      <c r="J2704" s="23"/>
      <c r="K2704" s="21">
        <f t="shared" si="13"/>
        <v>204430.28</v>
      </c>
      <c r="L2704" s="23"/>
      <c r="M2704" s="21">
        <f t="shared" si="16"/>
        <v>1894.93</v>
      </c>
    </row>
    <row r="2705" ht="20.25" customHeight="1" outlineLevel="1">
      <c r="A2705" s="12"/>
      <c r="B2705" s="13"/>
      <c r="C2705" s="28"/>
      <c r="D2705" s="20"/>
      <c r="E2705" s="21">
        <f t="shared" si="1"/>
        <v>12593.22</v>
      </c>
      <c r="F2705" s="23"/>
      <c r="G2705" s="21">
        <f t="shared" si="8"/>
        <v>318539.46</v>
      </c>
      <c r="H2705" s="23"/>
      <c r="I2705" s="21">
        <f t="shared" si="15"/>
        <v>781.68</v>
      </c>
      <c r="J2705" s="23"/>
      <c r="K2705" s="21">
        <f t="shared" si="13"/>
        <v>204430.28</v>
      </c>
      <c r="L2705" s="23"/>
      <c r="M2705" s="21">
        <f t="shared" si="16"/>
        <v>1894.93</v>
      </c>
    </row>
    <row r="2706" ht="20.25" customHeight="1" outlineLevel="1">
      <c r="A2706" s="12"/>
      <c r="B2706" s="13"/>
      <c r="C2706" s="28"/>
      <c r="D2706" s="20"/>
      <c r="E2706" s="21">
        <f t="shared" si="1"/>
        <v>12593.22</v>
      </c>
      <c r="F2706" s="23"/>
      <c r="G2706" s="21">
        <f t="shared" si="8"/>
        <v>318539.46</v>
      </c>
      <c r="H2706" s="23"/>
      <c r="I2706" s="21">
        <f t="shared" si="15"/>
        <v>781.68</v>
      </c>
      <c r="J2706" s="23"/>
      <c r="K2706" s="21">
        <f t="shared" si="13"/>
        <v>204430.28</v>
      </c>
      <c r="L2706" s="23"/>
      <c r="M2706" s="21">
        <f t="shared" si="16"/>
        <v>1894.93</v>
      </c>
    </row>
    <row r="2707" ht="20.25" customHeight="1" outlineLevel="1">
      <c r="A2707" s="12"/>
      <c r="B2707" s="13"/>
      <c r="C2707" s="28"/>
      <c r="D2707" s="20"/>
      <c r="E2707" s="21">
        <f t="shared" si="1"/>
        <v>12593.22</v>
      </c>
      <c r="F2707" s="23"/>
      <c r="G2707" s="21">
        <f t="shared" si="8"/>
        <v>318539.46</v>
      </c>
      <c r="H2707" s="23"/>
      <c r="I2707" s="21">
        <f t="shared" si="15"/>
        <v>781.68</v>
      </c>
      <c r="J2707" s="23"/>
      <c r="K2707" s="21">
        <f t="shared" si="13"/>
        <v>204430.28</v>
      </c>
      <c r="L2707" s="23"/>
      <c r="M2707" s="21">
        <f t="shared" si="16"/>
        <v>1894.93</v>
      </c>
    </row>
    <row r="2708" ht="20.25" customHeight="1" outlineLevel="1">
      <c r="A2708" s="12"/>
      <c r="B2708" s="13"/>
      <c r="C2708" s="28"/>
      <c r="D2708" s="20"/>
      <c r="E2708" s="21">
        <f t="shared" si="1"/>
        <v>12593.22</v>
      </c>
      <c r="F2708" s="23"/>
      <c r="G2708" s="21">
        <f t="shared" si="8"/>
        <v>318539.46</v>
      </c>
      <c r="H2708" s="23"/>
      <c r="I2708" s="21">
        <f t="shared" si="15"/>
        <v>781.68</v>
      </c>
      <c r="J2708" s="23"/>
      <c r="K2708" s="21">
        <f t="shared" si="13"/>
        <v>204430.28</v>
      </c>
      <c r="L2708" s="23"/>
      <c r="M2708" s="21">
        <f t="shared" si="16"/>
        <v>1894.93</v>
      </c>
    </row>
    <row r="2709" ht="20.25" customHeight="1" outlineLevel="1">
      <c r="A2709" s="12"/>
      <c r="B2709" s="13"/>
      <c r="C2709" s="28"/>
      <c r="D2709" s="20"/>
      <c r="E2709" s="21">
        <f t="shared" si="1"/>
        <v>12593.22</v>
      </c>
      <c r="F2709" s="23"/>
      <c r="G2709" s="21">
        <f t="shared" si="8"/>
        <v>318539.46</v>
      </c>
      <c r="H2709" s="23"/>
      <c r="I2709" s="21">
        <f t="shared" si="15"/>
        <v>781.68</v>
      </c>
      <c r="J2709" s="23"/>
      <c r="K2709" s="21">
        <f t="shared" si="13"/>
        <v>204430.28</v>
      </c>
      <c r="L2709" s="23"/>
      <c r="M2709" s="21">
        <f t="shared" si="16"/>
        <v>1894.93</v>
      </c>
    </row>
    <row r="2710" ht="20.25" customHeight="1" outlineLevel="1">
      <c r="A2710" s="12"/>
      <c r="B2710" s="13"/>
      <c r="C2710" s="28"/>
      <c r="D2710" s="20"/>
      <c r="E2710" s="21">
        <f t="shared" si="1"/>
        <v>12593.22</v>
      </c>
      <c r="F2710" s="23"/>
      <c r="G2710" s="21">
        <f t="shared" si="8"/>
        <v>318539.46</v>
      </c>
      <c r="H2710" s="23"/>
      <c r="I2710" s="21">
        <f t="shared" si="15"/>
        <v>781.68</v>
      </c>
      <c r="J2710" s="23"/>
      <c r="K2710" s="21">
        <f t="shared" si="13"/>
        <v>204430.28</v>
      </c>
      <c r="L2710" s="23"/>
      <c r="M2710" s="21">
        <f t="shared" si="16"/>
        <v>1894.93</v>
      </c>
    </row>
    <row r="2711" ht="20.25" customHeight="1" outlineLevel="1">
      <c r="A2711" s="12"/>
      <c r="B2711" s="13"/>
      <c r="C2711" s="28"/>
      <c r="D2711" s="20"/>
      <c r="E2711" s="21">
        <f t="shared" si="1"/>
        <v>12593.22</v>
      </c>
      <c r="F2711" s="23"/>
      <c r="G2711" s="21">
        <f t="shared" si="8"/>
        <v>318539.46</v>
      </c>
      <c r="H2711" s="23"/>
      <c r="I2711" s="21">
        <f t="shared" si="15"/>
        <v>781.68</v>
      </c>
      <c r="J2711" s="23"/>
      <c r="K2711" s="21">
        <f t="shared" si="13"/>
        <v>204430.28</v>
      </c>
      <c r="L2711" s="23"/>
      <c r="M2711" s="21">
        <f t="shared" si="16"/>
        <v>1894.93</v>
      </c>
    </row>
    <row r="2712" ht="20.25" customHeight="1" outlineLevel="1">
      <c r="A2712" s="12"/>
      <c r="B2712" s="13"/>
      <c r="C2712" s="28"/>
      <c r="D2712" s="20"/>
      <c r="E2712" s="21">
        <f t="shared" si="1"/>
        <v>12593.22</v>
      </c>
      <c r="F2712" s="23"/>
      <c r="G2712" s="21">
        <f t="shared" si="8"/>
        <v>318539.46</v>
      </c>
      <c r="H2712" s="23"/>
      <c r="I2712" s="21">
        <f t="shared" si="15"/>
        <v>781.68</v>
      </c>
      <c r="J2712" s="23"/>
      <c r="K2712" s="21">
        <f t="shared" si="13"/>
        <v>204430.28</v>
      </c>
      <c r="L2712" s="23"/>
      <c r="M2712" s="21">
        <f t="shared" si="16"/>
        <v>1894.93</v>
      </c>
    </row>
    <row r="2713" ht="20.25" customHeight="1" outlineLevel="1">
      <c r="A2713" s="12"/>
      <c r="B2713" s="13"/>
      <c r="C2713" s="28"/>
      <c r="D2713" s="20"/>
      <c r="E2713" s="21">
        <f t="shared" si="1"/>
        <v>12593.22</v>
      </c>
      <c r="F2713" s="23"/>
      <c r="G2713" s="21">
        <f t="shared" si="8"/>
        <v>318539.46</v>
      </c>
      <c r="H2713" s="23"/>
      <c r="I2713" s="21">
        <f t="shared" si="15"/>
        <v>781.68</v>
      </c>
      <c r="J2713" s="23"/>
      <c r="K2713" s="21">
        <f t="shared" si="13"/>
        <v>204430.28</v>
      </c>
      <c r="L2713" s="23"/>
      <c r="M2713" s="21">
        <f t="shared" si="16"/>
        <v>1894.93</v>
      </c>
    </row>
    <row r="2714" ht="20.25" customHeight="1" outlineLevel="1">
      <c r="A2714" s="12"/>
      <c r="B2714" s="13"/>
      <c r="C2714" s="42"/>
      <c r="D2714" s="20"/>
      <c r="E2714" s="21">
        <f t="shared" si="1"/>
        <v>12593.22</v>
      </c>
      <c r="F2714" s="23"/>
      <c r="G2714" s="21">
        <f t="shared" si="8"/>
        <v>318539.46</v>
      </c>
      <c r="H2714" s="23"/>
      <c r="I2714" s="21">
        <f t="shared" si="15"/>
        <v>781.68</v>
      </c>
      <c r="J2714" s="23"/>
      <c r="K2714" s="21">
        <f t="shared" si="13"/>
        <v>204430.28</v>
      </c>
      <c r="L2714" s="23"/>
      <c r="M2714" s="21">
        <f t="shared" si="16"/>
        <v>1894.93</v>
      </c>
    </row>
    <row r="2715" ht="20.25" customHeight="1" outlineLevel="1">
      <c r="A2715" s="12"/>
      <c r="B2715" s="13"/>
      <c r="C2715" s="42"/>
      <c r="D2715" s="20"/>
      <c r="E2715" s="21">
        <f t="shared" si="1"/>
        <v>12593.22</v>
      </c>
      <c r="F2715" s="23"/>
      <c r="G2715" s="21">
        <f t="shared" si="8"/>
        <v>318539.46</v>
      </c>
      <c r="H2715" s="23"/>
      <c r="I2715" s="21">
        <f t="shared" si="15"/>
        <v>781.68</v>
      </c>
      <c r="J2715" s="23"/>
      <c r="K2715" s="21">
        <f t="shared" si="13"/>
        <v>204430.28</v>
      </c>
      <c r="L2715" s="23"/>
      <c r="M2715" s="21">
        <f t="shared" si="16"/>
        <v>1894.93</v>
      </c>
    </row>
    <row r="2716" ht="20.25" customHeight="1" outlineLevel="1">
      <c r="A2716" s="12"/>
      <c r="B2716" s="13"/>
      <c r="C2716" s="42"/>
      <c r="D2716" s="20"/>
      <c r="E2716" s="21">
        <f t="shared" si="1"/>
        <v>12593.22</v>
      </c>
      <c r="F2716" s="23"/>
      <c r="G2716" s="21">
        <f t="shared" si="8"/>
        <v>318539.46</v>
      </c>
      <c r="H2716" s="23"/>
      <c r="I2716" s="21">
        <f t="shared" si="15"/>
        <v>781.68</v>
      </c>
      <c r="J2716" s="23"/>
      <c r="K2716" s="21">
        <f t="shared" si="13"/>
        <v>204430.28</v>
      </c>
      <c r="L2716" s="23"/>
      <c r="M2716" s="21">
        <f t="shared" si="16"/>
        <v>1894.93</v>
      </c>
    </row>
    <row r="2717" ht="20.25" customHeight="1" outlineLevel="1">
      <c r="A2717" s="12"/>
      <c r="B2717" s="13"/>
      <c r="C2717" s="244"/>
      <c r="D2717" s="20"/>
      <c r="E2717" s="21">
        <f t="shared" si="1"/>
        <v>12593.22</v>
      </c>
      <c r="F2717" s="23"/>
      <c r="G2717" s="21">
        <f t="shared" si="8"/>
        <v>318539.46</v>
      </c>
      <c r="H2717" s="23"/>
      <c r="I2717" s="21">
        <f t="shared" si="15"/>
        <v>781.68</v>
      </c>
      <c r="J2717" s="23"/>
      <c r="K2717" s="21">
        <f t="shared" si="13"/>
        <v>204430.28</v>
      </c>
      <c r="L2717" s="23"/>
      <c r="M2717" s="21">
        <f t="shared" si="16"/>
        <v>1894.93</v>
      </c>
    </row>
    <row r="2718" ht="20.25" customHeight="1" outlineLevel="1">
      <c r="A2718" s="12"/>
      <c r="B2718" s="13"/>
      <c r="C2718" s="42"/>
      <c r="D2718" s="20"/>
      <c r="E2718" s="21">
        <f t="shared" si="1"/>
        <v>12593.22</v>
      </c>
      <c r="F2718" s="23"/>
      <c r="G2718" s="21">
        <f t="shared" si="8"/>
        <v>318539.46</v>
      </c>
      <c r="H2718" s="23"/>
      <c r="I2718" s="21">
        <f t="shared" si="15"/>
        <v>781.68</v>
      </c>
      <c r="J2718" s="23"/>
      <c r="K2718" s="21">
        <f t="shared" si="13"/>
        <v>204430.28</v>
      </c>
      <c r="L2718" s="23"/>
      <c r="M2718" s="21">
        <f t="shared" si="16"/>
        <v>1894.93</v>
      </c>
    </row>
    <row r="2719" ht="20.25" customHeight="1" outlineLevel="1">
      <c r="A2719" s="12"/>
      <c r="B2719" s="13"/>
      <c r="C2719" s="42"/>
      <c r="D2719" s="20"/>
      <c r="E2719" s="21">
        <f t="shared" si="1"/>
        <v>12593.22</v>
      </c>
      <c r="F2719" s="23"/>
      <c r="G2719" s="21">
        <f t="shared" si="8"/>
        <v>318539.46</v>
      </c>
      <c r="H2719" s="23"/>
      <c r="I2719" s="21">
        <f t="shared" si="15"/>
        <v>781.68</v>
      </c>
      <c r="J2719" s="23"/>
      <c r="K2719" s="21">
        <f t="shared" si="13"/>
        <v>204430.28</v>
      </c>
      <c r="L2719" s="23"/>
      <c r="M2719" s="21">
        <f t="shared" si="16"/>
        <v>1894.93</v>
      </c>
    </row>
    <row r="2720" ht="20.25" customHeight="1" outlineLevel="1">
      <c r="A2720" s="12"/>
      <c r="B2720" s="13"/>
      <c r="C2720" s="42"/>
      <c r="D2720" s="20"/>
      <c r="E2720" s="21">
        <f t="shared" si="1"/>
        <v>12593.22</v>
      </c>
      <c r="F2720" s="23"/>
      <c r="G2720" s="21">
        <f t="shared" si="8"/>
        <v>318539.46</v>
      </c>
      <c r="H2720" s="23"/>
      <c r="I2720" s="21">
        <f t="shared" si="15"/>
        <v>781.68</v>
      </c>
      <c r="J2720" s="23"/>
      <c r="K2720" s="21">
        <f t="shared" si="13"/>
        <v>204430.28</v>
      </c>
      <c r="L2720" s="23"/>
      <c r="M2720" s="21">
        <f t="shared" si="16"/>
        <v>1894.93</v>
      </c>
    </row>
    <row r="2721" ht="20.25" customHeight="1" outlineLevel="1">
      <c r="A2721" s="12"/>
      <c r="B2721" s="13"/>
      <c r="C2721" s="28"/>
      <c r="D2721" s="20"/>
      <c r="E2721" s="21">
        <f t="shared" si="1"/>
        <v>12593.22</v>
      </c>
      <c r="F2721" s="23"/>
      <c r="G2721" s="21">
        <f t="shared" si="8"/>
        <v>318539.46</v>
      </c>
      <c r="H2721" s="23"/>
      <c r="I2721" s="21">
        <f t="shared" si="15"/>
        <v>781.68</v>
      </c>
      <c r="J2721" s="23"/>
      <c r="K2721" s="21">
        <f t="shared" si="13"/>
        <v>204430.28</v>
      </c>
      <c r="L2721" s="23"/>
      <c r="M2721" s="21">
        <f t="shared" si="16"/>
        <v>1894.93</v>
      </c>
    </row>
    <row r="2722" ht="20.25" customHeight="1" outlineLevel="1">
      <c r="A2722" s="12"/>
      <c r="B2722" s="13"/>
      <c r="C2722" s="28"/>
      <c r="D2722" s="20"/>
      <c r="E2722" s="21">
        <f t="shared" si="1"/>
        <v>12593.22</v>
      </c>
      <c r="F2722" s="23"/>
      <c r="G2722" s="21">
        <f t="shared" si="8"/>
        <v>318539.46</v>
      </c>
      <c r="H2722" s="23"/>
      <c r="I2722" s="21">
        <f t="shared" si="15"/>
        <v>781.68</v>
      </c>
      <c r="J2722" s="23"/>
      <c r="K2722" s="21">
        <f t="shared" si="13"/>
        <v>204430.28</v>
      </c>
      <c r="L2722" s="23"/>
      <c r="M2722" s="21">
        <f t="shared" si="16"/>
        <v>1894.93</v>
      </c>
    </row>
    <row r="2723" ht="20.25" customHeight="1" outlineLevel="1">
      <c r="A2723" s="12"/>
      <c r="B2723" s="13"/>
      <c r="C2723" s="28"/>
      <c r="D2723" s="20"/>
      <c r="E2723" s="21">
        <f t="shared" si="1"/>
        <v>12593.22</v>
      </c>
      <c r="F2723" s="23"/>
      <c r="G2723" s="21">
        <f t="shared" si="8"/>
        <v>318539.46</v>
      </c>
      <c r="H2723" s="23"/>
      <c r="I2723" s="21">
        <f t="shared" si="15"/>
        <v>781.68</v>
      </c>
      <c r="J2723" s="23"/>
      <c r="K2723" s="21">
        <f t="shared" si="13"/>
        <v>204430.28</v>
      </c>
      <c r="L2723" s="23"/>
      <c r="M2723" s="21">
        <f t="shared" si="16"/>
        <v>1894.93</v>
      </c>
    </row>
    <row r="2724" ht="20.25" customHeight="1" outlineLevel="1">
      <c r="A2724" s="12"/>
      <c r="B2724" s="13"/>
      <c r="C2724" s="28"/>
      <c r="D2724" s="20"/>
      <c r="E2724" s="21">
        <f t="shared" si="1"/>
        <v>12593.22</v>
      </c>
      <c r="F2724" s="23"/>
      <c r="G2724" s="21">
        <f t="shared" si="8"/>
        <v>318539.46</v>
      </c>
      <c r="H2724" s="23"/>
      <c r="I2724" s="21">
        <f t="shared" si="15"/>
        <v>781.68</v>
      </c>
      <c r="J2724" s="23"/>
      <c r="K2724" s="21">
        <f t="shared" si="13"/>
        <v>204430.28</v>
      </c>
      <c r="L2724" s="23"/>
      <c r="M2724" s="21">
        <f t="shared" si="16"/>
        <v>1894.93</v>
      </c>
    </row>
    <row r="2725" ht="20.25" customHeight="1" outlineLevel="1">
      <c r="A2725" s="12"/>
      <c r="B2725" s="13"/>
      <c r="C2725" s="28"/>
      <c r="D2725" s="20"/>
      <c r="E2725" s="21">
        <f t="shared" si="1"/>
        <v>12593.22</v>
      </c>
      <c r="F2725" s="23"/>
      <c r="G2725" s="21">
        <f t="shared" si="8"/>
        <v>318539.46</v>
      </c>
      <c r="H2725" s="23"/>
      <c r="I2725" s="21">
        <f t="shared" si="15"/>
        <v>781.68</v>
      </c>
      <c r="J2725" s="23"/>
      <c r="K2725" s="21">
        <f t="shared" si="13"/>
        <v>204430.28</v>
      </c>
      <c r="L2725" s="23"/>
      <c r="M2725" s="21">
        <f t="shared" si="16"/>
        <v>1894.93</v>
      </c>
    </row>
    <row r="2726" ht="20.25" customHeight="1" outlineLevel="1">
      <c r="A2726" s="12"/>
      <c r="B2726" s="13"/>
      <c r="C2726" s="28"/>
      <c r="D2726" s="20"/>
      <c r="E2726" s="21">
        <f t="shared" si="1"/>
        <v>12593.22</v>
      </c>
      <c r="F2726" s="23"/>
      <c r="G2726" s="21">
        <f t="shared" si="8"/>
        <v>318539.46</v>
      </c>
      <c r="H2726" s="23"/>
      <c r="I2726" s="21">
        <f t="shared" si="15"/>
        <v>781.68</v>
      </c>
      <c r="J2726" s="23"/>
      <c r="K2726" s="21">
        <f t="shared" si="13"/>
        <v>204430.28</v>
      </c>
      <c r="L2726" s="23"/>
      <c r="M2726" s="21">
        <f t="shared" si="16"/>
        <v>1894.93</v>
      </c>
    </row>
    <row r="2727" ht="20.25" customHeight="1" outlineLevel="1">
      <c r="A2727" s="12"/>
      <c r="B2727" s="13"/>
      <c r="C2727" s="42"/>
      <c r="D2727" s="20"/>
      <c r="E2727" s="21">
        <f t="shared" si="1"/>
        <v>12593.22</v>
      </c>
      <c r="F2727" s="23"/>
      <c r="G2727" s="21">
        <f t="shared" si="8"/>
        <v>318539.46</v>
      </c>
      <c r="H2727" s="23"/>
      <c r="I2727" s="21">
        <f t="shared" si="15"/>
        <v>781.68</v>
      </c>
      <c r="J2727" s="23"/>
      <c r="K2727" s="21">
        <f t="shared" si="13"/>
        <v>204430.28</v>
      </c>
      <c r="L2727" s="23"/>
      <c r="M2727" s="21">
        <f t="shared" si="16"/>
        <v>1894.93</v>
      </c>
    </row>
    <row r="2728" ht="20.25" customHeight="1" outlineLevel="1">
      <c r="A2728" s="12"/>
      <c r="B2728" s="13"/>
      <c r="C2728" s="42"/>
      <c r="D2728" s="20"/>
      <c r="E2728" s="21">
        <f t="shared" si="1"/>
        <v>12593.22</v>
      </c>
      <c r="F2728" s="23"/>
      <c r="G2728" s="21">
        <f t="shared" si="8"/>
        <v>318539.46</v>
      </c>
      <c r="H2728" s="23"/>
      <c r="I2728" s="21">
        <f t="shared" si="15"/>
        <v>781.68</v>
      </c>
      <c r="J2728" s="23"/>
      <c r="K2728" s="21">
        <f t="shared" si="13"/>
        <v>204430.28</v>
      </c>
      <c r="L2728" s="23"/>
      <c r="M2728" s="21">
        <f t="shared" si="16"/>
        <v>1894.93</v>
      </c>
    </row>
    <row r="2729" ht="20.25" customHeight="1" outlineLevel="1">
      <c r="A2729" s="12"/>
      <c r="B2729" s="13"/>
      <c r="C2729" s="42"/>
      <c r="D2729" s="20"/>
      <c r="E2729" s="21">
        <f t="shared" si="1"/>
        <v>12593.22</v>
      </c>
      <c r="F2729" s="23"/>
      <c r="G2729" s="21">
        <f t="shared" si="8"/>
        <v>318539.46</v>
      </c>
      <c r="H2729" s="23"/>
      <c r="I2729" s="21">
        <f t="shared" si="15"/>
        <v>781.68</v>
      </c>
      <c r="J2729" s="23"/>
      <c r="K2729" s="21">
        <f t="shared" si="13"/>
        <v>204430.28</v>
      </c>
      <c r="L2729" s="23"/>
      <c r="M2729" s="21">
        <f t="shared" si="16"/>
        <v>1894.93</v>
      </c>
    </row>
    <row r="2730" ht="20.25" customHeight="1" outlineLevel="1">
      <c r="A2730" s="12"/>
      <c r="B2730" s="13"/>
      <c r="C2730" s="42"/>
      <c r="D2730" s="20"/>
      <c r="E2730" s="21">
        <f t="shared" si="1"/>
        <v>12593.22</v>
      </c>
      <c r="F2730" s="23"/>
      <c r="G2730" s="21">
        <f t="shared" si="8"/>
        <v>318539.46</v>
      </c>
      <c r="H2730" s="23"/>
      <c r="I2730" s="21">
        <f t="shared" si="15"/>
        <v>781.68</v>
      </c>
      <c r="J2730" s="23"/>
      <c r="K2730" s="21">
        <f t="shared" si="13"/>
        <v>204430.28</v>
      </c>
      <c r="L2730" s="23"/>
      <c r="M2730" s="21">
        <f t="shared" si="16"/>
        <v>1894.93</v>
      </c>
    </row>
    <row r="2731" ht="20.25" customHeight="1" outlineLevel="1">
      <c r="A2731" s="12"/>
      <c r="B2731" s="13"/>
      <c r="C2731" s="42"/>
      <c r="D2731" s="20"/>
      <c r="E2731" s="21">
        <f t="shared" si="1"/>
        <v>12593.22</v>
      </c>
      <c r="F2731" s="23"/>
      <c r="G2731" s="21">
        <f t="shared" si="8"/>
        <v>318539.46</v>
      </c>
      <c r="H2731" s="23"/>
      <c r="I2731" s="21">
        <f t="shared" si="15"/>
        <v>781.68</v>
      </c>
      <c r="J2731" s="23"/>
      <c r="K2731" s="21">
        <f t="shared" si="13"/>
        <v>204430.28</v>
      </c>
      <c r="L2731" s="23"/>
      <c r="M2731" s="21">
        <f t="shared" si="16"/>
        <v>1894.93</v>
      </c>
    </row>
    <row r="2732" ht="20.25" customHeight="1" outlineLevel="1">
      <c r="A2732" s="12"/>
      <c r="B2732" s="13"/>
      <c r="C2732" s="42"/>
      <c r="D2732" s="20"/>
      <c r="E2732" s="21">
        <f t="shared" si="1"/>
        <v>12593.22</v>
      </c>
      <c r="F2732" s="23"/>
      <c r="G2732" s="21">
        <f t="shared" si="8"/>
        <v>318539.46</v>
      </c>
      <c r="H2732" s="23"/>
      <c r="I2732" s="21">
        <f t="shared" si="15"/>
        <v>781.68</v>
      </c>
      <c r="J2732" s="23"/>
      <c r="K2732" s="21">
        <f t="shared" si="13"/>
        <v>204430.28</v>
      </c>
      <c r="L2732" s="23"/>
      <c r="M2732" s="21">
        <f t="shared" si="16"/>
        <v>1894.93</v>
      </c>
    </row>
    <row r="2733" ht="20.25" customHeight="1" outlineLevel="1">
      <c r="A2733" s="12"/>
      <c r="B2733" s="13"/>
      <c r="C2733" s="42"/>
      <c r="D2733" s="20"/>
      <c r="E2733" s="21">
        <f t="shared" si="1"/>
        <v>12593.22</v>
      </c>
      <c r="F2733" s="23"/>
      <c r="G2733" s="21">
        <f t="shared" si="8"/>
        <v>318539.46</v>
      </c>
      <c r="H2733" s="23"/>
      <c r="I2733" s="21">
        <f t="shared" si="15"/>
        <v>781.68</v>
      </c>
      <c r="J2733" s="23"/>
      <c r="K2733" s="21">
        <f t="shared" si="13"/>
        <v>204430.28</v>
      </c>
      <c r="L2733" s="23"/>
      <c r="M2733" s="21">
        <f t="shared" si="16"/>
        <v>1894.93</v>
      </c>
    </row>
    <row r="2734" ht="20.25" customHeight="1" outlineLevel="1">
      <c r="A2734" s="12"/>
      <c r="B2734" s="13"/>
      <c r="C2734" s="42"/>
      <c r="D2734" s="20"/>
      <c r="E2734" s="21">
        <f t="shared" si="1"/>
        <v>12593.22</v>
      </c>
      <c r="F2734" s="23"/>
      <c r="G2734" s="21">
        <f t="shared" si="8"/>
        <v>318539.46</v>
      </c>
      <c r="H2734" s="23"/>
      <c r="I2734" s="21">
        <f t="shared" si="15"/>
        <v>781.68</v>
      </c>
      <c r="J2734" s="23"/>
      <c r="K2734" s="21">
        <f t="shared" si="13"/>
        <v>204430.28</v>
      </c>
      <c r="L2734" s="23"/>
      <c r="M2734" s="21">
        <f t="shared" si="16"/>
        <v>1894.93</v>
      </c>
    </row>
    <row r="2735" ht="20.25" customHeight="1" outlineLevel="1">
      <c r="A2735" s="12"/>
      <c r="B2735" s="13"/>
      <c r="C2735" s="42"/>
      <c r="D2735" s="20"/>
      <c r="E2735" s="21">
        <f t="shared" si="1"/>
        <v>12593.22</v>
      </c>
      <c r="F2735" s="23"/>
      <c r="G2735" s="21">
        <f t="shared" si="8"/>
        <v>318539.46</v>
      </c>
      <c r="H2735" s="23"/>
      <c r="I2735" s="21">
        <f t="shared" si="15"/>
        <v>781.68</v>
      </c>
      <c r="J2735" s="23"/>
      <c r="K2735" s="21">
        <f t="shared" si="13"/>
        <v>204430.28</v>
      </c>
      <c r="L2735" s="23"/>
      <c r="M2735" s="21">
        <f t="shared" si="16"/>
        <v>1894.93</v>
      </c>
    </row>
    <row r="2736" ht="20.25" customHeight="1" outlineLevel="1">
      <c r="A2736" s="12"/>
      <c r="B2736" s="13"/>
      <c r="C2736" s="42"/>
      <c r="D2736" s="20"/>
      <c r="E2736" s="21">
        <f t="shared" si="1"/>
        <v>12593.22</v>
      </c>
      <c r="F2736" s="23"/>
      <c r="G2736" s="21">
        <f t="shared" si="8"/>
        <v>318539.46</v>
      </c>
      <c r="H2736" s="23"/>
      <c r="I2736" s="21">
        <f t="shared" si="15"/>
        <v>781.68</v>
      </c>
      <c r="J2736" s="23"/>
      <c r="K2736" s="21">
        <f t="shared" si="13"/>
        <v>204430.28</v>
      </c>
      <c r="L2736" s="23"/>
      <c r="M2736" s="21">
        <f t="shared" si="16"/>
        <v>1894.93</v>
      </c>
    </row>
    <row r="2737" ht="20.25" customHeight="1" outlineLevel="1">
      <c r="A2737" s="12"/>
      <c r="B2737" s="13"/>
      <c r="C2737" s="42"/>
      <c r="D2737" s="20"/>
      <c r="E2737" s="21">
        <f t="shared" si="1"/>
        <v>12593.22</v>
      </c>
      <c r="F2737" s="23"/>
      <c r="G2737" s="21">
        <f t="shared" si="8"/>
        <v>318539.46</v>
      </c>
      <c r="H2737" s="23"/>
      <c r="I2737" s="21">
        <f t="shared" si="15"/>
        <v>781.68</v>
      </c>
      <c r="J2737" s="23"/>
      <c r="K2737" s="21">
        <f t="shared" si="13"/>
        <v>204430.28</v>
      </c>
      <c r="L2737" s="23"/>
      <c r="M2737" s="21">
        <f t="shared" si="16"/>
        <v>1894.93</v>
      </c>
    </row>
    <row r="2738" ht="20.25" customHeight="1" outlineLevel="1">
      <c r="A2738" s="12"/>
      <c r="B2738" s="13"/>
      <c r="C2738" s="42"/>
      <c r="D2738" s="20"/>
      <c r="E2738" s="21">
        <f t="shared" si="1"/>
        <v>12593.22</v>
      </c>
      <c r="F2738" s="23"/>
      <c r="G2738" s="21">
        <f t="shared" si="8"/>
        <v>318539.46</v>
      </c>
      <c r="H2738" s="23"/>
      <c r="I2738" s="21">
        <f t="shared" si="15"/>
        <v>781.68</v>
      </c>
      <c r="J2738" s="23"/>
      <c r="K2738" s="21">
        <f t="shared" si="13"/>
        <v>204430.28</v>
      </c>
      <c r="L2738" s="23"/>
      <c r="M2738" s="21">
        <f t="shared" si="16"/>
        <v>1894.93</v>
      </c>
    </row>
    <row r="2739" ht="20.25" customHeight="1" outlineLevel="1">
      <c r="A2739" s="12"/>
      <c r="B2739" s="13"/>
      <c r="C2739" s="42"/>
      <c r="D2739" s="20"/>
      <c r="E2739" s="21">
        <f t="shared" si="1"/>
        <v>12593.22</v>
      </c>
      <c r="F2739" s="23"/>
      <c r="G2739" s="21">
        <f t="shared" si="8"/>
        <v>318539.46</v>
      </c>
      <c r="H2739" s="23"/>
      <c r="I2739" s="21">
        <f t="shared" si="15"/>
        <v>781.68</v>
      </c>
      <c r="J2739" s="23"/>
      <c r="K2739" s="21">
        <f t="shared" si="13"/>
        <v>204430.28</v>
      </c>
      <c r="L2739" s="23"/>
      <c r="M2739" s="21">
        <f t="shared" si="16"/>
        <v>1894.93</v>
      </c>
    </row>
    <row r="2740" ht="20.25" customHeight="1" outlineLevel="1">
      <c r="A2740" s="12"/>
      <c r="B2740" s="13"/>
      <c r="C2740" s="28"/>
      <c r="D2740" s="20"/>
      <c r="E2740" s="21">
        <f t="shared" si="1"/>
        <v>12593.22</v>
      </c>
      <c r="F2740" s="23"/>
      <c r="G2740" s="21">
        <f t="shared" si="8"/>
        <v>318539.46</v>
      </c>
      <c r="H2740" s="23"/>
      <c r="I2740" s="21">
        <f t="shared" si="15"/>
        <v>781.68</v>
      </c>
      <c r="J2740" s="23"/>
      <c r="K2740" s="21">
        <f t="shared" si="13"/>
        <v>204430.28</v>
      </c>
      <c r="L2740" s="23"/>
      <c r="M2740" s="21">
        <f t="shared" si="16"/>
        <v>1894.93</v>
      </c>
    </row>
    <row r="2741" ht="20.25" customHeight="1" outlineLevel="1">
      <c r="A2741" s="12"/>
      <c r="B2741" s="13"/>
      <c r="C2741" s="28"/>
      <c r="D2741" s="20"/>
      <c r="E2741" s="21">
        <f t="shared" si="1"/>
        <v>12593.22</v>
      </c>
      <c r="F2741" s="23"/>
      <c r="G2741" s="21">
        <f t="shared" si="8"/>
        <v>318539.46</v>
      </c>
      <c r="H2741" s="23"/>
      <c r="I2741" s="21">
        <f t="shared" si="15"/>
        <v>781.68</v>
      </c>
      <c r="J2741" s="23"/>
      <c r="K2741" s="21">
        <f t="shared" si="13"/>
        <v>204430.28</v>
      </c>
      <c r="L2741" s="23"/>
      <c r="M2741" s="21">
        <f t="shared" si="16"/>
        <v>1894.93</v>
      </c>
    </row>
    <row r="2742" ht="20.25" customHeight="1" outlineLevel="1">
      <c r="A2742" s="12"/>
      <c r="B2742" s="46"/>
      <c r="C2742" s="55"/>
      <c r="D2742" s="20"/>
      <c r="E2742" s="21">
        <f t="shared" si="1"/>
        <v>12593.22</v>
      </c>
      <c r="F2742" s="23"/>
      <c r="G2742" s="21">
        <f t="shared" si="8"/>
        <v>318539.46</v>
      </c>
      <c r="H2742" s="23"/>
      <c r="I2742" s="21">
        <f t="shared" si="15"/>
        <v>781.68</v>
      </c>
      <c r="J2742" s="23"/>
      <c r="K2742" s="21">
        <f t="shared" si="13"/>
        <v>204430.28</v>
      </c>
      <c r="L2742" s="23"/>
      <c r="M2742" s="21">
        <f t="shared" si="16"/>
        <v>1894.93</v>
      </c>
    </row>
    <row r="2743" ht="20.25" customHeight="1" outlineLevel="1">
      <c r="A2743" s="12"/>
      <c r="B2743" s="46"/>
      <c r="C2743" s="55"/>
      <c r="D2743" s="20"/>
      <c r="E2743" s="21">
        <f t="shared" si="1"/>
        <v>12593.22</v>
      </c>
      <c r="F2743" s="23"/>
      <c r="G2743" s="21">
        <f t="shared" si="8"/>
        <v>318539.46</v>
      </c>
      <c r="H2743" s="23"/>
      <c r="I2743" s="21">
        <f t="shared" si="15"/>
        <v>781.68</v>
      </c>
      <c r="J2743" s="23"/>
      <c r="K2743" s="21">
        <f t="shared" si="13"/>
        <v>204430.28</v>
      </c>
      <c r="L2743" s="23"/>
      <c r="M2743" s="21">
        <f t="shared" si="16"/>
        <v>1894.93</v>
      </c>
    </row>
    <row r="2744" ht="20.25" customHeight="1" outlineLevel="1">
      <c r="A2744" s="12"/>
      <c r="B2744" s="46"/>
      <c r="C2744" s="200"/>
      <c r="D2744" s="20"/>
      <c r="E2744" s="21">
        <f t="shared" si="1"/>
        <v>12593.22</v>
      </c>
      <c r="F2744" s="23"/>
      <c r="G2744" s="21">
        <f t="shared" si="8"/>
        <v>318539.46</v>
      </c>
      <c r="H2744" s="23"/>
      <c r="I2744" s="21">
        <f t="shared" si="15"/>
        <v>781.68</v>
      </c>
      <c r="J2744" s="23"/>
      <c r="K2744" s="21">
        <f t="shared" si="13"/>
        <v>204430.28</v>
      </c>
      <c r="L2744" s="23"/>
      <c r="M2744" s="21">
        <f t="shared" si="16"/>
        <v>1894.93</v>
      </c>
    </row>
    <row r="2745" ht="20.25" customHeight="1" outlineLevel="1">
      <c r="A2745" s="12"/>
      <c r="B2745" s="46"/>
      <c r="C2745" s="59"/>
      <c r="D2745" s="20"/>
      <c r="E2745" s="21">
        <f t="shared" si="1"/>
        <v>12593.22</v>
      </c>
      <c r="F2745" s="23"/>
      <c r="G2745" s="21">
        <f t="shared" si="8"/>
        <v>318539.46</v>
      </c>
      <c r="H2745" s="23"/>
      <c r="I2745" s="21">
        <f t="shared" si="15"/>
        <v>781.68</v>
      </c>
      <c r="J2745" s="23"/>
      <c r="K2745" s="21">
        <f t="shared" si="13"/>
        <v>204430.28</v>
      </c>
      <c r="L2745" s="23"/>
      <c r="M2745" s="21">
        <f t="shared" si="16"/>
        <v>1894.93</v>
      </c>
    </row>
    <row r="2746" ht="20.25" customHeight="1" outlineLevel="1">
      <c r="A2746" s="12"/>
      <c r="B2746" s="46"/>
      <c r="C2746" s="59"/>
      <c r="D2746" s="20"/>
      <c r="E2746" s="21">
        <f t="shared" si="1"/>
        <v>12593.22</v>
      </c>
      <c r="F2746" s="23"/>
      <c r="G2746" s="21">
        <f t="shared" si="8"/>
        <v>318539.46</v>
      </c>
      <c r="H2746" s="23"/>
      <c r="I2746" s="21">
        <f t="shared" si="15"/>
        <v>781.68</v>
      </c>
      <c r="J2746" s="23"/>
      <c r="K2746" s="21">
        <f t="shared" si="13"/>
        <v>204430.28</v>
      </c>
      <c r="L2746" s="23"/>
      <c r="M2746" s="21">
        <f t="shared" si="16"/>
        <v>1894.93</v>
      </c>
    </row>
    <row r="2747" ht="20.25" customHeight="1" outlineLevel="1">
      <c r="A2747" s="12"/>
      <c r="B2747" s="46"/>
      <c r="C2747" s="59"/>
      <c r="D2747" s="20"/>
      <c r="E2747" s="21">
        <f t="shared" si="1"/>
        <v>12593.22</v>
      </c>
      <c r="F2747" s="23"/>
      <c r="G2747" s="21">
        <f t="shared" si="8"/>
        <v>318539.46</v>
      </c>
      <c r="H2747" s="23"/>
      <c r="I2747" s="21">
        <f t="shared" si="15"/>
        <v>781.68</v>
      </c>
      <c r="J2747" s="23"/>
      <c r="K2747" s="21">
        <f t="shared" si="13"/>
        <v>204430.28</v>
      </c>
      <c r="L2747" s="23"/>
      <c r="M2747" s="21">
        <f t="shared" si="16"/>
        <v>1894.93</v>
      </c>
    </row>
    <row r="2748" ht="20.25" customHeight="1" outlineLevel="1">
      <c r="A2748" s="12"/>
      <c r="B2748" s="46"/>
      <c r="C2748" s="55"/>
      <c r="D2748" s="20"/>
      <c r="E2748" s="21">
        <f t="shared" si="1"/>
        <v>12593.22</v>
      </c>
      <c r="F2748" s="23"/>
      <c r="G2748" s="21">
        <f t="shared" si="8"/>
        <v>318539.46</v>
      </c>
      <c r="H2748" s="23"/>
      <c r="I2748" s="21">
        <f t="shared" si="15"/>
        <v>781.68</v>
      </c>
      <c r="J2748" s="23"/>
      <c r="K2748" s="21">
        <f t="shared" si="13"/>
        <v>204430.28</v>
      </c>
      <c r="L2748" s="23"/>
      <c r="M2748" s="21">
        <f t="shared" si="16"/>
        <v>1894.93</v>
      </c>
    </row>
    <row r="2749" ht="20.25" customHeight="1" outlineLevel="1">
      <c r="A2749" s="12"/>
      <c r="B2749" s="46"/>
      <c r="C2749" s="59"/>
      <c r="D2749" s="20"/>
      <c r="E2749" s="21">
        <f t="shared" si="1"/>
        <v>12593.22</v>
      </c>
      <c r="F2749" s="23"/>
      <c r="G2749" s="21">
        <f t="shared" si="8"/>
        <v>318539.46</v>
      </c>
      <c r="H2749" s="23"/>
      <c r="I2749" s="21">
        <f t="shared" si="15"/>
        <v>781.68</v>
      </c>
      <c r="J2749" s="23"/>
      <c r="K2749" s="21">
        <f t="shared" si="13"/>
        <v>204430.28</v>
      </c>
      <c r="L2749" s="23"/>
      <c r="M2749" s="21">
        <f t="shared" si="16"/>
        <v>1894.93</v>
      </c>
    </row>
    <row r="2750" ht="20.25" customHeight="1" outlineLevel="1">
      <c r="A2750" s="12"/>
      <c r="B2750" s="46"/>
      <c r="C2750" s="59"/>
      <c r="D2750" s="20"/>
      <c r="E2750" s="21">
        <f t="shared" si="1"/>
        <v>12593.22</v>
      </c>
      <c r="F2750" s="23"/>
      <c r="G2750" s="21">
        <f t="shared" si="8"/>
        <v>318539.46</v>
      </c>
      <c r="H2750" s="23"/>
      <c r="I2750" s="21">
        <f t="shared" si="15"/>
        <v>781.68</v>
      </c>
      <c r="J2750" s="23"/>
      <c r="K2750" s="21">
        <f t="shared" si="13"/>
        <v>204430.28</v>
      </c>
      <c r="L2750" s="23"/>
      <c r="M2750" s="21">
        <f t="shared" si="16"/>
        <v>1894.93</v>
      </c>
    </row>
    <row r="2751" ht="20.25" customHeight="1" outlineLevel="1">
      <c r="A2751" s="12"/>
      <c r="B2751" s="46"/>
      <c r="C2751" s="59"/>
      <c r="D2751" s="20"/>
      <c r="E2751" s="21">
        <f t="shared" si="1"/>
        <v>12593.22</v>
      </c>
      <c r="F2751" s="23"/>
      <c r="G2751" s="21">
        <f t="shared" si="8"/>
        <v>318539.46</v>
      </c>
      <c r="H2751" s="23"/>
      <c r="I2751" s="21">
        <f t="shared" si="15"/>
        <v>781.68</v>
      </c>
      <c r="J2751" s="23"/>
      <c r="K2751" s="21">
        <f t="shared" si="13"/>
        <v>204430.28</v>
      </c>
      <c r="L2751" s="23"/>
      <c r="M2751" s="21">
        <f t="shared" si="16"/>
        <v>1894.93</v>
      </c>
    </row>
    <row r="2752" ht="20.25" customHeight="1" outlineLevel="1">
      <c r="A2752" s="12"/>
      <c r="B2752" s="46"/>
      <c r="C2752" s="59"/>
      <c r="D2752" s="20"/>
      <c r="E2752" s="21">
        <f t="shared" si="1"/>
        <v>12593.22</v>
      </c>
      <c r="F2752" s="23"/>
      <c r="G2752" s="21">
        <f t="shared" si="8"/>
        <v>318539.46</v>
      </c>
      <c r="H2752" s="23"/>
      <c r="I2752" s="21">
        <f t="shared" si="15"/>
        <v>781.68</v>
      </c>
      <c r="J2752" s="23"/>
      <c r="K2752" s="21">
        <f t="shared" si="13"/>
        <v>204430.28</v>
      </c>
      <c r="L2752" s="23"/>
      <c r="M2752" s="21">
        <f t="shared" si="16"/>
        <v>1894.93</v>
      </c>
    </row>
    <row r="2753" ht="20.25" customHeight="1" outlineLevel="1">
      <c r="A2753" s="12"/>
      <c r="B2753" s="46"/>
      <c r="C2753" s="59"/>
      <c r="D2753" s="20"/>
      <c r="E2753" s="21">
        <f t="shared" si="1"/>
        <v>12593.22</v>
      </c>
      <c r="F2753" s="23"/>
      <c r="G2753" s="21">
        <f t="shared" si="8"/>
        <v>318539.46</v>
      </c>
      <c r="H2753" s="23"/>
      <c r="I2753" s="21">
        <f t="shared" si="15"/>
        <v>781.68</v>
      </c>
      <c r="J2753" s="23"/>
      <c r="K2753" s="21">
        <f t="shared" si="13"/>
        <v>204430.28</v>
      </c>
      <c r="L2753" s="23"/>
      <c r="M2753" s="21">
        <f t="shared" si="16"/>
        <v>1894.93</v>
      </c>
    </row>
    <row r="2754" ht="20.25" customHeight="1" outlineLevel="1">
      <c r="A2754" s="12"/>
      <c r="B2754" s="46"/>
      <c r="C2754" s="59"/>
      <c r="D2754" s="20"/>
      <c r="E2754" s="21">
        <f t="shared" si="1"/>
        <v>12593.22</v>
      </c>
      <c r="F2754" s="23"/>
      <c r="G2754" s="21">
        <f t="shared" si="8"/>
        <v>318539.46</v>
      </c>
      <c r="H2754" s="23"/>
      <c r="I2754" s="21">
        <f t="shared" si="15"/>
        <v>781.68</v>
      </c>
      <c r="J2754" s="23"/>
      <c r="K2754" s="21">
        <f t="shared" si="13"/>
        <v>204430.28</v>
      </c>
      <c r="L2754" s="23"/>
      <c r="M2754" s="21">
        <f t="shared" si="16"/>
        <v>1894.93</v>
      </c>
    </row>
    <row r="2755" ht="20.25" customHeight="1" outlineLevel="1">
      <c r="A2755" s="12"/>
      <c r="B2755" s="46"/>
      <c r="C2755" s="55"/>
      <c r="D2755" s="20"/>
      <c r="E2755" s="21">
        <f t="shared" si="1"/>
        <v>12593.22</v>
      </c>
      <c r="F2755" s="23"/>
      <c r="G2755" s="21">
        <f t="shared" si="8"/>
        <v>318539.46</v>
      </c>
      <c r="H2755" s="23"/>
      <c r="I2755" s="21">
        <f t="shared" si="15"/>
        <v>781.68</v>
      </c>
      <c r="J2755" s="23"/>
      <c r="K2755" s="21">
        <f t="shared" si="13"/>
        <v>204430.28</v>
      </c>
      <c r="L2755" s="23"/>
      <c r="M2755" s="21">
        <f t="shared" si="16"/>
        <v>1894.93</v>
      </c>
    </row>
    <row r="2756" ht="20.25" customHeight="1" outlineLevel="1">
      <c r="A2756" s="12"/>
      <c r="B2756" s="46"/>
      <c r="C2756" s="55"/>
      <c r="D2756" s="20"/>
      <c r="E2756" s="21">
        <f t="shared" si="1"/>
        <v>12593.22</v>
      </c>
      <c r="F2756" s="23"/>
      <c r="G2756" s="21">
        <f t="shared" si="8"/>
        <v>318539.46</v>
      </c>
      <c r="H2756" s="23"/>
      <c r="I2756" s="21">
        <f t="shared" si="15"/>
        <v>781.68</v>
      </c>
      <c r="J2756" s="23"/>
      <c r="K2756" s="21">
        <f t="shared" si="13"/>
        <v>204430.28</v>
      </c>
      <c r="L2756" s="23"/>
      <c r="M2756" s="21">
        <f t="shared" si="16"/>
        <v>1894.93</v>
      </c>
    </row>
    <row r="2757" ht="20.25" customHeight="1" outlineLevel="1">
      <c r="A2757" s="12"/>
      <c r="B2757" s="46"/>
      <c r="C2757" s="55"/>
      <c r="D2757" s="20"/>
      <c r="E2757" s="21">
        <f t="shared" si="1"/>
        <v>12593.22</v>
      </c>
      <c r="F2757" s="23"/>
      <c r="G2757" s="21">
        <f t="shared" si="8"/>
        <v>318539.46</v>
      </c>
      <c r="H2757" s="23"/>
      <c r="I2757" s="21">
        <f t="shared" si="15"/>
        <v>781.68</v>
      </c>
      <c r="J2757" s="23"/>
      <c r="K2757" s="21">
        <f t="shared" si="13"/>
        <v>204430.28</v>
      </c>
      <c r="L2757" s="23"/>
      <c r="M2757" s="21">
        <f t="shared" si="16"/>
        <v>1894.93</v>
      </c>
    </row>
    <row r="2758" ht="20.25" customHeight="1" outlineLevel="1">
      <c r="A2758" s="12"/>
      <c r="B2758" s="46"/>
      <c r="C2758" s="55"/>
      <c r="D2758" s="20"/>
      <c r="E2758" s="21">
        <f t="shared" si="1"/>
        <v>12593.22</v>
      </c>
      <c r="F2758" s="23"/>
      <c r="G2758" s="21">
        <f t="shared" si="8"/>
        <v>318539.46</v>
      </c>
      <c r="H2758" s="23"/>
      <c r="I2758" s="21">
        <f t="shared" si="15"/>
        <v>781.68</v>
      </c>
      <c r="J2758" s="23"/>
      <c r="K2758" s="21">
        <f t="shared" si="13"/>
        <v>204430.28</v>
      </c>
      <c r="L2758" s="23"/>
      <c r="M2758" s="21">
        <f t="shared" si="16"/>
        <v>1894.93</v>
      </c>
    </row>
    <row r="2759" ht="20.25" customHeight="1" outlineLevel="1">
      <c r="A2759" s="12"/>
      <c r="B2759" s="46"/>
      <c r="C2759" s="55"/>
      <c r="D2759" s="20"/>
      <c r="E2759" s="21">
        <f t="shared" si="1"/>
        <v>12593.22</v>
      </c>
      <c r="F2759" s="23"/>
      <c r="G2759" s="21">
        <f t="shared" si="8"/>
        <v>318539.46</v>
      </c>
      <c r="H2759" s="23"/>
      <c r="I2759" s="21">
        <f t="shared" si="15"/>
        <v>781.68</v>
      </c>
      <c r="J2759" s="23"/>
      <c r="K2759" s="21">
        <f t="shared" si="13"/>
        <v>204430.28</v>
      </c>
      <c r="L2759" s="23"/>
      <c r="M2759" s="21">
        <f t="shared" si="16"/>
        <v>1894.93</v>
      </c>
    </row>
    <row r="2760" ht="20.25" customHeight="1" outlineLevel="1">
      <c r="A2760" s="12"/>
      <c r="B2760" s="46"/>
      <c r="C2760" s="55"/>
      <c r="D2760" s="20"/>
      <c r="E2760" s="21">
        <f t="shared" si="1"/>
        <v>12593.22</v>
      </c>
      <c r="F2760" s="23"/>
      <c r="G2760" s="21">
        <f t="shared" si="8"/>
        <v>318539.46</v>
      </c>
      <c r="H2760" s="23"/>
      <c r="I2760" s="21">
        <f t="shared" si="15"/>
        <v>781.68</v>
      </c>
      <c r="J2760" s="23"/>
      <c r="K2760" s="21">
        <f t="shared" si="13"/>
        <v>204430.28</v>
      </c>
      <c r="L2760" s="23"/>
      <c r="M2760" s="21">
        <f t="shared" si="16"/>
        <v>1894.93</v>
      </c>
    </row>
    <row r="2761" ht="20.25" customHeight="1" outlineLevel="1">
      <c r="A2761" s="12"/>
      <c r="B2761" s="46"/>
      <c r="C2761" s="55"/>
      <c r="D2761" s="20"/>
      <c r="E2761" s="21">
        <f t="shared" si="1"/>
        <v>12593.22</v>
      </c>
      <c r="F2761" s="23"/>
      <c r="G2761" s="21">
        <f t="shared" si="8"/>
        <v>318539.46</v>
      </c>
      <c r="H2761" s="23"/>
      <c r="I2761" s="21">
        <f t="shared" si="15"/>
        <v>781.68</v>
      </c>
      <c r="J2761" s="23"/>
      <c r="K2761" s="21">
        <f t="shared" si="13"/>
        <v>204430.28</v>
      </c>
      <c r="L2761" s="23"/>
      <c r="M2761" s="21">
        <f t="shared" si="16"/>
        <v>1894.93</v>
      </c>
    </row>
    <row r="2762" ht="20.25" customHeight="1" outlineLevel="1">
      <c r="A2762" s="12"/>
      <c r="B2762" s="46"/>
      <c r="C2762" s="55"/>
      <c r="D2762" s="20"/>
      <c r="E2762" s="21">
        <f t="shared" si="1"/>
        <v>12593.22</v>
      </c>
      <c r="F2762" s="23"/>
      <c r="G2762" s="21">
        <f t="shared" si="8"/>
        <v>318539.46</v>
      </c>
      <c r="H2762" s="23"/>
      <c r="I2762" s="21">
        <f t="shared" si="15"/>
        <v>781.68</v>
      </c>
      <c r="J2762" s="23"/>
      <c r="K2762" s="21">
        <f t="shared" si="13"/>
        <v>204430.28</v>
      </c>
      <c r="L2762" s="23"/>
      <c r="M2762" s="21">
        <f t="shared" si="16"/>
        <v>1894.93</v>
      </c>
    </row>
    <row r="2763" ht="20.25" customHeight="1" outlineLevel="1">
      <c r="A2763" s="12"/>
      <c r="B2763" s="46"/>
      <c r="C2763" s="55"/>
      <c r="D2763" s="20"/>
      <c r="E2763" s="21">
        <f t="shared" si="1"/>
        <v>12593.22</v>
      </c>
      <c r="F2763" s="23"/>
      <c r="G2763" s="21">
        <f t="shared" si="8"/>
        <v>318539.46</v>
      </c>
      <c r="H2763" s="23"/>
      <c r="I2763" s="21">
        <f t="shared" si="15"/>
        <v>781.68</v>
      </c>
      <c r="J2763" s="23"/>
      <c r="K2763" s="21">
        <f t="shared" si="13"/>
        <v>204430.28</v>
      </c>
      <c r="L2763" s="23"/>
      <c r="M2763" s="21">
        <f t="shared" si="16"/>
        <v>1894.93</v>
      </c>
    </row>
    <row r="2764" ht="20.25" customHeight="1" outlineLevel="1">
      <c r="A2764" s="12"/>
      <c r="B2764" s="46"/>
      <c r="C2764" s="55"/>
      <c r="D2764" s="20"/>
      <c r="E2764" s="21">
        <f t="shared" si="1"/>
        <v>12593.22</v>
      </c>
      <c r="F2764" s="23"/>
      <c r="G2764" s="21">
        <f t="shared" si="8"/>
        <v>318539.46</v>
      </c>
      <c r="H2764" s="23"/>
      <c r="I2764" s="21">
        <f t="shared" si="15"/>
        <v>781.68</v>
      </c>
      <c r="J2764" s="23"/>
      <c r="K2764" s="21">
        <f t="shared" si="13"/>
        <v>204430.28</v>
      </c>
      <c r="L2764" s="23"/>
      <c r="M2764" s="21">
        <f t="shared" si="16"/>
        <v>1894.93</v>
      </c>
    </row>
    <row r="2765" ht="20.25" customHeight="1" outlineLevel="1">
      <c r="A2765" s="12"/>
      <c r="B2765" s="46"/>
      <c r="C2765" s="55"/>
      <c r="D2765" s="20"/>
      <c r="E2765" s="21">
        <f t="shared" si="1"/>
        <v>12593.22</v>
      </c>
      <c r="F2765" s="23"/>
      <c r="G2765" s="21">
        <f t="shared" si="8"/>
        <v>318539.46</v>
      </c>
      <c r="H2765" s="23"/>
      <c r="I2765" s="21">
        <f t="shared" si="15"/>
        <v>781.68</v>
      </c>
      <c r="J2765" s="23"/>
      <c r="K2765" s="21">
        <f t="shared" si="13"/>
        <v>204430.28</v>
      </c>
      <c r="L2765" s="23"/>
      <c r="M2765" s="21">
        <f t="shared" si="16"/>
        <v>1894.93</v>
      </c>
    </row>
    <row r="2766" ht="20.25" customHeight="1" outlineLevel="1">
      <c r="A2766" s="12"/>
      <c r="B2766" s="46"/>
      <c r="C2766" s="55"/>
      <c r="D2766" s="20"/>
      <c r="E2766" s="21">
        <f t="shared" si="1"/>
        <v>12593.22</v>
      </c>
      <c r="F2766" s="23"/>
      <c r="G2766" s="21">
        <f t="shared" si="8"/>
        <v>318539.46</v>
      </c>
      <c r="H2766" s="23"/>
      <c r="I2766" s="21">
        <f t="shared" si="15"/>
        <v>781.68</v>
      </c>
      <c r="J2766" s="23"/>
      <c r="K2766" s="21">
        <f t="shared" si="13"/>
        <v>204430.28</v>
      </c>
      <c r="L2766" s="23"/>
      <c r="M2766" s="21">
        <f t="shared" si="16"/>
        <v>1894.93</v>
      </c>
    </row>
    <row r="2767" ht="20.25" customHeight="1" outlineLevel="1">
      <c r="A2767" s="12"/>
      <c r="B2767" s="46"/>
      <c r="C2767" s="55"/>
      <c r="D2767" s="20"/>
      <c r="E2767" s="21">
        <f t="shared" si="1"/>
        <v>12593.22</v>
      </c>
      <c r="F2767" s="23"/>
      <c r="G2767" s="21">
        <f t="shared" si="8"/>
        <v>318539.46</v>
      </c>
      <c r="H2767" s="23"/>
      <c r="I2767" s="21">
        <f t="shared" si="15"/>
        <v>781.68</v>
      </c>
      <c r="J2767" s="23"/>
      <c r="K2767" s="21">
        <f t="shared" si="13"/>
        <v>204430.28</v>
      </c>
      <c r="L2767" s="23"/>
      <c r="M2767" s="21">
        <f t="shared" si="16"/>
        <v>1894.93</v>
      </c>
    </row>
    <row r="2768" ht="20.25" customHeight="1" outlineLevel="1">
      <c r="A2768" s="12"/>
      <c r="B2768" s="46"/>
      <c r="C2768" s="59"/>
      <c r="D2768" s="20"/>
      <c r="E2768" s="21">
        <f t="shared" si="1"/>
        <v>12593.22</v>
      </c>
      <c r="F2768" s="23"/>
      <c r="G2768" s="21">
        <f t="shared" si="8"/>
        <v>318539.46</v>
      </c>
      <c r="H2768" s="23"/>
      <c r="I2768" s="21">
        <f t="shared" si="15"/>
        <v>781.68</v>
      </c>
      <c r="J2768" s="23"/>
      <c r="K2768" s="21">
        <f t="shared" si="13"/>
        <v>204430.28</v>
      </c>
      <c r="L2768" s="23"/>
      <c r="M2768" s="21">
        <f t="shared" si="16"/>
        <v>1894.93</v>
      </c>
    </row>
    <row r="2769" ht="20.25" customHeight="1" outlineLevel="1">
      <c r="A2769" s="12"/>
      <c r="B2769" s="46"/>
      <c r="C2769" s="59"/>
      <c r="D2769" s="20"/>
      <c r="E2769" s="21">
        <f t="shared" si="1"/>
        <v>12593.22</v>
      </c>
      <c r="F2769" s="23"/>
      <c r="G2769" s="21">
        <f t="shared" si="8"/>
        <v>318539.46</v>
      </c>
      <c r="H2769" s="23"/>
      <c r="I2769" s="21">
        <f t="shared" si="15"/>
        <v>781.68</v>
      </c>
      <c r="J2769" s="23"/>
      <c r="K2769" s="21">
        <f t="shared" si="13"/>
        <v>204430.28</v>
      </c>
      <c r="L2769" s="23"/>
      <c r="M2769" s="21">
        <f t="shared" si="16"/>
        <v>1894.93</v>
      </c>
    </row>
    <row r="2770" ht="20.25" customHeight="1" outlineLevel="1">
      <c r="A2770" s="12"/>
      <c r="B2770" s="46"/>
      <c r="C2770" s="55"/>
      <c r="D2770" s="20"/>
      <c r="E2770" s="21">
        <f t="shared" si="1"/>
        <v>12593.22</v>
      </c>
      <c r="F2770" s="23"/>
      <c r="G2770" s="21">
        <f t="shared" si="8"/>
        <v>318539.46</v>
      </c>
      <c r="H2770" s="23"/>
      <c r="I2770" s="21">
        <f t="shared" si="15"/>
        <v>781.68</v>
      </c>
      <c r="J2770" s="23"/>
      <c r="K2770" s="21">
        <f t="shared" si="13"/>
        <v>204430.28</v>
      </c>
      <c r="L2770" s="23"/>
      <c r="M2770" s="21">
        <f t="shared" si="16"/>
        <v>1894.93</v>
      </c>
    </row>
    <row r="2771" ht="20.25" customHeight="1" outlineLevel="1">
      <c r="A2771" s="12"/>
      <c r="B2771" s="46"/>
      <c r="C2771" s="55"/>
      <c r="D2771" s="20"/>
      <c r="E2771" s="21">
        <f t="shared" si="1"/>
        <v>12593.22</v>
      </c>
      <c r="F2771" s="23"/>
      <c r="G2771" s="21">
        <f t="shared" si="8"/>
        <v>318539.46</v>
      </c>
      <c r="H2771" s="23"/>
      <c r="I2771" s="21">
        <f t="shared" si="15"/>
        <v>781.68</v>
      </c>
      <c r="J2771" s="23"/>
      <c r="K2771" s="21">
        <f t="shared" si="13"/>
        <v>204430.28</v>
      </c>
      <c r="L2771" s="23"/>
      <c r="M2771" s="21">
        <f t="shared" si="16"/>
        <v>1894.93</v>
      </c>
    </row>
    <row r="2772" ht="20.25" customHeight="1" outlineLevel="1">
      <c r="A2772" s="12"/>
      <c r="B2772" s="46"/>
      <c r="C2772" s="55"/>
      <c r="D2772" s="20"/>
      <c r="E2772" s="21">
        <f t="shared" si="1"/>
        <v>12593.22</v>
      </c>
      <c r="F2772" s="23"/>
      <c r="G2772" s="21">
        <f t="shared" si="8"/>
        <v>318539.46</v>
      </c>
      <c r="H2772" s="23"/>
      <c r="I2772" s="21">
        <f t="shared" si="15"/>
        <v>781.68</v>
      </c>
      <c r="J2772" s="23"/>
      <c r="K2772" s="21">
        <f t="shared" si="13"/>
        <v>204430.28</v>
      </c>
      <c r="L2772" s="23"/>
      <c r="M2772" s="21">
        <f t="shared" si="16"/>
        <v>1894.93</v>
      </c>
    </row>
    <row r="2773" ht="20.25" customHeight="1" outlineLevel="1">
      <c r="A2773" s="12"/>
      <c r="B2773" s="46"/>
      <c r="C2773" s="55"/>
      <c r="D2773" s="20"/>
      <c r="E2773" s="21">
        <f t="shared" si="1"/>
        <v>12593.22</v>
      </c>
      <c r="F2773" s="23"/>
      <c r="G2773" s="21">
        <f t="shared" si="8"/>
        <v>318539.46</v>
      </c>
      <c r="H2773" s="23"/>
      <c r="I2773" s="21">
        <f t="shared" si="15"/>
        <v>781.68</v>
      </c>
      <c r="J2773" s="23"/>
      <c r="K2773" s="21">
        <f t="shared" si="13"/>
        <v>204430.28</v>
      </c>
      <c r="L2773" s="23"/>
      <c r="M2773" s="21">
        <f t="shared" si="16"/>
        <v>1894.93</v>
      </c>
    </row>
    <row r="2774" ht="20.25" customHeight="1" outlineLevel="1">
      <c r="A2774" s="12"/>
      <c r="B2774" s="46"/>
      <c r="C2774" s="55"/>
      <c r="D2774" s="20"/>
      <c r="E2774" s="21">
        <f t="shared" si="1"/>
        <v>12593.22</v>
      </c>
      <c r="F2774" s="23"/>
      <c r="G2774" s="21">
        <f t="shared" si="8"/>
        <v>318539.46</v>
      </c>
      <c r="H2774" s="23"/>
      <c r="I2774" s="21">
        <f t="shared" si="15"/>
        <v>781.68</v>
      </c>
      <c r="J2774" s="23"/>
      <c r="K2774" s="21">
        <f t="shared" si="13"/>
        <v>204430.28</v>
      </c>
      <c r="L2774" s="23"/>
      <c r="M2774" s="21">
        <f t="shared" si="16"/>
        <v>1894.93</v>
      </c>
    </row>
    <row r="2775" ht="20.25" customHeight="1" outlineLevel="1">
      <c r="A2775" s="12"/>
      <c r="B2775" s="46"/>
      <c r="C2775" s="55"/>
      <c r="D2775" s="20"/>
      <c r="E2775" s="21">
        <f t="shared" si="1"/>
        <v>12593.22</v>
      </c>
      <c r="F2775" s="23"/>
      <c r="G2775" s="21">
        <f t="shared" si="8"/>
        <v>318539.46</v>
      </c>
      <c r="H2775" s="23"/>
      <c r="I2775" s="21">
        <f t="shared" si="15"/>
        <v>781.68</v>
      </c>
      <c r="J2775" s="23"/>
      <c r="K2775" s="21">
        <f t="shared" si="13"/>
        <v>204430.28</v>
      </c>
      <c r="L2775" s="23"/>
      <c r="M2775" s="21">
        <f t="shared" si="16"/>
        <v>1894.93</v>
      </c>
    </row>
    <row r="2776" ht="20.25" customHeight="1" outlineLevel="1">
      <c r="A2776" s="12"/>
      <c r="B2776" s="46"/>
      <c r="C2776" s="59"/>
      <c r="D2776" s="20"/>
      <c r="E2776" s="21">
        <f t="shared" si="1"/>
        <v>12593.22</v>
      </c>
      <c r="F2776" s="23"/>
      <c r="G2776" s="21">
        <f t="shared" si="8"/>
        <v>318539.46</v>
      </c>
      <c r="H2776" s="23"/>
      <c r="I2776" s="21">
        <f t="shared" si="15"/>
        <v>781.68</v>
      </c>
      <c r="J2776" s="23"/>
      <c r="K2776" s="21">
        <f t="shared" si="13"/>
        <v>204430.28</v>
      </c>
      <c r="L2776" s="23"/>
      <c r="M2776" s="21">
        <f t="shared" si="16"/>
        <v>1894.93</v>
      </c>
    </row>
    <row r="2777" ht="20.25" customHeight="1" outlineLevel="1">
      <c r="A2777" s="12"/>
      <c r="B2777" s="46"/>
      <c r="C2777" s="59"/>
      <c r="D2777" s="20"/>
      <c r="E2777" s="21">
        <f t="shared" si="1"/>
        <v>12593.22</v>
      </c>
      <c r="F2777" s="23"/>
      <c r="G2777" s="21">
        <f t="shared" si="8"/>
        <v>318539.46</v>
      </c>
      <c r="H2777" s="23"/>
      <c r="I2777" s="21">
        <f t="shared" si="15"/>
        <v>781.68</v>
      </c>
      <c r="J2777" s="23"/>
      <c r="K2777" s="21">
        <f t="shared" si="13"/>
        <v>204430.28</v>
      </c>
      <c r="L2777" s="23"/>
      <c r="M2777" s="21">
        <f t="shared" si="16"/>
        <v>1894.93</v>
      </c>
    </row>
    <row r="2778" ht="20.25" customHeight="1" outlineLevel="1">
      <c r="A2778" s="12"/>
      <c r="B2778" s="46"/>
      <c r="C2778" s="59"/>
      <c r="D2778" s="20"/>
      <c r="E2778" s="21">
        <f t="shared" si="1"/>
        <v>12593.22</v>
      </c>
      <c r="F2778" s="23"/>
      <c r="G2778" s="21">
        <f t="shared" si="8"/>
        <v>318539.46</v>
      </c>
      <c r="H2778" s="23"/>
      <c r="I2778" s="21">
        <f t="shared" si="15"/>
        <v>781.68</v>
      </c>
      <c r="J2778" s="23"/>
      <c r="K2778" s="21">
        <f t="shared" si="13"/>
        <v>204430.28</v>
      </c>
      <c r="L2778" s="23"/>
      <c r="M2778" s="21">
        <f t="shared" si="16"/>
        <v>1894.93</v>
      </c>
    </row>
    <row r="2779" ht="20.25" customHeight="1" outlineLevel="1">
      <c r="A2779" s="12"/>
      <c r="B2779" s="46"/>
      <c r="C2779" s="59"/>
      <c r="D2779" s="20"/>
      <c r="E2779" s="21">
        <f t="shared" si="1"/>
        <v>12593.22</v>
      </c>
      <c r="F2779" s="23"/>
      <c r="G2779" s="21">
        <f t="shared" si="8"/>
        <v>318539.46</v>
      </c>
      <c r="H2779" s="23"/>
      <c r="I2779" s="21">
        <f t="shared" si="15"/>
        <v>781.68</v>
      </c>
      <c r="J2779" s="23"/>
      <c r="K2779" s="21">
        <f t="shared" si="13"/>
        <v>204430.28</v>
      </c>
      <c r="L2779" s="23"/>
      <c r="M2779" s="21">
        <f t="shared" si="16"/>
        <v>1894.93</v>
      </c>
    </row>
    <row r="2780" ht="20.25" customHeight="1" outlineLevel="1">
      <c r="A2780" s="12"/>
      <c r="B2780" s="46"/>
      <c r="C2780" s="55"/>
      <c r="D2780" s="20"/>
      <c r="E2780" s="21">
        <f t="shared" si="1"/>
        <v>12593.22</v>
      </c>
      <c r="F2780" s="23"/>
      <c r="G2780" s="21">
        <f t="shared" si="8"/>
        <v>318539.46</v>
      </c>
      <c r="H2780" s="23"/>
      <c r="I2780" s="21">
        <f t="shared" si="15"/>
        <v>781.68</v>
      </c>
      <c r="J2780" s="23"/>
      <c r="K2780" s="21">
        <f t="shared" si="13"/>
        <v>204430.28</v>
      </c>
      <c r="L2780" s="23"/>
      <c r="M2780" s="21">
        <f t="shared" si="16"/>
        <v>1894.93</v>
      </c>
    </row>
    <row r="2781" ht="20.25" customHeight="1" outlineLevel="1">
      <c r="A2781" s="12"/>
      <c r="B2781" s="46"/>
      <c r="C2781" s="55"/>
      <c r="D2781" s="20"/>
      <c r="E2781" s="21">
        <f t="shared" si="1"/>
        <v>12593.22</v>
      </c>
      <c r="F2781" s="23"/>
      <c r="G2781" s="21">
        <f t="shared" si="8"/>
        <v>318539.46</v>
      </c>
      <c r="H2781" s="23"/>
      <c r="I2781" s="21">
        <f t="shared" si="15"/>
        <v>781.68</v>
      </c>
      <c r="J2781" s="23"/>
      <c r="K2781" s="21">
        <f t="shared" si="13"/>
        <v>204430.28</v>
      </c>
      <c r="L2781" s="23"/>
      <c r="M2781" s="21">
        <f t="shared" si="16"/>
        <v>1894.93</v>
      </c>
    </row>
    <row r="2782" ht="20.25" customHeight="1" outlineLevel="1">
      <c r="A2782" s="12"/>
      <c r="B2782" s="46"/>
      <c r="C2782" s="55"/>
      <c r="D2782" s="20"/>
      <c r="E2782" s="21">
        <f t="shared" si="1"/>
        <v>12593.22</v>
      </c>
      <c r="F2782" s="23"/>
      <c r="G2782" s="21">
        <f t="shared" si="8"/>
        <v>318539.46</v>
      </c>
      <c r="H2782" s="23"/>
      <c r="I2782" s="21">
        <f t="shared" si="15"/>
        <v>781.68</v>
      </c>
      <c r="J2782" s="23"/>
      <c r="K2782" s="21">
        <f t="shared" si="13"/>
        <v>204430.28</v>
      </c>
      <c r="L2782" s="23"/>
      <c r="M2782" s="21">
        <f t="shared" si="16"/>
        <v>1894.93</v>
      </c>
    </row>
    <row r="2783" ht="20.25" customHeight="1" outlineLevel="1">
      <c r="A2783" s="12"/>
      <c r="B2783" s="46"/>
      <c r="C2783" s="55"/>
      <c r="D2783" s="20"/>
      <c r="E2783" s="21">
        <f t="shared" si="1"/>
        <v>12593.22</v>
      </c>
      <c r="F2783" s="23"/>
      <c r="G2783" s="21">
        <f t="shared" si="8"/>
        <v>318539.46</v>
      </c>
      <c r="H2783" s="23"/>
      <c r="I2783" s="21">
        <f t="shared" si="15"/>
        <v>781.68</v>
      </c>
      <c r="J2783" s="23"/>
      <c r="K2783" s="21">
        <f t="shared" si="13"/>
        <v>204430.28</v>
      </c>
      <c r="L2783" s="23"/>
      <c r="M2783" s="21">
        <f t="shared" si="16"/>
        <v>1894.93</v>
      </c>
    </row>
    <row r="2784" ht="20.25" customHeight="1" outlineLevel="1">
      <c r="A2784" s="12"/>
      <c r="B2784" s="46"/>
      <c r="C2784" s="55"/>
      <c r="D2784" s="20"/>
      <c r="E2784" s="21">
        <f t="shared" si="1"/>
        <v>12593.22</v>
      </c>
      <c r="F2784" s="23"/>
      <c r="G2784" s="21">
        <f t="shared" si="8"/>
        <v>318539.46</v>
      </c>
      <c r="H2784" s="23"/>
      <c r="I2784" s="21">
        <f t="shared" si="15"/>
        <v>781.68</v>
      </c>
      <c r="J2784" s="23"/>
      <c r="K2784" s="21">
        <f t="shared" si="13"/>
        <v>204430.28</v>
      </c>
      <c r="L2784" s="23"/>
      <c r="M2784" s="21">
        <f t="shared" si="16"/>
        <v>1894.93</v>
      </c>
    </row>
    <row r="2785" ht="20.25" customHeight="1" outlineLevel="1">
      <c r="A2785" s="12"/>
      <c r="B2785" s="46"/>
      <c r="C2785" s="55"/>
      <c r="D2785" s="20"/>
      <c r="E2785" s="21">
        <f t="shared" si="1"/>
        <v>12593.22</v>
      </c>
      <c r="F2785" s="23"/>
      <c r="G2785" s="21">
        <f t="shared" si="8"/>
        <v>318539.46</v>
      </c>
      <c r="H2785" s="23"/>
      <c r="I2785" s="21">
        <f t="shared" si="15"/>
        <v>781.68</v>
      </c>
      <c r="J2785" s="23"/>
      <c r="K2785" s="21">
        <f t="shared" si="13"/>
        <v>204430.28</v>
      </c>
      <c r="L2785" s="23"/>
      <c r="M2785" s="21">
        <f t="shared" si="16"/>
        <v>1894.93</v>
      </c>
    </row>
    <row r="2786" ht="20.25" customHeight="1" outlineLevel="1">
      <c r="A2786" s="12"/>
      <c r="B2786" s="46"/>
      <c r="C2786" s="59"/>
      <c r="D2786" s="20"/>
      <c r="E2786" s="21">
        <f t="shared" si="1"/>
        <v>12593.22</v>
      </c>
      <c r="F2786" s="23"/>
      <c r="G2786" s="21">
        <f t="shared" si="8"/>
        <v>318539.46</v>
      </c>
      <c r="H2786" s="23"/>
      <c r="I2786" s="21">
        <f t="shared" si="15"/>
        <v>781.68</v>
      </c>
      <c r="J2786" s="23"/>
      <c r="K2786" s="21">
        <f t="shared" si="13"/>
        <v>204430.28</v>
      </c>
      <c r="L2786" s="23"/>
      <c r="M2786" s="21">
        <f t="shared" si="16"/>
        <v>1894.93</v>
      </c>
    </row>
    <row r="2787" ht="20.25" customHeight="1" outlineLevel="1">
      <c r="A2787" s="12"/>
      <c r="B2787" s="46"/>
      <c r="C2787" s="59"/>
      <c r="D2787" s="20"/>
      <c r="E2787" s="21">
        <f t="shared" si="1"/>
        <v>12593.22</v>
      </c>
      <c r="F2787" s="23"/>
      <c r="G2787" s="21">
        <f t="shared" si="8"/>
        <v>318539.46</v>
      </c>
      <c r="H2787" s="23"/>
      <c r="I2787" s="21">
        <f t="shared" si="15"/>
        <v>781.68</v>
      </c>
      <c r="J2787" s="23"/>
      <c r="K2787" s="21">
        <f t="shared" si="13"/>
        <v>204430.28</v>
      </c>
      <c r="L2787" s="23"/>
      <c r="M2787" s="21">
        <f t="shared" si="16"/>
        <v>1894.93</v>
      </c>
    </row>
    <row r="2788" ht="20.25" customHeight="1" outlineLevel="1">
      <c r="A2788" s="12"/>
      <c r="B2788" s="46"/>
      <c r="C2788" s="55"/>
      <c r="D2788" s="20"/>
      <c r="E2788" s="21">
        <f t="shared" si="1"/>
        <v>12593.22</v>
      </c>
      <c r="F2788" s="23"/>
      <c r="G2788" s="21">
        <f t="shared" si="8"/>
        <v>318539.46</v>
      </c>
      <c r="H2788" s="23"/>
      <c r="I2788" s="21">
        <f t="shared" si="15"/>
        <v>781.68</v>
      </c>
      <c r="J2788" s="23"/>
      <c r="K2788" s="21">
        <f t="shared" si="13"/>
        <v>204430.28</v>
      </c>
      <c r="L2788" s="23"/>
      <c r="M2788" s="21">
        <f t="shared" si="16"/>
        <v>1894.93</v>
      </c>
    </row>
    <row r="2789" ht="20.25" customHeight="1" outlineLevel="1">
      <c r="A2789" s="12"/>
      <c r="B2789" s="46"/>
      <c r="C2789" s="55"/>
      <c r="D2789" s="20"/>
      <c r="E2789" s="21">
        <f t="shared" si="1"/>
        <v>12593.22</v>
      </c>
      <c r="F2789" s="23"/>
      <c r="G2789" s="21">
        <f t="shared" si="8"/>
        <v>318539.46</v>
      </c>
      <c r="H2789" s="23"/>
      <c r="I2789" s="21">
        <f t="shared" si="15"/>
        <v>781.68</v>
      </c>
      <c r="J2789" s="23"/>
      <c r="K2789" s="21">
        <f t="shared" si="13"/>
        <v>204430.28</v>
      </c>
      <c r="L2789" s="23"/>
      <c r="M2789" s="21">
        <f t="shared" si="16"/>
        <v>1894.93</v>
      </c>
    </row>
    <row r="2790" ht="20.25" customHeight="1" outlineLevel="1">
      <c r="A2790" s="12"/>
      <c r="B2790" s="46"/>
      <c r="C2790" s="55"/>
      <c r="D2790" s="20"/>
      <c r="E2790" s="21">
        <f t="shared" si="1"/>
        <v>12593.22</v>
      </c>
      <c r="F2790" s="23"/>
      <c r="G2790" s="21">
        <f t="shared" si="8"/>
        <v>318539.46</v>
      </c>
      <c r="H2790" s="23"/>
      <c r="I2790" s="21">
        <f t="shared" si="15"/>
        <v>781.68</v>
      </c>
      <c r="J2790" s="23"/>
      <c r="K2790" s="21">
        <f t="shared" si="13"/>
        <v>204430.28</v>
      </c>
      <c r="L2790" s="23"/>
      <c r="M2790" s="21">
        <f t="shared" si="16"/>
        <v>1894.93</v>
      </c>
    </row>
    <row r="2791" ht="20.25" customHeight="1" outlineLevel="1">
      <c r="A2791" s="12"/>
      <c r="B2791" s="46"/>
      <c r="C2791" s="55"/>
      <c r="D2791" s="20"/>
      <c r="E2791" s="21">
        <f t="shared" si="1"/>
        <v>12593.22</v>
      </c>
      <c r="F2791" s="23"/>
      <c r="G2791" s="21">
        <f t="shared" si="8"/>
        <v>318539.46</v>
      </c>
      <c r="H2791" s="23"/>
      <c r="I2791" s="21">
        <f t="shared" si="15"/>
        <v>781.68</v>
      </c>
      <c r="J2791" s="23"/>
      <c r="K2791" s="21">
        <f t="shared" si="13"/>
        <v>204430.28</v>
      </c>
      <c r="L2791" s="23"/>
      <c r="M2791" s="21">
        <f t="shared" si="16"/>
        <v>1894.93</v>
      </c>
    </row>
    <row r="2792" ht="20.25" customHeight="1" outlineLevel="1">
      <c r="A2792" s="12"/>
      <c r="B2792" s="46"/>
      <c r="C2792" s="55"/>
      <c r="D2792" s="20"/>
      <c r="E2792" s="21">
        <f t="shared" si="1"/>
        <v>12593.22</v>
      </c>
      <c r="F2792" s="23"/>
      <c r="G2792" s="21">
        <f t="shared" si="8"/>
        <v>318539.46</v>
      </c>
      <c r="H2792" s="23"/>
      <c r="I2792" s="21">
        <f t="shared" si="15"/>
        <v>781.68</v>
      </c>
      <c r="J2792" s="23"/>
      <c r="K2792" s="21">
        <f t="shared" si="13"/>
        <v>204430.28</v>
      </c>
      <c r="L2792" s="23"/>
      <c r="M2792" s="21">
        <f t="shared" si="16"/>
        <v>1894.93</v>
      </c>
    </row>
    <row r="2793" ht="20.25" customHeight="1" outlineLevel="1">
      <c r="A2793" s="12"/>
      <c r="B2793" s="46"/>
      <c r="C2793" s="55"/>
      <c r="D2793" s="20"/>
      <c r="E2793" s="21">
        <f t="shared" si="1"/>
        <v>12593.22</v>
      </c>
      <c r="F2793" s="23"/>
      <c r="G2793" s="21">
        <f t="shared" si="8"/>
        <v>318539.46</v>
      </c>
      <c r="H2793" s="23"/>
      <c r="I2793" s="21">
        <f t="shared" si="15"/>
        <v>781.68</v>
      </c>
      <c r="J2793" s="23"/>
      <c r="K2793" s="21">
        <f t="shared" si="13"/>
        <v>204430.28</v>
      </c>
      <c r="L2793" s="23"/>
      <c r="M2793" s="21">
        <f t="shared" si="16"/>
        <v>1894.93</v>
      </c>
    </row>
    <row r="2794" ht="20.25" customHeight="1" outlineLevel="1">
      <c r="A2794" s="12"/>
      <c r="B2794" s="46"/>
      <c r="C2794" s="55"/>
      <c r="D2794" s="20"/>
      <c r="E2794" s="21">
        <f t="shared" si="1"/>
        <v>12593.22</v>
      </c>
      <c r="F2794" s="23"/>
      <c r="G2794" s="21">
        <f t="shared" si="8"/>
        <v>318539.46</v>
      </c>
      <c r="H2794" s="23"/>
      <c r="I2794" s="21">
        <f t="shared" si="15"/>
        <v>781.68</v>
      </c>
      <c r="J2794" s="23"/>
      <c r="K2794" s="21">
        <f t="shared" si="13"/>
        <v>204430.28</v>
      </c>
      <c r="L2794" s="23"/>
      <c r="M2794" s="21">
        <f t="shared" si="16"/>
        <v>1894.93</v>
      </c>
    </row>
    <row r="2795" ht="20.25" customHeight="1" outlineLevel="1">
      <c r="A2795" s="12"/>
      <c r="B2795" s="46"/>
      <c r="C2795" s="55"/>
      <c r="D2795" s="20"/>
      <c r="E2795" s="21">
        <f t="shared" si="1"/>
        <v>12593.22</v>
      </c>
      <c r="F2795" s="23"/>
      <c r="G2795" s="21">
        <f t="shared" si="8"/>
        <v>318539.46</v>
      </c>
      <c r="H2795" s="23"/>
      <c r="I2795" s="21">
        <f t="shared" si="15"/>
        <v>781.68</v>
      </c>
      <c r="J2795" s="23"/>
      <c r="K2795" s="21">
        <f t="shared" si="13"/>
        <v>204430.28</v>
      </c>
      <c r="L2795" s="23"/>
      <c r="M2795" s="21">
        <f t="shared" si="16"/>
        <v>1894.93</v>
      </c>
    </row>
    <row r="2796" ht="20.25" customHeight="1" outlineLevel="1">
      <c r="A2796" s="12"/>
      <c r="B2796" s="46"/>
      <c r="C2796" s="55"/>
      <c r="D2796" s="20"/>
      <c r="E2796" s="21">
        <f t="shared" si="1"/>
        <v>12593.22</v>
      </c>
      <c r="F2796" s="23"/>
      <c r="G2796" s="21">
        <f t="shared" si="8"/>
        <v>318539.46</v>
      </c>
      <c r="H2796" s="23"/>
      <c r="I2796" s="21">
        <f t="shared" si="15"/>
        <v>781.68</v>
      </c>
      <c r="J2796" s="23"/>
      <c r="K2796" s="21">
        <f t="shared" si="13"/>
        <v>204430.28</v>
      </c>
      <c r="L2796" s="23"/>
      <c r="M2796" s="21">
        <f t="shared" si="16"/>
        <v>1894.93</v>
      </c>
    </row>
    <row r="2797" ht="20.25" customHeight="1" outlineLevel="1">
      <c r="A2797" s="12"/>
      <c r="B2797" s="46"/>
      <c r="C2797" s="55"/>
      <c r="D2797" s="20"/>
      <c r="E2797" s="21">
        <f t="shared" si="1"/>
        <v>12593.22</v>
      </c>
      <c r="F2797" s="23"/>
      <c r="G2797" s="21">
        <f t="shared" si="8"/>
        <v>318539.46</v>
      </c>
      <c r="H2797" s="23"/>
      <c r="I2797" s="21">
        <f t="shared" si="15"/>
        <v>781.68</v>
      </c>
      <c r="J2797" s="23"/>
      <c r="K2797" s="21">
        <f t="shared" si="13"/>
        <v>204430.28</v>
      </c>
      <c r="L2797" s="23"/>
      <c r="M2797" s="21">
        <f t="shared" si="16"/>
        <v>1894.93</v>
      </c>
    </row>
    <row r="2798" ht="20.25" customHeight="1" outlineLevel="1">
      <c r="A2798" s="12"/>
      <c r="B2798" s="46"/>
      <c r="C2798" s="59"/>
      <c r="D2798" s="20"/>
      <c r="E2798" s="21">
        <f t="shared" si="1"/>
        <v>12593.22</v>
      </c>
      <c r="F2798" s="23"/>
      <c r="G2798" s="21">
        <f t="shared" si="8"/>
        <v>318539.46</v>
      </c>
      <c r="H2798" s="23"/>
      <c r="I2798" s="21">
        <f t="shared" si="15"/>
        <v>781.68</v>
      </c>
      <c r="J2798" s="23"/>
      <c r="K2798" s="21">
        <f t="shared" si="13"/>
        <v>204430.28</v>
      </c>
      <c r="L2798" s="23"/>
      <c r="M2798" s="21">
        <f t="shared" si="16"/>
        <v>1894.93</v>
      </c>
    </row>
    <row r="2799" ht="20.25" customHeight="1" outlineLevel="1">
      <c r="A2799" s="12"/>
      <c r="B2799" s="46"/>
      <c r="C2799" s="59"/>
      <c r="D2799" s="20"/>
      <c r="E2799" s="21">
        <f t="shared" si="1"/>
        <v>12593.22</v>
      </c>
      <c r="F2799" s="23"/>
      <c r="G2799" s="21">
        <f t="shared" si="8"/>
        <v>318539.46</v>
      </c>
      <c r="H2799" s="23"/>
      <c r="I2799" s="21">
        <f t="shared" si="15"/>
        <v>781.68</v>
      </c>
      <c r="J2799" s="23"/>
      <c r="K2799" s="21">
        <f t="shared" si="13"/>
        <v>204430.28</v>
      </c>
      <c r="L2799" s="23"/>
      <c r="M2799" s="21">
        <f t="shared" si="16"/>
        <v>1894.93</v>
      </c>
    </row>
    <row r="2800" ht="20.25" customHeight="1" outlineLevel="1">
      <c r="A2800" s="12"/>
      <c r="B2800" s="46"/>
      <c r="C2800" s="59"/>
      <c r="D2800" s="20"/>
      <c r="E2800" s="21">
        <f t="shared" si="1"/>
        <v>12593.22</v>
      </c>
      <c r="F2800" s="23"/>
      <c r="G2800" s="21">
        <f t="shared" si="8"/>
        <v>318539.46</v>
      </c>
      <c r="H2800" s="23"/>
      <c r="I2800" s="21">
        <f t="shared" si="15"/>
        <v>781.68</v>
      </c>
      <c r="J2800" s="23"/>
      <c r="K2800" s="21">
        <f t="shared" si="13"/>
        <v>204430.28</v>
      </c>
      <c r="L2800" s="23"/>
      <c r="M2800" s="21">
        <f t="shared" si="16"/>
        <v>1894.93</v>
      </c>
    </row>
    <row r="2801" ht="20.25" customHeight="1" outlineLevel="1">
      <c r="A2801" s="12"/>
      <c r="B2801" s="46"/>
      <c r="C2801" s="59"/>
      <c r="D2801" s="20"/>
      <c r="E2801" s="21">
        <f t="shared" si="1"/>
        <v>12593.22</v>
      </c>
      <c r="F2801" s="23"/>
      <c r="G2801" s="21">
        <f t="shared" si="8"/>
        <v>318539.46</v>
      </c>
      <c r="H2801" s="23"/>
      <c r="I2801" s="21">
        <f t="shared" si="15"/>
        <v>781.68</v>
      </c>
      <c r="J2801" s="23"/>
      <c r="K2801" s="21">
        <f t="shared" si="13"/>
        <v>204430.28</v>
      </c>
      <c r="L2801" s="23"/>
      <c r="M2801" s="21">
        <f t="shared" si="16"/>
        <v>1894.93</v>
      </c>
    </row>
    <row r="2802" ht="20.25" customHeight="1" outlineLevel="1">
      <c r="A2802" s="12"/>
      <c r="B2802" s="46"/>
      <c r="C2802" s="59"/>
      <c r="D2802" s="20"/>
      <c r="E2802" s="21">
        <f t="shared" si="1"/>
        <v>12593.22</v>
      </c>
      <c r="F2802" s="23"/>
      <c r="G2802" s="21">
        <f t="shared" si="8"/>
        <v>318539.46</v>
      </c>
      <c r="H2802" s="23"/>
      <c r="I2802" s="21">
        <f t="shared" si="15"/>
        <v>781.68</v>
      </c>
      <c r="J2802" s="23"/>
      <c r="K2802" s="21">
        <f t="shared" si="13"/>
        <v>204430.28</v>
      </c>
      <c r="L2802" s="23"/>
      <c r="M2802" s="21">
        <f t="shared" si="16"/>
        <v>1894.93</v>
      </c>
    </row>
    <row r="2803" ht="20.25" customHeight="1" outlineLevel="1">
      <c r="A2803" s="12"/>
      <c r="B2803" s="46"/>
      <c r="C2803" s="59"/>
      <c r="D2803" s="20"/>
      <c r="E2803" s="21">
        <f t="shared" si="1"/>
        <v>12593.22</v>
      </c>
      <c r="F2803" s="23"/>
      <c r="G2803" s="21">
        <f t="shared" si="8"/>
        <v>318539.46</v>
      </c>
      <c r="H2803" s="23"/>
      <c r="I2803" s="21">
        <f t="shared" si="15"/>
        <v>781.68</v>
      </c>
      <c r="J2803" s="23"/>
      <c r="K2803" s="21">
        <f t="shared" si="13"/>
        <v>204430.28</v>
      </c>
      <c r="L2803" s="23"/>
      <c r="M2803" s="21">
        <f t="shared" si="16"/>
        <v>1894.93</v>
      </c>
    </row>
    <row r="2804" ht="20.25" customHeight="1" outlineLevel="1">
      <c r="A2804" s="12"/>
      <c r="B2804" s="46"/>
      <c r="C2804" s="59"/>
      <c r="D2804" s="20"/>
      <c r="E2804" s="21">
        <f t="shared" si="1"/>
        <v>12593.22</v>
      </c>
      <c r="F2804" s="23"/>
      <c r="G2804" s="21">
        <f t="shared" si="8"/>
        <v>318539.46</v>
      </c>
      <c r="H2804" s="23"/>
      <c r="I2804" s="21">
        <f t="shared" si="15"/>
        <v>781.68</v>
      </c>
      <c r="J2804" s="23"/>
      <c r="K2804" s="21">
        <f t="shared" si="13"/>
        <v>204430.28</v>
      </c>
      <c r="L2804" s="23"/>
      <c r="M2804" s="21">
        <f t="shared" si="16"/>
        <v>1894.93</v>
      </c>
    </row>
    <row r="2805" ht="20.25" customHeight="1" outlineLevel="1">
      <c r="A2805" s="12"/>
      <c r="B2805" s="46"/>
      <c r="C2805" s="59"/>
      <c r="D2805" s="20"/>
      <c r="E2805" s="21">
        <f t="shared" si="1"/>
        <v>12593.22</v>
      </c>
      <c r="F2805" s="23"/>
      <c r="G2805" s="21">
        <f t="shared" si="8"/>
        <v>318539.46</v>
      </c>
      <c r="H2805" s="23"/>
      <c r="I2805" s="21">
        <f t="shared" si="15"/>
        <v>781.68</v>
      </c>
      <c r="J2805" s="23"/>
      <c r="K2805" s="21">
        <f t="shared" si="13"/>
        <v>204430.28</v>
      </c>
      <c r="L2805" s="23"/>
      <c r="M2805" s="21">
        <f t="shared" si="16"/>
        <v>1894.93</v>
      </c>
    </row>
    <row r="2806" ht="20.25" customHeight="1" outlineLevel="1">
      <c r="A2806" s="12"/>
      <c r="B2806" s="46"/>
      <c r="C2806" s="59"/>
      <c r="D2806" s="20"/>
      <c r="E2806" s="21">
        <f t="shared" si="1"/>
        <v>12593.22</v>
      </c>
      <c r="F2806" s="23"/>
      <c r="G2806" s="21">
        <f t="shared" si="8"/>
        <v>318539.46</v>
      </c>
      <c r="H2806" s="23"/>
      <c r="I2806" s="21">
        <f t="shared" si="15"/>
        <v>781.68</v>
      </c>
      <c r="J2806" s="23"/>
      <c r="K2806" s="21">
        <f t="shared" si="13"/>
        <v>204430.28</v>
      </c>
      <c r="L2806" s="23"/>
      <c r="M2806" s="21">
        <f t="shared" si="16"/>
        <v>1894.93</v>
      </c>
    </row>
    <row r="2807" ht="20.25" customHeight="1" outlineLevel="1">
      <c r="A2807" s="12"/>
      <c r="B2807" s="46"/>
      <c r="C2807" s="55"/>
      <c r="D2807" s="20"/>
      <c r="E2807" s="21">
        <f t="shared" si="1"/>
        <v>12593.22</v>
      </c>
      <c r="F2807" s="23"/>
      <c r="G2807" s="21">
        <f t="shared" si="8"/>
        <v>318539.46</v>
      </c>
      <c r="H2807" s="23"/>
      <c r="I2807" s="21">
        <f t="shared" si="15"/>
        <v>781.68</v>
      </c>
      <c r="J2807" s="23"/>
      <c r="K2807" s="21">
        <f t="shared" si="13"/>
        <v>204430.28</v>
      </c>
      <c r="L2807" s="23"/>
      <c r="M2807" s="21">
        <f t="shared" si="16"/>
        <v>1894.93</v>
      </c>
    </row>
    <row r="2808" ht="20.25" customHeight="1" outlineLevel="1">
      <c r="A2808" s="12"/>
      <c r="B2808" s="46"/>
      <c r="C2808" s="55"/>
      <c r="D2808" s="20"/>
      <c r="E2808" s="21">
        <f t="shared" si="1"/>
        <v>12593.22</v>
      </c>
      <c r="F2808" s="23"/>
      <c r="G2808" s="21">
        <f t="shared" si="8"/>
        <v>318539.46</v>
      </c>
      <c r="H2808" s="23"/>
      <c r="I2808" s="21">
        <f t="shared" si="15"/>
        <v>781.68</v>
      </c>
      <c r="J2808" s="23"/>
      <c r="K2808" s="21">
        <f t="shared" si="13"/>
        <v>204430.28</v>
      </c>
      <c r="L2808" s="23"/>
      <c r="M2808" s="21">
        <f t="shared" si="16"/>
        <v>1894.93</v>
      </c>
    </row>
    <row r="2809" ht="20.25" customHeight="1" outlineLevel="1">
      <c r="A2809" s="12"/>
      <c r="B2809" s="46"/>
      <c r="C2809" s="55"/>
      <c r="D2809" s="20"/>
      <c r="E2809" s="21">
        <f t="shared" si="1"/>
        <v>12593.22</v>
      </c>
      <c r="F2809" s="23"/>
      <c r="G2809" s="21">
        <f t="shared" si="8"/>
        <v>318539.46</v>
      </c>
      <c r="H2809" s="23"/>
      <c r="I2809" s="21">
        <f t="shared" si="15"/>
        <v>781.68</v>
      </c>
      <c r="J2809" s="23"/>
      <c r="K2809" s="21">
        <f t="shared" si="13"/>
        <v>204430.28</v>
      </c>
      <c r="L2809" s="23"/>
      <c r="M2809" s="21">
        <f t="shared" si="16"/>
        <v>1894.93</v>
      </c>
    </row>
    <row r="2810" ht="20.25" customHeight="1" outlineLevel="1">
      <c r="A2810" s="12"/>
      <c r="B2810" s="46"/>
      <c r="C2810" s="55"/>
      <c r="D2810" s="20"/>
      <c r="E2810" s="21">
        <f t="shared" si="1"/>
        <v>12593.22</v>
      </c>
      <c r="F2810" s="23"/>
      <c r="G2810" s="21">
        <f t="shared" si="8"/>
        <v>318539.46</v>
      </c>
      <c r="H2810" s="23"/>
      <c r="I2810" s="21">
        <f t="shared" si="15"/>
        <v>781.68</v>
      </c>
      <c r="J2810" s="23"/>
      <c r="K2810" s="21">
        <f t="shared" si="13"/>
        <v>204430.28</v>
      </c>
      <c r="L2810" s="23"/>
      <c r="M2810" s="21">
        <f t="shared" si="16"/>
        <v>1894.93</v>
      </c>
    </row>
    <row r="2811" ht="20.25" customHeight="1" outlineLevel="1">
      <c r="A2811" s="12"/>
      <c r="B2811" s="46"/>
      <c r="C2811" s="55"/>
      <c r="D2811" s="20"/>
      <c r="E2811" s="21">
        <f t="shared" si="1"/>
        <v>12593.22</v>
      </c>
      <c r="F2811" s="23"/>
      <c r="G2811" s="21">
        <f t="shared" si="8"/>
        <v>318539.46</v>
      </c>
      <c r="H2811" s="23"/>
      <c r="I2811" s="21">
        <f t="shared" si="15"/>
        <v>781.68</v>
      </c>
      <c r="J2811" s="23"/>
      <c r="K2811" s="21">
        <f t="shared" si="13"/>
        <v>204430.28</v>
      </c>
      <c r="L2811" s="23"/>
      <c r="M2811" s="21">
        <f t="shared" si="16"/>
        <v>1894.93</v>
      </c>
    </row>
    <row r="2812" ht="20.25" customHeight="1" outlineLevel="1">
      <c r="A2812" s="12"/>
      <c r="B2812" s="46"/>
      <c r="C2812" s="55"/>
      <c r="D2812" s="20"/>
      <c r="E2812" s="21">
        <f t="shared" si="1"/>
        <v>12593.22</v>
      </c>
      <c r="F2812" s="23"/>
      <c r="G2812" s="21">
        <f t="shared" si="8"/>
        <v>318539.46</v>
      </c>
      <c r="H2812" s="23"/>
      <c r="I2812" s="21">
        <f t="shared" si="15"/>
        <v>781.68</v>
      </c>
      <c r="J2812" s="23"/>
      <c r="K2812" s="21">
        <f t="shared" si="13"/>
        <v>204430.28</v>
      </c>
      <c r="L2812" s="23"/>
      <c r="M2812" s="21">
        <f t="shared" si="16"/>
        <v>1894.93</v>
      </c>
    </row>
    <row r="2813" ht="20.25" customHeight="1" outlineLevel="1">
      <c r="A2813" s="12"/>
      <c r="B2813" s="46"/>
      <c r="C2813" s="55"/>
      <c r="D2813" s="20"/>
      <c r="E2813" s="21">
        <f t="shared" si="1"/>
        <v>12593.22</v>
      </c>
      <c r="F2813" s="23"/>
      <c r="G2813" s="21">
        <f t="shared" si="8"/>
        <v>318539.46</v>
      </c>
      <c r="H2813" s="23"/>
      <c r="I2813" s="21">
        <f t="shared" si="15"/>
        <v>781.68</v>
      </c>
      <c r="J2813" s="23"/>
      <c r="K2813" s="21">
        <f t="shared" si="13"/>
        <v>204430.28</v>
      </c>
      <c r="L2813" s="23"/>
      <c r="M2813" s="21">
        <f t="shared" si="16"/>
        <v>1894.93</v>
      </c>
    </row>
    <row r="2814" ht="20.25" customHeight="1" outlineLevel="1">
      <c r="A2814" s="12"/>
      <c r="B2814" s="46"/>
      <c r="C2814" s="55"/>
      <c r="D2814" s="20"/>
      <c r="E2814" s="21">
        <f t="shared" si="1"/>
        <v>12593.22</v>
      </c>
      <c r="F2814" s="23"/>
      <c r="G2814" s="21">
        <f t="shared" si="8"/>
        <v>318539.46</v>
      </c>
      <c r="H2814" s="23"/>
      <c r="I2814" s="21">
        <f t="shared" si="15"/>
        <v>781.68</v>
      </c>
      <c r="J2814" s="23"/>
      <c r="K2814" s="21">
        <f t="shared" si="13"/>
        <v>204430.28</v>
      </c>
      <c r="L2814" s="23"/>
      <c r="M2814" s="21">
        <f t="shared" si="16"/>
        <v>1894.93</v>
      </c>
    </row>
    <row r="2815" ht="20.25" customHeight="1" outlineLevel="1">
      <c r="A2815" s="12"/>
      <c r="B2815" s="46"/>
      <c r="C2815" s="55"/>
      <c r="D2815" s="20"/>
      <c r="E2815" s="21">
        <f t="shared" si="1"/>
        <v>12593.22</v>
      </c>
      <c r="F2815" s="23"/>
      <c r="G2815" s="21">
        <f t="shared" si="8"/>
        <v>318539.46</v>
      </c>
      <c r="H2815" s="23"/>
      <c r="I2815" s="21">
        <f t="shared" si="15"/>
        <v>781.68</v>
      </c>
      <c r="J2815" s="23"/>
      <c r="K2815" s="21">
        <f t="shared" si="13"/>
        <v>204430.28</v>
      </c>
      <c r="L2815" s="23"/>
      <c r="M2815" s="21">
        <f t="shared" si="16"/>
        <v>1894.93</v>
      </c>
    </row>
    <row r="2816" ht="20.25" customHeight="1" outlineLevel="1">
      <c r="A2816" s="12"/>
      <c r="B2816" s="46"/>
      <c r="C2816" s="55"/>
      <c r="D2816" s="20"/>
      <c r="E2816" s="21">
        <f t="shared" si="1"/>
        <v>12593.22</v>
      </c>
      <c r="F2816" s="23"/>
      <c r="G2816" s="21">
        <f t="shared" si="8"/>
        <v>318539.46</v>
      </c>
      <c r="H2816" s="23"/>
      <c r="I2816" s="21">
        <f t="shared" si="15"/>
        <v>781.68</v>
      </c>
      <c r="J2816" s="23"/>
      <c r="K2816" s="21">
        <f t="shared" si="13"/>
        <v>204430.28</v>
      </c>
      <c r="L2816" s="23"/>
      <c r="M2816" s="21">
        <f t="shared" si="16"/>
        <v>1894.93</v>
      </c>
    </row>
    <row r="2817" ht="20.25" customHeight="1" outlineLevel="1">
      <c r="A2817" s="12"/>
      <c r="B2817" s="46"/>
      <c r="C2817" s="59"/>
      <c r="D2817" s="20"/>
      <c r="E2817" s="21">
        <f t="shared" si="1"/>
        <v>12593.22</v>
      </c>
      <c r="F2817" s="23"/>
      <c r="G2817" s="21">
        <f t="shared" si="8"/>
        <v>318539.46</v>
      </c>
      <c r="H2817" s="23"/>
      <c r="I2817" s="21">
        <f t="shared" si="15"/>
        <v>781.68</v>
      </c>
      <c r="J2817" s="23"/>
      <c r="K2817" s="21">
        <f t="shared" si="13"/>
        <v>204430.28</v>
      </c>
      <c r="L2817" s="23"/>
      <c r="M2817" s="21">
        <f t="shared" si="16"/>
        <v>1894.93</v>
      </c>
    </row>
    <row r="2818" ht="20.25" customHeight="1" outlineLevel="1">
      <c r="A2818" s="12"/>
      <c r="B2818" s="46"/>
      <c r="C2818" s="59"/>
      <c r="D2818" s="20"/>
      <c r="E2818" s="21">
        <f t="shared" si="1"/>
        <v>12593.22</v>
      </c>
      <c r="F2818" s="23"/>
      <c r="G2818" s="21">
        <f t="shared" si="8"/>
        <v>318539.46</v>
      </c>
      <c r="H2818" s="23"/>
      <c r="I2818" s="21">
        <f t="shared" si="15"/>
        <v>781.68</v>
      </c>
      <c r="J2818" s="23"/>
      <c r="K2818" s="21">
        <f t="shared" si="13"/>
        <v>204430.28</v>
      </c>
      <c r="L2818" s="23"/>
      <c r="M2818" s="21">
        <f t="shared" si="16"/>
        <v>1894.93</v>
      </c>
    </row>
    <row r="2819" ht="20.25" customHeight="1" outlineLevel="1">
      <c r="A2819" s="12"/>
      <c r="B2819" s="46"/>
      <c r="C2819" s="59"/>
      <c r="D2819" s="20"/>
      <c r="E2819" s="21">
        <f t="shared" si="1"/>
        <v>12593.22</v>
      </c>
      <c r="F2819" s="23"/>
      <c r="G2819" s="21">
        <f t="shared" si="8"/>
        <v>318539.46</v>
      </c>
      <c r="H2819" s="23"/>
      <c r="I2819" s="21">
        <f t="shared" si="15"/>
        <v>781.68</v>
      </c>
      <c r="J2819" s="23"/>
      <c r="K2819" s="21">
        <f t="shared" si="13"/>
        <v>204430.28</v>
      </c>
      <c r="L2819" s="23"/>
      <c r="M2819" s="21">
        <f t="shared" si="16"/>
        <v>1894.93</v>
      </c>
    </row>
    <row r="2820" ht="20.25" customHeight="1" outlineLevel="1">
      <c r="A2820" s="12"/>
      <c r="B2820" s="46"/>
      <c r="C2820" s="59"/>
      <c r="D2820" s="20"/>
      <c r="E2820" s="21">
        <f t="shared" si="1"/>
        <v>12593.22</v>
      </c>
      <c r="F2820" s="23"/>
      <c r="G2820" s="21">
        <f t="shared" si="8"/>
        <v>318539.46</v>
      </c>
      <c r="H2820" s="23"/>
      <c r="I2820" s="21">
        <f t="shared" si="15"/>
        <v>781.68</v>
      </c>
      <c r="J2820" s="23"/>
      <c r="K2820" s="21">
        <f t="shared" si="13"/>
        <v>204430.28</v>
      </c>
      <c r="L2820" s="23"/>
      <c r="M2820" s="21">
        <f t="shared" si="16"/>
        <v>1894.93</v>
      </c>
    </row>
    <row r="2821" ht="20.25" customHeight="1" outlineLevel="1">
      <c r="A2821" s="12"/>
      <c r="B2821" s="46"/>
      <c r="C2821" s="55"/>
      <c r="D2821" s="20"/>
      <c r="E2821" s="21">
        <f t="shared" si="1"/>
        <v>12593.22</v>
      </c>
      <c r="F2821" s="23"/>
      <c r="G2821" s="21">
        <f t="shared" si="8"/>
        <v>318539.46</v>
      </c>
      <c r="H2821" s="23"/>
      <c r="I2821" s="21">
        <f t="shared" si="15"/>
        <v>781.68</v>
      </c>
      <c r="J2821" s="23"/>
      <c r="K2821" s="21">
        <f t="shared" si="13"/>
        <v>204430.28</v>
      </c>
      <c r="L2821" s="23"/>
      <c r="M2821" s="21">
        <f t="shared" si="16"/>
        <v>1894.93</v>
      </c>
    </row>
    <row r="2822" ht="20.25" customHeight="1" outlineLevel="1">
      <c r="A2822" s="12"/>
      <c r="B2822" s="46"/>
      <c r="C2822" s="59"/>
      <c r="D2822" s="20"/>
      <c r="E2822" s="21">
        <f t="shared" si="1"/>
        <v>12593.22</v>
      </c>
      <c r="F2822" s="23"/>
      <c r="G2822" s="21">
        <f t="shared" si="8"/>
        <v>318539.46</v>
      </c>
      <c r="H2822" s="23"/>
      <c r="I2822" s="21">
        <f t="shared" si="15"/>
        <v>781.68</v>
      </c>
      <c r="J2822" s="23"/>
      <c r="K2822" s="21">
        <f t="shared" si="13"/>
        <v>204430.28</v>
      </c>
      <c r="L2822" s="23"/>
      <c r="M2822" s="21">
        <f t="shared" si="16"/>
        <v>1894.93</v>
      </c>
    </row>
    <row r="2823" ht="20.25" customHeight="1" outlineLevel="1">
      <c r="A2823" s="12"/>
      <c r="B2823" s="46"/>
      <c r="C2823" s="59"/>
      <c r="D2823" s="20"/>
      <c r="E2823" s="21">
        <f t="shared" si="1"/>
        <v>12593.22</v>
      </c>
      <c r="F2823" s="23"/>
      <c r="G2823" s="21">
        <f t="shared" si="8"/>
        <v>318539.46</v>
      </c>
      <c r="H2823" s="23"/>
      <c r="I2823" s="21">
        <f t="shared" si="15"/>
        <v>781.68</v>
      </c>
      <c r="J2823" s="23"/>
      <c r="K2823" s="21">
        <f t="shared" si="13"/>
        <v>204430.28</v>
      </c>
      <c r="L2823" s="23"/>
      <c r="M2823" s="21">
        <f t="shared" si="16"/>
        <v>1894.93</v>
      </c>
    </row>
    <row r="2824" ht="20.25" customHeight="1" outlineLevel="1">
      <c r="A2824" s="12"/>
      <c r="B2824" s="46"/>
      <c r="C2824" s="59"/>
      <c r="D2824" s="20"/>
      <c r="E2824" s="21">
        <f t="shared" si="1"/>
        <v>12593.22</v>
      </c>
      <c r="F2824" s="23"/>
      <c r="G2824" s="21">
        <f t="shared" si="8"/>
        <v>318539.46</v>
      </c>
      <c r="H2824" s="23"/>
      <c r="I2824" s="21">
        <f t="shared" si="15"/>
        <v>781.68</v>
      </c>
      <c r="J2824" s="23"/>
      <c r="K2824" s="21">
        <f t="shared" si="13"/>
        <v>204430.28</v>
      </c>
      <c r="L2824" s="23"/>
      <c r="M2824" s="21">
        <f t="shared" si="16"/>
        <v>1894.93</v>
      </c>
    </row>
    <row r="2825" ht="20.25" customHeight="1" outlineLevel="1">
      <c r="A2825" s="12"/>
      <c r="B2825" s="46"/>
      <c r="C2825" s="59"/>
      <c r="D2825" s="20"/>
      <c r="E2825" s="21">
        <f t="shared" si="1"/>
        <v>12593.22</v>
      </c>
      <c r="F2825" s="23"/>
      <c r="G2825" s="21">
        <f t="shared" si="8"/>
        <v>318539.46</v>
      </c>
      <c r="H2825" s="23"/>
      <c r="I2825" s="21">
        <f t="shared" si="15"/>
        <v>781.68</v>
      </c>
      <c r="J2825" s="23"/>
      <c r="K2825" s="21">
        <f t="shared" si="13"/>
        <v>204430.28</v>
      </c>
      <c r="L2825" s="23"/>
      <c r="M2825" s="21">
        <f t="shared" si="16"/>
        <v>1894.93</v>
      </c>
    </row>
    <row r="2826" ht="20.25" customHeight="1" outlineLevel="1">
      <c r="A2826" s="12"/>
      <c r="B2826" s="46"/>
      <c r="C2826" s="59"/>
      <c r="D2826" s="20"/>
      <c r="E2826" s="21">
        <f t="shared" si="1"/>
        <v>12593.22</v>
      </c>
      <c r="F2826" s="23"/>
      <c r="G2826" s="21">
        <f t="shared" si="8"/>
        <v>318539.46</v>
      </c>
      <c r="H2826" s="23"/>
      <c r="I2826" s="21">
        <f t="shared" si="15"/>
        <v>781.68</v>
      </c>
      <c r="J2826" s="23"/>
      <c r="K2826" s="21">
        <f t="shared" si="13"/>
        <v>204430.28</v>
      </c>
      <c r="L2826" s="23"/>
      <c r="M2826" s="21">
        <f t="shared" si="16"/>
        <v>1894.93</v>
      </c>
    </row>
    <row r="2827" ht="20.25" customHeight="1" outlineLevel="1">
      <c r="A2827" s="12"/>
      <c r="B2827" s="46"/>
      <c r="C2827" s="55"/>
      <c r="D2827" s="20"/>
      <c r="E2827" s="21">
        <f t="shared" si="1"/>
        <v>12593.22</v>
      </c>
      <c r="F2827" s="23"/>
      <c r="G2827" s="21">
        <f t="shared" si="8"/>
        <v>318539.46</v>
      </c>
      <c r="H2827" s="23"/>
      <c r="I2827" s="21">
        <f t="shared" si="15"/>
        <v>781.68</v>
      </c>
      <c r="J2827" s="23"/>
      <c r="K2827" s="21">
        <f t="shared" si="13"/>
        <v>204430.28</v>
      </c>
      <c r="L2827" s="23"/>
      <c r="M2827" s="21">
        <f t="shared" si="16"/>
        <v>1894.93</v>
      </c>
    </row>
    <row r="2828" ht="20.25" customHeight="1" outlineLevel="1">
      <c r="A2828" s="12"/>
      <c r="B2828" s="46"/>
      <c r="C2828" s="55"/>
      <c r="D2828" s="20"/>
      <c r="E2828" s="21">
        <f t="shared" si="1"/>
        <v>12593.22</v>
      </c>
      <c r="F2828" s="23"/>
      <c r="G2828" s="21">
        <f t="shared" si="8"/>
        <v>318539.46</v>
      </c>
      <c r="H2828" s="23"/>
      <c r="I2828" s="21">
        <f t="shared" si="15"/>
        <v>781.68</v>
      </c>
      <c r="J2828" s="23"/>
      <c r="K2828" s="21">
        <f t="shared" si="13"/>
        <v>204430.28</v>
      </c>
      <c r="L2828" s="23"/>
      <c r="M2828" s="21">
        <f t="shared" si="16"/>
        <v>1894.93</v>
      </c>
    </row>
    <row r="2829" ht="20.25" customHeight="1" outlineLevel="1">
      <c r="A2829" s="12"/>
      <c r="B2829" s="46"/>
      <c r="C2829" s="55"/>
      <c r="D2829" s="20"/>
      <c r="E2829" s="21">
        <f t="shared" si="1"/>
        <v>12593.22</v>
      </c>
      <c r="F2829" s="23"/>
      <c r="G2829" s="21">
        <f t="shared" si="8"/>
        <v>318539.46</v>
      </c>
      <c r="H2829" s="23"/>
      <c r="I2829" s="21">
        <f t="shared" si="15"/>
        <v>781.68</v>
      </c>
      <c r="J2829" s="23"/>
      <c r="K2829" s="21">
        <f t="shared" si="13"/>
        <v>204430.28</v>
      </c>
      <c r="L2829" s="23"/>
      <c r="M2829" s="21">
        <f t="shared" si="16"/>
        <v>1894.93</v>
      </c>
    </row>
    <row r="2830" ht="20.25" customHeight="1" outlineLevel="1">
      <c r="A2830" s="12"/>
      <c r="B2830" s="46"/>
      <c r="C2830" s="55"/>
      <c r="D2830" s="20"/>
      <c r="E2830" s="21">
        <f t="shared" si="1"/>
        <v>12593.22</v>
      </c>
      <c r="F2830" s="23"/>
      <c r="G2830" s="21">
        <f t="shared" si="8"/>
        <v>318539.46</v>
      </c>
      <c r="H2830" s="23"/>
      <c r="I2830" s="21">
        <f t="shared" si="15"/>
        <v>781.68</v>
      </c>
      <c r="J2830" s="23"/>
      <c r="K2830" s="21">
        <f t="shared" si="13"/>
        <v>204430.28</v>
      </c>
      <c r="L2830" s="23"/>
      <c r="M2830" s="21">
        <f t="shared" si="16"/>
        <v>1894.93</v>
      </c>
    </row>
    <row r="2831" ht="20.25" customHeight="1" outlineLevel="1">
      <c r="A2831" s="12"/>
      <c r="B2831" s="46"/>
      <c r="C2831" s="55"/>
      <c r="D2831" s="20"/>
      <c r="E2831" s="21">
        <f t="shared" si="1"/>
        <v>12593.22</v>
      </c>
      <c r="F2831" s="23"/>
      <c r="G2831" s="21">
        <f t="shared" si="8"/>
        <v>318539.46</v>
      </c>
      <c r="H2831" s="23"/>
      <c r="I2831" s="21">
        <f t="shared" si="15"/>
        <v>781.68</v>
      </c>
      <c r="J2831" s="23"/>
      <c r="K2831" s="21">
        <f t="shared" si="13"/>
        <v>204430.28</v>
      </c>
      <c r="L2831" s="23"/>
      <c r="M2831" s="21">
        <f t="shared" si="16"/>
        <v>1894.93</v>
      </c>
    </row>
    <row r="2832" ht="20.25" customHeight="1" outlineLevel="1">
      <c r="A2832" s="12"/>
      <c r="B2832" s="46"/>
      <c r="C2832" s="55"/>
      <c r="D2832" s="20"/>
      <c r="E2832" s="21">
        <f t="shared" si="1"/>
        <v>12593.22</v>
      </c>
      <c r="F2832" s="23"/>
      <c r="G2832" s="21">
        <f t="shared" si="8"/>
        <v>318539.46</v>
      </c>
      <c r="H2832" s="23"/>
      <c r="I2832" s="21">
        <f t="shared" si="15"/>
        <v>781.68</v>
      </c>
      <c r="J2832" s="23"/>
      <c r="K2832" s="21">
        <f t="shared" si="13"/>
        <v>204430.28</v>
      </c>
      <c r="L2832" s="23"/>
      <c r="M2832" s="21">
        <f t="shared" si="16"/>
        <v>1894.93</v>
      </c>
    </row>
    <row r="2833" ht="20.25" customHeight="1" outlineLevel="1">
      <c r="A2833" s="12"/>
      <c r="B2833" s="46"/>
      <c r="C2833" s="55"/>
      <c r="D2833" s="20"/>
      <c r="E2833" s="21">
        <f t="shared" si="1"/>
        <v>12593.22</v>
      </c>
      <c r="F2833" s="23"/>
      <c r="G2833" s="21">
        <f t="shared" si="8"/>
        <v>318539.46</v>
      </c>
      <c r="H2833" s="23"/>
      <c r="I2833" s="21">
        <f t="shared" si="15"/>
        <v>781.68</v>
      </c>
      <c r="J2833" s="23"/>
      <c r="K2833" s="21">
        <f t="shared" si="13"/>
        <v>204430.28</v>
      </c>
      <c r="L2833" s="23"/>
      <c r="M2833" s="21">
        <f t="shared" si="16"/>
        <v>1894.93</v>
      </c>
    </row>
    <row r="2834" ht="20.25" customHeight="1" outlineLevel="1">
      <c r="A2834" s="12"/>
      <c r="B2834" s="46"/>
      <c r="C2834" s="55"/>
      <c r="D2834" s="20"/>
      <c r="E2834" s="21">
        <f t="shared" si="1"/>
        <v>12593.22</v>
      </c>
      <c r="F2834" s="23"/>
      <c r="G2834" s="21">
        <f t="shared" si="8"/>
        <v>318539.46</v>
      </c>
      <c r="H2834" s="23"/>
      <c r="I2834" s="21">
        <f t="shared" si="15"/>
        <v>781.68</v>
      </c>
      <c r="J2834" s="23"/>
      <c r="K2834" s="21">
        <f t="shared" si="13"/>
        <v>204430.28</v>
      </c>
      <c r="L2834" s="23"/>
      <c r="M2834" s="21">
        <f t="shared" si="16"/>
        <v>1894.93</v>
      </c>
    </row>
    <row r="2835" ht="20.25" customHeight="1" outlineLevel="1">
      <c r="A2835" s="12"/>
      <c r="B2835" s="46"/>
      <c r="C2835" s="55"/>
      <c r="D2835" s="20"/>
      <c r="E2835" s="21">
        <f t="shared" si="1"/>
        <v>12593.22</v>
      </c>
      <c r="F2835" s="23"/>
      <c r="G2835" s="21">
        <f t="shared" si="8"/>
        <v>318539.46</v>
      </c>
      <c r="H2835" s="23"/>
      <c r="I2835" s="21">
        <f t="shared" si="15"/>
        <v>781.68</v>
      </c>
      <c r="J2835" s="23"/>
      <c r="K2835" s="21">
        <f t="shared" si="13"/>
        <v>204430.28</v>
      </c>
      <c r="L2835" s="23"/>
      <c r="M2835" s="21">
        <f t="shared" si="16"/>
        <v>1894.93</v>
      </c>
    </row>
    <row r="2836" ht="20.25" customHeight="1" outlineLevel="1">
      <c r="A2836" s="12"/>
      <c r="B2836" s="46"/>
      <c r="C2836" s="59"/>
      <c r="D2836" s="20"/>
      <c r="E2836" s="21">
        <f t="shared" si="1"/>
        <v>12593.22</v>
      </c>
      <c r="F2836" s="23"/>
      <c r="G2836" s="21">
        <f t="shared" si="8"/>
        <v>318539.46</v>
      </c>
      <c r="H2836" s="23"/>
      <c r="I2836" s="21">
        <f t="shared" si="15"/>
        <v>781.68</v>
      </c>
      <c r="J2836" s="23"/>
      <c r="K2836" s="21">
        <f t="shared" si="13"/>
        <v>204430.28</v>
      </c>
      <c r="L2836" s="23"/>
      <c r="M2836" s="21">
        <f t="shared" si="16"/>
        <v>1894.93</v>
      </c>
    </row>
    <row r="2837" ht="20.25" customHeight="1" outlineLevel="1">
      <c r="A2837" s="12"/>
      <c r="B2837" s="46"/>
      <c r="C2837" s="59"/>
      <c r="D2837" s="20"/>
      <c r="E2837" s="21">
        <f t="shared" si="1"/>
        <v>12593.22</v>
      </c>
      <c r="F2837" s="23"/>
      <c r="G2837" s="21">
        <f t="shared" si="8"/>
        <v>318539.46</v>
      </c>
      <c r="H2837" s="23"/>
      <c r="I2837" s="21">
        <f t="shared" si="15"/>
        <v>781.68</v>
      </c>
      <c r="J2837" s="23"/>
      <c r="K2837" s="21">
        <f t="shared" si="13"/>
        <v>204430.28</v>
      </c>
      <c r="L2837" s="23"/>
      <c r="M2837" s="21">
        <f t="shared" si="16"/>
        <v>1894.93</v>
      </c>
    </row>
    <row r="2838" ht="20.25" customHeight="1" outlineLevel="1">
      <c r="A2838" s="12"/>
      <c r="B2838" s="46"/>
      <c r="C2838" s="59"/>
      <c r="D2838" s="20"/>
      <c r="E2838" s="21">
        <f t="shared" si="1"/>
        <v>12593.22</v>
      </c>
      <c r="F2838" s="23"/>
      <c r="G2838" s="21">
        <f t="shared" si="8"/>
        <v>318539.46</v>
      </c>
      <c r="H2838" s="23"/>
      <c r="I2838" s="21">
        <f t="shared" si="15"/>
        <v>781.68</v>
      </c>
      <c r="J2838" s="23"/>
      <c r="K2838" s="21">
        <f t="shared" si="13"/>
        <v>204430.28</v>
      </c>
      <c r="L2838" s="23"/>
      <c r="M2838" s="21">
        <f t="shared" si="16"/>
        <v>1894.93</v>
      </c>
    </row>
    <row r="2839" ht="20.25" customHeight="1" outlineLevel="1">
      <c r="A2839" s="12"/>
      <c r="B2839" s="46"/>
      <c r="C2839" s="59"/>
      <c r="D2839" s="20"/>
      <c r="E2839" s="21">
        <f t="shared" si="1"/>
        <v>12593.22</v>
      </c>
      <c r="F2839" s="23"/>
      <c r="G2839" s="21">
        <f t="shared" si="8"/>
        <v>318539.46</v>
      </c>
      <c r="H2839" s="23"/>
      <c r="I2839" s="21">
        <f t="shared" si="15"/>
        <v>781.68</v>
      </c>
      <c r="J2839" s="23"/>
      <c r="K2839" s="21">
        <f t="shared" si="13"/>
        <v>204430.28</v>
      </c>
      <c r="L2839" s="23"/>
      <c r="M2839" s="21">
        <f t="shared" si="16"/>
        <v>1894.93</v>
      </c>
    </row>
    <row r="2840" ht="20.25" customHeight="1" outlineLevel="1">
      <c r="A2840" s="12"/>
      <c r="B2840" s="46"/>
      <c r="C2840" s="59"/>
      <c r="D2840" s="20"/>
      <c r="E2840" s="21">
        <f t="shared" si="1"/>
        <v>12593.22</v>
      </c>
      <c r="F2840" s="23"/>
      <c r="G2840" s="21">
        <f t="shared" si="8"/>
        <v>318539.46</v>
      </c>
      <c r="H2840" s="23"/>
      <c r="I2840" s="21">
        <f t="shared" si="15"/>
        <v>781.68</v>
      </c>
      <c r="J2840" s="23"/>
      <c r="K2840" s="21">
        <f t="shared" si="13"/>
        <v>204430.28</v>
      </c>
      <c r="L2840" s="23"/>
      <c r="M2840" s="21">
        <f t="shared" si="16"/>
        <v>1894.93</v>
      </c>
    </row>
    <row r="2841" ht="20.25" customHeight="1" outlineLevel="1">
      <c r="A2841" s="12"/>
      <c r="B2841" s="46"/>
      <c r="C2841" s="55"/>
      <c r="D2841" s="20"/>
      <c r="E2841" s="21">
        <f t="shared" si="1"/>
        <v>12593.22</v>
      </c>
      <c r="F2841" s="23"/>
      <c r="G2841" s="21">
        <f t="shared" si="8"/>
        <v>318539.46</v>
      </c>
      <c r="H2841" s="23"/>
      <c r="I2841" s="21">
        <f t="shared" si="15"/>
        <v>781.68</v>
      </c>
      <c r="J2841" s="23"/>
      <c r="K2841" s="21">
        <f t="shared" si="13"/>
        <v>204430.28</v>
      </c>
      <c r="L2841" s="23"/>
      <c r="M2841" s="21">
        <f t="shared" si="16"/>
        <v>1894.93</v>
      </c>
    </row>
    <row r="2842" ht="20.25" customHeight="1" outlineLevel="1">
      <c r="A2842" s="12"/>
      <c r="B2842" s="46"/>
      <c r="C2842" s="55"/>
      <c r="D2842" s="20"/>
      <c r="E2842" s="21">
        <f t="shared" si="1"/>
        <v>12593.22</v>
      </c>
      <c r="F2842" s="23"/>
      <c r="G2842" s="21">
        <f t="shared" si="8"/>
        <v>318539.46</v>
      </c>
      <c r="H2842" s="23"/>
      <c r="I2842" s="21">
        <f t="shared" si="15"/>
        <v>781.68</v>
      </c>
      <c r="J2842" s="23"/>
      <c r="K2842" s="21">
        <f t="shared" si="13"/>
        <v>204430.28</v>
      </c>
      <c r="L2842" s="23"/>
      <c r="M2842" s="21">
        <f t="shared" si="16"/>
        <v>1894.93</v>
      </c>
    </row>
    <row r="2843" ht="20.25" customHeight="1" outlineLevel="1">
      <c r="A2843" s="12"/>
      <c r="B2843" s="46"/>
      <c r="C2843" s="55"/>
      <c r="D2843" s="20"/>
      <c r="E2843" s="21">
        <f t="shared" si="1"/>
        <v>12593.22</v>
      </c>
      <c r="F2843" s="23"/>
      <c r="G2843" s="21">
        <f t="shared" si="8"/>
        <v>318539.46</v>
      </c>
      <c r="H2843" s="23"/>
      <c r="I2843" s="21">
        <f t="shared" si="15"/>
        <v>781.68</v>
      </c>
      <c r="J2843" s="23"/>
      <c r="K2843" s="21">
        <f t="shared" si="13"/>
        <v>204430.28</v>
      </c>
      <c r="L2843" s="23"/>
      <c r="M2843" s="21">
        <f t="shared" si="16"/>
        <v>1894.93</v>
      </c>
    </row>
    <row r="2844" ht="20.25" customHeight="1" outlineLevel="1">
      <c r="A2844" s="12"/>
      <c r="B2844" s="46"/>
      <c r="C2844" s="55"/>
      <c r="D2844" s="20"/>
      <c r="E2844" s="21">
        <f t="shared" si="1"/>
        <v>12593.22</v>
      </c>
      <c r="F2844" s="23"/>
      <c r="G2844" s="21">
        <f t="shared" si="8"/>
        <v>318539.46</v>
      </c>
      <c r="H2844" s="23"/>
      <c r="I2844" s="21">
        <f t="shared" si="15"/>
        <v>781.68</v>
      </c>
      <c r="J2844" s="23"/>
      <c r="K2844" s="21">
        <f t="shared" si="13"/>
        <v>204430.28</v>
      </c>
      <c r="L2844" s="23"/>
      <c r="M2844" s="21">
        <f t="shared" si="16"/>
        <v>1894.93</v>
      </c>
    </row>
    <row r="2845" ht="20.25" customHeight="1" outlineLevel="1">
      <c r="A2845" s="12"/>
      <c r="B2845" s="46"/>
      <c r="C2845" s="55"/>
      <c r="D2845" s="20"/>
      <c r="E2845" s="21">
        <f t="shared" si="1"/>
        <v>12593.22</v>
      </c>
      <c r="F2845" s="23"/>
      <c r="G2845" s="21">
        <f t="shared" si="8"/>
        <v>318539.46</v>
      </c>
      <c r="H2845" s="23"/>
      <c r="I2845" s="21">
        <f t="shared" si="15"/>
        <v>781.68</v>
      </c>
      <c r="J2845" s="23"/>
      <c r="K2845" s="21">
        <f t="shared" si="13"/>
        <v>204430.28</v>
      </c>
      <c r="L2845" s="23"/>
      <c r="M2845" s="21">
        <f t="shared" si="16"/>
        <v>1894.93</v>
      </c>
    </row>
    <row r="2846" ht="20.25" customHeight="1" outlineLevel="1">
      <c r="A2846" s="12"/>
      <c r="B2846" s="46"/>
      <c r="C2846" s="55"/>
      <c r="D2846" s="20"/>
      <c r="E2846" s="21">
        <f t="shared" si="1"/>
        <v>12593.22</v>
      </c>
      <c r="F2846" s="23"/>
      <c r="G2846" s="21">
        <f t="shared" si="8"/>
        <v>318539.46</v>
      </c>
      <c r="H2846" s="23"/>
      <c r="I2846" s="21">
        <f t="shared" si="15"/>
        <v>781.68</v>
      </c>
      <c r="J2846" s="23"/>
      <c r="K2846" s="21">
        <f t="shared" si="13"/>
        <v>204430.28</v>
      </c>
      <c r="L2846" s="23"/>
      <c r="M2846" s="21">
        <f t="shared" si="16"/>
        <v>1894.93</v>
      </c>
    </row>
    <row r="2847" ht="20.25" customHeight="1" outlineLevel="1">
      <c r="A2847" s="12"/>
      <c r="B2847" s="46"/>
      <c r="C2847" s="55"/>
      <c r="D2847" s="20"/>
      <c r="E2847" s="21">
        <f t="shared" si="1"/>
        <v>12593.22</v>
      </c>
      <c r="F2847" s="23"/>
      <c r="G2847" s="21">
        <f t="shared" si="8"/>
        <v>318539.46</v>
      </c>
      <c r="H2847" s="23"/>
      <c r="I2847" s="21">
        <f t="shared" si="15"/>
        <v>781.68</v>
      </c>
      <c r="J2847" s="23"/>
      <c r="K2847" s="21">
        <f t="shared" si="13"/>
        <v>204430.28</v>
      </c>
      <c r="L2847" s="23"/>
      <c r="M2847" s="21">
        <f t="shared" si="16"/>
        <v>1894.93</v>
      </c>
    </row>
    <row r="2848" ht="20.25" customHeight="1" outlineLevel="1">
      <c r="A2848" s="12"/>
      <c r="B2848" s="46"/>
      <c r="C2848" s="55"/>
      <c r="D2848" s="20"/>
      <c r="E2848" s="21">
        <f t="shared" si="1"/>
        <v>12593.22</v>
      </c>
      <c r="F2848" s="23"/>
      <c r="G2848" s="21">
        <f t="shared" si="8"/>
        <v>318539.46</v>
      </c>
      <c r="H2848" s="23"/>
      <c r="I2848" s="21">
        <f t="shared" si="15"/>
        <v>781.68</v>
      </c>
      <c r="J2848" s="23"/>
      <c r="K2848" s="21">
        <f t="shared" si="13"/>
        <v>204430.28</v>
      </c>
      <c r="L2848" s="23"/>
      <c r="M2848" s="21">
        <f t="shared" si="16"/>
        <v>1894.93</v>
      </c>
    </row>
    <row r="2849" ht="20.25" customHeight="1" outlineLevel="1">
      <c r="A2849" s="12"/>
      <c r="B2849" s="46"/>
      <c r="C2849" s="59"/>
      <c r="D2849" s="20"/>
      <c r="E2849" s="21">
        <f t="shared" si="1"/>
        <v>12593.22</v>
      </c>
      <c r="F2849" s="23"/>
      <c r="G2849" s="21">
        <f t="shared" si="8"/>
        <v>318539.46</v>
      </c>
      <c r="H2849" s="23"/>
      <c r="I2849" s="21">
        <f t="shared" si="15"/>
        <v>781.68</v>
      </c>
      <c r="J2849" s="23"/>
      <c r="K2849" s="21">
        <f t="shared" si="13"/>
        <v>204430.28</v>
      </c>
      <c r="L2849" s="23"/>
      <c r="M2849" s="21">
        <f t="shared" si="16"/>
        <v>1894.93</v>
      </c>
    </row>
    <row r="2850" ht="20.25" customHeight="1" outlineLevel="1">
      <c r="A2850" s="12"/>
      <c r="B2850" s="46"/>
      <c r="C2850" s="59"/>
      <c r="D2850" s="20"/>
      <c r="E2850" s="21">
        <f t="shared" si="1"/>
        <v>12593.22</v>
      </c>
      <c r="F2850" s="23"/>
      <c r="G2850" s="21">
        <f t="shared" si="8"/>
        <v>318539.46</v>
      </c>
      <c r="H2850" s="23"/>
      <c r="I2850" s="21">
        <f t="shared" si="15"/>
        <v>781.68</v>
      </c>
      <c r="J2850" s="23"/>
      <c r="K2850" s="21">
        <f t="shared" si="13"/>
        <v>204430.28</v>
      </c>
      <c r="L2850" s="23"/>
      <c r="M2850" s="21">
        <f t="shared" si="16"/>
        <v>1894.93</v>
      </c>
    </row>
    <row r="2851" ht="20.25" customHeight="1" outlineLevel="1">
      <c r="A2851" s="12"/>
      <c r="B2851" s="46"/>
      <c r="C2851" s="59"/>
      <c r="D2851" s="20"/>
      <c r="E2851" s="21">
        <f t="shared" si="1"/>
        <v>12593.22</v>
      </c>
      <c r="F2851" s="23"/>
      <c r="G2851" s="21">
        <f t="shared" si="8"/>
        <v>318539.46</v>
      </c>
      <c r="H2851" s="23"/>
      <c r="I2851" s="21">
        <f t="shared" si="15"/>
        <v>781.68</v>
      </c>
      <c r="J2851" s="23"/>
      <c r="K2851" s="21">
        <f t="shared" si="13"/>
        <v>204430.28</v>
      </c>
      <c r="L2851" s="23"/>
      <c r="M2851" s="21">
        <f t="shared" si="16"/>
        <v>1894.93</v>
      </c>
    </row>
    <row r="2852" ht="20.25" customHeight="1" outlineLevel="1">
      <c r="A2852" s="12"/>
      <c r="B2852" s="46"/>
      <c r="C2852" s="59"/>
      <c r="D2852" s="20"/>
      <c r="E2852" s="21">
        <f t="shared" si="1"/>
        <v>12593.22</v>
      </c>
      <c r="F2852" s="23"/>
      <c r="G2852" s="21">
        <f t="shared" si="8"/>
        <v>318539.46</v>
      </c>
      <c r="H2852" s="23"/>
      <c r="I2852" s="21">
        <f t="shared" si="15"/>
        <v>781.68</v>
      </c>
      <c r="J2852" s="23"/>
      <c r="K2852" s="21">
        <f t="shared" si="13"/>
        <v>204430.28</v>
      </c>
      <c r="L2852" s="23"/>
      <c r="M2852" s="21">
        <f t="shared" si="16"/>
        <v>1894.93</v>
      </c>
    </row>
    <row r="2853" ht="20.25" customHeight="1" outlineLevel="1">
      <c r="A2853" s="12"/>
      <c r="B2853" s="46"/>
      <c r="C2853" s="59"/>
      <c r="D2853" s="20"/>
      <c r="E2853" s="21">
        <f t="shared" si="1"/>
        <v>12593.22</v>
      </c>
      <c r="F2853" s="23"/>
      <c r="G2853" s="21">
        <f t="shared" si="8"/>
        <v>318539.46</v>
      </c>
      <c r="H2853" s="23"/>
      <c r="I2853" s="21">
        <f t="shared" si="15"/>
        <v>781.68</v>
      </c>
      <c r="J2853" s="23"/>
      <c r="K2853" s="21">
        <f t="shared" si="13"/>
        <v>204430.28</v>
      </c>
      <c r="L2853" s="23"/>
      <c r="M2853" s="21">
        <f t="shared" si="16"/>
        <v>1894.93</v>
      </c>
    </row>
    <row r="2854" ht="20.25" customHeight="1" outlineLevel="1">
      <c r="A2854" s="12"/>
      <c r="B2854" s="46"/>
      <c r="C2854" s="55"/>
      <c r="D2854" s="20"/>
      <c r="E2854" s="21">
        <f t="shared" si="1"/>
        <v>12593.22</v>
      </c>
      <c r="F2854" s="23"/>
      <c r="G2854" s="21">
        <f t="shared" si="8"/>
        <v>318539.46</v>
      </c>
      <c r="H2854" s="23"/>
      <c r="I2854" s="21">
        <f t="shared" si="15"/>
        <v>781.68</v>
      </c>
      <c r="J2854" s="23"/>
      <c r="K2854" s="21">
        <f t="shared" si="13"/>
        <v>204430.28</v>
      </c>
      <c r="L2854" s="23"/>
      <c r="M2854" s="21">
        <f t="shared" si="16"/>
        <v>1894.93</v>
      </c>
    </row>
    <row r="2855" ht="20.25" customHeight="1" outlineLevel="1">
      <c r="A2855" s="12"/>
      <c r="B2855" s="13"/>
      <c r="C2855" s="42"/>
      <c r="D2855" s="20"/>
      <c r="E2855" s="21">
        <f t="shared" si="1"/>
        <v>12593.22</v>
      </c>
      <c r="F2855" s="23"/>
      <c r="G2855" s="21">
        <f t="shared" si="8"/>
        <v>318539.46</v>
      </c>
      <c r="H2855" s="23"/>
      <c r="I2855" s="21">
        <f t="shared" si="15"/>
        <v>781.68</v>
      </c>
      <c r="J2855" s="23"/>
      <c r="K2855" s="21">
        <f t="shared" si="13"/>
        <v>204430.28</v>
      </c>
      <c r="L2855" s="23"/>
      <c r="M2855" s="21">
        <f t="shared" si="16"/>
        <v>1894.93</v>
      </c>
    </row>
    <row r="2856" ht="20.25" customHeight="1" outlineLevel="1">
      <c r="A2856" s="12"/>
      <c r="B2856" s="13"/>
      <c r="C2856" s="42"/>
      <c r="D2856" s="20"/>
      <c r="E2856" s="21">
        <f t="shared" si="1"/>
        <v>12593.22</v>
      </c>
      <c r="F2856" s="23"/>
      <c r="G2856" s="21">
        <f t="shared" si="8"/>
        <v>318539.46</v>
      </c>
      <c r="H2856" s="23"/>
      <c r="I2856" s="21">
        <f t="shared" si="15"/>
        <v>781.68</v>
      </c>
      <c r="J2856" s="23"/>
      <c r="K2856" s="21">
        <f t="shared" si="13"/>
        <v>204430.28</v>
      </c>
      <c r="L2856" s="23"/>
      <c r="M2856" s="21">
        <f t="shared" si="16"/>
        <v>1894.93</v>
      </c>
    </row>
    <row r="2857" ht="20.25" customHeight="1" outlineLevel="1">
      <c r="A2857" s="12"/>
      <c r="B2857" s="13"/>
      <c r="C2857" s="42"/>
      <c r="D2857" s="20"/>
      <c r="E2857" s="21">
        <f t="shared" si="1"/>
        <v>12593.22</v>
      </c>
      <c r="F2857" s="23"/>
      <c r="G2857" s="21">
        <f t="shared" si="8"/>
        <v>318539.46</v>
      </c>
      <c r="H2857" s="23"/>
      <c r="I2857" s="21">
        <f t="shared" si="15"/>
        <v>781.68</v>
      </c>
      <c r="J2857" s="23"/>
      <c r="K2857" s="21">
        <f t="shared" si="13"/>
        <v>204430.28</v>
      </c>
      <c r="L2857" s="23"/>
      <c r="M2857" s="21">
        <f t="shared" si="16"/>
        <v>1894.93</v>
      </c>
    </row>
    <row r="2858" ht="20.25" customHeight="1" outlineLevel="1">
      <c r="A2858" s="12"/>
      <c r="B2858" s="13"/>
      <c r="C2858" s="28"/>
      <c r="D2858" s="20"/>
      <c r="E2858" s="21">
        <f t="shared" si="1"/>
        <v>12593.22</v>
      </c>
      <c r="F2858" s="23"/>
      <c r="G2858" s="21">
        <f t="shared" si="8"/>
        <v>318539.46</v>
      </c>
      <c r="H2858" s="23"/>
      <c r="I2858" s="21">
        <f t="shared" si="15"/>
        <v>781.68</v>
      </c>
      <c r="J2858" s="23"/>
      <c r="K2858" s="21">
        <f t="shared" si="13"/>
        <v>204430.28</v>
      </c>
      <c r="L2858" s="23"/>
      <c r="M2858" s="21">
        <f t="shared" si="16"/>
        <v>1894.93</v>
      </c>
    </row>
    <row r="2859" ht="20.25" customHeight="1" outlineLevel="1">
      <c r="A2859" s="12"/>
      <c r="B2859" s="13"/>
      <c r="C2859" s="28"/>
      <c r="D2859" s="20"/>
      <c r="E2859" s="21">
        <f t="shared" si="1"/>
        <v>12593.22</v>
      </c>
      <c r="F2859" s="23"/>
      <c r="G2859" s="21">
        <f t="shared" si="8"/>
        <v>318539.46</v>
      </c>
      <c r="H2859" s="23"/>
      <c r="I2859" s="21">
        <f t="shared" si="15"/>
        <v>781.68</v>
      </c>
      <c r="J2859" s="23"/>
      <c r="K2859" s="21">
        <f t="shared" si="13"/>
        <v>204430.28</v>
      </c>
      <c r="L2859" s="23"/>
      <c r="M2859" s="21">
        <f t="shared" si="16"/>
        <v>1894.93</v>
      </c>
    </row>
    <row r="2860" ht="20.25" customHeight="1" outlineLevel="1">
      <c r="A2860" s="12"/>
      <c r="B2860" s="13"/>
      <c r="C2860" s="28"/>
      <c r="D2860" s="20"/>
      <c r="E2860" s="21">
        <f t="shared" si="1"/>
        <v>12593.22</v>
      </c>
      <c r="F2860" s="23"/>
      <c r="G2860" s="21">
        <f t="shared" si="8"/>
        <v>318539.46</v>
      </c>
      <c r="H2860" s="23"/>
      <c r="I2860" s="21">
        <f t="shared" si="15"/>
        <v>781.68</v>
      </c>
      <c r="J2860" s="23"/>
      <c r="K2860" s="21">
        <f t="shared" si="13"/>
        <v>204430.28</v>
      </c>
      <c r="L2860" s="23"/>
      <c r="M2860" s="21">
        <f t="shared" si="16"/>
        <v>1894.93</v>
      </c>
    </row>
    <row r="2861" ht="20.25" customHeight="1" outlineLevel="1">
      <c r="A2861" s="12"/>
      <c r="B2861" s="13"/>
      <c r="C2861" s="42"/>
      <c r="D2861" s="20"/>
      <c r="E2861" s="21">
        <f t="shared" si="1"/>
        <v>12593.22</v>
      </c>
      <c r="F2861" s="23"/>
      <c r="G2861" s="21">
        <f t="shared" si="8"/>
        <v>318539.46</v>
      </c>
      <c r="H2861" s="23"/>
      <c r="I2861" s="21">
        <f t="shared" si="15"/>
        <v>781.68</v>
      </c>
      <c r="J2861" s="23"/>
      <c r="K2861" s="21">
        <f t="shared" si="13"/>
        <v>204430.28</v>
      </c>
      <c r="L2861" s="23"/>
      <c r="M2861" s="21">
        <f t="shared" si="16"/>
        <v>1894.93</v>
      </c>
    </row>
    <row r="2862" ht="20.25" customHeight="1" outlineLevel="1">
      <c r="A2862" s="12"/>
      <c r="B2862" s="13"/>
      <c r="C2862" s="42"/>
      <c r="D2862" s="20"/>
      <c r="E2862" s="21">
        <f t="shared" si="1"/>
        <v>12593.22</v>
      </c>
      <c r="F2862" s="23"/>
      <c r="G2862" s="21">
        <f t="shared" si="8"/>
        <v>318539.46</v>
      </c>
      <c r="H2862" s="23"/>
      <c r="I2862" s="21">
        <f t="shared" si="15"/>
        <v>781.68</v>
      </c>
      <c r="J2862" s="23"/>
      <c r="K2862" s="21">
        <f t="shared" si="13"/>
        <v>204430.28</v>
      </c>
      <c r="L2862" s="23"/>
      <c r="M2862" s="21">
        <f t="shared" si="16"/>
        <v>1894.93</v>
      </c>
    </row>
    <row r="2863" ht="20.25" customHeight="1" outlineLevel="1">
      <c r="A2863" s="12"/>
      <c r="B2863" s="13"/>
      <c r="C2863" s="42"/>
      <c r="D2863" s="20"/>
      <c r="E2863" s="21">
        <f t="shared" si="1"/>
        <v>12593.22</v>
      </c>
      <c r="F2863" s="23"/>
      <c r="G2863" s="21">
        <f t="shared" si="8"/>
        <v>318539.46</v>
      </c>
      <c r="H2863" s="23"/>
      <c r="I2863" s="21">
        <f t="shared" si="15"/>
        <v>781.68</v>
      </c>
      <c r="J2863" s="23"/>
      <c r="K2863" s="21">
        <f t="shared" si="13"/>
        <v>204430.28</v>
      </c>
      <c r="L2863" s="23"/>
      <c r="M2863" s="21">
        <f t="shared" si="16"/>
        <v>1894.93</v>
      </c>
    </row>
    <row r="2864" ht="20.25" customHeight="1" outlineLevel="1">
      <c r="A2864" s="12"/>
      <c r="B2864" s="13"/>
      <c r="C2864" s="28"/>
      <c r="D2864" s="20"/>
      <c r="E2864" s="21">
        <f t="shared" si="1"/>
        <v>12593.22</v>
      </c>
      <c r="F2864" s="23"/>
      <c r="G2864" s="21">
        <f t="shared" si="8"/>
        <v>318539.46</v>
      </c>
      <c r="H2864" s="23"/>
      <c r="I2864" s="21">
        <f t="shared" si="15"/>
        <v>781.68</v>
      </c>
      <c r="J2864" s="23"/>
      <c r="K2864" s="21">
        <f t="shared" si="13"/>
        <v>204430.28</v>
      </c>
      <c r="L2864" s="23"/>
      <c r="M2864" s="21">
        <f t="shared" si="16"/>
        <v>1894.93</v>
      </c>
    </row>
    <row r="2865" ht="20.25" customHeight="1" outlineLevel="1">
      <c r="A2865" s="12"/>
      <c r="B2865" s="13"/>
      <c r="C2865" s="28"/>
      <c r="D2865" s="20"/>
      <c r="E2865" s="21">
        <f t="shared" si="1"/>
        <v>12593.22</v>
      </c>
      <c r="F2865" s="23"/>
      <c r="G2865" s="21">
        <f t="shared" si="8"/>
        <v>318539.46</v>
      </c>
      <c r="H2865" s="23"/>
      <c r="I2865" s="21">
        <f t="shared" si="15"/>
        <v>781.68</v>
      </c>
      <c r="J2865" s="23"/>
      <c r="K2865" s="21">
        <f t="shared" si="13"/>
        <v>204430.28</v>
      </c>
      <c r="L2865" s="23"/>
      <c r="M2865" s="21">
        <f t="shared" si="16"/>
        <v>1894.93</v>
      </c>
    </row>
    <row r="2866" ht="20.25" customHeight="1" outlineLevel="1">
      <c r="A2866" s="12"/>
      <c r="B2866" s="13"/>
      <c r="C2866" s="28"/>
      <c r="D2866" s="20"/>
      <c r="E2866" s="21">
        <f t="shared" si="1"/>
        <v>12593.22</v>
      </c>
      <c r="F2866" s="23"/>
      <c r="G2866" s="21">
        <f t="shared" si="8"/>
        <v>318539.46</v>
      </c>
      <c r="H2866" s="23"/>
      <c r="I2866" s="21">
        <f t="shared" si="15"/>
        <v>781.68</v>
      </c>
      <c r="J2866" s="23"/>
      <c r="K2866" s="21">
        <f t="shared" si="13"/>
        <v>204430.28</v>
      </c>
      <c r="L2866" s="23"/>
      <c r="M2866" s="21">
        <f t="shared" si="16"/>
        <v>1894.93</v>
      </c>
    </row>
    <row r="2867" ht="20.25" customHeight="1" outlineLevel="1">
      <c r="A2867" s="12"/>
      <c r="B2867" s="13"/>
      <c r="C2867" s="28"/>
      <c r="D2867" s="20"/>
      <c r="E2867" s="21">
        <f t="shared" si="1"/>
        <v>12593.22</v>
      </c>
      <c r="F2867" s="23"/>
      <c r="G2867" s="21">
        <f t="shared" si="8"/>
        <v>318539.46</v>
      </c>
      <c r="H2867" s="23"/>
      <c r="I2867" s="21">
        <f t="shared" si="15"/>
        <v>781.68</v>
      </c>
      <c r="J2867" s="23"/>
      <c r="K2867" s="21">
        <f t="shared" si="13"/>
        <v>204430.28</v>
      </c>
      <c r="L2867" s="23"/>
      <c r="M2867" s="21">
        <f t="shared" si="16"/>
        <v>1894.93</v>
      </c>
    </row>
    <row r="2868" ht="20.25" customHeight="1" outlineLevel="1">
      <c r="A2868" s="12"/>
      <c r="B2868" s="13"/>
      <c r="C2868" s="28"/>
      <c r="D2868" s="20"/>
      <c r="E2868" s="21">
        <f t="shared" si="1"/>
        <v>12593.22</v>
      </c>
      <c r="F2868" s="23"/>
      <c r="G2868" s="21">
        <f t="shared" si="8"/>
        <v>318539.46</v>
      </c>
      <c r="H2868" s="23"/>
      <c r="I2868" s="21">
        <f t="shared" si="15"/>
        <v>781.68</v>
      </c>
      <c r="J2868" s="23"/>
      <c r="K2868" s="21">
        <f t="shared" si="13"/>
        <v>204430.28</v>
      </c>
      <c r="L2868" s="23"/>
      <c r="M2868" s="21">
        <f t="shared" si="16"/>
        <v>1894.93</v>
      </c>
    </row>
    <row r="2869" ht="20.25" customHeight="1" outlineLevel="1">
      <c r="A2869" s="12"/>
      <c r="B2869" s="13"/>
      <c r="C2869" s="28"/>
      <c r="D2869" s="20"/>
      <c r="E2869" s="21">
        <f t="shared" si="1"/>
        <v>12593.22</v>
      </c>
      <c r="F2869" s="23"/>
      <c r="G2869" s="21">
        <f t="shared" si="8"/>
        <v>318539.46</v>
      </c>
      <c r="H2869" s="23"/>
      <c r="I2869" s="21">
        <f t="shared" si="15"/>
        <v>781.68</v>
      </c>
      <c r="J2869" s="23"/>
      <c r="K2869" s="21">
        <f t="shared" si="13"/>
        <v>204430.28</v>
      </c>
      <c r="L2869" s="23"/>
      <c r="M2869" s="21">
        <f t="shared" si="16"/>
        <v>1894.93</v>
      </c>
    </row>
    <row r="2870" ht="20.25" customHeight="1" outlineLevel="1">
      <c r="A2870" s="12"/>
      <c r="B2870" s="13"/>
      <c r="C2870" s="42"/>
      <c r="D2870" s="20"/>
      <c r="E2870" s="21">
        <f t="shared" si="1"/>
        <v>12593.22</v>
      </c>
      <c r="F2870" s="23"/>
      <c r="G2870" s="21">
        <f t="shared" si="8"/>
        <v>318539.46</v>
      </c>
      <c r="H2870" s="23"/>
      <c r="I2870" s="21">
        <f t="shared" si="15"/>
        <v>781.68</v>
      </c>
      <c r="J2870" s="23"/>
      <c r="K2870" s="21">
        <f t="shared" si="13"/>
        <v>204430.28</v>
      </c>
      <c r="L2870" s="23"/>
      <c r="M2870" s="21">
        <f t="shared" si="16"/>
        <v>1894.93</v>
      </c>
    </row>
    <row r="2871" ht="20.25" customHeight="1" outlineLevel="1">
      <c r="A2871" s="12"/>
      <c r="B2871" s="13"/>
      <c r="C2871" s="42"/>
      <c r="D2871" s="20"/>
      <c r="E2871" s="21">
        <f t="shared" si="1"/>
        <v>12593.22</v>
      </c>
      <c r="F2871" s="23"/>
      <c r="G2871" s="21">
        <f t="shared" si="8"/>
        <v>318539.46</v>
      </c>
      <c r="H2871" s="23"/>
      <c r="I2871" s="21">
        <f t="shared" si="15"/>
        <v>781.68</v>
      </c>
      <c r="J2871" s="23"/>
      <c r="K2871" s="21">
        <f t="shared" si="13"/>
        <v>204430.28</v>
      </c>
      <c r="L2871" s="23"/>
      <c r="M2871" s="21">
        <f t="shared" si="16"/>
        <v>1894.93</v>
      </c>
    </row>
    <row r="2872" ht="20.25" customHeight="1" outlineLevel="1">
      <c r="A2872" s="12"/>
      <c r="B2872" s="13"/>
      <c r="C2872" s="42"/>
      <c r="D2872" s="20"/>
      <c r="E2872" s="21">
        <f t="shared" si="1"/>
        <v>12593.22</v>
      </c>
      <c r="F2872" s="23"/>
      <c r="G2872" s="21">
        <f t="shared" si="8"/>
        <v>318539.46</v>
      </c>
      <c r="H2872" s="23"/>
      <c r="I2872" s="21">
        <f t="shared" si="15"/>
        <v>781.68</v>
      </c>
      <c r="J2872" s="23"/>
      <c r="K2872" s="21">
        <f t="shared" si="13"/>
        <v>204430.28</v>
      </c>
      <c r="L2872" s="23"/>
      <c r="M2872" s="21">
        <f t="shared" si="16"/>
        <v>1894.93</v>
      </c>
    </row>
    <row r="2873" ht="20.25" customHeight="1" outlineLevel="1">
      <c r="A2873" s="12"/>
      <c r="B2873" s="13"/>
      <c r="C2873" s="28"/>
      <c r="D2873" s="20"/>
      <c r="E2873" s="21">
        <f t="shared" si="1"/>
        <v>12593.22</v>
      </c>
      <c r="F2873" s="23"/>
      <c r="G2873" s="21">
        <f t="shared" si="8"/>
        <v>318539.46</v>
      </c>
      <c r="H2873" s="23"/>
      <c r="I2873" s="21">
        <f t="shared" si="15"/>
        <v>781.68</v>
      </c>
      <c r="J2873" s="23"/>
      <c r="K2873" s="21">
        <f t="shared" si="13"/>
        <v>204430.28</v>
      </c>
      <c r="L2873" s="23"/>
      <c r="M2873" s="21">
        <f t="shared" si="16"/>
        <v>1894.93</v>
      </c>
    </row>
    <row r="2874" ht="20.25" customHeight="1" outlineLevel="1">
      <c r="A2874" s="12"/>
      <c r="B2874" s="13"/>
      <c r="C2874" s="28"/>
      <c r="D2874" s="20"/>
      <c r="E2874" s="21">
        <f t="shared" si="1"/>
        <v>12593.22</v>
      </c>
      <c r="F2874" s="23"/>
      <c r="G2874" s="21">
        <f t="shared" si="8"/>
        <v>318539.46</v>
      </c>
      <c r="H2874" s="23"/>
      <c r="I2874" s="21">
        <f t="shared" si="15"/>
        <v>781.68</v>
      </c>
      <c r="J2874" s="23"/>
      <c r="K2874" s="21">
        <f t="shared" si="13"/>
        <v>204430.28</v>
      </c>
      <c r="L2874" s="23"/>
      <c r="M2874" s="21">
        <f t="shared" si="16"/>
        <v>1894.93</v>
      </c>
    </row>
    <row r="2875" ht="20.25" customHeight="1" outlineLevel="1">
      <c r="A2875" s="12"/>
      <c r="B2875" s="13"/>
      <c r="C2875" s="42"/>
      <c r="D2875" s="20"/>
      <c r="E2875" s="21">
        <f t="shared" si="1"/>
        <v>12593.22</v>
      </c>
      <c r="F2875" s="23"/>
      <c r="G2875" s="21">
        <f t="shared" si="8"/>
        <v>318539.46</v>
      </c>
      <c r="H2875" s="23"/>
      <c r="I2875" s="21">
        <f t="shared" si="15"/>
        <v>781.68</v>
      </c>
      <c r="J2875" s="23"/>
      <c r="K2875" s="21">
        <f t="shared" si="13"/>
        <v>204430.28</v>
      </c>
      <c r="L2875" s="23"/>
      <c r="M2875" s="21">
        <f t="shared" si="16"/>
        <v>1894.93</v>
      </c>
    </row>
    <row r="2876" ht="20.25" customHeight="1" outlineLevel="1">
      <c r="A2876" s="12"/>
      <c r="B2876" s="13"/>
      <c r="C2876" s="42"/>
      <c r="D2876" s="20"/>
      <c r="E2876" s="21">
        <f t="shared" si="1"/>
        <v>12593.22</v>
      </c>
      <c r="F2876" s="23"/>
      <c r="G2876" s="21">
        <f t="shared" si="8"/>
        <v>318539.46</v>
      </c>
      <c r="H2876" s="23"/>
      <c r="I2876" s="21">
        <f t="shared" si="15"/>
        <v>781.68</v>
      </c>
      <c r="J2876" s="23"/>
      <c r="K2876" s="21">
        <f t="shared" si="13"/>
        <v>204430.28</v>
      </c>
      <c r="L2876" s="23"/>
      <c r="M2876" s="21">
        <f t="shared" si="16"/>
        <v>1894.93</v>
      </c>
    </row>
    <row r="2877" ht="20.25" customHeight="1" outlineLevel="1">
      <c r="A2877" s="12"/>
      <c r="B2877" s="13"/>
      <c r="C2877" s="42"/>
      <c r="D2877" s="20"/>
      <c r="E2877" s="21">
        <f t="shared" si="1"/>
        <v>12593.22</v>
      </c>
      <c r="F2877" s="23"/>
      <c r="G2877" s="21">
        <f t="shared" si="8"/>
        <v>318539.46</v>
      </c>
      <c r="H2877" s="23"/>
      <c r="I2877" s="21">
        <f t="shared" si="15"/>
        <v>781.68</v>
      </c>
      <c r="J2877" s="23"/>
      <c r="K2877" s="21">
        <f t="shared" si="13"/>
        <v>204430.28</v>
      </c>
      <c r="L2877" s="23"/>
      <c r="M2877" s="21">
        <f t="shared" si="16"/>
        <v>1894.93</v>
      </c>
    </row>
    <row r="2878" ht="20.25" customHeight="1" outlineLevel="1">
      <c r="A2878" s="12"/>
      <c r="B2878" s="13"/>
      <c r="C2878" s="42"/>
      <c r="D2878" s="20"/>
      <c r="E2878" s="21">
        <f t="shared" si="1"/>
        <v>12593.22</v>
      </c>
      <c r="F2878" s="23"/>
      <c r="G2878" s="21">
        <f t="shared" si="8"/>
        <v>318539.46</v>
      </c>
      <c r="H2878" s="23"/>
      <c r="I2878" s="21">
        <f t="shared" si="15"/>
        <v>781.68</v>
      </c>
      <c r="J2878" s="23"/>
      <c r="K2878" s="21">
        <f t="shared" si="13"/>
        <v>204430.28</v>
      </c>
      <c r="L2878" s="23"/>
      <c r="M2878" s="21">
        <f t="shared" si="16"/>
        <v>1894.93</v>
      </c>
    </row>
    <row r="2879" ht="20.25" customHeight="1" outlineLevel="1">
      <c r="A2879" s="12"/>
      <c r="B2879" s="13"/>
      <c r="C2879" s="42"/>
      <c r="D2879" s="20"/>
      <c r="E2879" s="21">
        <f t="shared" si="1"/>
        <v>12593.22</v>
      </c>
      <c r="F2879" s="23"/>
      <c r="G2879" s="21">
        <f t="shared" si="8"/>
        <v>318539.46</v>
      </c>
      <c r="H2879" s="23"/>
      <c r="I2879" s="21">
        <f t="shared" si="15"/>
        <v>781.68</v>
      </c>
      <c r="J2879" s="23"/>
      <c r="K2879" s="21">
        <f t="shared" si="13"/>
        <v>204430.28</v>
      </c>
      <c r="L2879" s="23"/>
      <c r="M2879" s="21">
        <f t="shared" si="16"/>
        <v>1894.93</v>
      </c>
    </row>
    <row r="2880" ht="20.25" customHeight="1" outlineLevel="1">
      <c r="A2880" s="12"/>
      <c r="B2880" s="13"/>
      <c r="C2880" s="42"/>
      <c r="D2880" s="20"/>
      <c r="E2880" s="21">
        <f t="shared" si="1"/>
        <v>12593.22</v>
      </c>
      <c r="F2880" s="23"/>
      <c r="G2880" s="21">
        <f t="shared" si="8"/>
        <v>318539.46</v>
      </c>
      <c r="H2880" s="23"/>
      <c r="I2880" s="21">
        <f t="shared" si="15"/>
        <v>781.68</v>
      </c>
      <c r="J2880" s="23"/>
      <c r="K2880" s="21">
        <f t="shared" si="13"/>
        <v>204430.28</v>
      </c>
      <c r="L2880" s="23"/>
      <c r="M2880" s="21">
        <f t="shared" si="16"/>
        <v>1894.93</v>
      </c>
    </row>
    <row r="2881" ht="20.25" customHeight="1" outlineLevel="1">
      <c r="A2881" s="12"/>
      <c r="B2881" s="13"/>
      <c r="C2881" s="42"/>
      <c r="D2881" s="20"/>
      <c r="E2881" s="21">
        <f t="shared" si="1"/>
        <v>12593.22</v>
      </c>
      <c r="F2881" s="23"/>
      <c r="G2881" s="21">
        <f t="shared" si="8"/>
        <v>318539.46</v>
      </c>
      <c r="H2881" s="23"/>
      <c r="I2881" s="21">
        <f t="shared" si="15"/>
        <v>781.68</v>
      </c>
      <c r="J2881" s="23"/>
      <c r="K2881" s="21">
        <f t="shared" si="13"/>
        <v>204430.28</v>
      </c>
      <c r="L2881" s="23"/>
      <c r="M2881" s="21">
        <f t="shared" si="16"/>
        <v>1894.93</v>
      </c>
    </row>
    <row r="2882" ht="20.25" customHeight="1" outlineLevel="1">
      <c r="A2882" s="12"/>
      <c r="B2882" s="13"/>
      <c r="C2882" s="42"/>
      <c r="D2882" s="20"/>
      <c r="E2882" s="21">
        <f t="shared" si="1"/>
        <v>12593.22</v>
      </c>
      <c r="F2882" s="23"/>
      <c r="G2882" s="21">
        <f t="shared" si="8"/>
        <v>318539.46</v>
      </c>
      <c r="H2882" s="23"/>
      <c r="I2882" s="21">
        <f t="shared" si="15"/>
        <v>781.68</v>
      </c>
      <c r="J2882" s="23"/>
      <c r="K2882" s="21">
        <f t="shared" si="13"/>
        <v>204430.28</v>
      </c>
      <c r="L2882" s="23"/>
      <c r="M2882" s="21">
        <f t="shared" si="16"/>
        <v>1894.93</v>
      </c>
    </row>
    <row r="2883" ht="20.25" customHeight="1" outlineLevel="1">
      <c r="A2883" s="12"/>
      <c r="B2883" s="13"/>
      <c r="C2883" s="42"/>
      <c r="D2883" s="20"/>
      <c r="E2883" s="21">
        <f t="shared" si="1"/>
        <v>12593.22</v>
      </c>
      <c r="F2883" s="23"/>
      <c r="G2883" s="21">
        <f t="shared" si="8"/>
        <v>318539.46</v>
      </c>
      <c r="H2883" s="23"/>
      <c r="I2883" s="21">
        <f t="shared" si="15"/>
        <v>781.68</v>
      </c>
      <c r="J2883" s="23"/>
      <c r="K2883" s="21">
        <f t="shared" si="13"/>
        <v>204430.28</v>
      </c>
      <c r="L2883" s="23"/>
      <c r="M2883" s="21">
        <f t="shared" si="16"/>
        <v>1894.93</v>
      </c>
    </row>
    <row r="2884" ht="20.25" customHeight="1" outlineLevel="1">
      <c r="A2884" s="12"/>
      <c r="B2884" s="13"/>
      <c r="C2884" s="42"/>
      <c r="D2884" s="20"/>
      <c r="E2884" s="21">
        <f t="shared" si="1"/>
        <v>12593.22</v>
      </c>
      <c r="F2884" s="23"/>
      <c r="G2884" s="21">
        <f t="shared" si="8"/>
        <v>318539.46</v>
      </c>
      <c r="H2884" s="23"/>
      <c r="I2884" s="21">
        <f t="shared" si="15"/>
        <v>781.68</v>
      </c>
      <c r="J2884" s="23"/>
      <c r="K2884" s="21">
        <f t="shared" si="13"/>
        <v>204430.28</v>
      </c>
      <c r="L2884" s="23"/>
      <c r="M2884" s="21">
        <f t="shared" si="16"/>
        <v>1894.93</v>
      </c>
    </row>
    <row r="2885" ht="20.25" customHeight="1" outlineLevel="1">
      <c r="A2885" s="12"/>
      <c r="B2885" s="13"/>
      <c r="C2885" s="42"/>
      <c r="D2885" s="20"/>
      <c r="E2885" s="21">
        <f t="shared" si="1"/>
        <v>12593.22</v>
      </c>
      <c r="F2885" s="23"/>
      <c r="G2885" s="21">
        <f t="shared" si="8"/>
        <v>318539.46</v>
      </c>
      <c r="H2885" s="23"/>
      <c r="I2885" s="21">
        <f t="shared" si="15"/>
        <v>781.68</v>
      </c>
      <c r="J2885" s="23"/>
      <c r="K2885" s="21">
        <f t="shared" si="13"/>
        <v>204430.28</v>
      </c>
      <c r="L2885" s="23"/>
      <c r="M2885" s="21">
        <f t="shared" si="16"/>
        <v>1894.93</v>
      </c>
    </row>
    <row r="2886" ht="20.25" customHeight="1" outlineLevel="1">
      <c r="A2886" s="12"/>
      <c r="B2886" s="13"/>
      <c r="C2886" s="42"/>
      <c r="D2886" s="20"/>
      <c r="E2886" s="21">
        <f t="shared" si="1"/>
        <v>12593.22</v>
      </c>
      <c r="F2886" s="23"/>
      <c r="G2886" s="21">
        <f t="shared" si="8"/>
        <v>318539.46</v>
      </c>
      <c r="H2886" s="23"/>
      <c r="I2886" s="21">
        <f t="shared" si="15"/>
        <v>781.68</v>
      </c>
      <c r="J2886" s="23"/>
      <c r="K2886" s="21">
        <f t="shared" si="13"/>
        <v>204430.28</v>
      </c>
      <c r="L2886" s="23"/>
      <c r="M2886" s="21">
        <f t="shared" si="16"/>
        <v>1894.93</v>
      </c>
    </row>
    <row r="2887" ht="20.25" customHeight="1" outlineLevel="1">
      <c r="A2887" s="12"/>
      <c r="B2887" s="13"/>
      <c r="C2887" s="42"/>
      <c r="D2887" s="20"/>
      <c r="E2887" s="21">
        <f t="shared" si="1"/>
        <v>12593.22</v>
      </c>
      <c r="F2887" s="23"/>
      <c r="G2887" s="21">
        <f t="shared" si="8"/>
        <v>318539.46</v>
      </c>
      <c r="H2887" s="23"/>
      <c r="I2887" s="21">
        <f t="shared" si="15"/>
        <v>781.68</v>
      </c>
      <c r="J2887" s="23"/>
      <c r="K2887" s="21">
        <f t="shared" si="13"/>
        <v>204430.28</v>
      </c>
      <c r="L2887" s="23"/>
      <c r="M2887" s="21">
        <f t="shared" si="16"/>
        <v>1894.93</v>
      </c>
    </row>
    <row r="2888" ht="20.25" customHeight="1" outlineLevel="1">
      <c r="A2888" s="12"/>
      <c r="B2888" s="13"/>
      <c r="C2888" s="42"/>
      <c r="D2888" s="20"/>
      <c r="E2888" s="21">
        <f t="shared" si="1"/>
        <v>12593.22</v>
      </c>
      <c r="F2888" s="23"/>
      <c r="G2888" s="21">
        <f t="shared" si="8"/>
        <v>318539.46</v>
      </c>
      <c r="H2888" s="23"/>
      <c r="I2888" s="21">
        <f t="shared" si="15"/>
        <v>781.68</v>
      </c>
      <c r="J2888" s="23"/>
      <c r="K2888" s="21">
        <f t="shared" si="13"/>
        <v>204430.28</v>
      </c>
      <c r="L2888" s="23"/>
      <c r="M2888" s="21">
        <f t="shared" si="16"/>
        <v>1894.93</v>
      </c>
    </row>
    <row r="2889" ht="20.25" customHeight="1" outlineLevel="1">
      <c r="A2889" s="12"/>
      <c r="B2889" s="13"/>
      <c r="C2889" s="42"/>
      <c r="D2889" s="20"/>
      <c r="E2889" s="21">
        <f t="shared" si="1"/>
        <v>12593.22</v>
      </c>
      <c r="F2889" s="23"/>
      <c r="G2889" s="21">
        <f t="shared" si="8"/>
        <v>318539.46</v>
      </c>
      <c r="H2889" s="23"/>
      <c r="I2889" s="21">
        <f t="shared" si="15"/>
        <v>781.68</v>
      </c>
      <c r="J2889" s="23"/>
      <c r="K2889" s="21">
        <f t="shared" si="13"/>
        <v>204430.28</v>
      </c>
      <c r="L2889" s="23"/>
      <c r="M2889" s="21">
        <f t="shared" si="16"/>
        <v>1894.93</v>
      </c>
    </row>
    <row r="2890" ht="20.25" customHeight="1" outlineLevel="1">
      <c r="A2890" s="12"/>
      <c r="B2890" s="13"/>
      <c r="C2890" s="28"/>
      <c r="D2890" s="20"/>
      <c r="E2890" s="21">
        <f t="shared" si="1"/>
        <v>12593.22</v>
      </c>
      <c r="F2890" s="23"/>
      <c r="G2890" s="21">
        <f t="shared" si="8"/>
        <v>318539.46</v>
      </c>
      <c r="H2890" s="23"/>
      <c r="I2890" s="21">
        <f t="shared" si="15"/>
        <v>781.68</v>
      </c>
      <c r="J2890" s="23"/>
      <c r="K2890" s="21">
        <f t="shared" si="13"/>
        <v>204430.28</v>
      </c>
      <c r="L2890" s="23"/>
      <c r="M2890" s="21">
        <f t="shared" si="16"/>
        <v>1894.93</v>
      </c>
    </row>
    <row r="2891" ht="20.25" customHeight="1" outlineLevel="1">
      <c r="A2891" s="12"/>
      <c r="B2891" s="13"/>
      <c r="C2891" s="28"/>
      <c r="D2891" s="20"/>
      <c r="E2891" s="21">
        <f t="shared" si="1"/>
        <v>12593.22</v>
      </c>
      <c r="F2891" s="23"/>
      <c r="G2891" s="21">
        <f t="shared" si="8"/>
        <v>318539.46</v>
      </c>
      <c r="H2891" s="23"/>
      <c r="I2891" s="21">
        <f t="shared" si="15"/>
        <v>781.68</v>
      </c>
      <c r="J2891" s="23"/>
      <c r="K2891" s="21">
        <f t="shared" si="13"/>
        <v>204430.28</v>
      </c>
      <c r="L2891" s="23"/>
      <c r="M2891" s="21">
        <f t="shared" si="16"/>
        <v>1894.93</v>
      </c>
    </row>
    <row r="2892" ht="20.25" customHeight="1" outlineLevel="1">
      <c r="A2892" s="12"/>
      <c r="B2892" s="13"/>
      <c r="C2892" s="28"/>
      <c r="D2892" s="20"/>
      <c r="E2892" s="21">
        <f t="shared" si="1"/>
        <v>12593.22</v>
      </c>
      <c r="F2892" s="23"/>
      <c r="G2892" s="21">
        <f t="shared" si="8"/>
        <v>318539.46</v>
      </c>
      <c r="H2892" s="23"/>
      <c r="I2892" s="21">
        <f t="shared" si="15"/>
        <v>781.68</v>
      </c>
      <c r="J2892" s="23"/>
      <c r="K2892" s="21">
        <f t="shared" si="13"/>
        <v>204430.28</v>
      </c>
      <c r="L2892" s="23"/>
      <c r="M2892" s="21">
        <f t="shared" si="16"/>
        <v>1894.93</v>
      </c>
    </row>
    <row r="2893" ht="20.25" customHeight="1" outlineLevel="1">
      <c r="A2893" s="12"/>
      <c r="B2893" s="13"/>
      <c r="C2893" s="28"/>
      <c r="D2893" s="20"/>
      <c r="E2893" s="21">
        <f t="shared" si="1"/>
        <v>12593.22</v>
      </c>
      <c r="F2893" s="23"/>
      <c r="G2893" s="21">
        <f t="shared" si="8"/>
        <v>318539.46</v>
      </c>
      <c r="H2893" s="23"/>
      <c r="I2893" s="21">
        <f t="shared" si="15"/>
        <v>781.68</v>
      </c>
      <c r="J2893" s="23"/>
      <c r="K2893" s="21">
        <f t="shared" si="13"/>
        <v>204430.28</v>
      </c>
      <c r="L2893" s="23"/>
      <c r="M2893" s="21">
        <f t="shared" si="16"/>
        <v>1894.93</v>
      </c>
    </row>
    <row r="2894" ht="20.25" customHeight="1" outlineLevel="1">
      <c r="A2894" s="12"/>
      <c r="B2894" s="13"/>
      <c r="C2894" s="28"/>
      <c r="D2894" s="20"/>
      <c r="E2894" s="21">
        <f t="shared" si="1"/>
        <v>12593.22</v>
      </c>
      <c r="F2894" s="23"/>
      <c r="G2894" s="21">
        <f t="shared" si="8"/>
        <v>318539.46</v>
      </c>
      <c r="H2894" s="23"/>
      <c r="I2894" s="21">
        <f t="shared" si="15"/>
        <v>781.68</v>
      </c>
      <c r="J2894" s="23"/>
      <c r="K2894" s="21">
        <f t="shared" si="13"/>
        <v>204430.28</v>
      </c>
      <c r="L2894" s="23"/>
      <c r="M2894" s="21">
        <f t="shared" si="16"/>
        <v>1894.93</v>
      </c>
    </row>
    <row r="2895" ht="20.25" customHeight="1" outlineLevel="1">
      <c r="A2895" s="12"/>
      <c r="B2895" s="13"/>
      <c r="C2895" s="28"/>
      <c r="D2895" s="20"/>
      <c r="E2895" s="21">
        <f t="shared" si="1"/>
        <v>12593.22</v>
      </c>
      <c r="F2895" s="23"/>
      <c r="G2895" s="21">
        <f t="shared" si="8"/>
        <v>318539.46</v>
      </c>
      <c r="H2895" s="23"/>
      <c r="I2895" s="21">
        <f t="shared" si="15"/>
        <v>781.68</v>
      </c>
      <c r="J2895" s="23"/>
      <c r="K2895" s="21">
        <f t="shared" si="13"/>
        <v>204430.28</v>
      </c>
      <c r="L2895" s="23"/>
      <c r="M2895" s="21">
        <f t="shared" si="16"/>
        <v>1894.93</v>
      </c>
    </row>
    <row r="2896" ht="20.25" customHeight="1" outlineLevel="1">
      <c r="A2896" s="12"/>
      <c r="B2896" s="13"/>
      <c r="C2896" s="42"/>
      <c r="D2896" s="20"/>
      <c r="E2896" s="21">
        <f t="shared" si="1"/>
        <v>12593.22</v>
      </c>
      <c r="F2896" s="23"/>
      <c r="G2896" s="21">
        <f t="shared" si="8"/>
        <v>318539.46</v>
      </c>
      <c r="H2896" s="23"/>
      <c r="I2896" s="21">
        <f t="shared" si="15"/>
        <v>781.68</v>
      </c>
      <c r="J2896" s="23"/>
      <c r="K2896" s="21">
        <f t="shared" si="13"/>
        <v>204430.28</v>
      </c>
      <c r="L2896" s="23"/>
      <c r="M2896" s="21">
        <f t="shared" si="16"/>
        <v>1894.93</v>
      </c>
    </row>
    <row r="2897" ht="20.25" customHeight="1" outlineLevel="1">
      <c r="A2897" s="12"/>
      <c r="B2897" s="13"/>
      <c r="C2897" s="42"/>
      <c r="D2897" s="20"/>
      <c r="E2897" s="21">
        <f t="shared" si="1"/>
        <v>12593.22</v>
      </c>
      <c r="F2897" s="23"/>
      <c r="G2897" s="21">
        <f t="shared" si="8"/>
        <v>318539.46</v>
      </c>
      <c r="H2897" s="23"/>
      <c r="I2897" s="21">
        <f t="shared" si="15"/>
        <v>781.68</v>
      </c>
      <c r="J2897" s="23"/>
      <c r="K2897" s="21">
        <f t="shared" si="13"/>
        <v>204430.28</v>
      </c>
      <c r="L2897" s="23"/>
      <c r="M2897" s="21">
        <f t="shared" si="16"/>
        <v>1894.93</v>
      </c>
    </row>
    <row r="2898" ht="20.25" customHeight="1" outlineLevel="1">
      <c r="A2898" s="12"/>
      <c r="B2898" s="13"/>
      <c r="C2898" s="42"/>
      <c r="D2898" s="20"/>
      <c r="E2898" s="21">
        <f t="shared" si="1"/>
        <v>12593.22</v>
      </c>
      <c r="F2898" s="23"/>
      <c r="G2898" s="21">
        <f t="shared" si="8"/>
        <v>318539.46</v>
      </c>
      <c r="H2898" s="23"/>
      <c r="I2898" s="21">
        <f t="shared" si="15"/>
        <v>781.68</v>
      </c>
      <c r="J2898" s="23"/>
      <c r="K2898" s="21">
        <f t="shared" si="13"/>
        <v>204430.28</v>
      </c>
      <c r="L2898" s="23"/>
      <c r="M2898" s="21">
        <f t="shared" si="16"/>
        <v>1894.93</v>
      </c>
    </row>
    <row r="2899" ht="20.25" customHeight="1" outlineLevel="1">
      <c r="A2899" s="12"/>
      <c r="B2899" s="13"/>
      <c r="C2899" s="42"/>
      <c r="D2899" s="20"/>
      <c r="E2899" s="21">
        <f t="shared" si="1"/>
        <v>12593.22</v>
      </c>
      <c r="F2899" s="23"/>
      <c r="G2899" s="21">
        <f t="shared" si="8"/>
        <v>318539.46</v>
      </c>
      <c r="H2899" s="23"/>
      <c r="I2899" s="21">
        <f t="shared" si="15"/>
        <v>781.68</v>
      </c>
      <c r="J2899" s="23"/>
      <c r="K2899" s="21">
        <f t="shared" si="13"/>
        <v>204430.28</v>
      </c>
      <c r="L2899" s="23"/>
      <c r="M2899" s="21">
        <f t="shared" si="16"/>
        <v>1894.93</v>
      </c>
    </row>
    <row r="2900" ht="20.25" customHeight="1" outlineLevel="1">
      <c r="A2900" s="12"/>
      <c r="B2900" s="13"/>
      <c r="C2900" s="42"/>
      <c r="D2900" s="20"/>
      <c r="E2900" s="21">
        <f t="shared" si="1"/>
        <v>12593.22</v>
      </c>
      <c r="F2900" s="23"/>
      <c r="G2900" s="21">
        <f t="shared" si="8"/>
        <v>318539.46</v>
      </c>
      <c r="H2900" s="23"/>
      <c r="I2900" s="21">
        <f t="shared" si="15"/>
        <v>781.68</v>
      </c>
      <c r="J2900" s="23"/>
      <c r="K2900" s="21">
        <f t="shared" si="13"/>
        <v>204430.28</v>
      </c>
      <c r="L2900" s="23"/>
      <c r="M2900" s="21">
        <f t="shared" si="16"/>
        <v>1894.93</v>
      </c>
    </row>
    <row r="2901" ht="20.25" customHeight="1" outlineLevel="1">
      <c r="A2901" s="12"/>
      <c r="B2901" s="13"/>
      <c r="C2901" s="42"/>
      <c r="D2901" s="20"/>
      <c r="E2901" s="21">
        <f t="shared" si="1"/>
        <v>12593.22</v>
      </c>
      <c r="F2901" s="23"/>
      <c r="G2901" s="21">
        <f t="shared" si="8"/>
        <v>318539.46</v>
      </c>
      <c r="H2901" s="23"/>
      <c r="I2901" s="21">
        <f t="shared" si="15"/>
        <v>781.68</v>
      </c>
      <c r="J2901" s="23"/>
      <c r="K2901" s="21">
        <f t="shared" si="13"/>
        <v>204430.28</v>
      </c>
      <c r="L2901" s="23"/>
      <c r="M2901" s="21">
        <f t="shared" si="16"/>
        <v>1894.93</v>
      </c>
    </row>
    <row r="2902" ht="20.25" customHeight="1" outlineLevel="1">
      <c r="A2902" s="12"/>
      <c r="B2902" s="13"/>
      <c r="C2902" s="42"/>
      <c r="D2902" s="20"/>
      <c r="E2902" s="21">
        <f t="shared" si="1"/>
        <v>12593.22</v>
      </c>
      <c r="F2902" s="23"/>
      <c r="G2902" s="21">
        <f t="shared" si="8"/>
        <v>318539.46</v>
      </c>
      <c r="H2902" s="23"/>
      <c r="I2902" s="21">
        <f t="shared" si="15"/>
        <v>781.68</v>
      </c>
      <c r="J2902" s="23"/>
      <c r="K2902" s="21">
        <f t="shared" si="13"/>
        <v>204430.28</v>
      </c>
      <c r="L2902" s="23"/>
      <c r="M2902" s="21">
        <f t="shared" si="16"/>
        <v>1894.93</v>
      </c>
    </row>
    <row r="2903" ht="20.25" customHeight="1" outlineLevel="1">
      <c r="A2903" s="12"/>
      <c r="B2903" s="13"/>
      <c r="C2903" s="42"/>
      <c r="D2903" s="20"/>
      <c r="E2903" s="21">
        <f t="shared" si="1"/>
        <v>12593.22</v>
      </c>
      <c r="F2903" s="23"/>
      <c r="G2903" s="21">
        <f t="shared" si="8"/>
        <v>318539.46</v>
      </c>
      <c r="H2903" s="23"/>
      <c r="I2903" s="21">
        <f t="shared" si="15"/>
        <v>781.68</v>
      </c>
      <c r="J2903" s="23"/>
      <c r="K2903" s="21">
        <f t="shared" si="13"/>
        <v>204430.28</v>
      </c>
      <c r="L2903" s="23"/>
      <c r="M2903" s="21">
        <f t="shared" si="16"/>
        <v>1894.93</v>
      </c>
    </row>
    <row r="2904" ht="20.25" customHeight="1" outlineLevel="1">
      <c r="A2904" s="12"/>
      <c r="B2904" s="13"/>
      <c r="C2904" s="42"/>
      <c r="D2904" s="20"/>
      <c r="E2904" s="21">
        <f t="shared" si="1"/>
        <v>12593.22</v>
      </c>
      <c r="F2904" s="23"/>
      <c r="G2904" s="21">
        <f t="shared" si="8"/>
        <v>318539.46</v>
      </c>
      <c r="H2904" s="23"/>
      <c r="I2904" s="21">
        <f t="shared" si="15"/>
        <v>781.68</v>
      </c>
      <c r="J2904" s="23"/>
      <c r="K2904" s="21">
        <f t="shared" si="13"/>
        <v>204430.28</v>
      </c>
      <c r="L2904" s="23"/>
      <c r="M2904" s="21">
        <f t="shared" si="16"/>
        <v>1894.93</v>
      </c>
    </row>
    <row r="2905" ht="20.25" customHeight="1" outlineLevel="1">
      <c r="A2905" s="12"/>
      <c r="B2905" s="13"/>
      <c r="C2905" s="42"/>
      <c r="D2905" s="20"/>
      <c r="E2905" s="21">
        <f t="shared" si="1"/>
        <v>12593.22</v>
      </c>
      <c r="F2905" s="23"/>
      <c r="G2905" s="21">
        <f t="shared" si="8"/>
        <v>318539.46</v>
      </c>
      <c r="H2905" s="23"/>
      <c r="I2905" s="21">
        <f t="shared" si="15"/>
        <v>781.68</v>
      </c>
      <c r="J2905" s="23"/>
      <c r="K2905" s="21">
        <f t="shared" si="13"/>
        <v>204430.28</v>
      </c>
      <c r="L2905" s="23"/>
      <c r="M2905" s="21">
        <f t="shared" si="16"/>
        <v>1894.93</v>
      </c>
    </row>
    <row r="2906" ht="20.25" customHeight="1" outlineLevel="1">
      <c r="A2906" s="12"/>
      <c r="B2906" s="13"/>
      <c r="C2906" s="28"/>
      <c r="D2906" s="20"/>
      <c r="E2906" s="21">
        <f t="shared" si="1"/>
        <v>12593.22</v>
      </c>
      <c r="F2906" s="23"/>
      <c r="G2906" s="21">
        <f t="shared" si="8"/>
        <v>318539.46</v>
      </c>
      <c r="H2906" s="23"/>
      <c r="I2906" s="21">
        <f t="shared" si="15"/>
        <v>781.68</v>
      </c>
      <c r="J2906" s="23"/>
      <c r="K2906" s="21">
        <f t="shared" si="13"/>
        <v>204430.28</v>
      </c>
      <c r="L2906" s="23"/>
      <c r="M2906" s="21">
        <f t="shared" si="16"/>
        <v>1894.93</v>
      </c>
    </row>
    <row r="2907" ht="20.25" customHeight="1" outlineLevel="1">
      <c r="A2907" s="12"/>
      <c r="B2907" s="13"/>
      <c r="C2907" s="28"/>
      <c r="D2907" s="20"/>
      <c r="E2907" s="21">
        <f t="shared" si="1"/>
        <v>12593.22</v>
      </c>
      <c r="F2907" s="23"/>
      <c r="G2907" s="21">
        <f t="shared" si="8"/>
        <v>318539.46</v>
      </c>
      <c r="H2907" s="23"/>
      <c r="I2907" s="21">
        <f t="shared" si="15"/>
        <v>781.68</v>
      </c>
      <c r="J2907" s="23"/>
      <c r="K2907" s="21">
        <f t="shared" si="13"/>
        <v>204430.28</v>
      </c>
      <c r="L2907" s="23"/>
      <c r="M2907" s="21">
        <f t="shared" si="16"/>
        <v>1894.93</v>
      </c>
    </row>
    <row r="2908" ht="20.25" customHeight="1" outlineLevel="1">
      <c r="A2908" s="12"/>
      <c r="B2908" s="13"/>
      <c r="C2908" s="28"/>
      <c r="D2908" s="20"/>
      <c r="E2908" s="21">
        <f t="shared" si="1"/>
        <v>12593.22</v>
      </c>
      <c r="F2908" s="23"/>
      <c r="G2908" s="21">
        <f t="shared" si="8"/>
        <v>318539.46</v>
      </c>
      <c r="H2908" s="23"/>
      <c r="I2908" s="21">
        <f t="shared" si="15"/>
        <v>781.68</v>
      </c>
      <c r="J2908" s="23"/>
      <c r="K2908" s="21">
        <f t="shared" si="13"/>
        <v>204430.28</v>
      </c>
      <c r="L2908" s="23"/>
      <c r="M2908" s="21">
        <f t="shared" si="16"/>
        <v>1894.93</v>
      </c>
    </row>
    <row r="2909" ht="20.25" customHeight="1" outlineLevel="1">
      <c r="A2909" s="12"/>
      <c r="B2909" s="13"/>
      <c r="C2909" s="28"/>
      <c r="D2909" s="20"/>
      <c r="E2909" s="21">
        <f t="shared" si="1"/>
        <v>12593.22</v>
      </c>
      <c r="F2909" s="23"/>
      <c r="G2909" s="21">
        <f t="shared" si="8"/>
        <v>318539.46</v>
      </c>
      <c r="H2909" s="23"/>
      <c r="I2909" s="21">
        <f t="shared" si="15"/>
        <v>781.68</v>
      </c>
      <c r="J2909" s="23"/>
      <c r="K2909" s="21">
        <f t="shared" si="13"/>
        <v>204430.28</v>
      </c>
      <c r="L2909" s="23"/>
      <c r="M2909" s="21">
        <f t="shared" si="16"/>
        <v>1894.93</v>
      </c>
    </row>
    <row r="2910" ht="20.25" customHeight="1" outlineLevel="1">
      <c r="A2910" s="12"/>
      <c r="B2910" s="13"/>
      <c r="C2910" s="28"/>
      <c r="D2910" s="20"/>
      <c r="E2910" s="21">
        <f t="shared" si="1"/>
        <v>12593.22</v>
      </c>
      <c r="F2910" s="23"/>
      <c r="G2910" s="21">
        <f t="shared" si="8"/>
        <v>318539.46</v>
      </c>
      <c r="H2910" s="23"/>
      <c r="I2910" s="21">
        <f t="shared" si="15"/>
        <v>781.68</v>
      </c>
      <c r="J2910" s="23"/>
      <c r="K2910" s="21">
        <f t="shared" si="13"/>
        <v>204430.28</v>
      </c>
      <c r="L2910" s="23"/>
      <c r="M2910" s="21">
        <f t="shared" si="16"/>
        <v>1894.93</v>
      </c>
    </row>
    <row r="2911" ht="20.25" customHeight="1" outlineLevel="1">
      <c r="A2911" s="12"/>
      <c r="B2911" s="13"/>
      <c r="C2911" s="28"/>
      <c r="D2911" s="20"/>
      <c r="E2911" s="21">
        <f t="shared" si="1"/>
        <v>12593.22</v>
      </c>
      <c r="F2911" s="23"/>
      <c r="G2911" s="21">
        <f t="shared" si="8"/>
        <v>318539.46</v>
      </c>
      <c r="H2911" s="23"/>
      <c r="I2911" s="21">
        <f t="shared" si="15"/>
        <v>781.68</v>
      </c>
      <c r="J2911" s="23"/>
      <c r="K2911" s="21">
        <f t="shared" si="13"/>
        <v>204430.28</v>
      </c>
      <c r="L2911" s="23"/>
      <c r="M2911" s="21">
        <f t="shared" si="16"/>
        <v>1894.93</v>
      </c>
    </row>
    <row r="2912" ht="20.25" customHeight="1" outlineLevel="1">
      <c r="A2912" s="12"/>
      <c r="B2912" s="13"/>
      <c r="C2912" s="28"/>
      <c r="D2912" s="20"/>
      <c r="E2912" s="21">
        <f t="shared" si="1"/>
        <v>12593.22</v>
      </c>
      <c r="F2912" s="23"/>
      <c r="G2912" s="21">
        <f t="shared" si="8"/>
        <v>318539.46</v>
      </c>
      <c r="H2912" s="23"/>
      <c r="I2912" s="21">
        <f t="shared" si="15"/>
        <v>781.68</v>
      </c>
      <c r="J2912" s="23"/>
      <c r="K2912" s="21">
        <f t="shared" si="13"/>
        <v>204430.28</v>
      </c>
      <c r="L2912" s="23"/>
      <c r="M2912" s="21">
        <f t="shared" si="16"/>
        <v>1894.93</v>
      </c>
    </row>
    <row r="2913" ht="20.25" customHeight="1" outlineLevel="1">
      <c r="A2913" s="12"/>
      <c r="B2913" s="13"/>
      <c r="C2913" s="28"/>
      <c r="D2913" s="20"/>
      <c r="E2913" s="21">
        <f t="shared" si="1"/>
        <v>12593.22</v>
      </c>
      <c r="F2913" s="23"/>
      <c r="G2913" s="21">
        <f t="shared" si="8"/>
        <v>318539.46</v>
      </c>
      <c r="H2913" s="23"/>
      <c r="I2913" s="21">
        <f t="shared" si="15"/>
        <v>781.68</v>
      </c>
      <c r="J2913" s="23"/>
      <c r="K2913" s="21">
        <f t="shared" si="13"/>
        <v>204430.28</v>
      </c>
      <c r="L2913" s="23"/>
      <c r="M2913" s="21">
        <f t="shared" si="16"/>
        <v>1894.93</v>
      </c>
    </row>
    <row r="2914" ht="20.25" customHeight="1" outlineLevel="1">
      <c r="A2914" s="12"/>
      <c r="B2914" s="13"/>
      <c r="C2914" s="42"/>
      <c r="D2914" s="20"/>
      <c r="E2914" s="21">
        <f t="shared" si="1"/>
        <v>12593.22</v>
      </c>
      <c r="F2914" s="23"/>
      <c r="G2914" s="21">
        <f t="shared" si="8"/>
        <v>318539.46</v>
      </c>
      <c r="H2914" s="23"/>
      <c r="I2914" s="21">
        <f t="shared" si="15"/>
        <v>781.68</v>
      </c>
      <c r="J2914" s="23"/>
      <c r="K2914" s="21">
        <f t="shared" si="13"/>
        <v>204430.28</v>
      </c>
      <c r="L2914" s="23"/>
      <c r="M2914" s="21">
        <f t="shared" si="16"/>
        <v>1894.93</v>
      </c>
    </row>
    <row r="2915" ht="20.25" customHeight="1" outlineLevel="1">
      <c r="A2915" s="12"/>
      <c r="B2915" s="13"/>
      <c r="C2915" s="42"/>
      <c r="D2915" s="20"/>
      <c r="E2915" s="21">
        <f t="shared" si="1"/>
        <v>12593.22</v>
      </c>
      <c r="F2915" s="23"/>
      <c r="G2915" s="21">
        <f t="shared" si="8"/>
        <v>318539.46</v>
      </c>
      <c r="H2915" s="23"/>
      <c r="I2915" s="21">
        <f t="shared" si="15"/>
        <v>781.68</v>
      </c>
      <c r="J2915" s="23"/>
      <c r="K2915" s="21">
        <f t="shared" si="13"/>
        <v>204430.28</v>
      </c>
      <c r="L2915" s="23"/>
      <c r="M2915" s="21">
        <f t="shared" si="16"/>
        <v>1894.93</v>
      </c>
    </row>
    <row r="2916" ht="20.25" customHeight="1" outlineLevel="1">
      <c r="A2916" s="12"/>
      <c r="B2916" s="13"/>
      <c r="C2916" s="42"/>
      <c r="D2916" s="20"/>
      <c r="E2916" s="21">
        <f t="shared" si="1"/>
        <v>12593.22</v>
      </c>
      <c r="F2916" s="23"/>
      <c r="G2916" s="21">
        <f t="shared" si="8"/>
        <v>318539.46</v>
      </c>
      <c r="H2916" s="23"/>
      <c r="I2916" s="21">
        <f t="shared" si="15"/>
        <v>781.68</v>
      </c>
      <c r="J2916" s="23"/>
      <c r="K2916" s="21">
        <f t="shared" si="13"/>
        <v>204430.28</v>
      </c>
      <c r="L2916" s="23"/>
      <c r="M2916" s="21">
        <f t="shared" si="16"/>
        <v>1894.93</v>
      </c>
    </row>
    <row r="2917" ht="20.25" customHeight="1" outlineLevel="1">
      <c r="A2917" s="12"/>
      <c r="B2917" s="13"/>
      <c r="C2917" s="42"/>
      <c r="D2917" s="20"/>
      <c r="E2917" s="21">
        <f t="shared" si="1"/>
        <v>12593.22</v>
      </c>
      <c r="F2917" s="23"/>
      <c r="G2917" s="21">
        <f t="shared" si="8"/>
        <v>318539.46</v>
      </c>
      <c r="H2917" s="23"/>
      <c r="I2917" s="21">
        <f t="shared" si="15"/>
        <v>781.68</v>
      </c>
      <c r="J2917" s="23"/>
      <c r="K2917" s="21">
        <f t="shared" si="13"/>
        <v>204430.28</v>
      </c>
      <c r="L2917" s="23"/>
      <c r="M2917" s="21">
        <f t="shared" si="16"/>
        <v>1894.93</v>
      </c>
    </row>
    <row r="2918" ht="20.25" customHeight="1" outlineLevel="1">
      <c r="A2918" s="12"/>
      <c r="B2918" s="13"/>
      <c r="C2918" s="28"/>
      <c r="D2918" s="20"/>
      <c r="E2918" s="21">
        <f t="shared" si="1"/>
        <v>12593.22</v>
      </c>
      <c r="F2918" s="23"/>
      <c r="G2918" s="21">
        <f t="shared" si="8"/>
        <v>318539.46</v>
      </c>
      <c r="H2918" s="23"/>
      <c r="I2918" s="21">
        <f t="shared" si="15"/>
        <v>781.68</v>
      </c>
      <c r="J2918" s="23"/>
      <c r="K2918" s="21">
        <f t="shared" si="13"/>
        <v>204430.28</v>
      </c>
      <c r="L2918" s="23"/>
      <c r="M2918" s="21">
        <f t="shared" si="16"/>
        <v>1894.93</v>
      </c>
    </row>
    <row r="2919" ht="20.25" customHeight="1" outlineLevel="1">
      <c r="A2919" s="12"/>
      <c r="B2919" s="13"/>
      <c r="C2919" s="28"/>
      <c r="D2919" s="20"/>
      <c r="E2919" s="21">
        <f t="shared" si="1"/>
        <v>12593.22</v>
      </c>
      <c r="F2919" s="23"/>
      <c r="G2919" s="21">
        <f t="shared" si="8"/>
        <v>318539.46</v>
      </c>
      <c r="H2919" s="23"/>
      <c r="I2919" s="21">
        <f t="shared" si="15"/>
        <v>781.68</v>
      </c>
      <c r="J2919" s="23"/>
      <c r="K2919" s="21">
        <f t="shared" si="13"/>
        <v>204430.28</v>
      </c>
      <c r="L2919" s="23"/>
      <c r="M2919" s="21">
        <f t="shared" si="16"/>
        <v>1894.93</v>
      </c>
    </row>
    <row r="2920" ht="20.25" customHeight="1" outlineLevel="1">
      <c r="A2920" s="12"/>
      <c r="B2920" s="13"/>
      <c r="C2920" s="28"/>
      <c r="D2920" s="20"/>
      <c r="E2920" s="21">
        <f t="shared" si="1"/>
        <v>12593.22</v>
      </c>
      <c r="F2920" s="23"/>
      <c r="G2920" s="21">
        <f t="shared" si="8"/>
        <v>318539.46</v>
      </c>
      <c r="H2920" s="23"/>
      <c r="I2920" s="21">
        <f t="shared" si="15"/>
        <v>781.68</v>
      </c>
      <c r="J2920" s="23"/>
      <c r="K2920" s="21">
        <f t="shared" si="13"/>
        <v>204430.28</v>
      </c>
      <c r="L2920" s="23"/>
      <c r="M2920" s="21">
        <f t="shared" si="16"/>
        <v>1894.93</v>
      </c>
    </row>
    <row r="2921" ht="20.25" customHeight="1" outlineLevel="1">
      <c r="A2921" s="12"/>
      <c r="B2921" s="13"/>
      <c r="C2921" s="70"/>
      <c r="D2921" s="20"/>
      <c r="E2921" s="21">
        <f t="shared" si="1"/>
        <v>12593.22</v>
      </c>
      <c r="F2921" s="23"/>
      <c r="G2921" s="21">
        <f t="shared" si="8"/>
        <v>318539.46</v>
      </c>
      <c r="H2921" s="23"/>
      <c r="I2921" s="21">
        <f t="shared" si="15"/>
        <v>781.68</v>
      </c>
      <c r="J2921" s="23"/>
      <c r="K2921" s="21">
        <f t="shared" si="13"/>
        <v>204430.28</v>
      </c>
      <c r="L2921" s="23"/>
      <c r="M2921" s="21">
        <f t="shared" si="16"/>
        <v>1894.93</v>
      </c>
    </row>
    <row r="2922" ht="20.25" customHeight="1" outlineLevel="1">
      <c r="A2922" s="12"/>
      <c r="B2922" s="13"/>
      <c r="C2922" s="42"/>
      <c r="D2922" s="20"/>
      <c r="E2922" s="21">
        <f t="shared" si="1"/>
        <v>12593.22</v>
      </c>
      <c r="F2922" s="23"/>
      <c r="G2922" s="21">
        <f t="shared" si="8"/>
        <v>318539.46</v>
      </c>
      <c r="H2922" s="23"/>
      <c r="I2922" s="21">
        <f t="shared" si="15"/>
        <v>781.68</v>
      </c>
      <c r="J2922" s="23"/>
      <c r="K2922" s="21">
        <f t="shared" si="13"/>
        <v>204430.28</v>
      </c>
      <c r="L2922" s="23"/>
      <c r="M2922" s="21">
        <f t="shared" si="16"/>
        <v>1894.93</v>
      </c>
    </row>
    <row r="2923" ht="20.25" customHeight="1" outlineLevel="1">
      <c r="A2923" s="12"/>
      <c r="B2923" s="13"/>
      <c r="C2923" s="42"/>
      <c r="D2923" s="20"/>
      <c r="E2923" s="21">
        <f t="shared" si="1"/>
        <v>12593.22</v>
      </c>
      <c r="F2923" s="23"/>
      <c r="G2923" s="21">
        <f t="shared" si="8"/>
        <v>318539.46</v>
      </c>
      <c r="H2923" s="23"/>
      <c r="I2923" s="21">
        <f t="shared" si="15"/>
        <v>781.68</v>
      </c>
      <c r="J2923" s="23"/>
      <c r="K2923" s="21">
        <f t="shared" si="13"/>
        <v>204430.28</v>
      </c>
      <c r="L2923" s="23"/>
      <c r="M2923" s="21">
        <f t="shared" si="16"/>
        <v>1894.93</v>
      </c>
    </row>
    <row r="2924" ht="20.25" customHeight="1" outlineLevel="1">
      <c r="A2924" s="12"/>
      <c r="B2924" s="13"/>
      <c r="C2924" s="42"/>
      <c r="D2924" s="20"/>
      <c r="E2924" s="21">
        <f t="shared" si="1"/>
        <v>12593.22</v>
      </c>
      <c r="F2924" s="23"/>
      <c r="G2924" s="21">
        <f t="shared" si="8"/>
        <v>318539.46</v>
      </c>
      <c r="H2924" s="23"/>
      <c r="I2924" s="21">
        <f t="shared" si="15"/>
        <v>781.68</v>
      </c>
      <c r="J2924" s="23"/>
      <c r="K2924" s="21">
        <f t="shared" si="13"/>
        <v>204430.28</v>
      </c>
      <c r="L2924" s="23"/>
      <c r="M2924" s="21">
        <f t="shared" si="16"/>
        <v>1894.93</v>
      </c>
    </row>
    <row r="2925" ht="20.25" customHeight="1" outlineLevel="1">
      <c r="A2925" s="12"/>
      <c r="B2925" s="13"/>
      <c r="C2925" s="28"/>
      <c r="D2925" s="20"/>
      <c r="E2925" s="21">
        <f t="shared" si="1"/>
        <v>12593.22</v>
      </c>
      <c r="F2925" s="23"/>
      <c r="G2925" s="21">
        <f t="shared" si="8"/>
        <v>318539.46</v>
      </c>
      <c r="H2925" s="23"/>
      <c r="I2925" s="21">
        <f t="shared" si="15"/>
        <v>781.68</v>
      </c>
      <c r="J2925" s="23"/>
      <c r="K2925" s="21">
        <f t="shared" si="13"/>
        <v>204430.28</v>
      </c>
      <c r="L2925" s="23"/>
      <c r="M2925" s="21">
        <f t="shared" si="16"/>
        <v>1894.93</v>
      </c>
    </row>
    <row r="2926" ht="20.25" customHeight="1" outlineLevel="1">
      <c r="A2926" s="12"/>
      <c r="B2926" s="13"/>
      <c r="C2926" s="28"/>
      <c r="D2926" s="20"/>
      <c r="E2926" s="21">
        <f t="shared" si="1"/>
        <v>12593.22</v>
      </c>
      <c r="F2926" s="23"/>
      <c r="G2926" s="21">
        <f t="shared" si="8"/>
        <v>318539.46</v>
      </c>
      <c r="H2926" s="23"/>
      <c r="I2926" s="21">
        <f t="shared" si="15"/>
        <v>781.68</v>
      </c>
      <c r="J2926" s="23"/>
      <c r="K2926" s="21">
        <f t="shared" si="13"/>
        <v>204430.28</v>
      </c>
      <c r="L2926" s="23"/>
      <c r="M2926" s="21">
        <f t="shared" si="16"/>
        <v>1894.93</v>
      </c>
    </row>
    <row r="2927" ht="20.25" customHeight="1" outlineLevel="1">
      <c r="A2927" s="12"/>
      <c r="B2927" s="13"/>
      <c r="C2927" s="28"/>
      <c r="D2927" s="20"/>
      <c r="E2927" s="21">
        <f t="shared" si="1"/>
        <v>12593.22</v>
      </c>
      <c r="F2927" s="23"/>
      <c r="G2927" s="21">
        <f t="shared" si="8"/>
        <v>318539.46</v>
      </c>
      <c r="H2927" s="23"/>
      <c r="I2927" s="21">
        <f t="shared" si="15"/>
        <v>781.68</v>
      </c>
      <c r="J2927" s="23"/>
      <c r="K2927" s="21">
        <f t="shared" si="13"/>
        <v>204430.28</v>
      </c>
      <c r="L2927" s="23"/>
      <c r="M2927" s="21">
        <f t="shared" si="16"/>
        <v>1894.93</v>
      </c>
    </row>
    <row r="2928" ht="20.25" customHeight="1" outlineLevel="1">
      <c r="A2928" s="12"/>
      <c r="B2928" s="13"/>
      <c r="C2928" s="28"/>
      <c r="D2928" s="20"/>
      <c r="E2928" s="21">
        <f t="shared" si="1"/>
        <v>12593.22</v>
      </c>
      <c r="F2928" s="23"/>
      <c r="G2928" s="21">
        <f t="shared" si="8"/>
        <v>318539.46</v>
      </c>
      <c r="H2928" s="23"/>
      <c r="I2928" s="21">
        <f t="shared" si="15"/>
        <v>781.68</v>
      </c>
      <c r="J2928" s="23"/>
      <c r="K2928" s="21">
        <f t="shared" si="13"/>
        <v>204430.28</v>
      </c>
      <c r="L2928" s="23"/>
      <c r="M2928" s="21">
        <f t="shared" si="16"/>
        <v>1894.93</v>
      </c>
    </row>
    <row r="2929" ht="20.25" customHeight="1" outlineLevel="1">
      <c r="A2929" s="12"/>
      <c r="B2929" s="13"/>
      <c r="C2929" s="42"/>
      <c r="D2929" s="20"/>
      <c r="E2929" s="21">
        <f t="shared" si="1"/>
        <v>12593.22</v>
      </c>
      <c r="F2929" s="23"/>
      <c r="G2929" s="21">
        <f t="shared" si="8"/>
        <v>318539.46</v>
      </c>
      <c r="H2929" s="23"/>
      <c r="I2929" s="21">
        <f t="shared" si="15"/>
        <v>781.68</v>
      </c>
      <c r="J2929" s="23"/>
      <c r="K2929" s="21">
        <f t="shared" si="13"/>
        <v>204430.28</v>
      </c>
      <c r="L2929" s="23"/>
      <c r="M2929" s="21">
        <f t="shared" si="16"/>
        <v>1894.93</v>
      </c>
    </row>
    <row r="2930" ht="20.25" customHeight="1" outlineLevel="1">
      <c r="A2930" s="12"/>
      <c r="B2930" s="13"/>
      <c r="C2930" s="42"/>
      <c r="D2930" s="20"/>
      <c r="E2930" s="21">
        <f t="shared" si="1"/>
        <v>12593.22</v>
      </c>
      <c r="F2930" s="23"/>
      <c r="G2930" s="21">
        <f t="shared" si="8"/>
        <v>318539.46</v>
      </c>
      <c r="H2930" s="23"/>
      <c r="I2930" s="21">
        <f t="shared" si="15"/>
        <v>781.68</v>
      </c>
      <c r="J2930" s="23"/>
      <c r="K2930" s="21">
        <f t="shared" si="13"/>
        <v>204430.28</v>
      </c>
      <c r="L2930" s="23"/>
      <c r="M2930" s="21">
        <f t="shared" si="16"/>
        <v>1894.93</v>
      </c>
    </row>
    <row r="2931" ht="20.25" customHeight="1" outlineLevel="1">
      <c r="A2931" s="12"/>
      <c r="B2931" s="13"/>
      <c r="C2931" s="42"/>
      <c r="D2931" s="20"/>
      <c r="E2931" s="21">
        <f t="shared" si="1"/>
        <v>12593.22</v>
      </c>
      <c r="F2931" s="23"/>
      <c r="G2931" s="21">
        <f t="shared" si="8"/>
        <v>318539.46</v>
      </c>
      <c r="H2931" s="23"/>
      <c r="I2931" s="21">
        <f t="shared" si="15"/>
        <v>781.68</v>
      </c>
      <c r="J2931" s="23"/>
      <c r="K2931" s="21">
        <f t="shared" si="13"/>
        <v>204430.28</v>
      </c>
      <c r="L2931" s="23"/>
      <c r="M2931" s="21">
        <f t="shared" si="16"/>
        <v>1894.93</v>
      </c>
    </row>
    <row r="2932" ht="20.25" customHeight="1" outlineLevel="1">
      <c r="A2932" s="12"/>
      <c r="B2932" s="13"/>
      <c r="C2932" s="42"/>
      <c r="D2932" s="20"/>
      <c r="E2932" s="21">
        <f t="shared" si="1"/>
        <v>12593.22</v>
      </c>
      <c r="F2932" s="23"/>
      <c r="G2932" s="21">
        <f t="shared" si="8"/>
        <v>318539.46</v>
      </c>
      <c r="H2932" s="23"/>
      <c r="I2932" s="21">
        <f t="shared" si="15"/>
        <v>781.68</v>
      </c>
      <c r="J2932" s="23"/>
      <c r="K2932" s="21">
        <f t="shared" si="13"/>
        <v>204430.28</v>
      </c>
      <c r="L2932" s="23"/>
      <c r="M2932" s="21">
        <f t="shared" si="16"/>
        <v>1894.93</v>
      </c>
    </row>
    <row r="2933" ht="20.25" customHeight="1" outlineLevel="1">
      <c r="A2933" s="12"/>
      <c r="B2933" s="13"/>
      <c r="C2933" s="70"/>
      <c r="D2933" s="20"/>
      <c r="E2933" s="21">
        <f t="shared" si="1"/>
        <v>12593.22</v>
      </c>
      <c r="F2933" s="23"/>
      <c r="G2933" s="21">
        <f t="shared" si="8"/>
        <v>318539.46</v>
      </c>
      <c r="H2933" s="23"/>
      <c r="I2933" s="21">
        <f t="shared" si="15"/>
        <v>781.68</v>
      </c>
      <c r="J2933" s="23"/>
      <c r="K2933" s="21">
        <f t="shared" si="13"/>
        <v>204430.28</v>
      </c>
      <c r="L2933" s="23"/>
      <c r="M2933" s="21">
        <f t="shared" si="16"/>
        <v>1894.93</v>
      </c>
    </row>
    <row r="2934" ht="20.25" customHeight="1" outlineLevel="1">
      <c r="A2934" s="12"/>
      <c r="B2934" s="13"/>
      <c r="C2934" s="28"/>
      <c r="D2934" s="20"/>
      <c r="E2934" s="21">
        <f t="shared" si="1"/>
        <v>12593.22</v>
      </c>
      <c r="F2934" s="23"/>
      <c r="G2934" s="21">
        <f t="shared" si="8"/>
        <v>318539.46</v>
      </c>
      <c r="H2934" s="23"/>
      <c r="I2934" s="21">
        <f t="shared" si="15"/>
        <v>781.68</v>
      </c>
      <c r="J2934" s="23"/>
      <c r="K2934" s="21">
        <f t="shared" si="13"/>
        <v>204430.28</v>
      </c>
      <c r="L2934" s="23"/>
      <c r="M2934" s="21">
        <f t="shared" si="16"/>
        <v>1894.93</v>
      </c>
    </row>
    <row r="2935" ht="20.25" customHeight="1" outlineLevel="1">
      <c r="A2935" s="12"/>
      <c r="B2935" s="13"/>
      <c r="C2935" s="28"/>
      <c r="D2935" s="20"/>
      <c r="E2935" s="21">
        <f t="shared" si="1"/>
        <v>12593.22</v>
      </c>
      <c r="F2935" s="23"/>
      <c r="G2935" s="21">
        <f t="shared" si="8"/>
        <v>318539.46</v>
      </c>
      <c r="H2935" s="23"/>
      <c r="I2935" s="21">
        <f t="shared" si="15"/>
        <v>781.68</v>
      </c>
      <c r="J2935" s="23"/>
      <c r="K2935" s="21">
        <f t="shared" si="13"/>
        <v>204430.28</v>
      </c>
      <c r="L2935" s="23"/>
      <c r="M2935" s="21">
        <f t="shared" si="16"/>
        <v>1894.93</v>
      </c>
    </row>
    <row r="2936" ht="20.25" customHeight="1" outlineLevel="1">
      <c r="A2936" s="12"/>
      <c r="B2936" s="13"/>
      <c r="C2936" s="28"/>
      <c r="D2936" s="20"/>
      <c r="E2936" s="21">
        <f t="shared" si="1"/>
        <v>12593.22</v>
      </c>
      <c r="F2936" s="23"/>
      <c r="G2936" s="21">
        <f t="shared" si="8"/>
        <v>318539.46</v>
      </c>
      <c r="H2936" s="23"/>
      <c r="I2936" s="21">
        <f t="shared" si="15"/>
        <v>781.68</v>
      </c>
      <c r="J2936" s="23"/>
      <c r="K2936" s="21">
        <f t="shared" si="13"/>
        <v>204430.28</v>
      </c>
      <c r="L2936" s="23"/>
      <c r="M2936" s="21">
        <f t="shared" si="16"/>
        <v>1894.93</v>
      </c>
    </row>
    <row r="2937" ht="20.25" customHeight="1" outlineLevel="1">
      <c r="A2937" s="12"/>
      <c r="B2937" s="13"/>
      <c r="C2937" s="28"/>
      <c r="D2937" s="20"/>
      <c r="E2937" s="21">
        <f t="shared" si="1"/>
        <v>12593.22</v>
      </c>
      <c r="F2937" s="23"/>
      <c r="G2937" s="21">
        <f t="shared" si="8"/>
        <v>318539.46</v>
      </c>
      <c r="H2937" s="23"/>
      <c r="I2937" s="21">
        <f t="shared" si="15"/>
        <v>781.68</v>
      </c>
      <c r="J2937" s="23"/>
      <c r="K2937" s="21">
        <f t="shared" si="13"/>
        <v>204430.28</v>
      </c>
      <c r="L2937" s="23"/>
      <c r="M2937" s="21">
        <f t="shared" si="16"/>
        <v>1894.93</v>
      </c>
    </row>
    <row r="2938" ht="20.25" customHeight="1" outlineLevel="1">
      <c r="A2938" s="12"/>
      <c r="B2938" s="13"/>
      <c r="C2938" s="28"/>
      <c r="D2938" s="20"/>
      <c r="E2938" s="21">
        <f t="shared" si="1"/>
        <v>12593.22</v>
      </c>
      <c r="F2938" s="23"/>
      <c r="G2938" s="21">
        <f t="shared" si="8"/>
        <v>318539.46</v>
      </c>
      <c r="H2938" s="23"/>
      <c r="I2938" s="21">
        <f t="shared" si="15"/>
        <v>781.68</v>
      </c>
      <c r="J2938" s="23"/>
      <c r="K2938" s="21">
        <f t="shared" si="13"/>
        <v>204430.28</v>
      </c>
      <c r="L2938" s="23"/>
      <c r="M2938" s="21">
        <f t="shared" si="16"/>
        <v>1894.93</v>
      </c>
    </row>
    <row r="2939" ht="20.25" customHeight="1" outlineLevel="1">
      <c r="A2939" s="12"/>
      <c r="B2939" s="13"/>
      <c r="C2939" s="28"/>
      <c r="D2939" s="20"/>
      <c r="E2939" s="21">
        <f t="shared" si="1"/>
        <v>12593.22</v>
      </c>
      <c r="F2939" s="23"/>
      <c r="G2939" s="21">
        <f t="shared" si="8"/>
        <v>318539.46</v>
      </c>
      <c r="H2939" s="23"/>
      <c r="I2939" s="21">
        <f t="shared" si="15"/>
        <v>781.68</v>
      </c>
      <c r="J2939" s="23"/>
      <c r="K2939" s="21">
        <f t="shared" si="13"/>
        <v>204430.28</v>
      </c>
      <c r="L2939" s="23"/>
      <c r="M2939" s="21">
        <f t="shared" si="16"/>
        <v>1894.93</v>
      </c>
    </row>
    <row r="2940" ht="20.25" customHeight="1" outlineLevel="1">
      <c r="A2940" s="12"/>
      <c r="B2940" s="13"/>
      <c r="C2940" s="28"/>
      <c r="D2940" s="20"/>
      <c r="E2940" s="21">
        <f t="shared" si="1"/>
        <v>12593.22</v>
      </c>
      <c r="F2940" s="23"/>
      <c r="G2940" s="21">
        <f t="shared" si="8"/>
        <v>318539.46</v>
      </c>
      <c r="H2940" s="23"/>
      <c r="I2940" s="21">
        <f t="shared" si="15"/>
        <v>781.68</v>
      </c>
      <c r="J2940" s="23"/>
      <c r="K2940" s="21">
        <f t="shared" si="13"/>
        <v>204430.28</v>
      </c>
      <c r="L2940" s="23"/>
      <c r="M2940" s="21">
        <f t="shared" si="16"/>
        <v>1894.93</v>
      </c>
    </row>
    <row r="2941" ht="20.25" customHeight="1" outlineLevel="1">
      <c r="A2941" s="12"/>
      <c r="B2941" s="13"/>
      <c r="C2941" s="28"/>
      <c r="D2941" s="20"/>
      <c r="E2941" s="21">
        <f t="shared" si="1"/>
        <v>12593.22</v>
      </c>
      <c r="F2941" s="23"/>
      <c r="G2941" s="21">
        <f t="shared" si="8"/>
        <v>318539.46</v>
      </c>
      <c r="H2941" s="23"/>
      <c r="I2941" s="21">
        <f t="shared" si="15"/>
        <v>781.68</v>
      </c>
      <c r="J2941" s="23"/>
      <c r="K2941" s="21">
        <f t="shared" si="13"/>
        <v>204430.28</v>
      </c>
      <c r="L2941" s="23"/>
      <c r="M2941" s="21">
        <f t="shared" si="16"/>
        <v>1894.93</v>
      </c>
    </row>
    <row r="2942" ht="20.25" customHeight="1" outlineLevel="1">
      <c r="A2942" s="12"/>
      <c r="B2942" s="13"/>
      <c r="C2942" s="28"/>
      <c r="D2942" s="20"/>
      <c r="E2942" s="21">
        <f t="shared" si="1"/>
        <v>12593.22</v>
      </c>
      <c r="F2942" s="23"/>
      <c r="G2942" s="21">
        <f t="shared" si="8"/>
        <v>318539.46</v>
      </c>
      <c r="H2942" s="23"/>
      <c r="I2942" s="21">
        <f t="shared" si="15"/>
        <v>781.68</v>
      </c>
      <c r="J2942" s="23"/>
      <c r="K2942" s="21">
        <f t="shared" si="13"/>
        <v>204430.28</v>
      </c>
      <c r="L2942" s="23"/>
      <c r="M2942" s="21">
        <f t="shared" si="16"/>
        <v>1894.93</v>
      </c>
    </row>
    <row r="2943" ht="20.25" customHeight="1" outlineLevel="1">
      <c r="A2943" s="12"/>
      <c r="B2943" s="13"/>
      <c r="C2943" s="28"/>
      <c r="D2943" s="20"/>
      <c r="E2943" s="21">
        <f t="shared" si="1"/>
        <v>12593.22</v>
      </c>
      <c r="F2943" s="23"/>
      <c r="G2943" s="21">
        <f t="shared" si="8"/>
        <v>318539.46</v>
      </c>
      <c r="H2943" s="23"/>
      <c r="I2943" s="21">
        <f t="shared" si="15"/>
        <v>781.68</v>
      </c>
      <c r="J2943" s="23"/>
      <c r="K2943" s="21">
        <f t="shared" si="13"/>
        <v>204430.28</v>
      </c>
      <c r="L2943" s="23"/>
      <c r="M2943" s="21">
        <f t="shared" si="16"/>
        <v>1894.93</v>
      </c>
    </row>
    <row r="2944" ht="20.25" customHeight="1" outlineLevel="1">
      <c r="A2944" s="12"/>
      <c r="B2944" s="13"/>
      <c r="C2944" s="28"/>
      <c r="D2944" s="20"/>
      <c r="E2944" s="21">
        <f t="shared" si="1"/>
        <v>12593.22</v>
      </c>
      <c r="F2944" s="23"/>
      <c r="G2944" s="21">
        <f t="shared" si="8"/>
        <v>318539.46</v>
      </c>
      <c r="H2944" s="23"/>
      <c r="I2944" s="21">
        <f t="shared" si="15"/>
        <v>781.68</v>
      </c>
      <c r="J2944" s="23"/>
      <c r="K2944" s="21">
        <f t="shared" si="13"/>
        <v>204430.28</v>
      </c>
      <c r="L2944" s="23"/>
      <c r="M2944" s="21">
        <f t="shared" si="16"/>
        <v>1894.93</v>
      </c>
    </row>
    <row r="2945" ht="20.25" customHeight="1" outlineLevel="1">
      <c r="A2945" s="12"/>
      <c r="B2945" s="13"/>
      <c r="C2945" s="28"/>
      <c r="D2945" s="20"/>
      <c r="E2945" s="21">
        <f t="shared" si="1"/>
        <v>12593.22</v>
      </c>
      <c r="F2945" s="23"/>
      <c r="G2945" s="21">
        <f t="shared" si="8"/>
        <v>318539.46</v>
      </c>
      <c r="H2945" s="23"/>
      <c r="I2945" s="21">
        <f t="shared" si="15"/>
        <v>781.68</v>
      </c>
      <c r="J2945" s="23"/>
      <c r="K2945" s="21">
        <f t="shared" si="13"/>
        <v>204430.28</v>
      </c>
      <c r="L2945" s="23"/>
      <c r="M2945" s="21">
        <f t="shared" si="16"/>
        <v>1894.93</v>
      </c>
    </row>
    <row r="2946" ht="20.25" customHeight="1" outlineLevel="1">
      <c r="A2946" s="12"/>
      <c r="B2946" s="13"/>
      <c r="C2946" s="28"/>
      <c r="D2946" s="20"/>
      <c r="E2946" s="21">
        <f t="shared" si="1"/>
        <v>12593.22</v>
      </c>
      <c r="F2946" s="23"/>
      <c r="G2946" s="21">
        <f t="shared" si="8"/>
        <v>318539.46</v>
      </c>
      <c r="H2946" s="23"/>
      <c r="I2946" s="21">
        <f t="shared" si="15"/>
        <v>781.68</v>
      </c>
      <c r="J2946" s="23"/>
      <c r="K2946" s="21">
        <f t="shared" si="13"/>
        <v>204430.28</v>
      </c>
      <c r="L2946" s="23"/>
      <c r="M2946" s="21">
        <f t="shared" si="16"/>
        <v>1894.93</v>
      </c>
    </row>
    <row r="2947" ht="20.25" customHeight="1" outlineLevel="1">
      <c r="A2947" s="12"/>
      <c r="B2947" s="13"/>
      <c r="C2947" s="28"/>
      <c r="D2947" s="20"/>
      <c r="E2947" s="21">
        <f t="shared" si="1"/>
        <v>12593.22</v>
      </c>
      <c r="F2947" s="23"/>
      <c r="G2947" s="21">
        <f t="shared" si="8"/>
        <v>318539.46</v>
      </c>
      <c r="H2947" s="23"/>
      <c r="I2947" s="21">
        <f t="shared" si="15"/>
        <v>781.68</v>
      </c>
      <c r="J2947" s="23"/>
      <c r="K2947" s="21">
        <f t="shared" si="13"/>
        <v>204430.28</v>
      </c>
      <c r="L2947" s="23"/>
      <c r="M2947" s="21">
        <f t="shared" si="16"/>
        <v>1894.93</v>
      </c>
    </row>
    <row r="2948" ht="20.25" customHeight="1" outlineLevel="1">
      <c r="A2948" s="12"/>
      <c r="B2948" s="13"/>
      <c r="C2948" s="28"/>
      <c r="D2948" s="20"/>
      <c r="E2948" s="21">
        <f t="shared" si="1"/>
        <v>12593.22</v>
      </c>
      <c r="F2948" s="23"/>
      <c r="G2948" s="21">
        <f t="shared" si="8"/>
        <v>318539.46</v>
      </c>
      <c r="H2948" s="23"/>
      <c r="I2948" s="21">
        <f t="shared" si="15"/>
        <v>781.68</v>
      </c>
      <c r="J2948" s="23"/>
      <c r="K2948" s="21">
        <f t="shared" si="13"/>
        <v>204430.28</v>
      </c>
      <c r="L2948" s="23"/>
      <c r="M2948" s="21">
        <f t="shared" si="16"/>
        <v>1894.93</v>
      </c>
    </row>
    <row r="2949" ht="20.25" customHeight="1" outlineLevel="1">
      <c r="A2949" s="12"/>
      <c r="B2949" s="13"/>
      <c r="C2949" s="28"/>
      <c r="D2949" s="20"/>
      <c r="E2949" s="21">
        <f t="shared" si="1"/>
        <v>12593.22</v>
      </c>
      <c r="F2949" s="23"/>
      <c r="G2949" s="21">
        <f t="shared" si="8"/>
        <v>318539.46</v>
      </c>
      <c r="H2949" s="23"/>
      <c r="I2949" s="21">
        <f t="shared" si="15"/>
        <v>781.68</v>
      </c>
      <c r="J2949" s="23"/>
      <c r="K2949" s="21">
        <f t="shared" si="13"/>
        <v>204430.28</v>
      </c>
      <c r="L2949" s="23"/>
      <c r="M2949" s="21">
        <f t="shared" si="16"/>
        <v>1894.93</v>
      </c>
    </row>
    <row r="2950" ht="20.25" customHeight="1" outlineLevel="1">
      <c r="A2950" s="12"/>
      <c r="B2950" s="13"/>
      <c r="C2950" s="28"/>
      <c r="D2950" s="20"/>
      <c r="E2950" s="21">
        <f t="shared" si="1"/>
        <v>12593.22</v>
      </c>
      <c r="F2950" s="23"/>
      <c r="G2950" s="21">
        <f t="shared" si="8"/>
        <v>318539.46</v>
      </c>
      <c r="H2950" s="23"/>
      <c r="I2950" s="21">
        <f t="shared" si="15"/>
        <v>781.68</v>
      </c>
      <c r="J2950" s="23"/>
      <c r="K2950" s="21">
        <f t="shared" si="13"/>
        <v>204430.28</v>
      </c>
      <c r="L2950" s="23"/>
      <c r="M2950" s="21">
        <f t="shared" si="16"/>
        <v>1894.93</v>
      </c>
    </row>
    <row r="2951" ht="20.25" customHeight="1" outlineLevel="1">
      <c r="A2951" s="12"/>
      <c r="B2951" s="13"/>
      <c r="C2951" s="42"/>
      <c r="D2951" s="20"/>
      <c r="E2951" s="21">
        <f t="shared" si="1"/>
        <v>12593.22</v>
      </c>
      <c r="F2951" s="23"/>
      <c r="G2951" s="21">
        <f t="shared" si="8"/>
        <v>318539.46</v>
      </c>
      <c r="H2951" s="23"/>
      <c r="I2951" s="21">
        <f t="shared" si="15"/>
        <v>781.68</v>
      </c>
      <c r="J2951" s="109"/>
      <c r="K2951" s="21">
        <f t="shared" si="13"/>
        <v>204430.28</v>
      </c>
      <c r="L2951" s="23"/>
      <c r="M2951" s="21">
        <f t="shared" si="16"/>
        <v>1894.93</v>
      </c>
    </row>
    <row r="2952" ht="20.25" customHeight="1" outlineLevel="1">
      <c r="A2952" s="12"/>
      <c r="B2952" s="13"/>
      <c r="C2952" s="42"/>
      <c r="D2952" s="20"/>
      <c r="E2952" s="21">
        <f t="shared" si="1"/>
        <v>12593.22</v>
      </c>
      <c r="F2952" s="23"/>
      <c r="G2952" s="21">
        <f t="shared" si="8"/>
        <v>318539.46</v>
      </c>
      <c r="H2952" s="23"/>
      <c r="I2952" s="21">
        <f t="shared" si="15"/>
        <v>781.68</v>
      </c>
      <c r="J2952" s="23"/>
      <c r="K2952" s="21">
        <f t="shared" si="13"/>
        <v>204430.28</v>
      </c>
      <c r="L2952" s="23"/>
      <c r="M2952" s="21">
        <f t="shared" si="16"/>
        <v>1894.93</v>
      </c>
    </row>
    <row r="2953" ht="20.25" customHeight="1" outlineLevel="1">
      <c r="A2953" s="12"/>
      <c r="B2953" s="13"/>
      <c r="C2953" s="42"/>
      <c r="D2953" s="20"/>
      <c r="E2953" s="21">
        <f t="shared" si="1"/>
        <v>12593.22</v>
      </c>
      <c r="F2953" s="23"/>
      <c r="G2953" s="21">
        <f t="shared" si="8"/>
        <v>318539.46</v>
      </c>
      <c r="H2953" s="23"/>
      <c r="I2953" s="21">
        <f t="shared" si="15"/>
        <v>781.68</v>
      </c>
      <c r="J2953" s="23"/>
      <c r="K2953" s="21">
        <f t="shared" si="13"/>
        <v>204430.28</v>
      </c>
      <c r="L2953" s="23"/>
      <c r="M2953" s="21">
        <f t="shared" si="16"/>
        <v>1894.93</v>
      </c>
    </row>
    <row r="2954" ht="20.25" customHeight="1" outlineLevel="1">
      <c r="A2954" s="12"/>
      <c r="B2954" s="13"/>
      <c r="C2954" s="42"/>
      <c r="D2954" s="20"/>
      <c r="E2954" s="21">
        <f t="shared" si="1"/>
        <v>12593.22</v>
      </c>
      <c r="F2954" s="23"/>
      <c r="G2954" s="21">
        <f t="shared" si="8"/>
        <v>318539.46</v>
      </c>
      <c r="H2954" s="23"/>
      <c r="I2954" s="21">
        <f t="shared" si="15"/>
        <v>781.68</v>
      </c>
      <c r="J2954" s="23"/>
      <c r="K2954" s="21">
        <f t="shared" si="13"/>
        <v>204430.28</v>
      </c>
      <c r="L2954" s="23"/>
      <c r="M2954" s="21">
        <f t="shared" si="16"/>
        <v>1894.93</v>
      </c>
    </row>
    <row r="2955" ht="20.25" customHeight="1" outlineLevel="1">
      <c r="A2955" s="12"/>
      <c r="B2955" s="13"/>
      <c r="C2955" s="42"/>
      <c r="D2955" s="20"/>
      <c r="E2955" s="21">
        <f t="shared" si="1"/>
        <v>12593.22</v>
      </c>
      <c r="F2955" s="23"/>
      <c r="G2955" s="21">
        <f t="shared" si="8"/>
        <v>318539.46</v>
      </c>
      <c r="H2955" s="23"/>
      <c r="I2955" s="21">
        <f t="shared" si="15"/>
        <v>781.68</v>
      </c>
      <c r="J2955" s="23"/>
      <c r="K2955" s="21">
        <f t="shared" si="13"/>
        <v>204430.28</v>
      </c>
      <c r="L2955" s="23"/>
      <c r="M2955" s="21">
        <f t="shared" si="16"/>
        <v>1894.93</v>
      </c>
    </row>
    <row r="2956" ht="20.25" customHeight="1" outlineLevel="1">
      <c r="A2956" s="12"/>
      <c r="B2956" s="13"/>
      <c r="C2956" s="28"/>
      <c r="D2956" s="20"/>
      <c r="E2956" s="21">
        <f t="shared" si="1"/>
        <v>12593.22</v>
      </c>
      <c r="F2956" s="23"/>
      <c r="G2956" s="21">
        <f t="shared" si="8"/>
        <v>318539.46</v>
      </c>
      <c r="H2956" s="23"/>
      <c r="I2956" s="21">
        <f t="shared" si="15"/>
        <v>781.68</v>
      </c>
      <c r="J2956" s="23"/>
      <c r="K2956" s="21">
        <f t="shared" si="13"/>
        <v>204430.28</v>
      </c>
      <c r="L2956" s="23"/>
      <c r="M2956" s="21">
        <f t="shared" si="16"/>
        <v>1894.93</v>
      </c>
    </row>
    <row r="2957" ht="20.25" customHeight="1" outlineLevel="1">
      <c r="A2957" s="12"/>
      <c r="B2957" s="13"/>
      <c r="C2957" s="28"/>
      <c r="D2957" s="20"/>
      <c r="E2957" s="21">
        <f t="shared" si="1"/>
        <v>12593.22</v>
      </c>
      <c r="F2957" s="23"/>
      <c r="G2957" s="21">
        <f t="shared" si="8"/>
        <v>318539.46</v>
      </c>
      <c r="H2957" s="23"/>
      <c r="I2957" s="21">
        <f t="shared" si="15"/>
        <v>781.68</v>
      </c>
      <c r="J2957" s="23"/>
      <c r="K2957" s="21">
        <f t="shared" si="13"/>
        <v>204430.28</v>
      </c>
      <c r="L2957" s="23"/>
      <c r="M2957" s="21">
        <f t="shared" si="16"/>
        <v>1894.93</v>
      </c>
    </row>
    <row r="2958" ht="20.25" customHeight="1" outlineLevel="1">
      <c r="A2958" s="12"/>
      <c r="B2958" s="13"/>
      <c r="C2958" s="70"/>
      <c r="D2958" s="20"/>
      <c r="E2958" s="21">
        <f t="shared" si="1"/>
        <v>12593.22</v>
      </c>
      <c r="F2958" s="23"/>
      <c r="G2958" s="21">
        <f t="shared" si="8"/>
        <v>318539.46</v>
      </c>
      <c r="H2958" s="23"/>
      <c r="I2958" s="21">
        <f t="shared" si="15"/>
        <v>781.68</v>
      </c>
      <c r="J2958" s="23"/>
      <c r="K2958" s="21">
        <f t="shared" si="13"/>
        <v>204430.28</v>
      </c>
      <c r="L2958" s="23"/>
      <c r="M2958" s="21">
        <f t="shared" si="16"/>
        <v>1894.93</v>
      </c>
    </row>
    <row r="2959" ht="20.25" customHeight="1" outlineLevel="1">
      <c r="A2959" s="12"/>
      <c r="B2959" s="13"/>
      <c r="C2959" s="28"/>
      <c r="D2959" s="20"/>
      <c r="E2959" s="21">
        <f t="shared" si="1"/>
        <v>12593.22</v>
      </c>
      <c r="F2959" s="23"/>
      <c r="G2959" s="21">
        <f t="shared" si="8"/>
        <v>318539.46</v>
      </c>
      <c r="H2959" s="23"/>
      <c r="I2959" s="21">
        <f t="shared" si="15"/>
        <v>781.68</v>
      </c>
      <c r="J2959" s="23"/>
      <c r="K2959" s="21">
        <f t="shared" si="13"/>
        <v>204430.28</v>
      </c>
      <c r="L2959" s="23"/>
      <c r="M2959" s="21">
        <f t="shared" si="16"/>
        <v>1894.93</v>
      </c>
    </row>
    <row r="2960" ht="20.25" customHeight="1" outlineLevel="1">
      <c r="A2960" s="12"/>
      <c r="B2960" s="13"/>
      <c r="C2960" s="28"/>
      <c r="D2960" s="20"/>
      <c r="E2960" s="21">
        <f t="shared" si="1"/>
        <v>12593.22</v>
      </c>
      <c r="F2960" s="23"/>
      <c r="G2960" s="21">
        <f t="shared" si="8"/>
        <v>318539.46</v>
      </c>
      <c r="H2960" s="23"/>
      <c r="I2960" s="21">
        <f t="shared" si="15"/>
        <v>781.68</v>
      </c>
      <c r="J2960" s="23"/>
      <c r="K2960" s="21">
        <f t="shared" si="13"/>
        <v>204430.28</v>
      </c>
      <c r="L2960" s="23"/>
      <c r="M2960" s="21">
        <f t="shared" si="16"/>
        <v>1894.93</v>
      </c>
    </row>
    <row r="2961" ht="20.25" customHeight="1" outlineLevel="1">
      <c r="A2961" s="12"/>
      <c r="B2961" s="13"/>
      <c r="C2961" s="28"/>
      <c r="D2961" s="20"/>
      <c r="E2961" s="21">
        <f t="shared" si="1"/>
        <v>12593.22</v>
      </c>
      <c r="F2961" s="23"/>
      <c r="G2961" s="21">
        <f t="shared" si="8"/>
        <v>318539.46</v>
      </c>
      <c r="H2961" s="23"/>
      <c r="I2961" s="21">
        <f t="shared" si="15"/>
        <v>781.68</v>
      </c>
      <c r="J2961" s="23"/>
      <c r="K2961" s="21">
        <f t="shared" si="13"/>
        <v>204430.28</v>
      </c>
      <c r="L2961" s="23"/>
      <c r="M2961" s="21">
        <f t="shared" si="16"/>
        <v>1894.93</v>
      </c>
    </row>
    <row r="2962" ht="20.25" customHeight="1" outlineLevel="1">
      <c r="A2962" s="12"/>
      <c r="B2962" s="13"/>
      <c r="C2962" s="42"/>
      <c r="D2962" s="20"/>
      <c r="E2962" s="21">
        <f t="shared" si="1"/>
        <v>12593.22</v>
      </c>
      <c r="F2962" s="23"/>
      <c r="G2962" s="21">
        <f t="shared" si="8"/>
        <v>318539.46</v>
      </c>
      <c r="H2962" s="23"/>
      <c r="I2962" s="21">
        <f t="shared" si="15"/>
        <v>781.68</v>
      </c>
      <c r="J2962" s="23"/>
      <c r="K2962" s="21">
        <f t="shared" si="13"/>
        <v>204430.28</v>
      </c>
      <c r="L2962" s="23"/>
      <c r="M2962" s="21">
        <f t="shared" si="16"/>
        <v>1894.93</v>
      </c>
    </row>
    <row r="2963" ht="20.25" customHeight="1" outlineLevel="1">
      <c r="A2963" s="12"/>
      <c r="B2963" s="13"/>
      <c r="C2963" s="42"/>
      <c r="D2963" s="20"/>
      <c r="E2963" s="21">
        <f t="shared" si="1"/>
        <v>12593.22</v>
      </c>
      <c r="F2963" s="23"/>
      <c r="G2963" s="21">
        <f t="shared" si="8"/>
        <v>318539.46</v>
      </c>
      <c r="H2963" s="23"/>
      <c r="I2963" s="21">
        <f t="shared" si="15"/>
        <v>781.68</v>
      </c>
      <c r="J2963" s="23"/>
      <c r="K2963" s="21">
        <f t="shared" si="13"/>
        <v>204430.28</v>
      </c>
      <c r="L2963" s="23"/>
      <c r="M2963" s="21">
        <f t="shared" si="16"/>
        <v>1894.93</v>
      </c>
    </row>
    <row r="2964" ht="20.25" customHeight="1" outlineLevel="1">
      <c r="A2964" s="12"/>
      <c r="B2964" s="13"/>
      <c r="C2964" s="42"/>
      <c r="D2964" s="20"/>
      <c r="E2964" s="21">
        <f t="shared" si="1"/>
        <v>12593.22</v>
      </c>
      <c r="F2964" s="23"/>
      <c r="G2964" s="21">
        <f t="shared" si="8"/>
        <v>318539.46</v>
      </c>
      <c r="H2964" s="23"/>
      <c r="I2964" s="21">
        <f t="shared" si="15"/>
        <v>781.68</v>
      </c>
      <c r="J2964" s="23"/>
      <c r="K2964" s="21">
        <f t="shared" si="13"/>
        <v>204430.28</v>
      </c>
      <c r="L2964" s="23"/>
      <c r="M2964" s="21">
        <f t="shared" si="16"/>
        <v>1894.93</v>
      </c>
    </row>
    <row r="2965" ht="20.25" customHeight="1" outlineLevel="1">
      <c r="A2965" s="12"/>
      <c r="B2965" s="13"/>
      <c r="C2965" s="42"/>
      <c r="D2965" s="20"/>
      <c r="E2965" s="21">
        <f t="shared" si="1"/>
        <v>12593.22</v>
      </c>
      <c r="F2965" s="23"/>
      <c r="G2965" s="21">
        <f t="shared" si="8"/>
        <v>318539.46</v>
      </c>
      <c r="H2965" s="23"/>
      <c r="I2965" s="21">
        <f t="shared" si="15"/>
        <v>781.68</v>
      </c>
      <c r="J2965" s="23"/>
      <c r="K2965" s="21">
        <f t="shared" si="13"/>
        <v>204430.28</v>
      </c>
      <c r="L2965" s="23"/>
      <c r="M2965" s="21">
        <f t="shared" si="16"/>
        <v>1894.93</v>
      </c>
    </row>
    <row r="2966" ht="20.25" customHeight="1" outlineLevel="1">
      <c r="A2966" s="12"/>
      <c r="B2966" s="13"/>
      <c r="C2966" s="28"/>
      <c r="D2966" s="20"/>
      <c r="E2966" s="21">
        <f t="shared" si="1"/>
        <v>12593.22</v>
      </c>
      <c r="F2966" s="23"/>
      <c r="G2966" s="21">
        <f t="shared" si="8"/>
        <v>318539.46</v>
      </c>
      <c r="H2966" s="23"/>
      <c r="I2966" s="21">
        <f t="shared" si="15"/>
        <v>781.68</v>
      </c>
      <c r="J2966" s="23"/>
      <c r="K2966" s="21">
        <f t="shared" si="13"/>
        <v>204430.28</v>
      </c>
      <c r="L2966" s="23"/>
      <c r="M2966" s="21">
        <f t="shared" si="16"/>
        <v>1894.93</v>
      </c>
    </row>
    <row r="2967" ht="20.25" customHeight="1" outlineLevel="1">
      <c r="A2967" s="12"/>
      <c r="B2967" s="13"/>
      <c r="C2967" s="28"/>
      <c r="D2967" s="20"/>
      <c r="E2967" s="21">
        <f t="shared" si="1"/>
        <v>12593.22</v>
      </c>
      <c r="F2967" s="23"/>
      <c r="G2967" s="21">
        <f t="shared" si="8"/>
        <v>318539.46</v>
      </c>
      <c r="H2967" s="23"/>
      <c r="I2967" s="21">
        <f t="shared" si="15"/>
        <v>781.68</v>
      </c>
      <c r="J2967" s="23"/>
      <c r="K2967" s="21">
        <f t="shared" si="13"/>
        <v>204430.28</v>
      </c>
      <c r="L2967" s="23"/>
      <c r="M2967" s="21">
        <f t="shared" si="16"/>
        <v>1894.93</v>
      </c>
    </row>
    <row r="2968" ht="20.25" customHeight="1" outlineLevel="1">
      <c r="A2968" s="12"/>
      <c r="B2968" s="13"/>
      <c r="C2968" s="28"/>
      <c r="D2968" s="20"/>
      <c r="E2968" s="21">
        <f t="shared" si="1"/>
        <v>12593.22</v>
      </c>
      <c r="F2968" s="23"/>
      <c r="G2968" s="21">
        <f t="shared" si="8"/>
        <v>318539.46</v>
      </c>
      <c r="H2968" s="23"/>
      <c r="I2968" s="21">
        <f t="shared" si="15"/>
        <v>781.68</v>
      </c>
      <c r="J2968" s="23"/>
      <c r="K2968" s="21">
        <f t="shared" si="13"/>
        <v>204430.28</v>
      </c>
      <c r="L2968" s="23"/>
      <c r="M2968" s="21">
        <f t="shared" si="16"/>
        <v>1894.93</v>
      </c>
    </row>
    <row r="2969" ht="20.25" customHeight="1" outlineLevel="1">
      <c r="A2969" s="12"/>
      <c r="B2969" s="13"/>
      <c r="C2969" s="28"/>
      <c r="D2969" s="20"/>
      <c r="E2969" s="21">
        <f t="shared" si="1"/>
        <v>12593.22</v>
      </c>
      <c r="F2969" s="23"/>
      <c r="G2969" s="21">
        <f t="shared" si="8"/>
        <v>318539.46</v>
      </c>
      <c r="H2969" s="23"/>
      <c r="I2969" s="21">
        <f t="shared" si="15"/>
        <v>781.68</v>
      </c>
      <c r="J2969" s="23"/>
      <c r="K2969" s="21">
        <f t="shared" si="13"/>
        <v>204430.28</v>
      </c>
      <c r="L2969" s="23"/>
      <c r="M2969" s="21">
        <f t="shared" si="16"/>
        <v>1894.93</v>
      </c>
    </row>
    <row r="2970" ht="20.25" customHeight="1" outlineLevel="1">
      <c r="A2970" s="12"/>
      <c r="B2970" s="13"/>
      <c r="C2970" s="28"/>
      <c r="D2970" s="20"/>
      <c r="E2970" s="21">
        <f t="shared" si="1"/>
        <v>12593.22</v>
      </c>
      <c r="F2970" s="23"/>
      <c r="G2970" s="21">
        <f t="shared" si="8"/>
        <v>318539.46</v>
      </c>
      <c r="H2970" s="23"/>
      <c r="I2970" s="21">
        <f t="shared" si="15"/>
        <v>781.68</v>
      </c>
      <c r="J2970" s="23"/>
      <c r="K2970" s="21">
        <f t="shared" si="13"/>
        <v>204430.28</v>
      </c>
      <c r="L2970" s="23"/>
      <c r="M2970" s="21">
        <f t="shared" si="16"/>
        <v>1894.93</v>
      </c>
    </row>
    <row r="2971" ht="20.25" customHeight="1" outlineLevel="1">
      <c r="A2971" s="12"/>
      <c r="B2971" s="13"/>
      <c r="C2971" s="28"/>
      <c r="D2971" s="20"/>
      <c r="E2971" s="21">
        <f t="shared" si="1"/>
        <v>12593.22</v>
      </c>
      <c r="F2971" s="23"/>
      <c r="G2971" s="21">
        <f t="shared" si="8"/>
        <v>318539.46</v>
      </c>
      <c r="H2971" s="23"/>
      <c r="I2971" s="21">
        <f t="shared" si="15"/>
        <v>781.68</v>
      </c>
      <c r="J2971" s="23"/>
      <c r="K2971" s="21">
        <f t="shared" si="13"/>
        <v>204430.28</v>
      </c>
      <c r="L2971" s="23"/>
      <c r="M2971" s="21">
        <f t="shared" si="16"/>
        <v>1894.93</v>
      </c>
    </row>
    <row r="2972" ht="20.25" customHeight="1" outlineLevel="1">
      <c r="A2972" s="12"/>
      <c r="B2972" s="13"/>
      <c r="C2972" s="28"/>
      <c r="D2972" s="20"/>
      <c r="E2972" s="21">
        <f t="shared" si="1"/>
        <v>12593.22</v>
      </c>
      <c r="F2972" s="23"/>
      <c r="G2972" s="21">
        <f t="shared" si="8"/>
        <v>318539.46</v>
      </c>
      <c r="H2972" s="23"/>
      <c r="I2972" s="21">
        <f t="shared" si="15"/>
        <v>781.68</v>
      </c>
      <c r="J2972" s="23"/>
      <c r="K2972" s="21">
        <f t="shared" si="13"/>
        <v>204430.28</v>
      </c>
      <c r="L2972" s="23"/>
      <c r="M2972" s="21">
        <f t="shared" si="16"/>
        <v>1894.93</v>
      </c>
    </row>
    <row r="2973" ht="20.25" customHeight="1" outlineLevel="1">
      <c r="A2973" s="12"/>
      <c r="B2973" s="13"/>
      <c r="C2973" s="28"/>
      <c r="D2973" s="20"/>
      <c r="E2973" s="21">
        <f t="shared" si="1"/>
        <v>12593.22</v>
      </c>
      <c r="F2973" s="23"/>
      <c r="G2973" s="21">
        <f t="shared" si="8"/>
        <v>318539.46</v>
      </c>
      <c r="H2973" s="23"/>
      <c r="I2973" s="21">
        <f t="shared" si="15"/>
        <v>781.68</v>
      </c>
      <c r="J2973" s="23"/>
      <c r="K2973" s="21">
        <f t="shared" si="13"/>
        <v>204430.28</v>
      </c>
      <c r="L2973" s="23"/>
      <c r="M2973" s="21">
        <f t="shared" si="16"/>
        <v>1894.93</v>
      </c>
    </row>
    <row r="2974" ht="20.25" customHeight="1" outlineLevel="1">
      <c r="A2974" s="12"/>
      <c r="B2974" s="13"/>
      <c r="C2974" s="28"/>
      <c r="D2974" s="20"/>
      <c r="E2974" s="21">
        <f t="shared" si="1"/>
        <v>12593.22</v>
      </c>
      <c r="F2974" s="23"/>
      <c r="G2974" s="21">
        <f t="shared" si="8"/>
        <v>318539.46</v>
      </c>
      <c r="H2974" s="23"/>
      <c r="I2974" s="21">
        <f t="shared" si="15"/>
        <v>781.68</v>
      </c>
      <c r="J2974" s="23"/>
      <c r="K2974" s="21">
        <f t="shared" si="13"/>
        <v>204430.28</v>
      </c>
      <c r="L2974" s="23"/>
      <c r="M2974" s="21">
        <f t="shared" si="16"/>
        <v>1894.93</v>
      </c>
    </row>
    <row r="2975" ht="20.25" customHeight="1" outlineLevel="1">
      <c r="A2975" s="12"/>
      <c r="B2975" s="13"/>
      <c r="C2975" s="28"/>
      <c r="D2975" s="20"/>
      <c r="E2975" s="21">
        <f t="shared" si="1"/>
        <v>12593.22</v>
      </c>
      <c r="F2975" s="23"/>
      <c r="G2975" s="21">
        <f t="shared" si="8"/>
        <v>318539.46</v>
      </c>
      <c r="H2975" s="23"/>
      <c r="I2975" s="21">
        <f t="shared" si="15"/>
        <v>781.68</v>
      </c>
      <c r="J2975" s="23"/>
      <c r="K2975" s="21">
        <f t="shared" si="13"/>
        <v>204430.28</v>
      </c>
      <c r="L2975" s="23"/>
      <c r="M2975" s="21">
        <f t="shared" si="16"/>
        <v>1894.93</v>
      </c>
    </row>
    <row r="2976" ht="20.25" customHeight="1" outlineLevel="1">
      <c r="A2976" s="12"/>
      <c r="B2976" s="13"/>
      <c r="C2976" s="28"/>
      <c r="D2976" s="20"/>
      <c r="E2976" s="21">
        <f t="shared" si="1"/>
        <v>12593.22</v>
      </c>
      <c r="F2976" s="23"/>
      <c r="G2976" s="21">
        <f t="shared" si="8"/>
        <v>318539.46</v>
      </c>
      <c r="H2976" s="23"/>
      <c r="I2976" s="21">
        <f t="shared" si="15"/>
        <v>781.68</v>
      </c>
      <c r="J2976" s="23"/>
      <c r="K2976" s="21">
        <f t="shared" si="13"/>
        <v>204430.28</v>
      </c>
      <c r="L2976" s="23"/>
      <c r="M2976" s="21">
        <f t="shared" si="16"/>
        <v>1894.93</v>
      </c>
    </row>
    <row r="2977" ht="20.25" customHeight="1" outlineLevel="1">
      <c r="A2977" s="12"/>
      <c r="B2977" s="13"/>
      <c r="C2977" s="28"/>
      <c r="D2977" s="20"/>
      <c r="E2977" s="21">
        <f t="shared" si="1"/>
        <v>12593.22</v>
      </c>
      <c r="F2977" s="23"/>
      <c r="G2977" s="21">
        <f t="shared" si="8"/>
        <v>318539.46</v>
      </c>
      <c r="H2977" s="23"/>
      <c r="I2977" s="21">
        <f t="shared" si="15"/>
        <v>781.68</v>
      </c>
      <c r="J2977" s="23"/>
      <c r="K2977" s="21">
        <f t="shared" si="13"/>
        <v>204430.28</v>
      </c>
      <c r="L2977" s="23"/>
      <c r="M2977" s="21">
        <f t="shared" si="16"/>
        <v>1894.93</v>
      </c>
    </row>
    <row r="2978" ht="20.25" customHeight="1" outlineLevel="1">
      <c r="A2978" s="12"/>
      <c r="B2978" s="13"/>
      <c r="C2978" s="28"/>
      <c r="D2978" s="20"/>
      <c r="E2978" s="21">
        <f t="shared" si="1"/>
        <v>12593.22</v>
      </c>
      <c r="F2978" s="23"/>
      <c r="G2978" s="21">
        <f t="shared" si="8"/>
        <v>318539.46</v>
      </c>
      <c r="H2978" s="23"/>
      <c r="I2978" s="21">
        <f t="shared" si="15"/>
        <v>781.68</v>
      </c>
      <c r="J2978" s="23"/>
      <c r="K2978" s="21">
        <f t="shared" si="13"/>
        <v>204430.28</v>
      </c>
      <c r="L2978" s="23"/>
      <c r="M2978" s="21">
        <f t="shared" si="16"/>
        <v>1894.93</v>
      </c>
    </row>
    <row r="2979" ht="20.25" customHeight="1" outlineLevel="1">
      <c r="A2979" s="12"/>
      <c r="B2979" s="13"/>
      <c r="C2979" s="28"/>
      <c r="D2979" s="20"/>
      <c r="E2979" s="21">
        <f t="shared" si="1"/>
        <v>12593.22</v>
      </c>
      <c r="F2979" s="23"/>
      <c r="G2979" s="21">
        <f t="shared" si="8"/>
        <v>318539.46</v>
      </c>
      <c r="H2979" s="23"/>
      <c r="I2979" s="21">
        <f t="shared" si="15"/>
        <v>781.68</v>
      </c>
      <c r="J2979" s="23"/>
      <c r="K2979" s="21">
        <f t="shared" si="13"/>
        <v>204430.28</v>
      </c>
      <c r="L2979" s="23"/>
      <c r="M2979" s="21">
        <f t="shared" si="16"/>
        <v>1894.93</v>
      </c>
    </row>
    <row r="2980" ht="20.25" customHeight="1" outlineLevel="1">
      <c r="A2980" s="12"/>
      <c r="B2980" s="13"/>
      <c r="C2980" s="28"/>
      <c r="D2980" s="20"/>
      <c r="E2980" s="21">
        <f t="shared" si="1"/>
        <v>12593.22</v>
      </c>
      <c r="F2980" s="23"/>
      <c r="G2980" s="21">
        <f t="shared" si="8"/>
        <v>318539.46</v>
      </c>
      <c r="H2980" s="23"/>
      <c r="I2980" s="21">
        <f t="shared" si="15"/>
        <v>781.68</v>
      </c>
      <c r="J2980" s="23"/>
      <c r="K2980" s="21">
        <f t="shared" si="13"/>
        <v>204430.28</v>
      </c>
      <c r="L2980" s="23"/>
      <c r="M2980" s="21">
        <f t="shared" si="16"/>
        <v>1894.93</v>
      </c>
    </row>
    <row r="2981" ht="20.25" customHeight="1" outlineLevel="1">
      <c r="A2981" s="12"/>
      <c r="B2981" s="13"/>
      <c r="C2981" s="28"/>
      <c r="D2981" s="20"/>
      <c r="E2981" s="21">
        <f t="shared" si="1"/>
        <v>12593.22</v>
      </c>
      <c r="F2981" s="23"/>
      <c r="G2981" s="21">
        <f t="shared" si="8"/>
        <v>318539.46</v>
      </c>
      <c r="H2981" s="23"/>
      <c r="I2981" s="21">
        <f t="shared" si="15"/>
        <v>781.68</v>
      </c>
      <c r="J2981" s="23"/>
      <c r="K2981" s="21">
        <f t="shared" si="13"/>
        <v>204430.28</v>
      </c>
      <c r="L2981" s="23"/>
      <c r="M2981" s="21">
        <f t="shared" si="16"/>
        <v>1894.93</v>
      </c>
    </row>
    <row r="2982" ht="20.25" customHeight="1" outlineLevel="1">
      <c r="A2982" s="12"/>
      <c r="B2982" s="13"/>
      <c r="C2982" s="28"/>
      <c r="D2982" s="20"/>
      <c r="E2982" s="21">
        <f t="shared" si="1"/>
        <v>12593.22</v>
      </c>
      <c r="F2982" s="23"/>
      <c r="G2982" s="21">
        <f t="shared" si="8"/>
        <v>318539.46</v>
      </c>
      <c r="H2982" s="23"/>
      <c r="I2982" s="21">
        <f t="shared" si="15"/>
        <v>781.68</v>
      </c>
      <c r="J2982" s="23"/>
      <c r="K2982" s="21">
        <f t="shared" si="13"/>
        <v>204430.28</v>
      </c>
      <c r="L2982" s="23"/>
      <c r="M2982" s="21">
        <f t="shared" si="16"/>
        <v>1894.93</v>
      </c>
    </row>
    <row r="2983" ht="20.25" customHeight="1" outlineLevel="1">
      <c r="A2983" s="12"/>
      <c r="B2983" s="13"/>
      <c r="C2983" s="28"/>
      <c r="D2983" s="20"/>
      <c r="E2983" s="21">
        <f t="shared" si="1"/>
        <v>12593.22</v>
      </c>
      <c r="F2983" s="23"/>
      <c r="G2983" s="21">
        <f t="shared" si="8"/>
        <v>318539.46</v>
      </c>
      <c r="H2983" s="23"/>
      <c r="I2983" s="21">
        <f t="shared" si="15"/>
        <v>781.68</v>
      </c>
      <c r="J2983" s="23"/>
      <c r="K2983" s="21">
        <f t="shared" si="13"/>
        <v>204430.28</v>
      </c>
      <c r="L2983" s="23"/>
      <c r="M2983" s="21">
        <f t="shared" si="16"/>
        <v>1894.93</v>
      </c>
    </row>
    <row r="2984" ht="20.25" customHeight="1" outlineLevel="1">
      <c r="A2984" s="12"/>
      <c r="B2984" s="13"/>
      <c r="C2984" s="28"/>
      <c r="D2984" s="20"/>
      <c r="E2984" s="21">
        <f t="shared" si="1"/>
        <v>12593.22</v>
      </c>
      <c r="F2984" s="23"/>
      <c r="G2984" s="21">
        <f t="shared" si="8"/>
        <v>318539.46</v>
      </c>
      <c r="H2984" s="23"/>
      <c r="I2984" s="21">
        <f t="shared" si="15"/>
        <v>781.68</v>
      </c>
      <c r="J2984" s="23"/>
      <c r="K2984" s="21">
        <f t="shared" si="13"/>
        <v>204430.28</v>
      </c>
      <c r="L2984" s="23"/>
      <c r="M2984" s="21">
        <f t="shared" si="16"/>
        <v>1894.93</v>
      </c>
    </row>
    <row r="2985" ht="20.25" customHeight="1" outlineLevel="1">
      <c r="A2985" s="12"/>
      <c r="B2985" s="13"/>
      <c r="C2985" s="28"/>
      <c r="D2985" s="20"/>
      <c r="E2985" s="21">
        <f t="shared" si="1"/>
        <v>12593.22</v>
      </c>
      <c r="F2985" s="23"/>
      <c r="G2985" s="21">
        <f t="shared" si="8"/>
        <v>318539.46</v>
      </c>
      <c r="H2985" s="23"/>
      <c r="I2985" s="21">
        <f t="shared" si="15"/>
        <v>781.68</v>
      </c>
      <c r="J2985" s="23"/>
      <c r="K2985" s="21">
        <f t="shared" si="13"/>
        <v>204430.28</v>
      </c>
      <c r="L2985" s="23"/>
      <c r="M2985" s="21">
        <f t="shared" si="16"/>
        <v>1894.93</v>
      </c>
    </row>
    <row r="2986" ht="20.25" customHeight="1" outlineLevel="1">
      <c r="A2986" s="12"/>
      <c r="B2986" s="13"/>
      <c r="C2986" s="28"/>
      <c r="D2986" s="20"/>
      <c r="E2986" s="21">
        <f t="shared" si="1"/>
        <v>12593.22</v>
      </c>
      <c r="F2986" s="23"/>
      <c r="G2986" s="21">
        <f t="shared" si="8"/>
        <v>318539.46</v>
      </c>
      <c r="H2986" s="23"/>
      <c r="I2986" s="21">
        <f t="shared" si="15"/>
        <v>781.68</v>
      </c>
      <c r="J2986" s="23"/>
      <c r="K2986" s="21">
        <f t="shared" si="13"/>
        <v>204430.28</v>
      </c>
      <c r="L2986" s="23"/>
      <c r="M2986" s="21">
        <f t="shared" si="16"/>
        <v>1894.93</v>
      </c>
    </row>
    <row r="2987" ht="20.25" customHeight="1" outlineLevel="1">
      <c r="A2987" s="12"/>
      <c r="B2987" s="13"/>
      <c r="C2987" s="28"/>
      <c r="D2987" s="20"/>
      <c r="E2987" s="21">
        <f t="shared" si="1"/>
        <v>12593.22</v>
      </c>
      <c r="F2987" s="23"/>
      <c r="G2987" s="21">
        <f t="shared" si="8"/>
        <v>318539.46</v>
      </c>
      <c r="H2987" s="23"/>
      <c r="I2987" s="21">
        <f t="shared" si="15"/>
        <v>781.68</v>
      </c>
      <c r="J2987" s="23"/>
      <c r="K2987" s="21">
        <f t="shared" si="13"/>
        <v>204430.28</v>
      </c>
      <c r="L2987" s="23"/>
      <c r="M2987" s="21">
        <f t="shared" si="16"/>
        <v>1894.93</v>
      </c>
    </row>
    <row r="2988" ht="20.25" customHeight="1" outlineLevel="1">
      <c r="A2988" s="12"/>
      <c r="B2988" s="13"/>
      <c r="C2988" s="28"/>
      <c r="D2988" s="20"/>
      <c r="E2988" s="21">
        <f t="shared" si="1"/>
        <v>12593.22</v>
      </c>
      <c r="F2988" s="23"/>
      <c r="G2988" s="21">
        <f t="shared" si="8"/>
        <v>318539.46</v>
      </c>
      <c r="H2988" s="23"/>
      <c r="I2988" s="21">
        <f t="shared" si="15"/>
        <v>781.68</v>
      </c>
      <c r="J2988" s="23"/>
      <c r="K2988" s="21">
        <f t="shared" si="13"/>
        <v>204430.28</v>
      </c>
      <c r="L2988" s="23"/>
      <c r="M2988" s="21">
        <f t="shared" si="16"/>
        <v>1894.93</v>
      </c>
    </row>
    <row r="2989" ht="20.25" customHeight="1" outlineLevel="1">
      <c r="A2989" s="12"/>
      <c r="B2989" s="13"/>
      <c r="C2989" s="28"/>
      <c r="D2989" s="20"/>
      <c r="E2989" s="21">
        <f t="shared" si="1"/>
        <v>12593.22</v>
      </c>
      <c r="F2989" s="23"/>
      <c r="G2989" s="21">
        <f t="shared" si="8"/>
        <v>318539.46</v>
      </c>
      <c r="H2989" s="23"/>
      <c r="I2989" s="21">
        <f t="shared" si="15"/>
        <v>781.68</v>
      </c>
      <c r="J2989" s="23"/>
      <c r="K2989" s="21">
        <f t="shared" si="13"/>
        <v>204430.28</v>
      </c>
      <c r="L2989" s="23"/>
      <c r="M2989" s="21">
        <f t="shared" si="16"/>
        <v>1894.93</v>
      </c>
    </row>
    <row r="2990" ht="20.25" customHeight="1" outlineLevel="1">
      <c r="A2990" s="12"/>
      <c r="B2990" s="13"/>
      <c r="C2990" s="28"/>
      <c r="D2990" s="20"/>
      <c r="E2990" s="21">
        <f t="shared" si="1"/>
        <v>12593.22</v>
      </c>
      <c r="F2990" s="23"/>
      <c r="G2990" s="21">
        <f t="shared" si="8"/>
        <v>318539.46</v>
      </c>
      <c r="H2990" s="23"/>
      <c r="I2990" s="21">
        <f t="shared" si="15"/>
        <v>781.68</v>
      </c>
      <c r="J2990" s="23"/>
      <c r="K2990" s="21">
        <f t="shared" si="13"/>
        <v>204430.28</v>
      </c>
      <c r="L2990" s="23"/>
      <c r="M2990" s="21">
        <f t="shared" si="16"/>
        <v>1894.93</v>
      </c>
    </row>
    <row r="2991" ht="20.25" customHeight="1" outlineLevel="1">
      <c r="A2991" s="12"/>
      <c r="B2991" s="13"/>
      <c r="C2991" s="28"/>
      <c r="D2991" s="20"/>
      <c r="E2991" s="21">
        <f t="shared" si="1"/>
        <v>12593.22</v>
      </c>
      <c r="F2991" s="23"/>
      <c r="G2991" s="21">
        <f t="shared" si="8"/>
        <v>318539.46</v>
      </c>
      <c r="H2991" s="23"/>
      <c r="I2991" s="21">
        <f t="shared" si="15"/>
        <v>781.68</v>
      </c>
      <c r="J2991" s="23"/>
      <c r="K2991" s="21">
        <f t="shared" si="13"/>
        <v>204430.28</v>
      </c>
      <c r="L2991" s="23"/>
      <c r="M2991" s="21">
        <f t="shared" si="16"/>
        <v>1894.93</v>
      </c>
    </row>
    <row r="2992" ht="20.25" customHeight="1" outlineLevel="1">
      <c r="A2992" s="12"/>
      <c r="B2992" s="13"/>
      <c r="C2992" s="28"/>
      <c r="D2992" s="20"/>
      <c r="E2992" s="21">
        <f t="shared" si="1"/>
        <v>12593.22</v>
      </c>
      <c r="F2992" s="23"/>
      <c r="G2992" s="21">
        <f t="shared" si="8"/>
        <v>318539.46</v>
      </c>
      <c r="H2992" s="23"/>
      <c r="I2992" s="21">
        <f t="shared" si="15"/>
        <v>781.68</v>
      </c>
      <c r="J2992" s="23"/>
      <c r="K2992" s="21">
        <f t="shared" si="13"/>
        <v>204430.28</v>
      </c>
      <c r="L2992" s="23"/>
      <c r="M2992" s="21">
        <f t="shared" si="16"/>
        <v>1894.93</v>
      </c>
    </row>
    <row r="2993" ht="20.25" customHeight="1" outlineLevel="1">
      <c r="A2993" s="12"/>
      <c r="B2993" s="13"/>
      <c r="C2993" s="28"/>
      <c r="D2993" s="20"/>
      <c r="E2993" s="21">
        <f t="shared" si="1"/>
        <v>12593.22</v>
      </c>
      <c r="F2993" s="23"/>
      <c r="G2993" s="21">
        <f t="shared" si="8"/>
        <v>318539.46</v>
      </c>
      <c r="H2993" s="23"/>
      <c r="I2993" s="21">
        <f t="shared" si="15"/>
        <v>781.68</v>
      </c>
      <c r="J2993" s="23"/>
      <c r="K2993" s="21">
        <f t="shared" si="13"/>
        <v>204430.28</v>
      </c>
      <c r="L2993" s="23"/>
      <c r="M2993" s="21">
        <f t="shared" si="16"/>
        <v>1894.93</v>
      </c>
    </row>
    <row r="2994" ht="20.25" customHeight="1" outlineLevel="1">
      <c r="A2994" s="12"/>
      <c r="B2994" s="13"/>
      <c r="C2994" s="28"/>
      <c r="D2994" s="20"/>
      <c r="E2994" s="21">
        <f t="shared" si="1"/>
        <v>12593.22</v>
      </c>
      <c r="F2994" s="23"/>
      <c r="G2994" s="21">
        <f t="shared" si="8"/>
        <v>318539.46</v>
      </c>
      <c r="H2994" s="23"/>
      <c r="I2994" s="21">
        <f t="shared" si="15"/>
        <v>781.68</v>
      </c>
      <c r="J2994" s="23"/>
      <c r="K2994" s="21">
        <f t="shared" si="13"/>
        <v>204430.28</v>
      </c>
      <c r="L2994" s="23"/>
      <c r="M2994" s="21">
        <f t="shared" si="16"/>
        <v>1894.93</v>
      </c>
    </row>
    <row r="2995" ht="20.25" customHeight="1" outlineLevel="1">
      <c r="A2995" s="12"/>
      <c r="B2995" s="13"/>
      <c r="C2995" s="28"/>
      <c r="D2995" s="20"/>
      <c r="E2995" s="21">
        <f t="shared" si="1"/>
        <v>12593.22</v>
      </c>
      <c r="F2995" s="23"/>
      <c r="G2995" s="21">
        <f t="shared" si="8"/>
        <v>318539.46</v>
      </c>
      <c r="H2995" s="23"/>
      <c r="I2995" s="21">
        <f t="shared" si="15"/>
        <v>781.68</v>
      </c>
      <c r="J2995" s="23"/>
      <c r="K2995" s="21">
        <f t="shared" si="13"/>
        <v>204430.28</v>
      </c>
      <c r="L2995" s="23"/>
      <c r="M2995" s="21">
        <f t="shared" si="16"/>
        <v>1894.93</v>
      </c>
    </row>
    <row r="2996" ht="20.25" customHeight="1" outlineLevel="1">
      <c r="A2996" s="12"/>
      <c r="B2996" s="13"/>
      <c r="C2996" s="28"/>
      <c r="D2996" s="20"/>
      <c r="E2996" s="21">
        <f t="shared" si="1"/>
        <v>12593.22</v>
      </c>
      <c r="F2996" s="23"/>
      <c r="G2996" s="21">
        <f t="shared" si="8"/>
        <v>318539.46</v>
      </c>
      <c r="H2996" s="23"/>
      <c r="I2996" s="21">
        <f t="shared" si="15"/>
        <v>781.68</v>
      </c>
      <c r="J2996" s="23"/>
      <c r="K2996" s="21">
        <f t="shared" si="13"/>
        <v>204430.28</v>
      </c>
      <c r="L2996" s="23"/>
      <c r="M2996" s="21">
        <f t="shared" si="16"/>
        <v>1894.93</v>
      </c>
    </row>
    <row r="2997" ht="20.25" customHeight="1" outlineLevel="1">
      <c r="A2997" s="12"/>
      <c r="B2997" s="13"/>
      <c r="C2997" s="28"/>
      <c r="D2997" s="20"/>
      <c r="E2997" s="21">
        <f t="shared" si="1"/>
        <v>12593.22</v>
      </c>
      <c r="F2997" s="23"/>
      <c r="G2997" s="21">
        <f t="shared" si="8"/>
        <v>318539.46</v>
      </c>
      <c r="H2997" s="23"/>
      <c r="I2997" s="21">
        <f t="shared" si="15"/>
        <v>781.68</v>
      </c>
      <c r="J2997" s="23"/>
      <c r="K2997" s="21">
        <f t="shared" si="13"/>
        <v>204430.28</v>
      </c>
      <c r="L2997" s="23"/>
      <c r="M2997" s="21">
        <f t="shared" si="16"/>
        <v>1894.93</v>
      </c>
    </row>
    <row r="2998" ht="20.25" customHeight="1" outlineLevel="1">
      <c r="A2998" s="12"/>
      <c r="B2998" s="13"/>
      <c r="C2998" s="28"/>
      <c r="D2998" s="20"/>
      <c r="E2998" s="21">
        <f t="shared" si="1"/>
        <v>12593.22</v>
      </c>
      <c r="F2998" s="23"/>
      <c r="G2998" s="21">
        <f t="shared" si="8"/>
        <v>318539.46</v>
      </c>
      <c r="H2998" s="23"/>
      <c r="I2998" s="21">
        <f t="shared" si="15"/>
        <v>781.68</v>
      </c>
      <c r="J2998" s="23"/>
      <c r="K2998" s="21">
        <f t="shared" si="13"/>
        <v>204430.28</v>
      </c>
      <c r="L2998" s="23"/>
      <c r="M2998" s="21">
        <f t="shared" si="16"/>
        <v>1894.93</v>
      </c>
    </row>
    <row r="2999" ht="20.25" customHeight="1" outlineLevel="1">
      <c r="A2999" s="12"/>
      <c r="B2999" s="13"/>
      <c r="C2999" s="42"/>
      <c r="D2999" s="20"/>
      <c r="E2999" s="21">
        <f t="shared" si="1"/>
        <v>12593.22</v>
      </c>
      <c r="F2999" s="23"/>
      <c r="G2999" s="21">
        <f t="shared" si="8"/>
        <v>318539.46</v>
      </c>
      <c r="H2999" s="23"/>
      <c r="I2999" s="21">
        <f t="shared" si="15"/>
        <v>781.68</v>
      </c>
      <c r="J2999" s="23"/>
      <c r="K2999" s="21">
        <f t="shared" si="13"/>
        <v>204430.28</v>
      </c>
      <c r="L2999" s="23"/>
      <c r="M2999" s="21">
        <f t="shared" si="16"/>
        <v>1894.93</v>
      </c>
    </row>
    <row r="3000" ht="20.25" customHeight="1" outlineLevel="1">
      <c r="A3000" s="12"/>
      <c r="B3000" s="13"/>
      <c r="C3000" s="42"/>
      <c r="D3000" s="20"/>
      <c r="E3000" s="21">
        <f t="shared" si="1"/>
        <v>12593.22</v>
      </c>
      <c r="F3000" s="23"/>
      <c r="G3000" s="21">
        <f t="shared" si="8"/>
        <v>318539.46</v>
      </c>
      <c r="H3000" s="23"/>
      <c r="I3000" s="21">
        <f t="shared" si="15"/>
        <v>781.68</v>
      </c>
      <c r="J3000" s="23"/>
      <c r="K3000" s="21">
        <f t="shared" si="13"/>
        <v>204430.28</v>
      </c>
      <c r="L3000" s="23"/>
      <c r="M3000" s="21">
        <f t="shared" si="16"/>
        <v>1894.93</v>
      </c>
    </row>
    <row r="3001" ht="20.25" customHeight="1" outlineLevel="1">
      <c r="A3001" s="12"/>
      <c r="B3001" s="13"/>
      <c r="C3001" s="42"/>
      <c r="D3001" s="20"/>
      <c r="E3001" s="21">
        <f t="shared" si="1"/>
        <v>12593.22</v>
      </c>
      <c r="F3001" s="23"/>
      <c r="G3001" s="21">
        <f t="shared" si="8"/>
        <v>318539.46</v>
      </c>
      <c r="H3001" s="23"/>
      <c r="I3001" s="21">
        <f t="shared" si="15"/>
        <v>781.68</v>
      </c>
      <c r="J3001" s="23"/>
      <c r="K3001" s="21">
        <f t="shared" si="13"/>
        <v>204430.28</v>
      </c>
      <c r="L3001" s="23"/>
      <c r="M3001" s="21">
        <f t="shared" si="16"/>
        <v>1894.93</v>
      </c>
    </row>
    <row r="3002" ht="20.25" customHeight="1" outlineLevel="1">
      <c r="A3002" s="12"/>
      <c r="B3002" s="13"/>
      <c r="C3002" s="28"/>
      <c r="D3002" s="20"/>
      <c r="E3002" s="21">
        <f t="shared" si="1"/>
        <v>12593.22</v>
      </c>
      <c r="F3002" s="23"/>
      <c r="G3002" s="21">
        <f t="shared" si="8"/>
        <v>318539.46</v>
      </c>
      <c r="H3002" s="23"/>
      <c r="I3002" s="21">
        <f t="shared" si="15"/>
        <v>781.68</v>
      </c>
      <c r="J3002" s="23"/>
      <c r="K3002" s="21">
        <f t="shared" si="13"/>
        <v>204430.28</v>
      </c>
      <c r="L3002" s="23"/>
      <c r="M3002" s="21">
        <f t="shared" si="16"/>
        <v>1894.93</v>
      </c>
    </row>
    <row r="3003" ht="20.25" customHeight="1" outlineLevel="1">
      <c r="A3003" s="12"/>
      <c r="B3003" s="13"/>
      <c r="C3003" s="28"/>
      <c r="D3003" s="20"/>
      <c r="E3003" s="21">
        <f t="shared" si="1"/>
        <v>12593.22</v>
      </c>
      <c r="F3003" s="23"/>
      <c r="G3003" s="21">
        <f t="shared" si="8"/>
        <v>318539.46</v>
      </c>
      <c r="H3003" s="23"/>
      <c r="I3003" s="21">
        <f t="shared" si="15"/>
        <v>781.68</v>
      </c>
      <c r="J3003" s="23"/>
      <c r="K3003" s="21">
        <f t="shared" si="13"/>
        <v>204430.28</v>
      </c>
      <c r="L3003" s="23"/>
      <c r="M3003" s="21">
        <f t="shared" si="16"/>
        <v>1894.93</v>
      </c>
    </row>
    <row r="3004" ht="20.25" customHeight="1" outlineLevel="1">
      <c r="A3004" s="12"/>
      <c r="B3004" s="13"/>
      <c r="C3004" s="28"/>
      <c r="D3004" s="20"/>
      <c r="E3004" s="21">
        <f t="shared" si="1"/>
        <v>12593.22</v>
      </c>
      <c r="F3004" s="23"/>
      <c r="G3004" s="21">
        <f t="shared" si="8"/>
        <v>318539.46</v>
      </c>
      <c r="H3004" s="23"/>
      <c r="I3004" s="21">
        <f t="shared" si="15"/>
        <v>781.68</v>
      </c>
      <c r="J3004" s="23"/>
      <c r="K3004" s="21">
        <f t="shared" si="13"/>
        <v>204430.28</v>
      </c>
      <c r="L3004" s="23"/>
      <c r="M3004" s="21">
        <f t="shared" si="16"/>
        <v>1894.93</v>
      </c>
    </row>
    <row r="3005" ht="20.25" customHeight="1" outlineLevel="1">
      <c r="A3005" s="12"/>
      <c r="B3005" s="13"/>
      <c r="C3005" s="28"/>
      <c r="D3005" s="20"/>
      <c r="E3005" s="21">
        <f t="shared" si="1"/>
        <v>12593.22</v>
      </c>
      <c r="F3005" s="23"/>
      <c r="G3005" s="21">
        <f t="shared" si="8"/>
        <v>318539.46</v>
      </c>
      <c r="H3005" s="23"/>
      <c r="I3005" s="21">
        <f t="shared" si="15"/>
        <v>781.68</v>
      </c>
      <c r="J3005" s="23"/>
      <c r="K3005" s="21">
        <f t="shared" si="13"/>
        <v>204430.28</v>
      </c>
      <c r="L3005" s="23"/>
      <c r="M3005" s="21">
        <f t="shared" si="16"/>
        <v>1894.93</v>
      </c>
    </row>
    <row r="3006" ht="20.25" customHeight="1" outlineLevel="1">
      <c r="A3006" s="12"/>
      <c r="B3006" s="13"/>
      <c r="C3006" s="28"/>
      <c r="D3006" s="20"/>
      <c r="E3006" s="21">
        <f t="shared" si="1"/>
        <v>12593.22</v>
      </c>
      <c r="F3006" s="23"/>
      <c r="G3006" s="21">
        <f t="shared" si="8"/>
        <v>318539.46</v>
      </c>
      <c r="H3006" s="23"/>
      <c r="I3006" s="21">
        <f t="shared" si="15"/>
        <v>781.68</v>
      </c>
      <c r="J3006" s="23"/>
      <c r="K3006" s="21">
        <f t="shared" si="13"/>
        <v>204430.28</v>
      </c>
      <c r="L3006" s="23"/>
      <c r="M3006" s="21">
        <f t="shared" si="16"/>
        <v>1894.93</v>
      </c>
    </row>
    <row r="3007" ht="20.25" customHeight="1" outlineLevel="1">
      <c r="A3007" s="12"/>
      <c r="B3007" s="13"/>
      <c r="C3007" s="28"/>
      <c r="D3007" s="20"/>
      <c r="E3007" s="21">
        <f t="shared" si="1"/>
        <v>12593.22</v>
      </c>
      <c r="F3007" s="23"/>
      <c r="G3007" s="21">
        <f t="shared" si="8"/>
        <v>318539.46</v>
      </c>
      <c r="H3007" s="23"/>
      <c r="I3007" s="21">
        <f t="shared" si="15"/>
        <v>781.68</v>
      </c>
      <c r="J3007" s="23"/>
      <c r="K3007" s="21">
        <f t="shared" si="13"/>
        <v>204430.28</v>
      </c>
      <c r="L3007" s="23"/>
      <c r="M3007" s="21">
        <f t="shared" si="16"/>
        <v>1894.93</v>
      </c>
    </row>
    <row r="3008" ht="20.25" customHeight="1" outlineLevel="1">
      <c r="A3008" s="12"/>
      <c r="B3008" s="13"/>
      <c r="C3008" s="70"/>
      <c r="D3008" s="20"/>
      <c r="E3008" s="21">
        <f t="shared" si="1"/>
        <v>12593.22</v>
      </c>
      <c r="F3008" s="23"/>
      <c r="G3008" s="21">
        <f t="shared" si="8"/>
        <v>318539.46</v>
      </c>
      <c r="H3008" s="23"/>
      <c r="I3008" s="21">
        <f t="shared" si="15"/>
        <v>781.68</v>
      </c>
      <c r="J3008" s="23"/>
      <c r="K3008" s="21">
        <f t="shared" si="13"/>
        <v>204430.28</v>
      </c>
      <c r="L3008" s="23"/>
      <c r="M3008" s="21">
        <f t="shared" si="16"/>
        <v>1894.93</v>
      </c>
    </row>
    <row r="3009" ht="20.25" customHeight="1" outlineLevel="1">
      <c r="A3009" s="12"/>
      <c r="B3009" s="13"/>
      <c r="C3009" s="42"/>
      <c r="D3009" s="20"/>
      <c r="E3009" s="21">
        <f t="shared" si="1"/>
        <v>12593.22</v>
      </c>
      <c r="F3009" s="23"/>
      <c r="G3009" s="21">
        <f t="shared" si="8"/>
        <v>318539.46</v>
      </c>
      <c r="H3009" s="23"/>
      <c r="I3009" s="21">
        <f t="shared" si="15"/>
        <v>781.68</v>
      </c>
      <c r="J3009" s="23"/>
      <c r="K3009" s="21">
        <f t="shared" si="13"/>
        <v>204430.28</v>
      </c>
      <c r="L3009" s="23"/>
      <c r="M3009" s="21">
        <f t="shared" si="16"/>
        <v>1894.93</v>
      </c>
    </row>
    <row r="3010" ht="20.25" customHeight="1" outlineLevel="1">
      <c r="A3010" s="12"/>
      <c r="B3010" s="13"/>
      <c r="C3010" s="42"/>
      <c r="D3010" s="20"/>
      <c r="E3010" s="21">
        <f t="shared" si="1"/>
        <v>12593.22</v>
      </c>
      <c r="F3010" s="23"/>
      <c r="G3010" s="21">
        <f t="shared" si="8"/>
        <v>318539.46</v>
      </c>
      <c r="H3010" s="23"/>
      <c r="I3010" s="21">
        <f t="shared" si="15"/>
        <v>781.68</v>
      </c>
      <c r="J3010" s="23"/>
      <c r="K3010" s="21">
        <f t="shared" si="13"/>
        <v>204430.28</v>
      </c>
      <c r="L3010" s="23"/>
      <c r="M3010" s="21">
        <f t="shared" si="16"/>
        <v>1894.93</v>
      </c>
    </row>
    <row r="3011" ht="20.25" customHeight="1" outlineLevel="1">
      <c r="A3011" s="12"/>
      <c r="B3011" s="13"/>
      <c r="C3011" s="42"/>
      <c r="D3011" s="20"/>
      <c r="E3011" s="21">
        <f t="shared" si="1"/>
        <v>12593.22</v>
      </c>
      <c r="F3011" s="23"/>
      <c r="G3011" s="21">
        <f t="shared" si="8"/>
        <v>318539.46</v>
      </c>
      <c r="H3011" s="23"/>
      <c r="I3011" s="21">
        <f t="shared" si="15"/>
        <v>781.68</v>
      </c>
      <c r="J3011" s="23"/>
      <c r="K3011" s="21">
        <f t="shared" si="13"/>
        <v>204430.28</v>
      </c>
      <c r="L3011" s="23"/>
      <c r="M3011" s="21">
        <f t="shared" si="16"/>
        <v>1894.93</v>
      </c>
    </row>
    <row r="3012" ht="20.25" customHeight="1" outlineLevel="1">
      <c r="A3012" s="12"/>
      <c r="B3012" s="13"/>
      <c r="C3012" s="42"/>
      <c r="D3012" s="20"/>
      <c r="E3012" s="21">
        <f t="shared" si="1"/>
        <v>12593.22</v>
      </c>
      <c r="F3012" s="23"/>
      <c r="G3012" s="21">
        <f t="shared" si="8"/>
        <v>318539.46</v>
      </c>
      <c r="H3012" s="23"/>
      <c r="I3012" s="21">
        <f t="shared" si="15"/>
        <v>781.68</v>
      </c>
      <c r="J3012" s="23"/>
      <c r="K3012" s="21">
        <f t="shared" si="13"/>
        <v>204430.28</v>
      </c>
      <c r="L3012" s="23"/>
      <c r="M3012" s="21">
        <f t="shared" si="16"/>
        <v>1894.93</v>
      </c>
    </row>
    <row r="3013" ht="20.25" customHeight="1" outlineLevel="1">
      <c r="A3013" s="12"/>
      <c r="B3013" s="13"/>
      <c r="C3013" s="42"/>
      <c r="D3013" s="20"/>
      <c r="E3013" s="21">
        <f t="shared" si="1"/>
        <v>12593.22</v>
      </c>
      <c r="F3013" s="23"/>
      <c r="G3013" s="21">
        <f t="shared" si="8"/>
        <v>318539.46</v>
      </c>
      <c r="H3013" s="23"/>
      <c r="I3013" s="21">
        <f t="shared" si="15"/>
        <v>781.68</v>
      </c>
      <c r="J3013" s="23"/>
      <c r="K3013" s="21">
        <f t="shared" si="13"/>
        <v>204430.28</v>
      </c>
      <c r="L3013" s="23"/>
      <c r="M3013" s="21">
        <f t="shared" si="16"/>
        <v>1894.93</v>
      </c>
    </row>
    <row r="3014" ht="20.25" customHeight="1" outlineLevel="1">
      <c r="A3014" s="12"/>
      <c r="B3014" s="13"/>
      <c r="C3014" s="42"/>
      <c r="D3014" s="20"/>
      <c r="E3014" s="21">
        <f t="shared" si="1"/>
        <v>12593.22</v>
      </c>
      <c r="F3014" s="23"/>
      <c r="G3014" s="21">
        <f t="shared" si="8"/>
        <v>318539.46</v>
      </c>
      <c r="H3014" s="23"/>
      <c r="I3014" s="21">
        <f t="shared" si="15"/>
        <v>781.68</v>
      </c>
      <c r="J3014" s="23"/>
      <c r="K3014" s="21">
        <f t="shared" si="13"/>
        <v>204430.28</v>
      </c>
      <c r="L3014" s="23"/>
      <c r="M3014" s="21">
        <f t="shared" si="16"/>
        <v>1894.93</v>
      </c>
    </row>
    <row r="3015" ht="20.25" customHeight="1" outlineLevel="1">
      <c r="A3015" s="12"/>
      <c r="B3015" s="13"/>
      <c r="C3015" s="42"/>
      <c r="D3015" s="20"/>
      <c r="E3015" s="21">
        <f t="shared" si="1"/>
        <v>12593.22</v>
      </c>
      <c r="F3015" s="23"/>
      <c r="G3015" s="21">
        <f t="shared" si="8"/>
        <v>318539.46</v>
      </c>
      <c r="H3015" s="23"/>
      <c r="I3015" s="21">
        <f t="shared" si="15"/>
        <v>781.68</v>
      </c>
      <c r="J3015" s="23"/>
      <c r="K3015" s="21">
        <f t="shared" si="13"/>
        <v>204430.28</v>
      </c>
      <c r="L3015" s="23"/>
      <c r="M3015" s="21">
        <f t="shared" si="16"/>
        <v>1894.93</v>
      </c>
    </row>
    <row r="3016" ht="20.25" customHeight="1" outlineLevel="1">
      <c r="A3016" s="12"/>
      <c r="B3016" s="13"/>
      <c r="C3016" s="28"/>
      <c r="D3016" s="20"/>
      <c r="E3016" s="21">
        <f t="shared" si="1"/>
        <v>12593.22</v>
      </c>
      <c r="F3016" s="23"/>
      <c r="G3016" s="21">
        <f t="shared" si="8"/>
        <v>318539.46</v>
      </c>
      <c r="H3016" s="23"/>
      <c r="I3016" s="21">
        <f t="shared" si="15"/>
        <v>781.68</v>
      </c>
      <c r="J3016" s="23"/>
      <c r="K3016" s="21">
        <f t="shared" si="13"/>
        <v>204430.28</v>
      </c>
      <c r="L3016" s="23"/>
      <c r="M3016" s="21">
        <f t="shared" si="16"/>
        <v>1894.93</v>
      </c>
    </row>
    <row r="3017" ht="20.25" customHeight="1" outlineLevel="1">
      <c r="A3017" s="12"/>
      <c r="B3017" s="13"/>
      <c r="C3017" s="28"/>
      <c r="D3017" s="20"/>
      <c r="E3017" s="21">
        <f t="shared" si="1"/>
        <v>12593.22</v>
      </c>
      <c r="F3017" s="23"/>
      <c r="G3017" s="21">
        <f t="shared" si="8"/>
        <v>318539.46</v>
      </c>
      <c r="H3017" s="23"/>
      <c r="I3017" s="21">
        <f t="shared" si="15"/>
        <v>781.68</v>
      </c>
      <c r="J3017" s="23"/>
      <c r="K3017" s="21">
        <f t="shared" si="13"/>
        <v>204430.28</v>
      </c>
      <c r="L3017" s="23"/>
      <c r="M3017" s="21">
        <f t="shared" si="16"/>
        <v>1894.93</v>
      </c>
    </row>
    <row r="3018" ht="20.25" customHeight="1" outlineLevel="1">
      <c r="A3018" s="12"/>
      <c r="B3018" s="13"/>
      <c r="C3018" s="28"/>
      <c r="D3018" s="20"/>
      <c r="E3018" s="21">
        <f t="shared" si="1"/>
        <v>12593.22</v>
      </c>
      <c r="F3018" s="23"/>
      <c r="G3018" s="21">
        <f t="shared" si="8"/>
        <v>318539.46</v>
      </c>
      <c r="H3018" s="23"/>
      <c r="I3018" s="21">
        <f t="shared" si="15"/>
        <v>781.68</v>
      </c>
      <c r="J3018" s="23"/>
      <c r="K3018" s="21">
        <f t="shared" si="13"/>
        <v>204430.28</v>
      </c>
      <c r="L3018" s="23"/>
      <c r="M3018" s="21">
        <f t="shared" si="16"/>
        <v>1894.93</v>
      </c>
    </row>
    <row r="3019" ht="20.25" customHeight="1" outlineLevel="1">
      <c r="A3019" s="12"/>
      <c r="B3019" s="13"/>
      <c r="C3019" s="28"/>
      <c r="D3019" s="20"/>
      <c r="E3019" s="21">
        <f t="shared" si="1"/>
        <v>12593.22</v>
      </c>
      <c r="F3019" s="23"/>
      <c r="G3019" s="21">
        <f t="shared" si="8"/>
        <v>318539.46</v>
      </c>
      <c r="H3019" s="23"/>
      <c r="I3019" s="21">
        <f t="shared" si="15"/>
        <v>781.68</v>
      </c>
      <c r="J3019" s="23"/>
      <c r="K3019" s="21">
        <f t="shared" si="13"/>
        <v>204430.28</v>
      </c>
      <c r="L3019" s="23"/>
      <c r="M3019" s="21">
        <f t="shared" si="16"/>
        <v>1894.93</v>
      </c>
    </row>
    <row r="3020" ht="20.25" customHeight="1" outlineLevel="1">
      <c r="A3020" s="12"/>
      <c r="B3020" s="13"/>
      <c r="C3020" s="28"/>
      <c r="D3020" s="20"/>
      <c r="E3020" s="21">
        <f t="shared" si="1"/>
        <v>12593.22</v>
      </c>
      <c r="F3020" s="23"/>
      <c r="G3020" s="21">
        <f t="shared" si="8"/>
        <v>318539.46</v>
      </c>
      <c r="H3020" s="23"/>
      <c r="I3020" s="21">
        <f t="shared" si="15"/>
        <v>781.68</v>
      </c>
      <c r="J3020" s="23"/>
      <c r="K3020" s="21">
        <f t="shared" si="13"/>
        <v>204430.28</v>
      </c>
      <c r="L3020" s="23"/>
      <c r="M3020" s="21">
        <f t="shared" si="16"/>
        <v>1894.93</v>
      </c>
    </row>
    <row r="3021" ht="20.25" customHeight="1" outlineLevel="1">
      <c r="A3021" s="12"/>
      <c r="B3021" s="13"/>
      <c r="C3021" s="28"/>
      <c r="D3021" s="20"/>
      <c r="E3021" s="21">
        <f t="shared" si="1"/>
        <v>12593.22</v>
      </c>
      <c r="F3021" s="23"/>
      <c r="G3021" s="21">
        <f t="shared" si="8"/>
        <v>318539.46</v>
      </c>
      <c r="H3021" s="23"/>
      <c r="I3021" s="21">
        <f t="shared" si="15"/>
        <v>781.68</v>
      </c>
      <c r="J3021" s="23"/>
      <c r="K3021" s="21">
        <f t="shared" si="13"/>
        <v>204430.28</v>
      </c>
      <c r="L3021" s="23"/>
      <c r="M3021" s="21">
        <f t="shared" si="16"/>
        <v>1894.93</v>
      </c>
    </row>
    <row r="3022" ht="20.25" customHeight="1" outlineLevel="1">
      <c r="A3022" s="12"/>
      <c r="B3022" s="13"/>
      <c r="C3022" s="28"/>
      <c r="D3022" s="20"/>
      <c r="E3022" s="21">
        <f t="shared" si="1"/>
        <v>12593.22</v>
      </c>
      <c r="F3022" s="23"/>
      <c r="G3022" s="21">
        <f t="shared" si="8"/>
        <v>318539.46</v>
      </c>
      <c r="H3022" s="23"/>
      <c r="I3022" s="21">
        <f t="shared" si="15"/>
        <v>781.68</v>
      </c>
      <c r="J3022" s="23"/>
      <c r="K3022" s="21">
        <f t="shared" si="13"/>
        <v>204430.28</v>
      </c>
      <c r="L3022" s="23"/>
      <c r="M3022" s="21">
        <f t="shared" si="16"/>
        <v>1894.93</v>
      </c>
    </row>
    <row r="3023" ht="20.25" customHeight="1" outlineLevel="1">
      <c r="A3023" s="12"/>
      <c r="B3023" s="13"/>
      <c r="C3023" s="42"/>
      <c r="D3023" s="20"/>
      <c r="E3023" s="21">
        <f t="shared" si="1"/>
        <v>12593.22</v>
      </c>
      <c r="F3023" s="23"/>
      <c r="G3023" s="21">
        <f t="shared" si="8"/>
        <v>318539.46</v>
      </c>
      <c r="H3023" s="23"/>
      <c r="I3023" s="21">
        <f t="shared" si="15"/>
        <v>781.68</v>
      </c>
      <c r="J3023" s="23"/>
      <c r="K3023" s="21">
        <f t="shared" si="13"/>
        <v>204430.28</v>
      </c>
      <c r="L3023" s="23"/>
      <c r="M3023" s="21">
        <f t="shared" si="16"/>
        <v>1894.93</v>
      </c>
    </row>
    <row r="3024" ht="20.25" customHeight="1" outlineLevel="1">
      <c r="A3024" s="12"/>
      <c r="B3024" s="13"/>
      <c r="C3024" s="42"/>
      <c r="D3024" s="20"/>
      <c r="E3024" s="21">
        <f t="shared" si="1"/>
        <v>12593.22</v>
      </c>
      <c r="F3024" s="23"/>
      <c r="G3024" s="21">
        <f t="shared" si="8"/>
        <v>318539.46</v>
      </c>
      <c r="H3024" s="23"/>
      <c r="I3024" s="21">
        <f t="shared" si="15"/>
        <v>781.68</v>
      </c>
      <c r="J3024" s="23"/>
      <c r="K3024" s="21">
        <f t="shared" si="13"/>
        <v>204430.28</v>
      </c>
      <c r="L3024" s="23"/>
      <c r="M3024" s="21">
        <f t="shared" si="16"/>
        <v>1894.93</v>
      </c>
    </row>
    <row r="3025" ht="20.25" customHeight="1" outlineLevel="1">
      <c r="A3025" s="12"/>
      <c r="B3025" s="13"/>
      <c r="C3025" s="42"/>
      <c r="D3025" s="20"/>
      <c r="E3025" s="21">
        <f t="shared" si="1"/>
        <v>12593.22</v>
      </c>
      <c r="F3025" s="23"/>
      <c r="G3025" s="21">
        <f t="shared" si="8"/>
        <v>318539.46</v>
      </c>
      <c r="H3025" s="23"/>
      <c r="I3025" s="21">
        <f t="shared" si="15"/>
        <v>781.68</v>
      </c>
      <c r="J3025" s="23"/>
      <c r="K3025" s="21">
        <f t="shared" si="13"/>
        <v>204430.28</v>
      </c>
      <c r="L3025" s="23"/>
      <c r="M3025" s="21">
        <f t="shared" si="16"/>
        <v>1894.93</v>
      </c>
    </row>
    <row r="3026" ht="20.25" customHeight="1" outlineLevel="1">
      <c r="A3026" s="12"/>
      <c r="B3026" s="13"/>
      <c r="C3026" s="42"/>
      <c r="D3026" s="20"/>
      <c r="E3026" s="21">
        <f t="shared" si="1"/>
        <v>12593.22</v>
      </c>
      <c r="F3026" s="23"/>
      <c r="G3026" s="21">
        <f t="shared" si="8"/>
        <v>318539.46</v>
      </c>
      <c r="H3026" s="23"/>
      <c r="I3026" s="21">
        <f t="shared" si="15"/>
        <v>781.68</v>
      </c>
      <c r="J3026" s="23"/>
      <c r="K3026" s="21">
        <f t="shared" si="13"/>
        <v>204430.28</v>
      </c>
      <c r="L3026" s="23"/>
      <c r="M3026" s="21">
        <f t="shared" si="16"/>
        <v>1894.93</v>
      </c>
    </row>
    <row r="3027" ht="20.25" customHeight="1" outlineLevel="1">
      <c r="A3027" s="12"/>
      <c r="B3027" s="13"/>
      <c r="C3027" s="42"/>
      <c r="D3027" s="20"/>
      <c r="E3027" s="21">
        <f t="shared" si="1"/>
        <v>12593.22</v>
      </c>
      <c r="F3027" s="23"/>
      <c r="G3027" s="21">
        <f t="shared" si="8"/>
        <v>318539.46</v>
      </c>
      <c r="H3027" s="23"/>
      <c r="I3027" s="21">
        <f t="shared" si="15"/>
        <v>781.68</v>
      </c>
      <c r="J3027" s="23"/>
      <c r="K3027" s="21">
        <f t="shared" si="13"/>
        <v>204430.28</v>
      </c>
      <c r="L3027" s="23"/>
      <c r="M3027" s="21">
        <f t="shared" si="16"/>
        <v>1894.93</v>
      </c>
    </row>
    <row r="3028" ht="20.25" customHeight="1" outlineLevel="1">
      <c r="A3028" s="12"/>
      <c r="B3028" s="13"/>
      <c r="C3028" s="42"/>
      <c r="D3028" s="20"/>
      <c r="E3028" s="21">
        <f t="shared" si="1"/>
        <v>12593.22</v>
      </c>
      <c r="F3028" s="23"/>
      <c r="G3028" s="21">
        <f t="shared" si="8"/>
        <v>318539.46</v>
      </c>
      <c r="H3028" s="23"/>
      <c r="I3028" s="21">
        <f t="shared" si="15"/>
        <v>781.68</v>
      </c>
      <c r="J3028" s="23"/>
      <c r="K3028" s="21">
        <f t="shared" si="13"/>
        <v>204430.28</v>
      </c>
      <c r="L3028" s="23"/>
      <c r="M3028" s="21">
        <f t="shared" si="16"/>
        <v>1894.93</v>
      </c>
    </row>
    <row r="3029" ht="20.25" customHeight="1" outlineLevel="1">
      <c r="A3029" s="12"/>
      <c r="B3029" s="13"/>
      <c r="C3029" s="28"/>
      <c r="D3029" s="20"/>
      <c r="E3029" s="21">
        <f t="shared" si="1"/>
        <v>12593.22</v>
      </c>
      <c r="F3029" s="23"/>
      <c r="G3029" s="21">
        <f t="shared" si="8"/>
        <v>318539.46</v>
      </c>
      <c r="H3029" s="23"/>
      <c r="I3029" s="21">
        <f t="shared" si="15"/>
        <v>781.68</v>
      </c>
      <c r="J3029" s="23"/>
      <c r="K3029" s="21">
        <f t="shared" si="13"/>
        <v>204430.28</v>
      </c>
      <c r="L3029" s="23"/>
      <c r="M3029" s="21">
        <f t="shared" si="16"/>
        <v>1894.93</v>
      </c>
    </row>
    <row r="3030" ht="20.25" customHeight="1" outlineLevel="1">
      <c r="A3030" s="12"/>
      <c r="B3030" s="13"/>
      <c r="C3030" s="28"/>
      <c r="D3030" s="20"/>
      <c r="E3030" s="21">
        <f t="shared" si="1"/>
        <v>12593.22</v>
      </c>
      <c r="F3030" s="23"/>
      <c r="G3030" s="21">
        <f t="shared" si="8"/>
        <v>318539.46</v>
      </c>
      <c r="H3030" s="23"/>
      <c r="I3030" s="21">
        <f t="shared" si="15"/>
        <v>781.68</v>
      </c>
      <c r="J3030" s="23"/>
      <c r="K3030" s="21">
        <f t="shared" si="13"/>
        <v>204430.28</v>
      </c>
      <c r="L3030" s="23"/>
      <c r="M3030" s="21">
        <f t="shared" si="16"/>
        <v>1894.93</v>
      </c>
    </row>
    <row r="3031" ht="20.25" customHeight="1" outlineLevel="1">
      <c r="A3031" s="12"/>
      <c r="B3031" s="13"/>
      <c r="C3031" s="42"/>
      <c r="D3031" s="20"/>
      <c r="E3031" s="21">
        <f t="shared" si="1"/>
        <v>12593.22</v>
      </c>
      <c r="F3031" s="23"/>
      <c r="G3031" s="21">
        <f t="shared" si="8"/>
        <v>318539.46</v>
      </c>
      <c r="H3031" s="23"/>
      <c r="I3031" s="21">
        <f t="shared" si="15"/>
        <v>781.68</v>
      </c>
      <c r="J3031" s="23"/>
      <c r="K3031" s="21">
        <f t="shared" si="13"/>
        <v>204430.28</v>
      </c>
      <c r="L3031" s="23"/>
      <c r="M3031" s="21">
        <f t="shared" si="16"/>
        <v>1894.93</v>
      </c>
    </row>
    <row r="3032" ht="20.25" customHeight="1" outlineLevel="1">
      <c r="A3032" s="12"/>
      <c r="B3032" s="13"/>
      <c r="C3032" s="42"/>
      <c r="D3032" s="20"/>
      <c r="E3032" s="21">
        <f t="shared" si="1"/>
        <v>12593.22</v>
      </c>
      <c r="F3032" s="23"/>
      <c r="G3032" s="21">
        <f t="shared" si="8"/>
        <v>318539.46</v>
      </c>
      <c r="H3032" s="23"/>
      <c r="I3032" s="21">
        <f t="shared" si="15"/>
        <v>781.68</v>
      </c>
      <c r="J3032" s="23"/>
      <c r="K3032" s="21">
        <f t="shared" si="13"/>
        <v>204430.28</v>
      </c>
      <c r="L3032" s="23"/>
      <c r="M3032" s="21">
        <f t="shared" si="16"/>
        <v>1894.93</v>
      </c>
    </row>
    <row r="3033" ht="20.25" customHeight="1" outlineLevel="1">
      <c r="A3033" s="12"/>
      <c r="B3033" s="13"/>
      <c r="C3033" s="42"/>
      <c r="D3033" s="20"/>
      <c r="E3033" s="21">
        <f t="shared" si="1"/>
        <v>12593.22</v>
      </c>
      <c r="F3033" s="23"/>
      <c r="G3033" s="21">
        <f t="shared" si="8"/>
        <v>318539.46</v>
      </c>
      <c r="H3033" s="23"/>
      <c r="I3033" s="21">
        <f t="shared" si="15"/>
        <v>781.68</v>
      </c>
      <c r="J3033" s="23"/>
      <c r="K3033" s="21">
        <f t="shared" si="13"/>
        <v>204430.28</v>
      </c>
      <c r="L3033" s="23"/>
      <c r="M3033" s="21">
        <f t="shared" si="16"/>
        <v>1894.93</v>
      </c>
    </row>
    <row r="3034" ht="20.25" customHeight="1" outlineLevel="1">
      <c r="A3034" s="12"/>
      <c r="B3034" s="13"/>
      <c r="C3034" s="42"/>
      <c r="D3034" s="20"/>
      <c r="E3034" s="21">
        <f t="shared" si="1"/>
        <v>12593.22</v>
      </c>
      <c r="F3034" s="23"/>
      <c r="G3034" s="21">
        <f t="shared" si="8"/>
        <v>318539.46</v>
      </c>
      <c r="H3034" s="23"/>
      <c r="I3034" s="21">
        <f t="shared" si="15"/>
        <v>781.68</v>
      </c>
      <c r="J3034" s="23"/>
      <c r="K3034" s="21">
        <f t="shared" si="13"/>
        <v>204430.28</v>
      </c>
      <c r="L3034" s="23"/>
      <c r="M3034" s="21">
        <f t="shared" si="16"/>
        <v>1894.93</v>
      </c>
    </row>
    <row r="3035" ht="20.25" customHeight="1" outlineLevel="1">
      <c r="A3035" s="12"/>
      <c r="B3035" s="13"/>
      <c r="C3035" s="42"/>
      <c r="D3035" s="20"/>
      <c r="E3035" s="21">
        <f t="shared" si="1"/>
        <v>12593.22</v>
      </c>
      <c r="F3035" s="23"/>
      <c r="G3035" s="21">
        <f t="shared" si="8"/>
        <v>318539.46</v>
      </c>
      <c r="H3035" s="23"/>
      <c r="I3035" s="21">
        <f t="shared" si="15"/>
        <v>781.68</v>
      </c>
      <c r="J3035" s="23"/>
      <c r="K3035" s="21">
        <f t="shared" si="13"/>
        <v>204430.28</v>
      </c>
      <c r="L3035" s="23"/>
      <c r="M3035" s="21">
        <f t="shared" si="16"/>
        <v>1894.93</v>
      </c>
    </row>
    <row r="3036" ht="20.25" customHeight="1" outlineLevel="1">
      <c r="A3036" s="12"/>
      <c r="B3036" s="13"/>
      <c r="C3036" s="42"/>
      <c r="D3036" s="20"/>
      <c r="E3036" s="21">
        <f t="shared" si="1"/>
        <v>12593.22</v>
      </c>
      <c r="F3036" s="23"/>
      <c r="G3036" s="21">
        <f t="shared" si="8"/>
        <v>318539.46</v>
      </c>
      <c r="H3036" s="23"/>
      <c r="I3036" s="21">
        <f t="shared" si="15"/>
        <v>781.68</v>
      </c>
      <c r="J3036" s="23"/>
      <c r="K3036" s="21">
        <f t="shared" si="13"/>
        <v>204430.28</v>
      </c>
      <c r="L3036" s="23"/>
      <c r="M3036" s="21">
        <f t="shared" si="16"/>
        <v>1894.93</v>
      </c>
    </row>
    <row r="3037" ht="20.25" customHeight="1" outlineLevel="1">
      <c r="A3037" s="12"/>
      <c r="B3037" s="13"/>
      <c r="C3037" s="42"/>
      <c r="D3037" s="20"/>
      <c r="E3037" s="21">
        <f t="shared" si="1"/>
        <v>12593.22</v>
      </c>
      <c r="F3037" s="23"/>
      <c r="G3037" s="21">
        <f t="shared" si="8"/>
        <v>318539.46</v>
      </c>
      <c r="H3037" s="23"/>
      <c r="I3037" s="21">
        <f t="shared" si="15"/>
        <v>781.68</v>
      </c>
      <c r="J3037" s="23"/>
      <c r="K3037" s="21">
        <f t="shared" si="13"/>
        <v>204430.28</v>
      </c>
      <c r="L3037" s="23"/>
      <c r="M3037" s="21">
        <f t="shared" si="16"/>
        <v>1894.93</v>
      </c>
    </row>
    <row r="3038" ht="20.25" customHeight="1" outlineLevel="1">
      <c r="A3038" s="12"/>
      <c r="B3038" s="13"/>
      <c r="C3038" s="42"/>
      <c r="D3038" s="20"/>
      <c r="E3038" s="21">
        <f t="shared" si="1"/>
        <v>12593.22</v>
      </c>
      <c r="F3038" s="23"/>
      <c r="G3038" s="21">
        <f t="shared" si="8"/>
        <v>318539.46</v>
      </c>
      <c r="H3038" s="23"/>
      <c r="I3038" s="21">
        <f t="shared" si="15"/>
        <v>781.68</v>
      </c>
      <c r="J3038" s="23"/>
      <c r="K3038" s="21">
        <f t="shared" si="13"/>
        <v>204430.28</v>
      </c>
      <c r="L3038" s="23"/>
      <c r="M3038" s="21">
        <f t="shared" si="16"/>
        <v>1894.93</v>
      </c>
    </row>
    <row r="3039" ht="20.25" customHeight="1" outlineLevel="1">
      <c r="A3039" s="12"/>
      <c r="B3039" s="13"/>
      <c r="C3039" s="42"/>
      <c r="D3039" s="20"/>
      <c r="E3039" s="21">
        <f t="shared" si="1"/>
        <v>12593.22</v>
      </c>
      <c r="F3039" s="23"/>
      <c r="G3039" s="21">
        <f t="shared" si="8"/>
        <v>318539.46</v>
      </c>
      <c r="H3039" s="23"/>
      <c r="I3039" s="21">
        <f t="shared" si="15"/>
        <v>781.68</v>
      </c>
      <c r="J3039" s="23"/>
      <c r="K3039" s="21">
        <f t="shared" si="13"/>
        <v>204430.28</v>
      </c>
      <c r="L3039" s="23"/>
      <c r="M3039" s="21">
        <f t="shared" si="16"/>
        <v>1894.93</v>
      </c>
    </row>
    <row r="3040" ht="20.25" customHeight="1" outlineLevel="1">
      <c r="A3040" s="12"/>
      <c r="B3040" s="13"/>
      <c r="C3040" s="70"/>
      <c r="D3040" s="20"/>
      <c r="E3040" s="21">
        <f t="shared" si="1"/>
        <v>12593.22</v>
      </c>
      <c r="F3040" s="23"/>
      <c r="G3040" s="21">
        <f t="shared" si="8"/>
        <v>318539.46</v>
      </c>
      <c r="H3040" s="23"/>
      <c r="I3040" s="21">
        <f t="shared" si="15"/>
        <v>781.68</v>
      </c>
      <c r="J3040" s="23"/>
      <c r="K3040" s="21">
        <f t="shared" si="13"/>
        <v>204430.28</v>
      </c>
      <c r="L3040" s="23"/>
      <c r="M3040" s="21">
        <f t="shared" si="16"/>
        <v>1894.93</v>
      </c>
    </row>
    <row r="3041" ht="20.25" customHeight="1" outlineLevel="1">
      <c r="A3041" s="12"/>
      <c r="B3041" s="13"/>
      <c r="C3041" s="42"/>
      <c r="D3041" s="20"/>
      <c r="E3041" s="21">
        <f t="shared" si="1"/>
        <v>12593.22</v>
      </c>
      <c r="F3041" s="23"/>
      <c r="G3041" s="21">
        <f t="shared" si="8"/>
        <v>318539.46</v>
      </c>
      <c r="H3041" s="23"/>
      <c r="I3041" s="21">
        <f t="shared" si="15"/>
        <v>781.68</v>
      </c>
      <c r="J3041" s="23"/>
      <c r="K3041" s="21">
        <f t="shared" si="13"/>
        <v>204430.28</v>
      </c>
      <c r="L3041" s="23"/>
      <c r="M3041" s="21">
        <f t="shared" si="16"/>
        <v>1894.93</v>
      </c>
    </row>
    <row r="3042" ht="20.25" customHeight="1" outlineLevel="1">
      <c r="A3042" s="12"/>
      <c r="B3042" s="13"/>
      <c r="C3042" s="42"/>
      <c r="D3042" s="20"/>
      <c r="E3042" s="21">
        <f t="shared" si="1"/>
        <v>12593.22</v>
      </c>
      <c r="F3042" s="23"/>
      <c r="G3042" s="21">
        <f t="shared" si="8"/>
        <v>318539.46</v>
      </c>
      <c r="H3042" s="23"/>
      <c r="I3042" s="21">
        <f t="shared" si="15"/>
        <v>781.68</v>
      </c>
      <c r="J3042" s="23"/>
      <c r="K3042" s="21">
        <f t="shared" si="13"/>
        <v>204430.28</v>
      </c>
      <c r="L3042" s="23"/>
      <c r="M3042" s="21">
        <f t="shared" si="16"/>
        <v>1894.93</v>
      </c>
    </row>
    <row r="3043" ht="20.25" customHeight="1" outlineLevel="1">
      <c r="A3043" s="12"/>
      <c r="B3043" s="13"/>
      <c r="C3043" s="42"/>
      <c r="D3043" s="20"/>
      <c r="E3043" s="21">
        <f t="shared" si="1"/>
        <v>12593.22</v>
      </c>
      <c r="F3043" s="23"/>
      <c r="G3043" s="21">
        <f t="shared" si="8"/>
        <v>318539.46</v>
      </c>
      <c r="H3043" s="23"/>
      <c r="I3043" s="21">
        <f t="shared" si="15"/>
        <v>781.68</v>
      </c>
      <c r="J3043" s="23"/>
      <c r="K3043" s="21">
        <f t="shared" si="13"/>
        <v>204430.28</v>
      </c>
      <c r="L3043" s="23"/>
      <c r="M3043" s="21">
        <f t="shared" si="16"/>
        <v>1894.93</v>
      </c>
    </row>
    <row r="3044" ht="20.25" customHeight="1" outlineLevel="1">
      <c r="A3044" s="12"/>
      <c r="B3044" s="13"/>
      <c r="C3044" s="42"/>
      <c r="D3044" s="20"/>
      <c r="E3044" s="21">
        <f t="shared" si="1"/>
        <v>12593.22</v>
      </c>
      <c r="F3044" s="23"/>
      <c r="G3044" s="21">
        <f t="shared" si="8"/>
        <v>318539.46</v>
      </c>
      <c r="H3044" s="23"/>
      <c r="I3044" s="21">
        <f t="shared" si="15"/>
        <v>781.68</v>
      </c>
      <c r="J3044" s="23"/>
      <c r="K3044" s="21">
        <f t="shared" si="13"/>
        <v>204430.28</v>
      </c>
      <c r="L3044" s="23"/>
      <c r="M3044" s="21">
        <f t="shared" si="16"/>
        <v>1894.93</v>
      </c>
    </row>
    <row r="3045" ht="20.25" customHeight="1" outlineLevel="1">
      <c r="A3045" s="12"/>
      <c r="B3045" s="13"/>
      <c r="C3045" s="42"/>
      <c r="D3045" s="20"/>
      <c r="E3045" s="21">
        <f t="shared" si="1"/>
        <v>12593.22</v>
      </c>
      <c r="F3045" s="23"/>
      <c r="G3045" s="21">
        <f t="shared" si="8"/>
        <v>318539.46</v>
      </c>
      <c r="H3045" s="23"/>
      <c r="I3045" s="21">
        <f t="shared" si="15"/>
        <v>781.68</v>
      </c>
      <c r="J3045" s="23"/>
      <c r="K3045" s="21">
        <f t="shared" si="13"/>
        <v>204430.28</v>
      </c>
      <c r="L3045" s="23"/>
      <c r="M3045" s="21">
        <f t="shared" si="16"/>
        <v>1894.93</v>
      </c>
    </row>
    <row r="3046" ht="20.25" customHeight="1" outlineLevel="1">
      <c r="A3046" s="12"/>
      <c r="B3046" s="13"/>
      <c r="C3046" s="42"/>
      <c r="D3046" s="20"/>
      <c r="E3046" s="21">
        <f t="shared" si="1"/>
        <v>12593.22</v>
      </c>
      <c r="F3046" s="23"/>
      <c r="G3046" s="21">
        <f t="shared" si="8"/>
        <v>318539.46</v>
      </c>
      <c r="H3046" s="23"/>
      <c r="I3046" s="21">
        <f t="shared" si="15"/>
        <v>781.68</v>
      </c>
      <c r="J3046" s="23"/>
      <c r="K3046" s="21">
        <f t="shared" si="13"/>
        <v>204430.28</v>
      </c>
      <c r="L3046" s="23"/>
      <c r="M3046" s="21">
        <f t="shared" si="16"/>
        <v>1894.93</v>
      </c>
    </row>
    <row r="3047" ht="20.25" customHeight="1" outlineLevel="1">
      <c r="A3047" s="12"/>
      <c r="B3047" s="13"/>
      <c r="C3047" s="42"/>
      <c r="D3047" s="20"/>
      <c r="E3047" s="21">
        <f t="shared" si="1"/>
        <v>12593.22</v>
      </c>
      <c r="F3047" s="23"/>
      <c r="G3047" s="21">
        <f t="shared" si="8"/>
        <v>318539.46</v>
      </c>
      <c r="H3047" s="23"/>
      <c r="I3047" s="21">
        <f t="shared" si="15"/>
        <v>781.68</v>
      </c>
      <c r="J3047" s="23"/>
      <c r="K3047" s="21">
        <f t="shared" si="13"/>
        <v>204430.28</v>
      </c>
      <c r="L3047" s="23"/>
      <c r="M3047" s="21">
        <f t="shared" si="16"/>
        <v>1894.93</v>
      </c>
    </row>
    <row r="3048" ht="20.25" customHeight="1" outlineLevel="1">
      <c r="A3048" s="12"/>
      <c r="B3048" s="13"/>
      <c r="C3048" s="42"/>
      <c r="D3048" s="20"/>
      <c r="E3048" s="21">
        <f t="shared" si="1"/>
        <v>12593.22</v>
      </c>
      <c r="F3048" s="23"/>
      <c r="G3048" s="21">
        <f t="shared" si="8"/>
        <v>318539.46</v>
      </c>
      <c r="H3048" s="23"/>
      <c r="I3048" s="21">
        <f t="shared" si="15"/>
        <v>781.68</v>
      </c>
      <c r="J3048" s="23"/>
      <c r="K3048" s="21">
        <f t="shared" si="13"/>
        <v>204430.28</v>
      </c>
      <c r="L3048" s="23"/>
      <c r="M3048" s="21">
        <f t="shared" si="16"/>
        <v>1894.93</v>
      </c>
    </row>
    <row r="3049" ht="20.25" customHeight="1" outlineLevel="1">
      <c r="A3049" s="12"/>
      <c r="B3049" s="13"/>
      <c r="C3049" s="42"/>
      <c r="D3049" s="20"/>
      <c r="E3049" s="21">
        <f t="shared" si="1"/>
        <v>12593.22</v>
      </c>
      <c r="F3049" s="23"/>
      <c r="G3049" s="21">
        <f t="shared" si="8"/>
        <v>318539.46</v>
      </c>
      <c r="H3049" s="23"/>
      <c r="I3049" s="21">
        <f t="shared" si="15"/>
        <v>781.68</v>
      </c>
      <c r="J3049" s="23"/>
      <c r="K3049" s="21">
        <f t="shared" si="13"/>
        <v>204430.28</v>
      </c>
      <c r="L3049" s="23"/>
      <c r="M3049" s="21">
        <f t="shared" si="16"/>
        <v>1894.93</v>
      </c>
    </row>
    <row r="3050" ht="20.25" customHeight="1" outlineLevel="1">
      <c r="A3050" s="12"/>
      <c r="B3050" s="13"/>
      <c r="C3050" s="70"/>
      <c r="D3050" s="20"/>
      <c r="E3050" s="21">
        <f t="shared" si="1"/>
        <v>12593.22</v>
      </c>
      <c r="F3050" s="23"/>
      <c r="G3050" s="21">
        <f t="shared" si="8"/>
        <v>318539.46</v>
      </c>
      <c r="H3050" s="23"/>
      <c r="I3050" s="21">
        <f t="shared" si="15"/>
        <v>781.68</v>
      </c>
      <c r="J3050" s="23"/>
      <c r="K3050" s="21">
        <f t="shared" si="13"/>
        <v>204430.28</v>
      </c>
      <c r="L3050" s="23"/>
      <c r="M3050" s="21">
        <f t="shared" si="16"/>
        <v>1894.93</v>
      </c>
    </row>
    <row r="3051" ht="20.25" customHeight="1" outlineLevel="1">
      <c r="A3051" s="12"/>
      <c r="B3051" s="13"/>
      <c r="C3051" s="42"/>
      <c r="D3051" s="20"/>
      <c r="E3051" s="21">
        <f t="shared" si="1"/>
        <v>12593.22</v>
      </c>
      <c r="F3051" s="23"/>
      <c r="G3051" s="21">
        <f t="shared" si="8"/>
        <v>318539.46</v>
      </c>
      <c r="H3051" s="23"/>
      <c r="I3051" s="21">
        <f t="shared" si="15"/>
        <v>781.68</v>
      </c>
      <c r="J3051" s="23"/>
      <c r="K3051" s="21">
        <f t="shared" si="13"/>
        <v>204430.28</v>
      </c>
      <c r="L3051" s="23"/>
      <c r="M3051" s="21">
        <f t="shared" si="16"/>
        <v>1894.93</v>
      </c>
    </row>
    <row r="3052" ht="20.25" customHeight="1" outlineLevel="1">
      <c r="A3052" s="12"/>
      <c r="B3052" s="13"/>
      <c r="C3052" s="28"/>
      <c r="D3052" s="20"/>
      <c r="E3052" s="21">
        <f t="shared" si="1"/>
        <v>12593.22</v>
      </c>
      <c r="F3052" s="23"/>
      <c r="G3052" s="21">
        <f t="shared" si="8"/>
        <v>318539.46</v>
      </c>
      <c r="H3052" s="23"/>
      <c r="I3052" s="21">
        <f t="shared" si="15"/>
        <v>781.68</v>
      </c>
      <c r="J3052" s="23"/>
      <c r="K3052" s="21">
        <f t="shared" si="13"/>
        <v>204430.28</v>
      </c>
      <c r="L3052" s="23"/>
      <c r="M3052" s="21">
        <f t="shared" si="16"/>
        <v>1894.93</v>
      </c>
    </row>
    <row r="3053" ht="20.25" customHeight="1" outlineLevel="1">
      <c r="A3053" s="12"/>
      <c r="B3053" s="13"/>
      <c r="C3053" s="28"/>
      <c r="D3053" s="20"/>
      <c r="E3053" s="21">
        <f t="shared" si="1"/>
        <v>12593.22</v>
      </c>
      <c r="F3053" s="23"/>
      <c r="G3053" s="21">
        <f t="shared" si="8"/>
        <v>318539.46</v>
      </c>
      <c r="H3053" s="23"/>
      <c r="I3053" s="21">
        <f t="shared" si="15"/>
        <v>781.68</v>
      </c>
      <c r="J3053" s="23"/>
      <c r="K3053" s="21">
        <f t="shared" si="13"/>
        <v>204430.28</v>
      </c>
      <c r="L3053" s="23"/>
      <c r="M3053" s="21">
        <f t="shared" si="16"/>
        <v>1894.93</v>
      </c>
    </row>
    <row r="3054" ht="20.25" customHeight="1" outlineLevel="1">
      <c r="A3054" s="12"/>
      <c r="B3054" s="13"/>
      <c r="C3054" s="28"/>
      <c r="D3054" s="20"/>
      <c r="E3054" s="21">
        <f t="shared" si="1"/>
        <v>12593.22</v>
      </c>
      <c r="F3054" s="23"/>
      <c r="G3054" s="21">
        <f t="shared" si="8"/>
        <v>318539.46</v>
      </c>
      <c r="H3054" s="23"/>
      <c r="I3054" s="21">
        <f t="shared" si="15"/>
        <v>781.68</v>
      </c>
      <c r="J3054" s="23"/>
      <c r="K3054" s="21">
        <f t="shared" si="13"/>
        <v>204430.28</v>
      </c>
      <c r="L3054" s="23"/>
      <c r="M3054" s="21">
        <f t="shared" si="16"/>
        <v>1894.93</v>
      </c>
    </row>
    <row r="3055" ht="20.25" customHeight="1" outlineLevel="1">
      <c r="A3055" s="12"/>
      <c r="B3055" s="13"/>
      <c r="C3055" s="28"/>
      <c r="D3055" s="20"/>
      <c r="E3055" s="21">
        <f t="shared" si="1"/>
        <v>12593.22</v>
      </c>
      <c r="F3055" s="23"/>
      <c r="G3055" s="21">
        <f t="shared" si="8"/>
        <v>318539.46</v>
      </c>
      <c r="H3055" s="23"/>
      <c r="I3055" s="21">
        <f t="shared" si="15"/>
        <v>781.68</v>
      </c>
      <c r="J3055" s="23"/>
      <c r="K3055" s="21">
        <f t="shared" si="13"/>
        <v>204430.28</v>
      </c>
      <c r="L3055" s="23"/>
      <c r="M3055" s="21">
        <f t="shared" si="16"/>
        <v>1894.93</v>
      </c>
    </row>
    <row r="3056" ht="20.25" customHeight="1" outlineLevel="1">
      <c r="A3056" s="12"/>
      <c r="B3056" s="13"/>
      <c r="C3056" s="28"/>
      <c r="D3056" s="20"/>
      <c r="E3056" s="21">
        <f t="shared" si="1"/>
        <v>12593.22</v>
      </c>
      <c r="F3056" s="23"/>
      <c r="G3056" s="21">
        <f t="shared" si="8"/>
        <v>318539.46</v>
      </c>
      <c r="H3056" s="23"/>
      <c r="I3056" s="21">
        <f t="shared" si="15"/>
        <v>781.68</v>
      </c>
      <c r="J3056" s="23"/>
      <c r="K3056" s="21">
        <f t="shared" si="13"/>
        <v>204430.28</v>
      </c>
      <c r="L3056" s="23"/>
      <c r="M3056" s="21">
        <f t="shared" si="16"/>
        <v>1894.93</v>
      </c>
    </row>
    <row r="3057" ht="20.25" customHeight="1" outlineLevel="1">
      <c r="A3057" s="12"/>
      <c r="B3057" s="13"/>
      <c r="C3057" s="42"/>
      <c r="D3057" s="20"/>
      <c r="E3057" s="21">
        <f t="shared" si="1"/>
        <v>12593.22</v>
      </c>
      <c r="F3057" s="23"/>
      <c r="G3057" s="21">
        <f t="shared" si="8"/>
        <v>318539.46</v>
      </c>
      <c r="H3057" s="23"/>
      <c r="I3057" s="21">
        <f t="shared" si="15"/>
        <v>781.68</v>
      </c>
      <c r="J3057" s="23"/>
      <c r="K3057" s="21">
        <f t="shared" si="13"/>
        <v>204430.28</v>
      </c>
      <c r="L3057" s="23"/>
      <c r="M3057" s="21">
        <f t="shared" si="16"/>
        <v>1894.93</v>
      </c>
    </row>
    <row r="3058" ht="20.25" customHeight="1" outlineLevel="1">
      <c r="A3058" s="12"/>
      <c r="B3058" s="13"/>
      <c r="C3058" s="42"/>
      <c r="D3058" s="20"/>
      <c r="E3058" s="21">
        <f t="shared" si="1"/>
        <v>12593.22</v>
      </c>
      <c r="F3058" s="23"/>
      <c r="G3058" s="21">
        <f t="shared" si="8"/>
        <v>318539.46</v>
      </c>
      <c r="H3058" s="23"/>
      <c r="I3058" s="21">
        <f t="shared" si="15"/>
        <v>781.68</v>
      </c>
      <c r="J3058" s="23"/>
      <c r="K3058" s="21">
        <f t="shared" si="13"/>
        <v>204430.28</v>
      </c>
      <c r="L3058" s="23"/>
      <c r="M3058" s="21">
        <f t="shared" si="16"/>
        <v>1894.93</v>
      </c>
    </row>
    <row r="3059" ht="20.25" customHeight="1" outlineLevel="1">
      <c r="A3059" s="12"/>
      <c r="B3059" s="13"/>
      <c r="C3059" s="42"/>
      <c r="D3059" s="20"/>
      <c r="E3059" s="21">
        <f t="shared" si="1"/>
        <v>12593.22</v>
      </c>
      <c r="F3059" s="23"/>
      <c r="G3059" s="21">
        <f t="shared" si="8"/>
        <v>318539.46</v>
      </c>
      <c r="H3059" s="23"/>
      <c r="I3059" s="21">
        <f t="shared" si="15"/>
        <v>781.68</v>
      </c>
      <c r="J3059" s="23"/>
      <c r="K3059" s="21">
        <f t="shared" si="13"/>
        <v>204430.28</v>
      </c>
      <c r="L3059" s="23"/>
      <c r="M3059" s="21">
        <f t="shared" si="16"/>
        <v>1894.93</v>
      </c>
    </row>
    <row r="3060" ht="20.25" customHeight="1" outlineLevel="1">
      <c r="A3060" s="12"/>
      <c r="B3060" s="13"/>
      <c r="C3060" s="28"/>
      <c r="D3060" s="20"/>
      <c r="E3060" s="21">
        <f t="shared" si="1"/>
        <v>12593.22</v>
      </c>
      <c r="F3060" s="23"/>
      <c r="G3060" s="21">
        <f t="shared" si="8"/>
        <v>318539.46</v>
      </c>
      <c r="H3060" s="23"/>
      <c r="I3060" s="21">
        <f t="shared" si="15"/>
        <v>781.68</v>
      </c>
      <c r="J3060" s="23"/>
      <c r="K3060" s="21">
        <f t="shared" si="13"/>
        <v>204430.28</v>
      </c>
      <c r="L3060" s="23"/>
      <c r="M3060" s="21">
        <f t="shared" si="16"/>
        <v>1894.93</v>
      </c>
    </row>
    <row r="3061" ht="20.25" customHeight="1" outlineLevel="1">
      <c r="A3061" s="12"/>
      <c r="B3061" s="13"/>
      <c r="C3061" s="28"/>
      <c r="D3061" s="20"/>
      <c r="E3061" s="21">
        <f t="shared" si="1"/>
        <v>12593.22</v>
      </c>
      <c r="F3061" s="23"/>
      <c r="G3061" s="21">
        <f t="shared" si="8"/>
        <v>318539.46</v>
      </c>
      <c r="H3061" s="23"/>
      <c r="I3061" s="21">
        <f t="shared" si="15"/>
        <v>781.68</v>
      </c>
      <c r="J3061" s="23"/>
      <c r="K3061" s="21">
        <f t="shared" si="13"/>
        <v>204430.28</v>
      </c>
      <c r="L3061" s="23"/>
      <c r="M3061" s="21">
        <f t="shared" si="16"/>
        <v>1894.93</v>
      </c>
    </row>
    <row r="3062" ht="20.25" customHeight="1" outlineLevel="1">
      <c r="A3062" s="12"/>
      <c r="B3062" s="13"/>
      <c r="C3062" s="28"/>
      <c r="D3062" s="20"/>
      <c r="E3062" s="21">
        <f t="shared" si="1"/>
        <v>12593.22</v>
      </c>
      <c r="F3062" s="23"/>
      <c r="G3062" s="21">
        <f t="shared" si="8"/>
        <v>318539.46</v>
      </c>
      <c r="H3062" s="23"/>
      <c r="I3062" s="21">
        <f t="shared" si="15"/>
        <v>781.68</v>
      </c>
      <c r="J3062" s="23"/>
      <c r="K3062" s="21">
        <f t="shared" si="13"/>
        <v>204430.28</v>
      </c>
      <c r="L3062" s="23"/>
      <c r="M3062" s="21">
        <f t="shared" si="16"/>
        <v>1894.93</v>
      </c>
    </row>
    <row r="3063" ht="20.25" customHeight="1" outlineLevel="1">
      <c r="A3063" s="12"/>
      <c r="B3063" s="13"/>
      <c r="C3063" s="28"/>
      <c r="D3063" s="20"/>
      <c r="E3063" s="21">
        <f t="shared" si="1"/>
        <v>12593.22</v>
      </c>
      <c r="F3063" s="23"/>
      <c r="G3063" s="21">
        <f t="shared" si="8"/>
        <v>318539.46</v>
      </c>
      <c r="H3063" s="23"/>
      <c r="I3063" s="21">
        <f t="shared" si="15"/>
        <v>781.68</v>
      </c>
      <c r="J3063" s="23"/>
      <c r="K3063" s="21">
        <f t="shared" si="13"/>
        <v>204430.28</v>
      </c>
      <c r="L3063" s="23"/>
      <c r="M3063" s="21">
        <f t="shared" si="16"/>
        <v>1894.93</v>
      </c>
    </row>
    <row r="3064" ht="20.25" customHeight="1" outlineLevel="1">
      <c r="A3064" s="12"/>
      <c r="B3064" s="13"/>
      <c r="C3064" s="42"/>
      <c r="D3064" s="20"/>
      <c r="E3064" s="21">
        <f t="shared" si="1"/>
        <v>12593.22</v>
      </c>
      <c r="F3064" s="23"/>
      <c r="G3064" s="21">
        <f t="shared" si="8"/>
        <v>318539.46</v>
      </c>
      <c r="H3064" s="23"/>
      <c r="I3064" s="21">
        <f t="shared" si="15"/>
        <v>781.68</v>
      </c>
      <c r="J3064" s="23"/>
      <c r="K3064" s="21">
        <f t="shared" si="13"/>
        <v>204430.28</v>
      </c>
      <c r="L3064" s="23"/>
      <c r="M3064" s="21">
        <f t="shared" si="16"/>
        <v>1894.93</v>
      </c>
    </row>
    <row r="3065" ht="20.25" customHeight="1" outlineLevel="1">
      <c r="A3065" s="12"/>
      <c r="B3065" s="13"/>
      <c r="C3065" s="42"/>
      <c r="D3065" s="20"/>
      <c r="E3065" s="21">
        <f t="shared" si="1"/>
        <v>12593.22</v>
      </c>
      <c r="F3065" s="23"/>
      <c r="G3065" s="21">
        <f t="shared" si="8"/>
        <v>318539.46</v>
      </c>
      <c r="H3065" s="23"/>
      <c r="I3065" s="21">
        <f t="shared" si="15"/>
        <v>781.68</v>
      </c>
      <c r="J3065" s="23"/>
      <c r="K3065" s="21">
        <f t="shared" si="13"/>
        <v>204430.28</v>
      </c>
      <c r="L3065" s="23"/>
      <c r="M3065" s="21">
        <f t="shared" si="16"/>
        <v>1894.93</v>
      </c>
    </row>
    <row r="3066" ht="20.25" customHeight="1" outlineLevel="1">
      <c r="A3066" s="12"/>
      <c r="B3066" s="13"/>
      <c r="C3066" s="42"/>
      <c r="D3066" s="20"/>
      <c r="E3066" s="21">
        <f t="shared" si="1"/>
        <v>12593.22</v>
      </c>
      <c r="F3066" s="23"/>
      <c r="G3066" s="21">
        <f t="shared" si="8"/>
        <v>318539.46</v>
      </c>
      <c r="H3066" s="23"/>
      <c r="I3066" s="21">
        <f t="shared" si="15"/>
        <v>781.68</v>
      </c>
      <c r="J3066" s="23"/>
      <c r="K3066" s="21">
        <f t="shared" si="13"/>
        <v>204430.28</v>
      </c>
      <c r="L3066" s="23"/>
      <c r="M3066" s="21">
        <f t="shared" si="16"/>
        <v>1894.93</v>
      </c>
    </row>
    <row r="3067" ht="20.25" customHeight="1" outlineLevel="1">
      <c r="A3067" s="12"/>
      <c r="B3067" s="13"/>
      <c r="C3067" s="42"/>
      <c r="D3067" s="20"/>
      <c r="E3067" s="21">
        <f t="shared" si="1"/>
        <v>12593.22</v>
      </c>
      <c r="F3067" s="23"/>
      <c r="G3067" s="21">
        <f t="shared" si="8"/>
        <v>318539.46</v>
      </c>
      <c r="H3067" s="23"/>
      <c r="I3067" s="21">
        <f t="shared" si="15"/>
        <v>781.68</v>
      </c>
      <c r="J3067" s="23"/>
      <c r="K3067" s="21">
        <f t="shared" si="13"/>
        <v>204430.28</v>
      </c>
      <c r="L3067" s="23"/>
      <c r="M3067" s="21">
        <f t="shared" si="16"/>
        <v>1894.93</v>
      </c>
    </row>
    <row r="3068" ht="20.25" customHeight="1" outlineLevel="1">
      <c r="A3068" s="12"/>
      <c r="B3068" s="13"/>
      <c r="C3068" s="42"/>
      <c r="D3068" s="20"/>
      <c r="E3068" s="21">
        <f t="shared" si="1"/>
        <v>12593.22</v>
      </c>
      <c r="F3068" s="23"/>
      <c r="G3068" s="21">
        <f t="shared" si="8"/>
        <v>318539.46</v>
      </c>
      <c r="H3068" s="23"/>
      <c r="I3068" s="21">
        <f t="shared" si="15"/>
        <v>781.68</v>
      </c>
      <c r="J3068" s="23"/>
      <c r="K3068" s="21">
        <f t="shared" si="13"/>
        <v>204430.28</v>
      </c>
      <c r="L3068" s="23"/>
      <c r="M3068" s="21">
        <f t="shared" si="16"/>
        <v>1894.93</v>
      </c>
    </row>
    <row r="3069" ht="20.25" customHeight="1" outlineLevel="1">
      <c r="A3069" s="12"/>
      <c r="B3069" s="13"/>
      <c r="C3069" s="42"/>
      <c r="D3069" s="20"/>
      <c r="E3069" s="21">
        <f t="shared" si="1"/>
        <v>12593.22</v>
      </c>
      <c r="F3069" s="23"/>
      <c r="G3069" s="21">
        <f t="shared" si="8"/>
        <v>318539.46</v>
      </c>
      <c r="H3069" s="23"/>
      <c r="I3069" s="21">
        <f t="shared" si="15"/>
        <v>781.68</v>
      </c>
      <c r="J3069" s="23"/>
      <c r="K3069" s="21">
        <f t="shared" si="13"/>
        <v>204430.28</v>
      </c>
      <c r="L3069" s="23"/>
      <c r="M3069" s="21">
        <f t="shared" si="16"/>
        <v>1894.93</v>
      </c>
    </row>
    <row r="3070" ht="20.25" customHeight="1" outlineLevel="1">
      <c r="A3070" s="12"/>
      <c r="B3070" s="13"/>
      <c r="C3070" s="42"/>
      <c r="D3070" s="20"/>
      <c r="E3070" s="21">
        <f t="shared" si="1"/>
        <v>12593.22</v>
      </c>
      <c r="F3070" s="23"/>
      <c r="G3070" s="21">
        <f t="shared" si="8"/>
        <v>318539.46</v>
      </c>
      <c r="H3070" s="23"/>
      <c r="I3070" s="21">
        <f t="shared" si="15"/>
        <v>781.68</v>
      </c>
      <c r="J3070" s="23"/>
      <c r="K3070" s="21">
        <f t="shared" si="13"/>
        <v>204430.28</v>
      </c>
      <c r="L3070" s="23"/>
      <c r="M3070" s="21">
        <f t="shared" si="16"/>
        <v>1894.93</v>
      </c>
    </row>
    <row r="3071" ht="20.25" customHeight="1" outlineLevel="1">
      <c r="A3071" s="12"/>
      <c r="B3071" s="13"/>
      <c r="C3071" s="42"/>
      <c r="D3071" s="20"/>
      <c r="E3071" s="21">
        <f t="shared" si="1"/>
        <v>12593.22</v>
      </c>
      <c r="F3071" s="23"/>
      <c r="G3071" s="21">
        <f t="shared" si="8"/>
        <v>318539.46</v>
      </c>
      <c r="H3071" s="23"/>
      <c r="I3071" s="21">
        <f t="shared" si="15"/>
        <v>781.68</v>
      </c>
      <c r="J3071" s="23"/>
      <c r="K3071" s="21">
        <f t="shared" si="13"/>
        <v>204430.28</v>
      </c>
      <c r="L3071" s="23"/>
      <c r="M3071" s="21">
        <f t="shared" si="16"/>
        <v>1894.93</v>
      </c>
    </row>
    <row r="3072" ht="20.25" customHeight="1" outlineLevel="1">
      <c r="A3072" s="12"/>
      <c r="B3072" s="13"/>
      <c r="C3072" s="28"/>
      <c r="D3072" s="20"/>
      <c r="E3072" s="21">
        <f t="shared" si="1"/>
        <v>12593.22</v>
      </c>
      <c r="F3072" s="23"/>
      <c r="G3072" s="21">
        <f t="shared" si="8"/>
        <v>318539.46</v>
      </c>
      <c r="H3072" s="23"/>
      <c r="I3072" s="21">
        <f t="shared" si="15"/>
        <v>781.68</v>
      </c>
      <c r="J3072" s="23"/>
      <c r="K3072" s="21">
        <f t="shared" si="13"/>
        <v>204430.28</v>
      </c>
      <c r="L3072" s="23"/>
      <c r="M3072" s="21">
        <f t="shared" si="16"/>
        <v>1894.93</v>
      </c>
    </row>
    <row r="3073" ht="20.25" customHeight="1" outlineLevel="1">
      <c r="A3073" s="12"/>
      <c r="B3073" s="13"/>
      <c r="C3073" s="28"/>
      <c r="D3073" s="20"/>
      <c r="E3073" s="21">
        <f t="shared" si="1"/>
        <v>12593.22</v>
      </c>
      <c r="F3073" s="23"/>
      <c r="G3073" s="21">
        <f t="shared" si="8"/>
        <v>318539.46</v>
      </c>
      <c r="H3073" s="23"/>
      <c r="I3073" s="21">
        <f t="shared" si="15"/>
        <v>781.68</v>
      </c>
      <c r="J3073" s="23"/>
      <c r="K3073" s="21">
        <f t="shared" si="13"/>
        <v>204430.28</v>
      </c>
      <c r="L3073" s="23"/>
      <c r="M3073" s="21">
        <f t="shared" si="16"/>
        <v>1894.93</v>
      </c>
    </row>
    <row r="3074" ht="20.25" customHeight="1" outlineLevel="1">
      <c r="A3074" s="12"/>
      <c r="B3074" s="13"/>
      <c r="C3074" s="28"/>
      <c r="D3074" s="20"/>
      <c r="E3074" s="21">
        <f t="shared" si="1"/>
        <v>12593.22</v>
      </c>
      <c r="F3074" s="23"/>
      <c r="G3074" s="21">
        <f t="shared" si="8"/>
        <v>318539.46</v>
      </c>
      <c r="H3074" s="23"/>
      <c r="I3074" s="21">
        <f t="shared" si="15"/>
        <v>781.68</v>
      </c>
      <c r="J3074" s="23"/>
      <c r="K3074" s="21">
        <f t="shared" si="13"/>
        <v>204430.28</v>
      </c>
      <c r="L3074" s="23"/>
      <c r="M3074" s="21">
        <f t="shared" si="16"/>
        <v>1894.93</v>
      </c>
    </row>
    <row r="3075" ht="20.25" customHeight="1" outlineLevel="1">
      <c r="A3075" s="12"/>
      <c r="B3075" s="13"/>
      <c r="C3075" s="225"/>
      <c r="D3075" s="20"/>
      <c r="E3075" s="21">
        <f t="shared" si="1"/>
        <v>12593.22</v>
      </c>
      <c r="F3075" s="23"/>
      <c r="G3075" s="21">
        <f t="shared" si="8"/>
        <v>318539.46</v>
      </c>
      <c r="H3075" s="23"/>
      <c r="I3075" s="21">
        <f t="shared" si="15"/>
        <v>781.68</v>
      </c>
      <c r="J3075" s="23"/>
      <c r="K3075" s="21">
        <f t="shared" si="13"/>
        <v>204430.28</v>
      </c>
      <c r="L3075" s="23"/>
      <c r="M3075" s="21">
        <f t="shared" si="16"/>
        <v>1894.93</v>
      </c>
    </row>
    <row r="3076" ht="20.25" customHeight="1" outlineLevel="1">
      <c r="A3076" s="12"/>
      <c r="B3076" s="13"/>
      <c r="C3076" s="229"/>
      <c r="D3076" s="20"/>
      <c r="E3076" s="21">
        <f t="shared" si="1"/>
        <v>12593.22</v>
      </c>
      <c r="F3076" s="23"/>
      <c r="G3076" s="21">
        <f t="shared" si="8"/>
        <v>318539.46</v>
      </c>
      <c r="H3076" s="23"/>
      <c r="I3076" s="21">
        <f t="shared" si="15"/>
        <v>781.68</v>
      </c>
      <c r="J3076" s="23"/>
      <c r="K3076" s="21">
        <f t="shared" si="13"/>
        <v>204430.28</v>
      </c>
      <c r="L3076" s="23"/>
      <c r="M3076" s="21">
        <f t="shared" si="16"/>
        <v>1894.93</v>
      </c>
    </row>
    <row r="3077" ht="20.25" customHeight="1" outlineLevel="1">
      <c r="A3077" s="12"/>
      <c r="B3077" s="13"/>
      <c r="C3077" s="229"/>
      <c r="D3077" s="20"/>
      <c r="E3077" s="21">
        <f t="shared" si="1"/>
        <v>12593.22</v>
      </c>
      <c r="F3077" s="23"/>
      <c r="G3077" s="21">
        <f t="shared" si="8"/>
        <v>318539.46</v>
      </c>
      <c r="H3077" s="23"/>
      <c r="I3077" s="21">
        <f t="shared" si="15"/>
        <v>781.68</v>
      </c>
      <c r="J3077" s="23"/>
      <c r="K3077" s="21">
        <f t="shared" si="13"/>
        <v>204430.28</v>
      </c>
      <c r="L3077" s="23"/>
      <c r="M3077" s="21">
        <f t="shared" si="16"/>
        <v>1894.93</v>
      </c>
    </row>
    <row r="3078" ht="20.25" customHeight="1" outlineLevel="1">
      <c r="A3078" s="12"/>
      <c r="B3078" s="13"/>
      <c r="C3078" s="229"/>
      <c r="D3078" s="20"/>
      <c r="E3078" s="21">
        <f t="shared" si="1"/>
        <v>12593.22</v>
      </c>
      <c r="F3078" s="23"/>
      <c r="G3078" s="21">
        <f t="shared" si="8"/>
        <v>318539.46</v>
      </c>
      <c r="H3078" s="23"/>
      <c r="I3078" s="21">
        <f t="shared" si="15"/>
        <v>781.68</v>
      </c>
      <c r="J3078" s="23"/>
      <c r="K3078" s="21">
        <f t="shared" si="13"/>
        <v>204430.28</v>
      </c>
      <c r="L3078" s="23"/>
      <c r="M3078" s="21">
        <f t="shared" si="16"/>
        <v>1894.93</v>
      </c>
    </row>
    <row r="3079" ht="20.25" customHeight="1" outlineLevel="1">
      <c r="A3079" s="12"/>
      <c r="B3079" s="13"/>
      <c r="C3079" s="229"/>
      <c r="D3079" s="20"/>
      <c r="E3079" s="21">
        <f t="shared" si="1"/>
        <v>12593.22</v>
      </c>
      <c r="F3079" s="23"/>
      <c r="G3079" s="21">
        <f t="shared" si="8"/>
        <v>318539.46</v>
      </c>
      <c r="H3079" s="23"/>
      <c r="I3079" s="21">
        <f t="shared" si="15"/>
        <v>781.68</v>
      </c>
      <c r="J3079" s="23"/>
      <c r="K3079" s="21">
        <f t="shared" si="13"/>
        <v>204430.28</v>
      </c>
      <c r="L3079" s="23"/>
      <c r="M3079" s="21">
        <f t="shared" si="16"/>
        <v>1894.93</v>
      </c>
    </row>
    <row r="3080" ht="20.25" customHeight="1" outlineLevel="1">
      <c r="A3080" s="12"/>
      <c r="B3080" s="13"/>
      <c r="C3080" s="229"/>
      <c r="D3080" s="20"/>
      <c r="E3080" s="21">
        <f t="shared" si="1"/>
        <v>12593.22</v>
      </c>
      <c r="F3080" s="23"/>
      <c r="G3080" s="21">
        <f t="shared" si="8"/>
        <v>318539.46</v>
      </c>
      <c r="H3080" s="23"/>
      <c r="I3080" s="21">
        <f t="shared" si="15"/>
        <v>781.68</v>
      </c>
      <c r="J3080" s="23"/>
      <c r="K3080" s="21">
        <f t="shared" si="13"/>
        <v>204430.28</v>
      </c>
      <c r="L3080" s="23"/>
      <c r="M3080" s="21">
        <f t="shared" si="16"/>
        <v>1894.93</v>
      </c>
    </row>
    <row r="3081" ht="20.25" customHeight="1" outlineLevel="1">
      <c r="A3081" s="12"/>
      <c r="B3081" s="13"/>
      <c r="C3081" s="229"/>
      <c r="D3081" s="20"/>
      <c r="E3081" s="21">
        <f t="shared" si="1"/>
        <v>12593.22</v>
      </c>
      <c r="F3081" s="23"/>
      <c r="G3081" s="21">
        <f t="shared" si="8"/>
        <v>318539.46</v>
      </c>
      <c r="H3081" s="23"/>
      <c r="I3081" s="21">
        <f t="shared" si="15"/>
        <v>781.68</v>
      </c>
      <c r="J3081" s="23"/>
      <c r="K3081" s="21">
        <f t="shared" si="13"/>
        <v>204430.28</v>
      </c>
      <c r="L3081" s="23"/>
      <c r="M3081" s="21">
        <f t="shared" si="16"/>
        <v>1894.93</v>
      </c>
    </row>
    <row r="3082" ht="20.25" customHeight="1" outlineLevel="1">
      <c r="A3082" s="12"/>
      <c r="B3082" s="13"/>
      <c r="C3082" s="72"/>
      <c r="D3082" s="20"/>
      <c r="E3082" s="21">
        <f t="shared" si="1"/>
        <v>12593.22</v>
      </c>
      <c r="F3082" s="23"/>
      <c r="G3082" s="21">
        <f t="shared" si="8"/>
        <v>318539.46</v>
      </c>
      <c r="H3082" s="23"/>
      <c r="I3082" s="21">
        <f t="shared" si="15"/>
        <v>781.68</v>
      </c>
      <c r="J3082" s="23"/>
      <c r="K3082" s="21">
        <f t="shared" si="13"/>
        <v>204430.28</v>
      </c>
      <c r="L3082" s="23"/>
      <c r="M3082" s="21">
        <f t="shared" si="16"/>
        <v>1894.93</v>
      </c>
    </row>
    <row r="3083" ht="20.25" customHeight="1" outlineLevel="1">
      <c r="A3083" s="12"/>
      <c r="B3083" s="13"/>
      <c r="C3083" s="72"/>
      <c r="D3083" s="20"/>
      <c r="E3083" s="21">
        <f t="shared" si="1"/>
        <v>12593.22</v>
      </c>
      <c r="F3083" s="23"/>
      <c r="G3083" s="21">
        <f t="shared" si="8"/>
        <v>318539.46</v>
      </c>
      <c r="H3083" s="23"/>
      <c r="I3083" s="21">
        <f t="shared" si="15"/>
        <v>781.68</v>
      </c>
      <c r="J3083" s="23"/>
      <c r="K3083" s="21">
        <f t="shared" si="13"/>
        <v>204430.28</v>
      </c>
      <c r="L3083" s="23"/>
      <c r="M3083" s="21">
        <f t="shared" si="16"/>
        <v>1894.93</v>
      </c>
    </row>
    <row r="3084" ht="20.25" customHeight="1" outlineLevel="1">
      <c r="A3084" s="12"/>
      <c r="B3084" s="13"/>
      <c r="C3084" s="72"/>
      <c r="D3084" s="20"/>
      <c r="E3084" s="21">
        <f t="shared" si="1"/>
        <v>12593.22</v>
      </c>
      <c r="F3084" s="23"/>
      <c r="G3084" s="21">
        <f t="shared" si="8"/>
        <v>318539.46</v>
      </c>
      <c r="H3084" s="23"/>
      <c r="I3084" s="21">
        <f t="shared" si="15"/>
        <v>781.68</v>
      </c>
      <c r="J3084" s="23"/>
      <c r="K3084" s="21">
        <f t="shared" si="13"/>
        <v>204430.28</v>
      </c>
      <c r="L3084" s="23"/>
      <c r="M3084" s="21">
        <f t="shared" si="16"/>
        <v>1894.93</v>
      </c>
    </row>
    <row r="3085" ht="20.25" customHeight="1" outlineLevel="1">
      <c r="A3085" s="12"/>
      <c r="B3085" s="13"/>
      <c r="C3085" s="44"/>
      <c r="D3085" s="20"/>
      <c r="E3085" s="21">
        <f t="shared" si="1"/>
        <v>12593.22</v>
      </c>
      <c r="F3085" s="23"/>
      <c r="G3085" s="21">
        <f t="shared" si="8"/>
        <v>318539.46</v>
      </c>
      <c r="H3085" s="23"/>
      <c r="I3085" s="21">
        <f t="shared" si="15"/>
        <v>781.68</v>
      </c>
      <c r="J3085" s="23"/>
      <c r="K3085" s="21">
        <f t="shared" si="13"/>
        <v>204430.28</v>
      </c>
      <c r="L3085" s="23"/>
      <c r="M3085" s="21">
        <f t="shared" si="16"/>
        <v>1894.93</v>
      </c>
    </row>
    <row r="3086" ht="20.25" customHeight="1" outlineLevel="1">
      <c r="A3086" s="12"/>
      <c r="B3086" s="13"/>
      <c r="C3086" s="72"/>
      <c r="D3086" s="20"/>
      <c r="E3086" s="21">
        <f t="shared" si="1"/>
        <v>12593.22</v>
      </c>
      <c r="F3086" s="23"/>
      <c r="G3086" s="21">
        <f t="shared" si="8"/>
        <v>318539.46</v>
      </c>
      <c r="H3086" s="23"/>
      <c r="I3086" s="21">
        <f t="shared" si="15"/>
        <v>781.68</v>
      </c>
      <c r="J3086" s="23"/>
      <c r="K3086" s="21">
        <f t="shared" si="13"/>
        <v>204430.28</v>
      </c>
      <c r="L3086" s="23"/>
      <c r="M3086" s="21">
        <f t="shared" si="16"/>
        <v>1894.93</v>
      </c>
    </row>
    <row r="3087" ht="20.25" customHeight="1" outlineLevel="1">
      <c r="A3087" s="12"/>
      <c r="B3087" s="13"/>
      <c r="C3087" s="72"/>
      <c r="D3087" s="20"/>
      <c r="E3087" s="21">
        <f t="shared" si="1"/>
        <v>12593.22</v>
      </c>
      <c r="F3087" s="23"/>
      <c r="G3087" s="21">
        <f t="shared" si="8"/>
        <v>318539.46</v>
      </c>
      <c r="H3087" s="23"/>
      <c r="I3087" s="21">
        <f t="shared" si="15"/>
        <v>781.68</v>
      </c>
      <c r="J3087" s="23"/>
      <c r="K3087" s="21">
        <f t="shared" si="13"/>
        <v>204430.28</v>
      </c>
      <c r="L3087" s="23"/>
      <c r="M3087" s="21">
        <f t="shared" si="16"/>
        <v>1894.93</v>
      </c>
    </row>
    <row r="3088" ht="20.25" customHeight="1" outlineLevel="1">
      <c r="A3088" s="12"/>
      <c r="B3088" s="13"/>
      <c r="C3088" s="189"/>
      <c r="D3088" s="20"/>
      <c r="E3088" s="21">
        <f t="shared" si="1"/>
        <v>12593.22</v>
      </c>
      <c r="F3088" s="23"/>
      <c r="G3088" s="21">
        <f t="shared" si="8"/>
        <v>318539.46</v>
      </c>
      <c r="H3088" s="23"/>
      <c r="I3088" s="21">
        <f t="shared" si="15"/>
        <v>781.68</v>
      </c>
      <c r="J3088" s="23"/>
      <c r="K3088" s="21">
        <f t="shared" si="13"/>
        <v>204430.28</v>
      </c>
      <c r="L3088" s="23"/>
      <c r="M3088" s="21">
        <f t="shared" si="16"/>
        <v>1894.93</v>
      </c>
    </row>
    <row r="3089" ht="20.25" customHeight="1" outlineLevel="1">
      <c r="A3089" s="12"/>
      <c r="B3089" s="46"/>
      <c r="C3089" s="160"/>
      <c r="D3089" s="20"/>
      <c r="E3089" s="21">
        <f t="shared" si="1"/>
        <v>12593.22</v>
      </c>
      <c r="F3089" s="23"/>
      <c r="G3089" s="21">
        <f t="shared" si="8"/>
        <v>318539.46</v>
      </c>
      <c r="H3089" s="23"/>
      <c r="I3089" s="21">
        <f t="shared" si="15"/>
        <v>781.68</v>
      </c>
      <c r="J3089" s="23"/>
      <c r="K3089" s="21">
        <f t="shared" si="13"/>
        <v>204430.28</v>
      </c>
      <c r="L3089" s="23"/>
      <c r="M3089" s="21">
        <f t="shared" si="16"/>
        <v>1894.93</v>
      </c>
    </row>
    <row r="3090" ht="20.25" customHeight="1" outlineLevel="1">
      <c r="A3090" s="12"/>
      <c r="B3090" s="46"/>
      <c r="C3090" s="161"/>
      <c r="D3090" s="20"/>
      <c r="E3090" s="21">
        <f t="shared" si="1"/>
        <v>12593.22</v>
      </c>
      <c r="F3090" s="23"/>
      <c r="G3090" s="21">
        <f t="shared" si="8"/>
        <v>318539.46</v>
      </c>
      <c r="H3090" s="23"/>
      <c r="I3090" s="21">
        <f t="shared" si="15"/>
        <v>781.68</v>
      </c>
      <c r="J3090" s="23"/>
      <c r="K3090" s="21">
        <f t="shared" si="13"/>
        <v>204430.28</v>
      </c>
      <c r="L3090" s="23"/>
      <c r="M3090" s="21">
        <f t="shared" si="16"/>
        <v>1894.93</v>
      </c>
    </row>
    <row r="3091" ht="20.25" customHeight="1" outlineLevel="1">
      <c r="A3091" s="12"/>
      <c r="B3091" s="46"/>
      <c r="C3091" s="161"/>
      <c r="D3091" s="20"/>
      <c r="E3091" s="21">
        <f t="shared" si="1"/>
        <v>12593.22</v>
      </c>
      <c r="F3091" s="23"/>
      <c r="G3091" s="21">
        <f t="shared" si="8"/>
        <v>318539.46</v>
      </c>
      <c r="H3091" s="23"/>
      <c r="I3091" s="21">
        <f t="shared" si="15"/>
        <v>781.68</v>
      </c>
      <c r="J3091" s="23"/>
      <c r="K3091" s="21">
        <f t="shared" si="13"/>
        <v>204430.28</v>
      </c>
      <c r="L3091" s="23"/>
      <c r="M3091" s="21">
        <f t="shared" si="16"/>
        <v>1894.93</v>
      </c>
    </row>
    <row r="3092" ht="20.25" customHeight="1" outlineLevel="1">
      <c r="A3092" s="12"/>
      <c r="B3092" s="46"/>
      <c r="C3092" s="161"/>
      <c r="D3092" s="20"/>
      <c r="E3092" s="21">
        <f t="shared" si="1"/>
        <v>12593.22</v>
      </c>
      <c r="F3092" s="23"/>
      <c r="G3092" s="21">
        <f t="shared" si="8"/>
        <v>318539.46</v>
      </c>
      <c r="H3092" s="23"/>
      <c r="I3092" s="21">
        <f t="shared" si="15"/>
        <v>781.68</v>
      </c>
      <c r="J3092" s="23"/>
      <c r="K3092" s="21">
        <f t="shared" si="13"/>
        <v>204430.28</v>
      </c>
      <c r="L3092" s="23"/>
      <c r="M3092" s="21">
        <f t="shared" si="16"/>
        <v>1894.93</v>
      </c>
    </row>
    <row r="3093" ht="20.25" customHeight="1" outlineLevel="1">
      <c r="A3093" s="12"/>
      <c r="B3093" s="46"/>
      <c r="C3093" s="161"/>
      <c r="D3093" s="20"/>
      <c r="E3093" s="21">
        <f t="shared" si="1"/>
        <v>12593.22</v>
      </c>
      <c r="F3093" s="23"/>
      <c r="G3093" s="21">
        <f t="shared" si="8"/>
        <v>318539.46</v>
      </c>
      <c r="H3093" s="23"/>
      <c r="I3093" s="21">
        <f t="shared" si="15"/>
        <v>781.68</v>
      </c>
      <c r="J3093" s="23"/>
      <c r="K3093" s="21">
        <f t="shared" si="13"/>
        <v>204430.28</v>
      </c>
      <c r="L3093" s="23"/>
      <c r="M3093" s="21">
        <f t="shared" si="16"/>
        <v>1894.93</v>
      </c>
    </row>
    <row r="3094" ht="20.25" customHeight="1" outlineLevel="1">
      <c r="A3094" s="12"/>
      <c r="B3094" s="46"/>
      <c r="C3094" s="161"/>
      <c r="D3094" s="20"/>
      <c r="E3094" s="21">
        <f t="shared" si="1"/>
        <v>12593.22</v>
      </c>
      <c r="F3094" s="23"/>
      <c r="G3094" s="21">
        <f t="shared" si="8"/>
        <v>318539.46</v>
      </c>
      <c r="H3094" s="23"/>
      <c r="I3094" s="21">
        <f t="shared" si="15"/>
        <v>781.68</v>
      </c>
      <c r="J3094" s="23"/>
      <c r="K3094" s="21">
        <f t="shared" si="13"/>
        <v>204430.28</v>
      </c>
      <c r="L3094" s="23"/>
      <c r="M3094" s="21">
        <f t="shared" si="16"/>
        <v>1894.93</v>
      </c>
    </row>
    <row r="3095" ht="20.25" customHeight="1" outlineLevel="1">
      <c r="A3095" s="12"/>
      <c r="B3095" s="46"/>
      <c r="C3095" s="161"/>
      <c r="D3095" s="20"/>
      <c r="E3095" s="21">
        <f t="shared" si="1"/>
        <v>12593.22</v>
      </c>
      <c r="F3095" s="23"/>
      <c r="G3095" s="21">
        <f t="shared" si="8"/>
        <v>318539.46</v>
      </c>
      <c r="H3095" s="23"/>
      <c r="I3095" s="21">
        <f t="shared" si="15"/>
        <v>781.68</v>
      </c>
      <c r="J3095" s="23"/>
      <c r="K3095" s="21">
        <f t="shared" si="13"/>
        <v>204430.28</v>
      </c>
      <c r="L3095" s="23"/>
      <c r="M3095" s="21">
        <f t="shared" si="16"/>
        <v>1894.93</v>
      </c>
    </row>
    <row r="3096" ht="20.25" customHeight="1" outlineLevel="1">
      <c r="A3096" s="12"/>
      <c r="B3096" s="46"/>
      <c r="C3096" s="161"/>
      <c r="D3096" s="20"/>
      <c r="E3096" s="21">
        <f t="shared" si="1"/>
        <v>12593.22</v>
      </c>
      <c r="F3096" s="23"/>
      <c r="G3096" s="21">
        <f t="shared" si="8"/>
        <v>318539.46</v>
      </c>
      <c r="H3096" s="23"/>
      <c r="I3096" s="21">
        <f t="shared" si="15"/>
        <v>781.68</v>
      </c>
      <c r="J3096" s="23"/>
      <c r="K3096" s="21">
        <f t="shared" si="13"/>
        <v>204430.28</v>
      </c>
      <c r="L3096" s="23"/>
      <c r="M3096" s="21">
        <f t="shared" si="16"/>
        <v>1894.93</v>
      </c>
    </row>
    <row r="3097" ht="20.25" customHeight="1" outlineLevel="1">
      <c r="A3097" s="12"/>
      <c r="B3097" s="46"/>
      <c r="C3097" s="160"/>
      <c r="D3097" s="20"/>
      <c r="E3097" s="21">
        <f t="shared" si="1"/>
        <v>12593.22</v>
      </c>
      <c r="F3097" s="23"/>
      <c r="G3097" s="21">
        <f t="shared" si="8"/>
        <v>318539.46</v>
      </c>
      <c r="H3097" s="23"/>
      <c r="I3097" s="21">
        <f t="shared" si="15"/>
        <v>781.68</v>
      </c>
      <c r="J3097" s="23"/>
      <c r="K3097" s="21">
        <f t="shared" si="13"/>
        <v>204430.28</v>
      </c>
      <c r="L3097" s="23"/>
      <c r="M3097" s="21">
        <f t="shared" si="16"/>
        <v>1894.93</v>
      </c>
    </row>
    <row r="3098" ht="20.25" customHeight="1" outlineLevel="1">
      <c r="A3098" s="12"/>
      <c r="B3098" s="46"/>
      <c r="C3098" s="160"/>
      <c r="D3098" s="20"/>
      <c r="E3098" s="21">
        <f t="shared" si="1"/>
        <v>12593.22</v>
      </c>
      <c r="F3098" s="23"/>
      <c r="G3098" s="21">
        <f t="shared" si="8"/>
        <v>318539.46</v>
      </c>
      <c r="H3098" s="23"/>
      <c r="I3098" s="21">
        <f t="shared" si="15"/>
        <v>781.68</v>
      </c>
      <c r="J3098" s="23"/>
      <c r="K3098" s="21">
        <f t="shared" si="13"/>
        <v>204430.28</v>
      </c>
      <c r="L3098" s="23"/>
      <c r="M3098" s="21">
        <f t="shared" si="16"/>
        <v>1894.93</v>
      </c>
    </row>
    <row r="3099" ht="20.25" customHeight="1" outlineLevel="1">
      <c r="A3099" s="12"/>
      <c r="B3099" s="46"/>
      <c r="C3099" s="160"/>
      <c r="D3099" s="20"/>
      <c r="E3099" s="21">
        <f t="shared" si="1"/>
        <v>12593.22</v>
      </c>
      <c r="F3099" s="23"/>
      <c r="G3099" s="21">
        <f t="shared" si="8"/>
        <v>318539.46</v>
      </c>
      <c r="H3099" s="23"/>
      <c r="I3099" s="21">
        <f t="shared" si="15"/>
        <v>781.68</v>
      </c>
      <c r="J3099" s="23"/>
      <c r="K3099" s="21">
        <f t="shared" si="13"/>
        <v>204430.28</v>
      </c>
      <c r="L3099" s="23"/>
      <c r="M3099" s="21">
        <f t="shared" si="16"/>
        <v>1894.93</v>
      </c>
    </row>
    <row r="3100" ht="20.25" customHeight="1" outlineLevel="1">
      <c r="A3100" s="12"/>
      <c r="B3100" s="46"/>
      <c r="C3100" s="160"/>
      <c r="D3100" s="20"/>
      <c r="E3100" s="21">
        <f t="shared" si="1"/>
        <v>12593.22</v>
      </c>
      <c r="F3100" s="23"/>
      <c r="G3100" s="21">
        <f t="shared" si="8"/>
        <v>318539.46</v>
      </c>
      <c r="H3100" s="23"/>
      <c r="I3100" s="21">
        <f t="shared" si="15"/>
        <v>781.68</v>
      </c>
      <c r="J3100" s="23"/>
      <c r="K3100" s="21">
        <f t="shared" si="13"/>
        <v>204430.28</v>
      </c>
      <c r="L3100" s="23"/>
      <c r="M3100" s="21">
        <f t="shared" si="16"/>
        <v>1894.93</v>
      </c>
    </row>
    <row r="3101" ht="20.25" customHeight="1" outlineLevel="1">
      <c r="A3101" s="12"/>
      <c r="B3101" s="46"/>
      <c r="C3101" s="160"/>
      <c r="D3101" s="20"/>
      <c r="E3101" s="21">
        <f t="shared" si="1"/>
        <v>12593.22</v>
      </c>
      <c r="F3101" s="23"/>
      <c r="G3101" s="21">
        <f t="shared" si="8"/>
        <v>318539.46</v>
      </c>
      <c r="H3101" s="23"/>
      <c r="I3101" s="21">
        <f t="shared" si="15"/>
        <v>781.68</v>
      </c>
      <c r="J3101" s="23"/>
      <c r="K3101" s="21">
        <f t="shared" si="13"/>
        <v>204430.28</v>
      </c>
      <c r="L3101" s="23"/>
      <c r="M3101" s="21">
        <f t="shared" si="16"/>
        <v>1894.93</v>
      </c>
    </row>
    <row r="3102" ht="20.25" customHeight="1" outlineLevel="1">
      <c r="A3102" s="12"/>
      <c r="B3102" s="46"/>
      <c r="C3102" s="160"/>
      <c r="D3102" s="20"/>
      <c r="E3102" s="21">
        <f t="shared" si="1"/>
        <v>12593.22</v>
      </c>
      <c r="F3102" s="23"/>
      <c r="G3102" s="21">
        <f t="shared" si="8"/>
        <v>318539.46</v>
      </c>
      <c r="H3102" s="23"/>
      <c r="I3102" s="21">
        <f t="shared" si="15"/>
        <v>781.68</v>
      </c>
      <c r="J3102" s="23"/>
      <c r="K3102" s="21">
        <f t="shared" si="13"/>
        <v>204430.28</v>
      </c>
      <c r="L3102" s="23"/>
      <c r="M3102" s="21">
        <f t="shared" si="16"/>
        <v>1894.93</v>
      </c>
    </row>
    <row r="3103" ht="20.25" customHeight="1" outlineLevel="1">
      <c r="A3103" s="12"/>
      <c r="B3103" s="46"/>
      <c r="C3103" s="161"/>
      <c r="D3103" s="20"/>
      <c r="E3103" s="21">
        <f t="shared" si="1"/>
        <v>12593.22</v>
      </c>
      <c r="F3103" s="23"/>
      <c r="G3103" s="21">
        <f t="shared" si="8"/>
        <v>318539.46</v>
      </c>
      <c r="H3103" s="23"/>
      <c r="I3103" s="21">
        <f t="shared" si="15"/>
        <v>781.68</v>
      </c>
      <c r="J3103" s="23"/>
      <c r="K3103" s="21">
        <f t="shared" si="13"/>
        <v>204430.28</v>
      </c>
      <c r="L3103" s="23"/>
      <c r="M3103" s="21">
        <f t="shared" si="16"/>
        <v>1894.93</v>
      </c>
    </row>
    <row r="3104" ht="20.25" customHeight="1" outlineLevel="1">
      <c r="A3104" s="12"/>
      <c r="B3104" s="46"/>
      <c r="C3104" s="161"/>
      <c r="D3104" s="20"/>
      <c r="E3104" s="21">
        <f t="shared" si="1"/>
        <v>12593.22</v>
      </c>
      <c r="F3104" s="23"/>
      <c r="G3104" s="21">
        <f t="shared" si="8"/>
        <v>318539.46</v>
      </c>
      <c r="H3104" s="23"/>
      <c r="I3104" s="21">
        <f t="shared" si="15"/>
        <v>781.68</v>
      </c>
      <c r="J3104" s="23"/>
      <c r="K3104" s="21">
        <f t="shared" si="13"/>
        <v>204430.28</v>
      </c>
      <c r="L3104" s="23"/>
      <c r="M3104" s="21">
        <f t="shared" si="16"/>
        <v>1894.93</v>
      </c>
    </row>
    <row r="3105" ht="20.25" customHeight="1" outlineLevel="1">
      <c r="A3105" s="12"/>
      <c r="B3105" s="46"/>
      <c r="C3105" s="161"/>
      <c r="D3105" s="20"/>
      <c r="E3105" s="21">
        <f t="shared" si="1"/>
        <v>12593.22</v>
      </c>
      <c r="F3105" s="23"/>
      <c r="G3105" s="21">
        <f t="shared" si="8"/>
        <v>318539.46</v>
      </c>
      <c r="H3105" s="23"/>
      <c r="I3105" s="21">
        <f t="shared" si="15"/>
        <v>781.68</v>
      </c>
      <c r="J3105" s="23"/>
      <c r="K3105" s="21">
        <f t="shared" si="13"/>
        <v>204430.28</v>
      </c>
      <c r="L3105" s="23"/>
      <c r="M3105" s="21">
        <f t="shared" si="16"/>
        <v>1894.93</v>
      </c>
    </row>
    <row r="3106" ht="20.25" customHeight="1" outlineLevel="1">
      <c r="A3106" s="12"/>
      <c r="B3106" s="46"/>
      <c r="C3106" s="161"/>
      <c r="D3106" s="20"/>
      <c r="E3106" s="21">
        <f t="shared" si="1"/>
        <v>12593.22</v>
      </c>
      <c r="F3106" s="23"/>
      <c r="G3106" s="21">
        <f t="shared" si="8"/>
        <v>318539.46</v>
      </c>
      <c r="H3106" s="23"/>
      <c r="I3106" s="21">
        <f t="shared" si="15"/>
        <v>781.68</v>
      </c>
      <c r="J3106" s="23"/>
      <c r="K3106" s="21">
        <f t="shared" si="13"/>
        <v>204430.28</v>
      </c>
      <c r="L3106" s="23"/>
      <c r="M3106" s="21">
        <f t="shared" si="16"/>
        <v>1894.93</v>
      </c>
    </row>
    <row r="3107" ht="20.25" customHeight="1" outlineLevel="1">
      <c r="A3107" s="12"/>
      <c r="B3107" s="46"/>
      <c r="C3107" s="160"/>
      <c r="D3107" s="20"/>
      <c r="E3107" s="21">
        <f t="shared" si="1"/>
        <v>12593.22</v>
      </c>
      <c r="F3107" s="23"/>
      <c r="G3107" s="21">
        <f t="shared" si="8"/>
        <v>318539.46</v>
      </c>
      <c r="H3107" s="23"/>
      <c r="I3107" s="21">
        <f t="shared" si="15"/>
        <v>781.68</v>
      </c>
      <c r="J3107" s="23"/>
      <c r="K3107" s="21">
        <f t="shared" si="13"/>
        <v>204430.28</v>
      </c>
      <c r="L3107" s="23"/>
      <c r="M3107" s="21">
        <f t="shared" si="16"/>
        <v>1894.93</v>
      </c>
    </row>
    <row r="3108" ht="20.25" customHeight="1" outlineLevel="1">
      <c r="A3108" s="12"/>
      <c r="B3108" s="46"/>
      <c r="C3108" s="160"/>
      <c r="D3108" s="20"/>
      <c r="E3108" s="21">
        <f t="shared" si="1"/>
        <v>12593.22</v>
      </c>
      <c r="F3108" s="23"/>
      <c r="G3108" s="21">
        <f t="shared" si="8"/>
        <v>318539.46</v>
      </c>
      <c r="H3108" s="23"/>
      <c r="I3108" s="21">
        <f t="shared" si="15"/>
        <v>781.68</v>
      </c>
      <c r="J3108" s="23"/>
      <c r="K3108" s="21">
        <f t="shared" si="13"/>
        <v>204430.28</v>
      </c>
      <c r="L3108" s="23"/>
      <c r="M3108" s="21">
        <f t="shared" si="16"/>
        <v>1894.93</v>
      </c>
    </row>
    <row r="3109" ht="20.25" customHeight="1" outlineLevel="1">
      <c r="A3109" s="12"/>
      <c r="B3109" s="46"/>
      <c r="C3109" s="160"/>
      <c r="D3109" s="20"/>
      <c r="E3109" s="21">
        <f t="shared" si="1"/>
        <v>12593.22</v>
      </c>
      <c r="F3109" s="23"/>
      <c r="G3109" s="21">
        <f t="shared" si="8"/>
        <v>318539.46</v>
      </c>
      <c r="H3109" s="23"/>
      <c r="I3109" s="21">
        <f t="shared" si="15"/>
        <v>781.68</v>
      </c>
      <c r="J3109" s="23"/>
      <c r="K3109" s="21">
        <f t="shared" si="13"/>
        <v>204430.28</v>
      </c>
      <c r="L3109" s="23"/>
      <c r="M3109" s="21">
        <f t="shared" si="16"/>
        <v>1894.93</v>
      </c>
    </row>
    <row r="3110" ht="20.25" customHeight="1" outlineLevel="1">
      <c r="A3110" s="12"/>
      <c r="B3110" s="46"/>
      <c r="C3110" s="160"/>
      <c r="D3110" s="20"/>
      <c r="E3110" s="21">
        <f t="shared" si="1"/>
        <v>12593.22</v>
      </c>
      <c r="F3110" s="23"/>
      <c r="G3110" s="21">
        <f t="shared" si="8"/>
        <v>318539.46</v>
      </c>
      <c r="H3110" s="23"/>
      <c r="I3110" s="21">
        <f t="shared" si="15"/>
        <v>781.68</v>
      </c>
      <c r="J3110" s="23"/>
      <c r="K3110" s="21">
        <f t="shared" si="13"/>
        <v>204430.28</v>
      </c>
      <c r="L3110" s="23"/>
      <c r="M3110" s="21">
        <f t="shared" si="16"/>
        <v>1894.93</v>
      </c>
    </row>
    <row r="3111" ht="20.25" customHeight="1" outlineLevel="1">
      <c r="A3111" s="12"/>
      <c r="B3111" s="46"/>
      <c r="C3111" s="161"/>
      <c r="D3111" s="20"/>
      <c r="E3111" s="21">
        <f t="shared" si="1"/>
        <v>12593.22</v>
      </c>
      <c r="F3111" s="23"/>
      <c r="G3111" s="21">
        <f t="shared" si="8"/>
        <v>318539.46</v>
      </c>
      <c r="H3111" s="23"/>
      <c r="I3111" s="21">
        <f t="shared" si="15"/>
        <v>781.68</v>
      </c>
      <c r="J3111" s="23"/>
      <c r="K3111" s="21">
        <f t="shared" si="13"/>
        <v>204430.28</v>
      </c>
      <c r="L3111" s="23"/>
      <c r="M3111" s="21">
        <f t="shared" si="16"/>
        <v>1894.93</v>
      </c>
    </row>
    <row r="3112" ht="20.25" customHeight="1" outlineLevel="1">
      <c r="A3112" s="12"/>
      <c r="B3112" s="46"/>
      <c r="C3112" s="161"/>
      <c r="D3112" s="20"/>
      <c r="E3112" s="21">
        <f t="shared" si="1"/>
        <v>12593.22</v>
      </c>
      <c r="F3112" s="23"/>
      <c r="G3112" s="21">
        <f t="shared" si="8"/>
        <v>318539.46</v>
      </c>
      <c r="H3112" s="23"/>
      <c r="I3112" s="21">
        <f t="shared" si="15"/>
        <v>781.68</v>
      </c>
      <c r="J3112" s="23"/>
      <c r="K3112" s="21">
        <f t="shared" si="13"/>
        <v>204430.28</v>
      </c>
      <c r="L3112" s="23"/>
      <c r="M3112" s="21">
        <f t="shared" si="16"/>
        <v>1894.93</v>
      </c>
    </row>
    <row r="3113" ht="20.25" customHeight="1" outlineLevel="1">
      <c r="A3113" s="12"/>
      <c r="B3113" s="46"/>
      <c r="C3113" s="161"/>
      <c r="D3113" s="20"/>
      <c r="E3113" s="21">
        <f t="shared" si="1"/>
        <v>12593.22</v>
      </c>
      <c r="F3113" s="23"/>
      <c r="G3113" s="21">
        <f t="shared" si="8"/>
        <v>318539.46</v>
      </c>
      <c r="H3113" s="23"/>
      <c r="I3113" s="21">
        <f t="shared" si="15"/>
        <v>781.68</v>
      </c>
      <c r="J3113" s="23"/>
      <c r="K3113" s="21">
        <f t="shared" si="13"/>
        <v>204430.28</v>
      </c>
      <c r="L3113" s="23"/>
      <c r="M3113" s="21">
        <f t="shared" si="16"/>
        <v>1894.93</v>
      </c>
    </row>
    <row r="3114" ht="20.25" customHeight="1" outlineLevel="1">
      <c r="A3114" s="12"/>
      <c r="B3114" s="46"/>
      <c r="C3114" s="161"/>
      <c r="D3114" s="20"/>
      <c r="E3114" s="21">
        <f t="shared" si="1"/>
        <v>12593.22</v>
      </c>
      <c r="F3114" s="23"/>
      <c r="G3114" s="21">
        <f t="shared" si="8"/>
        <v>318539.46</v>
      </c>
      <c r="H3114" s="23"/>
      <c r="I3114" s="21">
        <f t="shared" si="15"/>
        <v>781.68</v>
      </c>
      <c r="J3114" s="23"/>
      <c r="K3114" s="21">
        <f t="shared" si="13"/>
        <v>204430.28</v>
      </c>
      <c r="L3114" s="23"/>
      <c r="M3114" s="21">
        <f t="shared" si="16"/>
        <v>1894.93</v>
      </c>
    </row>
    <row r="3115" ht="20.25" customHeight="1" outlineLevel="1">
      <c r="A3115" s="12"/>
      <c r="B3115" s="46"/>
      <c r="C3115" s="160"/>
      <c r="D3115" s="20"/>
      <c r="E3115" s="21">
        <f t="shared" si="1"/>
        <v>12593.22</v>
      </c>
      <c r="F3115" s="23"/>
      <c r="G3115" s="21">
        <f t="shared" si="8"/>
        <v>318539.46</v>
      </c>
      <c r="H3115" s="23"/>
      <c r="I3115" s="21">
        <f t="shared" si="15"/>
        <v>781.68</v>
      </c>
      <c r="J3115" s="23"/>
      <c r="K3115" s="21">
        <f t="shared" si="13"/>
        <v>204430.28</v>
      </c>
      <c r="L3115" s="23"/>
      <c r="M3115" s="21">
        <f t="shared" si="16"/>
        <v>1894.93</v>
      </c>
    </row>
    <row r="3116" ht="20.25" customHeight="1" outlineLevel="1">
      <c r="A3116" s="12"/>
      <c r="B3116" s="46"/>
      <c r="C3116" s="160"/>
      <c r="D3116" s="20"/>
      <c r="E3116" s="21">
        <f t="shared" si="1"/>
        <v>12593.22</v>
      </c>
      <c r="F3116" s="23"/>
      <c r="G3116" s="21">
        <f t="shared" si="8"/>
        <v>318539.46</v>
      </c>
      <c r="H3116" s="23"/>
      <c r="I3116" s="21">
        <f t="shared" si="15"/>
        <v>781.68</v>
      </c>
      <c r="J3116" s="23"/>
      <c r="K3116" s="21">
        <f t="shared" si="13"/>
        <v>204430.28</v>
      </c>
      <c r="L3116" s="23"/>
      <c r="M3116" s="21">
        <f t="shared" si="16"/>
        <v>1894.93</v>
      </c>
    </row>
    <row r="3117" ht="20.25" customHeight="1" outlineLevel="1">
      <c r="A3117" s="12"/>
      <c r="B3117" s="46"/>
      <c r="C3117" s="160"/>
      <c r="D3117" s="20"/>
      <c r="E3117" s="21">
        <f t="shared" si="1"/>
        <v>12593.22</v>
      </c>
      <c r="F3117" s="23"/>
      <c r="G3117" s="21">
        <f t="shared" si="8"/>
        <v>318539.46</v>
      </c>
      <c r="H3117" s="23"/>
      <c r="I3117" s="21">
        <f t="shared" si="15"/>
        <v>781.68</v>
      </c>
      <c r="J3117" s="23"/>
      <c r="K3117" s="21">
        <f t="shared" si="13"/>
        <v>204430.28</v>
      </c>
      <c r="L3117" s="23"/>
      <c r="M3117" s="21">
        <f t="shared" si="16"/>
        <v>1894.93</v>
      </c>
    </row>
    <row r="3118" ht="20.25" customHeight="1" outlineLevel="1">
      <c r="A3118" s="12"/>
      <c r="B3118" s="46"/>
      <c r="C3118" s="161"/>
      <c r="D3118" s="20"/>
      <c r="E3118" s="21">
        <f t="shared" si="1"/>
        <v>12593.22</v>
      </c>
      <c r="F3118" s="23"/>
      <c r="G3118" s="21">
        <f t="shared" si="8"/>
        <v>318539.46</v>
      </c>
      <c r="H3118" s="23"/>
      <c r="I3118" s="21">
        <f t="shared" si="15"/>
        <v>781.68</v>
      </c>
      <c r="J3118" s="23"/>
      <c r="K3118" s="21">
        <f t="shared" si="13"/>
        <v>204430.28</v>
      </c>
      <c r="L3118" s="23"/>
      <c r="M3118" s="21">
        <f t="shared" si="16"/>
        <v>1894.93</v>
      </c>
    </row>
    <row r="3119" ht="20.25" customHeight="1" outlineLevel="1">
      <c r="A3119" s="12"/>
      <c r="B3119" s="46"/>
      <c r="C3119" s="161"/>
      <c r="D3119" s="20"/>
      <c r="E3119" s="21">
        <f t="shared" si="1"/>
        <v>12593.22</v>
      </c>
      <c r="F3119" s="23"/>
      <c r="G3119" s="21">
        <f t="shared" si="8"/>
        <v>318539.46</v>
      </c>
      <c r="H3119" s="23"/>
      <c r="I3119" s="21">
        <f t="shared" si="15"/>
        <v>781.68</v>
      </c>
      <c r="J3119" s="23"/>
      <c r="K3119" s="21">
        <f t="shared" si="13"/>
        <v>204430.28</v>
      </c>
      <c r="L3119" s="23"/>
      <c r="M3119" s="21">
        <f t="shared" si="16"/>
        <v>1894.93</v>
      </c>
    </row>
    <row r="3120" ht="20.25" customHeight="1" outlineLevel="1">
      <c r="A3120" s="12"/>
      <c r="B3120" s="46"/>
      <c r="C3120" s="161"/>
      <c r="D3120" s="20"/>
      <c r="E3120" s="21">
        <f t="shared" si="1"/>
        <v>12593.22</v>
      </c>
      <c r="F3120" s="23"/>
      <c r="G3120" s="21">
        <f t="shared" si="8"/>
        <v>318539.46</v>
      </c>
      <c r="H3120" s="23"/>
      <c r="I3120" s="21">
        <f t="shared" si="15"/>
        <v>781.68</v>
      </c>
      <c r="J3120" s="23"/>
      <c r="K3120" s="21">
        <f t="shared" si="13"/>
        <v>204430.28</v>
      </c>
      <c r="L3120" s="23"/>
      <c r="M3120" s="21">
        <f t="shared" si="16"/>
        <v>1894.93</v>
      </c>
    </row>
    <row r="3121" ht="20.25" customHeight="1" outlineLevel="1">
      <c r="A3121" s="12"/>
      <c r="B3121" s="46"/>
      <c r="C3121" s="161"/>
      <c r="D3121" s="20"/>
      <c r="E3121" s="21">
        <f t="shared" si="1"/>
        <v>12593.22</v>
      </c>
      <c r="F3121" s="23"/>
      <c r="G3121" s="21">
        <f t="shared" si="8"/>
        <v>318539.46</v>
      </c>
      <c r="H3121" s="23"/>
      <c r="I3121" s="21">
        <f t="shared" si="15"/>
        <v>781.68</v>
      </c>
      <c r="J3121" s="23"/>
      <c r="K3121" s="21">
        <f t="shared" si="13"/>
        <v>204430.28</v>
      </c>
      <c r="L3121" s="23"/>
      <c r="M3121" s="21">
        <f t="shared" si="16"/>
        <v>1894.93</v>
      </c>
    </row>
    <row r="3122" ht="20.25" customHeight="1" outlineLevel="1">
      <c r="A3122" s="12"/>
      <c r="B3122" s="13"/>
      <c r="C3122" s="245"/>
      <c r="D3122" s="20"/>
      <c r="E3122" s="21">
        <f t="shared" si="1"/>
        <v>12593.22</v>
      </c>
      <c r="F3122" s="23"/>
      <c r="G3122" s="21">
        <f t="shared" si="8"/>
        <v>318539.46</v>
      </c>
      <c r="H3122" s="23"/>
      <c r="I3122" s="21">
        <f t="shared" si="15"/>
        <v>781.68</v>
      </c>
      <c r="J3122" s="23"/>
      <c r="K3122" s="21">
        <f t="shared" si="13"/>
        <v>204430.28</v>
      </c>
      <c r="L3122" s="23"/>
      <c r="M3122" s="21">
        <f t="shared" si="16"/>
        <v>1894.93</v>
      </c>
    </row>
    <row r="3123" ht="20.25" customHeight="1" outlineLevel="1">
      <c r="A3123" s="12"/>
      <c r="B3123" s="13"/>
      <c r="C3123" s="44"/>
      <c r="D3123" s="20"/>
      <c r="E3123" s="21">
        <f t="shared" si="1"/>
        <v>12593.22</v>
      </c>
      <c r="F3123" s="23"/>
      <c r="G3123" s="21">
        <f t="shared" si="8"/>
        <v>318539.46</v>
      </c>
      <c r="H3123" s="23"/>
      <c r="I3123" s="21">
        <f t="shared" si="15"/>
        <v>781.68</v>
      </c>
      <c r="J3123" s="23"/>
      <c r="K3123" s="21">
        <f t="shared" si="13"/>
        <v>204430.28</v>
      </c>
      <c r="L3123" s="23"/>
      <c r="M3123" s="21">
        <f t="shared" si="16"/>
        <v>1894.93</v>
      </c>
    </row>
    <row r="3124" ht="20.25" customHeight="1" outlineLevel="1">
      <c r="A3124" s="12"/>
      <c r="B3124" s="13"/>
      <c r="C3124" s="44"/>
      <c r="D3124" s="20"/>
      <c r="E3124" s="21">
        <f t="shared" si="1"/>
        <v>12593.22</v>
      </c>
      <c r="F3124" s="23"/>
      <c r="G3124" s="21">
        <f t="shared" si="8"/>
        <v>318539.46</v>
      </c>
      <c r="H3124" s="23"/>
      <c r="I3124" s="21">
        <f t="shared" si="15"/>
        <v>781.68</v>
      </c>
      <c r="J3124" s="23"/>
      <c r="K3124" s="21">
        <f t="shared" si="13"/>
        <v>204430.28</v>
      </c>
      <c r="L3124" s="23"/>
      <c r="M3124" s="21">
        <f t="shared" si="16"/>
        <v>1894.93</v>
      </c>
    </row>
    <row r="3125" ht="20.25" customHeight="1" outlineLevel="1">
      <c r="A3125" s="12"/>
      <c r="B3125" s="13"/>
      <c r="C3125" s="72"/>
      <c r="D3125" s="20"/>
      <c r="E3125" s="21">
        <f t="shared" si="1"/>
        <v>12593.22</v>
      </c>
      <c r="F3125" s="23"/>
      <c r="G3125" s="21">
        <f t="shared" si="8"/>
        <v>318539.46</v>
      </c>
      <c r="H3125" s="23"/>
      <c r="I3125" s="21">
        <f t="shared" si="15"/>
        <v>781.68</v>
      </c>
      <c r="J3125" s="23"/>
      <c r="K3125" s="21">
        <f t="shared" si="13"/>
        <v>204430.28</v>
      </c>
      <c r="L3125" s="23"/>
      <c r="M3125" s="21">
        <f t="shared" si="16"/>
        <v>1894.93</v>
      </c>
    </row>
    <row r="3126" ht="20.25" customHeight="1" outlineLevel="1">
      <c r="A3126" s="12"/>
      <c r="B3126" s="13"/>
      <c r="C3126" s="72"/>
      <c r="D3126" s="20"/>
      <c r="E3126" s="21">
        <f t="shared" si="1"/>
        <v>12593.22</v>
      </c>
      <c r="F3126" s="23"/>
      <c r="G3126" s="21">
        <f t="shared" si="8"/>
        <v>318539.46</v>
      </c>
      <c r="H3126" s="23"/>
      <c r="I3126" s="21">
        <f t="shared" si="15"/>
        <v>781.68</v>
      </c>
      <c r="J3126" s="23"/>
      <c r="K3126" s="21">
        <f t="shared" si="13"/>
        <v>204430.28</v>
      </c>
      <c r="L3126" s="23"/>
      <c r="M3126" s="21">
        <f t="shared" si="16"/>
        <v>1894.93</v>
      </c>
    </row>
    <row r="3127" ht="20.25" customHeight="1" outlineLevel="1">
      <c r="A3127" s="12"/>
      <c r="B3127" s="13"/>
      <c r="C3127" s="44"/>
      <c r="D3127" s="20"/>
      <c r="E3127" s="21">
        <f t="shared" si="1"/>
        <v>12593.22</v>
      </c>
      <c r="F3127" s="23"/>
      <c r="G3127" s="21">
        <f t="shared" si="8"/>
        <v>318539.46</v>
      </c>
      <c r="H3127" s="23"/>
      <c r="I3127" s="21">
        <f t="shared" si="15"/>
        <v>781.68</v>
      </c>
      <c r="J3127" s="23"/>
      <c r="K3127" s="21">
        <f t="shared" si="13"/>
        <v>204430.28</v>
      </c>
      <c r="L3127" s="23"/>
      <c r="M3127" s="21">
        <f t="shared" si="16"/>
        <v>1894.93</v>
      </c>
    </row>
    <row r="3128" ht="20.25" customHeight="1" outlineLevel="1">
      <c r="A3128" s="12"/>
      <c r="B3128" s="13"/>
      <c r="C3128" s="44"/>
      <c r="D3128" s="20"/>
      <c r="E3128" s="21">
        <f t="shared" si="1"/>
        <v>12593.22</v>
      </c>
      <c r="F3128" s="23"/>
      <c r="G3128" s="21">
        <f t="shared" si="8"/>
        <v>318539.46</v>
      </c>
      <c r="H3128" s="23"/>
      <c r="I3128" s="21">
        <f t="shared" si="15"/>
        <v>781.68</v>
      </c>
      <c r="J3128" s="23"/>
      <c r="K3128" s="21">
        <f t="shared" si="13"/>
        <v>204430.28</v>
      </c>
      <c r="L3128" s="23"/>
      <c r="M3128" s="21">
        <f t="shared" si="16"/>
        <v>1894.93</v>
      </c>
    </row>
    <row r="3129" ht="20.25" customHeight="1" outlineLevel="1">
      <c r="A3129" s="12"/>
      <c r="B3129" s="13"/>
      <c r="C3129" s="44"/>
      <c r="D3129" s="20"/>
      <c r="E3129" s="21">
        <f t="shared" si="1"/>
        <v>12593.22</v>
      </c>
      <c r="F3129" s="23"/>
      <c r="G3129" s="21">
        <f t="shared" si="8"/>
        <v>318539.46</v>
      </c>
      <c r="H3129" s="23"/>
      <c r="I3129" s="21">
        <f t="shared" si="15"/>
        <v>781.68</v>
      </c>
      <c r="J3129" s="23"/>
      <c r="K3129" s="21">
        <f t="shared" si="13"/>
        <v>204430.28</v>
      </c>
      <c r="L3129" s="23"/>
      <c r="M3129" s="21">
        <f t="shared" si="16"/>
        <v>1894.93</v>
      </c>
    </row>
    <row r="3130" ht="20.25" customHeight="1" outlineLevel="1">
      <c r="A3130" s="12"/>
      <c r="B3130" s="13"/>
      <c r="C3130" s="44"/>
      <c r="D3130" s="20"/>
      <c r="E3130" s="21">
        <f t="shared" si="1"/>
        <v>12593.22</v>
      </c>
      <c r="F3130" s="23"/>
      <c r="G3130" s="21">
        <f t="shared" si="8"/>
        <v>318539.46</v>
      </c>
      <c r="H3130" s="23"/>
      <c r="I3130" s="21">
        <f t="shared" si="15"/>
        <v>781.68</v>
      </c>
      <c r="J3130" s="23"/>
      <c r="K3130" s="21">
        <f t="shared" si="13"/>
        <v>204430.28</v>
      </c>
      <c r="L3130" s="23"/>
      <c r="M3130" s="21">
        <f t="shared" si="16"/>
        <v>1894.93</v>
      </c>
    </row>
    <row r="3131" ht="20.25" customHeight="1" outlineLevel="1">
      <c r="A3131" s="12"/>
      <c r="B3131" s="13"/>
      <c r="C3131" s="44"/>
      <c r="D3131" s="20"/>
      <c r="E3131" s="21">
        <f t="shared" si="1"/>
        <v>12593.22</v>
      </c>
      <c r="F3131" s="23"/>
      <c r="G3131" s="21">
        <f t="shared" si="8"/>
        <v>318539.46</v>
      </c>
      <c r="H3131" s="23"/>
      <c r="I3131" s="21">
        <f t="shared" si="15"/>
        <v>781.68</v>
      </c>
      <c r="J3131" s="23"/>
      <c r="K3131" s="21">
        <f t="shared" si="13"/>
        <v>204430.28</v>
      </c>
      <c r="L3131" s="23"/>
      <c r="M3131" s="21">
        <f t="shared" si="16"/>
        <v>1894.93</v>
      </c>
    </row>
    <row r="3132" ht="20.25" customHeight="1" outlineLevel="1">
      <c r="A3132" s="12"/>
      <c r="B3132" s="13"/>
      <c r="C3132" s="72"/>
      <c r="D3132" s="20"/>
      <c r="E3132" s="21">
        <f t="shared" si="1"/>
        <v>12593.22</v>
      </c>
      <c r="F3132" s="23"/>
      <c r="G3132" s="21">
        <f t="shared" si="8"/>
        <v>318539.46</v>
      </c>
      <c r="H3132" s="23"/>
      <c r="I3132" s="21">
        <f t="shared" si="15"/>
        <v>781.68</v>
      </c>
      <c r="J3132" s="23"/>
      <c r="K3132" s="21">
        <f t="shared" si="13"/>
        <v>204430.28</v>
      </c>
      <c r="L3132" s="23"/>
      <c r="M3132" s="21">
        <f t="shared" si="16"/>
        <v>1894.93</v>
      </c>
    </row>
    <row r="3133" ht="20.25" customHeight="1" outlineLevel="1">
      <c r="A3133" s="12"/>
      <c r="B3133" s="13"/>
      <c r="C3133" s="72"/>
      <c r="D3133" s="20"/>
      <c r="E3133" s="21">
        <f t="shared" si="1"/>
        <v>12593.22</v>
      </c>
      <c r="F3133" s="23"/>
      <c r="G3133" s="21">
        <f t="shared" si="8"/>
        <v>318539.46</v>
      </c>
      <c r="H3133" s="23"/>
      <c r="I3133" s="21">
        <f t="shared" si="15"/>
        <v>781.68</v>
      </c>
      <c r="J3133" s="23"/>
      <c r="K3133" s="21">
        <f t="shared" si="13"/>
        <v>204430.28</v>
      </c>
      <c r="L3133" s="23"/>
      <c r="M3133" s="21">
        <f t="shared" si="16"/>
        <v>1894.93</v>
      </c>
    </row>
    <row r="3134" ht="20.25" customHeight="1" outlineLevel="1">
      <c r="A3134" s="12"/>
      <c r="B3134" s="13"/>
      <c r="C3134" s="72"/>
      <c r="D3134" s="20"/>
      <c r="E3134" s="21">
        <f t="shared" si="1"/>
        <v>12593.22</v>
      </c>
      <c r="F3134" s="23"/>
      <c r="G3134" s="21">
        <f t="shared" si="8"/>
        <v>318539.46</v>
      </c>
      <c r="H3134" s="23"/>
      <c r="I3134" s="21">
        <f t="shared" si="15"/>
        <v>781.68</v>
      </c>
      <c r="J3134" s="23"/>
      <c r="K3134" s="21">
        <f t="shared" si="13"/>
        <v>204430.28</v>
      </c>
      <c r="L3134" s="23"/>
      <c r="M3134" s="21">
        <f t="shared" si="16"/>
        <v>1894.93</v>
      </c>
    </row>
    <row r="3135" ht="20.25" customHeight="1" outlineLevel="1">
      <c r="A3135" s="12"/>
      <c r="B3135" s="13"/>
      <c r="C3135" s="72"/>
      <c r="D3135" s="20"/>
      <c r="E3135" s="21">
        <f t="shared" si="1"/>
        <v>12593.22</v>
      </c>
      <c r="F3135" s="23"/>
      <c r="G3135" s="21">
        <f t="shared" si="8"/>
        <v>318539.46</v>
      </c>
      <c r="H3135" s="23"/>
      <c r="I3135" s="21">
        <f t="shared" si="15"/>
        <v>781.68</v>
      </c>
      <c r="J3135" s="23"/>
      <c r="K3135" s="21">
        <f t="shared" si="13"/>
        <v>204430.28</v>
      </c>
      <c r="L3135" s="23"/>
      <c r="M3135" s="21">
        <f t="shared" si="16"/>
        <v>1894.93</v>
      </c>
    </row>
    <row r="3136" ht="20.25" customHeight="1" outlineLevel="1">
      <c r="A3136" s="12"/>
      <c r="B3136" s="13"/>
      <c r="C3136" s="44"/>
      <c r="D3136" s="20"/>
      <c r="E3136" s="21">
        <f t="shared" si="1"/>
        <v>12593.22</v>
      </c>
      <c r="F3136" s="23"/>
      <c r="G3136" s="21">
        <f t="shared" si="8"/>
        <v>318539.46</v>
      </c>
      <c r="H3136" s="23"/>
      <c r="I3136" s="21">
        <f t="shared" si="15"/>
        <v>781.68</v>
      </c>
      <c r="J3136" s="23"/>
      <c r="K3136" s="21">
        <f t="shared" si="13"/>
        <v>204430.28</v>
      </c>
      <c r="L3136" s="23"/>
      <c r="M3136" s="21">
        <f t="shared" si="16"/>
        <v>1894.93</v>
      </c>
    </row>
    <row r="3137" ht="20.25" customHeight="1" outlineLevel="1">
      <c r="A3137" s="12"/>
      <c r="B3137" s="13"/>
      <c r="C3137" s="44"/>
      <c r="D3137" s="20"/>
      <c r="E3137" s="21">
        <f t="shared" si="1"/>
        <v>12593.22</v>
      </c>
      <c r="F3137" s="23"/>
      <c r="G3137" s="21">
        <f t="shared" si="8"/>
        <v>318539.46</v>
      </c>
      <c r="H3137" s="23"/>
      <c r="I3137" s="21">
        <f t="shared" si="15"/>
        <v>781.68</v>
      </c>
      <c r="J3137" s="23"/>
      <c r="K3137" s="21">
        <f t="shared" si="13"/>
        <v>204430.28</v>
      </c>
      <c r="L3137" s="23"/>
      <c r="M3137" s="21">
        <f t="shared" si="16"/>
        <v>1894.93</v>
      </c>
    </row>
    <row r="3138" ht="20.25" customHeight="1" outlineLevel="1">
      <c r="A3138" s="12"/>
      <c r="B3138" s="13"/>
      <c r="C3138" s="44"/>
      <c r="D3138" s="20"/>
      <c r="E3138" s="21">
        <f t="shared" si="1"/>
        <v>12593.22</v>
      </c>
      <c r="F3138" s="23"/>
      <c r="G3138" s="21">
        <f t="shared" si="8"/>
        <v>318539.46</v>
      </c>
      <c r="H3138" s="23"/>
      <c r="I3138" s="21">
        <f t="shared" si="15"/>
        <v>781.68</v>
      </c>
      <c r="J3138" s="23"/>
      <c r="K3138" s="21">
        <f t="shared" si="13"/>
        <v>204430.28</v>
      </c>
      <c r="L3138" s="23"/>
      <c r="M3138" s="21">
        <f t="shared" si="16"/>
        <v>1894.93</v>
      </c>
    </row>
    <row r="3139" ht="20.25" customHeight="1" outlineLevel="1">
      <c r="A3139" s="12"/>
      <c r="B3139" s="13"/>
      <c r="C3139" s="44"/>
      <c r="D3139" s="20"/>
      <c r="E3139" s="21">
        <f t="shared" si="1"/>
        <v>12593.22</v>
      </c>
      <c r="F3139" s="23"/>
      <c r="G3139" s="21">
        <f t="shared" si="8"/>
        <v>318539.46</v>
      </c>
      <c r="H3139" s="23"/>
      <c r="I3139" s="21">
        <f t="shared" si="15"/>
        <v>781.68</v>
      </c>
      <c r="J3139" s="23"/>
      <c r="K3139" s="21">
        <f t="shared" si="13"/>
        <v>204430.28</v>
      </c>
      <c r="L3139" s="23"/>
      <c r="M3139" s="21">
        <f t="shared" si="16"/>
        <v>1894.93</v>
      </c>
    </row>
    <row r="3140" ht="20.25" customHeight="1" outlineLevel="1">
      <c r="A3140" s="12"/>
      <c r="B3140" s="13"/>
      <c r="C3140" s="246"/>
      <c r="D3140" s="20"/>
      <c r="E3140" s="21">
        <f t="shared" si="1"/>
        <v>12593.22</v>
      </c>
      <c r="F3140" s="23"/>
      <c r="G3140" s="21">
        <f t="shared" si="8"/>
        <v>318539.46</v>
      </c>
      <c r="H3140" s="23"/>
      <c r="I3140" s="21">
        <f t="shared" si="15"/>
        <v>781.68</v>
      </c>
      <c r="J3140" s="23"/>
      <c r="K3140" s="21">
        <f t="shared" si="13"/>
        <v>204430.28</v>
      </c>
      <c r="L3140" s="23"/>
      <c r="M3140" s="21">
        <f t="shared" si="16"/>
        <v>1894.93</v>
      </c>
    </row>
    <row r="3141" ht="20.25" customHeight="1" outlineLevel="1">
      <c r="A3141" s="12"/>
      <c r="B3141" s="13"/>
      <c r="C3141" s="247"/>
      <c r="D3141" s="20"/>
      <c r="E3141" s="21">
        <f t="shared" si="1"/>
        <v>12593.22</v>
      </c>
      <c r="F3141" s="23"/>
      <c r="G3141" s="21">
        <f t="shared" si="8"/>
        <v>318539.46</v>
      </c>
      <c r="H3141" s="23"/>
      <c r="I3141" s="21">
        <f t="shared" si="15"/>
        <v>781.68</v>
      </c>
      <c r="J3141" s="23"/>
      <c r="K3141" s="21">
        <f t="shared" si="13"/>
        <v>204430.28</v>
      </c>
      <c r="L3141" s="23"/>
      <c r="M3141" s="21">
        <f t="shared" si="16"/>
        <v>1894.93</v>
      </c>
    </row>
    <row r="3142" ht="20.25" customHeight="1" outlineLevel="1">
      <c r="A3142" s="12"/>
      <c r="B3142" s="13"/>
      <c r="C3142" s="248"/>
      <c r="D3142" s="20"/>
      <c r="E3142" s="21">
        <f t="shared" si="1"/>
        <v>12593.22</v>
      </c>
      <c r="F3142" s="23"/>
      <c r="G3142" s="21">
        <f t="shared" si="8"/>
        <v>318539.46</v>
      </c>
      <c r="H3142" s="23"/>
      <c r="I3142" s="21">
        <f t="shared" si="15"/>
        <v>781.68</v>
      </c>
      <c r="J3142" s="23"/>
      <c r="K3142" s="21">
        <f t="shared" si="13"/>
        <v>204430.28</v>
      </c>
      <c r="L3142" s="23"/>
      <c r="M3142" s="21">
        <f t="shared" si="16"/>
        <v>1894.93</v>
      </c>
    </row>
    <row r="3143" ht="20.25" customHeight="1" outlineLevel="1">
      <c r="A3143" s="12"/>
      <c r="B3143" s="13"/>
      <c r="C3143" s="248"/>
      <c r="D3143" s="20"/>
      <c r="E3143" s="21">
        <f t="shared" si="1"/>
        <v>12593.22</v>
      </c>
      <c r="F3143" s="23"/>
      <c r="G3143" s="21">
        <f t="shared" si="8"/>
        <v>318539.46</v>
      </c>
      <c r="H3143" s="23"/>
      <c r="I3143" s="21">
        <f t="shared" si="15"/>
        <v>781.68</v>
      </c>
      <c r="J3143" s="23"/>
      <c r="K3143" s="21">
        <f t="shared" si="13"/>
        <v>204430.28</v>
      </c>
      <c r="L3143" s="23"/>
      <c r="M3143" s="21">
        <f t="shared" si="16"/>
        <v>1894.93</v>
      </c>
    </row>
    <row r="3144" ht="20.25" customHeight="1" outlineLevel="1">
      <c r="A3144" s="12"/>
      <c r="B3144" s="13"/>
      <c r="C3144" s="221"/>
      <c r="D3144" s="20"/>
      <c r="E3144" s="21">
        <f t="shared" si="1"/>
        <v>12593.22</v>
      </c>
      <c r="F3144" s="23"/>
      <c r="G3144" s="21">
        <f t="shared" si="8"/>
        <v>318539.46</v>
      </c>
      <c r="H3144" s="23"/>
      <c r="I3144" s="21">
        <f t="shared" si="15"/>
        <v>781.68</v>
      </c>
      <c r="J3144" s="23"/>
      <c r="K3144" s="21">
        <f t="shared" si="13"/>
        <v>204430.28</v>
      </c>
      <c r="L3144" s="23"/>
      <c r="M3144" s="21">
        <f t="shared" si="16"/>
        <v>1894.93</v>
      </c>
    </row>
    <row r="3145" ht="20.25" customHeight="1" outlineLevel="1">
      <c r="A3145" s="12"/>
      <c r="B3145" s="13"/>
      <c r="C3145" s="221"/>
      <c r="D3145" s="20"/>
      <c r="E3145" s="21">
        <f t="shared" si="1"/>
        <v>12593.22</v>
      </c>
      <c r="F3145" s="23"/>
      <c r="G3145" s="21">
        <f t="shared" si="8"/>
        <v>318539.46</v>
      </c>
      <c r="H3145" s="23"/>
      <c r="I3145" s="21">
        <f t="shared" si="15"/>
        <v>781.68</v>
      </c>
      <c r="J3145" s="23"/>
      <c r="K3145" s="21">
        <f t="shared" si="13"/>
        <v>204430.28</v>
      </c>
      <c r="L3145" s="23"/>
      <c r="M3145" s="21">
        <f t="shared" si="16"/>
        <v>1894.93</v>
      </c>
    </row>
    <row r="3146" ht="20.25" customHeight="1" outlineLevel="1">
      <c r="A3146" s="12"/>
      <c r="B3146" s="13"/>
      <c r="C3146" s="221"/>
      <c r="D3146" s="20"/>
      <c r="E3146" s="21">
        <f t="shared" si="1"/>
        <v>12593.22</v>
      </c>
      <c r="F3146" s="23"/>
      <c r="G3146" s="21">
        <f t="shared" si="8"/>
        <v>318539.46</v>
      </c>
      <c r="H3146" s="23"/>
      <c r="I3146" s="21">
        <f t="shared" si="15"/>
        <v>781.68</v>
      </c>
      <c r="J3146" s="23"/>
      <c r="K3146" s="21">
        <f t="shared" si="13"/>
        <v>204430.28</v>
      </c>
      <c r="L3146" s="23"/>
      <c r="M3146" s="21">
        <f t="shared" si="16"/>
        <v>1894.93</v>
      </c>
    </row>
    <row r="3147" ht="20.25" customHeight="1" outlineLevel="1">
      <c r="A3147" s="12"/>
      <c r="B3147" s="13"/>
      <c r="C3147" s="221"/>
      <c r="D3147" s="20"/>
      <c r="E3147" s="21">
        <f t="shared" si="1"/>
        <v>12593.22</v>
      </c>
      <c r="F3147" s="23"/>
      <c r="G3147" s="21">
        <f t="shared" si="8"/>
        <v>318539.46</v>
      </c>
      <c r="H3147" s="23"/>
      <c r="I3147" s="21">
        <f t="shared" si="15"/>
        <v>781.68</v>
      </c>
      <c r="J3147" s="23"/>
      <c r="K3147" s="21">
        <f t="shared" si="13"/>
        <v>204430.28</v>
      </c>
      <c r="L3147" s="23"/>
      <c r="M3147" s="21">
        <f t="shared" si="16"/>
        <v>1894.93</v>
      </c>
    </row>
    <row r="3148" ht="20.25" customHeight="1" outlineLevel="1">
      <c r="A3148" s="12"/>
      <c r="B3148" s="13"/>
      <c r="C3148" s="249"/>
      <c r="D3148" s="20"/>
      <c r="E3148" s="21">
        <f t="shared" si="1"/>
        <v>12593.22</v>
      </c>
      <c r="F3148" s="23"/>
      <c r="G3148" s="21">
        <f t="shared" si="8"/>
        <v>318539.46</v>
      </c>
      <c r="H3148" s="23"/>
      <c r="I3148" s="21">
        <f t="shared" si="15"/>
        <v>781.68</v>
      </c>
      <c r="J3148" s="23"/>
      <c r="K3148" s="21">
        <f t="shared" si="13"/>
        <v>204430.28</v>
      </c>
      <c r="L3148" s="23"/>
      <c r="M3148" s="21">
        <f t="shared" si="16"/>
        <v>1894.93</v>
      </c>
    </row>
    <row r="3149" ht="20.25" customHeight="1" outlineLevel="1">
      <c r="A3149" s="12"/>
      <c r="B3149" s="13"/>
      <c r="C3149" s="249"/>
      <c r="D3149" s="20"/>
      <c r="E3149" s="21">
        <f t="shared" si="1"/>
        <v>12593.22</v>
      </c>
      <c r="F3149" s="23"/>
      <c r="G3149" s="21">
        <f t="shared" si="8"/>
        <v>318539.46</v>
      </c>
      <c r="H3149" s="23"/>
      <c r="I3149" s="21">
        <f t="shared" si="15"/>
        <v>781.68</v>
      </c>
      <c r="J3149" s="23"/>
      <c r="K3149" s="21">
        <f t="shared" si="13"/>
        <v>204430.28</v>
      </c>
      <c r="L3149" s="23"/>
      <c r="M3149" s="21">
        <f t="shared" si="16"/>
        <v>1894.93</v>
      </c>
    </row>
    <row r="3150" ht="20.25" customHeight="1" outlineLevel="1">
      <c r="A3150" s="12"/>
      <c r="B3150" s="13"/>
      <c r="C3150" s="249"/>
      <c r="D3150" s="20"/>
      <c r="E3150" s="21">
        <f t="shared" si="1"/>
        <v>12593.22</v>
      </c>
      <c r="F3150" s="23"/>
      <c r="G3150" s="21">
        <f t="shared" si="8"/>
        <v>318539.46</v>
      </c>
      <c r="H3150" s="23"/>
      <c r="I3150" s="21">
        <f t="shared" si="15"/>
        <v>781.68</v>
      </c>
      <c r="J3150" s="23"/>
      <c r="K3150" s="21">
        <f t="shared" si="13"/>
        <v>204430.28</v>
      </c>
      <c r="L3150" s="23"/>
      <c r="M3150" s="21">
        <f t="shared" si="16"/>
        <v>1894.93</v>
      </c>
    </row>
    <row r="3151" ht="20.25" customHeight="1" outlineLevel="1">
      <c r="A3151" s="250"/>
      <c r="B3151" s="251"/>
      <c r="C3151" s="249"/>
      <c r="D3151" s="20"/>
      <c r="E3151" s="21">
        <f t="shared" si="1"/>
        <v>12593.22</v>
      </c>
      <c r="F3151" s="23"/>
      <c r="G3151" s="21">
        <f t="shared" si="8"/>
        <v>318539.46</v>
      </c>
      <c r="H3151" s="23"/>
      <c r="I3151" s="21">
        <f t="shared" si="15"/>
        <v>781.68</v>
      </c>
      <c r="J3151" s="23"/>
      <c r="K3151" s="21">
        <f t="shared" si="13"/>
        <v>204430.28</v>
      </c>
      <c r="L3151" s="23"/>
      <c r="M3151" s="21">
        <f t="shared" si="16"/>
        <v>1894.93</v>
      </c>
    </row>
    <row r="3152" ht="20.25" customHeight="1" outlineLevel="1">
      <c r="A3152" s="252"/>
      <c r="B3152" s="253"/>
      <c r="C3152" s="161"/>
      <c r="D3152" s="20"/>
      <c r="E3152" s="21">
        <f t="shared" si="1"/>
        <v>12593.22</v>
      </c>
      <c r="F3152" s="23"/>
      <c r="G3152" s="21">
        <f t="shared" si="8"/>
        <v>318539.46</v>
      </c>
      <c r="H3152" s="23"/>
      <c r="I3152" s="21">
        <f t="shared" si="15"/>
        <v>781.68</v>
      </c>
      <c r="J3152" s="23"/>
      <c r="K3152" s="21">
        <f t="shared" si="13"/>
        <v>204430.28</v>
      </c>
      <c r="L3152" s="23"/>
      <c r="M3152" s="21">
        <f t="shared" si="16"/>
        <v>1894.93</v>
      </c>
    </row>
    <row r="3153" ht="20.25" customHeight="1" outlineLevel="1">
      <c r="A3153" s="252"/>
      <c r="B3153" s="253"/>
      <c r="C3153" s="160"/>
      <c r="D3153" s="20"/>
      <c r="E3153" s="21">
        <f t="shared" si="1"/>
        <v>12593.22</v>
      </c>
      <c r="F3153" s="23"/>
      <c r="G3153" s="21">
        <f t="shared" si="8"/>
        <v>318539.46</v>
      </c>
      <c r="H3153" s="23"/>
      <c r="I3153" s="21">
        <f t="shared" si="15"/>
        <v>781.68</v>
      </c>
      <c r="J3153" s="23"/>
      <c r="K3153" s="21">
        <f t="shared" si="13"/>
        <v>204430.28</v>
      </c>
      <c r="L3153" s="23"/>
      <c r="M3153" s="21">
        <f t="shared" si="16"/>
        <v>1894.93</v>
      </c>
    </row>
    <row r="3154" ht="20.25" customHeight="1" outlineLevel="1">
      <c r="A3154" s="252"/>
      <c r="B3154" s="253"/>
      <c r="C3154" s="160"/>
      <c r="D3154" s="20"/>
      <c r="E3154" s="21">
        <f t="shared" si="1"/>
        <v>12593.22</v>
      </c>
      <c r="F3154" s="23"/>
      <c r="G3154" s="21">
        <f t="shared" si="8"/>
        <v>318539.46</v>
      </c>
      <c r="H3154" s="23"/>
      <c r="I3154" s="21">
        <f t="shared" si="15"/>
        <v>781.68</v>
      </c>
      <c r="J3154" s="23"/>
      <c r="K3154" s="21">
        <f t="shared" si="13"/>
        <v>204430.28</v>
      </c>
      <c r="L3154" s="23"/>
      <c r="M3154" s="21">
        <f t="shared" si="16"/>
        <v>1894.93</v>
      </c>
    </row>
    <row r="3155" ht="20.25" customHeight="1" outlineLevel="1">
      <c r="A3155" s="252"/>
      <c r="B3155" s="253"/>
      <c r="C3155" s="160"/>
      <c r="D3155" s="20"/>
      <c r="E3155" s="21">
        <f t="shared" si="1"/>
        <v>12593.22</v>
      </c>
      <c r="F3155" s="23"/>
      <c r="G3155" s="21">
        <f t="shared" si="8"/>
        <v>318539.46</v>
      </c>
      <c r="H3155" s="23"/>
      <c r="I3155" s="21">
        <f t="shared" si="15"/>
        <v>781.68</v>
      </c>
      <c r="J3155" s="23"/>
      <c r="K3155" s="21">
        <f t="shared" si="13"/>
        <v>204430.28</v>
      </c>
      <c r="L3155" s="23"/>
      <c r="M3155" s="21">
        <f t="shared" si="16"/>
        <v>1894.93</v>
      </c>
    </row>
    <row r="3156" ht="20.25" customHeight="1" outlineLevel="1">
      <c r="A3156" s="252"/>
      <c r="B3156" s="253"/>
      <c r="C3156" s="160"/>
      <c r="D3156" s="20"/>
      <c r="E3156" s="21">
        <f t="shared" si="1"/>
        <v>12593.22</v>
      </c>
      <c r="F3156" s="23"/>
      <c r="G3156" s="21">
        <f t="shared" si="8"/>
        <v>318539.46</v>
      </c>
      <c r="H3156" s="23"/>
      <c r="I3156" s="21">
        <f t="shared" si="15"/>
        <v>781.68</v>
      </c>
      <c r="J3156" s="23"/>
      <c r="K3156" s="21">
        <f t="shared" si="13"/>
        <v>204430.28</v>
      </c>
      <c r="L3156" s="23"/>
      <c r="M3156" s="21">
        <f t="shared" si="16"/>
        <v>1894.93</v>
      </c>
    </row>
    <row r="3157" ht="20.25" customHeight="1" outlineLevel="1">
      <c r="A3157" s="252"/>
      <c r="B3157" s="253"/>
      <c r="C3157" s="161"/>
      <c r="D3157" s="20"/>
      <c r="E3157" s="21">
        <f t="shared" si="1"/>
        <v>12593.22</v>
      </c>
      <c r="F3157" s="23"/>
      <c r="G3157" s="21">
        <f t="shared" si="8"/>
        <v>318539.46</v>
      </c>
      <c r="H3157" s="23"/>
      <c r="I3157" s="21">
        <f t="shared" si="15"/>
        <v>781.68</v>
      </c>
      <c r="J3157" s="23"/>
      <c r="K3157" s="21">
        <f t="shared" si="13"/>
        <v>204430.28</v>
      </c>
      <c r="L3157" s="23"/>
      <c r="M3157" s="21">
        <f t="shared" si="16"/>
        <v>1894.93</v>
      </c>
    </row>
    <row r="3158" ht="20.25" customHeight="1" outlineLevel="1">
      <c r="A3158" s="252"/>
      <c r="B3158" s="253"/>
      <c r="C3158" s="161"/>
      <c r="D3158" s="20"/>
      <c r="E3158" s="21">
        <f t="shared" si="1"/>
        <v>12593.22</v>
      </c>
      <c r="F3158" s="23"/>
      <c r="G3158" s="21">
        <f t="shared" si="8"/>
        <v>318539.46</v>
      </c>
      <c r="H3158" s="23"/>
      <c r="I3158" s="21">
        <f t="shared" si="15"/>
        <v>781.68</v>
      </c>
      <c r="J3158" s="23"/>
      <c r="K3158" s="21">
        <f t="shared" si="13"/>
        <v>204430.28</v>
      </c>
      <c r="L3158" s="23"/>
      <c r="M3158" s="21">
        <f t="shared" si="16"/>
        <v>1894.93</v>
      </c>
    </row>
    <row r="3159" ht="20.25" customHeight="1" outlineLevel="1">
      <c r="A3159" s="252"/>
      <c r="B3159" s="253"/>
      <c r="C3159" s="160"/>
      <c r="D3159" s="20"/>
      <c r="E3159" s="21">
        <f t="shared" si="1"/>
        <v>12593.22</v>
      </c>
      <c r="F3159" s="23"/>
      <c r="G3159" s="21">
        <f t="shared" si="8"/>
        <v>318539.46</v>
      </c>
      <c r="H3159" s="23"/>
      <c r="I3159" s="21">
        <f t="shared" si="15"/>
        <v>781.68</v>
      </c>
      <c r="J3159" s="23"/>
      <c r="K3159" s="21">
        <f t="shared" si="13"/>
        <v>204430.28</v>
      </c>
      <c r="L3159" s="23"/>
      <c r="M3159" s="21">
        <f t="shared" si="16"/>
        <v>1894.93</v>
      </c>
    </row>
    <row r="3160" ht="20.25" customHeight="1" outlineLevel="1">
      <c r="A3160" s="252"/>
      <c r="B3160" s="253"/>
      <c r="C3160" s="160"/>
      <c r="D3160" s="20"/>
      <c r="E3160" s="21">
        <f t="shared" si="1"/>
        <v>12593.22</v>
      </c>
      <c r="F3160" s="23"/>
      <c r="G3160" s="21">
        <f t="shared" si="8"/>
        <v>318539.46</v>
      </c>
      <c r="H3160" s="23"/>
      <c r="I3160" s="21">
        <f t="shared" si="15"/>
        <v>781.68</v>
      </c>
      <c r="J3160" s="23"/>
      <c r="K3160" s="21">
        <f t="shared" si="13"/>
        <v>204430.28</v>
      </c>
      <c r="L3160" s="23"/>
      <c r="M3160" s="21">
        <f t="shared" si="16"/>
        <v>1894.93</v>
      </c>
    </row>
    <row r="3161" ht="20.25" customHeight="1" outlineLevel="1">
      <c r="A3161" s="252"/>
      <c r="B3161" s="253"/>
      <c r="C3161" s="160"/>
      <c r="D3161" s="20"/>
      <c r="E3161" s="21">
        <f t="shared" si="1"/>
        <v>12593.22</v>
      </c>
      <c r="F3161" s="23"/>
      <c r="G3161" s="21">
        <f t="shared" si="8"/>
        <v>318539.46</v>
      </c>
      <c r="H3161" s="23"/>
      <c r="I3161" s="21">
        <f t="shared" si="15"/>
        <v>781.68</v>
      </c>
      <c r="J3161" s="23"/>
      <c r="K3161" s="21">
        <f t="shared" si="13"/>
        <v>204430.28</v>
      </c>
      <c r="L3161" s="23"/>
      <c r="M3161" s="21">
        <f t="shared" si="16"/>
        <v>1894.93</v>
      </c>
    </row>
    <row r="3162" ht="20.25" customHeight="1" outlineLevel="1">
      <c r="A3162" s="252"/>
      <c r="B3162" s="253"/>
      <c r="C3162" s="161"/>
      <c r="D3162" s="20"/>
      <c r="E3162" s="21">
        <f t="shared" si="1"/>
        <v>12593.22</v>
      </c>
      <c r="F3162" s="23"/>
      <c r="G3162" s="21">
        <f t="shared" si="8"/>
        <v>318539.46</v>
      </c>
      <c r="H3162" s="23"/>
      <c r="I3162" s="21">
        <f t="shared" si="15"/>
        <v>781.68</v>
      </c>
      <c r="J3162" s="23"/>
      <c r="K3162" s="21">
        <f t="shared" si="13"/>
        <v>204430.28</v>
      </c>
      <c r="L3162" s="23"/>
      <c r="M3162" s="21">
        <f t="shared" si="16"/>
        <v>1894.93</v>
      </c>
    </row>
    <row r="3163" ht="20.25" customHeight="1" outlineLevel="1">
      <c r="A3163" s="252"/>
      <c r="B3163" s="253"/>
      <c r="C3163" s="160"/>
      <c r="D3163" s="20"/>
      <c r="E3163" s="21">
        <f t="shared" si="1"/>
        <v>12593.22</v>
      </c>
      <c r="F3163" s="23"/>
      <c r="G3163" s="21">
        <f t="shared" si="8"/>
        <v>318539.46</v>
      </c>
      <c r="H3163" s="23"/>
      <c r="I3163" s="21">
        <f t="shared" si="15"/>
        <v>781.68</v>
      </c>
      <c r="J3163" s="23"/>
      <c r="K3163" s="21">
        <f t="shared" si="13"/>
        <v>204430.28</v>
      </c>
      <c r="L3163" s="23"/>
      <c r="M3163" s="21">
        <f t="shared" si="16"/>
        <v>1894.93</v>
      </c>
    </row>
    <row r="3164" ht="20.25" customHeight="1" outlineLevel="1">
      <c r="A3164" s="252"/>
      <c r="B3164" s="253"/>
      <c r="C3164" s="160"/>
      <c r="D3164" s="20"/>
      <c r="E3164" s="21">
        <f t="shared" si="1"/>
        <v>12593.22</v>
      </c>
      <c r="F3164" s="23"/>
      <c r="G3164" s="21">
        <f t="shared" si="8"/>
        <v>318539.46</v>
      </c>
      <c r="H3164" s="23"/>
      <c r="I3164" s="21">
        <f t="shared" si="15"/>
        <v>781.68</v>
      </c>
      <c r="J3164" s="23"/>
      <c r="K3164" s="21">
        <f t="shared" si="13"/>
        <v>204430.28</v>
      </c>
      <c r="L3164" s="23"/>
      <c r="M3164" s="21">
        <f t="shared" si="16"/>
        <v>1894.93</v>
      </c>
    </row>
    <row r="3165" ht="20.25" customHeight="1" outlineLevel="1">
      <c r="A3165" s="252"/>
      <c r="B3165" s="253"/>
      <c r="C3165" s="160"/>
      <c r="D3165" s="20"/>
      <c r="E3165" s="21">
        <f t="shared" si="1"/>
        <v>12593.22</v>
      </c>
      <c r="F3165" s="23"/>
      <c r="G3165" s="21">
        <f t="shared" si="8"/>
        <v>318539.46</v>
      </c>
      <c r="H3165" s="23"/>
      <c r="I3165" s="21">
        <f t="shared" si="15"/>
        <v>781.68</v>
      </c>
      <c r="J3165" s="23"/>
      <c r="K3165" s="21">
        <f t="shared" si="13"/>
        <v>204430.28</v>
      </c>
      <c r="L3165" s="23"/>
      <c r="M3165" s="21">
        <f t="shared" si="16"/>
        <v>1894.93</v>
      </c>
    </row>
    <row r="3166" ht="20.25" customHeight="1" outlineLevel="1">
      <c r="A3166" s="252"/>
      <c r="B3166" s="253"/>
      <c r="C3166" s="160"/>
      <c r="D3166" s="20"/>
      <c r="E3166" s="21">
        <f t="shared" si="1"/>
        <v>12593.22</v>
      </c>
      <c r="F3166" s="23"/>
      <c r="G3166" s="21">
        <f t="shared" si="8"/>
        <v>318539.46</v>
      </c>
      <c r="H3166" s="23"/>
      <c r="I3166" s="21">
        <f t="shared" si="15"/>
        <v>781.68</v>
      </c>
      <c r="J3166" s="23"/>
      <c r="K3166" s="21">
        <f t="shared" si="13"/>
        <v>204430.28</v>
      </c>
      <c r="L3166" s="23"/>
      <c r="M3166" s="21">
        <f t="shared" si="16"/>
        <v>1894.93</v>
      </c>
    </row>
    <row r="3167" ht="20.25" customHeight="1" outlineLevel="1">
      <c r="A3167" s="252"/>
      <c r="B3167" s="253"/>
      <c r="C3167" s="221"/>
      <c r="D3167" s="20"/>
      <c r="E3167" s="21">
        <f t="shared" si="1"/>
        <v>12593.22</v>
      </c>
      <c r="F3167" s="23"/>
      <c r="G3167" s="21">
        <f t="shared" si="8"/>
        <v>318539.46</v>
      </c>
      <c r="H3167" s="23"/>
      <c r="I3167" s="21">
        <f t="shared" si="15"/>
        <v>781.68</v>
      </c>
      <c r="J3167" s="23"/>
      <c r="K3167" s="21">
        <f t="shared" si="13"/>
        <v>204430.28</v>
      </c>
      <c r="L3167" s="23"/>
      <c r="M3167" s="21">
        <f t="shared" si="16"/>
        <v>1894.93</v>
      </c>
    </row>
    <row r="3168" ht="20.25" customHeight="1" outlineLevel="1">
      <c r="A3168" s="252"/>
      <c r="B3168" s="253"/>
      <c r="C3168" s="221"/>
      <c r="D3168" s="20"/>
      <c r="E3168" s="21">
        <f t="shared" si="1"/>
        <v>12593.22</v>
      </c>
      <c r="F3168" s="23"/>
      <c r="G3168" s="21">
        <f t="shared" si="8"/>
        <v>318539.46</v>
      </c>
      <c r="H3168" s="23"/>
      <c r="I3168" s="21">
        <f t="shared" si="15"/>
        <v>781.68</v>
      </c>
      <c r="J3168" s="23"/>
      <c r="K3168" s="21">
        <f t="shared" si="13"/>
        <v>204430.28</v>
      </c>
      <c r="L3168" s="23"/>
      <c r="M3168" s="21">
        <f t="shared" si="16"/>
        <v>1894.93</v>
      </c>
    </row>
    <row r="3169" ht="20.25" customHeight="1" outlineLevel="1">
      <c r="A3169" s="252"/>
      <c r="B3169" s="253"/>
      <c r="C3169" s="221"/>
      <c r="D3169" s="20"/>
      <c r="E3169" s="21">
        <f t="shared" si="1"/>
        <v>12593.22</v>
      </c>
      <c r="F3169" s="23"/>
      <c r="G3169" s="21">
        <f t="shared" si="8"/>
        <v>318539.46</v>
      </c>
      <c r="H3169" s="23"/>
      <c r="I3169" s="21">
        <f t="shared" si="15"/>
        <v>781.68</v>
      </c>
      <c r="J3169" s="23"/>
      <c r="K3169" s="21">
        <f t="shared" si="13"/>
        <v>204430.28</v>
      </c>
      <c r="L3169" s="23"/>
      <c r="M3169" s="21">
        <f t="shared" si="16"/>
        <v>1894.93</v>
      </c>
    </row>
    <row r="3170" ht="20.25" customHeight="1" outlineLevel="1">
      <c r="A3170" s="252"/>
      <c r="B3170" s="253"/>
      <c r="C3170" s="221"/>
      <c r="D3170" s="20"/>
      <c r="E3170" s="21">
        <f t="shared" si="1"/>
        <v>12593.22</v>
      </c>
      <c r="F3170" s="23"/>
      <c r="G3170" s="21">
        <f t="shared" si="8"/>
        <v>318539.46</v>
      </c>
      <c r="H3170" s="23"/>
      <c r="I3170" s="21">
        <f t="shared" si="15"/>
        <v>781.68</v>
      </c>
      <c r="J3170" s="23"/>
      <c r="K3170" s="21">
        <f t="shared" si="13"/>
        <v>204430.28</v>
      </c>
      <c r="L3170" s="23"/>
      <c r="M3170" s="21">
        <f t="shared" si="16"/>
        <v>1894.93</v>
      </c>
    </row>
    <row r="3171" ht="20.25" customHeight="1" outlineLevel="1">
      <c r="A3171" s="252"/>
      <c r="B3171" s="253"/>
      <c r="C3171" s="221"/>
      <c r="D3171" s="20"/>
      <c r="E3171" s="21">
        <f t="shared" si="1"/>
        <v>12593.22</v>
      </c>
      <c r="F3171" s="109"/>
      <c r="G3171" s="21">
        <f t="shared" si="8"/>
        <v>318539.46</v>
      </c>
      <c r="H3171" s="23"/>
      <c r="I3171" s="21">
        <f t="shared" si="15"/>
        <v>781.68</v>
      </c>
      <c r="J3171" s="23"/>
      <c r="K3171" s="21">
        <f t="shared" si="13"/>
        <v>204430.28</v>
      </c>
      <c r="L3171" s="23"/>
      <c r="M3171" s="21">
        <f t="shared" si="16"/>
        <v>1894.93</v>
      </c>
    </row>
    <row r="3172" ht="20.25" customHeight="1" outlineLevel="1">
      <c r="A3172" s="252"/>
      <c r="B3172" s="253"/>
      <c r="C3172" s="160"/>
      <c r="D3172" s="20"/>
      <c r="E3172" s="21">
        <f t="shared" si="1"/>
        <v>12593.22</v>
      </c>
      <c r="F3172" s="23"/>
      <c r="G3172" s="21">
        <f t="shared" si="8"/>
        <v>318539.46</v>
      </c>
      <c r="H3172" s="23"/>
      <c r="I3172" s="21">
        <f t="shared" si="15"/>
        <v>781.68</v>
      </c>
      <c r="J3172" s="23"/>
      <c r="K3172" s="21">
        <f t="shared" si="13"/>
        <v>204430.28</v>
      </c>
      <c r="L3172" s="23"/>
      <c r="M3172" s="21">
        <f t="shared" si="16"/>
        <v>1894.93</v>
      </c>
    </row>
    <row r="3173" ht="20.25" customHeight="1" outlineLevel="1">
      <c r="A3173" s="252"/>
      <c r="B3173" s="253"/>
      <c r="C3173" s="160"/>
      <c r="D3173" s="20"/>
      <c r="E3173" s="21">
        <f t="shared" si="1"/>
        <v>12593.22</v>
      </c>
      <c r="F3173" s="23"/>
      <c r="G3173" s="21">
        <f t="shared" si="8"/>
        <v>318539.46</v>
      </c>
      <c r="H3173" s="23"/>
      <c r="I3173" s="21">
        <f t="shared" si="15"/>
        <v>781.68</v>
      </c>
      <c r="J3173" s="23"/>
      <c r="K3173" s="21">
        <f t="shared" si="13"/>
        <v>204430.28</v>
      </c>
      <c r="L3173" s="23"/>
      <c r="M3173" s="21">
        <f t="shared" si="16"/>
        <v>1894.93</v>
      </c>
    </row>
    <row r="3174" ht="20.25" customHeight="1" outlineLevel="1">
      <c r="A3174" s="252"/>
      <c r="B3174" s="253"/>
      <c r="C3174" s="160"/>
      <c r="D3174" s="20"/>
      <c r="E3174" s="21">
        <f t="shared" si="1"/>
        <v>12593.22</v>
      </c>
      <c r="F3174" s="23"/>
      <c r="G3174" s="21">
        <f t="shared" si="8"/>
        <v>318539.46</v>
      </c>
      <c r="H3174" s="23"/>
      <c r="I3174" s="21">
        <f t="shared" si="15"/>
        <v>781.68</v>
      </c>
      <c r="J3174" s="23"/>
      <c r="K3174" s="21">
        <f t="shared" si="13"/>
        <v>204430.28</v>
      </c>
      <c r="L3174" s="23"/>
      <c r="M3174" s="21">
        <f t="shared" si="16"/>
        <v>1894.93</v>
      </c>
    </row>
    <row r="3175" ht="20.25" customHeight="1" outlineLevel="1">
      <c r="A3175" s="252"/>
      <c r="B3175" s="253"/>
      <c r="C3175" s="160"/>
      <c r="D3175" s="20"/>
      <c r="E3175" s="21">
        <f t="shared" si="1"/>
        <v>12593.22</v>
      </c>
      <c r="F3175" s="23"/>
      <c r="G3175" s="21">
        <f t="shared" si="8"/>
        <v>318539.46</v>
      </c>
      <c r="H3175" s="23"/>
      <c r="I3175" s="21">
        <f t="shared" si="15"/>
        <v>781.68</v>
      </c>
      <c r="J3175" s="23"/>
      <c r="K3175" s="21">
        <f t="shared" si="13"/>
        <v>204430.28</v>
      </c>
      <c r="L3175" s="23"/>
      <c r="M3175" s="21">
        <f t="shared" si="16"/>
        <v>1894.93</v>
      </c>
    </row>
    <row r="3176" ht="20.25" customHeight="1" outlineLevel="1">
      <c r="A3176" s="252"/>
      <c r="B3176" s="253"/>
      <c r="C3176" s="160"/>
      <c r="D3176" s="20"/>
      <c r="E3176" s="21">
        <f t="shared" si="1"/>
        <v>12593.22</v>
      </c>
      <c r="F3176" s="23"/>
      <c r="G3176" s="21">
        <f t="shared" si="8"/>
        <v>318539.46</v>
      </c>
      <c r="H3176" s="23"/>
      <c r="I3176" s="21">
        <f t="shared" si="15"/>
        <v>781.68</v>
      </c>
      <c r="J3176" s="23"/>
      <c r="K3176" s="21">
        <f t="shared" si="13"/>
        <v>204430.28</v>
      </c>
      <c r="L3176" s="23"/>
      <c r="M3176" s="21">
        <f t="shared" si="16"/>
        <v>1894.93</v>
      </c>
    </row>
    <row r="3177" ht="20.25" customHeight="1" outlineLevel="1">
      <c r="A3177" s="252"/>
      <c r="B3177" s="253"/>
      <c r="C3177" s="160"/>
      <c r="D3177" s="20"/>
      <c r="E3177" s="21">
        <f t="shared" si="1"/>
        <v>12593.22</v>
      </c>
      <c r="F3177" s="23"/>
      <c r="G3177" s="21">
        <f t="shared" si="8"/>
        <v>318539.46</v>
      </c>
      <c r="H3177" s="23"/>
      <c r="I3177" s="21">
        <f t="shared" si="15"/>
        <v>781.68</v>
      </c>
      <c r="J3177" s="23"/>
      <c r="K3177" s="21">
        <f t="shared" si="13"/>
        <v>204430.28</v>
      </c>
      <c r="L3177" s="23"/>
      <c r="M3177" s="21">
        <f t="shared" si="16"/>
        <v>1894.93</v>
      </c>
    </row>
    <row r="3178" ht="20.25" customHeight="1" outlineLevel="1">
      <c r="A3178" s="252"/>
      <c r="B3178" s="253"/>
      <c r="C3178" s="160"/>
      <c r="D3178" s="20"/>
      <c r="E3178" s="21">
        <f t="shared" si="1"/>
        <v>12593.22</v>
      </c>
      <c r="F3178" s="23"/>
      <c r="G3178" s="21">
        <f t="shared" si="8"/>
        <v>318539.46</v>
      </c>
      <c r="H3178" s="23"/>
      <c r="I3178" s="21">
        <f t="shared" si="15"/>
        <v>781.68</v>
      </c>
      <c r="J3178" s="23"/>
      <c r="K3178" s="21">
        <f t="shared" si="13"/>
        <v>204430.28</v>
      </c>
      <c r="L3178" s="23"/>
      <c r="M3178" s="21">
        <f t="shared" si="16"/>
        <v>1894.93</v>
      </c>
    </row>
    <row r="3179" ht="20.25" customHeight="1" outlineLevel="1">
      <c r="A3179" s="252"/>
      <c r="B3179" s="253"/>
      <c r="C3179" s="161"/>
      <c r="D3179" s="20"/>
      <c r="E3179" s="21">
        <f t="shared" si="1"/>
        <v>12593.22</v>
      </c>
      <c r="F3179" s="23"/>
      <c r="G3179" s="21">
        <f t="shared" si="8"/>
        <v>318539.46</v>
      </c>
      <c r="H3179" s="23"/>
      <c r="I3179" s="21">
        <f t="shared" si="15"/>
        <v>781.68</v>
      </c>
      <c r="J3179" s="23"/>
      <c r="K3179" s="21">
        <f t="shared" si="13"/>
        <v>204430.28</v>
      </c>
      <c r="L3179" s="23"/>
      <c r="M3179" s="21">
        <f t="shared" si="16"/>
        <v>1894.93</v>
      </c>
    </row>
    <row r="3180" ht="20.25" customHeight="1" outlineLevel="1">
      <c r="A3180" s="252"/>
      <c r="B3180" s="253"/>
      <c r="C3180" s="161"/>
      <c r="D3180" s="20"/>
      <c r="E3180" s="21">
        <f t="shared" si="1"/>
        <v>12593.22</v>
      </c>
      <c r="F3180" s="23"/>
      <c r="G3180" s="21">
        <f t="shared" si="8"/>
        <v>318539.46</v>
      </c>
      <c r="H3180" s="23"/>
      <c r="I3180" s="21">
        <f t="shared" si="15"/>
        <v>781.68</v>
      </c>
      <c r="J3180" s="23"/>
      <c r="K3180" s="21">
        <f t="shared" si="13"/>
        <v>204430.28</v>
      </c>
      <c r="L3180" s="23"/>
      <c r="M3180" s="21">
        <f t="shared" si="16"/>
        <v>1894.93</v>
      </c>
    </row>
    <row r="3181" ht="20.25" customHeight="1" outlineLevel="1">
      <c r="A3181" s="252"/>
      <c r="B3181" s="253"/>
      <c r="C3181" s="161"/>
      <c r="D3181" s="20"/>
      <c r="E3181" s="21">
        <f t="shared" si="1"/>
        <v>12593.22</v>
      </c>
      <c r="F3181" s="23"/>
      <c r="G3181" s="21">
        <f t="shared" si="8"/>
        <v>318539.46</v>
      </c>
      <c r="H3181" s="23"/>
      <c r="I3181" s="21">
        <f t="shared" si="15"/>
        <v>781.68</v>
      </c>
      <c r="J3181" s="23"/>
      <c r="K3181" s="21">
        <f t="shared" si="13"/>
        <v>204430.28</v>
      </c>
      <c r="L3181" s="23"/>
      <c r="M3181" s="21">
        <f t="shared" si="16"/>
        <v>1894.93</v>
      </c>
    </row>
    <row r="3182" ht="20.25" customHeight="1" outlineLevel="1">
      <c r="A3182" s="252"/>
      <c r="B3182" s="253"/>
      <c r="C3182" s="160"/>
      <c r="D3182" s="20"/>
      <c r="E3182" s="21">
        <f t="shared" si="1"/>
        <v>12593.22</v>
      </c>
      <c r="F3182" s="23"/>
      <c r="G3182" s="21">
        <f t="shared" si="8"/>
        <v>318539.46</v>
      </c>
      <c r="H3182" s="23"/>
      <c r="I3182" s="21">
        <f t="shared" si="15"/>
        <v>781.68</v>
      </c>
      <c r="J3182" s="23"/>
      <c r="K3182" s="21">
        <f t="shared" si="13"/>
        <v>204430.28</v>
      </c>
      <c r="L3182" s="23"/>
      <c r="M3182" s="21">
        <f t="shared" si="16"/>
        <v>1894.93</v>
      </c>
    </row>
    <row r="3183" ht="20.25" customHeight="1" outlineLevel="1">
      <c r="A3183" s="252"/>
      <c r="B3183" s="253"/>
      <c r="C3183" s="160"/>
      <c r="D3183" s="20"/>
      <c r="E3183" s="21">
        <f t="shared" si="1"/>
        <v>12593.22</v>
      </c>
      <c r="F3183" s="23"/>
      <c r="G3183" s="21">
        <f t="shared" si="8"/>
        <v>318539.46</v>
      </c>
      <c r="H3183" s="23"/>
      <c r="I3183" s="21">
        <f t="shared" si="15"/>
        <v>781.68</v>
      </c>
      <c r="J3183" s="23"/>
      <c r="K3183" s="21">
        <f t="shared" si="13"/>
        <v>204430.28</v>
      </c>
      <c r="L3183" s="23"/>
      <c r="M3183" s="21">
        <f t="shared" si="16"/>
        <v>1894.93</v>
      </c>
    </row>
    <row r="3184" ht="20.25" customHeight="1" outlineLevel="1">
      <c r="A3184" s="252"/>
      <c r="B3184" s="253"/>
      <c r="C3184" s="160"/>
      <c r="D3184" s="20"/>
      <c r="E3184" s="21">
        <f t="shared" si="1"/>
        <v>12593.22</v>
      </c>
      <c r="F3184" s="23"/>
      <c r="G3184" s="21">
        <f t="shared" si="8"/>
        <v>318539.46</v>
      </c>
      <c r="H3184" s="23"/>
      <c r="I3184" s="21">
        <f t="shared" si="15"/>
        <v>781.68</v>
      </c>
      <c r="J3184" s="23"/>
      <c r="K3184" s="21">
        <f t="shared" si="13"/>
        <v>204430.28</v>
      </c>
      <c r="L3184" s="23"/>
      <c r="M3184" s="21">
        <f t="shared" si="16"/>
        <v>1894.93</v>
      </c>
    </row>
    <row r="3185" ht="20.25" customHeight="1" outlineLevel="1">
      <c r="A3185" s="252"/>
      <c r="B3185" s="253"/>
      <c r="C3185" s="160"/>
      <c r="D3185" s="20"/>
      <c r="E3185" s="21">
        <f t="shared" si="1"/>
        <v>12593.22</v>
      </c>
      <c r="F3185" s="23"/>
      <c r="G3185" s="21">
        <f t="shared" si="8"/>
        <v>318539.46</v>
      </c>
      <c r="H3185" s="23"/>
      <c r="I3185" s="21">
        <f t="shared" si="15"/>
        <v>781.68</v>
      </c>
      <c r="J3185" s="23"/>
      <c r="K3185" s="21">
        <f t="shared" si="13"/>
        <v>204430.28</v>
      </c>
      <c r="L3185" s="23"/>
      <c r="M3185" s="21">
        <f t="shared" si="16"/>
        <v>1894.93</v>
      </c>
    </row>
    <row r="3186" ht="20.25" customHeight="1" outlineLevel="1">
      <c r="A3186" s="252"/>
      <c r="B3186" s="253"/>
      <c r="C3186" s="160"/>
      <c r="D3186" s="20"/>
      <c r="E3186" s="21">
        <f t="shared" si="1"/>
        <v>12593.22</v>
      </c>
      <c r="F3186" s="23"/>
      <c r="G3186" s="21">
        <f t="shared" si="8"/>
        <v>318539.46</v>
      </c>
      <c r="H3186" s="23"/>
      <c r="I3186" s="21">
        <f t="shared" si="15"/>
        <v>781.68</v>
      </c>
      <c r="J3186" s="23"/>
      <c r="K3186" s="21">
        <f t="shared" si="13"/>
        <v>204430.28</v>
      </c>
      <c r="L3186" s="23"/>
      <c r="M3186" s="21">
        <f t="shared" si="16"/>
        <v>1894.93</v>
      </c>
    </row>
    <row r="3187" ht="20.25" customHeight="1" outlineLevel="1">
      <c r="A3187" s="252"/>
      <c r="B3187" s="253"/>
      <c r="C3187" s="160"/>
      <c r="D3187" s="20"/>
      <c r="E3187" s="21">
        <f t="shared" si="1"/>
        <v>12593.22</v>
      </c>
      <c r="F3187" s="23"/>
      <c r="G3187" s="21">
        <f t="shared" si="8"/>
        <v>318539.46</v>
      </c>
      <c r="H3187" s="23"/>
      <c r="I3187" s="21">
        <f t="shared" si="15"/>
        <v>781.68</v>
      </c>
      <c r="J3187" s="23"/>
      <c r="K3187" s="21">
        <f t="shared" si="13"/>
        <v>204430.28</v>
      </c>
      <c r="L3187" s="23"/>
      <c r="M3187" s="21">
        <f t="shared" si="16"/>
        <v>1894.93</v>
      </c>
    </row>
    <row r="3188" ht="20.25" customHeight="1" outlineLevel="1">
      <c r="A3188" s="252"/>
      <c r="B3188" s="253"/>
      <c r="C3188" s="160"/>
      <c r="D3188" s="20"/>
      <c r="E3188" s="21">
        <f t="shared" si="1"/>
        <v>12593.22</v>
      </c>
      <c r="F3188" s="23"/>
      <c r="G3188" s="21">
        <f t="shared" si="8"/>
        <v>318539.46</v>
      </c>
      <c r="H3188" s="23"/>
      <c r="I3188" s="21">
        <f t="shared" si="15"/>
        <v>781.68</v>
      </c>
      <c r="J3188" s="23"/>
      <c r="K3188" s="21">
        <f t="shared" si="13"/>
        <v>204430.28</v>
      </c>
      <c r="L3188" s="23"/>
      <c r="M3188" s="21">
        <f t="shared" si="16"/>
        <v>1894.93</v>
      </c>
    </row>
    <row r="3189" ht="20.25" customHeight="1" outlineLevel="1">
      <c r="A3189" s="252"/>
      <c r="B3189" s="253"/>
      <c r="C3189" s="160"/>
      <c r="D3189" s="20"/>
      <c r="E3189" s="21">
        <f t="shared" si="1"/>
        <v>12593.22</v>
      </c>
      <c r="F3189" s="23"/>
      <c r="G3189" s="21">
        <f t="shared" si="8"/>
        <v>318539.46</v>
      </c>
      <c r="H3189" s="23"/>
      <c r="I3189" s="21">
        <f t="shared" si="15"/>
        <v>781.68</v>
      </c>
      <c r="J3189" s="23"/>
      <c r="K3189" s="21">
        <f t="shared" si="13"/>
        <v>204430.28</v>
      </c>
      <c r="L3189" s="23"/>
      <c r="M3189" s="21">
        <f t="shared" si="16"/>
        <v>1894.93</v>
      </c>
    </row>
    <row r="3190" ht="20.25" customHeight="1" outlineLevel="1">
      <c r="A3190" s="252"/>
      <c r="B3190" s="253"/>
      <c r="C3190" s="160"/>
      <c r="D3190" s="20"/>
      <c r="E3190" s="21">
        <f t="shared" si="1"/>
        <v>12593.22</v>
      </c>
      <c r="F3190" s="23"/>
      <c r="G3190" s="21">
        <f t="shared" si="8"/>
        <v>318539.46</v>
      </c>
      <c r="H3190" s="23"/>
      <c r="I3190" s="21">
        <f t="shared" si="15"/>
        <v>781.68</v>
      </c>
      <c r="J3190" s="23"/>
      <c r="K3190" s="21">
        <f t="shared" si="13"/>
        <v>204430.28</v>
      </c>
      <c r="L3190" s="23"/>
      <c r="M3190" s="21">
        <f t="shared" si="16"/>
        <v>1894.93</v>
      </c>
    </row>
    <row r="3191" ht="20.25" customHeight="1" outlineLevel="1">
      <c r="A3191" s="252"/>
      <c r="B3191" s="253"/>
      <c r="C3191" s="160"/>
      <c r="D3191" s="20"/>
      <c r="E3191" s="21">
        <f t="shared" si="1"/>
        <v>12593.22</v>
      </c>
      <c r="F3191" s="23"/>
      <c r="G3191" s="21">
        <f t="shared" si="8"/>
        <v>318539.46</v>
      </c>
      <c r="H3191" s="23"/>
      <c r="I3191" s="21">
        <f t="shared" si="15"/>
        <v>781.68</v>
      </c>
      <c r="J3191" s="23"/>
      <c r="K3191" s="21">
        <f t="shared" si="13"/>
        <v>204430.28</v>
      </c>
      <c r="L3191" s="23"/>
      <c r="M3191" s="21">
        <f t="shared" si="16"/>
        <v>1894.93</v>
      </c>
    </row>
    <row r="3192" ht="20.25" customHeight="1" outlineLevel="1">
      <c r="A3192" s="252"/>
      <c r="B3192" s="253"/>
      <c r="C3192" s="160"/>
      <c r="D3192" s="20"/>
      <c r="E3192" s="21">
        <f t="shared" si="1"/>
        <v>12593.22</v>
      </c>
      <c r="F3192" s="23"/>
      <c r="G3192" s="21">
        <f t="shared" si="8"/>
        <v>318539.46</v>
      </c>
      <c r="H3192" s="23"/>
      <c r="I3192" s="21">
        <f t="shared" si="15"/>
        <v>781.68</v>
      </c>
      <c r="J3192" s="23"/>
      <c r="K3192" s="21">
        <f t="shared" si="13"/>
        <v>204430.28</v>
      </c>
      <c r="L3192" s="23"/>
      <c r="M3192" s="21">
        <f t="shared" si="16"/>
        <v>1894.93</v>
      </c>
    </row>
    <row r="3193" ht="20.25" customHeight="1" outlineLevel="1">
      <c r="A3193" s="252"/>
      <c r="B3193" s="253"/>
      <c r="C3193" s="160"/>
      <c r="D3193" s="20"/>
      <c r="E3193" s="21">
        <f t="shared" si="1"/>
        <v>12593.22</v>
      </c>
      <c r="F3193" s="23"/>
      <c r="G3193" s="21">
        <f t="shared" si="8"/>
        <v>318539.46</v>
      </c>
      <c r="H3193" s="23"/>
      <c r="I3193" s="21">
        <f t="shared" si="15"/>
        <v>781.68</v>
      </c>
      <c r="J3193" s="23"/>
      <c r="K3193" s="21">
        <f t="shared" si="13"/>
        <v>204430.28</v>
      </c>
      <c r="L3193" s="23"/>
      <c r="M3193" s="21">
        <f t="shared" si="16"/>
        <v>1894.93</v>
      </c>
    </row>
    <row r="3194" ht="20.25" customHeight="1" outlineLevel="1">
      <c r="A3194" s="252"/>
      <c r="B3194" s="253"/>
      <c r="C3194" s="160"/>
      <c r="D3194" s="20"/>
      <c r="E3194" s="21">
        <f t="shared" si="1"/>
        <v>12593.22</v>
      </c>
      <c r="F3194" s="23"/>
      <c r="G3194" s="21">
        <f t="shared" si="8"/>
        <v>318539.46</v>
      </c>
      <c r="H3194" s="23"/>
      <c r="I3194" s="21">
        <f t="shared" si="15"/>
        <v>781.68</v>
      </c>
      <c r="J3194" s="23"/>
      <c r="K3194" s="21">
        <f t="shared" si="13"/>
        <v>204430.28</v>
      </c>
      <c r="L3194" s="23"/>
      <c r="M3194" s="21">
        <f t="shared" si="16"/>
        <v>1894.93</v>
      </c>
    </row>
    <row r="3195" ht="20.25" customHeight="1" outlineLevel="1">
      <c r="A3195" s="252"/>
      <c r="B3195" s="253"/>
      <c r="C3195" s="160"/>
      <c r="D3195" s="20"/>
      <c r="E3195" s="21">
        <f t="shared" si="1"/>
        <v>12593.22</v>
      </c>
      <c r="F3195" s="23"/>
      <c r="G3195" s="21">
        <f t="shared" si="8"/>
        <v>318539.46</v>
      </c>
      <c r="H3195" s="23"/>
      <c r="I3195" s="21">
        <f t="shared" si="15"/>
        <v>781.68</v>
      </c>
      <c r="J3195" s="23"/>
      <c r="K3195" s="21">
        <f t="shared" si="13"/>
        <v>204430.28</v>
      </c>
      <c r="L3195" s="23"/>
      <c r="M3195" s="21">
        <f t="shared" si="16"/>
        <v>1894.93</v>
      </c>
    </row>
    <row r="3196" ht="20.25" customHeight="1" outlineLevel="1">
      <c r="A3196" s="252"/>
      <c r="B3196" s="253"/>
      <c r="C3196" s="160"/>
      <c r="D3196" s="20"/>
      <c r="E3196" s="21">
        <f t="shared" si="1"/>
        <v>12593.22</v>
      </c>
      <c r="F3196" s="23"/>
      <c r="G3196" s="21">
        <f t="shared" si="8"/>
        <v>318539.46</v>
      </c>
      <c r="H3196" s="23"/>
      <c r="I3196" s="21">
        <f t="shared" si="15"/>
        <v>781.68</v>
      </c>
      <c r="J3196" s="23"/>
      <c r="K3196" s="21">
        <f t="shared" si="13"/>
        <v>204430.28</v>
      </c>
      <c r="L3196" s="23"/>
      <c r="M3196" s="21">
        <f t="shared" si="16"/>
        <v>1894.93</v>
      </c>
    </row>
    <row r="3197" ht="20.25" customHeight="1" outlineLevel="1">
      <c r="A3197" s="252"/>
      <c r="B3197" s="253"/>
      <c r="C3197" s="160"/>
      <c r="D3197" s="20"/>
      <c r="E3197" s="21">
        <f t="shared" si="1"/>
        <v>12593.22</v>
      </c>
      <c r="F3197" s="23"/>
      <c r="G3197" s="21">
        <f t="shared" si="8"/>
        <v>318539.46</v>
      </c>
      <c r="H3197" s="23"/>
      <c r="I3197" s="21">
        <f t="shared" si="15"/>
        <v>781.68</v>
      </c>
      <c r="J3197" s="23"/>
      <c r="K3197" s="21">
        <f t="shared" si="13"/>
        <v>204430.28</v>
      </c>
      <c r="L3197" s="23"/>
      <c r="M3197" s="21">
        <f t="shared" si="16"/>
        <v>1894.93</v>
      </c>
    </row>
    <row r="3198" ht="20.25" customHeight="1" outlineLevel="1">
      <c r="A3198" s="252"/>
      <c r="B3198" s="253"/>
      <c r="C3198" s="160"/>
      <c r="D3198" s="20"/>
      <c r="E3198" s="21">
        <f t="shared" si="1"/>
        <v>12593.22</v>
      </c>
      <c r="F3198" s="23"/>
      <c r="G3198" s="21">
        <f t="shared" si="8"/>
        <v>318539.46</v>
      </c>
      <c r="H3198" s="23"/>
      <c r="I3198" s="21">
        <f t="shared" si="15"/>
        <v>781.68</v>
      </c>
      <c r="J3198" s="23"/>
      <c r="K3198" s="21">
        <f t="shared" si="13"/>
        <v>204430.28</v>
      </c>
      <c r="L3198" s="23"/>
      <c r="M3198" s="21">
        <f t="shared" si="16"/>
        <v>1894.93</v>
      </c>
    </row>
    <row r="3199" ht="20.25" customHeight="1" outlineLevel="1">
      <c r="A3199" s="252"/>
      <c r="B3199" s="253"/>
      <c r="C3199" s="160"/>
      <c r="D3199" s="20"/>
      <c r="E3199" s="21">
        <f t="shared" si="1"/>
        <v>12593.22</v>
      </c>
      <c r="F3199" s="23"/>
      <c r="G3199" s="21">
        <f t="shared" si="8"/>
        <v>318539.46</v>
      </c>
      <c r="H3199" s="23"/>
      <c r="I3199" s="21">
        <f t="shared" si="15"/>
        <v>781.68</v>
      </c>
      <c r="J3199" s="23"/>
      <c r="K3199" s="21">
        <f t="shared" si="13"/>
        <v>204430.28</v>
      </c>
      <c r="L3199" s="23"/>
      <c r="M3199" s="21">
        <f t="shared" si="16"/>
        <v>1894.93</v>
      </c>
    </row>
    <row r="3200" ht="20.25" customHeight="1" outlineLevel="1">
      <c r="A3200" s="252"/>
      <c r="B3200" s="253"/>
      <c r="C3200" s="160"/>
      <c r="D3200" s="20"/>
      <c r="E3200" s="21">
        <f t="shared" si="1"/>
        <v>12593.22</v>
      </c>
      <c r="F3200" s="23"/>
      <c r="G3200" s="21">
        <f t="shared" si="8"/>
        <v>318539.46</v>
      </c>
      <c r="H3200" s="23"/>
      <c r="I3200" s="21">
        <f t="shared" si="15"/>
        <v>781.68</v>
      </c>
      <c r="J3200" s="23"/>
      <c r="K3200" s="21">
        <f t="shared" si="13"/>
        <v>204430.28</v>
      </c>
      <c r="L3200" s="23"/>
      <c r="M3200" s="21">
        <f t="shared" si="16"/>
        <v>1894.93</v>
      </c>
    </row>
    <row r="3201" ht="20.25" customHeight="1" outlineLevel="1">
      <c r="A3201" s="252"/>
      <c r="B3201" s="253"/>
      <c r="C3201" s="160"/>
      <c r="D3201" s="20"/>
      <c r="E3201" s="21">
        <f t="shared" si="1"/>
        <v>12593.22</v>
      </c>
      <c r="F3201" s="23"/>
      <c r="G3201" s="21">
        <f t="shared" si="8"/>
        <v>318539.46</v>
      </c>
      <c r="H3201" s="23"/>
      <c r="I3201" s="21">
        <f t="shared" si="15"/>
        <v>781.68</v>
      </c>
      <c r="J3201" s="23"/>
      <c r="K3201" s="21">
        <f t="shared" si="13"/>
        <v>204430.28</v>
      </c>
      <c r="L3201" s="23"/>
      <c r="M3201" s="21">
        <f t="shared" si="16"/>
        <v>1894.93</v>
      </c>
    </row>
    <row r="3202" ht="20.25" customHeight="1" outlineLevel="1">
      <c r="A3202" s="252"/>
      <c r="B3202" s="253"/>
      <c r="C3202" s="160"/>
      <c r="D3202" s="20"/>
      <c r="E3202" s="21">
        <f t="shared" si="1"/>
        <v>12593.22</v>
      </c>
      <c r="F3202" s="23"/>
      <c r="G3202" s="21">
        <f t="shared" si="8"/>
        <v>318539.46</v>
      </c>
      <c r="H3202" s="23"/>
      <c r="I3202" s="21">
        <f t="shared" si="15"/>
        <v>781.68</v>
      </c>
      <c r="J3202" s="23"/>
      <c r="K3202" s="21">
        <f t="shared" si="13"/>
        <v>204430.28</v>
      </c>
      <c r="L3202" s="23"/>
      <c r="M3202" s="21">
        <f t="shared" si="16"/>
        <v>1894.93</v>
      </c>
    </row>
    <row r="3203" ht="20.25" customHeight="1" outlineLevel="1">
      <c r="A3203" s="252"/>
      <c r="B3203" s="253"/>
      <c r="C3203" s="160"/>
      <c r="D3203" s="20"/>
      <c r="E3203" s="21">
        <f t="shared" si="1"/>
        <v>12593.22</v>
      </c>
      <c r="F3203" s="23"/>
      <c r="G3203" s="21">
        <f t="shared" si="8"/>
        <v>318539.46</v>
      </c>
      <c r="H3203" s="23"/>
      <c r="I3203" s="21">
        <f t="shared" si="15"/>
        <v>781.68</v>
      </c>
      <c r="J3203" s="23"/>
      <c r="K3203" s="21">
        <f t="shared" si="13"/>
        <v>204430.28</v>
      </c>
      <c r="L3203" s="23"/>
      <c r="M3203" s="21">
        <f t="shared" si="16"/>
        <v>1894.93</v>
      </c>
    </row>
    <row r="3204" ht="20.25" customHeight="1" outlineLevel="1">
      <c r="A3204" s="252"/>
      <c r="B3204" s="253"/>
      <c r="C3204" s="160"/>
      <c r="D3204" s="20"/>
      <c r="E3204" s="21">
        <f t="shared" si="1"/>
        <v>12593.22</v>
      </c>
      <c r="F3204" s="23"/>
      <c r="G3204" s="21">
        <f t="shared" si="8"/>
        <v>318539.46</v>
      </c>
      <c r="H3204" s="23"/>
      <c r="I3204" s="21">
        <f t="shared" si="15"/>
        <v>781.68</v>
      </c>
      <c r="J3204" s="23"/>
      <c r="K3204" s="21">
        <f t="shared" si="13"/>
        <v>204430.28</v>
      </c>
      <c r="L3204" s="23"/>
      <c r="M3204" s="21">
        <f t="shared" si="16"/>
        <v>1894.93</v>
      </c>
    </row>
    <row r="3205" ht="20.25" customHeight="1" outlineLevel="1">
      <c r="A3205" s="252"/>
      <c r="B3205" s="253"/>
      <c r="C3205" s="160"/>
      <c r="D3205" s="20"/>
      <c r="E3205" s="21">
        <f t="shared" si="1"/>
        <v>12593.22</v>
      </c>
      <c r="F3205" s="23"/>
      <c r="G3205" s="21">
        <f t="shared" si="8"/>
        <v>318539.46</v>
      </c>
      <c r="H3205" s="23"/>
      <c r="I3205" s="21">
        <f t="shared" si="15"/>
        <v>781.68</v>
      </c>
      <c r="J3205" s="23"/>
      <c r="K3205" s="21">
        <f t="shared" si="13"/>
        <v>204430.28</v>
      </c>
      <c r="L3205" s="23"/>
      <c r="M3205" s="21">
        <f t="shared" si="16"/>
        <v>1894.93</v>
      </c>
    </row>
    <row r="3206" ht="20.25" customHeight="1" outlineLevel="1">
      <c r="A3206" s="252"/>
      <c r="B3206" s="253"/>
      <c r="C3206" s="160"/>
      <c r="D3206" s="20"/>
      <c r="E3206" s="21">
        <f t="shared" si="1"/>
        <v>12593.22</v>
      </c>
      <c r="F3206" s="23"/>
      <c r="G3206" s="21">
        <f t="shared" si="8"/>
        <v>318539.46</v>
      </c>
      <c r="H3206" s="23"/>
      <c r="I3206" s="21">
        <f t="shared" si="15"/>
        <v>781.68</v>
      </c>
      <c r="J3206" s="23"/>
      <c r="K3206" s="21">
        <f t="shared" si="13"/>
        <v>204430.28</v>
      </c>
      <c r="L3206" s="23"/>
      <c r="M3206" s="21">
        <f t="shared" si="16"/>
        <v>1894.93</v>
      </c>
    </row>
    <row r="3207" ht="20.25" customHeight="1" outlineLevel="1">
      <c r="A3207" s="252"/>
      <c r="B3207" s="253"/>
      <c r="C3207" s="160"/>
      <c r="D3207" s="20"/>
      <c r="E3207" s="21">
        <f t="shared" si="1"/>
        <v>12593.22</v>
      </c>
      <c r="F3207" s="23"/>
      <c r="G3207" s="21">
        <f t="shared" si="8"/>
        <v>318539.46</v>
      </c>
      <c r="H3207" s="23"/>
      <c r="I3207" s="21">
        <f t="shared" si="15"/>
        <v>781.68</v>
      </c>
      <c r="J3207" s="23"/>
      <c r="K3207" s="21">
        <f t="shared" si="13"/>
        <v>204430.28</v>
      </c>
      <c r="L3207" s="23"/>
      <c r="M3207" s="21">
        <f t="shared" si="16"/>
        <v>1894.93</v>
      </c>
    </row>
    <row r="3208" ht="20.25" customHeight="1" outlineLevel="1">
      <c r="A3208" s="252"/>
      <c r="B3208" s="253"/>
      <c r="C3208" s="190"/>
      <c r="D3208" s="20"/>
      <c r="E3208" s="21">
        <f t="shared" si="1"/>
        <v>12593.22</v>
      </c>
      <c r="F3208" s="23"/>
      <c r="G3208" s="21">
        <f t="shared" si="8"/>
        <v>318539.46</v>
      </c>
      <c r="H3208" s="23"/>
      <c r="I3208" s="21">
        <f t="shared" si="15"/>
        <v>781.68</v>
      </c>
      <c r="J3208" s="23"/>
      <c r="K3208" s="21">
        <f t="shared" si="13"/>
        <v>204430.28</v>
      </c>
      <c r="L3208" s="23"/>
      <c r="M3208" s="21">
        <f t="shared" si="16"/>
        <v>1894.93</v>
      </c>
    </row>
    <row r="3209" ht="20.25" customHeight="1" outlineLevel="1">
      <c r="A3209" s="252"/>
      <c r="B3209" s="253"/>
      <c r="C3209" s="160"/>
      <c r="D3209" s="20"/>
      <c r="E3209" s="21">
        <f t="shared" si="1"/>
        <v>12593.22</v>
      </c>
      <c r="F3209" s="23"/>
      <c r="G3209" s="21">
        <f t="shared" si="8"/>
        <v>318539.46</v>
      </c>
      <c r="H3209" s="23"/>
      <c r="I3209" s="21">
        <f t="shared" si="15"/>
        <v>781.68</v>
      </c>
      <c r="J3209" s="23"/>
      <c r="K3209" s="21">
        <f t="shared" si="13"/>
        <v>204430.28</v>
      </c>
      <c r="L3209" s="23"/>
      <c r="M3209" s="21">
        <f t="shared" si="16"/>
        <v>1894.93</v>
      </c>
    </row>
    <row r="3210" ht="20.25" customHeight="1" outlineLevel="1">
      <c r="A3210" s="252"/>
      <c r="B3210" s="253"/>
      <c r="C3210" s="160"/>
      <c r="D3210" s="20"/>
      <c r="E3210" s="21">
        <f t="shared" si="1"/>
        <v>12593.22</v>
      </c>
      <c r="F3210" s="23"/>
      <c r="G3210" s="21">
        <f t="shared" si="8"/>
        <v>318539.46</v>
      </c>
      <c r="H3210" s="23"/>
      <c r="I3210" s="21">
        <f t="shared" si="15"/>
        <v>781.68</v>
      </c>
      <c r="J3210" s="23"/>
      <c r="K3210" s="21">
        <f t="shared" si="13"/>
        <v>204430.28</v>
      </c>
      <c r="L3210" s="23"/>
      <c r="M3210" s="21">
        <f t="shared" si="16"/>
        <v>1894.93</v>
      </c>
    </row>
    <row r="3211" ht="20.25" customHeight="1" outlineLevel="1">
      <c r="A3211" s="252"/>
      <c r="B3211" s="253"/>
      <c r="C3211" s="160"/>
      <c r="D3211" s="20"/>
      <c r="E3211" s="21">
        <f t="shared" si="1"/>
        <v>12593.22</v>
      </c>
      <c r="F3211" s="23"/>
      <c r="G3211" s="21">
        <f t="shared" si="8"/>
        <v>318539.46</v>
      </c>
      <c r="H3211" s="23"/>
      <c r="I3211" s="21">
        <f t="shared" si="15"/>
        <v>781.68</v>
      </c>
      <c r="J3211" s="23"/>
      <c r="K3211" s="21">
        <f t="shared" si="13"/>
        <v>204430.28</v>
      </c>
      <c r="L3211" s="23"/>
      <c r="M3211" s="21">
        <f t="shared" si="16"/>
        <v>1894.93</v>
      </c>
    </row>
    <row r="3212" ht="20.25" customHeight="1" outlineLevel="1">
      <c r="A3212" s="252"/>
      <c r="B3212" s="253"/>
      <c r="C3212" s="160"/>
      <c r="D3212" s="20"/>
      <c r="E3212" s="21">
        <f t="shared" si="1"/>
        <v>12593.22</v>
      </c>
      <c r="F3212" s="23"/>
      <c r="G3212" s="21">
        <f t="shared" si="8"/>
        <v>318539.46</v>
      </c>
      <c r="H3212" s="23"/>
      <c r="I3212" s="21">
        <f t="shared" si="15"/>
        <v>781.68</v>
      </c>
      <c r="J3212" s="23"/>
      <c r="K3212" s="21">
        <f t="shared" si="13"/>
        <v>204430.28</v>
      </c>
      <c r="L3212" s="23"/>
      <c r="M3212" s="21">
        <f t="shared" si="16"/>
        <v>1894.93</v>
      </c>
    </row>
    <row r="3213" ht="20.25" customHeight="1" outlineLevel="1">
      <c r="A3213" s="252"/>
      <c r="B3213" s="253"/>
      <c r="C3213" s="160"/>
      <c r="D3213" s="20"/>
      <c r="E3213" s="21">
        <f t="shared" si="1"/>
        <v>12593.22</v>
      </c>
      <c r="F3213" s="23"/>
      <c r="G3213" s="21">
        <f t="shared" si="8"/>
        <v>318539.46</v>
      </c>
      <c r="H3213" s="23"/>
      <c r="I3213" s="21">
        <f t="shared" si="15"/>
        <v>781.68</v>
      </c>
      <c r="J3213" s="23"/>
      <c r="K3213" s="21">
        <f t="shared" si="13"/>
        <v>204430.28</v>
      </c>
      <c r="L3213" s="23"/>
      <c r="M3213" s="21">
        <f t="shared" si="16"/>
        <v>1894.93</v>
      </c>
    </row>
    <row r="3214" ht="20.25" customHeight="1" outlineLevel="1">
      <c r="A3214" s="252"/>
      <c r="B3214" s="253"/>
      <c r="C3214" s="221"/>
      <c r="D3214" s="20"/>
      <c r="E3214" s="21">
        <f t="shared" si="1"/>
        <v>12593.22</v>
      </c>
      <c r="F3214" s="23"/>
      <c r="G3214" s="21">
        <f t="shared" si="8"/>
        <v>318539.46</v>
      </c>
      <c r="H3214" s="23"/>
      <c r="I3214" s="21">
        <f t="shared" si="15"/>
        <v>781.68</v>
      </c>
      <c r="J3214" s="23"/>
      <c r="K3214" s="21">
        <f t="shared" si="13"/>
        <v>204430.28</v>
      </c>
      <c r="L3214" s="23"/>
      <c r="M3214" s="21">
        <f t="shared" si="16"/>
        <v>1894.93</v>
      </c>
    </row>
    <row r="3215" ht="20.25" customHeight="1" outlineLevel="1">
      <c r="A3215" s="252"/>
      <c r="B3215" s="253"/>
      <c r="C3215" s="221"/>
      <c r="D3215" s="20"/>
      <c r="E3215" s="21">
        <f t="shared" si="1"/>
        <v>12593.22</v>
      </c>
      <c r="F3215" s="23"/>
      <c r="G3215" s="21">
        <f t="shared" si="8"/>
        <v>318539.46</v>
      </c>
      <c r="H3215" s="23"/>
      <c r="I3215" s="21">
        <f t="shared" si="15"/>
        <v>781.68</v>
      </c>
      <c r="J3215" s="23"/>
      <c r="K3215" s="21">
        <f t="shared" si="13"/>
        <v>204430.28</v>
      </c>
      <c r="L3215" s="23"/>
      <c r="M3215" s="21">
        <f t="shared" si="16"/>
        <v>1894.93</v>
      </c>
    </row>
    <row r="3216" ht="20.25" customHeight="1" outlineLevel="1">
      <c r="A3216" s="252"/>
      <c r="B3216" s="253"/>
      <c r="C3216" s="249"/>
      <c r="D3216" s="20"/>
      <c r="E3216" s="21">
        <f t="shared" si="1"/>
        <v>12593.22</v>
      </c>
      <c r="F3216" s="23"/>
      <c r="G3216" s="21">
        <f t="shared" si="8"/>
        <v>318539.46</v>
      </c>
      <c r="H3216" s="23"/>
      <c r="I3216" s="21">
        <f t="shared" si="15"/>
        <v>781.68</v>
      </c>
      <c r="J3216" s="23"/>
      <c r="K3216" s="21">
        <f t="shared" si="13"/>
        <v>204430.28</v>
      </c>
      <c r="L3216" s="23"/>
      <c r="M3216" s="21">
        <f t="shared" si="16"/>
        <v>1894.93</v>
      </c>
    </row>
    <row r="3217" ht="20.25" customHeight="1" outlineLevel="1">
      <c r="A3217" s="252"/>
      <c r="B3217" s="253"/>
      <c r="C3217" s="221"/>
      <c r="D3217" s="20"/>
      <c r="E3217" s="21">
        <f t="shared" si="1"/>
        <v>12593.22</v>
      </c>
      <c r="F3217" s="23"/>
      <c r="G3217" s="21">
        <f t="shared" si="8"/>
        <v>318539.46</v>
      </c>
      <c r="H3217" s="23"/>
      <c r="I3217" s="21">
        <f t="shared" si="15"/>
        <v>781.68</v>
      </c>
      <c r="J3217" s="23"/>
      <c r="K3217" s="21">
        <f t="shared" si="13"/>
        <v>204430.28</v>
      </c>
      <c r="L3217" s="23"/>
      <c r="M3217" s="21">
        <f t="shared" si="16"/>
        <v>1894.93</v>
      </c>
    </row>
    <row r="3218" ht="20.25" customHeight="1" outlineLevel="1">
      <c r="A3218" s="252"/>
      <c r="B3218" s="253"/>
      <c r="C3218" s="249"/>
      <c r="D3218" s="20"/>
      <c r="E3218" s="21">
        <f t="shared" si="1"/>
        <v>12593.22</v>
      </c>
      <c r="F3218" s="23"/>
      <c r="G3218" s="21">
        <f t="shared" si="8"/>
        <v>318539.46</v>
      </c>
      <c r="H3218" s="23"/>
      <c r="I3218" s="21">
        <f t="shared" si="15"/>
        <v>781.68</v>
      </c>
      <c r="J3218" s="23"/>
      <c r="K3218" s="21">
        <f t="shared" si="13"/>
        <v>204430.28</v>
      </c>
      <c r="L3218" s="23"/>
      <c r="M3218" s="21">
        <f t="shared" si="16"/>
        <v>1894.93</v>
      </c>
    </row>
    <row r="3219" ht="20.25" customHeight="1" outlineLevel="1">
      <c r="A3219" s="252"/>
      <c r="B3219" s="253"/>
      <c r="C3219" s="249"/>
      <c r="D3219" s="20"/>
      <c r="E3219" s="21">
        <f t="shared" si="1"/>
        <v>12593.22</v>
      </c>
      <c r="F3219" s="23"/>
      <c r="G3219" s="21">
        <f t="shared" si="8"/>
        <v>318539.46</v>
      </c>
      <c r="H3219" s="23"/>
      <c r="I3219" s="21">
        <f t="shared" si="15"/>
        <v>781.68</v>
      </c>
      <c r="J3219" s="23"/>
      <c r="K3219" s="21">
        <f t="shared" si="13"/>
        <v>204430.28</v>
      </c>
      <c r="L3219" s="23"/>
      <c r="M3219" s="21">
        <f t="shared" si="16"/>
        <v>1894.93</v>
      </c>
    </row>
    <row r="3220" ht="20.25" customHeight="1" outlineLevel="1">
      <c r="A3220" s="252"/>
      <c r="B3220" s="253"/>
      <c r="C3220" s="223"/>
      <c r="D3220" s="20"/>
      <c r="E3220" s="21">
        <f t="shared" si="1"/>
        <v>12593.22</v>
      </c>
      <c r="F3220" s="23"/>
      <c r="G3220" s="21">
        <f t="shared" si="8"/>
        <v>318539.46</v>
      </c>
      <c r="H3220" s="23"/>
      <c r="I3220" s="21">
        <f t="shared" si="15"/>
        <v>781.68</v>
      </c>
      <c r="J3220" s="23"/>
      <c r="K3220" s="21">
        <f t="shared" si="13"/>
        <v>204430.28</v>
      </c>
      <c r="L3220" s="23"/>
      <c r="M3220" s="21">
        <f t="shared" si="16"/>
        <v>1894.93</v>
      </c>
    </row>
    <row r="3221" ht="20.25" customHeight="1" outlineLevel="1">
      <c r="A3221" s="252"/>
      <c r="B3221" s="253"/>
      <c r="C3221" s="160"/>
      <c r="D3221" s="20"/>
      <c r="E3221" s="21">
        <f t="shared" si="1"/>
        <v>12593.22</v>
      </c>
      <c r="F3221" s="23"/>
      <c r="G3221" s="21">
        <f t="shared" si="8"/>
        <v>318539.46</v>
      </c>
      <c r="H3221" s="23"/>
      <c r="I3221" s="21">
        <f t="shared" si="15"/>
        <v>781.68</v>
      </c>
      <c r="J3221" s="23"/>
      <c r="K3221" s="21">
        <f t="shared" si="13"/>
        <v>204430.28</v>
      </c>
      <c r="L3221" s="23"/>
      <c r="M3221" s="21">
        <f t="shared" si="16"/>
        <v>1894.93</v>
      </c>
    </row>
    <row r="3222" ht="20.25" customHeight="1" outlineLevel="1">
      <c r="A3222" s="252"/>
      <c r="B3222" s="253"/>
      <c r="C3222" s="160"/>
      <c r="D3222" s="20"/>
      <c r="E3222" s="21">
        <f t="shared" si="1"/>
        <v>12593.22</v>
      </c>
      <c r="F3222" s="23"/>
      <c r="G3222" s="21">
        <f t="shared" si="8"/>
        <v>318539.46</v>
      </c>
      <c r="H3222" s="23"/>
      <c r="I3222" s="21">
        <f t="shared" si="15"/>
        <v>781.68</v>
      </c>
      <c r="J3222" s="23"/>
      <c r="K3222" s="21">
        <f t="shared" si="13"/>
        <v>204430.28</v>
      </c>
      <c r="L3222" s="23"/>
      <c r="M3222" s="21">
        <f t="shared" si="16"/>
        <v>1894.93</v>
      </c>
    </row>
    <row r="3223" ht="20.25" customHeight="1" outlineLevel="1">
      <c r="A3223" s="252"/>
      <c r="B3223" s="253"/>
      <c r="C3223" s="160"/>
      <c r="D3223" s="20"/>
      <c r="E3223" s="21">
        <f t="shared" si="1"/>
        <v>12593.22</v>
      </c>
      <c r="F3223" s="23"/>
      <c r="G3223" s="21">
        <f t="shared" si="8"/>
        <v>318539.46</v>
      </c>
      <c r="H3223" s="23"/>
      <c r="I3223" s="21">
        <f t="shared" si="15"/>
        <v>781.68</v>
      </c>
      <c r="J3223" s="23"/>
      <c r="K3223" s="21">
        <f t="shared" si="13"/>
        <v>204430.28</v>
      </c>
      <c r="L3223" s="23"/>
      <c r="M3223" s="21">
        <f t="shared" si="16"/>
        <v>1894.93</v>
      </c>
    </row>
    <row r="3224" ht="20.25" customHeight="1" outlineLevel="1">
      <c r="A3224" s="252"/>
      <c r="B3224" s="253"/>
      <c r="C3224" s="160"/>
      <c r="D3224" s="20"/>
      <c r="E3224" s="21">
        <f t="shared" si="1"/>
        <v>12593.22</v>
      </c>
      <c r="F3224" s="23"/>
      <c r="G3224" s="21">
        <f t="shared" si="8"/>
        <v>318539.46</v>
      </c>
      <c r="H3224" s="23"/>
      <c r="I3224" s="21">
        <f t="shared" si="15"/>
        <v>781.68</v>
      </c>
      <c r="J3224" s="23"/>
      <c r="K3224" s="21">
        <f t="shared" si="13"/>
        <v>204430.28</v>
      </c>
      <c r="L3224" s="23"/>
      <c r="M3224" s="21">
        <f t="shared" si="16"/>
        <v>1894.93</v>
      </c>
    </row>
    <row r="3225" ht="20.25" customHeight="1" outlineLevel="1">
      <c r="A3225" s="252"/>
      <c r="B3225" s="253"/>
      <c r="C3225" s="160"/>
      <c r="D3225" s="20"/>
      <c r="E3225" s="21">
        <f t="shared" si="1"/>
        <v>12593.22</v>
      </c>
      <c r="F3225" s="23"/>
      <c r="G3225" s="21">
        <f t="shared" si="8"/>
        <v>318539.46</v>
      </c>
      <c r="H3225" s="23"/>
      <c r="I3225" s="21">
        <f t="shared" si="15"/>
        <v>781.68</v>
      </c>
      <c r="J3225" s="23"/>
      <c r="K3225" s="21">
        <f t="shared" si="13"/>
        <v>204430.28</v>
      </c>
      <c r="L3225" s="23"/>
      <c r="M3225" s="21">
        <f t="shared" si="16"/>
        <v>1894.93</v>
      </c>
    </row>
    <row r="3226" ht="20.25" customHeight="1" outlineLevel="1">
      <c r="A3226" s="252"/>
      <c r="B3226" s="253"/>
      <c r="C3226" s="161"/>
      <c r="D3226" s="20"/>
      <c r="E3226" s="21">
        <f t="shared" si="1"/>
        <v>12593.22</v>
      </c>
      <c r="F3226" s="23"/>
      <c r="G3226" s="21">
        <f t="shared" si="8"/>
        <v>318539.46</v>
      </c>
      <c r="H3226" s="23"/>
      <c r="I3226" s="21">
        <f t="shared" si="15"/>
        <v>781.68</v>
      </c>
      <c r="J3226" s="23"/>
      <c r="K3226" s="21">
        <f t="shared" si="13"/>
        <v>204430.28</v>
      </c>
      <c r="L3226" s="23"/>
      <c r="M3226" s="21">
        <f t="shared" si="16"/>
        <v>1894.93</v>
      </c>
    </row>
    <row r="3227" ht="20.25" customHeight="1" outlineLevel="1">
      <c r="A3227" s="252"/>
      <c r="B3227" s="253"/>
      <c r="C3227" s="161"/>
      <c r="D3227" s="20"/>
      <c r="E3227" s="21">
        <f t="shared" si="1"/>
        <v>12593.22</v>
      </c>
      <c r="F3227" s="23"/>
      <c r="G3227" s="21">
        <f t="shared" si="8"/>
        <v>318539.46</v>
      </c>
      <c r="H3227" s="23"/>
      <c r="I3227" s="21">
        <f t="shared" si="15"/>
        <v>781.68</v>
      </c>
      <c r="J3227" s="23"/>
      <c r="K3227" s="21">
        <f t="shared" si="13"/>
        <v>204430.28</v>
      </c>
      <c r="L3227" s="23"/>
      <c r="M3227" s="21">
        <f t="shared" si="16"/>
        <v>1894.93</v>
      </c>
    </row>
    <row r="3228" ht="20.25" customHeight="1" outlineLevel="1">
      <c r="A3228" s="252"/>
      <c r="B3228" s="253"/>
      <c r="C3228" s="160"/>
      <c r="D3228" s="20"/>
      <c r="E3228" s="21">
        <f t="shared" si="1"/>
        <v>12593.22</v>
      </c>
      <c r="F3228" s="23"/>
      <c r="G3228" s="21">
        <f t="shared" si="8"/>
        <v>318539.46</v>
      </c>
      <c r="H3228" s="23"/>
      <c r="I3228" s="21">
        <f t="shared" si="15"/>
        <v>781.68</v>
      </c>
      <c r="J3228" s="23"/>
      <c r="K3228" s="21">
        <f t="shared" si="13"/>
        <v>204430.28</v>
      </c>
      <c r="L3228" s="23"/>
      <c r="M3228" s="21">
        <f t="shared" si="16"/>
        <v>1894.93</v>
      </c>
    </row>
    <row r="3229" ht="20.25" customHeight="1" outlineLevel="1">
      <c r="A3229" s="252"/>
      <c r="B3229" s="253"/>
      <c r="C3229" s="160"/>
      <c r="D3229" s="20"/>
      <c r="E3229" s="21">
        <f t="shared" si="1"/>
        <v>12593.22</v>
      </c>
      <c r="F3229" s="23"/>
      <c r="G3229" s="21">
        <f t="shared" si="8"/>
        <v>318539.46</v>
      </c>
      <c r="H3229" s="23"/>
      <c r="I3229" s="21">
        <f t="shared" si="15"/>
        <v>781.68</v>
      </c>
      <c r="J3229" s="23"/>
      <c r="K3229" s="21">
        <f t="shared" si="13"/>
        <v>204430.28</v>
      </c>
      <c r="L3229" s="23"/>
      <c r="M3229" s="21">
        <f t="shared" si="16"/>
        <v>1894.93</v>
      </c>
    </row>
    <row r="3230" ht="20.25" customHeight="1" outlineLevel="1">
      <c r="A3230" s="252"/>
      <c r="B3230" s="253"/>
      <c r="C3230" s="161"/>
      <c r="D3230" s="20"/>
      <c r="E3230" s="21">
        <f t="shared" si="1"/>
        <v>12593.22</v>
      </c>
      <c r="F3230" s="23"/>
      <c r="G3230" s="21">
        <f t="shared" si="8"/>
        <v>318539.46</v>
      </c>
      <c r="H3230" s="23"/>
      <c r="I3230" s="21">
        <f t="shared" si="15"/>
        <v>781.68</v>
      </c>
      <c r="J3230" s="23"/>
      <c r="K3230" s="21">
        <f t="shared" si="13"/>
        <v>204430.28</v>
      </c>
      <c r="L3230" s="23"/>
      <c r="M3230" s="21">
        <f t="shared" si="16"/>
        <v>1894.93</v>
      </c>
    </row>
    <row r="3231" ht="20.25" customHeight="1" outlineLevel="1">
      <c r="A3231" s="252"/>
      <c r="B3231" s="253"/>
      <c r="C3231" s="161"/>
      <c r="D3231" s="20"/>
      <c r="E3231" s="21">
        <f t="shared" si="1"/>
        <v>12593.22</v>
      </c>
      <c r="F3231" s="23"/>
      <c r="G3231" s="21">
        <f t="shared" si="8"/>
        <v>318539.46</v>
      </c>
      <c r="H3231" s="23"/>
      <c r="I3231" s="21">
        <f t="shared" si="15"/>
        <v>781.68</v>
      </c>
      <c r="J3231" s="23"/>
      <c r="K3231" s="21">
        <f t="shared" si="13"/>
        <v>204430.28</v>
      </c>
      <c r="L3231" s="23"/>
      <c r="M3231" s="21">
        <f t="shared" si="16"/>
        <v>1894.93</v>
      </c>
    </row>
    <row r="3232" ht="20.25" customHeight="1" outlineLevel="1">
      <c r="A3232" s="252"/>
      <c r="B3232" s="253"/>
      <c r="C3232" s="160"/>
      <c r="D3232" s="20"/>
      <c r="E3232" s="21">
        <f t="shared" si="1"/>
        <v>12593.22</v>
      </c>
      <c r="F3232" s="23"/>
      <c r="G3232" s="21">
        <f t="shared" si="8"/>
        <v>318539.46</v>
      </c>
      <c r="H3232" s="23"/>
      <c r="I3232" s="21">
        <f t="shared" si="15"/>
        <v>781.68</v>
      </c>
      <c r="J3232" s="23"/>
      <c r="K3232" s="21">
        <f t="shared" si="13"/>
        <v>204430.28</v>
      </c>
      <c r="L3232" s="23"/>
      <c r="M3232" s="21">
        <f t="shared" si="16"/>
        <v>1894.93</v>
      </c>
    </row>
    <row r="3233" ht="20.25" customHeight="1" outlineLevel="1">
      <c r="A3233" s="252"/>
      <c r="B3233" s="253"/>
      <c r="C3233" s="160"/>
      <c r="D3233" s="20"/>
      <c r="E3233" s="21">
        <f t="shared" si="1"/>
        <v>12593.22</v>
      </c>
      <c r="F3233" s="23"/>
      <c r="G3233" s="21">
        <f t="shared" si="8"/>
        <v>318539.46</v>
      </c>
      <c r="H3233" s="23"/>
      <c r="I3233" s="21">
        <f t="shared" si="15"/>
        <v>781.68</v>
      </c>
      <c r="J3233" s="23"/>
      <c r="K3233" s="21">
        <f t="shared" si="13"/>
        <v>204430.28</v>
      </c>
      <c r="L3233" s="23"/>
      <c r="M3233" s="21">
        <f t="shared" si="16"/>
        <v>1894.93</v>
      </c>
    </row>
    <row r="3234" ht="20.25" customHeight="1" outlineLevel="1">
      <c r="A3234" s="252"/>
      <c r="B3234" s="253"/>
      <c r="C3234" s="160"/>
      <c r="D3234" s="20"/>
      <c r="E3234" s="21">
        <f t="shared" si="1"/>
        <v>12593.22</v>
      </c>
      <c r="F3234" s="23"/>
      <c r="G3234" s="21">
        <f t="shared" si="8"/>
        <v>318539.46</v>
      </c>
      <c r="H3234" s="23"/>
      <c r="I3234" s="21">
        <f t="shared" si="15"/>
        <v>781.68</v>
      </c>
      <c r="J3234" s="23"/>
      <c r="K3234" s="21">
        <f t="shared" si="13"/>
        <v>204430.28</v>
      </c>
      <c r="L3234" s="23"/>
      <c r="M3234" s="21">
        <f t="shared" si="16"/>
        <v>1894.93</v>
      </c>
    </row>
    <row r="3235" ht="20.25" customHeight="1" outlineLevel="1">
      <c r="A3235" s="252"/>
      <c r="B3235" s="253"/>
      <c r="C3235" s="160"/>
      <c r="D3235" s="20"/>
      <c r="E3235" s="21">
        <f t="shared" si="1"/>
        <v>12593.22</v>
      </c>
      <c r="F3235" s="23"/>
      <c r="G3235" s="21">
        <f t="shared" si="8"/>
        <v>318539.46</v>
      </c>
      <c r="H3235" s="23"/>
      <c r="I3235" s="21">
        <f t="shared" si="15"/>
        <v>781.68</v>
      </c>
      <c r="J3235" s="23"/>
      <c r="K3235" s="21">
        <f t="shared" si="13"/>
        <v>204430.28</v>
      </c>
      <c r="L3235" s="23"/>
      <c r="M3235" s="21">
        <f t="shared" si="16"/>
        <v>1894.93</v>
      </c>
    </row>
    <row r="3236" ht="20.25" customHeight="1" outlineLevel="1">
      <c r="A3236" s="252"/>
      <c r="B3236" s="253"/>
      <c r="C3236" s="160"/>
      <c r="D3236" s="20"/>
      <c r="E3236" s="21">
        <f t="shared" si="1"/>
        <v>12593.22</v>
      </c>
      <c r="F3236" s="23"/>
      <c r="G3236" s="21">
        <f t="shared" si="8"/>
        <v>318539.46</v>
      </c>
      <c r="H3236" s="23"/>
      <c r="I3236" s="21">
        <f t="shared" si="15"/>
        <v>781.68</v>
      </c>
      <c r="J3236" s="23"/>
      <c r="K3236" s="21">
        <f t="shared" si="13"/>
        <v>204430.28</v>
      </c>
      <c r="L3236" s="23"/>
      <c r="M3236" s="21">
        <f t="shared" si="16"/>
        <v>1894.93</v>
      </c>
    </row>
    <row r="3237" ht="20.25" customHeight="1" outlineLevel="1">
      <c r="A3237" s="252"/>
      <c r="B3237" s="253"/>
      <c r="C3237" s="160"/>
      <c r="D3237" s="20"/>
      <c r="E3237" s="21">
        <f t="shared" si="1"/>
        <v>12593.22</v>
      </c>
      <c r="F3237" s="23"/>
      <c r="G3237" s="21">
        <f t="shared" si="8"/>
        <v>318539.46</v>
      </c>
      <c r="H3237" s="23"/>
      <c r="I3237" s="21">
        <f t="shared" si="15"/>
        <v>781.68</v>
      </c>
      <c r="J3237" s="23"/>
      <c r="K3237" s="21">
        <f t="shared" si="13"/>
        <v>204430.28</v>
      </c>
      <c r="L3237" s="23"/>
      <c r="M3237" s="21">
        <f t="shared" si="16"/>
        <v>1894.93</v>
      </c>
    </row>
    <row r="3238" ht="20.25" customHeight="1" outlineLevel="1">
      <c r="A3238" s="252"/>
      <c r="B3238" s="253"/>
      <c r="C3238" s="160"/>
      <c r="D3238" s="20"/>
      <c r="E3238" s="21">
        <f t="shared" si="1"/>
        <v>12593.22</v>
      </c>
      <c r="F3238" s="23"/>
      <c r="G3238" s="21">
        <f t="shared" si="8"/>
        <v>318539.46</v>
      </c>
      <c r="H3238" s="23"/>
      <c r="I3238" s="21">
        <f t="shared" si="15"/>
        <v>781.68</v>
      </c>
      <c r="J3238" s="23"/>
      <c r="K3238" s="21">
        <f t="shared" si="13"/>
        <v>204430.28</v>
      </c>
      <c r="L3238" s="23"/>
      <c r="M3238" s="21">
        <f t="shared" si="16"/>
        <v>1894.93</v>
      </c>
    </row>
    <row r="3239" ht="20.25" customHeight="1" outlineLevel="1">
      <c r="A3239" s="252"/>
      <c r="B3239" s="253"/>
      <c r="C3239" s="160"/>
      <c r="D3239" s="20"/>
      <c r="E3239" s="21">
        <f t="shared" si="1"/>
        <v>12593.22</v>
      </c>
      <c r="F3239" s="23"/>
      <c r="G3239" s="21">
        <f t="shared" si="8"/>
        <v>318539.46</v>
      </c>
      <c r="H3239" s="23"/>
      <c r="I3239" s="21">
        <f t="shared" si="15"/>
        <v>781.68</v>
      </c>
      <c r="J3239" s="23"/>
      <c r="K3239" s="21">
        <f t="shared" si="13"/>
        <v>204430.28</v>
      </c>
      <c r="L3239" s="23"/>
      <c r="M3239" s="21">
        <f t="shared" si="16"/>
        <v>1894.93</v>
      </c>
    </row>
    <row r="3240" ht="20.25" customHeight="1" outlineLevel="1">
      <c r="A3240" s="252"/>
      <c r="B3240" s="253"/>
      <c r="C3240" s="160"/>
      <c r="D3240" s="20"/>
      <c r="E3240" s="21">
        <f t="shared" si="1"/>
        <v>12593.22</v>
      </c>
      <c r="F3240" s="23"/>
      <c r="G3240" s="21">
        <f t="shared" si="8"/>
        <v>318539.46</v>
      </c>
      <c r="H3240" s="23"/>
      <c r="I3240" s="21">
        <f t="shared" si="15"/>
        <v>781.68</v>
      </c>
      <c r="J3240" s="23"/>
      <c r="K3240" s="21">
        <f t="shared" si="13"/>
        <v>204430.28</v>
      </c>
      <c r="L3240" s="23"/>
      <c r="M3240" s="21">
        <f t="shared" si="16"/>
        <v>1894.93</v>
      </c>
    </row>
    <row r="3241" ht="20.25" customHeight="1" outlineLevel="1">
      <c r="A3241" s="252"/>
      <c r="B3241" s="253"/>
      <c r="C3241" s="160"/>
      <c r="D3241" s="20"/>
      <c r="E3241" s="21">
        <f t="shared" si="1"/>
        <v>12593.22</v>
      </c>
      <c r="F3241" s="23"/>
      <c r="G3241" s="21">
        <f t="shared" si="8"/>
        <v>318539.46</v>
      </c>
      <c r="H3241" s="23"/>
      <c r="I3241" s="21">
        <f t="shared" si="15"/>
        <v>781.68</v>
      </c>
      <c r="J3241" s="23"/>
      <c r="K3241" s="21">
        <f t="shared" si="13"/>
        <v>204430.28</v>
      </c>
      <c r="L3241" s="23"/>
      <c r="M3241" s="21">
        <f t="shared" si="16"/>
        <v>1894.93</v>
      </c>
    </row>
    <row r="3242" ht="20.25" customHeight="1" outlineLevel="1">
      <c r="A3242" s="252"/>
      <c r="B3242" s="253"/>
      <c r="C3242" s="160"/>
      <c r="D3242" s="20"/>
      <c r="E3242" s="21">
        <f t="shared" si="1"/>
        <v>12593.22</v>
      </c>
      <c r="F3242" s="23"/>
      <c r="G3242" s="21">
        <f t="shared" si="8"/>
        <v>318539.46</v>
      </c>
      <c r="H3242" s="23"/>
      <c r="I3242" s="21">
        <f t="shared" si="15"/>
        <v>781.68</v>
      </c>
      <c r="J3242" s="23"/>
      <c r="K3242" s="21">
        <f t="shared" si="13"/>
        <v>204430.28</v>
      </c>
      <c r="L3242" s="23"/>
      <c r="M3242" s="21">
        <f t="shared" si="16"/>
        <v>1894.93</v>
      </c>
    </row>
    <row r="3243" ht="20.25" customHeight="1" outlineLevel="1">
      <c r="A3243" s="252"/>
      <c r="B3243" s="253"/>
      <c r="C3243" s="254"/>
      <c r="D3243" s="20"/>
      <c r="E3243" s="21">
        <f t="shared" si="1"/>
        <v>12593.22</v>
      </c>
      <c r="F3243" s="23"/>
      <c r="G3243" s="21">
        <f t="shared" si="8"/>
        <v>318539.46</v>
      </c>
      <c r="H3243" s="23"/>
      <c r="I3243" s="21">
        <f t="shared" si="15"/>
        <v>781.68</v>
      </c>
      <c r="J3243" s="23"/>
      <c r="K3243" s="21">
        <f t="shared" si="13"/>
        <v>204430.28</v>
      </c>
      <c r="L3243" s="23"/>
      <c r="M3243" s="21">
        <f t="shared" si="16"/>
        <v>1894.93</v>
      </c>
    </row>
    <row r="3244" ht="20.25" customHeight="1" outlineLevel="1">
      <c r="A3244" s="252"/>
      <c r="B3244" s="255"/>
      <c r="C3244" s="160"/>
      <c r="D3244" s="20"/>
      <c r="E3244" s="21">
        <f t="shared" si="1"/>
        <v>12593.22</v>
      </c>
      <c r="F3244" s="23"/>
      <c r="G3244" s="21">
        <f t="shared" si="8"/>
        <v>318539.46</v>
      </c>
      <c r="H3244" s="23"/>
      <c r="I3244" s="21">
        <f t="shared" si="15"/>
        <v>781.68</v>
      </c>
      <c r="J3244" s="23"/>
      <c r="K3244" s="21">
        <f t="shared" si="13"/>
        <v>204430.28</v>
      </c>
      <c r="L3244" s="23"/>
      <c r="M3244" s="21">
        <f t="shared" si="16"/>
        <v>1894.93</v>
      </c>
    </row>
    <row r="3245" ht="20.25" customHeight="1" outlineLevel="1">
      <c r="A3245" s="252"/>
      <c r="B3245" s="255"/>
      <c r="C3245" s="160"/>
      <c r="D3245" s="20"/>
      <c r="E3245" s="21">
        <f t="shared" si="1"/>
        <v>12593.22</v>
      </c>
      <c r="F3245" s="23"/>
      <c r="G3245" s="21">
        <f t="shared" si="8"/>
        <v>318539.46</v>
      </c>
      <c r="H3245" s="23"/>
      <c r="I3245" s="21">
        <f t="shared" si="15"/>
        <v>781.68</v>
      </c>
      <c r="J3245" s="23"/>
      <c r="K3245" s="21">
        <f t="shared" si="13"/>
        <v>204430.28</v>
      </c>
      <c r="L3245" s="23"/>
      <c r="M3245" s="21">
        <f t="shared" si="16"/>
        <v>1894.93</v>
      </c>
    </row>
    <row r="3246" ht="20.25" customHeight="1" outlineLevel="1">
      <c r="A3246" s="252"/>
      <c r="B3246" s="255"/>
      <c r="C3246" s="160"/>
      <c r="D3246" s="20"/>
      <c r="E3246" s="21">
        <f t="shared" si="1"/>
        <v>12593.22</v>
      </c>
      <c r="F3246" s="23"/>
      <c r="G3246" s="21">
        <f t="shared" si="8"/>
        <v>318539.46</v>
      </c>
      <c r="H3246" s="23"/>
      <c r="I3246" s="21">
        <f t="shared" si="15"/>
        <v>781.68</v>
      </c>
      <c r="J3246" s="23"/>
      <c r="K3246" s="21">
        <f t="shared" si="13"/>
        <v>204430.28</v>
      </c>
      <c r="L3246" s="23"/>
      <c r="M3246" s="21">
        <f t="shared" si="16"/>
        <v>1894.93</v>
      </c>
    </row>
    <row r="3247" ht="20.25" customHeight="1" outlineLevel="1">
      <c r="A3247" s="252"/>
      <c r="B3247" s="255"/>
      <c r="C3247" s="160"/>
      <c r="D3247" s="20"/>
      <c r="E3247" s="21">
        <f t="shared" si="1"/>
        <v>12593.22</v>
      </c>
      <c r="F3247" s="23"/>
      <c r="G3247" s="21">
        <f t="shared" si="8"/>
        <v>318539.46</v>
      </c>
      <c r="H3247" s="23"/>
      <c r="I3247" s="21">
        <f t="shared" si="15"/>
        <v>781.68</v>
      </c>
      <c r="J3247" s="23"/>
      <c r="K3247" s="21">
        <f t="shared" si="13"/>
        <v>204430.28</v>
      </c>
      <c r="L3247" s="23"/>
      <c r="M3247" s="21">
        <f t="shared" si="16"/>
        <v>1894.93</v>
      </c>
    </row>
    <row r="3248" ht="20.25" customHeight="1" outlineLevel="1">
      <c r="A3248" s="252"/>
      <c r="B3248" s="255"/>
      <c r="C3248" s="160"/>
      <c r="D3248" s="20"/>
      <c r="E3248" s="21">
        <f t="shared" si="1"/>
        <v>12593.22</v>
      </c>
      <c r="F3248" s="23"/>
      <c r="G3248" s="21">
        <f t="shared" si="8"/>
        <v>318539.46</v>
      </c>
      <c r="H3248" s="23"/>
      <c r="I3248" s="21">
        <f t="shared" si="15"/>
        <v>781.68</v>
      </c>
      <c r="J3248" s="23"/>
      <c r="K3248" s="21">
        <f t="shared" si="13"/>
        <v>204430.28</v>
      </c>
      <c r="L3248" s="23"/>
      <c r="M3248" s="21">
        <f t="shared" si="16"/>
        <v>1894.93</v>
      </c>
    </row>
    <row r="3249" ht="20.25" customHeight="1" outlineLevel="1">
      <c r="A3249" s="256"/>
      <c r="B3249" s="257"/>
      <c r="C3249" s="160"/>
      <c r="D3249" s="20"/>
      <c r="E3249" s="21">
        <f t="shared" si="1"/>
        <v>12593.22</v>
      </c>
      <c r="F3249" s="23"/>
      <c r="G3249" s="21">
        <f t="shared" si="8"/>
        <v>318539.46</v>
      </c>
      <c r="H3249" s="23"/>
      <c r="I3249" s="21">
        <f t="shared" si="15"/>
        <v>781.68</v>
      </c>
      <c r="J3249" s="23"/>
      <c r="K3249" s="21">
        <f t="shared" si="13"/>
        <v>204430.28</v>
      </c>
      <c r="L3249" s="23"/>
      <c r="M3249" s="21">
        <f t="shared" si="16"/>
        <v>1894.93</v>
      </c>
    </row>
    <row r="3250" ht="20.25" customHeight="1" outlineLevel="1">
      <c r="A3250" s="252"/>
      <c r="B3250" s="255"/>
      <c r="C3250" s="160"/>
      <c r="D3250" s="20"/>
      <c r="E3250" s="21">
        <f t="shared" si="1"/>
        <v>12593.22</v>
      </c>
      <c r="F3250" s="23"/>
      <c r="G3250" s="21">
        <f t="shared" si="8"/>
        <v>318539.46</v>
      </c>
      <c r="H3250" s="23"/>
      <c r="I3250" s="21">
        <f t="shared" si="15"/>
        <v>781.68</v>
      </c>
      <c r="J3250" s="23"/>
      <c r="K3250" s="21">
        <f t="shared" si="13"/>
        <v>204430.28</v>
      </c>
      <c r="L3250" s="23"/>
      <c r="M3250" s="21">
        <f t="shared" si="16"/>
        <v>1894.93</v>
      </c>
    </row>
    <row r="3251" ht="20.25" customHeight="1" outlineLevel="1">
      <c r="A3251" s="252"/>
      <c r="B3251" s="253"/>
      <c r="C3251" s="258"/>
      <c r="D3251" s="20"/>
      <c r="E3251" s="21">
        <f t="shared" si="1"/>
        <v>12593.22</v>
      </c>
      <c r="F3251" s="23"/>
      <c r="G3251" s="21">
        <f t="shared" si="8"/>
        <v>318539.46</v>
      </c>
      <c r="H3251" s="23"/>
      <c r="I3251" s="21">
        <f t="shared" si="15"/>
        <v>781.68</v>
      </c>
      <c r="J3251" s="23"/>
      <c r="K3251" s="21">
        <f t="shared" si="13"/>
        <v>204430.28</v>
      </c>
      <c r="L3251" s="23"/>
      <c r="M3251" s="21">
        <f t="shared" si="16"/>
        <v>1894.93</v>
      </c>
    </row>
    <row r="3252" ht="20.25" customHeight="1" outlineLevel="1">
      <c r="A3252" s="252"/>
      <c r="B3252" s="253"/>
      <c r="C3252" s="160"/>
      <c r="D3252" s="20"/>
      <c r="E3252" s="21">
        <f t="shared" si="1"/>
        <v>12593.22</v>
      </c>
      <c r="F3252" s="23"/>
      <c r="G3252" s="21">
        <f t="shared" si="8"/>
        <v>318539.46</v>
      </c>
      <c r="H3252" s="23"/>
      <c r="I3252" s="21">
        <f t="shared" si="15"/>
        <v>781.68</v>
      </c>
      <c r="J3252" s="23"/>
      <c r="K3252" s="21">
        <f t="shared" si="13"/>
        <v>204430.28</v>
      </c>
      <c r="L3252" s="23"/>
      <c r="M3252" s="21">
        <f t="shared" si="16"/>
        <v>1894.93</v>
      </c>
    </row>
    <row r="3253" ht="20.25" customHeight="1" outlineLevel="1">
      <c r="A3253" s="252"/>
      <c r="B3253" s="253"/>
      <c r="C3253" s="160"/>
      <c r="D3253" s="20"/>
      <c r="E3253" s="21">
        <f t="shared" si="1"/>
        <v>12593.22</v>
      </c>
      <c r="F3253" s="23"/>
      <c r="G3253" s="21">
        <f t="shared" si="8"/>
        <v>318539.46</v>
      </c>
      <c r="H3253" s="23"/>
      <c r="I3253" s="21">
        <f t="shared" si="15"/>
        <v>781.68</v>
      </c>
      <c r="J3253" s="23"/>
      <c r="K3253" s="21">
        <f t="shared" si="13"/>
        <v>204430.28</v>
      </c>
      <c r="L3253" s="23"/>
      <c r="M3253" s="21">
        <f t="shared" si="16"/>
        <v>1894.93</v>
      </c>
    </row>
    <row r="3254" ht="20.25" customHeight="1" outlineLevel="1">
      <c r="A3254" s="252"/>
      <c r="B3254" s="253"/>
      <c r="C3254" s="161"/>
      <c r="D3254" s="20"/>
      <c r="E3254" s="21">
        <f t="shared" si="1"/>
        <v>12593.22</v>
      </c>
      <c r="F3254" s="23"/>
      <c r="G3254" s="21">
        <f t="shared" si="8"/>
        <v>318539.46</v>
      </c>
      <c r="H3254" s="23"/>
      <c r="I3254" s="21">
        <f t="shared" si="15"/>
        <v>781.68</v>
      </c>
      <c r="J3254" s="23"/>
      <c r="K3254" s="21">
        <f t="shared" si="13"/>
        <v>204430.28</v>
      </c>
      <c r="L3254" s="23"/>
      <c r="M3254" s="21">
        <f t="shared" si="16"/>
        <v>1894.93</v>
      </c>
    </row>
    <row r="3255" ht="20.25" customHeight="1" outlineLevel="1">
      <c r="A3255" s="252"/>
      <c r="B3255" s="253"/>
      <c r="C3255" s="190"/>
      <c r="D3255" s="20"/>
      <c r="E3255" s="21">
        <f t="shared" si="1"/>
        <v>12593.22</v>
      </c>
      <c r="F3255" s="23"/>
      <c r="G3255" s="21">
        <f t="shared" si="8"/>
        <v>318539.46</v>
      </c>
      <c r="H3255" s="23"/>
      <c r="I3255" s="21">
        <f t="shared" si="15"/>
        <v>781.68</v>
      </c>
      <c r="J3255" s="23"/>
      <c r="K3255" s="21">
        <f t="shared" si="13"/>
        <v>204430.28</v>
      </c>
      <c r="L3255" s="23"/>
      <c r="M3255" s="21">
        <f t="shared" si="16"/>
        <v>1894.93</v>
      </c>
    </row>
    <row r="3256" ht="20.25" customHeight="1" outlineLevel="1">
      <c r="A3256" s="252"/>
      <c r="B3256" s="253"/>
      <c r="C3256" s="160"/>
      <c r="D3256" s="20"/>
      <c r="E3256" s="21">
        <f t="shared" si="1"/>
        <v>12593.22</v>
      </c>
      <c r="F3256" s="23"/>
      <c r="G3256" s="21">
        <f t="shared" si="8"/>
        <v>318539.46</v>
      </c>
      <c r="H3256" s="23"/>
      <c r="I3256" s="21">
        <f t="shared" si="15"/>
        <v>781.68</v>
      </c>
      <c r="J3256" s="23"/>
      <c r="K3256" s="21">
        <f t="shared" si="13"/>
        <v>204430.28</v>
      </c>
      <c r="L3256" s="23"/>
      <c r="M3256" s="21">
        <f t="shared" si="16"/>
        <v>1894.93</v>
      </c>
    </row>
    <row r="3257" ht="20.25" customHeight="1" outlineLevel="1">
      <c r="A3257" s="252"/>
      <c r="B3257" s="253"/>
      <c r="C3257" s="160"/>
      <c r="D3257" s="20"/>
      <c r="E3257" s="21">
        <f t="shared" si="1"/>
        <v>12593.22</v>
      </c>
      <c r="F3257" s="23"/>
      <c r="G3257" s="21">
        <f t="shared" si="8"/>
        <v>318539.46</v>
      </c>
      <c r="H3257" s="23"/>
      <c r="I3257" s="21">
        <f t="shared" si="15"/>
        <v>781.68</v>
      </c>
      <c r="J3257" s="23"/>
      <c r="K3257" s="21">
        <f t="shared" si="13"/>
        <v>204430.28</v>
      </c>
      <c r="L3257" s="23"/>
      <c r="M3257" s="21">
        <f t="shared" si="16"/>
        <v>1894.93</v>
      </c>
    </row>
    <row r="3258" ht="20.25" customHeight="1" outlineLevel="1">
      <c r="A3258" s="252"/>
      <c r="B3258" s="253"/>
      <c r="C3258" s="160"/>
      <c r="D3258" s="20"/>
      <c r="E3258" s="21">
        <f t="shared" si="1"/>
        <v>12593.22</v>
      </c>
      <c r="F3258" s="23"/>
      <c r="G3258" s="21">
        <f t="shared" si="8"/>
        <v>318539.46</v>
      </c>
      <c r="H3258" s="23"/>
      <c r="I3258" s="21">
        <f t="shared" si="15"/>
        <v>781.68</v>
      </c>
      <c r="J3258" s="23"/>
      <c r="K3258" s="21">
        <f t="shared" si="13"/>
        <v>204430.28</v>
      </c>
      <c r="L3258" s="23"/>
      <c r="M3258" s="21">
        <f t="shared" si="16"/>
        <v>1894.93</v>
      </c>
    </row>
    <row r="3259" ht="20.25" customHeight="1" outlineLevel="1">
      <c r="A3259" s="252"/>
      <c r="B3259" s="253"/>
      <c r="C3259" s="161"/>
      <c r="D3259" s="20"/>
      <c r="E3259" s="21">
        <f t="shared" si="1"/>
        <v>12593.22</v>
      </c>
      <c r="F3259" s="23"/>
      <c r="G3259" s="21">
        <f t="shared" si="8"/>
        <v>318539.46</v>
      </c>
      <c r="H3259" s="23"/>
      <c r="I3259" s="21">
        <f t="shared" si="15"/>
        <v>781.68</v>
      </c>
      <c r="J3259" s="23"/>
      <c r="K3259" s="21">
        <f t="shared" si="13"/>
        <v>204430.28</v>
      </c>
      <c r="L3259" s="23"/>
      <c r="M3259" s="21">
        <f t="shared" si="16"/>
        <v>1894.93</v>
      </c>
    </row>
    <row r="3260" ht="20.25" customHeight="1" outlineLevel="1">
      <c r="A3260" s="252"/>
      <c r="B3260" s="253"/>
      <c r="C3260" s="259"/>
      <c r="D3260" s="20"/>
      <c r="E3260" s="21">
        <f t="shared" si="1"/>
        <v>12593.22</v>
      </c>
      <c r="F3260" s="23"/>
      <c r="G3260" s="21">
        <f t="shared" si="8"/>
        <v>318539.46</v>
      </c>
      <c r="H3260" s="23"/>
      <c r="I3260" s="21">
        <f t="shared" si="15"/>
        <v>781.68</v>
      </c>
      <c r="J3260" s="23"/>
      <c r="K3260" s="21">
        <f t="shared" si="13"/>
        <v>204430.28</v>
      </c>
      <c r="L3260" s="23"/>
      <c r="M3260" s="21">
        <f t="shared" si="16"/>
        <v>1894.93</v>
      </c>
    </row>
    <row r="3261" ht="20.25" customHeight="1" outlineLevel="1">
      <c r="A3261" s="252"/>
      <c r="B3261" s="255"/>
      <c r="C3261" s="160"/>
      <c r="D3261" s="20"/>
      <c r="E3261" s="21">
        <f t="shared" si="1"/>
        <v>12593.22</v>
      </c>
      <c r="F3261" s="23"/>
      <c r="G3261" s="21">
        <f t="shared" si="8"/>
        <v>318539.46</v>
      </c>
      <c r="H3261" s="23"/>
      <c r="I3261" s="21">
        <f t="shared" si="15"/>
        <v>781.68</v>
      </c>
      <c r="J3261" s="23"/>
      <c r="K3261" s="21">
        <f t="shared" si="13"/>
        <v>204430.28</v>
      </c>
      <c r="L3261" s="23"/>
      <c r="M3261" s="21">
        <f t="shared" si="16"/>
        <v>1894.93</v>
      </c>
    </row>
    <row r="3262" ht="20.25" customHeight="1" outlineLevel="1">
      <c r="A3262" s="252"/>
      <c r="B3262" s="255"/>
      <c r="C3262" s="161"/>
      <c r="D3262" s="20"/>
      <c r="E3262" s="21">
        <f t="shared" si="1"/>
        <v>12593.22</v>
      </c>
      <c r="F3262" s="23"/>
      <c r="G3262" s="21">
        <f t="shared" si="8"/>
        <v>318539.46</v>
      </c>
      <c r="H3262" s="23"/>
      <c r="I3262" s="21">
        <f t="shared" si="15"/>
        <v>781.68</v>
      </c>
      <c r="J3262" s="23"/>
      <c r="K3262" s="21">
        <f t="shared" si="13"/>
        <v>204430.28</v>
      </c>
      <c r="L3262" s="23"/>
      <c r="M3262" s="21">
        <f t="shared" si="16"/>
        <v>1894.93</v>
      </c>
    </row>
    <row r="3263" ht="20.25" customHeight="1" outlineLevel="1">
      <c r="A3263" s="252"/>
      <c r="B3263" s="255"/>
      <c r="C3263" s="161"/>
      <c r="D3263" s="20"/>
      <c r="E3263" s="21">
        <f t="shared" si="1"/>
        <v>12593.22</v>
      </c>
      <c r="F3263" s="23"/>
      <c r="G3263" s="21">
        <f t="shared" si="8"/>
        <v>318539.46</v>
      </c>
      <c r="H3263" s="23"/>
      <c r="I3263" s="21">
        <f t="shared" si="15"/>
        <v>781.68</v>
      </c>
      <c r="J3263" s="23"/>
      <c r="K3263" s="21">
        <f t="shared" si="13"/>
        <v>204430.28</v>
      </c>
      <c r="L3263" s="23"/>
      <c r="M3263" s="21">
        <f t="shared" si="16"/>
        <v>1894.93</v>
      </c>
    </row>
    <row r="3264" ht="20.25" customHeight="1" outlineLevel="1">
      <c r="A3264" s="252"/>
      <c r="B3264" s="255"/>
      <c r="C3264" s="160"/>
      <c r="D3264" s="20"/>
      <c r="E3264" s="21">
        <f t="shared" si="1"/>
        <v>12593.22</v>
      </c>
      <c r="F3264" s="23"/>
      <c r="G3264" s="21">
        <f t="shared" si="8"/>
        <v>318539.46</v>
      </c>
      <c r="H3264" s="23"/>
      <c r="I3264" s="21">
        <f t="shared" si="15"/>
        <v>781.68</v>
      </c>
      <c r="J3264" s="23"/>
      <c r="K3264" s="21">
        <f t="shared" si="13"/>
        <v>204430.28</v>
      </c>
      <c r="L3264" s="23"/>
      <c r="M3264" s="21">
        <f t="shared" si="16"/>
        <v>1894.93</v>
      </c>
    </row>
    <row r="3265" ht="20.25" customHeight="1" outlineLevel="1">
      <c r="A3265" s="252"/>
      <c r="B3265" s="255"/>
      <c r="C3265" s="160"/>
      <c r="D3265" s="20"/>
      <c r="E3265" s="21">
        <f t="shared" si="1"/>
        <v>12593.22</v>
      </c>
      <c r="F3265" s="23"/>
      <c r="G3265" s="21">
        <f t="shared" si="8"/>
        <v>318539.46</v>
      </c>
      <c r="H3265" s="23"/>
      <c r="I3265" s="21">
        <f t="shared" si="15"/>
        <v>781.68</v>
      </c>
      <c r="J3265" s="23"/>
      <c r="K3265" s="21">
        <f t="shared" si="13"/>
        <v>204430.28</v>
      </c>
      <c r="L3265" s="23"/>
      <c r="M3265" s="21">
        <f t="shared" si="16"/>
        <v>1894.93</v>
      </c>
    </row>
    <row r="3266" ht="20.25" customHeight="1" outlineLevel="1">
      <c r="A3266" s="252"/>
      <c r="B3266" s="255"/>
      <c r="C3266" s="160"/>
      <c r="D3266" s="20"/>
      <c r="E3266" s="21">
        <f t="shared" si="1"/>
        <v>12593.22</v>
      </c>
      <c r="F3266" s="23"/>
      <c r="G3266" s="21">
        <f t="shared" si="8"/>
        <v>318539.46</v>
      </c>
      <c r="H3266" s="23"/>
      <c r="I3266" s="21">
        <f t="shared" si="15"/>
        <v>781.68</v>
      </c>
      <c r="J3266" s="23"/>
      <c r="K3266" s="21">
        <f t="shared" si="13"/>
        <v>204430.28</v>
      </c>
      <c r="L3266" s="23"/>
      <c r="M3266" s="21">
        <f t="shared" si="16"/>
        <v>1894.93</v>
      </c>
    </row>
    <row r="3267" ht="20.25" customHeight="1" outlineLevel="1">
      <c r="A3267" s="252"/>
      <c r="B3267" s="255"/>
      <c r="C3267" s="160"/>
      <c r="D3267" s="20"/>
      <c r="E3267" s="21">
        <f t="shared" si="1"/>
        <v>12593.22</v>
      </c>
      <c r="F3267" s="23"/>
      <c r="G3267" s="21">
        <f t="shared" si="8"/>
        <v>318539.46</v>
      </c>
      <c r="H3267" s="23"/>
      <c r="I3267" s="21">
        <f t="shared" si="15"/>
        <v>781.68</v>
      </c>
      <c r="J3267" s="23"/>
      <c r="K3267" s="21">
        <f t="shared" si="13"/>
        <v>204430.28</v>
      </c>
      <c r="L3267" s="23"/>
      <c r="M3267" s="21">
        <f t="shared" si="16"/>
        <v>1894.93</v>
      </c>
    </row>
    <row r="3268" ht="20.25" customHeight="1" outlineLevel="1">
      <c r="A3268" s="252"/>
      <c r="B3268" s="255"/>
      <c r="C3268" s="160"/>
      <c r="D3268" s="20"/>
      <c r="E3268" s="21">
        <f t="shared" si="1"/>
        <v>12593.22</v>
      </c>
      <c r="F3268" s="23"/>
      <c r="G3268" s="21">
        <f t="shared" si="8"/>
        <v>318539.46</v>
      </c>
      <c r="H3268" s="23"/>
      <c r="I3268" s="21">
        <f t="shared" si="15"/>
        <v>781.68</v>
      </c>
      <c r="J3268" s="23"/>
      <c r="K3268" s="21">
        <f t="shared" si="13"/>
        <v>204430.28</v>
      </c>
      <c r="L3268" s="23"/>
      <c r="M3268" s="21">
        <f t="shared" si="16"/>
        <v>1894.93</v>
      </c>
    </row>
    <row r="3269" ht="20.25" customHeight="1" outlineLevel="1">
      <c r="A3269" s="252"/>
      <c r="B3269" s="255"/>
      <c r="C3269" s="160"/>
      <c r="D3269" s="20"/>
      <c r="E3269" s="21">
        <f t="shared" si="1"/>
        <v>12593.22</v>
      </c>
      <c r="F3269" s="23"/>
      <c r="G3269" s="21">
        <f t="shared" si="8"/>
        <v>318539.46</v>
      </c>
      <c r="H3269" s="23"/>
      <c r="I3269" s="21">
        <f t="shared" si="15"/>
        <v>781.68</v>
      </c>
      <c r="J3269" s="23"/>
      <c r="K3269" s="21">
        <f t="shared" si="13"/>
        <v>204430.28</v>
      </c>
      <c r="L3269" s="23"/>
      <c r="M3269" s="21">
        <f t="shared" si="16"/>
        <v>1894.93</v>
      </c>
    </row>
    <row r="3270" ht="20.25" customHeight="1" outlineLevel="1">
      <c r="A3270" s="252"/>
      <c r="B3270" s="255"/>
      <c r="C3270" s="160"/>
      <c r="D3270" s="20"/>
      <c r="E3270" s="21">
        <f t="shared" si="1"/>
        <v>12593.22</v>
      </c>
      <c r="F3270" s="23"/>
      <c r="G3270" s="21">
        <f t="shared" si="8"/>
        <v>318539.46</v>
      </c>
      <c r="H3270" s="23"/>
      <c r="I3270" s="21">
        <f t="shared" si="15"/>
        <v>781.68</v>
      </c>
      <c r="J3270" s="23"/>
      <c r="K3270" s="21">
        <f t="shared" si="13"/>
        <v>204430.28</v>
      </c>
      <c r="L3270" s="23"/>
      <c r="M3270" s="21">
        <f t="shared" si="16"/>
        <v>1894.93</v>
      </c>
    </row>
    <row r="3271" ht="20.25" customHeight="1" outlineLevel="1">
      <c r="A3271" s="252"/>
      <c r="B3271" s="255"/>
      <c r="C3271" s="161"/>
      <c r="D3271" s="20"/>
      <c r="E3271" s="21">
        <f t="shared" si="1"/>
        <v>12593.22</v>
      </c>
      <c r="F3271" s="23"/>
      <c r="G3271" s="21">
        <f t="shared" si="8"/>
        <v>318539.46</v>
      </c>
      <c r="H3271" s="23"/>
      <c r="I3271" s="21">
        <f t="shared" si="15"/>
        <v>781.68</v>
      </c>
      <c r="J3271" s="23"/>
      <c r="K3271" s="21">
        <f t="shared" si="13"/>
        <v>204430.28</v>
      </c>
      <c r="L3271" s="23"/>
      <c r="M3271" s="21">
        <f t="shared" si="16"/>
        <v>1894.93</v>
      </c>
    </row>
    <row r="3272" ht="20.25" customHeight="1" outlineLevel="1">
      <c r="A3272" s="252"/>
      <c r="B3272" s="255"/>
      <c r="C3272" s="161"/>
      <c r="D3272" s="20"/>
      <c r="E3272" s="21">
        <f t="shared" si="1"/>
        <v>12593.22</v>
      </c>
      <c r="F3272" s="23"/>
      <c r="G3272" s="21">
        <f t="shared" si="8"/>
        <v>318539.46</v>
      </c>
      <c r="H3272" s="23"/>
      <c r="I3272" s="21">
        <f t="shared" si="15"/>
        <v>781.68</v>
      </c>
      <c r="J3272" s="23"/>
      <c r="K3272" s="21">
        <f t="shared" si="13"/>
        <v>204430.28</v>
      </c>
      <c r="L3272" s="23"/>
      <c r="M3272" s="21">
        <f t="shared" si="16"/>
        <v>1894.93</v>
      </c>
    </row>
    <row r="3273" ht="20.25" customHeight="1" outlineLevel="1">
      <c r="A3273" s="252"/>
      <c r="B3273" s="255"/>
      <c r="C3273" s="161"/>
      <c r="D3273" s="20"/>
      <c r="E3273" s="21">
        <f t="shared" si="1"/>
        <v>12593.22</v>
      </c>
      <c r="F3273" s="23"/>
      <c r="G3273" s="21">
        <f t="shared" si="8"/>
        <v>318539.46</v>
      </c>
      <c r="H3273" s="23"/>
      <c r="I3273" s="21">
        <f t="shared" si="15"/>
        <v>781.68</v>
      </c>
      <c r="J3273" s="23"/>
      <c r="K3273" s="21">
        <f t="shared" si="13"/>
        <v>204430.28</v>
      </c>
      <c r="L3273" s="23"/>
      <c r="M3273" s="21">
        <f t="shared" si="16"/>
        <v>1894.93</v>
      </c>
    </row>
    <row r="3274" ht="20.25" customHeight="1" outlineLevel="1">
      <c r="A3274" s="252"/>
      <c r="B3274" s="255"/>
      <c r="C3274" s="161"/>
      <c r="D3274" s="20"/>
      <c r="E3274" s="21">
        <f t="shared" si="1"/>
        <v>12593.22</v>
      </c>
      <c r="F3274" s="23"/>
      <c r="G3274" s="21">
        <f t="shared" si="8"/>
        <v>318539.46</v>
      </c>
      <c r="H3274" s="23"/>
      <c r="I3274" s="21">
        <f t="shared" si="15"/>
        <v>781.68</v>
      </c>
      <c r="J3274" s="23"/>
      <c r="K3274" s="21">
        <f t="shared" si="13"/>
        <v>204430.28</v>
      </c>
      <c r="L3274" s="23"/>
      <c r="M3274" s="21">
        <f t="shared" si="16"/>
        <v>1894.93</v>
      </c>
    </row>
    <row r="3275" ht="20.25" customHeight="1" outlineLevel="1">
      <c r="A3275" s="252"/>
      <c r="B3275" s="255"/>
      <c r="C3275" s="161"/>
      <c r="D3275" s="20"/>
      <c r="E3275" s="21">
        <f t="shared" si="1"/>
        <v>12593.22</v>
      </c>
      <c r="F3275" s="23"/>
      <c r="G3275" s="21">
        <f t="shared" si="8"/>
        <v>318539.46</v>
      </c>
      <c r="H3275" s="23"/>
      <c r="I3275" s="21">
        <f t="shared" si="15"/>
        <v>781.68</v>
      </c>
      <c r="J3275" s="23"/>
      <c r="K3275" s="21">
        <f t="shared" si="13"/>
        <v>204430.28</v>
      </c>
      <c r="L3275" s="23"/>
      <c r="M3275" s="21">
        <f t="shared" si="16"/>
        <v>1894.93</v>
      </c>
    </row>
    <row r="3276" ht="20.25" customHeight="1" outlineLevel="1">
      <c r="A3276" s="252"/>
      <c r="B3276" s="255"/>
      <c r="C3276" s="161"/>
      <c r="D3276" s="20"/>
      <c r="E3276" s="21">
        <f t="shared" si="1"/>
        <v>12593.22</v>
      </c>
      <c r="F3276" s="23"/>
      <c r="G3276" s="21">
        <f t="shared" si="8"/>
        <v>318539.46</v>
      </c>
      <c r="H3276" s="23"/>
      <c r="I3276" s="21">
        <f t="shared" si="15"/>
        <v>781.68</v>
      </c>
      <c r="J3276" s="23"/>
      <c r="K3276" s="21">
        <f t="shared" si="13"/>
        <v>204430.28</v>
      </c>
      <c r="L3276" s="23"/>
      <c r="M3276" s="21">
        <f t="shared" si="16"/>
        <v>1894.93</v>
      </c>
    </row>
    <row r="3277" ht="20.25" customHeight="1" outlineLevel="1">
      <c r="A3277" s="252"/>
      <c r="B3277" s="255"/>
      <c r="C3277" s="160"/>
      <c r="D3277" s="20"/>
      <c r="E3277" s="21">
        <f t="shared" si="1"/>
        <v>12593.22</v>
      </c>
      <c r="F3277" s="23"/>
      <c r="G3277" s="21">
        <f t="shared" si="8"/>
        <v>318539.46</v>
      </c>
      <c r="H3277" s="23"/>
      <c r="I3277" s="21">
        <f t="shared" si="15"/>
        <v>781.68</v>
      </c>
      <c r="J3277" s="23"/>
      <c r="K3277" s="21">
        <f t="shared" si="13"/>
        <v>204430.28</v>
      </c>
      <c r="L3277" s="23"/>
      <c r="M3277" s="21">
        <f t="shared" si="16"/>
        <v>1894.93</v>
      </c>
    </row>
    <row r="3278" ht="20.25" customHeight="1" outlineLevel="1">
      <c r="A3278" s="252"/>
      <c r="B3278" s="255"/>
      <c r="C3278" s="160"/>
      <c r="D3278" s="20"/>
      <c r="E3278" s="21">
        <f t="shared" si="1"/>
        <v>12593.22</v>
      </c>
      <c r="F3278" s="23"/>
      <c r="G3278" s="21">
        <f t="shared" si="8"/>
        <v>318539.46</v>
      </c>
      <c r="H3278" s="23"/>
      <c r="I3278" s="21">
        <f t="shared" si="15"/>
        <v>781.68</v>
      </c>
      <c r="J3278" s="23"/>
      <c r="K3278" s="21">
        <f t="shared" si="13"/>
        <v>204430.28</v>
      </c>
      <c r="L3278" s="23"/>
      <c r="M3278" s="21">
        <f t="shared" si="16"/>
        <v>1894.93</v>
      </c>
    </row>
    <row r="3279" ht="20.25" customHeight="1" outlineLevel="1">
      <c r="A3279" s="252"/>
      <c r="B3279" s="255"/>
      <c r="C3279" s="160"/>
      <c r="D3279" s="20"/>
      <c r="E3279" s="21">
        <f t="shared" si="1"/>
        <v>12593.22</v>
      </c>
      <c r="F3279" s="23"/>
      <c r="G3279" s="21">
        <f t="shared" si="8"/>
        <v>318539.46</v>
      </c>
      <c r="H3279" s="23"/>
      <c r="I3279" s="21">
        <f t="shared" si="15"/>
        <v>781.68</v>
      </c>
      <c r="J3279" s="23"/>
      <c r="K3279" s="21">
        <f t="shared" si="13"/>
        <v>204430.28</v>
      </c>
      <c r="L3279" s="23"/>
      <c r="M3279" s="21">
        <f t="shared" si="16"/>
        <v>1894.93</v>
      </c>
    </row>
    <row r="3280" ht="20.25" customHeight="1" outlineLevel="1">
      <c r="A3280" s="252"/>
      <c r="B3280" s="255"/>
      <c r="C3280" s="161"/>
      <c r="D3280" s="20"/>
      <c r="E3280" s="21">
        <f t="shared" si="1"/>
        <v>12593.22</v>
      </c>
      <c r="F3280" s="23"/>
      <c r="G3280" s="21">
        <f t="shared" si="8"/>
        <v>318539.46</v>
      </c>
      <c r="H3280" s="23"/>
      <c r="I3280" s="21">
        <f t="shared" si="15"/>
        <v>781.68</v>
      </c>
      <c r="J3280" s="23"/>
      <c r="K3280" s="21">
        <f t="shared" si="13"/>
        <v>204430.28</v>
      </c>
      <c r="L3280" s="23"/>
      <c r="M3280" s="21">
        <f t="shared" si="16"/>
        <v>1894.93</v>
      </c>
    </row>
    <row r="3281" ht="20.25" customHeight="1" outlineLevel="1">
      <c r="A3281" s="252"/>
      <c r="B3281" s="255"/>
      <c r="C3281" s="161"/>
      <c r="D3281" s="20"/>
      <c r="E3281" s="21">
        <f t="shared" si="1"/>
        <v>12593.22</v>
      </c>
      <c r="F3281" s="23"/>
      <c r="G3281" s="21">
        <f t="shared" si="8"/>
        <v>318539.46</v>
      </c>
      <c r="H3281" s="23"/>
      <c r="I3281" s="21">
        <f t="shared" si="15"/>
        <v>781.68</v>
      </c>
      <c r="J3281" s="23"/>
      <c r="K3281" s="21">
        <f t="shared" si="13"/>
        <v>204430.28</v>
      </c>
      <c r="L3281" s="23"/>
      <c r="M3281" s="21">
        <f t="shared" si="16"/>
        <v>1894.93</v>
      </c>
    </row>
    <row r="3282" ht="20.25" customHeight="1" outlineLevel="1">
      <c r="A3282" s="252"/>
      <c r="B3282" s="255"/>
      <c r="C3282" s="161"/>
      <c r="D3282" s="20"/>
      <c r="E3282" s="21">
        <f t="shared" si="1"/>
        <v>12593.22</v>
      </c>
      <c r="F3282" s="23"/>
      <c r="G3282" s="21">
        <f t="shared" si="8"/>
        <v>318539.46</v>
      </c>
      <c r="H3282" s="23"/>
      <c r="I3282" s="21">
        <f t="shared" si="15"/>
        <v>781.68</v>
      </c>
      <c r="J3282" s="23"/>
      <c r="K3282" s="21">
        <f t="shared" si="13"/>
        <v>204430.28</v>
      </c>
      <c r="L3282" s="23"/>
      <c r="M3282" s="21">
        <f t="shared" si="16"/>
        <v>1894.93</v>
      </c>
    </row>
    <row r="3283" ht="20.25" customHeight="1" outlineLevel="1">
      <c r="A3283" s="252"/>
      <c r="B3283" s="255"/>
      <c r="C3283" s="161"/>
      <c r="D3283" s="20"/>
      <c r="E3283" s="21">
        <f t="shared" si="1"/>
        <v>12593.22</v>
      </c>
      <c r="F3283" s="23"/>
      <c r="G3283" s="21">
        <f t="shared" si="8"/>
        <v>318539.46</v>
      </c>
      <c r="H3283" s="23"/>
      <c r="I3283" s="21">
        <f t="shared" si="15"/>
        <v>781.68</v>
      </c>
      <c r="J3283" s="23"/>
      <c r="K3283" s="21">
        <f t="shared" si="13"/>
        <v>204430.28</v>
      </c>
      <c r="L3283" s="23"/>
      <c r="M3283" s="21">
        <f t="shared" si="16"/>
        <v>1894.93</v>
      </c>
    </row>
    <row r="3284" ht="20.25" customHeight="1" outlineLevel="1">
      <c r="A3284" s="252"/>
      <c r="B3284" s="255"/>
      <c r="C3284" s="160"/>
      <c r="D3284" s="20"/>
      <c r="E3284" s="21">
        <f t="shared" si="1"/>
        <v>12593.22</v>
      </c>
      <c r="F3284" s="23"/>
      <c r="G3284" s="21">
        <f t="shared" si="8"/>
        <v>318539.46</v>
      </c>
      <c r="H3284" s="23"/>
      <c r="I3284" s="21">
        <f t="shared" si="15"/>
        <v>781.68</v>
      </c>
      <c r="J3284" s="23"/>
      <c r="K3284" s="21">
        <f t="shared" si="13"/>
        <v>204430.28</v>
      </c>
      <c r="L3284" s="23"/>
      <c r="M3284" s="21">
        <f t="shared" si="16"/>
        <v>1894.93</v>
      </c>
    </row>
    <row r="3285" ht="20.25" customHeight="1" outlineLevel="1">
      <c r="A3285" s="252"/>
      <c r="B3285" s="255"/>
      <c r="C3285" s="161"/>
      <c r="D3285" s="20"/>
      <c r="E3285" s="21">
        <f t="shared" si="1"/>
        <v>12593.22</v>
      </c>
      <c r="F3285" s="23"/>
      <c r="G3285" s="21">
        <f t="shared" si="8"/>
        <v>318539.46</v>
      </c>
      <c r="H3285" s="23"/>
      <c r="I3285" s="21">
        <f t="shared" si="15"/>
        <v>781.68</v>
      </c>
      <c r="J3285" s="23"/>
      <c r="K3285" s="21">
        <f t="shared" si="13"/>
        <v>204430.28</v>
      </c>
      <c r="L3285" s="23"/>
      <c r="M3285" s="21">
        <f t="shared" si="16"/>
        <v>1894.93</v>
      </c>
    </row>
    <row r="3286" ht="20.25" customHeight="1" outlineLevel="1">
      <c r="A3286" s="252"/>
      <c r="B3286" s="255"/>
      <c r="C3286" s="161"/>
      <c r="D3286" s="20"/>
      <c r="E3286" s="21">
        <f t="shared" si="1"/>
        <v>12593.22</v>
      </c>
      <c r="F3286" s="23"/>
      <c r="G3286" s="21">
        <f t="shared" si="8"/>
        <v>318539.46</v>
      </c>
      <c r="H3286" s="23"/>
      <c r="I3286" s="21">
        <f t="shared" si="15"/>
        <v>781.68</v>
      </c>
      <c r="J3286" s="23"/>
      <c r="K3286" s="21">
        <f t="shared" si="13"/>
        <v>204430.28</v>
      </c>
      <c r="L3286" s="23"/>
      <c r="M3286" s="21">
        <f t="shared" si="16"/>
        <v>1894.93</v>
      </c>
    </row>
    <row r="3287" ht="20.25" customHeight="1" outlineLevel="1">
      <c r="A3287" s="252"/>
      <c r="B3287" s="253"/>
      <c r="C3287" s="260"/>
      <c r="D3287" s="20"/>
      <c r="E3287" s="21">
        <f t="shared" si="1"/>
        <v>12593.22</v>
      </c>
      <c r="F3287" s="23"/>
      <c r="G3287" s="21">
        <f t="shared" si="8"/>
        <v>318539.46</v>
      </c>
      <c r="H3287" s="23"/>
      <c r="I3287" s="21">
        <f t="shared" si="15"/>
        <v>781.68</v>
      </c>
      <c r="J3287" s="23"/>
      <c r="K3287" s="21">
        <f t="shared" si="13"/>
        <v>204430.28</v>
      </c>
      <c r="L3287" s="23"/>
      <c r="M3287" s="21">
        <f t="shared" si="16"/>
        <v>1894.93</v>
      </c>
    </row>
    <row r="3288" ht="20.25" customHeight="1" outlineLevel="1">
      <c r="A3288" s="252"/>
      <c r="B3288" s="253"/>
      <c r="C3288" s="161"/>
      <c r="D3288" s="20"/>
      <c r="E3288" s="21">
        <f t="shared" si="1"/>
        <v>12593.22</v>
      </c>
      <c r="F3288" s="23"/>
      <c r="G3288" s="21">
        <f t="shared" si="8"/>
        <v>318539.46</v>
      </c>
      <c r="H3288" s="23"/>
      <c r="I3288" s="21">
        <f t="shared" si="15"/>
        <v>781.68</v>
      </c>
      <c r="J3288" s="23"/>
      <c r="K3288" s="21">
        <f t="shared" si="13"/>
        <v>204430.28</v>
      </c>
      <c r="L3288" s="23"/>
      <c r="M3288" s="21">
        <f t="shared" si="16"/>
        <v>1894.93</v>
      </c>
    </row>
    <row r="3289" ht="20.25" customHeight="1" outlineLevel="1">
      <c r="A3289" s="252"/>
      <c r="B3289" s="253"/>
      <c r="C3289" s="161"/>
      <c r="D3289" s="20"/>
      <c r="E3289" s="21">
        <f t="shared" si="1"/>
        <v>12593.22</v>
      </c>
      <c r="F3289" s="23"/>
      <c r="G3289" s="21">
        <f t="shared" si="8"/>
        <v>318539.46</v>
      </c>
      <c r="H3289" s="23"/>
      <c r="I3289" s="21">
        <f t="shared" si="15"/>
        <v>781.68</v>
      </c>
      <c r="J3289" s="23"/>
      <c r="K3289" s="21">
        <f t="shared" si="13"/>
        <v>204430.28</v>
      </c>
      <c r="L3289" s="23"/>
      <c r="M3289" s="21">
        <f t="shared" si="16"/>
        <v>1894.93</v>
      </c>
    </row>
    <row r="3290" ht="20.25" customHeight="1" outlineLevel="1">
      <c r="A3290" s="252"/>
      <c r="B3290" s="253"/>
      <c r="C3290" s="161"/>
      <c r="D3290" s="20"/>
      <c r="E3290" s="21">
        <f t="shared" si="1"/>
        <v>12593.22</v>
      </c>
      <c r="F3290" s="23"/>
      <c r="G3290" s="21">
        <f t="shared" si="8"/>
        <v>318539.46</v>
      </c>
      <c r="H3290" s="23"/>
      <c r="I3290" s="21">
        <f t="shared" si="15"/>
        <v>781.68</v>
      </c>
      <c r="J3290" s="23"/>
      <c r="K3290" s="21">
        <f t="shared" si="13"/>
        <v>204430.28</v>
      </c>
      <c r="L3290" s="23"/>
      <c r="M3290" s="21">
        <f t="shared" si="16"/>
        <v>1894.93</v>
      </c>
    </row>
    <row r="3291" ht="20.25" customHeight="1" outlineLevel="1">
      <c r="A3291" s="252"/>
      <c r="B3291" s="253"/>
      <c r="C3291" s="161"/>
      <c r="D3291" s="20"/>
      <c r="E3291" s="21">
        <f t="shared" si="1"/>
        <v>12593.22</v>
      </c>
      <c r="F3291" s="23"/>
      <c r="G3291" s="21">
        <f t="shared" si="8"/>
        <v>318539.46</v>
      </c>
      <c r="H3291" s="23"/>
      <c r="I3291" s="21">
        <f t="shared" si="15"/>
        <v>781.68</v>
      </c>
      <c r="J3291" s="23"/>
      <c r="K3291" s="21">
        <f t="shared" si="13"/>
        <v>204430.28</v>
      </c>
      <c r="L3291" s="23"/>
      <c r="M3291" s="21">
        <f t="shared" si="16"/>
        <v>1894.93</v>
      </c>
    </row>
    <row r="3292" ht="20.25" customHeight="1" outlineLevel="1">
      <c r="A3292" s="252"/>
      <c r="B3292" s="253"/>
      <c r="C3292" s="161"/>
      <c r="D3292" s="20"/>
      <c r="E3292" s="21">
        <f t="shared" si="1"/>
        <v>12593.22</v>
      </c>
      <c r="F3292" s="23"/>
      <c r="G3292" s="21">
        <f t="shared" si="8"/>
        <v>318539.46</v>
      </c>
      <c r="H3292" s="23"/>
      <c r="I3292" s="21">
        <f t="shared" si="15"/>
        <v>781.68</v>
      </c>
      <c r="J3292" s="23"/>
      <c r="K3292" s="21">
        <f t="shared" si="13"/>
        <v>204430.28</v>
      </c>
      <c r="L3292" s="23"/>
      <c r="M3292" s="21">
        <f t="shared" si="16"/>
        <v>1894.93</v>
      </c>
    </row>
    <row r="3293" ht="20.25" customHeight="1" outlineLevel="1">
      <c r="A3293" s="252"/>
      <c r="B3293" s="253"/>
      <c r="C3293" s="161"/>
      <c r="D3293" s="20"/>
      <c r="E3293" s="21">
        <f t="shared" si="1"/>
        <v>12593.22</v>
      </c>
      <c r="F3293" s="23"/>
      <c r="G3293" s="21">
        <f t="shared" si="8"/>
        <v>318539.46</v>
      </c>
      <c r="H3293" s="23"/>
      <c r="I3293" s="21">
        <f t="shared" si="15"/>
        <v>781.68</v>
      </c>
      <c r="J3293" s="23"/>
      <c r="K3293" s="21">
        <f t="shared" si="13"/>
        <v>204430.28</v>
      </c>
      <c r="L3293" s="23"/>
      <c r="M3293" s="21">
        <f t="shared" si="16"/>
        <v>1894.93</v>
      </c>
    </row>
    <row r="3294" ht="20.25" customHeight="1" outlineLevel="1">
      <c r="A3294" s="252"/>
      <c r="B3294" s="253"/>
      <c r="C3294" s="161"/>
      <c r="D3294" s="20"/>
      <c r="E3294" s="21">
        <f t="shared" si="1"/>
        <v>12593.22</v>
      </c>
      <c r="F3294" s="23"/>
      <c r="G3294" s="21">
        <f t="shared" si="8"/>
        <v>318539.46</v>
      </c>
      <c r="H3294" s="23"/>
      <c r="I3294" s="21">
        <f t="shared" si="15"/>
        <v>781.68</v>
      </c>
      <c r="J3294" s="23"/>
      <c r="K3294" s="21">
        <f t="shared" si="13"/>
        <v>204430.28</v>
      </c>
      <c r="L3294" s="23"/>
      <c r="M3294" s="21">
        <f t="shared" si="16"/>
        <v>1894.93</v>
      </c>
    </row>
    <row r="3295" ht="20.25" customHeight="1" outlineLevel="1">
      <c r="A3295" s="252"/>
      <c r="B3295" s="253"/>
      <c r="C3295" s="161"/>
      <c r="D3295" s="20"/>
      <c r="E3295" s="21">
        <f t="shared" si="1"/>
        <v>12593.22</v>
      </c>
      <c r="F3295" s="23"/>
      <c r="G3295" s="21">
        <f t="shared" si="8"/>
        <v>318539.46</v>
      </c>
      <c r="H3295" s="23"/>
      <c r="I3295" s="21">
        <f t="shared" si="15"/>
        <v>781.68</v>
      </c>
      <c r="J3295" s="23"/>
      <c r="K3295" s="21">
        <f t="shared" si="13"/>
        <v>204430.28</v>
      </c>
      <c r="L3295" s="23"/>
      <c r="M3295" s="21">
        <f t="shared" si="16"/>
        <v>1894.93</v>
      </c>
    </row>
    <row r="3296" ht="20.25" customHeight="1" outlineLevel="1">
      <c r="A3296" s="252"/>
      <c r="B3296" s="253"/>
      <c r="C3296" s="161"/>
      <c r="D3296" s="20"/>
      <c r="E3296" s="21">
        <f t="shared" si="1"/>
        <v>12593.22</v>
      </c>
      <c r="F3296" s="23"/>
      <c r="G3296" s="21">
        <f t="shared" si="8"/>
        <v>318539.46</v>
      </c>
      <c r="H3296" s="23"/>
      <c r="I3296" s="21">
        <f t="shared" si="15"/>
        <v>781.68</v>
      </c>
      <c r="J3296" s="23"/>
      <c r="K3296" s="21">
        <f t="shared" si="13"/>
        <v>204430.28</v>
      </c>
      <c r="L3296" s="23"/>
      <c r="M3296" s="21">
        <f t="shared" si="16"/>
        <v>1894.93</v>
      </c>
    </row>
    <row r="3297" ht="20.25" customHeight="1" outlineLevel="1">
      <c r="A3297" s="252"/>
      <c r="B3297" s="253"/>
      <c r="C3297" s="161"/>
      <c r="D3297" s="20"/>
      <c r="E3297" s="21">
        <f t="shared" si="1"/>
        <v>12593.22</v>
      </c>
      <c r="F3297" s="23"/>
      <c r="G3297" s="21">
        <f t="shared" si="8"/>
        <v>318539.46</v>
      </c>
      <c r="H3297" s="23"/>
      <c r="I3297" s="21">
        <f t="shared" si="15"/>
        <v>781.68</v>
      </c>
      <c r="J3297" s="23"/>
      <c r="K3297" s="21">
        <f t="shared" si="13"/>
        <v>204430.28</v>
      </c>
      <c r="L3297" s="23"/>
      <c r="M3297" s="21">
        <f t="shared" si="16"/>
        <v>1894.93</v>
      </c>
    </row>
    <row r="3298" ht="20.25" customHeight="1" outlineLevel="1">
      <c r="A3298" s="261"/>
      <c r="B3298" s="262"/>
      <c r="C3298" s="260"/>
      <c r="D3298" s="20"/>
      <c r="E3298" s="21">
        <f t="shared" si="1"/>
        <v>12593.22</v>
      </c>
      <c r="F3298" s="23"/>
      <c r="G3298" s="21">
        <f t="shared" si="8"/>
        <v>318539.46</v>
      </c>
      <c r="H3298" s="23"/>
      <c r="I3298" s="21">
        <f t="shared" si="15"/>
        <v>781.68</v>
      </c>
      <c r="J3298" s="23"/>
      <c r="K3298" s="21">
        <f t="shared" si="13"/>
        <v>204430.28</v>
      </c>
      <c r="L3298" s="23"/>
      <c r="M3298" s="21">
        <f t="shared" si="16"/>
        <v>1894.93</v>
      </c>
    </row>
    <row r="3299" ht="20.25" customHeight="1" outlineLevel="1">
      <c r="A3299" s="252"/>
      <c r="B3299" s="253"/>
      <c r="C3299" s="161"/>
      <c r="D3299" s="20"/>
      <c r="E3299" s="21">
        <f t="shared" si="1"/>
        <v>12593.22</v>
      </c>
      <c r="F3299" s="23"/>
      <c r="G3299" s="21">
        <f t="shared" si="8"/>
        <v>318539.46</v>
      </c>
      <c r="H3299" s="23"/>
      <c r="I3299" s="21">
        <f t="shared" si="15"/>
        <v>781.68</v>
      </c>
      <c r="J3299" s="23"/>
      <c r="K3299" s="21">
        <f t="shared" si="13"/>
        <v>204430.28</v>
      </c>
      <c r="L3299" s="23"/>
      <c r="M3299" s="21">
        <f t="shared" si="16"/>
        <v>1894.93</v>
      </c>
    </row>
    <row r="3300" ht="20.25" customHeight="1" outlineLevel="1">
      <c r="A3300" s="252"/>
      <c r="B3300" s="253"/>
      <c r="C3300" s="161"/>
      <c r="D3300" s="20"/>
      <c r="E3300" s="21">
        <f t="shared" si="1"/>
        <v>12593.22</v>
      </c>
      <c r="F3300" s="23"/>
      <c r="G3300" s="21">
        <f t="shared" si="8"/>
        <v>318539.46</v>
      </c>
      <c r="H3300" s="23"/>
      <c r="I3300" s="21">
        <f t="shared" si="15"/>
        <v>781.68</v>
      </c>
      <c r="J3300" s="23"/>
      <c r="K3300" s="21">
        <f t="shared" si="13"/>
        <v>204430.28</v>
      </c>
      <c r="L3300" s="23"/>
      <c r="M3300" s="21">
        <f t="shared" si="16"/>
        <v>1894.93</v>
      </c>
    </row>
    <row r="3301" ht="20.25" customHeight="1" outlineLevel="1">
      <c r="A3301" s="252"/>
      <c r="B3301" s="253"/>
      <c r="C3301" s="161"/>
      <c r="D3301" s="20"/>
      <c r="E3301" s="21">
        <f t="shared" si="1"/>
        <v>12593.22</v>
      </c>
      <c r="F3301" s="23"/>
      <c r="G3301" s="21">
        <f t="shared" si="8"/>
        <v>318539.46</v>
      </c>
      <c r="H3301" s="23"/>
      <c r="I3301" s="21">
        <f t="shared" si="15"/>
        <v>781.68</v>
      </c>
      <c r="J3301" s="23"/>
      <c r="K3301" s="21">
        <f t="shared" si="13"/>
        <v>204430.28</v>
      </c>
      <c r="L3301" s="23"/>
      <c r="M3301" s="21">
        <f t="shared" si="16"/>
        <v>1894.93</v>
      </c>
    </row>
    <row r="3302" ht="20.25" customHeight="1" outlineLevel="1">
      <c r="A3302" s="252"/>
      <c r="B3302" s="253"/>
      <c r="C3302" s="161"/>
      <c r="D3302" s="20"/>
      <c r="E3302" s="21">
        <f t="shared" si="1"/>
        <v>12593.22</v>
      </c>
      <c r="F3302" s="23"/>
      <c r="G3302" s="21">
        <f t="shared" si="8"/>
        <v>318539.46</v>
      </c>
      <c r="H3302" s="23"/>
      <c r="I3302" s="21">
        <f t="shared" si="15"/>
        <v>781.68</v>
      </c>
      <c r="J3302" s="23"/>
      <c r="K3302" s="21">
        <f t="shared" si="13"/>
        <v>204430.28</v>
      </c>
      <c r="L3302" s="23"/>
      <c r="M3302" s="21">
        <f t="shared" si="16"/>
        <v>1894.93</v>
      </c>
    </row>
    <row r="3303" ht="20.25" customHeight="1" outlineLevel="1">
      <c r="A3303" s="252"/>
      <c r="B3303" s="253"/>
      <c r="C3303" s="161"/>
      <c r="D3303" s="20"/>
      <c r="E3303" s="21">
        <f t="shared" si="1"/>
        <v>12593.22</v>
      </c>
      <c r="F3303" s="23"/>
      <c r="G3303" s="21">
        <f t="shared" si="8"/>
        <v>318539.46</v>
      </c>
      <c r="H3303" s="23"/>
      <c r="I3303" s="21">
        <f t="shared" si="15"/>
        <v>781.68</v>
      </c>
      <c r="J3303" s="23"/>
      <c r="K3303" s="21">
        <f t="shared" si="13"/>
        <v>204430.28</v>
      </c>
      <c r="L3303" s="23"/>
      <c r="M3303" s="21">
        <f t="shared" si="16"/>
        <v>1894.93</v>
      </c>
    </row>
    <row r="3304" ht="20.25" customHeight="1" outlineLevel="1">
      <c r="A3304" s="252"/>
      <c r="B3304" s="253"/>
      <c r="C3304" s="161"/>
      <c r="D3304" s="20"/>
      <c r="E3304" s="21">
        <f t="shared" si="1"/>
        <v>12593.22</v>
      </c>
      <c r="F3304" s="23"/>
      <c r="G3304" s="21">
        <f t="shared" si="8"/>
        <v>318539.46</v>
      </c>
      <c r="H3304" s="23"/>
      <c r="I3304" s="21">
        <f t="shared" si="15"/>
        <v>781.68</v>
      </c>
      <c r="J3304" s="23"/>
      <c r="K3304" s="21">
        <f t="shared" si="13"/>
        <v>204430.28</v>
      </c>
      <c r="L3304" s="23"/>
      <c r="M3304" s="21">
        <f t="shared" si="16"/>
        <v>1894.93</v>
      </c>
    </row>
    <row r="3305" ht="20.25" customHeight="1" outlineLevel="1">
      <c r="A3305" s="252"/>
      <c r="B3305" s="253"/>
      <c r="C3305" s="161"/>
      <c r="D3305" s="20"/>
      <c r="E3305" s="21">
        <f t="shared" si="1"/>
        <v>12593.22</v>
      </c>
      <c r="F3305" s="23"/>
      <c r="G3305" s="21">
        <f t="shared" si="8"/>
        <v>318539.46</v>
      </c>
      <c r="H3305" s="23"/>
      <c r="I3305" s="21">
        <f t="shared" si="15"/>
        <v>781.68</v>
      </c>
      <c r="J3305" s="23"/>
      <c r="K3305" s="21">
        <f t="shared" si="13"/>
        <v>204430.28</v>
      </c>
      <c r="L3305" s="23"/>
      <c r="M3305" s="21">
        <f t="shared" si="16"/>
        <v>1894.93</v>
      </c>
    </row>
    <row r="3306" ht="20.25" customHeight="1" outlineLevel="1">
      <c r="A3306" s="252"/>
      <c r="B3306" s="253"/>
      <c r="C3306" s="161"/>
      <c r="D3306" s="20"/>
      <c r="E3306" s="21">
        <f t="shared" si="1"/>
        <v>12593.22</v>
      </c>
      <c r="F3306" s="23"/>
      <c r="G3306" s="21">
        <f t="shared" si="8"/>
        <v>318539.46</v>
      </c>
      <c r="H3306" s="23"/>
      <c r="I3306" s="21">
        <f t="shared" si="15"/>
        <v>781.68</v>
      </c>
      <c r="J3306" s="23"/>
      <c r="K3306" s="21">
        <f t="shared" si="13"/>
        <v>204430.28</v>
      </c>
      <c r="L3306" s="23"/>
      <c r="M3306" s="21">
        <f t="shared" si="16"/>
        <v>1894.93</v>
      </c>
    </row>
    <row r="3307" ht="20.25" customHeight="1" outlineLevel="1">
      <c r="A3307" s="252"/>
      <c r="B3307" s="253"/>
      <c r="C3307" s="161"/>
      <c r="D3307" s="20"/>
      <c r="E3307" s="21">
        <f t="shared" si="1"/>
        <v>12593.22</v>
      </c>
      <c r="F3307" s="23"/>
      <c r="G3307" s="21">
        <f t="shared" si="8"/>
        <v>318539.46</v>
      </c>
      <c r="H3307" s="23"/>
      <c r="I3307" s="21">
        <f t="shared" si="15"/>
        <v>781.68</v>
      </c>
      <c r="J3307" s="23"/>
      <c r="K3307" s="21">
        <f t="shared" si="13"/>
        <v>204430.28</v>
      </c>
      <c r="L3307" s="23"/>
      <c r="M3307" s="21">
        <f t="shared" si="16"/>
        <v>1894.93</v>
      </c>
    </row>
    <row r="3308" ht="20.25" customHeight="1" outlineLevel="1">
      <c r="A3308" s="252"/>
      <c r="B3308" s="253"/>
      <c r="C3308" s="161"/>
      <c r="D3308" s="20"/>
      <c r="E3308" s="21">
        <f t="shared" si="1"/>
        <v>12593.22</v>
      </c>
      <c r="F3308" s="23"/>
      <c r="G3308" s="21">
        <f t="shared" si="8"/>
        <v>318539.46</v>
      </c>
      <c r="H3308" s="23"/>
      <c r="I3308" s="21">
        <f t="shared" si="15"/>
        <v>781.68</v>
      </c>
      <c r="J3308" s="23"/>
      <c r="K3308" s="21">
        <f t="shared" si="13"/>
        <v>204430.28</v>
      </c>
      <c r="L3308" s="23"/>
      <c r="M3308" s="21">
        <f t="shared" si="16"/>
        <v>1894.93</v>
      </c>
    </row>
    <row r="3309" ht="20.25" customHeight="1" outlineLevel="1">
      <c r="A3309" s="252"/>
      <c r="B3309" s="253"/>
      <c r="C3309" s="161"/>
      <c r="D3309" s="20"/>
      <c r="E3309" s="21">
        <f t="shared" si="1"/>
        <v>12593.22</v>
      </c>
      <c r="F3309" s="23"/>
      <c r="G3309" s="21">
        <f t="shared" si="8"/>
        <v>318539.46</v>
      </c>
      <c r="H3309" s="23"/>
      <c r="I3309" s="21">
        <f t="shared" si="15"/>
        <v>781.68</v>
      </c>
      <c r="J3309" s="23"/>
      <c r="K3309" s="21">
        <f t="shared" si="13"/>
        <v>204430.28</v>
      </c>
      <c r="L3309" s="23"/>
      <c r="M3309" s="21">
        <f t="shared" si="16"/>
        <v>1894.93</v>
      </c>
    </row>
    <row r="3310" ht="20.25" customHeight="1" outlineLevel="1">
      <c r="A3310" s="252"/>
      <c r="B3310" s="253"/>
      <c r="C3310" s="161"/>
      <c r="D3310" s="20"/>
      <c r="E3310" s="21">
        <f t="shared" si="1"/>
        <v>12593.22</v>
      </c>
      <c r="F3310" s="23"/>
      <c r="G3310" s="21">
        <f t="shared" si="8"/>
        <v>318539.46</v>
      </c>
      <c r="H3310" s="23"/>
      <c r="I3310" s="21">
        <f t="shared" si="15"/>
        <v>781.68</v>
      </c>
      <c r="J3310" s="23"/>
      <c r="K3310" s="21">
        <f t="shared" si="13"/>
        <v>204430.28</v>
      </c>
      <c r="L3310" s="23"/>
      <c r="M3310" s="21">
        <f t="shared" si="16"/>
        <v>1894.93</v>
      </c>
    </row>
    <row r="3311" ht="20.25" customHeight="1" outlineLevel="1">
      <c r="A3311" s="252"/>
      <c r="B3311" s="253"/>
      <c r="C3311" s="161"/>
      <c r="D3311" s="20"/>
      <c r="E3311" s="21">
        <f t="shared" si="1"/>
        <v>12593.22</v>
      </c>
      <c r="F3311" s="23"/>
      <c r="G3311" s="21">
        <f t="shared" si="8"/>
        <v>318539.46</v>
      </c>
      <c r="H3311" s="23"/>
      <c r="I3311" s="21">
        <f t="shared" si="15"/>
        <v>781.68</v>
      </c>
      <c r="J3311" s="23"/>
      <c r="K3311" s="21">
        <f t="shared" si="13"/>
        <v>204430.28</v>
      </c>
      <c r="L3311" s="23"/>
      <c r="M3311" s="21">
        <f t="shared" si="16"/>
        <v>1894.93</v>
      </c>
    </row>
    <row r="3312" ht="20.25" customHeight="1">
      <c r="A3312" s="263"/>
      <c r="B3312" s="263"/>
      <c r="C3312" s="264" t="s">
        <v>1697</v>
      </c>
      <c r="D3312" s="265">
        <f>SUM(D3:D3311)</f>
        <v>12593.22</v>
      </c>
      <c r="E3312" s="265"/>
      <c r="F3312" s="265">
        <f>SUM(F3:F3311)</f>
        <v>318539.46</v>
      </c>
      <c r="G3312" s="265"/>
      <c r="H3312" s="265">
        <f>SUM(H3:H3311)</f>
        <v>781.68</v>
      </c>
      <c r="I3312" s="265"/>
      <c r="J3312" s="265">
        <f>SUM(J3:J3311)</f>
        <v>204430.28</v>
      </c>
      <c r="K3312" s="265"/>
      <c r="L3312" s="265">
        <f>SUM(L3:L3311)</f>
        <v>1894.93</v>
      </c>
      <c r="M3312" s="266"/>
    </row>
    <row r="3313" ht="20.25" customHeight="1">
      <c r="A3313" s="267">
        <v>45901.0</v>
      </c>
      <c r="B3313" s="268" t="s">
        <v>1698</v>
      </c>
      <c r="C3313" s="4"/>
      <c r="D3313" s="269"/>
      <c r="F3313" s="270">
        <f>IFERROR(__xludf.DUMMYFUNCTION("IMPORTRANGE(""https://docs.google.com/spreadsheets/d/1R4Wv9_AL3voBMtjTBqryP8S0ElRSTv3X_jKG-oHX-M8/edit?gid=1585647478#gid=1585647478"",""Movimenti Poste!C1"")"),318539.45999999915)</f>
        <v>318539.46</v>
      </c>
      <c r="G3313" s="271">
        <f>IFERROR(__xludf.DUMMYFUNCTION("IMPORTRANGE(""https://docs.google.com/spreadsheets/d/1R4Wv9_AL3voBMtjTBqryP8S0ElRSTv3X_jKG-oHX-M8/edit?gid=1585647478#gid=1585647478"",""Movimenti Poste!E1"")"),46124.643143124995)</f>
        <v>46124.64314</v>
      </c>
      <c r="H3313" s="270">
        <f>IFERROR(__xludf.DUMMYFUNCTION("IMPORTRANGE(""https://docs.google.com/spreadsheets/d/1Awq8F4Vvewc2eSUjdumP5AoWTaJdDsRVREG-ByQNp6o/edit?gid=868637713#gid=868637713"",""Movimenti Soldo!C1"")"),781.6800000000002)</f>
        <v>781.68</v>
      </c>
      <c r="I3313" s="271">
        <f>IFERROR(__xludf.DUMMYFUNCTION("IMPORTRANGE(""https://docs.google.com/spreadsheets/d/1Awq8F4Vvewc2eSUjdumP5AoWTaJdDsRVREG-ByQNp6o/edit?gid=868637713#gid=868637713"",""Movimenti Soldo!D1"")"),46124.643142500005)</f>
        <v>46124.64314</v>
      </c>
      <c r="J3313" s="270">
        <f>IFERROR(__xludf.DUMMYFUNCTION("IMPORTRANGE(""https://docs.google.com/spreadsheets/d/1whv5ILkI20DK2BqfqVDh4AuCz4X0zu-2lRHiL5MS4Po/edit?gid=1585647478#gid=1585647478"",""Movimenti BPM!C1"")"),204430.27999999988)</f>
        <v>204430.28</v>
      </c>
      <c r="K3313" s="271">
        <f>IFERROR(__xludf.DUMMYFUNCTION("IMPORTRANGE(""https://docs.google.com/spreadsheets/d/1whv5ILkI20DK2BqfqVDh4AuCz4X0zu-2lRHiL5MS4Po/edit?gid=1585647478#gid=1585647478"",""Movimenti BPM!E1"")"),46124.64314638889)</f>
        <v>46124.64315</v>
      </c>
      <c r="L3313" s="270">
        <f>IFERROR(__xludf.DUMMYFUNCTION("IMPORTRANGE(""https://docs.google.com/spreadsheets/d/16hb26nlLCrlAyCL4qkZcgyArLKThcmyje-KhSlhDC1s/edit?gid=868637713#gid=868637713"",""Movimenti PostePay!C1"")"),1894.9299999999998)</f>
        <v>1894.93</v>
      </c>
      <c r="M3313" s="271">
        <f>IFERROR(__xludf.DUMMYFUNCTION("IMPORTRANGE(""https://docs.google.com/spreadsheets/d/16hb26nlLCrlAyCL4qkZcgyArLKThcmyje-KhSlhDC1s/edit?gid=868637713#gid=868637713"",""Movimenti PostePay!D1"")"),46124.643142002315)</f>
        <v>46124.64314</v>
      </c>
    </row>
    <row r="3314" ht="20.25" customHeight="1">
      <c r="A3314" s="267"/>
      <c r="B3314" s="272" t="s">
        <v>1699</v>
      </c>
      <c r="C3314" s="4"/>
      <c r="D3314" s="269"/>
      <c r="E3314" s="269"/>
      <c r="F3314" s="270">
        <f>SUM(F3312-F3313)</f>
        <v>-0.0000000002328306437</v>
      </c>
      <c r="G3314" s="269"/>
      <c r="H3314" s="270">
        <f>SUM(H3312-H3313)</f>
        <v>0</v>
      </c>
      <c r="I3314" s="269"/>
      <c r="J3314" s="270">
        <f>SUM(J3312-J3313)</f>
        <v>-0.0000000001746229827</v>
      </c>
      <c r="K3314" s="269"/>
      <c r="L3314" s="270">
        <f>SUM(L3312-L3313)</f>
        <v>0</v>
      </c>
      <c r="M3314" s="269"/>
    </row>
    <row r="3315" ht="18.0" customHeight="1">
      <c r="A3315" s="267"/>
      <c r="B3315" s="273" t="s">
        <v>1700</v>
      </c>
      <c r="C3315" s="4"/>
      <c r="D3315" s="274" t="s">
        <v>1701</v>
      </c>
      <c r="E3315" s="275"/>
      <c r="F3315" s="275"/>
      <c r="G3315" s="275"/>
      <c r="H3315" s="275"/>
      <c r="I3315" s="275"/>
      <c r="J3315" s="275"/>
      <c r="K3315" s="275"/>
      <c r="L3315" s="275"/>
      <c r="M3315" s="4"/>
    </row>
    <row r="3316" ht="18.0" customHeight="1">
      <c r="A3316" s="267"/>
      <c r="B3316" s="276" t="s">
        <v>1702</v>
      </c>
      <c r="C3316" s="4"/>
      <c r="D3316" s="277"/>
      <c r="E3316" s="277"/>
      <c r="F3316" s="277"/>
      <c r="G3316" s="277"/>
      <c r="H3316" s="277"/>
      <c r="I3316" s="277"/>
      <c r="J3316" s="277"/>
      <c r="K3316" s="277"/>
      <c r="L3316" s="277"/>
      <c r="M3316" s="277"/>
    </row>
    <row r="3317" ht="18.0" customHeight="1">
      <c r="A3317" s="267"/>
      <c r="B3317" s="278" t="s">
        <v>1703</v>
      </c>
      <c r="C3317" s="4"/>
      <c r="D3317" s="279"/>
      <c r="E3317" s="279"/>
      <c r="F3317" s="279"/>
      <c r="G3317" s="279"/>
      <c r="H3317" s="279"/>
      <c r="I3317" s="279"/>
      <c r="J3317" s="280"/>
      <c r="K3317" s="279"/>
      <c r="L3317" s="269"/>
      <c r="M3317" s="279"/>
    </row>
    <row r="3318" ht="18.0" customHeight="1">
      <c r="A3318" s="267"/>
      <c r="B3318" s="281" t="s">
        <v>1704</v>
      </c>
      <c r="C3318" s="4"/>
      <c r="D3318" s="282"/>
      <c r="E3318" s="279"/>
      <c r="F3318" s="279"/>
      <c r="G3318" s="279"/>
      <c r="H3318" s="279"/>
      <c r="I3318" s="279"/>
      <c r="J3318" s="280"/>
      <c r="K3318" s="279"/>
      <c r="L3318" s="269"/>
      <c r="M3318" s="279"/>
    </row>
    <row r="3319" ht="18.0" customHeight="1">
      <c r="A3319" s="267"/>
      <c r="B3319" s="283" t="s">
        <v>1705</v>
      </c>
      <c r="C3319" s="284" t="s">
        <v>1706</v>
      </c>
      <c r="D3319" s="279"/>
      <c r="E3319" s="279"/>
      <c r="F3319" s="279"/>
      <c r="G3319" s="279"/>
      <c r="H3319" s="279"/>
      <c r="I3319" s="279"/>
      <c r="J3319" s="280"/>
      <c r="K3319" s="279"/>
      <c r="L3319" s="269"/>
      <c r="M3319" s="279"/>
    </row>
    <row r="3320" ht="18.0" customHeight="1">
      <c r="A3320" s="267"/>
      <c r="C3320" s="285" t="s">
        <v>1707</v>
      </c>
      <c r="D3320" s="279"/>
      <c r="E3320" s="279"/>
      <c r="F3320" s="279"/>
      <c r="G3320" s="279"/>
      <c r="H3320" s="279"/>
      <c r="I3320" s="279"/>
      <c r="J3320" s="280"/>
      <c r="K3320" s="279"/>
      <c r="L3320" s="269"/>
      <c r="M3320" s="279"/>
    </row>
    <row r="3321" ht="18.0" customHeight="1">
      <c r="A3321" s="267"/>
      <c r="B3321" s="286" t="s">
        <v>1708</v>
      </c>
      <c r="C3321" s="4"/>
      <c r="D3321" s="279"/>
      <c r="E3321" s="279"/>
      <c r="F3321" s="279"/>
      <c r="G3321" s="279"/>
      <c r="H3321" s="279"/>
      <c r="I3321" s="279"/>
      <c r="J3321" s="269"/>
      <c r="K3321" s="279"/>
      <c r="L3321" s="269"/>
      <c r="M3321" s="279"/>
    </row>
    <row r="3322" ht="18.0" customHeight="1">
      <c r="A3322" s="287">
        <f>A3313</f>
        <v>45901</v>
      </c>
      <c r="B3322" s="287"/>
      <c r="C3322" s="288" t="s">
        <v>1709</v>
      </c>
      <c r="D3322" s="265">
        <f>SUM(D3312,F3313,H3313,J3313,L3313)</f>
        <v>538239.57</v>
      </c>
      <c r="E3322" s="289"/>
      <c r="F3322" s="289"/>
      <c r="G3322" s="289"/>
      <c r="H3322" s="289"/>
      <c r="I3322" s="289"/>
      <c r="J3322" s="265"/>
      <c r="K3322" s="289"/>
      <c r="L3322" s="265"/>
      <c r="M3322" s="289"/>
    </row>
    <row r="3323" ht="18.0" customHeight="1">
      <c r="A3323" s="290"/>
      <c r="B3323" s="290"/>
      <c r="C3323" s="291" t="s">
        <v>1710</v>
      </c>
      <c r="D3323" s="279"/>
      <c r="E3323" s="292"/>
      <c r="F3323" s="279"/>
      <c r="G3323" s="279"/>
      <c r="H3323" s="279"/>
      <c r="I3323" s="279"/>
      <c r="J3323" s="279"/>
      <c r="K3323" s="279"/>
      <c r="L3323" s="279"/>
      <c r="M3323" s="279"/>
    </row>
    <row r="3324" ht="18.0" customHeight="1">
      <c r="A3324" s="290"/>
      <c r="B3324" s="290"/>
      <c r="C3324" s="291" t="s">
        <v>1711</v>
      </c>
      <c r="D3324" s="293">
        <f>SUM($D$267)</f>
        <v>1725</v>
      </c>
      <c r="E3324" s="292"/>
      <c r="F3324" s="293">
        <f>SUM(0)</f>
        <v>0</v>
      </c>
      <c r="G3324" s="279"/>
      <c r="H3324" s="293">
        <f>SUM(0)</f>
        <v>0</v>
      </c>
      <c r="I3324" s="279"/>
      <c r="J3324" s="293">
        <f>SUM(0)</f>
        <v>0</v>
      </c>
      <c r="K3324" s="279"/>
      <c r="L3324" s="293">
        <f>SUM(0)</f>
        <v>0</v>
      </c>
      <c r="M3324" s="279"/>
    </row>
    <row r="3325" ht="18.0" customHeight="1">
      <c r="A3325" s="290"/>
      <c r="B3325" s="290"/>
      <c r="C3325" s="291" t="s">
        <v>1712</v>
      </c>
      <c r="D3325" s="294">
        <f>SUMIF(D5:D3311,"&gt;=0",D5:D3311)</f>
        <v>61731</v>
      </c>
      <c r="E3325" s="279"/>
      <c r="F3325" s="294">
        <f>SUMIF(F5:F3311,"&gt;=0",F5:F3311)</f>
        <v>784282.09</v>
      </c>
      <c r="G3325" s="279"/>
      <c r="H3325" s="294">
        <f>SUMIF(H5:H3311,"&gt;=0",H5:H3311)</f>
        <v>8356.73</v>
      </c>
      <c r="I3325" s="279"/>
      <c r="J3325" s="294">
        <f>SUMIF(J5:J3311,"&gt;=0",J5:J3311)</f>
        <v>252524.67</v>
      </c>
      <c r="K3325" s="279"/>
      <c r="L3325" s="294">
        <f>SUMIF(L5:L3311,"&gt;=0",L5:L3311)</f>
        <v>2000</v>
      </c>
      <c r="M3325" s="279"/>
    </row>
    <row r="3326" ht="18.0" customHeight="1">
      <c r="A3326" s="290"/>
      <c r="B3326" s="290"/>
      <c r="C3326" s="291" t="s">
        <v>1713</v>
      </c>
      <c r="D3326" s="295">
        <f>SUMIF(D5:D3311,"&lt;=0",D5:D3311)</f>
        <v>-53116.65</v>
      </c>
      <c r="E3326" s="279"/>
      <c r="F3326" s="295">
        <f>SUMIF(F5:F3311,"&lt;=0",F5:F3311)</f>
        <v>-625853.65</v>
      </c>
      <c r="G3326" s="279"/>
      <c r="H3326" s="295">
        <f>SUMIF(H5:H3311,"&lt;=0",H5:H3311)</f>
        <v>-8095.54</v>
      </c>
      <c r="I3326" s="279"/>
      <c r="J3326" s="295">
        <f>SUMIF(J5:J3311,"&lt;=0",J5:J3311)</f>
        <v>-298559.21</v>
      </c>
      <c r="K3326" s="279"/>
      <c r="L3326" s="295">
        <f>SUMIF(L5:L3311,"&lt;=0",L5:L3311)</f>
        <v>-1089.21</v>
      </c>
      <c r="M3326" s="279"/>
    </row>
    <row r="3327" ht="18.0" customHeight="1">
      <c r="A3327" s="290"/>
      <c r="B3327" s="290"/>
      <c r="C3327" s="291" t="s">
        <v>1714</v>
      </c>
      <c r="D3327" s="296">
        <f>SUM(D3325+D3324)</f>
        <v>63456</v>
      </c>
      <c r="E3327" s="294"/>
      <c r="F3327" s="296">
        <f>SUM(F3325+F3324)</f>
        <v>784282.09</v>
      </c>
      <c r="G3327" s="294"/>
      <c r="H3327" s="296">
        <f>SUM(H3324+H3325)</f>
        <v>8356.73</v>
      </c>
      <c r="I3327" s="294"/>
      <c r="J3327" s="296">
        <f>SUM(J3325+J3324)</f>
        <v>252524.67</v>
      </c>
      <c r="K3327" s="294"/>
      <c r="L3327" s="296">
        <f>SUM(L3324+L3325)</f>
        <v>2000</v>
      </c>
      <c r="M3327" s="279"/>
    </row>
    <row r="3328" ht="18.0" customHeight="1">
      <c r="A3328" s="290"/>
      <c r="B3328" s="290"/>
      <c r="C3328" s="291" t="s">
        <v>1715</v>
      </c>
      <c r="D3328" s="297">
        <f>SUM(D3326-D3324)</f>
        <v>-54841.65</v>
      </c>
      <c r="E3328" s="295"/>
      <c r="F3328" s="298">
        <f>SUM(F3326-F3324)</f>
        <v>-625853.65</v>
      </c>
      <c r="G3328" s="295"/>
      <c r="H3328" s="298">
        <f>SUM(H3326-H3324)</f>
        <v>-8095.54</v>
      </c>
      <c r="I3328" s="295"/>
      <c r="J3328" s="298">
        <f>SUM(J3326-J3324)</f>
        <v>-298559.21</v>
      </c>
      <c r="K3328" s="295"/>
      <c r="L3328" s="298">
        <f>SUM(L3326-L3324)</f>
        <v>-1089.21</v>
      </c>
      <c r="M3328" s="279"/>
    </row>
    <row r="3329" ht="18.0" customHeight="1">
      <c r="A3329" s="299"/>
      <c r="B3329" s="299"/>
      <c r="C3329" s="300" t="s">
        <v>1716</v>
      </c>
      <c r="D3329" s="265">
        <f t="shared" ref="D3329:D3330" si="17">SUM(D3327,F3327,H3327,J3327,L3327)</f>
        <v>1110619.49</v>
      </c>
      <c r="E3329" s="289"/>
      <c r="F3329" s="289"/>
      <c r="G3329" s="289"/>
      <c r="H3329" s="289"/>
      <c r="I3329" s="289"/>
      <c r="J3329" s="289"/>
      <c r="K3329" s="289"/>
      <c r="L3329" s="289"/>
      <c r="M3329" s="289"/>
    </row>
    <row r="3330" ht="18.0" customHeight="1">
      <c r="A3330" s="299"/>
      <c r="B3330" s="299"/>
      <c r="C3330" s="300" t="s">
        <v>1717</v>
      </c>
      <c r="D3330" s="301">
        <f t="shared" si="17"/>
        <v>-988439.26</v>
      </c>
      <c r="E3330" s="289"/>
      <c r="F3330" s="302"/>
      <c r="G3330" s="302"/>
      <c r="H3330" s="289"/>
      <c r="I3330" s="289"/>
      <c r="J3330" s="289"/>
      <c r="K3330" s="289"/>
      <c r="L3330" s="289"/>
      <c r="M3330" s="289"/>
    </row>
    <row r="3331" ht="18.0" customHeight="1">
      <c r="A3331" s="290"/>
      <c r="B3331" s="290"/>
      <c r="C3331" s="303" t="s">
        <v>1718</v>
      </c>
      <c r="D3331" s="304">
        <f>SUM(D3,F3,H3,J3,L3)</f>
        <v>416406</v>
      </c>
      <c r="E3331" s="305"/>
      <c r="F3331" s="306" t="s">
        <v>1719</v>
      </c>
      <c r="G3331" s="307"/>
      <c r="H3331" s="305">
        <f>D3329+D3332</f>
        <v>1110619.49</v>
      </c>
      <c r="I3331" s="4"/>
      <c r="J3331" s="279"/>
      <c r="K3331" s="279"/>
      <c r="L3331" s="279"/>
      <c r="M3331" s="279"/>
    </row>
    <row r="3332" ht="18.0" customHeight="1">
      <c r="A3332" s="290"/>
      <c r="B3332" s="290"/>
      <c r="C3332" s="303" t="s">
        <v>1720</v>
      </c>
      <c r="D3332" s="304"/>
      <c r="E3332" s="305"/>
      <c r="F3332" s="306" t="s">
        <v>1721</v>
      </c>
      <c r="G3332" s="307"/>
      <c r="H3332" s="305"/>
      <c r="I3332" s="4"/>
      <c r="J3332" s="279"/>
      <c r="K3332" s="304"/>
      <c r="L3332" s="279"/>
      <c r="M3332" s="279"/>
    </row>
    <row r="3333" ht="18.0" customHeight="1">
      <c r="A3333" s="290"/>
      <c r="B3333" s="290"/>
      <c r="C3333" s="291" t="s">
        <v>1722</v>
      </c>
      <c r="D3333" s="279">
        <f>SUM(D3331-D3332)</f>
        <v>416406</v>
      </c>
      <c r="E3333" s="305"/>
      <c r="F3333" s="306" t="s">
        <v>1723</v>
      </c>
      <c r="G3333" s="307"/>
      <c r="H3333" s="305">
        <f>H3331-H3332</f>
        <v>1110619.49</v>
      </c>
      <c r="I3333" s="4"/>
      <c r="J3333" s="279"/>
      <c r="K3333" s="279"/>
      <c r="L3333" s="279"/>
      <c r="M3333" s="279"/>
    </row>
  </sheetData>
  <mergeCells count="19">
    <mergeCell ref="D1:E1"/>
    <mergeCell ref="F1:G1"/>
    <mergeCell ref="H1:I1"/>
    <mergeCell ref="J1:K1"/>
    <mergeCell ref="L1:M1"/>
    <mergeCell ref="B3313:C3313"/>
    <mergeCell ref="B3314:C3314"/>
    <mergeCell ref="F3331:G3331"/>
    <mergeCell ref="F3332:G3332"/>
    <mergeCell ref="H3332:I3332"/>
    <mergeCell ref="F3333:G3333"/>
    <mergeCell ref="H3333:I3333"/>
    <mergeCell ref="B3315:C3315"/>
    <mergeCell ref="D3315:M3315"/>
    <mergeCell ref="B3316:C3316"/>
    <mergeCell ref="B3317:C3317"/>
    <mergeCell ref="B3318:C3318"/>
    <mergeCell ref="B3321:C3321"/>
    <mergeCell ref="H3331:I3331"/>
  </mergeCells>
  <conditionalFormatting sqref="D3:D3311 F3:F3311 H3:H3311 J3:J3311 L3:L3311">
    <cfRule type="beginsWith" dxfId="0" priority="1" operator="beginsWith" text="-">
      <formula>LEFT((D3),LEN("-"))=("-")</formula>
    </cfRule>
  </conditionalFormatting>
  <conditionalFormatting sqref="D3:M3311">
    <cfRule type="cellIs" dxfId="0" priority="2" operator="lessThan">
      <formula>0</formula>
    </cfRule>
  </conditionalFormatting>
  <conditionalFormatting sqref="F3314 H3314 J3314 L3314">
    <cfRule type="cellIs" dxfId="1" priority="3" operator="greaterThanOrEqual">
      <formula>0</formula>
    </cfRule>
  </conditionalFormatting>
  <conditionalFormatting sqref="F3314 H3314 J3314 L3314">
    <cfRule type="beginsWith" dxfId="0" priority="4" operator="beginsWith" text="-">
      <formula>LEFT((F3314),LEN("-"))=("-")</formula>
    </cfRule>
  </conditionalFormatting>
  <conditionalFormatting sqref="F3314 H3314 J3314 L3314">
    <cfRule type="containsText" dxfId="1" priority="5" operator="containsText" text="-0">
      <formula>NOT(ISERROR(SEARCH(("-0"),(F3314))))</formula>
    </cfRule>
  </conditionalFormatting>
  <conditionalFormatting sqref="F3314 H3314 J3314 L3314">
    <cfRule type="cellIs" dxfId="0" priority="6" operator="lessThan">
      <formula>0</formula>
    </cfRule>
  </conditionalFormatting>
  <dataValidations>
    <dataValidation type="list" allowBlank="1" showErrorMessage="1" sqref="B3">
      <formula1>"Opzione 1,prova"</formula1>
    </dataValidation>
    <dataValidation type="custom" allowBlank="1" showDropDown="1" showInputMessage="1" showErrorMessage="1" prompt="Immetti una data valida" sqref="A3:A3311 A3312:B3312 A3313:A3321 A3322:B3333">
      <formula1>OR(NOT(ISERROR(DATEVALUE(A3))), AND(ISNUMBER(A3), LEFT(CELL("format", A3))="D"))</formula1>
    </dataValidation>
    <dataValidation type="list" allowBlank="1" showErrorMessage="1" sqref="B24">
      <formula1>"spese varie ,Pagamento fatture ,Incasso commerciali,stipendi Dipendenti ,stipendi collaboratori ( insegnanti ) ,spese struttura,Finanziamenti ,F24,incassi istituzionali"</formula1>
    </dataValidation>
    <dataValidation type="list" allowBlank="1" showErrorMessage="1" sqref="B4:B23 B25:B3311">
      <formula1>"spese varie ,Pagamento fatture ,Incasso commerciali,stipendi Dipendenti ,stipendi collaboratori ( insegnanti ) ,spese struttura,Finanziamenti ,F24,incassi istituzionali,girofondi,entrate varie ,TFR"</formula1>
    </dataValidation>
  </dataValidations>
  <hyperlinks>
    <hyperlink r:id="rId2" location="gid=1585647478" ref="F1"/>
    <hyperlink r:id="rId3" location="gid=868637713" ref="H1"/>
    <hyperlink r:id="rId4" location="gid=1585647478" ref="J1"/>
    <hyperlink r:id="rId5" location="gid=868637713" ref="L1"/>
  </hyperlinks>
  <printOptions gridLines="1" horizontalCentered="1"/>
  <pageMargins bottom="0.19258916164891157" footer="0.0" header="0.0" left="0.19258916164891157" right="0.19258916164891157" top="0.19258916164891157"/>
  <pageSetup fitToHeight="0" paperSize="9" cellComments="atEnd" orientation="landscape" pageOrder="overThenDown"/>
  <drawing r:id="rId6"/>
  <legacy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workbookViewId="0">
      <pane ySplit="3.0" topLeftCell="A4" activePane="bottomLeft" state="frozen"/>
      <selection activeCell="B5" sqref="B5" pane="bottomLeft"/>
    </sheetView>
  </sheetViews>
  <sheetFormatPr customHeight="1" defaultColWidth="17.29" defaultRowHeight="15.0"/>
  <cols>
    <col customWidth="1" min="1" max="1" width="67.14"/>
    <col customWidth="1" min="3" max="3" width="16.57"/>
    <col customWidth="1" min="4" max="4" width="21.57"/>
    <col customWidth="1" min="5" max="5" width="20.0"/>
    <col customWidth="1" min="6" max="6" width="52.43"/>
    <col customWidth="1" min="7" max="7" width="42.86"/>
  </cols>
  <sheetData>
    <row r="1">
      <c r="A1" s="308" t="s">
        <v>1724</v>
      </c>
      <c r="B1" s="309" t="s">
        <v>1725</v>
      </c>
      <c r="C1" s="310" t="s">
        <v>1726</v>
      </c>
      <c r="D1" s="311" t="s">
        <v>1706</v>
      </c>
      <c r="E1" s="312" t="s">
        <v>1727</v>
      </c>
      <c r="F1" s="313" t="s">
        <v>1728</v>
      </c>
      <c r="G1" s="314" t="s">
        <v>1729</v>
      </c>
    </row>
    <row r="2">
      <c r="A2" s="315"/>
      <c r="B2" s="316"/>
      <c r="C2" s="317" t="s">
        <v>1730</v>
      </c>
      <c r="D2" s="318" t="s">
        <v>1731</v>
      </c>
      <c r="E2" s="319" t="s">
        <v>1732</v>
      </c>
      <c r="F2" s="320" t="s">
        <v>1733</v>
      </c>
      <c r="G2" s="321" t="s">
        <v>1734</v>
      </c>
    </row>
    <row r="3">
      <c r="A3" s="322" t="s">
        <v>1735</v>
      </c>
      <c r="B3" s="323" t="s">
        <v>1736</v>
      </c>
      <c r="C3" s="323" t="s">
        <v>1737</v>
      </c>
      <c r="D3" s="322" t="s">
        <v>1738</v>
      </c>
      <c r="E3" s="322" t="s">
        <v>1739</v>
      </c>
      <c r="F3" s="322" t="s">
        <v>1740</v>
      </c>
      <c r="G3" s="322" t="s">
        <v>1741</v>
      </c>
    </row>
    <row r="4">
      <c r="A4" s="324" t="s">
        <v>1742</v>
      </c>
      <c r="B4" s="325">
        <v>1780.42</v>
      </c>
      <c r="C4" s="326"/>
      <c r="D4" s="327">
        <v>45930.0</v>
      </c>
      <c r="E4" s="328" t="s">
        <v>1730</v>
      </c>
      <c r="F4" s="329"/>
      <c r="G4" s="330" t="s">
        <v>1743</v>
      </c>
    </row>
    <row r="5">
      <c r="A5" s="324" t="s">
        <v>1744</v>
      </c>
      <c r="B5" s="325">
        <v>1647.0</v>
      </c>
      <c r="C5" s="326"/>
      <c r="D5" s="327">
        <v>45939.0</v>
      </c>
      <c r="E5" s="328" t="s">
        <v>1730</v>
      </c>
      <c r="F5" s="329"/>
      <c r="G5" s="331" t="s">
        <v>1745</v>
      </c>
    </row>
    <row r="6">
      <c r="A6" s="324" t="s">
        <v>1746</v>
      </c>
      <c r="B6" s="325">
        <v>4992.85</v>
      </c>
      <c r="C6" s="326"/>
      <c r="D6" s="332">
        <v>45992.0</v>
      </c>
      <c r="E6" s="328" t="s">
        <v>1730</v>
      </c>
      <c r="F6" s="324" t="s">
        <v>1747</v>
      </c>
      <c r="G6" s="330" t="s">
        <v>1748</v>
      </c>
    </row>
    <row r="7">
      <c r="A7" s="333" t="s">
        <v>1749</v>
      </c>
      <c r="B7" s="334">
        <v>305.0</v>
      </c>
      <c r="C7" s="335"/>
      <c r="D7" s="336">
        <v>45925.0</v>
      </c>
      <c r="E7" s="328" t="s">
        <v>1730</v>
      </c>
      <c r="F7" s="337"/>
      <c r="G7" s="338" t="s">
        <v>1750</v>
      </c>
    </row>
    <row r="8">
      <c r="A8" s="324" t="s">
        <v>1751</v>
      </c>
      <c r="B8" s="325">
        <v>554.19</v>
      </c>
      <c r="C8" s="326"/>
      <c r="D8" s="332">
        <v>45950.0</v>
      </c>
      <c r="E8" s="328" t="s">
        <v>1730</v>
      </c>
      <c r="F8" s="329"/>
      <c r="G8" s="339" t="s">
        <v>1752</v>
      </c>
    </row>
    <row r="9">
      <c r="A9" s="333" t="s">
        <v>1753</v>
      </c>
      <c r="B9" s="334">
        <v>1735.16</v>
      </c>
      <c r="C9" s="335"/>
      <c r="D9" s="340">
        <v>45925.0</v>
      </c>
      <c r="E9" s="341" t="s">
        <v>1730</v>
      </c>
      <c r="F9" s="342"/>
      <c r="G9" s="343" t="s">
        <v>1754</v>
      </c>
    </row>
    <row r="10">
      <c r="A10" s="324" t="s">
        <v>1755</v>
      </c>
      <c r="B10" s="325">
        <v>1354.2</v>
      </c>
      <c r="C10" s="326"/>
      <c r="D10" s="327">
        <v>45950.0</v>
      </c>
      <c r="E10" s="328" t="s">
        <v>1730</v>
      </c>
      <c r="F10" s="329"/>
      <c r="G10" s="339" t="s">
        <v>1752</v>
      </c>
    </row>
    <row r="11">
      <c r="A11" s="324" t="s">
        <v>1756</v>
      </c>
      <c r="B11" s="325">
        <v>256.2</v>
      </c>
      <c r="C11" s="344"/>
      <c r="D11" s="327">
        <v>45958.0</v>
      </c>
      <c r="E11" s="328" t="s">
        <v>1730</v>
      </c>
      <c r="F11" s="329"/>
      <c r="G11" s="345" t="s">
        <v>1757</v>
      </c>
    </row>
    <row r="12">
      <c r="A12" s="346" t="s">
        <v>1758</v>
      </c>
      <c r="B12" s="334">
        <v>1830.0</v>
      </c>
      <c r="C12" s="335"/>
      <c r="D12" s="336">
        <v>45936.0</v>
      </c>
      <c r="E12" s="341" t="s">
        <v>1730</v>
      </c>
      <c r="F12" s="347"/>
      <c r="G12" s="348" t="s">
        <v>1759</v>
      </c>
    </row>
    <row r="13">
      <c r="A13" s="324" t="s">
        <v>1760</v>
      </c>
      <c r="B13" s="325">
        <v>439.2</v>
      </c>
      <c r="C13" s="326"/>
      <c r="D13" s="332">
        <v>45958.0</v>
      </c>
      <c r="E13" s="328" t="s">
        <v>1730</v>
      </c>
      <c r="F13" s="337"/>
      <c r="G13" s="345" t="s">
        <v>1757</v>
      </c>
    </row>
    <row r="14">
      <c r="A14" s="346" t="s">
        <v>1761</v>
      </c>
      <c r="B14" s="325">
        <v>1464.0</v>
      </c>
      <c r="C14" s="326"/>
      <c r="D14" s="332">
        <v>45936.0</v>
      </c>
      <c r="E14" s="328" t="s">
        <v>1730</v>
      </c>
      <c r="F14" s="337"/>
      <c r="G14" s="348" t="s">
        <v>1759</v>
      </c>
    </row>
    <row r="15">
      <c r="A15" s="324" t="s">
        <v>1762</v>
      </c>
      <c r="B15" s="325">
        <v>732.0</v>
      </c>
      <c r="C15" s="326"/>
      <c r="D15" s="327">
        <v>45938.0</v>
      </c>
      <c r="E15" s="328" t="s">
        <v>1730</v>
      </c>
      <c r="F15" s="337"/>
      <c r="G15" s="339" t="s">
        <v>1763</v>
      </c>
    </row>
    <row r="16">
      <c r="A16" s="324" t="s">
        <v>1764</v>
      </c>
      <c r="B16" s="325">
        <v>3102.0</v>
      </c>
      <c r="C16" s="326"/>
      <c r="D16" s="327">
        <v>45939.0</v>
      </c>
      <c r="E16" s="349" t="s">
        <v>1730</v>
      </c>
      <c r="F16" s="337"/>
      <c r="G16" s="339" t="s">
        <v>1765</v>
      </c>
    </row>
    <row r="17">
      <c r="A17" s="324" t="s">
        <v>1766</v>
      </c>
      <c r="B17" s="325">
        <v>1002.0</v>
      </c>
      <c r="C17" s="326"/>
      <c r="D17" s="327">
        <v>45939.0</v>
      </c>
      <c r="E17" s="349" t="s">
        <v>1730</v>
      </c>
      <c r="F17" s="337"/>
      <c r="G17" s="350" t="s">
        <v>1765</v>
      </c>
    </row>
    <row r="18">
      <c r="A18" s="324" t="s">
        <v>1767</v>
      </c>
      <c r="B18" s="325">
        <v>202.0</v>
      </c>
      <c r="C18" s="326"/>
      <c r="D18" s="332">
        <v>45939.0</v>
      </c>
      <c r="E18" s="349" t="s">
        <v>1730</v>
      </c>
      <c r="F18" s="337"/>
      <c r="G18" s="339" t="s">
        <v>1768</v>
      </c>
    </row>
    <row r="19">
      <c r="A19" s="324" t="s">
        <v>1769</v>
      </c>
      <c r="B19" s="325">
        <v>3458.7</v>
      </c>
      <c r="C19" s="326"/>
      <c r="D19" s="351">
        <v>45939.0</v>
      </c>
      <c r="E19" s="349" t="s">
        <v>1730</v>
      </c>
      <c r="F19" s="337"/>
      <c r="G19" s="339" t="s">
        <v>1770</v>
      </c>
    </row>
    <row r="20">
      <c r="A20" s="324" t="s">
        <v>1771</v>
      </c>
      <c r="B20" s="325">
        <v>1491.45</v>
      </c>
      <c r="C20" s="326"/>
      <c r="D20" s="351">
        <v>45992.0</v>
      </c>
      <c r="E20" s="349" t="s">
        <v>1730</v>
      </c>
      <c r="F20" s="337"/>
      <c r="G20" s="339" t="s">
        <v>1772</v>
      </c>
    </row>
    <row r="21">
      <c r="A21" s="333" t="s">
        <v>1773</v>
      </c>
      <c r="B21" s="334">
        <v>244.0</v>
      </c>
      <c r="C21" s="335"/>
      <c r="D21" s="352">
        <v>46013.0</v>
      </c>
      <c r="E21" s="353" t="s">
        <v>1730</v>
      </c>
      <c r="F21" s="342"/>
      <c r="G21" s="343" t="s">
        <v>1774</v>
      </c>
    </row>
    <row r="22">
      <c r="A22" s="333" t="s">
        <v>1775</v>
      </c>
      <c r="B22" s="334">
        <v>1250.0</v>
      </c>
      <c r="C22" s="326"/>
      <c r="D22" s="354">
        <v>45944.0</v>
      </c>
      <c r="E22" s="349" t="s">
        <v>1730</v>
      </c>
      <c r="F22" s="337"/>
      <c r="G22" s="355" t="s">
        <v>1776</v>
      </c>
    </row>
    <row r="23">
      <c r="A23" s="333" t="s">
        <v>1777</v>
      </c>
      <c r="B23" s="334">
        <v>562.5</v>
      </c>
      <c r="C23" s="326"/>
      <c r="D23" s="354">
        <v>45944.0</v>
      </c>
      <c r="E23" s="349" t="s">
        <v>1730</v>
      </c>
      <c r="F23" s="337"/>
      <c r="G23" s="343" t="s">
        <v>1776</v>
      </c>
    </row>
    <row r="24">
      <c r="A24" s="333" t="s">
        <v>1778</v>
      </c>
      <c r="B24" s="334">
        <v>56807.0</v>
      </c>
      <c r="C24" s="326"/>
      <c r="D24" s="354">
        <v>45944.0</v>
      </c>
      <c r="E24" s="349" t="s">
        <v>1730</v>
      </c>
      <c r="F24" s="337"/>
      <c r="G24" s="343" t="s">
        <v>1776</v>
      </c>
    </row>
    <row r="25">
      <c r="A25" s="324" t="s">
        <v>1779</v>
      </c>
      <c r="B25" s="334">
        <v>366.0</v>
      </c>
      <c r="C25" s="326"/>
      <c r="D25" s="354">
        <v>45964.0</v>
      </c>
      <c r="E25" s="349" t="s">
        <v>1730</v>
      </c>
      <c r="F25" s="337"/>
      <c r="G25" s="356" t="s">
        <v>1780</v>
      </c>
    </row>
    <row r="26">
      <c r="A26" s="324" t="s">
        <v>1781</v>
      </c>
      <c r="B26" s="334">
        <v>4546.94</v>
      </c>
      <c r="C26" s="326"/>
      <c r="D26" s="351">
        <v>45964.0</v>
      </c>
      <c r="E26" s="349" t="s">
        <v>1730</v>
      </c>
      <c r="F26" s="337"/>
      <c r="G26" s="356" t="s">
        <v>1780</v>
      </c>
    </row>
    <row r="27">
      <c r="A27" s="324" t="s">
        <v>1782</v>
      </c>
      <c r="B27" s="325">
        <v>968.19</v>
      </c>
      <c r="C27" s="326"/>
      <c r="D27" s="351">
        <v>46020.0</v>
      </c>
      <c r="E27" s="349" t="s">
        <v>1730</v>
      </c>
      <c r="F27" s="337"/>
      <c r="G27" s="339" t="s">
        <v>1772</v>
      </c>
    </row>
    <row r="28">
      <c r="A28" s="324" t="s">
        <v>1783</v>
      </c>
      <c r="B28" s="325">
        <v>3102.0</v>
      </c>
      <c r="C28" s="326"/>
      <c r="D28" s="351">
        <v>45973.0</v>
      </c>
      <c r="E28" s="349" t="s">
        <v>1730</v>
      </c>
      <c r="F28" s="337"/>
      <c r="G28" s="343" t="s">
        <v>1765</v>
      </c>
    </row>
    <row r="29">
      <c r="A29" s="324" t="s">
        <v>1784</v>
      </c>
      <c r="B29" s="325">
        <v>1415.34</v>
      </c>
      <c r="C29" s="326"/>
      <c r="D29" s="351">
        <v>45973.0</v>
      </c>
      <c r="E29" s="349" t="s">
        <v>1730</v>
      </c>
      <c r="F29" s="337"/>
      <c r="G29" s="343" t="s">
        <v>1765</v>
      </c>
    </row>
    <row r="30">
      <c r="A30" s="324" t="s">
        <v>1785</v>
      </c>
      <c r="B30" s="325">
        <v>242.0</v>
      </c>
      <c r="C30" s="326"/>
      <c r="D30" s="351">
        <v>45973.0</v>
      </c>
      <c r="E30" s="349" t="s">
        <v>1730</v>
      </c>
      <c r="F30" s="329"/>
      <c r="G30" s="343" t="s">
        <v>1768</v>
      </c>
    </row>
    <row r="31">
      <c r="A31" s="333" t="s">
        <v>1786</v>
      </c>
      <c r="B31" s="334">
        <v>462.0</v>
      </c>
      <c r="C31" s="326"/>
      <c r="D31" s="351">
        <v>45982.0</v>
      </c>
      <c r="E31" s="349" t="s">
        <v>1730</v>
      </c>
      <c r="F31" s="329"/>
      <c r="G31" s="343" t="s">
        <v>1787</v>
      </c>
    </row>
    <row r="32">
      <c r="A32" s="333" t="s">
        <v>1788</v>
      </c>
      <c r="B32" s="334">
        <v>1036.0</v>
      </c>
      <c r="C32" s="326"/>
      <c r="D32" s="357">
        <v>45982.0</v>
      </c>
      <c r="E32" s="349" t="s">
        <v>1730</v>
      </c>
      <c r="F32" s="329"/>
      <c r="G32" s="355" t="s">
        <v>1776</v>
      </c>
    </row>
    <row r="33">
      <c r="A33" s="333" t="s">
        <v>1789</v>
      </c>
      <c r="B33" s="334">
        <v>770.74</v>
      </c>
      <c r="C33" s="326"/>
      <c r="D33" s="327">
        <v>45982.0</v>
      </c>
      <c r="E33" s="349" t="s">
        <v>1730</v>
      </c>
      <c r="F33" s="329"/>
      <c r="G33" s="343" t="s">
        <v>1754</v>
      </c>
    </row>
    <row r="34">
      <c r="A34" s="324" t="s">
        <v>1790</v>
      </c>
      <c r="B34" s="325">
        <v>1342.2</v>
      </c>
      <c r="C34" s="326"/>
      <c r="D34" s="332">
        <v>46036.0</v>
      </c>
      <c r="E34" s="349" t="s">
        <v>1730</v>
      </c>
      <c r="F34" s="329"/>
      <c r="G34" s="330" t="s">
        <v>1743</v>
      </c>
    </row>
    <row r="35">
      <c r="A35" s="333" t="s">
        <v>1791</v>
      </c>
      <c r="B35" s="334">
        <v>854.0</v>
      </c>
      <c r="C35" s="326"/>
      <c r="D35" s="327">
        <v>45989.0</v>
      </c>
      <c r="E35" s="349" t="s">
        <v>1730</v>
      </c>
      <c r="F35" s="329"/>
      <c r="G35" s="343" t="s">
        <v>1763</v>
      </c>
    </row>
    <row r="36">
      <c r="A36" s="346" t="s">
        <v>1792</v>
      </c>
      <c r="B36" s="325">
        <v>732.0</v>
      </c>
      <c r="C36" s="326"/>
      <c r="D36" s="327">
        <v>45992.0</v>
      </c>
      <c r="E36" s="349" t="s">
        <v>1730</v>
      </c>
      <c r="F36" s="329"/>
      <c r="G36" s="348" t="s">
        <v>1759</v>
      </c>
    </row>
    <row r="37">
      <c r="A37" s="333" t="s">
        <v>1793</v>
      </c>
      <c r="B37" s="334">
        <v>102.48</v>
      </c>
      <c r="C37" s="326"/>
      <c r="D37" s="332">
        <v>46003.0</v>
      </c>
      <c r="E37" s="349" t="s">
        <v>1730</v>
      </c>
      <c r="F37" s="329"/>
      <c r="G37" s="343" t="s">
        <v>1794</v>
      </c>
    </row>
    <row r="38">
      <c r="A38" s="324" t="s">
        <v>1795</v>
      </c>
      <c r="B38" s="325">
        <v>3102.0</v>
      </c>
      <c r="C38" s="326"/>
      <c r="D38" s="332">
        <v>46003.0</v>
      </c>
      <c r="E38" s="349" t="s">
        <v>1730</v>
      </c>
      <c r="F38" s="329"/>
      <c r="G38" s="343" t="s">
        <v>1765</v>
      </c>
    </row>
    <row r="39">
      <c r="A39" s="324" t="s">
        <v>1796</v>
      </c>
      <c r="B39" s="325">
        <v>1062.0</v>
      </c>
      <c r="C39" s="326"/>
      <c r="D39" s="332">
        <v>46003.0</v>
      </c>
      <c r="E39" s="349" t="s">
        <v>1730</v>
      </c>
      <c r="F39" s="329"/>
      <c r="G39" s="343" t="s">
        <v>1765</v>
      </c>
    </row>
    <row r="40">
      <c r="A40" s="324" t="s">
        <v>1797</v>
      </c>
      <c r="B40" s="325">
        <v>320.0</v>
      </c>
      <c r="C40" s="326"/>
      <c r="D40" s="332">
        <v>46003.0</v>
      </c>
      <c r="E40" s="349" t="s">
        <v>1730</v>
      </c>
      <c r="F40" s="329"/>
      <c r="G40" s="343" t="s">
        <v>1768</v>
      </c>
    </row>
    <row r="41">
      <c r="A41" s="324" t="s">
        <v>1798</v>
      </c>
      <c r="B41" s="325">
        <v>292.8</v>
      </c>
      <c r="C41" s="326"/>
      <c r="D41" s="332">
        <v>46003.0</v>
      </c>
      <c r="E41" s="349" t="s">
        <v>1730</v>
      </c>
      <c r="F41" s="329"/>
      <c r="G41" s="356" t="s">
        <v>1780</v>
      </c>
    </row>
    <row r="42">
      <c r="A42" s="324" t="s">
        <v>1799</v>
      </c>
      <c r="B42" s="325">
        <v>439.2</v>
      </c>
      <c r="C42" s="326"/>
      <c r="D42" s="332">
        <v>46055.0</v>
      </c>
      <c r="E42" s="349" t="s">
        <v>1730</v>
      </c>
      <c r="F42" s="337"/>
      <c r="G42" s="345" t="s">
        <v>1757</v>
      </c>
    </row>
    <row r="43">
      <c r="A43" s="333" t="s">
        <v>1800</v>
      </c>
      <c r="B43" s="334">
        <v>4880.0</v>
      </c>
      <c r="C43" s="326"/>
      <c r="D43" s="332">
        <v>46008.0</v>
      </c>
      <c r="E43" s="349" t="s">
        <v>1730</v>
      </c>
      <c r="F43" s="337"/>
      <c r="G43" s="358" t="s">
        <v>1801</v>
      </c>
    </row>
    <row r="44">
      <c r="A44" s="324" t="s">
        <v>1802</v>
      </c>
      <c r="B44" s="359">
        <v>5644.94</v>
      </c>
      <c r="C44" s="359"/>
      <c r="D44" s="360">
        <v>46038.0</v>
      </c>
      <c r="E44" s="361" t="s">
        <v>1730</v>
      </c>
      <c r="F44" s="362"/>
      <c r="G44" s="339" t="s">
        <v>1752</v>
      </c>
    </row>
    <row r="45">
      <c r="A45" s="333" t="s">
        <v>1803</v>
      </c>
      <c r="B45" s="359">
        <v>202.0</v>
      </c>
      <c r="C45" s="359"/>
      <c r="D45" s="360">
        <v>46003.0</v>
      </c>
      <c r="E45" s="361" t="s">
        <v>1730</v>
      </c>
      <c r="F45" s="363"/>
      <c r="G45" s="343" t="s">
        <v>1768</v>
      </c>
    </row>
    <row r="46">
      <c r="A46" s="324" t="s">
        <v>1804</v>
      </c>
      <c r="B46" s="359">
        <v>1047.98</v>
      </c>
      <c r="C46" s="359"/>
      <c r="D46" s="360">
        <v>46055.0</v>
      </c>
      <c r="E46" s="361" t="s">
        <v>1730</v>
      </c>
      <c r="F46" s="362"/>
      <c r="G46" s="345" t="s">
        <v>1757</v>
      </c>
    </row>
    <row r="47">
      <c r="A47" s="333" t="s">
        <v>1805</v>
      </c>
      <c r="B47" s="359">
        <v>1500.6</v>
      </c>
      <c r="C47" s="359"/>
      <c r="D47" s="360">
        <v>46038.0</v>
      </c>
      <c r="E47" s="361" t="s">
        <v>1730</v>
      </c>
      <c r="F47" s="362"/>
      <c r="G47" s="343" t="s">
        <v>1806</v>
      </c>
    </row>
    <row r="48">
      <c r="A48" s="324" t="s">
        <v>1807</v>
      </c>
      <c r="B48" s="359">
        <v>3102.0</v>
      </c>
      <c r="C48" s="359"/>
      <c r="D48" s="360">
        <v>46044.0</v>
      </c>
      <c r="E48" s="361" t="s">
        <v>1730</v>
      </c>
      <c r="F48" s="362"/>
      <c r="G48" s="343" t="s">
        <v>1765</v>
      </c>
    </row>
    <row r="49">
      <c r="A49" s="324" t="s">
        <v>1808</v>
      </c>
      <c r="B49" s="359">
        <v>1002.0</v>
      </c>
      <c r="C49" s="359"/>
      <c r="D49" s="360">
        <v>46044.0</v>
      </c>
      <c r="E49" s="361" t="s">
        <v>1730</v>
      </c>
      <c r="F49" s="363"/>
      <c r="G49" s="343" t="s">
        <v>1765</v>
      </c>
    </row>
    <row r="50">
      <c r="A50" s="333" t="s">
        <v>1809</v>
      </c>
      <c r="B50" s="359">
        <v>56807.0</v>
      </c>
      <c r="C50" s="359"/>
      <c r="D50" s="360">
        <v>46044.0</v>
      </c>
      <c r="E50" s="361" t="s">
        <v>1730</v>
      </c>
      <c r="F50" s="363"/>
      <c r="G50" s="355" t="s">
        <v>1776</v>
      </c>
    </row>
    <row r="51">
      <c r="A51" s="333" t="s">
        <v>1810</v>
      </c>
      <c r="B51" s="359">
        <v>562.5</v>
      </c>
      <c r="C51" s="359"/>
      <c r="D51" s="360">
        <v>46044.0</v>
      </c>
      <c r="E51" s="361" t="s">
        <v>1730</v>
      </c>
      <c r="F51" s="363"/>
      <c r="G51" s="355" t="s">
        <v>1776</v>
      </c>
    </row>
    <row r="52">
      <c r="A52" s="333" t="s">
        <v>1811</v>
      </c>
      <c r="B52" s="359">
        <v>1250.0</v>
      </c>
      <c r="C52" s="359"/>
      <c r="D52" s="360">
        <v>46044.0</v>
      </c>
      <c r="E52" s="361" t="s">
        <v>1730</v>
      </c>
      <c r="F52" s="363"/>
      <c r="G52" s="355" t="s">
        <v>1776</v>
      </c>
    </row>
    <row r="53">
      <c r="A53" s="364" t="s">
        <v>1812</v>
      </c>
      <c r="B53" s="359">
        <v>439.2</v>
      </c>
      <c r="C53" s="359"/>
      <c r="D53" s="360">
        <v>46055.0</v>
      </c>
      <c r="E53" s="361" t="s">
        <v>1730</v>
      </c>
      <c r="F53" s="363"/>
      <c r="G53" s="343" t="s">
        <v>1813</v>
      </c>
    </row>
    <row r="54">
      <c r="A54" s="364" t="s">
        <v>1814</v>
      </c>
      <c r="B54" s="359">
        <v>948.67</v>
      </c>
      <c r="C54" s="359"/>
      <c r="D54" s="360">
        <v>46075.0</v>
      </c>
      <c r="E54" s="361" t="s">
        <v>1730</v>
      </c>
      <c r="F54" s="363"/>
      <c r="G54" s="343" t="s">
        <v>1815</v>
      </c>
    </row>
    <row r="55">
      <c r="A55" s="346" t="s">
        <v>1816</v>
      </c>
      <c r="B55" s="359">
        <v>671.0</v>
      </c>
      <c r="C55" s="359"/>
      <c r="D55" s="360">
        <v>46055.0</v>
      </c>
      <c r="E55" s="361" t="s">
        <v>1730</v>
      </c>
      <c r="F55" s="363"/>
      <c r="G55" s="348" t="s">
        <v>1759</v>
      </c>
    </row>
    <row r="56">
      <c r="A56" s="364" t="s">
        <v>1817</v>
      </c>
      <c r="B56" s="359">
        <v>85.4</v>
      </c>
      <c r="C56" s="359"/>
      <c r="D56" s="360">
        <v>46081.0</v>
      </c>
      <c r="E56" s="361" t="s">
        <v>1730</v>
      </c>
      <c r="F56" s="363"/>
      <c r="G56" s="343" t="s">
        <v>1815</v>
      </c>
    </row>
    <row r="57">
      <c r="A57" s="333" t="s">
        <v>1818</v>
      </c>
      <c r="B57" s="359">
        <v>16964.69</v>
      </c>
      <c r="C57" s="359"/>
      <c r="D57" s="360">
        <v>46058.0</v>
      </c>
      <c r="E57" s="361" t="s">
        <v>1730</v>
      </c>
      <c r="F57" s="363"/>
      <c r="G57" s="355" t="s">
        <v>1776</v>
      </c>
    </row>
    <row r="58">
      <c r="A58" s="324" t="s">
        <v>1819</v>
      </c>
      <c r="B58" s="359">
        <v>1818.48</v>
      </c>
      <c r="C58" s="359"/>
      <c r="D58" s="360">
        <v>46081.0</v>
      </c>
      <c r="E58" s="361" t="s">
        <v>1730</v>
      </c>
      <c r="F58" s="363"/>
      <c r="G58" s="330" t="s">
        <v>1743</v>
      </c>
    </row>
    <row r="59">
      <c r="A59" s="333" t="s">
        <v>1820</v>
      </c>
      <c r="B59" s="359">
        <v>280.6</v>
      </c>
      <c r="C59" s="359"/>
      <c r="D59" s="360">
        <v>46064.0</v>
      </c>
      <c r="E59" s="361" t="s">
        <v>1730</v>
      </c>
      <c r="F59" s="362" t="s">
        <v>1821</v>
      </c>
      <c r="G59" s="343" t="s">
        <v>1763</v>
      </c>
    </row>
    <row r="60">
      <c r="A60" s="324" t="s">
        <v>1822</v>
      </c>
      <c r="B60" s="359">
        <v>180.0</v>
      </c>
      <c r="C60" s="359"/>
      <c r="D60" s="360">
        <v>46064.0</v>
      </c>
      <c r="E60" s="361" t="s">
        <v>1730</v>
      </c>
      <c r="F60" s="362" t="s">
        <v>1823</v>
      </c>
      <c r="G60" s="365" t="s">
        <v>1824</v>
      </c>
    </row>
    <row r="61">
      <c r="A61" s="364" t="s">
        <v>1825</v>
      </c>
      <c r="B61" s="359">
        <v>30.0</v>
      </c>
      <c r="C61" s="359"/>
      <c r="D61" s="360">
        <v>46069.0</v>
      </c>
      <c r="E61" s="361" t="s">
        <v>1730</v>
      </c>
      <c r="F61" s="363"/>
      <c r="G61" s="343" t="s">
        <v>1826</v>
      </c>
    </row>
    <row r="62">
      <c r="A62" s="364" t="s">
        <v>1827</v>
      </c>
      <c r="B62" s="359">
        <v>317.0</v>
      </c>
      <c r="C62" s="359"/>
      <c r="D62" s="360">
        <v>46066.0</v>
      </c>
      <c r="E62" s="361" t="s">
        <v>1730</v>
      </c>
      <c r="F62" s="363"/>
      <c r="G62" s="365" t="s">
        <v>1828</v>
      </c>
    </row>
    <row r="63">
      <c r="A63" s="333" t="s">
        <v>1829</v>
      </c>
      <c r="B63" s="359">
        <v>4402.0</v>
      </c>
      <c r="C63" s="359"/>
      <c r="D63" s="360">
        <v>46065.0</v>
      </c>
      <c r="E63" s="361" t="s">
        <v>1730</v>
      </c>
      <c r="F63" s="363"/>
      <c r="G63" s="343" t="s">
        <v>1765</v>
      </c>
    </row>
    <row r="64">
      <c r="A64" s="333" t="s">
        <v>1830</v>
      </c>
      <c r="B64" s="359">
        <v>549.0</v>
      </c>
      <c r="C64" s="359"/>
      <c r="D64" s="360" t="s">
        <v>1831</v>
      </c>
      <c r="E64" s="361" t="s">
        <v>1730</v>
      </c>
      <c r="F64" s="363"/>
      <c r="G64" s="343" t="s">
        <v>1763</v>
      </c>
    </row>
    <row r="65">
      <c r="A65" s="364" t="s">
        <v>1832</v>
      </c>
      <c r="B65" s="359">
        <v>2300.0</v>
      </c>
      <c r="C65" s="359"/>
      <c r="D65" s="360">
        <v>46076.0</v>
      </c>
      <c r="E65" s="361" t="s">
        <v>1730</v>
      </c>
      <c r="F65" s="363"/>
      <c r="G65" s="365" t="s">
        <v>1833</v>
      </c>
    </row>
    <row r="66">
      <c r="A66" s="364" t="s">
        <v>1834</v>
      </c>
      <c r="B66" s="359">
        <v>730.0</v>
      </c>
      <c r="C66" s="359"/>
      <c r="D66" s="360">
        <v>46078.0</v>
      </c>
      <c r="E66" s="361" t="s">
        <v>1730</v>
      </c>
      <c r="F66" s="363"/>
      <c r="G66" s="365" t="s">
        <v>1835</v>
      </c>
    </row>
    <row r="67">
      <c r="A67" s="364" t="s">
        <v>1836</v>
      </c>
      <c r="B67" s="359">
        <v>4443.0</v>
      </c>
      <c r="C67" s="359"/>
      <c r="D67" s="360">
        <v>46082.0</v>
      </c>
      <c r="E67" s="361" t="s">
        <v>1730</v>
      </c>
      <c r="F67" s="363"/>
      <c r="G67" s="366" t="s">
        <v>1837</v>
      </c>
    </row>
    <row r="68">
      <c r="A68" s="333" t="s">
        <v>1838</v>
      </c>
      <c r="B68" s="359">
        <v>4102.0</v>
      </c>
      <c r="C68" s="359"/>
      <c r="D68" s="360">
        <v>46090.0</v>
      </c>
      <c r="E68" s="361" t="s">
        <v>1730</v>
      </c>
      <c r="F68" s="363"/>
      <c r="G68" s="343" t="s">
        <v>1765</v>
      </c>
    </row>
    <row r="69">
      <c r="A69" s="364" t="s">
        <v>1839</v>
      </c>
      <c r="B69" s="359">
        <v>713.7</v>
      </c>
      <c r="C69" s="359"/>
      <c r="D69" s="360">
        <v>46090.0</v>
      </c>
      <c r="E69" s="361" t="s">
        <v>1730</v>
      </c>
      <c r="F69" s="363"/>
      <c r="G69" s="365" t="s">
        <v>1813</v>
      </c>
    </row>
    <row r="70">
      <c r="A70" s="333" t="s">
        <v>1840</v>
      </c>
      <c r="B70" s="359">
        <v>317.2</v>
      </c>
      <c r="C70" s="359"/>
      <c r="D70" s="360">
        <v>46091.0</v>
      </c>
      <c r="E70" s="361" t="s">
        <v>1730</v>
      </c>
      <c r="F70" s="363"/>
      <c r="G70" s="338" t="s">
        <v>1750</v>
      </c>
    </row>
    <row r="71">
      <c r="A71" s="324" t="s">
        <v>1841</v>
      </c>
      <c r="B71" s="359">
        <v>1281.0</v>
      </c>
      <c r="C71" s="359"/>
      <c r="D71" s="360">
        <v>46123.0</v>
      </c>
      <c r="E71" s="361" t="s">
        <v>1729</v>
      </c>
      <c r="F71" s="363"/>
      <c r="G71" s="331" t="s">
        <v>1745</v>
      </c>
    </row>
    <row r="72">
      <c r="A72" s="364" t="s">
        <v>1842</v>
      </c>
      <c r="B72" s="359">
        <v>106.08</v>
      </c>
      <c r="C72" s="359"/>
      <c r="D72" s="360">
        <v>46099.0</v>
      </c>
      <c r="E72" s="361" t="s">
        <v>1730</v>
      </c>
      <c r="F72" s="363"/>
      <c r="G72" s="365" t="s">
        <v>1843</v>
      </c>
    </row>
    <row r="73">
      <c r="A73" s="364" t="s">
        <v>1844</v>
      </c>
      <c r="B73" s="359">
        <v>30.0</v>
      </c>
      <c r="C73" s="359"/>
      <c r="D73" s="360">
        <v>46107.0</v>
      </c>
      <c r="E73" s="361" t="s">
        <v>1730</v>
      </c>
      <c r="F73" s="363"/>
      <c r="G73" s="343" t="s">
        <v>1826</v>
      </c>
    </row>
    <row r="74">
      <c r="A74" s="324" t="s">
        <v>1845</v>
      </c>
      <c r="B74" s="359">
        <v>2183.12</v>
      </c>
      <c r="C74" s="359"/>
      <c r="D74" s="360">
        <v>46142.0</v>
      </c>
      <c r="E74" s="361" t="s">
        <v>1729</v>
      </c>
      <c r="F74" s="363"/>
      <c r="G74" s="330" t="s">
        <v>1743</v>
      </c>
    </row>
    <row r="75">
      <c r="A75" s="346" t="s">
        <v>1846</v>
      </c>
      <c r="B75" s="359">
        <v>642.94</v>
      </c>
      <c r="C75" s="359"/>
      <c r="D75" s="360">
        <v>46114.0</v>
      </c>
      <c r="E75" s="361" t="s">
        <v>1730</v>
      </c>
      <c r="F75" s="363"/>
      <c r="G75" s="348" t="s">
        <v>1759</v>
      </c>
    </row>
    <row r="76">
      <c r="A76" s="333" t="s">
        <v>1847</v>
      </c>
      <c r="B76" s="359">
        <v>202.0</v>
      </c>
      <c r="C76" s="359"/>
      <c r="D76" s="360">
        <v>46114.0</v>
      </c>
      <c r="E76" s="361" t="s">
        <v>1730</v>
      </c>
      <c r="F76" s="363"/>
      <c r="G76" s="343" t="s">
        <v>1787</v>
      </c>
    </row>
    <row r="77">
      <c r="A77" s="324" t="s">
        <v>1848</v>
      </c>
      <c r="B77" s="359">
        <v>439.2</v>
      </c>
      <c r="C77" s="359"/>
      <c r="D77" s="360">
        <v>46112.0</v>
      </c>
      <c r="E77" s="361" t="s">
        <v>1729</v>
      </c>
      <c r="F77" s="363"/>
      <c r="G77" s="345" t="s">
        <v>1757</v>
      </c>
    </row>
    <row r="78">
      <c r="A78" s="367" t="s">
        <v>1849</v>
      </c>
      <c r="B78" s="359">
        <v>4102.0</v>
      </c>
      <c r="C78" s="359"/>
      <c r="D78" s="360">
        <v>46117.0</v>
      </c>
      <c r="E78" s="361" t="s">
        <v>1733</v>
      </c>
      <c r="F78" s="363"/>
      <c r="G78" s="343" t="s">
        <v>1765</v>
      </c>
    </row>
    <row r="79">
      <c r="A79" s="364"/>
      <c r="B79" s="359"/>
      <c r="C79" s="359"/>
      <c r="D79" s="360"/>
      <c r="E79" s="361"/>
      <c r="F79" s="363"/>
      <c r="G79" s="365"/>
    </row>
    <row r="80">
      <c r="A80" s="364"/>
      <c r="B80" s="359"/>
      <c r="C80" s="359"/>
      <c r="D80" s="360"/>
      <c r="E80" s="361"/>
      <c r="F80" s="363"/>
      <c r="G80" s="365"/>
    </row>
    <row r="81">
      <c r="A81" s="364"/>
      <c r="B81" s="359"/>
      <c r="C81" s="359"/>
      <c r="D81" s="360"/>
      <c r="E81" s="361"/>
      <c r="F81" s="363"/>
      <c r="G81" s="365"/>
    </row>
    <row r="82">
      <c r="A82" s="364"/>
      <c r="B82" s="359"/>
      <c r="C82" s="359"/>
      <c r="D82" s="360"/>
      <c r="E82" s="361"/>
      <c r="F82" s="363"/>
      <c r="G82" s="365"/>
    </row>
    <row r="83">
      <c r="A83" s="364"/>
      <c r="B83" s="359"/>
      <c r="C83" s="359"/>
      <c r="D83" s="360"/>
      <c r="E83" s="361"/>
      <c r="F83" s="363"/>
      <c r="G83" s="365"/>
    </row>
    <row r="84">
      <c r="A84" s="364"/>
      <c r="B84" s="359"/>
      <c r="C84" s="359"/>
      <c r="D84" s="360"/>
      <c r="E84" s="361"/>
      <c r="F84" s="363"/>
      <c r="G84" s="365"/>
    </row>
    <row r="85">
      <c r="A85" s="364"/>
      <c r="B85" s="359"/>
      <c r="C85" s="359"/>
      <c r="D85" s="360"/>
      <c r="E85" s="361"/>
      <c r="F85" s="363"/>
      <c r="G85" s="365"/>
    </row>
    <row r="86">
      <c r="A86" s="364"/>
      <c r="B86" s="359"/>
      <c r="C86" s="359"/>
      <c r="D86" s="360"/>
      <c r="E86" s="361"/>
      <c r="F86" s="363"/>
      <c r="G86" s="365"/>
    </row>
    <row r="87">
      <c r="A87" s="364"/>
      <c r="B87" s="359"/>
      <c r="C87" s="359"/>
      <c r="D87" s="360"/>
      <c r="E87" s="361"/>
      <c r="F87" s="363"/>
      <c r="G87" s="365"/>
    </row>
    <row r="88">
      <c r="A88" s="364"/>
      <c r="B88" s="359"/>
      <c r="C88" s="359"/>
      <c r="D88" s="360"/>
      <c r="E88" s="361"/>
      <c r="F88" s="363"/>
      <c r="G88" s="365"/>
    </row>
    <row r="89">
      <c r="A89" s="364"/>
      <c r="B89" s="359"/>
      <c r="C89" s="359"/>
      <c r="D89" s="360"/>
      <c r="E89" s="361"/>
      <c r="F89" s="363"/>
      <c r="G89" s="365"/>
    </row>
    <row r="90">
      <c r="A90" s="364"/>
      <c r="B90" s="359"/>
      <c r="C90" s="359"/>
      <c r="D90" s="360"/>
      <c r="E90" s="361"/>
      <c r="F90" s="363"/>
      <c r="G90" s="365"/>
    </row>
    <row r="91">
      <c r="A91" s="364"/>
      <c r="B91" s="359"/>
      <c r="C91" s="359"/>
      <c r="D91" s="360"/>
      <c r="E91" s="361"/>
      <c r="F91" s="363"/>
      <c r="G91" s="365"/>
    </row>
    <row r="92">
      <c r="A92" s="364"/>
      <c r="B92" s="359"/>
      <c r="C92" s="359"/>
      <c r="D92" s="360"/>
      <c r="E92" s="361"/>
      <c r="F92" s="363"/>
      <c r="G92" s="365"/>
    </row>
    <row r="93">
      <c r="A93" s="364"/>
      <c r="B93" s="359"/>
      <c r="C93" s="359"/>
      <c r="D93" s="360"/>
      <c r="E93" s="361"/>
      <c r="F93" s="363"/>
      <c r="G93" s="365"/>
    </row>
    <row r="94">
      <c r="A94" s="364"/>
      <c r="B94" s="359"/>
      <c r="C94" s="359"/>
      <c r="D94" s="360"/>
      <c r="E94" s="361"/>
      <c r="F94" s="363"/>
      <c r="G94" s="365"/>
    </row>
    <row r="95">
      <c r="A95" s="364"/>
      <c r="B95" s="359"/>
      <c r="C95" s="359"/>
      <c r="D95" s="360"/>
      <c r="E95" s="361"/>
      <c r="F95" s="363"/>
      <c r="G95" s="365"/>
    </row>
    <row r="96">
      <c r="A96" s="364"/>
      <c r="B96" s="359"/>
      <c r="C96" s="359"/>
      <c r="D96" s="360"/>
      <c r="E96" s="361"/>
      <c r="F96" s="363"/>
      <c r="G96" s="365"/>
    </row>
    <row r="97">
      <c r="A97" s="364"/>
      <c r="B97" s="359"/>
      <c r="C97" s="359"/>
      <c r="D97" s="360"/>
      <c r="E97" s="361"/>
      <c r="F97" s="363"/>
      <c r="G97" s="365"/>
    </row>
    <row r="98">
      <c r="A98" s="364"/>
      <c r="B98" s="359"/>
      <c r="C98" s="359"/>
      <c r="D98" s="360"/>
      <c r="E98" s="361"/>
      <c r="F98" s="363"/>
      <c r="G98" s="365"/>
    </row>
    <row r="99">
      <c r="A99" s="364"/>
      <c r="B99" s="359"/>
      <c r="C99" s="359"/>
      <c r="D99" s="360"/>
      <c r="E99" s="361"/>
      <c r="F99" s="363"/>
      <c r="G99" s="365"/>
    </row>
    <row r="100">
      <c r="A100" s="364"/>
      <c r="B100" s="359"/>
      <c r="C100" s="359"/>
      <c r="D100" s="360"/>
      <c r="E100" s="361"/>
      <c r="F100" s="363"/>
      <c r="G100" s="365"/>
    </row>
    <row r="101">
      <c r="A101" s="364"/>
      <c r="B101" s="359"/>
      <c r="C101" s="359"/>
      <c r="D101" s="360"/>
      <c r="E101" s="361"/>
      <c r="F101" s="363"/>
      <c r="G101" s="365"/>
    </row>
    <row r="102">
      <c r="A102" s="364"/>
      <c r="B102" s="359"/>
      <c r="C102" s="359"/>
      <c r="D102" s="360"/>
      <c r="E102" s="361"/>
      <c r="F102" s="363"/>
      <c r="G102" s="365"/>
    </row>
    <row r="103">
      <c r="A103" s="364"/>
      <c r="B103" s="359"/>
      <c r="C103" s="359"/>
      <c r="D103" s="360"/>
      <c r="E103" s="361"/>
      <c r="F103" s="363"/>
      <c r="G103" s="365"/>
    </row>
    <row r="104">
      <c r="A104" s="364"/>
      <c r="B104" s="359"/>
      <c r="C104" s="359"/>
      <c r="D104" s="360"/>
      <c r="E104" s="361"/>
      <c r="F104" s="363"/>
      <c r="G104" s="365"/>
    </row>
    <row r="105">
      <c r="A105" s="364"/>
      <c r="B105" s="359"/>
      <c r="C105" s="359"/>
      <c r="D105" s="360"/>
      <c r="E105" s="361"/>
      <c r="F105" s="362"/>
      <c r="G105" s="365"/>
    </row>
    <row r="106">
      <c r="A106" s="364"/>
      <c r="B106" s="359"/>
      <c r="C106" s="359"/>
      <c r="D106" s="360"/>
      <c r="E106" s="361"/>
      <c r="F106" s="362"/>
      <c r="G106" s="365"/>
    </row>
    <row r="107">
      <c r="A107" s="364"/>
      <c r="B107" s="359"/>
      <c r="C107" s="359"/>
      <c r="D107" s="360"/>
      <c r="E107" s="361"/>
      <c r="F107" s="362"/>
      <c r="G107" s="365"/>
    </row>
    <row r="108">
      <c r="A108" s="364"/>
      <c r="B108" s="359"/>
      <c r="C108" s="359"/>
      <c r="D108" s="360"/>
      <c r="E108" s="361"/>
      <c r="F108" s="362"/>
      <c r="G108" s="365"/>
    </row>
    <row r="109">
      <c r="A109" s="364"/>
      <c r="B109" s="359"/>
      <c r="C109" s="359"/>
      <c r="D109" s="368"/>
      <c r="E109" s="361"/>
      <c r="F109" s="362"/>
      <c r="G109" s="365"/>
    </row>
    <row r="110">
      <c r="A110" s="364"/>
      <c r="B110" s="359"/>
      <c r="C110" s="359"/>
      <c r="D110" s="360"/>
      <c r="E110" s="361"/>
      <c r="F110" s="362"/>
      <c r="G110" s="365"/>
    </row>
    <row r="111" ht="24.0" customHeight="1">
      <c r="A111" s="364"/>
      <c r="B111" s="359"/>
      <c r="C111" s="359"/>
      <c r="D111" s="369"/>
      <c r="E111" s="361"/>
      <c r="F111" s="365"/>
      <c r="G111" s="365"/>
    </row>
    <row r="112" ht="17.25" customHeight="1">
      <c r="A112" s="364"/>
      <c r="B112" s="359"/>
      <c r="C112" s="359"/>
      <c r="D112" s="369"/>
      <c r="E112" s="361"/>
      <c r="F112" s="365"/>
      <c r="G112" s="365"/>
    </row>
    <row r="113" ht="17.25" customHeight="1">
      <c r="A113" s="364"/>
      <c r="B113" s="359"/>
      <c r="C113" s="359"/>
      <c r="D113" s="369"/>
      <c r="E113" s="361"/>
      <c r="F113" s="365"/>
      <c r="G113" s="365"/>
    </row>
    <row r="114" ht="17.25" customHeight="1">
      <c r="A114" s="364"/>
      <c r="B114" s="359"/>
      <c r="C114" s="359"/>
      <c r="D114" s="369"/>
      <c r="E114" s="361"/>
      <c r="F114" s="365"/>
      <c r="G114" s="365"/>
    </row>
    <row r="115" ht="17.25" customHeight="1">
      <c r="A115" s="370"/>
      <c r="B115" s="359"/>
      <c r="C115" s="359"/>
      <c r="D115" s="369"/>
      <c r="E115" s="361"/>
      <c r="F115" s="365"/>
      <c r="G115" s="365"/>
    </row>
    <row r="116" ht="17.25" customHeight="1">
      <c r="A116" s="370"/>
      <c r="B116" s="359"/>
      <c r="C116" s="359"/>
      <c r="D116" s="369"/>
      <c r="E116" s="361"/>
      <c r="F116" s="365"/>
      <c r="G116" s="365"/>
    </row>
    <row r="117" ht="17.25" customHeight="1">
      <c r="A117" s="370"/>
      <c r="B117" s="371"/>
      <c r="C117" s="371"/>
      <c r="D117" s="372"/>
      <c r="E117" s="373"/>
      <c r="F117" s="374"/>
      <c r="G117" s="374"/>
    </row>
    <row r="118" ht="17.25" customHeight="1">
      <c r="A118" s="375" t="s">
        <v>1850</v>
      </c>
      <c r="B118" s="359"/>
      <c r="C118" s="359">
        <v>1715.0</v>
      </c>
      <c r="D118" s="369">
        <v>45978.0</v>
      </c>
      <c r="E118" s="361" t="s">
        <v>1731</v>
      </c>
      <c r="F118" s="365"/>
      <c r="G118" s="365"/>
    </row>
    <row r="119" ht="17.25" customHeight="1">
      <c r="A119" s="376" t="s">
        <v>1851</v>
      </c>
      <c r="B119" s="359"/>
      <c r="C119" s="359">
        <v>450.0</v>
      </c>
      <c r="D119" s="369">
        <v>45960.0</v>
      </c>
      <c r="E119" s="361" t="s">
        <v>1731</v>
      </c>
      <c r="F119" s="365"/>
      <c r="G119" s="365"/>
    </row>
    <row r="120" ht="17.25" customHeight="1">
      <c r="A120" s="376" t="s">
        <v>1852</v>
      </c>
      <c r="B120" s="359"/>
      <c r="C120" s="359">
        <v>610.0</v>
      </c>
      <c r="D120" s="369">
        <v>45955.0</v>
      </c>
      <c r="E120" s="361" t="s">
        <v>1731</v>
      </c>
      <c r="F120" s="365"/>
      <c r="G120" s="365"/>
    </row>
    <row r="121" ht="17.25" customHeight="1">
      <c r="A121" s="376" t="s">
        <v>1853</v>
      </c>
      <c r="B121" s="359"/>
      <c r="C121" s="359">
        <v>488.0</v>
      </c>
      <c r="D121" s="369">
        <v>45955.0</v>
      </c>
      <c r="E121" s="361" t="s">
        <v>1731</v>
      </c>
      <c r="F121" s="365"/>
      <c r="G121" s="365"/>
    </row>
    <row r="122" ht="17.25" customHeight="1">
      <c r="A122" s="376" t="s">
        <v>1854</v>
      </c>
      <c r="B122" s="359"/>
      <c r="C122" s="359">
        <v>610.0</v>
      </c>
      <c r="D122" s="369">
        <v>45955.0</v>
      </c>
      <c r="E122" s="361" t="s">
        <v>1731</v>
      </c>
      <c r="F122" s="365"/>
      <c r="G122" s="365"/>
    </row>
    <row r="123" ht="17.25" customHeight="1">
      <c r="A123" s="377" t="s">
        <v>1855</v>
      </c>
      <c r="B123" s="359"/>
      <c r="C123" s="359">
        <v>170.8</v>
      </c>
      <c r="D123" s="369">
        <v>45944.0</v>
      </c>
      <c r="E123" s="361" t="s">
        <v>1731</v>
      </c>
      <c r="F123" s="365"/>
      <c r="G123" s="365"/>
    </row>
    <row r="124" ht="17.25" customHeight="1">
      <c r="A124" s="377" t="s">
        <v>1856</v>
      </c>
      <c r="B124" s="359"/>
      <c r="C124" s="359">
        <v>201.3</v>
      </c>
      <c r="D124" s="369">
        <v>45952.0</v>
      </c>
      <c r="E124" s="361" t="s">
        <v>1731</v>
      </c>
      <c r="F124" s="365"/>
      <c r="G124" s="365"/>
    </row>
    <row r="125" ht="17.25" customHeight="1">
      <c r="A125" s="376" t="s">
        <v>1857</v>
      </c>
      <c r="B125" s="359"/>
      <c r="C125" s="359">
        <v>854.0</v>
      </c>
      <c r="D125" s="369">
        <v>45974.0</v>
      </c>
      <c r="E125" s="361" t="s">
        <v>1731</v>
      </c>
      <c r="F125" s="365"/>
      <c r="G125" s="365"/>
    </row>
    <row r="126" ht="17.25" customHeight="1">
      <c r="A126" s="376" t="s">
        <v>1858</v>
      </c>
      <c r="B126" s="359"/>
      <c r="C126" s="359">
        <v>610.0</v>
      </c>
      <c r="D126" s="369">
        <v>45974.0</v>
      </c>
      <c r="E126" s="361" t="s">
        <v>1731</v>
      </c>
      <c r="F126" s="365"/>
      <c r="G126" s="365"/>
    </row>
    <row r="127" ht="17.25" customHeight="1">
      <c r="A127" s="376" t="s">
        <v>1859</v>
      </c>
      <c r="B127" s="326"/>
      <c r="C127" s="325">
        <v>610.0</v>
      </c>
      <c r="D127" s="351">
        <v>45974.0</v>
      </c>
      <c r="E127" s="349" t="s">
        <v>1731</v>
      </c>
      <c r="F127" s="329"/>
      <c r="G127" s="365"/>
    </row>
    <row r="128" ht="17.25" customHeight="1">
      <c r="A128" s="377" t="s">
        <v>1860</v>
      </c>
      <c r="B128" s="359"/>
      <c r="C128" s="359">
        <v>244.0</v>
      </c>
      <c r="D128" s="369">
        <v>45959.0</v>
      </c>
      <c r="E128" s="361" t="s">
        <v>1731</v>
      </c>
      <c r="F128" s="365"/>
      <c r="G128" s="365"/>
    </row>
    <row r="129" ht="17.25" customHeight="1">
      <c r="A129" s="378" t="s">
        <v>1861</v>
      </c>
      <c r="B129" s="359"/>
      <c r="C129" s="359">
        <v>2318.0</v>
      </c>
      <c r="D129" s="369">
        <v>45960.0</v>
      </c>
      <c r="E129" s="361" t="s">
        <v>1731</v>
      </c>
      <c r="F129" s="365"/>
      <c r="G129" s="365"/>
    </row>
    <row r="130" ht="17.25" customHeight="1">
      <c r="A130" s="376" t="s">
        <v>1862</v>
      </c>
      <c r="B130" s="359"/>
      <c r="C130" s="359">
        <v>732.0</v>
      </c>
      <c r="D130" s="369">
        <v>45996.0</v>
      </c>
      <c r="E130" s="361" t="s">
        <v>1731</v>
      </c>
      <c r="F130" s="365"/>
      <c r="G130" s="365"/>
    </row>
    <row r="131" ht="17.25" customHeight="1">
      <c r="A131" s="376" t="s">
        <v>1863</v>
      </c>
      <c r="B131" s="359"/>
      <c r="C131" s="359">
        <v>549.0</v>
      </c>
      <c r="D131" s="369">
        <v>45996.0</v>
      </c>
      <c r="E131" s="361" t="s">
        <v>1731</v>
      </c>
      <c r="F131" s="365"/>
      <c r="G131" s="365"/>
    </row>
    <row r="132" ht="17.25" customHeight="1">
      <c r="A132" s="376" t="s">
        <v>1864</v>
      </c>
      <c r="B132" s="359"/>
      <c r="C132" s="359">
        <v>732.0</v>
      </c>
      <c r="D132" s="369">
        <v>45996.0</v>
      </c>
      <c r="E132" s="361" t="s">
        <v>1731</v>
      </c>
      <c r="F132" s="365"/>
      <c r="G132" s="365"/>
    </row>
    <row r="133" ht="17.25" customHeight="1">
      <c r="A133" s="376" t="s">
        <v>1865</v>
      </c>
      <c r="B133" s="359"/>
      <c r="C133" s="359">
        <v>732.0</v>
      </c>
      <c r="D133" s="369">
        <v>46009.0</v>
      </c>
      <c r="E133" s="361" t="s">
        <v>1731</v>
      </c>
      <c r="F133" s="365"/>
      <c r="G133" s="365"/>
    </row>
    <row r="134" ht="17.25" customHeight="1">
      <c r="A134" s="376" t="s">
        <v>1866</v>
      </c>
      <c r="B134" s="359"/>
      <c r="C134" s="359">
        <v>610.0</v>
      </c>
      <c r="D134" s="369">
        <v>46009.0</v>
      </c>
      <c r="E134" s="361" t="s">
        <v>1731</v>
      </c>
      <c r="F134" s="365"/>
      <c r="G134" s="365"/>
    </row>
    <row r="135" ht="17.25" customHeight="1">
      <c r="A135" s="376" t="s">
        <v>1867</v>
      </c>
      <c r="B135" s="359"/>
      <c r="C135" s="359">
        <v>405.0</v>
      </c>
      <c r="D135" s="369">
        <v>46009.0</v>
      </c>
      <c r="E135" s="361" t="s">
        <v>1731</v>
      </c>
      <c r="F135" s="365"/>
      <c r="G135" s="365"/>
    </row>
    <row r="136" ht="17.25" customHeight="1">
      <c r="A136" s="376" t="s">
        <v>1868</v>
      </c>
      <c r="B136" s="359"/>
      <c r="C136" s="359">
        <v>427.0</v>
      </c>
      <c r="D136" s="369">
        <v>46009.0</v>
      </c>
      <c r="E136" s="361" t="s">
        <v>1731</v>
      </c>
      <c r="F136" s="365"/>
      <c r="G136" s="365"/>
    </row>
    <row r="137" ht="17.25" customHeight="1">
      <c r="A137" s="376" t="s">
        <v>1869</v>
      </c>
      <c r="B137" s="359"/>
      <c r="C137" s="359">
        <v>1012.6</v>
      </c>
      <c r="D137" s="369">
        <v>46013.0</v>
      </c>
      <c r="E137" s="361" t="s">
        <v>1731</v>
      </c>
      <c r="F137" s="365"/>
      <c r="G137" s="365"/>
    </row>
    <row r="138" ht="17.25" customHeight="1">
      <c r="A138" s="376" t="s">
        <v>1870</v>
      </c>
      <c r="B138" s="359"/>
      <c r="C138" s="359">
        <v>829.6</v>
      </c>
      <c r="D138" s="369">
        <v>45694.0</v>
      </c>
      <c r="E138" s="361" t="s">
        <v>1731</v>
      </c>
      <c r="F138" s="365"/>
      <c r="G138" s="365"/>
    </row>
    <row r="139" ht="17.25" customHeight="1">
      <c r="A139" s="376" t="s">
        <v>1871</v>
      </c>
      <c r="B139" s="359"/>
      <c r="C139" s="359">
        <v>854.0</v>
      </c>
      <c r="D139" s="369">
        <v>46120.0</v>
      </c>
      <c r="E139" s="361" t="s">
        <v>1731</v>
      </c>
      <c r="F139" s="365"/>
      <c r="G139" s="365"/>
    </row>
    <row r="140" ht="17.25" customHeight="1">
      <c r="A140" s="376" t="s">
        <v>1872</v>
      </c>
      <c r="B140" s="359"/>
      <c r="C140" s="359">
        <v>488.0</v>
      </c>
      <c r="D140" s="369">
        <v>45694.0</v>
      </c>
      <c r="E140" s="361" t="s">
        <v>1731</v>
      </c>
      <c r="F140" s="365"/>
      <c r="G140" s="365"/>
    </row>
    <row r="141" ht="17.25" customHeight="1">
      <c r="A141" s="359" t="s">
        <v>1873</v>
      </c>
      <c r="B141" s="359"/>
      <c r="C141" s="359">
        <v>3873.5</v>
      </c>
      <c r="D141" s="369"/>
      <c r="E141" s="361" t="s">
        <v>1727</v>
      </c>
      <c r="F141" s="365"/>
      <c r="G141" s="365"/>
    </row>
    <row r="142" ht="17.25" customHeight="1">
      <c r="A142" s="376" t="s">
        <v>1874</v>
      </c>
      <c r="B142" s="359"/>
      <c r="C142" s="359">
        <v>610.0</v>
      </c>
      <c r="D142" s="369">
        <v>46120.0</v>
      </c>
      <c r="E142" s="361" t="s">
        <v>1731</v>
      </c>
      <c r="F142" s="365"/>
      <c r="G142" s="365"/>
    </row>
    <row r="143" ht="17.25" customHeight="1">
      <c r="A143" s="376" t="s">
        <v>1875</v>
      </c>
      <c r="B143" s="359"/>
      <c r="C143" s="359">
        <v>854.0</v>
      </c>
      <c r="D143" s="369">
        <v>46120.0</v>
      </c>
      <c r="E143" s="361" t="s">
        <v>1731</v>
      </c>
      <c r="F143" s="365"/>
      <c r="G143" s="365"/>
    </row>
    <row r="144" ht="17.25" customHeight="1">
      <c r="A144" s="370" t="s">
        <v>1876</v>
      </c>
      <c r="B144" s="359"/>
      <c r="C144" s="359">
        <v>922.32</v>
      </c>
      <c r="D144" s="369">
        <v>46080.0</v>
      </c>
      <c r="E144" s="361" t="s">
        <v>1731</v>
      </c>
      <c r="F144" s="365"/>
      <c r="G144" s="365"/>
    </row>
    <row r="145" ht="17.25" customHeight="1">
      <c r="A145" s="376" t="s">
        <v>1877</v>
      </c>
      <c r="B145" s="359"/>
      <c r="C145" s="359">
        <v>610.0</v>
      </c>
      <c r="D145" s="369">
        <v>46120.0</v>
      </c>
      <c r="E145" s="361" t="s">
        <v>1731</v>
      </c>
      <c r="F145" s="365"/>
      <c r="G145" s="365"/>
    </row>
    <row r="146" ht="17.25" customHeight="1">
      <c r="A146" s="376" t="s">
        <v>1878</v>
      </c>
      <c r="B146" s="359"/>
      <c r="C146" s="359">
        <v>732.0</v>
      </c>
      <c r="D146" s="369">
        <v>46120.0</v>
      </c>
      <c r="E146" s="361" t="s">
        <v>1731</v>
      </c>
      <c r="F146" s="365"/>
      <c r="G146" s="365"/>
    </row>
    <row r="147" ht="17.25" customHeight="1">
      <c r="A147" s="376" t="s">
        <v>1879</v>
      </c>
      <c r="B147" s="359"/>
      <c r="C147" s="359">
        <v>610.0</v>
      </c>
      <c r="D147" s="369"/>
      <c r="E147" s="361" t="s">
        <v>1727</v>
      </c>
      <c r="F147" s="365"/>
      <c r="G147" s="365"/>
    </row>
    <row r="148" ht="17.25" customHeight="1">
      <c r="A148" s="377" t="s">
        <v>1880</v>
      </c>
      <c r="B148" s="359"/>
      <c r="C148" s="359">
        <v>122.0</v>
      </c>
      <c r="D148" s="369">
        <v>46081.0</v>
      </c>
      <c r="E148" s="361" t="s">
        <v>1731</v>
      </c>
      <c r="F148" s="365"/>
      <c r="G148" s="365"/>
    </row>
    <row r="149" ht="17.25" customHeight="1">
      <c r="A149" s="377" t="s">
        <v>1881</v>
      </c>
      <c r="B149" s="359"/>
      <c r="C149" s="359">
        <v>122.0</v>
      </c>
      <c r="D149" s="369">
        <v>46081.0</v>
      </c>
      <c r="E149" s="361" t="s">
        <v>1731</v>
      </c>
      <c r="F149" s="365"/>
      <c r="G149" s="365"/>
    </row>
    <row r="150" ht="17.25" customHeight="1">
      <c r="A150" s="376" t="s">
        <v>1882</v>
      </c>
      <c r="B150" s="359"/>
      <c r="C150" s="359">
        <v>610.0</v>
      </c>
      <c r="D150" s="369"/>
      <c r="E150" s="361" t="s">
        <v>1727</v>
      </c>
      <c r="F150" s="365"/>
      <c r="G150" s="365"/>
    </row>
    <row r="151" ht="17.25" customHeight="1">
      <c r="A151" s="379" t="s">
        <v>1883</v>
      </c>
      <c r="B151" s="359"/>
      <c r="C151" s="359">
        <v>3715.0</v>
      </c>
      <c r="D151" s="369"/>
      <c r="E151" s="361" t="s">
        <v>1727</v>
      </c>
      <c r="F151" s="365"/>
      <c r="G151" s="365"/>
    </row>
    <row r="152" ht="17.25" customHeight="1">
      <c r="A152" s="376" t="s">
        <v>1884</v>
      </c>
      <c r="B152" s="359"/>
      <c r="C152" s="359">
        <v>1220.0</v>
      </c>
      <c r="D152" s="369"/>
      <c r="E152" s="361" t="s">
        <v>1727</v>
      </c>
      <c r="F152" s="365"/>
      <c r="G152" s="365"/>
    </row>
    <row r="153" ht="17.25" customHeight="1">
      <c r="A153" s="376" t="s">
        <v>1885</v>
      </c>
      <c r="B153" s="359"/>
      <c r="C153" s="359">
        <v>610.0</v>
      </c>
      <c r="D153" s="369"/>
      <c r="E153" s="361" t="s">
        <v>1727</v>
      </c>
      <c r="F153" s="365"/>
      <c r="G153" s="365"/>
    </row>
    <row r="154" ht="17.25" customHeight="1">
      <c r="A154" s="376" t="s">
        <v>1886</v>
      </c>
      <c r="B154" s="359"/>
      <c r="C154" s="359">
        <v>610.0</v>
      </c>
      <c r="D154" s="369"/>
      <c r="E154" s="361" t="s">
        <v>1727</v>
      </c>
      <c r="F154" s="365"/>
      <c r="G154" s="365"/>
    </row>
    <row r="155" ht="17.25" customHeight="1">
      <c r="A155" s="376" t="s">
        <v>1887</v>
      </c>
      <c r="B155" s="359"/>
      <c r="C155" s="359">
        <v>610.0</v>
      </c>
      <c r="D155" s="369"/>
      <c r="E155" s="361" t="s">
        <v>1727</v>
      </c>
      <c r="F155" s="365"/>
      <c r="G155" s="365"/>
    </row>
    <row r="156" ht="17.25" customHeight="1">
      <c r="A156" s="376" t="s">
        <v>1888</v>
      </c>
      <c r="B156" s="359"/>
      <c r="C156" s="359">
        <v>732.0</v>
      </c>
      <c r="D156" s="369"/>
      <c r="E156" s="361" t="s">
        <v>1727</v>
      </c>
      <c r="F156" s="365"/>
      <c r="G156" s="365"/>
    </row>
    <row r="157" ht="17.25" customHeight="1">
      <c r="A157" s="376" t="s">
        <v>1889</v>
      </c>
      <c r="B157" s="359"/>
      <c r="C157" s="359">
        <v>610.0</v>
      </c>
      <c r="D157" s="369"/>
      <c r="E157" s="361" t="s">
        <v>1727</v>
      </c>
      <c r="F157" s="365"/>
      <c r="G157" s="365"/>
    </row>
    <row r="158" ht="17.25" customHeight="1">
      <c r="A158" s="378"/>
      <c r="B158" s="359"/>
      <c r="C158" s="359"/>
      <c r="D158" s="369"/>
      <c r="E158" s="361"/>
      <c r="F158" s="365"/>
      <c r="G158" s="365"/>
    </row>
    <row r="159" ht="17.25" customHeight="1">
      <c r="A159" s="370"/>
      <c r="B159" s="359"/>
      <c r="C159" s="359"/>
      <c r="D159" s="369"/>
      <c r="E159" s="361"/>
      <c r="F159" s="365"/>
      <c r="G159" s="365"/>
    </row>
    <row r="160" ht="17.25" customHeight="1">
      <c r="A160" s="370"/>
      <c r="B160" s="359"/>
      <c r="C160" s="359"/>
      <c r="D160" s="369"/>
      <c r="E160" s="361"/>
      <c r="F160" s="365"/>
      <c r="G160" s="365"/>
    </row>
    <row r="161" ht="17.25" customHeight="1">
      <c r="A161" s="370"/>
      <c r="B161" s="359"/>
      <c r="C161" s="359"/>
      <c r="D161" s="369"/>
      <c r="E161" s="361"/>
      <c r="F161" s="365"/>
      <c r="G161" s="365"/>
    </row>
    <row r="162" ht="17.25" customHeight="1">
      <c r="A162" s="370"/>
      <c r="B162" s="359"/>
      <c r="C162" s="359"/>
      <c r="D162" s="369"/>
      <c r="E162" s="373"/>
      <c r="F162" s="365"/>
      <c r="G162" s="365"/>
    </row>
    <row r="163" ht="21.0" customHeight="1">
      <c r="A163" s="380" t="s">
        <v>1890</v>
      </c>
      <c r="B163" s="380"/>
      <c r="C163" s="380"/>
      <c r="D163" s="380"/>
      <c r="E163" s="381"/>
      <c r="F163" s="380"/>
      <c r="G163" s="380"/>
    </row>
    <row r="164">
      <c r="A164" s="382"/>
      <c r="B164" s="383"/>
      <c r="C164" s="383"/>
      <c r="D164" s="384"/>
      <c r="E164" s="385"/>
      <c r="F164" s="386"/>
      <c r="G164" s="386"/>
    </row>
    <row r="165">
      <c r="A165" s="370"/>
      <c r="B165" s="387"/>
      <c r="C165" s="359"/>
      <c r="D165" s="369"/>
      <c r="E165" s="388"/>
      <c r="F165" s="370"/>
      <c r="G165" s="370"/>
    </row>
    <row r="166">
      <c r="A166" s="370"/>
      <c r="B166" s="389"/>
      <c r="C166" s="359"/>
      <c r="D166" s="369"/>
      <c r="E166" s="388"/>
      <c r="F166" s="370"/>
      <c r="G166" s="370"/>
    </row>
    <row r="167">
      <c r="A167" s="382" t="s">
        <v>1891</v>
      </c>
      <c r="B167" s="390"/>
      <c r="C167" s="383">
        <v>46250.0</v>
      </c>
      <c r="D167" s="384"/>
      <c r="E167" s="385"/>
      <c r="F167" s="386" t="s">
        <v>1892</v>
      </c>
      <c r="G167" s="386"/>
    </row>
    <row r="168">
      <c r="A168" s="382"/>
      <c r="B168" s="390"/>
      <c r="C168" s="383"/>
      <c r="D168" s="384"/>
      <c r="E168" s="385"/>
      <c r="F168" s="386"/>
      <c r="G168" s="386"/>
    </row>
    <row r="169">
      <c r="A169" s="382"/>
      <c r="B169" s="383"/>
      <c r="C169" s="383"/>
      <c r="D169" s="391"/>
      <c r="E169" s="392"/>
      <c r="F169" s="393"/>
      <c r="G169" s="393"/>
    </row>
    <row r="170">
      <c r="A170" s="394" t="s">
        <v>1893</v>
      </c>
      <c r="B170" s="395"/>
      <c r="C170" s="395"/>
      <c r="D170" s="395"/>
      <c r="E170" s="381"/>
      <c r="F170" s="395"/>
      <c r="G170" s="396"/>
    </row>
    <row r="171">
      <c r="A171" s="397" t="s">
        <v>1894</v>
      </c>
      <c r="B171" s="398"/>
      <c r="C171" s="359"/>
      <c r="D171" s="369"/>
      <c r="E171" s="399"/>
      <c r="F171" s="400"/>
      <c r="G171" s="400"/>
    </row>
    <row r="172">
      <c r="A172" s="401" t="str">
        <f>IFERROR(__xludf.DUMMYFUNCTION("IMPORTRANGE(""https://docs.google.com/spreadsheets/d/1txahIWzNOntg_1XpOyk7PsbFz9ahy5Ji5MpneCelSQ8/edit?gid=1260708958#gid=1260708958"",""compensi!F1"")"),"SETTEMBRE 2024")</f>
        <v>SETTEMBRE 2024</v>
      </c>
      <c r="B172" s="402">
        <f>IFERROR(__xludf.DUMMYFUNCTION("IMPORTRANGE(""https://docs.google.com/spreadsheets/d/1eVMJAYC1nUodUE2IU0CAhgCIeOF_MGyxgPJL2Tt4g3E/edit?gid=1260708958#gid=1260708958"",""compensi!F122"")"),-56873.80999999999)</f>
        <v>-56873.81</v>
      </c>
      <c r="C172" s="359" t="s">
        <v>1895</v>
      </c>
      <c r="D172" s="369"/>
      <c r="E172" s="399"/>
      <c r="F172" s="400"/>
      <c r="G172" s="400"/>
    </row>
    <row r="173">
      <c r="A173" s="401" t="str">
        <f>IFERROR(__xludf.DUMMYFUNCTION("IMPORTRANGE(""https://docs.google.com/spreadsheets/d/1txahIWzNOntg_1XpOyk7PsbFz9ahy5Ji5MpneCelSQ8/edit?gid=1260708958#gid=1260708958"",""compensi!H1"")"),"OTTOBRE 2024")</f>
        <v>OTTOBRE 2024</v>
      </c>
      <c r="B173" s="402">
        <f>IFERROR(__xludf.DUMMYFUNCTION("IMPORTRANGE(""https://docs.google.com/spreadsheets/d/1eVMJAYC1nUodUE2IU0CAhgCIeOF_MGyxgPJL2Tt4g3E/edit?gid=1260708958#gid=1260708958"",""compensi!H122"")"),-72490.45999999999)</f>
        <v>-72490.46</v>
      </c>
      <c r="C173" s="359" t="s">
        <v>1896</v>
      </c>
      <c r="D173" s="403"/>
      <c r="E173" s="399"/>
      <c r="F173" s="400"/>
      <c r="G173" s="400"/>
    </row>
    <row r="174">
      <c r="A174" s="401" t="str">
        <f>IFERROR(__xludf.DUMMYFUNCTION("IMPORTRANGE(""https://docs.google.com/spreadsheets/d/1txahIWzNOntg_1XpOyk7PsbFz9ahy5Ji5MpneCelSQ8/edit?gid=1260708958#gid=1260708958"",""compensi!J1"")"),"NOVEMBRE 2024")</f>
        <v>NOVEMBRE 2024</v>
      </c>
      <c r="B174" s="402">
        <f>IFERROR(__xludf.DUMMYFUNCTION("IMPORTRANGE(""https://docs.google.com/spreadsheets/d/1eVMJAYC1nUodUE2IU0CAhgCIeOF_MGyxgPJL2Tt4g3E/edit?gid=1260708958#gid=1260708958"",""compensi!J122"")"),-72593.24)</f>
        <v>-72593.24</v>
      </c>
      <c r="C174" s="359" t="s">
        <v>1897</v>
      </c>
      <c r="D174" s="369"/>
      <c r="F174" s="400"/>
      <c r="G174" s="400"/>
    </row>
    <row r="175">
      <c r="A175" s="401" t="str">
        <f>IFERROR(__xludf.DUMMYFUNCTION("IMPORTRANGE(""https://docs.google.com/spreadsheets/d/1txahIWzNOntg_1XpOyk7PsbFz9ahy5Ji5MpneCelSQ8/edit?gid=1260708958#gid=1260708958"",""compensi!L1"")"),"DICEMBRE 2024")</f>
        <v>DICEMBRE 2024</v>
      </c>
      <c r="B175" s="402">
        <f>IFERROR(__xludf.DUMMYFUNCTION("IMPORTRANGE(""https://docs.google.com/spreadsheets/d/1eVMJAYC1nUodUE2IU0CAhgCIeOF_MGyxgPJL2Tt4g3E/edit?gid=1260708958#gid=1260708958"",""compensi!L122"")"),-57520.329999999994)</f>
        <v>-57520.33</v>
      </c>
      <c r="C175" s="359" t="s">
        <v>1898</v>
      </c>
      <c r="D175" s="369"/>
      <c r="E175" s="399"/>
      <c r="F175" s="400"/>
      <c r="G175" s="400"/>
    </row>
    <row r="176">
      <c r="A176" s="401" t="str">
        <f>IFERROR(__xludf.DUMMYFUNCTION("IMPORTRANGE(""https://docs.google.com/spreadsheets/d/1txahIWzNOntg_1XpOyk7PsbFz9ahy5Ji5MpneCelSQ8/edit?gid=1260708958#gid=1260708958"",""compensi!N1"")"),"GENNAIO 2025")</f>
        <v>GENNAIO 2025</v>
      </c>
      <c r="B176" s="402">
        <f>IFERROR(__xludf.DUMMYFUNCTION("IMPORTRANGE(""https://docs.google.com/spreadsheets/d/1eVMJAYC1nUodUE2IU0CAhgCIeOF_MGyxgPJL2Tt4g3E/edit?gid=1260708958#gid=1260708958"",""compensi!N122"")"),-61037.27)</f>
        <v>-61037.27</v>
      </c>
      <c r="C176" s="359" t="s">
        <v>1899</v>
      </c>
      <c r="D176" s="369"/>
      <c r="E176" s="399"/>
      <c r="F176" s="400"/>
      <c r="G176" s="400"/>
    </row>
    <row r="177">
      <c r="A177" s="401" t="str">
        <f>IFERROR(__xludf.DUMMYFUNCTION("IMPORTRANGE(""https://docs.google.com/spreadsheets/d/1txahIWzNOntg_1XpOyk7PsbFz9ahy5Ji5MpneCelSQ8/edit?gid=1260708958#gid=1260708958"",""compensi!P1"")"),"FEBBRAIO 2025")</f>
        <v>FEBBRAIO 2025</v>
      </c>
      <c r="B177" s="402">
        <f>IFERROR(__xludf.DUMMYFUNCTION("IMPORTRANGE(""https://docs.google.com/spreadsheets/d/1eVMJAYC1nUodUE2IU0CAhgCIeOF_MGyxgPJL2Tt4g3E/edit?gid=1260708958#gid=1260708958"",""compensi!P122"")"),-71226.31)</f>
        <v>-71226.31</v>
      </c>
      <c r="C177" s="359"/>
      <c r="D177" s="369"/>
      <c r="E177" s="399"/>
      <c r="F177" s="400"/>
      <c r="G177" s="400"/>
    </row>
    <row r="178">
      <c r="A178" s="401" t="str">
        <f>IFERROR(__xludf.DUMMYFUNCTION("IMPORTRANGE(""https://docs.google.com/spreadsheets/d/1txahIWzNOntg_1XpOyk7PsbFz9ahy5Ji5MpneCelSQ8/edit?gid=1260708958#gid=1260708958"",""compensi!R1"")"),"MARZO 2025")</f>
        <v>MARZO 2025</v>
      </c>
      <c r="B178" s="402">
        <f>IFERROR(__xludf.DUMMYFUNCTION("IMPORTRANGE(""https://docs.google.com/spreadsheets/d/1eVMJAYC1nUodUE2IU0CAhgCIeOF_MGyxgPJL2Tt4g3E/edit?gid=1260708958#gid=1260708958"",""compensi!R122"")"),-71309.97)</f>
        <v>-71309.97</v>
      </c>
      <c r="C178" s="359"/>
      <c r="D178" s="369"/>
      <c r="E178" s="399"/>
      <c r="F178" s="400"/>
      <c r="G178" s="400"/>
    </row>
    <row r="179">
      <c r="A179" s="401" t="str">
        <f>IFERROR(__xludf.DUMMYFUNCTION("IMPORTRANGE(""https://docs.google.com/spreadsheets/d/1txahIWzNOntg_1XpOyk7PsbFz9ahy5Ji5MpneCelSQ8/edit?gid=1260708958#gid=1260708958"",""compensi!T1"")"),"APRILE 2025")</f>
        <v>APRILE 2025</v>
      </c>
      <c r="B179" s="402">
        <f>IFERROR(__xludf.DUMMYFUNCTION("IMPORTRANGE(""https://docs.google.com/spreadsheets/d/1eVMJAYC1nUodUE2IU0CAhgCIeOF_MGyxgPJL2Tt4g3E/edit?gid=1260708958#gid=1260708958"",""compensi!T122"")"),0.0)</f>
        <v>0</v>
      </c>
      <c r="C179" s="359"/>
      <c r="D179" s="369"/>
      <c r="E179" s="399"/>
      <c r="F179" s="400"/>
      <c r="G179" s="400"/>
    </row>
    <row r="180">
      <c r="A180" s="401" t="str">
        <f>IFERROR(__xludf.DUMMYFUNCTION("IMPORTRANGE(""https://docs.google.com/spreadsheets/d/1txahIWzNOntg_1XpOyk7PsbFz9ahy5Ji5MpneCelSQ8/edit?gid=1260708958#gid=1260708958"",""compensi!V1"")"),"MAGGIO 2025")</f>
        <v>MAGGIO 2025</v>
      </c>
      <c r="B180" s="402">
        <f>IFERROR(__xludf.DUMMYFUNCTION("IMPORTRANGE(""https://docs.google.com/spreadsheets/d/1eVMJAYC1nUodUE2IU0CAhgCIeOF_MGyxgPJL2Tt4g3E/edit?gid=1260708958#gid=1260708958"",""compensi!V122"")"),0.0)</f>
        <v>0</v>
      </c>
      <c r="C180" s="359"/>
      <c r="D180" s="369"/>
      <c r="E180" s="399"/>
      <c r="F180" s="400"/>
      <c r="G180" s="400"/>
    </row>
    <row r="181">
      <c r="A181" s="401" t="str">
        <f>IFERROR(__xludf.DUMMYFUNCTION("IMPORTRANGE(""https://docs.google.com/spreadsheets/d/1txahIWzNOntg_1XpOyk7PsbFz9ahy5Ji5MpneCelSQ8/edit?gid=1260708958#gid=1260708958"",""compensi!X1"")"),"GIUGNO 2025")</f>
        <v>GIUGNO 2025</v>
      </c>
      <c r="B181" s="402">
        <f>IFERROR(__xludf.DUMMYFUNCTION("IMPORTRANGE(""https://docs.google.com/spreadsheets/d/1eVMJAYC1nUodUE2IU0CAhgCIeOF_MGyxgPJL2Tt4g3E/edit?gid=1260708958#gid=1260708958"",""compensi!X122"")"),0.0)</f>
        <v>0</v>
      </c>
      <c r="C181" s="359"/>
      <c r="D181" s="369"/>
      <c r="E181" s="399"/>
      <c r="F181" s="400"/>
      <c r="G181" s="400"/>
    </row>
    <row r="182">
      <c r="A182" s="401" t="str">
        <f>IFERROR(__xludf.DUMMYFUNCTION("IMPORTRANGE(""https://docs.google.com/spreadsheets/d/1txahIWzNOntg_1XpOyk7PsbFz9ahy5Ji5MpneCelSQ8/edit?gid=1260708958#gid=1260708958"",""compensi!Z1"")"),"LUGLIO 2025")</f>
        <v>LUGLIO 2025</v>
      </c>
      <c r="B182" s="402">
        <f>IFERROR(__xludf.DUMMYFUNCTION("IMPORTRANGE(""https://docs.google.com/spreadsheets/d/1eVMJAYC1nUodUE2IU0CAhgCIeOF_MGyxgPJL2Tt4g3E/edit?gid=1260708958#gid=1260708958"",""compensi!Z122"")"),0.0)</f>
        <v>0</v>
      </c>
      <c r="C182" s="359"/>
      <c r="D182" s="369"/>
      <c r="E182" s="399"/>
      <c r="F182" s="400"/>
      <c r="G182" s="400"/>
    </row>
    <row r="183">
      <c r="A183" s="404" t="str">
        <f>IFERROR(__xludf.DUMMYFUNCTION("IMPORTRANGE(""https://docs.google.com/spreadsheets/d/1txahIWzNOntg_1XpOyk7PsbFz9ahy5Ji5MpneCelSQ8/edit?gid=1260708958#gid=1260708958"",""compensi!AB1"")"),"AGOSTO 2025")</f>
        <v>AGOSTO 2025</v>
      </c>
      <c r="B183" s="405">
        <f>IFERROR(__xludf.DUMMYFUNCTION("IMPORTRANGE(""https://docs.google.com/spreadsheets/d/1eVMJAYC1nUodUE2IU0CAhgCIeOF_MGyxgPJL2Tt4g3E/edit?gid=1260708958#gid=1260708958"",""compensi!AB122"")"),0.0)</f>
        <v>0</v>
      </c>
      <c r="C183" s="359"/>
      <c r="D183" s="369"/>
      <c r="E183" s="406"/>
      <c r="F183" s="400"/>
      <c r="G183" s="407"/>
    </row>
    <row r="184">
      <c r="A184" s="408" t="s">
        <v>1697</v>
      </c>
      <c r="B184" s="409">
        <f t="shared" ref="B184:C184" si="1">SUM(B4:B183)</f>
        <v>-232408.33</v>
      </c>
      <c r="C184" s="409">
        <f t="shared" si="1"/>
        <v>79675.12</v>
      </c>
      <c r="D184" s="410"/>
      <c r="E184" s="411"/>
      <c r="F184" s="412"/>
      <c r="G184" s="412"/>
    </row>
    <row r="185">
      <c r="A185" s="413"/>
      <c r="B185" s="414"/>
      <c r="C185" s="414"/>
      <c r="D185" s="415"/>
      <c r="E185" s="416"/>
      <c r="F185" s="416"/>
      <c r="G185" s="416"/>
    </row>
    <row r="186">
      <c r="A186" s="413"/>
      <c r="B186" s="414"/>
      <c r="C186" s="414"/>
      <c r="D186" s="415"/>
      <c r="E186" s="416"/>
      <c r="F186" s="416"/>
      <c r="G186" s="416"/>
    </row>
    <row r="187">
      <c r="A187" s="413"/>
      <c r="B187" s="414"/>
      <c r="C187" s="414"/>
      <c r="D187" s="415"/>
      <c r="E187" s="416"/>
      <c r="F187" s="416"/>
      <c r="G187" s="416"/>
    </row>
  </sheetData>
  <mergeCells count="2">
    <mergeCell ref="A1:A2"/>
    <mergeCell ref="A171:B171"/>
  </mergeCells>
  <conditionalFormatting sqref="B172:B183">
    <cfRule type="cellIs" dxfId="2" priority="1" operator="greaterThan">
      <formula>0</formula>
    </cfRule>
  </conditionalFormatting>
  <conditionalFormatting sqref="B172:B183">
    <cfRule type="cellIs" dxfId="3" priority="2" operator="lessThanOrEqual">
      <formula>0</formula>
    </cfRule>
  </conditionalFormatting>
  <conditionalFormatting sqref="A4:G162">
    <cfRule type="expression" dxfId="2" priority="3">
      <formula>$E4="PAGARE URGENTE"</formula>
    </cfRule>
  </conditionalFormatting>
  <conditionalFormatting sqref="A4:G162">
    <cfRule type="expression" dxfId="3" priority="4">
      <formula>$E4="PAGATO"</formula>
    </cfRule>
  </conditionalFormatting>
  <conditionalFormatting sqref="A4:G162">
    <cfRule type="expression" dxfId="4" priority="5">
      <formula>$E4="SOLLECITARE"</formula>
    </cfRule>
  </conditionalFormatting>
  <conditionalFormatting sqref="A4:G162">
    <cfRule type="expression" dxfId="5" priority="6">
      <formula>$E4="IN SCADENZA"</formula>
    </cfRule>
  </conditionalFormatting>
  <conditionalFormatting sqref="A4:G162">
    <cfRule type="expression" dxfId="6" priority="7">
      <formula>$E4="ERRORE"</formula>
    </cfRule>
  </conditionalFormatting>
  <conditionalFormatting sqref="A4:G162">
    <cfRule type="expression" dxfId="7" priority="8">
      <formula>$E4="COMMENTO"</formula>
    </cfRule>
  </conditionalFormatting>
  <conditionalFormatting sqref="A4:G162">
    <cfRule type="expression" dxfId="8" priority="9">
      <formula>$E4="CONTROLLARE"</formula>
    </cfRule>
  </conditionalFormatting>
  <conditionalFormatting sqref="A4:G162">
    <cfRule type="expression" dxfId="9" priority="10">
      <formula>$E4="INCASSATO"</formula>
    </cfRule>
  </conditionalFormatting>
  <conditionalFormatting sqref="A4:G162">
    <cfRule type="expression" dxfId="10" priority="11">
      <formula>$E4="DA PAGARE"</formula>
    </cfRule>
  </conditionalFormatting>
  <conditionalFormatting sqref="A4:G162">
    <cfRule type="expression" dxfId="11" priority="12">
      <formula>$E4="IN ATTESA"</formula>
    </cfRule>
  </conditionalFormatting>
  <dataValidations>
    <dataValidation type="list" allowBlank="1" showInputMessage="1" showErrorMessage="1" prompt="Fai clic e immetti un valore dall'elenco di elementi" sqref="E4:E162">
      <formula1>"PAGATO,PAGARE URGENTE,INCASSATO,CONTROLLARE,COMMENTO,SOLLECITARE,IN SCADENZA,ERRORE,DA PAGARE,IN ATTESA,CANCELLATO"</formula1>
    </dataValidation>
  </dataValidations>
  <hyperlinks>
    <hyperlink r:id="rId4" location="gid=1260708958" ref="A171"/>
  </hyperlinks>
  <drawing r:id="rId5"/>
  <legacy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pageSetUpPr fitToPage="1"/>
  </sheetPr>
  <sheetViews>
    <sheetView workbookViewId="0">
      <pane ySplit="2.0" topLeftCell="A3" activePane="bottomLeft" state="frozen"/>
      <selection activeCell="B4" sqref="B4" pane="bottomLeft"/>
    </sheetView>
  </sheetViews>
  <sheetFormatPr customHeight="1" defaultColWidth="17.29" defaultRowHeight="15.0"/>
  <cols>
    <col customWidth="1" min="1" max="3" width="24.86"/>
    <col customWidth="1" min="4" max="4" width="52.71"/>
    <col customWidth="1" min="5" max="5" width="72.29"/>
    <col customWidth="1" min="6" max="6" width="28.43"/>
    <col customWidth="1" min="7" max="7" width="33.14"/>
    <col customWidth="1" min="8" max="9" width="42.0"/>
  </cols>
  <sheetData>
    <row r="1">
      <c r="A1" s="417" t="s">
        <v>1900</v>
      </c>
      <c r="E1" s="418" t="s">
        <v>1901</v>
      </c>
      <c r="F1" s="419" t="s">
        <v>1902</v>
      </c>
      <c r="G1" s="420" t="s">
        <v>1903</v>
      </c>
      <c r="H1" s="421" t="s">
        <v>1727</v>
      </c>
      <c r="I1" s="422"/>
    </row>
    <row r="2">
      <c r="A2" s="423" t="s">
        <v>1904</v>
      </c>
      <c r="B2" s="322" t="s">
        <v>1905</v>
      </c>
      <c r="C2" s="322" t="s">
        <v>1906</v>
      </c>
      <c r="D2" s="424" t="s">
        <v>1735</v>
      </c>
      <c r="E2" s="424" t="s">
        <v>1740</v>
      </c>
      <c r="F2" s="425" t="s">
        <v>1907</v>
      </c>
      <c r="G2" s="322" t="s">
        <v>1908</v>
      </c>
      <c r="H2" s="322" t="s">
        <v>1909</v>
      </c>
      <c r="I2" s="322" t="s">
        <v>1910</v>
      </c>
    </row>
    <row r="3">
      <c r="A3" s="426">
        <v>46090.0</v>
      </c>
      <c r="B3" s="427">
        <v>0.5833333333333334</v>
      </c>
      <c r="C3" s="428" t="str">
        <f t="shared" ref="C3:C36" si="1">D3 &amp; " " &amp; E3</f>
        <v>fattura Isabel, Seabra (solostage) emettere fattura fine mese di 500€ (lei pagherà in contanti acconto 700€ e saldo 600€)</v>
      </c>
      <c r="D3" s="429" t="s">
        <v>1911</v>
      </c>
      <c r="E3" s="430" t="s">
        <v>1912</v>
      </c>
      <c r="F3" s="431" t="s">
        <v>1913</v>
      </c>
      <c r="G3" s="430" t="s">
        <v>1914</v>
      </c>
      <c r="H3" s="430"/>
      <c r="I3" s="430"/>
    </row>
    <row r="4">
      <c r="A4" s="432">
        <v>46063.0</v>
      </c>
      <c r="B4" s="433">
        <v>0.375</v>
      </c>
      <c r="C4" s="428" t="str">
        <f t="shared" si="1"/>
        <v>fare verbali </v>
      </c>
      <c r="D4" s="434" t="s">
        <v>1915</v>
      </c>
      <c r="E4" s="434"/>
      <c r="F4" s="431" t="s">
        <v>1916</v>
      </c>
      <c r="G4" s="435" t="s">
        <v>1917</v>
      </c>
      <c r="H4" s="430"/>
      <c r="I4" s="430"/>
    </row>
    <row r="5">
      <c r="A5" s="426">
        <v>46063.0</v>
      </c>
      <c r="B5" s="433">
        <v>0.375</v>
      </c>
      <c r="C5" s="428" t="str">
        <f t="shared" si="1"/>
        <v>fattura MODULO PROJECT emettere fattura mensile: affitto sale  5000€ + iva</v>
      </c>
      <c r="D5" s="430" t="s">
        <v>1918</v>
      </c>
      <c r="E5" s="435" t="s">
        <v>1919</v>
      </c>
      <c r="F5" s="431" t="s">
        <v>1920</v>
      </c>
      <c r="G5" s="430" t="s">
        <v>1914</v>
      </c>
      <c r="H5" s="430"/>
      <c r="I5" s="430"/>
    </row>
    <row r="6">
      <c r="A6" s="426">
        <v>46063.0</v>
      </c>
      <c r="B6" s="433">
        <v>0.4166666666666667</v>
      </c>
      <c r="C6" s="428" t="str">
        <f t="shared" si="1"/>
        <v>Ariete Pulizie controllare di avere DURC aggiornato</v>
      </c>
      <c r="D6" s="436" t="s">
        <v>1921</v>
      </c>
      <c r="E6" s="429" t="s">
        <v>1922</v>
      </c>
      <c r="F6" s="437" t="s">
        <v>1923</v>
      </c>
      <c r="G6" s="430" t="s">
        <v>1914</v>
      </c>
      <c r="H6" s="430"/>
      <c r="I6" s="430"/>
    </row>
    <row r="7">
      <c r="A7" s="426">
        <v>46063.0</v>
      </c>
      <c r="B7" s="433">
        <v>0.4166666666666667</v>
      </c>
      <c r="C7" s="428" t="str">
        <f t="shared" si="1"/>
        <v>archiviare su drive i cedolini dipendenti  Divisi per mese e per stagione ( verificare dal 21-22 in poi ) che tutte le cartelle siano piene </v>
      </c>
      <c r="D7" s="435" t="s">
        <v>1924</v>
      </c>
      <c r="E7" s="438" t="s">
        <v>1925</v>
      </c>
      <c r="F7" s="439" t="s">
        <v>1926</v>
      </c>
      <c r="G7" s="430" t="s">
        <v>1914</v>
      </c>
      <c r="H7" s="440" t="s">
        <v>1927</v>
      </c>
      <c r="I7" s="440"/>
    </row>
    <row r="8">
      <c r="A8" s="426">
        <v>46063.0</v>
      </c>
      <c r="B8" s="433">
        <v>0.375</v>
      </c>
      <c r="C8" s="428" t="str">
        <f t="shared" si="1"/>
        <v>fattura Dott. Nella, Dott. Nisi e Arguello  emettere fattura mensile: numero di visite moltiplicate per 10€ + Iva</v>
      </c>
      <c r="D8" s="435" t="s">
        <v>1928</v>
      </c>
      <c r="E8" s="430" t="s">
        <v>1929</v>
      </c>
      <c r="F8" s="431" t="s">
        <v>1930</v>
      </c>
      <c r="G8" s="430" t="s">
        <v>1914</v>
      </c>
      <c r="H8" s="441" t="s">
        <v>1931</v>
      </c>
      <c r="I8" s="441"/>
    </row>
    <row r="9">
      <c r="A9" s="426">
        <v>46063.0</v>
      </c>
      <c r="B9" s="433">
        <v>0.5</v>
      </c>
      <c r="C9" s="428" t="str">
        <f t="shared" si="1"/>
        <v>protocollare fatture nella cartella del commercialista controllare da settembre ad oggi</v>
      </c>
      <c r="D9" s="436" t="s">
        <v>1932</v>
      </c>
      <c r="E9" s="429" t="s">
        <v>1933</v>
      </c>
      <c r="F9" s="437" t="s">
        <v>1934</v>
      </c>
      <c r="G9" s="430" t="s">
        <v>1914</v>
      </c>
      <c r="H9" s="430"/>
      <c r="I9" s="430"/>
    </row>
    <row r="10">
      <c r="A10" s="426">
        <v>46063.0</v>
      </c>
      <c r="B10" s="433">
        <v>0.375</v>
      </c>
      <c r="C10" s="428" t="str">
        <f t="shared" si="1"/>
        <v>aggiornare file delle immobilizzazioni materiali acquistate con relative garanzie </v>
      </c>
      <c r="D10" s="430" t="s">
        <v>1935</v>
      </c>
      <c r="E10" s="430"/>
      <c r="F10" s="431" t="s">
        <v>1936</v>
      </c>
      <c r="G10" s="430" t="s">
        <v>1914</v>
      </c>
      <c r="H10" s="441" t="s">
        <v>1937</v>
      </c>
      <c r="I10" s="441"/>
    </row>
    <row r="11">
      <c r="A11" s="426">
        <v>46063.0</v>
      </c>
      <c r="B11" s="433">
        <v>0.375</v>
      </c>
      <c r="C11" s="428" t="str">
        <f t="shared" si="1"/>
        <v>controllo estintori CEAM SRL chiamerà per controllo estintori (nuovo contratto)</v>
      </c>
      <c r="D11" s="435" t="s">
        <v>1938</v>
      </c>
      <c r="E11" s="435" t="s">
        <v>1939</v>
      </c>
      <c r="F11" s="431" t="s">
        <v>1940</v>
      </c>
      <c r="G11" s="430" t="s">
        <v>1914</v>
      </c>
      <c r="H11" s="442" t="s">
        <v>1941</v>
      </c>
      <c r="I11" s="435"/>
    </row>
    <row r="12">
      <c r="A12" s="426">
        <v>46070.0</v>
      </c>
      <c r="B12" s="433">
        <v>0.375</v>
      </c>
      <c r="C12" s="428" t="str">
        <f t="shared" si="1"/>
        <v>Trello  ricordarsi di ricaricare la carta soldo ( 2000 ) </v>
      </c>
      <c r="D12" s="435" t="s">
        <v>1942</v>
      </c>
      <c r="E12" s="435" t="s">
        <v>1943</v>
      </c>
      <c r="F12" s="431" t="s">
        <v>1944</v>
      </c>
      <c r="G12" s="435" t="s">
        <v>1914</v>
      </c>
      <c r="H12" s="442" t="s">
        <v>1945</v>
      </c>
      <c r="I12" s="430"/>
    </row>
    <row r="13">
      <c r="A13" s="426">
        <v>46081.0</v>
      </c>
      <c r="B13" s="433">
        <v>0.4166666666666667</v>
      </c>
      <c r="C13" s="428" t="str">
        <f t="shared" si="1"/>
        <v>rinnovare convenzioni e accordi accordi: Isabel, Zaccaria, Modulo, Filly </v>
      </c>
      <c r="D13" s="430" t="s">
        <v>1946</v>
      </c>
      <c r="E13" s="435" t="s">
        <v>1947</v>
      </c>
      <c r="F13" s="431" t="s">
        <v>1948</v>
      </c>
      <c r="G13" s="430" t="s">
        <v>1914</v>
      </c>
      <c r="H13" s="430"/>
      <c r="I13" s="430"/>
    </row>
    <row r="14" ht="26.25" customHeight="1">
      <c r="A14" s="426">
        <v>46172.0</v>
      </c>
      <c r="B14" s="433">
        <v>0.4583333333333333</v>
      </c>
      <c r="C14" s="428" t="str">
        <f t="shared" si="1"/>
        <v>rinnovo abbonamento Fiscosport </v>
      </c>
      <c r="D14" s="430" t="s">
        <v>1949</v>
      </c>
      <c r="E14" s="430"/>
      <c r="F14" s="431" t="s">
        <v>1950</v>
      </c>
      <c r="G14" s="430" t="s">
        <v>1914</v>
      </c>
      <c r="H14" s="442" t="s">
        <v>1951</v>
      </c>
      <c r="I14" s="435"/>
    </row>
    <row r="15">
      <c r="A15" s="426">
        <v>46078.0</v>
      </c>
      <c r="B15" s="433">
        <v>0.375</v>
      </c>
      <c r="C15" s="428" t="str">
        <f t="shared" si="1"/>
        <v>rinnovo affiliazione OPES e ENDAS verificare che venga sempre fatto</v>
      </c>
      <c r="D15" s="435" t="s">
        <v>1952</v>
      </c>
      <c r="E15" s="435" t="s">
        <v>1953</v>
      </c>
      <c r="F15" s="431" t="s">
        <v>1954</v>
      </c>
      <c r="G15" s="430" t="s">
        <v>1914</v>
      </c>
      <c r="H15" s="442" t="s">
        <v>1955</v>
      </c>
      <c r="I15" s="435"/>
    </row>
    <row r="16">
      <c r="A16" s="426">
        <v>46078.0</v>
      </c>
      <c r="B16" s="433">
        <v>0.4166666666666667</v>
      </c>
      <c r="C16" s="428" t="str">
        <f t="shared" si="1"/>
        <v>rinnovo affiliazione LIBERTAS </v>
      </c>
      <c r="D16" s="443" t="s">
        <v>1956</v>
      </c>
      <c r="E16" s="444"/>
      <c r="F16" s="445" t="s">
        <v>1957</v>
      </c>
      <c r="G16" s="430" t="s">
        <v>1914</v>
      </c>
      <c r="H16" s="442" t="s">
        <v>1958</v>
      </c>
      <c r="I16" s="435"/>
    </row>
    <row r="17">
      <c r="A17" s="426">
        <v>46078.0</v>
      </c>
      <c r="B17" s="433">
        <v>0.5</v>
      </c>
      <c r="C17" s="428" t="str">
        <f t="shared" si="1"/>
        <v>preparare lettere di incarico istruttori e collaboratori  dal 01/09 al 31/07   inviare tutte le ricevute via email </v>
      </c>
      <c r="D17" s="430" t="s">
        <v>1959</v>
      </c>
      <c r="E17" s="438" t="s">
        <v>1960</v>
      </c>
      <c r="F17" s="439" t="s">
        <v>1961</v>
      </c>
      <c r="G17" s="430" t="s">
        <v>1914</v>
      </c>
      <c r="H17" s="440" t="s">
        <v>1962</v>
      </c>
      <c r="I17" s="440"/>
    </row>
    <row r="18">
      <c r="A18" s="426">
        <v>46078.0</v>
      </c>
      <c r="B18" s="433">
        <v>0.5416666666666666</v>
      </c>
      <c r="C18" s="428" t="str">
        <f t="shared" si="1"/>
        <v>preparare lettere di incarico professionale dal 01/09 al 31/07 inviare tutte le ricevute via email </v>
      </c>
      <c r="D18" s="430" t="s">
        <v>1963</v>
      </c>
      <c r="E18" s="438" t="s">
        <v>1964</v>
      </c>
      <c r="F18" s="439" t="s">
        <v>1965</v>
      </c>
      <c r="G18" s="430" t="s">
        <v>1914</v>
      </c>
      <c r="H18" s="442" t="s">
        <v>1962</v>
      </c>
      <c r="I18" s="435"/>
    </row>
    <row r="19">
      <c r="A19" s="426">
        <v>46078.0</v>
      </c>
      <c r="B19" s="433">
        <v>0.375</v>
      </c>
      <c r="C19" s="428" t="str">
        <f t="shared" si="1"/>
        <v>controllo documentazione istruttori di ognuno dobbiamo avere in archivio: c.i. e c.f., dichiarazione firmata, diploma, tesserino CONI
caricare su Drive la scansione di tutti i documenti SEMPRE a inzio anno e durante</v>
      </c>
      <c r="D19" s="430" t="s">
        <v>1966</v>
      </c>
      <c r="E19" s="435" t="s">
        <v>1967</v>
      </c>
      <c r="F19" s="431" t="s">
        <v>1968</v>
      </c>
      <c r="G19" s="430" t="s">
        <v>1914</v>
      </c>
      <c r="H19" s="440" t="s">
        <v>1969</v>
      </c>
      <c r="I19" s="440"/>
    </row>
    <row r="20">
      <c r="A20" s="426">
        <v>46078.0</v>
      </c>
      <c r="B20" s="433">
        <v>0.4166666666666667</v>
      </c>
      <c r="C20" s="428" t="str">
        <f t="shared" si="1"/>
        <v>acquisto tessere assicurazione enti Libertas.endas,opes,figi,fids (Alexandra assegna i numeri ai tesserati)</v>
      </c>
      <c r="D20" s="435" t="s">
        <v>1970</v>
      </c>
      <c r="E20" s="435" t="s">
        <v>1971</v>
      </c>
      <c r="F20" s="431" t="s">
        <v>1972</v>
      </c>
      <c r="G20" s="430" t="s">
        <v>1914</v>
      </c>
      <c r="H20" s="442" t="s">
        <v>1973</v>
      </c>
      <c r="I20" s="435"/>
    </row>
    <row r="21">
      <c r="A21" s="426">
        <v>46078.0</v>
      </c>
      <c r="B21" s="433">
        <v>0.4166666666666667</v>
      </c>
      <c r="C21" s="428" t="str">
        <f t="shared" si="1"/>
        <v>controllo Defibrillatore  SUNNEXT SRL chiamerà per controllo defibrillatore (abbiamo un contratto)</v>
      </c>
      <c r="D21" s="435" t="s">
        <v>1974</v>
      </c>
      <c r="E21" s="435" t="s">
        <v>1975</v>
      </c>
      <c r="F21" s="431" t="s">
        <v>1976</v>
      </c>
      <c r="G21" s="430" t="s">
        <v>1914</v>
      </c>
      <c r="H21" s="442" t="s">
        <v>1977</v>
      </c>
      <c r="I21" s="435"/>
    </row>
    <row r="22">
      <c r="A22" s="426">
        <v>46388.0</v>
      </c>
      <c r="B22" s="433">
        <v>0.375</v>
      </c>
      <c r="C22" s="428" t="str">
        <f t="shared" si="1"/>
        <v>rinnovo abbonamento fatt elettronica aruba RINNOVO AUTOMATICO</v>
      </c>
      <c r="D22" s="430" t="s">
        <v>1978</v>
      </c>
      <c r="E22" s="430" t="s">
        <v>1979</v>
      </c>
      <c r="F22" s="431" t="s">
        <v>1980</v>
      </c>
      <c r="G22" s="430" t="s">
        <v>1914</v>
      </c>
      <c r="H22" s="442" t="s">
        <v>1981</v>
      </c>
      <c r="I22" s="435"/>
    </row>
    <row r="23">
      <c r="A23" s="426">
        <v>46398.0</v>
      </c>
      <c r="B23" s="433">
        <v>0.375</v>
      </c>
      <c r="C23" s="428" t="str">
        <f t="shared" si="1"/>
        <v>stampare aggiornamento certificato CONI scaricare dal RAS </v>
      </c>
      <c r="D23" s="430" t="s">
        <v>1982</v>
      </c>
      <c r="E23" s="435" t="s">
        <v>1983</v>
      </c>
      <c r="F23" s="431" t="s">
        <v>1984</v>
      </c>
      <c r="G23" s="430" t="s">
        <v>1914</v>
      </c>
      <c r="H23" s="442" t="s">
        <v>1985</v>
      </c>
      <c r="I23" s="435"/>
    </row>
    <row r="24">
      <c r="A24" s="432">
        <v>46065.0</v>
      </c>
      <c r="B24" s="433">
        <v>0.375</v>
      </c>
      <c r="C24" s="428" t="str">
        <f t="shared" si="1"/>
        <v>CAMPAGNA SU FB Periodicamente Massi dovà inviare ad amministrazione le fatture di riferimento per ogni campagna fatta e finita… Controllare sempre il credito su PostePay che non dovrà mai scendere sotto i 300euro</v>
      </c>
      <c r="D24" s="436" t="s">
        <v>1986</v>
      </c>
      <c r="E24" s="436" t="s">
        <v>1987</v>
      </c>
      <c r="F24" s="446" t="s">
        <v>1988</v>
      </c>
      <c r="G24" s="430" t="s">
        <v>1914</v>
      </c>
      <c r="H24" s="430"/>
      <c r="I24" s="430"/>
    </row>
    <row r="25">
      <c r="A25" s="432">
        <v>46083.0</v>
      </c>
      <c r="B25" s="433">
        <v>0.4166666666666667</v>
      </c>
      <c r="C25" s="428" t="str">
        <f t="shared" si="1"/>
        <v>Credito Sportivo ( ICS)  rid automatico</v>
      </c>
      <c r="D25" s="447" t="s">
        <v>1989</v>
      </c>
      <c r="E25" s="448" t="s">
        <v>1990</v>
      </c>
      <c r="F25" s="449" t="s">
        <v>1991</v>
      </c>
      <c r="G25" s="430" t="s">
        <v>1914</v>
      </c>
      <c r="H25" s="450" t="s">
        <v>1992</v>
      </c>
      <c r="I25" s="451"/>
    </row>
    <row r="26">
      <c r="A26" s="432">
        <v>46083.0</v>
      </c>
      <c r="B26" s="433">
        <v>0.375</v>
      </c>
      <c r="C26" s="428" t="str">
        <f t="shared" si="1"/>
        <v>BPM finanziamento rid automatico</v>
      </c>
      <c r="D26" s="447" t="s">
        <v>1993</v>
      </c>
      <c r="E26" s="448" t="s">
        <v>1990</v>
      </c>
      <c r="F26" s="449" t="s">
        <v>1994</v>
      </c>
      <c r="G26" s="430" t="s">
        <v>1914</v>
      </c>
      <c r="H26" s="450" t="s">
        <v>1995</v>
      </c>
      <c r="I26" s="451"/>
    </row>
    <row r="27">
      <c r="A27" s="426">
        <v>46266.0</v>
      </c>
      <c r="B27" s="433">
        <v>0.4166666666666667</v>
      </c>
      <c r="C27" s="428" t="str">
        <f t="shared" si="1"/>
        <v>richiesta conteggi Orasesta ed emissione fattura  rif. commerciale Roberto Miranda </v>
      </c>
      <c r="D27" s="435" t="s">
        <v>1996</v>
      </c>
      <c r="E27" s="435" t="s">
        <v>1997</v>
      </c>
      <c r="F27" s="431" t="s">
        <v>1998</v>
      </c>
      <c r="G27" s="430" t="s">
        <v>1914</v>
      </c>
      <c r="H27" s="442" t="s">
        <v>1999</v>
      </c>
      <c r="I27" s="435"/>
    </row>
    <row r="28">
      <c r="A28" s="426">
        <v>46393.0</v>
      </c>
      <c r="B28" s="433">
        <v>0.375</v>
      </c>
      <c r="C28" s="428" t="str">
        <f t="shared" si="1"/>
        <v>rinnovo affiliazione CSEN + polizza rc annuale + tesserare almeno 20 persone </v>
      </c>
      <c r="D28" s="430" t="s">
        <v>2000</v>
      </c>
      <c r="E28" s="444"/>
      <c r="F28" s="445" t="s">
        <v>2001</v>
      </c>
      <c r="G28" s="430" t="s">
        <v>1914</v>
      </c>
      <c r="H28" s="442" t="s">
        <v>2002</v>
      </c>
      <c r="I28" s="435"/>
    </row>
    <row r="29">
      <c r="A29" s="426">
        <v>46063.0</v>
      </c>
      <c r="B29" s="433">
        <v>0.4166666666666667</v>
      </c>
      <c r="C29" s="428" t="str">
        <f t="shared" si="1"/>
        <v>rinnovo AssoDanza Italia account per Geos ( Elisa Arrivabene )</v>
      </c>
      <c r="D29" s="430" t="s">
        <v>2003</v>
      </c>
      <c r="E29" s="435" t="s">
        <v>2004</v>
      </c>
      <c r="F29" s="431" t="s">
        <v>2005</v>
      </c>
      <c r="G29" s="430" t="s">
        <v>1914</v>
      </c>
      <c r="H29" s="442" t="s">
        <v>2006</v>
      </c>
      <c r="I29" s="435"/>
    </row>
    <row r="30">
      <c r="A30" s="426">
        <v>46209.0</v>
      </c>
      <c r="B30" s="433">
        <v>0.4166666666666667</v>
      </c>
      <c r="C30" s="428" t="str">
        <f t="shared" si="1"/>
        <v>creare file sconti ed eccezioni manca ancora l'elenco delle persone che pagano meno</v>
      </c>
      <c r="D30" s="434" t="s">
        <v>2007</v>
      </c>
      <c r="E30" s="434" t="s">
        <v>2008</v>
      </c>
      <c r="F30" s="431" t="s">
        <v>2009</v>
      </c>
      <c r="G30" s="435" t="s">
        <v>2010</v>
      </c>
      <c r="H30" s="430"/>
      <c r="I30" s="430"/>
    </row>
    <row r="31">
      <c r="A31" s="432">
        <v>46070.0</v>
      </c>
      <c r="B31" s="433">
        <v>0.375</v>
      </c>
      <c r="C31" s="428" t="str">
        <f t="shared" si="1"/>
        <v>comunicare compensi annuali dipendente pubblico  protocollo.generale@pec.consiglio.regione.lombardia.it ( pec Furia ) </v>
      </c>
      <c r="D31" s="451" t="s">
        <v>2011</v>
      </c>
      <c r="E31" s="451" t="s">
        <v>2012</v>
      </c>
      <c r="F31" s="431" t="s">
        <v>2013</v>
      </c>
      <c r="G31" s="435" t="s">
        <v>1914</v>
      </c>
      <c r="H31" s="434"/>
      <c r="I31" s="434"/>
    </row>
    <row r="32">
      <c r="A32" s="426">
        <v>46072.0</v>
      </c>
      <c r="B32" s="433">
        <v>0.4166666666666667</v>
      </c>
      <c r="C32" s="428" t="str">
        <f t="shared" si="1"/>
        <v>rinnovo affiliazione FGI + tesserare almeno 20 atleti  </v>
      </c>
      <c r="D32" s="430" t="s">
        <v>2014</v>
      </c>
      <c r="E32" s="444" t="s">
        <v>1710</v>
      </c>
      <c r="F32" s="445" t="s">
        <v>2015</v>
      </c>
      <c r="G32" s="430" t="s">
        <v>1914</v>
      </c>
      <c r="H32" s="442" t="s">
        <v>2016</v>
      </c>
      <c r="I32" s="435"/>
    </row>
    <row r="33">
      <c r="A33" s="426">
        <v>46072.0</v>
      </c>
      <c r="B33" s="433">
        <v>0.4583333333333333</v>
      </c>
      <c r="C33" s="428" t="str">
        <f t="shared" si="1"/>
        <v>rinnovo affiliazione FIDS + tesserare allievi Assabi </v>
      </c>
      <c r="D33" s="435" t="s">
        <v>2017</v>
      </c>
      <c r="E33" s="444"/>
      <c r="F33" s="445" t="s">
        <v>2018</v>
      </c>
      <c r="G33" s="430" t="s">
        <v>1914</v>
      </c>
      <c r="H33" s="442" t="s">
        <v>2019</v>
      </c>
      <c r="I33" s="435"/>
    </row>
    <row r="34">
      <c r="A34" s="426">
        <v>46072.0</v>
      </c>
      <c r="B34" s="433">
        <v>0.375</v>
      </c>
      <c r="C34" s="428" t="str">
        <f t="shared" si="1"/>
        <v>rinnovo tesserini tecnici istruttori (iscrizione albo ex  CONI) accordo con Libertas per quota annuale 20€ - contatto con dott. Pantano 3498095165</v>
      </c>
      <c r="D34" s="435" t="s">
        <v>2020</v>
      </c>
      <c r="E34" s="430" t="s">
        <v>2021</v>
      </c>
      <c r="F34" s="431" t="s">
        <v>2022</v>
      </c>
      <c r="G34" s="430" t="s">
        <v>1914</v>
      </c>
      <c r="H34" s="442" t="s">
        <v>2023</v>
      </c>
      <c r="I34" s="435"/>
    </row>
    <row r="35">
      <c r="A35" s="426">
        <v>46069.0</v>
      </c>
      <c r="B35" s="433">
        <v>0.375</v>
      </c>
      <c r="C35" s="428" t="str">
        <f t="shared" si="1"/>
        <v>rinnovo permesso annuale SIAE far riferimento al canone annuale pagato l'anno prima + saggi </v>
      </c>
      <c r="D35" s="430" t="s">
        <v>2024</v>
      </c>
      <c r="E35" s="435" t="s">
        <v>2025</v>
      </c>
      <c r="F35" s="431" t="s">
        <v>2026</v>
      </c>
      <c r="G35" s="430" t="s">
        <v>1914</v>
      </c>
      <c r="H35" s="442" t="s">
        <v>2027</v>
      </c>
      <c r="I35" s="435"/>
    </row>
    <row r="36">
      <c r="A36" s="426">
        <v>46098.0</v>
      </c>
      <c r="B36" s="433">
        <v>0.375</v>
      </c>
      <c r="C36" s="428" t="str">
        <f t="shared" si="1"/>
        <v>rinnovo pec aruba  RINNOVO AUTOMATICO</v>
      </c>
      <c r="D36" s="430" t="s">
        <v>2028</v>
      </c>
      <c r="E36" s="443" t="s">
        <v>1979</v>
      </c>
      <c r="F36" s="431" t="s">
        <v>2029</v>
      </c>
      <c r="G36" s="430" t="s">
        <v>1914</v>
      </c>
      <c r="H36" s="442" t="s">
        <v>1981</v>
      </c>
      <c r="I36" s="435"/>
    </row>
    <row r="37">
      <c r="A37" s="452"/>
      <c r="B37" s="453"/>
      <c r="C37" s="454"/>
      <c r="D37" s="434"/>
      <c r="E37" s="434"/>
      <c r="F37" s="455"/>
      <c r="G37" s="430"/>
      <c r="H37" s="434"/>
      <c r="I37" s="434"/>
    </row>
  </sheetData>
  <mergeCells count="1">
    <mergeCell ref="A1:D1"/>
  </mergeCells>
  <conditionalFormatting sqref="A3:F36">
    <cfRule type="expression" dxfId="6" priority="1">
      <formula>$A3&lt;TODAY()</formula>
    </cfRule>
  </conditionalFormatting>
  <dataValidations>
    <dataValidation type="list" allowBlank="1" showErrorMessage="1" sqref="G3:G37">
      <formula1>"Amministrazione,Elisa,Gaetano,Gae-ELI,Studio Grillo"</formula1>
    </dataValidation>
  </dataValidations>
  <hyperlinks>
    <hyperlink r:id="rId1" ref="H7"/>
    <hyperlink r:id="rId2" ref="H8"/>
    <hyperlink r:id="rId3" ref="H10"/>
    <hyperlink r:id="rId4" ref="H11"/>
    <hyperlink r:id="rId5" ref="H12"/>
    <hyperlink r:id="rId6" ref="H14"/>
    <hyperlink r:id="rId7" ref="H15"/>
    <hyperlink r:id="rId8" ref="H16"/>
    <hyperlink r:id="rId9" ref="H17"/>
    <hyperlink r:id="rId10" ref="H18"/>
    <hyperlink r:id="rId11" ref="H19"/>
    <hyperlink r:id="rId12" ref="H20"/>
    <hyperlink r:id="rId13" ref="H21"/>
    <hyperlink r:id="rId14" ref="H22"/>
    <hyperlink r:id="rId15" ref="H23"/>
    <hyperlink r:id="rId16" ref="H25"/>
    <hyperlink r:id="rId17" ref="H26"/>
    <hyperlink r:id="rId18" ref="H27"/>
    <hyperlink r:id="rId19" ref="H28"/>
    <hyperlink r:id="rId20" ref="H29"/>
    <hyperlink r:id="rId21" ref="H32"/>
    <hyperlink r:id="rId22" ref="H33"/>
    <hyperlink r:id="rId23" ref="H34"/>
    <hyperlink r:id="rId24" ref="H35"/>
    <hyperlink r:id="rId25" ref="H36"/>
  </hyperlinks>
  <printOptions gridLines="1" horizontalCentered="1"/>
  <pageMargins bottom="0.2282400510746968" footer="0.0" header="0.0" left="0.2282400510746968" right="0.2809108320919345" top="0.3335816131091722"/>
  <pageSetup fitToHeight="0" paperSize="9" cellComments="atEnd" orientation="landscape" pageOrder="overThenDown"/>
  <drawing r:id="rId2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outlinePr summaryBelow="0" summaryRight="0"/>
    <pageSetUpPr fitToPage="1"/>
  </sheetPr>
  <sheetViews>
    <sheetView workbookViewId="0">
      <pane ySplit="2.0" topLeftCell="A3" activePane="bottomLeft" state="frozen"/>
      <selection activeCell="B4" sqref="B4" pane="bottomLeft"/>
    </sheetView>
  </sheetViews>
  <sheetFormatPr customHeight="1" defaultColWidth="17.29" defaultRowHeight="15.0"/>
  <cols>
    <col customWidth="1" min="1" max="2" width="22.0"/>
    <col customWidth="1" min="3" max="3" width="69.0"/>
    <col customWidth="1" min="4" max="4" width="50.29"/>
    <col customWidth="1" min="5" max="5" width="35.29"/>
    <col customWidth="1" min="6" max="7" width="30.71"/>
  </cols>
  <sheetData>
    <row r="1">
      <c r="A1" s="456"/>
      <c r="B1" s="457"/>
      <c r="C1" s="458" t="s">
        <v>2030</v>
      </c>
      <c r="D1" s="418" t="s">
        <v>1901</v>
      </c>
      <c r="E1" s="421" t="s">
        <v>1727</v>
      </c>
      <c r="F1" s="459"/>
      <c r="G1" s="460"/>
    </row>
    <row r="2">
      <c r="A2" s="461" t="s">
        <v>2031</v>
      </c>
      <c r="B2" s="462" t="s">
        <v>2032</v>
      </c>
      <c r="C2" s="424" t="s">
        <v>1735</v>
      </c>
      <c r="D2" s="424" t="s">
        <v>1740</v>
      </c>
      <c r="E2" s="322" t="s">
        <v>2033</v>
      </c>
      <c r="F2" s="322" t="s">
        <v>1909</v>
      </c>
      <c r="G2" s="322" t="s">
        <v>1910</v>
      </c>
    </row>
    <row r="3">
      <c r="A3" s="463" t="s">
        <v>2034</v>
      </c>
      <c r="B3" s="464">
        <v>45692.0</v>
      </c>
      <c r="C3" s="465" t="s">
        <v>2035</v>
      </c>
      <c r="D3" s="466"/>
      <c r="E3" s="465" t="s">
        <v>1914</v>
      </c>
      <c r="G3" s="467" t="s">
        <v>2036</v>
      </c>
    </row>
    <row r="4">
      <c r="A4" s="463" t="s">
        <v>2034</v>
      </c>
      <c r="B4" s="464">
        <v>45692.0</v>
      </c>
      <c r="C4" s="468" t="s">
        <v>2037</v>
      </c>
      <c r="D4" s="469"/>
      <c r="E4" s="465" t="s">
        <v>1914</v>
      </c>
      <c r="G4" s="467" t="s">
        <v>2036</v>
      </c>
    </row>
    <row r="5">
      <c r="A5" s="463" t="s">
        <v>2034</v>
      </c>
      <c r="B5" s="464">
        <v>45692.0</v>
      </c>
      <c r="C5" s="465" t="s">
        <v>2038</v>
      </c>
      <c r="D5" s="470"/>
      <c r="E5" s="465" t="s">
        <v>1914</v>
      </c>
      <c r="F5" s="471"/>
      <c r="G5" s="467" t="s">
        <v>2036</v>
      </c>
    </row>
    <row r="6">
      <c r="A6" s="463" t="s">
        <v>2034</v>
      </c>
      <c r="B6" s="464">
        <v>45695.0</v>
      </c>
      <c r="C6" s="472" t="s">
        <v>2039</v>
      </c>
      <c r="D6" s="473"/>
      <c r="E6" s="465" t="s">
        <v>1914</v>
      </c>
      <c r="F6" s="474"/>
      <c r="G6" s="474" t="s">
        <v>1931</v>
      </c>
    </row>
    <row r="7">
      <c r="A7" s="463" t="s">
        <v>2034</v>
      </c>
      <c r="B7" s="464">
        <v>45698.0</v>
      </c>
      <c r="C7" s="472" t="s">
        <v>2040</v>
      </c>
      <c r="D7" s="473"/>
      <c r="E7" s="465" t="s">
        <v>1914</v>
      </c>
      <c r="F7" s="475"/>
      <c r="G7" s="474" t="s">
        <v>2041</v>
      </c>
    </row>
    <row r="8">
      <c r="A8" s="463" t="s">
        <v>2042</v>
      </c>
      <c r="B8" s="464">
        <v>45698.0</v>
      </c>
      <c r="C8" s="472" t="s">
        <v>2043</v>
      </c>
      <c r="D8" s="476" t="s">
        <v>2044</v>
      </c>
      <c r="E8" s="465" t="s">
        <v>1914</v>
      </c>
      <c r="F8" s="467"/>
      <c r="G8" s="474"/>
    </row>
    <row r="9">
      <c r="A9" s="477" t="s">
        <v>2045</v>
      </c>
      <c r="B9" s="464">
        <v>45701.0</v>
      </c>
      <c r="C9" s="472" t="s">
        <v>2046</v>
      </c>
      <c r="D9" s="478" t="s">
        <v>2047</v>
      </c>
      <c r="E9" s="465" t="s">
        <v>1914</v>
      </c>
      <c r="F9" s="466"/>
      <c r="G9" s="473"/>
    </row>
    <row r="10">
      <c r="A10" s="477" t="s">
        <v>2048</v>
      </c>
      <c r="B10" s="464">
        <v>45701.0</v>
      </c>
      <c r="C10" s="479" t="s">
        <v>2049</v>
      </c>
      <c r="D10" s="476" t="s">
        <v>2050</v>
      </c>
      <c r="E10" s="465" t="s">
        <v>1914</v>
      </c>
      <c r="G10" s="474" t="s">
        <v>2051</v>
      </c>
    </row>
    <row r="11">
      <c r="A11" s="477" t="s">
        <v>2048</v>
      </c>
      <c r="B11" s="464">
        <v>45701.0</v>
      </c>
      <c r="C11" s="472" t="s">
        <v>2052</v>
      </c>
      <c r="D11" s="473"/>
      <c r="E11" s="480" t="s">
        <v>1914</v>
      </c>
      <c r="F11" s="466"/>
      <c r="G11" s="473"/>
    </row>
    <row r="12">
      <c r="A12" s="477" t="s">
        <v>2048</v>
      </c>
      <c r="B12" s="464">
        <v>45701.0</v>
      </c>
      <c r="C12" s="465" t="s">
        <v>2053</v>
      </c>
      <c r="D12" s="480" t="s">
        <v>2054</v>
      </c>
      <c r="E12" s="465" t="s">
        <v>1914</v>
      </c>
      <c r="F12" s="467"/>
      <c r="G12" s="467" t="s">
        <v>2055</v>
      </c>
    </row>
    <row r="13">
      <c r="A13" s="463" t="s">
        <v>2034</v>
      </c>
      <c r="B13" s="464">
        <v>45701.0</v>
      </c>
      <c r="C13" s="465" t="s">
        <v>2056</v>
      </c>
      <c r="D13" s="481" t="s">
        <v>2057</v>
      </c>
      <c r="E13" s="465" t="s">
        <v>1914</v>
      </c>
      <c r="F13" s="482" t="s">
        <v>2058</v>
      </c>
      <c r="G13" s="466"/>
    </row>
    <row r="14">
      <c r="A14" s="463" t="s">
        <v>2034</v>
      </c>
      <c r="B14" s="464">
        <v>45703.0</v>
      </c>
      <c r="C14" s="465" t="s">
        <v>2059</v>
      </c>
      <c r="D14" s="465" t="s">
        <v>2060</v>
      </c>
      <c r="E14" s="480" t="s">
        <v>2061</v>
      </c>
      <c r="F14" s="470"/>
      <c r="G14" s="466"/>
    </row>
    <row r="15">
      <c r="A15" s="477" t="s">
        <v>2062</v>
      </c>
      <c r="B15" s="464">
        <v>45703.0</v>
      </c>
      <c r="C15" s="465" t="s">
        <v>2063</v>
      </c>
      <c r="D15" s="472" t="s">
        <v>2064</v>
      </c>
      <c r="E15" s="480" t="s">
        <v>2061</v>
      </c>
      <c r="F15" s="473"/>
      <c r="G15" s="466"/>
    </row>
    <row r="16">
      <c r="A16" s="463" t="s">
        <v>2034</v>
      </c>
      <c r="B16" s="464">
        <v>45716.0</v>
      </c>
      <c r="C16" s="465" t="s">
        <v>2065</v>
      </c>
      <c r="D16" s="466"/>
      <c r="E16" s="465" t="s">
        <v>1914</v>
      </c>
      <c r="F16" s="467"/>
      <c r="G16" s="467" t="s">
        <v>2041</v>
      </c>
    </row>
    <row r="17">
      <c r="A17" s="477"/>
      <c r="B17" s="483"/>
      <c r="C17" s="465"/>
      <c r="D17" s="465"/>
      <c r="E17" s="466"/>
      <c r="F17" s="466"/>
      <c r="G17" s="466"/>
    </row>
  </sheetData>
  <dataValidations>
    <dataValidation type="list" allowBlank="1" showErrorMessage="1" sqref="E3:E16">
      <formula1>"Amministrazione,Elisa,Gaetano,Gae-ELI,Studio Grillo"</formula1>
    </dataValidation>
  </dataValidations>
  <hyperlinks>
    <hyperlink r:id="rId2" ref="G3"/>
    <hyperlink r:id="rId3" ref="G4"/>
    <hyperlink r:id="rId4" ref="G5"/>
    <hyperlink r:id="rId5" ref="G6"/>
    <hyperlink r:id="rId6" ref="G7"/>
    <hyperlink r:id="rId7" ref="G10"/>
    <hyperlink r:id="rId8" ref="G12"/>
    <hyperlink r:id="rId9" ref="F13"/>
    <hyperlink r:id="rId10" ref="G16"/>
  </hyperlinks>
  <printOptions gridLines="1" horizontalCentered="1"/>
  <pageMargins bottom="0.7022770802298363" footer="0.0" header="0.0" left="0.21068312406895087" right="0.3160246861034263" top="0.8427324962758035"/>
  <pageSetup fitToHeight="0" paperSize="9" cellComments="atEnd" orientation="landscape" pageOrder="overThenDown"/>
  <drawing r:id="rId11"/>
  <legacyDrawing r:id="rId1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4125"/>
    <outlinePr summaryBelow="0" summaryRight="0"/>
  </sheetPr>
  <sheetViews>
    <sheetView workbookViewId="0">
      <pane ySplit="2.0" topLeftCell="A3" activePane="bottomLeft" state="frozen"/>
      <selection activeCell="B4" sqref="B4" pane="bottomLeft"/>
    </sheetView>
  </sheetViews>
  <sheetFormatPr customHeight="1" defaultColWidth="17.29" defaultRowHeight="15.0"/>
  <cols>
    <col customWidth="1" min="1" max="1" width="17.43"/>
    <col customWidth="1" min="4" max="4" width="118.14"/>
    <col customWidth="1" min="5" max="5" width="46.43"/>
    <col customWidth="1" min="6" max="6" width="50.29"/>
    <col customWidth="1" min="7" max="7" width="16.43"/>
    <col customWidth="1" min="8" max="8" width="17.86"/>
  </cols>
  <sheetData>
    <row r="1" ht="39.75" customHeight="1">
      <c r="A1" s="484" t="s">
        <v>2066</v>
      </c>
      <c r="D1" s="485" t="s">
        <v>1914</v>
      </c>
      <c r="E1" s="484" t="s">
        <v>2067</v>
      </c>
      <c r="F1" s="484" t="s">
        <v>2068</v>
      </c>
      <c r="G1" s="486"/>
      <c r="H1" s="486"/>
    </row>
    <row r="2" ht="32.25" customHeight="1">
      <c r="A2" s="487" t="s">
        <v>2069</v>
      </c>
      <c r="B2" s="487" t="s">
        <v>2070</v>
      </c>
      <c r="C2" s="488" t="s">
        <v>2032</v>
      </c>
      <c r="D2" s="488" t="s">
        <v>1735</v>
      </c>
      <c r="E2" s="488" t="s">
        <v>2071</v>
      </c>
      <c r="F2" s="487" t="s">
        <v>2072</v>
      </c>
      <c r="G2" s="487" t="s">
        <v>2073</v>
      </c>
      <c r="H2" s="488" t="s">
        <v>2074</v>
      </c>
    </row>
    <row r="3">
      <c r="A3" s="489"/>
      <c r="B3" s="370" t="s">
        <v>2075</v>
      </c>
      <c r="C3" s="489">
        <v>46014.0</v>
      </c>
      <c r="D3" s="490" t="s">
        <v>2076</v>
      </c>
      <c r="E3" s="491" t="s">
        <v>2077</v>
      </c>
      <c r="F3" s="490"/>
      <c r="G3" s="489"/>
      <c r="H3" s="490" t="b">
        <v>1</v>
      </c>
    </row>
    <row r="4">
      <c r="A4" s="489"/>
      <c r="B4" s="370" t="s">
        <v>2075</v>
      </c>
      <c r="C4" s="489">
        <v>46014.0</v>
      </c>
      <c r="D4" s="370" t="s">
        <v>2078</v>
      </c>
      <c r="E4" s="490"/>
      <c r="F4" s="490"/>
      <c r="G4" s="489"/>
      <c r="H4" s="490" t="b">
        <v>0</v>
      </c>
    </row>
    <row r="5">
      <c r="A5" s="489"/>
      <c r="B5" s="370" t="s">
        <v>2075</v>
      </c>
      <c r="C5" s="489">
        <v>46014.0</v>
      </c>
      <c r="D5" s="370" t="s">
        <v>2079</v>
      </c>
      <c r="E5" s="490"/>
      <c r="F5" s="490"/>
      <c r="G5" s="489"/>
      <c r="H5" s="490" t="b">
        <v>1</v>
      </c>
    </row>
    <row r="6">
      <c r="A6" s="489"/>
      <c r="B6" s="370" t="s">
        <v>2075</v>
      </c>
      <c r="C6" s="489">
        <v>46014.0</v>
      </c>
      <c r="D6" s="370" t="s">
        <v>2080</v>
      </c>
      <c r="E6" s="490" t="s">
        <v>2081</v>
      </c>
      <c r="F6" s="490"/>
      <c r="G6" s="489"/>
      <c r="H6" s="490" t="b">
        <v>1</v>
      </c>
    </row>
    <row r="7">
      <c r="A7" s="489"/>
      <c r="B7" s="370" t="s">
        <v>2075</v>
      </c>
      <c r="C7" s="489">
        <v>46014.0</v>
      </c>
      <c r="D7" s="370" t="s">
        <v>2082</v>
      </c>
      <c r="E7" s="490" t="s">
        <v>2083</v>
      </c>
      <c r="F7" s="492">
        <v>46048.0</v>
      </c>
      <c r="G7" s="489"/>
      <c r="H7" s="490" t="b">
        <v>1</v>
      </c>
    </row>
    <row r="8">
      <c r="A8" s="370"/>
      <c r="B8" s="370" t="s">
        <v>2075</v>
      </c>
      <c r="C8" s="489">
        <v>46014.0</v>
      </c>
      <c r="D8" s="490" t="s">
        <v>2084</v>
      </c>
      <c r="E8" s="490"/>
      <c r="F8" s="490"/>
      <c r="G8" s="489"/>
      <c r="H8" s="490" t="b">
        <v>1</v>
      </c>
    </row>
    <row r="9">
      <c r="A9" s="370"/>
      <c r="B9" s="370" t="s">
        <v>2075</v>
      </c>
      <c r="C9" s="489">
        <v>46014.0</v>
      </c>
      <c r="D9" s="370" t="s">
        <v>2085</v>
      </c>
      <c r="E9" s="490"/>
      <c r="F9" s="490"/>
      <c r="G9" s="489"/>
      <c r="H9" s="490" t="b">
        <v>1</v>
      </c>
    </row>
    <row r="10">
      <c r="A10" s="489"/>
      <c r="B10" s="370" t="s">
        <v>2075</v>
      </c>
      <c r="C10" s="489">
        <v>46029.0</v>
      </c>
      <c r="D10" s="370" t="s">
        <v>2086</v>
      </c>
      <c r="E10" s="490"/>
      <c r="F10" s="490"/>
      <c r="G10" s="489"/>
      <c r="H10" s="490" t="b">
        <v>1</v>
      </c>
    </row>
    <row r="11">
      <c r="A11" s="489"/>
      <c r="B11" s="370" t="s">
        <v>2075</v>
      </c>
      <c r="C11" s="489">
        <v>46031.0</v>
      </c>
      <c r="D11" s="370" t="s">
        <v>2087</v>
      </c>
      <c r="E11" s="490" t="s">
        <v>2081</v>
      </c>
      <c r="F11" s="490"/>
      <c r="G11" s="489"/>
      <c r="H11" s="490" t="b">
        <v>0</v>
      </c>
    </row>
    <row r="12">
      <c r="A12" s="489"/>
      <c r="B12" s="370" t="s">
        <v>2075</v>
      </c>
      <c r="C12" s="489">
        <v>46031.0</v>
      </c>
      <c r="D12" s="493" t="s">
        <v>2088</v>
      </c>
      <c r="E12" s="490" t="s">
        <v>2089</v>
      </c>
      <c r="F12" s="490"/>
      <c r="G12" s="489"/>
      <c r="H12" s="490" t="b">
        <v>1</v>
      </c>
    </row>
    <row r="13">
      <c r="A13" s="489"/>
      <c r="B13" s="370" t="s">
        <v>2075</v>
      </c>
      <c r="C13" s="489">
        <v>46031.0</v>
      </c>
      <c r="D13" s="370" t="s">
        <v>2090</v>
      </c>
      <c r="E13" s="490" t="s">
        <v>2091</v>
      </c>
      <c r="F13" s="490"/>
      <c r="G13" s="489"/>
      <c r="H13" s="490" t="b">
        <v>1</v>
      </c>
    </row>
    <row r="14">
      <c r="A14" s="489"/>
      <c r="B14" s="370" t="s">
        <v>2075</v>
      </c>
      <c r="C14" s="489">
        <v>46031.0</v>
      </c>
      <c r="D14" s="494" t="s">
        <v>2092</v>
      </c>
      <c r="E14" s="490"/>
      <c r="F14" s="490"/>
      <c r="G14" s="489"/>
      <c r="H14" s="490" t="b">
        <v>0</v>
      </c>
    </row>
    <row r="15">
      <c r="A15" s="489"/>
      <c r="B15" s="370" t="s">
        <v>2075</v>
      </c>
      <c r="C15" s="489">
        <v>46038.0</v>
      </c>
      <c r="D15" s="370" t="s">
        <v>2093</v>
      </c>
      <c r="E15" s="490"/>
      <c r="F15" s="490"/>
      <c r="G15" s="489"/>
      <c r="H15" s="490" t="b">
        <v>1</v>
      </c>
    </row>
    <row r="16">
      <c r="A16" s="489"/>
      <c r="B16" s="370" t="s">
        <v>2075</v>
      </c>
      <c r="C16" s="489">
        <v>46038.0</v>
      </c>
      <c r="D16" s="370" t="s">
        <v>2094</v>
      </c>
      <c r="E16" s="490"/>
      <c r="F16" s="490"/>
      <c r="G16" s="489"/>
      <c r="H16" s="490" t="b">
        <v>0</v>
      </c>
    </row>
    <row r="17">
      <c r="A17" s="489"/>
      <c r="B17" s="370" t="s">
        <v>2075</v>
      </c>
      <c r="C17" s="489">
        <v>46038.0</v>
      </c>
      <c r="D17" s="370" t="s">
        <v>2095</v>
      </c>
      <c r="E17" s="490"/>
      <c r="F17" s="490"/>
      <c r="G17" s="489"/>
      <c r="H17" s="490" t="b">
        <v>1</v>
      </c>
    </row>
    <row r="18">
      <c r="A18" s="489"/>
      <c r="B18" s="370" t="s">
        <v>2075</v>
      </c>
      <c r="C18" s="489">
        <v>46041.0</v>
      </c>
      <c r="D18" s="370" t="s">
        <v>2096</v>
      </c>
      <c r="E18" s="495">
        <v>46045.375</v>
      </c>
      <c r="F18" s="490"/>
      <c r="G18" s="489"/>
      <c r="H18" s="490" t="b">
        <v>1</v>
      </c>
    </row>
    <row r="19">
      <c r="A19" s="489"/>
      <c r="B19" s="370" t="s">
        <v>2075</v>
      </c>
      <c r="C19" s="489">
        <v>46041.0</v>
      </c>
      <c r="D19" s="370" t="s">
        <v>2097</v>
      </c>
      <c r="E19" s="490"/>
      <c r="F19" s="490"/>
      <c r="G19" s="489"/>
      <c r="H19" s="490" t="b">
        <v>1</v>
      </c>
    </row>
    <row r="20">
      <c r="A20" s="489"/>
      <c r="B20" s="370" t="s">
        <v>2075</v>
      </c>
      <c r="C20" s="489">
        <v>46043.0</v>
      </c>
      <c r="D20" s="370" t="s">
        <v>2098</v>
      </c>
      <c r="E20" s="490"/>
      <c r="F20" s="490"/>
      <c r="G20" s="489"/>
      <c r="H20" s="490" t="b">
        <v>0</v>
      </c>
    </row>
    <row r="21">
      <c r="A21" s="489"/>
      <c r="B21" s="370" t="s">
        <v>2075</v>
      </c>
      <c r="C21" s="489">
        <v>46043.0</v>
      </c>
      <c r="D21" s="370" t="s">
        <v>2099</v>
      </c>
      <c r="E21" s="490"/>
      <c r="F21" s="490"/>
      <c r="G21" s="489"/>
      <c r="H21" s="490" t="b">
        <v>1</v>
      </c>
    </row>
    <row r="22">
      <c r="A22" s="489"/>
      <c r="B22" s="370" t="s">
        <v>2075</v>
      </c>
      <c r="C22" s="489">
        <v>46043.0</v>
      </c>
      <c r="D22" s="370" t="s">
        <v>2100</v>
      </c>
      <c r="E22" s="490"/>
      <c r="F22" s="490"/>
      <c r="G22" s="489"/>
      <c r="H22" s="490" t="b">
        <v>1</v>
      </c>
    </row>
    <row r="23">
      <c r="A23" s="489"/>
      <c r="B23" s="370" t="s">
        <v>2075</v>
      </c>
      <c r="C23" s="489">
        <v>46048.0</v>
      </c>
      <c r="D23" s="370" t="s">
        <v>2101</v>
      </c>
      <c r="E23" s="490"/>
      <c r="F23" s="490"/>
      <c r="G23" s="489"/>
      <c r="H23" s="490" t="b">
        <v>1</v>
      </c>
    </row>
    <row r="24">
      <c r="A24" s="489"/>
      <c r="B24" s="370" t="s">
        <v>2075</v>
      </c>
      <c r="C24" s="489">
        <v>46048.0</v>
      </c>
      <c r="D24" s="370" t="s">
        <v>2102</v>
      </c>
      <c r="E24" s="490"/>
      <c r="F24" s="490"/>
      <c r="G24" s="489"/>
      <c r="H24" s="490" t="b">
        <v>1</v>
      </c>
    </row>
    <row r="25">
      <c r="A25" s="489"/>
      <c r="B25" s="370" t="s">
        <v>2075</v>
      </c>
      <c r="C25" s="489">
        <v>46063.0</v>
      </c>
      <c r="D25" s="370" t="s">
        <v>2103</v>
      </c>
      <c r="E25" s="490"/>
      <c r="F25" s="490"/>
      <c r="G25" s="489"/>
      <c r="H25" s="490" t="b">
        <v>1</v>
      </c>
    </row>
    <row r="26">
      <c r="A26" s="489"/>
      <c r="B26" s="370" t="s">
        <v>2075</v>
      </c>
      <c r="C26" s="489">
        <v>46063.0</v>
      </c>
      <c r="D26" s="496" t="s">
        <v>2104</v>
      </c>
      <c r="E26" s="497"/>
      <c r="F26" s="497"/>
      <c r="G26" s="489"/>
      <c r="H26" s="497" t="b">
        <v>0</v>
      </c>
    </row>
    <row r="27">
      <c r="A27" s="489"/>
      <c r="B27" s="370" t="s">
        <v>2075</v>
      </c>
      <c r="C27" s="489">
        <v>46063.0</v>
      </c>
      <c r="D27" s="497" t="s">
        <v>2105</v>
      </c>
      <c r="E27" s="497"/>
      <c r="F27" s="497"/>
      <c r="G27" s="489"/>
      <c r="H27" s="497" t="b">
        <v>0</v>
      </c>
    </row>
    <row r="28">
      <c r="A28" s="489"/>
      <c r="B28" s="370" t="s">
        <v>2075</v>
      </c>
      <c r="C28" s="489">
        <v>46072.0</v>
      </c>
      <c r="D28" s="496" t="s">
        <v>2106</v>
      </c>
      <c r="E28" s="497"/>
      <c r="F28" s="497"/>
      <c r="G28" s="489"/>
      <c r="H28" s="497" t="b">
        <v>0</v>
      </c>
    </row>
    <row r="29">
      <c r="A29" s="489"/>
      <c r="B29" s="489"/>
      <c r="C29" s="489"/>
      <c r="D29" s="370"/>
      <c r="E29" s="497"/>
      <c r="F29" s="497"/>
      <c r="G29" s="489"/>
      <c r="H29" s="497" t="b">
        <v>0</v>
      </c>
    </row>
    <row r="30">
      <c r="A30" s="489"/>
      <c r="B30" s="489"/>
      <c r="C30" s="489"/>
      <c r="D30" s="497"/>
      <c r="E30" s="497"/>
      <c r="F30" s="497"/>
      <c r="G30" s="489"/>
      <c r="H30" s="497" t="b">
        <v>0</v>
      </c>
    </row>
    <row r="31">
      <c r="A31" s="489"/>
      <c r="B31" s="489"/>
      <c r="C31" s="489"/>
      <c r="D31" s="497"/>
      <c r="E31" s="497"/>
      <c r="F31" s="497"/>
      <c r="G31" s="489"/>
      <c r="H31" s="497" t="b">
        <v>0</v>
      </c>
    </row>
    <row r="32">
      <c r="A32" s="489"/>
      <c r="B32" s="489"/>
      <c r="C32" s="489"/>
      <c r="D32" s="496"/>
      <c r="E32" s="497"/>
      <c r="F32" s="497"/>
      <c r="G32" s="489"/>
      <c r="H32" s="497" t="b">
        <v>0</v>
      </c>
    </row>
    <row r="33">
      <c r="A33" s="489"/>
      <c r="B33" s="489"/>
      <c r="C33" s="489"/>
      <c r="D33" s="498"/>
      <c r="E33" s="497"/>
      <c r="F33" s="497"/>
      <c r="G33" s="489"/>
      <c r="H33" s="497" t="b">
        <v>0</v>
      </c>
    </row>
    <row r="34">
      <c r="A34" s="489"/>
      <c r="B34" s="489"/>
      <c r="C34" s="489"/>
      <c r="D34" s="493"/>
      <c r="E34" s="497"/>
      <c r="F34" s="497"/>
      <c r="G34" s="489"/>
      <c r="H34" s="497" t="b">
        <v>0</v>
      </c>
    </row>
    <row r="35">
      <c r="A35" s="489"/>
      <c r="B35" s="489"/>
      <c r="C35" s="489"/>
      <c r="D35" s="370"/>
      <c r="E35" s="497"/>
      <c r="F35" s="497"/>
      <c r="G35" s="489"/>
      <c r="H35" s="497" t="b">
        <v>0</v>
      </c>
    </row>
    <row r="36">
      <c r="A36" s="499"/>
      <c r="B36" s="499"/>
      <c r="C36" s="499"/>
      <c r="D36" s="500"/>
      <c r="E36" s="497"/>
      <c r="F36" s="497"/>
      <c r="G36" s="499"/>
      <c r="H36" s="497" t="b">
        <v>0</v>
      </c>
    </row>
    <row r="37">
      <c r="A37" s="499"/>
      <c r="B37" s="499"/>
      <c r="C37" s="499"/>
      <c r="D37" s="501"/>
      <c r="E37" s="497"/>
      <c r="F37" s="497"/>
      <c r="G37" s="499"/>
      <c r="H37" s="497" t="b">
        <v>0</v>
      </c>
    </row>
    <row r="38">
      <c r="A38" s="499"/>
      <c r="B38" s="499"/>
      <c r="C38" s="499"/>
      <c r="D38" s="500"/>
      <c r="E38" s="497"/>
      <c r="F38" s="497"/>
      <c r="G38" s="499"/>
      <c r="H38" s="497" t="b">
        <v>0</v>
      </c>
    </row>
    <row r="39">
      <c r="A39" s="499"/>
      <c r="B39" s="499"/>
      <c r="C39" s="499"/>
      <c r="D39" s="501"/>
      <c r="E39" s="497"/>
      <c r="F39" s="497"/>
      <c r="G39" s="499"/>
      <c r="H39" s="497" t="b">
        <v>0</v>
      </c>
    </row>
    <row r="40">
      <c r="A40" s="499"/>
      <c r="B40" s="499"/>
      <c r="C40" s="499"/>
      <c r="D40" s="500"/>
      <c r="E40" s="497"/>
      <c r="F40" s="497"/>
      <c r="G40" s="499"/>
      <c r="H40" s="497" t="b">
        <v>0</v>
      </c>
    </row>
    <row r="41">
      <c r="A41" s="499"/>
      <c r="B41" s="499"/>
      <c r="C41" s="499"/>
      <c r="D41" s="500"/>
      <c r="E41" s="497"/>
      <c r="F41" s="497"/>
      <c r="G41" s="499"/>
      <c r="H41" s="497" t="b">
        <v>0</v>
      </c>
    </row>
    <row r="42">
      <c r="A42" s="499"/>
      <c r="B42" s="499"/>
      <c r="C42" s="499"/>
      <c r="D42" s="500"/>
      <c r="E42" s="497"/>
      <c r="F42" s="497"/>
      <c r="G42" s="499"/>
      <c r="H42" s="497" t="b">
        <v>0</v>
      </c>
    </row>
    <row r="43">
      <c r="A43" s="499"/>
      <c r="B43" s="499"/>
      <c r="C43" s="499"/>
      <c r="D43" s="500"/>
      <c r="E43" s="497"/>
      <c r="F43" s="497"/>
      <c r="G43" s="499"/>
      <c r="H43" s="497" t="b">
        <v>0</v>
      </c>
    </row>
    <row r="44">
      <c r="A44" s="499"/>
      <c r="B44" s="499"/>
      <c r="C44" s="499"/>
      <c r="D44" s="500"/>
      <c r="E44" s="497"/>
      <c r="F44" s="497"/>
      <c r="G44" s="499"/>
      <c r="H44" s="497" t="b">
        <v>0</v>
      </c>
    </row>
    <row r="45">
      <c r="A45" s="499"/>
      <c r="B45" s="499"/>
      <c r="C45" s="499"/>
      <c r="D45" s="500"/>
      <c r="E45" s="497"/>
      <c r="F45" s="497"/>
      <c r="G45" s="499"/>
      <c r="H45" s="497" t="b">
        <v>0</v>
      </c>
    </row>
    <row r="46">
      <c r="A46" s="499"/>
      <c r="B46" s="499"/>
      <c r="C46" s="499"/>
      <c r="D46" s="500"/>
      <c r="E46" s="497"/>
      <c r="F46" s="497"/>
      <c r="G46" s="499"/>
      <c r="H46" s="497" t="b">
        <v>0</v>
      </c>
    </row>
    <row r="47">
      <c r="A47" s="499"/>
      <c r="B47" s="499"/>
      <c r="C47" s="499"/>
      <c r="D47" s="500"/>
      <c r="E47" s="497"/>
      <c r="F47" s="497"/>
      <c r="G47" s="499"/>
      <c r="H47" s="497" t="b">
        <v>0</v>
      </c>
    </row>
    <row r="48">
      <c r="A48" s="499"/>
      <c r="B48" s="499"/>
      <c r="C48" s="499"/>
      <c r="D48" s="500"/>
      <c r="E48" s="497"/>
      <c r="F48" s="497"/>
      <c r="G48" s="499"/>
      <c r="H48" s="497" t="b">
        <v>0</v>
      </c>
    </row>
    <row r="49">
      <c r="A49" s="499"/>
      <c r="B49" s="499"/>
      <c r="C49" s="499"/>
      <c r="D49" s="500"/>
      <c r="E49" s="497"/>
      <c r="F49" s="497"/>
      <c r="G49" s="499"/>
      <c r="H49" s="497" t="b">
        <v>0</v>
      </c>
    </row>
    <row r="50">
      <c r="A50" s="499"/>
      <c r="B50" s="499"/>
      <c r="C50" s="499"/>
      <c r="D50" s="500"/>
      <c r="E50" s="497"/>
      <c r="F50" s="497"/>
      <c r="G50" s="499"/>
      <c r="H50" s="497" t="b">
        <v>0</v>
      </c>
    </row>
    <row r="51">
      <c r="A51" s="499"/>
      <c r="B51" s="499"/>
      <c r="C51" s="499"/>
      <c r="D51" s="500"/>
      <c r="E51" s="497"/>
      <c r="F51" s="497"/>
      <c r="G51" s="499"/>
      <c r="H51" s="497" t="b">
        <v>0</v>
      </c>
    </row>
    <row r="52">
      <c r="A52" s="499"/>
      <c r="B52" s="499"/>
      <c r="C52" s="499"/>
      <c r="D52" s="500"/>
      <c r="E52" s="497"/>
      <c r="F52" s="497"/>
      <c r="G52" s="499"/>
      <c r="H52" s="497" t="b">
        <v>0</v>
      </c>
    </row>
    <row r="53">
      <c r="A53" s="499"/>
      <c r="B53" s="499"/>
      <c r="C53" s="499"/>
      <c r="D53" s="500"/>
      <c r="E53" s="497"/>
      <c r="F53" s="497"/>
      <c r="G53" s="499"/>
      <c r="H53" s="497" t="b">
        <v>0</v>
      </c>
    </row>
    <row r="54">
      <c r="A54" s="499"/>
      <c r="B54" s="499"/>
      <c r="C54" s="499"/>
      <c r="D54" s="500"/>
      <c r="E54" s="497"/>
      <c r="F54" s="497"/>
      <c r="G54" s="499"/>
      <c r="H54" s="497" t="b">
        <v>0</v>
      </c>
    </row>
    <row r="55">
      <c r="A55" s="499"/>
      <c r="B55" s="499"/>
      <c r="C55" s="499"/>
      <c r="D55" s="500"/>
      <c r="E55" s="497"/>
      <c r="F55" s="497"/>
      <c r="G55" s="499"/>
      <c r="H55" s="497" t="b">
        <v>0</v>
      </c>
    </row>
    <row r="56">
      <c r="A56" s="499"/>
      <c r="B56" s="499"/>
      <c r="C56" s="499"/>
      <c r="D56" s="500"/>
      <c r="E56" s="497"/>
      <c r="F56" s="497"/>
      <c r="G56" s="499"/>
      <c r="H56" s="497" t="b">
        <v>0</v>
      </c>
    </row>
    <row r="57">
      <c r="A57" s="499"/>
      <c r="B57" s="499"/>
      <c r="C57" s="499"/>
      <c r="D57" s="500"/>
      <c r="E57" s="497"/>
      <c r="F57" s="497"/>
      <c r="G57" s="499"/>
      <c r="H57" s="497" t="b">
        <v>0</v>
      </c>
    </row>
    <row r="58">
      <c r="A58" s="499"/>
      <c r="B58" s="499"/>
      <c r="C58" s="499"/>
      <c r="D58" s="500"/>
      <c r="E58" s="497"/>
      <c r="F58" s="497"/>
      <c r="G58" s="499"/>
      <c r="H58" s="497" t="b">
        <v>0</v>
      </c>
    </row>
    <row r="59">
      <c r="A59" s="499"/>
      <c r="B59" s="499"/>
      <c r="C59" s="499"/>
      <c r="D59" s="500"/>
      <c r="E59" s="497"/>
      <c r="F59" s="497"/>
      <c r="G59" s="499"/>
      <c r="H59" s="497" t="b">
        <v>0</v>
      </c>
    </row>
    <row r="60">
      <c r="A60" s="499"/>
      <c r="B60" s="499"/>
      <c r="C60" s="499"/>
      <c r="D60" s="500"/>
      <c r="E60" s="497"/>
      <c r="F60" s="497"/>
      <c r="G60" s="499"/>
      <c r="H60" s="497" t="b">
        <v>0</v>
      </c>
    </row>
    <row r="61">
      <c r="A61" s="499"/>
      <c r="B61" s="499"/>
      <c r="C61" s="499"/>
      <c r="D61" s="500"/>
      <c r="E61" s="497"/>
      <c r="F61" s="497"/>
      <c r="G61" s="499"/>
      <c r="H61" s="497" t="b">
        <v>0</v>
      </c>
    </row>
    <row r="62">
      <c r="A62" s="499"/>
      <c r="B62" s="499"/>
      <c r="C62" s="499"/>
      <c r="D62" s="500"/>
      <c r="E62" s="497"/>
      <c r="F62" s="497"/>
      <c r="G62" s="499"/>
      <c r="H62" s="497" t="b">
        <v>0</v>
      </c>
    </row>
    <row r="63">
      <c r="A63" s="499"/>
      <c r="B63" s="499"/>
      <c r="C63" s="499"/>
      <c r="D63" s="500"/>
      <c r="E63" s="497"/>
      <c r="F63" s="497"/>
      <c r="G63" s="499"/>
      <c r="H63" s="497" t="b">
        <v>0</v>
      </c>
    </row>
    <row r="64">
      <c r="A64" s="499"/>
      <c r="B64" s="499"/>
      <c r="C64" s="499"/>
      <c r="D64" s="500"/>
      <c r="E64" s="497"/>
      <c r="F64" s="497"/>
      <c r="G64" s="499"/>
      <c r="H64" s="497" t="b">
        <v>0</v>
      </c>
    </row>
    <row r="65">
      <c r="A65" s="499"/>
      <c r="B65" s="499"/>
      <c r="C65" s="499"/>
      <c r="D65" s="500"/>
      <c r="E65" s="497"/>
      <c r="F65" s="497"/>
      <c r="G65" s="499"/>
      <c r="H65" s="497" t="b">
        <v>0</v>
      </c>
    </row>
    <row r="66">
      <c r="A66" s="499"/>
      <c r="B66" s="499"/>
      <c r="C66" s="499"/>
      <c r="D66" s="500"/>
      <c r="E66" s="497"/>
      <c r="F66" s="497"/>
      <c r="G66" s="499"/>
      <c r="H66" s="497" t="b">
        <v>0</v>
      </c>
    </row>
    <row r="67">
      <c r="A67" s="499"/>
      <c r="B67" s="499"/>
      <c r="C67" s="499"/>
      <c r="D67" s="500"/>
      <c r="E67" s="497"/>
      <c r="F67" s="497"/>
      <c r="G67" s="499"/>
      <c r="H67" s="497" t="b">
        <v>0</v>
      </c>
    </row>
    <row r="68">
      <c r="A68" s="499"/>
      <c r="B68" s="499"/>
      <c r="C68" s="499"/>
      <c r="D68" s="500"/>
      <c r="E68" s="497"/>
      <c r="F68" s="497"/>
      <c r="G68" s="499"/>
      <c r="H68" s="497" t="b">
        <v>0</v>
      </c>
    </row>
    <row r="69">
      <c r="A69" s="499"/>
      <c r="B69" s="499"/>
      <c r="C69" s="499"/>
      <c r="D69" s="500"/>
      <c r="E69" s="497"/>
      <c r="F69" s="497"/>
      <c r="G69" s="499"/>
      <c r="H69" s="497" t="b">
        <v>0</v>
      </c>
    </row>
    <row r="70">
      <c r="A70" s="499"/>
      <c r="B70" s="499"/>
      <c r="C70" s="499"/>
      <c r="D70" s="500"/>
      <c r="E70" s="497"/>
      <c r="F70" s="497"/>
      <c r="G70" s="499"/>
      <c r="H70" s="497" t="b">
        <v>0</v>
      </c>
    </row>
    <row r="71">
      <c r="A71" s="499"/>
      <c r="B71" s="499"/>
      <c r="C71" s="499"/>
      <c r="D71" s="500"/>
      <c r="E71" s="497"/>
      <c r="F71" s="497"/>
      <c r="G71" s="499"/>
      <c r="H71" s="497" t="b">
        <v>0</v>
      </c>
    </row>
    <row r="72">
      <c r="A72" s="499"/>
      <c r="B72" s="499"/>
      <c r="C72" s="499"/>
      <c r="D72" s="500"/>
      <c r="E72" s="497"/>
      <c r="F72" s="497"/>
      <c r="G72" s="499"/>
      <c r="H72" s="497" t="b">
        <v>0</v>
      </c>
    </row>
    <row r="73">
      <c r="A73" s="499"/>
      <c r="B73" s="499"/>
      <c r="C73" s="499"/>
      <c r="D73" s="500"/>
      <c r="E73" s="497"/>
      <c r="F73" s="497"/>
      <c r="G73" s="499"/>
      <c r="H73" s="497" t="b">
        <v>0</v>
      </c>
    </row>
    <row r="74">
      <c r="A74" s="499"/>
      <c r="B74" s="499"/>
      <c r="C74" s="499"/>
      <c r="D74" s="500"/>
      <c r="E74" s="497"/>
      <c r="F74" s="497"/>
      <c r="G74" s="499"/>
      <c r="H74" s="497" t="b">
        <v>0</v>
      </c>
    </row>
    <row r="75">
      <c r="A75" s="499"/>
      <c r="B75" s="499"/>
      <c r="C75" s="499"/>
      <c r="D75" s="500"/>
      <c r="E75" s="497"/>
      <c r="F75" s="497"/>
      <c r="G75" s="499"/>
      <c r="H75" s="497" t="b">
        <v>0</v>
      </c>
    </row>
    <row r="76">
      <c r="A76" s="499"/>
      <c r="B76" s="499"/>
      <c r="C76" s="499"/>
      <c r="D76" s="500"/>
      <c r="E76" s="497"/>
      <c r="F76" s="497"/>
      <c r="G76" s="499"/>
      <c r="H76" s="497" t="b">
        <v>0</v>
      </c>
    </row>
    <row r="77">
      <c r="A77" s="499"/>
      <c r="B77" s="499"/>
      <c r="C77" s="499"/>
      <c r="D77" s="500"/>
      <c r="E77" s="497"/>
      <c r="F77" s="497"/>
      <c r="G77" s="499"/>
      <c r="H77" s="497" t="b">
        <v>0</v>
      </c>
    </row>
    <row r="78">
      <c r="A78" s="499"/>
      <c r="B78" s="499"/>
      <c r="C78" s="499"/>
      <c r="D78" s="500"/>
      <c r="E78" s="497"/>
      <c r="F78" s="497"/>
      <c r="G78" s="499"/>
      <c r="H78" s="497" t="b">
        <v>0</v>
      </c>
    </row>
    <row r="79">
      <c r="A79" s="499"/>
      <c r="B79" s="499"/>
      <c r="C79" s="499"/>
      <c r="D79" s="500"/>
      <c r="E79" s="497"/>
      <c r="F79" s="497"/>
      <c r="G79" s="499"/>
      <c r="H79" s="497" t="b">
        <v>0</v>
      </c>
    </row>
    <row r="80">
      <c r="A80" s="499"/>
      <c r="B80" s="499"/>
      <c r="C80" s="499"/>
      <c r="D80" s="500"/>
      <c r="E80" s="497"/>
      <c r="F80" s="497"/>
      <c r="G80" s="499"/>
      <c r="H80" s="497" t="b">
        <v>0</v>
      </c>
    </row>
    <row r="81">
      <c r="A81" s="499"/>
      <c r="B81" s="499"/>
      <c r="C81" s="499"/>
      <c r="D81" s="500"/>
      <c r="E81" s="497"/>
      <c r="F81" s="497"/>
      <c r="G81" s="499"/>
      <c r="H81" s="497" t="b">
        <v>0</v>
      </c>
    </row>
    <row r="82">
      <c r="A82" s="499"/>
      <c r="B82" s="499"/>
      <c r="C82" s="499"/>
      <c r="D82" s="500"/>
      <c r="E82" s="497"/>
      <c r="F82" s="497"/>
      <c r="G82" s="499"/>
      <c r="H82" s="497" t="b">
        <v>0</v>
      </c>
    </row>
    <row r="83">
      <c r="A83" s="499"/>
      <c r="B83" s="499"/>
      <c r="C83" s="499"/>
      <c r="D83" s="500"/>
      <c r="E83" s="497"/>
      <c r="F83" s="497"/>
      <c r="G83" s="499"/>
      <c r="H83" s="497" t="b">
        <v>0</v>
      </c>
    </row>
    <row r="84">
      <c r="A84" s="499"/>
      <c r="B84" s="499"/>
      <c r="C84" s="499"/>
      <c r="D84" s="500"/>
      <c r="E84" s="497"/>
      <c r="F84" s="497"/>
      <c r="G84" s="499"/>
      <c r="H84" s="497" t="b">
        <v>0</v>
      </c>
    </row>
    <row r="85">
      <c r="A85" s="499"/>
      <c r="B85" s="499"/>
      <c r="C85" s="499"/>
      <c r="D85" s="500"/>
      <c r="E85" s="497"/>
      <c r="F85" s="497"/>
      <c r="G85" s="499"/>
      <c r="H85" s="497" t="b">
        <v>0</v>
      </c>
    </row>
    <row r="86">
      <c r="A86" s="499"/>
      <c r="B86" s="499"/>
      <c r="C86" s="499"/>
      <c r="D86" s="500"/>
      <c r="E86" s="497"/>
      <c r="F86" s="497"/>
      <c r="G86" s="499"/>
      <c r="H86" s="497" t="b">
        <v>0</v>
      </c>
    </row>
    <row r="87">
      <c r="A87" s="499"/>
      <c r="B87" s="499"/>
      <c r="C87" s="499"/>
      <c r="D87" s="500"/>
      <c r="E87" s="497"/>
      <c r="F87" s="497"/>
      <c r="G87" s="499"/>
      <c r="H87" s="497" t="b">
        <v>0</v>
      </c>
    </row>
    <row r="88">
      <c r="A88" s="499"/>
      <c r="B88" s="499"/>
      <c r="C88" s="499"/>
      <c r="D88" s="500"/>
      <c r="E88" s="497"/>
      <c r="F88" s="497"/>
      <c r="G88" s="499"/>
      <c r="H88" s="497" t="b">
        <v>0</v>
      </c>
    </row>
    <row r="89">
      <c r="A89" s="499"/>
      <c r="B89" s="499"/>
      <c r="C89" s="499"/>
      <c r="D89" s="500"/>
      <c r="E89" s="497"/>
      <c r="F89" s="497"/>
      <c r="G89" s="499"/>
      <c r="H89" s="497" t="b">
        <v>0</v>
      </c>
    </row>
    <row r="90">
      <c r="A90" s="499"/>
      <c r="B90" s="499"/>
      <c r="C90" s="499"/>
      <c r="D90" s="500"/>
      <c r="E90" s="497"/>
      <c r="F90" s="497"/>
      <c r="G90" s="499"/>
      <c r="H90" s="497" t="b">
        <v>0</v>
      </c>
    </row>
    <row r="91">
      <c r="A91" s="499"/>
      <c r="B91" s="499"/>
      <c r="C91" s="499"/>
      <c r="D91" s="500"/>
      <c r="E91" s="497"/>
      <c r="F91" s="497"/>
      <c r="G91" s="499"/>
      <c r="H91" s="497" t="b">
        <v>0</v>
      </c>
    </row>
    <row r="92">
      <c r="A92" s="499"/>
      <c r="B92" s="499"/>
      <c r="C92" s="499"/>
      <c r="D92" s="500"/>
      <c r="E92" s="497"/>
      <c r="F92" s="497"/>
      <c r="G92" s="499"/>
      <c r="H92" s="497" t="b">
        <v>0</v>
      </c>
    </row>
    <row r="93">
      <c r="A93" s="499"/>
      <c r="B93" s="499"/>
      <c r="C93" s="499"/>
      <c r="D93" s="500"/>
      <c r="E93" s="497"/>
      <c r="F93" s="497"/>
      <c r="G93" s="499"/>
      <c r="H93" s="497" t="b">
        <v>0</v>
      </c>
    </row>
    <row r="94">
      <c r="A94" s="499"/>
      <c r="B94" s="499"/>
      <c r="C94" s="499"/>
      <c r="D94" s="500"/>
      <c r="E94" s="497"/>
      <c r="F94" s="497"/>
      <c r="G94" s="499"/>
      <c r="H94" s="497" t="b">
        <v>0</v>
      </c>
    </row>
    <row r="95">
      <c r="A95" s="499"/>
      <c r="B95" s="499"/>
      <c r="C95" s="499"/>
      <c r="D95" s="500"/>
      <c r="E95" s="497"/>
      <c r="F95" s="497"/>
      <c r="G95" s="499"/>
      <c r="H95" s="497" t="b">
        <v>0</v>
      </c>
    </row>
    <row r="96">
      <c r="A96" s="499"/>
      <c r="B96" s="499"/>
      <c r="C96" s="499"/>
      <c r="D96" s="500"/>
      <c r="E96" s="497"/>
      <c r="F96" s="497"/>
      <c r="G96" s="499"/>
      <c r="H96" s="497" t="b">
        <v>0</v>
      </c>
    </row>
    <row r="97">
      <c r="A97" s="499"/>
      <c r="B97" s="499"/>
      <c r="C97" s="499"/>
      <c r="D97" s="500"/>
      <c r="E97" s="497"/>
      <c r="F97" s="497"/>
      <c r="G97" s="499"/>
      <c r="H97" s="497" t="b">
        <v>0</v>
      </c>
    </row>
    <row r="98">
      <c r="A98" s="499"/>
      <c r="B98" s="499"/>
      <c r="C98" s="499"/>
      <c r="D98" s="500"/>
      <c r="E98" s="497"/>
      <c r="F98" s="497"/>
      <c r="G98" s="499"/>
      <c r="H98" s="497" t="b">
        <v>0</v>
      </c>
    </row>
    <row r="99">
      <c r="A99" s="499"/>
      <c r="B99" s="499"/>
      <c r="C99" s="499"/>
      <c r="D99" s="500"/>
      <c r="E99" s="497"/>
      <c r="F99" s="497"/>
      <c r="G99" s="499"/>
      <c r="H99" s="497" t="b">
        <v>0</v>
      </c>
    </row>
    <row r="100">
      <c r="A100" s="499"/>
      <c r="B100" s="499"/>
      <c r="C100" s="499"/>
      <c r="D100" s="500"/>
      <c r="E100" s="497"/>
      <c r="F100" s="497"/>
      <c r="G100" s="499"/>
      <c r="H100" s="497" t="b">
        <v>0</v>
      </c>
    </row>
    <row r="101">
      <c r="A101" s="499"/>
      <c r="B101" s="499"/>
      <c r="C101" s="499"/>
      <c r="D101" s="500"/>
      <c r="E101" s="497"/>
      <c r="F101" s="497"/>
      <c r="G101" s="499"/>
      <c r="H101" s="497" t="b">
        <v>0</v>
      </c>
    </row>
  </sheetData>
  <mergeCells count="1">
    <mergeCell ref="A1:C1"/>
  </mergeCells>
  <conditionalFormatting sqref="A3:H101">
    <cfRule type="expression" dxfId="12" priority="1">
      <formula>$H3</formula>
    </cfRule>
  </conditionalFormatting>
  <dataValidations>
    <dataValidation type="list" allowBlank="1" showErrorMessage="1" sqref="A3:A101">
      <formula1>"URGENTE 1,PRIORITÀ 2,PRIORITÀ 3"</formula1>
    </dataValidation>
    <dataValidation type="list" allowBlank="1" showErrorMessage="1" sqref="B3:B101">
      <formula1>"Gae,Eli,Santo"</formula1>
    </dataValidation>
    <dataValidation type="custom" allowBlank="1" showDropDown="1" showInputMessage="1" showErrorMessage="1" prompt="inserire data valida" sqref="C3:C101 G3:G101">
      <formula1>OR(NOT(ISERROR(DATEVALUE(C3))), AND(ISNUMBER(C3), LEFT(CELL("format", C3))="D"))</formula1>
    </dataValidation>
  </dataValidations>
  <hyperlinks>
    <hyperlink r:id="rId1" location="gid=105345811" ref="A1"/>
    <hyperlink r:id="rId2" ref="E1"/>
    <hyperlink r:id="rId3" ref="F1"/>
  </hyperlinks>
  <drawing r:id="rId4"/>
</worksheet>
</file>