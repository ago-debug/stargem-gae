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EPILOGO CAMPUS" sheetId="1" r:id="rId5"/>
    <sheet state="visible" name="CAMPUS_ESTIVO" sheetId="2" r:id="rId6"/>
    <sheet state="visible" name="CAMPUS_DANZA" sheetId="3" r:id="rId7"/>
    <sheet state="visible" name="PRESENZE CLASSI DIVISE PER COLO" sheetId="4" r:id="rId8"/>
    <sheet state="visible" name=" PRESENZE CLASSI DIVISE PER COL" sheetId="5" r:id="rId9"/>
    <sheet state="visible" name="Foglio8" sheetId="6" r:id="rId10"/>
    <sheet state="hidden" name="ResocontoCampus" sheetId="7" r:id="rId11"/>
    <sheet state="visible" name="elenchi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tc={05d9fc69-4bc8-4484-83b3-024a88573332}</author>
    <author>tc={10b09cf1-682e-40a0-af20-12ac8a55a2b1}</author>
    <author>tc={4173652a-504c-4ceb-a499-b0360a25d61f}</author>
    <author>tc={7c6ddeb7-71cd-466a-8fda-45baf0d23baf}</author>
    <author>tc={a659dde1-7837-4816-93c4-7010e80701b1}</author>
    <author>tc={cc57467a-dc2e-4751-9291-f49728d12e22}</author>
    <author>tc={d63f3b1d-5ece-4d8c-a800-77d8df584cae}</author>
    <author>tc={e3482615-a273-4c6f-b220-2a6070deefe2}</author>
  </authors>
  <commentList>
    <comment authorId="0" xr:uid="{05d9fc69-4bc8-4484-83b3-024a8857333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ELIMINARE TERZA SETTIMANA (non esiste)
Attività assegnata a gaechacha@gmail.com
</t>
      </text>
    </comment>
    <comment authorId="1" xr:uid="{10b09cf1-682e-40a0-af20-12ac8a55a2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terza settimana
</t>
      </text>
    </comment>
    <comment authorId="2" xr:uid="{4173652a-504c-4ceb-a499-b0360a25d61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Correggere dicitura: CAMPUS2025
Attività assegnata a gaechacha@gmail.com
</t>
      </text>
    </comment>
    <comment authorId="3" xr:uid="{7c6ddeb7-71cd-466a-8fda-45baf0d23baf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Correggere formula =SOMMA(B3;B;12) perchè non c'è nè la terza settimana di danza, nè il campus di aerial
Attività assegnata a gaechacha@gmail.com
</t>
      </text>
    </comment>
    <comment authorId="4" xr:uid="{a659dde1-7837-4816-93c4-7010e80701b1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Correggere formula =SOMMA(B3;B;12) perchè non c'è nè la terza settimana di danza, nè il campus di aerial
Attività assegnata a gaechacha@gmail.com
</t>
      </text>
    </comment>
    <comment authorId="5" xr:uid="{cc57467a-dc2e-4751-9291-f49728d12e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Foglio da eliminare (non c'è campus aerial)
Attività assegnata a gaechacha@gmail.com
</t>
      </text>
    </comment>
    <comment authorId="6" xr:uid="{d63f3b1d-5ece-4d8c-a800-77d8df584c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problemi con il poss ricevuta fatta estefany deve solo saldare
</t>
      </text>
    </comment>
    <comment authorId="7" xr:uid="{e3482615-a273-4c6f-b220-2a6070deefe2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Correggere formula =SOMMA(B3;B12) perchè non c'è nè la terza settimana di danza, nè il campus di aerial
Attività assegnata a gaechacha@gmail.com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tc={0027a580-7a0a-4a4e-9694-b565ebba3b20}</author>
    <author>tc={00add291-a14a-4ac9-ba67-7ee04e11cea3}</author>
    <author>tc={1242aadf-63e6-46a8-b501-48c7d4837e3a}</author>
    <author>tc={15a13227-fabc-4f1f-b312-6e7cb93c3894}</author>
    <author>tc={1d1c5678-a540-4d78-9cb5-d9f89c7d5d63}</author>
    <author>tc={2586cce4-ded5-40ff-aebd-874c839b8759}</author>
    <author>tc={3066f6e5-ce25-46b4-b9f7-8403910e5ca0}</author>
    <author>tc={315514a1-da54-4790-bdbf-81161702dc49}</author>
    <author>tc={36e8c153-6c6d-45f2-a6fb-67037f8ab9fc}</author>
    <author>tc={3c7af557-ea7f-4a82-b595-dbf4eb4060e4}</author>
    <author>tc={49ba0a01-29f6-476b-9e22-aabd6a84ba05}</author>
    <author>tc={4ddb571b-146b-4e2f-b818-38860a2a6392}</author>
    <author>tc={5525c002-1da8-403d-8f45-f464b04c2ac0}</author>
    <author>tc={569e892a-626f-4271-bb71-d215e89c47e3}</author>
    <author>tc={64d44c03-a3f9-4ce0-8661-1b3bfd93c064}</author>
    <author>tc={70822828-17da-4ec2-a555-c8264a80b74e}</author>
    <author>tc={770f3e72-037c-4ecb-a218-b1f15e39bc36}</author>
    <author>tc={7c13d02f-adbb-43c0-9bd5-058fd124aacc}</author>
    <author>tc={89ab8c8b-695b-4dcd-a2ea-dce3f46cbc42}</author>
    <author>tc={9ad2b29b-86a0-43a5-8b8b-e08353519c16}</author>
    <author>tc={9ba8c9ea-9549-46b8-9a35-dd50bfc9b9d8}</author>
    <author>tc={9e286a36-9396-449f-a982-1e7f60f37d12}</author>
    <author>tc={afd7e37e-3751-4beb-bbc8-529d8cb5db84}</author>
    <author>tc={cb469e1b-63a5-4c7a-98ce-1c2ac748eb5a}</author>
    <author>tc={d5545c0a-fb17-4623-a463-9c502e3927ad}</author>
    <author>tc={df4c8df3-06b2-4946-ae0a-6205c9c5f3c4}</author>
    <author>tc={e097024d-5842-4704-bb1b-73ad09318659}</author>
    <author>tc={e7862f86-efcd-40fe-88e2-85e4cec5a5c8}</author>
    <author>tc={ec09f076-e1f3-42f4-b3d5-e189acc372b0}</author>
    <author>tc={f5a113fa-b8a0-4c86-8fe0-52dace5e544d}</author>
    <author>tc={f7b4f4f6-3aad-486c-9bdd-3e45628cb20a}</author>
  </authors>
  <commentList>
    <comment authorId="0" xr:uid="{0027a580-7a0a-4a4e-9694-b565ebba3b20}" ref="L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riduzione anche di elisa
</t>
      </text>
    </comment>
    <comment authorId="1" xr:uid="{00add291-a14a-4ac9-ba67-7ee04e11cea3}" ref="D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attesa b/b
</t>
      </text>
    </comment>
    <comment authorId="2" xr:uid="{1242aadf-63e6-46a8-b501-48c7d4837e3a}" ref="M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Bisogna aggiungere come tendina NURA05CAMPUS e JOEL05CAMPUS
Attività assegnata a gaechacha@gmail.com
</t>
      </text>
    </comment>
    <comment authorId="3" xr:uid="{15a13227-fabc-4f1f-b312-6e7cb93c3894}" ref="L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-20% OK DALLA DIREZIONE -&gt;80€
</t>
      </text>
    </comment>
    <comment authorId="4" xr:uid="{1d1c5678-a540-4d78-9cb5-d9f89c7d5d63}" ref="D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prova campus se no passa a danza
</t>
      </text>
    </comment>
    <comment authorId="5" xr:uid="{2586cce4-ded5-40ff-aebd-874c839b8759}" ref="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 FAR COMPILARE
</t>
      </text>
    </comment>
    <comment authorId="6" xr:uid="{3066f6e5-ce25-46b4-b9f7-8403910e5ca0}" ref="L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passa oggi o domani a saldare i 25€
</t>
      </text>
    </comment>
    <comment authorId="7" xr:uid="{315514a1-da54-4790-bdbf-81161702dc49}" ref="N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CERTIFICATO MEDICO IN SCADENZA 27/05/2025
</t>
      </text>
    </comment>
    <comment authorId="8" xr:uid="{36e8c153-6c6d-45f2-a6fb-67037f8ab9fc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RINNOVARE PER PARTECIPARE QUELLA SETTIMANA DEL CAMPUS
</t>
      </text>
    </comment>
    <comment authorId="9" xr:uid="{3c7af557-ea7f-4a82-b595-dbf4eb4060e4}" ref="J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-20% OK DALLA DIREZIONE -&gt;80€
</t>
      </text>
    </comment>
    <comment authorId="10" xr:uid="{49ba0a01-29f6-476b-9e22-aabd6a84ba05}" ref="L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iscrizione online deve saldare 25 per completare iscrizione
</t>
      </text>
    </comment>
    <comment authorId="11" xr:uid="{4ddb571b-146b-4e2f-b818-38860a2a6392}" ref="L1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sconto elisa
</t>
      </text>
    </comment>
    <comment authorId="12" xr:uid="{5525c002-1da8-403d-8f45-f464b04c2ac0}" ref="N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 PORTA DOMANI
</t>
      </text>
    </comment>
    <comment authorId="13" xr:uid="{569e892a-626f-4271-bb71-d215e89c47e3}" ref="D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inviata email oggi per modulistica
</t>
      </text>
    </comment>
    <comment authorId="14" xr:uid="{64d44c03-a3f9-4ce0-8661-1b3bfd93c064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sposterebbe pagando la differenza al Campus di Aerial
</t>
      </text>
    </comment>
    <comment authorId="15" xr:uid="{70822828-17da-4ec2-a555-c8264a80b74e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sposterebbe pagando la differenza al Campus di Aerial
</t>
      </text>
    </comment>
    <comment authorId="16" xr:uid="{770f3e72-037c-4ecb-a218-b1f15e39bc36}" ref="L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iscrizione online deve saldare 25 per completare iscrizione
</t>
      </text>
    </comment>
    <comment authorId="17" xr:uid="{7c13d02f-adbb-43c0-9bd5-058fd124aacc}" ref="L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riduzione anche di elisa
</t>
      </text>
    </comment>
    <comment authorId="18" xr:uid="{89ab8c8b-695b-4dcd-a2ea-dce3f46cbc42}" ref="N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PRENOTATO DA NOI PER FINE GIUGNO
</t>
      </text>
    </comment>
    <comment authorId="19" xr:uid="{9ad2b29b-86a0-43a5-8b8b-e08353519c16}" ref="L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SALDARE 20€
</t>
      </text>
    </comment>
    <comment authorId="20" xr:uid="{9ba8c9ea-9549-46b8-9a35-dd50bfc9b9d8}" ref="D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HA SPECIFICATO LA SETTIMANA, INVIATO SMS E CHIAMATA PIù VOLTE MA NON RISPONDE
</t>
      </text>
    </comment>
    <comment authorId="21" xr:uid="{9e286a36-9396-449f-a982-1e7f60f37d12}" ref="D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attesa di b/b
</t>
      </text>
    </comment>
    <comment authorId="22" xr:uid="{afd7e37e-3751-4beb-bbc8-529d8cb5db84}" ref="J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TESSERATA
</t>
      </text>
    </comment>
    <comment authorId="23" xr:uid="{cb469e1b-63a5-4c7a-98ce-1c2ac748eb5a}" ref="J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 RINNOVARE SCADUTA NEL 2023
</t>
      </text>
    </comment>
    <comment authorId="24" xr:uid="{d5545c0a-fb17-4623-a463-9c502e3927ad}" ref="N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manda tramite email
</t>
      </text>
    </comment>
    <comment authorId="25" xr:uid="{df4c8df3-06b2-4946-ae0a-6205c9c5f3c4}" ref="L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riduzione anche di elisa
</t>
      </text>
    </comment>
    <comment authorId="26" xr:uid="{e097024d-5842-4704-bb1b-73ad09318659}" ref="L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MANCANO 25€ DA SALDARE
</t>
      </text>
    </comment>
    <comment authorId="27" xr:uid="{e7862f86-efcd-40fe-88e2-85e4cec5a5c8}" ref="L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SALDARE 25€
</t>
      </text>
    </comment>
    <comment authorId="28" xr:uid="{ec09f076-e1f3-42f4-b3d5-e189acc372b0}" ref="L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SALDARE 25€
</t>
      </text>
    </comment>
    <comment authorId="29" xr:uid="{f5a113fa-b8a0-4c86-8fe0-52dace5e544d}" ref="N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oggi prenota la mamma
</t>
      </text>
    </comment>
    <comment authorId="30" xr:uid="{f7b4f4f6-3aad-486c-9bdd-3e45628cb20a}" ref="D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ATTESA DI CONFERMA SETTIMANA ISCRIZIONE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tc={2633f7f7-b497-4e14-b807-7ed6bccab108}</author>
    <author>tc={354cf0c9-637d-4974-ac54-f948b815d2f9}</author>
    <author>tc={5d212d6b-a950-4f68-9832-7dd467674152}</author>
    <author>tc={61409788-57aa-48c3-bd66-b867033e2a66}</author>
    <author>tc={cc14621f-51fe-42da-b26a-d0150b8ba00c}</author>
    <author>tc={cfe8c427-c7e3-45d7-81b2-3217f07d6fa5}</author>
    <author>tc={e3b3bc8c-f139-4681-a70b-6a0df7b4fafe}</author>
    <author>tc={eeb69aa7-d3f3-41fe-8339-5107c973686c}</author>
  </authors>
  <commentList>
    <comment authorId="0" xr:uid="{2633f7f7-b497-4e14-b807-7ed6bccab108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settimana dal lunedi 9a venerdi 13
</t>
      </text>
    </comment>
    <comment authorId="1" xr:uid="{354cf0c9-637d-4974-ac54-f948b815d2f9}" ref="M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Bisogna aggiungere come tendina NURA05CAMPUS e JOEL05CAMPUS
Attività assegnata a gaechacha@gmail.com
</t>
      </text>
    </comment>
    <comment authorId="2" xr:uid="{5d212d6b-a950-4f68-9832-7dd467674152}" ref="L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DP25€
</t>
      </text>
    </comment>
    <comment authorId="3" xr:uid="{61409788-57aa-48c3-bd66-b867033e2a66}" ref="A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seconda settimana da lunedi 16 a venerdi 20
</t>
      </text>
    </comment>
    <comment authorId="4" xr:uid="{cc14621f-51fe-42da-b26a-d0150b8ba0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CAMPUS DANZA ENTRO 30 APRILE
1 settimana → €85
2 settimane → €155
Reply:
	CAMPUS DANZA DAL 1 MAGGIO
1 settimana → €120
2 settimane → €180
</t>
      </text>
    </comment>
    <comment authorId="5" xr:uid="{cfe8c427-c7e3-45d7-81b2-3217f07d6fa5}" ref="M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Bisogna aggiungere come tendina NURA05CAMPUS e JOEL05CAMPUS
Attività assegnata a gaechacha@gmail.com
</t>
      </text>
    </comment>
    <comment authorId="6" xr:uid="{e3b3bc8c-f139-4681-a70b-6a0df7b4fafe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SETTIMANA DA DECIDERE
</t>
      </text>
    </comment>
    <comment authorId="7" xr:uid="{eeb69aa7-d3f3-41fe-8339-5107c973686c}" ref="D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 prova e decide di spostarsi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tc={1bc48a34-781d-47ca-96e2-818e3fb19eaf}</author>
    <author>tc={d67d2b1c-968c-4c5b-8f93-5af490c4b638}</author>
  </authors>
  <commentList>
    <comment authorId="0" ref="D1">
      <text>
        <t xml:space="preserve">questa colonna è collegata al file "24_25_Calendario e MASTER elenco corsi" </t>
      </text>
    </comment>
    <comment authorId="1" xr:uid="{1bc48a34-781d-47ca-96e2-818e3fb19eaf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JOEL05CAMPUS
Attività assegnata a gaechacha@gmail.com
</t>
      </text>
    </comment>
    <comment authorId="2" xr:uid="{d67d2b1c-968c-4c5b-8f93-5af490c4b638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NURA05CAMPUS
Attività assegnata a gaechacha@gmail.com
</t>
      </text>
    </comment>
  </commentList>
</comments>
</file>

<file path=xl/sharedStrings.xml><?xml version="1.0" encoding="utf-8"?>
<sst xmlns="http://schemas.openxmlformats.org/spreadsheetml/2006/main" count="1704" uniqueCount="537">
  <si>
    <t>CAMPUS 2025</t>
  </si>
  <si>
    <t>ISCRITTI</t>
  </si>
  <si>
    <t>QUOTA</t>
  </si>
  <si>
    <t>TOTALE</t>
  </si>
  <si>
    <t>PERIODO</t>
  </si>
  <si>
    <t>NOTE</t>
  </si>
  <si>
    <t>ESTIVO PRIMA SETTIMANA</t>
  </si>
  <si>
    <t>dal 9 al 13 giugno 2025</t>
  </si>
  <si>
    <t>ESTIVO SECONDA SETTIMANA</t>
  </si>
  <si>
    <t>dal 16 al 20 giugno 2025</t>
  </si>
  <si>
    <t>ESTIVO TERZA SETTIMANA</t>
  </si>
  <si>
    <t>dal 23 al 27 giugno 2025</t>
  </si>
  <si>
    <t>DANZA PRIMA SETTIMANA</t>
  </si>
  <si>
    <t>dal 09 al 13 giugno 2025</t>
  </si>
  <si>
    <t>DANZA SECONDA SETTIMANA</t>
  </si>
  <si>
    <t>CAMPUS ESTIVO - (FINO AL 30/04: 1 settimana = €70; 2 settimane = €130; 3 settimane = €195 ⚫ DAL 01/05: 1 settimana = €100; 2 settimane = €160; 3 settimane = €210)</t>
  </si>
  <si>
    <t>CHI SCRIVE</t>
  </si>
  <si>
    <t>VENDITA E PAGAMENTO</t>
  </si>
  <si>
    <t>DATA PAGAMENTO</t>
  </si>
  <si>
    <t>COGNOME</t>
  </si>
  <si>
    <t>NOME</t>
  </si>
  <si>
    <t>TELEFONO</t>
  </si>
  <si>
    <t>ETA'</t>
  </si>
  <si>
    <t>CLASSE</t>
  </si>
  <si>
    <t>SCUOLA</t>
  </si>
  <si>
    <t>QUOTA TESS.</t>
  </si>
  <si>
    <t>SCADENZA TESSERA</t>
  </si>
  <si>
    <t>QUOTA CAMPUS</t>
  </si>
  <si>
    <t>CODICE SCONTO</t>
  </si>
  <si>
    <t>CERTIFICATO</t>
  </si>
  <si>
    <t>MODULO</t>
  </si>
  <si>
    <t>PARCO</t>
  </si>
  <si>
    <t>EMAIL</t>
  </si>
  <si>
    <t>DELEGA x RITIRO</t>
  </si>
  <si>
    <t>CONTATTO/I 
RITIRANTE/I</t>
  </si>
  <si>
    <t>PRIMA SETTIMANA dal 9 al 13 giugno 2025</t>
  </si>
  <si>
    <t>Alexandra</t>
  </si>
  <si>
    <t>ONLINE</t>
  </si>
  <si>
    <t>GRASSO</t>
  </si>
  <si>
    <t>ANDREA</t>
  </si>
  <si>
    <t>IC MEDIE</t>
  </si>
  <si>
    <t>SACRO CUORE</t>
  </si>
  <si>
    <t>benedictberger@yahoo.it</t>
  </si>
  <si>
    <t xml:space="preserve">GRASSO RENATO oppure esce da sola </t>
  </si>
  <si>
    <t xml:space="preserve">CON BEFFASTI CAMPO// chiedono di essere messe con le bimbe delle medie 
la seconda settimana arriverà alle 13:00 (tutta la seconda settimana) </t>
  </si>
  <si>
    <t>Giuditta</t>
  </si>
  <si>
    <t>CASTALDO</t>
  </si>
  <si>
    <t>CHRISTIAN</t>
  </si>
  <si>
    <t>helaf1979@hotmail.it</t>
  </si>
  <si>
    <t>Estefany</t>
  </si>
  <si>
    <t>ESPOSITO</t>
  </si>
  <si>
    <t>GIULIA MARIA 
CHARLOTTE</t>
  </si>
  <si>
    <t>rxandreaesposito@yahoo.it</t>
  </si>
  <si>
    <t>Joel</t>
  </si>
  <si>
    <t>SEDE Joel</t>
  </si>
  <si>
    <t>ELIA</t>
  </si>
  <si>
    <t>LUNA</t>
  </si>
  <si>
    <t>2B</t>
  </si>
  <si>
    <t xml:space="preserve">GIULIO ROMANO </t>
  </si>
  <si>
    <t>stefania.macis85@gmail.com</t>
  </si>
  <si>
    <t>NESSUNO</t>
  </si>
  <si>
    <t>/</t>
  </si>
  <si>
    <t>FEZZI</t>
  </si>
  <si>
    <t>ANNA</t>
  </si>
  <si>
    <t>2A</t>
  </si>
  <si>
    <t>ALESSANDRO DA FANO</t>
  </si>
  <si>
    <t>rachele.jesurum@gmail.com</t>
  </si>
  <si>
    <t xml:space="preserve">CARLA BIAGI </t>
  </si>
  <si>
    <t>DI NEPI</t>
  </si>
  <si>
    <t>DA FANO ALESSANDRO</t>
  </si>
  <si>
    <t>rebecca.treves@gmail.com</t>
  </si>
  <si>
    <t>JESURUM RACHELE
CARLA BIAGI</t>
  </si>
  <si>
    <t>3385096459
3385096459</t>
  </si>
  <si>
    <t>ZACCARIELLO</t>
  </si>
  <si>
    <t>MATTIA</t>
  </si>
  <si>
    <t>1A</t>
  </si>
  <si>
    <t>PRIMARIA G. ROMANO</t>
  </si>
  <si>
    <t>raffaella.santoro82@gmail.com</t>
  </si>
  <si>
    <t>SEDE Estefany</t>
  </si>
  <si>
    <t>SAVANCO</t>
  </si>
  <si>
    <t>GAIA VALERIA</t>
  </si>
  <si>
    <t>5D</t>
  </si>
  <si>
    <t>LAVAROZZI</t>
  </si>
  <si>
    <t>gabriellagrimaldi@studiosavanco.it</t>
  </si>
  <si>
    <t>VINCENZO GRIMALDI</t>
  </si>
  <si>
    <t>FOSSATI BELLANI</t>
  </si>
  <si>
    <t>FRANCESCO</t>
  </si>
  <si>
    <t>4C</t>
  </si>
  <si>
    <t>PORTA AGNESI</t>
  </si>
  <si>
    <t>federico32@gmail.com</t>
  </si>
  <si>
    <t>SANTORO</t>
  </si>
  <si>
    <t>SILVIA</t>
  </si>
  <si>
    <t>4 C</t>
  </si>
  <si>
    <t>BAROZZI</t>
  </si>
  <si>
    <t>GIUDITTA05CAMPUS</t>
  </si>
  <si>
    <t>erika.vetrugno@gmail.com</t>
  </si>
  <si>
    <t>con de donno Beatrice e Bianca PAKUSEVSKIJ</t>
  </si>
  <si>
    <t>CAPALBO</t>
  </si>
  <si>
    <t>EMMA</t>
  </si>
  <si>
    <t>4D</t>
  </si>
  <si>
    <t>JACOPO BAROZZI</t>
  </si>
  <si>
    <t>NURA05CAMPUS</t>
  </si>
  <si>
    <t>alice.ruggiero88@gmail.com</t>
  </si>
  <si>
    <t>RUGGIERO MARCELLO</t>
  </si>
  <si>
    <t>NO FOTO (modulo non acconsente)</t>
  </si>
  <si>
    <t>RACCA</t>
  </si>
  <si>
    <t>IRENE</t>
  </si>
  <si>
    <t>1 B</t>
  </si>
  <si>
    <t>federica.anna.santi@gmail.com</t>
  </si>
  <si>
    <t>DI CREDDO JULIA</t>
  </si>
  <si>
    <t>Nura</t>
  </si>
  <si>
    <t>SEDE Nura</t>
  </si>
  <si>
    <t>DE DONNO</t>
  </si>
  <si>
    <t>BEATRICE</t>
  </si>
  <si>
    <t>elisacamilla.fasulo@gmail.com</t>
  </si>
  <si>
    <t xml:space="preserve">CATERINA CONTI </t>
  </si>
  <si>
    <t>con Silvia Santoro e Bianca PAKUSEVSKIJ</t>
  </si>
  <si>
    <t>SEDE Giuditta</t>
  </si>
  <si>
    <t>FERRARI</t>
  </si>
  <si>
    <t>ADELE</t>
  </si>
  <si>
    <t>DIAZ</t>
  </si>
  <si>
    <t>amzinfollino@gmail.com</t>
  </si>
  <si>
    <t>RAMOS MILAGRO</t>
  </si>
  <si>
    <t>MATILDE</t>
  </si>
  <si>
    <t>4 D</t>
  </si>
  <si>
    <t>DE LUCA</t>
  </si>
  <si>
    <t>VITTORIA</t>
  </si>
  <si>
    <t>ALEXANDRA05CAMPUS</t>
  </si>
  <si>
    <t>sofiapagnoni@hotmail.it</t>
  </si>
  <si>
    <t>TURCONI</t>
  </si>
  <si>
    <t>DANIELE</t>
  </si>
  <si>
    <t>1 MEDIA</t>
  </si>
  <si>
    <t>STEINER</t>
  </si>
  <si>
    <t>smileblu@hotmail.com</t>
  </si>
  <si>
    <t xml:space="preserve">USCITA AUTONOMA </t>
  </si>
  <si>
    <t>LAVATELLI</t>
  </si>
  <si>
    <t>ALBA</t>
  </si>
  <si>
    <t xml:space="preserve"> lorenzo.lavatelli@gmail.com</t>
  </si>
  <si>
    <t>MANCA TUTTO</t>
  </si>
  <si>
    <t>MANCINO</t>
  </si>
  <si>
    <t>BIANCA</t>
  </si>
  <si>
    <t>montessori bilinghue</t>
  </si>
  <si>
    <t>JOEL05CAMPUS</t>
  </si>
  <si>
    <t>silviaandena@hotmail.com</t>
  </si>
  <si>
    <t xml:space="preserve">PATRIZIA CIDDA (TATA) 
ATTILIO ANDENA (NONNO)
 FRANCESCA BONACCORDI (NONNA) </t>
  </si>
  <si>
    <t>3343605077
3335688740
3347896169</t>
  </si>
  <si>
    <t>DELEGHE OK</t>
  </si>
  <si>
    <t>SEDE Alexandra</t>
  </si>
  <si>
    <t>VELTRI</t>
  </si>
  <si>
    <t>MAJNO</t>
  </si>
  <si>
    <t>carladalessio24@gmail.com</t>
  </si>
  <si>
    <t>PAKUSEVSKIJ</t>
  </si>
  <si>
    <t>elisabettagiovi@gmail.com</t>
  </si>
  <si>
    <t>BUGA SARAC</t>
  </si>
  <si>
    <t>CON DE DONNO BEATRICE E SANTORO SILVIA</t>
  </si>
  <si>
    <t>MACCHIARULO</t>
  </si>
  <si>
    <t>VIOLA SARAH</t>
  </si>
  <si>
    <t>1C</t>
  </si>
  <si>
    <t>MONTESSORI</t>
  </si>
  <si>
    <t>MAFEMAC@GMAIL.COM</t>
  </si>
  <si>
    <t>KUDHI</t>
  </si>
  <si>
    <t>CHIARA</t>
  </si>
  <si>
    <t>1B</t>
  </si>
  <si>
    <t>g.romano</t>
  </si>
  <si>
    <t>ADELINAKUDHI@GMAIL.COM</t>
  </si>
  <si>
    <t xml:space="preserve">kudhi sofia  </t>
  </si>
  <si>
    <t>DELPERO</t>
  </si>
  <si>
    <t>OLIVIA</t>
  </si>
  <si>
    <t>ilecolla@hotmail.com</t>
  </si>
  <si>
    <t>ANITA</t>
  </si>
  <si>
    <t>CARLONI</t>
  </si>
  <si>
    <t>avv.farina@gmail.com</t>
  </si>
  <si>
    <t>VILMA IVETTE FLORES CRUZ</t>
  </si>
  <si>
    <t>ERCOLI</t>
  </si>
  <si>
    <t>Giuticone@heidrick.com</t>
  </si>
  <si>
    <t>BEFFASTI CAMPO</t>
  </si>
  <si>
    <t>LEA</t>
  </si>
  <si>
    <t>1F</t>
  </si>
  <si>
    <t>ESTEFANY05CAMPUS</t>
  </si>
  <si>
    <t>lara.beffasti@gmail.com</t>
  </si>
  <si>
    <t xml:space="preserve">BENEDICT BERGER
GIULIA PETRONE
Renato Grasso </t>
  </si>
  <si>
    <t>3392262465
3240971658</t>
  </si>
  <si>
    <t>CON GRASSO ANDREA</t>
  </si>
  <si>
    <t xml:space="preserve">AQUINO FERNANDES </t>
  </si>
  <si>
    <t>SOFIA</t>
  </si>
  <si>
    <t>//</t>
  </si>
  <si>
    <t>vivianasil@gmail.com</t>
  </si>
  <si>
    <t xml:space="preserve">mamma e papa </t>
  </si>
  <si>
    <t xml:space="preserve">Non parlano italiano (sono qui x 2 mesi ) </t>
  </si>
  <si>
    <t xml:space="preserve">AQUINO FERNANEDS </t>
  </si>
  <si>
    <t>ALEXANDRE</t>
  </si>
  <si>
    <t xml:space="preserve">SARAH </t>
  </si>
  <si>
    <t>DI AGOSTINO</t>
  </si>
  <si>
    <t>MIA</t>
  </si>
  <si>
    <t>3481608088 Mamma</t>
  </si>
  <si>
    <t>yazahussain@gmail.com</t>
  </si>
  <si>
    <t>MUTHUKUDA ARACHCHIGE</t>
  </si>
  <si>
    <t>ELISA MICHELLE</t>
  </si>
  <si>
    <t>3889718820 PAPA'</t>
  </si>
  <si>
    <t>mail2sumudu@gmail.com</t>
  </si>
  <si>
    <t>MAMMA E PAPA'</t>
  </si>
  <si>
    <t>3889718820
3248680783</t>
  </si>
  <si>
    <t>CIONI</t>
  </si>
  <si>
    <t>THEO</t>
  </si>
  <si>
    <t>ariagrimaldi@gmail.com</t>
  </si>
  <si>
    <t>SERENA BUCCI</t>
  </si>
  <si>
    <t>con de donno beatrice/ santoro silvia/ cioni bianca</t>
  </si>
  <si>
    <t>NIBALI</t>
  </si>
  <si>
    <t>CAROLA</t>
  </si>
  <si>
    <t>3D</t>
  </si>
  <si>
    <t>AGNESI</t>
  </si>
  <si>
    <t>giordana.ferro@gmail.com</t>
  </si>
  <si>
    <t>LUNEDI PORTA MODULO CAMPUS</t>
  </si>
  <si>
    <t>PETICCHI</t>
  </si>
  <si>
    <t>REBECCA</t>
  </si>
  <si>
    <t>alicemessori@libero.it</t>
  </si>
  <si>
    <t>DADDARIO DANIELA</t>
  </si>
  <si>
    <t>FERRARO</t>
  </si>
  <si>
    <t>CLARA</t>
  </si>
  <si>
    <t>pinkstyle2010@gmail.com</t>
  </si>
  <si>
    <t>MAMMA E PAPA</t>
  </si>
  <si>
    <t>TOMMASO</t>
  </si>
  <si>
    <t>subTOTALE</t>
  </si>
  <si>
    <t>SEDE</t>
  </si>
  <si>
    <t>SECONDA SETTIMANA dal 16 al 20 giugno 2025</t>
  </si>
  <si>
    <t>BOCCHESE</t>
  </si>
  <si>
    <t>ALESSIA</t>
  </si>
  <si>
    <t>antonellobocchese@gmail.com</t>
  </si>
  <si>
    <t>GRASSO RENATO</t>
  </si>
  <si>
    <t>B/B</t>
  </si>
  <si>
    <t>YAGHOUB RACHTIAN</t>
  </si>
  <si>
    <t>ELONORA</t>
  </si>
  <si>
    <t>4 A</t>
  </si>
  <si>
    <t>ZACCARIA</t>
  </si>
  <si>
    <t>victoria_dalaki@hotmail.com</t>
  </si>
  <si>
    <t>ARIANNA</t>
  </si>
  <si>
    <t>1 A (MEDIE)</t>
  </si>
  <si>
    <t>PEZZI</t>
  </si>
  <si>
    <t>1C (MEDIE)</t>
  </si>
  <si>
    <t>cubadancer@hotmail.com</t>
  </si>
  <si>
    <t>VICTORIA DALIKASHVILI</t>
  </si>
  <si>
    <t>ANTONELLI</t>
  </si>
  <si>
    <t>VIOLA</t>
  </si>
  <si>
    <t>5 A</t>
  </si>
  <si>
    <t>MADRE CABRINI</t>
  </si>
  <si>
    <t>elisadelgiacomo@hotmail.it</t>
  </si>
  <si>
    <t>SHERANGI MIHINDUKULASURIYA PINTO</t>
  </si>
  <si>
    <t xml:space="preserve">con luisardi sara </t>
  </si>
  <si>
    <t>LUSARDI</t>
  </si>
  <si>
    <t>SARA</t>
  </si>
  <si>
    <t>marybalza74@gmail.com</t>
  </si>
  <si>
    <t>CARANGELO MARIA</t>
  </si>
  <si>
    <t>Con Antonelli Viola e Andriollo Giorgia</t>
  </si>
  <si>
    <t>ASPRIELLO</t>
  </si>
  <si>
    <t>EVA</t>
  </si>
  <si>
    <t>GIULIO ROMANO</t>
  </si>
  <si>
    <t>ernaj22@gmail.com</t>
  </si>
  <si>
    <t xml:space="preserve">BEATRICE </t>
  </si>
  <si>
    <t>CATERINA CONTI</t>
  </si>
  <si>
    <t>BUZZETTI</t>
  </si>
  <si>
    <t>DARIO</t>
  </si>
  <si>
    <t>4 primaria</t>
  </si>
  <si>
    <t>e.gerardi@promuovere.eu</t>
  </si>
  <si>
    <t>CORBETTI SARA</t>
  </si>
  <si>
    <t>USCITA AUTONOMA
IN CLASSE CON TURCCONI</t>
  </si>
  <si>
    <t>KALLIKOURDIS FAKIOLA</t>
  </si>
  <si>
    <t xml:space="preserve">ATHENA </t>
  </si>
  <si>
    <t>marinos.kallikourdis@gmail.com
fakiola300@gmail.com</t>
  </si>
  <si>
    <t>PAPAGEORGIOU</t>
  </si>
  <si>
    <t>ARSINOI</t>
  </si>
  <si>
    <t>BOCCONI</t>
  </si>
  <si>
    <t>chryssait@yahoo.it</t>
  </si>
  <si>
    <t>EGIPA YOLANDA</t>
  </si>
  <si>
    <t xml:space="preserve">con De donno e Santoro </t>
  </si>
  <si>
    <t xml:space="preserve">TURCONI </t>
  </si>
  <si>
    <t xml:space="preserve">NESSUNO </t>
  </si>
  <si>
    <t xml:space="preserve">uscita autonoma in classe con BUZZETTI DARIO </t>
  </si>
  <si>
    <t>BERMONE</t>
  </si>
  <si>
    <t>CARLOTTA</t>
  </si>
  <si>
    <t>S. CARLO</t>
  </si>
  <si>
    <t>benedetta_bermone@hotmail.com</t>
  </si>
  <si>
    <t>CASTOLI  ADA</t>
  </si>
  <si>
    <t>con figliuolo</t>
  </si>
  <si>
    <t>FIGLIUOLO</t>
  </si>
  <si>
    <t>CLELIA LUCREZIA</t>
  </si>
  <si>
    <t xml:space="preserve">3496010187 mamma
3206377251 papà
</t>
  </si>
  <si>
    <t>3 A</t>
  </si>
  <si>
    <t>NUOVA EDUCAZIONE</t>
  </si>
  <si>
    <t xml:space="preserve">CASTOLDI ADA </t>
  </si>
  <si>
    <t>con bermone</t>
  </si>
  <si>
    <t>ANDRIOLLO</t>
  </si>
  <si>
    <t>GIORGIA</t>
  </si>
  <si>
    <t>3496004118 mamma
3333207957 papà</t>
  </si>
  <si>
    <t>5A</t>
  </si>
  <si>
    <t>CABRINI</t>
  </si>
  <si>
    <t>stefania.falletta@gmail.com</t>
  </si>
  <si>
    <t>SIORI LUIGIA</t>
  </si>
  <si>
    <t>con Sara Lusardi e Viola Antonelli.</t>
  </si>
  <si>
    <t>BUGA</t>
  </si>
  <si>
    <t>KUDHUI</t>
  </si>
  <si>
    <t xml:space="preserve">kudhi sofia (la sorella) manca solo il documento </t>
  </si>
  <si>
    <t>D'ELIA</t>
  </si>
  <si>
    <t>AMARANTA</t>
  </si>
  <si>
    <t>2C</t>
  </si>
  <si>
    <t>GARONI</t>
  </si>
  <si>
    <t>Laura.garlaschi@gmail.com</t>
  </si>
  <si>
    <t>PATRIZIA BONATI</t>
  </si>
  <si>
    <t>PINTAUDI</t>
  </si>
  <si>
    <t>GINEVRA</t>
  </si>
  <si>
    <t>3A</t>
  </si>
  <si>
    <t>annalaura.antognini@gmail.com</t>
  </si>
  <si>
    <t xml:space="preserve">LA TATA MAYLINE DOMINGO </t>
  </si>
  <si>
    <t xml:space="preserve">ATTESA DOCUMENTO TATA </t>
  </si>
  <si>
    <t>CASAROTTI</t>
  </si>
  <si>
    <t>CLOTILDE TERESA</t>
  </si>
  <si>
    <t>chiara.grignani@gmail.com</t>
  </si>
  <si>
    <t xml:space="preserve">AQUINDO FERNANEDS </t>
  </si>
  <si>
    <t>MURATORE</t>
  </si>
  <si>
    <t>3925357044 mamma
3289526050 papà</t>
  </si>
  <si>
    <t>3 C</t>
  </si>
  <si>
    <t>BRUNACCI</t>
  </si>
  <si>
    <t xml:space="preserve"> ryanviola6@gmail.com</t>
  </si>
  <si>
    <t>IRAOUI</t>
  </si>
  <si>
    <t>NORA</t>
  </si>
  <si>
    <t>3476933574 mamma</t>
  </si>
  <si>
    <t>fravaschetti@gmail.com</t>
  </si>
  <si>
    <t>ROSSETTI VANESSA</t>
  </si>
  <si>
    <t>ETTORE</t>
  </si>
  <si>
    <t>MAMAM E PAPA</t>
  </si>
  <si>
    <t>PIRRO</t>
  </si>
  <si>
    <t>ANITA VIOLANTE</t>
  </si>
  <si>
    <t>3384142357 mamma
3487454899 papà</t>
  </si>
  <si>
    <t>2 C</t>
  </si>
  <si>
    <t>BELTRAMI</t>
  </si>
  <si>
    <t>soniaelsavigo@gmail.com</t>
  </si>
  <si>
    <t>ESCE DA SOLA</t>
  </si>
  <si>
    <t>ROSSI</t>
  </si>
  <si>
    <t>ARIANNA MIA</t>
  </si>
  <si>
    <t>3468199436 MAMMA
3313787793 PAPA'</t>
  </si>
  <si>
    <t>karenleoni@libero.it</t>
  </si>
  <si>
    <t>GRETA</t>
  </si>
  <si>
    <t>elisa.ambrosini@iulm.it</t>
  </si>
  <si>
    <t>cristina monteverdi (mamma di colangelo)</t>
  </si>
  <si>
    <t>IVANOV</t>
  </si>
  <si>
    <t>SIMONE</t>
  </si>
  <si>
    <t>4A</t>
  </si>
  <si>
    <t>14/06/0206</t>
  </si>
  <si>
    <t>Julivanof@gmail.com</t>
  </si>
  <si>
    <t>DALAEISHVILI VICTORIA</t>
  </si>
  <si>
    <t>TERZA SETTIMANA dal 23 al 27 giugno 2025</t>
  </si>
  <si>
    <t>FOSSATI</t>
  </si>
  <si>
    <t>KALLIKOURDIS</t>
  </si>
  <si>
    <t>ATHENA FAKIOLA</t>
  </si>
  <si>
    <t>DE FRANCESCO</t>
  </si>
  <si>
    <t>MARTINA</t>
  </si>
  <si>
    <t xml:space="preserve"> noemimagnanini@gmail.com</t>
  </si>
  <si>
    <t>SALARDI PAOLA 3478413173</t>
  </si>
  <si>
    <t>in classe con salardi</t>
  </si>
  <si>
    <t>PRICHARD SALARDI</t>
  </si>
  <si>
    <t xml:space="preserve">OLIVIA </t>
  </si>
  <si>
    <t>3478413173 mamma
3467050499 papà</t>
  </si>
  <si>
    <t>Y 3</t>
  </si>
  <si>
    <t>BDC</t>
  </si>
  <si>
    <t>paola.salardi@gmail.com</t>
  </si>
  <si>
    <t>BETTONI FRANCESCA 3331084834
MAGNANINI NOEMI 3209250558</t>
  </si>
  <si>
    <t>in classe con zambrano</t>
  </si>
  <si>
    <t>ZAMBRANO BETTONI</t>
  </si>
  <si>
    <t>3331084834 mamma
3383875903 papà</t>
  </si>
  <si>
    <t>2^ B</t>
  </si>
  <si>
    <t>francescabettoni@hotmail.com</t>
  </si>
  <si>
    <t>yazahussainaògmai.con</t>
  </si>
  <si>
    <t>DONADI</t>
  </si>
  <si>
    <t>GAIA</t>
  </si>
  <si>
    <t>Y8</t>
  </si>
  <si>
    <t>HAAMACHA@GMAIL.COM</t>
  </si>
  <si>
    <t>USCITA DA SOLA</t>
  </si>
  <si>
    <t>Y4</t>
  </si>
  <si>
    <t>MORALES</t>
  </si>
  <si>
    <t>DALIA</t>
  </si>
  <si>
    <t>ASM</t>
  </si>
  <si>
    <t>jennapallio@yahoo.com</t>
  </si>
  <si>
    <t>LE DUE SORELLE INSIEME</t>
  </si>
  <si>
    <t>NINA</t>
  </si>
  <si>
    <t>3 MEDIA</t>
  </si>
  <si>
    <t>CAPATO</t>
  </si>
  <si>
    <t xml:space="preserve">3D </t>
  </si>
  <si>
    <t>a.carlevaro@hotmail.it</t>
  </si>
  <si>
    <t>USCITA AUTONOMA</t>
  </si>
  <si>
    <t>SQUERZONI</t>
  </si>
  <si>
    <t>PRIMARIA</t>
  </si>
  <si>
    <t>flmail2010@gmail.com</t>
  </si>
  <si>
    <t>hilda aguilar quispe</t>
  </si>
  <si>
    <t>GUSTATO</t>
  </si>
  <si>
    <t>3C</t>
  </si>
  <si>
    <t>SAN CARLO</t>
  </si>
  <si>
    <t>annacristinasalzano86@libero.it</t>
  </si>
  <si>
    <t>APPLE CRISTINE</t>
  </si>
  <si>
    <t>GERASI</t>
  </si>
  <si>
    <t>AIDA</t>
  </si>
  <si>
    <t>5 D</t>
  </si>
  <si>
    <t>lauragiuntoli00@gmail.com</t>
  </si>
  <si>
    <t xml:space="preserve">Paola Gerasi, Nonno </t>
  </si>
  <si>
    <t>BRAULIN</t>
  </si>
  <si>
    <t>CAMILLA</t>
  </si>
  <si>
    <t xml:space="preserve"> 3478486860 PAPA'</t>
  </si>
  <si>
    <t>IC</t>
  </si>
  <si>
    <t>MEDIA</t>
  </si>
  <si>
    <t xml:space="preserve"> lucabraulin@gmail.com</t>
  </si>
  <si>
    <t xml:space="preserve">RAMPENI GIULIA </t>
  </si>
  <si>
    <t>figlia di Filoso Cinzia</t>
  </si>
  <si>
    <t>cinziafiloso@gmail.com</t>
  </si>
  <si>
    <t>CAMPUS ESTIVO DANZA - (FINO AL 30/04: 1 settimana = €85; 2 settimane = €155 ⚫ DAL 01/05: 1 settimana = €120; 2 settimane = €180)</t>
  </si>
  <si>
    <t xml:space="preserve"> CODICE SCONTO</t>
  </si>
  <si>
    <t>PRIMA SETTIMANA dal 09 al 13 giugno 2025</t>
  </si>
  <si>
    <t>DEL PESCO</t>
  </si>
  <si>
    <t>VALERY 
NATALYA MARIA</t>
  </si>
  <si>
    <t>5E</t>
  </si>
  <si>
    <t>F.S CABRINI</t>
  </si>
  <si>
    <t>info@andreadelpesco.it</t>
  </si>
  <si>
    <t>Sig. Canzi Piero
Sig. Del pesco Antio</t>
  </si>
  <si>
    <t>3333878166
3397949903</t>
  </si>
  <si>
    <t>Bambina adottata
Fa sapere se può fare le foto</t>
  </si>
  <si>
    <t>UBOLDI</t>
  </si>
  <si>
    <t>2A MEDIA</t>
  </si>
  <si>
    <t>lucia_tv@yahoo.it</t>
  </si>
  <si>
    <t>Signora Mariz Bueno</t>
  </si>
  <si>
    <t>DE LEONARDIS</t>
  </si>
  <si>
    <t>ALEXANDRA</t>
  </si>
  <si>
    <t>diana.butenko@alice.it</t>
  </si>
  <si>
    <t>VIKTOR BUTENKO</t>
  </si>
  <si>
    <t>COLANGELO</t>
  </si>
  <si>
    <t>MARIA VITTORIA</t>
  </si>
  <si>
    <t>LA ZOLLA</t>
  </si>
  <si>
    <t>cristyvittoria@gmail.com</t>
  </si>
  <si>
    <t>CALZOLARI</t>
  </si>
  <si>
    <t>MADDALENA</t>
  </si>
  <si>
    <t>G. ROMANO</t>
  </si>
  <si>
    <t>sara.longoni@hotmail.com</t>
  </si>
  <si>
    <t xml:space="preserve">FERNANDA DE ARRUDA </t>
  </si>
  <si>
    <t>SCALIA</t>
  </si>
  <si>
    <t>3311889996
3420319120 papà</t>
  </si>
  <si>
    <t>emanuela.ambrosino.news@skytv.it</t>
  </si>
  <si>
    <t>CAPITANIO</t>
  </si>
  <si>
    <t>jody.capitanio@gmail.com</t>
  </si>
  <si>
    <t>ASPERTI FELICITA 3479025549</t>
  </si>
  <si>
    <t>3479025549
3923150058</t>
  </si>
  <si>
    <t xml:space="preserve">DELVO </t>
  </si>
  <si>
    <t>BENEDETTA</t>
  </si>
  <si>
    <t>Moltonisimona@gmail.com</t>
  </si>
  <si>
    <t>lucia_tvòyahoo..it</t>
  </si>
  <si>
    <t>TONTINI</t>
  </si>
  <si>
    <t>ZOE</t>
  </si>
  <si>
    <t>A. DIAZ</t>
  </si>
  <si>
    <t xml:space="preserve"> franchinimia@gmail.com</t>
  </si>
  <si>
    <t>ENTRATA</t>
  </si>
  <si>
    <t>DATI MINORE</t>
  </si>
  <si>
    <t>USCITA</t>
  </si>
  <si>
    <t>RITIRO (delega)</t>
  </si>
  <si>
    <t>ETA</t>
  </si>
  <si>
    <t>con Silvia Santoro 
e Bianca PAKUSEVSKIJ</t>
  </si>
  <si>
    <t>JESURUM RACHELE</t>
  </si>
  <si>
    <t>FOSSATI
 BELLANI</t>
  </si>
  <si>
    <t xml:space="preserve">PATRIZIA CIDDA (TATA) ATTILIO ANDENA (NONNO) FRANCESCA BONACCORDI (NONNA) </t>
  </si>
  <si>
    <t>DELVO</t>
  </si>
  <si>
    <t>DE LEON FERMIN</t>
  </si>
  <si>
    <t>KATALEYA</t>
  </si>
  <si>
    <t>LIAM</t>
  </si>
  <si>
    <t xml:space="preserve">AQUINDO
 FERNANEDS </t>
  </si>
  <si>
    <t xml:space="preserve">AQUINO
FERNANDES </t>
  </si>
  <si>
    <t xml:space="preserve">AQUINO 
FERNANEDS </t>
  </si>
  <si>
    <t>FERMIN</t>
  </si>
  <si>
    <t>FERMOIN</t>
  </si>
  <si>
    <t xml:space="preserve"> chiedono di essere messe con le bimbe delle medie 
la seconda settimana arriverà alle 13:00 
(tutta la seconda settimana) </t>
  </si>
  <si>
    <t>π</t>
  </si>
  <si>
    <t>ROSSI 
ARANCIONI
VERDI 12</t>
  </si>
  <si>
    <t>3388377033
 3478486860 PAPA'</t>
  </si>
  <si>
    <t xml:space="preserve">DE LEON </t>
  </si>
  <si>
    <t>ESTEFANY</t>
  </si>
  <si>
    <t>GIUDITTA</t>
  </si>
  <si>
    <t>NURA</t>
  </si>
  <si>
    <t>JOEL</t>
  </si>
  <si>
    <t>aa</t>
  </si>
  <si>
    <t>SANTO</t>
  </si>
  <si>
    <t>MASSI</t>
  </si>
  <si>
    <t>STAFF</t>
  </si>
  <si>
    <t>STAFF2</t>
  </si>
  <si>
    <t>DATA EVENTO</t>
  </si>
  <si>
    <t>DESCRIZIONE</t>
  </si>
  <si>
    <t>Sede</t>
  </si>
  <si>
    <t>Codice</t>
  </si>
  <si>
    <t>TOTALE
Sede e Codice</t>
  </si>
  <si>
    <t>Bonus
Team Vendita</t>
  </si>
  <si>
    <t>CAMPUS_ESTIVO</t>
  </si>
  <si>
    <t>CAMPUS_DANZA</t>
  </si>
  <si>
    <t>punti TOTALE</t>
  </si>
  <si>
    <t>Legenda:</t>
  </si>
  <si>
    <t>1 sede = € 1,50</t>
  </si>
  <si>
    <t>1 codice = € 1,00</t>
  </si>
  <si>
    <t>1 bonus Team = €1,00</t>
  </si>
  <si>
    <t>Il saldo verrà liquidato a metà luglio 2025 in contanti</t>
  </si>
  <si>
    <t>SEDE:</t>
  </si>
  <si>
    <t>la colonna SEDE conta solo se un nome si trova nella colonna che si chiama VENDITA e PAGAMENTO di qualsiasi file collegato a questo Resoconto</t>
  </si>
  <si>
    <t>CODICE:</t>
  </si>
  <si>
    <t>la colonna CODICE conta solo se un nome si trova nella colonna che si chiama CODICE SCONTO di qualsiasi file collegato a questo Resoconto</t>
  </si>
  <si>
    <t>COME HA RICHIESTO INFORMAZIONI</t>
  </si>
  <si>
    <t>COME CI HA CONOSCIUTO</t>
  </si>
  <si>
    <t>TIPO DI RICHIESTA</t>
  </si>
  <si>
    <t>CODICI PROMO</t>
  </si>
  <si>
    <t>Telefono</t>
  </si>
  <si>
    <t>CONVENZIONATI</t>
  </si>
  <si>
    <t>AERIAL</t>
  </si>
  <si>
    <t>Email</t>
  </si>
  <si>
    <t>EX TESSERATO</t>
  </si>
  <si>
    <t>BALLO DI COPPIA</t>
  </si>
  <si>
    <t>SANTO05CAMPUS</t>
  </si>
  <si>
    <t>FB</t>
  </si>
  <si>
    <t>BAMBINI</t>
  </si>
  <si>
    <t>GOOGLE</t>
  </si>
  <si>
    <t>BAMBINI E RAGAZZI</t>
  </si>
  <si>
    <t>HA UN'ATTIVITÀ IN ZONA</t>
  </si>
  <si>
    <t>DANZA</t>
  </si>
  <si>
    <t>INSEGNANTI</t>
  </si>
  <si>
    <t>FITNESS</t>
  </si>
  <si>
    <t>MASSI05CAMPUS</t>
  </si>
  <si>
    <t>INSTAGRAM</t>
  </si>
  <si>
    <t>LAVORO</t>
  </si>
  <si>
    <t>SARA05CAMPUS</t>
  </si>
  <si>
    <t>PASSAPAROLA</t>
  </si>
  <si>
    <t>STAFF05CAMPUS</t>
  </si>
  <si>
    <t>SEGRETERIA</t>
  </si>
  <si>
    <t>SITO</t>
  </si>
  <si>
    <t>SOCIAL</t>
  </si>
  <si>
    <t>TESSERATI</t>
  </si>
  <si>
    <t>TRAM</t>
  </si>
  <si>
    <t>VOLANTINO</t>
  </si>
  <si>
    <t>ABITA IN ZONA</t>
  </si>
  <si>
    <t>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</si>
</sst>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€-2]\ #,##0.00"/>
    <numFmt numFmtId="165" formatCode="_-[$€-2]* #,##0.00_-;_-[$€-2]* \-#,##0.00_-;_-[$€-2]* &quot;-&quot;??_-;_-@"/>
    <numFmt numFmtId="166" formatCode="dd/MM/yyyy"/>
    <numFmt numFmtId="167" formatCode="dd/mm/yyyy"/>
    <numFmt numFmtId="168" formatCode="d/m/yyyy"/>
    <numFmt numFmtId="169" formatCode="dd&quot;/&quot;mm"/>
    <numFmt numFmtId="170" formatCode="d&quot; &quot;mmmm&quot; &quot;yyyy"/>
  </numFmts>
  <fonts count="57">
    <font>
      <sz val="10.0"/>
      <color rgb="FF000000"/>
      <name val="Arial"/>
      <scheme val="minor"/>
    </font>
    <font>
      <b/>
      <sz val="11.0"/>
      <color rgb="FF000000"/>
      <name val="&quot;Helvetica Neue&quot;"/>
    </font>
    <font/>
    <font>
      <color theme="1"/>
      <name val="Arial"/>
      <scheme val="minor"/>
    </font>
    <font>
      <b/>
      <sz val="8.0"/>
      <color rgb="FF000000"/>
      <name val="&quot;Helvetica Neue&quot;"/>
    </font>
    <font>
      <sz val="9.0"/>
      <color rgb="FF000000"/>
      <name val="&quot;Helvetica Neue&quot;"/>
    </font>
    <font>
      <b/>
      <sz val="9.0"/>
      <color rgb="FF000000"/>
      <name val="&quot;Helvetica Neue&quot;"/>
    </font>
    <font>
      <b/>
      <sz val="9.0"/>
      <color theme="1"/>
      <name val="Helvetica Neue"/>
    </font>
    <font>
      <color theme="1"/>
      <name val="Arial"/>
    </font>
    <font>
      <b/>
      <color theme="1"/>
      <name val="Arial"/>
      <scheme val="minor"/>
    </font>
    <font>
      <b/>
      <sz val="13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Helvetica"/>
    </font>
    <font>
      <sz val="10.0"/>
      <color rgb="FF000000"/>
      <name val="Helvetica"/>
    </font>
    <font>
      <sz val="10.0"/>
      <color theme="1"/>
      <name val="Arial"/>
    </font>
    <font>
      <sz val="10.0"/>
      <color rgb="FF000000"/>
      <name val="Verdana"/>
    </font>
    <font>
      <b/>
      <sz val="12.0"/>
      <color theme="1"/>
      <name val="Helvetica"/>
    </font>
    <font>
      <sz val="9.0"/>
      <color theme="1"/>
      <name val="Helvetica"/>
    </font>
    <font>
      <sz val="10.0"/>
      <color rgb="FF000000"/>
      <name val="Arial"/>
    </font>
    <font>
      <color rgb="FF000000"/>
      <name val="Arial"/>
    </font>
    <font>
      <b/>
      <sz val="10.0"/>
      <color theme="1"/>
      <name val="Helvetica"/>
    </font>
    <font>
      <b/>
      <color theme="1"/>
      <name val="Arial"/>
    </font>
    <font>
      <b/>
      <sz val="10.0"/>
      <color rgb="FF000000"/>
      <name val="Helvetica"/>
    </font>
    <font>
      <b/>
      <sz val="12.0"/>
      <color rgb="FF000000"/>
      <name val="Arial"/>
    </font>
    <font>
      <color theme="1"/>
      <name val="Helvetica"/>
    </font>
    <font>
      <color rgb="FF000000"/>
      <name val="Docs-Helvetica"/>
    </font>
    <font>
      <sz val="9.0"/>
      <color rgb="FF000000"/>
      <name val="Helvetica"/>
    </font>
    <font>
      <sz val="10.0"/>
      <color rgb="FF000000"/>
      <name val="&quot;open sans&quot;"/>
    </font>
    <font>
      <b/>
      <sz val="10.0"/>
      <color rgb="FF000000"/>
      <name val="Arial"/>
    </font>
    <font>
      <color theme="1"/>
      <name val="Helvetica Neue"/>
    </font>
    <font>
      <sz val="12.0"/>
      <color theme="1"/>
      <name val="Helvetica"/>
    </font>
    <font>
      <sz val="12.0"/>
      <color theme="1"/>
      <name val="Arial"/>
    </font>
    <font>
      <b/>
      <sz val="14.0"/>
      <color rgb="FF000000"/>
      <name val="Helvetica"/>
    </font>
    <font>
      <sz val="12.0"/>
      <color rgb="FF000000"/>
      <name val="Helvetica"/>
    </font>
    <font>
      <sz val="12.0"/>
      <color theme="1"/>
      <name val="Arial"/>
      <scheme val="minor"/>
    </font>
    <font>
      <sz val="12.0"/>
      <color rgb="FF000000"/>
      <name val="Arial"/>
    </font>
    <font>
      <b/>
      <sz val="14.0"/>
      <color theme="1"/>
      <name val="Helvetica"/>
    </font>
    <font>
      <b/>
      <sz val="12.0"/>
      <color rgb="FFFFFFFF"/>
      <name val="Helvetica"/>
    </font>
    <font>
      <b/>
      <sz val="12.0"/>
      <color rgb="FF000000"/>
      <name val="Helvetica"/>
    </font>
    <font>
      <b/>
      <sz val="12.0"/>
      <color rgb="FFFFFFFF"/>
      <name val="Arial"/>
    </font>
    <font>
      <b/>
      <sz val="13.0"/>
      <color rgb="FF000000"/>
      <name val="Arial"/>
    </font>
    <font>
      <sz val="13.0"/>
      <color theme="1"/>
      <name val="Arial"/>
    </font>
    <font>
      <b/>
      <sz val="13.0"/>
      <color theme="1"/>
      <name val="Helvetica"/>
    </font>
    <font>
      <sz val="13.0"/>
      <color theme="1"/>
      <name val="Helvetica"/>
    </font>
    <font>
      <b/>
      <sz val="13.0"/>
      <color rgb="FF000000"/>
      <name val="Helvetica"/>
    </font>
    <font>
      <sz val="13.0"/>
      <color rgb="FF000000"/>
      <name val="Verdana"/>
    </font>
    <font>
      <sz val="13.0"/>
      <color rgb="FF000000"/>
      <name val="Helvetica"/>
    </font>
    <font>
      <sz val="13.0"/>
      <color rgb="FF000000"/>
      <name val="Docs-Helvetica"/>
    </font>
    <font>
      <sz val="13.0"/>
      <color rgb="FF000000"/>
      <name val="Arial"/>
    </font>
    <font>
      <sz val="13.0"/>
      <color rgb="FF000000"/>
      <name val="&quot;open sans&quot;"/>
    </font>
    <font>
      <sz val="12.0"/>
      <color rgb="FF000000"/>
      <name val="Docs-Helvetica"/>
    </font>
    <font>
      <u/>
      <color rgb="FF0000FF"/>
    </font>
    <font>
      <sz val="9.0"/>
      <color rgb="FF000000"/>
      <name val="&quot;Google Sans Mono&quot;"/>
    </font>
    <font>
      <sz val="9.0"/>
      <color rgb="FF008000"/>
      <name val="&quot;Google Sans Mono&quot;"/>
    </font>
    <font>
      <b/>
      <sz val="10.0"/>
      <color rgb="FF000000"/>
      <name val="Helvetica Neue"/>
    </font>
    <font>
      <sz val="10.0"/>
      <color rgb="FF000000"/>
      <name val="Helvetica Neue"/>
    </font>
  </fonts>
  <fills count="3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AFB3B2"/>
        <bgColor rgb="FFAFB3B2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9F9F9"/>
        <bgColor rgb="FFF9F9F9"/>
      </patternFill>
    </fill>
    <fill>
      <patternFill patternType="solid">
        <fgColor rgb="FF6AA84F"/>
        <bgColor rgb="FF6AA84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A4C2F4"/>
        <bgColor rgb="FFA4C2F4"/>
      </patternFill>
    </fill>
    <fill>
      <patternFill patternType="solid">
        <fgColor rgb="FFFAC8AA"/>
        <bgColor rgb="FFFAC8AA"/>
      </patternFill>
    </fill>
    <fill>
      <patternFill patternType="solid">
        <fgColor rgb="FFE6E6E6"/>
        <bgColor rgb="FFE6E6E6"/>
      </patternFill>
    </fill>
    <fill>
      <patternFill patternType="solid">
        <fgColor rgb="FFC6DBE1"/>
        <bgColor rgb="FFC6DBE1"/>
      </patternFill>
    </fill>
    <fill>
      <patternFill patternType="solid">
        <fgColor rgb="FFDD7E6B"/>
        <bgColor rgb="FFDD7E6B"/>
      </patternFill>
    </fill>
    <fill>
      <patternFill patternType="solid">
        <fgColor rgb="FFFFE59F"/>
        <bgColor rgb="FFFFE59F"/>
      </patternFill>
    </fill>
    <fill>
      <patternFill patternType="solid">
        <fgColor rgb="FFE6CFF3"/>
        <bgColor rgb="FFE6CFF3"/>
      </patternFill>
    </fill>
    <fill>
      <patternFill patternType="solid">
        <fgColor rgb="FFD4EDBB"/>
        <bgColor rgb="FFD4EDBB"/>
      </patternFill>
    </fill>
    <fill>
      <patternFill patternType="solid">
        <fgColor rgb="FFFFE599"/>
        <bgColor rgb="FFFFE599"/>
      </patternFill>
    </fill>
  </fills>
  <borders count="27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D9D9D9"/>
      </bottom>
    </border>
    <border>
      <top style="thin">
        <color rgb="FFCCCCCC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medium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EFEFEF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top"/>
    </xf>
    <xf borderId="4" fillId="3" fontId="4" numFmtId="0" xfId="0" applyAlignment="1" applyBorder="1" applyFont="1">
      <alignment horizontal="center" readingOrder="0" vertical="top"/>
    </xf>
    <xf borderId="4" fillId="0" fontId="5" numFmtId="0" xfId="0" applyAlignment="1" applyBorder="1" applyFont="1">
      <alignment readingOrder="0" vertical="top"/>
    </xf>
    <xf borderId="4" fillId="0" fontId="5" numFmtId="0" xfId="0" applyAlignment="1" applyBorder="1" applyFont="1">
      <alignment horizontal="center" readingOrder="0" vertical="top"/>
    </xf>
    <xf borderId="4" fillId="0" fontId="5" numFmtId="164" xfId="0" applyAlignment="1" applyBorder="1" applyFont="1" applyNumberFormat="1">
      <alignment readingOrder="0" vertical="top"/>
    </xf>
    <xf borderId="4" fillId="0" fontId="5" numFmtId="0" xfId="0" applyAlignment="1" applyBorder="1" applyFont="1">
      <alignment horizontal="right" readingOrder="0" vertical="top"/>
    </xf>
    <xf borderId="4" fillId="0" fontId="3" numFmtId="0" xfId="0" applyAlignment="1" applyBorder="1" applyFont="1">
      <alignment vertical="top"/>
    </xf>
    <xf borderId="4" fillId="4" fontId="6" numFmtId="0" xfId="0" applyAlignment="1" applyBorder="1" applyFill="1" applyFont="1">
      <alignment horizontal="right" readingOrder="0" vertical="top"/>
    </xf>
    <xf borderId="4" fillId="4" fontId="3" numFmtId="0" xfId="0" applyAlignment="1" applyBorder="1" applyFont="1">
      <alignment vertical="top"/>
    </xf>
    <xf borderId="4" fillId="4" fontId="3" numFmtId="164" xfId="0" applyAlignment="1" applyBorder="1" applyFont="1" applyNumberFormat="1">
      <alignment vertical="top"/>
    </xf>
    <xf borderId="4" fillId="4" fontId="5" numFmtId="164" xfId="0" applyAlignment="1" applyBorder="1" applyFont="1" applyNumberFormat="1">
      <alignment readingOrder="0" vertical="top"/>
    </xf>
    <xf borderId="4" fillId="4" fontId="3" numFmtId="0" xfId="0" applyAlignment="1" applyBorder="1" applyFont="1">
      <alignment horizontal="right" readingOrder="0" vertical="top"/>
    </xf>
    <xf borderId="4" fillId="5" fontId="6" numFmtId="0" xfId="0" applyAlignment="1" applyBorder="1" applyFill="1" applyFont="1">
      <alignment horizontal="right" readingOrder="0" vertical="top"/>
    </xf>
    <xf borderId="4" fillId="5" fontId="3" numFmtId="0" xfId="0" applyAlignment="1" applyBorder="1" applyFont="1">
      <alignment vertical="top"/>
    </xf>
    <xf borderId="4" fillId="5" fontId="3" numFmtId="164" xfId="0" applyAlignment="1" applyBorder="1" applyFont="1" applyNumberFormat="1">
      <alignment vertical="top"/>
    </xf>
    <xf borderId="4" fillId="5" fontId="5" numFmtId="164" xfId="0" applyAlignment="1" applyBorder="1" applyFont="1" applyNumberFormat="1">
      <alignment readingOrder="0" vertical="top"/>
    </xf>
    <xf borderId="4" fillId="5" fontId="3" numFmtId="0" xfId="0" applyAlignment="1" applyBorder="1" applyFont="1">
      <alignment horizontal="right" readingOrder="0" vertical="top"/>
    </xf>
    <xf borderId="4" fillId="0" fontId="3" numFmtId="164" xfId="0" applyAlignment="1" applyBorder="1" applyFont="1" applyNumberFormat="1">
      <alignment vertical="top"/>
    </xf>
    <xf borderId="4" fillId="0" fontId="3" numFmtId="0" xfId="0" applyAlignment="1" applyBorder="1" applyFont="1">
      <alignment horizontal="right" vertical="top"/>
    </xf>
    <xf borderId="4" fillId="5" fontId="7" numFmtId="0" xfId="0" applyAlignment="1" applyBorder="1" applyFont="1">
      <alignment horizontal="right" readingOrder="0" vertical="top"/>
    </xf>
    <xf borderId="4" fillId="5" fontId="8" numFmtId="0" xfId="0" applyAlignment="1" applyBorder="1" applyFont="1">
      <alignment vertical="top"/>
    </xf>
    <xf borderId="4" fillId="5" fontId="8" numFmtId="164" xfId="0" applyAlignment="1" applyBorder="1" applyFont="1" applyNumberFormat="1">
      <alignment vertical="top"/>
    </xf>
    <xf borderId="4" fillId="5" fontId="8" numFmtId="0" xfId="0" applyAlignment="1" applyBorder="1" applyFont="1">
      <alignment horizontal="right" readingOrder="0" vertical="top"/>
    </xf>
    <xf borderId="4" fillId="5" fontId="8" numFmtId="0" xfId="0" applyAlignment="1" applyBorder="1" applyFont="1">
      <alignment vertical="top"/>
    </xf>
    <xf borderId="4" fillId="6" fontId="7" numFmtId="0" xfId="0" applyAlignment="1" applyBorder="1" applyFill="1" applyFont="1">
      <alignment horizontal="right" readingOrder="0" vertical="top"/>
    </xf>
    <xf borderId="4" fillId="6" fontId="3" numFmtId="0" xfId="0" applyAlignment="1" applyBorder="1" applyFont="1">
      <alignment vertical="top"/>
    </xf>
    <xf borderId="4" fillId="6" fontId="3" numFmtId="164" xfId="0" applyAlignment="1" applyBorder="1" applyFont="1" applyNumberFormat="1">
      <alignment vertical="top"/>
    </xf>
    <xf borderId="4" fillId="6" fontId="3" numFmtId="0" xfId="0" applyAlignment="1" applyBorder="1" applyFont="1">
      <alignment horizontal="right" readingOrder="0" vertical="top"/>
    </xf>
    <xf borderId="4" fillId="0" fontId="3" numFmtId="0" xfId="0" applyBorder="1" applyFont="1"/>
    <xf borderId="4" fillId="0" fontId="3" numFmtId="0" xfId="0" applyAlignment="1" applyBorder="1" applyFont="1">
      <alignment horizontal="right"/>
    </xf>
    <xf borderId="4" fillId="7" fontId="7" numFmtId="0" xfId="0" applyAlignment="1" applyBorder="1" applyFill="1" applyFont="1">
      <alignment horizontal="right" readingOrder="0" vertical="top"/>
    </xf>
    <xf borderId="4" fillId="7" fontId="3" numFmtId="0" xfId="0" applyAlignment="1" applyBorder="1" applyFont="1">
      <alignment vertical="top"/>
    </xf>
    <xf borderId="4" fillId="7" fontId="3" numFmtId="164" xfId="0" applyAlignment="1" applyBorder="1" applyFont="1" applyNumberFormat="1">
      <alignment vertical="top"/>
    </xf>
    <xf borderId="4" fillId="7" fontId="3" numFmtId="0" xfId="0" applyAlignment="1" applyBorder="1" applyFont="1">
      <alignment horizontal="right" readingOrder="0" vertical="top"/>
    </xf>
    <xf borderId="4" fillId="8" fontId="9" numFmtId="0" xfId="0" applyAlignment="1" applyBorder="1" applyFill="1" applyFont="1">
      <alignment horizontal="right" readingOrder="0"/>
    </xf>
    <xf borderId="4" fillId="8" fontId="9" numFmtId="0" xfId="0" applyAlignment="1" applyBorder="1" applyFont="1">
      <alignment horizontal="right"/>
    </xf>
    <xf borderId="4" fillId="8" fontId="9" numFmtId="164" xfId="0" applyAlignment="1" applyBorder="1" applyFont="1" applyNumberFormat="1">
      <alignment horizontal="right"/>
    </xf>
    <xf borderId="1" fillId="4" fontId="10" numFmtId="0" xfId="0" applyAlignment="1" applyBorder="1" applyFont="1">
      <alignment horizontal="center" readingOrder="0" shrinkToFit="0" vertical="center" wrapText="1"/>
    </xf>
    <xf borderId="4" fillId="9" fontId="11" numFmtId="0" xfId="0" applyAlignment="1" applyBorder="1" applyFill="1" applyFont="1">
      <alignment horizontal="left" readingOrder="0" shrinkToFit="0" vertical="center" wrapText="1"/>
    </xf>
    <xf borderId="4" fillId="9" fontId="11" numFmtId="0" xfId="0" applyAlignment="1" applyBorder="1" applyFont="1">
      <alignment horizontal="left" shrinkToFit="0" vertical="center" wrapText="1"/>
    </xf>
    <xf borderId="4" fillId="9" fontId="11" numFmtId="165" xfId="0" applyAlignment="1" applyBorder="1" applyFont="1" applyNumberFormat="1">
      <alignment horizontal="left" shrinkToFit="0" vertical="center" wrapText="1"/>
    </xf>
    <xf borderId="4" fillId="9" fontId="11" numFmtId="165" xfId="0" applyAlignment="1" applyBorder="1" applyFont="1" applyNumberFormat="1">
      <alignment horizontal="left" readingOrder="0" shrinkToFit="0" vertical="center" wrapText="1"/>
    </xf>
    <xf borderId="4" fillId="9" fontId="11" numFmtId="0" xfId="0" applyAlignment="1" applyBorder="1" applyFont="1">
      <alignment horizontal="center" shrinkToFit="0" vertical="center" wrapText="1"/>
    </xf>
    <xf borderId="4" fillId="9" fontId="11" numFmtId="0" xfId="0" applyAlignment="1" applyBorder="1" applyFont="1">
      <alignment horizontal="left" vertical="center"/>
    </xf>
    <xf borderId="0" fillId="4" fontId="12" numFmtId="0" xfId="0" applyAlignment="1" applyFont="1">
      <alignment horizontal="center" readingOrder="0" vertical="center"/>
    </xf>
    <xf borderId="4" fillId="10" fontId="13" numFmtId="0" xfId="0" applyAlignment="1" applyBorder="1" applyFill="1" applyFont="1">
      <alignment horizontal="left" readingOrder="0" vertical="center"/>
    </xf>
    <xf borderId="0" fillId="10" fontId="8" numFmtId="0" xfId="0" applyAlignment="1" applyFont="1">
      <alignment horizontal="left" readingOrder="0" vertical="center"/>
    </xf>
    <xf borderId="4" fillId="10" fontId="13" numFmtId="166" xfId="0" applyAlignment="1" applyBorder="1" applyFont="1" applyNumberFormat="1">
      <alignment horizontal="left" readingOrder="0" vertical="center"/>
    </xf>
    <xf borderId="4" fillId="10" fontId="14" numFmtId="0" xfId="0" applyAlignment="1" applyBorder="1" applyFont="1">
      <alignment horizontal="left" readingOrder="0" vertical="center"/>
    </xf>
    <xf borderId="4" fillId="10" fontId="13" numFmtId="165" xfId="0" applyAlignment="1" applyBorder="1" applyFont="1" applyNumberFormat="1">
      <alignment horizontal="left" readingOrder="0" vertical="center"/>
    </xf>
    <xf borderId="4" fillId="10" fontId="14" numFmtId="167" xfId="0" applyAlignment="1" applyBorder="1" applyFont="1" applyNumberForma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4" fillId="10" fontId="13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left" readingOrder="0" shrinkToFit="0" vertical="center" wrapText="1"/>
    </xf>
    <xf borderId="4" fillId="0" fontId="13" numFmtId="0" xfId="0" applyAlignment="1" applyBorder="1" applyFont="1">
      <alignment horizontal="left" readingOrder="0" vertical="center"/>
    </xf>
    <xf borderId="4" fillId="0" fontId="15" numFmtId="0" xfId="0" applyAlignment="1" applyBorder="1" applyFont="1">
      <alignment horizontal="left" readingOrder="0" vertical="center"/>
    </xf>
    <xf borderId="4" fillId="0" fontId="13" numFmtId="0" xfId="0" applyAlignment="1" applyBorder="1" applyFont="1">
      <alignment horizontal="left" readingOrder="0" shrinkToFit="0" vertical="center" wrapText="1"/>
    </xf>
    <xf borderId="4" fillId="0" fontId="13" numFmtId="0" xfId="0" applyAlignment="1" applyBorder="1" applyFont="1">
      <alignment horizontal="left" vertical="center"/>
    </xf>
    <xf borderId="4" fillId="10" fontId="13" numFmtId="167" xfId="0" applyAlignment="1" applyBorder="1" applyFont="1" applyNumberFormat="1">
      <alignment horizontal="left" readingOrder="0" vertical="center"/>
    </xf>
    <xf borderId="4" fillId="11" fontId="13" numFmtId="167" xfId="0" applyAlignment="1" applyBorder="1" applyFill="1" applyFont="1" applyNumberFormat="1">
      <alignment horizontal="left" readingOrder="0" vertical="center"/>
    </xf>
    <xf borderId="4" fillId="10" fontId="14" numFmtId="165" xfId="0" applyAlignment="1" applyBorder="1" applyFont="1" applyNumberFormat="1">
      <alignment horizontal="left" readingOrder="0" vertical="center"/>
    </xf>
    <xf borderId="4" fillId="0" fontId="14" numFmtId="0" xfId="0" applyAlignment="1" applyBorder="1" applyFont="1">
      <alignment horizontal="left" readingOrder="0" vertical="center"/>
    </xf>
    <xf borderId="4" fillId="0" fontId="13" numFmtId="0" xfId="0" applyAlignment="1" applyBorder="1" applyFont="1">
      <alignment horizontal="left" readingOrder="0" shrinkToFit="0" vertical="center" wrapText="1"/>
    </xf>
    <xf borderId="4" fillId="0" fontId="16" numFmtId="0" xfId="0" applyAlignment="1" applyBorder="1" applyFont="1">
      <alignment horizontal="left" readingOrder="0" shrinkToFit="0" vertical="center" wrapText="1"/>
    </xf>
    <xf borderId="4" fillId="10" fontId="14" numFmtId="168" xfId="0" applyAlignment="1" applyBorder="1" applyFont="1" applyNumberFormat="1">
      <alignment horizontal="left" readingOrder="0" vertical="center"/>
    </xf>
    <xf borderId="4" fillId="0" fontId="17" numFmtId="0" xfId="0" applyAlignment="1" applyBorder="1" applyFont="1">
      <alignment horizontal="left" readingOrder="0" vertical="center"/>
    </xf>
    <xf borderId="4" fillId="0" fontId="14" numFmtId="167" xfId="0" applyAlignment="1" applyBorder="1" applyFont="1" applyNumberFormat="1">
      <alignment horizontal="left" readingOrder="0" vertical="center"/>
    </xf>
    <xf borderId="4" fillId="0" fontId="13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readingOrder="0"/>
    </xf>
    <xf borderId="4" fillId="10" fontId="13" numFmtId="0" xfId="0" applyAlignment="1" applyBorder="1" applyFont="1">
      <alignment horizontal="left" vertical="center"/>
    </xf>
    <xf borderId="4" fillId="10" fontId="14" numFmtId="0" xfId="0" applyAlignment="1" applyBorder="1" applyFont="1">
      <alignment horizontal="left" vertical="center"/>
    </xf>
    <xf borderId="4" fillId="11" fontId="13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left" readingOrder="0" shrinkToFit="0" vertical="center" wrapText="1"/>
    </xf>
    <xf borderId="4" fillId="10" fontId="19" numFmtId="0" xfId="0" applyAlignment="1" applyBorder="1" applyFont="1">
      <alignment horizontal="left" readingOrder="0" shrinkToFit="0" vertical="center" wrapText="1"/>
    </xf>
    <xf borderId="0" fillId="10" fontId="8" numFmtId="0" xfId="0" applyAlignment="1" applyFont="1">
      <alignment horizontal="left" vertical="center"/>
    </xf>
    <xf borderId="4" fillId="10" fontId="13" numFmtId="166" xfId="0" applyAlignment="1" applyBorder="1" applyFont="1" applyNumberFormat="1">
      <alignment horizontal="left" vertical="center"/>
    </xf>
    <xf borderId="4" fillId="10" fontId="13" numFmtId="165" xfId="0" applyAlignment="1" applyBorder="1" applyFont="1" applyNumberFormat="1">
      <alignment horizontal="left" vertical="center"/>
    </xf>
    <xf borderId="4" fillId="10" fontId="13" numFmtId="167" xfId="0" applyAlignment="1" applyBorder="1" applyFont="1" applyNumberFormat="1">
      <alignment horizontal="left" vertical="center"/>
    </xf>
    <xf borderId="0" fillId="0" fontId="3" numFmtId="0" xfId="0" applyAlignment="1" applyFont="1">
      <alignment horizontal="left" vertical="center"/>
    </xf>
    <xf borderId="4" fillId="10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left" vertical="center"/>
    </xf>
    <xf borderId="4" fillId="10" fontId="19" numFmtId="0" xfId="0" applyAlignment="1" applyBorder="1" applyFont="1">
      <alignment horizontal="left" readingOrder="0" vertical="center"/>
    </xf>
    <xf borderId="4" fillId="0" fontId="19" numFmtId="0" xfId="0" applyAlignment="1" applyBorder="1" applyFont="1">
      <alignment horizontal="left" readingOrder="0" shrinkToFit="0" vertical="center" wrapText="1"/>
    </xf>
    <xf borderId="4" fillId="10" fontId="13" numFmtId="168" xfId="0" applyAlignment="1" applyBorder="1" applyFont="1" applyNumberFormat="1">
      <alignment horizontal="left" readingOrder="0" vertical="center"/>
    </xf>
    <xf borderId="4" fillId="10" fontId="13" numFmtId="0" xfId="0" applyAlignment="1" applyBorder="1" applyFont="1">
      <alignment horizontal="left" vertical="center"/>
    </xf>
    <xf borderId="4" fillId="10" fontId="15" numFmtId="0" xfId="0" applyAlignment="1" applyBorder="1" applyFont="1">
      <alignment horizontal="left" readingOrder="0" shrinkToFit="0" vertical="center" wrapText="1"/>
    </xf>
    <xf borderId="4" fillId="0" fontId="15" numFmtId="0" xfId="0" applyAlignment="1" applyBorder="1" applyFont="1">
      <alignment horizontal="left" readingOrder="0" shrinkToFit="0" vertical="center" wrapText="1"/>
    </xf>
    <xf borderId="4" fillId="0" fontId="13" numFmtId="0" xfId="0" applyAlignment="1" applyBorder="1" applyFont="1">
      <alignment horizontal="left" shrinkToFit="0" vertical="center" wrapText="0"/>
    </xf>
    <xf borderId="4" fillId="0" fontId="15" numFmtId="0" xfId="0" applyAlignment="1" applyBorder="1" applyFont="1">
      <alignment horizontal="left" vertical="center"/>
    </xf>
    <xf borderId="4" fillId="0" fontId="13" numFmtId="165" xfId="0" applyAlignment="1" applyBorder="1" applyFont="1" applyNumberFormat="1">
      <alignment horizontal="left" readingOrder="0" vertical="center"/>
    </xf>
    <xf borderId="4" fillId="0" fontId="14" numFmtId="0" xfId="0" applyAlignment="1" applyBorder="1" applyFont="1">
      <alignment horizontal="left" vertical="center"/>
    </xf>
    <xf borderId="4" fillId="0" fontId="13" numFmtId="166" xfId="0" applyAlignment="1" applyBorder="1" applyFont="1" applyNumberFormat="1">
      <alignment horizontal="left" readingOrder="0" vertical="center"/>
    </xf>
    <xf borderId="0" fillId="10" fontId="20" numFmtId="0" xfId="0" applyAlignment="1" applyFont="1">
      <alignment readingOrder="0"/>
    </xf>
    <xf borderId="4" fillId="0" fontId="13" numFmtId="0" xfId="0" applyAlignment="1" applyBorder="1" applyFont="1">
      <alignment horizontal="left" readingOrder="0" shrinkToFit="0" vertical="center" wrapText="0"/>
    </xf>
    <xf borderId="0" fillId="0" fontId="20" numFmtId="0" xfId="0" applyAlignment="1" applyFont="1">
      <alignment horizontal="left" readingOrder="0"/>
    </xf>
    <xf borderId="4" fillId="0" fontId="15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left" readingOrder="0" vertical="center"/>
    </xf>
    <xf borderId="5" fillId="0" fontId="20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 readingOrder="0" vertical="center"/>
    </xf>
    <xf borderId="6" fillId="10" fontId="13" numFmtId="0" xfId="0" applyAlignment="1" applyBorder="1" applyFont="1">
      <alignment horizontal="left" readingOrder="0" vertical="center"/>
    </xf>
    <xf borderId="6" fillId="10" fontId="13" numFmtId="166" xfId="0" applyAlignment="1" applyBorder="1" applyFont="1" applyNumberFormat="1">
      <alignment horizontal="left" readingOrder="0" vertical="center"/>
    </xf>
    <xf borderId="6" fillId="10" fontId="15" numFmtId="0" xfId="0" applyAlignment="1" applyBorder="1" applyFont="1">
      <alignment horizontal="left" readingOrder="0" shrinkToFit="0" vertical="center" wrapText="1"/>
    </xf>
    <xf borderId="6" fillId="10" fontId="13" numFmtId="165" xfId="0" applyAlignment="1" applyBorder="1" applyFont="1" applyNumberFormat="1">
      <alignment horizontal="left" readingOrder="0" vertical="center"/>
    </xf>
    <xf borderId="6" fillId="10" fontId="13" numFmtId="167" xfId="0" applyAlignment="1" applyBorder="1" applyFont="1" applyNumberFormat="1">
      <alignment horizontal="left" readingOrder="0" vertical="center"/>
    </xf>
    <xf borderId="7" fillId="0" fontId="3" numFmtId="0" xfId="0" applyAlignment="1" applyBorder="1" applyFont="1">
      <alignment horizontal="left" readingOrder="0" vertical="center"/>
    </xf>
    <xf borderId="6" fillId="0" fontId="15" numFmtId="0" xfId="0" applyAlignment="1" applyBorder="1" applyFont="1">
      <alignment horizontal="left" readingOrder="0" shrinkToFit="0" vertical="center" wrapText="1"/>
    </xf>
    <xf borderId="6" fillId="0" fontId="13" numFmtId="0" xfId="0" applyAlignment="1" applyBorder="1" applyFont="1">
      <alignment horizontal="left" shrinkToFit="0" vertical="center" wrapText="1"/>
    </xf>
    <xf borderId="6" fillId="0" fontId="13" numFmtId="0" xfId="0" applyAlignment="1" applyBorder="1" applyFont="1">
      <alignment horizontal="left" shrinkToFit="0" vertical="center" wrapText="0"/>
    </xf>
    <xf borderId="6" fillId="0" fontId="15" numFmtId="0" xfId="0" applyAlignment="1" applyBorder="1" applyFont="1">
      <alignment horizontal="left" readingOrder="0" vertical="center"/>
    </xf>
    <xf borderId="8" fillId="10" fontId="13" numFmtId="0" xfId="0" applyAlignment="1" applyBorder="1" applyFont="1">
      <alignment horizontal="left" readingOrder="0" vertical="center"/>
    </xf>
    <xf borderId="8" fillId="10" fontId="13" numFmtId="166" xfId="0" applyAlignment="1" applyBorder="1" applyFont="1" applyNumberFormat="1">
      <alignment horizontal="left" readingOrder="0" vertical="center"/>
    </xf>
    <xf borderId="8" fillId="10" fontId="15" numFmtId="0" xfId="0" applyAlignment="1" applyBorder="1" applyFont="1">
      <alignment horizontal="left" readingOrder="0" shrinkToFit="0" vertical="center" wrapText="1"/>
    </xf>
    <xf borderId="8" fillId="10" fontId="13" numFmtId="165" xfId="0" applyAlignment="1" applyBorder="1" applyFont="1" applyNumberFormat="1">
      <alignment horizontal="left" readingOrder="0" vertical="center"/>
    </xf>
    <xf borderId="8" fillId="10" fontId="13" numFmtId="167" xfId="0" applyAlignment="1" applyBorder="1" applyFont="1" applyNumberFormat="1">
      <alignment horizontal="left" readingOrder="0" vertical="center"/>
    </xf>
    <xf borderId="9" fillId="0" fontId="3" numFmtId="0" xfId="0" applyAlignment="1" applyBorder="1" applyFont="1">
      <alignment horizontal="left" readingOrder="0" vertical="center"/>
    </xf>
    <xf borderId="8" fillId="0" fontId="15" numFmtId="0" xfId="0" applyAlignment="1" applyBorder="1" applyFont="1">
      <alignment horizontal="left" readingOrder="0" shrinkToFit="0" vertical="center" wrapText="1"/>
    </xf>
    <xf borderId="8" fillId="0" fontId="13" numFmtId="0" xfId="0" applyAlignment="1" applyBorder="1" applyFont="1">
      <alignment horizontal="left" shrinkToFit="0" vertical="center" wrapText="1"/>
    </xf>
    <xf borderId="8" fillId="0" fontId="13" numFmtId="0" xfId="0" applyAlignment="1" applyBorder="1" applyFont="1">
      <alignment horizontal="left" shrinkToFit="0" vertical="center" wrapText="0"/>
    </xf>
    <xf borderId="8" fillId="0" fontId="15" numFmtId="0" xfId="0" applyAlignment="1" applyBorder="1" applyFont="1">
      <alignment horizontal="left" vertical="center"/>
    </xf>
    <xf borderId="10" fillId="10" fontId="13" numFmtId="0" xfId="0" applyAlignment="1" applyBorder="1" applyFont="1">
      <alignment horizontal="left" readingOrder="0" vertical="center"/>
    </xf>
    <xf borderId="10" fillId="10" fontId="13" numFmtId="166" xfId="0" applyAlignment="1" applyBorder="1" applyFont="1" applyNumberFormat="1">
      <alignment horizontal="left" readingOrder="0" vertical="center"/>
    </xf>
    <xf borderId="10" fillId="10" fontId="15" numFmtId="0" xfId="0" applyAlignment="1" applyBorder="1" applyFont="1">
      <alignment horizontal="left" readingOrder="0" shrinkToFit="0" vertical="center" wrapText="1"/>
    </xf>
    <xf borderId="10" fillId="10" fontId="13" numFmtId="165" xfId="0" applyAlignment="1" applyBorder="1" applyFont="1" applyNumberFormat="1">
      <alignment horizontal="left" readingOrder="0" vertical="center"/>
    </xf>
    <xf borderId="10" fillId="10" fontId="13" numFmtId="167" xfId="0" applyAlignment="1" applyBorder="1" applyFont="1" applyNumberFormat="1">
      <alignment horizontal="left" readingOrder="0" vertical="center"/>
    </xf>
    <xf borderId="10" fillId="0" fontId="15" numFmtId="0" xfId="0" applyAlignment="1" applyBorder="1" applyFont="1">
      <alignment horizontal="left" readingOrder="0" shrinkToFit="0" vertical="center" wrapText="1"/>
    </xf>
    <xf borderId="10" fillId="0" fontId="13" numFmtId="0" xfId="0" applyAlignment="1" applyBorder="1" applyFont="1">
      <alignment horizontal="left" shrinkToFit="0" vertical="center" wrapText="1"/>
    </xf>
    <xf borderId="10" fillId="0" fontId="13" numFmtId="0" xfId="0" applyAlignment="1" applyBorder="1" applyFont="1">
      <alignment horizontal="left" shrinkToFit="0" vertical="center" wrapText="0"/>
    </xf>
    <xf borderId="10" fillId="0" fontId="15" numFmtId="0" xfId="0" applyAlignment="1" applyBorder="1" applyFont="1">
      <alignment horizontal="left" readingOrder="0" vertical="center"/>
    </xf>
    <xf borderId="4" fillId="10" fontId="15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10" fontId="13" numFmtId="168" xfId="0" applyAlignment="1" applyBorder="1" applyFont="1" applyNumberFormat="1">
      <alignment horizontal="left" vertical="center"/>
    </xf>
    <xf borderId="4" fillId="0" fontId="13" numFmtId="166" xfId="0" applyAlignment="1" applyBorder="1" applyFont="1" applyNumberFormat="1">
      <alignment horizontal="left" vertical="center"/>
    </xf>
    <xf borderId="1" fillId="8" fontId="21" numFmtId="0" xfId="0" applyAlignment="1" applyBorder="1" applyFont="1">
      <alignment horizontal="right" readingOrder="0" vertical="center"/>
    </xf>
    <xf borderId="11" fillId="12" fontId="22" numFmtId="0" xfId="0" applyAlignment="1" applyBorder="1" applyFill="1" applyFont="1">
      <alignment horizontal="center"/>
    </xf>
    <xf borderId="3" fillId="8" fontId="21" numFmtId="0" xfId="0" applyAlignment="1" applyBorder="1" applyFont="1">
      <alignment horizontal="right" readingOrder="0" vertical="center"/>
    </xf>
    <xf borderId="4" fillId="8" fontId="21" numFmtId="0" xfId="0" applyAlignment="1" applyBorder="1" applyFont="1">
      <alignment horizontal="center" vertical="center"/>
    </xf>
    <xf borderId="4" fillId="8" fontId="21" numFmtId="0" xfId="0" applyAlignment="1" applyBorder="1" applyFont="1">
      <alignment horizontal="left" vertical="center"/>
    </xf>
    <xf borderId="4" fillId="8" fontId="23" numFmtId="0" xfId="0" applyAlignment="1" applyBorder="1" applyFont="1">
      <alignment horizontal="left" vertical="center"/>
    </xf>
    <xf borderId="4" fillId="8" fontId="21" numFmtId="0" xfId="0" applyAlignment="1" applyBorder="1" applyFont="1">
      <alignment horizontal="right" readingOrder="0" vertical="center"/>
    </xf>
    <xf borderId="4" fillId="8" fontId="21" numFmtId="165" xfId="0" applyAlignment="1" applyBorder="1" applyFont="1" applyNumberFormat="1">
      <alignment horizontal="left" vertical="center"/>
    </xf>
    <xf borderId="4" fillId="8" fontId="23" numFmtId="167" xfId="0" applyAlignment="1" applyBorder="1" applyFont="1" applyNumberFormat="1">
      <alignment horizontal="left" vertical="center"/>
    </xf>
    <xf borderId="11" fillId="12" fontId="22" numFmtId="0" xfId="0" applyAlignment="1" applyBorder="1" applyFont="1">
      <alignment horizontal="center" vertical="center"/>
    </xf>
    <xf borderId="11" fillId="12" fontId="22" numFmtId="0" xfId="0" applyAlignment="1" applyBorder="1" applyFont="1">
      <alignment horizontal="center" vertical="center"/>
    </xf>
    <xf borderId="4" fillId="8" fontId="23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right"/>
    </xf>
    <xf borderId="0" fillId="0" fontId="8" numFmtId="0" xfId="0" applyAlignment="1" applyFont="1">
      <alignment horizontal="center"/>
    </xf>
    <xf borderId="0" fillId="0" fontId="21" numFmtId="0" xfId="0" applyAlignment="1" applyFont="1">
      <alignment horizontal="right" readingOrder="0" vertical="center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horizontal="left" vertical="center"/>
    </xf>
    <xf borderId="0" fillId="0" fontId="23" numFmtId="0" xfId="0" applyAlignment="1" applyFont="1">
      <alignment horizontal="left" vertical="center"/>
    </xf>
    <xf borderId="0" fillId="0" fontId="21" numFmtId="165" xfId="0" applyAlignment="1" applyFont="1" applyNumberFormat="1">
      <alignment horizontal="left" vertical="center"/>
    </xf>
    <xf borderId="0" fillId="0" fontId="23" numFmtId="167" xfId="0" applyAlignment="1" applyFont="1" applyNumberFormat="1">
      <alignment horizontal="left" vertical="center"/>
    </xf>
    <xf borderId="0" fillId="0" fontId="23" numFmtId="0" xfId="0" applyAlignment="1" applyFont="1">
      <alignment horizontal="left" shrinkToFit="0" vertical="center" wrapText="1"/>
    </xf>
    <xf borderId="0" fillId="5" fontId="24" numFmtId="0" xfId="0" applyAlignment="1" applyFont="1">
      <alignment horizontal="center" readingOrder="0"/>
    </xf>
    <xf borderId="0" fillId="10" fontId="3" numFmtId="0" xfId="0" applyAlignment="1" applyFont="1">
      <alignment horizontal="left" readingOrder="0" vertical="center"/>
    </xf>
    <xf borderId="4" fillId="0" fontId="25" numFmtId="0" xfId="0" applyAlignment="1" applyBorder="1" applyFont="1">
      <alignment shrinkToFit="0" wrapText="1"/>
    </xf>
    <xf borderId="4" fillId="0" fontId="25" numFmtId="0" xfId="0" applyBorder="1" applyFont="1"/>
    <xf borderId="4" fillId="0" fontId="8" numFmtId="0" xfId="0" applyBorder="1" applyFont="1"/>
    <xf borderId="0" fillId="0" fontId="26" numFmtId="0" xfId="0" applyAlignment="1" applyFont="1">
      <alignment horizontal="left" readingOrder="0"/>
    </xf>
    <xf borderId="4" fillId="0" fontId="14" numFmtId="0" xfId="0" applyAlignment="1" applyBorder="1" applyFont="1">
      <alignment horizontal="left" shrinkToFit="0" vertical="center" wrapText="1"/>
    </xf>
    <xf borderId="4" fillId="0" fontId="16" numFmtId="0" xfId="0" applyAlignment="1" applyBorder="1" applyFont="1">
      <alignment horizontal="left" shrinkToFit="0" vertical="center" wrapText="1"/>
    </xf>
    <xf borderId="0" fillId="0" fontId="27" numFmtId="0" xfId="0" applyAlignment="1" applyFont="1">
      <alignment readingOrder="0"/>
    </xf>
    <xf borderId="4" fillId="10" fontId="19" numFmtId="0" xfId="0" applyAlignment="1" applyBorder="1" applyFont="1">
      <alignment horizontal="left" readingOrder="0" vertical="center"/>
    </xf>
    <xf borderId="4" fillId="10" fontId="13" numFmtId="0" xfId="0" applyAlignment="1" applyBorder="1" applyFont="1">
      <alignment horizontal="left" readingOrder="0" shrinkToFit="0" vertical="center" wrapText="1"/>
    </xf>
    <xf borderId="4" fillId="10" fontId="14" numFmtId="0" xfId="0" applyAlignment="1" applyBorder="1" applyFont="1">
      <alignment horizontal="left" vertical="center"/>
    </xf>
    <xf borderId="4" fillId="10" fontId="14" numFmtId="167" xfId="0" applyAlignment="1" applyBorder="1" applyFont="1" applyNumberFormat="1">
      <alignment horizontal="left" vertical="center"/>
    </xf>
    <xf borderId="4" fillId="0" fontId="14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0" fontId="13" numFmtId="165" xfId="0" applyAlignment="1" applyBorder="1" applyFont="1" applyNumberFormat="1">
      <alignment horizontal="left" vertical="center"/>
    </xf>
    <xf borderId="4" fillId="13" fontId="14" numFmtId="167" xfId="0" applyAlignment="1" applyBorder="1" applyFill="1" applyFont="1" applyNumberFormat="1">
      <alignment horizontal="left" vertical="center"/>
    </xf>
    <xf borderId="4" fillId="8" fontId="11" numFmtId="0" xfId="0" applyAlignment="1" applyBorder="1" applyFont="1">
      <alignment horizontal="left" vertical="center"/>
    </xf>
    <xf borderId="4" fillId="8" fontId="11" numFmtId="165" xfId="0" applyAlignment="1" applyBorder="1" applyFont="1" applyNumberFormat="1">
      <alignment horizontal="left" vertical="center"/>
    </xf>
    <xf borderId="4" fillId="8" fontId="11" numFmtId="167" xfId="0" applyAlignment="1" applyBorder="1" applyFont="1" applyNumberFormat="1">
      <alignment horizontal="left" vertical="center"/>
    </xf>
    <xf borderId="4" fillId="8" fontId="11" numFmtId="0" xfId="0" applyAlignment="1" applyBorder="1" applyFont="1">
      <alignment horizontal="left" shrinkToFit="0" vertical="center" wrapText="1"/>
    </xf>
    <xf borderId="0" fillId="14" fontId="24" numFmtId="0" xfId="0" applyAlignment="1" applyFill="1" applyFont="1">
      <alignment horizontal="center" readingOrder="0"/>
    </xf>
    <xf borderId="4" fillId="10" fontId="14" numFmtId="0" xfId="0" applyAlignment="1" applyBorder="1" applyFont="1">
      <alignment horizontal="left" readingOrder="0" shrinkToFit="0" vertical="center" wrapText="1"/>
    </xf>
    <xf borderId="4" fillId="10" fontId="15" numFmtId="0" xfId="0" applyAlignment="1" applyBorder="1" applyFont="1">
      <alignment horizontal="left" readingOrder="0" shrinkToFit="0" vertical="center" wrapText="1"/>
    </xf>
    <xf borderId="4" fillId="10" fontId="15" numFmtId="0" xfId="0" applyAlignment="1" applyBorder="1" applyFont="1">
      <alignment horizontal="left" readingOrder="0" vertical="center"/>
    </xf>
    <xf borderId="4" fillId="10" fontId="15" numFmtId="166" xfId="0" applyAlignment="1" applyBorder="1" applyFont="1" applyNumberFormat="1">
      <alignment horizontal="left" readingOrder="0" vertical="center"/>
    </xf>
    <xf borderId="4" fillId="10" fontId="15" numFmtId="165" xfId="0" applyAlignment="1" applyBorder="1" applyFont="1" applyNumberFormat="1">
      <alignment horizontal="left" readingOrder="0" vertical="center"/>
    </xf>
    <xf borderId="4" fillId="10" fontId="15" numFmtId="167" xfId="0" applyAlignment="1" applyBorder="1" applyFont="1" applyNumberFormat="1">
      <alignment horizontal="left" readingOrder="0" vertical="center"/>
    </xf>
    <xf borderId="4" fillId="10" fontId="13" numFmtId="166" xfId="0" applyAlignment="1" applyBorder="1" applyFont="1" applyNumberFormat="1">
      <alignment horizontal="left" readingOrder="0" shrinkToFit="0" vertical="center" wrapText="1"/>
    </xf>
    <xf borderId="4" fillId="10" fontId="16" numFmtId="0" xfId="0" applyAlignment="1" applyBorder="1" applyFont="1">
      <alignment horizontal="left" readingOrder="0" shrinkToFit="0" vertical="center" wrapText="1"/>
    </xf>
    <xf borderId="4" fillId="10" fontId="19" numFmtId="167" xfId="0" applyAlignment="1" applyBorder="1" applyFont="1" applyNumberFormat="1">
      <alignment horizontal="left" readingOrder="0" vertical="center"/>
    </xf>
    <xf borderId="0" fillId="0" fontId="27" numFmtId="0" xfId="0" applyAlignment="1" applyFont="1">
      <alignment readingOrder="0" vertical="center"/>
    </xf>
    <xf borderId="4" fillId="10" fontId="14" numFmtId="165" xfId="0" applyAlignment="1" applyBorder="1" applyFont="1" applyNumberFormat="1">
      <alignment horizontal="left" vertical="center"/>
    </xf>
    <xf borderId="4" fillId="10" fontId="13" numFmtId="0" xfId="0" applyAlignment="1" applyBorder="1" applyFont="1">
      <alignment horizontal="left" shrinkToFit="0" vertical="center" wrapText="1"/>
    </xf>
    <xf borderId="4" fillId="10" fontId="28" numFmtId="0" xfId="0" applyAlignment="1" applyBorder="1" applyFont="1">
      <alignment horizontal="left" readingOrder="0" vertical="center"/>
    </xf>
    <xf borderId="4" fillId="10" fontId="19" numFmtId="165" xfId="0" applyAlignment="1" applyBorder="1" applyFont="1" applyNumberFormat="1">
      <alignment horizontal="left" readingOrder="0" vertical="center"/>
    </xf>
    <xf borderId="4" fillId="10" fontId="15" numFmtId="0" xfId="0" applyAlignment="1" applyBorder="1" applyFont="1">
      <alignment horizontal="left" vertical="center"/>
    </xf>
    <xf borderId="4" fillId="10" fontId="15" numFmtId="0" xfId="0" applyAlignment="1" applyBorder="1" applyFont="1">
      <alignment horizontal="left" shrinkToFit="0" vertical="center" wrapText="1"/>
    </xf>
    <xf borderId="4" fillId="10" fontId="15" numFmtId="166" xfId="0" applyAlignment="1" applyBorder="1" applyFont="1" applyNumberFormat="1">
      <alignment horizontal="left" vertical="center"/>
    </xf>
    <xf borderId="4" fillId="10" fontId="15" numFmtId="0" xfId="0" applyAlignment="1" applyBorder="1" applyFont="1">
      <alignment horizontal="left" vertical="center"/>
    </xf>
    <xf borderId="4" fillId="10" fontId="19" numFmtId="0" xfId="0" applyAlignment="1" applyBorder="1" applyFont="1">
      <alignment horizontal="left" vertical="center"/>
    </xf>
    <xf borderId="4" fillId="10" fontId="15" numFmtId="165" xfId="0" applyAlignment="1" applyBorder="1" applyFont="1" applyNumberFormat="1">
      <alignment horizontal="left" vertical="center"/>
    </xf>
    <xf borderId="4" fillId="10" fontId="19" numFmtId="167" xfId="0" applyAlignment="1" applyBorder="1" applyFont="1" applyNumberFormat="1">
      <alignment horizontal="left" vertical="center"/>
    </xf>
    <xf borderId="4" fillId="10" fontId="15" numFmtId="0" xfId="0" applyAlignment="1" applyBorder="1" applyFont="1">
      <alignment horizontal="left" shrinkToFit="0" vertical="center" wrapText="1"/>
    </xf>
    <xf borderId="4" fillId="10" fontId="15" numFmtId="168" xfId="0" applyAlignment="1" applyBorder="1" applyFont="1" applyNumberFormat="1">
      <alignment horizontal="left" readingOrder="0" vertical="center"/>
    </xf>
    <xf borderId="4" fillId="10" fontId="15" numFmtId="167" xfId="0" applyAlignment="1" applyBorder="1" applyFont="1" applyNumberFormat="1">
      <alignment horizontal="left" vertical="center"/>
    </xf>
    <xf borderId="4" fillId="10" fontId="19" numFmtId="0" xfId="0" applyAlignment="1" applyBorder="1" applyFont="1">
      <alignment horizontal="left" vertical="center"/>
    </xf>
    <xf borderId="4" fillId="10" fontId="15" numFmtId="168" xfId="0" applyAlignment="1" applyBorder="1" applyFont="1" applyNumberFormat="1">
      <alignment horizontal="left" vertical="center"/>
    </xf>
    <xf borderId="4" fillId="10" fontId="19" numFmtId="0" xfId="0" applyAlignment="1" applyBorder="1" applyFont="1">
      <alignment horizontal="left" shrinkToFit="0" vertical="center" wrapText="1"/>
    </xf>
    <xf borderId="4" fillId="0" fontId="15" numFmtId="166" xfId="0" applyAlignment="1" applyBorder="1" applyFont="1" applyNumberFormat="1">
      <alignment horizontal="left" vertical="center"/>
    </xf>
    <xf borderId="4" fillId="0" fontId="15" numFmtId="0" xfId="0" applyAlignment="1" applyBorder="1" applyFont="1">
      <alignment horizontal="left" vertical="center"/>
    </xf>
    <xf borderId="4" fillId="10" fontId="19" numFmtId="165" xfId="0" applyAlignment="1" applyBorder="1" applyFont="1" applyNumberFormat="1">
      <alignment horizontal="left" vertical="center"/>
    </xf>
    <xf borderId="4" fillId="10" fontId="28" numFmtId="167" xfId="0" applyAlignment="1" applyBorder="1" applyFont="1" applyNumberFormat="1">
      <alignment horizontal="left" vertical="center"/>
    </xf>
    <xf borderId="4" fillId="0" fontId="15" numFmtId="165" xfId="0" applyAlignment="1" applyBorder="1" applyFont="1" applyNumberFormat="1">
      <alignment horizontal="left" vertical="center"/>
    </xf>
    <xf borderId="4" fillId="0" fontId="15" numFmtId="0" xfId="0" applyAlignment="1" applyBorder="1" applyFont="1">
      <alignment horizontal="left" shrinkToFit="0" vertical="center" wrapText="1"/>
    </xf>
    <xf borderId="4" fillId="0" fontId="15" numFmtId="165" xfId="0" applyAlignment="1" applyBorder="1" applyFont="1" applyNumberFormat="1">
      <alignment horizontal="left" readingOrder="0" vertical="center"/>
    </xf>
    <xf borderId="4" fillId="8" fontId="29" numFmtId="0" xfId="0" applyAlignment="1" applyBorder="1" applyFont="1">
      <alignment horizontal="left" vertical="center"/>
    </xf>
    <xf borderId="4" fillId="8" fontId="29" numFmtId="167" xfId="0" applyAlignment="1" applyBorder="1" applyFont="1" applyNumberFormat="1">
      <alignment horizontal="left" vertical="center"/>
    </xf>
    <xf borderId="4" fillId="8" fontId="29" numFmtId="0" xfId="0" applyAlignment="1" applyBorder="1" applyFont="1">
      <alignment horizontal="left" shrinkToFit="0" vertical="center" wrapText="1"/>
    </xf>
    <xf borderId="4" fillId="8" fontId="21" numFmtId="165" xfId="0" applyAlignment="1" applyBorder="1" applyFont="1" applyNumberFormat="1">
      <alignment horizontal="center" vertical="center"/>
    </xf>
    <xf borderId="0" fillId="0" fontId="22" numFmtId="0" xfId="0" applyAlignment="1" applyFont="1">
      <alignment horizontal="center"/>
    </xf>
    <xf borderId="0" fillId="0" fontId="29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12" fillId="0" fontId="8" numFmtId="0" xfId="0" applyAlignment="1" applyBorder="1" applyFont="1">
      <alignment horizontal="right"/>
    </xf>
    <xf borderId="12" fillId="0" fontId="8" numFmtId="165" xfId="0" applyBorder="1" applyFont="1" applyNumberFormat="1"/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9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right"/>
    </xf>
    <xf borderId="0" fillId="0" fontId="8" numFmtId="165" xfId="0" applyFont="1" applyNumberFormat="1"/>
    <xf borderId="1" fillId="6" fontId="12" numFmtId="0" xfId="0" applyAlignment="1" applyBorder="1" applyFont="1">
      <alignment horizontal="center" readingOrder="0" shrinkToFit="0" vertical="center" wrapText="1"/>
    </xf>
    <xf borderId="4" fillId="15" fontId="13" numFmtId="0" xfId="0" applyAlignment="1" applyBorder="1" applyFill="1" applyFont="1">
      <alignment horizontal="left" readingOrder="0" vertical="center"/>
    </xf>
    <xf borderId="4" fillId="16" fontId="15" numFmtId="0" xfId="0" applyAlignment="1" applyBorder="1" applyFill="1" applyFont="1">
      <alignment horizontal="left" readingOrder="0" vertical="center"/>
    </xf>
    <xf borderId="0" fillId="0" fontId="30" numFmtId="0" xfId="0" applyAlignment="1" applyFont="1">
      <alignment horizontal="left" readingOrder="0" vertical="center"/>
    </xf>
    <xf borderId="4" fillId="10" fontId="13" numFmtId="166" xfId="0" applyAlignment="1" applyBorder="1" applyFont="1" applyNumberFormat="1">
      <alignment horizontal="left" readingOrder="0"/>
    </xf>
    <xf borderId="4" fillId="15" fontId="13" numFmtId="0" xfId="0" applyAlignment="1" applyBorder="1" applyFont="1">
      <alignment horizontal="left" readingOrder="0"/>
    </xf>
    <xf borderId="4" fillId="10" fontId="13" numFmtId="0" xfId="0" applyAlignment="1" applyBorder="1" applyFont="1">
      <alignment horizontal="left" readingOrder="0"/>
    </xf>
    <xf borderId="4" fillId="10" fontId="13" numFmtId="165" xfId="0" applyAlignment="1" applyBorder="1" applyFont="1" applyNumberFormat="1">
      <alignment horizontal="left" readingOrder="0"/>
    </xf>
    <xf borderId="4" fillId="10" fontId="13" numFmtId="167" xfId="0" applyAlignment="1" applyBorder="1" applyFont="1" applyNumberFormat="1">
      <alignment horizontal="left" readingOrder="0"/>
    </xf>
    <xf borderId="4" fillId="0" fontId="13" numFmtId="0" xfId="0" applyAlignment="1" applyBorder="1" applyFont="1">
      <alignment horizontal="left" readingOrder="0" shrinkToFit="0" wrapText="1"/>
    </xf>
    <xf borderId="4" fillId="10" fontId="14" numFmtId="0" xfId="0" applyAlignment="1" applyBorder="1" applyFont="1">
      <alignment horizontal="left" readingOrder="0"/>
    </xf>
    <xf borderId="4" fillId="15" fontId="13" numFmtId="0" xfId="0" applyAlignment="1" applyBorder="1" applyFont="1">
      <alignment horizontal="left" readingOrder="0" vertical="center"/>
    </xf>
    <xf borderId="4" fillId="10" fontId="13" numFmtId="0" xfId="0" applyAlignment="1" applyBorder="1" applyFont="1">
      <alignment horizontal="left" shrinkToFit="0" vertical="center" wrapText="1"/>
    </xf>
    <xf borderId="4" fillId="10" fontId="14" numFmtId="0" xfId="0" applyAlignment="1" applyBorder="1" applyFont="1">
      <alignment horizontal="left" shrinkToFit="0" vertical="center" wrapText="1"/>
    </xf>
    <xf borderId="4" fillId="10" fontId="13" numFmtId="166" xfId="0" applyAlignment="1" applyBorder="1" applyFont="1" applyNumberFormat="1">
      <alignment horizontal="left" vertical="bottom"/>
    </xf>
    <xf borderId="4" fillId="10" fontId="13" numFmtId="0" xfId="0" applyAlignment="1" applyBorder="1" applyFont="1">
      <alignment horizontal="left" vertical="bottom"/>
    </xf>
    <xf borderId="4" fillId="10" fontId="15" numFmtId="0" xfId="0" applyAlignment="1" applyBorder="1" applyFont="1">
      <alignment horizontal="left" readingOrder="0" shrinkToFit="0" vertical="bottom" wrapText="1"/>
    </xf>
    <xf borderId="4" fillId="10" fontId="13" numFmtId="165" xfId="0" applyAlignment="1" applyBorder="1" applyFont="1" applyNumberFormat="1">
      <alignment horizontal="left" vertical="bottom"/>
    </xf>
    <xf borderId="4" fillId="10" fontId="13" numFmtId="167" xfId="0" applyAlignment="1" applyBorder="1" applyFont="1" applyNumberFormat="1">
      <alignment horizontal="left" vertical="bottom"/>
    </xf>
    <xf borderId="4" fillId="10" fontId="15" numFmtId="0" xfId="0" applyAlignment="1" applyBorder="1" applyFont="1">
      <alignment horizontal="left" shrinkToFit="0" vertical="bottom" wrapText="1"/>
    </xf>
    <xf borderId="4" fillId="10" fontId="13" numFmtId="0" xfId="0" applyAlignment="1" applyBorder="1" applyFont="1">
      <alignment horizontal="left" shrinkToFit="0" vertical="bottom" wrapText="1"/>
    </xf>
    <xf borderId="4" fillId="10" fontId="13" numFmtId="0" xfId="0" applyAlignment="1" applyBorder="1" applyFont="1">
      <alignment horizontal="left" shrinkToFit="0" vertical="bottom" wrapText="0"/>
    </xf>
    <xf borderId="4" fillId="10" fontId="15" numFmtId="0" xfId="0" applyAlignment="1" applyBorder="1" applyFont="1">
      <alignment horizontal="left" vertical="bottom"/>
    </xf>
    <xf borderId="1" fillId="7" fontId="12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left" readingOrder="0"/>
    </xf>
    <xf borderId="4" fillId="10" fontId="13" numFmtId="0" xfId="0" applyAlignment="1" applyBorder="1" applyFont="1">
      <alignment horizontal="left" readingOrder="0" shrinkToFit="0" wrapText="1"/>
    </xf>
    <xf borderId="4" fillId="0" fontId="14" numFmtId="0" xfId="0" applyAlignment="1" applyBorder="1" applyFont="1">
      <alignment horizontal="left" readingOrder="0"/>
    </xf>
    <xf borderId="4" fillId="10" fontId="13" numFmtId="0" xfId="0" applyAlignment="1" applyBorder="1" applyFont="1">
      <alignment horizontal="left"/>
    </xf>
    <xf borderId="4" fillId="10" fontId="14" numFmtId="0" xfId="0" applyAlignment="1" applyBorder="1" applyFont="1">
      <alignment horizontal="left" shrinkToFit="0" vertical="center" wrapText="1"/>
    </xf>
    <xf borderId="4" fillId="10" fontId="16" numFmtId="0" xfId="0" applyAlignment="1" applyBorder="1" applyFont="1">
      <alignment horizontal="left" readingOrder="0" shrinkToFit="0" wrapText="1"/>
    </xf>
    <xf borderId="13" fillId="16" fontId="12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16" fontId="12" numFmtId="0" xfId="0" applyAlignment="1" applyBorder="1" applyFont="1">
      <alignment horizontal="center" readingOrder="0" shrinkToFit="0" vertical="center" wrapText="1"/>
    </xf>
    <xf borderId="17" fillId="0" fontId="12" numFmtId="169" xfId="0" applyAlignment="1" applyBorder="1" applyFont="1" applyNumberFormat="1">
      <alignment horizontal="center" readingOrder="0" shrinkToFit="0" vertical="center" wrapText="1"/>
    </xf>
    <xf borderId="17" fillId="0" fontId="17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horizontal="center" shrinkToFit="0" vertical="center" wrapText="1"/>
    </xf>
    <xf borderId="19" fillId="0" fontId="24" numFmtId="0" xfId="0" applyAlignment="1" applyBorder="1" applyFont="1">
      <alignment horizontal="center" readingOrder="0" shrinkToFit="0" vertical="center" wrapText="1"/>
    </xf>
    <xf borderId="20" fillId="0" fontId="24" numFmtId="0" xfId="0" applyAlignment="1" applyBorder="1" applyFont="1">
      <alignment horizontal="center" readingOrder="0" shrinkToFit="0" vertical="center" wrapText="1"/>
    </xf>
    <xf borderId="17" fillId="0" fontId="12" numFmtId="0" xfId="0" applyAlignment="1" applyBorder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vertical="center"/>
    </xf>
    <xf borderId="0" fillId="0" fontId="32" numFmtId="0" xfId="0" applyAlignment="1" applyFont="1">
      <alignment vertical="center"/>
    </xf>
    <xf borderId="0" fillId="2" fontId="33" numFmtId="0" xfId="0" applyAlignment="1" applyFont="1">
      <alignment readingOrder="0"/>
    </xf>
    <xf borderId="0" fillId="10" fontId="34" numFmtId="0" xfId="0" applyAlignment="1" applyFont="1">
      <alignment readingOrder="0"/>
    </xf>
    <xf borderId="0" fillId="10" fontId="35" numFmtId="0" xfId="0" applyAlignment="1" applyFont="1">
      <alignment readingOrder="0"/>
    </xf>
    <xf borderId="0" fillId="0" fontId="31" numFmtId="0" xfId="0" applyAlignment="1" applyFont="1">
      <alignment horizontal="left" readingOrder="0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0" fillId="17" fontId="33" numFmtId="0" xfId="0" applyAlignment="1" applyFill="1" applyFont="1">
      <alignment readingOrder="0" vertical="top"/>
    </xf>
    <xf borderId="0" fillId="10" fontId="34" numFmtId="0" xfId="0" applyAlignment="1" applyFont="1">
      <alignment readingOrder="0" vertical="top"/>
    </xf>
    <xf borderId="0" fillId="11" fontId="33" numFmtId="0" xfId="0" applyAlignment="1" applyFont="1">
      <alignment readingOrder="0"/>
    </xf>
    <xf borderId="0" fillId="10" fontId="34" numFmtId="0" xfId="0" applyFont="1"/>
    <xf borderId="0" fillId="18" fontId="33" numFmtId="0" xfId="0" applyAlignment="1" applyFill="1" applyFont="1">
      <alignment readingOrder="0" vertical="top"/>
    </xf>
    <xf borderId="0" fillId="18" fontId="34" numFmtId="0" xfId="0" applyAlignment="1" applyFont="1">
      <alignment readingOrder="0" vertical="top"/>
    </xf>
    <xf borderId="0" fillId="18" fontId="35" numFmtId="0" xfId="0" applyAlignment="1" applyFont="1">
      <alignment vertical="top"/>
    </xf>
    <xf borderId="0" fillId="0" fontId="31" numFmtId="0" xfId="0" applyAlignment="1" applyFont="1">
      <alignment horizontal="center" readingOrder="0" shrinkToFit="0" vertical="center" wrapText="1"/>
    </xf>
    <xf borderId="0" fillId="18" fontId="33" numFmtId="0" xfId="0" applyAlignment="1" applyFont="1">
      <alignment readingOrder="0"/>
    </xf>
    <xf borderId="0" fillId="18" fontId="34" numFmtId="0" xfId="0" applyAlignment="1" applyFont="1">
      <alignment readingOrder="0"/>
    </xf>
    <xf borderId="0" fillId="18" fontId="35" numFmtId="0" xfId="0" applyFont="1"/>
    <xf borderId="0" fillId="10" fontId="35" numFmtId="0" xfId="0" applyFont="1"/>
    <xf borderId="0" fillId="0" fontId="32" numFmtId="0" xfId="0" applyAlignment="1" applyFont="1">
      <alignment readingOrder="0" vertical="center"/>
    </xf>
    <xf borderId="0" fillId="0" fontId="32" numFmtId="0" xfId="0" applyAlignment="1" applyFont="1">
      <alignment horizontal="left" readingOrder="0" vertical="center"/>
    </xf>
    <xf borderId="0" fillId="0" fontId="31" numFmtId="0" xfId="0" applyAlignment="1" applyFont="1">
      <alignment horizontal="left" readingOrder="0" vertical="center"/>
    </xf>
    <xf borderId="0" fillId="18" fontId="36" numFmtId="0" xfId="0" applyAlignment="1" applyFont="1">
      <alignment readingOrder="0" vertical="top"/>
    </xf>
    <xf borderId="0" fillId="17" fontId="33" numFmtId="0" xfId="0" applyAlignment="1" applyFont="1">
      <alignment readingOrder="0"/>
    </xf>
    <xf borderId="0" fillId="0" fontId="32" numFmtId="0" xfId="0" applyFont="1"/>
    <xf borderId="0" fillId="0" fontId="32" numFmtId="0" xfId="0" applyFont="1"/>
    <xf borderId="0" fillId="0" fontId="31" numFmtId="0" xfId="0" applyAlignment="1" applyFont="1">
      <alignment horizontal="left" readingOrder="0" shrinkToFit="0" wrapText="1"/>
    </xf>
    <xf borderId="0" fillId="0" fontId="32" numFmtId="0" xfId="0" applyAlignment="1" applyFont="1">
      <alignment horizontal="center" vertical="center"/>
    </xf>
    <xf borderId="0" fillId="2" fontId="33" numFmtId="0" xfId="0" applyAlignment="1" applyFont="1">
      <alignment readingOrder="0" vertical="top"/>
    </xf>
    <xf borderId="0" fillId="10" fontId="35" numFmtId="0" xfId="0" applyAlignment="1" applyFont="1">
      <alignment readingOrder="0" vertical="top"/>
    </xf>
    <xf borderId="0" fillId="0" fontId="12" numFmtId="0" xfId="0" applyAlignment="1" applyFont="1">
      <alignment horizontal="left" readingOrder="0" shrinkToFit="0" vertical="center" wrapText="1"/>
    </xf>
    <xf borderId="0" fillId="17" fontId="33" numFmtId="0" xfId="0" applyFont="1"/>
    <xf borderId="0" fillId="10" fontId="34" numFmtId="0" xfId="0" applyAlignment="1" applyFont="1">
      <alignment vertical="top"/>
    </xf>
    <xf borderId="0" fillId="10" fontId="35" numFmtId="0" xfId="0" applyFont="1"/>
    <xf borderId="0" fillId="0" fontId="34" numFmtId="0" xfId="0" applyAlignment="1" applyFont="1">
      <alignment horizontal="left" shrinkToFit="0" vertical="center" wrapText="1"/>
    </xf>
    <xf borderId="0" fillId="10" fontId="34" numFmtId="0" xfId="0" applyAlignment="1" applyFont="1">
      <alignment readingOrder="0" vertical="bottom"/>
    </xf>
    <xf borderId="0" fillId="0" fontId="34" numFmtId="0" xfId="0" applyAlignment="1" applyFont="1">
      <alignment horizontal="left" readingOrder="0" shrinkToFit="0" vertical="center" wrapText="1"/>
    </xf>
    <xf borderId="0" fillId="10" fontId="34" numFmtId="0" xfId="0" applyAlignment="1" applyFont="1">
      <alignment horizontal="center" readingOrder="0"/>
    </xf>
    <xf borderId="0" fillId="0" fontId="32" numFmtId="0" xfId="0" applyAlignment="1" applyFont="1">
      <alignment horizontal="center" readingOrder="0" vertical="center"/>
    </xf>
    <xf borderId="0" fillId="11" fontId="33" numFmtId="0" xfId="0" applyAlignment="1" applyFont="1">
      <alignment readingOrder="0" vertical="top"/>
    </xf>
    <xf borderId="0" fillId="2" fontId="37" numFmtId="0" xfId="0" applyFont="1"/>
    <xf borderId="0" fillId="10" fontId="8" numFmtId="0" xfId="0" applyAlignment="1" applyFont="1">
      <alignment shrinkToFit="0" wrapText="1"/>
    </xf>
    <xf borderId="0" fillId="10" fontId="31" numFmtId="0" xfId="0" applyAlignment="1" applyFont="1">
      <alignment horizontal="right" vertical="top"/>
    </xf>
    <xf borderId="4" fillId="2" fontId="33" numFmtId="0" xfId="0" applyAlignment="1" applyBorder="1" applyFont="1">
      <alignment readingOrder="0"/>
    </xf>
    <xf borderId="4" fillId="10" fontId="34" numFmtId="0" xfId="0" applyAlignment="1" applyBorder="1" applyFont="1">
      <alignment readingOrder="0"/>
    </xf>
    <xf borderId="0" fillId="10" fontId="36" numFmtId="0" xfId="0" applyAlignment="1" applyFont="1">
      <alignment readingOrder="0" vertical="top"/>
    </xf>
    <xf borderId="0" fillId="0" fontId="38" numFmtId="0" xfId="0" applyAlignment="1" applyFont="1">
      <alignment horizontal="left" readingOrder="0" shrinkToFit="0" vertical="center" wrapText="1"/>
    </xf>
    <xf borderId="0" fillId="18" fontId="39" numFmtId="0" xfId="0" applyAlignment="1" applyFont="1">
      <alignment readingOrder="0" vertical="top"/>
    </xf>
    <xf borderId="0" fillId="2" fontId="39" numFmtId="0" xfId="0" applyAlignment="1" applyFont="1">
      <alignment readingOrder="0" vertical="top"/>
    </xf>
    <xf borderId="0" fillId="10" fontId="35" numFmtId="0" xfId="0" applyAlignment="1" applyFont="1">
      <alignment vertical="top"/>
    </xf>
    <xf borderId="0" fillId="10" fontId="39" numFmtId="0" xfId="0" applyAlignment="1" applyFont="1">
      <alignment readingOrder="0"/>
    </xf>
    <xf borderId="0" fillId="10" fontId="39" numFmtId="0" xfId="0" applyAlignment="1" applyFont="1">
      <alignment readingOrder="0" vertical="top"/>
    </xf>
    <xf borderId="0" fillId="0" fontId="40" numFmtId="0" xfId="0" applyAlignment="1" applyFont="1">
      <alignment shrinkToFit="0" vertical="center" wrapText="1"/>
    </xf>
    <xf borderId="0" fillId="0" fontId="34" numFmtId="0" xfId="0" applyAlignment="1" applyFont="1">
      <alignment horizontal="center" readingOrder="0" vertical="center"/>
    </xf>
    <xf borderId="0" fillId="0" fontId="31" numFmtId="0" xfId="0" applyAlignment="1" applyFont="1">
      <alignment readingOrder="0" shrinkToFit="0" vertical="center" wrapText="1"/>
    </xf>
    <xf borderId="0" fillId="0" fontId="32" numFmtId="0" xfId="0" applyAlignment="1" applyFont="1">
      <alignment vertical="center"/>
    </xf>
    <xf borderId="0" fillId="10" fontId="35" numFmtId="0" xfId="0" applyAlignment="1" applyFont="1">
      <alignment vertical="top"/>
    </xf>
    <xf borderId="0" fillId="10" fontId="39" numFmtId="0" xfId="0" applyAlignment="1" applyFont="1">
      <alignment readingOrder="0" vertical="bottom"/>
    </xf>
    <xf borderId="0" fillId="10" fontId="36" numFmtId="0" xfId="0" applyAlignment="1" applyFont="1">
      <alignment readingOrder="0" vertical="bottom"/>
    </xf>
    <xf borderId="0" fillId="10" fontId="35" numFmtId="0" xfId="0" applyAlignment="1" applyFont="1">
      <alignment vertical="bottom"/>
    </xf>
    <xf borderId="0" fillId="10" fontId="17" numFmtId="0" xfId="0" applyAlignment="1" applyFont="1">
      <alignment horizontal="left" readingOrder="0" vertical="center"/>
    </xf>
    <xf borderId="0" fillId="10" fontId="34" numFmtId="0" xfId="0" applyAlignment="1" applyFont="1">
      <alignment horizontal="right" readingOrder="0" vertical="center"/>
    </xf>
    <xf borderId="0" fillId="10" fontId="31" numFmtId="0" xfId="0" applyAlignment="1" applyFont="1">
      <alignment horizontal="center" readingOrder="0" vertical="center"/>
    </xf>
    <xf borderId="0" fillId="10" fontId="32" numFmtId="0" xfId="0" applyAlignment="1" applyFont="1">
      <alignment vertical="center"/>
    </xf>
    <xf borderId="0" fillId="10" fontId="31" numFmtId="0" xfId="0" applyAlignment="1" applyFont="1">
      <alignment horizontal="right" readingOrder="0" vertical="center"/>
    </xf>
    <xf borderId="0" fillId="10" fontId="17" numFmtId="0" xfId="0" applyAlignment="1" applyFont="1">
      <alignment horizontal="center" readingOrder="0" vertical="center"/>
    </xf>
    <xf borderId="0" fillId="10" fontId="31" numFmtId="0" xfId="0" applyAlignment="1" applyFont="1">
      <alignment readingOrder="0" vertical="center"/>
    </xf>
    <xf borderId="0" fillId="10" fontId="38" numFmtId="0" xfId="0" applyAlignment="1" applyFont="1">
      <alignment horizontal="right" readingOrder="0" shrinkToFit="0" vertical="center" wrapText="1"/>
    </xf>
    <xf borderId="0" fillId="10" fontId="32" numFmtId="0" xfId="0" applyAlignment="1" applyFont="1">
      <alignment horizontal="center" vertical="center"/>
    </xf>
    <xf borderId="0" fillId="8" fontId="12" numFmtId="0" xfId="0" applyAlignment="1" applyFont="1">
      <alignment horizontal="center" vertical="center"/>
    </xf>
    <xf borderId="0" fillId="8" fontId="32" numFmtId="0" xfId="0" applyAlignment="1" applyFont="1">
      <alignment readingOrder="0" vertical="center"/>
    </xf>
    <xf borderId="0" fillId="8" fontId="32" numFmtId="0" xfId="0" applyAlignment="1" applyFont="1">
      <alignment horizontal="center" vertical="center"/>
    </xf>
    <xf borderId="0" fillId="8" fontId="32" numFmtId="0" xfId="0" applyAlignment="1" applyFont="1">
      <alignment vertical="center"/>
    </xf>
    <xf borderId="13" fillId="16" fontId="10" numFmtId="0" xfId="0" applyAlignment="1" applyBorder="1" applyFont="1">
      <alignment horizontal="center" readingOrder="0" shrinkToFit="0" vertical="center" wrapText="1"/>
    </xf>
    <xf borderId="21" fillId="16" fontId="10" numFmtId="0" xfId="0" applyAlignment="1" applyBorder="1" applyFont="1">
      <alignment horizontal="center" readingOrder="0" shrinkToFit="0" vertical="center" wrapText="1"/>
    </xf>
    <xf borderId="4" fillId="0" fontId="10" numFmtId="169" xfId="0" applyAlignment="1" applyBorder="1" applyFont="1" applyNumberForma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41" numFmtId="0" xfId="0" applyAlignment="1" applyBorder="1" applyFont="1">
      <alignment horizontal="center" shrinkToFit="0" vertical="center" wrapText="1"/>
    </xf>
    <xf borderId="1" fillId="0" fontId="10" numFmtId="169" xfId="0" applyAlignment="1" applyBorder="1" applyFont="1" applyNumberFormat="1">
      <alignment horizontal="center" readingOrder="0" shrinkToFit="0" vertical="center" wrapText="1"/>
    </xf>
    <xf borderId="22" fillId="0" fontId="10" numFmtId="0" xfId="0" applyAlignment="1" applyBorder="1" applyFont="1">
      <alignment horizontal="center" readingOrder="0" shrinkToFit="0" vertical="center" wrapText="1"/>
    </xf>
    <xf borderId="4" fillId="0" fontId="42" numFmtId="0" xfId="0" applyBorder="1" applyFont="1"/>
    <xf borderId="4" fillId="0" fontId="42" numFmtId="0" xfId="0" applyBorder="1" applyFont="1"/>
    <xf borderId="4" fillId="11" fontId="43" numFmtId="0" xfId="0" applyAlignment="1" applyBorder="1" applyFont="1">
      <alignment horizontal="left" readingOrder="0" vertical="center"/>
    </xf>
    <xf borderId="4" fillId="11" fontId="44" numFmtId="0" xfId="0" applyAlignment="1" applyBorder="1" applyFont="1">
      <alignment horizontal="left" readingOrder="0" vertical="center"/>
    </xf>
    <xf borderId="4" fillId="0" fontId="44" numFmtId="0" xfId="0" applyAlignment="1" applyBorder="1" applyFont="1">
      <alignment readingOrder="0"/>
    </xf>
    <xf borderId="4" fillId="0" fontId="44" numFmtId="0" xfId="0" applyAlignment="1" applyBorder="1" applyFont="1">
      <alignment horizontal="center"/>
    </xf>
    <xf borderId="4" fillId="0" fontId="44" numFmtId="0" xfId="0" applyAlignment="1" applyBorder="1" applyFont="1">
      <alignment horizontal="center"/>
    </xf>
    <xf borderId="10" fillId="0" fontId="42" numFmtId="0" xfId="0" applyBorder="1" applyFont="1"/>
    <xf borderId="4" fillId="11" fontId="45" numFmtId="0" xfId="0" applyAlignment="1" applyBorder="1" applyFont="1">
      <alignment horizontal="left" readingOrder="0" vertical="center"/>
    </xf>
    <xf borderId="4" fillId="0" fontId="44" numFmtId="0" xfId="0" applyAlignment="1" applyBorder="1" applyFont="1">
      <alignment horizontal="left" readingOrder="0" vertical="center"/>
    </xf>
    <xf borderId="4" fillId="0" fontId="42" numFmtId="0" xfId="0" applyAlignment="1" applyBorder="1" applyFont="1">
      <alignment readingOrder="0"/>
    </xf>
    <xf borderId="4" fillId="0" fontId="44" numFmtId="0" xfId="0" applyAlignment="1" applyBorder="1" applyFont="1">
      <alignment horizontal="left" readingOrder="0" shrinkToFit="0" vertical="center" wrapText="1"/>
    </xf>
    <xf borderId="0" fillId="0" fontId="44" numFmtId="0" xfId="0" applyAlignment="1" applyFont="1">
      <alignment horizontal="left" readingOrder="0" vertical="center"/>
    </xf>
    <xf borderId="4" fillId="17" fontId="43" numFmtId="0" xfId="0" applyAlignment="1" applyBorder="1" applyFont="1">
      <alignment horizontal="left" readingOrder="0" vertical="center"/>
    </xf>
    <xf borderId="4" fillId="17" fontId="45" numFmtId="0" xfId="0" applyAlignment="1" applyBorder="1" applyFont="1">
      <alignment horizontal="left" readingOrder="0" vertical="center"/>
    </xf>
    <xf borderId="4" fillId="17" fontId="44" numFmtId="0" xfId="0" applyAlignment="1" applyBorder="1" applyFont="1">
      <alignment horizontal="left" readingOrder="0" vertical="center"/>
    </xf>
    <xf borderId="4" fillId="0" fontId="44" numFmtId="0" xfId="0" applyAlignment="1" applyBorder="1" applyFont="1">
      <alignment horizontal="left" shrinkToFit="0" vertical="center" wrapText="1"/>
    </xf>
    <xf borderId="4" fillId="0" fontId="46" numFmtId="0" xfId="0" applyAlignment="1" applyBorder="1" applyFont="1">
      <alignment horizontal="left" readingOrder="0" shrinkToFit="0" vertical="center" wrapText="1"/>
    </xf>
    <xf borderId="4" fillId="0" fontId="42" numFmtId="0" xfId="0" applyAlignment="1" applyBorder="1" applyFont="1">
      <alignment horizontal="center"/>
    </xf>
    <xf borderId="4" fillId="2" fontId="43" numFmtId="0" xfId="0" applyAlignment="1" applyBorder="1" applyFont="1">
      <alignment horizontal="left" readingOrder="0" vertical="center"/>
    </xf>
    <xf borderId="4" fillId="2" fontId="45" numFmtId="0" xfId="0" applyAlignment="1" applyBorder="1" applyFont="1">
      <alignment horizontal="left" readingOrder="0" vertical="center"/>
    </xf>
    <xf borderId="4" fillId="2" fontId="44" numFmtId="0" xfId="0" applyAlignment="1" applyBorder="1" applyFont="1">
      <alignment horizontal="left" readingOrder="0" vertical="center"/>
    </xf>
    <xf borderId="4" fillId="0" fontId="42" numFmtId="0" xfId="0" applyAlignment="1" applyBorder="1" applyFont="1">
      <alignment horizontal="left" readingOrder="0" vertical="center"/>
    </xf>
    <xf borderId="4" fillId="0" fontId="43" numFmtId="0" xfId="0" applyAlignment="1" applyBorder="1" applyFont="1">
      <alignment horizontal="left" readingOrder="0" vertical="center"/>
    </xf>
    <xf borderId="4" fillId="0" fontId="44" numFmtId="0" xfId="0" applyAlignment="1" applyBorder="1" applyFont="1">
      <alignment horizontal="left" vertical="center"/>
    </xf>
    <xf borderId="4" fillId="2" fontId="41" numFmtId="0" xfId="0" applyAlignment="1" applyBorder="1" applyFont="1">
      <alignment horizontal="left" readingOrder="0" shrinkToFit="0" vertical="center" wrapText="1"/>
    </xf>
    <xf borderId="4" fillId="10" fontId="43" numFmtId="0" xfId="0" applyAlignment="1" applyBorder="1" applyFont="1">
      <alignment horizontal="left" readingOrder="0" vertical="center"/>
    </xf>
    <xf borderId="4" fillId="10" fontId="44" numFmtId="0" xfId="0" applyAlignment="1" applyBorder="1" applyFont="1">
      <alignment horizontal="left" readingOrder="0" vertical="center"/>
    </xf>
    <xf borderId="4" fillId="10" fontId="42" numFmtId="165" xfId="0" applyBorder="1" applyFont="1" applyNumberFormat="1"/>
    <xf borderId="4" fillId="2" fontId="41" numFmtId="0" xfId="0" applyAlignment="1" applyBorder="1" applyFont="1">
      <alignment horizontal="left" readingOrder="0" vertical="center"/>
    </xf>
    <xf borderId="4" fillId="10" fontId="45" numFmtId="0" xfId="0" applyAlignment="1" applyBorder="1" applyFont="1">
      <alignment horizontal="left" readingOrder="0"/>
    </xf>
    <xf borderId="0" fillId="11" fontId="43" numFmtId="0" xfId="0" applyAlignment="1" applyFont="1">
      <alignment horizontal="left" readingOrder="0" vertical="center"/>
    </xf>
    <xf borderId="4" fillId="11" fontId="41" numFmtId="0" xfId="0" applyAlignment="1" applyBorder="1" applyFont="1">
      <alignment horizontal="left" readingOrder="0" vertical="center"/>
    </xf>
    <xf borderId="4" fillId="0" fontId="42" numFmtId="0" xfId="0" applyAlignment="1" applyBorder="1" applyFont="1">
      <alignment vertical="bottom"/>
    </xf>
    <xf borderId="4" fillId="10" fontId="45" numFmtId="0" xfId="0" applyAlignment="1" applyBorder="1" applyFont="1">
      <alignment horizontal="left" readingOrder="0" vertical="center"/>
    </xf>
    <xf borderId="4" fillId="0" fontId="47" numFmtId="0" xfId="0" applyAlignment="1" applyBorder="1" applyFont="1">
      <alignment horizontal="left" readingOrder="0" vertical="center"/>
    </xf>
    <xf borderId="4" fillId="11" fontId="43" numFmtId="0" xfId="0" applyAlignment="1" applyBorder="1" applyFont="1">
      <alignment horizontal="left" vertical="center"/>
    </xf>
    <xf borderId="4" fillId="11" fontId="45" numFmtId="0" xfId="0" applyAlignment="1" applyBorder="1" applyFont="1">
      <alignment horizontal="left" vertical="center"/>
    </xf>
    <xf borderId="4" fillId="11" fontId="44" numFmtId="0" xfId="0" applyAlignment="1" applyBorder="1" applyFont="1">
      <alignment horizontal="left" vertical="center"/>
    </xf>
    <xf borderId="4" fillId="19" fontId="42" numFmtId="165" xfId="0" applyBorder="1" applyFill="1" applyFont="1" applyNumberFormat="1"/>
    <xf borderId="4" fillId="19" fontId="43" numFmtId="0" xfId="0" applyAlignment="1" applyBorder="1" applyFont="1">
      <alignment horizontal="left" readingOrder="0" vertical="center"/>
    </xf>
    <xf borderId="4" fillId="19" fontId="45" numFmtId="0" xfId="0" applyAlignment="1" applyBorder="1" applyFont="1">
      <alignment horizontal="left" readingOrder="0" vertical="center"/>
    </xf>
    <xf borderId="4" fillId="19" fontId="44" numFmtId="0" xfId="0" applyAlignment="1" applyBorder="1" applyFont="1">
      <alignment horizontal="left" readingOrder="0" vertical="center"/>
    </xf>
    <xf borderId="4" fillId="19" fontId="42" numFmtId="164" xfId="0" applyBorder="1" applyFont="1" applyNumberFormat="1"/>
    <xf borderId="0" fillId="0" fontId="46" numFmtId="0" xfId="0" applyAlignment="1" applyFont="1">
      <alignment horizontal="left" shrinkToFit="0" vertical="center" wrapText="1"/>
    </xf>
    <xf borderId="4" fillId="17" fontId="43" numFmtId="0" xfId="0" applyAlignment="1" applyBorder="1" applyFont="1">
      <alignment horizontal="left" readingOrder="0" shrinkToFit="0" vertical="center" wrapText="1"/>
    </xf>
    <xf borderId="4" fillId="0" fontId="42" numFmtId="0" xfId="0" applyAlignment="1" applyBorder="1" applyFont="1">
      <alignment readingOrder="0"/>
    </xf>
    <xf borderId="4" fillId="17" fontId="45" numFmtId="0" xfId="0" applyAlignment="1" applyBorder="1" applyFont="1">
      <alignment readingOrder="0"/>
    </xf>
    <xf borderId="4" fillId="0" fontId="44" numFmtId="0" xfId="0" applyAlignment="1" applyBorder="1" applyFont="1">
      <alignment horizontal="left" readingOrder="0" shrinkToFit="0" vertical="center" wrapText="1"/>
    </xf>
    <xf borderId="4" fillId="17" fontId="41" numFmtId="0" xfId="0" applyAlignment="1" applyBorder="1" applyFont="1">
      <alignment horizontal="left" readingOrder="0" shrinkToFit="0" vertical="center" wrapText="1"/>
    </xf>
    <xf borderId="4" fillId="17" fontId="41" numFmtId="0" xfId="0" applyAlignment="1" applyBorder="1" applyFont="1">
      <alignment horizontal="left" readingOrder="0" vertical="center"/>
    </xf>
    <xf borderId="4" fillId="0" fontId="48" numFmtId="0" xfId="0" applyAlignment="1" applyBorder="1" applyFont="1">
      <alignment horizontal="left" readingOrder="0"/>
    </xf>
    <xf borderId="4" fillId="2" fontId="43" numFmtId="0" xfId="0" applyAlignment="1" applyBorder="1" applyFont="1">
      <alignment horizontal="left" vertical="center"/>
    </xf>
    <xf borderId="4" fillId="2" fontId="44" numFmtId="0" xfId="0" applyAlignment="1" applyBorder="1" applyFont="1">
      <alignment horizontal="left" vertical="center"/>
    </xf>
    <xf borderId="4" fillId="0" fontId="47" numFmtId="0" xfId="0" applyAlignment="1" applyBorder="1" applyFont="1">
      <alignment horizontal="left" readingOrder="0" shrinkToFit="0" vertical="center" wrapText="1"/>
    </xf>
    <xf borderId="4" fillId="0" fontId="42" numFmtId="0" xfId="0" applyAlignment="1" applyBorder="1" applyFont="1">
      <alignment horizontal="center"/>
    </xf>
    <xf borderId="4" fillId="10" fontId="43" numFmtId="0" xfId="0" applyAlignment="1" applyBorder="1" applyFont="1">
      <alignment horizontal="left" readingOrder="0"/>
    </xf>
    <xf borderId="4" fillId="10" fontId="44" numFmtId="0" xfId="0" applyAlignment="1" applyBorder="1" applyFont="1">
      <alignment horizontal="left" readingOrder="0"/>
    </xf>
    <xf borderId="4" fillId="10" fontId="42" numFmtId="164" xfId="0" applyBorder="1" applyFont="1" applyNumberFormat="1"/>
    <xf borderId="23" fillId="11" fontId="43" numFmtId="0" xfId="0" applyAlignment="1" applyBorder="1" applyFont="1">
      <alignment horizontal="left" readingOrder="0" vertical="center"/>
    </xf>
    <xf borderId="23" fillId="11" fontId="44" numFmtId="0" xfId="0" applyAlignment="1" applyBorder="1" applyFont="1">
      <alignment horizontal="left" readingOrder="0" vertical="center"/>
    </xf>
    <xf borderId="23" fillId="0" fontId="42" numFmtId="0" xfId="0" applyBorder="1" applyFont="1"/>
    <xf borderId="23" fillId="17" fontId="43" numFmtId="0" xfId="0" applyAlignment="1" applyBorder="1" applyFont="1">
      <alignment horizontal="left" readingOrder="0" vertical="center"/>
    </xf>
    <xf borderId="23" fillId="17" fontId="45" numFmtId="0" xfId="0" applyAlignment="1" applyBorder="1" applyFont="1">
      <alignment horizontal="left" readingOrder="0" vertical="center"/>
    </xf>
    <xf borderId="23" fillId="17" fontId="44" numFmtId="0" xfId="0" applyAlignment="1" applyBorder="1" applyFont="1">
      <alignment horizontal="left" readingOrder="0" vertical="center"/>
    </xf>
    <xf borderId="23" fillId="0" fontId="44" numFmtId="0" xfId="0" applyAlignment="1" applyBorder="1" applyFont="1">
      <alignment horizontal="left" readingOrder="0" vertical="center"/>
    </xf>
    <xf borderId="23" fillId="0" fontId="42" numFmtId="0" xfId="0" applyAlignment="1" applyBorder="1" applyFont="1">
      <alignment horizontal="center"/>
    </xf>
    <xf borderId="24" fillId="0" fontId="42" numFmtId="0" xfId="0" applyBorder="1" applyFont="1"/>
    <xf borderId="4" fillId="19" fontId="47" numFmtId="0" xfId="0" applyAlignment="1" applyBorder="1" applyFont="1">
      <alignment horizontal="left" readingOrder="0" vertical="center"/>
    </xf>
    <xf borderId="24" fillId="19" fontId="42" numFmtId="164" xfId="0" applyBorder="1" applyFont="1" applyNumberFormat="1"/>
    <xf borderId="24" fillId="0" fontId="42" numFmtId="0" xfId="0" applyAlignment="1" applyBorder="1" applyFont="1">
      <alignment horizontal="center"/>
    </xf>
    <xf borderId="24" fillId="0" fontId="44" numFmtId="0" xfId="0" applyAlignment="1" applyBorder="1" applyFont="1">
      <alignment horizontal="left" readingOrder="0" shrinkToFit="0" vertical="center" wrapText="1"/>
    </xf>
    <xf borderId="4" fillId="19" fontId="42" numFmtId="0" xfId="0" applyBorder="1" applyFont="1"/>
    <xf borderId="4" fillId="19" fontId="42" numFmtId="167" xfId="0" applyBorder="1" applyFont="1" applyNumberFormat="1"/>
    <xf borderId="0" fillId="8" fontId="10" numFmtId="0" xfId="0" applyAlignment="1" applyFont="1">
      <alignment horizontal="center" vertical="center"/>
    </xf>
    <xf borderId="4" fillId="8" fontId="42" numFmtId="0" xfId="0" applyBorder="1" applyFont="1"/>
    <xf borderId="4" fillId="8" fontId="42" numFmtId="164" xfId="0" applyBorder="1" applyFont="1" applyNumberFormat="1"/>
    <xf borderId="4" fillId="8" fontId="42" numFmtId="168" xfId="0" applyBorder="1" applyFont="1" applyNumberFormat="1"/>
    <xf borderId="21" fillId="16" fontId="12" numFmtId="0" xfId="0" applyAlignment="1" applyBorder="1" applyFont="1">
      <alignment horizontal="center" readingOrder="0" shrinkToFit="0" vertical="center" wrapText="1"/>
    </xf>
    <xf borderId="23" fillId="0" fontId="12" numFmtId="169" xfId="0" applyAlignment="1" applyBorder="1" applyFont="1" applyNumberFormat="1">
      <alignment horizontal="center" readingOrder="0" shrinkToFit="0" vertical="center" wrapText="1"/>
    </xf>
    <xf borderId="23" fillId="0" fontId="12" numFmtId="0" xfId="0" applyAlignment="1" applyBorder="1" applyFont="1">
      <alignment horizontal="center" shrinkToFit="0" vertical="center" wrapText="1"/>
    </xf>
    <xf borderId="23" fillId="0" fontId="12" numFmtId="0" xfId="0" applyAlignment="1" applyBorder="1" applyFont="1">
      <alignment horizontal="center" readingOrder="0" shrinkToFit="0" vertical="center" wrapText="1"/>
    </xf>
    <xf borderId="23" fillId="0" fontId="24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center" readingOrder="0" shrinkToFit="0" vertical="center" wrapText="1"/>
    </xf>
    <xf borderId="4" fillId="16" fontId="42" numFmtId="0" xfId="0" applyAlignment="1" applyBorder="1" applyFont="1">
      <alignment horizontal="left" readingOrder="0" vertical="center"/>
    </xf>
    <xf borderId="4" fillId="10" fontId="42" numFmtId="0" xfId="0" applyAlignment="1" applyBorder="1" applyFont="1">
      <alignment horizontal="left" readingOrder="0" vertical="center"/>
    </xf>
    <xf borderId="25" fillId="0" fontId="31" numFmtId="0" xfId="0" applyAlignment="1" applyBorder="1" applyFont="1">
      <alignment horizontal="left" vertical="center"/>
    </xf>
    <xf borderId="4" fillId="16" fontId="44" numFmtId="0" xfId="0" applyAlignment="1" applyBorder="1" applyFont="1">
      <alignment horizontal="left" readingOrder="0" vertical="center"/>
    </xf>
    <xf borderId="4" fillId="16" fontId="47" numFmtId="0" xfId="0" applyAlignment="1" applyBorder="1" applyFont="1">
      <alignment horizontal="left" readingOrder="0" vertical="center"/>
    </xf>
    <xf borderId="3" fillId="0" fontId="31" numFmtId="0" xfId="0" applyAlignment="1" applyBorder="1" applyFont="1">
      <alignment horizontal="left" readingOrder="0" shrinkToFit="0" vertical="center" wrapText="1"/>
    </xf>
    <xf borderId="0" fillId="10" fontId="32" numFmtId="0" xfId="0" applyAlignment="1" applyFont="1">
      <alignment readingOrder="0" vertical="center"/>
    </xf>
    <xf borderId="4" fillId="10" fontId="44" numFmtId="0" xfId="0" applyAlignment="1" applyBorder="1" applyFont="1">
      <alignment horizontal="left" readingOrder="0" shrinkToFit="0" vertical="center" wrapText="1"/>
    </xf>
    <xf borderId="0" fillId="0" fontId="31" numFmtId="0" xfId="0" applyAlignment="1" applyFont="1">
      <alignment horizontal="left" shrinkToFit="0" vertical="center" wrapText="1"/>
    </xf>
    <xf borderId="4" fillId="20" fontId="42" numFmtId="0" xfId="0" applyAlignment="1" applyBorder="1" applyFill="1" applyFont="1">
      <alignment horizontal="left" readingOrder="0" vertical="center"/>
    </xf>
    <xf borderId="4" fillId="20" fontId="49" numFmtId="0" xfId="0" applyAlignment="1" applyBorder="1" applyFont="1">
      <alignment horizontal="left" readingOrder="0" vertical="center"/>
    </xf>
    <xf borderId="3" fillId="0" fontId="31" numFmtId="0" xfId="0" applyAlignment="1" applyBorder="1" applyFont="1">
      <alignment horizontal="left" vertical="center"/>
    </xf>
    <xf borderId="4" fillId="20" fontId="47" numFmtId="0" xfId="0" applyAlignment="1" applyBorder="1" applyFont="1">
      <alignment horizontal="left" readingOrder="0" vertical="center"/>
    </xf>
    <xf borderId="4" fillId="10" fontId="42" numFmtId="0" xfId="0" applyAlignment="1" applyBorder="1" applyFont="1">
      <alignment horizontal="left" readingOrder="0" shrinkToFit="0" vertical="center" wrapText="1"/>
    </xf>
    <xf borderId="4" fillId="10" fontId="42" numFmtId="0" xfId="0" applyAlignment="1" applyBorder="1" applyFont="1">
      <alignment horizontal="left" vertical="center"/>
    </xf>
    <xf borderId="3" fillId="0" fontId="32" numFmtId="0" xfId="0" applyBorder="1" applyFont="1"/>
    <xf borderId="4" fillId="21" fontId="42" numFmtId="0" xfId="0" applyAlignment="1" applyBorder="1" applyFill="1" applyFont="1">
      <alignment horizontal="left" readingOrder="0" vertical="center"/>
    </xf>
    <xf borderId="4" fillId="21" fontId="49" numFmtId="0" xfId="0" applyAlignment="1" applyBorder="1" applyFont="1">
      <alignment horizontal="left" readingOrder="0" vertical="center"/>
    </xf>
    <xf borderId="3" fillId="0" fontId="34" numFmtId="0" xfId="0" applyAlignment="1" applyBorder="1" applyFont="1">
      <alignment horizontal="left" readingOrder="0" vertical="center"/>
    </xf>
    <xf borderId="4" fillId="21" fontId="44" numFmtId="0" xfId="0" applyAlignment="1" applyBorder="1" applyFont="1">
      <alignment horizontal="left" readingOrder="0" vertical="center"/>
    </xf>
    <xf borderId="4" fillId="21" fontId="47" numFmtId="0" xfId="0" applyAlignment="1" applyBorder="1" applyFont="1">
      <alignment horizontal="left" readingOrder="0" vertical="center"/>
    </xf>
    <xf borderId="4" fillId="21" fontId="44" numFmtId="0" xfId="0" applyAlignment="1" applyBorder="1" applyFont="1">
      <alignment horizontal="left" readingOrder="0" shrinkToFit="0" vertical="center" wrapText="1"/>
    </xf>
    <xf borderId="4" fillId="10" fontId="46" numFmtId="0" xfId="0" applyAlignment="1" applyBorder="1" applyFont="1">
      <alignment horizontal="left" readingOrder="0" shrinkToFit="0" vertical="center" wrapText="1"/>
    </xf>
    <xf borderId="4" fillId="16" fontId="44" numFmtId="0" xfId="0" applyAlignment="1" applyBorder="1" applyFont="1">
      <alignment readingOrder="0" vertical="center"/>
    </xf>
    <xf borderId="4" fillId="16" fontId="44" numFmtId="0" xfId="0" applyAlignment="1" applyBorder="1" applyFont="1">
      <alignment readingOrder="0"/>
    </xf>
    <xf borderId="4" fillId="16" fontId="47" numFmtId="0" xfId="0" applyAlignment="1" applyBorder="1" applyFont="1">
      <alignment horizontal="right" readingOrder="0" shrinkToFit="0" vertical="center" wrapText="1"/>
    </xf>
    <xf borderId="4" fillId="16" fontId="42" numFmtId="0" xfId="0" applyAlignment="1" applyBorder="1" applyFont="1">
      <alignment horizontal="center" readingOrder="0" vertical="center"/>
    </xf>
    <xf borderId="0" fillId="19" fontId="42" numFmtId="0" xfId="0" applyAlignment="1" applyFont="1">
      <alignment horizontal="center" readingOrder="0" vertical="center"/>
    </xf>
    <xf borderId="4" fillId="21" fontId="49" numFmtId="0" xfId="0" applyAlignment="1" applyBorder="1" applyFont="1">
      <alignment horizontal="left" readingOrder="0" vertical="center"/>
    </xf>
    <xf borderId="4" fillId="0" fontId="47" numFmtId="0" xfId="0" applyAlignment="1" applyBorder="1" applyFont="1">
      <alignment readingOrder="0" vertical="center"/>
    </xf>
    <xf borderId="4" fillId="20" fontId="44" numFmtId="0" xfId="0" applyAlignment="1" applyBorder="1" applyFont="1">
      <alignment horizontal="left" vertical="center"/>
    </xf>
    <xf borderId="4" fillId="20" fontId="47" numFmtId="0" xfId="0" applyAlignment="1" applyBorder="1" applyFont="1">
      <alignment horizontal="left" vertical="center"/>
    </xf>
    <xf borderId="3" fillId="0" fontId="31" numFmtId="0" xfId="0" applyAlignment="1" applyBorder="1" applyFont="1">
      <alignment horizontal="left" readingOrder="0" shrinkToFit="0" vertical="center" wrapText="1"/>
    </xf>
    <xf borderId="3" fillId="0" fontId="31" numFmtId="0" xfId="0" applyAlignment="1" applyBorder="1" applyFont="1">
      <alignment horizontal="left" readingOrder="0" vertical="center"/>
    </xf>
    <xf borderId="4" fillId="20" fontId="44" numFmtId="0" xfId="0" applyAlignment="1" applyBorder="1" applyFont="1">
      <alignment horizontal="left" readingOrder="0" vertical="center"/>
    </xf>
    <xf borderId="4" fillId="20" fontId="49" numFmtId="0" xfId="0" applyAlignment="1" applyBorder="1" applyFont="1">
      <alignment horizontal="left" readingOrder="0" shrinkToFit="0" vertical="center" wrapText="1"/>
    </xf>
    <xf borderId="4" fillId="16" fontId="49" numFmtId="0" xfId="0" applyAlignment="1" applyBorder="1" applyFont="1">
      <alignment horizontal="left" readingOrder="0" vertical="center"/>
    </xf>
    <xf borderId="4" fillId="20" fontId="50" numFmtId="0" xfId="0" applyAlignment="1" applyBorder="1" applyFont="1">
      <alignment horizontal="left" readingOrder="0" vertical="center"/>
    </xf>
    <xf borderId="3" fillId="0" fontId="32" numFmtId="0" xfId="0" applyBorder="1" applyFont="1"/>
    <xf borderId="3" fillId="0" fontId="32" numFmtId="0" xfId="0" applyAlignment="1" applyBorder="1" applyFont="1">
      <alignment readingOrder="0"/>
    </xf>
    <xf borderId="4" fillId="16" fontId="42" numFmtId="0" xfId="0" applyAlignment="1" applyBorder="1" applyFont="1">
      <alignment horizontal="left" vertical="center"/>
    </xf>
    <xf borderId="4" fillId="16" fontId="49" numFmtId="0" xfId="0" applyAlignment="1" applyBorder="1" applyFont="1">
      <alignment horizontal="left" vertical="center"/>
    </xf>
    <xf borderId="0" fillId="22" fontId="42" numFmtId="0" xfId="0" applyAlignment="1" applyFill="1" applyFont="1">
      <alignment horizontal="left" readingOrder="0" vertical="center"/>
    </xf>
    <xf borderId="0" fillId="22" fontId="49" numFmtId="0" xfId="0" applyAlignment="1" applyFont="1">
      <alignment horizontal="left" readingOrder="0" vertical="center"/>
    </xf>
    <xf borderId="0" fillId="10" fontId="46" numFmtId="0" xfId="0" applyAlignment="1" applyFont="1">
      <alignment horizontal="left" readingOrder="0" shrinkToFit="0" vertical="center" wrapText="1"/>
    </xf>
    <xf borderId="0" fillId="10" fontId="44" numFmtId="0" xfId="0" applyAlignment="1" applyFont="1">
      <alignment readingOrder="0" vertical="center"/>
    </xf>
    <xf borderId="0" fillId="10" fontId="47" numFmtId="0" xfId="0" applyAlignment="1" applyFont="1">
      <alignment horizontal="right" readingOrder="0" shrinkToFit="0" wrapText="1"/>
    </xf>
    <xf borderId="0" fillId="10" fontId="42" numFmtId="0" xfId="0" applyAlignment="1" applyFont="1">
      <alignment horizontal="center" vertical="center"/>
    </xf>
    <xf borderId="0" fillId="10" fontId="32" numFmtId="0" xfId="0" applyFont="1"/>
    <xf borderId="0" fillId="10" fontId="42" numFmtId="0" xfId="0" applyAlignment="1" applyFont="1">
      <alignment readingOrder="0" vertical="center"/>
    </xf>
    <xf borderId="0" fillId="10" fontId="44" numFmtId="0" xfId="0" applyAlignment="1" applyFont="1">
      <alignment horizontal="right" readingOrder="0" shrinkToFit="0" wrapText="1"/>
    </xf>
    <xf borderId="0" fillId="10" fontId="42" numFmtId="0" xfId="0" applyAlignment="1" applyFont="1">
      <alignment horizontal="center" shrinkToFit="0" wrapText="1"/>
    </xf>
    <xf borderId="3" fillId="0" fontId="31" numFmtId="0" xfId="0" applyAlignment="1" applyBorder="1" applyFont="1">
      <alignment horizontal="left" shrinkToFit="0" vertical="center" wrapText="1"/>
    </xf>
    <xf borderId="0" fillId="10" fontId="49" numFmtId="0" xfId="0" applyAlignment="1" applyFont="1">
      <alignment horizontal="right" readingOrder="0" shrinkToFit="0" vertical="center" wrapText="1"/>
    </xf>
    <xf borderId="0" fillId="10" fontId="36" numFmtId="0" xfId="0" applyAlignment="1" applyFont="1">
      <alignment horizontal="right" readingOrder="0" shrinkToFit="0" vertical="center" wrapText="1"/>
    </xf>
    <xf borderId="0" fillId="10" fontId="32" numFmtId="0" xfId="0" applyAlignment="1" applyFont="1">
      <alignment horizontal="center" readingOrder="0" shrinkToFit="0" vertical="center" wrapText="1"/>
    </xf>
    <xf borderId="0" fillId="10" fontId="32" numFmtId="0" xfId="0" applyAlignment="1" applyFont="1">
      <alignment shrinkToFit="0" vertical="center" wrapText="1"/>
    </xf>
    <xf borderId="0" fillId="10" fontId="32" numFmtId="0" xfId="0" applyAlignment="1" applyFont="1">
      <alignment horizontal="center" shrinkToFit="0" vertical="center" wrapText="1"/>
    </xf>
    <xf borderId="0" fillId="10" fontId="12" numFmtId="0" xfId="0" applyAlignment="1" applyFont="1">
      <alignment shrinkToFit="0" vertical="center" wrapText="1"/>
    </xf>
    <xf borderId="0" fillId="10" fontId="31" numFmtId="0" xfId="0" applyAlignment="1" applyFont="1">
      <alignment vertical="center"/>
    </xf>
    <xf borderId="3" fillId="0" fontId="51" numFmtId="0" xfId="0" applyAlignment="1" applyBorder="1" applyFont="1">
      <alignment horizontal="left" readingOrder="0"/>
    </xf>
    <xf borderId="0" fillId="10" fontId="32" numFmtId="0" xfId="0" applyAlignment="1" applyFont="1">
      <alignment shrinkToFit="0" vertical="center" wrapText="1"/>
    </xf>
    <xf borderId="10" fillId="8" fontId="32" numFmtId="0" xfId="0" applyAlignment="1" applyBorder="1" applyFont="1">
      <alignment vertical="center"/>
    </xf>
    <xf borderId="10" fillId="8" fontId="32" numFmtId="0" xfId="0" applyAlignment="1" applyBorder="1" applyFont="1">
      <alignment shrinkToFit="0" vertical="center" wrapText="1"/>
    </xf>
    <xf borderId="4" fillId="0" fontId="34" numFmtId="0" xfId="0" applyAlignment="1" applyBorder="1" applyFont="1">
      <alignment horizontal="left" readingOrder="0" shrinkToFit="0" vertical="center" wrapText="1"/>
    </xf>
    <xf borderId="0" fillId="22" fontId="9" numFmtId="166" xfId="0" applyAlignment="1" applyFont="1" applyNumberFormat="1">
      <alignment horizontal="center" readingOrder="0" shrinkToFit="0" vertical="center" wrapText="1"/>
    </xf>
    <xf borderId="0" fillId="22" fontId="9" numFmtId="0" xfId="0" applyAlignment="1" applyFont="1">
      <alignment horizontal="center" readingOrder="0" shrinkToFit="0" vertical="center" wrapText="1"/>
    </xf>
    <xf borderId="0" fillId="23" fontId="9" numFmtId="0" xfId="0" applyAlignment="1" applyFill="1" applyFont="1">
      <alignment horizontal="center" readingOrder="0" shrinkToFit="0" vertical="center" wrapText="1"/>
    </xf>
    <xf borderId="0" fillId="24" fontId="9" numFmtId="0" xfId="0" applyAlignment="1" applyFill="1" applyFont="1">
      <alignment horizontal="center" readingOrder="0" shrinkToFit="0" vertical="center" wrapText="1"/>
    </xf>
    <xf borderId="0" fillId="25" fontId="9" numFmtId="0" xfId="0" applyAlignment="1" applyFill="1" applyFont="1">
      <alignment horizontal="center" readingOrder="0" shrinkToFit="0" vertical="center" wrapText="1"/>
    </xf>
    <xf borderId="0" fillId="20" fontId="22" numFmtId="0" xfId="0" applyAlignment="1" applyFont="1">
      <alignment horizontal="center" readingOrder="0" shrinkToFit="0" wrapText="1"/>
    </xf>
    <xf borderId="0" fillId="26" fontId="9" numFmtId="0" xfId="0" applyAlignment="1" applyFill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0" fillId="27" fontId="9" numFmtId="0" xfId="0" applyAlignment="1" applyFill="1" applyFont="1">
      <alignment horizontal="center" readingOrder="0" shrinkToFit="0" vertical="center" wrapText="1"/>
    </xf>
    <xf borderId="0" fillId="28" fontId="9" numFmtId="0" xfId="0" applyAlignment="1" applyFill="1" applyFont="1">
      <alignment horizontal="center" readingOrder="0" shrinkToFit="0" vertical="center" wrapText="1"/>
    </xf>
    <xf borderId="0" fillId="29" fontId="9" numFmtId="0" xfId="0" applyAlignment="1" applyFill="1" applyFont="1">
      <alignment horizontal="center" readingOrder="0" shrinkToFit="0" vertical="center" wrapText="1"/>
    </xf>
    <xf borderId="0" fillId="19" fontId="9" numFmtId="0" xfId="0" applyAlignment="1" applyFont="1">
      <alignment horizontal="center" readingOrder="0"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0" fillId="9" fontId="9" numFmtId="0" xfId="0" applyAlignment="1" applyFont="1">
      <alignment horizontal="center" readingOrder="0" shrinkToFit="0" vertical="center" wrapText="1"/>
    </xf>
    <xf borderId="26" fillId="22" fontId="9" numFmtId="166" xfId="0" applyAlignment="1" applyBorder="1" applyFont="1" applyNumberFormat="1">
      <alignment horizontal="center" readingOrder="0" shrinkToFit="0" vertical="center" wrapText="1"/>
    </xf>
    <xf borderId="26" fillId="22" fontId="9" numFmtId="0" xfId="0" applyAlignment="1" applyBorder="1" applyFont="1">
      <alignment horizontal="center" readingOrder="0" shrinkToFit="0" vertical="center" wrapText="1"/>
    </xf>
    <xf borderId="26" fillId="23" fontId="9" numFmtId="0" xfId="0" applyAlignment="1" applyBorder="1" applyFont="1">
      <alignment horizontal="center" readingOrder="0" shrinkToFit="0" vertical="center" wrapText="1"/>
    </xf>
    <xf borderId="26" fillId="24" fontId="9" numFmtId="0" xfId="0" applyAlignment="1" applyBorder="1" applyFont="1">
      <alignment horizontal="center" readingOrder="0" shrinkToFit="0" vertical="center" wrapText="1"/>
    </xf>
    <xf borderId="26" fillId="25" fontId="9" numFmtId="0" xfId="0" applyAlignment="1" applyBorder="1" applyFont="1">
      <alignment horizontal="center" readingOrder="0" shrinkToFit="0" vertical="center" wrapText="1"/>
    </xf>
    <xf borderId="26" fillId="20" fontId="9" numFmtId="0" xfId="0" applyAlignment="1" applyBorder="1" applyFont="1">
      <alignment horizontal="center" readingOrder="0" shrinkToFit="0" vertical="center" wrapText="1"/>
    </xf>
    <xf borderId="26" fillId="26" fontId="9" numFmtId="0" xfId="0" applyAlignment="1" applyBorder="1" applyFont="1">
      <alignment horizontal="center" readingOrder="0" shrinkToFit="0" vertical="center" wrapText="1"/>
    </xf>
    <xf borderId="26" fillId="5" fontId="9" numFmtId="0" xfId="0" applyAlignment="1" applyBorder="1" applyFont="1">
      <alignment horizontal="center" readingOrder="0" shrinkToFit="0" vertical="center" wrapText="1"/>
    </xf>
    <xf borderId="26" fillId="27" fontId="9" numFmtId="0" xfId="0" applyAlignment="1" applyBorder="1" applyFont="1">
      <alignment horizontal="center" readingOrder="0" shrinkToFit="0" vertical="center" wrapText="1"/>
    </xf>
    <xf borderId="26" fillId="28" fontId="9" numFmtId="0" xfId="0" applyAlignment="1" applyBorder="1" applyFont="1">
      <alignment horizontal="center" readingOrder="0" shrinkToFit="0" vertical="center" wrapText="1"/>
    </xf>
    <xf borderId="26" fillId="29" fontId="9" numFmtId="0" xfId="0" applyAlignment="1" applyBorder="1" applyFont="1">
      <alignment horizontal="center" readingOrder="0" shrinkToFit="0" vertical="center" wrapText="1"/>
    </xf>
    <xf borderId="26" fillId="19" fontId="9" numFmtId="0" xfId="0" applyAlignment="1" applyBorder="1" applyFont="1">
      <alignment horizontal="center" readingOrder="0" shrinkToFit="0" vertical="center" wrapText="1"/>
    </xf>
    <xf borderId="26" fillId="7" fontId="9" numFmtId="0" xfId="0" applyAlignment="1" applyBorder="1" applyFont="1">
      <alignment horizontal="center" readingOrder="0" shrinkToFit="0" vertical="center" wrapText="1"/>
    </xf>
    <xf borderId="26" fillId="6" fontId="9" numFmtId="0" xfId="0" applyAlignment="1" applyBorder="1" applyFont="1">
      <alignment horizontal="center" readingOrder="0" shrinkToFit="0" vertical="center" wrapText="1"/>
    </xf>
    <xf borderId="26" fillId="9" fontId="9" numFmtId="0" xfId="0" applyAlignment="1" applyBorder="1" applyFont="1">
      <alignment horizontal="center" readingOrder="0" shrinkToFit="0" vertical="center" wrapText="1"/>
    </xf>
    <xf borderId="0" fillId="0" fontId="3" numFmtId="170" xfId="0" applyAlignment="1" applyFont="1" applyNumberFormat="1">
      <alignment readingOrder="0" vertical="center"/>
    </xf>
    <xf borderId="0" fillId="0" fontId="52" numFmtId="0" xfId="0" applyAlignment="1" applyFont="1">
      <alignment readingOrder="0" vertical="center"/>
    </xf>
    <xf borderId="0" fillId="23" fontId="3" numFmtId="0" xfId="0" applyAlignment="1" applyFont="1">
      <alignment readingOrder="0" vertical="center"/>
    </xf>
    <xf borderId="0" fillId="24" fontId="3" numFmtId="0" xfId="0" applyAlignment="1" applyFont="1">
      <alignment readingOrder="0" vertical="center"/>
    </xf>
    <xf borderId="0" fillId="25" fontId="3" numFmtId="0" xfId="0" applyAlignment="1" applyFont="1">
      <alignment readingOrder="0" vertical="center"/>
    </xf>
    <xf borderId="0" fillId="20" fontId="3" numFmtId="0" xfId="0" applyAlignment="1" applyFont="1">
      <alignment readingOrder="0" vertical="center"/>
    </xf>
    <xf borderId="0" fillId="26" fontId="3" numFmtId="0" xfId="0" applyAlignment="1" applyFont="1">
      <alignment readingOrder="0" vertical="center"/>
    </xf>
    <xf borderId="0" fillId="5" fontId="3" numFmtId="0" xfId="0" applyAlignment="1" applyFont="1">
      <alignment readingOrder="0" vertical="center"/>
    </xf>
    <xf borderId="0" fillId="27" fontId="3" numFmtId="0" xfId="0" applyAlignment="1" applyFont="1">
      <alignment readingOrder="0" vertical="center"/>
    </xf>
    <xf borderId="0" fillId="28" fontId="3" numFmtId="0" xfId="0" applyAlignment="1" applyFont="1">
      <alignment readingOrder="0" vertical="center"/>
    </xf>
    <xf borderId="0" fillId="29" fontId="3" numFmtId="0" xfId="0" applyAlignment="1" applyFont="1">
      <alignment readingOrder="0" vertical="center"/>
    </xf>
    <xf borderId="0" fillId="19" fontId="3" numFmtId="0" xfId="0" applyAlignment="1" applyFont="1">
      <alignment readingOrder="0" vertical="center"/>
    </xf>
    <xf borderId="0" fillId="7" fontId="3" numFmtId="0" xfId="0" applyAlignment="1" applyFont="1">
      <alignment readingOrder="0" vertical="center"/>
    </xf>
    <xf borderId="0" fillId="6" fontId="3" numFmtId="0" xfId="0" applyAlignment="1" applyFont="1">
      <alignment readingOrder="0" vertical="center"/>
    </xf>
    <xf borderId="0" fillId="9" fontId="9" numFmtId="0" xfId="0" applyAlignment="1" applyFont="1">
      <alignment horizontal="center" vertical="center"/>
    </xf>
    <xf borderId="0" fillId="9" fontId="9" numFmtId="165" xfId="0" applyAlignment="1" applyFont="1" applyNumberForma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3" numFmtId="170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23" fontId="3" numFmtId="0" xfId="0" applyAlignment="1" applyFont="1">
      <alignment vertical="center"/>
    </xf>
    <xf borderId="0" fillId="24" fontId="3" numFmtId="0" xfId="0" applyAlignment="1" applyFont="1">
      <alignment vertical="center"/>
    </xf>
    <xf borderId="0" fillId="25" fontId="3" numFmtId="0" xfId="0" applyAlignment="1" applyFont="1">
      <alignment vertical="center"/>
    </xf>
    <xf borderId="0" fillId="20" fontId="3" numFmtId="0" xfId="0" applyAlignment="1" applyFont="1">
      <alignment vertical="center"/>
    </xf>
    <xf borderId="0" fillId="26" fontId="3" numFmtId="0" xfId="0" applyAlignment="1" applyFont="1">
      <alignment vertical="center"/>
    </xf>
    <xf borderId="0" fillId="5" fontId="3" numFmtId="0" xfId="0" applyAlignment="1" applyFont="1">
      <alignment vertical="center"/>
    </xf>
    <xf borderId="0" fillId="27" fontId="3" numFmtId="0" xfId="0" applyAlignment="1" applyFont="1">
      <alignment vertical="center"/>
    </xf>
    <xf borderId="0" fillId="28" fontId="3" numFmtId="0" xfId="0" applyAlignment="1" applyFont="1">
      <alignment vertical="center"/>
    </xf>
    <xf borderId="0" fillId="29" fontId="3" numFmtId="0" xfId="0" applyAlignment="1" applyFont="1">
      <alignment vertical="center"/>
    </xf>
    <xf borderId="0" fillId="19" fontId="3" numFmtId="0" xfId="0" applyAlignment="1" applyFont="1">
      <alignment vertical="center"/>
    </xf>
    <xf borderId="0" fillId="7" fontId="3" numFmtId="0" xfId="0" applyAlignment="1" applyFont="1">
      <alignment vertical="center"/>
    </xf>
    <xf borderId="0" fillId="6" fontId="3" numFmtId="0" xfId="0" applyAlignment="1" applyFont="1">
      <alignment vertical="center"/>
    </xf>
    <xf borderId="0" fillId="10" fontId="53" numFmtId="0" xfId="0" applyAlignment="1" applyFont="1">
      <alignment readingOrder="0"/>
    </xf>
    <xf borderId="0" fillId="10" fontId="54" numFmtId="0" xfId="0" applyAlignment="1" applyFont="1">
      <alignment readingOrder="0"/>
    </xf>
    <xf borderId="0" fillId="0" fontId="9" numFmtId="0" xfId="0" applyAlignment="1" applyFont="1">
      <alignment readingOrder="0" vertical="center"/>
    </xf>
    <xf borderId="0" fillId="23" fontId="9" numFmtId="0" xfId="0" applyAlignment="1" applyFont="1">
      <alignment readingOrder="0" vertical="center"/>
    </xf>
    <xf borderId="22" fillId="9" fontId="3" numFmtId="166" xfId="0" applyAlignment="1" applyBorder="1" applyFont="1" applyNumberFormat="1">
      <alignment horizontal="right" readingOrder="0" vertical="center"/>
    </xf>
    <xf borderId="22" fillId="9" fontId="3" numFmtId="0" xfId="0" applyAlignment="1" applyBorder="1" applyFont="1">
      <alignment horizontal="right" readingOrder="0" vertical="center"/>
    </xf>
    <xf borderId="22" fillId="15" fontId="3" numFmtId="0" xfId="0" applyAlignment="1" applyBorder="1" applyFont="1">
      <alignment horizontal="right" vertical="center"/>
    </xf>
    <xf borderId="22" fillId="23" fontId="3" numFmtId="0" xfId="0" applyAlignment="1" applyBorder="1" applyFont="1">
      <alignment horizontal="right" vertical="center"/>
    </xf>
    <xf borderId="22" fillId="24" fontId="3" numFmtId="0" xfId="0" applyAlignment="1" applyBorder="1" applyFont="1">
      <alignment horizontal="right" vertical="center"/>
    </xf>
    <xf borderId="22" fillId="25" fontId="3" numFmtId="0" xfId="0" applyAlignment="1" applyBorder="1" applyFont="1">
      <alignment horizontal="right" vertical="center"/>
    </xf>
    <xf borderId="22" fillId="20" fontId="3" numFmtId="0" xfId="0" applyAlignment="1" applyBorder="1" applyFont="1">
      <alignment horizontal="right" vertical="center"/>
    </xf>
    <xf borderId="22" fillId="26" fontId="3" numFmtId="0" xfId="0" applyAlignment="1" applyBorder="1" applyFont="1">
      <alignment horizontal="right" vertical="center"/>
    </xf>
    <xf borderId="22" fillId="5" fontId="3" numFmtId="0" xfId="0" applyAlignment="1" applyBorder="1" applyFont="1">
      <alignment horizontal="right" vertical="center"/>
    </xf>
    <xf borderId="22" fillId="27" fontId="3" numFmtId="0" xfId="0" applyAlignment="1" applyBorder="1" applyFont="1">
      <alignment horizontal="right" vertical="center"/>
    </xf>
    <xf borderId="22" fillId="28" fontId="3" numFmtId="0" xfId="0" applyAlignment="1" applyBorder="1" applyFont="1">
      <alignment horizontal="right" vertical="center"/>
    </xf>
    <xf borderId="22" fillId="29" fontId="3" numFmtId="0" xfId="0" applyAlignment="1" applyBorder="1" applyFont="1">
      <alignment horizontal="right" vertical="center"/>
    </xf>
    <xf borderId="22" fillId="19" fontId="3" numFmtId="0" xfId="0" applyAlignment="1" applyBorder="1" applyFont="1">
      <alignment horizontal="right" vertical="center"/>
    </xf>
    <xf borderId="22" fillId="7" fontId="3" numFmtId="0" xfId="0" applyAlignment="1" applyBorder="1" applyFont="1">
      <alignment horizontal="right" vertical="center"/>
    </xf>
    <xf borderId="22" fillId="6" fontId="3" numFmtId="0" xfId="0" applyAlignment="1" applyBorder="1" applyFont="1">
      <alignment horizontal="right" vertical="center"/>
    </xf>
    <xf borderId="22" fillId="9" fontId="9" numFmtId="0" xfId="0" applyAlignment="1" applyBorder="1" applyFont="1">
      <alignment horizontal="center" vertical="center"/>
    </xf>
    <xf borderId="22" fillId="9" fontId="9" numFmtId="165" xfId="0" applyAlignment="1" applyBorder="1" applyFont="1" applyNumberFormat="1">
      <alignment horizontal="center" vertical="center"/>
    </xf>
    <xf borderId="0" fillId="9" fontId="3" numFmtId="165" xfId="0" applyAlignment="1" applyFont="1" applyNumberFormat="1">
      <alignment horizontal="right" vertical="center"/>
    </xf>
    <xf borderId="0" fillId="9" fontId="3" numFmtId="165" xfId="0" applyAlignment="1" applyFont="1" applyNumberFormat="1">
      <alignment horizontal="right" readingOrder="0" vertical="center"/>
    </xf>
    <xf borderId="0" fillId="15" fontId="3" numFmtId="165" xfId="0" applyAlignment="1" applyFont="1" applyNumberFormat="1">
      <alignment horizontal="right" vertical="center"/>
    </xf>
    <xf borderId="0" fillId="23" fontId="3" numFmtId="165" xfId="0" applyAlignment="1" applyFont="1" applyNumberFormat="1">
      <alignment horizontal="right" vertical="center"/>
    </xf>
    <xf borderId="0" fillId="24" fontId="3" numFmtId="165" xfId="0" applyAlignment="1" applyFont="1" applyNumberFormat="1">
      <alignment horizontal="right" vertical="center"/>
    </xf>
    <xf borderId="0" fillId="25" fontId="3" numFmtId="165" xfId="0" applyAlignment="1" applyFont="1" applyNumberFormat="1">
      <alignment horizontal="right" vertical="center"/>
    </xf>
    <xf borderId="0" fillId="20" fontId="3" numFmtId="165" xfId="0" applyAlignment="1" applyFont="1" applyNumberFormat="1">
      <alignment horizontal="right" vertical="center"/>
    </xf>
    <xf borderId="0" fillId="26" fontId="3" numFmtId="165" xfId="0" applyAlignment="1" applyFont="1" applyNumberFormat="1">
      <alignment horizontal="right" vertical="center"/>
    </xf>
    <xf borderId="0" fillId="5" fontId="3" numFmtId="165" xfId="0" applyAlignment="1" applyFont="1" applyNumberFormat="1">
      <alignment horizontal="right" vertical="center"/>
    </xf>
    <xf borderId="0" fillId="27" fontId="3" numFmtId="165" xfId="0" applyAlignment="1" applyFont="1" applyNumberFormat="1">
      <alignment horizontal="right" vertical="center"/>
    </xf>
    <xf borderId="0" fillId="28" fontId="3" numFmtId="165" xfId="0" applyAlignment="1" applyFont="1" applyNumberFormat="1">
      <alignment horizontal="right" vertical="center"/>
    </xf>
    <xf borderId="0" fillId="29" fontId="3" numFmtId="165" xfId="0" applyAlignment="1" applyFont="1" applyNumberFormat="1">
      <alignment horizontal="right" vertical="center"/>
    </xf>
    <xf borderId="0" fillId="19" fontId="3" numFmtId="165" xfId="0" applyAlignment="1" applyFont="1" applyNumberFormat="1">
      <alignment horizontal="right" vertical="center"/>
    </xf>
    <xf borderId="0" fillId="7" fontId="3" numFmtId="165" xfId="0" applyAlignment="1" applyFont="1" applyNumberFormat="1">
      <alignment horizontal="right" vertical="center"/>
    </xf>
    <xf borderId="0" fillId="6" fontId="3" numFmtId="165" xfId="0" applyAlignment="1" applyFont="1" applyNumberFormat="1">
      <alignment horizontal="right" vertical="center"/>
    </xf>
    <xf borderId="0" fillId="9" fontId="9" numFmtId="165" xfId="0" applyAlignment="1" applyFont="1" applyNumberFormat="1">
      <alignment horizontal="right" vertical="center"/>
    </xf>
    <xf borderId="0" fillId="8" fontId="9" numFmtId="165" xfId="0" applyAlignment="1" applyFont="1" applyNumberFormat="1">
      <alignment horizontal="right" vertical="center"/>
    </xf>
    <xf borderId="0" fillId="8" fontId="9" numFmtId="165" xfId="0" applyAlignment="1" applyFont="1" applyNumberFormat="1">
      <alignment horizontal="right" readingOrder="0" vertical="center"/>
    </xf>
    <xf borderId="0" fillId="30" fontId="8" numFmtId="0" xfId="0" applyAlignment="1" applyFill="1" applyFont="1">
      <alignment horizontal="right" shrinkToFit="0" wrapText="1"/>
    </xf>
    <xf borderId="0" fillId="30" fontId="8" numFmtId="0" xfId="0" applyAlignment="1" applyFont="1">
      <alignment shrinkToFit="0" wrapText="1"/>
    </xf>
    <xf borderId="0" fillId="30" fontId="8" numFmtId="0" xfId="0" applyAlignment="1" applyFont="1">
      <alignment readingOrder="0" shrinkToFit="0" wrapText="1"/>
    </xf>
    <xf borderId="0" fillId="30" fontId="8" numFmtId="0" xfId="0" applyFont="1"/>
    <xf borderId="0" fillId="30" fontId="3" numFmtId="170" xfId="0" applyAlignment="1" applyFont="1" applyNumberFormat="1">
      <alignment shrinkToFit="0" vertical="center" wrapText="1"/>
    </xf>
    <xf borderId="0" fillId="30" fontId="3" numFmtId="0" xfId="0" applyAlignment="1" applyFont="1">
      <alignment horizontal="right" readingOrder="0" shrinkToFit="0" vertical="center" wrapText="1"/>
    </xf>
    <xf borderId="0" fillId="30" fontId="3" numFmtId="0" xfId="0" applyAlignment="1" applyFont="1">
      <alignment readingOrder="0" shrinkToFit="0" vertical="center" wrapText="1"/>
    </xf>
    <xf borderId="0" fillId="30" fontId="3" numFmtId="0" xfId="0" applyAlignment="1" applyFont="1">
      <alignment shrinkToFit="0" vertical="center" wrapText="1"/>
    </xf>
    <xf borderId="0" fillId="30" fontId="9" numFmtId="0" xfId="0" applyAlignment="1" applyFont="1">
      <alignment horizontal="center" shrinkToFit="0" vertical="center" wrapText="1"/>
    </xf>
    <xf borderId="4" fillId="9" fontId="55" numFmtId="0" xfId="0" applyAlignment="1" applyBorder="1" applyFont="1">
      <alignment horizontal="center" shrinkToFit="0" vertical="center" wrapText="1"/>
    </xf>
    <xf borderId="4" fillId="9" fontId="11" numFmtId="0" xfId="0" applyAlignment="1" applyBorder="1" applyFont="1">
      <alignment horizontal="center" vertical="center"/>
    </xf>
    <xf borderId="4" fillId="19" fontId="11" numFmtId="0" xfId="0" applyAlignment="1" applyBorder="1" applyFont="1">
      <alignment horizontal="center" vertical="center"/>
    </xf>
    <xf borderId="0" fillId="9" fontId="22" numFmtId="0" xfId="0" applyAlignment="1" applyFont="1">
      <alignment horizontal="center"/>
    </xf>
    <xf borderId="4" fillId="0" fontId="56" numFmtId="0" xfId="0" applyAlignment="1" applyBorder="1" applyFont="1">
      <alignment horizontal="left" shrinkToFit="0" vertical="center" wrapText="1"/>
    </xf>
    <xf borderId="4" fillId="10" fontId="56" numFmtId="0" xfId="0" applyAlignment="1" applyBorder="1" applyFont="1">
      <alignment horizontal="left" vertical="center"/>
    </xf>
    <xf borderId="0" fillId="0" fontId="8" numFmtId="0" xfId="0" applyAlignment="1" applyFont="1">
      <alignment readingOrder="0" vertical="bottom"/>
    </xf>
    <xf borderId="4" fillId="0" fontId="15" numFmtId="0" xfId="0" applyAlignment="1" applyBorder="1" applyFont="1">
      <alignment horizontal="left" vertical="center"/>
    </xf>
    <xf borderId="0" fillId="0" fontId="8" numFmtId="0" xfId="0" applyFont="1"/>
    <xf borderId="4" fillId="19" fontId="15" numFmtId="0" xfId="0" applyAlignment="1" applyBorder="1" applyFont="1">
      <alignment vertical="center"/>
    </xf>
    <xf borderId="0" fillId="0" fontId="8" numFmtId="0" xfId="0" applyFont="1"/>
    <xf borderId="4" fillId="19" fontId="19" numFmtId="0" xfId="0" applyAlignment="1" applyBorder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AMPUS_DANZ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48da8ce6-9639-4602-9e3c-2f878a16ba4c}">
    <Anchor>
      <Comment id="{a659dde1-7837-4816-93c4-7010e80701b1}"/>
    </Anchor>
    <History>
      <Event time="2025-03-12T15:01:28.00" id="{88665973-14fc-4b79-bcd6-974628afc22a}">
        <Attribution userId="placeholder@email.com" userName="Sara Jannelli SG" userProvider="google-sheets"/>
        <Anchor>
          <Comment id="{a659dde1-7837-4816-93c4-7010e80701b1}"/>
        </Anchor>
        <Create/>
      </Event>
      <Event time="2025-03-12T15:01:28.00" id="{e4eb6d08-1e3a-4af1-86f9-630e618ee638}">
        <Attribution userId="placeholder@email.com" userName="Sara Jannelli SG" userProvider="google-sheets"/>
        <Anchor>
          <Comment id="{a659dde1-7837-4816-93c4-7010e80701b1}"/>
        </Anchor>
        <Assign userId="gaechacha@gmail.com" userName="gaechacha@gmail.com" userProvider="google-sheets"/>
      </Event>
    </History>
  </Task>
  <Task id="{7f2e7e5d-3d57-45d8-bd61-19778d0d4e0f}">
    <Anchor>
      <Comment id="{7c6ddeb7-71cd-466a-8fda-45baf0d23baf}"/>
    </Anchor>
    <History>
      <Event time="2025-03-12T15:01:35.00" id="{b85a5488-cfc5-44d1-b5c6-613e9f9c2ba1}">
        <Attribution userId="placeholder@email.com" userName="Sara Jannelli SG" userProvider="google-sheets"/>
        <Anchor>
          <Comment id="{7c6ddeb7-71cd-466a-8fda-45baf0d23baf}"/>
        </Anchor>
        <Create/>
      </Event>
      <Event time="2025-03-12T15:01:35.00" id="{4f630efd-b04c-465a-92b2-e2549b8b35f2}">
        <Attribution userId="placeholder@email.com" userName="Sara Jannelli SG" userProvider="google-sheets"/>
        <Anchor>
          <Comment id="{7c6ddeb7-71cd-466a-8fda-45baf0d23baf}"/>
        </Anchor>
        <Assign userId="gaechacha@gmail.com" userName="gaechacha@gmail.com" userProvider="google-sheets"/>
      </Event>
    </History>
  </Task>
  <Task id="{72aa5449-f015-4fe7-8e0c-bfc77e9b23b7}">
    <Anchor>
      <Comment id="{05d9fc69-4bc8-4484-83b3-024a88573332}"/>
    </Anchor>
    <History>
      <Event time="2025-03-12T14:25:39.00" id="{e7d1c9d5-4ef7-497b-8bc5-7c30a18d4832}">
        <Attribution userId="placeholder@email.com" userName="Sara Jannelli SG" userProvider="google-sheets"/>
        <Anchor>
          <Comment id="{05d9fc69-4bc8-4484-83b3-024a88573332}"/>
        </Anchor>
        <Create/>
      </Event>
      <Event time="2025-03-12T14:25:39.00" id="{2b05b09b-98a7-4715-afa8-a19ea8d6a8ad}">
        <Attribution userId="placeholder@email.com" userName="Sara Jannelli SG" userProvider="google-sheets"/>
        <Anchor>
          <Comment id="{05d9fc69-4bc8-4484-83b3-024a88573332}"/>
        </Anchor>
        <Assign userId="gaechacha@gmail.com" userName="gaechacha@gmail.com" userProvider="google-sheets"/>
      </Event>
    </History>
  </Task>
  <Task id="{28631c79-e51a-4423-b024-6021d50ad387}">
    <Anchor>
      <Comment id="{4173652a-504c-4ceb-a499-b0360a25d61f}"/>
    </Anchor>
    <History>
      <Event time="2025-03-12T15:02:01.00" id="{563644f8-8dcb-4bda-8e6e-829d6ac68bea}">
        <Attribution userId="placeholder@email.com" userName="Sara Jannelli SG" userProvider="google-sheets"/>
        <Anchor>
          <Comment id="{4173652a-504c-4ceb-a499-b0360a25d61f}"/>
        </Anchor>
        <Create/>
      </Event>
      <Event time="2025-03-12T15:02:01.00" id="{ef02fedc-2a17-44bb-85a0-de0c7edc83fa}">
        <Attribution userId="placeholder@email.com" userName="Sara Jannelli SG" userProvider="google-sheets"/>
        <Anchor>
          <Comment id="{4173652a-504c-4ceb-a499-b0360a25d61f}"/>
        </Anchor>
        <Assign userId="gaechacha@gmail.com" userName="gaechacha@gmail.com" userProvider="google-sheets"/>
      </Event>
    </History>
  </Task>
  <Task id="{824e065a-b388-4799-9d60-ea25ed788eb2}">
    <Anchor>
      <Comment id="{cc57467a-dc2e-4751-9291-f49728d12e22}"/>
    </Anchor>
    <History>
      <Event time="2025-03-12T14:34:58.00" id="{1d5f78a7-ea95-4134-b660-0245d8603da0}">
        <Attribution userId="placeholder@email.com" userName="Sara Jannelli SG" userProvider="google-sheets"/>
        <Anchor>
          <Comment id="{cc57467a-dc2e-4751-9291-f49728d12e22}"/>
        </Anchor>
        <Create/>
      </Event>
      <Event time="2025-03-12T14:34:58.00" id="{ce26cc80-5598-4614-ab7a-a81b09d10ebe}">
        <Attribution userId="placeholder@email.com" userName="Sara Jannelli SG" userProvider="google-sheets"/>
        <Anchor>
          <Comment id="{cc57467a-dc2e-4751-9291-f49728d12e22}"/>
        </Anchor>
        <Assign userId="gaechacha@gmail.com" userName="gaechacha@gmail.com" userProvider="google-sheets"/>
      </Event>
    </History>
  </Task>
  <Task id="{519117f0-a77d-4952-8a02-b6478f831a40}">
    <Anchor>
      <Comment id="{e3482615-a273-4c6f-b220-2a6070deefe2}"/>
    </Anchor>
    <History>
      <Event time="2025-03-12T15:01:20.00" id="{edf0d359-a031-4ad3-8736-3f1829fba6d0}">
        <Attribution userId="placeholder@email.com" userName="Sara Jannelli SG" userProvider="google-sheets"/>
        <Anchor>
          <Comment id="{e3482615-a273-4c6f-b220-2a6070deefe2}"/>
        </Anchor>
        <Create/>
      </Event>
      <Event time="2025-03-12T15:01:20.00" id="{9007a1de-d96e-4c40-9341-e624962c2e0b}">
        <Attribution userId="placeholder@email.com" userName="Sara Jannelli SG" userProvider="google-sheets"/>
        <Anchor>
          <Comment id="{e3482615-a273-4c6f-b220-2a6070deefe2}"/>
        </Anchor>
        <Assign userId="gaechacha@gmail.com" userName="gaechacha@gmail.com" userProvider="google-sheets"/>
      </Event>
    </History>
  </Task>
</Tasks>
</file>

<file path=xl/documenttasks/documenttask2.xml><?xml version="1.0" encoding="utf-8"?>
<Tasks xmlns="http://schemas.microsoft.com/office/tasks/2019/documenttasks">
  <Task id="{04224a08-bbce-4861-921a-be2b02af3f3a}">
    <Anchor>
      <Comment id="{1242aadf-63e6-46a8-b501-48c7d4837e3a}"/>
    </Anchor>
    <History>
      <Event time="2025-03-12T14:32:18.00" id="{3bbd49d3-a89a-477b-a742-1f836b34930c}">
        <Attribution userId="placeholder@email.com" userName="Sara Jannelli SG" userProvider="google-sheets"/>
        <Anchor>
          <Comment id="{1242aadf-63e6-46a8-b501-48c7d4837e3a}"/>
        </Anchor>
        <Create/>
      </Event>
      <Event time="2025-03-12T14:32:18.00" id="{836fb487-622b-4a5f-9316-00be47d2d664}">
        <Attribution userId="placeholder@email.com" userName="Sara Jannelli SG" userProvider="google-sheets"/>
        <Anchor>
          <Comment id="{1242aadf-63e6-46a8-b501-48c7d4837e3a}"/>
        </Anchor>
        <Assign userId="gaechacha@gmail.com" userName="gaechacha@gmail.com" userProvider="google-sheets"/>
      </Event>
    </History>
  </Task>
</Tasks>
</file>

<file path=xl/documenttasks/documenttask3.xml><?xml version="1.0" encoding="utf-8"?>
<Tasks xmlns="http://schemas.microsoft.com/office/tasks/2019/documenttasks">
  <Task id="{618f776e-e6da-4b84-9602-7d8037e47933}">
    <Anchor>
      <Comment id="{cfe8c427-c7e3-45d7-81b2-3217f07d6fa5}"/>
    </Anchor>
    <History>
      <Event time="2025-03-12T15:04:21.00" id="{3e4f1ba1-dbe5-4bcd-a77d-05a7cde554b4}">
        <Attribution userId="placeholder@email.com" userName="Sara Jannelli SG" userProvider="google-sheets"/>
        <Anchor>
          <Comment id="{cfe8c427-c7e3-45d7-81b2-3217f07d6fa5}"/>
        </Anchor>
        <Create/>
      </Event>
      <Event time="2025-03-12T15:04:21.00" id="{93d8ff90-557d-4fc7-a2e5-26e54695b1c0}">
        <Attribution userId="placeholder@email.com" userName="Sara Jannelli SG" userProvider="google-sheets"/>
        <Anchor>
          <Comment id="{cfe8c427-c7e3-45d7-81b2-3217f07d6fa5}"/>
        </Anchor>
        <Assign userId="gaechacha@gmail.com" userName="gaechacha@gmail.com" userProvider="google-sheets"/>
      </Event>
    </History>
  </Task>
  <Task id="{40aef6db-06f5-4aea-903d-aeef515a1fe9}">
    <Anchor>
      <Comment id="{354cf0c9-637d-4974-ac54-f948b815d2f9}"/>
    </Anchor>
    <History>
      <Event time="2025-03-12T14:32:57.00" id="{7b795047-e56a-43af-ad0b-ad745952c4db}">
        <Attribution userId="placeholder@email.com" userName="Sara Jannelli SG" userProvider="google-sheets"/>
        <Anchor>
          <Comment id="{354cf0c9-637d-4974-ac54-f948b815d2f9}"/>
        </Anchor>
        <Create/>
      </Event>
      <Event time="2025-03-12T14:32:57.00" id="{ede43589-1f95-43e5-a7dc-90284d4206c8}">
        <Attribution userId="placeholder@email.com" userName="Sara Jannelli SG" userProvider="google-sheets"/>
        <Anchor>
          <Comment id="{354cf0c9-637d-4974-ac54-f948b815d2f9}"/>
        </Anchor>
        <Assign userId="gaechacha@gmail.com" userName="gaechacha@gmail.com" userProvider="google-sheets"/>
      </Event>
    </History>
  </Task>
</Tasks>
</file>

<file path=xl/documenttasks/documenttask4.xml><?xml version="1.0" encoding="utf-8"?>
<Tasks xmlns="http://schemas.microsoft.com/office/tasks/2019/documenttasks">
  <Task id="{85c1a668-7d09-4c84-a059-487f121295ad}">
    <Anchor>
      <Comment id="{1bc48a34-781d-47ca-96e2-818e3fb19eaf}"/>
    </Anchor>
    <History>
      <Event time="2025-03-12T14:47:34.00" id="{c14a3cbd-58c3-4a8a-9e6f-0563025bda6f}">
        <Attribution userId="placeholder@email.com" userName="Sara Jannelli SG" userProvider="google-sheets"/>
        <Anchor>
          <Comment id="{1bc48a34-781d-47ca-96e2-818e3fb19eaf}"/>
        </Anchor>
        <Create/>
      </Event>
      <Event time="2025-03-12T14:47:34.00" id="{3b7af0f5-1c41-4dbe-a3e1-1fd5d2fef2df}">
        <Attribution userId="placeholder@email.com" userName="Sara Jannelli SG" userProvider="google-sheets"/>
        <Anchor>
          <Comment id="{1bc48a34-781d-47ca-96e2-818e3fb19eaf}"/>
        </Anchor>
        <Assign userId="gaechacha@gmail.com" userName="gaechacha@gmail.com" userProvider="google-sheets"/>
      </Event>
    </History>
  </Task>
  <Task id="{1a63582c-7367-4a6e-a32c-f78aaa57ef37}">
    <Anchor>
      <Comment id="{d67d2b1c-968c-4c5b-8f93-5af490c4b638}"/>
    </Anchor>
    <History>
      <Event time="2025-03-12T14:47:44.00" id="{5ceffaf7-7827-41bd-9405-94f23b546432}">
        <Attribution userId="placeholder@email.com" userName="Sara Jannelli SG" userProvider="google-sheets"/>
        <Anchor>
          <Comment id="{d67d2b1c-968c-4c5b-8f93-5af490c4b638}"/>
        </Anchor>
        <Create/>
      </Event>
      <Event time="2025-03-12T14:47:44.00" id="{f8d43363-7234-4c61-8d6d-37064a1907df}">
        <Attribution userId="placeholder@email.com" userName="Sara Jannelli SG" userProvider="google-sheets"/>
        <Anchor>
          <Comment id="{d67d2b1c-968c-4c5b-8f93-5af490c4b638}"/>
        </Anchor>
        <Assign userId="gaechacha@gmail.com" userName="gaechacha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stefany Gem" id="{299ab235-35ce-46f7-b55f-84be12918246}" providerId="google-sheets"/>
  <x18tc:person displayName="Joel gem" id="{d5693044-c5a6-42ec-8f56-1ea6d803f0b6}" providerId="google-sheets"/>
  <x18tc:person displayName="Nura StudioGem" id="{6da56843-d15f-4857-9597-60756b4a72cd}" providerId="google-sheets"/>
  <x18tc:person displayName="gaechacha@gmail.com" id="{18beffb1-fc90-43ca-b393-012f9bae75d9}" userId="gaechacha@gmail.com" providerId="google-sheets"/>
  <x18tc:person displayName="Giuditta Gem" id="{cb516936-bdb1-4d40-87eb-412a50deff26}" providerId="google-sheets"/>
  <x18tc:person displayName="Sara Jannelli SG" id="{d8c01827-dee0-4b49-b225-052d9829f8aa}" providerId="google-sheets"/>
</x18tc:personList>
</file>

<file path=xl/tables/table1.xml><?xml version="1.0" encoding="utf-8"?>
<table xmlns="http://schemas.openxmlformats.org/spreadsheetml/2006/main" ref="D4:E11" displayName="Table_1" name="Table_1" id="1">
  <tableColumns count="2">
    <tableColumn name="DEL PESCO" id="1"/>
    <tableColumn name="VALERY _x000a_NATALYA MARIA" id="2"/>
  </tableColumns>
  <tableStyleInfo name="CAMPUS_DANZ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6B26B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3-11T15:04:26.00" personId="{299ab235-35ce-46f7-b55f-84be12918246}" id="{10b09cf1-682e-40a0-af20-12ac8a55a2b1}" done="1">
    <x18tc:text xml:space="preserve">no terza settimana</x18tc:text>
  </x18tc:threadedComment>
  <x18tc:threadedComment ref="C14" dT="2025-03-12T15:01:28.00" personId="{d8c01827-dee0-4b49-b225-052d9829f8aa}" id="{a659dde1-7837-4816-93c4-7010e80701b1}" done="1">
    <x18tc:text xml:space="preserve">@gaechacha@gmail.com Correggere formula =SOMMA(B3;B;12) perchè non c'è nè la terza settimana di danza, nè il campus di aerial
Attività assegnata a gaechacha@gmail.com</x18tc:text>
    <x18tc:mentions>
      <x18tc:mention mentionpersonId="{18beffb1-fc90-43ca-b393-012f9bae75d9}" mentionId="{5e6f7359-67f1-4ab8-a994-0fff7a058d14}" startIndex="0" length="20"/>
    </x18tc:mentions>
  </x18tc:threadedComment>
  <x18tc:threadedComment ref="D14" dT="2025-03-12T15:01:35.00" personId="{d8c01827-dee0-4b49-b225-052d9829f8aa}" id="{7c6ddeb7-71cd-466a-8fda-45baf0d23baf}" done="1">
    <x18tc:text xml:space="preserve">@gaechacha@gmail.com Correggere formula =SOMMA(B3;B;12) perchè non c'è nè la terza settimana di danza, nè il campus di aerial
Attività assegnata a gaechacha@gmail.com</x18tc:text>
    <x18tc:mentions>
      <x18tc:mention mentionpersonId="{18beffb1-fc90-43ca-b393-012f9bae75d9}" mentionId="{5851739f-57d3-4bd7-9016-c12817946be3}" startIndex="0" length="20"/>
    </x18tc:mentions>
  </x18tc:threadedComment>
  <x18tc:threadedComment ref="A1" dT="2025-03-12T14:25:39.00" personId="{d8c01827-dee0-4b49-b225-052d9829f8aa}" id="{05d9fc69-4bc8-4484-83b3-024a88573332}" done="0">
    <x18tc:text xml:space="preserve">@gaechacha@gmail.com ELIMINARE TERZA SETTIMANA (non esiste)
Attività assegnata a gaechacha@gmail.com</x18tc:text>
    <x18tc:mentions>
      <x18tc:mention mentionpersonId="{18beffb1-fc90-43ca-b393-012f9bae75d9}" mentionId="{778cfbc0-ce2d-4a62-aad5-8abb7a878289}" startIndex="0" length="20"/>
    </x18tc:mentions>
  </x18tc:threadedComment>
  <x18tc:threadedComment ref="A1" dT="2025-03-12T15:02:01.00" personId="{d8c01827-dee0-4b49-b225-052d9829f8aa}" id="{4173652a-504c-4ceb-a499-b0360a25d61f}" done="1">
    <x18tc:text xml:space="preserve">@gaechacha@gmail.com Correggere dicitura: CAMPUS2025
Attività assegnata a gaechacha@gmail.com</x18tc:text>
    <x18tc:mentions>
      <x18tc:mention mentionpersonId="{18beffb1-fc90-43ca-b393-012f9bae75d9}" mentionId="{b06f1329-d906-44bd-8ef1-9e068d927b7c}" startIndex="0" length="20"/>
    </x18tc:mentions>
  </x18tc:threadedComment>
  <x18tc:threadedComment ref="A1" dT="2025-05-08T18:43:49.00" personId="{299ab235-35ce-46f7-b55f-84be12918246}" id="{d63f3b1d-5ece-4d8c-a800-77d8df584cae}" done="1">
    <x18tc:text xml:space="preserve">problemi con il poss ricevuta fatta estefany deve solo saldare</x18tc:text>
  </x18tc:threadedComment>
  <x18tc:threadedComment ref="A1" dT="2025-03-12T14:34:58.00" personId="{d8c01827-dee0-4b49-b225-052d9829f8aa}" id="{cc57467a-dc2e-4751-9291-f49728d12e22}" done="0">
    <x18tc:text xml:space="preserve">@gaechacha@gmail.com Foglio da eliminare (non c'è campus aerial)
Attività assegnata a gaechacha@gmail.com</x18tc:text>
    <x18tc:mentions>
      <x18tc:mention mentionpersonId="{18beffb1-fc90-43ca-b393-012f9bae75d9}" mentionId="{e28ecd1f-897c-4cca-a468-2a02703a871c}" startIndex="0" length="20"/>
    </x18tc:mentions>
  </x18tc:threadedComment>
  <x18tc:threadedComment ref="B14" dT="2025-03-12T15:01:20.00" personId="{d8c01827-dee0-4b49-b225-052d9829f8aa}" id="{e3482615-a273-4c6f-b220-2a6070deefe2}" done="1">
    <x18tc:text xml:space="preserve">@gaechacha@gmail.com Correggere formula =SOMMA(B3;B12) perchè non c'è nè la terza settimana di danza, nè il campus di aerial
Attività assegnata a gaechacha@gmail.com</x18tc:text>
    <x18tc:mentions>
      <x18tc:mention mentionpersonId="{18beffb1-fc90-43ca-b393-012f9bae75d9}" mentionId="{161bb981-9d1e-4732-89d5-4bc88763236e}" startIndex="0" length="20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15" dT="2025-04-30T08:20:50.00" personId="{d5693044-c5a6-42ec-8f56-1ea6d803f0b6}" id="{afd7e37e-3751-4beb-bbc8-529d8cb5db84}" done="1">
    <x18tc:text xml:space="preserve">NON TESSERATA</x18tc:text>
  </x18tc:threadedComment>
  <x18tc:threadedComment ref="L115" dT="2025-04-30T08:29:01.00" personId="{d5693044-c5a6-42ec-8f56-1ea6d803f0b6}" id="{770f3e72-037c-4ecb-a218-b1f15e39bc36}" done="1">
    <x18tc:text xml:space="preserve">iscrizione online deve saldare 25 per completare iscrizione</x18tc:text>
  </x18tc:threadedComment>
  <x18tc:threadedComment ref="N170" dT="2025-06-23T06:38:00.00" personId="{299ab235-35ce-46f7-b55f-84be12918246}" id="{d5545c0a-fb17-4623-a463-9c502e3927ad}" done="0">
    <x18tc:text xml:space="preserve">manda tramite email</x18tc:text>
  </x18tc:threadedComment>
  <x18tc:threadedComment ref="L22" dT="2025-04-15T17:21:06.00" personId="{299ab235-35ce-46f7-b55f-84be12918246}" id="{ec09f076-e1f3-42f4-b3d5-e189acc372b0}" done="1">
    <x18tc:text xml:space="preserve">DEVE SALDARE 25€</x18tc:text>
  </x18tc:threadedComment>
  <x18tc:threadedComment ref="M4" dT="2025-03-12T14:32:18.00" personId="{d8c01827-dee0-4b49-b225-052d9829f8aa}" id="{1242aadf-63e6-46a8-b501-48c7d4837e3a}" done="1">
    <x18tc:text xml:space="preserve">@gaechacha@gmail.com Bisogna aggiungere come tendina NURA05CAMPUS e JOEL05CAMPUS
Attività assegnata a gaechacha@gmail.com</x18tc:text>
    <x18tc:mentions>
      <x18tc:mention mentionpersonId="{18beffb1-fc90-43ca-b393-012f9bae75d9}" mentionId="{f1d32e1a-9770-4234-ad2b-4d475066054f}" startIndex="0" length="20"/>
    </x18tc:mentions>
  </x18tc:threadedComment>
  <x18tc:threadedComment ref="D16" dT="2025-04-09T17:18:53.00" personId="{cb516936-bdb1-4d40-87eb-412a50deff26}" id="{70822828-17da-4ec2-a555-c8264a80b74e}" done="1">
    <x18tc:text xml:space="preserve">si sposterebbe pagando la differenza al Campus di Aerial</x18tc:text>
  </x18tc:threadedComment>
  <x18tc:threadedComment ref="D43" dT="2025-06-09T09:27:41.00" personId="{299ab235-35ce-46f7-b55f-84be12918246}" id="{569e892a-626f-4271-bb71-d215e89c47e3}" done="1">
    <x18tc:text xml:space="preserve">inviata email oggi per modulistica</x18tc:text>
  </x18tc:threadedComment>
  <x18tc:threadedComment ref="L158" dT="2025-05-07T14:25:22.00" personId="{6da56843-d15f-4857-9597-60756b4a72cd}" id="{4ddb571b-146b-4e2f-b818-38860a2a6392}" done="0">
    <x18tc:text xml:space="preserve">sconto elisa</x18tc:text>
  </x18tc:threadedComment>
  <x18tc:threadedComment ref="L32" dT="2025-04-30T13:22:14.00" personId="{d5693044-c5a6-42ec-8f56-1ea6d803f0b6}" id="{9ad2b29b-86a0-43a5-8b8b-e08353519c16}" done="1">
    <x18tc:text xml:space="preserve">DEVE SALDARE 20€</x18tc:text>
  </x18tc:threadedComment>
  <x18tc:threadedComment ref="D32" dT="2025-04-30T13:22:35.00" personId="{d5693044-c5a6-42ec-8f56-1ea6d803f0b6}" id="{f7b4f4f6-3aad-486c-9bdd-3e45628cb20a}" done="1">
    <x18tc:text xml:space="preserve">IN ATTESA DI CONFERMA SETTIMANA ISCRIZIONE</x18tc:text>
  </x18tc:threadedComment>
  <x18tc:threadedComment ref="L102" dT="2025-04-15T13:49:36.00" personId="{299ab235-35ce-46f7-b55f-84be12918246}" id="{49ba0a01-29f6-476b-9e22-aabd6a84ba05}" done="1">
    <x18tc:text xml:space="preserve">iscrizione online deve saldare 25 per completare iscrizione</x18tc:text>
  </x18tc:threadedComment>
  <x18tc:threadedComment ref="D13" dT="2025-04-10T14:24:49.00" personId="{d5693044-c5a6-42ec-8f56-1ea6d803f0b6}" id="{64d44c03-a3f9-4ce0-8661-1b3bfd93c064}" done="1">
    <x18tc:text xml:space="preserve">si sposterebbe pagando la differenza al Campus di Aerial</x18tc:text>
  </x18tc:threadedComment>
  <x18tc:threadedComment ref="D31" dT="2025-04-30T09:55:50.00" personId="{d5693044-c5a6-42ec-8f56-1ea6d803f0b6}" id="{9ba8c9ea-9549-46b8-9a35-dd50bfc9b9d8}" done="1">
    <x18tc:text xml:space="preserve">NON HA SPECIFICATO LA SETTIMANA, INVIATO SMS E CHIAMATA PIù VOLTE MA NON RISPONDE</x18tc:text>
  </x18tc:threadedComment>
  <x18tc:threadedComment ref="L168" dT="2025-06-19T15:28:00.00" personId="{d5693044-c5a6-42ec-8f56-1ea6d803f0b6}" id="{15a13227-fabc-4f1f-b312-6e7cb93c3894}" done="0">
    <x18tc:text xml:space="preserve">-20% OK DALLA DIREZIONE -&gt;80€</x18tc:text>
  </x18tc:threadedComment>
  <x18tc:threadedComment ref="N36" dT="2025-05-21T11:59:31.00" personId="{d5693044-c5a6-42ec-8f56-1ea6d803f0b6}" id="{315514a1-da54-4790-bdbf-81161702dc49}" done="1">
    <x18tc:text xml:space="preserve">CERTIFICATO MEDICO IN SCADENZA 27/05/2025</x18tc:text>
  </x18tc:threadedComment>
  <x18tc:threadedComment ref="N168" dT="2025-06-19T15:38:36.00" personId="{299ab235-35ce-46f7-b55f-84be12918246}" id="{89ab8c8b-695b-4dcd-a2ea-dce3f46cbc42}" done="0">
    <x18tc:text xml:space="preserve">PRENOTATO DA NOI PER FINE GIUGNO</x18tc:text>
  </x18tc:threadedComment>
  <x18tc:threadedComment ref="L34" dT="2025-05-06T14:04:33.00" personId="{6da56843-d15f-4857-9597-60756b4a72cd}" id="{7c13d02f-adbb-43c0-9bd5-058fd124aacc}" done="1">
    <x18tc:text xml:space="preserve">riduzione anche di elisa</x18tc:text>
  </x18tc:threadedComment>
  <x18tc:threadedComment ref="L34" dT="2025-05-06T14:04:37.00" personId="{6da56843-d15f-4857-9597-60756b4a72cd}" id="{df4c8df3-06b2-4946-ae0a-6205c9c5f3c4}" done="1">
    <x18tc:text xml:space="preserve">riduzione anche di elisa</x18tc:text>
  </x18tc:threadedComment>
  <x18tc:threadedComment ref="O9" dT="2025-04-01T10:43:27.00" personId="{d5693044-c5a6-42ec-8f56-1ea6d803f0b6}" id="{2586cce4-ded5-40ff-aebd-874c839b8759}" done="1">
    <x18tc:text xml:space="preserve">DA FAR COMPILARE</x18tc:text>
  </x18tc:threadedComment>
  <x18tc:threadedComment ref="L35" dT="2025-05-06T14:04:40.00" personId="{6da56843-d15f-4857-9597-60756b4a72cd}" id="{0027a580-7a0a-4a4e-9694-b565ebba3b20}" done="1">
    <x18tc:text xml:space="preserve">riduzione anche di elisa</x18tc:text>
  </x18tc:threadedComment>
  <x18tc:threadedComment ref="K8" dT="2025-04-01T08:04:34.00" personId="{d5693044-c5a6-42ec-8f56-1ea6d803f0b6}" id="{36e8c153-6c6d-45f2-a6fb-67037f8ab9fc}" done="0">
    <x18tc:text xml:space="preserve">DEVE RINNOVARE PER PARTECIPARE QUELLA SETTIMANA DEL CAMPUS</x18tc:text>
  </x18tc:threadedComment>
  <x18tc:threadedComment ref="D42" dT="2025-06-11T14:12:38.00" personId="{299ab235-35ce-46f7-b55f-84be12918246}" id="{1d1c5678-a540-4d78-9cb5-d9f89c7d5d63}" done="0">
    <x18tc:text xml:space="preserve">prova campus se no passa a danza</x18tc:text>
  </x18tc:threadedComment>
  <x18tc:threadedComment ref="L21" dT="2025-04-15T14:20:52.00" personId="{299ab235-35ce-46f7-b55f-84be12918246}" id="{e7862f86-efcd-40fe-88e2-85e4cec5a5c8}" done="1">
    <x18tc:text xml:space="preserve">DEVE SALDARE 25€</x18tc:text>
  </x18tc:threadedComment>
  <x18tc:threadedComment ref="L173" dT="2025-06-20T11:50:56.00" personId="{d5693044-c5a6-42ec-8f56-1ea6d803f0b6}" id="{e097024d-5842-4704-bb1b-73ad09318659}" done="1">
    <x18tc:text xml:space="preserve">MANCANO 25€ DA SALDARE</x18tc:text>
  </x18tc:threadedComment>
  <x18tc:threadedComment ref="D91" dT="2025-04-07T11:44:19.00" personId="{6da56843-d15f-4857-9597-60756b4a72cd}" id="{9e286a36-9396-449f-a982-1e7f60f37d12}" done="1">
    <x18tc:text xml:space="preserve">In attesa di b/b</x18tc:text>
  </x18tc:threadedComment>
  <x18tc:threadedComment ref="N14" dT="2025-04-09T10:59:24.00" personId="{d5693044-c5a6-42ec-8f56-1ea6d803f0b6}" id="{f5a113fa-b8a0-4c86-8fe0-52dace5e544d}" done="1">
    <x18tc:text xml:space="preserve">oggi prenota la mamma</x18tc:text>
  </x18tc:threadedComment>
  <x18tc:threadedComment ref="D144" dT="2025-04-07T11:45:09.00" personId="{6da56843-d15f-4857-9597-60756b4a72cd}" id="{00add291-a14a-4ac9-ba67-7ee04e11cea3}" done="1">
    <x18tc:text xml:space="preserve">in attesa b/b</x18tc:text>
  </x18tc:threadedComment>
  <x18tc:threadedComment ref="L40" dT="2025-06-06T15:42:40.00" personId="{d5693044-c5a6-42ec-8f56-1ea6d803f0b6}" id="{3066f6e5-ce25-46b4-b9f7-8403910e5ca0}" done="1">
    <x18tc:text xml:space="preserve">passa oggi o domani a saldare i 25€</x18tc:text>
  </x18tc:threadedComment>
  <x18tc:threadedComment ref="J173" dT="2025-06-20T11:49:43.00" personId="{d5693044-c5a6-42ec-8f56-1ea6d803f0b6}" id="{cb469e1b-63a5-4c7a-98ce-1c2ac748eb5a}" done="1">
    <x18tc:text xml:space="preserve">DA RINNOVARE SCADUTA NEL 2023</x18tc:text>
  </x18tc:threadedComment>
  <x18tc:threadedComment ref="J168" dT="2025-06-19T14:08:00.00" personId="{d5693044-c5a6-42ec-8f56-1ea6d803f0b6}" id="{3c7af557-ea7f-4a82-b595-dbf4eb4060e4}" done="1">
    <x18tc:text xml:space="preserve">-20% OK DALLA DIREZIONE -&gt;80€</x18tc:text>
  </x18tc:threadedComment>
  <x18tc:threadedComment ref="N10" dT="2025-04-01T10:43:16.00" personId="{d5693044-c5a6-42ec-8f56-1ea6d803f0b6}" id="{5525c002-1da8-403d-8f45-f464b04c2ac0}" done="1">
    <x18tc:text xml:space="preserve">LO PORTA DOMANI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3-11T15:05:07.00" personId="{299ab235-35ce-46f7-b55f-84be12918246}" id="{cc14621f-51fe-42da-b26a-d0150b8ba00c}" done="1">
    <x18tc:text xml:space="preserve">CAMPUS DANZA ENTRO 30 APRILE
1 settimana → €85
2 settimane → €155</x18tc:text>
  </x18tc:threadedComment>
  <x18tc:threadedComment ref="A1" dT="2025-03-11T15:06:23.00" personId="{299ab235-35ce-46f7-b55f-84be12918246}" id="{36b6e37f-71ca-4088-830c-00594a757ab8}" parentId="{cc14621f-51fe-42da-b26a-d0150b8ba00c}">
    <x18tc:text xml:space="preserve">CAMPUS DANZA DAL 1 MAGGIO
1 settimana → €120
2 settimane → €180</x18tc:text>
  </x18tc:threadedComment>
  <x18tc:threadedComment ref="M50" dT="2025-03-12T15:04:21.00" personId="{d8c01827-dee0-4b49-b225-052d9829f8aa}" id="{cfe8c427-c7e3-45d7-81b2-3217f07d6fa5}" done="1">
    <x18tc:text xml:space="preserve">@gaechacha@gmail.com Bisogna aggiungere come tendina NURA05CAMPUS e JOEL05CAMPUS
Attività assegnata a gaechacha@gmail.com</x18tc:text>
    <x18tc:mentions>
      <x18tc:mention mentionpersonId="{18beffb1-fc90-43ca-b393-012f9bae75d9}" mentionId="{41758571-c382-460f-9985-a79f8ae4c6d4}" startIndex="0" length="20"/>
    </x18tc:mentions>
  </x18tc:threadedComment>
  <x18tc:threadedComment ref="M4" dT="2025-03-12T14:32:57.00" personId="{d8c01827-dee0-4b49-b225-052d9829f8aa}" id="{354cf0c9-637d-4974-ac54-f948b815d2f9}" done="1">
    <x18tc:text xml:space="preserve">@gaechacha@gmail.com Bisogna aggiungere come tendina NURA05CAMPUS e JOEL05CAMPUS
Attività assegnata a gaechacha@gmail.com</x18tc:text>
    <x18tc:mentions>
      <x18tc:mention mentionpersonId="{18beffb1-fc90-43ca-b393-012f9bae75d9}" mentionId="{3bfa1806-aed8-45dc-9ea2-b4aa02f55edf}" startIndex="0" length="20"/>
    </x18tc:mentions>
  </x18tc:threadedComment>
  <x18tc:threadedComment ref="D8" dT="2025-04-28T16:20:07.00" personId="{cb516936-bdb1-4d40-87eb-412a50deff26}" id="{e3b3bc8c-f139-4681-a70b-6a0df7b4fafe}" done="1">
    <x18tc:text xml:space="preserve">SETTIMANA DA DECIDERE</x18tc:text>
  </x18tc:threadedComment>
  <x18tc:threadedComment ref="D50" dT="2025-06-11T14:10:41.00" personId="{299ab235-35ce-46f7-b55f-84be12918246}" id="{eeb69aa7-d3f3-41fe-8339-5107c973686c}" done="1">
    <x18tc:text xml:space="preserve">lo prova e decide di spostarsi</x18tc:text>
  </x18tc:threadedComment>
  <x18tc:threadedComment ref="L54" dT="2025-05-27T07:29:46.00" personId="{299ab235-35ce-46f7-b55f-84be12918246}" id="{5d212d6b-a950-4f68-9832-7dd467674152}" done="1">
    <x18tc:text xml:space="preserve">DP25€</x18tc:text>
  </x18tc:threadedComment>
  <x18tc:threadedComment ref="A3" dT="2025-03-11T15:03:46.00" personId="{299ab235-35ce-46f7-b55f-84be12918246}" id="{2633f7f7-b497-4e14-b807-7ed6bccab108}" done="1">
    <x18tc:text xml:space="preserve">1 settimana dal lunedi 9a venerdi 13</x18tc:text>
  </x18tc:threadedComment>
  <x18tc:threadedComment ref="A49" dT="2025-03-11T15:04:18.00" personId="{299ab235-35ce-46f7-b55f-84be12918246}" id="{61409788-57aa-48c3-bd66-b867033e2a66}" done="1">
    <x18tc:text xml:space="preserve">seconda settimana da lunedi 16 a venerdi 20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" dT="2025-03-12T14:47:34.00" personId="{d8c01827-dee0-4b49-b225-052d9829f8aa}" id="{1bc48a34-781d-47ca-96e2-818e3fb19eaf}" done="1">
    <x18tc:text xml:space="preserve">@gaechacha@gmail.com JOEL05CAMPUS
Attività assegnata a gaechacha@gmail.com</x18tc:text>
    <x18tc:mentions>
      <x18tc:mention mentionpersonId="{18beffb1-fc90-43ca-b393-012f9bae75d9}" mentionId="{7f4ab5d8-136d-408e-81f8-30754eeef2a1}" startIndex="0" length="20"/>
    </x18tc:mentions>
  </x18tc:threadedComment>
  <x18tc:threadedComment ref="E10" dT="2025-03-12T14:47:44.00" personId="{d8c01827-dee0-4b49-b225-052d9829f8aa}" id="{d67d2b1c-968c-4c5b-8f93-5af490c4b638}" done="1">
    <x18tc:text xml:space="preserve">@gaechacha@gmail.com NURA05CAMPUS
Attività assegnata a gaechacha@gmail.com</x18tc:text>
    <x18tc:mentions>
      <x18tc:mention mentionpersonId="{18beffb1-fc90-43ca-b393-012f9bae75d9}" mentionId="{3bd80326-2133-4df4-9870-15c6e0c3926c}" startIndex="0" length="2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7.5"/>
    <col customWidth="1" min="3" max="3" width="18.5"/>
    <col customWidth="1" min="4" max="4" width="20.25"/>
    <col customWidth="1" min="5" max="5" width="24.38"/>
    <col customWidth="1" min="6" max="6" width="36.0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>
      <c r="A3" s="6"/>
      <c r="B3" s="7"/>
      <c r="C3" s="8"/>
      <c r="D3" s="8"/>
      <c r="E3" s="9"/>
      <c r="F3" s="10"/>
    </row>
    <row r="4">
      <c r="A4" s="11" t="s">
        <v>6</v>
      </c>
      <c r="B4" s="12">
        <f>CAMPUS_ESTIVO!D80</f>
        <v>39</v>
      </c>
      <c r="C4" s="13">
        <f>CAMPUS_ESTIVO!J80</f>
        <v>425</v>
      </c>
      <c r="D4" s="14">
        <f>CAMPUS_ESTIVO!L80</f>
        <v>2745</v>
      </c>
      <c r="E4" s="15" t="s">
        <v>7</v>
      </c>
      <c r="F4" s="12"/>
    </row>
    <row r="5">
      <c r="A5" s="6"/>
      <c r="B5" s="7"/>
      <c r="C5" s="8"/>
      <c r="D5" s="8"/>
      <c r="E5" s="9"/>
      <c r="F5" s="7"/>
    </row>
    <row r="6">
      <c r="A6" s="16" t="s">
        <v>8</v>
      </c>
      <c r="B6" s="17">
        <f>CAMPUS_ESTIVO!D138</f>
        <v>50</v>
      </c>
      <c r="C6" s="18">
        <f>CAMPUS_ESTIVO!J138</f>
        <v>475</v>
      </c>
      <c r="D6" s="19">
        <f>CAMPUS_ESTIVO!L138</f>
        <v>3475</v>
      </c>
      <c r="E6" s="20" t="s">
        <v>9</v>
      </c>
      <c r="F6" s="17"/>
    </row>
    <row r="7">
      <c r="A7" s="10"/>
      <c r="B7" s="10"/>
      <c r="C7" s="21"/>
      <c r="D7" s="21"/>
      <c r="E7" s="22"/>
      <c r="F7" s="10"/>
    </row>
    <row r="8">
      <c r="A8" s="23" t="s">
        <v>10</v>
      </c>
      <c r="B8" s="24">
        <f>CAMPUS_ESTIVO!D185</f>
        <v>34</v>
      </c>
      <c r="C8" s="25">
        <f>CAMPUS_ESTIVO!J185</f>
        <v>300</v>
      </c>
      <c r="D8" s="25">
        <f>CAMPUS_ESTIVO!L185</f>
        <v>2429</v>
      </c>
      <c r="E8" s="26" t="s">
        <v>11</v>
      </c>
      <c r="F8" s="27"/>
    </row>
    <row r="9">
      <c r="A9" s="10"/>
      <c r="B9" s="10"/>
      <c r="C9" s="21"/>
      <c r="D9" s="21"/>
      <c r="E9" s="22"/>
      <c r="F9" s="10"/>
    </row>
    <row r="10">
      <c r="A10" s="28" t="s">
        <v>12</v>
      </c>
      <c r="B10" s="29">
        <f>CAMPUS_DANZA!D46</f>
        <v>8</v>
      </c>
      <c r="C10" s="30">
        <f>CAMPUS_DANZA!J46</f>
        <v>75</v>
      </c>
      <c r="D10" s="30">
        <f>CAMPUS_DANZA!L46</f>
        <v>695</v>
      </c>
      <c r="E10" s="31" t="s">
        <v>13</v>
      </c>
      <c r="F10" s="29"/>
    </row>
    <row r="11">
      <c r="A11" s="32"/>
      <c r="B11" s="32"/>
      <c r="C11" s="32"/>
      <c r="D11" s="32"/>
      <c r="E11" s="33"/>
      <c r="F11" s="32"/>
    </row>
    <row r="12">
      <c r="A12" s="34" t="s">
        <v>14</v>
      </c>
      <c r="B12" s="35">
        <f>CAMPUS_DANZA!D97</f>
        <v>5</v>
      </c>
      <c r="C12" s="36">
        <f>CAMPUS_DANZA!J97</f>
        <v>25</v>
      </c>
      <c r="D12" s="36">
        <f>CAMPUS_DANZA!L97</f>
        <v>445</v>
      </c>
      <c r="E12" s="37" t="s">
        <v>9</v>
      </c>
      <c r="F12" s="35"/>
    </row>
    <row r="13">
      <c r="A13" s="32"/>
      <c r="B13" s="32"/>
      <c r="C13" s="32"/>
      <c r="D13" s="32"/>
      <c r="E13" s="33"/>
      <c r="F13" s="32"/>
    </row>
    <row r="14">
      <c r="A14" s="38" t="s">
        <v>3</v>
      </c>
      <c r="B14" s="39">
        <f t="shared" ref="B14:D14" si="1">SUM(B3:B12)</f>
        <v>136</v>
      </c>
      <c r="C14" s="40">
        <f t="shared" si="1"/>
        <v>1300</v>
      </c>
      <c r="D14" s="40">
        <f t="shared" si="1"/>
        <v>9789</v>
      </c>
      <c r="E14" s="39"/>
      <c r="F14" s="39"/>
    </row>
    <row r="15">
      <c r="A15" s="32"/>
      <c r="B15" s="32"/>
      <c r="C15" s="32"/>
      <c r="D15" s="32"/>
      <c r="E15" s="32"/>
      <c r="F15" s="32"/>
    </row>
  </sheetData>
  <mergeCells count="1">
    <mergeCell ref="A1:F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6.38"/>
    <col customWidth="1" min="2" max="2" width="22.13"/>
    <col customWidth="1" min="3" max="3" width="16.38" outlineLevel="1"/>
    <col customWidth="1" min="4" max="4" width="18.63" outlineLevel="1"/>
    <col customWidth="1" min="5" max="5" width="16.5" outlineLevel="1"/>
    <col customWidth="1" min="6" max="6" width="30.63" outlineLevel="1"/>
    <col customWidth="1" min="7" max="7" width="16.88" outlineLevel="1"/>
    <col min="8" max="8" width="12.63" outlineLevel="1"/>
    <col customWidth="1" min="9" max="9" width="19.88" outlineLevel="1"/>
    <col min="10" max="12" width="12.63" outlineLevel="1"/>
    <col customWidth="1" min="13" max="13" width="23.0"/>
    <col customWidth="1" min="17" max="17" width="26.88"/>
    <col customWidth="1" min="18" max="18" width="29.38"/>
    <col customWidth="1" min="19" max="19" width="15.5"/>
    <col customWidth="1" min="20" max="20" width="26.5"/>
  </cols>
  <sheetData>
    <row r="1" ht="22.5" customHeight="1">
      <c r="A1" s="4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>
      <c r="A2" s="42" t="s">
        <v>16</v>
      </c>
      <c r="B2" s="42" t="s">
        <v>17</v>
      </c>
      <c r="C2" s="42" t="s">
        <v>18</v>
      </c>
      <c r="D2" s="43" t="s">
        <v>19</v>
      </c>
      <c r="E2" s="43" t="s">
        <v>20</v>
      </c>
      <c r="F2" s="43" t="s">
        <v>21</v>
      </c>
      <c r="G2" s="43" t="s">
        <v>22</v>
      </c>
      <c r="H2" s="43" t="s">
        <v>23</v>
      </c>
      <c r="I2" s="43" t="s">
        <v>24</v>
      </c>
      <c r="J2" s="44" t="s">
        <v>25</v>
      </c>
      <c r="K2" s="43" t="s">
        <v>26</v>
      </c>
      <c r="L2" s="44" t="s">
        <v>27</v>
      </c>
      <c r="M2" s="45" t="s">
        <v>28</v>
      </c>
      <c r="N2" s="46" t="s">
        <v>29</v>
      </c>
      <c r="O2" s="46" t="s">
        <v>30</v>
      </c>
      <c r="P2" s="46" t="s">
        <v>31</v>
      </c>
      <c r="Q2" s="43" t="s">
        <v>32</v>
      </c>
      <c r="R2" s="43" t="s">
        <v>33</v>
      </c>
      <c r="S2" s="43" t="s">
        <v>34</v>
      </c>
      <c r="T2" s="47" t="s">
        <v>5</v>
      </c>
    </row>
    <row r="3" ht="27.75" customHeight="1">
      <c r="A3" s="48" t="s">
        <v>35</v>
      </c>
    </row>
    <row r="4" outlineLevel="1">
      <c r="A4" s="49" t="s">
        <v>36</v>
      </c>
      <c r="B4" s="50" t="s">
        <v>37</v>
      </c>
      <c r="C4" s="51">
        <v>45720.0</v>
      </c>
      <c r="D4" s="49" t="s">
        <v>38</v>
      </c>
      <c r="E4" s="49" t="s">
        <v>39</v>
      </c>
      <c r="F4" s="52">
        <v>3.392262465E9</v>
      </c>
      <c r="G4" s="49">
        <v>11.0</v>
      </c>
      <c r="H4" s="49" t="s">
        <v>40</v>
      </c>
      <c r="I4" s="49" t="s">
        <v>41</v>
      </c>
      <c r="J4" s="53">
        <v>25.0</v>
      </c>
      <c r="K4" s="54">
        <v>46141.0</v>
      </c>
      <c r="L4" s="53">
        <v>65.0</v>
      </c>
      <c r="M4" s="55"/>
      <c r="N4" s="56" t="b">
        <v>1</v>
      </c>
      <c r="O4" s="56" t="b">
        <v>1</v>
      </c>
      <c r="P4" s="56" t="b">
        <v>1</v>
      </c>
      <c r="Q4" s="57" t="s">
        <v>42</v>
      </c>
      <c r="R4" s="58" t="s">
        <v>43</v>
      </c>
      <c r="S4" s="58">
        <v>3.334283886E9</v>
      </c>
      <c r="T4" s="59" t="s">
        <v>44</v>
      </c>
    </row>
    <row r="5" outlineLevel="1">
      <c r="A5" s="49" t="s">
        <v>45</v>
      </c>
      <c r="B5" s="50" t="s">
        <v>37</v>
      </c>
      <c r="C5" s="51">
        <v>45736.0</v>
      </c>
      <c r="D5" s="49" t="s">
        <v>46</v>
      </c>
      <c r="E5" s="49" t="s">
        <v>47</v>
      </c>
      <c r="F5" s="52">
        <v>3.470407484E9</v>
      </c>
      <c r="G5" s="49">
        <v>9.0</v>
      </c>
      <c r="H5" s="49"/>
      <c r="I5" s="49"/>
      <c r="J5" s="53">
        <v>25.0</v>
      </c>
      <c r="K5" s="54">
        <v>46101.0</v>
      </c>
      <c r="L5" s="53">
        <v>65.0</v>
      </c>
      <c r="M5" s="55"/>
      <c r="N5" s="56" t="b">
        <v>1</v>
      </c>
      <c r="O5" s="56" t="b">
        <v>1</v>
      </c>
      <c r="P5" s="56" t="b">
        <v>0</v>
      </c>
      <c r="Q5" s="57" t="s">
        <v>48</v>
      </c>
      <c r="R5" s="60"/>
      <c r="S5" s="60"/>
      <c r="T5" s="58"/>
    </row>
    <row r="6" outlineLevel="1">
      <c r="A6" s="49" t="s">
        <v>49</v>
      </c>
      <c r="B6" s="50" t="s">
        <v>37</v>
      </c>
      <c r="C6" s="51">
        <v>45743.0</v>
      </c>
      <c r="D6" s="49" t="s">
        <v>50</v>
      </c>
      <c r="E6" s="49" t="s">
        <v>51</v>
      </c>
      <c r="F6" s="52">
        <v>3.475476654E9</v>
      </c>
      <c r="G6" s="49">
        <v>11.0</v>
      </c>
      <c r="H6" s="49"/>
      <c r="I6" s="49"/>
      <c r="J6" s="53">
        <v>0.0</v>
      </c>
      <c r="K6" s="54">
        <v>45926.0</v>
      </c>
      <c r="L6" s="53">
        <v>70.0</v>
      </c>
      <c r="M6" s="55"/>
      <c r="N6" s="56" t="b">
        <v>1</v>
      </c>
      <c r="O6" s="56" t="b">
        <v>1</v>
      </c>
      <c r="P6" s="56" t="b">
        <v>0</v>
      </c>
      <c r="Q6" s="57" t="s">
        <v>52</v>
      </c>
      <c r="R6" s="61"/>
      <c r="S6" s="61"/>
      <c r="T6" s="58"/>
    </row>
    <row r="7" outlineLevel="1">
      <c r="A7" s="49" t="s">
        <v>53</v>
      </c>
      <c r="B7" s="50" t="s">
        <v>54</v>
      </c>
      <c r="C7" s="51">
        <v>45747.0</v>
      </c>
      <c r="D7" s="49" t="s">
        <v>55</v>
      </c>
      <c r="E7" s="49" t="s">
        <v>56</v>
      </c>
      <c r="F7" s="49">
        <v>3.420327443E9</v>
      </c>
      <c r="G7" s="49">
        <v>8.0</v>
      </c>
      <c r="H7" s="49" t="s">
        <v>57</v>
      </c>
      <c r="I7" s="49" t="s">
        <v>58</v>
      </c>
      <c r="J7" s="53"/>
      <c r="K7" s="62">
        <v>45843.0</v>
      </c>
      <c r="L7" s="53">
        <v>70.0</v>
      </c>
      <c r="M7" s="55"/>
      <c r="N7" s="56" t="b">
        <v>1</v>
      </c>
      <c r="O7" s="56" t="b">
        <v>1</v>
      </c>
      <c r="P7" s="56" t="b">
        <v>1</v>
      </c>
      <c r="Q7" s="60" t="s">
        <v>59</v>
      </c>
      <c r="R7" s="58" t="s">
        <v>60</v>
      </c>
      <c r="S7" s="58" t="s">
        <v>61</v>
      </c>
      <c r="T7" s="58"/>
    </row>
    <row r="8" outlineLevel="1">
      <c r="A8" s="49" t="s">
        <v>53</v>
      </c>
      <c r="B8" s="50" t="s">
        <v>37</v>
      </c>
      <c r="C8" s="51">
        <v>45747.0</v>
      </c>
      <c r="D8" s="49" t="s">
        <v>62</v>
      </c>
      <c r="E8" s="49" t="s">
        <v>63</v>
      </c>
      <c r="F8" s="49">
        <v>3.385096459E9</v>
      </c>
      <c r="G8" s="49">
        <v>7.0</v>
      </c>
      <c r="H8" s="49" t="s">
        <v>64</v>
      </c>
      <c r="I8" s="49" t="s">
        <v>65</v>
      </c>
      <c r="J8" s="53"/>
      <c r="K8" s="63">
        <v>45812.0</v>
      </c>
      <c r="L8" s="53">
        <v>70.0</v>
      </c>
      <c r="M8" s="55"/>
      <c r="N8" s="56" t="b">
        <v>1</v>
      </c>
      <c r="O8" s="56" t="b">
        <v>1</v>
      </c>
      <c r="P8" s="56" t="b">
        <v>1</v>
      </c>
      <c r="Q8" s="60" t="s">
        <v>66</v>
      </c>
      <c r="R8" s="60" t="s">
        <v>67</v>
      </c>
      <c r="S8" s="60">
        <v>3.357026268E9</v>
      </c>
      <c r="T8" s="58"/>
    </row>
    <row r="9" outlineLevel="1">
      <c r="A9" s="49" t="s">
        <v>53</v>
      </c>
      <c r="B9" s="50" t="s">
        <v>37</v>
      </c>
      <c r="C9" s="51">
        <v>45747.0</v>
      </c>
      <c r="D9" s="49" t="s">
        <v>68</v>
      </c>
      <c r="E9" s="49" t="s">
        <v>63</v>
      </c>
      <c r="F9" s="49">
        <v>3.286850883E9</v>
      </c>
      <c r="G9" s="49">
        <v>7.0</v>
      </c>
      <c r="H9" s="49" t="s">
        <v>64</v>
      </c>
      <c r="I9" s="49" t="s">
        <v>69</v>
      </c>
      <c r="J9" s="64">
        <v>0.0</v>
      </c>
      <c r="K9" s="54">
        <v>45940.0</v>
      </c>
      <c r="L9" s="64">
        <v>70.0</v>
      </c>
      <c r="M9" s="55"/>
      <c r="N9" s="56" t="b">
        <v>1</v>
      </c>
      <c r="O9" s="56" t="b">
        <v>1</v>
      </c>
      <c r="P9" s="56" t="b">
        <v>1</v>
      </c>
      <c r="Q9" s="57" t="s">
        <v>70</v>
      </c>
      <c r="R9" s="65" t="s">
        <v>71</v>
      </c>
      <c r="S9" s="59" t="s">
        <v>72</v>
      </c>
      <c r="T9" s="58"/>
    </row>
    <row r="10" outlineLevel="1">
      <c r="A10" s="49" t="s">
        <v>53</v>
      </c>
      <c r="B10" s="50" t="s">
        <v>54</v>
      </c>
      <c r="C10" s="51">
        <v>45748.0</v>
      </c>
      <c r="D10" s="49" t="s">
        <v>73</v>
      </c>
      <c r="E10" s="49" t="s">
        <v>74</v>
      </c>
      <c r="F10" s="52">
        <v>3.383396071E9</v>
      </c>
      <c r="G10" s="49">
        <v>7.0</v>
      </c>
      <c r="H10" s="52" t="s">
        <v>75</v>
      </c>
      <c r="I10" s="52" t="s">
        <v>76</v>
      </c>
      <c r="J10" s="53">
        <v>25.0</v>
      </c>
      <c r="K10" s="54">
        <v>46112.0</v>
      </c>
      <c r="L10" s="53">
        <v>65.0</v>
      </c>
      <c r="M10" s="55"/>
      <c r="N10" s="56" t="b">
        <v>1</v>
      </c>
      <c r="O10" s="56" t="b">
        <v>1</v>
      </c>
      <c r="P10" s="56" t="b">
        <v>1</v>
      </c>
      <c r="Q10" s="57" t="s">
        <v>77</v>
      </c>
      <c r="R10" s="60" t="s">
        <v>60</v>
      </c>
      <c r="S10" s="60" t="s">
        <v>61</v>
      </c>
      <c r="T10" s="58"/>
    </row>
    <row r="11" outlineLevel="1">
      <c r="A11" s="49" t="s">
        <v>49</v>
      </c>
      <c r="B11" s="50" t="s">
        <v>78</v>
      </c>
      <c r="C11" s="51">
        <v>45749.0</v>
      </c>
      <c r="D11" s="49" t="s">
        <v>79</v>
      </c>
      <c r="E11" s="49" t="s">
        <v>80</v>
      </c>
      <c r="F11" s="52">
        <v>3.393506966E9</v>
      </c>
      <c r="G11" s="49">
        <v>11.0</v>
      </c>
      <c r="H11" s="49" t="s">
        <v>81</v>
      </c>
      <c r="I11" s="49" t="s">
        <v>82</v>
      </c>
      <c r="J11" s="53">
        <v>25.0</v>
      </c>
      <c r="K11" s="54">
        <v>46113.0</v>
      </c>
      <c r="L11" s="53">
        <v>70.0</v>
      </c>
      <c r="M11" s="55"/>
      <c r="N11" s="56" t="b">
        <v>1</v>
      </c>
      <c r="O11" s="56" t="b">
        <v>1</v>
      </c>
      <c r="P11" s="56" t="b">
        <v>1</v>
      </c>
      <c r="Q11" s="66" t="s">
        <v>83</v>
      </c>
      <c r="R11" s="60" t="s">
        <v>84</v>
      </c>
      <c r="S11" s="60">
        <v>3.473125149E9</v>
      </c>
      <c r="T11" s="58"/>
    </row>
    <row r="12" outlineLevel="1">
      <c r="A12" s="49" t="s">
        <v>49</v>
      </c>
      <c r="B12" s="50" t="s">
        <v>37</v>
      </c>
      <c r="C12" s="51">
        <v>45751.0</v>
      </c>
      <c r="D12" s="49" t="s">
        <v>85</v>
      </c>
      <c r="E12" s="49" t="s">
        <v>86</v>
      </c>
      <c r="F12" s="52">
        <v>3.358125176E9</v>
      </c>
      <c r="G12" s="49">
        <v>9.0</v>
      </c>
      <c r="H12" s="49" t="s">
        <v>87</v>
      </c>
      <c r="I12" s="49" t="s">
        <v>88</v>
      </c>
      <c r="J12" s="53">
        <v>0.0</v>
      </c>
      <c r="K12" s="54">
        <v>45959.0</v>
      </c>
      <c r="L12" s="53">
        <v>65.0</v>
      </c>
      <c r="M12" s="55"/>
      <c r="N12" s="56" t="b">
        <v>1</v>
      </c>
      <c r="O12" s="56" t="b">
        <v>1</v>
      </c>
      <c r="P12" s="56" t="b">
        <v>1</v>
      </c>
      <c r="Q12" s="57" t="s">
        <v>89</v>
      </c>
      <c r="R12" s="57"/>
      <c r="S12" s="57"/>
      <c r="T12" s="67"/>
    </row>
    <row r="13" outlineLevel="1">
      <c r="A13" s="49" t="s">
        <v>36</v>
      </c>
      <c r="B13" s="50" t="s">
        <v>37</v>
      </c>
      <c r="C13" s="51">
        <v>45756.0</v>
      </c>
      <c r="D13" s="49" t="s">
        <v>90</v>
      </c>
      <c r="E13" s="49" t="s">
        <v>91</v>
      </c>
      <c r="F13" s="52">
        <v>3.485299498E9</v>
      </c>
      <c r="G13" s="49">
        <v>10.0</v>
      </c>
      <c r="H13" s="49" t="s">
        <v>92</v>
      </c>
      <c r="I13" s="49" t="s">
        <v>93</v>
      </c>
      <c r="J13" s="53">
        <v>0.0</v>
      </c>
      <c r="K13" s="62">
        <v>45927.0</v>
      </c>
      <c r="L13" s="53">
        <v>65.0</v>
      </c>
      <c r="M13" s="55" t="s">
        <v>94</v>
      </c>
      <c r="N13" s="56" t="b">
        <v>1</v>
      </c>
      <c r="O13" s="56" t="b">
        <v>1</v>
      </c>
      <c r="P13" s="56" t="b">
        <v>1</v>
      </c>
      <c r="Q13" s="57" t="s">
        <v>95</v>
      </c>
      <c r="R13" s="60"/>
      <c r="S13" s="60"/>
      <c r="T13" s="58" t="s">
        <v>96</v>
      </c>
    </row>
    <row r="14" outlineLevel="1">
      <c r="A14" s="49" t="s">
        <v>45</v>
      </c>
      <c r="B14" s="50" t="s">
        <v>37</v>
      </c>
      <c r="C14" s="51">
        <v>45755.0</v>
      </c>
      <c r="D14" s="49" t="s">
        <v>97</v>
      </c>
      <c r="E14" s="49" t="s">
        <v>98</v>
      </c>
      <c r="F14" s="52">
        <v>3.343517193E9</v>
      </c>
      <c r="G14" s="49">
        <v>10.0</v>
      </c>
      <c r="H14" s="49" t="s">
        <v>99</v>
      </c>
      <c r="I14" s="49" t="s">
        <v>100</v>
      </c>
      <c r="J14" s="53">
        <v>0.0</v>
      </c>
      <c r="K14" s="68">
        <v>45938.0</v>
      </c>
      <c r="L14" s="53">
        <v>65.0</v>
      </c>
      <c r="M14" s="55" t="s">
        <v>101</v>
      </c>
      <c r="N14" s="56" t="b">
        <v>1</v>
      </c>
      <c r="O14" s="56" t="b">
        <v>1</v>
      </c>
      <c r="P14" s="56" t="b">
        <v>1</v>
      </c>
      <c r="Q14" s="57" t="s">
        <v>102</v>
      </c>
      <c r="R14" s="60" t="s">
        <v>103</v>
      </c>
      <c r="S14" s="60">
        <v>3.349275758E9</v>
      </c>
      <c r="T14" s="69" t="s">
        <v>104</v>
      </c>
    </row>
    <row r="15" outlineLevel="1">
      <c r="A15" s="49" t="s">
        <v>45</v>
      </c>
      <c r="B15" s="50" t="s">
        <v>37</v>
      </c>
      <c r="C15" s="51">
        <v>45755.0</v>
      </c>
      <c r="D15" s="49" t="s">
        <v>105</v>
      </c>
      <c r="E15" s="49" t="s">
        <v>106</v>
      </c>
      <c r="F15" s="49">
        <v>3.319851991E9</v>
      </c>
      <c r="G15" s="49">
        <v>7.0</v>
      </c>
      <c r="H15" s="49" t="s">
        <v>107</v>
      </c>
      <c r="I15" s="49" t="s">
        <v>88</v>
      </c>
      <c r="J15" s="53">
        <v>0.0</v>
      </c>
      <c r="K15" s="62">
        <v>46039.0</v>
      </c>
      <c r="L15" s="53">
        <v>65.0</v>
      </c>
      <c r="M15" s="55" t="s">
        <v>94</v>
      </c>
      <c r="N15" s="56" t="b">
        <v>1</v>
      </c>
      <c r="O15" s="56" t="b">
        <v>1</v>
      </c>
      <c r="P15" s="56" t="b">
        <v>1</v>
      </c>
      <c r="Q15" s="60" t="s">
        <v>108</v>
      </c>
      <c r="R15" s="60" t="s">
        <v>109</v>
      </c>
      <c r="S15" s="57">
        <v>3.515419041E9</v>
      </c>
      <c r="T15" s="58"/>
    </row>
    <row r="16" outlineLevel="1">
      <c r="A16" s="49" t="s">
        <v>110</v>
      </c>
      <c r="B16" s="50" t="s">
        <v>111</v>
      </c>
      <c r="C16" s="51">
        <v>45756.0</v>
      </c>
      <c r="D16" s="49" t="s">
        <v>112</v>
      </c>
      <c r="E16" s="49" t="s">
        <v>113</v>
      </c>
      <c r="F16" s="49">
        <v>3.496200511E9</v>
      </c>
      <c r="G16" s="49">
        <v>9.0</v>
      </c>
      <c r="H16" s="49" t="s">
        <v>87</v>
      </c>
      <c r="I16" s="49" t="s">
        <v>93</v>
      </c>
      <c r="J16" s="64">
        <v>0.0</v>
      </c>
      <c r="K16" s="54">
        <v>45926.0</v>
      </c>
      <c r="L16" s="64">
        <v>65.0</v>
      </c>
      <c r="M16" s="55" t="s">
        <v>101</v>
      </c>
      <c r="N16" s="56" t="b">
        <v>1</v>
      </c>
      <c r="O16" s="56" t="b">
        <v>1</v>
      </c>
      <c r="P16" s="56" t="b">
        <v>1</v>
      </c>
      <c r="Q16" s="57" t="s">
        <v>114</v>
      </c>
      <c r="R16" s="60" t="s">
        <v>115</v>
      </c>
      <c r="S16" s="60">
        <v>3.389964321E9</v>
      </c>
      <c r="T16" s="58" t="s">
        <v>116</v>
      </c>
    </row>
    <row r="17" outlineLevel="1">
      <c r="A17" s="49" t="s">
        <v>45</v>
      </c>
      <c r="B17" s="50" t="s">
        <v>117</v>
      </c>
      <c r="C17" s="51">
        <v>45782.0</v>
      </c>
      <c r="D17" s="49" t="s">
        <v>118</v>
      </c>
      <c r="E17" s="49" t="s">
        <v>119</v>
      </c>
      <c r="F17" s="49">
        <v>3.286513622E9</v>
      </c>
      <c r="G17" s="49">
        <v>9.0</v>
      </c>
      <c r="H17" s="49" t="s">
        <v>92</v>
      </c>
      <c r="I17" s="49" t="s">
        <v>120</v>
      </c>
      <c r="J17" s="53">
        <v>25.0</v>
      </c>
      <c r="K17" s="62">
        <v>46171.0</v>
      </c>
      <c r="L17" s="53">
        <v>75.0</v>
      </c>
      <c r="M17" s="55" t="s">
        <v>94</v>
      </c>
      <c r="N17" s="56" t="b">
        <v>1</v>
      </c>
      <c r="O17" s="56" t="b">
        <v>1</v>
      </c>
      <c r="P17" s="56" t="b">
        <v>1</v>
      </c>
      <c r="Q17" s="60" t="s">
        <v>121</v>
      </c>
      <c r="R17" s="65" t="s">
        <v>122</v>
      </c>
      <c r="S17" s="59">
        <v>3.207053206E9</v>
      </c>
      <c r="T17" s="60"/>
    </row>
    <row r="18" outlineLevel="1">
      <c r="A18" s="49" t="s">
        <v>45</v>
      </c>
      <c r="B18" s="50" t="s">
        <v>117</v>
      </c>
      <c r="C18" s="51">
        <v>45782.0</v>
      </c>
      <c r="D18" s="49" t="s">
        <v>118</v>
      </c>
      <c r="E18" s="49" t="s">
        <v>123</v>
      </c>
      <c r="F18" s="49">
        <v>3.286513622E9</v>
      </c>
      <c r="G18" s="49">
        <v>9.0</v>
      </c>
      <c r="H18" s="49" t="s">
        <v>124</v>
      </c>
      <c r="I18" s="52" t="s">
        <v>120</v>
      </c>
      <c r="J18" s="53">
        <v>0.0</v>
      </c>
      <c r="K18" s="70">
        <v>45936.0</v>
      </c>
      <c r="L18" s="53">
        <v>75.0</v>
      </c>
      <c r="M18" s="55" t="s">
        <v>94</v>
      </c>
      <c r="N18" s="56" t="b">
        <v>1</v>
      </c>
      <c r="O18" s="56" t="b">
        <v>1</v>
      </c>
      <c r="P18" s="56" t="b">
        <v>1</v>
      </c>
      <c r="Q18" s="60" t="s">
        <v>121</v>
      </c>
      <c r="R18" s="57" t="s">
        <v>122</v>
      </c>
      <c r="S18" s="59">
        <v>3.207053206E9</v>
      </c>
      <c r="T18" s="61"/>
    </row>
    <row r="19" outlineLevel="1">
      <c r="A19" s="49" t="s">
        <v>36</v>
      </c>
      <c r="B19" s="50" t="s">
        <v>37</v>
      </c>
      <c r="C19" s="51">
        <v>45763.0</v>
      </c>
      <c r="D19" s="49" t="s">
        <v>125</v>
      </c>
      <c r="E19" s="49" t="s">
        <v>126</v>
      </c>
      <c r="F19" s="49">
        <v>3.931644344E9</v>
      </c>
      <c r="G19" s="49">
        <v>8.0</v>
      </c>
      <c r="H19" s="49"/>
      <c r="I19" s="49"/>
      <c r="J19" s="53">
        <v>0.0</v>
      </c>
      <c r="K19" s="62">
        <v>45921.0</v>
      </c>
      <c r="L19" s="53">
        <v>65.0</v>
      </c>
      <c r="M19" s="55" t="s">
        <v>127</v>
      </c>
      <c r="N19" s="56" t="b">
        <v>1</v>
      </c>
      <c r="O19" s="56" t="b">
        <v>1</v>
      </c>
      <c r="P19" s="56" t="b">
        <v>0</v>
      </c>
      <c r="Q19" s="60" t="s">
        <v>128</v>
      </c>
      <c r="R19" s="58"/>
      <c r="S19" s="58"/>
      <c r="T19" s="58"/>
    </row>
    <row r="20" outlineLevel="1">
      <c r="A20" s="49" t="s">
        <v>110</v>
      </c>
      <c r="B20" s="50" t="s">
        <v>111</v>
      </c>
      <c r="C20" s="51">
        <v>45762.0</v>
      </c>
      <c r="D20" s="49" t="s">
        <v>129</v>
      </c>
      <c r="E20" s="49" t="s">
        <v>130</v>
      </c>
      <c r="F20" s="52">
        <v>3.288011864E9</v>
      </c>
      <c r="G20" s="49">
        <v>11.0</v>
      </c>
      <c r="H20" s="49" t="s">
        <v>131</v>
      </c>
      <c r="I20" s="49" t="s">
        <v>132</v>
      </c>
      <c r="J20" s="53">
        <v>0.0</v>
      </c>
      <c r="K20" s="54">
        <v>45920.0</v>
      </c>
      <c r="L20" s="53">
        <v>65.0</v>
      </c>
      <c r="M20" s="55" t="s">
        <v>101</v>
      </c>
      <c r="N20" s="56" t="b">
        <v>1</v>
      </c>
      <c r="O20" s="56" t="b">
        <v>1</v>
      </c>
      <c r="P20" s="56" t="b">
        <v>1</v>
      </c>
      <c r="Q20" s="57" t="s">
        <v>133</v>
      </c>
      <c r="R20" s="60" t="s">
        <v>60</v>
      </c>
      <c r="S20" s="71"/>
      <c r="T20" s="58" t="s">
        <v>134</v>
      </c>
    </row>
    <row r="21" outlineLevel="1">
      <c r="A21" s="49" t="s">
        <v>49</v>
      </c>
      <c r="B21" s="50" t="s">
        <v>37</v>
      </c>
      <c r="C21" s="51">
        <v>45762.0</v>
      </c>
      <c r="D21" s="49" t="s">
        <v>135</v>
      </c>
      <c r="E21" s="49" t="s">
        <v>136</v>
      </c>
      <c r="F21" s="52">
        <v>3.473685878E9</v>
      </c>
      <c r="G21" s="49">
        <v>7.0</v>
      </c>
      <c r="H21" s="49"/>
      <c r="I21" s="49"/>
      <c r="J21" s="53">
        <v>25.0</v>
      </c>
      <c r="K21" s="54">
        <v>46123.0</v>
      </c>
      <c r="L21" s="53">
        <v>75.0</v>
      </c>
      <c r="M21" s="55"/>
      <c r="N21" s="56" t="b">
        <v>1</v>
      </c>
      <c r="O21" s="56" t="b">
        <v>1</v>
      </c>
      <c r="P21" s="56" t="b">
        <v>0</v>
      </c>
      <c r="Q21" s="57" t="s">
        <v>137</v>
      </c>
      <c r="R21" s="60"/>
      <c r="S21" s="60"/>
      <c r="T21" s="58" t="s">
        <v>138</v>
      </c>
    </row>
    <row r="22" outlineLevel="1">
      <c r="A22" s="49" t="s">
        <v>36</v>
      </c>
      <c r="B22" s="50" t="s">
        <v>37</v>
      </c>
      <c r="C22" s="51">
        <v>45762.0</v>
      </c>
      <c r="D22" s="49" t="s">
        <v>139</v>
      </c>
      <c r="E22" s="49" t="s">
        <v>140</v>
      </c>
      <c r="F22" s="52">
        <v>3.384272229E9</v>
      </c>
      <c r="G22" s="49">
        <v>6.0</v>
      </c>
      <c r="H22" s="49">
        <v>1.0</v>
      </c>
      <c r="I22" s="52" t="s">
        <v>141</v>
      </c>
      <c r="J22" s="64">
        <v>25.0</v>
      </c>
      <c r="K22" s="54">
        <v>46126.0</v>
      </c>
      <c r="L22" s="53">
        <v>75.0</v>
      </c>
      <c r="M22" s="55" t="s">
        <v>142</v>
      </c>
      <c r="N22" s="56" t="b">
        <v>1</v>
      </c>
      <c r="O22" s="56" t="b">
        <v>1</v>
      </c>
      <c r="P22" s="56" t="b">
        <v>1</v>
      </c>
      <c r="Q22" s="60" t="s">
        <v>143</v>
      </c>
      <c r="R22" s="60" t="s">
        <v>144</v>
      </c>
      <c r="S22" s="58" t="s">
        <v>145</v>
      </c>
      <c r="T22" s="58" t="s">
        <v>146</v>
      </c>
    </row>
    <row r="23" outlineLevel="1">
      <c r="A23" s="49" t="s">
        <v>36</v>
      </c>
      <c r="B23" s="50" t="s">
        <v>147</v>
      </c>
      <c r="C23" s="51">
        <v>45765.0</v>
      </c>
      <c r="D23" s="49" t="s">
        <v>148</v>
      </c>
      <c r="E23" s="49" t="s">
        <v>86</v>
      </c>
      <c r="F23" s="49">
        <v>3.34266125E9</v>
      </c>
      <c r="G23" s="49">
        <v>11.0</v>
      </c>
      <c r="H23" s="49" t="s">
        <v>131</v>
      </c>
      <c r="I23" s="49" t="s">
        <v>149</v>
      </c>
      <c r="J23" s="53">
        <v>25.0</v>
      </c>
      <c r="K23" s="62">
        <v>46161.0</v>
      </c>
      <c r="L23" s="53">
        <v>65.0</v>
      </c>
      <c r="M23" s="55" t="s">
        <v>127</v>
      </c>
      <c r="N23" s="56" t="b">
        <v>1</v>
      </c>
      <c r="O23" s="56" t="b">
        <v>1</v>
      </c>
      <c r="P23" s="56" t="b">
        <v>1</v>
      </c>
      <c r="Q23" s="60" t="s">
        <v>150</v>
      </c>
      <c r="R23" s="60" t="s">
        <v>60</v>
      </c>
      <c r="S23" s="60"/>
      <c r="T23" s="58" t="s">
        <v>134</v>
      </c>
    </row>
    <row r="24" outlineLevel="1">
      <c r="A24" s="49"/>
      <c r="B24" s="50"/>
      <c r="C24" s="51"/>
      <c r="D24" s="49"/>
      <c r="E24" s="49"/>
      <c r="F24" s="49"/>
      <c r="G24" s="49"/>
      <c r="H24" s="49"/>
      <c r="I24" s="49"/>
      <c r="J24" s="53"/>
      <c r="K24" s="62"/>
      <c r="L24" s="64"/>
      <c r="M24" s="55"/>
      <c r="N24" s="56" t="b">
        <v>0</v>
      </c>
      <c r="O24" s="56" t="b">
        <v>0</v>
      </c>
      <c r="P24" s="56" t="b">
        <v>0</v>
      </c>
      <c r="Q24" s="60"/>
      <c r="R24" s="58"/>
      <c r="S24" s="60"/>
      <c r="T24" s="58"/>
    </row>
    <row r="25" outlineLevel="1">
      <c r="A25" s="49" t="s">
        <v>36</v>
      </c>
      <c r="B25" s="50" t="s">
        <v>37</v>
      </c>
      <c r="C25" s="51">
        <v>45769.0</v>
      </c>
      <c r="D25" s="72" t="s">
        <v>151</v>
      </c>
      <c r="E25" s="49" t="s">
        <v>140</v>
      </c>
      <c r="F25" s="49">
        <v>3.338026678E9</v>
      </c>
      <c r="G25" s="49">
        <v>9.0</v>
      </c>
      <c r="H25" s="49" t="s">
        <v>87</v>
      </c>
      <c r="I25" s="49" t="s">
        <v>93</v>
      </c>
      <c r="J25" s="53">
        <v>25.0</v>
      </c>
      <c r="K25" s="54">
        <v>46075.0</v>
      </c>
      <c r="L25" s="53">
        <v>65.0</v>
      </c>
      <c r="M25" s="55" t="s">
        <v>94</v>
      </c>
      <c r="N25" s="56" t="b">
        <v>1</v>
      </c>
      <c r="O25" s="56" t="b">
        <v>1</v>
      </c>
      <c r="P25" s="56" t="b">
        <v>1</v>
      </c>
      <c r="Q25" s="60" t="s">
        <v>152</v>
      </c>
      <c r="R25" s="60" t="s">
        <v>153</v>
      </c>
      <c r="S25" s="58">
        <v>3.85993247445E11</v>
      </c>
      <c r="T25" s="58" t="s">
        <v>154</v>
      </c>
    </row>
    <row r="26" outlineLevel="1">
      <c r="A26" s="49" t="s">
        <v>53</v>
      </c>
      <c r="B26" s="50" t="s">
        <v>37</v>
      </c>
      <c r="C26" s="51">
        <v>45768.0</v>
      </c>
      <c r="D26" s="49" t="s">
        <v>155</v>
      </c>
      <c r="E26" s="49" t="s">
        <v>156</v>
      </c>
      <c r="F26" s="52">
        <v>3.446218084E9</v>
      </c>
      <c r="G26" s="49">
        <v>6.0</v>
      </c>
      <c r="H26" s="49" t="s">
        <v>157</v>
      </c>
      <c r="I26" s="49" t="s">
        <v>158</v>
      </c>
      <c r="J26" s="64">
        <v>0.0</v>
      </c>
      <c r="K26" s="54">
        <v>45768.0</v>
      </c>
      <c r="L26" s="64">
        <v>65.0</v>
      </c>
      <c r="M26" s="55" t="s">
        <v>142</v>
      </c>
      <c r="N26" s="56" t="b">
        <v>1</v>
      </c>
      <c r="O26" s="56" t="b">
        <v>1</v>
      </c>
      <c r="P26" s="56" t="b">
        <v>1</v>
      </c>
      <c r="Q26" s="60" t="s">
        <v>159</v>
      </c>
      <c r="R26" s="58"/>
      <c r="S26" s="58"/>
      <c r="T26" s="58"/>
    </row>
    <row r="27" outlineLevel="1">
      <c r="A27" s="49" t="s">
        <v>110</v>
      </c>
      <c r="B27" s="50" t="s">
        <v>111</v>
      </c>
      <c r="C27" s="51">
        <v>45770.0</v>
      </c>
      <c r="D27" s="49" t="s">
        <v>160</v>
      </c>
      <c r="E27" s="49" t="s">
        <v>161</v>
      </c>
      <c r="F27" s="52">
        <v>3.28971505E9</v>
      </c>
      <c r="G27" s="49">
        <v>7.0</v>
      </c>
      <c r="H27" s="49" t="s">
        <v>162</v>
      </c>
      <c r="I27" s="49" t="s">
        <v>163</v>
      </c>
      <c r="J27" s="53">
        <v>0.0</v>
      </c>
      <c r="K27" s="54">
        <v>45990.0</v>
      </c>
      <c r="L27" s="53">
        <v>65.0</v>
      </c>
      <c r="M27" s="55" t="s">
        <v>101</v>
      </c>
      <c r="N27" s="56" t="b">
        <v>1</v>
      </c>
      <c r="O27" s="56" t="b">
        <v>1</v>
      </c>
      <c r="P27" s="56" t="b">
        <v>1</v>
      </c>
      <c r="Q27" s="57" t="s">
        <v>164</v>
      </c>
      <c r="R27" s="60" t="s">
        <v>165</v>
      </c>
      <c r="S27" s="58">
        <v>3.271648181E9</v>
      </c>
      <c r="T27" s="58"/>
    </row>
    <row r="28" outlineLevel="1">
      <c r="A28" s="49" t="s">
        <v>36</v>
      </c>
      <c r="B28" s="50" t="s">
        <v>37</v>
      </c>
      <c r="C28" s="51">
        <v>45779.0</v>
      </c>
      <c r="D28" s="49" t="s">
        <v>166</v>
      </c>
      <c r="E28" s="49" t="s">
        <v>167</v>
      </c>
      <c r="F28" s="52">
        <v>3.4711933E9</v>
      </c>
      <c r="G28" s="49"/>
      <c r="H28" s="49"/>
      <c r="I28" s="49"/>
      <c r="J28" s="53">
        <v>0.0</v>
      </c>
      <c r="K28" s="54">
        <v>45953.0</v>
      </c>
      <c r="L28" s="53">
        <v>65.0</v>
      </c>
      <c r="M28" s="55" t="s">
        <v>127</v>
      </c>
      <c r="N28" s="56" t="b">
        <v>1</v>
      </c>
      <c r="O28" s="56" t="b">
        <v>1</v>
      </c>
      <c r="P28" s="56" t="b">
        <v>0</v>
      </c>
      <c r="Q28" s="57" t="s">
        <v>168</v>
      </c>
      <c r="R28" s="60"/>
      <c r="S28" s="60"/>
      <c r="T28" s="58"/>
    </row>
    <row r="29" outlineLevel="1">
      <c r="A29" s="49" t="s">
        <v>36</v>
      </c>
      <c r="B29" s="50" t="s">
        <v>37</v>
      </c>
      <c r="C29" s="51">
        <v>45779.0</v>
      </c>
      <c r="D29" s="49" t="s">
        <v>166</v>
      </c>
      <c r="E29" s="49" t="s">
        <v>169</v>
      </c>
      <c r="F29" s="52">
        <v>3.4711933E9</v>
      </c>
      <c r="G29" s="49"/>
      <c r="H29" s="49"/>
      <c r="I29" s="49"/>
      <c r="J29" s="53">
        <v>0.0</v>
      </c>
      <c r="K29" s="54">
        <v>45953.0</v>
      </c>
      <c r="L29" s="53">
        <v>65.0</v>
      </c>
      <c r="M29" s="55" t="s">
        <v>127</v>
      </c>
      <c r="N29" s="56" t="b">
        <v>1</v>
      </c>
      <c r="O29" s="56" t="b">
        <v>1</v>
      </c>
      <c r="P29" s="56" t="b">
        <v>0</v>
      </c>
      <c r="Q29" s="57" t="s">
        <v>168</v>
      </c>
      <c r="R29" s="60"/>
      <c r="S29" s="60"/>
      <c r="T29" s="58"/>
    </row>
    <row r="30" ht="15.0" customHeight="1" outlineLevel="1">
      <c r="A30" s="49" t="s">
        <v>53</v>
      </c>
      <c r="B30" s="50" t="s">
        <v>37</v>
      </c>
      <c r="C30" s="51">
        <v>45776.0</v>
      </c>
      <c r="D30" s="49" t="s">
        <v>170</v>
      </c>
      <c r="E30" s="49" t="s">
        <v>98</v>
      </c>
      <c r="F30" s="49">
        <v>3.391676729E9</v>
      </c>
      <c r="G30" s="49">
        <v>10.0</v>
      </c>
      <c r="H30" s="49"/>
      <c r="I30" s="49"/>
      <c r="J30" s="53">
        <v>0.0</v>
      </c>
      <c r="K30" s="62">
        <v>45928.0</v>
      </c>
      <c r="L30" s="53">
        <v>70.0</v>
      </c>
      <c r="M30" s="55"/>
      <c r="N30" s="56" t="b">
        <v>1</v>
      </c>
      <c r="O30" s="56" t="b">
        <v>1</v>
      </c>
      <c r="P30" s="56" t="b">
        <v>0</v>
      </c>
      <c r="Q30" s="60" t="s">
        <v>171</v>
      </c>
      <c r="R30" s="58" t="s">
        <v>172</v>
      </c>
      <c r="S30" s="58"/>
      <c r="T30" s="61"/>
    </row>
    <row r="31" outlineLevel="1">
      <c r="A31" s="49" t="s">
        <v>53</v>
      </c>
      <c r="B31" s="50" t="s">
        <v>37</v>
      </c>
      <c r="C31" s="51">
        <v>45776.0</v>
      </c>
      <c r="D31" s="49" t="s">
        <v>173</v>
      </c>
      <c r="E31" s="49" t="s">
        <v>63</v>
      </c>
      <c r="F31" s="49">
        <v>3.737434143E9</v>
      </c>
      <c r="G31" s="49">
        <v>10.0</v>
      </c>
      <c r="H31" s="73"/>
      <c r="I31" s="74"/>
      <c r="J31" s="53">
        <v>0.0</v>
      </c>
      <c r="K31" s="62">
        <v>45928.0</v>
      </c>
      <c r="L31" s="53">
        <v>70.0</v>
      </c>
      <c r="M31" s="55"/>
      <c r="N31" s="56" t="b">
        <v>1</v>
      </c>
      <c r="O31" s="56" t="b">
        <v>1</v>
      </c>
      <c r="P31" s="56" t="b">
        <v>0</v>
      </c>
      <c r="Q31" s="60" t="s">
        <v>174</v>
      </c>
      <c r="R31" s="58"/>
      <c r="S31" s="58"/>
      <c r="T31" s="58"/>
    </row>
    <row r="32" outlineLevel="1">
      <c r="A32" s="49" t="s">
        <v>49</v>
      </c>
      <c r="B32" s="50" t="s">
        <v>37</v>
      </c>
      <c r="C32" s="51">
        <v>45777.0</v>
      </c>
      <c r="D32" s="49" t="s">
        <v>175</v>
      </c>
      <c r="E32" s="49" t="s">
        <v>176</v>
      </c>
      <c r="F32" s="49">
        <v>3.394587986E9</v>
      </c>
      <c r="G32" s="49">
        <v>11.0</v>
      </c>
      <c r="H32" s="49" t="s">
        <v>177</v>
      </c>
      <c r="I32" s="49" t="s">
        <v>149</v>
      </c>
      <c r="J32" s="53">
        <v>25.0</v>
      </c>
      <c r="K32" s="62">
        <v>46141.0</v>
      </c>
      <c r="L32" s="53">
        <v>65.0</v>
      </c>
      <c r="M32" s="55" t="s">
        <v>178</v>
      </c>
      <c r="N32" s="56" t="b">
        <v>1</v>
      </c>
      <c r="O32" s="75" t="b">
        <v>0</v>
      </c>
      <c r="P32" s="56" t="b">
        <v>1</v>
      </c>
      <c r="Q32" s="60" t="s">
        <v>179</v>
      </c>
      <c r="R32" s="60" t="s">
        <v>180</v>
      </c>
      <c r="S32" s="76" t="s">
        <v>181</v>
      </c>
      <c r="T32" s="60" t="s">
        <v>182</v>
      </c>
    </row>
    <row r="33" outlineLevel="1">
      <c r="A33" s="49" t="s">
        <v>110</v>
      </c>
      <c r="B33" s="50" t="s">
        <v>111</v>
      </c>
      <c r="C33" s="51">
        <v>45783.0</v>
      </c>
      <c r="D33" s="49" t="s">
        <v>183</v>
      </c>
      <c r="E33" s="49" t="s">
        <v>184</v>
      </c>
      <c r="F33" s="49">
        <v>3.44680224E9</v>
      </c>
      <c r="G33" s="49">
        <v>10.0</v>
      </c>
      <c r="H33" s="49" t="s">
        <v>185</v>
      </c>
      <c r="I33" s="49" t="s">
        <v>185</v>
      </c>
      <c r="J33" s="53">
        <v>25.0</v>
      </c>
      <c r="K33" s="54">
        <v>45783.0</v>
      </c>
      <c r="L33" s="53">
        <v>65.0</v>
      </c>
      <c r="M33" s="55" t="s">
        <v>101</v>
      </c>
      <c r="N33" s="75" t="b">
        <v>0</v>
      </c>
      <c r="O33" s="56" t="b">
        <v>1</v>
      </c>
      <c r="P33" s="56" t="b">
        <v>1</v>
      </c>
      <c r="Q33" s="60" t="s">
        <v>186</v>
      </c>
      <c r="R33" s="60" t="s">
        <v>187</v>
      </c>
      <c r="S33" s="60">
        <v>3.44680224E9</v>
      </c>
      <c r="T33" s="58" t="s">
        <v>188</v>
      </c>
    </row>
    <row r="34" outlineLevel="1">
      <c r="A34" s="49" t="s">
        <v>110</v>
      </c>
      <c r="B34" s="50" t="s">
        <v>111</v>
      </c>
      <c r="C34" s="51">
        <v>45783.0</v>
      </c>
      <c r="D34" s="49" t="s">
        <v>189</v>
      </c>
      <c r="E34" s="49" t="s">
        <v>190</v>
      </c>
      <c r="F34" s="49">
        <v>3.44680224E9</v>
      </c>
      <c r="G34" s="49">
        <v>7.0</v>
      </c>
      <c r="H34" s="49" t="s">
        <v>185</v>
      </c>
      <c r="I34" s="49" t="s">
        <v>185</v>
      </c>
      <c r="J34" s="53">
        <v>25.0</v>
      </c>
      <c r="K34" s="54">
        <v>45783.0</v>
      </c>
      <c r="L34" s="53">
        <v>65.0</v>
      </c>
      <c r="M34" s="55" t="s">
        <v>101</v>
      </c>
      <c r="N34" s="75" t="b">
        <v>0</v>
      </c>
      <c r="O34" s="56" t="b">
        <v>1</v>
      </c>
      <c r="P34" s="56" t="b">
        <v>1</v>
      </c>
      <c r="Q34" s="60" t="s">
        <v>186</v>
      </c>
      <c r="R34" s="60" t="s">
        <v>187</v>
      </c>
      <c r="S34" s="58">
        <v>3.44680224E9</v>
      </c>
      <c r="T34" s="58" t="s">
        <v>188</v>
      </c>
    </row>
    <row r="35" outlineLevel="1">
      <c r="A35" s="49" t="s">
        <v>110</v>
      </c>
      <c r="B35" s="50" t="s">
        <v>111</v>
      </c>
      <c r="C35" s="51">
        <v>45783.0</v>
      </c>
      <c r="D35" s="49" t="s">
        <v>183</v>
      </c>
      <c r="E35" s="49" t="s">
        <v>191</v>
      </c>
      <c r="F35" s="77">
        <v>3.44680224E9</v>
      </c>
      <c r="G35" s="49">
        <v>10.0</v>
      </c>
      <c r="H35" s="49" t="s">
        <v>185</v>
      </c>
      <c r="I35" s="49" t="s">
        <v>185</v>
      </c>
      <c r="J35" s="53">
        <v>25.0</v>
      </c>
      <c r="K35" s="62">
        <v>45783.0</v>
      </c>
      <c r="L35" s="53">
        <v>65.0</v>
      </c>
      <c r="M35" s="55" t="s">
        <v>101</v>
      </c>
      <c r="N35" s="75" t="b">
        <v>0</v>
      </c>
      <c r="O35" s="56" t="b">
        <v>1</v>
      </c>
      <c r="P35" s="56" t="b">
        <v>1</v>
      </c>
      <c r="Q35" s="60" t="s">
        <v>186</v>
      </c>
      <c r="R35" s="58" t="s">
        <v>187</v>
      </c>
      <c r="S35" s="58">
        <v>3.44680224E9</v>
      </c>
      <c r="T35" s="58" t="s">
        <v>188</v>
      </c>
    </row>
    <row r="36" outlineLevel="1">
      <c r="A36" s="73" t="s">
        <v>36</v>
      </c>
      <c r="B36" s="78" t="s">
        <v>147</v>
      </c>
      <c r="C36" s="79">
        <v>45793.0</v>
      </c>
      <c r="D36" s="73" t="s">
        <v>192</v>
      </c>
      <c r="E36" s="73" t="s">
        <v>193</v>
      </c>
      <c r="F36" s="73" t="s">
        <v>194</v>
      </c>
      <c r="G36" s="73">
        <v>7.0</v>
      </c>
      <c r="H36" s="73" t="s">
        <v>57</v>
      </c>
      <c r="I36" s="73" t="s">
        <v>88</v>
      </c>
      <c r="J36" s="80">
        <v>0.0</v>
      </c>
      <c r="K36" s="81">
        <v>45933.0</v>
      </c>
      <c r="L36" s="80">
        <v>70.0</v>
      </c>
      <c r="M36" s="82" t="s">
        <v>127</v>
      </c>
      <c r="N36" s="56" t="b">
        <v>1</v>
      </c>
      <c r="O36" s="83" t="b">
        <v>1</v>
      </c>
      <c r="P36" s="83" t="b">
        <v>1</v>
      </c>
      <c r="Q36" s="60" t="s">
        <v>195</v>
      </c>
      <c r="R36" s="84" t="s">
        <v>187</v>
      </c>
      <c r="S36" s="85"/>
      <c r="T36" s="85"/>
    </row>
    <row r="37" outlineLevel="1">
      <c r="A37" s="49" t="s">
        <v>53</v>
      </c>
      <c r="B37" s="50" t="s">
        <v>54</v>
      </c>
      <c r="C37" s="51">
        <v>45807.0</v>
      </c>
      <c r="D37" s="49" t="s">
        <v>196</v>
      </c>
      <c r="E37" s="49" t="s">
        <v>197</v>
      </c>
      <c r="F37" s="49" t="s">
        <v>198</v>
      </c>
      <c r="G37" s="49">
        <v>8.0</v>
      </c>
      <c r="H37" s="49" t="s">
        <v>64</v>
      </c>
      <c r="I37" s="49"/>
      <c r="J37" s="53"/>
      <c r="K37" s="62">
        <v>45912.0</v>
      </c>
      <c r="L37" s="53">
        <v>70.0</v>
      </c>
      <c r="M37" s="55" t="s">
        <v>142</v>
      </c>
      <c r="N37" s="56" t="b">
        <v>1</v>
      </c>
      <c r="O37" s="56" t="b">
        <v>1</v>
      </c>
      <c r="P37" s="56" t="b">
        <v>1</v>
      </c>
      <c r="Q37" s="60" t="s">
        <v>199</v>
      </c>
      <c r="R37" s="60" t="s">
        <v>200</v>
      </c>
      <c r="S37" s="60" t="s">
        <v>201</v>
      </c>
      <c r="T37" s="58"/>
    </row>
    <row r="38" outlineLevel="1">
      <c r="A38" s="49" t="s">
        <v>110</v>
      </c>
      <c r="B38" s="50" t="s">
        <v>111</v>
      </c>
      <c r="C38" s="51">
        <v>45811.0</v>
      </c>
      <c r="D38" s="49" t="s">
        <v>202</v>
      </c>
      <c r="E38" s="49" t="s">
        <v>140</v>
      </c>
      <c r="F38" s="86">
        <v>3.385785259E9</v>
      </c>
      <c r="G38" s="49"/>
      <c r="H38" s="49"/>
      <c r="I38" s="52"/>
      <c r="J38" s="53"/>
      <c r="K38" s="54">
        <v>46175.0</v>
      </c>
      <c r="L38" s="53">
        <v>95.0</v>
      </c>
      <c r="M38" s="55" t="s">
        <v>142</v>
      </c>
      <c r="N38" s="56" t="b">
        <v>1</v>
      </c>
      <c r="O38" s="56" t="b">
        <v>1</v>
      </c>
      <c r="P38" s="56" t="b">
        <v>0</v>
      </c>
      <c r="Q38" s="57"/>
      <c r="R38" s="60"/>
      <c r="S38" s="60"/>
      <c r="T38" s="61"/>
    </row>
    <row r="39" outlineLevel="1">
      <c r="A39" s="49"/>
      <c r="B39" s="50"/>
      <c r="C39" s="51"/>
      <c r="D39" s="49"/>
      <c r="E39" s="49"/>
      <c r="F39" s="86"/>
      <c r="G39" s="49"/>
      <c r="H39" s="49"/>
      <c r="I39" s="52"/>
      <c r="J39" s="53"/>
      <c r="K39" s="54"/>
      <c r="L39" s="64"/>
      <c r="M39" s="55"/>
      <c r="N39" s="56" t="b">
        <v>0</v>
      </c>
      <c r="O39" s="56" t="b">
        <v>0</v>
      </c>
      <c r="P39" s="56" t="b">
        <v>0</v>
      </c>
      <c r="Q39" s="57"/>
      <c r="R39" s="60"/>
      <c r="S39" s="60"/>
      <c r="T39" s="58"/>
    </row>
    <row r="40" outlineLevel="1">
      <c r="A40" s="49" t="s">
        <v>53</v>
      </c>
      <c r="B40" s="50" t="s">
        <v>37</v>
      </c>
      <c r="C40" s="51">
        <v>45813.0</v>
      </c>
      <c r="D40" s="49" t="s">
        <v>202</v>
      </c>
      <c r="E40" s="49" t="s">
        <v>203</v>
      </c>
      <c r="F40" s="77">
        <v>3.385785259E9</v>
      </c>
      <c r="G40" s="49">
        <v>10.0</v>
      </c>
      <c r="H40" s="49" t="s">
        <v>87</v>
      </c>
      <c r="I40" s="49" t="s">
        <v>93</v>
      </c>
      <c r="J40" s="53">
        <v>25.0</v>
      </c>
      <c r="K40" s="54">
        <v>46177.0</v>
      </c>
      <c r="L40" s="53">
        <v>95.0</v>
      </c>
      <c r="M40" s="55" t="s">
        <v>142</v>
      </c>
      <c r="N40" s="56" t="b">
        <v>1</v>
      </c>
      <c r="O40" s="56" t="b">
        <v>0</v>
      </c>
      <c r="P40" s="56" t="b">
        <v>1</v>
      </c>
      <c r="Q40" s="87" t="s">
        <v>204</v>
      </c>
      <c r="R40" s="60" t="s">
        <v>205</v>
      </c>
      <c r="S40" s="60">
        <v>3.494909989E9</v>
      </c>
      <c r="T40" s="60" t="s">
        <v>206</v>
      </c>
    </row>
    <row r="41" outlineLevel="1">
      <c r="A41" s="49" t="s">
        <v>49</v>
      </c>
      <c r="B41" s="50" t="s">
        <v>78</v>
      </c>
      <c r="C41" s="51">
        <v>45815.0</v>
      </c>
      <c r="D41" s="49" t="s">
        <v>207</v>
      </c>
      <c r="E41" s="49" t="s">
        <v>208</v>
      </c>
      <c r="F41" s="77">
        <v>3.921028476E9</v>
      </c>
      <c r="G41" s="49">
        <v>9.0</v>
      </c>
      <c r="H41" s="49" t="s">
        <v>209</v>
      </c>
      <c r="I41" s="52" t="s">
        <v>210</v>
      </c>
      <c r="J41" s="53">
        <v>25.0</v>
      </c>
      <c r="K41" s="54">
        <v>46191.0</v>
      </c>
      <c r="L41" s="53">
        <v>65.0</v>
      </c>
      <c r="M41" s="55" t="s">
        <v>178</v>
      </c>
      <c r="N41" s="56" t="b">
        <v>1</v>
      </c>
      <c r="O41" s="56" t="b">
        <v>1</v>
      </c>
      <c r="P41" s="56" t="b">
        <v>1</v>
      </c>
      <c r="Q41" s="87" t="s">
        <v>211</v>
      </c>
      <c r="R41" s="61"/>
      <c r="S41" s="61"/>
      <c r="T41" s="58" t="s">
        <v>212</v>
      </c>
    </row>
    <row r="42" outlineLevel="1">
      <c r="A42" s="49" t="s">
        <v>36</v>
      </c>
      <c r="B42" s="50" t="s">
        <v>37</v>
      </c>
      <c r="C42" s="51">
        <v>45815.0</v>
      </c>
      <c r="D42" s="49" t="s">
        <v>213</v>
      </c>
      <c r="E42" s="49" t="s">
        <v>214</v>
      </c>
      <c r="F42" s="52">
        <v>3.429984655E9</v>
      </c>
      <c r="G42" s="52">
        <v>10.0</v>
      </c>
      <c r="H42" s="52" t="s">
        <v>99</v>
      </c>
      <c r="I42" s="49" t="s">
        <v>93</v>
      </c>
      <c r="J42" s="53">
        <v>0.0</v>
      </c>
      <c r="K42" s="54">
        <v>45952.0</v>
      </c>
      <c r="L42" s="53">
        <v>80.0</v>
      </c>
      <c r="M42" s="55" t="s">
        <v>127</v>
      </c>
      <c r="N42" s="56" t="b">
        <v>1</v>
      </c>
      <c r="O42" s="56" t="b">
        <v>1</v>
      </c>
      <c r="P42" s="56" t="b">
        <v>1</v>
      </c>
      <c r="Q42" s="60" t="s">
        <v>215</v>
      </c>
      <c r="R42" s="58" t="s">
        <v>216</v>
      </c>
      <c r="S42" s="58"/>
      <c r="T42" s="58"/>
    </row>
    <row r="43" outlineLevel="1">
      <c r="A43" s="49" t="s">
        <v>49</v>
      </c>
      <c r="B43" s="50" t="s">
        <v>37</v>
      </c>
      <c r="C43" s="51">
        <v>45816.0</v>
      </c>
      <c r="D43" s="49" t="s">
        <v>217</v>
      </c>
      <c r="E43" s="49" t="s">
        <v>218</v>
      </c>
      <c r="F43" s="52">
        <v>3.494909989E9</v>
      </c>
      <c r="G43" s="49">
        <v>7.0</v>
      </c>
      <c r="H43" s="49" t="s">
        <v>64</v>
      </c>
      <c r="I43" s="52" t="s">
        <v>93</v>
      </c>
      <c r="J43" s="64">
        <v>25.0</v>
      </c>
      <c r="K43" s="54">
        <v>46180.0</v>
      </c>
      <c r="L43" s="53">
        <v>80.0</v>
      </c>
      <c r="M43" s="55"/>
      <c r="N43" s="56" t="b">
        <v>0</v>
      </c>
      <c r="O43" s="56" t="b">
        <v>1</v>
      </c>
      <c r="P43" s="56" t="b">
        <v>1</v>
      </c>
      <c r="Q43" s="60" t="s">
        <v>219</v>
      </c>
      <c r="R43" s="58" t="s">
        <v>220</v>
      </c>
      <c r="S43" s="58"/>
      <c r="T43" s="58"/>
    </row>
    <row r="44" outlineLevel="1">
      <c r="A44" s="49" t="s">
        <v>49</v>
      </c>
      <c r="B44" s="50" t="s">
        <v>37</v>
      </c>
      <c r="C44" s="51">
        <v>45816.0</v>
      </c>
      <c r="D44" s="49" t="s">
        <v>217</v>
      </c>
      <c r="E44" s="49" t="s">
        <v>221</v>
      </c>
      <c r="F44" s="52">
        <v>3.494909989E9</v>
      </c>
      <c r="G44" s="49">
        <v>9.0</v>
      </c>
      <c r="H44" s="49" t="s">
        <v>87</v>
      </c>
      <c r="I44" s="49" t="s">
        <v>93</v>
      </c>
      <c r="J44" s="53">
        <v>25.0</v>
      </c>
      <c r="K44" s="54">
        <v>46180.0</v>
      </c>
      <c r="L44" s="53">
        <v>100.0</v>
      </c>
      <c r="M44" s="55"/>
      <c r="N44" s="56" t="b">
        <v>0</v>
      </c>
      <c r="O44" s="56" t="b">
        <v>1</v>
      </c>
      <c r="P44" s="56" t="b">
        <v>1</v>
      </c>
      <c r="Q44" s="57" t="s">
        <v>219</v>
      </c>
      <c r="R44" s="60" t="s">
        <v>220</v>
      </c>
      <c r="S44" s="60"/>
      <c r="T44" s="61"/>
    </row>
    <row r="45" outlineLevel="1">
      <c r="A45" s="49"/>
      <c r="B45" s="50"/>
      <c r="C45" s="51"/>
      <c r="D45" s="49"/>
      <c r="E45" s="49"/>
      <c r="F45" s="49"/>
      <c r="G45" s="49"/>
      <c r="H45" s="49"/>
      <c r="I45" s="52"/>
      <c r="J45" s="53"/>
      <c r="K45" s="62"/>
      <c r="L45" s="53"/>
      <c r="M45" s="55"/>
      <c r="N45" s="56" t="b">
        <v>0</v>
      </c>
      <c r="O45" s="56" t="b">
        <v>0</v>
      </c>
      <c r="P45" s="56" t="b">
        <v>0</v>
      </c>
      <c r="Q45" s="60"/>
      <c r="R45" s="60"/>
      <c r="S45" s="60"/>
      <c r="T45" s="58"/>
    </row>
    <row r="46" outlineLevel="1">
      <c r="A46" s="49"/>
      <c r="B46" s="50"/>
      <c r="C46" s="51"/>
      <c r="D46" s="49"/>
      <c r="E46" s="49"/>
      <c r="F46" s="49"/>
      <c r="G46" s="49"/>
      <c r="H46" s="49"/>
      <c r="I46" s="49"/>
      <c r="J46" s="53"/>
      <c r="K46" s="88"/>
      <c r="L46" s="53"/>
      <c r="M46" s="55"/>
      <c r="N46" s="56" t="b">
        <v>0</v>
      </c>
      <c r="O46" s="56" t="b">
        <v>0</v>
      </c>
      <c r="P46" s="56" t="b">
        <v>0</v>
      </c>
      <c r="Q46" s="60"/>
      <c r="R46" s="71"/>
      <c r="S46" s="71"/>
      <c r="T46" s="61"/>
    </row>
    <row r="47" outlineLevel="1">
      <c r="A47" s="49"/>
      <c r="B47" s="50"/>
      <c r="C47" s="51"/>
      <c r="D47" s="49"/>
      <c r="E47" s="49"/>
      <c r="F47" s="52"/>
      <c r="G47" s="49"/>
      <c r="H47" s="89"/>
      <c r="I47" s="89"/>
      <c r="J47" s="53"/>
      <c r="K47" s="54"/>
      <c r="L47" s="53"/>
      <c r="M47" s="55"/>
      <c r="N47" s="56" t="b">
        <v>0</v>
      </c>
      <c r="O47" s="56" t="b">
        <v>0</v>
      </c>
      <c r="P47" s="56" t="b">
        <v>0</v>
      </c>
      <c r="Q47" s="57"/>
      <c r="R47" s="61"/>
      <c r="S47" s="61"/>
      <c r="T47" s="61"/>
    </row>
    <row r="48" outlineLevel="1">
      <c r="A48" s="49"/>
      <c r="B48" s="50"/>
      <c r="C48" s="51"/>
      <c r="D48" s="49"/>
      <c r="E48" s="49"/>
      <c r="F48" s="90"/>
      <c r="G48" s="49"/>
      <c r="H48" s="89"/>
      <c r="I48" s="89"/>
      <c r="J48" s="53"/>
      <c r="K48" s="62"/>
      <c r="L48" s="53"/>
      <c r="M48" s="55"/>
      <c r="N48" s="56" t="b">
        <v>0</v>
      </c>
      <c r="O48" s="56" t="b">
        <v>0</v>
      </c>
      <c r="P48" s="56" t="b">
        <v>0</v>
      </c>
      <c r="Q48" s="91"/>
      <c r="R48" s="71"/>
      <c r="S48" s="92"/>
      <c r="T48" s="93"/>
    </row>
    <row r="49" outlineLevel="1">
      <c r="A49" s="49"/>
      <c r="B49" s="50"/>
      <c r="C49" s="51"/>
      <c r="D49" s="49"/>
      <c r="E49" s="49"/>
      <c r="F49" s="52"/>
      <c r="G49" s="58"/>
      <c r="H49" s="58"/>
      <c r="I49" s="58"/>
      <c r="J49" s="94"/>
      <c r="K49" s="54"/>
      <c r="L49" s="94"/>
      <c r="M49" s="55"/>
      <c r="N49" s="56" t="b">
        <v>0</v>
      </c>
      <c r="O49" s="56" t="b">
        <v>0</v>
      </c>
      <c r="P49" s="56" t="b">
        <v>0</v>
      </c>
      <c r="Q49" s="57"/>
      <c r="R49" s="71"/>
      <c r="S49" s="95"/>
      <c r="T49" s="61"/>
    </row>
    <row r="50" outlineLevel="1">
      <c r="A50" s="49"/>
      <c r="B50" s="50"/>
      <c r="C50" s="96"/>
      <c r="D50" s="97"/>
      <c r="E50" s="58"/>
      <c r="F50" s="58"/>
      <c r="G50" s="58"/>
      <c r="H50" s="61"/>
      <c r="I50" s="61"/>
      <c r="J50" s="94"/>
      <c r="K50" s="54"/>
      <c r="L50" s="94"/>
      <c r="M50" s="55"/>
      <c r="N50" s="56" t="b">
        <v>0</v>
      </c>
      <c r="O50" s="56" t="b">
        <v>0</v>
      </c>
      <c r="P50" s="56" t="b">
        <v>0</v>
      </c>
      <c r="Q50" s="57"/>
      <c r="R50" s="71"/>
      <c r="S50" s="61"/>
      <c r="T50" s="61"/>
    </row>
    <row r="51" outlineLevel="1">
      <c r="A51" s="49"/>
      <c r="B51" s="50"/>
      <c r="C51" s="51"/>
      <c r="D51" s="49"/>
      <c r="E51" s="49"/>
      <c r="F51" s="90"/>
      <c r="G51" s="49"/>
      <c r="H51" s="49"/>
      <c r="I51" s="49"/>
      <c r="J51" s="53"/>
      <c r="K51" s="62"/>
      <c r="L51" s="53"/>
      <c r="M51" s="55"/>
      <c r="N51" s="56" t="b">
        <v>0</v>
      </c>
      <c r="O51" s="56" t="b">
        <v>0</v>
      </c>
      <c r="P51" s="56" t="b">
        <v>0</v>
      </c>
      <c r="Q51" s="91"/>
      <c r="R51" s="60"/>
      <c r="S51" s="98"/>
      <c r="T51" s="93"/>
    </row>
    <row r="52" outlineLevel="1">
      <c r="A52" s="49"/>
      <c r="B52" s="50"/>
      <c r="C52" s="51"/>
      <c r="D52" s="49"/>
      <c r="E52" s="49"/>
      <c r="F52" s="90"/>
      <c r="G52" s="49"/>
      <c r="H52" s="49"/>
      <c r="I52" s="49"/>
      <c r="J52" s="53"/>
      <c r="K52" s="62"/>
      <c r="L52" s="53"/>
      <c r="M52" s="55"/>
      <c r="N52" s="56" t="b">
        <v>0</v>
      </c>
      <c r="O52" s="56" t="b">
        <v>0</v>
      </c>
      <c r="P52" s="56" t="b">
        <v>0</v>
      </c>
      <c r="Q52" s="91"/>
      <c r="R52" s="60"/>
      <c r="S52" s="98"/>
      <c r="T52" s="93"/>
    </row>
    <row r="53" outlineLevel="1">
      <c r="A53" s="49"/>
      <c r="B53" s="50"/>
      <c r="C53" s="51"/>
      <c r="D53" s="49"/>
      <c r="E53" s="49"/>
      <c r="F53" s="90"/>
      <c r="G53" s="49"/>
      <c r="H53" s="49"/>
      <c r="I53" s="49"/>
      <c r="J53" s="53"/>
      <c r="K53" s="62"/>
      <c r="L53" s="53"/>
      <c r="M53" s="55"/>
      <c r="N53" s="56" t="b">
        <v>0</v>
      </c>
      <c r="O53" s="56" t="b">
        <v>0</v>
      </c>
      <c r="P53" s="56" t="b">
        <v>0</v>
      </c>
      <c r="Q53" s="91"/>
      <c r="R53" s="99"/>
      <c r="S53" s="98"/>
      <c r="T53" s="100"/>
    </row>
    <row r="54" outlineLevel="1">
      <c r="A54" s="49"/>
      <c r="B54" s="50"/>
      <c r="C54" s="51"/>
      <c r="D54" s="49"/>
      <c r="E54" s="49"/>
      <c r="F54" s="90"/>
      <c r="G54" s="49"/>
      <c r="H54" s="49"/>
      <c r="I54" s="49"/>
      <c r="J54" s="53"/>
      <c r="K54" s="62"/>
      <c r="L54" s="53"/>
      <c r="M54" s="55"/>
      <c r="N54" s="56" t="b">
        <v>0</v>
      </c>
      <c r="O54" s="56" t="b">
        <v>0</v>
      </c>
      <c r="P54" s="56" t="b">
        <v>0</v>
      </c>
      <c r="Q54" s="91"/>
      <c r="R54" s="99"/>
      <c r="S54" s="92"/>
      <c r="T54" s="93"/>
    </row>
    <row r="55" outlineLevel="1">
      <c r="A55" s="49"/>
      <c r="B55" s="50"/>
      <c r="C55" s="51"/>
      <c r="D55" s="49"/>
      <c r="E55" s="49"/>
      <c r="F55" s="90"/>
      <c r="G55" s="49"/>
      <c r="H55" s="49"/>
      <c r="I55" s="49"/>
      <c r="J55" s="53"/>
      <c r="K55" s="62"/>
      <c r="L55" s="53"/>
      <c r="M55" s="101"/>
      <c r="N55" s="56" t="b">
        <v>0</v>
      </c>
      <c r="O55" s="56" t="b">
        <v>0</v>
      </c>
      <c r="P55" s="56" t="b">
        <v>0</v>
      </c>
      <c r="Q55" s="91"/>
      <c r="R55" s="102"/>
      <c r="S55" s="92"/>
      <c r="T55" s="93"/>
    </row>
    <row r="56" outlineLevel="1">
      <c r="A56" s="49"/>
      <c r="B56" s="50"/>
      <c r="C56" s="51"/>
      <c r="D56" s="49"/>
      <c r="E56" s="49"/>
      <c r="F56" s="90"/>
      <c r="G56" s="49"/>
      <c r="H56" s="49"/>
      <c r="I56" s="49"/>
      <c r="J56" s="53"/>
      <c r="K56" s="62"/>
      <c r="L56" s="53"/>
      <c r="M56" s="103"/>
      <c r="N56" s="56" t="b">
        <v>0</v>
      </c>
      <c r="O56" s="56" t="b">
        <v>0</v>
      </c>
      <c r="P56" s="56" t="b">
        <v>0</v>
      </c>
      <c r="Q56" s="91"/>
      <c r="R56" s="71"/>
      <c r="S56" s="92"/>
      <c r="T56" s="93"/>
    </row>
    <row r="57" outlineLevel="1">
      <c r="A57" s="104"/>
      <c r="B57" s="50"/>
      <c r="C57" s="105"/>
      <c r="D57" s="104"/>
      <c r="E57" s="104"/>
      <c r="F57" s="106"/>
      <c r="G57" s="104"/>
      <c r="H57" s="104"/>
      <c r="I57" s="104"/>
      <c r="J57" s="107"/>
      <c r="K57" s="108"/>
      <c r="L57" s="107"/>
      <c r="M57" s="109"/>
      <c r="N57" s="56" t="b">
        <v>0</v>
      </c>
      <c r="O57" s="56" t="b">
        <v>0</v>
      </c>
      <c r="P57" s="56" t="b">
        <v>0</v>
      </c>
      <c r="Q57" s="110"/>
      <c r="R57" s="111"/>
      <c r="S57" s="112"/>
      <c r="T57" s="113"/>
    </row>
    <row r="58" outlineLevel="1">
      <c r="A58" s="114"/>
      <c r="B58" s="50"/>
      <c r="C58" s="115"/>
      <c r="D58" s="114"/>
      <c r="E58" s="114"/>
      <c r="F58" s="116"/>
      <c r="G58" s="114"/>
      <c r="H58" s="114"/>
      <c r="I58" s="114"/>
      <c r="J58" s="117"/>
      <c r="K58" s="118"/>
      <c r="L58" s="117"/>
      <c r="M58" s="119"/>
      <c r="N58" s="56" t="b">
        <v>0</v>
      </c>
      <c r="O58" s="56" t="b">
        <v>0</v>
      </c>
      <c r="P58" s="56" t="b">
        <v>0</v>
      </c>
      <c r="Q58" s="120"/>
      <c r="R58" s="121"/>
      <c r="S58" s="122"/>
      <c r="T58" s="123"/>
    </row>
    <row r="59" outlineLevel="1">
      <c r="A59" s="124"/>
      <c r="B59" s="50"/>
      <c r="C59" s="125"/>
      <c r="D59" s="124"/>
      <c r="E59" s="124"/>
      <c r="F59" s="126"/>
      <c r="G59" s="124"/>
      <c r="H59" s="124"/>
      <c r="I59" s="124"/>
      <c r="J59" s="127"/>
      <c r="K59" s="128"/>
      <c r="L59" s="127"/>
      <c r="M59" s="55"/>
      <c r="N59" s="56" t="b">
        <v>0</v>
      </c>
      <c r="O59" s="56" t="b">
        <v>0</v>
      </c>
      <c r="P59" s="56" t="b">
        <v>0</v>
      </c>
      <c r="Q59" s="129"/>
      <c r="R59" s="130"/>
      <c r="S59" s="131"/>
      <c r="T59" s="132"/>
    </row>
    <row r="60" outlineLevel="1">
      <c r="A60" s="73"/>
      <c r="B60" s="50"/>
      <c r="C60" s="51"/>
      <c r="D60" s="73"/>
      <c r="E60" s="73"/>
      <c r="F60" s="133"/>
      <c r="G60" s="73"/>
      <c r="H60" s="89"/>
      <c r="I60" s="89"/>
      <c r="J60" s="80"/>
      <c r="K60" s="62"/>
      <c r="L60" s="53"/>
      <c r="M60" s="82"/>
      <c r="N60" s="56" t="b">
        <v>0</v>
      </c>
      <c r="O60" s="56" t="b">
        <v>0</v>
      </c>
      <c r="P60" s="56" t="b">
        <v>0</v>
      </c>
      <c r="Q60" s="134"/>
      <c r="R60" s="60"/>
      <c r="S60" s="92"/>
      <c r="T60" s="93"/>
    </row>
    <row r="61" outlineLevel="1">
      <c r="A61" s="49"/>
      <c r="B61" s="50"/>
      <c r="C61" s="51"/>
      <c r="D61" s="49"/>
      <c r="E61" s="49"/>
      <c r="F61" s="90"/>
      <c r="G61" s="49"/>
      <c r="H61" s="49"/>
      <c r="I61" s="49"/>
      <c r="J61" s="53"/>
      <c r="K61" s="62"/>
      <c r="L61" s="53"/>
      <c r="M61" s="55"/>
      <c r="N61" s="56" t="b">
        <v>0</v>
      </c>
      <c r="O61" s="56" t="b">
        <v>0</v>
      </c>
      <c r="P61" s="56" t="b">
        <v>0</v>
      </c>
      <c r="Q61" s="91"/>
      <c r="R61" s="102"/>
      <c r="S61" s="92"/>
      <c r="T61" s="93"/>
    </row>
    <row r="62" outlineLevel="1">
      <c r="A62" s="49"/>
      <c r="B62" s="50"/>
      <c r="C62" s="51"/>
      <c r="D62" s="49"/>
      <c r="E62" s="49"/>
      <c r="F62" s="90"/>
      <c r="G62" s="49"/>
      <c r="H62" s="49"/>
      <c r="I62" s="49"/>
      <c r="J62" s="53"/>
      <c r="K62" s="62"/>
      <c r="L62" s="53"/>
      <c r="M62" s="55"/>
      <c r="N62" s="56" t="b">
        <v>0</v>
      </c>
      <c r="O62" s="56" t="b">
        <v>0</v>
      </c>
      <c r="P62" s="56" t="b">
        <v>0</v>
      </c>
      <c r="Q62" s="91"/>
      <c r="R62" s="71"/>
      <c r="S62" s="92"/>
      <c r="T62" s="93"/>
    </row>
    <row r="63" outlineLevel="1">
      <c r="A63" s="49"/>
      <c r="B63" s="50"/>
      <c r="C63" s="51"/>
      <c r="D63" s="49"/>
      <c r="E63" s="49"/>
      <c r="F63" s="90"/>
      <c r="G63" s="49"/>
      <c r="H63" s="49"/>
      <c r="I63" s="49"/>
      <c r="J63" s="53"/>
      <c r="K63" s="62"/>
      <c r="L63" s="53"/>
      <c r="M63" s="55"/>
      <c r="N63" s="56" t="b">
        <v>0</v>
      </c>
      <c r="O63" s="56" t="b">
        <v>0</v>
      </c>
      <c r="P63" s="56" t="b">
        <v>0</v>
      </c>
      <c r="Q63" s="91"/>
      <c r="R63" s="71"/>
      <c r="S63" s="92"/>
      <c r="T63" s="93"/>
    </row>
    <row r="64" outlineLevel="1">
      <c r="A64" s="49"/>
      <c r="B64" s="50"/>
      <c r="C64" s="51"/>
      <c r="D64" s="49"/>
      <c r="E64" s="49"/>
      <c r="F64" s="90"/>
      <c r="G64" s="49"/>
      <c r="H64" s="49"/>
      <c r="I64" s="49"/>
      <c r="J64" s="53"/>
      <c r="K64" s="62"/>
      <c r="L64" s="53"/>
      <c r="M64" s="55"/>
      <c r="N64" s="56" t="b">
        <v>0</v>
      </c>
      <c r="O64" s="56" t="b">
        <v>0</v>
      </c>
      <c r="P64" s="56" t="b">
        <v>0</v>
      </c>
      <c r="Q64" s="91"/>
      <c r="R64" s="71"/>
      <c r="S64" s="92"/>
      <c r="T64" s="93"/>
    </row>
    <row r="65" outlineLevel="1">
      <c r="A65" s="49"/>
      <c r="B65" s="50"/>
      <c r="C65" s="51"/>
      <c r="D65" s="49"/>
      <c r="E65" s="49"/>
      <c r="F65" s="52"/>
      <c r="G65" s="49"/>
      <c r="H65" s="49"/>
      <c r="I65" s="49"/>
      <c r="J65" s="53"/>
      <c r="K65" s="54"/>
      <c r="L65" s="53"/>
      <c r="M65" s="55"/>
      <c r="N65" s="56" t="b">
        <v>0</v>
      </c>
      <c r="O65" s="56" t="b">
        <v>0</v>
      </c>
      <c r="P65" s="56" t="b">
        <v>0</v>
      </c>
      <c r="Q65" s="91"/>
      <c r="R65" s="71"/>
      <c r="S65" s="92"/>
      <c r="T65" s="93"/>
    </row>
    <row r="66" outlineLevel="1">
      <c r="A66" s="73"/>
      <c r="B66" s="50"/>
      <c r="C66" s="79"/>
      <c r="D66" s="73"/>
      <c r="E66" s="73"/>
      <c r="F66" s="133"/>
      <c r="G66" s="73"/>
      <c r="H66" s="89"/>
      <c r="I66" s="89"/>
      <c r="J66" s="80"/>
      <c r="K66" s="81"/>
      <c r="L66" s="80"/>
      <c r="M66" s="82"/>
      <c r="N66" s="56" t="b">
        <v>0</v>
      </c>
      <c r="O66" s="56" t="b">
        <v>0</v>
      </c>
      <c r="P66" s="56" t="b">
        <v>0</v>
      </c>
      <c r="Q66" s="134"/>
      <c r="R66" s="71"/>
      <c r="S66" s="92"/>
      <c r="T66" s="93"/>
    </row>
    <row r="67" outlineLevel="1">
      <c r="A67" s="73"/>
      <c r="B67" s="50"/>
      <c r="C67" s="79"/>
      <c r="D67" s="73"/>
      <c r="E67" s="73"/>
      <c r="F67" s="133"/>
      <c r="G67" s="73"/>
      <c r="H67" s="89"/>
      <c r="I67" s="89"/>
      <c r="J67" s="80"/>
      <c r="K67" s="81"/>
      <c r="L67" s="80"/>
      <c r="M67" s="82"/>
      <c r="N67" s="56" t="b">
        <v>0</v>
      </c>
      <c r="O67" s="56" t="b">
        <v>0</v>
      </c>
      <c r="P67" s="56" t="b">
        <v>0</v>
      </c>
      <c r="Q67" s="134"/>
      <c r="R67" s="71"/>
      <c r="S67" s="92"/>
      <c r="T67" s="93"/>
    </row>
    <row r="68" outlineLevel="1">
      <c r="A68" s="73"/>
      <c r="B68" s="50"/>
      <c r="C68" s="79"/>
      <c r="D68" s="73"/>
      <c r="E68" s="73"/>
      <c r="F68" s="133"/>
      <c r="G68" s="73"/>
      <c r="H68" s="89"/>
      <c r="I68" s="89"/>
      <c r="J68" s="80"/>
      <c r="K68" s="81"/>
      <c r="L68" s="80"/>
      <c r="M68" s="82"/>
      <c r="N68" s="56" t="b">
        <v>0</v>
      </c>
      <c r="O68" s="56" t="b">
        <v>0</v>
      </c>
      <c r="P68" s="56" t="b">
        <v>0</v>
      </c>
      <c r="Q68" s="134"/>
      <c r="R68" s="71"/>
      <c r="S68" s="92"/>
      <c r="T68" s="93"/>
    </row>
    <row r="69" outlineLevel="1">
      <c r="A69" s="73"/>
      <c r="B69" s="50"/>
      <c r="C69" s="79"/>
      <c r="D69" s="73"/>
      <c r="E69" s="73"/>
      <c r="F69" s="133"/>
      <c r="G69" s="73"/>
      <c r="H69" s="89"/>
      <c r="I69" s="89"/>
      <c r="J69" s="80"/>
      <c r="K69" s="135"/>
      <c r="L69" s="80"/>
      <c r="M69" s="82"/>
      <c r="N69" s="56" t="b">
        <v>0</v>
      </c>
      <c r="O69" s="56" t="b">
        <v>0</v>
      </c>
      <c r="P69" s="56" t="b">
        <v>0</v>
      </c>
      <c r="Q69" s="134"/>
      <c r="R69" s="71"/>
      <c r="S69" s="92"/>
      <c r="T69" s="93"/>
    </row>
    <row r="70" outlineLevel="1">
      <c r="A70" s="49"/>
      <c r="B70" s="50"/>
      <c r="C70" s="79"/>
      <c r="D70" s="49"/>
      <c r="E70" s="49"/>
      <c r="F70" s="90"/>
      <c r="G70" s="49"/>
      <c r="H70" s="49"/>
      <c r="I70" s="49"/>
      <c r="J70" s="53"/>
      <c r="K70" s="81"/>
      <c r="L70" s="53"/>
      <c r="M70" s="55"/>
      <c r="N70" s="56" t="b">
        <v>0</v>
      </c>
      <c r="O70" s="56" t="b">
        <v>0</v>
      </c>
      <c r="P70" s="56" t="b">
        <v>0</v>
      </c>
      <c r="Q70" s="91"/>
      <c r="R70" s="71"/>
      <c r="S70" s="92"/>
      <c r="T70" s="93"/>
    </row>
    <row r="71" outlineLevel="1">
      <c r="A71" s="49"/>
      <c r="B71" s="50"/>
      <c r="C71" s="79"/>
      <c r="D71" s="49"/>
      <c r="E71" s="49"/>
      <c r="F71" s="90"/>
      <c r="G71" s="49"/>
      <c r="H71" s="89"/>
      <c r="I71" s="89"/>
      <c r="J71" s="53"/>
      <c r="K71" s="81"/>
      <c r="L71" s="53"/>
      <c r="M71" s="55"/>
      <c r="N71" s="56" t="b">
        <v>0</v>
      </c>
      <c r="O71" s="56" t="b">
        <v>0</v>
      </c>
      <c r="P71" s="56" t="b">
        <v>0</v>
      </c>
      <c r="Q71" s="91"/>
      <c r="R71" s="71"/>
      <c r="S71" s="92"/>
      <c r="T71" s="93"/>
    </row>
    <row r="72" outlineLevel="1">
      <c r="A72" s="49"/>
      <c r="B72" s="50"/>
      <c r="C72" s="79"/>
      <c r="D72" s="49"/>
      <c r="E72" s="49"/>
      <c r="F72" s="90"/>
      <c r="G72" s="49"/>
      <c r="H72" s="89"/>
      <c r="I72" s="89"/>
      <c r="J72" s="53"/>
      <c r="K72" s="81"/>
      <c r="L72" s="53"/>
      <c r="M72" s="55"/>
      <c r="N72" s="56" t="b">
        <v>0</v>
      </c>
      <c r="O72" s="56" t="b">
        <v>0</v>
      </c>
      <c r="P72" s="56" t="b">
        <v>0</v>
      </c>
      <c r="Q72" s="91"/>
      <c r="R72" s="71"/>
      <c r="S72" s="92"/>
      <c r="T72" s="93"/>
    </row>
    <row r="73" outlineLevel="1">
      <c r="A73" s="49"/>
      <c r="B73" s="50"/>
      <c r="C73" s="79"/>
      <c r="D73" s="49"/>
      <c r="E73" s="49"/>
      <c r="F73" s="90"/>
      <c r="G73" s="49"/>
      <c r="H73" s="89"/>
      <c r="I73" s="89"/>
      <c r="J73" s="53"/>
      <c r="K73" s="81"/>
      <c r="L73" s="53"/>
      <c r="M73" s="55"/>
      <c r="N73" s="56" t="b">
        <v>0</v>
      </c>
      <c r="O73" s="56" t="b">
        <v>0</v>
      </c>
      <c r="P73" s="56" t="b">
        <v>0</v>
      </c>
      <c r="Q73" s="91"/>
      <c r="R73" s="71"/>
      <c r="S73" s="92"/>
      <c r="T73" s="93"/>
    </row>
    <row r="74" outlineLevel="1">
      <c r="A74" s="49"/>
      <c r="B74" s="50"/>
      <c r="C74" s="79"/>
      <c r="D74" s="49"/>
      <c r="E74" s="49"/>
      <c r="F74" s="90"/>
      <c r="G74" s="49"/>
      <c r="H74" s="89"/>
      <c r="I74" s="89"/>
      <c r="J74" s="53"/>
      <c r="K74" s="81"/>
      <c r="L74" s="53"/>
      <c r="M74" s="55"/>
      <c r="N74" s="56" t="b">
        <v>0</v>
      </c>
      <c r="O74" s="56" t="b">
        <v>0</v>
      </c>
      <c r="P74" s="56" t="b">
        <v>0</v>
      </c>
      <c r="Q74" s="91"/>
      <c r="R74" s="71"/>
      <c r="S74" s="92"/>
      <c r="T74" s="93"/>
    </row>
    <row r="75" outlineLevel="1">
      <c r="A75" s="49"/>
      <c r="B75" s="50"/>
      <c r="C75" s="79"/>
      <c r="D75" s="49"/>
      <c r="E75" s="49"/>
      <c r="F75" s="90"/>
      <c r="G75" s="49"/>
      <c r="H75" s="89"/>
      <c r="I75" s="89"/>
      <c r="J75" s="53"/>
      <c r="K75" s="81"/>
      <c r="L75" s="53"/>
      <c r="M75" s="55"/>
      <c r="N75" s="56" t="b">
        <v>0</v>
      </c>
      <c r="O75" s="56" t="b">
        <v>0</v>
      </c>
      <c r="P75" s="56" t="b">
        <v>0</v>
      </c>
      <c r="Q75" s="91"/>
      <c r="R75" s="71"/>
      <c r="S75" s="92"/>
      <c r="T75" s="93"/>
    </row>
    <row r="76" outlineLevel="1">
      <c r="A76" s="49"/>
      <c r="B76" s="50"/>
      <c r="C76" s="79"/>
      <c r="D76" s="49"/>
      <c r="E76" s="49"/>
      <c r="F76" s="90"/>
      <c r="G76" s="49"/>
      <c r="H76" s="89"/>
      <c r="I76" s="89"/>
      <c r="J76" s="53"/>
      <c r="K76" s="81"/>
      <c r="L76" s="53"/>
      <c r="M76" s="55"/>
      <c r="N76" s="56" t="b">
        <v>0</v>
      </c>
      <c r="O76" s="56" t="b">
        <v>0</v>
      </c>
      <c r="P76" s="56" t="b">
        <v>0</v>
      </c>
      <c r="Q76" s="91"/>
      <c r="R76" s="71"/>
      <c r="S76" s="92"/>
      <c r="T76" s="93"/>
    </row>
    <row r="77" outlineLevel="1">
      <c r="A77" s="49"/>
      <c r="B77" s="50"/>
      <c r="C77" s="79"/>
      <c r="D77" s="49"/>
      <c r="E77" s="49"/>
      <c r="F77" s="90"/>
      <c r="G77" s="49"/>
      <c r="H77" s="89"/>
      <c r="I77" s="89"/>
      <c r="J77" s="53"/>
      <c r="K77" s="81"/>
      <c r="L77" s="53"/>
      <c r="M77" s="55"/>
      <c r="N77" s="56" t="b">
        <v>0</v>
      </c>
      <c r="O77" s="56" t="b">
        <v>0</v>
      </c>
      <c r="P77" s="56" t="b">
        <v>0</v>
      </c>
      <c r="Q77" s="91"/>
      <c r="R77" s="71"/>
      <c r="S77" s="92"/>
      <c r="T77" s="93"/>
    </row>
    <row r="78" outlineLevel="1">
      <c r="A78" s="49"/>
      <c r="B78" s="50"/>
      <c r="C78" s="79"/>
      <c r="D78" s="49"/>
      <c r="E78" s="49"/>
      <c r="F78" s="52"/>
      <c r="G78" s="58"/>
      <c r="H78" s="61"/>
      <c r="I78" s="61"/>
      <c r="J78" s="94"/>
      <c r="K78" s="54"/>
      <c r="L78" s="94"/>
      <c r="M78" s="55"/>
      <c r="N78" s="56" t="b">
        <v>0</v>
      </c>
      <c r="O78" s="56" t="b">
        <v>0</v>
      </c>
      <c r="P78" s="56" t="b">
        <v>0</v>
      </c>
      <c r="Q78" s="57"/>
      <c r="R78" s="71"/>
      <c r="S78" s="95"/>
      <c r="T78" s="61"/>
    </row>
    <row r="79" outlineLevel="1">
      <c r="A79" s="49"/>
      <c r="B79" s="50"/>
      <c r="C79" s="136"/>
      <c r="D79" s="97"/>
      <c r="E79" s="58"/>
      <c r="F79" s="58"/>
      <c r="G79" s="58"/>
      <c r="H79" s="61"/>
      <c r="I79" s="61"/>
      <c r="J79" s="94"/>
      <c r="K79" s="54"/>
      <c r="L79" s="94"/>
      <c r="M79" s="55"/>
      <c r="N79" s="56" t="b">
        <v>0</v>
      </c>
      <c r="O79" s="56" t="b">
        <v>0</v>
      </c>
      <c r="P79" s="56" t="b">
        <v>0</v>
      </c>
      <c r="Q79" s="57"/>
      <c r="R79" s="71"/>
      <c r="S79" s="61"/>
      <c r="T79" s="61"/>
    </row>
    <row r="80">
      <c r="A80" s="137" t="s">
        <v>222</v>
      </c>
      <c r="B80" s="138">
        <f>COUNTIF(B4:B79, "*")</f>
        <v>39</v>
      </c>
      <c r="C80" s="139" t="s">
        <v>222</v>
      </c>
      <c r="D80" s="140">
        <f>COUNTIF(D4:D79, "*")</f>
        <v>39</v>
      </c>
      <c r="E80" s="141"/>
      <c r="F80" s="142"/>
      <c r="G80" s="141"/>
      <c r="H80" s="141"/>
      <c r="I80" s="143" t="s">
        <v>222</v>
      </c>
      <c r="J80" s="144">
        <f>SUM(J4:J79)</f>
        <v>425</v>
      </c>
      <c r="K80" s="145"/>
      <c r="L80" s="144">
        <f>SUM(L4:L79)</f>
        <v>2745</v>
      </c>
      <c r="M80" s="146">
        <f>COUNTIF(M4:M79, "*")</f>
        <v>25</v>
      </c>
      <c r="N80" s="147">
        <f t="shared" ref="N80:P80" si="1">SUMPRODUCT(--N4:N79)</f>
        <v>34</v>
      </c>
      <c r="O80" s="147">
        <f t="shared" si="1"/>
        <v>37</v>
      </c>
      <c r="P80" s="147">
        <f t="shared" si="1"/>
        <v>30</v>
      </c>
      <c r="Q80" s="148"/>
      <c r="R80" s="141"/>
      <c r="S80" s="141"/>
      <c r="T80" s="141"/>
    </row>
    <row r="81">
      <c r="A81" s="149" t="s">
        <v>223</v>
      </c>
      <c r="B81" s="150">
        <f>COUNTIF(B4:B79, "SEDE*")</f>
        <v>16</v>
      </c>
      <c r="C81" s="151"/>
      <c r="D81" s="152"/>
      <c r="E81" s="153"/>
      <c r="F81" s="154"/>
      <c r="G81" s="153"/>
      <c r="H81" s="153"/>
      <c r="I81" s="151"/>
      <c r="J81" s="155"/>
      <c r="K81" s="156"/>
      <c r="L81" s="155"/>
      <c r="M81" s="155"/>
      <c r="N81" s="152"/>
      <c r="O81" s="152"/>
      <c r="P81" s="152"/>
      <c r="Q81" s="157"/>
      <c r="R81" s="153"/>
      <c r="S81" s="153"/>
      <c r="T81" s="153"/>
    </row>
    <row r="82">
      <c r="A82" s="149" t="s">
        <v>37</v>
      </c>
      <c r="B82" s="150">
        <f>COUNTIF(B4:B79, "ONLINE")</f>
        <v>23</v>
      </c>
      <c r="C82" s="151"/>
      <c r="D82" s="152"/>
      <c r="E82" s="153"/>
      <c r="F82" s="154"/>
      <c r="G82" s="153"/>
      <c r="H82" s="153"/>
      <c r="I82" s="151"/>
      <c r="J82" s="155"/>
      <c r="K82" s="156"/>
      <c r="L82" s="155"/>
      <c r="M82" s="155"/>
      <c r="N82" s="152"/>
      <c r="O82" s="152"/>
      <c r="P82" s="152"/>
      <c r="Q82" s="157"/>
      <c r="R82" s="153"/>
      <c r="S82" s="153"/>
      <c r="T82" s="153"/>
    </row>
    <row r="83">
      <c r="A83" s="158" t="s">
        <v>224</v>
      </c>
    </row>
    <row r="84" outlineLevel="1">
      <c r="A84" s="49" t="s">
        <v>45</v>
      </c>
      <c r="B84" s="50" t="s">
        <v>37</v>
      </c>
      <c r="C84" s="51">
        <v>45721.0</v>
      </c>
      <c r="D84" s="49" t="s">
        <v>225</v>
      </c>
      <c r="E84" s="49" t="s">
        <v>226</v>
      </c>
      <c r="F84" s="52">
        <v>3.338090911E9</v>
      </c>
      <c r="G84" s="49">
        <v>8.0</v>
      </c>
      <c r="H84" s="49"/>
      <c r="I84" s="49"/>
      <c r="J84" s="53">
        <v>0.0</v>
      </c>
      <c r="K84" s="54">
        <v>45944.0</v>
      </c>
      <c r="L84" s="53">
        <v>70.0</v>
      </c>
      <c r="M84" s="159"/>
      <c r="N84" s="56" t="b">
        <v>1</v>
      </c>
      <c r="O84" s="56" t="b">
        <v>1</v>
      </c>
      <c r="P84" s="56" t="b">
        <v>0</v>
      </c>
      <c r="Q84" s="57" t="s">
        <v>227</v>
      </c>
      <c r="R84" s="61"/>
      <c r="S84" s="61"/>
      <c r="T84" s="59"/>
    </row>
    <row r="85" outlineLevel="1">
      <c r="A85" s="49" t="s">
        <v>36</v>
      </c>
      <c r="B85" s="50" t="s">
        <v>147</v>
      </c>
      <c r="C85" s="51">
        <v>45720.0</v>
      </c>
      <c r="D85" s="49" t="s">
        <v>38</v>
      </c>
      <c r="E85" s="49" t="s">
        <v>39</v>
      </c>
      <c r="F85" s="52">
        <v>3.392262465E9</v>
      </c>
      <c r="G85" s="49">
        <v>11.0</v>
      </c>
      <c r="H85" s="49" t="s">
        <v>40</v>
      </c>
      <c r="I85" s="49" t="s">
        <v>41</v>
      </c>
      <c r="J85" s="53">
        <v>0.0</v>
      </c>
      <c r="K85" s="54">
        <v>46141.0</v>
      </c>
      <c r="L85" s="53">
        <v>65.0</v>
      </c>
      <c r="M85" s="159"/>
      <c r="N85" s="56" t="b">
        <v>1</v>
      </c>
      <c r="O85" s="56" t="b">
        <v>1</v>
      </c>
      <c r="P85" s="56" t="b">
        <v>1</v>
      </c>
      <c r="Q85" s="160" t="s">
        <v>42</v>
      </c>
      <c r="R85" s="161" t="s">
        <v>228</v>
      </c>
      <c r="S85" s="161">
        <v>3.334283886E9</v>
      </c>
      <c r="T85" s="162" t="s">
        <v>44</v>
      </c>
    </row>
    <row r="86" outlineLevel="1">
      <c r="A86" s="49" t="s">
        <v>45</v>
      </c>
      <c r="B86" s="50" t="s">
        <v>37</v>
      </c>
      <c r="C86" s="51">
        <v>45736.0</v>
      </c>
      <c r="D86" s="49" t="s">
        <v>46</v>
      </c>
      <c r="E86" s="49" t="s">
        <v>47</v>
      </c>
      <c r="F86" s="52">
        <v>3.470407484E9</v>
      </c>
      <c r="G86" s="49">
        <v>9.0</v>
      </c>
      <c r="H86" s="49"/>
      <c r="I86" s="49" t="s">
        <v>229</v>
      </c>
      <c r="J86" s="53">
        <v>0.0</v>
      </c>
      <c r="K86" s="54">
        <v>46101.0</v>
      </c>
      <c r="L86" s="53">
        <v>65.0</v>
      </c>
      <c r="M86" s="159"/>
      <c r="N86" s="56" t="b">
        <v>1</v>
      </c>
      <c r="O86" s="56" t="b">
        <v>1</v>
      </c>
      <c r="P86" s="56" t="b">
        <v>1</v>
      </c>
      <c r="Q86" s="57" t="s">
        <v>48</v>
      </c>
      <c r="R86" s="58"/>
      <c r="S86" s="58"/>
      <c r="T86" s="58"/>
    </row>
    <row r="87" outlineLevel="1">
      <c r="A87" s="49" t="s">
        <v>110</v>
      </c>
      <c r="B87" s="50" t="s">
        <v>111</v>
      </c>
      <c r="C87" s="51">
        <v>45742.0</v>
      </c>
      <c r="D87" s="49" t="s">
        <v>230</v>
      </c>
      <c r="E87" s="49" t="s">
        <v>231</v>
      </c>
      <c r="F87" s="49">
        <v>3.477036228E9</v>
      </c>
      <c r="G87" s="49">
        <v>9.0</v>
      </c>
      <c r="H87" s="49" t="s">
        <v>232</v>
      </c>
      <c r="I87" s="49" t="s">
        <v>233</v>
      </c>
      <c r="J87" s="53">
        <v>25.0</v>
      </c>
      <c r="K87" s="62">
        <v>46106.0</v>
      </c>
      <c r="L87" s="53">
        <v>70.0</v>
      </c>
      <c r="M87" s="159"/>
      <c r="N87" s="56" t="b">
        <v>1</v>
      </c>
      <c r="O87" s="56" t="b">
        <v>1</v>
      </c>
      <c r="P87" s="56" t="b">
        <v>1</v>
      </c>
      <c r="Q87" s="60" t="s">
        <v>234</v>
      </c>
      <c r="R87" s="163"/>
      <c r="S87" s="60"/>
      <c r="T87" s="58"/>
    </row>
    <row r="88" outlineLevel="1">
      <c r="A88" s="49" t="s">
        <v>110</v>
      </c>
      <c r="B88" s="50" t="s">
        <v>111</v>
      </c>
      <c r="C88" s="51">
        <v>45742.0</v>
      </c>
      <c r="D88" s="49" t="s">
        <v>230</v>
      </c>
      <c r="E88" s="49" t="s">
        <v>235</v>
      </c>
      <c r="F88" s="49">
        <v>3.477036228E9</v>
      </c>
      <c r="G88" s="49">
        <v>11.0</v>
      </c>
      <c r="H88" s="49" t="s">
        <v>236</v>
      </c>
      <c r="I88" s="49" t="s">
        <v>233</v>
      </c>
      <c r="J88" s="64">
        <v>0.0</v>
      </c>
      <c r="K88" s="54">
        <v>45838.0</v>
      </c>
      <c r="L88" s="64">
        <v>70.0</v>
      </c>
      <c r="M88" s="159"/>
      <c r="N88" s="56" t="b">
        <v>1</v>
      </c>
      <c r="O88" s="56" t="b">
        <v>1</v>
      </c>
      <c r="P88" s="56" t="b">
        <v>1</v>
      </c>
      <c r="Q88" s="57" t="s">
        <v>234</v>
      </c>
      <c r="R88" s="65"/>
      <c r="S88" s="59"/>
      <c r="T88" s="58"/>
    </row>
    <row r="89" outlineLevel="1">
      <c r="A89" s="49" t="s">
        <v>53</v>
      </c>
      <c r="B89" s="50" t="s">
        <v>54</v>
      </c>
      <c r="C89" s="51">
        <v>45748.0</v>
      </c>
      <c r="D89" s="49" t="s">
        <v>73</v>
      </c>
      <c r="E89" s="49" t="s">
        <v>74</v>
      </c>
      <c r="F89" s="52">
        <v>3.383396071E9</v>
      </c>
      <c r="G89" s="49">
        <v>7.0</v>
      </c>
      <c r="H89" s="52" t="s">
        <v>75</v>
      </c>
      <c r="I89" s="52" t="s">
        <v>76</v>
      </c>
      <c r="J89" s="53">
        <v>0.0</v>
      </c>
      <c r="K89" s="54">
        <v>46112.0</v>
      </c>
      <c r="L89" s="53">
        <v>65.0</v>
      </c>
      <c r="M89" s="159"/>
      <c r="N89" s="56" t="b">
        <v>1</v>
      </c>
      <c r="O89" s="56" t="b">
        <v>1</v>
      </c>
      <c r="P89" s="56" t="b">
        <v>1</v>
      </c>
      <c r="Q89" s="60" t="s">
        <v>77</v>
      </c>
      <c r="R89" s="60" t="s">
        <v>60</v>
      </c>
      <c r="S89" s="60"/>
      <c r="T89" s="58"/>
    </row>
    <row r="90" outlineLevel="1">
      <c r="A90" s="49" t="s">
        <v>53</v>
      </c>
      <c r="B90" s="50" t="s">
        <v>54</v>
      </c>
      <c r="C90" s="51">
        <v>45749.0</v>
      </c>
      <c r="D90" s="49" t="s">
        <v>237</v>
      </c>
      <c r="E90" s="49" t="s">
        <v>214</v>
      </c>
      <c r="F90" s="52">
        <v>3.35430332E8</v>
      </c>
      <c r="G90" s="49">
        <v>11.0</v>
      </c>
      <c r="H90" s="52" t="s">
        <v>238</v>
      </c>
      <c r="I90" s="49" t="s">
        <v>233</v>
      </c>
      <c r="J90" s="53">
        <v>0.0</v>
      </c>
      <c r="K90" s="54">
        <v>45933.0</v>
      </c>
      <c r="L90" s="53">
        <v>70.0</v>
      </c>
      <c r="M90" s="159"/>
      <c r="N90" s="56" t="b">
        <v>1</v>
      </c>
      <c r="O90" s="56" t="b">
        <v>1</v>
      </c>
      <c r="P90" s="56" t="b">
        <v>1</v>
      </c>
      <c r="Q90" s="66" t="s">
        <v>239</v>
      </c>
      <c r="R90" s="65" t="s">
        <v>240</v>
      </c>
      <c r="S90" s="65">
        <v>3.477306228E9</v>
      </c>
      <c r="T90" s="58"/>
    </row>
    <row r="91" outlineLevel="1">
      <c r="A91" s="49" t="s">
        <v>36</v>
      </c>
      <c r="B91" s="50" t="s">
        <v>37</v>
      </c>
      <c r="C91" s="51">
        <v>45758.0</v>
      </c>
      <c r="D91" s="49" t="s">
        <v>241</v>
      </c>
      <c r="E91" s="49" t="s">
        <v>242</v>
      </c>
      <c r="F91" s="52">
        <v>3.336388468E9</v>
      </c>
      <c r="G91" s="49">
        <v>10.0</v>
      </c>
      <c r="H91" s="49" t="s">
        <v>243</v>
      </c>
      <c r="I91" s="49" t="s">
        <v>244</v>
      </c>
      <c r="J91" s="53">
        <v>25.0</v>
      </c>
      <c r="K91" s="62">
        <v>46165.0</v>
      </c>
      <c r="L91" s="53">
        <v>65.0</v>
      </c>
      <c r="M91" s="159" t="s">
        <v>127</v>
      </c>
      <c r="N91" s="56" t="b">
        <v>1</v>
      </c>
      <c r="O91" s="56" t="b">
        <v>1</v>
      </c>
      <c r="P91" s="56" t="b">
        <v>1</v>
      </c>
      <c r="Q91" s="60" t="s">
        <v>245</v>
      </c>
      <c r="R91" s="60" t="s">
        <v>246</v>
      </c>
      <c r="S91" s="60">
        <v>3.203047884E9</v>
      </c>
      <c r="T91" s="58" t="s">
        <v>247</v>
      </c>
    </row>
    <row r="92" outlineLevel="1">
      <c r="A92" s="49" t="s">
        <v>45</v>
      </c>
      <c r="B92" s="50" t="s">
        <v>117</v>
      </c>
      <c r="C92" s="51">
        <v>45754.0</v>
      </c>
      <c r="D92" s="49" t="s">
        <v>248</v>
      </c>
      <c r="E92" s="49" t="s">
        <v>249</v>
      </c>
      <c r="F92" s="52">
        <v>3.470852E9</v>
      </c>
      <c r="G92" s="49">
        <v>11.0</v>
      </c>
      <c r="H92" s="49" t="s">
        <v>243</v>
      </c>
      <c r="I92" s="49" t="s">
        <v>244</v>
      </c>
      <c r="J92" s="53">
        <v>0.0</v>
      </c>
      <c r="K92" s="54">
        <v>46120.0</v>
      </c>
      <c r="L92" s="53">
        <v>65.0</v>
      </c>
      <c r="M92" s="159"/>
      <c r="N92" s="56" t="b">
        <v>1</v>
      </c>
      <c r="O92" s="56" t="b">
        <v>1</v>
      </c>
      <c r="P92" s="56" t="b">
        <v>1</v>
      </c>
      <c r="Q92" s="57" t="s">
        <v>250</v>
      </c>
      <c r="R92" s="60" t="s">
        <v>251</v>
      </c>
      <c r="S92" s="60">
        <v>3.476028765E9</v>
      </c>
      <c r="T92" s="58" t="s">
        <v>252</v>
      </c>
    </row>
    <row r="93" outlineLevel="1">
      <c r="A93" s="49" t="s">
        <v>45</v>
      </c>
      <c r="B93" s="50" t="s">
        <v>37</v>
      </c>
      <c r="C93" s="51">
        <v>45755.0</v>
      </c>
      <c r="D93" s="49" t="s">
        <v>97</v>
      </c>
      <c r="E93" s="49" t="s">
        <v>98</v>
      </c>
      <c r="F93" s="49">
        <v>3.343517193E9</v>
      </c>
      <c r="G93" s="49">
        <v>10.0</v>
      </c>
      <c r="H93" s="49" t="s">
        <v>99</v>
      </c>
      <c r="I93" s="49" t="s">
        <v>93</v>
      </c>
      <c r="J93" s="64">
        <v>0.0</v>
      </c>
      <c r="K93" s="68">
        <v>45938.0</v>
      </c>
      <c r="L93" s="64">
        <v>70.0</v>
      </c>
      <c r="M93" s="159"/>
      <c r="N93" s="56" t="b">
        <v>1</v>
      </c>
      <c r="O93" s="56" t="b">
        <v>1</v>
      </c>
      <c r="P93" s="56" t="b">
        <v>1</v>
      </c>
      <c r="Q93" s="57" t="s">
        <v>102</v>
      </c>
      <c r="R93" s="60" t="s">
        <v>103</v>
      </c>
      <c r="S93" s="60">
        <v>3.349275758E9</v>
      </c>
      <c r="T93" s="69" t="s">
        <v>104</v>
      </c>
    </row>
    <row r="94" outlineLevel="1">
      <c r="A94" s="49" t="s">
        <v>45</v>
      </c>
      <c r="B94" s="50" t="s">
        <v>37</v>
      </c>
      <c r="C94" s="51">
        <v>45755.0</v>
      </c>
      <c r="D94" s="49" t="s">
        <v>105</v>
      </c>
      <c r="E94" s="49" t="s">
        <v>106</v>
      </c>
      <c r="F94" s="52">
        <v>3.319851991E9</v>
      </c>
      <c r="G94" s="49">
        <v>7.0</v>
      </c>
      <c r="H94" s="49" t="s">
        <v>107</v>
      </c>
      <c r="I94" s="49" t="s">
        <v>88</v>
      </c>
      <c r="J94" s="53">
        <v>0.0</v>
      </c>
      <c r="K94" s="62">
        <v>46039.0</v>
      </c>
      <c r="L94" s="53">
        <v>70.0</v>
      </c>
      <c r="M94" s="159"/>
      <c r="N94" s="56" t="b">
        <v>1</v>
      </c>
      <c r="O94" s="56" t="b">
        <v>1</v>
      </c>
      <c r="P94" s="56" t="b">
        <v>1</v>
      </c>
      <c r="Q94" s="60" t="s">
        <v>108</v>
      </c>
      <c r="R94" s="65" t="s">
        <v>109</v>
      </c>
      <c r="S94" s="59">
        <v>3.515419041E9</v>
      </c>
      <c r="T94" s="67"/>
    </row>
    <row r="95" outlineLevel="1">
      <c r="A95" s="49" t="s">
        <v>49</v>
      </c>
      <c r="B95" s="50" t="s">
        <v>78</v>
      </c>
      <c r="C95" s="51">
        <v>45755.0</v>
      </c>
      <c r="D95" s="49" t="s">
        <v>253</v>
      </c>
      <c r="E95" s="49" t="s">
        <v>254</v>
      </c>
      <c r="F95" s="52">
        <v>3.386034714E9</v>
      </c>
      <c r="G95" s="49">
        <v>6.0</v>
      </c>
      <c r="H95" s="49" t="s">
        <v>162</v>
      </c>
      <c r="I95" s="49" t="s">
        <v>255</v>
      </c>
      <c r="J95" s="53">
        <v>0.0</v>
      </c>
      <c r="K95" s="54">
        <v>45907.0</v>
      </c>
      <c r="L95" s="53">
        <v>65.0</v>
      </c>
      <c r="M95" s="159" t="s">
        <v>127</v>
      </c>
      <c r="N95" s="56" t="b">
        <v>1</v>
      </c>
      <c r="O95" s="56" t="b">
        <v>1</v>
      </c>
      <c r="P95" s="56" t="b">
        <v>1</v>
      </c>
      <c r="Q95" s="60" t="s">
        <v>256</v>
      </c>
      <c r="R95" s="57"/>
      <c r="S95" s="57"/>
      <c r="T95" s="67"/>
    </row>
    <row r="96" outlineLevel="1">
      <c r="A96" s="49" t="s">
        <v>110</v>
      </c>
      <c r="B96" s="50" t="s">
        <v>111</v>
      </c>
      <c r="C96" s="51">
        <v>45756.0</v>
      </c>
      <c r="D96" s="49" t="s">
        <v>112</v>
      </c>
      <c r="E96" s="49" t="s">
        <v>257</v>
      </c>
      <c r="F96" s="52">
        <v>3.496200511E9</v>
      </c>
      <c r="G96" s="49">
        <v>9.0</v>
      </c>
      <c r="H96" s="49" t="s">
        <v>87</v>
      </c>
      <c r="I96" s="49" t="s">
        <v>93</v>
      </c>
      <c r="J96" s="53">
        <v>0.0</v>
      </c>
      <c r="K96" s="62">
        <v>45926.0</v>
      </c>
      <c r="L96" s="53">
        <v>65.0</v>
      </c>
      <c r="M96" s="159"/>
      <c r="N96" s="56" t="b">
        <v>1</v>
      </c>
      <c r="O96" s="56" t="b">
        <v>1</v>
      </c>
      <c r="P96" s="56" t="b">
        <v>1</v>
      </c>
      <c r="Q96" s="60" t="s">
        <v>114</v>
      </c>
      <c r="R96" s="58" t="s">
        <v>258</v>
      </c>
      <c r="S96" s="58">
        <v>3.389964321E9</v>
      </c>
      <c r="T96" s="67"/>
    </row>
    <row r="97" outlineLevel="1">
      <c r="A97" s="49" t="s">
        <v>36</v>
      </c>
      <c r="B97" s="50" t="s">
        <v>37</v>
      </c>
      <c r="C97" s="51">
        <v>45756.0</v>
      </c>
      <c r="D97" s="49" t="s">
        <v>90</v>
      </c>
      <c r="E97" s="49" t="s">
        <v>91</v>
      </c>
      <c r="F97" s="52">
        <v>3.485299498E9</v>
      </c>
      <c r="G97" s="49">
        <v>10.0</v>
      </c>
      <c r="H97" s="49" t="s">
        <v>92</v>
      </c>
      <c r="I97" s="49" t="s">
        <v>93</v>
      </c>
      <c r="J97" s="53">
        <v>0.0</v>
      </c>
      <c r="K97" s="54">
        <v>45927.0</v>
      </c>
      <c r="L97" s="53">
        <v>60.0</v>
      </c>
      <c r="M97" s="159"/>
      <c r="N97" s="56" t="b">
        <v>1</v>
      </c>
      <c r="O97" s="56" t="b">
        <v>1</v>
      </c>
      <c r="P97" s="56" t="b">
        <v>1</v>
      </c>
      <c r="Q97" s="57" t="s">
        <v>95</v>
      </c>
      <c r="R97" s="60"/>
      <c r="S97" s="60"/>
      <c r="T97" s="67"/>
    </row>
    <row r="98" outlineLevel="1">
      <c r="A98" s="49" t="s">
        <v>45</v>
      </c>
      <c r="B98" s="50" t="s">
        <v>37</v>
      </c>
      <c r="C98" s="51">
        <v>45782.0</v>
      </c>
      <c r="D98" s="49" t="s">
        <v>118</v>
      </c>
      <c r="E98" s="49" t="s">
        <v>119</v>
      </c>
      <c r="F98" s="52">
        <v>3.286513622E9</v>
      </c>
      <c r="G98" s="49">
        <v>9.0</v>
      </c>
      <c r="H98" s="49" t="s">
        <v>87</v>
      </c>
      <c r="I98" s="49" t="s">
        <v>120</v>
      </c>
      <c r="J98" s="53">
        <v>0.0</v>
      </c>
      <c r="K98" s="54">
        <v>46171.0</v>
      </c>
      <c r="L98" s="53">
        <v>80.0</v>
      </c>
      <c r="M98" s="159"/>
      <c r="N98" s="56" t="b">
        <v>1</v>
      </c>
      <c r="O98" s="56" t="b">
        <v>1</v>
      </c>
      <c r="P98" s="56" t="b">
        <v>1</v>
      </c>
      <c r="Q98" s="164" t="s">
        <v>121</v>
      </c>
      <c r="R98" s="84" t="s">
        <v>122</v>
      </c>
      <c r="S98" s="84">
        <v>3.207053206E9</v>
      </c>
      <c r="T98" s="67"/>
    </row>
    <row r="99" outlineLevel="1">
      <c r="A99" s="49" t="s">
        <v>45</v>
      </c>
      <c r="B99" s="50" t="s">
        <v>37</v>
      </c>
      <c r="C99" s="51">
        <v>45782.0</v>
      </c>
      <c r="D99" s="49" t="s">
        <v>118</v>
      </c>
      <c r="E99" s="49" t="s">
        <v>123</v>
      </c>
      <c r="F99" s="52">
        <v>3.286513622E9</v>
      </c>
      <c r="G99" s="49">
        <v>9.0</v>
      </c>
      <c r="H99" s="49" t="s">
        <v>124</v>
      </c>
      <c r="I99" s="49" t="s">
        <v>120</v>
      </c>
      <c r="J99" s="64">
        <v>0.0</v>
      </c>
      <c r="K99" s="54">
        <v>45936.0</v>
      </c>
      <c r="L99" s="53">
        <v>80.0</v>
      </c>
      <c r="M99" s="159"/>
      <c r="N99" s="56" t="b">
        <v>1</v>
      </c>
      <c r="O99" s="56" t="b">
        <v>1</v>
      </c>
      <c r="P99" s="56" t="b">
        <v>1</v>
      </c>
      <c r="Q99" s="84" t="s">
        <v>121</v>
      </c>
      <c r="R99" s="84" t="s">
        <v>122</v>
      </c>
      <c r="S99" s="84">
        <v>3.207053206E9</v>
      </c>
      <c r="T99" s="165"/>
    </row>
    <row r="100" outlineLevel="1">
      <c r="A100" s="49" t="s">
        <v>36</v>
      </c>
      <c r="B100" s="50" t="s">
        <v>37</v>
      </c>
      <c r="C100" s="51">
        <v>45762.0</v>
      </c>
      <c r="D100" s="49" t="s">
        <v>259</v>
      </c>
      <c r="E100" s="49" t="s">
        <v>260</v>
      </c>
      <c r="F100" s="49">
        <v>3.494112527E9</v>
      </c>
      <c r="G100" s="49">
        <v>10.0</v>
      </c>
      <c r="H100" s="49" t="s">
        <v>261</v>
      </c>
      <c r="I100" s="49" t="s">
        <v>132</v>
      </c>
      <c r="J100" s="53">
        <v>25.0</v>
      </c>
      <c r="K100" s="62">
        <v>46126.0</v>
      </c>
      <c r="L100" s="53">
        <v>65.0</v>
      </c>
      <c r="M100" s="159" t="s">
        <v>178</v>
      </c>
      <c r="N100" s="56" t="b">
        <v>1</v>
      </c>
      <c r="O100" s="56" t="b">
        <v>1</v>
      </c>
      <c r="P100" s="56" t="b">
        <v>1</v>
      </c>
      <c r="Q100" s="60" t="s">
        <v>262</v>
      </c>
      <c r="R100" s="60" t="s">
        <v>263</v>
      </c>
      <c r="S100" s="57">
        <v>3.288011864E9</v>
      </c>
      <c r="T100" s="67" t="s">
        <v>264</v>
      </c>
    </row>
    <row r="101" outlineLevel="1">
      <c r="A101" s="49" t="s">
        <v>36</v>
      </c>
      <c r="B101" s="50" t="s">
        <v>37</v>
      </c>
      <c r="C101" s="51">
        <v>45762.0</v>
      </c>
      <c r="D101" s="166" t="s">
        <v>265</v>
      </c>
      <c r="E101" s="166" t="s">
        <v>266</v>
      </c>
      <c r="F101" s="49">
        <v>3.47654645E9</v>
      </c>
      <c r="G101" s="49">
        <v>6.0</v>
      </c>
      <c r="H101" s="52" t="s">
        <v>162</v>
      </c>
      <c r="I101" s="49" t="s">
        <v>255</v>
      </c>
      <c r="J101" s="53">
        <v>25.0</v>
      </c>
      <c r="K101" s="62">
        <v>46126.0</v>
      </c>
      <c r="L101" s="64">
        <v>65.0</v>
      </c>
      <c r="M101" s="159" t="s">
        <v>94</v>
      </c>
      <c r="N101" s="56" t="b">
        <v>1</v>
      </c>
      <c r="O101" s="56" t="b">
        <v>1</v>
      </c>
      <c r="P101" s="56" t="b">
        <v>1</v>
      </c>
      <c r="Q101" s="60" t="s">
        <v>267</v>
      </c>
      <c r="R101" s="61"/>
      <c r="S101" s="60"/>
      <c r="T101" s="71"/>
    </row>
    <row r="102" outlineLevel="1">
      <c r="A102" s="49" t="s">
        <v>110</v>
      </c>
      <c r="B102" s="50" t="s">
        <v>37</v>
      </c>
      <c r="C102" s="51">
        <v>45757.0</v>
      </c>
      <c r="D102" s="49" t="s">
        <v>268</v>
      </c>
      <c r="E102" s="49" t="s">
        <v>269</v>
      </c>
      <c r="F102" s="49">
        <v>3.479702038E9</v>
      </c>
      <c r="G102" s="49">
        <v>9.0</v>
      </c>
      <c r="H102" s="49" t="s">
        <v>92</v>
      </c>
      <c r="I102" s="49" t="s">
        <v>270</v>
      </c>
      <c r="J102" s="53">
        <v>25.0</v>
      </c>
      <c r="K102" s="54">
        <v>46121.0</v>
      </c>
      <c r="L102" s="53">
        <v>45.0</v>
      </c>
      <c r="M102" s="159"/>
      <c r="N102" s="56" t="b">
        <v>1</v>
      </c>
      <c r="O102" s="56" t="b">
        <v>1</v>
      </c>
      <c r="P102" s="56" t="b">
        <v>1</v>
      </c>
      <c r="Q102" s="60" t="s">
        <v>271</v>
      </c>
      <c r="R102" s="60" t="s">
        <v>272</v>
      </c>
      <c r="S102" s="58">
        <v>3.716155664E9</v>
      </c>
      <c r="T102" s="60" t="s">
        <v>273</v>
      </c>
    </row>
    <row r="103" outlineLevel="1">
      <c r="A103" s="49" t="s">
        <v>110</v>
      </c>
      <c r="B103" s="50" t="s">
        <v>111</v>
      </c>
      <c r="C103" s="51">
        <v>45762.0</v>
      </c>
      <c r="D103" s="49" t="s">
        <v>274</v>
      </c>
      <c r="E103" s="49" t="s">
        <v>47</v>
      </c>
      <c r="F103" s="52">
        <v>3.288011864E9</v>
      </c>
      <c r="G103" s="49">
        <v>9.0</v>
      </c>
      <c r="H103" s="49" t="s">
        <v>261</v>
      </c>
      <c r="I103" s="49" t="s">
        <v>132</v>
      </c>
      <c r="J103" s="64">
        <v>0.0</v>
      </c>
      <c r="K103" s="54">
        <v>6702306.0</v>
      </c>
      <c r="L103" s="64">
        <v>60.0</v>
      </c>
      <c r="M103" s="159" t="s">
        <v>101</v>
      </c>
      <c r="N103" s="56" t="b">
        <v>1</v>
      </c>
      <c r="O103" s="56" t="b">
        <v>1</v>
      </c>
      <c r="P103" s="56" t="b">
        <v>1</v>
      </c>
      <c r="Q103" s="60" t="s">
        <v>133</v>
      </c>
      <c r="R103" s="58" t="s">
        <v>275</v>
      </c>
      <c r="S103" s="58"/>
      <c r="T103" s="60" t="s">
        <v>276</v>
      </c>
    </row>
    <row r="104" outlineLevel="1">
      <c r="A104" s="49" t="s">
        <v>49</v>
      </c>
      <c r="B104" s="50" t="s">
        <v>37</v>
      </c>
      <c r="C104" s="51">
        <v>45762.0</v>
      </c>
      <c r="D104" s="49" t="s">
        <v>135</v>
      </c>
      <c r="E104" s="49" t="s">
        <v>136</v>
      </c>
      <c r="F104" s="52">
        <v>3.473685878E9</v>
      </c>
      <c r="G104" s="49">
        <v>7.0</v>
      </c>
      <c r="H104" s="49"/>
      <c r="I104" s="49"/>
      <c r="J104" s="53">
        <v>0.0</v>
      </c>
      <c r="K104" s="54">
        <v>46123.0</v>
      </c>
      <c r="L104" s="53">
        <v>55.0</v>
      </c>
      <c r="M104" s="159"/>
      <c r="N104" s="56" t="b">
        <v>1</v>
      </c>
      <c r="O104" s="56" t="b">
        <v>1</v>
      </c>
      <c r="P104" s="56" t="b">
        <v>0</v>
      </c>
      <c r="Q104" s="57" t="s">
        <v>137</v>
      </c>
      <c r="R104" s="60"/>
      <c r="S104" s="58"/>
      <c r="T104" s="67"/>
    </row>
    <row r="105" outlineLevel="1">
      <c r="A105" s="49" t="s">
        <v>49</v>
      </c>
      <c r="B105" s="50" t="s">
        <v>37</v>
      </c>
      <c r="C105" s="51">
        <v>45762.0</v>
      </c>
      <c r="D105" s="49" t="s">
        <v>139</v>
      </c>
      <c r="E105" s="49" t="s">
        <v>140</v>
      </c>
      <c r="F105" s="167">
        <v>3.384272229E9</v>
      </c>
      <c r="G105" s="49">
        <v>6.0</v>
      </c>
      <c r="H105" s="49">
        <v>1.0</v>
      </c>
      <c r="I105" s="49" t="s">
        <v>141</v>
      </c>
      <c r="J105" s="53">
        <v>0.0</v>
      </c>
      <c r="K105" s="62">
        <v>46126.0</v>
      </c>
      <c r="L105" s="53">
        <v>50.0</v>
      </c>
      <c r="M105" s="159"/>
      <c r="N105" s="56" t="b">
        <v>1</v>
      </c>
      <c r="O105" s="56" t="b">
        <v>1</v>
      </c>
      <c r="P105" s="56" t="b">
        <v>1</v>
      </c>
      <c r="Q105" s="60" t="s">
        <v>143</v>
      </c>
      <c r="R105" s="60" t="s">
        <v>144</v>
      </c>
      <c r="S105" s="58" t="s">
        <v>145</v>
      </c>
      <c r="T105" s="58"/>
    </row>
    <row r="106" outlineLevel="1">
      <c r="A106" s="49" t="s">
        <v>36</v>
      </c>
      <c r="B106" s="50" t="s">
        <v>37</v>
      </c>
      <c r="C106" s="51">
        <v>45775.0</v>
      </c>
      <c r="D106" s="49" t="s">
        <v>277</v>
      </c>
      <c r="E106" s="49" t="s">
        <v>278</v>
      </c>
      <c r="F106" s="52">
        <v>3.474852332E9</v>
      </c>
      <c r="G106" s="49">
        <v>7.0</v>
      </c>
      <c r="H106" s="49" t="s">
        <v>157</v>
      </c>
      <c r="I106" s="49" t="s">
        <v>279</v>
      </c>
      <c r="J106" s="53">
        <v>25.0</v>
      </c>
      <c r="K106" s="68">
        <v>46187.0</v>
      </c>
      <c r="L106" s="53">
        <v>65.0</v>
      </c>
      <c r="M106" s="159" t="s">
        <v>178</v>
      </c>
      <c r="N106" s="56" t="b">
        <v>1</v>
      </c>
      <c r="O106" s="56" t="b">
        <v>1</v>
      </c>
      <c r="P106" s="56" t="b">
        <v>1</v>
      </c>
      <c r="Q106" s="57" t="s">
        <v>280</v>
      </c>
      <c r="R106" s="60" t="s">
        <v>281</v>
      </c>
      <c r="S106" s="60">
        <v>3.47244141E9</v>
      </c>
      <c r="T106" s="58" t="s">
        <v>282</v>
      </c>
    </row>
    <row r="107" outlineLevel="1">
      <c r="A107" s="49" t="s">
        <v>36</v>
      </c>
      <c r="B107" s="50" t="s">
        <v>37</v>
      </c>
      <c r="C107" s="51">
        <v>45769.0</v>
      </c>
      <c r="D107" s="168" t="s">
        <v>283</v>
      </c>
      <c r="E107" s="49" t="s">
        <v>284</v>
      </c>
      <c r="F107" s="49" t="s">
        <v>285</v>
      </c>
      <c r="G107" s="49">
        <v>8.0</v>
      </c>
      <c r="H107" s="49" t="s">
        <v>286</v>
      </c>
      <c r="I107" s="52" t="s">
        <v>287</v>
      </c>
      <c r="J107" s="53">
        <v>25.0</v>
      </c>
      <c r="K107" s="62">
        <v>46081.0</v>
      </c>
      <c r="L107" s="53">
        <v>65.0</v>
      </c>
      <c r="M107" s="159" t="s">
        <v>178</v>
      </c>
      <c r="N107" s="56" t="b">
        <v>1</v>
      </c>
      <c r="O107" s="56" t="b">
        <v>1</v>
      </c>
      <c r="P107" s="56" t="b">
        <v>1</v>
      </c>
      <c r="Q107" s="57" t="s">
        <v>280</v>
      </c>
      <c r="R107" s="58" t="s">
        <v>288</v>
      </c>
      <c r="S107" s="58">
        <v>3.47244141E9</v>
      </c>
      <c r="T107" s="60" t="s">
        <v>289</v>
      </c>
    </row>
    <row r="108" outlineLevel="1">
      <c r="A108" s="49" t="s">
        <v>36</v>
      </c>
      <c r="B108" s="50" t="s">
        <v>37</v>
      </c>
      <c r="C108" s="51">
        <v>45770.0</v>
      </c>
      <c r="D108" s="49" t="s">
        <v>290</v>
      </c>
      <c r="E108" s="49" t="s">
        <v>291</v>
      </c>
      <c r="F108" s="49" t="s">
        <v>292</v>
      </c>
      <c r="G108" s="49">
        <v>11.0</v>
      </c>
      <c r="H108" s="49" t="s">
        <v>293</v>
      </c>
      <c r="I108" s="49" t="s">
        <v>294</v>
      </c>
      <c r="J108" s="53">
        <v>25.0</v>
      </c>
      <c r="K108" s="54">
        <v>46130.0</v>
      </c>
      <c r="L108" s="53">
        <v>65.0</v>
      </c>
      <c r="M108" s="159" t="s">
        <v>178</v>
      </c>
      <c r="N108" s="56" t="b">
        <v>1</v>
      </c>
      <c r="O108" s="56" t="b">
        <v>1</v>
      </c>
      <c r="P108" s="56" t="b">
        <v>1</v>
      </c>
      <c r="Q108" s="60" t="s">
        <v>295</v>
      </c>
      <c r="R108" s="60" t="s">
        <v>296</v>
      </c>
      <c r="S108" s="58">
        <v>3.398449477E9</v>
      </c>
      <c r="T108" s="72" t="s">
        <v>297</v>
      </c>
    </row>
    <row r="109" outlineLevel="1">
      <c r="A109" s="49" t="s">
        <v>36</v>
      </c>
      <c r="B109" s="50" t="s">
        <v>147</v>
      </c>
      <c r="C109" s="51">
        <v>45765.0</v>
      </c>
      <c r="D109" s="49" t="s">
        <v>148</v>
      </c>
      <c r="E109" s="49" t="s">
        <v>86</v>
      </c>
      <c r="F109" s="49">
        <v>3.34266125E9</v>
      </c>
      <c r="G109" s="49">
        <v>11.0</v>
      </c>
      <c r="H109" s="49" t="s">
        <v>131</v>
      </c>
      <c r="I109" s="49" t="s">
        <v>149</v>
      </c>
      <c r="J109" s="53">
        <v>0.0</v>
      </c>
      <c r="K109" s="62">
        <v>46161.0</v>
      </c>
      <c r="L109" s="53">
        <v>65.0</v>
      </c>
      <c r="M109" s="159"/>
      <c r="N109" s="56" t="b">
        <v>1</v>
      </c>
      <c r="O109" s="56" t="b">
        <v>1</v>
      </c>
      <c r="P109" s="56" t="b">
        <v>1</v>
      </c>
      <c r="Q109" s="60" t="s">
        <v>150</v>
      </c>
      <c r="R109" s="60" t="s">
        <v>60</v>
      </c>
      <c r="S109" s="76"/>
      <c r="T109" s="60" t="s">
        <v>134</v>
      </c>
    </row>
    <row r="110" outlineLevel="1">
      <c r="A110" s="49" t="s">
        <v>36</v>
      </c>
      <c r="B110" s="50" t="s">
        <v>37</v>
      </c>
      <c r="C110" s="51">
        <v>45769.0</v>
      </c>
      <c r="D110" s="49" t="s">
        <v>151</v>
      </c>
      <c r="E110" s="49" t="s">
        <v>140</v>
      </c>
      <c r="F110" s="49">
        <v>3.338026678E9</v>
      </c>
      <c r="G110" s="49">
        <v>9.0</v>
      </c>
      <c r="H110" s="49" t="s">
        <v>87</v>
      </c>
      <c r="I110" s="49" t="s">
        <v>93</v>
      </c>
      <c r="J110" s="53">
        <v>0.0</v>
      </c>
      <c r="K110" s="54">
        <v>46075.0</v>
      </c>
      <c r="L110" s="53">
        <v>60.0</v>
      </c>
      <c r="M110" s="159"/>
      <c r="N110" s="56" t="b">
        <v>1</v>
      </c>
      <c r="O110" s="56" t="b">
        <v>1</v>
      </c>
      <c r="P110" s="56" t="b">
        <v>1</v>
      </c>
      <c r="Q110" s="60" t="s">
        <v>152</v>
      </c>
      <c r="R110" s="60" t="s">
        <v>298</v>
      </c>
      <c r="S110" s="60">
        <v>3.85993247445E11</v>
      </c>
      <c r="T110" s="71"/>
    </row>
    <row r="111" outlineLevel="1">
      <c r="A111" s="49" t="s">
        <v>53</v>
      </c>
      <c r="B111" s="50" t="s">
        <v>37</v>
      </c>
      <c r="C111" s="51">
        <v>45768.0</v>
      </c>
      <c r="D111" s="49" t="s">
        <v>155</v>
      </c>
      <c r="E111" s="49" t="s">
        <v>156</v>
      </c>
      <c r="F111" s="77">
        <v>3.446218084E9</v>
      </c>
      <c r="G111" s="49">
        <v>6.0</v>
      </c>
      <c r="H111" s="49" t="s">
        <v>157</v>
      </c>
      <c r="I111" s="49" t="s">
        <v>158</v>
      </c>
      <c r="J111" s="53">
        <v>0.0</v>
      </c>
      <c r="K111" s="62">
        <v>45768.0</v>
      </c>
      <c r="L111" s="53">
        <v>60.0</v>
      </c>
      <c r="M111" s="159"/>
      <c r="N111" s="56" t="b">
        <v>1</v>
      </c>
      <c r="O111" s="56" t="b">
        <v>1</v>
      </c>
      <c r="P111" s="56" t="b">
        <v>1</v>
      </c>
      <c r="Q111" s="60" t="s">
        <v>159</v>
      </c>
      <c r="R111" s="61"/>
      <c r="S111" s="61"/>
      <c r="T111" s="60"/>
    </row>
    <row r="112" outlineLevel="1">
      <c r="A112" s="49" t="s">
        <v>110</v>
      </c>
      <c r="B112" s="50" t="s">
        <v>111</v>
      </c>
      <c r="C112" s="51">
        <v>45770.0</v>
      </c>
      <c r="D112" s="49" t="s">
        <v>299</v>
      </c>
      <c r="E112" s="49" t="s">
        <v>161</v>
      </c>
      <c r="F112" s="49">
        <v>3.28971505E9</v>
      </c>
      <c r="G112" s="49">
        <v>7.0</v>
      </c>
      <c r="H112" s="49" t="s">
        <v>107</v>
      </c>
      <c r="I112" s="49" t="s">
        <v>163</v>
      </c>
      <c r="J112" s="53">
        <v>0.0</v>
      </c>
      <c r="K112" s="62">
        <v>45990.0</v>
      </c>
      <c r="L112" s="53">
        <v>60.0</v>
      </c>
      <c r="M112" s="159"/>
      <c r="N112" s="56" t="b">
        <v>1</v>
      </c>
      <c r="O112" s="56" t="b">
        <v>1</v>
      </c>
      <c r="P112" s="56" t="b">
        <v>1</v>
      </c>
      <c r="Q112" s="60" t="s">
        <v>164</v>
      </c>
      <c r="R112" s="60" t="s">
        <v>300</v>
      </c>
      <c r="S112" s="58">
        <v>3.271648181E9</v>
      </c>
      <c r="T112" s="60"/>
    </row>
    <row r="113" outlineLevel="1">
      <c r="A113" s="49" t="s">
        <v>36</v>
      </c>
      <c r="B113" s="50" t="s">
        <v>37</v>
      </c>
      <c r="C113" s="51">
        <v>45779.0</v>
      </c>
      <c r="D113" s="49" t="s">
        <v>166</v>
      </c>
      <c r="E113" s="49" t="s">
        <v>167</v>
      </c>
      <c r="F113" s="49">
        <v>3.4711933E9</v>
      </c>
      <c r="G113" s="49"/>
      <c r="H113" s="49"/>
      <c r="I113" s="49"/>
      <c r="J113" s="53">
        <v>0.0</v>
      </c>
      <c r="K113" s="62">
        <v>45953.0</v>
      </c>
      <c r="L113" s="53">
        <v>65.0</v>
      </c>
      <c r="M113" s="159"/>
      <c r="N113" s="56" t="b">
        <v>1</v>
      </c>
      <c r="O113" s="56" t="b">
        <v>1</v>
      </c>
      <c r="P113" s="56" t="b">
        <v>0</v>
      </c>
      <c r="Q113" s="57" t="s">
        <v>168</v>
      </c>
      <c r="R113" s="60"/>
      <c r="S113" s="60"/>
      <c r="T113" s="60"/>
    </row>
    <row r="114" outlineLevel="1">
      <c r="A114" s="49" t="s">
        <v>36</v>
      </c>
      <c r="B114" s="50" t="s">
        <v>37</v>
      </c>
      <c r="C114" s="51">
        <v>45779.0</v>
      </c>
      <c r="D114" s="49" t="s">
        <v>166</v>
      </c>
      <c r="E114" s="49" t="s">
        <v>169</v>
      </c>
      <c r="F114" s="86">
        <v>3.4711933E9</v>
      </c>
      <c r="G114" s="49"/>
      <c r="H114" s="49"/>
      <c r="I114" s="52"/>
      <c r="J114" s="53">
        <v>0.0</v>
      </c>
      <c r="K114" s="54">
        <v>45953.0</v>
      </c>
      <c r="L114" s="53">
        <v>65.0</v>
      </c>
      <c r="M114" s="159"/>
      <c r="N114" s="56" t="b">
        <v>1</v>
      </c>
      <c r="O114" s="56" t="b">
        <v>1</v>
      </c>
      <c r="P114" s="56" t="b">
        <v>0</v>
      </c>
      <c r="Q114" s="57" t="s">
        <v>168</v>
      </c>
      <c r="R114" s="60"/>
      <c r="S114" s="60"/>
      <c r="T114" s="71"/>
    </row>
    <row r="115" outlineLevel="1">
      <c r="A115" s="49" t="s">
        <v>53</v>
      </c>
      <c r="B115" s="50" t="s">
        <v>37</v>
      </c>
      <c r="C115" s="51">
        <v>45776.0</v>
      </c>
      <c r="D115" s="49" t="s">
        <v>301</v>
      </c>
      <c r="E115" s="49" t="s">
        <v>302</v>
      </c>
      <c r="F115" s="86">
        <v>3.473891154E9</v>
      </c>
      <c r="G115" s="49">
        <v>8.0</v>
      </c>
      <c r="H115" s="52" t="s">
        <v>303</v>
      </c>
      <c r="I115" s="52" t="s">
        <v>304</v>
      </c>
      <c r="J115" s="53">
        <v>25.0</v>
      </c>
      <c r="K115" s="54">
        <v>46140.0</v>
      </c>
      <c r="L115" s="64">
        <v>65.0</v>
      </c>
      <c r="M115" s="159" t="s">
        <v>101</v>
      </c>
      <c r="N115" s="75" t="b">
        <v>0</v>
      </c>
      <c r="O115" s="56" t="b">
        <v>1</v>
      </c>
      <c r="P115" s="56" t="b">
        <v>1</v>
      </c>
      <c r="Q115" s="57" t="s">
        <v>305</v>
      </c>
      <c r="R115" s="60" t="s">
        <v>306</v>
      </c>
      <c r="S115" s="60">
        <v>3.47466667E9</v>
      </c>
      <c r="T115" s="71"/>
    </row>
    <row r="116" outlineLevel="1">
      <c r="A116" s="49" t="s">
        <v>110</v>
      </c>
      <c r="B116" s="50" t="s">
        <v>111</v>
      </c>
      <c r="C116" s="51">
        <v>45777.0</v>
      </c>
      <c r="D116" s="49" t="s">
        <v>307</v>
      </c>
      <c r="E116" s="49" t="s">
        <v>308</v>
      </c>
      <c r="F116" s="77">
        <v>3.397568123E9</v>
      </c>
      <c r="G116" s="49">
        <v>8.0</v>
      </c>
      <c r="H116" s="49" t="s">
        <v>309</v>
      </c>
      <c r="I116" s="49" t="s">
        <v>233</v>
      </c>
      <c r="J116" s="53">
        <v>0.0</v>
      </c>
      <c r="K116" s="54">
        <v>45777.0</v>
      </c>
      <c r="L116" s="53">
        <v>65.0</v>
      </c>
      <c r="M116" s="159" t="s">
        <v>101</v>
      </c>
      <c r="N116" s="56" t="b">
        <v>1</v>
      </c>
      <c r="O116" s="56" t="b">
        <v>1</v>
      </c>
      <c r="P116" s="56" t="b">
        <v>1</v>
      </c>
      <c r="Q116" s="87" t="s">
        <v>310</v>
      </c>
      <c r="R116" s="60" t="s">
        <v>311</v>
      </c>
      <c r="S116" s="60">
        <v>3.895511893E9</v>
      </c>
      <c r="T116" s="60" t="s">
        <v>312</v>
      </c>
    </row>
    <row r="117" outlineLevel="1">
      <c r="A117" s="49" t="s">
        <v>49</v>
      </c>
      <c r="B117" s="50" t="s">
        <v>37</v>
      </c>
      <c r="C117" s="51">
        <v>45781.0</v>
      </c>
      <c r="D117" s="49" t="s">
        <v>313</v>
      </c>
      <c r="E117" s="49" t="s">
        <v>314</v>
      </c>
      <c r="F117" s="77">
        <v>3.338736937E9</v>
      </c>
      <c r="G117" s="49"/>
      <c r="H117" s="49"/>
      <c r="I117" s="49"/>
      <c r="J117" s="53">
        <v>25.0</v>
      </c>
      <c r="K117" s="54">
        <v>45781.0</v>
      </c>
      <c r="L117" s="53">
        <v>65.0</v>
      </c>
      <c r="M117" s="159"/>
      <c r="N117" s="56" t="b">
        <v>1</v>
      </c>
      <c r="O117" s="56" t="b">
        <v>0</v>
      </c>
      <c r="P117" s="56" t="b">
        <v>0</v>
      </c>
      <c r="Q117" s="87" t="s">
        <v>315</v>
      </c>
      <c r="R117" s="58"/>
      <c r="S117" s="58"/>
      <c r="T117" s="60"/>
    </row>
    <row r="118" outlineLevel="1">
      <c r="A118" s="49" t="s">
        <v>110</v>
      </c>
      <c r="B118" s="50" t="s">
        <v>111</v>
      </c>
      <c r="C118" s="51">
        <v>45783.0</v>
      </c>
      <c r="D118" s="49" t="s">
        <v>183</v>
      </c>
      <c r="E118" s="49" t="s">
        <v>184</v>
      </c>
      <c r="F118" s="52">
        <v>3.44680224E9</v>
      </c>
      <c r="G118" s="49">
        <v>10.0</v>
      </c>
      <c r="H118" s="49" t="s">
        <v>185</v>
      </c>
      <c r="I118" s="52" t="s">
        <v>185</v>
      </c>
      <c r="J118" s="64">
        <v>25.0</v>
      </c>
      <c r="K118" s="54">
        <v>45783.0</v>
      </c>
      <c r="L118" s="53">
        <v>70.0</v>
      </c>
      <c r="M118" s="159"/>
      <c r="N118" s="75" t="b">
        <v>0</v>
      </c>
      <c r="O118" s="56" t="b">
        <v>1</v>
      </c>
      <c r="P118" s="56" t="b">
        <v>1</v>
      </c>
      <c r="Q118" s="60" t="s">
        <v>186</v>
      </c>
      <c r="R118" s="58" t="s">
        <v>187</v>
      </c>
      <c r="S118" s="58">
        <v>3.44680224E9</v>
      </c>
      <c r="T118" s="60" t="s">
        <v>188</v>
      </c>
    </row>
    <row r="119" outlineLevel="1">
      <c r="A119" s="49" t="s">
        <v>110</v>
      </c>
      <c r="B119" s="50" t="s">
        <v>111</v>
      </c>
      <c r="C119" s="51">
        <v>45783.0</v>
      </c>
      <c r="D119" s="49" t="s">
        <v>189</v>
      </c>
      <c r="E119" s="49" t="s">
        <v>190</v>
      </c>
      <c r="F119" s="52">
        <v>3.44680224E9</v>
      </c>
      <c r="G119" s="49">
        <v>7.0</v>
      </c>
      <c r="H119" s="49" t="s">
        <v>185</v>
      </c>
      <c r="I119" s="49" t="s">
        <v>185</v>
      </c>
      <c r="J119" s="53">
        <v>25.0</v>
      </c>
      <c r="K119" s="54">
        <v>45783.0</v>
      </c>
      <c r="L119" s="53">
        <v>70.0</v>
      </c>
      <c r="M119" s="55"/>
      <c r="N119" s="75" t="b">
        <v>0</v>
      </c>
      <c r="O119" s="56" t="b">
        <v>1</v>
      </c>
      <c r="P119" s="56" t="b">
        <v>1</v>
      </c>
      <c r="Q119" s="57" t="s">
        <v>186</v>
      </c>
      <c r="R119" s="60" t="s">
        <v>187</v>
      </c>
      <c r="S119" s="60">
        <v>3.44680224E9</v>
      </c>
      <c r="T119" s="60" t="s">
        <v>188</v>
      </c>
    </row>
    <row r="120" outlineLevel="1">
      <c r="A120" s="49" t="s">
        <v>110</v>
      </c>
      <c r="B120" s="50" t="s">
        <v>111</v>
      </c>
      <c r="C120" s="51">
        <v>45783.0</v>
      </c>
      <c r="D120" s="49" t="s">
        <v>316</v>
      </c>
      <c r="E120" s="49" t="s">
        <v>191</v>
      </c>
      <c r="F120" s="49">
        <v>3.44680224E9</v>
      </c>
      <c r="G120" s="49">
        <v>10.0</v>
      </c>
      <c r="H120" s="49" t="s">
        <v>185</v>
      </c>
      <c r="I120" s="52" t="s">
        <v>185</v>
      </c>
      <c r="J120" s="53">
        <v>25.0</v>
      </c>
      <c r="K120" s="62">
        <v>45783.0</v>
      </c>
      <c r="L120" s="53">
        <v>70.0</v>
      </c>
      <c r="M120" s="82"/>
      <c r="N120" s="75" t="b">
        <v>0</v>
      </c>
      <c r="O120" s="56" t="b">
        <v>1</v>
      </c>
      <c r="P120" s="56" t="b">
        <v>1</v>
      </c>
      <c r="Q120" s="60" t="s">
        <v>186</v>
      </c>
      <c r="R120" s="60" t="s">
        <v>187</v>
      </c>
      <c r="S120" s="60">
        <v>3.44680224E9</v>
      </c>
      <c r="T120" s="60" t="s">
        <v>188</v>
      </c>
    </row>
    <row r="121" outlineLevel="1">
      <c r="A121" s="166" t="s">
        <v>36</v>
      </c>
      <c r="B121" s="50" t="s">
        <v>37</v>
      </c>
      <c r="C121" s="51">
        <v>45789.0</v>
      </c>
      <c r="D121" s="49" t="s">
        <v>317</v>
      </c>
      <c r="E121" s="49" t="s">
        <v>242</v>
      </c>
      <c r="F121" s="49" t="s">
        <v>318</v>
      </c>
      <c r="G121" s="49">
        <v>8.0</v>
      </c>
      <c r="H121" s="49" t="s">
        <v>319</v>
      </c>
      <c r="I121" s="52" t="s">
        <v>320</v>
      </c>
      <c r="J121" s="53">
        <v>25.0</v>
      </c>
      <c r="K121" s="62">
        <v>46153.0</v>
      </c>
      <c r="L121" s="53">
        <v>95.0</v>
      </c>
      <c r="M121" s="55" t="s">
        <v>178</v>
      </c>
      <c r="N121" s="56" t="b">
        <v>1</v>
      </c>
      <c r="O121" s="56" t="b">
        <v>1</v>
      </c>
      <c r="P121" s="56" t="b">
        <v>1</v>
      </c>
      <c r="Q121" s="60" t="s">
        <v>321</v>
      </c>
      <c r="R121" s="60"/>
      <c r="S121" s="60"/>
      <c r="T121" s="71"/>
    </row>
    <row r="122" outlineLevel="1">
      <c r="A122" s="49" t="s">
        <v>45</v>
      </c>
      <c r="B122" s="50" t="s">
        <v>37</v>
      </c>
      <c r="C122" s="51">
        <v>45793.0</v>
      </c>
      <c r="D122" s="49" t="s">
        <v>322</v>
      </c>
      <c r="E122" s="49" t="s">
        <v>323</v>
      </c>
      <c r="F122" s="49" t="s">
        <v>324</v>
      </c>
      <c r="G122" s="49">
        <v>9.0</v>
      </c>
      <c r="H122" s="49" t="s">
        <v>319</v>
      </c>
      <c r="I122" s="52" t="s">
        <v>320</v>
      </c>
      <c r="J122" s="53">
        <v>25.0</v>
      </c>
      <c r="K122" s="62">
        <v>46167.0</v>
      </c>
      <c r="L122" s="53">
        <v>95.0</v>
      </c>
      <c r="M122" s="55" t="s">
        <v>94</v>
      </c>
      <c r="N122" s="56" t="b">
        <v>1</v>
      </c>
      <c r="O122" s="56" t="b">
        <v>1</v>
      </c>
      <c r="P122" s="56" t="b">
        <v>1</v>
      </c>
      <c r="Q122" s="60" t="s">
        <v>325</v>
      </c>
      <c r="R122" s="60" t="s">
        <v>326</v>
      </c>
      <c r="S122" s="60">
        <v>3.925357044E9</v>
      </c>
      <c r="T122" s="71"/>
    </row>
    <row r="123" outlineLevel="1">
      <c r="A123" s="49" t="s">
        <v>36</v>
      </c>
      <c r="B123" s="50" t="s">
        <v>147</v>
      </c>
      <c r="C123" s="51">
        <v>45793.0</v>
      </c>
      <c r="D123" s="49" t="s">
        <v>192</v>
      </c>
      <c r="E123" s="49" t="s">
        <v>193</v>
      </c>
      <c r="F123" s="49" t="s">
        <v>194</v>
      </c>
      <c r="G123" s="49">
        <v>7.0</v>
      </c>
      <c r="H123" s="49" t="s">
        <v>57</v>
      </c>
      <c r="I123" s="49" t="s">
        <v>88</v>
      </c>
      <c r="J123" s="53">
        <v>0.0</v>
      </c>
      <c r="K123" s="62">
        <v>45933.0</v>
      </c>
      <c r="L123" s="53">
        <v>70.0</v>
      </c>
      <c r="M123" s="55"/>
      <c r="N123" s="56" t="b">
        <v>1</v>
      </c>
      <c r="O123" s="56" t="b">
        <v>1</v>
      </c>
      <c r="P123" s="56" t="b">
        <v>1</v>
      </c>
      <c r="Q123" s="60" t="s">
        <v>195</v>
      </c>
      <c r="R123" s="60" t="s">
        <v>187</v>
      </c>
      <c r="S123" s="60"/>
      <c r="T123" s="71"/>
    </row>
    <row r="124" outlineLevel="1">
      <c r="A124" s="49" t="s">
        <v>53</v>
      </c>
      <c r="B124" s="50" t="s">
        <v>54</v>
      </c>
      <c r="C124" s="51">
        <v>45807.0</v>
      </c>
      <c r="D124" s="49" t="s">
        <v>196</v>
      </c>
      <c r="E124" s="49" t="s">
        <v>197</v>
      </c>
      <c r="F124" s="49" t="s">
        <v>198</v>
      </c>
      <c r="G124" s="49">
        <v>8.0</v>
      </c>
      <c r="H124" s="49" t="s">
        <v>64</v>
      </c>
      <c r="I124" s="52"/>
      <c r="J124" s="53"/>
      <c r="K124" s="62">
        <v>45912.0</v>
      </c>
      <c r="L124" s="53">
        <v>70.0</v>
      </c>
      <c r="M124" s="55"/>
      <c r="N124" s="56" t="b">
        <v>1</v>
      </c>
      <c r="O124" s="56" t="b">
        <v>1</v>
      </c>
      <c r="P124" s="56" t="b">
        <v>1</v>
      </c>
      <c r="Q124" s="60" t="s">
        <v>199</v>
      </c>
      <c r="R124" s="60" t="s">
        <v>200</v>
      </c>
      <c r="S124" s="60" t="s">
        <v>201</v>
      </c>
      <c r="T124" s="71"/>
    </row>
    <row r="125" outlineLevel="1">
      <c r="A125" s="49" t="s">
        <v>49</v>
      </c>
      <c r="B125" s="50" t="s">
        <v>78</v>
      </c>
      <c r="C125" s="51">
        <v>45815.0</v>
      </c>
      <c r="D125" s="49" t="s">
        <v>207</v>
      </c>
      <c r="E125" s="49" t="s">
        <v>208</v>
      </c>
      <c r="F125" s="49">
        <v>3.921028476E9</v>
      </c>
      <c r="G125" s="49">
        <v>9.0</v>
      </c>
      <c r="H125" s="49" t="s">
        <v>209</v>
      </c>
      <c r="I125" s="52" t="s">
        <v>210</v>
      </c>
      <c r="J125" s="53">
        <v>0.0</v>
      </c>
      <c r="K125" s="62">
        <v>46191.0</v>
      </c>
      <c r="L125" s="53">
        <v>65.0</v>
      </c>
      <c r="M125" s="55"/>
      <c r="N125" s="56" t="b">
        <v>1</v>
      </c>
      <c r="O125" s="56" t="b">
        <v>1</v>
      </c>
      <c r="P125" s="56" t="b">
        <v>1</v>
      </c>
      <c r="Q125" s="60" t="s">
        <v>211</v>
      </c>
      <c r="R125" s="71"/>
      <c r="S125" s="71"/>
      <c r="T125" s="60" t="s">
        <v>212</v>
      </c>
    </row>
    <row r="126" outlineLevel="1">
      <c r="A126" s="73" t="s">
        <v>49</v>
      </c>
      <c r="B126" s="78" t="s">
        <v>78</v>
      </c>
      <c r="C126" s="79">
        <v>45815.0</v>
      </c>
      <c r="D126" s="73" t="s">
        <v>207</v>
      </c>
      <c r="E126" s="73" t="s">
        <v>327</v>
      </c>
      <c r="F126" s="73">
        <v>3.921028476E9</v>
      </c>
      <c r="G126" s="73">
        <v>8.0</v>
      </c>
      <c r="H126" s="49" t="s">
        <v>64</v>
      </c>
      <c r="I126" s="52" t="s">
        <v>210</v>
      </c>
      <c r="J126" s="53">
        <v>25.0</v>
      </c>
      <c r="K126" s="81">
        <v>46179.0</v>
      </c>
      <c r="L126" s="53">
        <v>75.0</v>
      </c>
      <c r="M126" s="82" t="s">
        <v>178</v>
      </c>
      <c r="N126" s="56" t="b">
        <v>0</v>
      </c>
      <c r="O126" s="83" t="b">
        <v>1</v>
      </c>
      <c r="P126" s="56" t="b">
        <v>1</v>
      </c>
      <c r="Q126" s="84" t="s">
        <v>211</v>
      </c>
      <c r="R126" s="84"/>
      <c r="S126" s="84"/>
      <c r="T126" s="71" t="s">
        <v>212</v>
      </c>
    </row>
    <row r="127" outlineLevel="1">
      <c r="A127" s="49" t="s">
        <v>49</v>
      </c>
      <c r="B127" s="50" t="s">
        <v>37</v>
      </c>
      <c r="C127" s="51">
        <v>45815.0</v>
      </c>
      <c r="D127" s="49" t="s">
        <v>213</v>
      </c>
      <c r="E127" s="49" t="s">
        <v>214</v>
      </c>
      <c r="F127" s="49">
        <v>3.429984655E9</v>
      </c>
      <c r="G127" s="49">
        <v>10.0</v>
      </c>
      <c r="H127" s="49" t="s">
        <v>99</v>
      </c>
      <c r="I127" s="52" t="s">
        <v>93</v>
      </c>
      <c r="J127" s="53">
        <v>0.0</v>
      </c>
      <c r="K127" s="62">
        <v>45952.0</v>
      </c>
      <c r="L127" s="53">
        <v>75.0</v>
      </c>
      <c r="M127" s="55"/>
      <c r="N127" s="56" t="b">
        <v>1</v>
      </c>
      <c r="O127" s="56" t="b">
        <v>1</v>
      </c>
      <c r="P127" s="56" t="b">
        <v>1</v>
      </c>
      <c r="Q127" s="60" t="s">
        <v>215</v>
      </c>
      <c r="R127" s="60" t="s">
        <v>216</v>
      </c>
      <c r="S127" s="60"/>
      <c r="T127" s="71"/>
    </row>
    <row r="128" outlineLevel="1">
      <c r="A128" s="49" t="s">
        <v>49</v>
      </c>
      <c r="B128" s="50" t="s">
        <v>37</v>
      </c>
      <c r="C128" s="51">
        <v>45816.0</v>
      </c>
      <c r="D128" s="49" t="s">
        <v>217</v>
      </c>
      <c r="E128" s="49" t="s">
        <v>218</v>
      </c>
      <c r="F128" s="49">
        <v>3.494909989E9</v>
      </c>
      <c r="G128" s="49">
        <v>7.0</v>
      </c>
      <c r="H128" s="49" t="s">
        <v>64</v>
      </c>
      <c r="I128" s="52" t="s">
        <v>93</v>
      </c>
      <c r="J128" s="53">
        <v>0.0</v>
      </c>
      <c r="K128" s="62">
        <v>46180.0</v>
      </c>
      <c r="L128" s="53">
        <v>80.0</v>
      </c>
      <c r="M128" s="55"/>
      <c r="N128" s="56" t="b">
        <v>0</v>
      </c>
      <c r="O128" s="56" t="b">
        <v>1</v>
      </c>
      <c r="P128" s="56" t="b">
        <v>1</v>
      </c>
      <c r="Q128" s="60" t="s">
        <v>219</v>
      </c>
      <c r="R128" s="60" t="s">
        <v>328</v>
      </c>
      <c r="S128" s="60"/>
      <c r="T128" s="60"/>
    </row>
    <row r="129" outlineLevel="1">
      <c r="A129" s="49" t="s">
        <v>45</v>
      </c>
      <c r="B129" s="50" t="s">
        <v>117</v>
      </c>
      <c r="C129" s="51">
        <v>45817.0</v>
      </c>
      <c r="D129" s="49" t="s">
        <v>329</v>
      </c>
      <c r="E129" s="49" t="s">
        <v>330</v>
      </c>
      <c r="F129" s="49" t="s">
        <v>331</v>
      </c>
      <c r="G129" s="49">
        <v>12.0</v>
      </c>
      <c r="H129" s="49" t="s">
        <v>332</v>
      </c>
      <c r="I129" s="52" t="s">
        <v>333</v>
      </c>
      <c r="J129" s="53">
        <v>25.0</v>
      </c>
      <c r="K129" s="62">
        <v>46181.0</v>
      </c>
      <c r="L129" s="53">
        <v>95.0</v>
      </c>
      <c r="M129" s="55" t="s">
        <v>94</v>
      </c>
      <c r="N129" s="56" t="b">
        <v>1</v>
      </c>
      <c r="O129" s="56" t="b">
        <v>1</v>
      </c>
      <c r="P129" s="56" t="b">
        <v>1</v>
      </c>
      <c r="Q129" s="60" t="s">
        <v>334</v>
      </c>
      <c r="R129" s="60" t="s">
        <v>335</v>
      </c>
      <c r="S129" s="60"/>
      <c r="T129" s="71"/>
    </row>
    <row r="130" outlineLevel="1">
      <c r="A130" s="49" t="s">
        <v>36</v>
      </c>
      <c r="B130" s="50" t="s">
        <v>147</v>
      </c>
      <c r="C130" s="51">
        <v>45819.0</v>
      </c>
      <c r="D130" s="49" t="s">
        <v>336</v>
      </c>
      <c r="E130" s="49" t="s">
        <v>337</v>
      </c>
      <c r="F130" s="49" t="s">
        <v>338</v>
      </c>
      <c r="G130" s="49">
        <v>8.0</v>
      </c>
      <c r="H130" s="49" t="s">
        <v>309</v>
      </c>
      <c r="I130" s="52" t="s">
        <v>294</v>
      </c>
      <c r="J130" s="53">
        <v>25.0</v>
      </c>
      <c r="K130" s="62">
        <v>46183.0</v>
      </c>
      <c r="L130" s="53">
        <v>95.0</v>
      </c>
      <c r="M130" s="55" t="s">
        <v>127</v>
      </c>
      <c r="N130" s="56" t="b">
        <v>1</v>
      </c>
      <c r="O130" s="56" t="b">
        <v>1</v>
      </c>
      <c r="P130" s="56" t="b">
        <v>1</v>
      </c>
      <c r="Q130" s="60" t="s">
        <v>339</v>
      </c>
      <c r="R130" s="60"/>
      <c r="S130" s="60"/>
      <c r="T130" s="71"/>
    </row>
    <row r="131" outlineLevel="1">
      <c r="A131" s="73" t="s">
        <v>45</v>
      </c>
      <c r="B131" s="78" t="s">
        <v>117</v>
      </c>
      <c r="C131" s="79">
        <v>45811.0</v>
      </c>
      <c r="D131" s="73" t="s">
        <v>90</v>
      </c>
      <c r="E131" s="73" t="s">
        <v>340</v>
      </c>
      <c r="F131" s="73">
        <v>3.381337223E9</v>
      </c>
      <c r="G131" s="73">
        <v>9.0</v>
      </c>
      <c r="H131" s="73">
        <v>4.0</v>
      </c>
      <c r="I131" s="73" t="s">
        <v>118</v>
      </c>
      <c r="J131" s="80">
        <v>0.0</v>
      </c>
      <c r="K131" s="81">
        <v>45942.0</v>
      </c>
      <c r="L131" s="80">
        <v>95.0</v>
      </c>
      <c r="M131" s="82" t="s">
        <v>94</v>
      </c>
      <c r="N131" s="83" t="b">
        <v>1</v>
      </c>
      <c r="O131" s="83" t="b">
        <v>1</v>
      </c>
      <c r="P131" s="83" t="b">
        <v>1</v>
      </c>
      <c r="Q131" s="71" t="s">
        <v>341</v>
      </c>
      <c r="R131" s="71" t="s">
        <v>342</v>
      </c>
      <c r="S131" s="71">
        <v>3.38820808E9</v>
      </c>
      <c r="T131" s="71"/>
    </row>
    <row r="132" outlineLevel="1">
      <c r="A132" s="73" t="s">
        <v>49</v>
      </c>
      <c r="B132" s="50" t="s">
        <v>37</v>
      </c>
      <c r="C132" s="79">
        <v>45743.0</v>
      </c>
      <c r="D132" s="89" t="s">
        <v>50</v>
      </c>
      <c r="E132" s="89" t="s">
        <v>51</v>
      </c>
      <c r="F132" s="169">
        <v>3.475476654E9</v>
      </c>
      <c r="G132" s="89">
        <v>11.0</v>
      </c>
      <c r="H132" s="89"/>
      <c r="I132" s="89"/>
      <c r="J132" s="80">
        <v>0.0</v>
      </c>
      <c r="K132" s="170">
        <v>45926.0</v>
      </c>
      <c r="L132" s="80">
        <v>85.0</v>
      </c>
      <c r="M132" s="82"/>
      <c r="N132" s="83" t="b">
        <v>1</v>
      </c>
      <c r="O132" s="83" t="b">
        <v>1</v>
      </c>
      <c r="P132" s="83" t="b">
        <v>0</v>
      </c>
      <c r="Q132" s="171" t="s">
        <v>52</v>
      </c>
      <c r="R132" s="61"/>
      <c r="S132" s="61"/>
      <c r="T132" s="71"/>
    </row>
    <row r="133" outlineLevel="1">
      <c r="A133" s="49" t="s">
        <v>53</v>
      </c>
      <c r="B133" s="50" t="s">
        <v>37</v>
      </c>
      <c r="C133" s="51">
        <v>45823.0</v>
      </c>
      <c r="D133" s="49" t="s">
        <v>343</v>
      </c>
      <c r="E133" s="49" t="s">
        <v>344</v>
      </c>
      <c r="F133" s="90">
        <v>3.275486269E9</v>
      </c>
      <c r="G133" s="49">
        <v>9.0</v>
      </c>
      <c r="H133" s="49" t="s">
        <v>345</v>
      </c>
      <c r="I133" s="49" t="s">
        <v>233</v>
      </c>
      <c r="J133" s="53">
        <v>25.0</v>
      </c>
      <c r="K133" s="62" t="s">
        <v>346</v>
      </c>
      <c r="L133" s="53">
        <v>70.0</v>
      </c>
      <c r="M133" s="55" t="s">
        <v>178</v>
      </c>
      <c r="N133" s="56" t="b">
        <v>0</v>
      </c>
      <c r="O133" s="56" t="b">
        <v>1</v>
      </c>
      <c r="P133" s="56" t="b">
        <v>1</v>
      </c>
      <c r="Q133" s="91" t="s">
        <v>347</v>
      </c>
      <c r="R133" s="60" t="s">
        <v>348</v>
      </c>
      <c r="S133" s="98">
        <v>3.477306228E9</v>
      </c>
      <c r="T133" s="172"/>
    </row>
    <row r="134" outlineLevel="1">
      <c r="A134" s="49"/>
      <c r="B134" s="50"/>
      <c r="C134" s="79"/>
      <c r="D134" s="89"/>
      <c r="E134" s="89"/>
      <c r="F134" s="169"/>
      <c r="G134" s="61"/>
      <c r="H134" s="61"/>
      <c r="I134" s="61"/>
      <c r="J134" s="173"/>
      <c r="K134" s="170"/>
      <c r="L134" s="173"/>
      <c r="M134" s="55"/>
      <c r="N134" s="56" t="b">
        <v>0</v>
      </c>
      <c r="O134" s="56" t="b">
        <v>0</v>
      </c>
      <c r="P134" s="56" t="b">
        <v>0</v>
      </c>
      <c r="Q134" s="171"/>
      <c r="R134" s="71"/>
      <c r="S134" s="95"/>
      <c r="T134" s="61"/>
    </row>
    <row r="135" outlineLevel="1">
      <c r="A135" s="49"/>
      <c r="B135" s="50"/>
      <c r="C135" s="136"/>
      <c r="D135" s="61"/>
      <c r="E135" s="61"/>
      <c r="F135" s="61"/>
      <c r="G135" s="61"/>
      <c r="H135" s="61"/>
      <c r="I135" s="61"/>
      <c r="J135" s="173"/>
      <c r="K135" s="174"/>
      <c r="L135" s="173"/>
      <c r="M135" s="55"/>
      <c r="N135" s="56" t="b">
        <v>0</v>
      </c>
      <c r="O135" s="56" t="b">
        <v>0</v>
      </c>
      <c r="P135" s="56" t="b">
        <v>0</v>
      </c>
      <c r="Q135" s="171"/>
      <c r="R135" s="71"/>
      <c r="S135" s="61"/>
      <c r="T135" s="61"/>
    </row>
    <row r="136" outlineLevel="1">
      <c r="A136" s="49"/>
      <c r="B136" s="50"/>
      <c r="C136" s="136"/>
      <c r="D136" s="61"/>
      <c r="E136" s="61"/>
      <c r="F136" s="169"/>
      <c r="G136" s="61"/>
      <c r="H136" s="61"/>
      <c r="I136" s="61"/>
      <c r="J136" s="173"/>
      <c r="K136" s="170"/>
      <c r="L136" s="173"/>
      <c r="M136" s="55"/>
      <c r="N136" s="56" t="b">
        <v>0</v>
      </c>
      <c r="O136" s="56" t="b">
        <v>0</v>
      </c>
      <c r="P136" s="56" t="b">
        <v>0</v>
      </c>
      <c r="Q136" s="171"/>
      <c r="R136" s="61"/>
      <c r="S136" s="61"/>
      <c r="T136" s="61"/>
    </row>
    <row r="137" outlineLevel="1">
      <c r="A137" s="49"/>
      <c r="B137" s="50"/>
      <c r="C137" s="136"/>
      <c r="D137" s="61"/>
      <c r="E137" s="61"/>
      <c r="F137" s="169"/>
      <c r="G137" s="61"/>
      <c r="H137" s="61"/>
      <c r="I137" s="61"/>
      <c r="J137" s="173"/>
      <c r="K137" s="170"/>
      <c r="L137" s="173"/>
      <c r="M137" s="55"/>
      <c r="N137" s="56" t="b">
        <v>0</v>
      </c>
      <c r="O137" s="56" t="b">
        <v>0</v>
      </c>
      <c r="P137" s="56" t="b">
        <v>0</v>
      </c>
      <c r="Q137" s="171"/>
      <c r="R137" s="71"/>
      <c r="S137" s="71"/>
      <c r="T137" s="61"/>
    </row>
    <row r="138">
      <c r="A138" s="143" t="s">
        <v>222</v>
      </c>
      <c r="B138" s="138">
        <f>COUNTIF(B84:B137, "*")</f>
        <v>50</v>
      </c>
      <c r="C138" s="143" t="s">
        <v>222</v>
      </c>
      <c r="D138" s="140">
        <f>COUNTIF(D84:D137, "*")</f>
        <v>50</v>
      </c>
      <c r="E138" s="141"/>
      <c r="F138" s="141"/>
      <c r="G138" s="175"/>
      <c r="H138" s="175"/>
      <c r="I138" s="143" t="s">
        <v>222</v>
      </c>
      <c r="J138" s="176">
        <f>SUM(J84:J137)</f>
        <v>475</v>
      </c>
      <c r="K138" s="177"/>
      <c r="L138" s="176">
        <f>SUM(L84:L137)</f>
        <v>3475</v>
      </c>
      <c r="M138" s="146">
        <f>COUNTIF(M84:M137, "*")</f>
        <v>17</v>
      </c>
      <c r="N138" s="147">
        <f t="shared" ref="N138:P138" si="2">SUMPRODUCT(--N84:N137)</f>
        <v>43</v>
      </c>
      <c r="O138" s="147">
        <f t="shared" si="2"/>
        <v>49</v>
      </c>
      <c r="P138" s="147">
        <f t="shared" si="2"/>
        <v>44</v>
      </c>
      <c r="Q138" s="178"/>
      <c r="R138" s="178"/>
      <c r="S138" s="178"/>
      <c r="T138" s="175"/>
    </row>
    <row r="139">
      <c r="A139" s="149" t="s">
        <v>223</v>
      </c>
      <c r="B139" s="150">
        <f>COUNTIF(B84:B137, "SEDE*")</f>
        <v>22</v>
      </c>
      <c r="C139" s="151"/>
      <c r="D139" s="152"/>
      <c r="E139" s="153"/>
      <c r="F139" s="154"/>
      <c r="G139" s="153"/>
      <c r="H139" s="153"/>
      <c r="I139" s="151"/>
      <c r="J139" s="155"/>
      <c r="K139" s="156"/>
      <c r="L139" s="155"/>
      <c r="M139" s="155"/>
      <c r="N139" s="155"/>
      <c r="O139" s="152"/>
      <c r="P139" s="152"/>
      <c r="Q139" s="152"/>
      <c r="R139" s="157"/>
      <c r="S139" s="153"/>
      <c r="T139" s="153"/>
    </row>
    <row r="140">
      <c r="A140" s="149" t="s">
        <v>37</v>
      </c>
      <c r="B140" s="150">
        <f>COUNTIF(B84:B137, "ONLINE")</f>
        <v>28</v>
      </c>
      <c r="C140" s="151"/>
      <c r="D140" s="152"/>
      <c r="E140" s="153"/>
      <c r="F140" s="154"/>
      <c r="G140" s="153"/>
      <c r="H140" s="153"/>
      <c r="I140" s="151"/>
      <c r="J140" s="155"/>
      <c r="K140" s="156"/>
      <c r="L140" s="155"/>
      <c r="M140" s="155"/>
      <c r="N140" s="155"/>
      <c r="O140" s="152"/>
      <c r="P140" s="152"/>
      <c r="Q140" s="152"/>
      <c r="R140" s="157"/>
      <c r="S140" s="153"/>
      <c r="T140" s="153"/>
    </row>
    <row r="141">
      <c r="A141" s="179" t="s">
        <v>349</v>
      </c>
    </row>
    <row r="142" outlineLevel="1">
      <c r="A142" s="49" t="s">
        <v>45</v>
      </c>
      <c r="B142" s="50" t="s">
        <v>37</v>
      </c>
      <c r="C142" s="51">
        <v>45736.0</v>
      </c>
      <c r="D142" s="49" t="s">
        <v>46</v>
      </c>
      <c r="E142" s="49" t="s">
        <v>47</v>
      </c>
      <c r="F142" s="52">
        <v>3.470407484E9</v>
      </c>
      <c r="G142" s="49">
        <v>9.0</v>
      </c>
      <c r="H142" s="49"/>
      <c r="I142" s="180" t="s">
        <v>229</v>
      </c>
      <c r="J142" s="53">
        <v>0.0</v>
      </c>
      <c r="K142" s="54">
        <v>46101.0</v>
      </c>
      <c r="L142" s="53">
        <v>65.0</v>
      </c>
      <c r="M142" s="55"/>
      <c r="N142" s="56" t="b">
        <v>0</v>
      </c>
      <c r="O142" s="56" t="b">
        <v>0</v>
      </c>
      <c r="P142" s="56" t="b">
        <v>0</v>
      </c>
      <c r="Q142" s="180" t="s">
        <v>48</v>
      </c>
      <c r="R142" s="181"/>
      <c r="S142" s="77"/>
      <c r="T142" s="182"/>
    </row>
    <row r="143" outlineLevel="1">
      <c r="A143" s="49" t="s">
        <v>49</v>
      </c>
      <c r="B143" s="50" t="s">
        <v>37</v>
      </c>
      <c r="C143" s="51">
        <v>45751.0</v>
      </c>
      <c r="D143" s="49" t="s">
        <v>350</v>
      </c>
      <c r="E143" s="49" t="s">
        <v>86</v>
      </c>
      <c r="F143" s="77">
        <v>3.358125176E9</v>
      </c>
      <c r="G143" s="49">
        <v>9.0</v>
      </c>
      <c r="H143" s="49" t="s">
        <v>87</v>
      </c>
      <c r="I143" s="168" t="s">
        <v>88</v>
      </c>
      <c r="J143" s="53">
        <v>0.0</v>
      </c>
      <c r="K143" s="54">
        <v>45959.0</v>
      </c>
      <c r="L143" s="53">
        <v>64.0</v>
      </c>
      <c r="M143" s="55"/>
      <c r="N143" s="56" t="b">
        <v>1</v>
      </c>
      <c r="O143" s="56" t="b">
        <v>1</v>
      </c>
      <c r="P143" s="56" t="b">
        <v>1</v>
      </c>
      <c r="Q143" s="77" t="s">
        <v>89</v>
      </c>
      <c r="R143" s="77"/>
      <c r="S143" s="77"/>
      <c r="T143" s="49"/>
    </row>
    <row r="144" outlineLevel="1">
      <c r="A144" s="49" t="s">
        <v>110</v>
      </c>
      <c r="B144" s="50" t="s">
        <v>37</v>
      </c>
      <c r="C144" s="51">
        <v>45758.0</v>
      </c>
      <c r="D144" s="49" t="s">
        <v>241</v>
      </c>
      <c r="E144" s="49" t="s">
        <v>242</v>
      </c>
      <c r="F144" s="52">
        <v>3.336388468E9</v>
      </c>
      <c r="G144" s="49">
        <v>10.0</v>
      </c>
      <c r="H144" s="49" t="s">
        <v>243</v>
      </c>
      <c r="I144" s="168" t="s">
        <v>244</v>
      </c>
      <c r="J144" s="64">
        <v>0.0</v>
      </c>
      <c r="K144" s="54">
        <v>46165.0</v>
      </c>
      <c r="L144" s="64">
        <v>60.0</v>
      </c>
      <c r="M144" s="55"/>
      <c r="N144" s="56" t="b">
        <v>1</v>
      </c>
      <c r="O144" s="56" t="b">
        <v>1</v>
      </c>
      <c r="P144" s="56" t="b">
        <v>1</v>
      </c>
      <c r="Q144" s="180" t="s">
        <v>245</v>
      </c>
      <c r="R144" s="168" t="s">
        <v>246</v>
      </c>
      <c r="S144" s="168">
        <v>3.203047884E9</v>
      </c>
      <c r="T144" s="49" t="s">
        <v>247</v>
      </c>
    </row>
    <row r="145" outlineLevel="1">
      <c r="A145" s="49" t="s">
        <v>45</v>
      </c>
      <c r="B145" s="50" t="s">
        <v>117</v>
      </c>
      <c r="C145" s="51">
        <v>45754.0</v>
      </c>
      <c r="D145" s="49" t="s">
        <v>248</v>
      </c>
      <c r="E145" s="49" t="s">
        <v>249</v>
      </c>
      <c r="F145" s="49">
        <v>3.470852E9</v>
      </c>
      <c r="G145" s="49">
        <v>11.0</v>
      </c>
      <c r="H145" s="49" t="s">
        <v>243</v>
      </c>
      <c r="I145" s="168" t="s">
        <v>244</v>
      </c>
      <c r="J145" s="53">
        <v>0.0</v>
      </c>
      <c r="K145" s="54">
        <v>46120.0</v>
      </c>
      <c r="L145" s="53">
        <v>65.0</v>
      </c>
      <c r="M145" s="55"/>
      <c r="N145" s="56" t="b">
        <v>1</v>
      </c>
      <c r="O145" s="56" t="b">
        <v>1</v>
      </c>
      <c r="P145" s="56" t="b">
        <v>1</v>
      </c>
      <c r="Q145" s="168" t="s">
        <v>250</v>
      </c>
      <c r="R145" s="168" t="s">
        <v>251</v>
      </c>
      <c r="S145" s="168">
        <v>3.476028765E9</v>
      </c>
      <c r="T145" s="182" t="s">
        <v>252</v>
      </c>
    </row>
    <row r="146" outlineLevel="1">
      <c r="A146" s="49" t="s">
        <v>49</v>
      </c>
      <c r="B146" s="50" t="s">
        <v>78</v>
      </c>
      <c r="C146" s="183">
        <v>45755.0</v>
      </c>
      <c r="D146" s="182" t="s">
        <v>253</v>
      </c>
      <c r="E146" s="182" t="s">
        <v>254</v>
      </c>
      <c r="F146" s="52">
        <v>3.386034714E9</v>
      </c>
      <c r="G146" s="182">
        <v>6.0</v>
      </c>
      <c r="H146" s="182" t="s">
        <v>162</v>
      </c>
      <c r="I146" s="181" t="s">
        <v>255</v>
      </c>
      <c r="J146" s="184">
        <v>0.0</v>
      </c>
      <c r="K146" s="185">
        <v>45907.0</v>
      </c>
      <c r="L146" s="184">
        <v>60.0</v>
      </c>
      <c r="M146" s="55"/>
      <c r="N146" s="56" t="b">
        <v>1</v>
      </c>
      <c r="O146" s="56" t="b">
        <v>1</v>
      </c>
      <c r="P146" s="56" t="b">
        <v>1</v>
      </c>
      <c r="Q146" s="77" t="s">
        <v>256</v>
      </c>
      <c r="R146" s="181"/>
      <c r="S146" s="181"/>
      <c r="T146" s="181"/>
    </row>
    <row r="147" outlineLevel="1">
      <c r="A147" s="49" t="s">
        <v>36</v>
      </c>
      <c r="B147" s="50" t="s">
        <v>37</v>
      </c>
      <c r="C147" s="183">
        <v>45762.0</v>
      </c>
      <c r="D147" s="49" t="s">
        <v>351</v>
      </c>
      <c r="E147" s="49" t="s">
        <v>352</v>
      </c>
      <c r="F147" s="49">
        <v>3.47654645E9</v>
      </c>
      <c r="G147" s="49">
        <v>6.0</v>
      </c>
      <c r="H147" s="49" t="s">
        <v>162</v>
      </c>
      <c r="I147" s="168" t="s">
        <v>255</v>
      </c>
      <c r="J147" s="53">
        <v>25.0</v>
      </c>
      <c r="K147" s="54">
        <v>46126.0</v>
      </c>
      <c r="L147" s="53">
        <v>60.0</v>
      </c>
      <c r="M147" s="55"/>
      <c r="N147" s="56" t="b">
        <v>1</v>
      </c>
      <c r="O147" s="56" t="b">
        <v>1</v>
      </c>
      <c r="P147" s="56" t="b">
        <v>1</v>
      </c>
      <c r="Q147" s="168" t="s">
        <v>267</v>
      </c>
      <c r="R147" s="168"/>
      <c r="S147" s="168"/>
      <c r="T147" s="49"/>
    </row>
    <row r="148" outlineLevel="1">
      <c r="A148" s="49" t="s">
        <v>49</v>
      </c>
      <c r="B148" s="50" t="s">
        <v>37</v>
      </c>
      <c r="C148" s="186">
        <v>45761.0</v>
      </c>
      <c r="D148" s="168" t="s">
        <v>353</v>
      </c>
      <c r="E148" s="49" t="s">
        <v>354</v>
      </c>
      <c r="F148" s="52">
        <v>3.209250558E9</v>
      </c>
      <c r="G148" s="49">
        <v>8.0</v>
      </c>
      <c r="H148" s="49"/>
      <c r="I148" s="168"/>
      <c r="J148" s="53">
        <v>0.0</v>
      </c>
      <c r="K148" s="54">
        <v>45922.0</v>
      </c>
      <c r="L148" s="53">
        <v>65.0</v>
      </c>
      <c r="M148" s="55" t="s">
        <v>178</v>
      </c>
      <c r="N148" s="56" t="b">
        <v>1</v>
      </c>
      <c r="O148" s="56" t="b">
        <v>1</v>
      </c>
      <c r="P148" s="56" t="b">
        <v>0</v>
      </c>
      <c r="Q148" s="180" t="s">
        <v>355</v>
      </c>
      <c r="R148" s="181" t="s">
        <v>356</v>
      </c>
      <c r="S148" s="180"/>
      <c r="T148" s="187" t="s">
        <v>357</v>
      </c>
    </row>
    <row r="149" outlineLevel="1">
      <c r="A149" s="49" t="s">
        <v>36</v>
      </c>
      <c r="B149" s="50" t="s">
        <v>37</v>
      </c>
      <c r="C149" s="183">
        <v>45769.0</v>
      </c>
      <c r="D149" s="182" t="s">
        <v>358</v>
      </c>
      <c r="E149" s="182" t="s">
        <v>359</v>
      </c>
      <c r="F149" s="52" t="s">
        <v>360</v>
      </c>
      <c r="G149" s="182">
        <v>8.0</v>
      </c>
      <c r="H149" s="182" t="s">
        <v>361</v>
      </c>
      <c r="I149" s="77" t="s">
        <v>362</v>
      </c>
      <c r="J149" s="184">
        <v>25.0</v>
      </c>
      <c r="K149" s="188">
        <v>46133.0</v>
      </c>
      <c r="L149" s="184">
        <v>65.0</v>
      </c>
      <c r="M149" s="55" t="s">
        <v>178</v>
      </c>
      <c r="N149" s="56" t="b">
        <v>1</v>
      </c>
      <c r="O149" s="56" t="b">
        <v>1</v>
      </c>
      <c r="P149" s="56" t="b">
        <v>1</v>
      </c>
      <c r="Q149" s="77" t="s">
        <v>363</v>
      </c>
      <c r="R149" s="181" t="s">
        <v>364</v>
      </c>
      <c r="S149" s="182"/>
      <c r="T149" s="187" t="s">
        <v>365</v>
      </c>
    </row>
    <row r="150" outlineLevel="1">
      <c r="A150" s="49" t="s">
        <v>49</v>
      </c>
      <c r="B150" s="50" t="s">
        <v>37</v>
      </c>
      <c r="C150" s="183">
        <v>45764.0</v>
      </c>
      <c r="D150" s="182" t="s">
        <v>366</v>
      </c>
      <c r="E150" s="182" t="s">
        <v>98</v>
      </c>
      <c r="F150" s="167" t="s">
        <v>367</v>
      </c>
      <c r="G150" s="182">
        <v>8.0</v>
      </c>
      <c r="H150" s="182" t="s">
        <v>368</v>
      </c>
      <c r="I150" s="168" t="s">
        <v>255</v>
      </c>
      <c r="J150" s="53">
        <v>25.0</v>
      </c>
      <c r="K150" s="62">
        <v>46128.0</v>
      </c>
      <c r="L150" s="184">
        <v>65.0</v>
      </c>
      <c r="M150" s="55" t="s">
        <v>178</v>
      </c>
      <c r="N150" s="56" t="b">
        <v>1</v>
      </c>
      <c r="O150" s="56" t="b">
        <v>1</v>
      </c>
      <c r="P150" s="56" t="b">
        <v>1</v>
      </c>
      <c r="Q150" s="77" t="s">
        <v>369</v>
      </c>
      <c r="R150" s="181" t="s">
        <v>356</v>
      </c>
      <c r="S150" s="182"/>
      <c r="T150" s="187" t="s">
        <v>357</v>
      </c>
    </row>
    <row r="151" outlineLevel="1">
      <c r="A151" s="49" t="s">
        <v>36</v>
      </c>
      <c r="B151" s="50" t="s">
        <v>37</v>
      </c>
      <c r="C151" s="183">
        <v>45770.0</v>
      </c>
      <c r="D151" s="182" t="s">
        <v>290</v>
      </c>
      <c r="E151" s="182" t="s">
        <v>291</v>
      </c>
      <c r="F151" s="182" t="s">
        <v>292</v>
      </c>
      <c r="G151" s="182">
        <v>11.0</v>
      </c>
      <c r="H151" s="182" t="s">
        <v>293</v>
      </c>
      <c r="I151" s="181" t="s">
        <v>294</v>
      </c>
      <c r="J151" s="184">
        <v>0.0</v>
      </c>
      <c r="K151" s="185">
        <v>46130.0</v>
      </c>
      <c r="L151" s="184">
        <v>60.0</v>
      </c>
      <c r="M151" s="55"/>
      <c r="N151" s="56" t="b">
        <v>1</v>
      </c>
      <c r="O151" s="56" t="b">
        <v>1</v>
      </c>
      <c r="P151" s="56" t="b">
        <v>1</v>
      </c>
      <c r="Q151" s="181" t="s">
        <v>295</v>
      </c>
      <c r="R151" s="181" t="s">
        <v>296</v>
      </c>
      <c r="S151" s="181">
        <v>3.398449477E9</v>
      </c>
      <c r="T151" s="182" t="s">
        <v>297</v>
      </c>
    </row>
    <row r="152" outlineLevel="1">
      <c r="A152" s="49" t="s">
        <v>36</v>
      </c>
      <c r="B152" s="50" t="s">
        <v>147</v>
      </c>
      <c r="C152" s="51">
        <v>45765.0</v>
      </c>
      <c r="D152" s="49" t="s">
        <v>148</v>
      </c>
      <c r="E152" s="49" t="s">
        <v>86</v>
      </c>
      <c r="F152" s="49">
        <v>3.34266125E9</v>
      </c>
      <c r="G152" s="49">
        <v>11.0</v>
      </c>
      <c r="H152" s="49" t="s">
        <v>131</v>
      </c>
      <c r="I152" s="49" t="s">
        <v>149</v>
      </c>
      <c r="J152" s="53">
        <v>0.0</v>
      </c>
      <c r="K152" s="62">
        <v>46161.0</v>
      </c>
      <c r="L152" s="53">
        <v>60.0</v>
      </c>
      <c r="M152" s="55"/>
      <c r="N152" s="56" t="b">
        <v>1</v>
      </c>
      <c r="O152" s="56" t="b">
        <v>1</v>
      </c>
      <c r="P152" s="56" t="b">
        <v>1</v>
      </c>
      <c r="Q152" s="60" t="s">
        <v>150</v>
      </c>
      <c r="R152" s="60" t="s">
        <v>60</v>
      </c>
      <c r="S152" s="60"/>
      <c r="T152" s="60" t="s">
        <v>134</v>
      </c>
    </row>
    <row r="153" outlineLevel="1">
      <c r="A153" s="49" t="s">
        <v>36</v>
      </c>
      <c r="B153" s="50" t="s">
        <v>37</v>
      </c>
      <c r="C153" s="183">
        <v>45779.0</v>
      </c>
      <c r="D153" s="182" t="s">
        <v>166</v>
      </c>
      <c r="E153" s="182" t="s">
        <v>167</v>
      </c>
      <c r="F153" s="86">
        <v>3.4711933E9</v>
      </c>
      <c r="G153" s="182"/>
      <c r="H153" s="49"/>
      <c r="I153" s="168"/>
      <c r="J153" s="184">
        <v>0.0</v>
      </c>
      <c r="K153" s="188">
        <v>45953.0</v>
      </c>
      <c r="L153" s="184">
        <v>60.0</v>
      </c>
      <c r="M153" s="55"/>
      <c r="N153" s="56" t="b">
        <v>1</v>
      </c>
      <c r="O153" s="56" t="b">
        <v>1</v>
      </c>
      <c r="P153" s="56" t="b">
        <v>0</v>
      </c>
      <c r="Q153" s="77" t="s">
        <v>168</v>
      </c>
      <c r="R153" s="181"/>
      <c r="S153" s="181"/>
      <c r="T153" s="182"/>
    </row>
    <row r="154" outlineLevel="1">
      <c r="A154" s="49" t="s">
        <v>36</v>
      </c>
      <c r="B154" s="50" t="s">
        <v>37</v>
      </c>
      <c r="C154" s="183">
        <v>45779.0</v>
      </c>
      <c r="D154" s="182" t="s">
        <v>166</v>
      </c>
      <c r="E154" s="182" t="s">
        <v>169</v>
      </c>
      <c r="F154" s="182">
        <v>3.4711933E9</v>
      </c>
      <c r="G154" s="182"/>
      <c r="H154" s="182"/>
      <c r="I154" s="181"/>
      <c r="J154" s="184">
        <v>0.0</v>
      </c>
      <c r="K154" s="185">
        <v>45953.0</v>
      </c>
      <c r="L154" s="184">
        <v>60.0</v>
      </c>
      <c r="M154" s="55"/>
      <c r="N154" s="56" t="b">
        <v>1</v>
      </c>
      <c r="O154" s="56" t="b">
        <v>1</v>
      </c>
      <c r="P154" s="56" t="b">
        <v>0</v>
      </c>
      <c r="Q154" s="181" t="s">
        <v>168</v>
      </c>
      <c r="R154" s="181"/>
      <c r="S154" s="181"/>
      <c r="T154" s="189"/>
    </row>
    <row r="155" outlineLevel="1">
      <c r="A155" s="49" t="s">
        <v>49</v>
      </c>
      <c r="B155" s="50" t="s">
        <v>37</v>
      </c>
      <c r="C155" s="183">
        <v>45781.0</v>
      </c>
      <c r="D155" s="182" t="s">
        <v>313</v>
      </c>
      <c r="E155" s="182" t="s">
        <v>314</v>
      </c>
      <c r="F155" s="167">
        <v>3.338736937E9</v>
      </c>
      <c r="G155" s="182"/>
      <c r="H155" s="182"/>
      <c r="I155" s="182"/>
      <c r="J155" s="184">
        <v>0.0</v>
      </c>
      <c r="K155" s="188">
        <v>45781.0</v>
      </c>
      <c r="L155" s="184">
        <v>65.0</v>
      </c>
      <c r="M155" s="55"/>
      <c r="N155" s="56" t="b">
        <v>0</v>
      </c>
      <c r="O155" s="56" t="b">
        <v>0</v>
      </c>
      <c r="P155" s="56" t="b">
        <v>0</v>
      </c>
      <c r="Q155" s="77" t="s">
        <v>315</v>
      </c>
      <c r="R155" s="181"/>
      <c r="S155" s="181"/>
      <c r="T155" s="182"/>
    </row>
    <row r="156" outlineLevel="1">
      <c r="A156" s="49" t="s">
        <v>110</v>
      </c>
      <c r="B156" s="50" t="s">
        <v>111</v>
      </c>
      <c r="C156" s="51">
        <v>45783.0</v>
      </c>
      <c r="D156" s="49" t="s">
        <v>183</v>
      </c>
      <c r="E156" s="49" t="s">
        <v>184</v>
      </c>
      <c r="F156" s="52">
        <v>3.44680224E9</v>
      </c>
      <c r="G156" s="49">
        <v>10.0</v>
      </c>
      <c r="H156" s="182" t="s">
        <v>185</v>
      </c>
      <c r="I156" s="52" t="s">
        <v>185</v>
      </c>
      <c r="J156" s="53">
        <v>25.0</v>
      </c>
      <c r="K156" s="54">
        <v>45783.0</v>
      </c>
      <c r="L156" s="53">
        <v>70.0</v>
      </c>
      <c r="M156" s="55"/>
      <c r="N156" s="56" t="b">
        <v>0</v>
      </c>
      <c r="O156" s="56" t="b">
        <v>1</v>
      </c>
      <c r="P156" s="56" t="b">
        <v>1</v>
      </c>
      <c r="Q156" s="180" t="s">
        <v>186</v>
      </c>
      <c r="R156" s="168" t="s">
        <v>187</v>
      </c>
      <c r="S156" s="168">
        <v>3.44680224E9</v>
      </c>
      <c r="T156" s="168" t="s">
        <v>188</v>
      </c>
    </row>
    <row r="157" outlineLevel="1">
      <c r="A157" s="49" t="s">
        <v>110</v>
      </c>
      <c r="B157" s="50" t="s">
        <v>111</v>
      </c>
      <c r="C157" s="183">
        <v>45783.0</v>
      </c>
      <c r="D157" s="182" t="s">
        <v>189</v>
      </c>
      <c r="E157" s="182" t="s">
        <v>190</v>
      </c>
      <c r="F157" s="167">
        <v>3.44680224E9</v>
      </c>
      <c r="G157" s="182">
        <v>7.0</v>
      </c>
      <c r="H157" s="182" t="s">
        <v>185</v>
      </c>
      <c r="I157" s="182" t="s">
        <v>185</v>
      </c>
      <c r="J157" s="184">
        <v>25.0</v>
      </c>
      <c r="K157" s="188">
        <v>45783.0</v>
      </c>
      <c r="L157" s="184">
        <v>70.0</v>
      </c>
      <c r="M157" s="55"/>
      <c r="N157" s="56" t="b">
        <v>0</v>
      </c>
      <c r="O157" s="56" t="b">
        <v>1</v>
      </c>
      <c r="P157" s="56" t="b">
        <v>1</v>
      </c>
      <c r="Q157" s="77" t="s">
        <v>186</v>
      </c>
      <c r="R157" s="181" t="s">
        <v>187</v>
      </c>
      <c r="S157" s="181">
        <v>3.44680224E9</v>
      </c>
      <c r="T157" s="182" t="s">
        <v>188</v>
      </c>
    </row>
    <row r="158" outlineLevel="1">
      <c r="A158" s="49" t="s">
        <v>110</v>
      </c>
      <c r="B158" s="50" t="s">
        <v>111</v>
      </c>
      <c r="C158" s="51">
        <v>45783.0</v>
      </c>
      <c r="D158" s="49" t="s">
        <v>316</v>
      </c>
      <c r="E158" s="49" t="s">
        <v>191</v>
      </c>
      <c r="F158" s="52">
        <v>3.44680224E9</v>
      </c>
      <c r="G158" s="49">
        <v>10.0</v>
      </c>
      <c r="H158" s="49" t="s">
        <v>185</v>
      </c>
      <c r="I158" s="49" t="s">
        <v>185</v>
      </c>
      <c r="J158" s="53">
        <v>25.0</v>
      </c>
      <c r="K158" s="54">
        <v>45783.0</v>
      </c>
      <c r="L158" s="53">
        <v>50.0</v>
      </c>
      <c r="M158" s="55"/>
      <c r="N158" s="56" t="b">
        <v>0</v>
      </c>
      <c r="O158" s="56" t="b">
        <v>1</v>
      </c>
      <c r="P158" s="56" t="b">
        <v>1</v>
      </c>
      <c r="Q158" s="180" t="s">
        <v>186</v>
      </c>
      <c r="R158" s="168" t="s">
        <v>187</v>
      </c>
      <c r="S158" s="168">
        <v>3.44680224E9</v>
      </c>
      <c r="T158" s="49" t="s">
        <v>188</v>
      </c>
    </row>
    <row r="159" outlineLevel="1">
      <c r="A159" s="73" t="s">
        <v>36</v>
      </c>
      <c r="B159" s="78" t="s">
        <v>147</v>
      </c>
      <c r="C159" s="79">
        <v>45793.0</v>
      </c>
      <c r="D159" s="73" t="s">
        <v>192</v>
      </c>
      <c r="E159" s="73" t="s">
        <v>193</v>
      </c>
      <c r="F159" s="74" t="s">
        <v>194</v>
      </c>
      <c r="G159" s="73">
        <v>7.0</v>
      </c>
      <c r="H159" s="73" t="s">
        <v>57</v>
      </c>
      <c r="I159" s="74" t="s">
        <v>88</v>
      </c>
      <c r="J159" s="190">
        <v>0.0</v>
      </c>
      <c r="K159" s="170">
        <v>45933.0</v>
      </c>
      <c r="L159" s="53">
        <v>65.0</v>
      </c>
      <c r="M159" s="82"/>
      <c r="N159" s="83" t="b">
        <v>1</v>
      </c>
      <c r="O159" s="83" t="b">
        <v>1</v>
      </c>
      <c r="P159" s="83" t="b">
        <v>1</v>
      </c>
      <c r="Q159" s="191" t="s">
        <v>370</v>
      </c>
      <c r="R159" s="191" t="s">
        <v>187</v>
      </c>
      <c r="S159" s="181"/>
      <c r="T159" s="182"/>
    </row>
    <row r="160" outlineLevel="1">
      <c r="A160" s="49" t="s">
        <v>53</v>
      </c>
      <c r="B160" s="50" t="s">
        <v>54</v>
      </c>
      <c r="C160" s="183">
        <v>45807.0</v>
      </c>
      <c r="D160" s="182" t="s">
        <v>196</v>
      </c>
      <c r="E160" s="182" t="s">
        <v>197</v>
      </c>
      <c r="F160" s="192" t="s">
        <v>198</v>
      </c>
      <c r="G160" s="182">
        <v>8.0</v>
      </c>
      <c r="H160" s="182" t="s">
        <v>64</v>
      </c>
      <c r="I160" s="86"/>
      <c r="J160" s="193"/>
      <c r="K160" s="188">
        <v>45912.0</v>
      </c>
      <c r="L160" s="184">
        <v>65.0</v>
      </c>
      <c r="M160" s="55"/>
      <c r="N160" s="56" t="b">
        <v>1</v>
      </c>
      <c r="O160" s="56" t="b">
        <v>1</v>
      </c>
      <c r="P160" s="56" t="b">
        <v>1</v>
      </c>
      <c r="Q160" s="181" t="s">
        <v>199</v>
      </c>
      <c r="R160" s="181" t="s">
        <v>200</v>
      </c>
      <c r="S160" s="182" t="s">
        <v>201</v>
      </c>
      <c r="T160" s="194"/>
    </row>
    <row r="161" outlineLevel="1">
      <c r="A161" s="49" t="s">
        <v>49</v>
      </c>
      <c r="B161" s="50" t="s">
        <v>78</v>
      </c>
      <c r="C161" s="183">
        <v>45813.0</v>
      </c>
      <c r="D161" s="182" t="s">
        <v>371</v>
      </c>
      <c r="E161" s="182" t="s">
        <v>372</v>
      </c>
      <c r="F161" s="182">
        <v>3.479808739E9</v>
      </c>
      <c r="G161" s="182">
        <v>13.0</v>
      </c>
      <c r="H161" s="167" t="s">
        <v>373</v>
      </c>
      <c r="I161" s="167" t="s">
        <v>362</v>
      </c>
      <c r="J161" s="184">
        <v>0.0</v>
      </c>
      <c r="K161" s="185">
        <v>45922.0</v>
      </c>
      <c r="L161" s="193">
        <v>95.0</v>
      </c>
      <c r="M161" s="55" t="s">
        <v>142</v>
      </c>
      <c r="N161" s="56" t="b">
        <v>1</v>
      </c>
      <c r="O161" s="56" t="b">
        <v>1</v>
      </c>
      <c r="P161" s="56" t="b">
        <v>1</v>
      </c>
      <c r="Q161" s="181" t="s">
        <v>374</v>
      </c>
      <c r="R161" s="181"/>
      <c r="S161" s="168">
        <v>3.479808739E9</v>
      </c>
      <c r="T161" s="182" t="s">
        <v>375</v>
      </c>
    </row>
    <row r="162" outlineLevel="1">
      <c r="A162" s="49" t="s">
        <v>49</v>
      </c>
      <c r="B162" s="50" t="s">
        <v>78</v>
      </c>
      <c r="C162" s="183">
        <v>45813.0</v>
      </c>
      <c r="D162" s="182" t="s">
        <v>371</v>
      </c>
      <c r="E162" s="182" t="s">
        <v>56</v>
      </c>
      <c r="F162" s="182">
        <v>3.479808739E9</v>
      </c>
      <c r="G162" s="182">
        <v>11.0</v>
      </c>
      <c r="H162" s="182" t="s">
        <v>376</v>
      </c>
      <c r="I162" s="182" t="s">
        <v>362</v>
      </c>
      <c r="J162" s="193">
        <v>0.0</v>
      </c>
      <c r="K162" s="188">
        <v>45904.0</v>
      </c>
      <c r="L162" s="184">
        <v>95.0</v>
      </c>
      <c r="M162" s="55" t="s">
        <v>142</v>
      </c>
      <c r="N162" s="75" t="b">
        <v>0</v>
      </c>
      <c r="O162" s="56" t="b">
        <v>1</v>
      </c>
      <c r="P162" s="56" t="b">
        <v>1</v>
      </c>
      <c r="Q162" s="181" t="s">
        <v>374</v>
      </c>
      <c r="R162" s="181"/>
      <c r="S162" s="168">
        <v>3.479808739E9</v>
      </c>
      <c r="T162" s="182" t="s">
        <v>375</v>
      </c>
    </row>
    <row r="163" outlineLevel="1">
      <c r="A163" s="49" t="s">
        <v>49</v>
      </c>
      <c r="B163" s="50" t="s">
        <v>78</v>
      </c>
      <c r="C163" s="51">
        <v>45815.0</v>
      </c>
      <c r="D163" s="49" t="s">
        <v>207</v>
      </c>
      <c r="E163" s="49" t="s">
        <v>208</v>
      </c>
      <c r="F163" s="52">
        <v>3.921028476E9</v>
      </c>
      <c r="G163" s="52">
        <v>9.0</v>
      </c>
      <c r="H163" s="52" t="s">
        <v>209</v>
      </c>
      <c r="I163" s="49" t="s">
        <v>210</v>
      </c>
      <c r="J163" s="53">
        <v>0.0</v>
      </c>
      <c r="K163" s="54">
        <v>46191.0</v>
      </c>
      <c r="L163" s="53">
        <v>75.0</v>
      </c>
      <c r="M163" s="55"/>
      <c r="N163" s="56" t="b">
        <v>1</v>
      </c>
      <c r="O163" s="56" t="b">
        <v>1</v>
      </c>
      <c r="P163" s="56" t="b">
        <v>1</v>
      </c>
      <c r="Q163" s="168" t="s">
        <v>211</v>
      </c>
      <c r="R163" s="89"/>
      <c r="S163" s="89"/>
      <c r="T163" s="182" t="s">
        <v>212</v>
      </c>
    </row>
    <row r="164" outlineLevel="1">
      <c r="A164" s="49" t="s">
        <v>49</v>
      </c>
      <c r="B164" s="50" t="s">
        <v>78</v>
      </c>
      <c r="C164" s="183">
        <v>45815.0</v>
      </c>
      <c r="D164" s="182" t="s">
        <v>207</v>
      </c>
      <c r="E164" s="182" t="s">
        <v>327</v>
      </c>
      <c r="F164" s="167">
        <v>3.921028476E9</v>
      </c>
      <c r="G164" s="182">
        <v>8.0</v>
      </c>
      <c r="H164" s="86" t="s">
        <v>64</v>
      </c>
      <c r="I164" s="167" t="s">
        <v>210</v>
      </c>
      <c r="J164" s="184">
        <v>0.0</v>
      </c>
      <c r="K164" s="188">
        <v>46179.0</v>
      </c>
      <c r="L164" s="193">
        <v>80.0</v>
      </c>
      <c r="M164" s="55"/>
      <c r="N164" s="56" t="b">
        <v>1</v>
      </c>
      <c r="O164" s="56" t="b">
        <v>1</v>
      </c>
      <c r="P164" s="56" t="b">
        <v>1</v>
      </c>
      <c r="Q164" s="77" t="s">
        <v>211</v>
      </c>
      <c r="R164" s="195"/>
      <c r="S164" s="195"/>
      <c r="T164" s="182" t="s">
        <v>212</v>
      </c>
    </row>
    <row r="165" outlineLevel="1">
      <c r="A165" s="49" t="s">
        <v>45</v>
      </c>
      <c r="B165" s="50" t="s">
        <v>117</v>
      </c>
      <c r="C165" s="183">
        <v>45818.0</v>
      </c>
      <c r="D165" s="182" t="s">
        <v>377</v>
      </c>
      <c r="E165" s="182" t="s">
        <v>378</v>
      </c>
      <c r="F165" s="167">
        <v>3.336901656E9</v>
      </c>
      <c r="G165" s="182">
        <v>8.0</v>
      </c>
      <c r="H165" s="86">
        <v>3.0</v>
      </c>
      <c r="I165" s="167" t="s">
        <v>379</v>
      </c>
      <c r="J165" s="184">
        <v>0.0</v>
      </c>
      <c r="K165" s="188">
        <v>45950.0</v>
      </c>
      <c r="L165" s="184">
        <v>95.0</v>
      </c>
      <c r="M165" s="55"/>
      <c r="N165" s="56" t="b">
        <v>1</v>
      </c>
      <c r="O165" s="56" t="b">
        <v>1</v>
      </c>
      <c r="P165" s="56" t="b">
        <v>1</v>
      </c>
      <c r="Q165" s="77" t="s">
        <v>380</v>
      </c>
      <c r="R165" s="181"/>
      <c r="S165" s="181"/>
      <c r="T165" s="182" t="s">
        <v>381</v>
      </c>
    </row>
    <row r="166" outlineLevel="1">
      <c r="A166" s="49" t="s">
        <v>45</v>
      </c>
      <c r="B166" s="50" t="s">
        <v>117</v>
      </c>
      <c r="C166" s="51">
        <v>45818.0</v>
      </c>
      <c r="D166" s="49" t="s">
        <v>377</v>
      </c>
      <c r="E166" s="49" t="s">
        <v>382</v>
      </c>
      <c r="F166" s="52">
        <v>3.336901656E9</v>
      </c>
      <c r="G166" s="49">
        <v>11.0</v>
      </c>
      <c r="H166" s="49">
        <v>5.0</v>
      </c>
      <c r="I166" s="167" t="s">
        <v>379</v>
      </c>
      <c r="J166" s="53">
        <v>0.0</v>
      </c>
      <c r="K166" s="54">
        <v>45950.0</v>
      </c>
      <c r="L166" s="53">
        <v>95.0</v>
      </c>
      <c r="M166" s="55"/>
      <c r="N166" s="56" t="b">
        <v>1</v>
      </c>
      <c r="O166" s="56" t="b">
        <v>1</v>
      </c>
      <c r="P166" s="56" t="b">
        <v>1</v>
      </c>
      <c r="Q166" s="180" t="s">
        <v>380</v>
      </c>
      <c r="R166" s="181"/>
      <c r="S166" s="181"/>
      <c r="T166" s="182" t="s">
        <v>381</v>
      </c>
    </row>
    <row r="167" outlineLevel="1">
      <c r="A167" s="73" t="s">
        <v>36</v>
      </c>
      <c r="B167" s="78" t="s">
        <v>147</v>
      </c>
      <c r="C167" s="196">
        <v>45765.0</v>
      </c>
      <c r="D167" s="197" t="s">
        <v>148</v>
      </c>
      <c r="E167" s="197" t="s">
        <v>340</v>
      </c>
      <c r="F167" s="198">
        <v>3.34266125E9</v>
      </c>
      <c r="G167" s="197">
        <v>13.0</v>
      </c>
      <c r="H167" s="197" t="s">
        <v>383</v>
      </c>
      <c r="I167" s="197" t="s">
        <v>149</v>
      </c>
      <c r="J167" s="199">
        <v>25.0</v>
      </c>
      <c r="K167" s="200">
        <v>46161.0</v>
      </c>
      <c r="L167" s="199">
        <v>65.0</v>
      </c>
      <c r="M167" s="82" t="s">
        <v>127</v>
      </c>
      <c r="N167" s="83" t="b">
        <v>1</v>
      </c>
      <c r="O167" s="83" t="b">
        <v>1</v>
      </c>
      <c r="P167" s="83" t="b">
        <v>1</v>
      </c>
      <c r="Q167" s="201" t="s">
        <v>150</v>
      </c>
      <c r="R167" s="195" t="s">
        <v>60</v>
      </c>
      <c r="S167" s="194"/>
      <c r="T167" s="194" t="s">
        <v>134</v>
      </c>
    </row>
    <row r="168" outlineLevel="1">
      <c r="A168" s="49" t="s">
        <v>53</v>
      </c>
      <c r="B168" s="50" t="s">
        <v>54</v>
      </c>
      <c r="C168" s="183">
        <v>45825.0</v>
      </c>
      <c r="D168" s="182" t="s">
        <v>384</v>
      </c>
      <c r="E168" s="182" t="s">
        <v>254</v>
      </c>
      <c r="F168" s="182">
        <v>3.477810049E9</v>
      </c>
      <c r="G168" s="182">
        <v>13.0</v>
      </c>
      <c r="H168" s="182" t="s">
        <v>385</v>
      </c>
      <c r="I168" s="182" t="s">
        <v>149</v>
      </c>
      <c r="J168" s="184">
        <v>25.0</v>
      </c>
      <c r="K168" s="185">
        <v>46184.0</v>
      </c>
      <c r="L168" s="184">
        <v>80.0</v>
      </c>
      <c r="M168" s="55"/>
      <c r="N168" s="56" t="b">
        <v>0</v>
      </c>
      <c r="O168" s="56" t="b">
        <v>1</v>
      </c>
      <c r="P168" s="56" t="b">
        <v>1</v>
      </c>
      <c r="Q168" s="181" t="s">
        <v>386</v>
      </c>
      <c r="R168" s="181" t="s">
        <v>387</v>
      </c>
      <c r="S168" s="194"/>
      <c r="T168" s="181" t="s">
        <v>387</v>
      </c>
    </row>
    <row r="169" ht="24.0" customHeight="1" outlineLevel="1">
      <c r="A169" s="49" t="s">
        <v>49</v>
      </c>
      <c r="B169" s="50" t="s">
        <v>78</v>
      </c>
      <c r="C169" s="183">
        <v>45827.0</v>
      </c>
      <c r="D169" s="182" t="s">
        <v>388</v>
      </c>
      <c r="E169" s="182" t="s">
        <v>214</v>
      </c>
      <c r="F169" s="167">
        <v>3.487681579E9</v>
      </c>
      <c r="G169" s="182">
        <v>9.0</v>
      </c>
      <c r="H169" s="182">
        <v>3.0</v>
      </c>
      <c r="I169" s="182" t="s">
        <v>389</v>
      </c>
      <c r="J169" s="184">
        <v>25.0</v>
      </c>
      <c r="K169" s="185">
        <v>46195.0</v>
      </c>
      <c r="L169" s="184">
        <v>95.0</v>
      </c>
      <c r="M169" s="55" t="s">
        <v>127</v>
      </c>
      <c r="N169" s="56" t="b">
        <v>0</v>
      </c>
      <c r="O169" s="56" t="b">
        <v>1</v>
      </c>
      <c r="P169" s="56" t="b">
        <v>1</v>
      </c>
      <c r="Q169" s="77" t="s">
        <v>390</v>
      </c>
      <c r="R169" s="181" t="s">
        <v>391</v>
      </c>
      <c r="S169" s="181">
        <v>3.279911552E9</v>
      </c>
      <c r="T169" s="194"/>
    </row>
    <row r="170" outlineLevel="1">
      <c r="A170" s="49" t="s">
        <v>49</v>
      </c>
      <c r="B170" s="50" t="s">
        <v>78</v>
      </c>
      <c r="C170" s="183">
        <v>45827.0</v>
      </c>
      <c r="D170" s="182" t="s">
        <v>392</v>
      </c>
      <c r="E170" s="182" t="s">
        <v>113</v>
      </c>
      <c r="F170" s="182">
        <v>3.484483497E9</v>
      </c>
      <c r="G170" s="182">
        <v>9.0</v>
      </c>
      <c r="H170" s="182" t="s">
        <v>393</v>
      </c>
      <c r="I170" s="182" t="s">
        <v>394</v>
      </c>
      <c r="J170" s="184">
        <v>25.0</v>
      </c>
      <c r="K170" s="185">
        <v>46195.0</v>
      </c>
      <c r="L170" s="184">
        <v>95.0</v>
      </c>
      <c r="M170" s="55" t="s">
        <v>127</v>
      </c>
      <c r="N170" s="56" t="b">
        <v>0</v>
      </c>
      <c r="O170" s="56" t="b">
        <v>1</v>
      </c>
      <c r="P170" s="56" t="b">
        <v>1</v>
      </c>
      <c r="Q170" s="181" t="s">
        <v>395</v>
      </c>
      <c r="R170" s="181" t="s">
        <v>396</v>
      </c>
      <c r="S170" s="182">
        <v>3.898571324E9</v>
      </c>
      <c r="T170" s="194"/>
    </row>
    <row r="171" outlineLevel="1">
      <c r="A171" s="49" t="s">
        <v>53</v>
      </c>
      <c r="B171" s="50" t="s">
        <v>54</v>
      </c>
      <c r="C171" s="183">
        <v>45827.0</v>
      </c>
      <c r="D171" s="182" t="s">
        <v>397</v>
      </c>
      <c r="E171" s="182" t="s">
        <v>398</v>
      </c>
      <c r="F171" s="182">
        <v>3.333169745E9</v>
      </c>
      <c r="G171" s="182">
        <v>10.0</v>
      </c>
      <c r="H171" s="182" t="s">
        <v>399</v>
      </c>
      <c r="I171" s="182" t="s">
        <v>93</v>
      </c>
      <c r="J171" s="184">
        <v>0.0</v>
      </c>
      <c r="K171" s="202">
        <v>45967.0</v>
      </c>
      <c r="L171" s="184">
        <v>95.0</v>
      </c>
      <c r="M171" s="55" t="s">
        <v>178</v>
      </c>
      <c r="N171" s="56" t="b">
        <v>1</v>
      </c>
      <c r="O171" s="56" t="b">
        <v>1</v>
      </c>
      <c r="P171" s="56" t="b">
        <v>1</v>
      </c>
      <c r="Q171" s="181" t="s">
        <v>400</v>
      </c>
      <c r="R171" s="181" t="s">
        <v>401</v>
      </c>
      <c r="S171" s="182">
        <v>3.48284815E9</v>
      </c>
      <c r="T171" s="194"/>
    </row>
    <row r="172" outlineLevel="1">
      <c r="A172" s="49" t="s">
        <v>49</v>
      </c>
      <c r="B172" s="50" t="s">
        <v>78</v>
      </c>
      <c r="C172" s="183">
        <v>45819.0</v>
      </c>
      <c r="D172" s="182" t="s">
        <v>336</v>
      </c>
      <c r="E172" s="182" t="s">
        <v>337</v>
      </c>
      <c r="F172" s="167" t="s">
        <v>338</v>
      </c>
      <c r="G172" s="182">
        <v>8.0</v>
      </c>
      <c r="H172" s="182" t="s">
        <v>309</v>
      </c>
      <c r="I172" s="182" t="s">
        <v>294</v>
      </c>
      <c r="J172" s="184">
        <v>25.0</v>
      </c>
      <c r="K172" s="188">
        <v>46183.0</v>
      </c>
      <c r="L172" s="184">
        <v>95.0</v>
      </c>
      <c r="M172" s="55" t="s">
        <v>142</v>
      </c>
      <c r="N172" s="56" t="b">
        <v>1</v>
      </c>
      <c r="O172" s="56" t="b">
        <v>1</v>
      </c>
      <c r="P172" s="56" t="b">
        <v>1</v>
      </c>
      <c r="Q172" s="77" t="s">
        <v>339</v>
      </c>
      <c r="R172" s="181" t="s">
        <v>387</v>
      </c>
      <c r="S172" s="194"/>
      <c r="T172" s="194"/>
    </row>
    <row r="173" outlineLevel="1">
      <c r="A173" s="49" t="s">
        <v>53</v>
      </c>
      <c r="B173" s="50" t="s">
        <v>37</v>
      </c>
      <c r="C173" s="183">
        <v>45827.0</v>
      </c>
      <c r="D173" s="182" t="s">
        <v>402</v>
      </c>
      <c r="E173" s="182" t="s">
        <v>403</v>
      </c>
      <c r="F173" s="167" t="s">
        <v>404</v>
      </c>
      <c r="G173" s="182">
        <v>12.0</v>
      </c>
      <c r="H173" s="182" t="s">
        <v>405</v>
      </c>
      <c r="I173" s="182" t="s">
        <v>406</v>
      </c>
      <c r="J173" s="184">
        <v>25.0</v>
      </c>
      <c r="K173" s="188">
        <v>46191.0</v>
      </c>
      <c r="L173" s="184">
        <v>100.0</v>
      </c>
      <c r="M173" s="55"/>
      <c r="N173" s="56" t="b">
        <v>1</v>
      </c>
      <c r="O173" s="56" t="b">
        <v>1</v>
      </c>
      <c r="P173" s="56" t="b">
        <v>1</v>
      </c>
      <c r="Q173" s="77" t="s">
        <v>407</v>
      </c>
      <c r="R173" s="181" t="s">
        <v>408</v>
      </c>
      <c r="S173" s="182">
        <v>3.914734228E9</v>
      </c>
      <c r="T173" s="194"/>
    </row>
    <row r="174" outlineLevel="1">
      <c r="A174" s="49"/>
      <c r="B174" s="50"/>
      <c r="C174" s="183">
        <v>45828.0</v>
      </c>
      <c r="D174" s="182" t="s">
        <v>409</v>
      </c>
      <c r="E174" s="194"/>
      <c r="F174" s="182">
        <v>3.388377033E9</v>
      </c>
      <c r="G174" s="194"/>
      <c r="H174" s="194"/>
      <c r="I174" s="194"/>
      <c r="J174" s="184" t="s">
        <v>229</v>
      </c>
      <c r="K174" s="203"/>
      <c r="L174" s="199"/>
      <c r="M174" s="55"/>
      <c r="N174" s="56" t="b">
        <v>0</v>
      </c>
      <c r="O174" s="56" t="b">
        <v>0</v>
      </c>
      <c r="P174" s="56" t="b">
        <v>0</v>
      </c>
      <c r="Q174" s="77" t="s">
        <v>410</v>
      </c>
      <c r="R174" s="195"/>
      <c r="S174" s="194"/>
      <c r="T174" s="194"/>
    </row>
    <row r="175" outlineLevel="1">
      <c r="A175" s="49" t="s">
        <v>49</v>
      </c>
      <c r="B175" s="50" t="s">
        <v>78</v>
      </c>
      <c r="C175" s="183">
        <v>45815.0</v>
      </c>
      <c r="D175" s="182" t="s">
        <v>213</v>
      </c>
      <c r="E175" s="182" t="s">
        <v>214</v>
      </c>
      <c r="F175" s="167">
        <v>3.429984655E9</v>
      </c>
      <c r="G175" s="182">
        <v>10.0</v>
      </c>
      <c r="H175" s="182" t="s">
        <v>99</v>
      </c>
      <c r="I175" s="182" t="s">
        <v>93</v>
      </c>
      <c r="J175" s="184">
        <v>0.0</v>
      </c>
      <c r="K175" s="188">
        <v>45952.0</v>
      </c>
      <c r="L175" s="184">
        <v>75.0</v>
      </c>
      <c r="M175" s="55"/>
      <c r="N175" s="56" t="b">
        <v>1</v>
      </c>
      <c r="O175" s="56" t="b">
        <v>1</v>
      </c>
      <c r="P175" s="56" t="b">
        <v>1</v>
      </c>
      <c r="Q175" s="77" t="s">
        <v>215</v>
      </c>
      <c r="R175" s="181" t="s">
        <v>216</v>
      </c>
      <c r="S175" s="195"/>
      <c r="T175" s="194"/>
    </row>
    <row r="176" outlineLevel="1">
      <c r="A176" s="49"/>
      <c r="B176" s="50"/>
      <c r="C176" s="196"/>
      <c r="D176" s="194"/>
      <c r="E176" s="194"/>
      <c r="F176" s="194"/>
      <c r="G176" s="194"/>
      <c r="H176" s="194"/>
      <c r="I176" s="204"/>
      <c r="J176" s="199"/>
      <c r="K176" s="203"/>
      <c r="L176" s="199"/>
      <c r="M176" s="55"/>
      <c r="N176" s="56" t="b">
        <v>0</v>
      </c>
      <c r="O176" s="56" t="b">
        <v>0</v>
      </c>
      <c r="P176" s="56" t="b">
        <v>0</v>
      </c>
      <c r="Q176" s="195"/>
      <c r="R176" s="195"/>
      <c r="S176" s="195"/>
      <c r="T176" s="194"/>
    </row>
    <row r="177" outlineLevel="1">
      <c r="A177" s="49"/>
      <c r="B177" s="50"/>
      <c r="C177" s="196"/>
      <c r="D177" s="194"/>
      <c r="E177" s="194"/>
      <c r="F177" s="194"/>
      <c r="G177" s="194"/>
      <c r="H177" s="194"/>
      <c r="I177" s="194"/>
      <c r="J177" s="199"/>
      <c r="K177" s="205"/>
      <c r="L177" s="199"/>
      <c r="M177" s="55"/>
      <c r="N177" s="56" t="b">
        <v>0</v>
      </c>
      <c r="O177" s="56" t="b">
        <v>0</v>
      </c>
      <c r="P177" s="56" t="b">
        <v>0</v>
      </c>
      <c r="Q177" s="195"/>
      <c r="R177" s="195"/>
      <c r="S177" s="195"/>
      <c r="T177" s="194"/>
    </row>
    <row r="178" outlineLevel="1">
      <c r="A178" s="49"/>
      <c r="B178" s="50"/>
      <c r="C178" s="196"/>
      <c r="D178" s="194"/>
      <c r="E178" s="194"/>
      <c r="F178" s="204"/>
      <c r="G178" s="194"/>
      <c r="H178" s="194"/>
      <c r="I178" s="194"/>
      <c r="J178" s="199"/>
      <c r="K178" s="200"/>
      <c r="L178" s="199"/>
      <c r="M178" s="55"/>
      <c r="N178" s="56" t="b">
        <v>0</v>
      </c>
      <c r="O178" s="56" t="b">
        <v>0</v>
      </c>
      <c r="P178" s="56" t="b">
        <v>0</v>
      </c>
      <c r="Q178" s="206"/>
      <c r="R178" s="195"/>
      <c r="S178" s="194"/>
      <c r="T178" s="194"/>
    </row>
    <row r="179" outlineLevel="1">
      <c r="A179" s="49"/>
      <c r="B179" s="50"/>
      <c r="C179" s="207"/>
      <c r="D179" s="208"/>
      <c r="E179" s="194"/>
      <c r="F179" s="204"/>
      <c r="G179" s="194"/>
      <c r="H179" s="194"/>
      <c r="I179" s="204"/>
      <c r="J179" s="209"/>
      <c r="K179" s="200"/>
      <c r="L179" s="209"/>
      <c r="M179" s="55"/>
      <c r="N179" s="56" t="b">
        <v>0</v>
      </c>
      <c r="O179" s="56" t="b">
        <v>0</v>
      </c>
      <c r="P179" s="56" t="b">
        <v>0</v>
      </c>
      <c r="Q179" s="206"/>
      <c r="R179" s="195"/>
      <c r="S179" s="194"/>
      <c r="T179" s="194"/>
    </row>
    <row r="180" outlineLevel="1">
      <c r="A180" s="49"/>
      <c r="B180" s="50"/>
      <c r="C180" s="207"/>
      <c r="D180" s="208"/>
      <c r="E180" s="194"/>
      <c r="F180" s="204"/>
      <c r="G180" s="194"/>
      <c r="H180" s="194"/>
      <c r="I180" s="194"/>
      <c r="J180" s="199"/>
      <c r="K180" s="200"/>
      <c r="L180" s="199"/>
      <c r="M180" s="55"/>
      <c r="N180" s="56" t="b">
        <v>0</v>
      </c>
      <c r="O180" s="56" t="b">
        <v>0</v>
      </c>
      <c r="P180" s="56" t="b">
        <v>0</v>
      </c>
      <c r="Q180" s="206"/>
      <c r="R180" s="195"/>
      <c r="S180" s="204"/>
      <c r="T180" s="194"/>
    </row>
    <row r="181" outlineLevel="1">
      <c r="A181" s="49"/>
      <c r="B181" s="50"/>
      <c r="C181" s="207"/>
      <c r="D181" s="208"/>
      <c r="E181" s="194"/>
      <c r="F181" s="194"/>
      <c r="G181" s="194"/>
      <c r="H181" s="194"/>
      <c r="I181" s="194"/>
      <c r="J181" s="199"/>
      <c r="K181" s="210"/>
      <c r="L181" s="199"/>
      <c r="M181" s="55"/>
      <c r="N181" s="56" t="b">
        <v>0</v>
      </c>
      <c r="O181" s="56" t="b">
        <v>0</v>
      </c>
      <c r="P181" s="56" t="b">
        <v>0</v>
      </c>
      <c r="Q181" s="206"/>
      <c r="R181" s="195"/>
      <c r="S181" s="194"/>
      <c r="T181" s="194"/>
    </row>
    <row r="182" outlineLevel="1">
      <c r="A182" s="49"/>
      <c r="B182" s="50"/>
      <c r="C182" s="207"/>
      <c r="D182" s="208"/>
      <c r="E182" s="208"/>
      <c r="F182" s="204"/>
      <c r="G182" s="208"/>
      <c r="H182" s="208"/>
      <c r="I182" s="208"/>
      <c r="J182" s="209"/>
      <c r="K182" s="200"/>
      <c r="L182" s="211"/>
      <c r="M182" s="55"/>
      <c r="N182" s="56" t="b">
        <v>0</v>
      </c>
      <c r="O182" s="56" t="b">
        <v>0</v>
      </c>
      <c r="P182" s="56" t="b">
        <v>0</v>
      </c>
      <c r="Q182" s="206"/>
      <c r="R182" s="212"/>
      <c r="S182" s="212"/>
      <c r="T182" s="208"/>
    </row>
    <row r="183" outlineLevel="1">
      <c r="A183" s="73"/>
      <c r="B183" s="50"/>
      <c r="C183" s="207"/>
      <c r="D183" s="208"/>
      <c r="E183" s="208"/>
      <c r="F183" s="204"/>
      <c r="G183" s="208"/>
      <c r="H183" s="208"/>
      <c r="I183" s="208"/>
      <c r="J183" s="211"/>
      <c r="K183" s="167"/>
      <c r="L183" s="213"/>
      <c r="M183" s="82"/>
      <c r="N183" s="56" t="b">
        <v>0</v>
      </c>
      <c r="O183" s="56" t="b">
        <v>0</v>
      </c>
      <c r="P183" s="56" t="b">
        <v>0</v>
      </c>
      <c r="Q183" s="206"/>
      <c r="R183" s="76"/>
      <c r="S183" s="208"/>
      <c r="T183" s="208"/>
    </row>
    <row r="184" outlineLevel="1">
      <c r="A184" s="49"/>
      <c r="B184" s="50"/>
      <c r="C184" s="207"/>
      <c r="D184" s="208"/>
      <c r="E184" s="208"/>
      <c r="F184" s="204"/>
      <c r="G184" s="208"/>
      <c r="H184" s="208"/>
      <c r="I184" s="208"/>
      <c r="J184" s="211"/>
      <c r="K184" s="200"/>
      <c r="L184" s="211"/>
      <c r="M184" s="55"/>
      <c r="N184" s="56" t="b">
        <v>0</v>
      </c>
      <c r="O184" s="56" t="b">
        <v>0</v>
      </c>
      <c r="P184" s="56" t="b">
        <v>0</v>
      </c>
      <c r="Q184" s="206"/>
      <c r="R184" s="212"/>
      <c r="S184" s="208"/>
      <c r="T184" s="208"/>
    </row>
    <row r="185">
      <c r="A185" s="143" t="s">
        <v>222</v>
      </c>
      <c r="B185" s="138">
        <f>COUNTIF(B142:B184, "*")</f>
        <v>33</v>
      </c>
      <c r="C185" s="143" t="s">
        <v>222</v>
      </c>
      <c r="D185" s="140">
        <f>COUNTIF(D142:D184, "*")</f>
        <v>34</v>
      </c>
      <c r="E185" s="141"/>
      <c r="F185" s="214"/>
      <c r="G185" s="175"/>
      <c r="H185" s="175"/>
      <c r="I185" s="143" t="s">
        <v>222</v>
      </c>
      <c r="J185" s="176">
        <f>SUM(J142:J184)</f>
        <v>300</v>
      </c>
      <c r="K185" s="215"/>
      <c r="L185" s="176">
        <f>SUM(L142:L184)</f>
        <v>2429</v>
      </c>
      <c r="M185" s="146">
        <f>COUNTIF(M142:M184, "*")</f>
        <v>10</v>
      </c>
      <c r="N185" s="147">
        <f t="shared" ref="N185:P185" si="3">SUMPRODUCT(--N142:N184)</f>
        <v>24</v>
      </c>
      <c r="O185" s="147">
        <f t="shared" si="3"/>
        <v>31</v>
      </c>
      <c r="P185" s="147">
        <f t="shared" si="3"/>
        <v>28</v>
      </c>
      <c r="Q185" s="216"/>
      <c r="R185" s="178"/>
      <c r="S185" s="178"/>
      <c r="T185" s="175"/>
    </row>
    <row r="186">
      <c r="A186" s="149" t="s">
        <v>223</v>
      </c>
      <c r="B186" s="150">
        <f>COUNTIF(B142:B184, "SEDE*")</f>
        <v>21</v>
      </c>
      <c r="C186" s="151"/>
      <c r="D186" s="152"/>
      <c r="E186" s="153"/>
      <c r="F186" s="154"/>
      <c r="G186" s="153"/>
      <c r="H186" s="153"/>
      <c r="I186" s="151"/>
      <c r="J186" s="155"/>
      <c r="K186" s="156"/>
      <c r="L186" s="155"/>
      <c r="M186" s="155"/>
      <c r="N186" s="155"/>
      <c r="O186" s="152"/>
      <c r="P186" s="152"/>
      <c r="Q186" s="152"/>
      <c r="R186" s="157"/>
      <c r="S186" s="153"/>
      <c r="T186" s="153"/>
    </row>
    <row r="187">
      <c r="A187" s="149" t="s">
        <v>37</v>
      </c>
      <c r="B187" s="150">
        <f>COUNTIF(B142:B184, "ONLINE")</f>
        <v>12</v>
      </c>
      <c r="C187" s="151"/>
      <c r="D187" s="152"/>
      <c r="E187" s="153"/>
      <c r="F187" s="154"/>
      <c r="G187" s="153"/>
      <c r="H187" s="153"/>
      <c r="I187" s="151"/>
      <c r="J187" s="155"/>
      <c r="K187" s="156"/>
      <c r="L187" s="155"/>
      <c r="M187" s="155"/>
      <c r="N187" s="155"/>
      <c r="O187" s="152"/>
      <c r="P187" s="152"/>
      <c r="Q187" s="152"/>
      <c r="R187" s="157"/>
      <c r="S187" s="153"/>
      <c r="T187" s="153"/>
    </row>
    <row r="188">
      <c r="A188" s="143" t="s">
        <v>3</v>
      </c>
      <c r="B188" s="138">
        <f>SUM(B80,B138,B185)</f>
        <v>122</v>
      </c>
      <c r="C188" s="143" t="s">
        <v>3</v>
      </c>
      <c r="D188" s="140">
        <f>SUM(D80,D138,D185)</f>
        <v>123</v>
      </c>
      <c r="E188" s="141"/>
      <c r="F188" s="214"/>
      <c r="G188" s="175"/>
      <c r="H188" s="175"/>
      <c r="I188" s="143" t="s">
        <v>3</v>
      </c>
      <c r="J188" s="217">
        <f>SUM(J80,J138,J185)</f>
        <v>1200</v>
      </c>
      <c r="K188" s="143" t="s">
        <v>3</v>
      </c>
      <c r="L188" s="217">
        <f t="shared" ref="L188:P188" si="4">SUM(L80,L138,L185)</f>
        <v>8649</v>
      </c>
      <c r="M188" s="146">
        <f t="shared" si="4"/>
        <v>52</v>
      </c>
      <c r="N188" s="147">
        <f t="shared" si="4"/>
        <v>101</v>
      </c>
      <c r="O188" s="147">
        <f t="shared" si="4"/>
        <v>117</v>
      </c>
      <c r="P188" s="147">
        <f t="shared" si="4"/>
        <v>102</v>
      </c>
      <c r="Q188" s="216"/>
      <c r="R188" s="178"/>
      <c r="S188" s="178"/>
      <c r="T188" s="175"/>
    </row>
    <row r="189">
      <c r="A189" s="151"/>
      <c r="B189" s="218"/>
      <c r="C189" s="151"/>
      <c r="D189" s="152"/>
      <c r="E189" s="153"/>
      <c r="F189" s="219"/>
      <c r="G189" s="220"/>
      <c r="H189" s="220"/>
      <c r="I189" s="221" t="s">
        <v>223</v>
      </c>
      <c r="J189" s="222">
        <f>SUMIF($B4:$B184,"*SEDE*",J4:J184)</f>
        <v>575</v>
      </c>
      <c r="K189" s="221" t="s">
        <v>223</v>
      </c>
      <c r="L189" s="222">
        <f>SUMIF($B4:$B184,"*SEDE*",L4:L184)</f>
        <v>4310</v>
      </c>
      <c r="M189" s="223"/>
      <c r="N189" s="224"/>
      <c r="O189" s="224"/>
      <c r="P189" s="224"/>
      <c r="Q189" s="225"/>
      <c r="R189" s="226"/>
      <c r="S189" s="226"/>
      <c r="T189" s="220"/>
    </row>
    <row r="190">
      <c r="A190" s="151"/>
      <c r="B190" s="218"/>
      <c r="C190" s="151"/>
      <c r="D190" s="152"/>
      <c r="E190" s="153"/>
      <c r="F190" s="219"/>
      <c r="G190" s="220"/>
      <c r="H190" s="220"/>
      <c r="I190" s="227" t="s">
        <v>37</v>
      </c>
      <c r="J190" s="228">
        <f>SUMIF($B4:$B184,"*ONLINE*",J4:J184)</f>
        <v>625</v>
      </c>
      <c r="K190" s="227" t="s">
        <v>37</v>
      </c>
      <c r="L190" s="228">
        <f>SUMIF($B4:$B184,"*ONLINE*",L4:L184)</f>
        <v>4339</v>
      </c>
      <c r="M190" s="223"/>
      <c r="N190" s="224"/>
      <c r="O190" s="224"/>
      <c r="P190" s="224"/>
      <c r="Q190" s="225"/>
      <c r="R190" s="226"/>
      <c r="S190" s="226"/>
      <c r="T190" s="220"/>
    </row>
  </sheetData>
  <mergeCells count="4">
    <mergeCell ref="A1:T1"/>
    <mergeCell ref="A3:T3"/>
    <mergeCell ref="A83:T83"/>
    <mergeCell ref="A141:T141"/>
  </mergeCells>
  <dataValidations>
    <dataValidation type="custom" allowBlank="1" showDropDown="1" showInputMessage="1" showErrorMessage="1" prompt="inserire una data valida" sqref="C4:C79 C84:C137 C142:C184">
      <formula1>OR(NOT(ISERROR(DATEVALUE(C4))), AND(ISNUMBER(C4), LEFT(CELL("format", C4))="D"))</formula1>
    </dataValidation>
    <dataValidation type="list" allowBlank="1" showErrorMessage="1" sqref="A4:A79 A84:A137 A142:A184">
      <formula1>elenchi!$D$2:$D$30</formula1>
    </dataValidation>
    <dataValidation type="list" allowBlank="1" showErrorMessage="1" sqref="M4:M79 M84:M137 M142:M184">
      <formula1>elenchi!$E$2:$E$30</formula1>
    </dataValidation>
    <dataValidation type="list" allowBlank="1" showErrorMessage="1" sqref="B4:B79 B84:B137 B142:B184">
      <formula1>"ONLINE,SEDE Estefany,SEDE Giuditta,SEDE Alexandra,SEDE Nura,SEDE Joel"</formula1>
    </dataValidation>
  </dataValidation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2" max="2" width="18.75"/>
    <col customWidth="1" min="5" max="5" width="13.63"/>
    <col customWidth="1" min="8" max="8" width="15.38"/>
    <col customWidth="1" min="9" max="9" width="17.0"/>
    <col customWidth="1" min="13" max="13" width="16.5"/>
    <col customWidth="1" min="17" max="17" width="21.63"/>
    <col customWidth="1" min="18" max="18" width="25.13"/>
    <col customWidth="1" min="20" max="20" width="28.5"/>
  </cols>
  <sheetData>
    <row r="1">
      <c r="A1" s="229" t="s">
        <v>411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>
      <c r="A2" s="42" t="s">
        <v>16</v>
      </c>
      <c r="B2" s="42" t="s">
        <v>17</v>
      </c>
      <c r="C2" s="42" t="s">
        <v>18</v>
      </c>
      <c r="D2" s="43" t="s">
        <v>19</v>
      </c>
      <c r="E2" s="43" t="s">
        <v>20</v>
      </c>
      <c r="F2" s="43" t="s">
        <v>21</v>
      </c>
      <c r="G2" s="43" t="s">
        <v>22</v>
      </c>
      <c r="H2" s="43" t="s">
        <v>23</v>
      </c>
      <c r="I2" s="43" t="s">
        <v>24</v>
      </c>
      <c r="J2" s="44" t="s">
        <v>25</v>
      </c>
      <c r="K2" s="43" t="s">
        <v>26</v>
      </c>
      <c r="L2" s="44" t="s">
        <v>27</v>
      </c>
      <c r="M2" s="45" t="s">
        <v>412</v>
      </c>
      <c r="N2" s="46" t="s">
        <v>29</v>
      </c>
      <c r="O2" s="46" t="s">
        <v>30</v>
      </c>
      <c r="P2" s="46" t="s">
        <v>31</v>
      </c>
      <c r="Q2" s="43" t="s">
        <v>32</v>
      </c>
      <c r="R2" s="43" t="s">
        <v>33</v>
      </c>
      <c r="S2" s="43" t="s">
        <v>34</v>
      </c>
      <c r="T2" s="47" t="s">
        <v>5</v>
      </c>
    </row>
    <row r="3">
      <c r="A3" s="229" t="s">
        <v>413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</row>
    <row r="4" outlineLevel="1">
      <c r="A4" s="49" t="s">
        <v>49</v>
      </c>
      <c r="B4" s="50" t="s">
        <v>37</v>
      </c>
      <c r="C4" s="51">
        <v>45756.0</v>
      </c>
      <c r="D4" s="230" t="s">
        <v>414</v>
      </c>
      <c r="E4" s="230" t="s">
        <v>415</v>
      </c>
      <c r="F4" s="52">
        <v>3.38236446E9</v>
      </c>
      <c r="G4" s="49">
        <v>11.0</v>
      </c>
      <c r="H4" s="49" t="s">
        <v>416</v>
      </c>
      <c r="I4" s="49" t="s">
        <v>417</v>
      </c>
      <c r="J4" s="53">
        <v>25.0</v>
      </c>
      <c r="K4" s="68">
        <v>46172.0</v>
      </c>
      <c r="L4" s="53">
        <v>85.0</v>
      </c>
      <c r="M4" s="55"/>
      <c r="N4" s="56" t="b">
        <v>1</v>
      </c>
      <c r="O4" s="56" t="b">
        <v>1</v>
      </c>
      <c r="P4" s="56" t="b">
        <v>1</v>
      </c>
      <c r="Q4" s="57" t="s">
        <v>418</v>
      </c>
      <c r="R4" s="58" t="s">
        <v>419</v>
      </c>
      <c r="S4" s="58" t="s">
        <v>420</v>
      </c>
      <c r="T4" s="231" t="s">
        <v>421</v>
      </c>
    </row>
    <row r="5" outlineLevel="1">
      <c r="A5" s="49" t="s">
        <v>36</v>
      </c>
      <c r="B5" s="232" t="s">
        <v>147</v>
      </c>
      <c r="C5" s="233">
        <v>45759.0</v>
      </c>
      <c r="D5" s="234" t="s">
        <v>422</v>
      </c>
      <c r="E5" s="234" t="s">
        <v>340</v>
      </c>
      <c r="F5" s="235">
        <v>3.483902953E9</v>
      </c>
      <c r="G5" s="235">
        <v>12.0</v>
      </c>
      <c r="H5" s="235" t="s">
        <v>423</v>
      </c>
      <c r="I5" s="235" t="s">
        <v>233</v>
      </c>
      <c r="J5" s="236">
        <v>25.0</v>
      </c>
      <c r="K5" s="237">
        <v>46137.0</v>
      </c>
      <c r="L5" s="236">
        <v>75.0</v>
      </c>
      <c r="M5" s="55" t="s">
        <v>127</v>
      </c>
      <c r="N5" s="56" t="b">
        <v>1</v>
      </c>
      <c r="O5" s="56" t="b">
        <v>1</v>
      </c>
      <c r="P5" s="56" t="b">
        <v>1</v>
      </c>
      <c r="Q5" s="238" t="s">
        <v>424</v>
      </c>
      <c r="R5" s="238" t="s">
        <v>425</v>
      </c>
      <c r="S5" s="238">
        <v>3.518219309E9</v>
      </c>
      <c r="T5" s="60"/>
    </row>
    <row r="6" outlineLevel="1">
      <c r="A6" s="49" t="s">
        <v>49</v>
      </c>
      <c r="B6" s="232" t="s">
        <v>78</v>
      </c>
      <c r="C6" s="51">
        <v>45769.0</v>
      </c>
      <c r="D6" s="230" t="s">
        <v>426</v>
      </c>
      <c r="E6" s="230" t="s">
        <v>427</v>
      </c>
      <c r="F6" s="239">
        <v>3.931092182E9</v>
      </c>
      <c r="G6" s="49">
        <v>12.0</v>
      </c>
      <c r="H6" s="235" t="s">
        <v>303</v>
      </c>
      <c r="I6" s="49" t="s">
        <v>149</v>
      </c>
      <c r="J6" s="53">
        <v>0.0</v>
      </c>
      <c r="K6" s="54">
        <v>45922.0</v>
      </c>
      <c r="L6" s="53">
        <v>75.0</v>
      </c>
      <c r="M6" s="55" t="s">
        <v>178</v>
      </c>
      <c r="N6" s="56" t="b">
        <v>1</v>
      </c>
      <c r="O6" s="56" t="b">
        <v>1</v>
      </c>
      <c r="P6" s="56" t="b">
        <v>1</v>
      </c>
      <c r="Q6" s="57" t="s">
        <v>428</v>
      </c>
      <c r="R6" s="58" t="s">
        <v>429</v>
      </c>
      <c r="S6" s="58">
        <v>3.886458717E9</v>
      </c>
      <c r="T6" s="58" t="s">
        <v>387</v>
      </c>
    </row>
    <row r="7" outlineLevel="1">
      <c r="A7" s="49" t="s">
        <v>53</v>
      </c>
      <c r="B7" s="232" t="s">
        <v>54</v>
      </c>
      <c r="C7" s="51">
        <v>45775.0</v>
      </c>
      <c r="D7" s="230" t="s">
        <v>430</v>
      </c>
      <c r="E7" s="230" t="s">
        <v>431</v>
      </c>
      <c r="F7" s="49">
        <v>3.38820808E9</v>
      </c>
      <c r="G7" s="49">
        <v>9.0</v>
      </c>
      <c r="H7" s="49" t="s">
        <v>345</v>
      </c>
      <c r="I7" s="49" t="s">
        <v>432</v>
      </c>
      <c r="J7" s="53">
        <v>0.0</v>
      </c>
      <c r="K7" s="62">
        <v>45947.0</v>
      </c>
      <c r="L7" s="53">
        <v>75.0</v>
      </c>
      <c r="M7" s="55" t="s">
        <v>178</v>
      </c>
      <c r="N7" s="56" t="b">
        <v>1</v>
      </c>
      <c r="O7" s="56" t="b">
        <v>1</v>
      </c>
      <c r="P7" s="56" t="b">
        <v>1</v>
      </c>
      <c r="Q7" s="60" t="s">
        <v>433</v>
      </c>
      <c r="R7" s="58"/>
      <c r="S7" s="58"/>
      <c r="T7" s="58"/>
    </row>
    <row r="8" outlineLevel="1">
      <c r="A8" s="49" t="s">
        <v>45</v>
      </c>
      <c r="B8" s="232" t="s">
        <v>37</v>
      </c>
      <c r="C8" s="51">
        <v>45773.0</v>
      </c>
      <c r="D8" s="230" t="s">
        <v>434</v>
      </c>
      <c r="E8" s="230" t="s">
        <v>435</v>
      </c>
      <c r="F8" s="49">
        <v>3.288392632E9</v>
      </c>
      <c r="G8" s="49">
        <v>9.0</v>
      </c>
      <c r="H8" s="49" t="s">
        <v>345</v>
      </c>
      <c r="I8" s="49" t="s">
        <v>436</v>
      </c>
      <c r="J8" s="53">
        <v>0.0</v>
      </c>
      <c r="K8" s="62">
        <v>45939.0</v>
      </c>
      <c r="L8" s="53">
        <v>85.0</v>
      </c>
      <c r="M8" s="55"/>
      <c r="N8" s="56" t="b">
        <v>1</v>
      </c>
      <c r="O8" s="56" t="b">
        <v>1</v>
      </c>
      <c r="P8" s="56" t="b">
        <v>1</v>
      </c>
      <c r="Q8" s="238" t="s">
        <v>437</v>
      </c>
      <c r="R8" s="60" t="s">
        <v>438</v>
      </c>
      <c r="S8" s="60">
        <v>3.3844686E9</v>
      </c>
      <c r="T8" s="58"/>
    </row>
    <row r="9" outlineLevel="1">
      <c r="A9" s="49" t="s">
        <v>45</v>
      </c>
      <c r="B9" s="232" t="s">
        <v>37</v>
      </c>
      <c r="C9" s="51">
        <v>45776.0</v>
      </c>
      <c r="D9" s="230" t="s">
        <v>439</v>
      </c>
      <c r="E9" s="230" t="s">
        <v>403</v>
      </c>
      <c r="F9" s="49" t="s">
        <v>440</v>
      </c>
      <c r="G9" s="49">
        <v>10.0</v>
      </c>
      <c r="H9" s="49" t="s">
        <v>92</v>
      </c>
      <c r="I9" s="49" t="s">
        <v>88</v>
      </c>
      <c r="J9" s="53">
        <v>0.0</v>
      </c>
      <c r="K9" s="62">
        <v>45916.0</v>
      </c>
      <c r="L9" s="53">
        <v>80.0</v>
      </c>
      <c r="M9" s="55" t="s">
        <v>94</v>
      </c>
      <c r="N9" s="56" t="b">
        <v>1</v>
      </c>
      <c r="O9" s="56" t="b">
        <v>1</v>
      </c>
      <c r="P9" s="56" t="b">
        <v>1</v>
      </c>
      <c r="Q9" s="60" t="s">
        <v>441</v>
      </c>
      <c r="R9" s="60"/>
      <c r="S9" s="57"/>
      <c r="T9" s="58"/>
    </row>
    <row r="10" outlineLevel="1">
      <c r="A10" s="49" t="s">
        <v>53</v>
      </c>
      <c r="B10" s="232" t="s">
        <v>54</v>
      </c>
      <c r="C10" s="51">
        <v>45803.0</v>
      </c>
      <c r="D10" s="230" t="s">
        <v>442</v>
      </c>
      <c r="E10" s="230" t="s">
        <v>254</v>
      </c>
      <c r="F10" s="49">
        <v>3.923150058E9</v>
      </c>
      <c r="G10" s="49">
        <v>8.0</v>
      </c>
      <c r="H10" s="49" t="s">
        <v>393</v>
      </c>
      <c r="I10" s="49" t="s">
        <v>88</v>
      </c>
      <c r="J10" s="53">
        <v>25.0</v>
      </c>
      <c r="K10" s="62">
        <v>46166.0</v>
      </c>
      <c r="L10" s="53">
        <v>115.0</v>
      </c>
      <c r="M10" s="55" t="s">
        <v>142</v>
      </c>
      <c r="N10" s="56" t="b">
        <v>1</v>
      </c>
      <c r="O10" s="56" t="b">
        <v>1</v>
      </c>
      <c r="P10" s="56" t="b">
        <v>1</v>
      </c>
      <c r="Q10" s="60" t="s">
        <v>443</v>
      </c>
      <c r="R10" s="65" t="s">
        <v>444</v>
      </c>
      <c r="S10" s="59" t="s">
        <v>445</v>
      </c>
      <c r="T10" s="58"/>
    </row>
    <row r="11" outlineLevel="1">
      <c r="A11" s="49" t="s">
        <v>49</v>
      </c>
      <c r="B11" s="232" t="s">
        <v>37</v>
      </c>
      <c r="C11" s="51">
        <v>45817.0</v>
      </c>
      <c r="D11" s="240" t="s">
        <v>446</v>
      </c>
      <c r="E11" s="240" t="s">
        <v>447</v>
      </c>
      <c r="F11" s="49">
        <v>3.476422978E9</v>
      </c>
      <c r="G11" s="49"/>
      <c r="H11" s="49"/>
      <c r="I11" s="52"/>
      <c r="J11" s="53">
        <v>0.0</v>
      </c>
      <c r="K11" s="54">
        <v>45932.0</v>
      </c>
      <c r="L11" s="53">
        <v>105.0</v>
      </c>
      <c r="M11" s="55"/>
      <c r="N11" s="56" t="b">
        <v>0</v>
      </c>
      <c r="O11" s="56" t="b">
        <v>1</v>
      </c>
      <c r="P11" s="56" t="b">
        <v>0</v>
      </c>
      <c r="Q11" s="60" t="s">
        <v>448</v>
      </c>
      <c r="R11" s="57"/>
      <c r="S11" s="57"/>
      <c r="T11" s="61"/>
    </row>
    <row r="12" outlineLevel="1">
      <c r="A12" s="49"/>
      <c r="B12" s="232"/>
      <c r="C12" s="51"/>
      <c r="D12" s="49"/>
      <c r="E12" s="49"/>
      <c r="F12" s="49"/>
      <c r="G12" s="49"/>
      <c r="H12" s="49"/>
      <c r="I12" s="49"/>
      <c r="J12" s="53"/>
      <c r="K12" s="62"/>
      <c r="L12" s="53"/>
      <c r="M12" s="55"/>
      <c r="N12" s="56" t="b">
        <v>0</v>
      </c>
      <c r="O12" s="56" t="b">
        <v>0</v>
      </c>
      <c r="P12" s="56" t="b">
        <v>0</v>
      </c>
      <c r="Q12" s="168"/>
      <c r="R12" s="49"/>
      <c r="S12" s="49"/>
      <c r="T12" s="49"/>
    </row>
    <row r="13" outlineLevel="1">
      <c r="A13" s="49"/>
      <c r="B13" s="232"/>
      <c r="C13" s="51"/>
      <c r="D13" s="49"/>
      <c r="E13" s="49"/>
      <c r="F13" s="52"/>
      <c r="G13" s="49"/>
      <c r="H13" s="49"/>
      <c r="I13" s="49"/>
      <c r="J13" s="53"/>
      <c r="K13" s="54"/>
      <c r="L13" s="53"/>
      <c r="M13" s="55"/>
      <c r="N13" s="56" t="b">
        <v>0</v>
      </c>
      <c r="O13" s="56" t="b">
        <v>0</v>
      </c>
      <c r="P13" s="56" t="b">
        <v>0</v>
      </c>
      <c r="Q13" s="180"/>
      <c r="R13" s="241"/>
      <c r="S13" s="241"/>
      <c r="T13" s="89"/>
    </row>
    <row r="14" outlineLevel="1">
      <c r="A14" s="49"/>
      <c r="B14" s="232"/>
      <c r="C14" s="51"/>
      <c r="D14" s="49"/>
      <c r="E14" s="49"/>
      <c r="F14" s="52"/>
      <c r="G14" s="49"/>
      <c r="H14" s="49"/>
      <c r="I14" s="49"/>
      <c r="J14" s="53"/>
      <c r="K14" s="54"/>
      <c r="L14" s="53"/>
      <c r="M14" s="55"/>
      <c r="N14" s="56" t="b">
        <v>0</v>
      </c>
      <c r="O14" s="56" t="b">
        <v>0</v>
      </c>
      <c r="P14" s="56" t="b">
        <v>0</v>
      </c>
      <c r="Q14" s="180"/>
      <c r="R14" s="241"/>
      <c r="S14" s="241"/>
      <c r="T14" s="89"/>
    </row>
    <row r="15" outlineLevel="1">
      <c r="A15" s="49"/>
      <c r="B15" s="232"/>
      <c r="C15" s="51"/>
      <c r="D15" s="49"/>
      <c r="E15" s="49"/>
      <c r="F15" s="52"/>
      <c r="G15" s="49"/>
      <c r="H15" s="49"/>
      <c r="I15" s="49"/>
      <c r="J15" s="53"/>
      <c r="K15" s="54"/>
      <c r="L15" s="53"/>
      <c r="M15" s="55"/>
      <c r="N15" s="56" t="b">
        <v>0</v>
      </c>
      <c r="O15" s="56" t="b">
        <v>0</v>
      </c>
      <c r="P15" s="56" t="b">
        <v>0</v>
      </c>
      <c r="Q15" s="180"/>
      <c r="R15" s="241"/>
      <c r="S15" s="241"/>
      <c r="T15" s="89"/>
    </row>
    <row r="16" outlineLevel="1">
      <c r="A16" s="49"/>
      <c r="B16" s="232"/>
      <c r="C16" s="51"/>
      <c r="D16" s="49"/>
      <c r="E16" s="49"/>
      <c r="F16" s="52"/>
      <c r="G16" s="49"/>
      <c r="H16" s="49"/>
      <c r="I16" s="52"/>
      <c r="J16" s="64"/>
      <c r="K16" s="54"/>
      <c r="L16" s="53"/>
      <c r="M16" s="55"/>
      <c r="N16" s="56" t="b">
        <v>0</v>
      </c>
      <c r="O16" s="56" t="b">
        <v>0</v>
      </c>
      <c r="P16" s="56" t="b">
        <v>0</v>
      </c>
      <c r="Q16" s="168"/>
      <c r="R16" s="168"/>
      <c r="S16" s="168"/>
      <c r="T16" s="49"/>
    </row>
    <row r="17" outlineLevel="1">
      <c r="A17" s="49"/>
      <c r="B17" s="232"/>
      <c r="C17" s="51"/>
      <c r="D17" s="49"/>
      <c r="E17" s="49"/>
      <c r="F17" s="49"/>
      <c r="G17" s="49"/>
      <c r="H17" s="49"/>
      <c r="I17" s="49"/>
      <c r="J17" s="53"/>
      <c r="K17" s="62"/>
      <c r="L17" s="53"/>
      <c r="M17" s="55"/>
      <c r="N17" s="56" t="b">
        <v>0</v>
      </c>
      <c r="O17" s="56" t="b">
        <v>0</v>
      </c>
      <c r="P17" s="56" t="b">
        <v>0</v>
      </c>
      <c r="Q17" s="168"/>
      <c r="R17" s="168"/>
      <c r="S17" s="180"/>
      <c r="T17" s="49"/>
    </row>
    <row r="18" outlineLevel="1">
      <c r="A18" s="49"/>
      <c r="B18" s="232"/>
      <c r="C18" s="51"/>
      <c r="D18" s="49"/>
      <c r="E18" s="49"/>
      <c r="F18" s="49"/>
      <c r="G18" s="49"/>
      <c r="H18" s="52"/>
      <c r="I18" s="49"/>
      <c r="J18" s="53"/>
      <c r="K18" s="62"/>
      <c r="L18" s="64"/>
      <c r="M18" s="55"/>
      <c r="N18" s="56" t="b">
        <v>0</v>
      </c>
      <c r="O18" s="56" t="b">
        <v>0</v>
      </c>
      <c r="P18" s="56" t="b">
        <v>0</v>
      </c>
      <c r="Q18" s="168"/>
      <c r="R18" s="89"/>
      <c r="S18" s="168"/>
      <c r="T18" s="89"/>
    </row>
    <row r="19" outlineLevel="1">
      <c r="A19" s="49"/>
      <c r="B19" s="232"/>
      <c r="C19" s="51"/>
      <c r="D19" s="49"/>
      <c r="E19" s="49"/>
      <c r="F19" s="49"/>
      <c r="G19" s="49"/>
      <c r="H19" s="49"/>
      <c r="I19" s="49"/>
      <c r="J19" s="53"/>
      <c r="K19" s="54"/>
      <c r="L19" s="53"/>
      <c r="M19" s="55"/>
      <c r="N19" s="56" t="b">
        <v>0</v>
      </c>
      <c r="O19" s="56" t="b">
        <v>0</v>
      </c>
      <c r="P19" s="56" t="b">
        <v>0</v>
      </c>
      <c r="Q19" s="168"/>
      <c r="R19" s="168"/>
      <c r="S19" s="49"/>
      <c r="T19" s="89"/>
    </row>
    <row r="20" outlineLevel="1">
      <c r="A20" s="49"/>
      <c r="B20" s="232"/>
      <c r="C20" s="51"/>
      <c r="D20" s="49"/>
      <c r="E20" s="49"/>
      <c r="F20" s="52"/>
      <c r="G20" s="49"/>
      <c r="H20" s="49"/>
      <c r="I20" s="49"/>
      <c r="J20" s="64"/>
      <c r="K20" s="54"/>
      <c r="L20" s="64"/>
      <c r="M20" s="55"/>
      <c r="N20" s="56" t="b">
        <v>0</v>
      </c>
      <c r="O20" s="56" t="b">
        <v>0</v>
      </c>
      <c r="P20" s="56" t="b">
        <v>0</v>
      </c>
      <c r="Q20" s="168"/>
      <c r="R20" s="49"/>
      <c r="S20" s="49"/>
      <c r="T20" s="49"/>
    </row>
    <row r="21" outlineLevel="1">
      <c r="A21" s="49"/>
      <c r="B21" s="232"/>
      <c r="C21" s="51"/>
      <c r="D21" s="49"/>
      <c r="E21" s="49"/>
      <c r="F21" s="52"/>
      <c r="G21" s="49"/>
      <c r="H21" s="49"/>
      <c r="I21" s="49"/>
      <c r="J21" s="53"/>
      <c r="K21" s="54"/>
      <c r="L21" s="53"/>
      <c r="M21" s="55"/>
      <c r="N21" s="56" t="b">
        <v>0</v>
      </c>
      <c r="O21" s="56" t="b">
        <v>0</v>
      </c>
      <c r="P21" s="56" t="b">
        <v>0</v>
      </c>
      <c r="Q21" s="180"/>
      <c r="R21" s="168"/>
      <c r="S21" s="49"/>
      <c r="T21" s="49"/>
    </row>
    <row r="22" outlineLevel="1">
      <c r="A22" s="49"/>
      <c r="B22" s="232"/>
      <c r="C22" s="51"/>
      <c r="D22" s="49"/>
      <c r="E22" s="49"/>
      <c r="F22" s="167"/>
      <c r="G22" s="49"/>
      <c r="H22" s="49"/>
      <c r="I22" s="49"/>
      <c r="J22" s="53"/>
      <c r="K22" s="62"/>
      <c r="L22" s="53"/>
      <c r="M22" s="55"/>
      <c r="N22" s="56" t="b">
        <v>0</v>
      </c>
      <c r="O22" s="56" t="b">
        <v>0</v>
      </c>
      <c r="P22" s="56" t="b">
        <v>0</v>
      </c>
      <c r="Q22" s="168"/>
      <c r="R22" s="181"/>
      <c r="S22" s="182"/>
      <c r="T22" s="49"/>
    </row>
    <row r="23" outlineLevel="1">
      <c r="A23" s="49"/>
      <c r="B23" s="232"/>
      <c r="C23" s="51"/>
      <c r="D23" s="49"/>
      <c r="E23" s="49"/>
      <c r="F23" s="52"/>
      <c r="G23" s="49"/>
      <c r="H23" s="49"/>
      <c r="I23" s="52"/>
      <c r="J23" s="53"/>
      <c r="K23" s="54"/>
      <c r="L23" s="53"/>
      <c r="M23" s="55"/>
      <c r="N23" s="56" t="b">
        <v>0</v>
      </c>
      <c r="O23" s="56" t="b">
        <v>0</v>
      </c>
      <c r="P23" s="56" t="b">
        <v>0</v>
      </c>
      <c r="Q23" s="180"/>
      <c r="R23" s="241"/>
      <c r="S23" s="241"/>
      <c r="T23" s="49"/>
    </row>
    <row r="24" outlineLevel="1">
      <c r="A24" s="49"/>
      <c r="B24" s="232"/>
      <c r="C24" s="51"/>
      <c r="D24" s="49"/>
      <c r="E24" s="49"/>
      <c r="F24" s="52"/>
      <c r="G24" s="49"/>
      <c r="H24" s="49"/>
      <c r="I24" s="49"/>
      <c r="J24" s="53"/>
      <c r="K24" s="54"/>
      <c r="L24" s="53"/>
      <c r="M24" s="55"/>
      <c r="N24" s="56" t="b">
        <v>0</v>
      </c>
      <c r="O24" s="56" t="b">
        <v>0</v>
      </c>
      <c r="P24" s="56" t="b">
        <v>0</v>
      </c>
      <c r="Q24" s="180"/>
      <c r="R24" s="168"/>
      <c r="S24" s="168"/>
      <c r="T24" s="49"/>
    </row>
    <row r="25" outlineLevel="1">
      <c r="A25" s="49"/>
      <c r="B25" s="232"/>
      <c r="C25" s="51"/>
      <c r="D25" s="49"/>
      <c r="E25" s="49"/>
      <c r="F25" s="49"/>
      <c r="G25" s="49"/>
      <c r="H25" s="49"/>
      <c r="I25" s="49"/>
      <c r="J25" s="53"/>
      <c r="K25" s="62"/>
      <c r="L25" s="53"/>
      <c r="M25" s="55"/>
      <c r="N25" s="56" t="b">
        <v>0</v>
      </c>
      <c r="O25" s="56" t="b">
        <v>0</v>
      </c>
      <c r="P25" s="56" t="b">
        <v>0</v>
      </c>
      <c r="Q25" s="168"/>
      <c r="R25" s="89"/>
      <c r="S25" s="49"/>
      <c r="T25" s="89"/>
    </row>
    <row r="26" outlineLevel="1">
      <c r="A26" s="49"/>
      <c r="B26" s="232"/>
      <c r="C26" s="51"/>
      <c r="D26" s="49"/>
      <c r="E26" s="49"/>
      <c r="F26" s="49"/>
      <c r="G26" s="49"/>
      <c r="H26" s="49"/>
      <c r="I26" s="52"/>
      <c r="J26" s="53"/>
      <c r="K26" s="62"/>
      <c r="L26" s="53"/>
      <c r="M26" s="55"/>
      <c r="N26" s="56" t="b">
        <v>0</v>
      </c>
      <c r="O26" s="56" t="b">
        <v>0</v>
      </c>
      <c r="P26" s="56" t="b">
        <v>0</v>
      </c>
      <c r="Q26" s="168"/>
      <c r="R26" s="89"/>
      <c r="S26" s="49"/>
      <c r="T26" s="89"/>
    </row>
    <row r="27" outlineLevel="1">
      <c r="A27" s="49"/>
      <c r="B27" s="232"/>
      <c r="C27" s="51"/>
      <c r="D27" s="49"/>
      <c r="E27" s="49"/>
      <c r="F27" s="49"/>
      <c r="G27" s="49"/>
      <c r="H27" s="49"/>
      <c r="I27" s="49"/>
      <c r="J27" s="53"/>
      <c r="K27" s="54"/>
      <c r="L27" s="53"/>
      <c r="M27" s="55"/>
      <c r="N27" s="56" t="b">
        <v>0</v>
      </c>
      <c r="O27" s="56" t="b">
        <v>0</v>
      </c>
      <c r="P27" s="56" t="b">
        <v>0</v>
      </c>
      <c r="Q27" s="168"/>
      <c r="R27" s="168"/>
      <c r="S27" s="49"/>
      <c r="T27" s="49"/>
    </row>
    <row r="28" outlineLevel="1">
      <c r="A28" s="49"/>
      <c r="B28" s="232"/>
      <c r="C28" s="51"/>
      <c r="D28" s="49"/>
      <c r="E28" s="49"/>
      <c r="F28" s="49"/>
      <c r="G28" s="49"/>
      <c r="H28" s="49"/>
      <c r="I28" s="49"/>
      <c r="J28" s="53"/>
      <c r="K28" s="62"/>
      <c r="L28" s="53"/>
      <c r="M28" s="55"/>
      <c r="N28" s="56" t="b">
        <v>0</v>
      </c>
      <c r="O28" s="56" t="b">
        <v>0</v>
      </c>
      <c r="P28" s="56" t="b">
        <v>0</v>
      </c>
      <c r="Q28" s="168"/>
      <c r="R28" s="241"/>
      <c r="S28" s="181"/>
      <c r="T28" s="168"/>
    </row>
    <row r="29" outlineLevel="1">
      <c r="A29" s="49"/>
      <c r="B29" s="232"/>
      <c r="C29" s="51"/>
      <c r="D29" s="49"/>
      <c r="E29" s="49"/>
      <c r="F29" s="49"/>
      <c r="G29" s="49"/>
      <c r="H29" s="49"/>
      <c r="I29" s="49"/>
      <c r="J29" s="53"/>
      <c r="K29" s="54"/>
      <c r="L29" s="53"/>
      <c r="M29" s="55"/>
      <c r="N29" s="56" t="b">
        <v>0</v>
      </c>
      <c r="O29" s="56" t="b">
        <v>0</v>
      </c>
      <c r="P29" s="56" t="b">
        <v>0</v>
      </c>
      <c r="Q29" s="168"/>
      <c r="R29" s="168"/>
      <c r="S29" s="168"/>
      <c r="T29" s="49"/>
    </row>
    <row r="30" outlineLevel="1">
      <c r="A30" s="49"/>
      <c r="B30" s="232"/>
      <c r="C30" s="51"/>
      <c r="D30" s="49"/>
      <c r="E30" s="49"/>
      <c r="F30" s="77"/>
      <c r="G30" s="49"/>
      <c r="H30" s="49"/>
      <c r="I30" s="49"/>
      <c r="J30" s="53"/>
      <c r="K30" s="88"/>
      <c r="L30" s="53"/>
      <c r="M30" s="55"/>
      <c r="N30" s="56" t="b">
        <v>0</v>
      </c>
      <c r="O30" s="56" t="b">
        <v>0</v>
      </c>
      <c r="P30" s="56" t="b">
        <v>0</v>
      </c>
      <c r="Q30" s="168"/>
      <c r="R30" s="89"/>
      <c r="S30" s="89"/>
      <c r="T30" s="49"/>
    </row>
    <row r="31" outlineLevel="1">
      <c r="A31" s="49"/>
      <c r="B31" s="232"/>
      <c r="C31" s="51"/>
      <c r="D31" s="49"/>
      <c r="E31" s="49"/>
      <c r="F31" s="49"/>
      <c r="G31" s="49"/>
      <c r="H31" s="49"/>
      <c r="I31" s="49"/>
      <c r="J31" s="53"/>
      <c r="K31" s="81"/>
      <c r="L31" s="53"/>
      <c r="M31" s="55"/>
      <c r="N31" s="56" t="b">
        <v>0</v>
      </c>
      <c r="O31" s="56" t="b">
        <v>0</v>
      </c>
      <c r="P31" s="56" t="b">
        <v>0</v>
      </c>
      <c r="Q31" s="168"/>
      <c r="R31" s="168"/>
      <c r="S31" s="49"/>
      <c r="T31" s="49"/>
    </row>
    <row r="32" outlineLevel="1">
      <c r="A32" s="49"/>
      <c r="B32" s="232"/>
      <c r="C32" s="51"/>
      <c r="D32" s="49"/>
      <c r="E32" s="49"/>
      <c r="F32" s="49"/>
      <c r="G32" s="49"/>
      <c r="H32" s="49"/>
      <c r="I32" s="49"/>
      <c r="J32" s="53"/>
      <c r="K32" s="62"/>
      <c r="L32" s="53"/>
      <c r="M32" s="55"/>
      <c r="N32" s="56" t="b">
        <v>0</v>
      </c>
      <c r="O32" s="56" t="b">
        <v>0</v>
      </c>
      <c r="P32" s="56" t="b">
        <v>0</v>
      </c>
      <c r="Q32" s="168"/>
      <c r="R32" s="168"/>
      <c r="S32" s="168"/>
      <c r="T32" s="49"/>
    </row>
    <row r="33" outlineLevel="1">
      <c r="A33" s="49"/>
      <c r="B33" s="232"/>
      <c r="C33" s="51"/>
      <c r="D33" s="49"/>
      <c r="E33" s="49"/>
      <c r="F33" s="86"/>
      <c r="G33" s="49"/>
      <c r="H33" s="49"/>
      <c r="I33" s="52"/>
      <c r="J33" s="53"/>
      <c r="K33" s="54"/>
      <c r="L33" s="53"/>
      <c r="M33" s="55"/>
      <c r="N33" s="56" t="b">
        <v>0</v>
      </c>
      <c r="O33" s="56" t="b">
        <v>0</v>
      </c>
      <c r="P33" s="56" t="b">
        <v>0</v>
      </c>
      <c r="Q33" s="180"/>
      <c r="R33" s="168"/>
      <c r="S33" s="168"/>
      <c r="T33" s="89"/>
    </row>
    <row r="34" outlineLevel="1">
      <c r="A34" s="49"/>
      <c r="B34" s="232"/>
      <c r="C34" s="51"/>
      <c r="D34" s="49"/>
      <c r="E34" s="49"/>
      <c r="F34" s="86"/>
      <c r="G34" s="49"/>
      <c r="H34" s="52"/>
      <c r="I34" s="52"/>
      <c r="J34" s="53"/>
      <c r="K34" s="54"/>
      <c r="L34" s="64"/>
      <c r="M34" s="55"/>
      <c r="N34" s="56" t="b">
        <v>0</v>
      </c>
      <c r="O34" s="56" t="b">
        <v>0</v>
      </c>
      <c r="P34" s="56" t="b">
        <v>0</v>
      </c>
      <c r="Q34" s="180"/>
      <c r="R34" s="168"/>
      <c r="S34" s="168"/>
      <c r="T34" s="89"/>
    </row>
    <row r="35" outlineLevel="1">
      <c r="A35" s="49"/>
      <c r="B35" s="232"/>
      <c r="C35" s="51"/>
      <c r="D35" s="49"/>
      <c r="E35" s="49"/>
      <c r="F35" s="77"/>
      <c r="G35" s="49"/>
      <c r="H35" s="49"/>
      <c r="I35" s="49"/>
      <c r="J35" s="53"/>
      <c r="K35" s="54"/>
      <c r="L35" s="53"/>
      <c r="M35" s="55"/>
      <c r="N35" s="56" t="b">
        <v>0</v>
      </c>
      <c r="O35" s="56" t="b">
        <v>0</v>
      </c>
      <c r="P35" s="56" t="b">
        <v>0</v>
      </c>
      <c r="Q35" s="77"/>
      <c r="R35" s="241"/>
      <c r="S35" s="241"/>
      <c r="T35" s="89"/>
    </row>
    <row r="36" outlineLevel="1">
      <c r="A36" s="49"/>
      <c r="B36" s="232"/>
      <c r="C36" s="51"/>
      <c r="D36" s="49"/>
      <c r="E36" s="49"/>
      <c r="F36" s="77"/>
      <c r="G36" s="49"/>
      <c r="H36" s="49"/>
      <c r="I36" s="49"/>
      <c r="J36" s="53"/>
      <c r="K36" s="54"/>
      <c r="L36" s="53"/>
      <c r="M36" s="55"/>
      <c r="N36" s="56" t="b">
        <v>0</v>
      </c>
      <c r="O36" s="56" t="b">
        <v>0</v>
      </c>
      <c r="P36" s="56" t="b">
        <v>0</v>
      </c>
      <c r="Q36" s="77"/>
      <c r="R36" s="89"/>
      <c r="S36" s="89"/>
      <c r="T36" s="89"/>
    </row>
    <row r="37" outlineLevel="1">
      <c r="A37" s="49"/>
      <c r="B37" s="232"/>
      <c r="C37" s="51"/>
      <c r="D37" s="49"/>
      <c r="E37" s="49"/>
      <c r="F37" s="52"/>
      <c r="G37" s="52"/>
      <c r="H37" s="52"/>
      <c r="I37" s="49"/>
      <c r="J37" s="53"/>
      <c r="K37" s="54"/>
      <c r="L37" s="53"/>
      <c r="M37" s="55"/>
      <c r="N37" s="56" t="b">
        <v>0</v>
      </c>
      <c r="O37" s="56" t="b">
        <v>0</v>
      </c>
      <c r="P37" s="56" t="b">
        <v>0</v>
      </c>
      <c r="Q37" s="168"/>
      <c r="R37" s="49"/>
      <c r="S37" s="49"/>
      <c r="T37" s="89"/>
    </row>
    <row r="38" outlineLevel="1">
      <c r="A38" s="49"/>
      <c r="B38" s="232"/>
      <c r="C38" s="51"/>
      <c r="D38" s="49"/>
      <c r="E38" s="49"/>
      <c r="F38" s="52"/>
      <c r="G38" s="49"/>
      <c r="H38" s="49"/>
      <c r="I38" s="52"/>
      <c r="J38" s="64"/>
      <c r="K38" s="54"/>
      <c r="L38" s="53"/>
      <c r="M38" s="55"/>
      <c r="N38" s="56" t="b">
        <v>0</v>
      </c>
      <c r="O38" s="56" t="b">
        <v>0</v>
      </c>
      <c r="P38" s="56" t="b">
        <v>0</v>
      </c>
      <c r="Q38" s="168"/>
      <c r="R38" s="89"/>
      <c r="S38" s="89"/>
      <c r="T38" s="49"/>
    </row>
    <row r="39" outlineLevel="1">
      <c r="A39" s="49"/>
      <c r="B39" s="232"/>
      <c r="C39" s="51"/>
      <c r="D39" s="49"/>
      <c r="E39" s="49"/>
      <c r="F39" s="52"/>
      <c r="G39" s="49"/>
      <c r="H39" s="49"/>
      <c r="I39" s="49"/>
      <c r="J39" s="53"/>
      <c r="K39" s="54"/>
      <c r="L39" s="53"/>
      <c r="M39" s="55"/>
      <c r="N39" s="56" t="b">
        <v>0</v>
      </c>
      <c r="O39" s="56" t="b">
        <v>0</v>
      </c>
      <c r="P39" s="56" t="b">
        <v>0</v>
      </c>
      <c r="Q39" s="180"/>
      <c r="R39" s="168"/>
      <c r="S39" s="241"/>
      <c r="T39" s="89"/>
    </row>
    <row r="40" outlineLevel="1">
      <c r="A40" s="49"/>
      <c r="B40" s="232"/>
      <c r="C40" s="51"/>
      <c r="D40" s="49"/>
      <c r="E40" s="49"/>
      <c r="F40" s="49"/>
      <c r="G40" s="49"/>
      <c r="H40" s="49"/>
      <c r="I40" s="52"/>
      <c r="J40" s="53"/>
      <c r="K40" s="62"/>
      <c r="L40" s="53"/>
      <c r="M40" s="55"/>
      <c r="N40" s="56" t="b">
        <v>0</v>
      </c>
      <c r="O40" s="56" t="b">
        <v>0</v>
      </c>
      <c r="P40" s="56" t="b">
        <v>0</v>
      </c>
      <c r="Q40" s="168"/>
      <c r="R40" s="168"/>
      <c r="S40" s="168"/>
      <c r="T40" s="89"/>
    </row>
    <row r="41" outlineLevel="1">
      <c r="A41" s="49"/>
      <c r="B41" s="232"/>
      <c r="C41" s="51"/>
      <c r="D41" s="49"/>
      <c r="E41" s="49"/>
      <c r="F41" s="49"/>
      <c r="G41" s="49"/>
      <c r="H41" s="49"/>
      <c r="I41" s="49"/>
      <c r="J41" s="80"/>
      <c r="K41" s="135"/>
      <c r="L41" s="53"/>
      <c r="M41" s="55"/>
      <c r="N41" s="56" t="b">
        <v>0</v>
      </c>
      <c r="O41" s="56" t="b">
        <v>0</v>
      </c>
      <c r="P41" s="56" t="b">
        <v>0</v>
      </c>
      <c r="Q41" s="241"/>
      <c r="R41" s="241"/>
      <c r="S41" s="241"/>
      <c r="T41" s="89"/>
    </row>
    <row r="42" outlineLevel="1">
      <c r="A42" s="49"/>
      <c r="B42" s="232"/>
      <c r="C42" s="79"/>
      <c r="D42" s="89"/>
      <c r="E42" s="89"/>
      <c r="F42" s="169"/>
      <c r="G42" s="89"/>
      <c r="H42" s="89"/>
      <c r="I42" s="89"/>
      <c r="J42" s="80"/>
      <c r="K42" s="170"/>
      <c r="L42" s="80"/>
      <c r="M42" s="55"/>
      <c r="N42" s="56" t="b">
        <v>0</v>
      </c>
      <c r="O42" s="56" t="b">
        <v>0</v>
      </c>
      <c r="P42" s="56" t="b">
        <v>0</v>
      </c>
      <c r="Q42" s="242"/>
      <c r="R42" s="89"/>
      <c r="S42" s="89"/>
      <c r="T42" s="89"/>
    </row>
    <row r="43" outlineLevel="1">
      <c r="A43" s="49"/>
      <c r="B43" s="232"/>
      <c r="C43" s="243"/>
      <c r="D43" s="244"/>
      <c r="E43" s="244"/>
      <c r="F43" s="245"/>
      <c r="G43" s="244"/>
      <c r="H43" s="244"/>
      <c r="I43" s="244"/>
      <c r="J43" s="246"/>
      <c r="K43" s="247"/>
      <c r="L43" s="246"/>
      <c r="M43" s="55"/>
      <c r="N43" s="56" t="b">
        <v>0</v>
      </c>
      <c r="O43" s="56" t="b">
        <v>0</v>
      </c>
      <c r="P43" s="56" t="b">
        <v>0</v>
      </c>
      <c r="Q43" s="248"/>
      <c r="R43" s="249"/>
      <c r="S43" s="250"/>
      <c r="T43" s="251"/>
    </row>
    <row r="44" outlineLevel="1">
      <c r="A44" s="49"/>
      <c r="B44" s="232"/>
      <c r="C44" s="79"/>
      <c r="D44" s="89"/>
      <c r="E44" s="89"/>
      <c r="F44" s="169"/>
      <c r="G44" s="61"/>
      <c r="H44" s="61"/>
      <c r="I44" s="61"/>
      <c r="J44" s="173"/>
      <c r="K44" s="170"/>
      <c r="L44" s="173"/>
      <c r="M44" s="55"/>
      <c r="N44" s="56" t="b">
        <v>0</v>
      </c>
      <c r="O44" s="56" t="b">
        <v>0</v>
      </c>
      <c r="P44" s="56" t="b">
        <v>0</v>
      </c>
      <c r="Q44" s="242"/>
      <c r="R44" s="71"/>
      <c r="S44" s="169"/>
      <c r="T44" s="61"/>
    </row>
    <row r="45" outlineLevel="1">
      <c r="A45" s="49"/>
      <c r="B45" s="232"/>
      <c r="C45" s="136"/>
      <c r="D45" s="61"/>
      <c r="E45" s="61"/>
      <c r="F45" s="61"/>
      <c r="G45" s="61"/>
      <c r="H45" s="61"/>
      <c r="I45" s="61"/>
      <c r="J45" s="173"/>
      <c r="K45" s="174"/>
      <c r="L45" s="173"/>
      <c r="M45" s="55"/>
      <c r="N45" s="56" t="b">
        <v>0</v>
      </c>
      <c r="O45" s="56" t="b">
        <v>0</v>
      </c>
      <c r="P45" s="56" t="b">
        <v>0</v>
      </c>
      <c r="Q45" s="242"/>
      <c r="R45" s="71"/>
      <c r="S45" s="61"/>
      <c r="T45" s="61"/>
    </row>
    <row r="46">
      <c r="A46" s="141"/>
      <c r="B46" s="138">
        <f>COUNTIF(B4:B45, "*")</f>
        <v>8</v>
      </c>
      <c r="C46" s="143" t="s">
        <v>3</v>
      </c>
      <c r="D46" s="140">
        <f>COUNTIF(D4:D45,"&lt;&gt;")</f>
        <v>8</v>
      </c>
      <c r="E46" s="141"/>
      <c r="F46" s="142"/>
      <c r="G46" s="141"/>
      <c r="H46" s="141"/>
      <c r="I46" s="143" t="s">
        <v>3</v>
      </c>
      <c r="J46" s="144">
        <f>SUM(J2:J45)</f>
        <v>75</v>
      </c>
      <c r="K46" s="145"/>
      <c r="L46" s="144">
        <f>SUM(L4:L45)</f>
        <v>695</v>
      </c>
      <c r="M46" s="146">
        <f>COUNTIF(M4:M45, "*")</f>
        <v>5</v>
      </c>
      <c r="N46" s="147">
        <f t="shared" ref="N46:P46" si="1">SUMPRODUCT(--N4:N45)</f>
        <v>7</v>
      </c>
      <c r="O46" s="147">
        <f t="shared" si="1"/>
        <v>8</v>
      </c>
      <c r="P46" s="147">
        <f t="shared" si="1"/>
        <v>7</v>
      </c>
      <c r="Q46" s="148"/>
      <c r="R46" s="141"/>
      <c r="S46" s="141"/>
      <c r="T46" s="141"/>
    </row>
    <row r="47">
      <c r="A47" s="149" t="s">
        <v>223</v>
      </c>
      <c r="B47" s="150">
        <f>COUNTIF(B4:B45, "SEDE*")</f>
        <v>4</v>
      </c>
      <c r="C47" s="151"/>
      <c r="D47" s="152"/>
      <c r="E47" s="153"/>
      <c r="F47" s="154"/>
      <c r="G47" s="153"/>
      <c r="H47" s="153"/>
      <c r="I47" s="151"/>
      <c r="J47" s="155"/>
      <c r="K47" s="156"/>
      <c r="L47" s="155"/>
      <c r="M47" s="155"/>
      <c r="N47" s="155"/>
      <c r="O47" s="152"/>
      <c r="P47" s="152"/>
      <c r="Q47" s="152"/>
      <c r="R47" s="157"/>
      <c r="S47" s="153"/>
      <c r="T47" s="153"/>
    </row>
    <row r="48">
      <c r="A48" s="149" t="s">
        <v>37</v>
      </c>
      <c r="B48" s="150">
        <f>COUNTIF(B4:B45, "ONLINE")</f>
        <v>4</v>
      </c>
      <c r="C48" s="151"/>
      <c r="D48" s="152"/>
      <c r="E48" s="153"/>
      <c r="F48" s="154"/>
      <c r="G48" s="153"/>
      <c r="H48" s="153"/>
      <c r="I48" s="151"/>
      <c r="J48" s="155"/>
      <c r="K48" s="156"/>
      <c r="L48" s="155"/>
      <c r="M48" s="155"/>
      <c r="N48" s="155"/>
      <c r="O48" s="152"/>
      <c r="P48" s="152"/>
      <c r="Q48" s="152"/>
      <c r="R48" s="157"/>
      <c r="S48" s="153"/>
      <c r="T48" s="153"/>
    </row>
    <row r="49">
      <c r="A49" s="252" t="s">
        <v>224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"/>
    </row>
    <row r="50" outlineLevel="1">
      <c r="A50" s="49"/>
      <c r="B50" s="50"/>
      <c r="C50" s="51"/>
      <c r="D50" s="49"/>
      <c r="E50" s="49"/>
      <c r="F50" s="52"/>
      <c r="G50" s="49"/>
      <c r="H50" s="49"/>
      <c r="I50" s="49"/>
      <c r="J50" s="53"/>
      <c r="K50" s="54"/>
      <c r="L50" s="53"/>
      <c r="M50" s="55"/>
      <c r="N50" s="56"/>
      <c r="O50" s="56"/>
      <c r="P50" s="56"/>
      <c r="Q50" s="180"/>
      <c r="R50" s="73"/>
      <c r="S50" s="73"/>
      <c r="T50" s="197"/>
    </row>
    <row r="51" outlineLevel="1">
      <c r="A51" s="49" t="s">
        <v>36</v>
      </c>
      <c r="B51" s="50" t="s">
        <v>147</v>
      </c>
      <c r="C51" s="233">
        <v>45759.0</v>
      </c>
      <c r="D51" s="253" t="s">
        <v>422</v>
      </c>
      <c r="E51" s="253" t="s">
        <v>340</v>
      </c>
      <c r="F51" s="253">
        <v>3.483902953E9</v>
      </c>
      <c r="G51" s="235">
        <v>12.0</v>
      </c>
      <c r="H51" s="235" t="s">
        <v>423</v>
      </c>
      <c r="I51" s="235" t="s">
        <v>233</v>
      </c>
      <c r="J51" s="236">
        <v>0.0</v>
      </c>
      <c r="K51" s="237">
        <v>46137.0</v>
      </c>
      <c r="L51" s="236">
        <v>75.0</v>
      </c>
      <c r="M51" s="55"/>
      <c r="N51" s="56" t="b">
        <v>0</v>
      </c>
      <c r="O51" s="56" t="b">
        <v>1</v>
      </c>
      <c r="P51" s="56" t="b">
        <v>1</v>
      </c>
      <c r="Q51" s="254" t="s">
        <v>449</v>
      </c>
      <c r="R51" s="254" t="s">
        <v>425</v>
      </c>
      <c r="S51" s="254">
        <v>3.518219309E9</v>
      </c>
      <c r="T51" s="168"/>
    </row>
    <row r="52" outlineLevel="1">
      <c r="A52" s="49" t="s">
        <v>49</v>
      </c>
      <c r="B52" s="50" t="s">
        <v>78</v>
      </c>
      <c r="C52" s="51">
        <v>45769.0</v>
      </c>
      <c r="D52" s="58" t="s">
        <v>426</v>
      </c>
      <c r="E52" s="58" t="s">
        <v>427</v>
      </c>
      <c r="F52" s="255">
        <v>3.931092182E9</v>
      </c>
      <c r="G52" s="49">
        <v>12.0</v>
      </c>
      <c r="H52" s="256"/>
      <c r="I52" s="49"/>
      <c r="J52" s="53">
        <v>0.0</v>
      </c>
      <c r="K52" s="54">
        <v>45922.0</v>
      </c>
      <c r="L52" s="53">
        <v>75.0</v>
      </c>
      <c r="M52" s="55"/>
      <c r="N52" s="56" t="b">
        <v>1</v>
      </c>
      <c r="O52" s="56" t="b">
        <v>1</v>
      </c>
      <c r="P52" s="56" t="b">
        <v>1</v>
      </c>
      <c r="Q52" s="257"/>
      <c r="R52" s="49"/>
      <c r="S52" s="49"/>
      <c r="T52" s="49" t="s">
        <v>387</v>
      </c>
    </row>
    <row r="53" outlineLevel="1">
      <c r="A53" s="49" t="s">
        <v>53</v>
      </c>
      <c r="B53" s="232" t="s">
        <v>54</v>
      </c>
      <c r="C53" s="51">
        <v>45775.0</v>
      </c>
      <c r="D53" s="49" t="s">
        <v>430</v>
      </c>
      <c r="E53" s="49" t="s">
        <v>431</v>
      </c>
      <c r="F53" s="49">
        <v>3.38820808E9</v>
      </c>
      <c r="G53" s="49">
        <v>9.0</v>
      </c>
      <c r="H53" s="49" t="s">
        <v>345</v>
      </c>
      <c r="I53" s="49" t="s">
        <v>432</v>
      </c>
      <c r="J53" s="53">
        <v>0.0</v>
      </c>
      <c r="K53" s="62">
        <v>45947.0</v>
      </c>
      <c r="L53" s="53">
        <v>75.0</v>
      </c>
      <c r="M53" s="55"/>
      <c r="N53" s="56" t="b">
        <v>1</v>
      </c>
      <c r="O53" s="56" t="b">
        <v>1</v>
      </c>
      <c r="P53" s="56" t="b">
        <v>1</v>
      </c>
      <c r="Q53" s="60" t="s">
        <v>433</v>
      </c>
      <c r="R53" s="49"/>
      <c r="S53" s="49"/>
      <c r="T53" s="58"/>
    </row>
    <row r="54" outlineLevel="1">
      <c r="A54" s="49" t="s">
        <v>49</v>
      </c>
      <c r="B54" s="50" t="s">
        <v>37</v>
      </c>
      <c r="C54" s="51">
        <v>45803.0</v>
      </c>
      <c r="D54" s="49" t="s">
        <v>450</v>
      </c>
      <c r="E54" s="49" t="s">
        <v>451</v>
      </c>
      <c r="F54" s="49">
        <v>3.495921431E9</v>
      </c>
      <c r="G54" s="49">
        <v>7.0</v>
      </c>
      <c r="H54" s="49" t="s">
        <v>64</v>
      </c>
      <c r="I54" s="49" t="s">
        <v>452</v>
      </c>
      <c r="J54" s="64">
        <v>25.0</v>
      </c>
      <c r="K54" s="54">
        <v>46167.0</v>
      </c>
      <c r="L54" s="64">
        <v>115.0</v>
      </c>
      <c r="M54" s="55" t="s">
        <v>101</v>
      </c>
      <c r="N54" s="56" t="b">
        <v>0</v>
      </c>
      <c r="O54" s="56" t="b">
        <v>1</v>
      </c>
      <c r="P54" s="56" t="b">
        <v>1</v>
      </c>
      <c r="Q54" s="180" t="s">
        <v>453</v>
      </c>
      <c r="R54" s="52">
        <v>3.495921431E9</v>
      </c>
      <c r="S54" s="182"/>
      <c r="T54" s="49"/>
    </row>
    <row r="55" outlineLevel="1">
      <c r="A55" s="49" t="s">
        <v>49</v>
      </c>
      <c r="B55" s="50" t="s">
        <v>37</v>
      </c>
      <c r="C55" s="51">
        <v>45817.0</v>
      </c>
      <c r="D55" s="49" t="s">
        <v>446</v>
      </c>
      <c r="E55" s="49" t="s">
        <v>447</v>
      </c>
      <c r="F55" s="52">
        <v>3.476422978E9</v>
      </c>
      <c r="G55" s="49"/>
      <c r="H55" s="52"/>
      <c r="I55" s="52"/>
      <c r="J55" s="53">
        <v>0.0</v>
      </c>
      <c r="K55" s="54">
        <v>45932.0</v>
      </c>
      <c r="L55" s="53">
        <v>105.0</v>
      </c>
      <c r="M55" s="55"/>
      <c r="N55" s="56" t="b">
        <v>0</v>
      </c>
      <c r="O55" s="56" t="b">
        <v>1</v>
      </c>
      <c r="P55" s="56" t="b">
        <v>0</v>
      </c>
      <c r="Q55" s="180" t="s">
        <v>448</v>
      </c>
      <c r="R55" s="168"/>
      <c r="S55" s="168"/>
      <c r="T55" s="89"/>
    </row>
    <row r="56" outlineLevel="1">
      <c r="A56" s="49"/>
      <c r="B56" s="50"/>
      <c r="C56" s="51"/>
      <c r="D56" s="49"/>
      <c r="E56" s="49"/>
      <c r="F56" s="52"/>
      <c r="G56" s="73"/>
      <c r="H56" s="73"/>
      <c r="I56" s="73"/>
      <c r="J56" s="53"/>
      <c r="K56" s="170"/>
      <c r="L56" s="53"/>
      <c r="M56" s="55"/>
      <c r="N56" s="56" t="b">
        <v>0</v>
      </c>
      <c r="O56" s="56" t="b">
        <v>0</v>
      </c>
      <c r="P56" s="56" t="b">
        <v>0</v>
      </c>
      <c r="Q56" s="257"/>
      <c r="R56" s="191"/>
      <c r="S56" s="191"/>
      <c r="T56" s="168"/>
    </row>
    <row r="57" outlineLevel="1">
      <c r="A57" s="49"/>
      <c r="B57" s="50"/>
      <c r="C57" s="51"/>
      <c r="D57" s="49"/>
      <c r="E57" s="49"/>
      <c r="F57" s="52"/>
      <c r="G57" s="49"/>
      <c r="H57" s="49"/>
      <c r="I57" s="49"/>
      <c r="J57" s="53"/>
      <c r="K57" s="54"/>
      <c r="L57" s="53"/>
      <c r="M57" s="55"/>
      <c r="N57" s="56" t="b">
        <v>0</v>
      </c>
      <c r="O57" s="56" t="b">
        <v>0</v>
      </c>
      <c r="P57" s="56" t="b">
        <v>0</v>
      </c>
      <c r="Q57" s="180"/>
      <c r="R57" s="180"/>
      <c r="S57" s="180"/>
      <c r="T57" s="258"/>
    </row>
    <row r="58" outlineLevel="1">
      <c r="A58" s="73"/>
      <c r="B58" s="50"/>
      <c r="C58" s="51"/>
      <c r="D58" s="73"/>
      <c r="E58" s="73"/>
      <c r="F58" s="52"/>
      <c r="G58" s="49"/>
      <c r="H58" s="49"/>
      <c r="I58" s="49"/>
      <c r="J58" s="53"/>
      <c r="K58" s="62"/>
      <c r="L58" s="53"/>
      <c r="M58" s="55"/>
      <c r="N58" s="56" t="b">
        <v>0</v>
      </c>
      <c r="O58" s="56" t="b">
        <v>0</v>
      </c>
      <c r="P58" s="56" t="b">
        <v>0</v>
      </c>
      <c r="Q58" s="180"/>
      <c r="R58" s="168"/>
      <c r="S58" s="168"/>
      <c r="T58" s="49"/>
    </row>
    <row r="59" outlineLevel="1">
      <c r="A59" s="49"/>
      <c r="B59" s="50"/>
      <c r="C59" s="51"/>
      <c r="D59" s="49"/>
      <c r="E59" s="49"/>
      <c r="F59" s="52"/>
      <c r="G59" s="49"/>
      <c r="H59" s="49"/>
      <c r="I59" s="49"/>
      <c r="J59" s="53"/>
      <c r="K59" s="68"/>
      <c r="L59" s="53"/>
      <c r="M59" s="55"/>
      <c r="N59" s="56" t="b">
        <v>0</v>
      </c>
      <c r="O59" s="56" t="b">
        <v>0</v>
      </c>
      <c r="P59" s="56" t="b">
        <v>0</v>
      </c>
      <c r="Q59" s="180"/>
      <c r="R59" s="241"/>
      <c r="S59" s="241"/>
      <c r="T59" s="49"/>
    </row>
    <row r="60" outlineLevel="1">
      <c r="A60" s="49"/>
      <c r="B60" s="50"/>
      <c r="C60" s="51"/>
      <c r="D60" s="49"/>
      <c r="E60" s="49"/>
      <c r="F60" s="49"/>
      <c r="G60" s="49"/>
      <c r="H60" s="49"/>
      <c r="I60" s="49"/>
      <c r="J60" s="53"/>
      <c r="K60" s="62"/>
      <c r="L60" s="53"/>
      <c r="M60" s="55"/>
      <c r="N60" s="56" t="b">
        <v>0</v>
      </c>
      <c r="O60" s="56" t="b">
        <v>0</v>
      </c>
      <c r="P60" s="56" t="b">
        <v>0</v>
      </c>
      <c r="Q60" s="168"/>
      <c r="R60" s="168"/>
      <c r="S60" s="180"/>
      <c r="T60" s="49"/>
    </row>
    <row r="61" outlineLevel="1">
      <c r="A61" s="49"/>
      <c r="B61" s="50"/>
      <c r="C61" s="51"/>
      <c r="D61" s="49"/>
      <c r="E61" s="49"/>
      <c r="F61" s="49"/>
      <c r="G61" s="49"/>
      <c r="H61" s="49"/>
      <c r="I61" s="49"/>
      <c r="J61" s="64"/>
      <c r="K61" s="54"/>
      <c r="L61" s="64"/>
      <c r="M61" s="55"/>
      <c r="N61" s="56" t="b">
        <v>0</v>
      </c>
      <c r="O61" s="56" t="b">
        <v>0</v>
      </c>
      <c r="P61" s="56" t="b">
        <v>0</v>
      </c>
      <c r="Q61" s="180"/>
      <c r="R61" s="168"/>
      <c r="S61" s="168"/>
      <c r="T61" s="89"/>
    </row>
    <row r="62" outlineLevel="1">
      <c r="A62" s="49"/>
      <c r="B62" s="50"/>
      <c r="C62" s="51"/>
      <c r="D62" s="49"/>
      <c r="E62" s="49"/>
      <c r="F62" s="49"/>
      <c r="G62" s="49"/>
      <c r="H62" s="49"/>
      <c r="I62" s="49"/>
      <c r="J62" s="53"/>
      <c r="K62" s="62"/>
      <c r="L62" s="53"/>
      <c r="M62" s="55"/>
      <c r="N62" s="56" t="b">
        <v>0</v>
      </c>
      <c r="O62" s="56" t="b">
        <v>0</v>
      </c>
      <c r="P62" s="56" t="b">
        <v>0</v>
      </c>
      <c r="Q62" s="168"/>
      <c r="R62" s="52"/>
      <c r="S62" s="182"/>
      <c r="T62" s="49"/>
    </row>
    <row r="63" outlineLevel="1">
      <c r="A63" s="49"/>
      <c r="B63" s="50"/>
      <c r="C63" s="51"/>
      <c r="D63" s="49"/>
      <c r="E63" s="49"/>
      <c r="F63" s="49"/>
      <c r="G63" s="49"/>
      <c r="H63" s="49"/>
      <c r="I63" s="52"/>
      <c r="J63" s="53"/>
      <c r="K63" s="54"/>
      <c r="L63" s="53"/>
      <c r="M63" s="55"/>
      <c r="N63" s="56" t="b">
        <v>0</v>
      </c>
      <c r="O63" s="56" t="b">
        <v>0</v>
      </c>
      <c r="P63" s="56" t="b">
        <v>0</v>
      </c>
      <c r="Q63" s="168"/>
      <c r="R63" s="180"/>
      <c r="S63" s="180"/>
      <c r="T63" s="89"/>
    </row>
    <row r="64" outlineLevel="1">
      <c r="A64" s="49"/>
      <c r="B64" s="50"/>
      <c r="C64" s="51"/>
      <c r="D64" s="49"/>
      <c r="E64" s="49"/>
      <c r="F64" s="49"/>
      <c r="G64" s="49"/>
      <c r="H64" s="49"/>
      <c r="I64" s="49"/>
      <c r="J64" s="53"/>
      <c r="K64" s="62"/>
      <c r="L64" s="53"/>
      <c r="M64" s="55"/>
      <c r="N64" s="56" t="b">
        <v>0</v>
      </c>
      <c r="O64" s="56" t="b">
        <v>0</v>
      </c>
      <c r="P64" s="56" t="b">
        <v>0</v>
      </c>
      <c r="Q64" s="168"/>
      <c r="R64" s="49"/>
      <c r="S64" s="49"/>
      <c r="T64" s="49"/>
    </row>
    <row r="65" outlineLevel="1">
      <c r="A65" s="49"/>
      <c r="B65" s="50"/>
      <c r="C65" s="51"/>
      <c r="D65" s="49"/>
      <c r="E65" s="49"/>
      <c r="F65" s="52"/>
      <c r="G65" s="49"/>
      <c r="H65" s="49"/>
      <c r="I65" s="49"/>
      <c r="J65" s="53"/>
      <c r="K65" s="54"/>
      <c r="L65" s="53"/>
      <c r="M65" s="55"/>
      <c r="N65" s="56" t="b">
        <v>0</v>
      </c>
      <c r="O65" s="56" t="b">
        <v>0</v>
      </c>
      <c r="P65" s="56" t="b">
        <v>0</v>
      </c>
      <c r="Q65" s="180"/>
      <c r="R65" s="241"/>
      <c r="S65" s="241"/>
      <c r="T65" s="89"/>
    </row>
    <row r="66" outlineLevel="1">
      <c r="A66" s="49"/>
      <c r="B66" s="50"/>
      <c r="C66" s="51"/>
      <c r="D66" s="49"/>
      <c r="E66" s="49"/>
      <c r="F66" s="52"/>
      <c r="G66" s="49"/>
      <c r="H66" s="49"/>
      <c r="I66" s="49"/>
      <c r="J66" s="53"/>
      <c r="K66" s="54"/>
      <c r="L66" s="53"/>
      <c r="M66" s="55"/>
      <c r="N66" s="56" t="b">
        <v>0</v>
      </c>
      <c r="O66" s="56" t="b">
        <v>0</v>
      </c>
      <c r="P66" s="56" t="b">
        <v>0</v>
      </c>
      <c r="Q66" s="180"/>
      <c r="R66" s="241"/>
      <c r="S66" s="241"/>
      <c r="T66" s="89"/>
    </row>
    <row r="67" outlineLevel="1">
      <c r="A67" s="49"/>
      <c r="B67" s="50"/>
      <c r="C67" s="51"/>
      <c r="D67" s="49"/>
      <c r="E67" s="49"/>
      <c r="F67" s="52"/>
      <c r="G67" s="49"/>
      <c r="H67" s="49"/>
      <c r="I67" s="52"/>
      <c r="J67" s="64"/>
      <c r="K67" s="54"/>
      <c r="L67" s="53"/>
      <c r="M67" s="55"/>
      <c r="N67" s="56" t="b">
        <v>0</v>
      </c>
      <c r="O67" s="56" t="b">
        <v>0</v>
      </c>
      <c r="P67" s="56" t="b">
        <v>0</v>
      </c>
      <c r="Q67" s="168"/>
      <c r="R67" s="168"/>
      <c r="S67" s="168"/>
      <c r="T67" s="49"/>
    </row>
    <row r="68" outlineLevel="1">
      <c r="A68" s="49"/>
      <c r="B68" s="50"/>
      <c r="C68" s="51"/>
      <c r="D68" s="49"/>
      <c r="E68" s="49"/>
      <c r="F68" s="49"/>
      <c r="G68" s="49"/>
      <c r="H68" s="49"/>
      <c r="I68" s="49"/>
      <c r="J68" s="53"/>
      <c r="K68" s="62"/>
      <c r="L68" s="53"/>
      <c r="M68" s="55"/>
      <c r="N68" s="56" t="b">
        <v>0</v>
      </c>
      <c r="O68" s="56" t="b">
        <v>0</v>
      </c>
      <c r="P68" s="56" t="b">
        <v>0</v>
      </c>
      <c r="Q68" s="168"/>
      <c r="R68" s="168"/>
      <c r="S68" s="180"/>
      <c r="T68" s="49"/>
    </row>
    <row r="69" outlineLevel="1">
      <c r="A69" s="49"/>
      <c r="B69" s="50"/>
      <c r="C69" s="51"/>
      <c r="D69" s="49"/>
      <c r="E69" s="49"/>
      <c r="F69" s="49"/>
      <c r="G69" s="49"/>
      <c r="H69" s="52"/>
      <c r="I69" s="49"/>
      <c r="J69" s="53"/>
      <c r="K69" s="62"/>
      <c r="L69" s="64"/>
      <c r="M69" s="55"/>
      <c r="N69" s="56" t="b">
        <v>0</v>
      </c>
      <c r="O69" s="56" t="b">
        <v>0</v>
      </c>
      <c r="P69" s="56" t="b">
        <v>0</v>
      </c>
      <c r="Q69" s="168"/>
      <c r="R69" s="89"/>
      <c r="S69" s="168"/>
      <c r="T69" s="89"/>
    </row>
    <row r="70" outlineLevel="1">
      <c r="A70" s="49"/>
      <c r="B70" s="50"/>
      <c r="C70" s="51"/>
      <c r="D70" s="49"/>
      <c r="E70" s="49"/>
      <c r="F70" s="49"/>
      <c r="G70" s="49"/>
      <c r="H70" s="49"/>
      <c r="I70" s="49"/>
      <c r="J70" s="53"/>
      <c r="K70" s="54"/>
      <c r="L70" s="53"/>
      <c r="M70" s="55"/>
      <c r="N70" s="56" t="b">
        <v>0</v>
      </c>
      <c r="O70" s="56" t="b">
        <v>0</v>
      </c>
      <c r="P70" s="56" t="b">
        <v>0</v>
      </c>
      <c r="Q70" s="168"/>
      <c r="R70" s="168"/>
      <c r="S70" s="49"/>
      <c r="T70" s="89"/>
    </row>
    <row r="71" outlineLevel="1">
      <c r="A71" s="49"/>
      <c r="B71" s="50"/>
      <c r="C71" s="51"/>
      <c r="D71" s="49"/>
      <c r="E71" s="49"/>
      <c r="F71" s="52"/>
      <c r="G71" s="49"/>
      <c r="H71" s="49"/>
      <c r="I71" s="49"/>
      <c r="J71" s="64"/>
      <c r="K71" s="54"/>
      <c r="L71" s="64"/>
      <c r="M71" s="55"/>
      <c r="N71" s="56" t="b">
        <v>0</v>
      </c>
      <c r="O71" s="56" t="b">
        <v>0</v>
      </c>
      <c r="P71" s="56" t="b">
        <v>0</v>
      </c>
      <c r="Q71" s="168"/>
      <c r="R71" s="49"/>
      <c r="S71" s="49"/>
      <c r="T71" s="49"/>
    </row>
    <row r="72" outlineLevel="1">
      <c r="A72" s="49"/>
      <c r="B72" s="50"/>
      <c r="C72" s="51"/>
      <c r="D72" s="49"/>
      <c r="E72" s="49"/>
      <c r="F72" s="52"/>
      <c r="G72" s="49"/>
      <c r="H72" s="49"/>
      <c r="I72" s="49"/>
      <c r="J72" s="53"/>
      <c r="K72" s="54"/>
      <c r="L72" s="53"/>
      <c r="M72" s="55"/>
      <c r="N72" s="56" t="b">
        <v>0</v>
      </c>
      <c r="O72" s="56" t="b">
        <v>0</v>
      </c>
      <c r="P72" s="56" t="b">
        <v>0</v>
      </c>
      <c r="Q72" s="180"/>
      <c r="R72" s="168"/>
      <c r="S72" s="49"/>
      <c r="T72" s="49"/>
    </row>
    <row r="73" outlineLevel="1">
      <c r="A73" s="49"/>
      <c r="B73" s="50"/>
      <c r="C73" s="51"/>
      <c r="D73" s="49"/>
      <c r="E73" s="49"/>
      <c r="F73" s="167"/>
      <c r="G73" s="49"/>
      <c r="H73" s="49"/>
      <c r="I73" s="49"/>
      <c r="J73" s="53"/>
      <c r="K73" s="62"/>
      <c r="L73" s="53"/>
      <c r="M73" s="55"/>
      <c r="N73" s="56" t="b">
        <v>0</v>
      </c>
      <c r="O73" s="56" t="b">
        <v>0</v>
      </c>
      <c r="P73" s="56" t="b">
        <v>0</v>
      </c>
      <c r="Q73" s="168"/>
      <c r="R73" s="181"/>
      <c r="S73" s="182"/>
      <c r="T73" s="49"/>
    </row>
    <row r="74" outlineLevel="1">
      <c r="A74" s="49"/>
      <c r="B74" s="50"/>
      <c r="C74" s="51"/>
      <c r="D74" s="49"/>
      <c r="E74" s="49"/>
      <c r="F74" s="52"/>
      <c r="G74" s="49"/>
      <c r="H74" s="49"/>
      <c r="I74" s="52"/>
      <c r="J74" s="53"/>
      <c r="K74" s="54"/>
      <c r="L74" s="53"/>
      <c r="M74" s="55"/>
      <c r="N74" s="56" t="b">
        <v>0</v>
      </c>
      <c r="O74" s="56" t="b">
        <v>0</v>
      </c>
      <c r="P74" s="56" t="b">
        <v>0</v>
      </c>
      <c r="Q74" s="180"/>
      <c r="R74" s="241"/>
      <c r="S74" s="241"/>
      <c r="T74" s="49"/>
    </row>
    <row r="75" outlineLevel="1">
      <c r="A75" s="49"/>
      <c r="B75" s="50"/>
      <c r="C75" s="51"/>
      <c r="D75" s="49"/>
      <c r="E75" s="49"/>
      <c r="F75" s="52"/>
      <c r="G75" s="49"/>
      <c r="H75" s="49"/>
      <c r="I75" s="49"/>
      <c r="J75" s="53"/>
      <c r="K75" s="54"/>
      <c r="L75" s="53"/>
      <c r="M75" s="55"/>
      <c r="N75" s="56" t="b">
        <v>0</v>
      </c>
      <c r="O75" s="56" t="b">
        <v>0</v>
      </c>
      <c r="P75" s="56" t="b">
        <v>0</v>
      </c>
      <c r="Q75" s="180"/>
      <c r="R75" s="168"/>
      <c r="S75" s="168"/>
      <c r="T75" s="49"/>
    </row>
    <row r="76" outlineLevel="1">
      <c r="A76" s="49"/>
      <c r="B76" s="50"/>
      <c r="C76" s="51"/>
      <c r="D76" s="49"/>
      <c r="E76" s="49"/>
      <c r="F76" s="49"/>
      <c r="G76" s="49"/>
      <c r="H76" s="49"/>
      <c r="I76" s="49"/>
      <c r="J76" s="53"/>
      <c r="K76" s="62"/>
      <c r="L76" s="53"/>
      <c r="M76" s="55"/>
      <c r="N76" s="56" t="b">
        <v>0</v>
      </c>
      <c r="O76" s="56" t="b">
        <v>0</v>
      </c>
      <c r="P76" s="56" t="b">
        <v>0</v>
      </c>
      <c r="Q76" s="168"/>
      <c r="R76" s="89"/>
      <c r="S76" s="49"/>
      <c r="T76" s="89"/>
    </row>
    <row r="77" outlineLevel="1">
      <c r="A77" s="49"/>
      <c r="B77" s="50"/>
      <c r="C77" s="51"/>
      <c r="D77" s="49"/>
      <c r="E77" s="49"/>
      <c r="F77" s="49"/>
      <c r="G77" s="49"/>
      <c r="H77" s="49"/>
      <c r="I77" s="52"/>
      <c r="J77" s="53"/>
      <c r="K77" s="62"/>
      <c r="L77" s="53"/>
      <c r="M77" s="55"/>
      <c r="N77" s="56" t="b">
        <v>0</v>
      </c>
      <c r="O77" s="56" t="b">
        <v>0</v>
      </c>
      <c r="P77" s="56" t="b">
        <v>0</v>
      </c>
      <c r="Q77" s="168"/>
      <c r="R77" s="89"/>
      <c r="S77" s="49"/>
      <c r="T77" s="89"/>
    </row>
    <row r="78" outlineLevel="1">
      <c r="A78" s="49"/>
      <c r="B78" s="50"/>
      <c r="C78" s="51"/>
      <c r="D78" s="49"/>
      <c r="E78" s="49"/>
      <c r="F78" s="49"/>
      <c r="G78" s="49"/>
      <c r="H78" s="49"/>
      <c r="I78" s="49"/>
      <c r="J78" s="53"/>
      <c r="K78" s="54"/>
      <c r="L78" s="53"/>
      <c r="M78" s="55"/>
      <c r="N78" s="56" t="b">
        <v>0</v>
      </c>
      <c r="O78" s="56" t="b">
        <v>0</v>
      </c>
      <c r="P78" s="56" t="b">
        <v>0</v>
      </c>
      <c r="Q78" s="168"/>
      <c r="R78" s="168"/>
      <c r="S78" s="49"/>
      <c r="T78" s="49"/>
    </row>
    <row r="79" outlineLevel="1">
      <c r="A79" s="49"/>
      <c r="B79" s="50"/>
      <c r="C79" s="51"/>
      <c r="D79" s="49"/>
      <c r="E79" s="49"/>
      <c r="F79" s="49"/>
      <c r="G79" s="49"/>
      <c r="H79" s="49"/>
      <c r="I79" s="49"/>
      <c r="J79" s="53"/>
      <c r="K79" s="62"/>
      <c r="L79" s="53"/>
      <c r="M79" s="55"/>
      <c r="N79" s="56" t="b">
        <v>0</v>
      </c>
      <c r="O79" s="56" t="b">
        <v>0</v>
      </c>
      <c r="P79" s="56" t="b">
        <v>0</v>
      </c>
      <c r="Q79" s="168"/>
      <c r="R79" s="241"/>
      <c r="S79" s="181"/>
      <c r="T79" s="168"/>
    </row>
    <row r="80" outlineLevel="1">
      <c r="A80" s="49"/>
      <c r="B80" s="50"/>
      <c r="C80" s="51"/>
      <c r="D80" s="49"/>
      <c r="E80" s="49"/>
      <c r="F80" s="49"/>
      <c r="G80" s="49"/>
      <c r="H80" s="49"/>
      <c r="I80" s="49"/>
      <c r="J80" s="53"/>
      <c r="K80" s="54"/>
      <c r="L80" s="53"/>
      <c r="M80" s="55"/>
      <c r="N80" s="56" t="b">
        <v>0</v>
      </c>
      <c r="O80" s="56" t="b">
        <v>0</v>
      </c>
      <c r="P80" s="56" t="b">
        <v>0</v>
      </c>
      <c r="Q80" s="168"/>
      <c r="R80" s="168"/>
      <c r="S80" s="168"/>
      <c r="T80" s="49"/>
    </row>
    <row r="81" outlineLevel="1">
      <c r="A81" s="49"/>
      <c r="B81" s="50"/>
      <c r="C81" s="51"/>
      <c r="D81" s="49"/>
      <c r="E81" s="49"/>
      <c r="F81" s="77"/>
      <c r="G81" s="49"/>
      <c r="H81" s="49"/>
      <c r="I81" s="49"/>
      <c r="J81" s="53"/>
      <c r="K81" s="88"/>
      <c r="L81" s="53"/>
      <c r="M81" s="55"/>
      <c r="N81" s="56" t="b">
        <v>0</v>
      </c>
      <c r="O81" s="56" t="b">
        <v>0</v>
      </c>
      <c r="P81" s="56" t="b">
        <v>0</v>
      </c>
      <c r="Q81" s="168"/>
      <c r="R81" s="89"/>
      <c r="S81" s="89"/>
      <c r="T81" s="49"/>
    </row>
    <row r="82" outlineLevel="1">
      <c r="A82" s="49"/>
      <c r="B82" s="50"/>
      <c r="C82" s="51"/>
      <c r="D82" s="49"/>
      <c r="E82" s="49"/>
      <c r="F82" s="49"/>
      <c r="G82" s="49"/>
      <c r="H82" s="49"/>
      <c r="I82" s="49"/>
      <c r="J82" s="53"/>
      <c r="K82" s="81"/>
      <c r="L82" s="53"/>
      <c r="M82" s="55"/>
      <c r="N82" s="56" t="b">
        <v>0</v>
      </c>
      <c r="O82" s="56" t="b">
        <v>0</v>
      </c>
      <c r="P82" s="56" t="b">
        <v>0</v>
      </c>
      <c r="Q82" s="168"/>
      <c r="R82" s="168"/>
      <c r="S82" s="49"/>
      <c r="T82" s="49"/>
    </row>
    <row r="83" outlineLevel="1">
      <c r="A83" s="49"/>
      <c r="B83" s="50"/>
      <c r="C83" s="51"/>
      <c r="D83" s="49"/>
      <c r="E83" s="49"/>
      <c r="F83" s="49"/>
      <c r="G83" s="49"/>
      <c r="H83" s="49"/>
      <c r="I83" s="49"/>
      <c r="J83" s="53"/>
      <c r="K83" s="62"/>
      <c r="L83" s="53"/>
      <c r="M83" s="55"/>
      <c r="N83" s="56" t="b">
        <v>0</v>
      </c>
      <c r="O83" s="56" t="b">
        <v>0</v>
      </c>
      <c r="P83" s="56" t="b">
        <v>0</v>
      </c>
      <c r="Q83" s="168"/>
      <c r="R83" s="168"/>
      <c r="S83" s="168"/>
      <c r="T83" s="49"/>
    </row>
    <row r="84" outlineLevel="1">
      <c r="A84" s="49"/>
      <c r="B84" s="50"/>
      <c r="C84" s="51"/>
      <c r="D84" s="49"/>
      <c r="E84" s="49"/>
      <c r="F84" s="86"/>
      <c r="G84" s="49"/>
      <c r="H84" s="49"/>
      <c r="I84" s="52"/>
      <c r="J84" s="53"/>
      <c r="K84" s="54"/>
      <c r="L84" s="53"/>
      <c r="M84" s="55"/>
      <c r="N84" s="56" t="b">
        <v>0</v>
      </c>
      <c r="O84" s="56" t="b">
        <v>0</v>
      </c>
      <c r="P84" s="56" t="b">
        <v>0</v>
      </c>
      <c r="Q84" s="180"/>
      <c r="R84" s="168"/>
      <c r="S84" s="168"/>
      <c r="T84" s="89"/>
    </row>
    <row r="85" outlineLevel="1">
      <c r="A85" s="49"/>
      <c r="B85" s="50"/>
      <c r="C85" s="51"/>
      <c r="D85" s="49"/>
      <c r="E85" s="49"/>
      <c r="F85" s="86"/>
      <c r="G85" s="49"/>
      <c r="H85" s="52"/>
      <c r="I85" s="52"/>
      <c r="J85" s="53"/>
      <c r="K85" s="54"/>
      <c r="L85" s="64"/>
      <c r="M85" s="55"/>
      <c r="N85" s="56" t="b">
        <v>0</v>
      </c>
      <c r="O85" s="56" t="b">
        <v>0</v>
      </c>
      <c r="P85" s="56" t="b">
        <v>0</v>
      </c>
      <c r="Q85" s="180"/>
      <c r="R85" s="168"/>
      <c r="S85" s="168"/>
      <c r="T85" s="89"/>
    </row>
    <row r="86" outlineLevel="1">
      <c r="A86" s="49"/>
      <c r="B86" s="50"/>
      <c r="C86" s="51"/>
      <c r="D86" s="49"/>
      <c r="E86" s="49"/>
      <c r="F86" s="77"/>
      <c r="G86" s="49"/>
      <c r="H86" s="49"/>
      <c r="I86" s="49"/>
      <c r="J86" s="53"/>
      <c r="K86" s="54"/>
      <c r="L86" s="53"/>
      <c r="M86" s="55"/>
      <c r="N86" s="56" t="b">
        <v>0</v>
      </c>
      <c r="O86" s="56" t="b">
        <v>0</v>
      </c>
      <c r="P86" s="56" t="b">
        <v>0</v>
      </c>
      <c r="Q86" s="77"/>
      <c r="R86" s="241"/>
      <c r="S86" s="241"/>
      <c r="T86" s="89"/>
    </row>
    <row r="87" outlineLevel="1">
      <c r="A87" s="49"/>
      <c r="B87" s="50"/>
      <c r="C87" s="51"/>
      <c r="D87" s="49"/>
      <c r="E87" s="49"/>
      <c r="F87" s="77"/>
      <c r="G87" s="49"/>
      <c r="H87" s="49"/>
      <c r="I87" s="49"/>
      <c r="J87" s="53"/>
      <c r="K87" s="54"/>
      <c r="L87" s="53"/>
      <c r="M87" s="55"/>
      <c r="N87" s="56" t="b">
        <v>0</v>
      </c>
      <c r="O87" s="56" t="b">
        <v>0</v>
      </c>
      <c r="P87" s="56" t="b">
        <v>0</v>
      </c>
      <c r="Q87" s="77"/>
      <c r="R87" s="89"/>
      <c r="S87" s="89"/>
      <c r="T87" s="89"/>
    </row>
    <row r="88" outlineLevel="1">
      <c r="A88" s="49"/>
      <c r="B88" s="50"/>
      <c r="C88" s="51"/>
      <c r="D88" s="49"/>
      <c r="E88" s="49"/>
      <c r="F88" s="52"/>
      <c r="G88" s="52"/>
      <c r="H88" s="52"/>
      <c r="I88" s="49"/>
      <c r="J88" s="53"/>
      <c r="K88" s="54"/>
      <c r="L88" s="53"/>
      <c r="M88" s="55"/>
      <c r="N88" s="56" t="b">
        <v>0</v>
      </c>
      <c r="O88" s="56" t="b">
        <v>0</v>
      </c>
      <c r="P88" s="56" t="b">
        <v>0</v>
      </c>
      <c r="Q88" s="168"/>
      <c r="R88" s="49"/>
      <c r="S88" s="49"/>
      <c r="T88" s="89"/>
    </row>
    <row r="89" outlineLevel="1">
      <c r="A89" s="49"/>
      <c r="B89" s="50"/>
      <c r="C89" s="51"/>
      <c r="D89" s="49"/>
      <c r="E89" s="49"/>
      <c r="F89" s="52"/>
      <c r="G89" s="49"/>
      <c r="H89" s="49"/>
      <c r="I89" s="52"/>
      <c r="J89" s="64"/>
      <c r="K89" s="54"/>
      <c r="L89" s="53"/>
      <c r="M89" s="55"/>
      <c r="N89" s="56" t="b">
        <v>0</v>
      </c>
      <c r="O89" s="56" t="b">
        <v>0</v>
      </c>
      <c r="P89" s="56" t="b">
        <v>0</v>
      </c>
      <c r="Q89" s="168"/>
      <c r="R89" s="89"/>
      <c r="S89" s="89"/>
      <c r="T89" s="49"/>
    </row>
    <row r="90" outlineLevel="1">
      <c r="A90" s="49"/>
      <c r="B90" s="50"/>
      <c r="C90" s="51"/>
      <c r="D90" s="49"/>
      <c r="E90" s="49"/>
      <c r="F90" s="52"/>
      <c r="G90" s="49"/>
      <c r="H90" s="49"/>
      <c r="I90" s="49"/>
      <c r="J90" s="53"/>
      <c r="K90" s="54"/>
      <c r="L90" s="53"/>
      <c r="M90" s="55"/>
      <c r="N90" s="56" t="b">
        <v>0</v>
      </c>
      <c r="O90" s="56" t="b">
        <v>0</v>
      </c>
      <c r="P90" s="56" t="b">
        <v>0</v>
      </c>
      <c r="Q90" s="180"/>
      <c r="R90" s="168"/>
      <c r="S90" s="241"/>
      <c r="T90" s="89"/>
    </row>
    <row r="91" outlineLevel="1">
      <c r="A91" s="49"/>
      <c r="B91" s="50"/>
      <c r="C91" s="51"/>
      <c r="D91" s="49"/>
      <c r="E91" s="49"/>
      <c r="F91" s="49"/>
      <c r="G91" s="49"/>
      <c r="H91" s="49"/>
      <c r="I91" s="52"/>
      <c r="J91" s="53"/>
      <c r="K91" s="62"/>
      <c r="L91" s="53"/>
      <c r="M91" s="55"/>
      <c r="N91" s="56" t="b">
        <v>0</v>
      </c>
      <c r="O91" s="56" t="b">
        <v>0</v>
      </c>
      <c r="P91" s="56" t="b">
        <v>0</v>
      </c>
      <c r="Q91" s="168"/>
      <c r="R91" s="168"/>
      <c r="S91" s="168"/>
      <c r="T91" s="89"/>
    </row>
    <row r="92" outlineLevel="1">
      <c r="A92" s="49"/>
      <c r="B92" s="50"/>
      <c r="C92" s="51"/>
      <c r="D92" s="49"/>
      <c r="E92" s="49"/>
      <c r="F92" s="49"/>
      <c r="G92" s="49"/>
      <c r="H92" s="49"/>
      <c r="I92" s="49"/>
      <c r="J92" s="80"/>
      <c r="K92" s="135"/>
      <c r="L92" s="53"/>
      <c r="M92" s="55"/>
      <c r="N92" s="56" t="b">
        <v>0</v>
      </c>
      <c r="O92" s="56" t="b">
        <v>0</v>
      </c>
      <c r="P92" s="56" t="b">
        <v>0</v>
      </c>
      <c r="Q92" s="241"/>
      <c r="R92" s="241"/>
      <c r="S92" s="241"/>
      <c r="T92" s="89"/>
    </row>
    <row r="93" outlineLevel="1">
      <c r="A93" s="49"/>
      <c r="B93" s="50"/>
      <c r="C93" s="79"/>
      <c r="D93" s="89"/>
      <c r="E93" s="89"/>
      <c r="F93" s="169"/>
      <c r="G93" s="89"/>
      <c r="H93" s="89"/>
      <c r="I93" s="89"/>
      <c r="J93" s="80"/>
      <c r="K93" s="170"/>
      <c r="L93" s="80"/>
      <c r="M93" s="55"/>
      <c r="N93" s="56" t="b">
        <v>0</v>
      </c>
      <c r="O93" s="56" t="b">
        <v>0</v>
      </c>
      <c r="P93" s="56" t="b">
        <v>0</v>
      </c>
      <c r="Q93" s="242"/>
      <c r="R93" s="89"/>
      <c r="S93" s="89"/>
      <c r="T93" s="89"/>
    </row>
    <row r="94" outlineLevel="1">
      <c r="A94" s="49"/>
      <c r="B94" s="50"/>
      <c r="C94" s="243"/>
      <c r="D94" s="244"/>
      <c r="E94" s="244"/>
      <c r="F94" s="245"/>
      <c r="G94" s="244"/>
      <c r="H94" s="244"/>
      <c r="I94" s="244"/>
      <c r="J94" s="246"/>
      <c r="K94" s="247"/>
      <c r="L94" s="246"/>
      <c r="M94" s="55"/>
      <c r="N94" s="56" t="b">
        <v>0</v>
      </c>
      <c r="O94" s="56" t="b">
        <v>0</v>
      </c>
      <c r="P94" s="56" t="b">
        <v>0</v>
      </c>
      <c r="Q94" s="248"/>
      <c r="R94" s="249"/>
      <c r="S94" s="250"/>
      <c r="T94" s="251"/>
    </row>
    <row r="95" outlineLevel="1">
      <c r="A95" s="49"/>
      <c r="B95" s="50"/>
      <c r="C95" s="79"/>
      <c r="D95" s="89"/>
      <c r="E95" s="89"/>
      <c r="F95" s="169"/>
      <c r="G95" s="61"/>
      <c r="H95" s="61"/>
      <c r="I95" s="61"/>
      <c r="J95" s="173"/>
      <c r="K95" s="170"/>
      <c r="L95" s="173"/>
      <c r="M95" s="55"/>
      <c r="N95" s="56" t="b">
        <v>0</v>
      </c>
      <c r="O95" s="56" t="b">
        <v>0</v>
      </c>
      <c r="P95" s="56" t="b">
        <v>0</v>
      </c>
      <c r="Q95" s="242"/>
      <c r="R95" s="71"/>
      <c r="S95" s="169"/>
      <c r="T95" s="61"/>
    </row>
    <row r="96" outlineLevel="1">
      <c r="A96" s="49"/>
      <c r="B96" s="50"/>
      <c r="C96" s="136"/>
      <c r="D96" s="61"/>
      <c r="E96" s="61"/>
      <c r="F96" s="61"/>
      <c r="G96" s="61"/>
      <c r="H96" s="61"/>
      <c r="I96" s="61"/>
      <c r="J96" s="173"/>
      <c r="K96" s="174"/>
      <c r="L96" s="173"/>
      <c r="M96" s="55"/>
      <c r="N96" s="56" t="b">
        <v>0</v>
      </c>
      <c r="O96" s="56" t="b">
        <v>0</v>
      </c>
      <c r="P96" s="56" t="b">
        <v>0</v>
      </c>
      <c r="Q96" s="242"/>
      <c r="R96" s="71"/>
      <c r="S96" s="61"/>
      <c r="T96" s="61"/>
    </row>
    <row r="97">
      <c r="A97" s="141"/>
      <c r="B97" s="138">
        <f>COUNTIF(B50:B96, "*")</f>
        <v>5</v>
      </c>
      <c r="C97" s="143" t="s">
        <v>3</v>
      </c>
      <c r="D97" s="140">
        <f>COUNTIF(D50:D96,"&lt;&gt;")</f>
        <v>5</v>
      </c>
      <c r="E97" s="141"/>
      <c r="F97" s="142"/>
      <c r="G97" s="141"/>
      <c r="H97" s="141"/>
      <c r="I97" s="143" t="s">
        <v>3</v>
      </c>
      <c r="J97" s="144">
        <f>SUM(J48:J96)</f>
        <v>25</v>
      </c>
      <c r="K97" s="145"/>
      <c r="L97" s="144">
        <f>SUM(L50:L96)</f>
        <v>445</v>
      </c>
      <c r="M97" s="146">
        <f>COUNTIF(M50:M96, "*")</f>
        <v>1</v>
      </c>
      <c r="N97" s="147">
        <f t="shared" ref="N97:P97" si="2">SUMPRODUCT(--N50:N96)</f>
        <v>2</v>
      </c>
      <c r="O97" s="147">
        <f t="shared" si="2"/>
        <v>5</v>
      </c>
      <c r="P97" s="147">
        <f t="shared" si="2"/>
        <v>4</v>
      </c>
      <c r="Q97" s="148"/>
      <c r="R97" s="141"/>
      <c r="S97" s="141"/>
      <c r="T97" s="141"/>
    </row>
    <row r="98">
      <c r="A98" s="149" t="s">
        <v>223</v>
      </c>
      <c r="B98" s="150">
        <f>COUNTIF(B50:B96, "SEDE*")</f>
        <v>3</v>
      </c>
      <c r="C98" s="151"/>
      <c r="D98" s="152"/>
      <c r="E98" s="153"/>
      <c r="F98" s="154"/>
      <c r="G98" s="153"/>
      <c r="H98" s="153"/>
      <c r="I98" s="151"/>
      <c r="J98" s="155"/>
      <c r="K98" s="156"/>
      <c r="L98" s="155"/>
      <c r="M98" s="155"/>
      <c r="N98" s="155"/>
      <c r="O98" s="152"/>
      <c r="P98" s="152"/>
      <c r="Q98" s="152"/>
      <c r="R98" s="157"/>
      <c r="S98" s="153"/>
      <c r="T98" s="153"/>
    </row>
    <row r="99">
      <c r="A99" s="149" t="s">
        <v>37</v>
      </c>
      <c r="B99" s="150">
        <f>COUNTIF(B50:B96, "ONLINE")</f>
        <v>2</v>
      </c>
      <c r="C99" s="151"/>
      <c r="D99" s="152"/>
      <c r="E99" s="153"/>
      <c r="F99" s="154"/>
      <c r="G99" s="153"/>
      <c r="H99" s="153"/>
      <c r="I99" s="151"/>
      <c r="J99" s="155"/>
      <c r="K99" s="156"/>
      <c r="L99" s="155"/>
      <c r="M99" s="155"/>
      <c r="N99" s="155"/>
      <c r="O99" s="152"/>
      <c r="P99" s="152"/>
      <c r="Q99" s="152"/>
      <c r="R99" s="157"/>
      <c r="S99" s="153"/>
      <c r="T99" s="153"/>
    </row>
    <row r="100">
      <c r="A100" s="143" t="s">
        <v>3</v>
      </c>
      <c r="B100" s="138">
        <f>SUM(B46,B97)</f>
        <v>13</v>
      </c>
      <c r="C100" s="143" t="s">
        <v>3</v>
      </c>
      <c r="D100" s="140">
        <f>SUM(D46,D97)</f>
        <v>13</v>
      </c>
      <c r="E100" s="141"/>
      <c r="F100" s="214"/>
      <c r="G100" s="175"/>
      <c r="H100" s="175"/>
      <c r="I100" s="143" t="s">
        <v>3</v>
      </c>
      <c r="J100" s="217">
        <f>SUM(J46,J97)</f>
        <v>100</v>
      </c>
      <c r="K100" s="143" t="s">
        <v>3</v>
      </c>
      <c r="L100" s="217">
        <f t="shared" ref="L100:P100" si="3">SUM(L46,L97)</f>
        <v>1140</v>
      </c>
      <c r="M100" s="146">
        <f t="shared" si="3"/>
        <v>6</v>
      </c>
      <c r="N100" s="146">
        <f t="shared" si="3"/>
        <v>9</v>
      </c>
      <c r="O100" s="146">
        <f t="shared" si="3"/>
        <v>13</v>
      </c>
      <c r="P100" s="146">
        <f t="shared" si="3"/>
        <v>11</v>
      </c>
      <c r="Q100" s="216"/>
      <c r="R100" s="178"/>
      <c r="S100" s="178"/>
      <c r="T100" s="175"/>
    </row>
    <row r="101">
      <c r="A101" s="151"/>
      <c r="B101" s="218"/>
      <c r="C101" s="151"/>
      <c r="D101" s="152"/>
      <c r="E101" s="153"/>
      <c r="F101" s="219"/>
      <c r="G101" s="220"/>
      <c r="H101" s="220"/>
      <c r="I101" s="221" t="s">
        <v>223</v>
      </c>
      <c r="J101" s="222">
        <f>SUMIF($B4:$B99,"*SEDE*",J4:J99)</f>
        <v>50</v>
      </c>
      <c r="K101" s="221" t="s">
        <v>223</v>
      </c>
      <c r="L101" s="222">
        <f>SUMIF($B4:$B99,"*SEDE*",L4:L99)</f>
        <v>565</v>
      </c>
      <c r="M101" s="223"/>
      <c r="N101" s="223"/>
      <c r="O101" s="223"/>
      <c r="P101" s="223"/>
      <c r="Q101" s="225"/>
      <c r="R101" s="226"/>
      <c r="S101" s="226"/>
      <c r="T101" s="220"/>
    </row>
    <row r="102">
      <c r="A102" s="151"/>
      <c r="B102" s="218"/>
      <c r="C102" s="151"/>
      <c r="D102" s="152"/>
      <c r="E102" s="153"/>
      <c r="F102" s="219"/>
      <c r="G102" s="220"/>
      <c r="H102" s="220"/>
      <c r="I102" s="227" t="s">
        <v>37</v>
      </c>
      <c r="J102" s="228">
        <f>SUMIF($B4:$B99,"*ONLINE*",J4:J99)</f>
        <v>50</v>
      </c>
      <c r="K102" s="227" t="s">
        <v>37</v>
      </c>
      <c r="L102" s="228">
        <f>SUMIF($B4:$B99,"*ONLINE*",L4:L99)</f>
        <v>575</v>
      </c>
      <c r="M102" s="223"/>
      <c r="N102" s="223"/>
      <c r="O102" s="223"/>
      <c r="P102" s="223"/>
      <c r="Q102" s="225"/>
      <c r="R102" s="226"/>
      <c r="S102" s="226"/>
      <c r="T102" s="220"/>
    </row>
  </sheetData>
  <mergeCells count="3">
    <mergeCell ref="A1:T1"/>
    <mergeCell ref="A3:T3"/>
    <mergeCell ref="A49:T49"/>
  </mergeCells>
  <dataValidations>
    <dataValidation type="custom" allowBlank="1" showDropDown="1" showInputMessage="1" showErrorMessage="1" prompt="inserire una data valida" sqref="C4:C45 C50:C96">
      <formula1>OR(NOT(ISERROR(DATEVALUE(C4))), AND(ISNUMBER(C4), LEFT(CELL("format", C4))="D"))</formula1>
    </dataValidation>
    <dataValidation type="list" allowBlank="1" showErrorMessage="1" sqref="A4:A45 A50:A96">
      <formula1>elenchi!$D$2:$D$30</formula1>
    </dataValidation>
    <dataValidation type="list" allowBlank="1" showErrorMessage="1" sqref="M4:M45 M50:M96">
      <formula1>elenchi!$E$2:$E$30</formula1>
    </dataValidation>
    <dataValidation type="list" allowBlank="1" showErrorMessage="1" sqref="B4 B50:B52 B54:B96">
      <formula1>"ONLINE,SEDE Estefany,SEDE Giuditta,SEDE Alexandra,SEDE Nura,SEDE Joel"</formula1>
    </dataValidation>
    <dataValidation type="list" allowBlank="1" showErrorMessage="1" sqref="B5:B45 B53">
      <formula1>"ONLINE,SEDE Estefany,SEDE Giuditta,SEDE Alexandra,SEDE Nura,SEDE Joel"</formula1>
    </dataValidation>
  </dataValidations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27.38"/>
    <col customWidth="1" min="7" max="7" width="26.25"/>
    <col customWidth="1" min="8" max="8" width="15.88"/>
    <col customWidth="1" min="10" max="10" width="35.38"/>
    <col customWidth="1" min="16" max="16" width="43.5"/>
  </cols>
  <sheetData>
    <row r="1">
      <c r="A1" s="259" t="s">
        <v>454</v>
      </c>
      <c r="B1" s="260"/>
      <c r="C1" s="260"/>
      <c r="D1" s="260"/>
      <c r="E1" s="261"/>
      <c r="F1" s="259" t="s">
        <v>455</v>
      </c>
      <c r="G1" s="260"/>
      <c r="H1" s="260"/>
      <c r="I1" s="260"/>
      <c r="J1" s="261"/>
      <c r="K1" s="259" t="s">
        <v>456</v>
      </c>
      <c r="L1" s="260"/>
      <c r="M1" s="260"/>
      <c r="N1" s="260"/>
      <c r="O1" s="261"/>
      <c r="P1" s="262" t="s">
        <v>457</v>
      </c>
    </row>
    <row r="2">
      <c r="A2" s="263">
        <v>45817.0</v>
      </c>
      <c r="B2" s="263">
        <v>45818.0</v>
      </c>
      <c r="C2" s="263">
        <v>45819.0</v>
      </c>
      <c r="D2" s="263">
        <v>45820.0</v>
      </c>
      <c r="E2" s="263">
        <v>45456.0</v>
      </c>
      <c r="F2" s="264" t="s">
        <v>19</v>
      </c>
      <c r="G2" s="264" t="s">
        <v>20</v>
      </c>
      <c r="H2" s="265" t="s">
        <v>21</v>
      </c>
      <c r="I2" s="266" t="s">
        <v>458</v>
      </c>
      <c r="J2" s="267" t="s">
        <v>5</v>
      </c>
      <c r="K2" s="263">
        <v>45817.0</v>
      </c>
      <c r="L2" s="263">
        <v>45818.0</v>
      </c>
      <c r="M2" s="263">
        <v>45819.0</v>
      </c>
      <c r="N2" s="263">
        <v>45820.0</v>
      </c>
      <c r="O2" s="263">
        <v>45456.0</v>
      </c>
      <c r="P2" s="268"/>
    </row>
    <row r="3">
      <c r="A3" s="269" t="b">
        <v>1</v>
      </c>
      <c r="B3" s="269" t="b">
        <v>0</v>
      </c>
      <c r="C3" s="270" t="b">
        <v>0</v>
      </c>
      <c r="D3" s="270" t="b">
        <v>0</v>
      </c>
      <c r="E3" s="270" t="b">
        <v>0</v>
      </c>
      <c r="F3" s="271" t="s">
        <v>183</v>
      </c>
      <c r="G3" s="271" t="s">
        <v>184</v>
      </c>
      <c r="H3" s="272">
        <v>3.44680224E9</v>
      </c>
      <c r="I3" s="272">
        <v>10.0</v>
      </c>
      <c r="J3" s="273" t="s">
        <v>188</v>
      </c>
      <c r="K3" s="269" t="b">
        <v>0</v>
      </c>
      <c r="L3" s="269" t="b">
        <v>0</v>
      </c>
      <c r="M3" s="270" t="b">
        <v>0</v>
      </c>
      <c r="N3" s="270" t="b">
        <v>0</v>
      </c>
      <c r="O3" s="270" t="b">
        <v>0</v>
      </c>
      <c r="P3" s="274" t="s">
        <v>187</v>
      </c>
    </row>
    <row r="4">
      <c r="A4" s="269" t="b">
        <v>1</v>
      </c>
      <c r="B4" s="270" t="b">
        <v>0</v>
      </c>
      <c r="C4" s="270" t="b">
        <v>0</v>
      </c>
      <c r="D4" s="270" t="b">
        <v>0</v>
      </c>
      <c r="E4" s="270" t="b">
        <v>0</v>
      </c>
      <c r="F4" s="271" t="s">
        <v>183</v>
      </c>
      <c r="G4" s="271" t="s">
        <v>191</v>
      </c>
      <c r="H4" s="272">
        <v>3.44680224E9</v>
      </c>
      <c r="I4" s="272">
        <v>10.0</v>
      </c>
      <c r="J4" s="273" t="s">
        <v>188</v>
      </c>
      <c r="K4" s="269" t="b">
        <v>0</v>
      </c>
      <c r="L4" s="270" t="b">
        <v>0</v>
      </c>
      <c r="M4" s="270" t="b">
        <v>0</v>
      </c>
      <c r="N4" s="270" t="b">
        <v>0</v>
      </c>
      <c r="O4" s="270" t="b">
        <v>0</v>
      </c>
      <c r="P4" s="275" t="s">
        <v>187</v>
      </c>
    </row>
    <row r="5">
      <c r="A5" s="269" t="b">
        <v>1</v>
      </c>
      <c r="B5" s="270" t="b">
        <v>0</v>
      </c>
      <c r="C5" s="270" t="b">
        <v>0</v>
      </c>
      <c r="D5" s="270" t="b">
        <v>0</v>
      </c>
      <c r="E5" s="270" t="b">
        <v>0</v>
      </c>
      <c r="F5" s="276" t="s">
        <v>189</v>
      </c>
      <c r="G5" s="276" t="s">
        <v>190</v>
      </c>
      <c r="H5" s="277">
        <v>3.44680224E9</v>
      </c>
      <c r="I5" s="277">
        <v>7.0</v>
      </c>
      <c r="J5" s="277" t="s">
        <v>188</v>
      </c>
      <c r="K5" s="269" t="b">
        <v>0</v>
      </c>
      <c r="L5" s="269" t="b">
        <v>0</v>
      </c>
      <c r="M5" s="270" t="b">
        <v>0</v>
      </c>
      <c r="N5" s="270" t="b">
        <v>0</v>
      </c>
      <c r="O5" s="270" t="b">
        <v>0</v>
      </c>
      <c r="P5" s="275" t="s">
        <v>187</v>
      </c>
    </row>
    <row r="6">
      <c r="A6" s="269" t="b">
        <v>1</v>
      </c>
      <c r="B6" s="269" t="b">
        <v>0</v>
      </c>
      <c r="C6" s="270" t="b">
        <v>0</v>
      </c>
      <c r="D6" s="270" t="b">
        <v>0</v>
      </c>
      <c r="E6" s="270" t="b">
        <v>0</v>
      </c>
      <c r="F6" s="278" t="s">
        <v>175</v>
      </c>
      <c r="G6" s="278" t="s">
        <v>176</v>
      </c>
      <c r="H6" s="272">
        <v>3.394587986E9</v>
      </c>
      <c r="I6" s="279"/>
      <c r="J6" s="273" t="s">
        <v>182</v>
      </c>
      <c r="K6" s="269" t="b">
        <v>0</v>
      </c>
      <c r="L6" s="269" t="b">
        <v>0</v>
      </c>
      <c r="M6" s="270" t="b">
        <v>0</v>
      </c>
      <c r="N6" s="270" t="b">
        <v>0</v>
      </c>
      <c r="O6" s="270" t="b">
        <v>0</v>
      </c>
      <c r="P6" s="274"/>
    </row>
    <row r="7">
      <c r="A7" s="269" t="b">
        <v>1</v>
      </c>
      <c r="B7" s="270" t="b">
        <v>0</v>
      </c>
      <c r="C7" s="270" t="b">
        <v>0</v>
      </c>
      <c r="D7" s="270" t="b">
        <v>0</v>
      </c>
      <c r="E7" s="270" t="b">
        <v>0</v>
      </c>
      <c r="F7" s="280" t="s">
        <v>434</v>
      </c>
      <c r="G7" s="280" t="s">
        <v>435</v>
      </c>
      <c r="H7" s="281">
        <v>3.288392632E9</v>
      </c>
      <c r="I7" s="281">
        <v>9.0</v>
      </c>
      <c r="J7" s="282"/>
      <c r="K7" s="269" t="b">
        <v>0</v>
      </c>
      <c r="L7" s="270" t="b">
        <v>0</v>
      </c>
      <c r="M7" s="270" t="b">
        <v>0</v>
      </c>
      <c r="N7" s="270" t="b">
        <v>0</v>
      </c>
      <c r="O7" s="270" t="b">
        <v>0</v>
      </c>
      <c r="P7" s="283"/>
    </row>
    <row r="8">
      <c r="A8" s="269" t="b">
        <v>1</v>
      </c>
      <c r="B8" s="270" t="b">
        <v>0</v>
      </c>
      <c r="C8" s="270" t="b">
        <v>0</v>
      </c>
      <c r="D8" s="270" t="b">
        <v>0</v>
      </c>
      <c r="E8" s="270" t="b">
        <v>0</v>
      </c>
      <c r="F8" s="271" t="s">
        <v>97</v>
      </c>
      <c r="G8" s="271" t="s">
        <v>98</v>
      </c>
      <c r="H8" s="272">
        <v>3.343517193E9</v>
      </c>
      <c r="I8" s="277">
        <v>10.0</v>
      </c>
      <c r="J8" s="273" t="s">
        <v>104</v>
      </c>
      <c r="K8" s="269" t="b">
        <v>0</v>
      </c>
      <c r="L8" s="270" t="b">
        <v>0</v>
      </c>
      <c r="M8" s="270" t="b">
        <v>0</v>
      </c>
      <c r="N8" s="270" t="b">
        <v>0</v>
      </c>
      <c r="O8" s="270" t="b">
        <v>0</v>
      </c>
      <c r="P8" s="275" t="s">
        <v>103</v>
      </c>
    </row>
    <row r="9">
      <c r="A9" s="269" t="b">
        <v>1</v>
      </c>
      <c r="B9" s="270" t="b">
        <v>0</v>
      </c>
      <c r="C9" s="270" t="b">
        <v>0</v>
      </c>
      <c r="D9" s="270" t="b">
        <v>0</v>
      </c>
      <c r="E9" s="270" t="b">
        <v>0</v>
      </c>
      <c r="F9" s="284" t="s">
        <v>442</v>
      </c>
      <c r="G9" s="284" t="s">
        <v>254</v>
      </c>
      <c r="H9" s="285">
        <v>3.923150058E9</v>
      </c>
      <c r="I9" s="285">
        <v>8.0</v>
      </c>
      <c r="J9" s="286"/>
      <c r="K9" s="269" t="b">
        <v>0</v>
      </c>
      <c r="L9" s="270" t="b">
        <v>0</v>
      </c>
      <c r="M9" s="270" t="b">
        <v>0</v>
      </c>
      <c r="N9" s="270" t="b">
        <v>0</v>
      </c>
      <c r="O9" s="270" t="b">
        <v>0</v>
      </c>
      <c r="P9" s="270"/>
    </row>
    <row r="10">
      <c r="A10" s="269" t="b">
        <v>1</v>
      </c>
      <c r="B10" s="269" t="b">
        <v>0</v>
      </c>
      <c r="C10" s="270" t="b">
        <v>0</v>
      </c>
      <c r="D10" s="270" t="b">
        <v>0</v>
      </c>
      <c r="E10" s="270" t="b">
        <v>0</v>
      </c>
      <c r="F10" s="271" t="s">
        <v>170</v>
      </c>
      <c r="G10" s="271" t="s">
        <v>98</v>
      </c>
      <c r="H10" s="272">
        <v>3.391676729E9</v>
      </c>
      <c r="I10" s="277">
        <v>10.0</v>
      </c>
      <c r="J10" s="287"/>
      <c r="K10" s="269" t="b">
        <v>0</v>
      </c>
      <c r="L10" s="269" t="b">
        <v>0</v>
      </c>
      <c r="M10" s="270" t="b">
        <v>0</v>
      </c>
      <c r="N10" s="270" t="b">
        <v>0</v>
      </c>
      <c r="O10" s="270" t="b">
        <v>0</v>
      </c>
      <c r="P10" s="275"/>
    </row>
    <row r="11">
      <c r="A11" s="269" t="b">
        <v>1</v>
      </c>
      <c r="B11" s="270" t="b">
        <v>0</v>
      </c>
      <c r="C11" s="270" t="b">
        <v>0</v>
      </c>
      <c r="D11" s="270" t="b">
        <v>0</v>
      </c>
      <c r="E11" s="270" t="b">
        <v>0</v>
      </c>
      <c r="F11" s="271" t="s">
        <v>46</v>
      </c>
      <c r="G11" s="271" t="s">
        <v>47</v>
      </c>
      <c r="H11" s="272">
        <v>3.470407484E9</v>
      </c>
      <c r="I11" s="272">
        <v>9.0</v>
      </c>
      <c r="J11" s="273"/>
      <c r="K11" s="269" t="b">
        <v>0</v>
      </c>
      <c r="L11" s="270" t="b">
        <v>0</v>
      </c>
      <c r="M11" s="288" t="b">
        <v>0</v>
      </c>
      <c r="N11" s="270" t="b">
        <v>0</v>
      </c>
      <c r="O11" s="270" t="b">
        <v>0</v>
      </c>
      <c r="P11" s="288"/>
    </row>
    <row r="12">
      <c r="A12" s="269" t="b">
        <v>1</v>
      </c>
      <c r="B12" s="270" t="b">
        <v>0</v>
      </c>
      <c r="C12" s="270" t="b">
        <v>0</v>
      </c>
      <c r="D12" s="270" t="b">
        <v>0</v>
      </c>
      <c r="E12" s="270" t="b">
        <v>0</v>
      </c>
      <c r="F12" s="271" t="s">
        <v>202</v>
      </c>
      <c r="G12" s="271" t="s">
        <v>140</v>
      </c>
      <c r="H12" s="272">
        <v>3.385785259E9</v>
      </c>
      <c r="I12" s="277"/>
      <c r="J12" s="287"/>
      <c r="K12" s="269" t="b">
        <v>0</v>
      </c>
      <c r="L12" s="270" t="b">
        <v>0</v>
      </c>
      <c r="M12" s="270" t="b">
        <v>0</v>
      </c>
      <c r="N12" s="270" t="b">
        <v>0</v>
      </c>
      <c r="O12" s="270" t="b">
        <v>0</v>
      </c>
      <c r="P12" s="274"/>
    </row>
    <row r="13">
      <c r="A13" s="269" t="b">
        <v>1</v>
      </c>
      <c r="B13" s="269" t="b">
        <v>0</v>
      </c>
      <c r="C13" s="270" t="b">
        <v>0</v>
      </c>
      <c r="D13" s="270" t="b">
        <v>0</v>
      </c>
      <c r="E13" s="270" t="b">
        <v>0</v>
      </c>
      <c r="F13" s="271" t="s">
        <v>202</v>
      </c>
      <c r="G13" s="271" t="s">
        <v>203</v>
      </c>
      <c r="H13" s="272">
        <v>3.385785259E9</v>
      </c>
      <c r="I13" s="272">
        <v>10.0</v>
      </c>
      <c r="J13" s="273"/>
      <c r="K13" s="269" t="b">
        <v>0</v>
      </c>
      <c r="L13" s="269" t="b">
        <v>0</v>
      </c>
      <c r="M13" s="270" t="b">
        <v>0</v>
      </c>
      <c r="N13" s="270" t="b">
        <v>0</v>
      </c>
      <c r="O13" s="270" t="b">
        <v>0</v>
      </c>
      <c r="P13" s="289"/>
    </row>
    <row r="14">
      <c r="A14" s="269" t="b">
        <v>1</v>
      </c>
      <c r="B14" s="270" t="b">
        <v>0</v>
      </c>
      <c r="C14" s="270" t="b">
        <v>0</v>
      </c>
      <c r="D14" s="270" t="b">
        <v>0</v>
      </c>
      <c r="E14" s="270" t="b">
        <v>0</v>
      </c>
      <c r="F14" s="284" t="s">
        <v>430</v>
      </c>
      <c r="G14" s="284" t="s">
        <v>431</v>
      </c>
      <c r="H14" s="285">
        <v>3.38820808E9</v>
      </c>
      <c r="I14" s="285">
        <v>9.0</v>
      </c>
      <c r="J14" s="286"/>
      <c r="K14" s="269" t="b">
        <v>0</v>
      </c>
      <c r="L14" s="270" t="b">
        <v>0</v>
      </c>
      <c r="M14" s="270" t="b">
        <v>0</v>
      </c>
      <c r="N14" s="270" t="b">
        <v>0</v>
      </c>
      <c r="O14" s="270" t="b">
        <v>0</v>
      </c>
      <c r="P14" s="283"/>
    </row>
    <row r="15" ht="28.5" customHeight="1">
      <c r="A15" s="269" t="b">
        <v>1</v>
      </c>
      <c r="B15" s="269" t="b">
        <v>0</v>
      </c>
      <c r="C15" s="270" t="b">
        <v>0</v>
      </c>
      <c r="D15" s="270" t="b">
        <v>0</v>
      </c>
      <c r="E15" s="270" t="b">
        <v>0</v>
      </c>
      <c r="F15" s="271" t="s">
        <v>112</v>
      </c>
      <c r="G15" s="271" t="s">
        <v>113</v>
      </c>
      <c r="H15" s="272">
        <v>3.496200511E9</v>
      </c>
      <c r="I15" s="277">
        <v>9.0</v>
      </c>
      <c r="J15" s="273" t="s">
        <v>459</v>
      </c>
      <c r="K15" s="269" t="b">
        <v>0</v>
      </c>
      <c r="L15" s="269" t="b">
        <v>0</v>
      </c>
      <c r="M15" s="269" t="b">
        <v>0</v>
      </c>
      <c r="N15" s="270" t="b">
        <v>0</v>
      </c>
      <c r="O15" s="270" t="b">
        <v>0</v>
      </c>
      <c r="P15" s="290"/>
    </row>
    <row r="16" ht="28.5" customHeight="1">
      <c r="A16" s="269" t="b">
        <v>1</v>
      </c>
      <c r="B16" s="270" t="b">
        <v>0</v>
      </c>
      <c r="C16" s="270" t="b">
        <v>0</v>
      </c>
      <c r="D16" s="270" t="b">
        <v>0</v>
      </c>
      <c r="E16" s="270" t="b">
        <v>0</v>
      </c>
      <c r="F16" s="280" t="s">
        <v>426</v>
      </c>
      <c r="G16" s="280" t="s">
        <v>427</v>
      </c>
      <c r="H16" s="281">
        <v>3.931092182E9</v>
      </c>
      <c r="I16" s="281">
        <v>12.0</v>
      </c>
      <c r="J16" s="291"/>
      <c r="K16" s="269" t="b">
        <v>0</v>
      </c>
      <c r="L16" s="270" t="b">
        <v>0</v>
      </c>
      <c r="M16" s="270" t="b">
        <v>0</v>
      </c>
      <c r="N16" s="270" t="b">
        <v>0</v>
      </c>
      <c r="O16" s="270" t="b">
        <v>0</v>
      </c>
      <c r="P16" s="283"/>
    </row>
    <row r="17">
      <c r="A17" s="269" t="b">
        <v>0</v>
      </c>
      <c r="B17" s="270" t="b">
        <v>0</v>
      </c>
      <c r="C17" s="270" t="b">
        <v>0</v>
      </c>
      <c r="D17" s="270" t="b">
        <v>0</v>
      </c>
      <c r="E17" s="270" t="b">
        <v>0</v>
      </c>
      <c r="F17" s="292" t="s">
        <v>125</v>
      </c>
      <c r="G17" s="292" t="s">
        <v>126</v>
      </c>
      <c r="H17" s="272">
        <v>3.931644344E9</v>
      </c>
      <c r="I17" s="277">
        <v>8.0</v>
      </c>
      <c r="J17" s="273"/>
      <c r="K17" s="293" t="b">
        <v>0</v>
      </c>
      <c r="L17" s="294" t="b">
        <v>0</v>
      </c>
      <c r="M17" s="294" t="b">
        <v>0</v>
      </c>
      <c r="N17" s="294" t="b">
        <v>0</v>
      </c>
      <c r="O17" s="294" t="b">
        <v>0</v>
      </c>
      <c r="P17" s="295"/>
    </row>
    <row r="18">
      <c r="A18" s="269" t="b">
        <v>1</v>
      </c>
      <c r="B18" s="270" t="b">
        <v>0</v>
      </c>
      <c r="C18" s="270" t="b">
        <v>0</v>
      </c>
      <c r="D18" s="270" t="b">
        <v>0</v>
      </c>
      <c r="E18" s="270" t="b">
        <v>0</v>
      </c>
      <c r="F18" s="284" t="s">
        <v>414</v>
      </c>
      <c r="G18" s="284" t="s">
        <v>415</v>
      </c>
      <c r="H18" s="285">
        <v>3.38236446E9</v>
      </c>
      <c r="I18" s="285">
        <v>11.0</v>
      </c>
      <c r="J18" s="286"/>
      <c r="K18" s="269" t="b">
        <v>0</v>
      </c>
      <c r="L18" s="270" t="b">
        <v>0</v>
      </c>
      <c r="M18" s="270" t="b">
        <v>0</v>
      </c>
      <c r="N18" s="270" t="b">
        <v>0</v>
      </c>
      <c r="O18" s="270" t="b">
        <v>0</v>
      </c>
      <c r="P18" s="290"/>
    </row>
    <row r="19">
      <c r="A19" s="269" t="b">
        <v>1</v>
      </c>
      <c r="B19" s="269" t="b">
        <v>0</v>
      </c>
      <c r="C19" s="296" t="b">
        <v>0</v>
      </c>
      <c r="D19" s="296" t="b">
        <v>0</v>
      </c>
      <c r="E19" s="296" t="b">
        <v>0</v>
      </c>
      <c r="F19" s="297" t="s">
        <v>166</v>
      </c>
      <c r="G19" s="297" t="s">
        <v>167</v>
      </c>
      <c r="H19" s="277">
        <v>3.4711933E9</v>
      </c>
      <c r="I19" s="277">
        <v>9.0</v>
      </c>
      <c r="J19" s="298"/>
      <c r="K19" s="269" t="b">
        <v>0</v>
      </c>
      <c r="L19" s="269" t="b">
        <v>0</v>
      </c>
      <c r="M19" s="296" t="b">
        <v>0</v>
      </c>
      <c r="N19" s="296" t="b">
        <v>0</v>
      </c>
      <c r="O19" s="296" t="b">
        <v>0</v>
      </c>
      <c r="P19" s="299"/>
    </row>
    <row r="20">
      <c r="A20" s="269" t="b">
        <v>1</v>
      </c>
      <c r="B20" s="269" t="b">
        <v>0</v>
      </c>
      <c r="C20" s="270" t="b">
        <v>0</v>
      </c>
      <c r="D20" s="270" t="b">
        <v>0</v>
      </c>
      <c r="E20" s="270" t="b">
        <v>0</v>
      </c>
      <c r="F20" s="278" t="s">
        <v>166</v>
      </c>
      <c r="G20" s="278" t="s">
        <v>169</v>
      </c>
      <c r="H20" s="272">
        <v>3.4711933E9</v>
      </c>
      <c r="I20" s="277">
        <v>11.0</v>
      </c>
      <c r="J20" s="273"/>
      <c r="K20" s="269" t="b">
        <v>0</v>
      </c>
      <c r="L20" s="269" t="b">
        <v>0</v>
      </c>
      <c r="M20" s="288" t="b">
        <v>0</v>
      </c>
      <c r="N20" s="270" t="b">
        <v>0</v>
      </c>
      <c r="O20" s="270" t="b">
        <v>0</v>
      </c>
      <c r="P20" s="275"/>
    </row>
    <row r="21">
      <c r="A21" s="269" t="b">
        <v>1</v>
      </c>
      <c r="B21" s="270" t="b">
        <v>0</v>
      </c>
      <c r="C21" s="270" t="b">
        <v>0</v>
      </c>
      <c r="D21" s="270" t="b">
        <v>0</v>
      </c>
      <c r="E21" s="270" t="b">
        <v>0</v>
      </c>
      <c r="F21" s="300" t="s">
        <v>192</v>
      </c>
      <c r="G21" s="300" t="s">
        <v>193</v>
      </c>
      <c r="H21" s="279" t="s">
        <v>194</v>
      </c>
      <c r="I21" s="301">
        <v>7.0</v>
      </c>
      <c r="J21" s="302"/>
      <c r="K21" s="269" t="b">
        <v>0</v>
      </c>
      <c r="L21" s="270" t="b">
        <v>0</v>
      </c>
      <c r="M21" s="270" t="b">
        <v>0</v>
      </c>
      <c r="N21" s="270" t="b">
        <v>0</v>
      </c>
      <c r="O21" s="270" t="b">
        <v>0</v>
      </c>
      <c r="P21" s="303" t="s">
        <v>187</v>
      </c>
    </row>
    <row r="22">
      <c r="A22" s="269" t="b">
        <v>1</v>
      </c>
      <c r="B22" s="270" t="b">
        <v>0</v>
      </c>
      <c r="C22" s="270" t="b">
        <v>0</v>
      </c>
      <c r="D22" s="270" t="b">
        <v>0</v>
      </c>
      <c r="E22" s="270" t="b">
        <v>0</v>
      </c>
      <c r="F22" s="292" t="s">
        <v>68</v>
      </c>
      <c r="G22" s="292" t="s">
        <v>63</v>
      </c>
      <c r="H22" s="304">
        <v>3.286850883E9</v>
      </c>
      <c r="I22" s="272">
        <v>7.0</v>
      </c>
      <c r="J22" s="273"/>
      <c r="K22" s="269" t="b">
        <v>0</v>
      </c>
      <c r="L22" s="270" t="b">
        <v>0</v>
      </c>
      <c r="M22" s="270" t="b">
        <v>0</v>
      </c>
      <c r="N22" s="270" t="b">
        <v>0</v>
      </c>
      <c r="O22" s="270" t="b">
        <v>0</v>
      </c>
      <c r="P22" s="305" t="s">
        <v>460</v>
      </c>
    </row>
    <row r="23">
      <c r="A23" s="269" t="b">
        <v>1</v>
      </c>
      <c r="B23" s="270" t="b">
        <v>0</v>
      </c>
      <c r="C23" s="270" t="b">
        <v>0</v>
      </c>
      <c r="D23" s="270" t="b">
        <v>0</v>
      </c>
      <c r="E23" s="270" t="b">
        <v>0</v>
      </c>
      <c r="F23" s="276" t="s">
        <v>55</v>
      </c>
      <c r="G23" s="276" t="s">
        <v>56</v>
      </c>
      <c r="H23" s="277">
        <v>3.420327443E9</v>
      </c>
      <c r="I23" s="277">
        <v>8.0</v>
      </c>
      <c r="J23" s="277"/>
      <c r="K23" s="269" t="b">
        <v>0</v>
      </c>
      <c r="L23" s="270" t="b">
        <v>0</v>
      </c>
      <c r="M23" s="270" t="b">
        <v>0</v>
      </c>
      <c r="N23" s="270" t="b">
        <v>0</v>
      </c>
      <c r="O23" s="270" t="b">
        <v>0</v>
      </c>
      <c r="P23" s="289" t="s">
        <v>60</v>
      </c>
    </row>
    <row r="24">
      <c r="A24" s="269" t="b">
        <v>1</v>
      </c>
      <c r="B24" s="269" t="b">
        <v>0</v>
      </c>
      <c r="C24" s="270" t="b">
        <v>0</v>
      </c>
      <c r="D24" s="270" t="b">
        <v>0</v>
      </c>
      <c r="E24" s="270" t="b">
        <v>0</v>
      </c>
      <c r="F24" s="271" t="s">
        <v>173</v>
      </c>
      <c r="G24" s="271" t="s">
        <v>63</v>
      </c>
      <c r="H24" s="272">
        <v>3.737434143E9</v>
      </c>
      <c r="I24" s="277">
        <v>10.0</v>
      </c>
      <c r="J24" s="273"/>
      <c r="K24" s="269" t="b">
        <v>0</v>
      </c>
      <c r="L24" s="269" t="b">
        <v>0</v>
      </c>
      <c r="M24" s="270" t="b">
        <v>0</v>
      </c>
      <c r="N24" s="270" t="b">
        <v>0</v>
      </c>
      <c r="O24" s="270" t="b">
        <v>0</v>
      </c>
      <c r="P24" s="274"/>
    </row>
    <row r="25">
      <c r="A25" s="269" t="b">
        <v>1</v>
      </c>
      <c r="B25" s="270" t="b">
        <v>0</v>
      </c>
      <c r="C25" s="270" t="b">
        <v>0</v>
      </c>
      <c r="D25" s="270" t="b">
        <v>0</v>
      </c>
      <c r="E25" s="270" t="b">
        <v>0</v>
      </c>
      <c r="F25" s="278" t="s">
        <v>50</v>
      </c>
      <c r="G25" s="278" t="s">
        <v>51</v>
      </c>
      <c r="H25" s="272">
        <v>3.475476654E9</v>
      </c>
      <c r="I25" s="277">
        <v>11.0</v>
      </c>
      <c r="J25" s="306"/>
      <c r="K25" s="269" t="b">
        <v>0</v>
      </c>
      <c r="L25" s="270" t="b">
        <v>0</v>
      </c>
      <c r="M25" s="270" t="b">
        <v>0</v>
      </c>
      <c r="N25" s="270" t="b">
        <v>0</v>
      </c>
      <c r="O25" s="270" t="b">
        <v>0</v>
      </c>
      <c r="P25" s="270"/>
    </row>
    <row r="26">
      <c r="A26" s="269" t="b">
        <v>1</v>
      </c>
      <c r="B26" s="307" t="b">
        <v>0</v>
      </c>
      <c r="C26" s="270" t="b">
        <v>0</v>
      </c>
      <c r="D26" s="270" t="b">
        <v>0</v>
      </c>
      <c r="E26" s="270" t="b">
        <v>0</v>
      </c>
      <c r="F26" s="271" t="s">
        <v>118</v>
      </c>
      <c r="G26" s="271" t="s">
        <v>119</v>
      </c>
      <c r="H26" s="272">
        <v>3.286513622E9</v>
      </c>
      <c r="I26" s="272">
        <v>9.0</v>
      </c>
      <c r="J26" s="273"/>
      <c r="K26" s="269" t="b">
        <v>0</v>
      </c>
      <c r="L26" s="269" t="b">
        <v>0</v>
      </c>
      <c r="M26" s="269" t="b">
        <v>0</v>
      </c>
      <c r="N26" s="270" t="b">
        <v>0</v>
      </c>
      <c r="O26" s="270" t="b">
        <v>0</v>
      </c>
      <c r="P26" s="299" t="s">
        <v>122</v>
      </c>
    </row>
    <row r="27">
      <c r="A27" s="269" t="b">
        <v>1</v>
      </c>
      <c r="B27" s="270" t="b">
        <v>0</v>
      </c>
      <c r="C27" s="270" t="b">
        <v>0</v>
      </c>
      <c r="D27" s="270" t="b">
        <v>0</v>
      </c>
      <c r="E27" s="270" t="b">
        <v>0</v>
      </c>
      <c r="F27" s="271" t="s">
        <v>118</v>
      </c>
      <c r="G27" s="271" t="s">
        <v>123</v>
      </c>
      <c r="H27" s="272">
        <v>3.286513622E9</v>
      </c>
      <c r="I27" s="277">
        <v>9.0</v>
      </c>
      <c r="J27" s="287"/>
      <c r="K27" s="269" t="b">
        <v>0</v>
      </c>
      <c r="L27" s="270" t="b">
        <v>0</v>
      </c>
      <c r="M27" s="270" t="b">
        <v>0</v>
      </c>
      <c r="N27" s="270" t="b">
        <v>0</v>
      </c>
      <c r="O27" s="270" t="b">
        <v>0</v>
      </c>
      <c r="P27" s="274" t="s">
        <v>122</v>
      </c>
    </row>
    <row r="28">
      <c r="A28" s="269" t="b">
        <v>1</v>
      </c>
      <c r="B28" s="270" t="b">
        <v>0</v>
      </c>
      <c r="C28" s="270" t="b">
        <v>0</v>
      </c>
      <c r="D28" s="270" t="b">
        <v>0</v>
      </c>
      <c r="E28" s="270" t="b">
        <v>0</v>
      </c>
      <c r="F28" s="292" t="s">
        <v>62</v>
      </c>
      <c r="G28" s="292" t="s">
        <v>63</v>
      </c>
      <c r="H28" s="272">
        <v>3.385096459E9</v>
      </c>
      <c r="I28" s="272">
        <v>7.0</v>
      </c>
      <c r="J28" s="273"/>
      <c r="K28" s="269" t="b">
        <v>0</v>
      </c>
      <c r="L28" s="270" t="b">
        <v>0</v>
      </c>
      <c r="M28" s="288" t="b">
        <v>0</v>
      </c>
      <c r="N28" s="270" t="b">
        <v>0</v>
      </c>
      <c r="O28" s="270" t="b">
        <v>0</v>
      </c>
      <c r="P28" s="274" t="s">
        <v>67</v>
      </c>
    </row>
    <row r="29">
      <c r="A29" s="269" t="b">
        <v>1</v>
      </c>
      <c r="B29" s="270" t="b">
        <v>0</v>
      </c>
      <c r="C29" s="270" t="b">
        <v>0</v>
      </c>
      <c r="D29" s="270" t="b">
        <v>0</v>
      </c>
      <c r="E29" s="270" t="b">
        <v>0</v>
      </c>
      <c r="F29" s="297" t="s">
        <v>461</v>
      </c>
      <c r="G29" s="297" t="s">
        <v>86</v>
      </c>
      <c r="H29" s="277">
        <v>3.358125176E9</v>
      </c>
      <c r="I29" s="277">
        <v>9.0</v>
      </c>
      <c r="J29" s="298"/>
      <c r="K29" s="269" t="b">
        <v>0</v>
      </c>
      <c r="L29" s="270" t="b">
        <v>0</v>
      </c>
      <c r="M29" s="270" t="b">
        <v>0</v>
      </c>
      <c r="N29" s="270" t="b">
        <v>0</v>
      </c>
      <c r="O29" s="270" t="b">
        <v>0</v>
      </c>
      <c r="P29" s="275"/>
    </row>
    <row r="30">
      <c r="A30" s="269" t="b">
        <v>1</v>
      </c>
      <c r="B30" s="270" t="b">
        <v>0</v>
      </c>
      <c r="C30" s="270" t="b">
        <v>0</v>
      </c>
      <c r="D30" s="270" t="b">
        <v>0</v>
      </c>
      <c r="E30" s="270" t="b">
        <v>0</v>
      </c>
      <c r="F30" s="308" t="s">
        <v>38</v>
      </c>
      <c r="G30" s="308" t="s">
        <v>39</v>
      </c>
      <c r="H30" s="277">
        <v>3.392262465E9</v>
      </c>
      <c r="I30" s="277">
        <v>10.0</v>
      </c>
      <c r="J30" s="277"/>
      <c r="K30" s="269" t="b">
        <v>0</v>
      </c>
      <c r="L30" s="270" t="b">
        <v>0</v>
      </c>
      <c r="M30" s="270" t="b">
        <v>0</v>
      </c>
      <c r="N30" s="270" t="b">
        <v>0</v>
      </c>
      <c r="O30" s="270" t="b">
        <v>0</v>
      </c>
      <c r="P30" s="288" t="s">
        <v>228</v>
      </c>
    </row>
    <row r="31">
      <c r="A31" s="269" t="b">
        <v>1</v>
      </c>
      <c r="B31" s="269" t="b">
        <v>0</v>
      </c>
      <c r="C31" s="270" t="b">
        <v>0</v>
      </c>
      <c r="D31" s="270" t="b">
        <v>0</v>
      </c>
      <c r="E31" s="270" t="b">
        <v>0</v>
      </c>
      <c r="F31" s="292" t="s">
        <v>160</v>
      </c>
      <c r="G31" s="292" t="s">
        <v>161</v>
      </c>
      <c r="H31" s="272">
        <v>3.28971505E9</v>
      </c>
      <c r="I31" s="272">
        <v>7.0</v>
      </c>
      <c r="J31" s="273"/>
      <c r="K31" s="269" t="b">
        <v>0</v>
      </c>
      <c r="L31" s="269" t="b">
        <v>0</v>
      </c>
      <c r="M31" s="270" t="b">
        <v>0</v>
      </c>
      <c r="N31" s="270" t="b">
        <v>0</v>
      </c>
      <c r="O31" s="270" t="b">
        <v>0</v>
      </c>
      <c r="P31" s="299" t="s">
        <v>300</v>
      </c>
    </row>
    <row r="32">
      <c r="A32" s="269" t="b">
        <v>1</v>
      </c>
      <c r="B32" s="270" t="b">
        <v>0</v>
      </c>
      <c r="C32" s="270" t="b">
        <v>0</v>
      </c>
      <c r="D32" s="270" t="b">
        <v>0</v>
      </c>
      <c r="E32" s="270" t="b">
        <v>0</v>
      </c>
      <c r="F32" s="292" t="s">
        <v>135</v>
      </c>
      <c r="G32" s="292" t="s">
        <v>136</v>
      </c>
      <c r="H32" s="272">
        <v>3.473685878E9</v>
      </c>
      <c r="I32" s="272">
        <v>7.0</v>
      </c>
      <c r="J32" s="273" t="s">
        <v>138</v>
      </c>
      <c r="K32" s="269" t="b">
        <v>0</v>
      </c>
      <c r="L32" s="270" t="b">
        <v>0</v>
      </c>
      <c r="M32" s="270" t="b">
        <v>0</v>
      </c>
      <c r="N32" s="270" t="b">
        <v>0</v>
      </c>
      <c r="O32" s="270" t="b">
        <v>0</v>
      </c>
      <c r="P32" s="274"/>
    </row>
    <row r="33">
      <c r="A33" s="269" t="b">
        <v>1</v>
      </c>
      <c r="B33" s="269" t="b">
        <v>0</v>
      </c>
      <c r="C33" s="270" t="b">
        <v>0</v>
      </c>
      <c r="D33" s="270" t="b">
        <v>0</v>
      </c>
      <c r="E33" s="270" t="b">
        <v>0</v>
      </c>
      <c r="F33" s="292" t="s">
        <v>155</v>
      </c>
      <c r="G33" s="292" t="s">
        <v>156</v>
      </c>
      <c r="H33" s="272">
        <v>3.446218084E9</v>
      </c>
      <c r="I33" s="272">
        <v>6.0</v>
      </c>
      <c r="J33" s="273"/>
      <c r="K33" s="269" t="b">
        <v>0</v>
      </c>
      <c r="L33" s="269" t="b">
        <v>0</v>
      </c>
      <c r="M33" s="270" t="b">
        <v>0</v>
      </c>
      <c r="N33" s="270" t="b">
        <v>0</v>
      </c>
      <c r="O33" s="270" t="b">
        <v>0</v>
      </c>
      <c r="P33" s="299"/>
    </row>
    <row r="34">
      <c r="A34" s="269" t="b">
        <v>1</v>
      </c>
      <c r="B34" s="270" t="b">
        <v>0</v>
      </c>
      <c r="C34" s="270" t="b">
        <v>0</v>
      </c>
      <c r="D34" s="270" t="b">
        <v>0</v>
      </c>
      <c r="E34" s="270" t="b">
        <v>0</v>
      </c>
      <c r="F34" s="292" t="s">
        <v>139</v>
      </c>
      <c r="G34" s="292" t="s">
        <v>140</v>
      </c>
      <c r="H34" s="272">
        <v>3.384272229E9</v>
      </c>
      <c r="I34" s="277">
        <v>6.0</v>
      </c>
      <c r="J34" s="273"/>
      <c r="K34" s="269" t="b">
        <v>0</v>
      </c>
      <c r="L34" s="270" t="b">
        <v>0</v>
      </c>
      <c r="M34" s="270" t="b">
        <v>0</v>
      </c>
      <c r="N34" s="270" t="b">
        <v>0</v>
      </c>
      <c r="O34" s="270" t="b">
        <v>0</v>
      </c>
      <c r="P34" s="289" t="s">
        <v>462</v>
      </c>
    </row>
    <row r="35">
      <c r="A35" s="269" t="b">
        <v>1</v>
      </c>
      <c r="B35" s="270" t="b">
        <v>0</v>
      </c>
      <c r="C35" s="270" t="b">
        <v>0</v>
      </c>
      <c r="D35" s="270" t="b">
        <v>0</v>
      </c>
      <c r="E35" s="270" t="b">
        <v>0</v>
      </c>
      <c r="F35" s="292" t="s">
        <v>196</v>
      </c>
      <c r="G35" s="292" t="s">
        <v>197</v>
      </c>
      <c r="H35" s="272" t="s">
        <v>198</v>
      </c>
      <c r="I35" s="272">
        <v>8.0</v>
      </c>
      <c r="J35" s="273"/>
      <c r="K35" s="269" t="b">
        <v>0</v>
      </c>
      <c r="L35" s="270" t="b">
        <v>0</v>
      </c>
      <c r="M35" s="270" t="b">
        <v>0</v>
      </c>
      <c r="N35" s="270" t="b">
        <v>0</v>
      </c>
      <c r="O35" s="270" t="b">
        <v>0</v>
      </c>
      <c r="P35" s="274" t="s">
        <v>200</v>
      </c>
    </row>
    <row r="36">
      <c r="A36" s="269" t="b">
        <v>1</v>
      </c>
      <c r="B36" s="269" t="b">
        <v>0</v>
      </c>
      <c r="C36" s="270" t="b">
        <v>0</v>
      </c>
      <c r="D36" s="270" t="b">
        <v>0</v>
      </c>
      <c r="E36" s="270" t="b">
        <v>0</v>
      </c>
      <c r="F36" s="309" t="s">
        <v>207</v>
      </c>
      <c r="G36" s="309" t="s">
        <v>208</v>
      </c>
      <c r="H36" s="310">
        <v>3.921028476E9</v>
      </c>
      <c r="I36" s="311">
        <v>9.0</v>
      </c>
      <c r="J36" s="273"/>
      <c r="K36" s="269" t="b">
        <v>0</v>
      </c>
      <c r="L36" s="269" t="b">
        <v>0</v>
      </c>
      <c r="M36" s="270" t="b">
        <v>0</v>
      </c>
      <c r="N36" s="270" t="b">
        <v>0</v>
      </c>
      <c r="O36" s="270" t="b">
        <v>0</v>
      </c>
      <c r="P36" s="289"/>
    </row>
    <row r="37">
      <c r="A37" s="269" t="b">
        <v>1</v>
      </c>
      <c r="B37" s="269" t="b">
        <v>0</v>
      </c>
      <c r="C37" s="270" t="b">
        <v>0</v>
      </c>
      <c r="D37" s="270" t="b">
        <v>0</v>
      </c>
      <c r="E37" s="270" t="b">
        <v>0</v>
      </c>
      <c r="F37" s="271" t="s">
        <v>151</v>
      </c>
      <c r="G37" s="271" t="s">
        <v>140</v>
      </c>
      <c r="H37" s="272">
        <v>3.338026678E9</v>
      </c>
      <c r="I37" s="272">
        <v>9.0</v>
      </c>
      <c r="J37" s="273"/>
      <c r="K37" s="269" t="b">
        <v>0</v>
      </c>
      <c r="L37" s="269" t="b">
        <v>0</v>
      </c>
      <c r="M37" s="270" t="b">
        <v>0</v>
      </c>
      <c r="N37" s="270" t="b">
        <v>0</v>
      </c>
      <c r="O37" s="270" t="b">
        <v>0</v>
      </c>
      <c r="P37" s="299"/>
    </row>
    <row r="38">
      <c r="A38" s="269" t="b">
        <v>1</v>
      </c>
      <c r="B38" s="269" t="b">
        <v>0</v>
      </c>
      <c r="C38" s="270" t="b">
        <v>0</v>
      </c>
      <c r="D38" s="270" t="b">
        <v>0</v>
      </c>
      <c r="E38" s="270" t="b">
        <v>0</v>
      </c>
      <c r="F38" s="276" t="s">
        <v>105</v>
      </c>
      <c r="G38" s="276" t="s">
        <v>106</v>
      </c>
      <c r="H38" s="277">
        <v>3.319851991E9</v>
      </c>
      <c r="I38" s="277">
        <v>7.0</v>
      </c>
      <c r="J38" s="298"/>
      <c r="K38" s="269" t="b">
        <v>0</v>
      </c>
      <c r="L38" s="269" t="b">
        <v>0</v>
      </c>
      <c r="M38" s="269" t="b">
        <v>0</v>
      </c>
      <c r="N38" s="270" t="b">
        <v>0</v>
      </c>
      <c r="O38" s="270" t="b">
        <v>0</v>
      </c>
      <c r="P38" s="274" t="s">
        <v>109</v>
      </c>
    </row>
    <row r="39">
      <c r="A39" s="269" t="b">
        <v>1</v>
      </c>
      <c r="B39" s="270" t="b">
        <v>0</v>
      </c>
      <c r="C39" s="270" t="b">
        <v>0</v>
      </c>
      <c r="D39" s="270" t="b">
        <v>0</v>
      </c>
      <c r="E39" s="270" t="b">
        <v>0</v>
      </c>
      <c r="F39" s="297" t="s">
        <v>90</v>
      </c>
      <c r="G39" s="297" t="s">
        <v>91</v>
      </c>
      <c r="H39" s="277">
        <v>3.485299498E9</v>
      </c>
      <c r="I39" s="277">
        <v>10.0</v>
      </c>
      <c r="J39" s="298" t="s">
        <v>96</v>
      </c>
      <c r="K39" s="269" t="b">
        <v>0</v>
      </c>
      <c r="L39" s="270" t="b">
        <v>0</v>
      </c>
      <c r="M39" s="270" t="b">
        <v>0</v>
      </c>
      <c r="N39" s="270" t="b">
        <v>0</v>
      </c>
      <c r="O39" s="270" t="b">
        <v>0</v>
      </c>
      <c r="P39" s="274"/>
    </row>
    <row r="40">
      <c r="A40" s="269" t="b">
        <v>1</v>
      </c>
      <c r="B40" s="269" t="b">
        <v>0</v>
      </c>
      <c r="C40" s="270" t="b">
        <v>0</v>
      </c>
      <c r="D40" s="270" t="b">
        <v>0</v>
      </c>
      <c r="E40" s="270" t="b">
        <v>0</v>
      </c>
      <c r="F40" s="312" t="s">
        <v>90</v>
      </c>
      <c r="G40" s="312" t="s">
        <v>340</v>
      </c>
      <c r="H40" s="313">
        <v>3.381337223E9</v>
      </c>
      <c r="I40" s="272">
        <v>9.0</v>
      </c>
      <c r="J40" s="273"/>
      <c r="K40" s="269" t="b">
        <v>0</v>
      </c>
      <c r="L40" s="269" t="b">
        <v>0</v>
      </c>
      <c r="M40" s="270" t="b">
        <v>0</v>
      </c>
      <c r="N40" s="270" t="b">
        <v>0</v>
      </c>
      <c r="O40" s="270" t="b">
        <v>0</v>
      </c>
      <c r="P40" s="275" t="s">
        <v>342</v>
      </c>
    </row>
    <row r="41">
      <c r="A41" s="269" t="b">
        <v>1</v>
      </c>
      <c r="B41" s="270" t="b">
        <v>0</v>
      </c>
      <c r="C41" s="270" t="b">
        <v>0</v>
      </c>
      <c r="D41" s="270" t="b">
        <v>0</v>
      </c>
      <c r="E41" s="270" t="b">
        <v>0</v>
      </c>
      <c r="F41" s="278" t="s">
        <v>79</v>
      </c>
      <c r="G41" s="278" t="s">
        <v>80</v>
      </c>
      <c r="H41" s="272">
        <v>3.393506966E9</v>
      </c>
      <c r="I41" s="272">
        <v>11.0</v>
      </c>
      <c r="J41" s="273"/>
      <c r="K41" s="269" t="b">
        <v>0</v>
      </c>
      <c r="L41" s="270" t="b">
        <v>0</v>
      </c>
      <c r="M41" s="270" t="b">
        <v>0</v>
      </c>
      <c r="N41" s="270" t="b">
        <v>0</v>
      </c>
      <c r="O41" s="270" t="b">
        <v>0</v>
      </c>
      <c r="P41" s="275" t="s">
        <v>84</v>
      </c>
    </row>
    <row r="42">
      <c r="A42" s="269" t="b">
        <v>1</v>
      </c>
      <c r="B42" s="270" t="b">
        <v>0</v>
      </c>
      <c r="C42" s="270" t="b">
        <v>0</v>
      </c>
      <c r="D42" s="270" t="b">
        <v>0</v>
      </c>
      <c r="E42" s="270" t="b">
        <v>0</v>
      </c>
      <c r="F42" s="280" t="s">
        <v>439</v>
      </c>
      <c r="G42" s="280" t="s">
        <v>403</v>
      </c>
      <c r="H42" s="281" t="s">
        <v>440</v>
      </c>
      <c r="I42" s="281">
        <v>10.0</v>
      </c>
      <c r="J42" s="282"/>
      <c r="K42" s="269" t="b">
        <v>0</v>
      </c>
      <c r="L42" s="270" t="b">
        <v>0</v>
      </c>
      <c r="M42" s="270" t="b">
        <v>0</v>
      </c>
      <c r="N42" s="270" t="b">
        <v>0</v>
      </c>
      <c r="O42" s="270" t="b">
        <v>0</v>
      </c>
      <c r="P42" s="283"/>
    </row>
    <row r="43">
      <c r="A43" s="269" t="b">
        <v>1</v>
      </c>
      <c r="B43" s="270" t="b">
        <v>0</v>
      </c>
      <c r="C43" s="270" t="b">
        <v>0</v>
      </c>
      <c r="D43" s="270" t="b">
        <v>0</v>
      </c>
      <c r="E43" s="270" t="b">
        <v>0</v>
      </c>
      <c r="F43" s="308" t="s">
        <v>129</v>
      </c>
      <c r="G43" s="308" t="s">
        <v>130</v>
      </c>
      <c r="H43" s="277">
        <v>3.288011864E9</v>
      </c>
      <c r="I43" s="277">
        <v>11.0</v>
      </c>
      <c r="J43" s="298" t="s">
        <v>134</v>
      </c>
      <c r="K43" s="269" t="b">
        <v>0</v>
      </c>
      <c r="L43" s="270" t="b">
        <v>0</v>
      </c>
      <c r="M43" s="270" t="b">
        <v>0</v>
      </c>
      <c r="N43" s="270" t="b">
        <v>0</v>
      </c>
      <c r="O43" s="270" t="b">
        <v>0</v>
      </c>
      <c r="P43" s="274" t="s">
        <v>60</v>
      </c>
    </row>
    <row r="44">
      <c r="A44" s="269" t="b">
        <v>1</v>
      </c>
      <c r="B44" s="270" t="b">
        <v>0</v>
      </c>
      <c r="C44" s="270" t="b">
        <v>0</v>
      </c>
      <c r="D44" s="270" t="b">
        <v>0</v>
      </c>
      <c r="E44" s="270" t="b">
        <v>0</v>
      </c>
      <c r="F44" s="284" t="s">
        <v>422</v>
      </c>
      <c r="G44" s="284" t="s">
        <v>340</v>
      </c>
      <c r="H44" s="285">
        <v>3.483902953E9</v>
      </c>
      <c r="I44" s="285">
        <v>12.0</v>
      </c>
      <c r="J44" s="286"/>
      <c r="K44" s="269" t="b">
        <v>0</v>
      </c>
      <c r="L44" s="270" t="b">
        <v>0</v>
      </c>
      <c r="M44" s="270" t="b">
        <v>0</v>
      </c>
      <c r="N44" s="270" t="b">
        <v>0</v>
      </c>
      <c r="O44" s="270" t="b">
        <v>0</v>
      </c>
      <c r="P44" s="290"/>
    </row>
    <row r="45">
      <c r="A45" s="269" t="b">
        <v>1</v>
      </c>
      <c r="B45" s="270" t="b">
        <v>0</v>
      </c>
      <c r="C45" s="270" t="b">
        <v>0</v>
      </c>
      <c r="D45" s="270" t="b">
        <v>0</v>
      </c>
      <c r="E45" s="270" t="b">
        <v>0</v>
      </c>
      <c r="F45" s="278" t="s">
        <v>148</v>
      </c>
      <c r="G45" s="278" t="s">
        <v>86</v>
      </c>
      <c r="H45" s="272">
        <v>3.34266125E9</v>
      </c>
      <c r="I45" s="304">
        <v>11.0</v>
      </c>
      <c r="J45" s="273" t="s">
        <v>134</v>
      </c>
      <c r="K45" s="269" t="b">
        <v>0</v>
      </c>
      <c r="L45" s="270" t="b">
        <v>0</v>
      </c>
      <c r="M45" s="270" t="b">
        <v>0</v>
      </c>
      <c r="N45" s="270" t="b">
        <v>0</v>
      </c>
      <c r="O45" s="270" t="b">
        <v>0</v>
      </c>
      <c r="P45" s="299" t="s">
        <v>60</v>
      </c>
    </row>
    <row r="46">
      <c r="A46" s="269" t="b">
        <v>1</v>
      </c>
      <c r="B46" s="270" t="b">
        <v>0</v>
      </c>
      <c r="C46" s="270" t="b">
        <v>0</v>
      </c>
      <c r="D46" s="270" t="b">
        <v>0</v>
      </c>
      <c r="E46" s="270" t="b">
        <v>0</v>
      </c>
      <c r="F46" s="278" t="s">
        <v>148</v>
      </c>
      <c r="G46" s="278" t="s">
        <v>340</v>
      </c>
      <c r="H46" s="272">
        <v>3.34266125E9</v>
      </c>
      <c r="I46" s="272">
        <v>13.0</v>
      </c>
      <c r="J46" s="273" t="s">
        <v>134</v>
      </c>
      <c r="K46" s="269" t="b">
        <v>0</v>
      </c>
      <c r="L46" s="270" t="b">
        <v>0</v>
      </c>
      <c r="M46" s="270" t="b">
        <v>0</v>
      </c>
      <c r="N46" s="270" t="b">
        <v>0</v>
      </c>
      <c r="O46" s="270" t="b">
        <v>0</v>
      </c>
      <c r="P46" s="299" t="s">
        <v>60</v>
      </c>
    </row>
    <row r="47">
      <c r="A47" s="269" t="b">
        <v>1</v>
      </c>
      <c r="B47" s="270" t="b">
        <v>0</v>
      </c>
      <c r="C47" s="270" t="b">
        <v>0</v>
      </c>
      <c r="D47" s="270" t="b">
        <v>0</v>
      </c>
      <c r="E47" s="270" t="b">
        <v>0</v>
      </c>
      <c r="F47" s="276" t="s">
        <v>73</v>
      </c>
      <c r="G47" s="276" t="s">
        <v>74</v>
      </c>
      <c r="H47" s="277">
        <v>3.383396071E9</v>
      </c>
      <c r="I47" s="277">
        <v>7.0</v>
      </c>
      <c r="J47" s="314"/>
      <c r="K47" s="269" t="b">
        <v>0</v>
      </c>
      <c r="L47" s="270" t="b">
        <v>0</v>
      </c>
      <c r="M47" s="270" t="b">
        <v>0</v>
      </c>
      <c r="N47" s="270" t="b">
        <v>0</v>
      </c>
      <c r="O47" s="270" t="b">
        <v>0</v>
      </c>
      <c r="P47" s="315" t="s">
        <v>60</v>
      </c>
    </row>
    <row r="48">
      <c r="A48" s="269" t="b">
        <v>1</v>
      </c>
      <c r="B48" s="270" t="b">
        <v>0</v>
      </c>
      <c r="C48" s="270" t="b">
        <v>0</v>
      </c>
      <c r="D48" s="270" t="b">
        <v>0</v>
      </c>
      <c r="E48" s="270" t="b">
        <v>0</v>
      </c>
      <c r="F48" s="316" t="s">
        <v>463</v>
      </c>
      <c r="G48" s="316" t="s">
        <v>447</v>
      </c>
      <c r="H48" s="77"/>
      <c r="I48" s="277">
        <v>12.0</v>
      </c>
      <c r="J48" s="302"/>
      <c r="K48" s="269" t="b">
        <v>0</v>
      </c>
      <c r="L48" s="270" t="b">
        <v>0</v>
      </c>
      <c r="M48" s="270" t="b">
        <v>0</v>
      </c>
      <c r="N48" s="270" t="b">
        <v>0</v>
      </c>
      <c r="O48" s="270" t="b">
        <v>0</v>
      </c>
      <c r="P48" s="270"/>
    </row>
    <row r="49">
      <c r="A49" s="269" t="b">
        <v>1</v>
      </c>
      <c r="B49" s="270" t="b">
        <v>0</v>
      </c>
      <c r="C49" s="270" t="b">
        <v>0</v>
      </c>
      <c r="D49" s="270" t="b">
        <v>0</v>
      </c>
      <c r="E49" s="270" t="b">
        <v>0</v>
      </c>
      <c r="F49" s="317" t="s">
        <v>213</v>
      </c>
      <c r="G49" s="317" t="s">
        <v>214</v>
      </c>
      <c r="H49" s="277"/>
      <c r="I49" s="277">
        <v>10.0</v>
      </c>
      <c r="J49" s="318"/>
      <c r="K49" s="269" t="b">
        <v>0</v>
      </c>
      <c r="L49" s="270" t="b">
        <v>0</v>
      </c>
      <c r="M49" s="270" t="b">
        <v>0</v>
      </c>
      <c r="N49" s="270" t="b">
        <v>0</v>
      </c>
      <c r="O49" s="270" t="b">
        <v>0</v>
      </c>
      <c r="P49" s="270"/>
    </row>
    <row r="50">
      <c r="A50" s="269" t="b">
        <v>1</v>
      </c>
      <c r="B50" s="270" t="b">
        <v>0</v>
      </c>
      <c r="C50" s="270" t="b">
        <v>0</v>
      </c>
      <c r="D50" s="270" t="b">
        <v>0</v>
      </c>
      <c r="E50" s="270" t="b">
        <v>0</v>
      </c>
      <c r="F50" s="319" t="s">
        <v>464</v>
      </c>
      <c r="G50" s="319" t="s">
        <v>465</v>
      </c>
      <c r="H50" s="272"/>
      <c r="I50" s="277">
        <v>10.0</v>
      </c>
      <c r="J50" s="302"/>
      <c r="K50" s="269" t="b">
        <v>0</v>
      </c>
      <c r="L50" s="270" t="b">
        <v>0</v>
      </c>
      <c r="M50" s="270" t="b">
        <v>0</v>
      </c>
      <c r="N50" s="270" t="b">
        <v>0</v>
      </c>
      <c r="O50" s="270" t="b">
        <v>0</v>
      </c>
      <c r="P50" s="270"/>
    </row>
    <row r="51">
      <c r="A51" s="269" t="b">
        <v>1</v>
      </c>
      <c r="B51" s="270" t="b">
        <v>0</v>
      </c>
      <c r="C51" s="270" t="b">
        <v>0</v>
      </c>
      <c r="D51" s="270" t="b">
        <v>0</v>
      </c>
      <c r="E51" s="270" t="b">
        <v>0</v>
      </c>
      <c r="F51" s="320" t="s">
        <v>464</v>
      </c>
      <c r="G51" s="320" t="s">
        <v>466</v>
      </c>
      <c r="H51" s="277"/>
      <c r="I51" s="277">
        <v>8.0</v>
      </c>
      <c r="J51" s="318"/>
      <c r="K51" s="269" t="b">
        <v>0</v>
      </c>
      <c r="L51" s="270" t="b">
        <v>0</v>
      </c>
      <c r="M51" s="270" t="b">
        <v>0</v>
      </c>
      <c r="N51" s="270" t="b">
        <v>0</v>
      </c>
      <c r="O51" s="270" t="b">
        <v>0</v>
      </c>
      <c r="P51" s="270"/>
    </row>
    <row r="52">
      <c r="A52" s="269" t="b">
        <v>1</v>
      </c>
      <c r="B52" s="270" t="b">
        <v>0</v>
      </c>
      <c r="C52" s="270" t="b">
        <v>0</v>
      </c>
      <c r="D52" s="270" t="b">
        <v>0</v>
      </c>
      <c r="E52" s="270" t="b">
        <v>0</v>
      </c>
      <c r="F52" s="320" t="s">
        <v>217</v>
      </c>
      <c r="G52" s="320" t="s">
        <v>221</v>
      </c>
      <c r="H52" s="277"/>
      <c r="I52" s="277">
        <v>9.0</v>
      </c>
      <c r="J52" s="318"/>
      <c r="K52" s="269" t="b">
        <v>0</v>
      </c>
      <c r="L52" s="270" t="b">
        <v>0</v>
      </c>
      <c r="M52" s="270" t="b">
        <v>0</v>
      </c>
      <c r="N52" s="270" t="b">
        <v>0</v>
      </c>
      <c r="O52" s="270" t="b">
        <v>0</v>
      </c>
      <c r="P52" s="270"/>
    </row>
    <row r="53">
      <c r="A53" s="269" t="b">
        <v>1</v>
      </c>
      <c r="B53" s="270" t="b">
        <v>0</v>
      </c>
      <c r="C53" s="270" t="b">
        <v>0</v>
      </c>
      <c r="D53" s="270" t="b">
        <v>0</v>
      </c>
      <c r="E53" s="270" t="b">
        <v>0</v>
      </c>
      <c r="F53" s="320" t="s">
        <v>217</v>
      </c>
      <c r="G53" s="320" t="s">
        <v>218</v>
      </c>
      <c r="H53" s="277"/>
      <c r="I53" s="277">
        <v>7.0</v>
      </c>
      <c r="J53" s="318"/>
      <c r="K53" s="269" t="b">
        <v>0</v>
      </c>
      <c r="L53" s="270" t="b">
        <v>0</v>
      </c>
      <c r="M53" s="270" t="b">
        <v>0</v>
      </c>
      <c r="N53" s="270" t="b">
        <v>0</v>
      </c>
      <c r="O53" s="270" t="b">
        <v>0</v>
      </c>
      <c r="P53" s="270"/>
    </row>
    <row r="54">
      <c r="A54" s="269" t="b">
        <v>0</v>
      </c>
      <c r="B54" s="270" t="b">
        <v>0</v>
      </c>
      <c r="C54" s="270" t="b">
        <v>0</v>
      </c>
      <c r="D54" s="270" t="b">
        <v>0</v>
      </c>
      <c r="E54" s="270" t="b">
        <v>0</v>
      </c>
      <c r="F54" s="319"/>
      <c r="G54" s="319"/>
      <c r="H54" s="272"/>
      <c r="I54" s="277"/>
      <c r="J54" s="302"/>
      <c r="K54" s="269" t="b">
        <v>0</v>
      </c>
      <c r="L54" s="270" t="b">
        <v>0</v>
      </c>
      <c r="M54" s="270" t="b">
        <v>0</v>
      </c>
      <c r="N54" s="270" t="b">
        <v>0</v>
      </c>
      <c r="O54" s="270" t="b">
        <v>0</v>
      </c>
      <c r="P54" s="270"/>
    </row>
    <row r="55">
      <c r="A55" s="269" t="b">
        <v>0</v>
      </c>
      <c r="B55" s="270" t="b">
        <v>0</v>
      </c>
      <c r="C55" s="270" t="b">
        <v>0</v>
      </c>
      <c r="D55" s="270" t="b">
        <v>0</v>
      </c>
      <c r="E55" s="270" t="b">
        <v>0</v>
      </c>
      <c r="F55" s="319"/>
      <c r="G55" s="319"/>
      <c r="H55" s="272"/>
      <c r="I55" s="272"/>
      <c r="J55" s="302"/>
      <c r="K55" s="269" t="b">
        <v>0</v>
      </c>
      <c r="L55" s="270" t="b">
        <v>0</v>
      </c>
      <c r="M55" s="270" t="b">
        <v>0</v>
      </c>
      <c r="N55" s="270" t="b">
        <v>0</v>
      </c>
      <c r="O55" s="270" t="b">
        <v>0</v>
      </c>
      <c r="P55" s="270"/>
    </row>
    <row r="56">
      <c r="A56" s="269" t="b">
        <v>0</v>
      </c>
      <c r="B56" s="270" t="b">
        <v>0</v>
      </c>
      <c r="C56" s="270" t="b">
        <v>0</v>
      </c>
      <c r="D56" s="270" t="b">
        <v>0</v>
      </c>
      <c r="E56" s="270" t="b">
        <v>0</v>
      </c>
      <c r="F56" s="319"/>
      <c r="G56" s="319"/>
      <c r="H56" s="272"/>
      <c r="I56" s="277"/>
      <c r="J56" s="302"/>
      <c r="K56" s="269" t="b">
        <v>0</v>
      </c>
      <c r="L56" s="270" t="b">
        <v>0</v>
      </c>
      <c r="M56" s="270" t="b">
        <v>0</v>
      </c>
      <c r="N56" s="270" t="b">
        <v>0</v>
      </c>
      <c r="O56" s="270" t="b">
        <v>0</v>
      </c>
      <c r="P56" s="270"/>
    </row>
    <row r="57">
      <c r="A57" s="269" t="b">
        <v>0</v>
      </c>
      <c r="B57" s="270" t="b">
        <v>0</v>
      </c>
      <c r="C57" s="270" t="b">
        <v>0</v>
      </c>
      <c r="D57" s="270" t="b">
        <v>0</v>
      </c>
      <c r="E57" s="270" t="b">
        <v>0</v>
      </c>
      <c r="F57" s="319"/>
      <c r="G57" s="319"/>
      <c r="H57" s="272"/>
      <c r="I57" s="272"/>
      <c r="J57" s="302"/>
      <c r="K57" s="269" t="b">
        <v>0</v>
      </c>
      <c r="L57" s="270" t="b">
        <v>0</v>
      </c>
      <c r="M57" s="270" t="b">
        <v>0</v>
      </c>
      <c r="N57" s="270" t="b">
        <v>0</v>
      </c>
      <c r="O57" s="270" t="b">
        <v>0</v>
      </c>
      <c r="P57" s="321"/>
    </row>
    <row r="58">
      <c r="A58" s="269" t="b">
        <v>0</v>
      </c>
      <c r="B58" s="270" t="b">
        <v>0</v>
      </c>
      <c r="C58" s="270" t="b">
        <v>0</v>
      </c>
      <c r="D58" s="270" t="b">
        <v>0</v>
      </c>
      <c r="E58" s="270" t="b">
        <v>0</v>
      </c>
      <c r="F58" s="320"/>
      <c r="G58" s="320"/>
      <c r="H58" s="277"/>
      <c r="I58" s="277"/>
      <c r="J58" s="298"/>
      <c r="K58" s="322" t="b">
        <v>0</v>
      </c>
      <c r="L58" s="270" t="b">
        <v>0</v>
      </c>
      <c r="M58" s="270" t="b">
        <v>0</v>
      </c>
      <c r="N58" s="270" t="b">
        <v>0</v>
      </c>
      <c r="O58" s="270" t="b">
        <v>0</v>
      </c>
      <c r="P58" s="323"/>
    </row>
    <row r="59">
      <c r="A59" s="269" t="b">
        <v>0</v>
      </c>
      <c r="B59" s="270" t="b">
        <v>0</v>
      </c>
      <c r="C59" s="270" t="b">
        <v>0</v>
      </c>
      <c r="D59" s="270" t="b">
        <v>0</v>
      </c>
      <c r="E59" s="270" t="b">
        <v>0</v>
      </c>
      <c r="F59" s="320"/>
      <c r="G59" s="320"/>
      <c r="H59" s="277"/>
      <c r="I59" s="277"/>
      <c r="J59" s="314"/>
      <c r="K59" s="269" t="b">
        <v>0</v>
      </c>
      <c r="L59" s="270" t="b">
        <v>0</v>
      </c>
      <c r="M59" s="270" t="b">
        <v>0</v>
      </c>
      <c r="N59" s="270" t="b">
        <v>0</v>
      </c>
      <c r="O59" s="270" t="b">
        <v>0</v>
      </c>
      <c r="P59" s="321"/>
    </row>
    <row r="60">
      <c r="A60" s="270" t="b">
        <v>0</v>
      </c>
      <c r="B60" s="270" t="b">
        <v>0</v>
      </c>
      <c r="C60" s="270" t="b">
        <v>0</v>
      </c>
      <c r="D60" s="270" t="b">
        <v>0</v>
      </c>
      <c r="E60" s="270" t="b">
        <v>0</v>
      </c>
      <c r="F60" s="319"/>
      <c r="G60" s="319"/>
      <c r="H60" s="272"/>
      <c r="I60" s="272"/>
      <c r="J60" s="287"/>
      <c r="K60" s="270" t="b">
        <v>0</v>
      </c>
      <c r="L60" s="270" t="b">
        <v>0</v>
      </c>
      <c r="M60" s="270" t="b">
        <v>0</v>
      </c>
      <c r="N60" s="270" t="b">
        <v>0</v>
      </c>
      <c r="O60" s="270" t="b">
        <v>0</v>
      </c>
      <c r="P60" s="321"/>
    </row>
    <row r="61">
      <c r="A61" s="270" t="b">
        <v>0</v>
      </c>
      <c r="B61" s="270" t="b">
        <v>0</v>
      </c>
      <c r="C61" s="270" t="b">
        <v>0</v>
      </c>
      <c r="D61" s="270" t="b">
        <v>0</v>
      </c>
      <c r="E61" s="270" t="b">
        <v>0</v>
      </c>
      <c r="F61" s="320"/>
      <c r="G61" s="320"/>
      <c r="H61" s="277"/>
      <c r="I61" s="277"/>
      <c r="J61" s="318"/>
      <c r="K61" s="270" t="b">
        <v>0</v>
      </c>
      <c r="L61" s="270" t="b">
        <v>0</v>
      </c>
      <c r="M61" s="270" t="b">
        <v>0</v>
      </c>
      <c r="N61" s="270" t="b">
        <v>0</v>
      </c>
      <c r="O61" s="270" t="b">
        <v>0</v>
      </c>
      <c r="P61" s="321"/>
    </row>
    <row r="62">
      <c r="A62" s="270" t="b">
        <v>0</v>
      </c>
      <c r="B62" s="270" t="b">
        <v>0</v>
      </c>
      <c r="C62" s="270" t="b">
        <v>0</v>
      </c>
      <c r="D62" s="270" t="b">
        <v>0</v>
      </c>
      <c r="E62" s="270" t="b">
        <v>0</v>
      </c>
      <c r="F62" s="319"/>
      <c r="G62" s="319"/>
      <c r="H62" s="272"/>
      <c r="I62" s="277"/>
      <c r="J62" s="302"/>
      <c r="K62" s="270" t="b">
        <v>0</v>
      </c>
      <c r="L62" s="270" t="b">
        <v>0</v>
      </c>
      <c r="M62" s="270" t="b">
        <v>0</v>
      </c>
      <c r="N62" s="270" t="b">
        <v>0</v>
      </c>
      <c r="O62" s="270" t="b">
        <v>0</v>
      </c>
      <c r="P62" s="321"/>
    </row>
    <row r="63">
      <c r="A63" s="270" t="b">
        <v>0</v>
      </c>
      <c r="B63" s="270" t="b">
        <v>0</v>
      </c>
      <c r="C63" s="270" t="b">
        <v>0</v>
      </c>
      <c r="D63" s="270" t="b">
        <v>0</v>
      </c>
      <c r="E63" s="270" t="b">
        <v>0</v>
      </c>
      <c r="F63" s="319"/>
      <c r="G63" s="319"/>
      <c r="H63" s="272"/>
      <c r="I63" s="272"/>
      <c r="J63" s="302"/>
      <c r="K63" s="270" t="b">
        <v>0</v>
      </c>
      <c r="L63" s="270" t="b">
        <v>0</v>
      </c>
      <c r="M63" s="270" t="b">
        <v>0</v>
      </c>
      <c r="N63" s="270" t="b">
        <v>0</v>
      </c>
      <c r="O63" s="270" t="b">
        <v>0</v>
      </c>
      <c r="P63" s="321"/>
    </row>
    <row r="64">
      <c r="A64" s="270" t="b">
        <v>0</v>
      </c>
      <c r="B64" s="270" t="b">
        <v>0</v>
      </c>
      <c r="C64" s="270" t="b">
        <v>0</v>
      </c>
      <c r="D64" s="270" t="b">
        <v>0</v>
      </c>
      <c r="E64" s="270" t="b">
        <v>0</v>
      </c>
      <c r="F64" s="320"/>
      <c r="G64" s="320"/>
      <c r="H64" s="277"/>
      <c r="I64" s="277"/>
      <c r="J64" s="277"/>
      <c r="K64" s="270" t="b">
        <v>0</v>
      </c>
      <c r="L64" s="270" t="b">
        <v>0</v>
      </c>
      <c r="M64" s="270" t="b">
        <v>0</v>
      </c>
      <c r="N64" s="270" t="b">
        <v>0</v>
      </c>
      <c r="O64" s="270" t="b">
        <v>0</v>
      </c>
      <c r="P64" s="321"/>
    </row>
    <row r="65">
      <c r="A65" s="270" t="b">
        <v>0</v>
      </c>
      <c r="B65" s="270" t="b">
        <v>0</v>
      </c>
      <c r="C65" s="270" t="b">
        <v>0</v>
      </c>
      <c r="D65" s="270" t="b">
        <v>0</v>
      </c>
      <c r="E65" s="270" t="b">
        <v>0</v>
      </c>
      <c r="F65" s="320"/>
      <c r="G65" s="320"/>
      <c r="H65" s="277"/>
      <c r="I65" s="277"/>
      <c r="J65" s="277"/>
      <c r="K65" s="270" t="b">
        <v>0</v>
      </c>
      <c r="L65" s="270" t="b">
        <v>0</v>
      </c>
      <c r="M65" s="270" t="b">
        <v>0</v>
      </c>
      <c r="N65" s="270" t="b">
        <v>0</v>
      </c>
      <c r="O65" s="270" t="b">
        <v>0</v>
      </c>
      <c r="P65" s="321"/>
    </row>
    <row r="66">
      <c r="A66" s="270" t="b">
        <v>0</v>
      </c>
      <c r="B66" s="270" t="b">
        <v>0</v>
      </c>
      <c r="C66" s="270" t="b">
        <v>0</v>
      </c>
      <c r="D66" s="270" t="b">
        <v>0</v>
      </c>
      <c r="E66" s="270" t="b">
        <v>0</v>
      </c>
      <c r="F66" s="319"/>
      <c r="G66" s="319"/>
      <c r="H66" s="272"/>
      <c r="I66" s="272"/>
      <c r="J66" s="287"/>
      <c r="K66" s="270" t="b">
        <v>0</v>
      </c>
      <c r="L66" s="270" t="b">
        <v>0</v>
      </c>
      <c r="M66" s="270" t="b">
        <v>0</v>
      </c>
      <c r="N66" s="270" t="b">
        <v>0</v>
      </c>
      <c r="O66" s="270" t="b">
        <v>0</v>
      </c>
      <c r="P66" s="321"/>
    </row>
    <row r="67">
      <c r="A67" s="270" t="b">
        <v>0</v>
      </c>
      <c r="B67" s="270" t="b">
        <v>0</v>
      </c>
      <c r="C67" s="270" t="b">
        <v>0</v>
      </c>
      <c r="D67" s="270" t="b">
        <v>0</v>
      </c>
      <c r="E67" s="270" t="b">
        <v>0</v>
      </c>
      <c r="F67" s="319"/>
      <c r="G67" s="319"/>
      <c r="H67" s="272"/>
      <c r="I67" s="277"/>
      <c r="J67" s="302"/>
      <c r="K67" s="270" t="b">
        <v>0</v>
      </c>
      <c r="L67" s="270" t="b">
        <v>0</v>
      </c>
      <c r="M67" s="270" t="b">
        <v>0</v>
      </c>
      <c r="N67" s="270" t="b">
        <v>0</v>
      </c>
      <c r="O67" s="270" t="b">
        <v>0</v>
      </c>
      <c r="P67" s="321"/>
    </row>
    <row r="68">
      <c r="A68" s="270" t="b">
        <v>0</v>
      </c>
      <c r="B68" s="270" t="b">
        <v>0</v>
      </c>
      <c r="C68" s="270" t="b">
        <v>0</v>
      </c>
      <c r="D68" s="270" t="b">
        <v>0</v>
      </c>
      <c r="E68" s="270" t="b">
        <v>0</v>
      </c>
      <c r="F68" s="319"/>
      <c r="G68" s="319"/>
      <c r="H68" s="272"/>
      <c r="I68" s="277"/>
      <c r="J68" s="287"/>
      <c r="K68" s="270" t="b">
        <v>0</v>
      </c>
      <c r="L68" s="270" t="b">
        <v>0</v>
      </c>
      <c r="M68" s="270" t="b">
        <v>0</v>
      </c>
      <c r="N68" s="270" t="b">
        <v>0</v>
      </c>
      <c r="O68" s="270" t="b">
        <v>0</v>
      </c>
      <c r="P68" s="321"/>
    </row>
    <row r="69">
      <c r="A69" s="270" t="b">
        <v>0</v>
      </c>
      <c r="B69" s="270" t="b">
        <v>0</v>
      </c>
      <c r="C69" s="270" t="b">
        <v>0</v>
      </c>
      <c r="D69" s="270" t="b">
        <v>0</v>
      </c>
      <c r="E69" s="324" t="b">
        <v>0</v>
      </c>
      <c r="F69" s="320"/>
      <c r="G69" s="320"/>
      <c r="H69" s="277"/>
      <c r="I69" s="277"/>
      <c r="J69" s="318"/>
      <c r="K69" s="270" t="b">
        <v>0</v>
      </c>
      <c r="L69" s="270" t="b">
        <v>0</v>
      </c>
      <c r="M69" s="270" t="b">
        <v>0</v>
      </c>
      <c r="N69" s="270" t="b">
        <v>0</v>
      </c>
      <c r="O69" s="270" t="b">
        <v>0</v>
      </c>
      <c r="P69" s="321"/>
    </row>
    <row r="70">
      <c r="A70" s="270" t="b">
        <v>0</v>
      </c>
      <c r="B70" s="270" t="b">
        <v>0</v>
      </c>
      <c r="C70" s="270" t="b">
        <v>0</v>
      </c>
      <c r="D70" s="270" t="b">
        <v>0</v>
      </c>
      <c r="E70" s="270" t="b">
        <v>0</v>
      </c>
      <c r="F70" s="320"/>
      <c r="G70" s="320"/>
      <c r="H70" s="277"/>
      <c r="I70" s="277"/>
      <c r="J70" s="325"/>
      <c r="K70" s="270" t="b">
        <v>0</v>
      </c>
      <c r="L70" s="270" t="b">
        <v>0</v>
      </c>
      <c r="M70" s="270" t="b">
        <v>0</v>
      </c>
      <c r="N70" s="270" t="b">
        <v>0</v>
      </c>
      <c r="O70" s="270" t="b">
        <v>0</v>
      </c>
      <c r="P70" s="321"/>
    </row>
    <row r="71">
      <c r="A71" s="270" t="b">
        <v>0</v>
      </c>
      <c r="B71" s="270" t="b">
        <v>0</v>
      </c>
      <c r="C71" s="270" t="b">
        <v>0</v>
      </c>
      <c r="D71" s="270" t="b">
        <v>0</v>
      </c>
      <c r="E71" s="270" t="b">
        <v>0</v>
      </c>
      <c r="F71" s="319"/>
      <c r="G71" s="319"/>
      <c r="H71" s="272"/>
      <c r="I71" s="272"/>
      <c r="J71" s="287"/>
      <c r="K71" s="270" t="b">
        <v>0</v>
      </c>
      <c r="L71" s="270" t="b">
        <v>0</v>
      </c>
      <c r="M71" s="270" t="b">
        <v>0</v>
      </c>
      <c r="N71" s="270" t="b">
        <v>0</v>
      </c>
      <c r="O71" s="270" t="b">
        <v>0</v>
      </c>
      <c r="P71" s="321"/>
    </row>
    <row r="72">
      <c r="A72" s="270" t="b">
        <v>0</v>
      </c>
      <c r="B72" s="270" t="b">
        <v>0</v>
      </c>
      <c r="C72" s="270" t="b">
        <v>0</v>
      </c>
      <c r="D72" s="270" t="b">
        <v>0</v>
      </c>
      <c r="E72" s="270" t="b">
        <v>0</v>
      </c>
      <c r="F72" s="319"/>
      <c r="G72" s="319"/>
      <c r="H72" s="272"/>
      <c r="I72" s="272"/>
      <c r="J72" s="287"/>
      <c r="K72" s="270" t="b">
        <v>0</v>
      </c>
      <c r="L72" s="270" t="b">
        <v>0</v>
      </c>
      <c r="M72" s="270" t="b">
        <v>0</v>
      </c>
      <c r="N72" s="270" t="b">
        <v>0</v>
      </c>
      <c r="O72" s="270" t="b">
        <v>0</v>
      </c>
      <c r="P72" s="321"/>
    </row>
    <row r="73">
      <c r="A73" s="270" t="b">
        <v>0</v>
      </c>
      <c r="B73" s="270" t="b">
        <v>0</v>
      </c>
      <c r="C73" s="270" t="b">
        <v>0</v>
      </c>
      <c r="D73" s="270" t="b">
        <v>0</v>
      </c>
      <c r="E73" s="270" t="b">
        <v>0</v>
      </c>
      <c r="F73" s="319"/>
      <c r="G73" s="319"/>
      <c r="H73" s="272"/>
      <c r="I73" s="272"/>
      <c r="J73" s="287"/>
      <c r="K73" s="270" t="b">
        <v>0</v>
      </c>
      <c r="L73" s="270" t="b">
        <v>0</v>
      </c>
      <c r="M73" s="270" t="b">
        <v>0</v>
      </c>
      <c r="N73" s="270" t="b">
        <v>0</v>
      </c>
      <c r="O73" s="270" t="b">
        <v>0</v>
      </c>
      <c r="P73" s="321"/>
    </row>
    <row r="74">
      <c r="A74" s="270" t="b">
        <v>0</v>
      </c>
      <c r="B74" s="270" t="b">
        <v>0</v>
      </c>
      <c r="C74" s="270" t="b">
        <v>0</v>
      </c>
      <c r="D74" s="270" t="b">
        <v>0</v>
      </c>
      <c r="E74" s="270" t="b">
        <v>0</v>
      </c>
      <c r="F74" s="326"/>
      <c r="G74" s="326"/>
      <c r="H74" s="304"/>
      <c r="I74" s="327"/>
      <c r="J74" s="328"/>
      <c r="K74" s="270" t="b">
        <v>0</v>
      </c>
      <c r="L74" s="270" t="b">
        <v>0</v>
      </c>
      <c r="M74" s="270" t="b">
        <v>0</v>
      </c>
      <c r="N74" s="270" t="b">
        <v>0</v>
      </c>
      <c r="O74" s="270" t="b">
        <v>0</v>
      </c>
      <c r="P74" s="321"/>
    </row>
    <row r="75">
      <c r="A75" s="270" t="b">
        <v>0</v>
      </c>
      <c r="B75" s="270" t="b">
        <v>0</v>
      </c>
      <c r="C75" s="270" t="b">
        <v>0</v>
      </c>
      <c r="D75" s="288" t="b">
        <v>0</v>
      </c>
      <c r="E75" s="270" t="b">
        <v>0</v>
      </c>
      <c r="F75" s="320"/>
      <c r="G75" s="320"/>
      <c r="H75" s="277"/>
      <c r="I75" s="277"/>
      <c r="J75" s="318"/>
      <c r="K75" s="270" t="b">
        <v>0</v>
      </c>
      <c r="L75" s="270" t="b">
        <v>0</v>
      </c>
      <c r="M75" s="270" t="b">
        <v>0</v>
      </c>
      <c r="N75" s="270" t="b">
        <v>0</v>
      </c>
      <c r="O75" s="270" t="b">
        <v>0</v>
      </c>
      <c r="P75" s="321"/>
    </row>
    <row r="76">
      <c r="A76" s="270" t="b">
        <v>0</v>
      </c>
      <c r="B76" s="270" t="b">
        <v>0</v>
      </c>
      <c r="C76" s="270" t="b">
        <v>0</v>
      </c>
      <c r="D76" s="270" t="b">
        <v>0</v>
      </c>
      <c r="E76" s="270" t="b">
        <v>0</v>
      </c>
      <c r="F76" s="319"/>
      <c r="G76" s="319"/>
      <c r="H76" s="272"/>
      <c r="I76" s="272"/>
      <c r="J76" s="302"/>
      <c r="K76" s="270" t="b">
        <v>0</v>
      </c>
      <c r="L76" s="270" t="b">
        <v>0</v>
      </c>
      <c r="M76" s="270" t="b">
        <v>0</v>
      </c>
      <c r="N76" s="270" t="b">
        <v>0</v>
      </c>
      <c r="O76" s="270" t="b">
        <v>0</v>
      </c>
      <c r="P76" s="321"/>
    </row>
    <row r="77">
      <c r="A77" s="270" t="b">
        <v>0</v>
      </c>
      <c r="B77" s="270" t="b">
        <v>0</v>
      </c>
      <c r="C77" s="270" t="b">
        <v>0</v>
      </c>
      <c r="D77" s="270" t="b">
        <v>0</v>
      </c>
      <c r="E77" s="270" t="b">
        <v>0</v>
      </c>
      <c r="F77" s="320"/>
      <c r="G77" s="320"/>
      <c r="H77" s="277"/>
      <c r="I77" s="277"/>
      <c r="J77" s="318"/>
      <c r="K77" s="270" t="b">
        <v>0</v>
      </c>
      <c r="L77" s="270" t="b">
        <v>0</v>
      </c>
      <c r="M77" s="270" t="b">
        <v>0</v>
      </c>
      <c r="N77" s="270" t="b">
        <v>0</v>
      </c>
      <c r="O77" s="270" t="b">
        <v>0</v>
      </c>
      <c r="P77" s="321"/>
    </row>
    <row r="78">
      <c r="A78" s="270" t="b">
        <v>0</v>
      </c>
      <c r="B78" s="270" t="b">
        <v>0</v>
      </c>
      <c r="C78" s="270" t="b">
        <v>0</v>
      </c>
      <c r="D78" s="270" t="b">
        <v>0</v>
      </c>
      <c r="E78" s="270" t="b">
        <v>0</v>
      </c>
      <c r="F78" s="320"/>
      <c r="G78" s="320"/>
      <c r="H78" s="277"/>
      <c r="I78" s="277"/>
      <c r="J78" s="318"/>
      <c r="K78" s="270" t="b">
        <v>0</v>
      </c>
      <c r="L78" s="270" t="b">
        <v>0</v>
      </c>
      <c r="M78" s="270" t="b">
        <v>0</v>
      </c>
      <c r="N78" s="270" t="b">
        <v>0</v>
      </c>
      <c r="O78" s="270" t="b">
        <v>0</v>
      </c>
      <c r="P78" s="321"/>
    </row>
    <row r="79">
      <c r="A79" s="270" t="b">
        <v>0</v>
      </c>
      <c r="B79" s="270" t="b">
        <v>0</v>
      </c>
      <c r="C79" s="270" t="b">
        <v>0</v>
      </c>
      <c r="D79" s="270" t="b">
        <v>0</v>
      </c>
      <c r="E79" s="270" t="b">
        <v>0</v>
      </c>
      <c r="F79" s="319"/>
      <c r="G79" s="319"/>
      <c r="H79" s="272"/>
      <c r="I79" s="277"/>
      <c r="J79" s="302"/>
      <c r="K79" s="270" t="b">
        <v>0</v>
      </c>
      <c r="L79" s="270" t="b">
        <v>0</v>
      </c>
      <c r="M79" s="270" t="b">
        <v>0</v>
      </c>
      <c r="N79" s="270" t="b">
        <v>0</v>
      </c>
      <c r="O79" s="270" t="b">
        <v>0</v>
      </c>
      <c r="P79" s="321"/>
    </row>
    <row r="80">
      <c r="A80" s="270" t="b">
        <v>0</v>
      </c>
      <c r="B80" s="270" t="b">
        <v>0</v>
      </c>
      <c r="C80" s="270" t="b">
        <v>0</v>
      </c>
      <c r="D80" s="270" t="b">
        <v>0</v>
      </c>
      <c r="E80" s="288" t="b">
        <v>0</v>
      </c>
      <c r="F80" s="319"/>
      <c r="G80" s="319"/>
      <c r="H80" s="272"/>
      <c r="I80" s="277"/>
      <c r="J80" s="302"/>
      <c r="K80" s="270" t="b">
        <v>0</v>
      </c>
      <c r="L80" s="270" t="b">
        <v>0</v>
      </c>
      <c r="M80" s="270" t="b">
        <v>0</v>
      </c>
      <c r="N80" s="270" t="b">
        <v>0</v>
      </c>
      <c r="O80" s="270" t="b">
        <v>0</v>
      </c>
      <c r="P80" s="321"/>
    </row>
    <row r="81">
      <c r="A81" s="270" t="b">
        <v>0</v>
      </c>
      <c r="B81" s="270" t="b">
        <v>0</v>
      </c>
      <c r="C81" s="270" t="b">
        <v>0</v>
      </c>
      <c r="D81" s="270" t="b">
        <v>0</v>
      </c>
      <c r="E81" s="270" t="b">
        <v>0</v>
      </c>
      <c r="F81" s="320"/>
      <c r="G81" s="320"/>
      <c r="H81" s="277"/>
      <c r="I81" s="277"/>
      <c r="J81" s="318"/>
      <c r="K81" s="270" t="b">
        <v>0</v>
      </c>
      <c r="L81" s="270" t="b">
        <v>0</v>
      </c>
      <c r="M81" s="270" t="b">
        <v>0</v>
      </c>
      <c r="N81" s="270" t="b">
        <v>0</v>
      </c>
      <c r="O81" s="270" t="b">
        <v>0</v>
      </c>
      <c r="P81" s="321"/>
    </row>
    <row r="82">
      <c r="A82" s="270" t="b">
        <v>0</v>
      </c>
      <c r="B82" s="270" t="b">
        <v>0</v>
      </c>
      <c r="C82" s="270" t="b">
        <v>0</v>
      </c>
      <c r="D82" s="270" t="b">
        <v>0</v>
      </c>
      <c r="E82" s="270" t="b">
        <v>0</v>
      </c>
      <c r="F82" s="329"/>
      <c r="G82" s="329"/>
      <c r="H82" s="330"/>
      <c r="I82" s="331"/>
      <c r="J82" s="332"/>
      <c r="K82" s="270" t="b">
        <v>0</v>
      </c>
      <c r="L82" s="270" t="b">
        <v>0</v>
      </c>
      <c r="M82" s="270" t="b">
        <v>0</v>
      </c>
      <c r="N82" s="270" t="b">
        <v>0</v>
      </c>
      <c r="O82" s="270" t="b">
        <v>0</v>
      </c>
      <c r="P82" s="321"/>
    </row>
    <row r="83">
      <c r="A83" s="270" t="b">
        <v>0</v>
      </c>
      <c r="B83" s="270" t="b">
        <v>0</v>
      </c>
      <c r="C83" s="270" t="b">
        <v>0</v>
      </c>
      <c r="D83" s="270" t="b">
        <v>0</v>
      </c>
      <c r="E83" s="270" t="b">
        <v>0</v>
      </c>
      <c r="F83" s="329"/>
      <c r="G83" s="329"/>
      <c r="H83" s="333"/>
      <c r="I83" s="331"/>
      <c r="J83" s="332"/>
      <c r="K83" s="270" t="b">
        <v>0</v>
      </c>
      <c r="L83" s="270" t="b">
        <v>0</v>
      </c>
      <c r="M83" s="270" t="b">
        <v>0</v>
      </c>
      <c r="N83" s="270" t="b">
        <v>0</v>
      </c>
      <c r="O83" s="270" t="b">
        <v>0</v>
      </c>
      <c r="P83" s="321"/>
    </row>
    <row r="84">
      <c r="A84" s="270" t="b">
        <v>0</v>
      </c>
      <c r="B84" s="270" t="b">
        <v>0</v>
      </c>
      <c r="C84" s="270" t="b">
        <v>0</v>
      </c>
      <c r="D84" s="270" t="b">
        <v>0</v>
      </c>
      <c r="E84" s="270" t="b">
        <v>0</v>
      </c>
      <c r="F84" s="329"/>
      <c r="G84" s="329"/>
      <c r="H84" s="333"/>
      <c r="I84" s="331"/>
      <c r="J84" s="332"/>
      <c r="K84" s="270" t="b">
        <v>0</v>
      </c>
      <c r="L84" s="270" t="b">
        <v>0</v>
      </c>
      <c r="M84" s="270" t="b">
        <v>0</v>
      </c>
      <c r="N84" s="270" t="b">
        <v>0</v>
      </c>
      <c r="O84" s="270" t="b">
        <v>0</v>
      </c>
      <c r="P84" s="321"/>
    </row>
    <row r="85">
      <c r="A85" s="270" t="b">
        <v>0</v>
      </c>
      <c r="B85" s="270" t="b">
        <v>0</v>
      </c>
      <c r="C85" s="270" t="b">
        <v>0</v>
      </c>
      <c r="D85" s="270" t="b">
        <v>0</v>
      </c>
      <c r="E85" s="270" t="b">
        <v>0</v>
      </c>
      <c r="F85" s="334"/>
      <c r="G85" s="334"/>
      <c r="H85" s="333"/>
      <c r="I85" s="331"/>
      <c r="J85" s="332"/>
      <c r="K85" s="270" t="b">
        <v>0</v>
      </c>
      <c r="L85" s="270" t="b">
        <v>0</v>
      </c>
      <c r="M85" s="270" t="b">
        <v>0</v>
      </c>
      <c r="N85" s="270" t="b">
        <v>0</v>
      </c>
      <c r="O85" s="270" t="b">
        <v>0</v>
      </c>
      <c r="P85" s="321"/>
    </row>
    <row r="86">
      <c r="A86" s="270" t="b">
        <v>0</v>
      </c>
      <c r="B86" s="270" t="b">
        <v>0</v>
      </c>
      <c r="C86" s="270" t="b">
        <v>0</v>
      </c>
      <c r="D86" s="270" t="b">
        <v>0</v>
      </c>
      <c r="E86" s="270" t="b">
        <v>0</v>
      </c>
      <c r="F86" s="335"/>
      <c r="G86" s="335"/>
      <c r="H86" s="336"/>
      <c r="I86" s="337"/>
      <c r="J86" s="332"/>
      <c r="K86" s="270" t="b">
        <v>0</v>
      </c>
      <c r="L86" s="270" t="b">
        <v>0</v>
      </c>
      <c r="M86" s="270" t="b">
        <v>0</v>
      </c>
      <c r="N86" s="270" t="b">
        <v>0</v>
      </c>
      <c r="O86" s="270" t="b">
        <v>0</v>
      </c>
      <c r="P86" s="321"/>
    </row>
    <row r="87">
      <c r="A87" s="270" t="b">
        <v>0</v>
      </c>
      <c r="B87" s="270" t="b">
        <v>0</v>
      </c>
      <c r="C87" s="270" t="b">
        <v>0</v>
      </c>
      <c r="D87" s="270" t="b">
        <v>0</v>
      </c>
      <c r="E87" s="270" t="b">
        <v>0</v>
      </c>
      <c r="F87" s="335"/>
      <c r="G87" s="335"/>
      <c r="H87" s="336"/>
      <c r="I87" s="337"/>
      <c r="J87" s="332"/>
      <c r="K87" s="270" t="b">
        <v>0</v>
      </c>
      <c r="L87" s="270" t="b">
        <v>0</v>
      </c>
      <c r="M87" s="270" t="b">
        <v>0</v>
      </c>
      <c r="N87" s="270" t="b">
        <v>0</v>
      </c>
      <c r="O87" s="270" t="b">
        <v>0</v>
      </c>
      <c r="P87" s="321"/>
    </row>
    <row r="88">
      <c r="A88" s="338">
        <f t="shared" ref="A88:E88" si="1">SUMPRODUCT(--A45:A87)</f>
        <v>9</v>
      </c>
      <c r="B88" s="338">
        <f t="shared" si="1"/>
        <v>0</v>
      </c>
      <c r="C88" s="338">
        <f t="shared" si="1"/>
        <v>0</v>
      </c>
      <c r="D88" s="338">
        <f t="shared" si="1"/>
        <v>0</v>
      </c>
      <c r="E88" s="338">
        <f t="shared" si="1"/>
        <v>0</v>
      </c>
      <c r="F88" s="339"/>
      <c r="G88" s="339"/>
      <c r="H88" s="339"/>
      <c r="I88" s="340"/>
      <c r="J88" s="341"/>
      <c r="K88" s="338">
        <f t="shared" ref="K88:O88" si="2">SUMPRODUCT(--K45:K87)</f>
        <v>0</v>
      </c>
      <c r="L88" s="338">
        <f t="shared" si="2"/>
        <v>0</v>
      </c>
      <c r="M88" s="338">
        <f t="shared" si="2"/>
        <v>0</v>
      </c>
      <c r="N88" s="338">
        <f t="shared" si="2"/>
        <v>0</v>
      </c>
      <c r="O88" s="338">
        <f t="shared" si="2"/>
        <v>0</v>
      </c>
      <c r="P88" s="341"/>
    </row>
  </sheetData>
  <mergeCells count="3">
    <mergeCell ref="A1:E1"/>
    <mergeCell ref="F1:J1"/>
    <mergeCell ref="K1:O1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18.63"/>
    <col customWidth="1" min="7" max="7" width="18.75"/>
    <col customWidth="1" min="8" max="8" width="17.63"/>
    <col customWidth="1" min="10" max="10" width="55.25"/>
    <col customWidth="1" min="16" max="16" width="38.0"/>
  </cols>
  <sheetData>
    <row r="1">
      <c r="A1" s="342" t="s">
        <v>454</v>
      </c>
      <c r="B1" s="260"/>
      <c r="C1" s="260"/>
      <c r="D1" s="260"/>
      <c r="E1" s="261"/>
      <c r="F1" s="342" t="s">
        <v>455</v>
      </c>
      <c r="G1" s="260"/>
      <c r="H1" s="260"/>
      <c r="I1" s="260"/>
      <c r="J1" s="261"/>
      <c r="K1" s="342" t="s">
        <v>456</v>
      </c>
      <c r="L1" s="260"/>
      <c r="M1" s="260"/>
      <c r="N1" s="260"/>
      <c r="O1" s="261"/>
      <c r="P1" s="343" t="s">
        <v>457</v>
      </c>
    </row>
    <row r="2">
      <c r="A2" s="344">
        <v>45824.0</v>
      </c>
      <c r="B2" s="344">
        <v>45825.0</v>
      </c>
      <c r="C2" s="344">
        <v>45826.0</v>
      </c>
      <c r="D2" s="344">
        <v>45827.0</v>
      </c>
      <c r="E2" s="344">
        <v>45828.0</v>
      </c>
      <c r="F2" s="345" t="s">
        <v>19</v>
      </c>
      <c r="G2" s="345" t="s">
        <v>20</v>
      </c>
      <c r="H2" s="345" t="s">
        <v>21</v>
      </c>
      <c r="I2" s="346" t="s">
        <v>458</v>
      </c>
      <c r="J2" s="347" t="s">
        <v>5</v>
      </c>
      <c r="K2" s="344">
        <v>45824.0</v>
      </c>
      <c r="L2" s="344">
        <v>45825.0</v>
      </c>
      <c r="M2" s="344">
        <v>45826.0</v>
      </c>
      <c r="N2" s="344">
        <v>45827.0</v>
      </c>
      <c r="O2" s="348">
        <v>45828.0</v>
      </c>
      <c r="P2" s="349"/>
    </row>
    <row r="3">
      <c r="A3" s="350"/>
      <c r="B3" s="351"/>
      <c r="C3" s="351"/>
      <c r="D3" s="351"/>
      <c r="E3" s="351"/>
      <c r="F3" s="352" t="s">
        <v>290</v>
      </c>
      <c r="G3" s="352" t="s">
        <v>291</v>
      </c>
      <c r="H3" s="352" t="s">
        <v>292</v>
      </c>
      <c r="I3" s="353">
        <v>11.0</v>
      </c>
      <c r="J3" s="354"/>
      <c r="K3" s="355" t="b">
        <v>0</v>
      </c>
      <c r="L3" s="356" t="b">
        <v>0</v>
      </c>
      <c r="M3" s="356" t="b">
        <v>0</v>
      </c>
      <c r="N3" s="351"/>
      <c r="O3" s="351"/>
      <c r="P3" s="357"/>
    </row>
    <row r="4">
      <c r="A4" s="351"/>
      <c r="B4" s="351"/>
      <c r="C4" s="351"/>
      <c r="D4" s="351"/>
      <c r="E4" s="351"/>
      <c r="F4" s="352" t="s">
        <v>241</v>
      </c>
      <c r="G4" s="352" t="s">
        <v>242</v>
      </c>
      <c r="H4" s="358">
        <v>3.336388468E9</v>
      </c>
      <c r="I4" s="353">
        <v>10.0</v>
      </c>
      <c r="J4" s="359"/>
      <c r="K4" s="355" t="b">
        <v>0</v>
      </c>
      <c r="L4" s="356" t="b">
        <v>0</v>
      </c>
      <c r="M4" s="356" t="b">
        <v>0</v>
      </c>
      <c r="N4" s="351"/>
      <c r="O4" s="351"/>
      <c r="P4" s="360"/>
    </row>
    <row r="5">
      <c r="A5" s="350"/>
      <c r="B5" s="350"/>
      <c r="C5" s="351"/>
      <c r="D5" s="351"/>
      <c r="E5" s="351"/>
      <c r="F5" s="352" t="s">
        <v>467</v>
      </c>
      <c r="G5" s="352" t="s">
        <v>191</v>
      </c>
      <c r="H5" s="352">
        <v>3.44680224E9</v>
      </c>
      <c r="I5" s="353">
        <v>10.0</v>
      </c>
      <c r="J5" s="361" t="s">
        <v>188</v>
      </c>
      <c r="K5" s="355" t="b">
        <v>0</v>
      </c>
      <c r="L5" s="355" t="b">
        <v>0</v>
      </c>
      <c r="M5" s="356" t="b">
        <v>0</v>
      </c>
      <c r="N5" s="351"/>
      <c r="O5" s="351"/>
      <c r="P5" s="361"/>
    </row>
    <row r="6">
      <c r="A6" s="350"/>
      <c r="B6" s="351"/>
      <c r="C6" s="351"/>
      <c r="D6" s="351"/>
      <c r="E6" s="351"/>
      <c r="F6" s="352" t="s">
        <v>468</v>
      </c>
      <c r="G6" s="352" t="s">
        <v>184</v>
      </c>
      <c r="H6" s="358">
        <v>3.44680224E9</v>
      </c>
      <c r="I6" s="353">
        <v>10.0</v>
      </c>
      <c r="J6" s="361" t="s">
        <v>188</v>
      </c>
      <c r="K6" s="355" t="b">
        <v>0</v>
      </c>
      <c r="L6" s="356" t="b">
        <v>0</v>
      </c>
      <c r="M6" s="356" t="b">
        <v>0</v>
      </c>
      <c r="N6" s="351"/>
      <c r="O6" s="351"/>
      <c r="P6" s="362"/>
    </row>
    <row r="7">
      <c r="A7" s="350"/>
      <c r="B7" s="351"/>
      <c r="C7" s="351"/>
      <c r="D7" s="351"/>
      <c r="E7" s="351"/>
      <c r="F7" s="363" t="s">
        <v>469</v>
      </c>
      <c r="G7" s="363" t="s">
        <v>190</v>
      </c>
      <c r="H7" s="364">
        <v>3.44680224E9</v>
      </c>
      <c r="I7" s="365">
        <v>7.0</v>
      </c>
      <c r="J7" s="361" t="s">
        <v>188</v>
      </c>
      <c r="K7" s="355" t="b">
        <v>0</v>
      </c>
      <c r="L7" s="355" t="b">
        <v>0</v>
      </c>
      <c r="M7" s="356" t="b">
        <v>0</v>
      </c>
      <c r="N7" s="351"/>
      <c r="O7" s="351"/>
      <c r="P7" s="366"/>
    </row>
    <row r="8">
      <c r="A8" s="351"/>
      <c r="B8" s="351"/>
      <c r="C8" s="351"/>
      <c r="D8" s="351"/>
      <c r="E8" s="351"/>
      <c r="F8" s="363" t="s">
        <v>253</v>
      </c>
      <c r="G8" s="363" t="s">
        <v>254</v>
      </c>
      <c r="H8" s="364">
        <v>3.386034714E9</v>
      </c>
      <c r="I8" s="365">
        <v>6.0</v>
      </c>
      <c r="J8" s="367"/>
      <c r="K8" s="368" t="b">
        <v>0</v>
      </c>
      <c r="L8" s="368" t="b">
        <v>0</v>
      </c>
      <c r="M8" s="368" t="b">
        <v>0</v>
      </c>
      <c r="N8" s="351"/>
      <c r="O8" s="351"/>
      <c r="P8" s="361"/>
    </row>
    <row r="9">
      <c r="A9" s="350"/>
      <c r="B9" s="351"/>
      <c r="C9" s="351"/>
      <c r="D9" s="351"/>
      <c r="E9" s="351"/>
      <c r="F9" s="363" t="s">
        <v>277</v>
      </c>
      <c r="G9" s="363" t="s">
        <v>278</v>
      </c>
      <c r="H9" s="364">
        <v>3.474852332E9</v>
      </c>
      <c r="I9" s="365">
        <v>7.0</v>
      </c>
      <c r="J9" s="359"/>
      <c r="K9" s="355" t="b">
        <v>0</v>
      </c>
      <c r="L9" s="356" t="b">
        <v>0</v>
      </c>
      <c r="M9" s="356" t="b">
        <v>0</v>
      </c>
      <c r="N9" s="351"/>
      <c r="O9" s="351"/>
      <c r="P9" s="350"/>
    </row>
    <row r="10">
      <c r="A10" s="350"/>
      <c r="B10" s="351"/>
      <c r="C10" s="351"/>
      <c r="D10" s="351"/>
      <c r="E10" s="351"/>
      <c r="F10" s="369" t="s">
        <v>225</v>
      </c>
      <c r="G10" s="369" t="s">
        <v>226</v>
      </c>
      <c r="H10" s="370">
        <v>3.338090911E9</v>
      </c>
      <c r="I10" s="371">
        <v>8.0</v>
      </c>
      <c r="J10" s="372"/>
      <c r="K10" s="355" t="b">
        <v>0</v>
      </c>
      <c r="L10" s="356" t="b">
        <v>0</v>
      </c>
      <c r="M10" s="356" t="b">
        <v>0</v>
      </c>
      <c r="N10" s="351"/>
      <c r="O10" s="351"/>
      <c r="P10" s="361"/>
    </row>
    <row r="11">
      <c r="A11" s="350"/>
      <c r="B11" s="351"/>
      <c r="C11" s="351"/>
      <c r="D11" s="351"/>
      <c r="E11" s="351"/>
      <c r="F11" s="352" t="s">
        <v>259</v>
      </c>
      <c r="G11" s="352" t="s">
        <v>260</v>
      </c>
      <c r="H11" s="352">
        <v>3.494112527E9</v>
      </c>
      <c r="I11" s="353">
        <v>10.0</v>
      </c>
      <c r="J11" s="367" t="s">
        <v>264</v>
      </c>
      <c r="K11" s="355" t="b">
        <v>0</v>
      </c>
      <c r="L11" s="356" t="b">
        <v>0</v>
      </c>
      <c r="M11" s="356" t="b">
        <v>0</v>
      </c>
      <c r="N11" s="351"/>
      <c r="O11" s="351"/>
      <c r="P11" s="361"/>
    </row>
    <row r="12">
      <c r="A12" s="350"/>
      <c r="B12" s="351"/>
      <c r="C12" s="351"/>
      <c r="D12" s="351"/>
      <c r="E12" s="351"/>
      <c r="F12" s="352" t="s">
        <v>97</v>
      </c>
      <c r="G12" s="352" t="s">
        <v>98</v>
      </c>
      <c r="H12" s="352">
        <v>3.343517193E9</v>
      </c>
      <c r="I12" s="353">
        <v>10.0</v>
      </c>
      <c r="J12" s="373" t="s">
        <v>104</v>
      </c>
      <c r="K12" s="355" t="b">
        <v>0</v>
      </c>
      <c r="L12" s="356" t="b">
        <v>0</v>
      </c>
      <c r="M12" s="356" t="b">
        <v>0</v>
      </c>
      <c r="N12" s="351"/>
      <c r="O12" s="351"/>
      <c r="P12" s="374"/>
    </row>
    <row r="13" ht="28.5" customHeight="1">
      <c r="A13" s="350"/>
      <c r="B13" s="351"/>
      <c r="C13" s="351"/>
      <c r="D13" s="351"/>
      <c r="E13" s="351"/>
      <c r="F13" s="369" t="s">
        <v>313</v>
      </c>
      <c r="G13" s="369" t="s">
        <v>314</v>
      </c>
      <c r="H13" s="375">
        <v>3.338736937E9</v>
      </c>
      <c r="I13" s="371">
        <v>8.0</v>
      </c>
      <c r="J13" s="361"/>
      <c r="K13" s="355" t="b">
        <v>0</v>
      </c>
      <c r="L13" s="356" t="b">
        <v>0</v>
      </c>
      <c r="M13" s="356" t="b">
        <v>0</v>
      </c>
      <c r="N13" s="351"/>
      <c r="O13" s="351"/>
      <c r="P13" s="361"/>
    </row>
    <row r="14" ht="28.5" customHeight="1">
      <c r="A14" s="350"/>
      <c r="B14" s="350"/>
      <c r="C14" s="351"/>
      <c r="D14" s="351"/>
      <c r="E14" s="351"/>
      <c r="F14" s="369" t="s">
        <v>46</v>
      </c>
      <c r="G14" s="369" t="s">
        <v>47</v>
      </c>
      <c r="H14" s="370">
        <v>3.470407484E9</v>
      </c>
      <c r="I14" s="371">
        <v>9.0</v>
      </c>
      <c r="J14" s="359"/>
      <c r="K14" s="355" t="b">
        <v>0</v>
      </c>
      <c r="L14" s="355" t="b">
        <v>0</v>
      </c>
      <c r="M14" s="356" t="b">
        <v>0</v>
      </c>
      <c r="N14" s="351"/>
      <c r="O14" s="351"/>
      <c r="P14" s="361"/>
    </row>
    <row r="15">
      <c r="A15" s="350"/>
      <c r="B15" s="351"/>
      <c r="C15" s="351"/>
      <c r="D15" s="351"/>
      <c r="E15" s="351"/>
      <c r="F15" s="376" t="s">
        <v>430</v>
      </c>
      <c r="G15" s="376" t="s">
        <v>431</v>
      </c>
      <c r="H15" s="376">
        <v>3.38820808E9</v>
      </c>
      <c r="I15" s="377">
        <v>9.0</v>
      </c>
      <c r="J15" s="378"/>
      <c r="K15" s="355" t="b">
        <v>0</v>
      </c>
      <c r="L15" s="356" t="b">
        <v>0</v>
      </c>
      <c r="M15" s="356" t="b">
        <v>0</v>
      </c>
      <c r="N15" s="351"/>
      <c r="O15" s="351"/>
      <c r="P15" s="351"/>
    </row>
    <row r="16">
      <c r="A16" s="350"/>
      <c r="B16" s="350"/>
      <c r="C16" s="351"/>
      <c r="D16" s="351"/>
      <c r="E16" s="351"/>
      <c r="F16" s="369" t="s">
        <v>301</v>
      </c>
      <c r="G16" s="369" t="s">
        <v>302</v>
      </c>
      <c r="H16" s="379">
        <v>3.473891154E9</v>
      </c>
      <c r="I16" s="371">
        <v>8.0</v>
      </c>
      <c r="J16" s="366"/>
      <c r="K16" s="355" t="b">
        <v>0</v>
      </c>
      <c r="L16" s="355" t="b">
        <v>0</v>
      </c>
      <c r="M16" s="356" t="b">
        <v>0</v>
      </c>
      <c r="N16" s="351"/>
      <c r="O16" s="351"/>
      <c r="P16" s="361"/>
    </row>
    <row r="17">
      <c r="A17" s="350"/>
      <c r="B17" s="351"/>
      <c r="C17" s="351"/>
      <c r="D17" s="351"/>
      <c r="E17" s="351"/>
      <c r="F17" s="369" t="s">
        <v>112</v>
      </c>
      <c r="G17" s="369" t="s">
        <v>257</v>
      </c>
      <c r="H17" s="370">
        <v>3.496200511E9</v>
      </c>
      <c r="I17" s="371">
        <v>9.0</v>
      </c>
      <c r="J17" s="367"/>
      <c r="K17" s="355" t="b">
        <v>0</v>
      </c>
      <c r="L17" s="356" t="b">
        <v>0</v>
      </c>
      <c r="M17" s="356" t="b">
        <v>0</v>
      </c>
      <c r="N17" s="351"/>
      <c r="O17" s="351"/>
      <c r="P17" s="361"/>
    </row>
    <row r="18">
      <c r="A18" s="351"/>
      <c r="B18" s="351"/>
      <c r="C18" s="351"/>
      <c r="D18" s="351"/>
      <c r="E18" s="351"/>
      <c r="F18" s="376" t="s">
        <v>426</v>
      </c>
      <c r="G18" s="376" t="s">
        <v>427</v>
      </c>
      <c r="H18" s="380">
        <v>3.931092182E9</v>
      </c>
      <c r="I18" s="377">
        <v>12.0</v>
      </c>
      <c r="J18" s="377" t="s">
        <v>387</v>
      </c>
      <c r="K18" s="356" t="b">
        <v>0</v>
      </c>
      <c r="L18" s="356" t="b">
        <v>0</v>
      </c>
      <c r="M18" s="356" t="b">
        <v>0</v>
      </c>
      <c r="N18" s="351"/>
      <c r="O18" s="351"/>
      <c r="P18" s="359"/>
    </row>
    <row r="19">
      <c r="A19" s="350"/>
      <c r="B19" s="351"/>
      <c r="C19" s="351"/>
      <c r="D19" s="351"/>
      <c r="E19" s="351"/>
      <c r="F19" s="369" t="s">
        <v>166</v>
      </c>
      <c r="G19" s="369" t="s">
        <v>167</v>
      </c>
      <c r="H19" s="369">
        <v>3.4711933E9</v>
      </c>
      <c r="I19" s="371">
        <v>9.0</v>
      </c>
      <c r="J19" s="361"/>
      <c r="K19" s="355" t="b">
        <v>0</v>
      </c>
      <c r="L19" s="356" t="b">
        <v>0</v>
      </c>
      <c r="M19" s="356" t="b">
        <v>0</v>
      </c>
      <c r="N19" s="351"/>
      <c r="O19" s="351"/>
      <c r="P19" s="361"/>
    </row>
    <row r="20">
      <c r="A20" s="350"/>
      <c r="B20" s="350"/>
      <c r="C20" s="351"/>
      <c r="D20" s="351"/>
      <c r="E20" s="351"/>
      <c r="F20" s="381" t="s">
        <v>166</v>
      </c>
      <c r="G20" s="381" t="s">
        <v>169</v>
      </c>
      <c r="H20" s="382">
        <v>3.4711933E9</v>
      </c>
      <c r="I20" s="353">
        <v>11.0</v>
      </c>
      <c r="J20" s="366"/>
      <c r="K20" s="355" t="b">
        <v>0</v>
      </c>
      <c r="L20" s="355" t="b">
        <v>0</v>
      </c>
      <c r="M20" s="356" t="b">
        <v>0</v>
      </c>
      <c r="N20" s="351"/>
      <c r="O20" s="351"/>
      <c r="P20" s="361"/>
    </row>
    <row r="21">
      <c r="A21" s="350"/>
      <c r="B21" s="351"/>
      <c r="C21" s="383"/>
      <c r="D21" s="351"/>
      <c r="E21" s="351"/>
      <c r="F21" s="376" t="s">
        <v>446</v>
      </c>
      <c r="G21" s="376" t="s">
        <v>447</v>
      </c>
      <c r="H21" s="384">
        <v>3.476422978E9</v>
      </c>
      <c r="I21" s="377"/>
      <c r="J21" s="377" t="s">
        <v>387</v>
      </c>
      <c r="K21" s="355" t="b">
        <v>0</v>
      </c>
      <c r="L21" s="356" t="b">
        <v>0</v>
      </c>
      <c r="M21" s="356" t="b">
        <v>0</v>
      </c>
      <c r="N21" s="351"/>
      <c r="O21" s="351"/>
      <c r="P21" s="359"/>
    </row>
    <row r="22">
      <c r="A22" s="350"/>
      <c r="B22" s="350"/>
      <c r="C22" s="351"/>
      <c r="D22" s="351"/>
      <c r="E22" s="351"/>
      <c r="F22" s="363" t="s">
        <v>192</v>
      </c>
      <c r="G22" s="363" t="s">
        <v>193</v>
      </c>
      <c r="H22" s="363" t="s">
        <v>194</v>
      </c>
      <c r="I22" s="365">
        <v>7.0</v>
      </c>
      <c r="J22" s="366"/>
      <c r="K22" s="355" t="b">
        <v>0</v>
      </c>
      <c r="L22" s="355" t="b">
        <v>0</v>
      </c>
      <c r="M22" s="355" t="b">
        <v>0</v>
      </c>
      <c r="N22" s="351"/>
      <c r="O22" s="351"/>
      <c r="P22" s="385"/>
    </row>
    <row r="23">
      <c r="A23" s="350"/>
      <c r="B23" s="351"/>
      <c r="C23" s="351"/>
      <c r="D23" s="351"/>
      <c r="E23" s="351"/>
      <c r="F23" s="386" t="s">
        <v>50</v>
      </c>
      <c r="G23" s="386" t="s">
        <v>51</v>
      </c>
      <c r="H23" s="387">
        <v>3.475476654E9</v>
      </c>
      <c r="I23" s="388">
        <v>11.0</v>
      </c>
      <c r="J23" s="366"/>
      <c r="K23" s="355" t="b">
        <v>0</v>
      </c>
      <c r="L23" s="356" t="b">
        <v>0</v>
      </c>
      <c r="M23" s="356" t="b">
        <v>0</v>
      </c>
      <c r="N23" s="383"/>
      <c r="O23" s="351"/>
      <c r="P23" s="385"/>
    </row>
    <row r="24">
      <c r="A24" s="350"/>
      <c r="B24" s="351"/>
      <c r="C24" s="351"/>
      <c r="D24" s="351"/>
      <c r="E24" s="351"/>
      <c r="F24" s="369" t="s">
        <v>470</v>
      </c>
      <c r="G24" s="369" t="s">
        <v>466</v>
      </c>
      <c r="H24" s="369"/>
      <c r="I24" s="371">
        <v>8.0</v>
      </c>
      <c r="J24" s="389"/>
      <c r="K24" s="355" t="b">
        <v>0</v>
      </c>
      <c r="L24" s="356" t="b">
        <v>0</v>
      </c>
      <c r="M24" s="356" t="b">
        <v>0</v>
      </c>
      <c r="N24" s="351"/>
      <c r="O24" s="351"/>
      <c r="P24" s="350"/>
    </row>
    <row r="25">
      <c r="A25" s="351"/>
      <c r="B25" s="351"/>
      <c r="C25" s="351"/>
      <c r="D25" s="351"/>
      <c r="E25" s="351"/>
      <c r="F25" s="390" t="s">
        <v>471</v>
      </c>
      <c r="G25" s="390" t="s">
        <v>465</v>
      </c>
      <c r="H25" s="391"/>
      <c r="I25" s="392">
        <v>10.0</v>
      </c>
      <c r="J25" s="393"/>
      <c r="K25" s="368" t="b">
        <v>0</v>
      </c>
      <c r="L25" s="368" t="b">
        <v>0</v>
      </c>
      <c r="M25" s="368" t="b">
        <v>0</v>
      </c>
      <c r="N25" s="351"/>
      <c r="O25" s="351"/>
      <c r="P25" s="361"/>
    </row>
    <row r="26">
      <c r="A26" s="350"/>
      <c r="B26" s="351"/>
      <c r="C26" s="351"/>
      <c r="D26" s="351"/>
      <c r="E26" s="351"/>
      <c r="F26" s="369" t="s">
        <v>118</v>
      </c>
      <c r="G26" s="369" t="s">
        <v>119</v>
      </c>
      <c r="H26" s="370">
        <v>3.286513622E9</v>
      </c>
      <c r="I26" s="371">
        <v>9.0</v>
      </c>
      <c r="J26" s="367"/>
      <c r="K26" s="355" t="b">
        <v>0</v>
      </c>
      <c r="L26" s="356" t="b">
        <v>0</v>
      </c>
      <c r="M26" s="356" t="b">
        <v>0</v>
      </c>
      <c r="N26" s="351"/>
      <c r="O26" s="351"/>
      <c r="P26" s="366"/>
    </row>
    <row r="27">
      <c r="A27" s="350"/>
      <c r="B27" s="351"/>
      <c r="C27" s="351"/>
      <c r="D27" s="351"/>
      <c r="E27" s="351"/>
      <c r="F27" s="369" t="s">
        <v>118</v>
      </c>
      <c r="G27" s="369" t="s">
        <v>123</v>
      </c>
      <c r="H27" s="370">
        <v>3.286513622E9</v>
      </c>
      <c r="I27" s="371">
        <v>9.0</v>
      </c>
      <c r="J27" s="394"/>
      <c r="K27" s="355" t="b">
        <v>0</v>
      </c>
      <c r="L27" s="356" t="b">
        <v>0</v>
      </c>
      <c r="M27" s="356" t="b">
        <v>0</v>
      </c>
      <c r="N27" s="351"/>
      <c r="O27" s="351"/>
      <c r="P27" s="374"/>
    </row>
    <row r="28">
      <c r="A28" s="351"/>
      <c r="B28" s="351"/>
      <c r="C28" s="351"/>
      <c r="D28" s="351"/>
      <c r="E28" s="351"/>
      <c r="F28" s="363" t="s">
        <v>217</v>
      </c>
      <c r="G28" s="363" t="s">
        <v>218</v>
      </c>
      <c r="H28" s="363">
        <v>3.494909989E9</v>
      </c>
      <c r="I28" s="365">
        <v>7.0</v>
      </c>
      <c r="J28" s="361"/>
      <c r="K28" s="368" t="b">
        <v>0</v>
      </c>
      <c r="L28" s="368" t="b">
        <v>0</v>
      </c>
      <c r="M28" s="368" t="b">
        <v>0</v>
      </c>
      <c r="N28" s="351"/>
      <c r="O28" s="351"/>
      <c r="P28" s="361"/>
    </row>
    <row r="29">
      <c r="A29" s="351"/>
      <c r="B29" s="351"/>
      <c r="C29" s="351"/>
      <c r="D29" s="351"/>
      <c r="E29" s="351"/>
      <c r="F29" s="395" t="s">
        <v>283</v>
      </c>
      <c r="G29" s="363" t="s">
        <v>284</v>
      </c>
      <c r="H29" s="363" t="s">
        <v>285</v>
      </c>
      <c r="I29" s="365">
        <v>8.0</v>
      </c>
      <c r="J29" s="361"/>
      <c r="K29" s="368" t="b">
        <v>0</v>
      </c>
      <c r="L29" s="368" t="b">
        <v>0</v>
      </c>
      <c r="M29" s="368" t="b">
        <v>0</v>
      </c>
      <c r="N29" s="351"/>
      <c r="O29" s="351"/>
      <c r="P29" s="351"/>
    </row>
    <row r="30">
      <c r="A30" s="350"/>
      <c r="B30" s="351"/>
      <c r="C30" s="351"/>
      <c r="D30" s="351"/>
      <c r="E30" s="351"/>
      <c r="F30" s="352" t="s">
        <v>38</v>
      </c>
      <c r="G30" s="352" t="s">
        <v>39</v>
      </c>
      <c r="H30" s="358">
        <v>3.392262465E9</v>
      </c>
      <c r="I30" s="353">
        <v>11.0</v>
      </c>
      <c r="J30" s="396" t="s">
        <v>472</v>
      </c>
      <c r="K30" s="355" t="b">
        <v>0</v>
      </c>
      <c r="L30" s="356" t="b">
        <v>0</v>
      </c>
      <c r="M30" s="356" t="b">
        <v>0</v>
      </c>
      <c r="N30" s="351"/>
      <c r="O30" s="351"/>
      <c r="P30" s="361" t="s">
        <v>473</v>
      </c>
    </row>
    <row r="31">
      <c r="A31" s="351"/>
      <c r="B31" s="351"/>
      <c r="C31" s="351"/>
      <c r="D31" s="351"/>
      <c r="E31" s="351"/>
      <c r="F31" s="369" t="s">
        <v>322</v>
      </c>
      <c r="G31" s="369" t="s">
        <v>323</v>
      </c>
      <c r="H31" s="369" t="s">
        <v>324</v>
      </c>
      <c r="I31" s="371">
        <v>9.0</v>
      </c>
      <c r="J31" s="366"/>
      <c r="K31" s="368" t="b">
        <v>0</v>
      </c>
      <c r="L31" s="368" t="b">
        <v>0</v>
      </c>
      <c r="M31" s="368" t="b">
        <v>0</v>
      </c>
      <c r="N31" s="351"/>
      <c r="O31" s="351"/>
      <c r="P31" s="351"/>
    </row>
    <row r="32">
      <c r="A32" s="350"/>
      <c r="B32" s="351"/>
      <c r="C32" s="351"/>
      <c r="D32" s="351"/>
      <c r="E32" s="351"/>
      <c r="F32" s="397" t="s">
        <v>265</v>
      </c>
      <c r="G32" s="397" t="s">
        <v>266</v>
      </c>
      <c r="H32" s="363">
        <v>3.47654645E9</v>
      </c>
      <c r="I32" s="365">
        <v>6.0</v>
      </c>
      <c r="J32" s="366"/>
      <c r="K32" s="355" t="b">
        <v>0</v>
      </c>
      <c r="L32" s="356" t="b">
        <v>0</v>
      </c>
      <c r="M32" s="356" t="b">
        <v>0</v>
      </c>
      <c r="N32" s="351"/>
      <c r="O32" s="351"/>
      <c r="P32" s="398"/>
    </row>
    <row r="33">
      <c r="A33" s="350"/>
      <c r="B33" s="350"/>
      <c r="C33" s="351"/>
      <c r="D33" s="351"/>
      <c r="E33" s="351"/>
      <c r="F33" s="363" t="s">
        <v>299</v>
      </c>
      <c r="G33" s="363" t="s">
        <v>161</v>
      </c>
      <c r="H33" s="363">
        <v>3.28971505E9</v>
      </c>
      <c r="I33" s="365">
        <v>7.0</v>
      </c>
      <c r="J33" s="361"/>
      <c r="K33" s="355" t="b">
        <v>0</v>
      </c>
      <c r="L33" s="355" t="b">
        <v>0</v>
      </c>
      <c r="M33" s="356" t="b">
        <v>0</v>
      </c>
      <c r="N33" s="351"/>
      <c r="O33" s="351"/>
      <c r="P33" s="359"/>
    </row>
    <row r="34">
      <c r="A34" s="351"/>
      <c r="B34" s="351"/>
      <c r="C34" s="351"/>
      <c r="D34" s="351"/>
      <c r="E34" s="351"/>
      <c r="F34" s="363" t="s">
        <v>135</v>
      </c>
      <c r="G34" s="363" t="s">
        <v>136</v>
      </c>
      <c r="H34" s="364">
        <v>3.473685878E9</v>
      </c>
      <c r="I34" s="365">
        <v>7.0</v>
      </c>
      <c r="J34" s="367"/>
      <c r="K34" s="368" t="b">
        <v>0</v>
      </c>
      <c r="L34" s="368" t="b">
        <v>0</v>
      </c>
      <c r="M34" s="368" t="b">
        <v>0</v>
      </c>
      <c r="N34" s="351"/>
      <c r="O34" s="351"/>
      <c r="P34" s="351"/>
    </row>
    <row r="35">
      <c r="A35" s="351"/>
      <c r="B35" s="351"/>
      <c r="C35" s="351"/>
      <c r="D35" s="351"/>
      <c r="E35" s="351"/>
      <c r="F35" s="352" t="s">
        <v>248</v>
      </c>
      <c r="G35" s="352" t="s">
        <v>249</v>
      </c>
      <c r="H35" s="358">
        <v>3.470852E9</v>
      </c>
      <c r="I35" s="353">
        <v>11.0</v>
      </c>
      <c r="J35" s="359"/>
      <c r="K35" s="368" t="b">
        <v>0</v>
      </c>
      <c r="L35" s="368" t="b">
        <v>0</v>
      </c>
      <c r="M35" s="368" t="b">
        <v>0</v>
      </c>
      <c r="N35" s="351"/>
      <c r="O35" s="351"/>
      <c r="P35" s="360"/>
    </row>
    <row r="36">
      <c r="A36" s="350"/>
      <c r="B36" s="350"/>
      <c r="C36" s="351"/>
      <c r="D36" s="351"/>
      <c r="E36" s="351"/>
      <c r="F36" s="363" t="s">
        <v>155</v>
      </c>
      <c r="G36" s="363" t="s">
        <v>156</v>
      </c>
      <c r="H36" s="399">
        <v>3.446218084E9</v>
      </c>
      <c r="I36" s="365">
        <v>6.0</v>
      </c>
      <c r="J36" s="361"/>
      <c r="K36" s="355" t="b">
        <v>0</v>
      </c>
      <c r="L36" s="355" t="b">
        <v>0</v>
      </c>
      <c r="M36" s="356" t="b">
        <v>0</v>
      </c>
      <c r="N36" s="351"/>
      <c r="O36" s="351"/>
      <c r="P36" s="361"/>
    </row>
    <row r="37">
      <c r="A37" s="351"/>
      <c r="B37" s="351"/>
      <c r="C37" s="351"/>
      <c r="D37" s="351"/>
      <c r="E37" s="351"/>
      <c r="F37" s="363" t="s">
        <v>139</v>
      </c>
      <c r="G37" s="363" t="s">
        <v>140</v>
      </c>
      <c r="H37" s="400">
        <v>3.384272229E9</v>
      </c>
      <c r="I37" s="365">
        <v>6.0</v>
      </c>
      <c r="J37" s="359"/>
      <c r="K37" s="368" t="b">
        <v>0</v>
      </c>
      <c r="L37" s="368" t="b">
        <v>0</v>
      </c>
      <c r="M37" s="368" t="b">
        <v>0</v>
      </c>
      <c r="N37" s="351"/>
      <c r="O37" s="351"/>
      <c r="P37" s="351"/>
    </row>
    <row r="38">
      <c r="A38" s="351"/>
      <c r="B38" s="351"/>
      <c r="C38" s="351"/>
      <c r="D38" s="351"/>
      <c r="E38" s="351"/>
      <c r="F38" s="369" t="s">
        <v>317</v>
      </c>
      <c r="G38" s="369" t="s">
        <v>242</v>
      </c>
      <c r="H38" s="369" t="s">
        <v>318</v>
      </c>
      <c r="I38" s="371">
        <v>8.0</v>
      </c>
      <c r="J38" s="366"/>
      <c r="K38" s="356" t="b">
        <v>0</v>
      </c>
      <c r="L38" s="356" t="b">
        <v>0</v>
      </c>
      <c r="M38" s="356" t="b">
        <v>0</v>
      </c>
      <c r="N38" s="351"/>
      <c r="O38" s="351"/>
      <c r="P38" s="361"/>
    </row>
    <row r="39">
      <c r="A39" s="350"/>
      <c r="B39" s="351"/>
      <c r="C39" s="351"/>
      <c r="D39" s="351"/>
      <c r="E39" s="351"/>
      <c r="F39" s="369" t="s">
        <v>196</v>
      </c>
      <c r="G39" s="369" t="s">
        <v>197</v>
      </c>
      <c r="H39" s="369" t="s">
        <v>198</v>
      </c>
      <c r="I39" s="371">
        <v>8.0</v>
      </c>
      <c r="J39" s="366"/>
      <c r="K39" s="355" t="b">
        <v>0</v>
      </c>
      <c r="L39" s="356" t="b">
        <v>0</v>
      </c>
      <c r="M39" s="355" t="b">
        <v>0</v>
      </c>
      <c r="N39" s="351"/>
      <c r="O39" s="351"/>
      <c r="P39" s="401"/>
    </row>
    <row r="40">
      <c r="A40" s="351"/>
      <c r="B40" s="360" t="b">
        <v>1</v>
      </c>
      <c r="C40" s="351"/>
      <c r="D40" s="351"/>
      <c r="E40" s="351"/>
      <c r="F40" s="369" t="s">
        <v>207</v>
      </c>
      <c r="G40" s="369" t="s">
        <v>208</v>
      </c>
      <c r="H40" s="369">
        <v>3.921028476E9</v>
      </c>
      <c r="I40" s="371">
        <v>9.0</v>
      </c>
      <c r="J40" s="361" t="s">
        <v>212</v>
      </c>
      <c r="K40" s="356" t="b">
        <v>0</v>
      </c>
      <c r="L40" s="356" t="b">
        <v>0</v>
      </c>
      <c r="M40" s="356" t="b">
        <v>0</v>
      </c>
      <c r="N40" s="351"/>
      <c r="O40" s="351"/>
      <c r="P40" s="351"/>
    </row>
    <row r="41">
      <c r="A41" s="350"/>
      <c r="B41" s="350"/>
      <c r="C41" s="351"/>
      <c r="D41" s="351"/>
      <c r="E41" s="351"/>
      <c r="F41" s="402" t="s">
        <v>207</v>
      </c>
      <c r="G41" s="402" t="s">
        <v>327</v>
      </c>
      <c r="H41" s="402">
        <v>3.921028476E9</v>
      </c>
      <c r="I41" s="403">
        <v>8.0</v>
      </c>
      <c r="J41" s="366" t="s">
        <v>212</v>
      </c>
      <c r="K41" s="355" t="b">
        <v>0</v>
      </c>
      <c r="L41" s="355" t="b">
        <v>0</v>
      </c>
      <c r="M41" s="355" t="b">
        <v>0</v>
      </c>
      <c r="N41" s="351"/>
      <c r="O41" s="351"/>
      <c r="P41" s="361"/>
    </row>
    <row r="42">
      <c r="A42" s="350"/>
      <c r="B42" s="351"/>
      <c r="C42" s="351"/>
      <c r="D42" s="351"/>
      <c r="E42" s="351"/>
      <c r="F42" s="369" t="s">
        <v>151</v>
      </c>
      <c r="G42" s="369" t="s">
        <v>140</v>
      </c>
      <c r="H42" s="369">
        <v>3.338026678E9</v>
      </c>
      <c r="I42" s="371">
        <v>9.0</v>
      </c>
      <c r="J42" s="366"/>
      <c r="K42" s="355" t="b">
        <v>0</v>
      </c>
      <c r="L42" s="356" t="b">
        <v>0</v>
      </c>
      <c r="M42" s="356" t="b">
        <v>0</v>
      </c>
      <c r="N42" s="351"/>
      <c r="O42" s="351"/>
      <c r="P42" s="351"/>
    </row>
    <row r="43">
      <c r="A43" s="350"/>
      <c r="B43" s="350"/>
      <c r="C43" s="351"/>
      <c r="D43" s="351"/>
      <c r="E43" s="351"/>
      <c r="F43" s="369" t="s">
        <v>268</v>
      </c>
      <c r="G43" s="369" t="s">
        <v>269</v>
      </c>
      <c r="H43" s="369">
        <v>3.479702038E9</v>
      </c>
      <c r="I43" s="371">
        <v>9.0</v>
      </c>
      <c r="J43" s="361"/>
      <c r="K43" s="355" t="b">
        <v>0</v>
      </c>
      <c r="L43" s="355" t="b">
        <v>0</v>
      </c>
      <c r="M43" s="355" t="b">
        <v>0</v>
      </c>
      <c r="N43" s="351"/>
      <c r="O43" s="351"/>
      <c r="P43" s="361"/>
    </row>
    <row r="44">
      <c r="A44" s="351"/>
      <c r="B44" s="351"/>
      <c r="C44" s="351"/>
      <c r="D44" s="351"/>
      <c r="E44" s="351"/>
      <c r="F44" s="352" t="s">
        <v>213</v>
      </c>
      <c r="G44" s="352" t="s">
        <v>214</v>
      </c>
      <c r="H44" s="352">
        <v>3.429984655E9</v>
      </c>
      <c r="I44" s="353">
        <v>10.0</v>
      </c>
      <c r="J44" s="366"/>
      <c r="K44" s="356" t="b">
        <v>0</v>
      </c>
      <c r="L44" s="356" t="b">
        <v>0</v>
      </c>
      <c r="M44" s="356" t="b">
        <v>0</v>
      </c>
      <c r="N44" s="351"/>
      <c r="O44" s="351"/>
      <c r="P44" s="360"/>
    </row>
    <row r="45">
      <c r="A45" s="351"/>
      <c r="B45" s="351"/>
      <c r="C45" s="351"/>
      <c r="D45" s="351"/>
      <c r="E45" s="351"/>
      <c r="F45" s="352" t="s">
        <v>237</v>
      </c>
      <c r="G45" s="352" t="s">
        <v>214</v>
      </c>
      <c r="H45" s="358">
        <v>3.35430332E8</v>
      </c>
      <c r="I45" s="353">
        <v>11.0</v>
      </c>
      <c r="J45" s="359"/>
      <c r="K45" s="356" t="b">
        <v>0</v>
      </c>
      <c r="L45" s="356" t="b">
        <v>0</v>
      </c>
      <c r="M45" s="356" t="b">
        <v>0</v>
      </c>
      <c r="N45" s="351"/>
      <c r="O45" s="351"/>
      <c r="P45" s="351"/>
    </row>
    <row r="46">
      <c r="A46" s="350"/>
      <c r="B46" s="351"/>
      <c r="C46" s="351"/>
      <c r="D46" s="351"/>
      <c r="E46" s="351"/>
      <c r="F46" s="369" t="s">
        <v>307</v>
      </c>
      <c r="G46" s="369" t="s">
        <v>308</v>
      </c>
      <c r="H46" s="375">
        <v>3.397568123E9</v>
      </c>
      <c r="I46" s="371">
        <v>8.0</v>
      </c>
      <c r="J46" s="361" t="s">
        <v>312</v>
      </c>
      <c r="K46" s="355" t="b">
        <v>0</v>
      </c>
      <c r="L46" s="356" t="b">
        <v>0</v>
      </c>
      <c r="M46" s="356" t="b">
        <v>0</v>
      </c>
      <c r="N46" s="351"/>
      <c r="O46" s="351"/>
      <c r="P46" s="361"/>
    </row>
    <row r="47">
      <c r="A47" s="351"/>
      <c r="B47" s="351"/>
      <c r="C47" s="351"/>
      <c r="D47" s="351"/>
      <c r="E47" s="351"/>
      <c r="F47" s="352" t="s">
        <v>329</v>
      </c>
      <c r="G47" s="352" t="s">
        <v>330</v>
      </c>
      <c r="H47" s="352" t="s">
        <v>331</v>
      </c>
      <c r="I47" s="353">
        <v>12.0</v>
      </c>
      <c r="J47" s="366"/>
      <c r="K47" s="368" t="b">
        <v>0</v>
      </c>
      <c r="L47" s="368" t="b">
        <v>0</v>
      </c>
      <c r="M47" s="368" t="b">
        <v>0</v>
      </c>
      <c r="N47" s="351"/>
      <c r="O47" s="351"/>
      <c r="P47" s="404"/>
    </row>
    <row r="48">
      <c r="A48" s="351"/>
      <c r="B48" s="351"/>
      <c r="C48" s="351"/>
      <c r="D48" s="351"/>
      <c r="E48" s="351"/>
      <c r="F48" s="363" t="s">
        <v>105</v>
      </c>
      <c r="G48" s="363" t="s">
        <v>106</v>
      </c>
      <c r="H48" s="364">
        <v>3.319851991E9</v>
      </c>
      <c r="I48" s="365">
        <v>7.0</v>
      </c>
      <c r="J48" s="367"/>
      <c r="K48" s="356" t="b">
        <v>0</v>
      </c>
      <c r="L48" s="356" t="b">
        <v>0</v>
      </c>
      <c r="M48" s="356" t="b">
        <v>0</v>
      </c>
      <c r="N48" s="351"/>
      <c r="O48" s="351"/>
      <c r="P48" s="360" t="s">
        <v>474</v>
      </c>
    </row>
    <row r="49">
      <c r="A49" s="350"/>
      <c r="B49" s="351"/>
      <c r="C49" s="351"/>
      <c r="D49" s="351"/>
      <c r="E49" s="351"/>
      <c r="F49" s="369" t="s">
        <v>336</v>
      </c>
      <c r="G49" s="369" t="s">
        <v>337</v>
      </c>
      <c r="H49" s="369" t="s">
        <v>338</v>
      </c>
      <c r="I49" s="371">
        <v>8.0</v>
      </c>
      <c r="J49" s="366"/>
      <c r="K49" s="355" t="b">
        <v>0</v>
      </c>
      <c r="L49" s="356" t="b">
        <v>0</v>
      </c>
      <c r="M49" s="355" t="b">
        <v>0</v>
      </c>
      <c r="N49" s="351"/>
      <c r="O49" s="351"/>
      <c r="P49" s="374"/>
    </row>
    <row r="50">
      <c r="A50" s="350"/>
      <c r="B50" s="351"/>
      <c r="C50" s="351"/>
      <c r="D50" s="351"/>
      <c r="E50" s="351"/>
      <c r="F50" s="369" t="s">
        <v>90</v>
      </c>
      <c r="G50" s="369" t="s">
        <v>91</v>
      </c>
      <c r="H50" s="370">
        <v>3.485299498E9</v>
      </c>
      <c r="I50" s="371">
        <v>10.0</v>
      </c>
      <c r="J50" s="367"/>
      <c r="K50" s="355" t="b">
        <v>0</v>
      </c>
      <c r="L50" s="356" t="b">
        <v>0</v>
      </c>
      <c r="M50" s="356" t="b">
        <v>0</v>
      </c>
      <c r="N50" s="351"/>
      <c r="O50" s="351"/>
      <c r="P50" s="385"/>
    </row>
    <row r="51">
      <c r="A51" s="351"/>
      <c r="B51" s="351"/>
      <c r="C51" s="351"/>
      <c r="D51" s="351"/>
      <c r="E51" s="351"/>
      <c r="F51" s="402" t="s">
        <v>90</v>
      </c>
      <c r="G51" s="402" t="s">
        <v>340</v>
      </c>
      <c r="H51" s="402">
        <v>3.381337223E9</v>
      </c>
      <c r="I51" s="403">
        <v>9.0</v>
      </c>
      <c r="J51" s="366"/>
      <c r="K51" s="356" t="b">
        <v>0</v>
      </c>
      <c r="L51" s="356" t="b">
        <v>0</v>
      </c>
      <c r="M51" s="356" t="b">
        <v>0</v>
      </c>
      <c r="N51" s="351"/>
      <c r="O51" s="351"/>
      <c r="P51" s="366"/>
    </row>
    <row r="52">
      <c r="A52" s="350"/>
      <c r="B52" s="350"/>
      <c r="C52" s="351"/>
      <c r="D52" s="351"/>
      <c r="E52" s="351"/>
      <c r="F52" s="376" t="s">
        <v>450</v>
      </c>
      <c r="G52" s="376" t="s">
        <v>451</v>
      </c>
      <c r="H52" s="376">
        <v>3.495921431E9</v>
      </c>
      <c r="I52" s="377">
        <v>7.0</v>
      </c>
      <c r="J52" s="378"/>
      <c r="K52" s="355" t="b">
        <v>0</v>
      </c>
      <c r="L52" s="355" t="b">
        <v>0</v>
      </c>
      <c r="M52" s="356" t="b">
        <v>0</v>
      </c>
      <c r="N52" s="351"/>
      <c r="O52" s="351"/>
      <c r="P52" s="361"/>
    </row>
    <row r="53">
      <c r="A53" s="383"/>
      <c r="B53" s="383"/>
      <c r="C53" s="383"/>
      <c r="D53" s="383"/>
      <c r="E53" s="383"/>
      <c r="F53" s="352" t="s">
        <v>274</v>
      </c>
      <c r="G53" s="352" t="s">
        <v>47</v>
      </c>
      <c r="H53" s="358">
        <v>3.288011864E9</v>
      </c>
      <c r="I53" s="353">
        <v>9.0</v>
      </c>
      <c r="J53" s="361" t="s">
        <v>276</v>
      </c>
      <c r="K53" s="405" t="b">
        <v>0</v>
      </c>
      <c r="L53" s="405" t="b">
        <v>0</v>
      </c>
      <c r="M53" s="405" t="b">
        <v>0</v>
      </c>
      <c r="N53" s="383"/>
      <c r="O53" s="383"/>
      <c r="P53" s="359"/>
    </row>
    <row r="54">
      <c r="A54" s="350"/>
      <c r="B54" s="350"/>
      <c r="C54" s="351"/>
      <c r="D54" s="351"/>
      <c r="E54" s="351"/>
      <c r="F54" s="406" t="s">
        <v>422</v>
      </c>
      <c r="G54" s="406" t="s">
        <v>340</v>
      </c>
      <c r="H54" s="406">
        <v>3.483902953E9</v>
      </c>
      <c r="I54" s="407">
        <v>12.0</v>
      </c>
      <c r="J54" s="408"/>
      <c r="K54" s="355" t="b">
        <v>0</v>
      </c>
      <c r="L54" s="355" t="b">
        <v>0</v>
      </c>
      <c r="M54" s="356" t="b">
        <v>0</v>
      </c>
      <c r="N54" s="351"/>
      <c r="O54" s="351"/>
      <c r="P54" s="374"/>
    </row>
    <row r="55">
      <c r="A55" s="351"/>
      <c r="B55" s="351"/>
      <c r="C55" s="351"/>
      <c r="D55" s="351"/>
      <c r="E55" s="351"/>
      <c r="F55" s="352" t="s">
        <v>148</v>
      </c>
      <c r="G55" s="352" t="s">
        <v>86</v>
      </c>
      <c r="H55" s="352">
        <v>3.34266125E9</v>
      </c>
      <c r="I55" s="353">
        <v>11.0</v>
      </c>
      <c r="J55" s="361" t="s">
        <v>134</v>
      </c>
      <c r="K55" s="368" t="b">
        <v>0</v>
      </c>
      <c r="L55" s="368" t="b">
        <v>0</v>
      </c>
      <c r="M55" s="368" t="b">
        <v>0</v>
      </c>
      <c r="N55" s="351"/>
      <c r="O55" s="351"/>
      <c r="P55" s="351"/>
    </row>
    <row r="56">
      <c r="A56" s="350"/>
      <c r="B56" s="351"/>
      <c r="C56" s="351"/>
      <c r="D56" s="351"/>
      <c r="E56" s="351"/>
      <c r="F56" s="352" t="s">
        <v>230</v>
      </c>
      <c r="G56" s="352" t="s">
        <v>231</v>
      </c>
      <c r="H56" s="352">
        <v>3.477036228E9</v>
      </c>
      <c r="I56" s="353">
        <v>9.0</v>
      </c>
      <c r="J56" s="359"/>
      <c r="K56" s="355" t="b">
        <v>0</v>
      </c>
      <c r="L56" s="356" t="b">
        <v>0</v>
      </c>
      <c r="M56" s="356" t="b">
        <v>0</v>
      </c>
      <c r="N56" s="351"/>
      <c r="O56" s="351"/>
      <c r="P56" s="359"/>
    </row>
    <row r="57">
      <c r="A57" s="350"/>
      <c r="B57" s="351"/>
      <c r="C57" s="351"/>
      <c r="D57" s="351"/>
      <c r="E57" s="351"/>
      <c r="F57" s="409" t="s">
        <v>230</v>
      </c>
      <c r="G57" s="409" t="s">
        <v>235</v>
      </c>
      <c r="H57" s="409">
        <v>3.477036228E9</v>
      </c>
      <c r="I57" s="410">
        <v>11.0</v>
      </c>
      <c r="J57" s="359"/>
      <c r="K57" s="355" t="b">
        <v>0</v>
      </c>
      <c r="L57" s="356" t="b">
        <v>0</v>
      </c>
      <c r="M57" s="356" t="b">
        <v>0</v>
      </c>
      <c r="N57" s="351"/>
      <c r="O57" s="351"/>
      <c r="P57" s="361"/>
    </row>
    <row r="58">
      <c r="A58" s="411"/>
      <c r="B58" s="411"/>
      <c r="C58" s="411"/>
      <c r="D58" s="411"/>
      <c r="E58" s="411"/>
      <c r="F58" s="412" t="s">
        <v>73</v>
      </c>
      <c r="G58" s="412" t="s">
        <v>74</v>
      </c>
      <c r="H58" s="413">
        <v>3.383396071E9</v>
      </c>
      <c r="I58" s="414">
        <v>7.0</v>
      </c>
      <c r="J58" s="415"/>
      <c r="K58" s="416" t="b">
        <v>0</v>
      </c>
      <c r="L58" s="416" t="b">
        <v>0</v>
      </c>
      <c r="M58" s="416" t="b">
        <v>0</v>
      </c>
      <c r="N58" s="411"/>
      <c r="O58" s="411"/>
      <c r="P58" s="385"/>
    </row>
    <row r="59">
      <c r="A59" s="417"/>
      <c r="B59" s="417"/>
      <c r="C59" s="417"/>
      <c r="D59" s="417"/>
      <c r="E59" s="417"/>
      <c r="F59" s="392"/>
      <c r="G59" s="392"/>
      <c r="H59" s="418"/>
      <c r="I59" s="392"/>
      <c r="J59" s="419"/>
      <c r="K59" s="420" t="b">
        <v>0</v>
      </c>
      <c r="L59" s="420" t="b">
        <v>0</v>
      </c>
      <c r="M59" s="420" t="b">
        <v>0</v>
      </c>
      <c r="N59" s="417"/>
      <c r="O59" s="417"/>
      <c r="P59" s="421"/>
    </row>
    <row r="60">
      <c r="A60" s="350"/>
      <c r="B60" s="350"/>
      <c r="C60" s="351"/>
      <c r="D60" s="351"/>
      <c r="E60" s="351"/>
      <c r="F60" s="392"/>
      <c r="G60" s="392"/>
      <c r="H60" s="418"/>
      <c r="I60" s="392"/>
      <c r="J60" s="389"/>
      <c r="K60" s="355" t="b">
        <v>0</v>
      </c>
      <c r="L60" s="355" t="b">
        <v>0</v>
      </c>
      <c r="M60" s="355" t="b">
        <v>0</v>
      </c>
      <c r="N60" s="351"/>
      <c r="O60" s="351"/>
      <c r="P60" s="404"/>
    </row>
    <row r="61">
      <c r="A61" s="350"/>
      <c r="B61" s="351"/>
      <c r="C61" s="351"/>
      <c r="D61" s="351"/>
      <c r="E61" s="351"/>
      <c r="F61" s="392"/>
      <c r="G61" s="392"/>
      <c r="H61" s="418"/>
      <c r="I61" s="392"/>
      <c r="J61" s="389"/>
      <c r="K61" s="355" t="b">
        <v>0</v>
      </c>
      <c r="L61" s="356" t="b">
        <v>0</v>
      </c>
      <c r="M61" s="356" t="b">
        <v>0</v>
      </c>
      <c r="N61" s="351"/>
      <c r="O61" s="351"/>
      <c r="P61" s="359"/>
    </row>
    <row r="62">
      <c r="A62" s="350"/>
      <c r="B62" s="351"/>
      <c r="C62" s="351"/>
      <c r="D62" s="351"/>
      <c r="E62" s="351"/>
      <c r="F62" s="392"/>
      <c r="G62" s="392"/>
      <c r="H62" s="418"/>
      <c r="I62" s="392"/>
      <c r="J62" s="389"/>
      <c r="K62" s="355" t="b">
        <v>0</v>
      </c>
      <c r="L62" s="356" t="b">
        <v>0</v>
      </c>
      <c r="M62" s="356" t="b">
        <v>0</v>
      </c>
      <c r="N62" s="351"/>
      <c r="O62" s="351"/>
      <c r="P62" s="361"/>
    </row>
    <row r="63">
      <c r="A63" s="350"/>
      <c r="B63" s="351"/>
      <c r="C63" s="351"/>
      <c r="D63" s="351"/>
      <c r="E63" s="351"/>
      <c r="F63" s="392"/>
      <c r="G63" s="392"/>
      <c r="H63" s="418"/>
      <c r="I63" s="392"/>
      <c r="J63" s="389"/>
      <c r="K63" s="355" t="b">
        <v>0</v>
      </c>
      <c r="L63" s="356" t="b">
        <v>0</v>
      </c>
      <c r="M63" s="356" t="b">
        <v>0</v>
      </c>
      <c r="N63" s="351"/>
      <c r="O63" s="351"/>
      <c r="P63" s="366"/>
    </row>
    <row r="64">
      <c r="A64" s="351"/>
      <c r="B64" s="351"/>
      <c r="C64" s="351"/>
      <c r="D64" s="351"/>
      <c r="E64" s="351"/>
      <c r="F64" s="392"/>
      <c r="G64" s="392"/>
      <c r="H64" s="392"/>
      <c r="I64" s="392"/>
      <c r="J64" s="393"/>
      <c r="K64" s="356" t="b">
        <v>0</v>
      </c>
      <c r="L64" s="356" t="b">
        <v>0</v>
      </c>
      <c r="M64" s="356" t="b">
        <v>0</v>
      </c>
      <c r="N64" s="351"/>
      <c r="O64" s="351"/>
      <c r="P64" s="361"/>
    </row>
    <row r="65">
      <c r="A65" s="351"/>
      <c r="B65" s="351"/>
      <c r="C65" s="351"/>
      <c r="D65" s="351"/>
      <c r="E65" s="351"/>
      <c r="F65" s="422"/>
      <c r="G65" s="393"/>
      <c r="H65" s="423"/>
      <c r="I65" s="423"/>
      <c r="J65" s="393"/>
      <c r="K65" s="368" t="b">
        <v>0</v>
      </c>
      <c r="L65" s="368" t="b">
        <v>0</v>
      </c>
      <c r="M65" s="368" t="b">
        <v>0</v>
      </c>
      <c r="N65" s="351"/>
      <c r="O65" s="351"/>
      <c r="P65" s="351"/>
    </row>
    <row r="66">
      <c r="A66" s="351"/>
      <c r="B66" s="351"/>
      <c r="C66" s="351"/>
      <c r="D66" s="351"/>
      <c r="E66" s="351"/>
      <c r="F66" s="422"/>
      <c r="G66" s="393"/>
      <c r="H66" s="423"/>
      <c r="I66" s="423"/>
      <c r="J66" s="393"/>
      <c r="K66" s="368" t="b">
        <v>0</v>
      </c>
      <c r="L66" s="368" t="b">
        <v>0</v>
      </c>
      <c r="M66" s="368" t="b">
        <v>0</v>
      </c>
      <c r="N66" s="351"/>
      <c r="O66" s="351"/>
      <c r="P66" s="351"/>
    </row>
    <row r="67">
      <c r="A67" s="351"/>
      <c r="B67" s="351"/>
      <c r="C67" s="351"/>
      <c r="D67" s="351"/>
      <c r="E67" s="351"/>
      <c r="F67" s="422"/>
      <c r="G67" s="393"/>
      <c r="H67" s="423"/>
      <c r="I67" s="423"/>
      <c r="J67" s="393"/>
      <c r="K67" s="368" t="b">
        <v>0</v>
      </c>
      <c r="L67" s="368" t="b">
        <v>0</v>
      </c>
      <c r="M67" s="368" t="b">
        <v>0</v>
      </c>
      <c r="N67" s="351"/>
      <c r="O67" s="351"/>
      <c r="P67" s="351"/>
    </row>
    <row r="68">
      <c r="A68" s="424">
        <f t="shared" ref="A68:E68" si="1">SUMPRODUCT(--A25:A67)</f>
        <v>0</v>
      </c>
      <c r="B68" s="424">
        <f t="shared" si="1"/>
        <v>1</v>
      </c>
      <c r="C68" s="424">
        <f t="shared" si="1"/>
        <v>0</v>
      </c>
      <c r="D68" s="424">
        <f t="shared" si="1"/>
        <v>0</v>
      </c>
      <c r="E68" s="424">
        <f t="shared" si="1"/>
        <v>0</v>
      </c>
      <c r="F68" s="425"/>
      <c r="G68" s="426"/>
      <c r="H68" s="427"/>
      <c r="I68" s="427"/>
      <c r="J68" s="426"/>
      <c r="K68" s="424">
        <f t="shared" ref="K68:O68" si="2">SUMPRODUCT(--K25:K67)</f>
        <v>0</v>
      </c>
      <c r="L68" s="424">
        <f t="shared" si="2"/>
        <v>0</v>
      </c>
      <c r="M68" s="424">
        <f t="shared" si="2"/>
        <v>0</v>
      </c>
      <c r="N68" s="424">
        <f t="shared" si="2"/>
        <v>0</v>
      </c>
      <c r="O68" s="424">
        <f t="shared" si="2"/>
        <v>0</v>
      </c>
      <c r="P68" s="425"/>
    </row>
  </sheetData>
  <mergeCells count="3">
    <mergeCell ref="A1:E1"/>
    <mergeCell ref="F1:J1"/>
    <mergeCell ref="K1:O1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39.38"/>
    <col customWidth="1" min="7" max="7" width="31.75"/>
    <col customWidth="1" min="8" max="8" width="25.75"/>
    <col customWidth="1" min="9" max="9" width="11.63"/>
    <col customWidth="1" min="10" max="10" width="41.13"/>
    <col customWidth="1" min="16" max="16" width="38.0"/>
  </cols>
  <sheetData>
    <row r="1" ht="33.75" customHeight="1">
      <c r="A1" s="259" t="s">
        <v>454</v>
      </c>
      <c r="B1" s="260"/>
      <c r="C1" s="260"/>
      <c r="D1" s="260"/>
      <c r="E1" s="261"/>
      <c r="F1" s="259" t="s">
        <v>455</v>
      </c>
      <c r="G1" s="260"/>
      <c r="H1" s="260"/>
      <c r="I1" s="260"/>
      <c r="J1" s="261"/>
      <c r="K1" s="259" t="s">
        <v>456</v>
      </c>
      <c r="L1" s="260"/>
      <c r="M1" s="260"/>
      <c r="N1" s="260"/>
      <c r="O1" s="261"/>
      <c r="P1" s="428" t="s">
        <v>457</v>
      </c>
    </row>
    <row r="2" ht="33.75" customHeight="1">
      <c r="A2" s="429">
        <v>45831.0</v>
      </c>
      <c r="B2" s="429">
        <v>45832.0</v>
      </c>
      <c r="C2" s="429">
        <v>45833.0</v>
      </c>
      <c r="D2" s="429">
        <v>45834.0</v>
      </c>
      <c r="E2" s="429">
        <v>45835.0</v>
      </c>
      <c r="F2" s="430" t="s">
        <v>19</v>
      </c>
      <c r="G2" s="430" t="s">
        <v>20</v>
      </c>
      <c r="H2" s="430" t="s">
        <v>21</v>
      </c>
      <c r="I2" s="431" t="s">
        <v>458</v>
      </c>
      <c r="J2" s="432" t="s">
        <v>5</v>
      </c>
      <c r="K2" s="429">
        <v>45831.0</v>
      </c>
      <c r="L2" s="429">
        <v>45832.0</v>
      </c>
      <c r="M2" s="429">
        <v>45833.0</v>
      </c>
      <c r="N2" s="429">
        <v>45834.0</v>
      </c>
      <c r="O2" s="429">
        <v>45835.0</v>
      </c>
      <c r="P2" s="433"/>
    </row>
    <row r="3" ht="33.75" customHeight="1">
      <c r="A3" s="332" t="b">
        <v>0</v>
      </c>
      <c r="B3" s="332" t="b">
        <v>0</v>
      </c>
      <c r="C3" s="332" t="b">
        <v>0</v>
      </c>
      <c r="D3" s="332" t="b">
        <v>0</v>
      </c>
      <c r="E3" s="332" t="b">
        <v>0</v>
      </c>
      <c r="F3" s="434" t="s">
        <v>290</v>
      </c>
      <c r="G3" s="434" t="s">
        <v>291</v>
      </c>
      <c r="H3" s="434" t="s">
        <v>292</v>
      </c>
      <c r="I3" s="434">
        <v>11.0</v>
      </c>
      <c r="J3" s="435"/>
      <c r="K3" s="332" t="b">
        <v>0</v>
      </c>
      <c r="L3" s="332" t="b">
        <v>0</v>
      </c>
      <c r="M3" s="332" t="b">
        <v>0</v>
      </c>
      <c r="N3" s="332" t="b">
        <v>0</v>
      </c>
      <c r="O3" s="332" t="b">
        <v>0</v>
      </c>
      <c r="P3" s="436"/>
    </row>
    <row r="4" ht="33.75" customHeight="1">
      <c r="A4" s="332" t="b">
        <v>0</v>
      </c>
      <c r="B4" s="332" t="b">
        <v>0</v>
      </c>
      <c r="C4" s="332" t="b">
        <v>0</v>
      </c>
      <c r="D4" s="332" t="b">
        <v>0</v>
      </c>
      <c r="E4" s="332" t="b">
        <v>0</v>
      </c>
      <c r="F4" s="437" t="s">
        <v>241</v>
      </c>
      <c r="G4" s="437" t="s">
        <v>242</v>
      </c>
      <c r="H4" s="438">
        <v>3.336388468E9</v>
      </c>
      <c r="I4" s="437">
        <v>10.0</v>
      </c>
      <c r="J4" s="377"/>
      <c r="K4" s="332" t="b">
        <v>0</v>
      </c>
      <c r="L4" s="332" t="b">
        <v>0</v>
      </c>
      <c r="M4" s="332" t="b">
        <v>0</v>
      </c>
      <c r="N4" s="332" t="b">
        <v>0</v>
      </c>
      <c r="O4" s="332" t="b">
        <v>0</v>
      </c>
      <c r="P4" s="439"/>
    </row>
    <row r="5" ht="33.75" customHeight="1">
      <c r="A5" s="332" t="b">
        <v>0</v>
      </c>
      <c r="B5" s="332" t="b">
        <v>0</v>
      </c>
      <c r="C5" s="332" t="b">
        <v>0</v>
      </c>
      <c r="D5" s="332" t="b">
        <v>0</v>
      </c>
      <c r="E5" s="332" t="b">
        <v>0</v>
      </c>
      <c r="F5" s="437" t="s">
        <v>316</v>
      </c>
      <c r="G5" s="437" t="s">
        <v>191</v>
      </c>
      <c r="H5" s="438">
        <v>3.44680224E9</v>
      </c>
      <c r="I5" s="437">
        <v>10.0</v>
      </c>
      <c r="J5" s="377"/>
      <c r="K5" s="440" t="b">
        <v>0</v>
      </c>
      <c r="L5" s="332" t="b">
        <v>0</v>
      </c>
      <c r="M5" s="332" t="b">
        <v>0</v>
      </c>
      <c r="N5" s="332" t="b">
        <v>0</v>
      </c>
      <c r="O5" s="332" t="b">
        <v>0</v>
      </c>
      <c r="P5" s="439"/>
    </row>
    <row r="6" ht="33.75" customHeight="1">
      <c r="A6" s="332" t="b">
        <v>0</v>
      </c>
      <c r="B6" s="332" t="b">
        <v>0</v>
      </c>
      <c r="C6" s="332" t="b">
        <v>0</v>
      </c>
      <c r="D6" s="332" t="b">
        <v>0</v>
      </c>
      <c r="E6" s="332" t="b">
        <v>0</v>
      </c>
      <c r="F6" s="437" t="s">
        <v>183</v>
      </c>
      <c r="G6" s="437" t="s">
        <v>184</v>
      </c>
      <c r="H6" s="438">
        <v>3.44680224E9</v>
      </c>
      <c r="I6" s="437">
        <v>10.0</v>
      </c>
      <c r="J6" s="441"/>
      <c r="K6" s="332" t="b">
        <v>0</v>
      </c>
      <c r="L6" s="332" t="b">
        <v>0</v>
      </c>
      <c r="M6" s="332" t="b">
        <v>0</v>
      </c>
      <c r="N6" s="332" t="b">
        <v>0</v>
      </c>
      <c r="O6" s="332" t="b">
        <v>0</v>
      </c>
      <c r="P6" s="442"/>
    </row>
    <row r="7" ht="33.75" customHeight="1">
      <c r="A7" s="332" t="b">
        <v>0</v>
      </c>
      <c r="B7" s="332" t="b">
        <v>0</v>
      </c>
      <c r="C7" s="332" t="b">
        <v>0</v>
      </c>
      <c r="D7" s="332" t="b">
        <v>0</v>
      </c>
      <c r="E7" s="332" t="b">
        <v>0</v>
      </c>
      <c r="F7" s="443" t="s">
        <v>189</v>
      </c>
      <c r="G7" s="443" t="s">
        <v>190</v>
      </c>
      <c r="H7" s="444">
        <v>3.44680224E9</v>
      </c>
      <c r="I7" s="443">
        <v>7.0</v>
      </c>
      <c r="J7" s="435"/>
      <c r="K7" s="332" t="b">
        <v>0</v>
      </c>
      <c r="L7" s="332" t="b">
        <v>0</v>
      </c>
      <c r="M7" s="332" t="b">
        <v>0</v>
      </c>
      <c r="N7" s="332" t="b">
        <v>0</v>
      </c>
      <c r="O7" s="332" t="b">
        <v>0</v>
      </c>
      <c r="P7" s="445"/>
    </row>
    <row r="8" ht="33.75" customHeight="1">
      <c r="A8" s="440" t="b">
        <v>0</v>
      </c>
      <c r="B8" s="440" t="b">
        <v>0</v>
      </c>
      <c r="C8" s="440" t="b">
        <v>0</v>
      </c>
      <c r="D8" s="440" t="b">
        <v>0</v>
      </c>
      <c r="E8" s="440" t="b">
        <v>0</v>
      </c>
      <c r="F8" s="443" t="s">
        <v>253</v>
      </c>
      <c r="G8" s="443" t="s">
        <v>254</v>
      </c>
      <c r="H8" s="446">
        <v>3.386034714E9</v>
      </c>
      <c r="I8" s="443">
        <v>6.0</v>
      </c>
      <c r="J8" s="447"/>
      <c r="K8" s="440" t="b">
        <v>0</v>
      </c>
      <c r="L8" s="440" t="b">
        <v>0</v>
      </c>
      <c r="M8" s="440" t="b">
        <v>0</v>
      </c>
      <c r="N8" s="440" t="b">
        <v>0</v>
      </c>
      <c r="O8" s="440" t="b">
        <v>0</v>
      </c>
      <c r="P8" s="439"/>
    </row>
    <row r="9" ht="33.75" customHeight="1">
      <c r="A9" s="332" t="b">
        <v>0</v>
      </c>
      <c r="B9" s="332" t="b">
        <v>0</v>
      </c>
      <c r="C9" s="332" t="b">
        <v>0</v>
      </c>
      <c r="D9" s="332" t="b">
        <v>0</v>
      </c>
      <c r="E9" s="332" t="b">
        <v>0</v>
      </c>
      <c r="F9" s="434" t="s">
        <v>402</v>
      </c>
      <c r="G9" s="434" t="s">
        <v>403</v>
      </c>
      <c r="H9" s="434" t="s">
        <v>475</v>
      </c>
      <c r="I9" s="434">
        <v>12.0</v>
      </c>
      <c r="J9" s="448"/>
      <c r="K9" s="332" t="b">
        <v>0</v>
      </c>
      <c r="L9" s="332" t="b">
        <v>0</v>
      </c>
      <c r="M9" s="332" t="b">
        <v>0</v>
      </c>
      <c r="N9" s="332" t="b">
        <v>0</v>
      </c>
      <c r="O9" s="332" t="b">
        <v>0</v>
      </c>
      <c r="P9" s="439"/>
    </row>
    <row r="10" ht="33.75" customHeight="1">
      <c r="A10" s="332" t="b">
        <v>0</v>
      </c>
      <c r="B10" s="332" t="b">
        <v>0</v>
      </c>
      <c r="C10" s="332" t="b">
        <v>0</v>
      </c>
      <c r="D10" s="332" t="b">
        <v>0</v>
      </c>
      <c r="E10" s="332" t="b">
        <v>0</v>
      </c>
      <c r="F10" s="434" t="s">
        <v>384</v>
      </c>
      <c r="G10" s="434" t="s">
        <v>254</v>
      </c>
      <c r="H10" s="434">
        <v>3.477810049E9</v>
      </c>
      <c r="I10" s="434">
        <v>13.0</v>
      </c>
      <c r="J10" s="447" t="s">
        <v>387</v>
      </c>
      <c r="K10" s="332" t="b">
        <v>0</v>
      </c>
      <c r="L10" s="332" t="b">
        <v>0</v>
      </c>
      <c r="M10" s="332" t="b">
        <v>0</v>
      </c>
      <c r="N10" s="332" t="b">
        <v>0</v>
      </c>
      <c r="O10" s="332" t="b">
        <v>0</v>
      </c>
      <c r="P10" s="449"/>
    </row>
    <row r="11" ht="33.75" customHeight="1">
      <c r="A11" s="332" t="b">
        <v>0</v>
      </c>
      <c r="B11" s="332" t="b">
        <v>0</v>
      </c>
      <c r="C11" s="332" t="b">
        <v>0</v>
      </c>
      <c r="D11" s="332" t="b">
        <v>0</v>
      </c>
      <c r="E11" s="332" t="b">
        <v>0</v>
      </c>
      <c r="F11" s="450" t="s">
        <v>313</v>
      </c>
      <c r="G11" s="450" t="s">
        <v>314</v>
      </c>
      <c r="H11" s="451">
        <v>3.338736937E9</v>
      </c>
      <c r="I11" s="450">
        <v>8.0</v>
      </c>
      <c r="J11" s="435"/>
      <c r="K11" s="332" t="b">
        <v>0</v>
      </c>
      <c r="L11" s="332" t="b">
        <v>0</v>
      </c>
      <c r="M11" s="332" t="b">
        <v>0</v>
      </c>
      <c r="N11" s="332" t="b">
        <v>0</v>
      </c>
      <c r="O11" s="332" t="b">
        <v>0</v>
      </c>
      <c r="P11" s="452"/>
    </row>
    <row r="12" ht="33.75" customHeight="1">
      <c r="A12" s="332" t="b">
        <v>0</v>
      </c>
      <c r="B12" s="332" t="b">
        <v>0</v>
      </c>
      <c r="C12" s="332" t="b">
        <v>0</v>
      </c>
      <c r="D12" s="332" t="b">
        <v>0</v>
      </c>
      <c r="E12" s="332" t="b">
        <v>0</v>
      </c>
      <c r="F12" s="453" t="s">
        <v>46</v>
      </c>
      <c r="G12" s="453" t="s">
        <v>47</v>
      </c>
      <c r="H12" s="454">
        <v>3.470407484E9</v>
      </c>
      <c r="I12" s="453">
        <v>9.0</v>
      </c>
      <c r="J12" s="435"/>
      <c r="K12" s="332" t="b">
        <v>0</v>
      </c>
      <c r="L12" s="332" t="b">
        <v>0</v>
      </c>
      <c r="M12" s="332" t="b">
        <v>0</v>
      </c>
      <c r="N12" s="332" t="b">
        <v>0</v>
      </c>
      <c r="O12" s="332" t="b">
        <v>0</v>
      </c>
      <c r="P12" s="439"/>
    </row>
    <row r="13" ht="33.75" customHeight="1">
      <c r="A13" s="332" t="b">
        <v>0</v>
      </c>
      <c r="B13" s="332" t="b">
        <v>0</v>
      </c>
      <c r="C13" s="332" t="b">
        <v>0</v>
      </c>
      <c r="D13" s="332" t="b">
        <v>0</v>
      </c>
      <c r="E13" s="332" t="b">
        <v>0</v>
      </c>
      <c r="F13" s="455" t="s">
        <v>353</v>
      </c>
      <c r="G13" s="453" t="s">
        <v>354</v>
      </c>
      <c r="H13" s="454">
        <v>3.209250558E9</v>
      </c>
      <c r="I13" s="453">
        <v>8.0</v>
      </c>
      <c r="J13" s="456"/>
      <c r="K13" s="332" t="b">
        <v>0</v>
      </c>
      <c r="L13" s="332" t="b">
        <v>0</v>
      </c>
      <c r="M13" s="332" t="b">
        <v>0</v>
      </c>
      <c r="N13" s="332" t="b">
        <v>0</v>
      </c>
      <c r="O13" s="332" t="b">
        <v>0</v>
      </c>
      <c r="P13" s="449"/>
    </row>
    <row r="14" ht="33.75" customHeight="1">
      <c r="A14" s="332" t="b">
        <v>0</v>
      </c>
      <c r="B14" s="332" t="b">
        <v>0</v>
      </c>
      <c r="C14" s="332" t="b">
        <v>0</v>
      </c>
      <c r="D14" s="332" t="b">
        <v>0</v>
      </c>
      <c r="E14" s="332" t="b">
        <v>0</v>
      </c>
      <c r="F14" s="457" t="s">
        <v>476</v>
      </c>
      <c r="G14" s="458" t="s">
        <v>466</v>
      </c>
      <c r="H14" s="459"/>
      <c r="I14" s="460"/>
      <c r="J14" s="461"/>
      <c r="K14" s="332" t="b">
        <v>0</v>
      </c>
      <c r="L14" s="332" t="b">
        <v>0</v>
      </c>
      <c r="M14" s="332" t="b">
        <v>0</v>
      </c>
      <c r="N14" s="332" t="b">
        <v>0</v>
      </c>
      <c r="O14" s="332" t="b">
        <v>0</v>
      </c>
      <c r="P14" s="439"/>
    </row>
    <row r="15" ht="33.75" customHeight="1">
      <c r="A15" s="332" t="b">
        <v>0</v>
      </c>
      <c r="B15" s="332" t="b">
        <v>0</v>
      </c>
      <c r="C15" s="332" t="b">
        <v>0</v>
      </c>
      <c r="D15" s="332" t="b">
        <v>0</v>
      </c>
      <c r="E15" s="332" t="b">
        <v>0</v>
      </c>
      <c r="F15" s="450" t="s">
        <v>166</v>
      </c>
      <c r="G15" s="450" t="s">
        <v>167</v>
      </c>
      <c r="H15" s="462">
        <v>3.4711933E9</v>
      </c>
      <c r="I15" s="450">
        <v>9.0</v>
      </c>
      <c r="J15" s="435"/>
      <c r="K15" s="332" t="b">
        <v>0</v>
      </c>
      <c r="L15" s="332" t="b">
        <v>0</v>
      </c>
      <c r="M15" s="332" t="b">
        <v>0</v>
      </c>
      <c r="N15" s="332" t="b">
        <v>0</v>
      </c>
      <c r="O15" s="332" t="b">
        <v>0</v>
      </c>
      <c r="P15" s="439"/>
    </row>
    <row r="16" ht="33.75" customHeight="1">
      <c r="A16" s="332" t="b">
        <v>0</v>
      </c>
      <c r="B16" s="332" t="b">
        <v>0</v>
      </c>
      <c r="C16" s="332" t="b">
        <v>0</v>
      </c>
      <c r="D16" s="332" t="b">
        <v>0</v>
      </c>
      <c r="E16" s="332" t="b">
        <v>0</v>
      </c>
      <c r="F16" s="434" t="s">
        <v>166</v>
      </c>
      <c r="G16" s="434" t="s">
        <v>169</v>
      </c>
      <c r="H16" s="434">
        <v>3.4711933E9</v>
      </c>
      <c r="I16" s="434">
        <v>11.0</v>
      </c>
      <c r="J16" s="463"/>
      <c r="K16" s="332" t="b">
        <v>0</v>
      </c>
      <c r="L16" s="332" t="b">
        <v>0</v>
      </c>
      <c r="M16" s="332" t="b">
        <v>0</v>
      </c>
      <c r="N16" s="332" t="b">
        <v>0</v>
      </c>
      <c r="O16" s="332" t="b">
        <v>0</v>
      </c>
      <c r="P16" s="439"/>
    </row>
    <row r="17" ht="33.75" customHeight="1">
      <c r="A17" s="332" t="b">
        <v>0</v>
      </c>
      <c r="B17" s="332" t="b">
        <v>0</v>
      </c>
      <c r="C17" s="332" t="b">
        <v>0</v>
      </c>
      <c r="D17" s="332" t="b">
        <v>0</v>
      </c>
      <c r="E17" s="332" t="b">
        <v>0</v>
      </c>
      <c r="F17" s="464" t="s">
        <v>192</v>
      </c>
      <c r="G17" s="464" t="s">
        <v>193</v>
      </c>
      <c r="H17" s="465" t="s">
        <v>194</v>
      </c>
      <c r="I17" s="464">
        <v>7.0</v>
      </c>
      <c r="J17" s="435"/>
      <c r="K17" s="332" t="b">
        <v>0</v>
      </c>
      <c r="L17" s="332" t="b">
        <v>0</v>
      </c>
      <c r="M17" s="332" t="b">
        <v>0</v>
      </c>
      <c r="N17" s="332" t="b">
        <v>0</v>
      </c>
      <c r="O17" s="332" t="b">
        <v>0</v>
      </c>
      <c r="P17" s="466"/>
    </row>
    <row r="18" ht="33.75" customHeight="1">
      <c r="A18" s="332" t="b">
        <v>0</v>
      </c>
      <c r="B18" s="332" t="b">
        <v>0</v>
      </c>
      <c r="C18" s="332" t="b">
        <v>0</v>
      </c>
      <c r="D18" s="332" t="b">
        <v>0</v>
      </c>
      <c r="E18" s="332" t="b">
        <v>0</v>
      </c>
      <c r="F18" s="434" t="s">
        <v>371</v>
      </c>
      <c r="G18" s="434" t="s">
        <v>372</v>
      </c>
      <c r="H18" s="434">
        <v>3.479808739E9</v>
      </c>
      <c r="I18" s="434">
        <v>13.0</v>
      </c>
      <c r="J18" s="435" t="s">
        <v>375</v>
      </c>
      <c r="K18" s="332" t="b">
        <v>0</v>
      </c>
      <c r="L18" s="332" t="b">
        <v>0</v>
      </c>
      <c r="M18" s="332" t="b">
        <v>0</v>
      </c>
      <c r="N18" s="332" t="b">
        <v>0</v>
      </c>
      <c r="O18" s="332" t="b">
        <v>0</v>
      </c>
      <c r="P18" s="467"/>
    </row>
    <row r="19" ht="33.75" customHeight="1">
      <c r="A19" s="332" t="b">
        <v>0</v>
      </c>
      <c r="B19" s="332" t="b">
        <v>0</v>
      </c>
      <c r="C19" s="332" t="b">
        <v>0</v>
      </c>
      <c r="D19" s="332" t="b">
        <v>0</v>
      </c>
      <c r="E19" s="332" t="b">
        <v>0</v>
      </c>
      <c r="F19" s="434" t="s">
        <v>371</v>
      </c>
      <c r="G19" s="434" t="s">
        <v>56</v>
      </c>
      <c r="H19" s="434">
        <v>3.479808739E9</v>
      </c>
      <c r="I19" s="434">
        <v>11.0</v>
      </c>
      <c r="J19" s="435" t="s">
        <v>375</v>
      </c>
      <c r="K19" s="332" t="b">
        <v>0</v>
      </c>
      <c r="L19" s="332" t="b">
        <v>0</v>
      </c>
      <c r="M19" s="332" t="b">
        <v>0</v>
      </c>
      <c r="N19" s="332" t="b">
        <v>0</v>
      </c>
      <c r="O19" s="332" t="b">
        <v>0</v>
      </c>
      <c r="P19" s="449"/>
    </row>
    <row r="20" ht="33.75" customHeight="1">
      <c r="A20" s="332" t="b">
        <v>0</v>
      </c>
      <c r="B20" s="332" t="b">
        <v>0</v>
      </c>
      <c r="C20" s="332" t="b">
        <v>0</v>
      </c>
      <c r="D20" s="332" t="b">
        <v>0</v>
      </c>
      <c r="E20" s="332" t="b">
        <v>0</v>
      </c>
      <c r="F20" s="468" t="s">
        <v>350</v>
      </c>
      <c r="G20" s="468" t="s">
        <v>86</v>
      </c>
      <c r="H20" s="469">
        <v>3.358125176E9</v>
      </c>
      <c r="I20" s="468">
        <v>9.0</v>
      </c>
      <c r="J20" s="377"/>
      <c r="K20" s="332" t="b">
        <v>0</v>
      </c>
      <c r="L20" s="332" t="b">
        <v>0</v>
      </c>
      <c r="M20" s="332" t="b">
        <v>0</v>
      </c>
      <c r="N20" s="332" t="b">
        <v>0</v>
      </c>
      <c r="O20" s="332" t="b">
        <v>0</v>
      </c>
      <c r="P20" s="439"/>
    </row>
    <row r="21" ht="33.75" customHeight="1">
      <c r="A21" s="332" t="b">
        <v>0</v>
      </c>
      <c r="B21" s="332" t="b">
        <v>0</v>
      </c>
      <c r="C21" s="332" t="b">
        <v>0</v>
      </c>
      <c r="D21" s="332" t="b">
        <v>0</v>
      </c>
      <c r="E21" s="332" t="b">
        <v>0</v>
      </c>
      <c r="F21" s="434" t="s">
        <v>397</v>
      </c>
      <c r="G21" s="434" t="s">
        <v>398</v>
      </c>
      <c r="H21" s="434">
        <v>3.333169745E9</v>
      </c>
      <c r="I21" s="434">
        <v>10.0</v>
      </c>
      <c r="J21" s="448"/>
      <c r="K21" s="332" t="b">
        <v>0</v>
      </c>
      <c r="L21" s="332" t="b">
        <v>0</v>
      </c>
      <c r="M21" s="332" t="b">
        <v>0</v>
      </c>
      <c r="N21" s="332" t="b">
        <v>0</v>
      </c>
      <c r="O21" s="332" t="b">
        <v>0</v>
      </c>
      <c r="P21" s="439"/>
    </row>
    <row r="22" ht="33.75" customHeight="1">
      <c r="A22" s="332" t="b">
        <v>0</v>
      </c>
      <c r="B22" s="332" t="b">
        <v>0</v>
      </c>
      <c r="C22" s="332" t="b">
        <v>0</v>
      </c>
      <c r="D22" s="332" t="b">
        <v>0</v>
      </c>
      <c r="E22" s="332" t="b">
        <v>0</v>
      </c>
      <c r="F22" s="443" t="s">
        <v>392</v>
      </c>
      <c r="G22" s="443" t="s">
        <v>113</v>
      </c>
      <c r="H22" s="443">
        <v>3.484483497E9</v>
      </c>
      <c r="I22" s="443">
        <v>9.0</v>
      </c>
      <c r="J22" s="448"/>
      <c r="K22" s="332" t="b">
        <v>0</v>
      </c>
      <c r="L22" s="332" t="b">
        <v>0</v>
      </c>
      <c r="M22" s="332" t="b">
        <v>0</v>
      </c>
      <c r="N22" s="332" t="b">
        <v>0</v>
      </c>
      <c r="O22" s="332" t="b">
        <v>0</v>
      </c>
      <c r="P22" s="467"/>
    </row>
    <row r="23" ht="33.75" customHeight="1">
      <c r="A23" s="332" t="b">
        <v>0</v>
      </c>
      <c r="B23" s="332" t="b">
        <v>0</v>
      </c>
      <c r="C23" s="332" t="b">
        <v>0</v>
      </c>
      <c r="D23" s="332" t="b">
        <v>0</v>
      </c>
      <c r="E23" s="332" t="b">
        <v>0</v>
      </c>
      <c r="F23" s="468" t="s">
        <v>351</v>
      </c>
      <c r="G23" s="468" t="s">
        <v>352</v>
      </c>
      <c r="H23" s="468">
        <v>3.47654645E9</v>
      </c>
      <c r="I23" s="468">
        <v>6.0</v>
      </c>
      <c r="J23" s="377"/>
      <c r="K23" s="332" t="b">
        <v>0</v>
      </c>
      <c r="L23" s="332" t="b">
        <v>0</v>
      </c>
      <c r="M23" s="332" t="b">
        <v>0</v>
      </c>
      <c r="N23" s="332" t="b">
        <v>0</v>
      </c>
      <c r="O23" s="332" t="b">
        <v>0</v>
      </c>
      <c r="P23" s="452"/>
    </row>
    <row r="24" ht="33.75" customHeight="1">
      <c r="A24" s="332" t="b">
        <v>0</v>
      </c>
      <c r="B24" s="332" t="b">
        <v>0</v>
      </c>
      <c r="C24" s="332" t="b">
        <v>0</v>
      </c>
      <c r="D24" s="332" t="b">
        <v>0</v>
      </c>
      <c r="E24" s="332" t="b">
        <v>0</v>
      </c>
      <c r="F24" s="437" t="s">
        <v>248</v>
      </c>
      <c r="G24" s="437" t="s">
        <v>249</v>
      </c>
      <c r="H24" s="437">
        <v>3.470852E9</v>
      </c>
      <c r="I24" s="437">
        <v>11.0</v>
      </c>
      <c r="J24" s="435"/>
      <c r="K24" s="269" t="b">
        <v>0</v>
      </c>
      <c r="L24" s="332"/>
      <c r="M24" s="332" t="b">
        <v>0</v>
      </c>
      <c r="N24" s="332" t="b">
        <v>0</v>
      </c>
      <c r="O24" s="332" t="b">
        <v>0</v>
      </c>
      <c r="P24" s="467"/>
    </row>
    <row r="25" ht="33.75" customHeight="1">
      <c r="A25" s="332" t="b">
        <v>0</v>
      </c>
      <c r="B25" s="332" t="b">
        <v>0</v>
      </c>
      <c r="C25" s="332" t="b">
        <v>0</v>
      </c>
      <c r="D25" s="332" t="b">
        <v>0</v>
      </c>
      <c r="E25" s="332" t="b">
        <v>0</v>
      </c>
      <c r="F25" s="434" t="s">
        <v>377</v>
      </c>
      <c r="G25" s="434" t="s">
        <v>378</v>
      </c>
      <c r="H25" s="470">
        <v>3.336901656E9</v>
      </c>
      <c r="I25" s="434">
        <v>8.0</v>
      </c>
      <c r="J25" s="435"/>
      <c r="K25" s="332" t="b">
        <v>0</v>
      </c>
      <c r="L25" s="332" t="b">
        <v>0</v>
      </c>
      <c r="M25" s="332" t="b">
        <v>0</v>
      </c>
      <c r="N25" s="332" t="b">
        <v>0</v>
      </c>
      <c r="O25" s="332" t="b">
        <v>0</v>
      </c>
      <c r="P25" s="449"/>
    </row>
    <row r="26" ht="33.75" customHeight="1">
      <c r="A26" s="332" t="b">
        <v>0</v>
      </c>
      <c r="B26" s="332" t="b">
        <v>0</v>
      </c>
      <c r="C26" s="332" t="b">
        <v>0</v>
      </c>
      <c r="D26" s="332" t="b">
        <v>0</v>
      </c>
      <c r="E26" s="332" t="b">
        <v>0</v>
      </c>
      <c r="F26" s="437" t="s">
        <v>377</v>
      </c>
      <c r="G26" s="437" t="s">
        <v>382</v>
      </c>
      <c r="H26" s="438">
        <v>3.336901656E9</v>
      </c>
      <c r="I26" s="437">
        <v>11.0</v>
      </c>
      <c r="J26" s="435"/>
      <c r="K26" s="332" t="b">
        <v>0</v>
      </c>
      <c r="L26" s="332" t="b">
        <v>0</v>
      </c>
      <c r="M26" s="332" t="b">
        <v>0</v>
      </c>
      <c r="N26" s="332" t="b">
        <v>0</v>
      </c>
      <c r="O26" s="332" t="b">
        <v>0</v>
      </c>
      <c r="P26" s="449"/>
    </row>
    <row r="27" ht="33.75" customHeight="1">
      <c r="A27" s="332" t="b">
        <v>0</v>
      </c>
      <c r="B27" s="332" t="b">
        <v>0</v>
      </c>
      <c r="C27" s="332" t="b">
        <v>0</v>
      </c>
      <c r="D27" s="332" t="b">
        <v>0</v>
      </c>
      <c r="E27" s="332" t="b">
        <v>0</v>
      </c>
      <c r="F27" s="443" t="s">
        <v>196</v>
      </c>
      <c r="G27" s="443" t="s">
        <v>197</v>
      </c>
      <c r="H27" s="471" t="s">
        <v>198</v>
      </c>
      <c r="I27" s="443">
        <v>8.0</v>
      </c>
      <c r="J27" s="448"/>
      <c r="K27" s="332" t="b">
        <v>0</v>
      </c>
      <c r="L27" s="332" t="b">
        <v>0</v>
      </c>
      <c r="M27" s="332" t="b">
        <v>0</v>
      </c>
      <c r="N27" s="332" t="b">
        <v>0</v>
      </c>
      <c r="O27" s="332" t="b">
        <v>0</v>
      </c>
      <c r="P27" s="439"/>
    </row>
    <row r="28" ht="33.75" customHeight="1">
      <c r="A28" s="332" t="b">
        <v>0</v>
      </c>
      <c r="B28" s="332" t="b">
        <v>0</v>
      </c>
      <c r="C28" s="332" t="b">
        <v>0</v>
      </c>
      <c r="D28" s="332" t="b">
        <v>0</v>
      </c>
      <c r="E28" s="332" t="b">
        <v>0</v>
      </c>
      <c r="F28" s="468" t="s">
        <v>207</v>
      </c>
      <c r="G28" s="468" t="s">
        <v>208</v>
      </c>
      <c r="H28" s="446">
        <v>3.921028476E9</v>
      </c>
      <c r="I28" s="446">
        <v>9.0</v>
      </c>
      <c r="J28" s="435"/>
      <c r="K28" s="332" t="b">
        <v>0</v>
      </c>
      <c r="L28" s="332" t="b">
        <v>0</v>
      </c>
      <c r="M28" s="332" t="b">
        <v>0</v>
      </c>
      <c r="N28" s="332" t="b">
        <v>0</v>
      </c>
      <c r="O28" s="332" t="b">
        <v>0</v>
      </c>
      <c r="P28" s="449"/>
    </row>
    <row r="29" ht="33.75" customHeight="1">
      <c r="A29" s="332" t="b">
        <v>0</v>
      </c>
      <c r="B29" s="332" t="b">
        <v>0</v>
      </c>
      <c r="C29" s="332" t="b">
        <v>0</v>
      </c>
      <c r="D29" s="332" t="b">
        <v>0</v>
      </c>
      <c r="E29" s="332" t="b">
        <v>0</v>
      </c>
      <c r="F29" s="443" t="s">
        <v>207</v>
      </c>
      <c r="G29" s="443" t="s">
        <v>327</v>
      </c>
      <c r="H29" s="444">
        <v>3.921028476E9</v>
      </c>
      <c r="I29" s="443">
        <v>8.0</v>
      </c>
      <c r="J29" s="435"/>
      <c r="K29" s="332" t="b">
        <v>0</v>
      </c>
      <c r="L29" s="332" t="b">
        <v>0</v>
      </c>
      <c r="M29" s="332" t="b">
        <v>0</v>
      </c>
      <c r="N29" s="332" t="b">
        <v>0</v>
      </c>
      <c r="O29" s="332" t="b">
        <v>0</v>
      </c>
      <c r="P29" s="472"/>
    </row>
    <row r="30" ht="33.75" customHeight="1">
      <c r="A30" s="332" t="b">
        <v>0</v>
      </c>
      <c r="B30" s="332" t="b">
        <v>0</v>
      </c>
      <c r="C30" s="332" t="b">
        <v>0</v>
      </c>
      <c r="D30" s="332" t="b">
        <v>0</v>
      </c>
      <c r="E30" s="332" t="b">
        <v>0</v>
      </c>
      <c r="F30" s="443" t="s">
        <v>358</v>
      </c>
      <c r="G30" s="443" t="s">
        <v>359</v>
      </c>
      <c r="H30" s="446" t="s">
        <v>360</v>
      </c>
      <c r="I30" s="443">
        <v>8.0</v>
      </c>
      <c r="J30" s="456"/>
      <c r="K30" s="332" t="b">
        <v>0</v>
      </c>
      <c r="L30" s="332" t="b">
        <v>0</v>
      </c>
      <c r="M30" s="332" t="b">
        <v>0</v>
      </c>
      <c r="N30" s="332" t="b">
        <v>0</v>
      </c>
      <c r="O30" s="332" t="b">
        <v>0</v>
      </c>
      <c r="P30" s="473"/>
    </row>
    <row r="31" ht="33.75" customHeight="1">
      <c r="A31" s="332" t="b">
        <v>0</v>
      </c>
      <c r="B31" s="332" t="b">
        <v>0</v>
      </c>
      <c r="C31" s="332" t="b">
        <v>0</v>
      </c>
      <c r="D31" s="332" t="b">
        <v>0</v>
      </c>
      <c r="E31" s="332" t="b">
        <v>0</v>
      </c>
      <c r="F31" s="443" t="s">
        <v>336</v>
      </c>
      <c r="G31" s="443" t="s">
        <v>337</v>
      </c>
      <c r="H31" s="444" t="s">
        <v>338</v>
      </c>
      <c r="I31" s="443">
        <v>8.0</v>
      </c>
      <c r="J31" s="448"/>
      <c r="K31" s="332" t="b">
        <v>0</v>
      </c>
      <c r="L31" s="332" t="b">
        <v>0</v>
      </c>
      <c r="M31" s="332" t="b">
        <v>0</v>
      </c>
      <c r="N31" s="332" t="b">
        <v>0</v>
      </c>
      <c r="O31" s="332" t="b">
        <v>0</v>
      </c>
      <c r="P31" s="439"/>
    </row>
    <row r="32" ht="33.75" customHeight="1">
      <c r="A32" s="332" t="b">
        <v>0</v>
      </c>
      <c r="B32" s="332" t="b">
        <v>0</v>
      </c>
      <c r="C32" s="332" t="b">
        <v>0</v>
      </c>
      <c r="D32" s="332" t="b">
        <v>0</v>
      </c>
      <c r="E32" s="332" t="b">
        <v>0</v>
      </c>
      <c r="F32" s="443" t="s">
        <v>388</v>
      </c>
      <c r="G32" s="443" t="s">
        <v>214</v>
      </c>
      <c r="H32" s="444">
        <v>3.487681579E9</v>
      </c>
      <c r="I32" s="443">
        <v>9.0</v>
      </c>
      <c r="J32" s="448"/>
      <c r="K32" s="332" t="b">
        <v>0</v>
      </c>
      <c r="L32" s="332" t="b">
        <v>0</v>
      </c>
      <c r="M32" s="332" t="b">
        <v>0</v>
      </c>
      <c r="N32" s="332" t="b">
        <v>0</v>
      </c>
      <c r="O32" s="332" t="b">
        <v>0</v>
      </c>
      <c r="P32" s="439"/>
    </row>
    <row r="33" ht="33.75" customHeight="1">
      <c r="A33" s="332" t="b">
        <v>0</v>
      </c>
      <c r="B33" s="332" t="b">
        <v>0</v>
      </c>
      <c r="C33" s="332" t="b">
        <v>0</v>
      </c>
      <c r="D33" s="332" t="b">
        <v>0</v>
      </c>
      <c r="E33" s="332" t="b">
        <v>0</v>
      </c>
      <c r="F33" s="437" t="s">
        <v>148</v>
      </c>
      <c r="G33" s="437" t="s">
        <v>86</v>
      </c>
      <c r="H33" s="437">
        <v>3.34266125E9</v>
      </c>
      <c r="I33" s="437">
        <v>11.0</v>
      </c>
      <c r="J33" s="361" t="s">
        <v>134</v>
      </c>
      <c r="K33" s="332" t="b">
        <v>0</v>
      </c>
      <c r="L33" s="332" t="b">
        <v>0</v>
      </c>
      <c r="M33" s="332" t="b">
        <v>0</v>
      </c>
      <c r="N33" s="332" t="b">
        <v>0</v>
      </c>
      <c r="O33" s="332" t="b">
        <v>0</v>
      </c>
      <c r="P33" s="449"/>
    </row>
    <row r="34" ht="33.75" customHeight="1">
      <c r="A34" s="332" t="b">
        <v>0</v>
      </c>
      <c r="B34" s="332" t="b">
        <v>0</v>
      </c>
      <c r="C34" s="332" t="b">
        <v>0</v>
      </c>
      <c r="D34" s="332" t="b">
        <v>0</v>
      </c>
      <c r="E34" s="332" t="b">
        <v>0</v>
      </c>
      <c r="F34" s="474" t="s">
        <v>148</v>
      </c>
      <c r="G34" s="474" t="s">
        <v>340</v>
      </c>
      <c r="H34" s="475">
        <v>3.34266125E9</v>
      </c>
      <c r="I34" s="474">
        <v>13.0</v>
      </c>
      <c r="J34" s="448" t="s">
        <v>134</v>
      </c>
      <c r="K34" s="332" t="b">
        <v>0</v>
      </c>
      <c r="L34" s="332" t="b">
        <v>0</v>
      </c>
      <c r="M34" s="332" t="b">
        <v>0</v>
      </c>
      <c r="N34" s="332" t="b">
        <v>0</v>
      </c>
      <c r="O34" s="332" t="b">
        <v>0</v>
      </c>
      <c r="P34" s="449"/>
    </row>
    <row r="35" ht="33.75" customHeight="1">
      <c r="A35" s="332" t="b">
        <v>0</v>
      </c>
      <c r="B35" s="332" t="b">
        <v>0</v>
      </c>
      <c r="C35" s="332" t="b">
        <v>0</v>
      </c>
      <c r="D35" s="332" t="b">
        <v>0</v>
      </c>
      <c r="E35" s="332" t="b">
        <v>0</v>
      </c>
      <c r="F35" s="476" t="s">
        <v>366</v>
      </c>
      <c r="G35" s="476" t="s">
        <v>98</v>
      </c>
      <c r="H35" s="477" t="s">
        <v>367</v>
      </c>
      <c r="I35" s="476">
        <v>8.0</v>
      </c>
      <c r="J35" s="478"/>
      <c r="K35" s="332" t="b">
        <v>0</v>
      </c>
      <c r="L35" s="332" t="b">
        <v>0</v>
      </c>
      <c r="M35" s="332" t="b">
        <v>0</v>
      </c>
      <c r="N35" s="332" t="b">
        <v>0</v>
      </c>
      <c r="O35" s="332" t="b">
        <v>0</v>
      </c>
      <c r="P35" s="473"/>
    </row>
    <row r="36" ht="33.75" customHeight="1">
      <c r="A36" s="332" t="b">
        <v>0</v>
      </c>
      <c r="B36" s="332" t="b">
        <v>0</v>
      </c>
      <c r="C36" s="332" t="b">
        <v>0</v>
      </c>
      <c r="D36" s="332" t="b">
        <v>0</v>
      </c>
      <c r="E36" s="332" t="b">
        <v>0</v>
      </c>
      <c r="F36" s="479"/>
      <c r="G36" s="479"/>
      <c r="H36" s="480"/>
      <c r="I36" s="481"/>
      <c r="J36" s="481"/>
      <c r="K36" s="332" t="b">
        <v>0</v>
      </c>
      <c r="L36" s="332" t="b">
        <v>0</v>
      </c>
      <c r="M36" s="332" t="b">
        <v>0</v>
      </c>
      <c r="N36" s="332" t="b">
        <v>0</v>
      </c>
      <c r="O36" s="332" t="b">
        <v>0</v>
      </c>
      <c r="P36" s="467"/>
    </row>
    <row r="37" ht="33.75" customHeight="1">
      <c r="A37" s="332" t="b">
        <v>0</v>
      </c>
      <c r="B37" s="482" t="b">
        <v>0</v>
      </c>
      <c r="C37" s="482" t="b">
        <v>0</v>
      </c>
      <c r="D37" s="482" t="b">
        <v>0</v>
      </c>
      <c r="E37" s="482" t="b">
        <v>0</v>
      </c>
      <c r="F37" s="483"/>
      <c r="G37" s="483"/>
      <c r="H37" s="484"/>
      <c r="I37" s="485"/>
      <c r="J37" s="485"/>
      <c r="K37" s="269" t="b">
        <v>0</v>
      </c>
      <c r="L37" s="482" t="b">
        <v>0</v>
      </c>
      <c r="M37" s="482" t="b">
        <v>0</v>
      </c>
      <c r="N37" s="482" t="b">
        <v>0</v>
      </c>
      <c r="O37" s="482" t="b">
        <v>0</v>
      </c>
      <c r="P37" s="486"/>
    </row>
    <row r="38" ht="33.75" customHeight="1">
      <c r="A38" s="332" t="b">
        <v>0</v>
      </c>
      <c r="B38" s="332" t="b">
        <v>0</v>
      </c>
      <c r="C38" s="332" t="b">
        <v>0</v>
      </c>
      <c r="D38" s="332" t="b">
        <v>0</v>
      </c>
      <c r="E38" s="332" t="b">
        <v>0</v>
      </c>
      <c r="F38" s="479"/>
      <c r="G38" s="479"/>
      <c r="H38" s="487"/>
      <c r="I38" s="481"/>
      <c r="J38" s="481"/>
      <c r="K38" s="332" t="b">
        <v>0</v>
      </c>
      <c r="L38" s="332" t="b">
        <v>0</v>
      </c>
      <c r="M38" s="332" t="b">
        <v>0</v>
      </c>
      <c r="N38" s="332" t="b">
        <v>0</v>
      </c>
      <c r="O38" s="332" t="b">
        <v>0</v>
      </c>
      <c r="P38" s="439"/>
    </row>
    <row r="39" ht="33.75" customHeight="1">
      <c r="A39" s="332" t="b">
        <v>0</v>
      </c>
      <c r="B39" s="332" t="b">
        <v>0</v>
      </c>
      <c r="C39" s="332" t="b">
        <v>0</v>
      </c>
      <c r="D39" s="332" t="b">
        <v>0</v>
      </c>
      <c r="E39" s="332" t="b">
        <v>0</v>
      </c>
      <c r="F39" s="335"/>
      <c r="G39" s="335"/>
      <c r="H39" s="488"/>
      <c r="I39" s="489"/>
      <c r="J39" s="489"/>
      <c r="K39" s="332" t="b">
        <v>0</v>
      </c>
      <c r="L39" s="332" t="b">
        <v>0</v>
      </c>
      <c r="M39" s="332" t="b">
        <v>0</v>
      </c>
      <c r="N39" s="332" t="b">
        <v>0</v>
      </c>
      <c r="O39" s="332" t="b">
        <v>0</v>
      </c>
      <c r="P39" s="439"/>
    </row>
    <row r="40" ht="33.75" customHeight="1">
      <c r="A40" s="332" t="b">
        <v>0</v>
      </c>
      <c r="B40" s="332" t="b">
        <v>0</v>
      </c>
      <c r="C40" s="332" t="b">
        <v>0</v>
      </c>
      <c r="D40" s="332" t="b">
        <v>0</v>
      </c>
      <c r="E40" s="332" t="b">
        <v>0</v>
      </c>
      <c r="F40" s="490"/>
      <c r="G40" s="490"/>
      <c r="H40" s="491"/>
      <c r="I40" s="492"/>
      <c r="J40" s="492"/>
      <c r="K40" s="332" t="b">
        <v>0</v>
      </c>
      <c r="L40" s="332" t="b">
        <v>0</v>
      </c>
      <c r="M40" s="332" t="b">
        <v>0</v>
      </c>
      <c r="N40" s="332" t="b">
        <v>0</v>
      </c>
      <c r="O40" s="332" t="b">
        <v>0</v>
      </c>
      <c r="P40" s="449"/>
    </row>
    <row r="41" ht="33.75" customHeight="1">
      <c r="A41" s="332" t="b">
        <v>0</v>
      </c>
      <c r="B41" s="332" t="b">
        <v>0</v>
      </c>
      <c r="C41" s="332" t="b">
        <v>0</v>
      </c>
      <c r="D41" s="332" t="b">
        <v>0</v>
      </c>
      <c r="E41" s="332" t="b">
        <v>0</v>
      </c>
      <c r="F41" s="493"/>
      <c r="G41" s="493"/>
      <c r="H41" s="491"/>
      <c r="I41" s="492"/>
      <c r="J41" s="492"/>
      <c r="K41" s="332" t="b">
        <v>0</v>
      </c>
      <c r="L41" s="332" t="b">
        <v>0</v>
      </c>
      <c r="M41" s="332" t="b">
        <v>0</v>
      </c>
      <c r="N41" s="332" t="b">
        <v>0</v>
      </c>
      <c r="O41" s="332" t="b">
        <v>0</v>
      </c>
      <c r="P41" s="452"/>
    </row>
    <row r="42" ht="33.75" customHeight="1">
      <c r="A42" s="332" t="b">
        <v>0</v>
      </c>
      <c r="B42" s="332" t="b">
        <v>0</v>
      </c>
      <c r="C42" s="332" t="b">
        <v>0</v>
      </c>
      <c r="D42" s="332" t="b">
        <v>0</v>
      </c>
      <c r="E42" s="332" t="b">
        <v>0</v>
      </c>
      <c r="F42" s="493"/>
      <c r="G42" s="493"/>
      <c r="H42" s="491"/>
      <c r="I42" s="492"/>
      <c r="J42" s="492"/>
      <c r="K42" s="332" t="b">
        <v>0</v>
      </c>
      <c r="L42" s="332" t="b">
        <v>0</v>
      </c>
      <c r="M42" s="332" t="b">
        <v>0</v>
      </c>
      <c r="N42" s="332" t="b">
        <v>0</v>
      </c>
      <c r="O42" s="332" t="b">
        <v>0</v>
      </c>
      <c r="P42" s="494"/>
    </row>
    <row r="43" ht="33.75" customHeight="1">
      <c r="A43" s="332" t="b">
        <v>0</v>
      </c>
      <c r="B43" s="332" t="b">
        <v>0</v>
      </c>
      <c r="C43" s="332" t="b">
        <v>0</v>
      </c>
      <c r="D43" s="332" t="b">
        <v>0</v>
      </c>
      <c r="E43" s="332" t="b">
        <v>0</v>
      </c>
      <c r="F43" s="493"/>
      <c r="G43" s="493"/>
      <c r="H43" s="491"/>
      <c r="I43" s="492"/>
      <c r="J43" s="492"/>
      <c r="K43" s="332" t="b">
        <v>0</v>
      </c>
      <c r="L43" s="332" t="b">
        <v>0</v>
      </c>
      <c r="M43" s="332" t="b">
        <v>0</v>
      </c>
      <c r="N43" s="332" t="b">
        <v>0</v>
      </c>
      <c r="O43" s="332" t="b">
        <v>0</v>
      </c>
      <c r="P43" s="449"/>
    </row>
    <row r="44" ht="33.75" customHeight="1">
      <c r="A44" s="332" t="b">
        <v>0</v>
      </c>
      <c r="B44" s="332" t="b">
        <v>0</v>
      </c>
      <c r="C44" s="332" t="b">
        <v>0</v>
      </c>
      <c r="D44" s="332" t="b">
        <v>0</v>
      </c>
      <c r="E44" s="332" t="b">
        <v>0</v>
      </c>
      <c r="F44" s="332"/>
      <c r="G44" s="332"/>
      <c r="H44" s="491"/>
      <c r="I44" s="492"/>
      <c r="J44" s="492"/>
      <c r="K44" s="332" t="b">
        <v>0</v>
      </c>
      <c r="L44" s="332" t="b">
        <v>0</v>
      </c>
      <c r="M44" s="332" t="b">
        <v>0</v>
      </c>
      <c r="N44" s="332" t="b">
        <v>0</v>
      </c>
      <c r="O44" s="332" t="b">
        <v>0</v>
      </c>
      <c r="P44" s="439"/>
    </row>
    <row r="45" ht="33.75" customHeight="1">
      <c r="A45" s="332" t="b">
        <v>0</v>
      </c>
      <c r="B45" s="332" t="b">
        <v>0</v>
      </c>
      <c r="C45" s="332" t="b">
        <v>0</v>
      </c>
      <c r="D45" s="332" t="b">
        <v>0</v>
      </c>
      <c r="E45" s="332" t="b">
        <v>0</v>
      </c>
      <c r="F45" s="490"/>
      <c r="G45" s="490"/>
      <c r="H45" s="491"/>
      <c r="I45" s="492"/>
      <c r="J45" s="492"/>
      <c r="K45" s="332" t="b">
        <v>0</v>
      </c>
      <c r="L45" s="332" t="b">
        <v>0</v>
      </c>
      <c r="M45" s="332" t="b">
        <v>0</v>
      </c>
      <c r="N45" s="332" t="b">
        <v>0</v>
      </c>
      <c r="O45" s="332" t="b">
        <v>0</v>
      </c>
      <c r="P45" s="473"/>
    </row>
    <row r="46" ht="33.75" customHeight="1">
      <c r="A46" s="332" t="b">
        <v>0</v>
      </c>
      <c r="B46" s="332" t="b">
        <v>0</v>
      </c>
      <c r="C46" s="332" t="b">
        <v>0</v>
      </c>
      <c r="D46" s="332" t="b">
        <v>0</v>
      </c>
      <c r="E46" s="332" t="b">
        <v>0</v>
      </c>
      <c r="F46" s="332"/>
      <c r="G46" s="332"/>
      <c r="H46" s="495"/>
      <c r="I46" s="332"/>
      <c r="J46" s="332"/>
      <c r="K46" s="332" t="b">
        <v>0</v>
      </c>
      <c r="L46" s="332" t="b">
        <v>0</v>
      </c>
      <c r="M46" s="332" t="b">
        <v>0</v>
      </c>
      <c r="N46" s="332" t="b">
        <v>0</v>
      </c>
      <c r="O46" s="332" t="b">
        <v>0</v>
      </c>
      <c r="P46" s="439"/>
    </row>
    <row r="47" ht="33.75" customHeight="1">
      <c r="A47" s="338">
        <f t="shared" ref="A47:E47" si="1">SUMPRODUCT(--A9:A46)</f>
        <v>0</v>
      </c>
      <c r="B47" s="338">
        <f t="shared" si="1"/>
        <v>0</v>
      </c>
      <c r="C47" s="338">
        <f t="shared" si="1"/>
        <v>0</v>
      </c>
      <c r="D47" s="338">
        <f t="shared" si="1"/>
        <v>0</v>
      </c>
      <c r="E47" s="338">
        <f t="shared" si="1"/>
        <v>0</v>
      </c>
      <c r="F47" s="496"/>
      <c r="G47" s="496"/>
      <c r="H47" s="497"/>
      <c r="I47" s="496"/>
      <c r="J47" s="496"/>
      <c r="K47" s="338">
        <f t="shared" ref="K47:O47" si="2">SUMPRODUCT(--K9:K46)</f>
        <v>0</v>
      </c>
      <c r="L47" s="338">
        <f t="shared" si="2"/>
        <v>0</v>
      </c>
      <c r="M47" s="338">
        <f t="shared" si="2"/>
        <v>0</v>
      </c>
      <c r="N47" s="338">
        <f t="shared" si="2"/>
        <v>0</v>
      </c>
      <c r="O47" s="338">
        <f t="shared" si="2"/>
        <v>0</v>
      </c>
      <c r="P47" s="498"/>
    </row>
  </sheetData>
  <mergeCells count="3">
    <mergeCell ref="A1:E1"/>
    <mergeCell ref="F1:J1"/>
    <mergeCell ref="K1:O1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2" width="21.63"/>
    <col collapsed="1" min="12" max="12" width="12.63"/>
    <col hidden="1" min="13" max="14" width="12.63" outlineLevel="1"/>
    <col collapsed="1" min="18" max="18" width="12.63"/>
    <col hidden="1" min="19" max="29" width="12.63" outlineLevel="1"/>
  </cols>
  <sheetData>
    <row r="1">
      <c r="A1" s="499"/>
      <c r="B1" s="500"/>
      <c r="C1" s="501" t="s">
        <v>427</v>
      </c>
      <c r="E1" s="502" t="s">
        <v>477</v>
      </c>
      <c r="G1" s="503" t="s">
        <v>478</v>
      </c>
      <c r="I1" s="504" t="s">
        <v>479</v>
      </c>
      <c r="K1" s="505" t="s">
        <v>480</v>
      </c>
      <c r="M1" s="506" t="s">
        <v>481</v>
      </c>
      <c r="O1" s="507" t="s">
        <v>482</v>
      </c>
      <c r="P1" s="508" t="s">
        <v>249</v>
      </c>
      <c r="Q1" s="509" t="s">
        <v>483</v>
      </c>
      <c r="R1" s="510" t="s">
        <v>484</v>
      </c>
      <c r="S1" s="511" t="s">
        <v>485</v>
      </c>
      <c r="T1" s="512" t="s">
        <v>481</v>
      </c>
      <c r="U1" s="512" t="s">
        <v>481</v>
      </c>
      <c r="V1" s="512" t="s">
        <v>481</v>
      </c>
      <c r="W1" s="512" t="s">
        <v>481</v>
      </c>
      <c r="X1" s="512" t="s">
        <v>481</v>
      </c>
      <c r="Y1" s="512" t="s">
        <v>481</v>
      </c>
      <c r="Z1" s="512" t="s">
        <v>481</v>
      </c>
      <c r="AA1" s="512" t="s">
        <v>481</v>
      </c>
      <c r="AB1" s="512" t="s">
        <v>481</v>
      </c>
      <c r="AC1" s="512" t="s">
        <v>481</v>
      </c>
      <c r="AD1" s="513"/>
      <c r="AE1" s="513"/>
    </row>
    <row r="2">
      <c r="A2" s="514" t="s">
        <v>486</v>
      </c>
      <c r="B2" s="515" t="s">
        <v>487</v>
      </c>
      <c r="C2" s="516" t="s">
        <v>488</v>
      </c>
      <c r="D2" s="516" t="s">
        <v>489</v>
      </c>
      <c r="E2" s="517" t="s">
        <v>488</v>
      </c>
      <c r="F2" s="517" t="s">
        <v>489</v>
      </c>
      <c r="G2" s="518" t="s">
        <v>488</v>
      </c>
      <c r="H2" s="518" t="s">
        <v>489</v>
      </c>
      <c r="I2" s="519" t="s">
        <v>488</v>
      </c>
      <c r="J2" s="519" t="s">
        <v>489</v>
      </c>
      <c r="K2" s="520" t="s">
        <v>488</v>
      </c>
      <c r="L2" s="520" t="s">
        <v>489</v>
      </c>
      <c r="M2" s="521" t="s">
        <v>488</v>
      </c>
      <c r="N2" s="521" t="s">
        <v>489</v>
      </c>
      <c r="O2" s="522" t="s">
        <v>489</v>
      </c>
      <c r="P2" s="523" t="s">
        <v>489</v>
      </c>
      <c r="Q2" s="524" t="s">
        <v>489</v>
      </c>
      <c r="R2" s="525" t="s">
        <v>489</v>
      </c>
      <c r="S2" s="526" t="s">
        <v>489</v>
      </c>
      <c r="T2" s="527" t="s">
        <v>489</v>
      </c>
      <c r="U2" s="527" t="s">
        <v>489</v>
      </c>
      <c r="V2" s="527" t="s">
        <v>489</v>
      </c>
      <c r="W2" s="527" t="s">
        <v>489</v>
      </c>
      <c r="X2" s="527" t="s">
        <v>489</v>
      </c>
      <c r="Y2" s="527" t="s">
        <v>489</v>
      </c>
      <c r="Z2" s="527" t="s">
        <v>489</v>
      </c>
      <c r="AA2" s="527" t="s">
        <v>489</v>
      </c>
      <c r="AB2" s="527" t="s">
        <v>489</v>
      </c>
      <c r="AC2" s="527" t="s">
        <v>489</v>
      </c>
      <c r="AD2" s="528" t="s">
        <v>490</v>
      </c>
      <c r="AE2" s="528" t="s">
        <v>491</v>
      </c>
    </row>
    <row r="3">
      <c r="A3" s="529">
        <v>45817.0</v>
      </c>
      <c r="B3" s="530" t="s">
        <v>492</v>
      </c>
      <c r="C3" s="531">
        <f t="shared" ref="C3:C4" si="2">COUNTIF(INDIRECT("'"&amp;$B3&amp;"'!$B:$B"),"*"&amp;C$1&amp;"*")-
COUNTIFS(INDIRECT("'"&amp;$B3&amp;"'!$B:$B"),"*"&amp;C$1&amp;"*",INDIRECT("'"&amp;$B3&amp;"'!$M:$M"),"*")</f>
        <v>5</v>
      </c>
      <c r="D3" s="531">
        <f t="shared" ref="D3:D4" si="3">COUNTIF(INDIRECT("'"&amp;$B3&amp;"'!$M:$M"),"*"&amp;C$1&amp;"*")</f>
        <v>12</v>
      </c>
      <c r="E3" s="532">
        <f t="shared" ref="E3:E4" si="4">COUNTIF(INDIRECT("'"&amp;$B3&amp;"'!$B:$B"),"*"&amp;E$1&amp;"*")-
COUNTIFS(INDIRECT("'"&amp;$B3&amp;"'!$B:$B"),"*"&amp;E$1&amp;"*",INDIRECT("'"&amp;$B3&amp;"'!$M:$M"),"*")</f>
        <v>6</v>
      </c>
      <c r="F3" s="532">
        <f t="shared" ref="F3:F4" si="5">COUNTIF(INDIRECT("'"&amp;$B3&amp;"'!$M:$M"),"*"&amp;E$1&amp;"*")</f>
        <v>13</v>
      </c>
      <c r="G3" s="533">
        <f t="shared" ref="G3:G4" si="6">COUNTIF(INDIRECT("'"&amp;$B3&amp;"'!$B:$B"),"*"&amp;G$1&amp;"*")-
COUNTIFS(INDIRECT("'"&amp;$B3&amp;"'!$B:$B"),"*"&amp;G$1&amp;"*",INDIRECT("'"&amp;$B3&amp;"'!$M:$M"),"*")</f>
        <v>4</v>
      </c>
      <c r="H3" s="533">
        <f t="shared" ref="H3:H4" si="7">COUNTIF(INDIRECT("'"&amp;$B3&amp;"'!$M:$M"),"*"&amp;G$1&amp;"*")</f>
        <v>9</v>
      </c>
      <c r="I3" s="534">
        <f t="shared" ref="I3:I4" si="8">COUNTIF(INDIRECT("'"&amp;$B3&amp;"'!$B:$B"),"*"&amp;I$1&amp;"*")-
COUNTIFS(INDIRECT("'"&amp;$B3&amp;"'!$B:$B"),"*"&amp;I$1&amp;"*",INDIRECT("'"&amp;$B3&amp;"'!$M:$M"),"*")</f>
        <v>10</v>
      </c>
      <c r="J3" s="534">
        <f t="shared" ref="J3:J4" si="9">COUNTIF(INDIRECT("'"&amp;$B3&amp;"'!$M:$M"),"*"&amp;I$1&amp;"*")</f>
        <v>10</v>
      </c>
      <c r="K3" s="535">
        <f t="shared" ref="K3:K4" si="10">COUNTIF(INDIRECT("'"&amp;$B3&amp;"'!$B:$B"),"*"&amp;K$1&amp;"*")-
COUNTIFS(INDIRECT("'"&amp;$B3&amp;"'!$B:$B"),"*"&amp;K$1&amp;"*",INDIRECT("'"&amp;$B3&amp;"'!$M:$M"),"*")</f>
        <v>7</v>
      </c>
      <c r="L3" s="535">
        <f t="shared" ref="L3:L4" si="11">COUNTIF(INDIRECT("'"&amp;$B3&amp;"'!$M:$M"),"*"&amp;K$1&amp;"*")</f>
        <v>8</v>
      </c>
      <c r="M3" s="536">
        <f t="shared" ref="M3:M4" si="12">COUNTIF(INDIRECT("'"&amp;$B3&amp;"'!$B:$B"),"*"&amp;M$1&amp;"*")-
COUNTIFS(INDIRECT("'"&amp;$B3&amp;"'!$B:$B"),"*"&amp;M$1&amp;"*",INDIRECT("'"&amp;$B3&amp;"'!$M:$M"),"*")</f>
        <v>0</v>
      </c>
      <c r="N3" s="536">
        <f t="shared" ref="N3:N4" si="13">COUNTIF(INDIRECT("'"&amp;$B3&amp;"'!$M:$M"),"*"&amp;M$1&amp;"*")</f>
        <v>0</v>
      </c>
      <c r="O3" s="537">
        <f t="shared" ref="O3:S3" si="1">COUNTIF(INDIRECT("'"&amp;$B3&amp;"'!$M:$M"),"*"&amp;O$1&amp;"*")</f>
        <v>0</v>
      </c>
      <c r="P3" s="538">
        <f t="shared" si="1"/>
        <v>0</v>
      </c>
      <c r="Q3" s="539">
        <f t="shared" si="1"/>
        <v>0</v>
      </c>
      <c r="R3" s="540">
        <f t="shared" si="1"/>
        <v>0</v>
      </c>
      <c r="S3" s="541">
        <f t="shared" si="1"/>
        <v>0</v>
      </c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3">
        <f t="shared" ref="AD3:AD29" si="15">SUM(C3:AC3)</f>
        <v>84</v>
      </c>
      <c r="AE3" s="544">
        <f t="shared" ref="AE3:AE29" si="16">AD3*1</f>
        <v>84</v>
      </c>
    </row>
    <row r="4">
      <c r="A4" s="529">
        <v>45817.0</v>
      </c>
      <c r="B4" s="530" t="s">
        <v>493</v>
      </c>
      <c r="C4" s="531">
        <f t="shared" si="2"/>
        <v>1</v>
      </c>
      <c r="D4" s="531">
        <f t="shared" si="3"/>
        <v>1</v>
      </c>
      <c r="E4" s="532">
        <f t="shared" si="4"/>
        <v>1</v>
      </c>
      <c r="F4" s="532">
        <f t="shared" si="5"/>
        <v>2</v>
      </c>
      <c r="G4" s="533">
        <f t="shared" si="6"/>
        <v>0</v>
      </c>
      <c r="H4" s="533">
        <f t="shared" si="7"/>
        <v>1</v>
      </c>
      <c r="I4" s="534">
        <f t="shared" si="8"/>
        <v>0</v>
      </c>
      <c r="J4" s="534">
        <f t="shared" si="9"/>
        <v>1</v>
      </c>
      <c r="K4" s="535">
        <f t="shared" si="10"/>
        <v>1</v>
      </c>
      <c r="L4" s="535">
        <f t="shared" si="11"/>
        <v>1</v>
      </c>
      <c r="M4" s="536">
        <f t="shared" si="12"/>
        <v>0</v>
      </c>
      <c r="N4" s="536">
        <f t="shared" si="13"/>
        <v>0</v>
      </c>
      <c r="O4" s="537">
        <f t="shared" ref="O4:S4" si="14">COUNTIF(INDIRECT("'"&amp;$B4&amp;"'!$M:$M"),"*"&amp;O$1&amp;"*")</f>
        <v>0</v>
      </c>
      <c r="P4" s="538">
        <f t="shared" si="14"/>
        <v>0</v>
      </c>
      <c r="Q4" s="539">
        <f t="shared" si="14"/>
        <v>0</v>
      </c>
      <c r="R4" s="540">
        <f t="shared" si="14"/>
        <v>0</v>
      </c>
      <c r="S4" s="541">
        <f t="shared" si="14"/>
        <v>0</v>
      </c>
      <c r="T4" s="542"/>
      <c r="U4" s="542"/>
      <c r="V4" s="542"/>
      <c r="W4" s="542"/>
      <c r="X4" s="542"/>
      <c r="Y4" s="542"/>
      <c r="Z4" s="542"/>
      <c r="AA4" s="542"/>
      <c r="AB4" s="542"/>
      <c r="AC4" s="542"/>
      <c r="AD4" s="543">
        <f t="shared" si="15"/>
        <v>9</v>
      </c>
      <c r="AE4" s="544">
        <f t="shared" si="16"/>
        <v>9</v>
      </c>
    </row>
    <row r="5">
      <c r="A5" s="529"/>
      <c r="B5" s="545"/>
      <c r="C5" s="531"/>
      <c r="D5" s="531"/>
      <c r="E5" s="532"/>
      <c r="F5" s="532"/>
      <c r="G5" s="533"/>
      <c r="H5" s="533"/>
      <c r="I5" s="534"/>
      <c r="J5" s="534"/>
      <c r="K5" s="535"/>
      <c r="L5" s="535"/>
      <c r="M5" s="536"/>
      <c r="N5" s="536"/>
      <c r="O5" s="537"/>
      <c r="P5" s="538"/>
      <c r="Q5" s="539"/>
      <c r="R5" s="540"/>
      <c r="S5" s="541"/>
      <c r="T5" s="542"/>
      <c r="U5" s="542"/>
      <c r="V5" s="542"/>
      <c r="W5" s="542"/>
      <c r="X5" s="542"/>
      <c r="Y5" s="542"/>
      <c r="Z5" s="542"/>
      <c r="AA5" s="542"/>
      <c r="AB5" s="542"/>
      <c r="AC5" s="542"/>
      <c r="AD5" s="543">
        <f t="shared" si="15"/>
        <v>0</v>
      </c>
      <c r="AE5" s="544">
        <f t="shared" si="16"/>
        <v>0</v>
      </c>
    </row>
    <row r="6">
      <c r="A6" s="529"/>
      <c r="B6" s="546"/>
      <c r="C6" s="531"/>
      <c r="D6" s="531"/>
      <c r="E6" s="532"/>
      <c r="F6" s="532"/>
      <c r="G6" s="533"/>
      <c r="H6" s="533"/>
      <c r="I6" s="534"/>
      <c r="J6" s="534"/>
      <c r="K6" s="535"/>
      <c r="L6" s="535"/>
      <c r="M6" s="536"/>
      <c r="N6" s="536"/>
      <c r="O6" s="537"/>
      <c r="P6" s="538"/>
      <c r="Q6" s="539"/>
      <c r="R6" s="540"/>
      <c r="S6" s="541"/>
      <c r="T6" s="542"/>
      <c r="U6" s="542"/>
      <c r="V6" s="542"/>
      <c r="W6" s="542"/>
      <c r="X6" s="542"/>
      <c r="Y6" s="542"/>
      <c r="Z6" s="542"/>
      <c r="AA6" s="542"/>
      <c r="AB6" s="542"/>
      <c r="AC6" s="542"/>
      <c r="AD6" s="543">
        <f t="shared" si="15"/>
        <v>0</v>
      </c>
      <c r="AE6" s="544">
        <f t="shared" si="16"/>
        <v>0</v>
      </c>
    </row>
    <row r="7">
      <c r="A7" s="529"/>
      <c r="B7" s="546"/>
      <c r="C7" s="531"/>
      <c r="D7" s="531"/>
      <c r="E7" s="532"/>
      <c r="F7" s="532"/>
      <c r="G7" s="533"/>
      <c r="H7" s="533"/>
      <c r="I7" s="534"/>
      <c r="J7" s="534"/>
      <c r="K7" s="535"/>
      <c r="L7" s="535"/>
      <c r="M7" s="536"/>
      <c r="N7" s="536"/>
      <c r="O7" s="537"/>
      <c r="P7" s="538"/>
      <c r="Q7" s="539"/>
      <c r="R7" s="540"/>
      <c r="S7" s="541"/>
      <c r="T7" s="542"/>
      <c r="U7" s="542"/>
      <c r="V7" s="542"/>
      <c r="W7" s="542"/>
      <c r="X7" s="542"/>
      <c r="Y7" s="542"/>
      <c r="Z7" s="542"/>
      <c r="AA7" s="542"/>
      <c r="AB7" s="542"/>
      <c r="AC7" s="542"/>
      <c r="AD7" s="543">
        <f t="shared" si="15"/>
        <v>0</v>
      </c>
      <c r="AE7" s="544">
        <f t="shared" si="16"/>
        <v>0</v>
      </c>
    </row>
    <row r="8">
      <c r="A8" s="529"/>
      <c r="B8" s="546"/>
      <c r="C8" s="531"/>
      <c r="D8" s="531"/>
      <c r="E8" s="532"/>
      <c r="F8" s="532"/>
      <c r="G8" s="533"/>
      <c r="H8" s="533"/>
      <c r="I8" s="534"/>
      <c r="J8" s="534"/>
      <c r="K8" s="535"/>
      <c r="L8" s="535"/>
      <c r="M8" s="536"/>
      <c r="N8" s="536"/>
      <c r="O8" s="537"/>
      <c r="P8" s="538"/>
      <c r="Q8" s="539"/>
      <c r="R8" s="540"/>
      <c r="S8" s="541"/>
      <c r="T8" s="542"/>
      <c r="U8" s="542"/>
      <c r="V8" s="542"/>
      <c r="W8" s="542"/>
      <c r="X8" s="542"/>
      <c r="Y8" s="542"/>
      <c r="Z8" s="542"/>
      <c r="AA8" s="542"/>
      <c r="AB8" s="542"/>
      <c r="AC8" s="542"/>
      <c r="AD8" s="543">
        <f t="shared" si="15"/>
        <v>0</v>
      </c>
      <c r="AE8" s="544">
        <f t="shared" si="16"/>
        <v>0</v>
      </c>
    </row>
    <row r="9">
      <c r="A9" s="529"/>
      <c r="B9" s="546"/>
      <c r="C9" s="531"/>
      <c r="D9" s="531"/>
      <c r="E9" s="532"/>
      <c r="F9" s="532"/>
      <c r="G9" s="533"/>
      <c r="H9" s="533"/>
      <c r="I9" s="534"/>
      <c r="J9" s="534"/>
      <c r="K9" s="535"/>
      <c r="L9" s="535"/>
      <c r="M9" s="536"/>
      <c r="N9" s="536"/>
      <c r="O9" s="537"/>
      <c r="P9" s="538"/>
      <c r="Q9" s="539"/>
      <c r="R9" s="540"/>
      <c r="S9" s="541"/>
      <c r="T9" s="542"/>
      <c r="U9" s="542"/>
      <c r="V9" s="542"/>
      <c r="W9" s="542"/>
      <c r="X9" s="542"/>
      <c r="Y9" s="542"/>
      <c r="Z9" s="542"/>
      <c r="AA9" s="542"/>
      <c r="AB9" s="542"/>
      <c r="AC9" s="542"/>
      <c r="AD9" s="543">
        <f t="shared" si="15"/>
        <v>0</v>
      </c>
      <c r="AE9" s="544">
        <f t="shared" si="16"/>
        <v>0</v>
      </c>
    </row>
    <row r="10">
      <c r="A10" s="529"/>
      <c r="B10" s="546"/>
      <c r="C10" s="531"/>
      <c r="D10" s="531"/>
      <c r="E10" s="532"/>
      <c r="F10" s="532"/>
      <c r="G10" s="533"/>
      <c r="H10" s="533"/>
      <c r="I10" s="534"/>
      <c r="J10" s="534"/>
      <c r="K10" s="535"/>
      <c r="L10" s="535"/>
      <c r="M10" s="536"/>
      <c r="N10" s="536"/>
      <c r="O10" s="537"/>
      <c r="P10" s="538"/>
      <c r="Q10" s="539"/>
      <c r="R10" s="540"/>
      <c r="S10" s="541"/>
      <c r="T10" s="542"/>
      <c r="U10" s="542"/>
      <c r="V10" s="542"/>
      <c r="W10" s="542"/>
      <c r="X10" s="542"/>
      <c r="Y10" s="542"/>
      <c r="Z10" s="542"/>
      <c r="AA10" s="542"/>
      <c r="AB10" s="542"/>
      <c r="AC10" s="542"/>
      <c r="AD10" s="543">
        <f t="shared" si="15"/>
        <v>0</v>
      </c>
      <c r="AE10" s="544">
        <f t="shared" si="16"/>
        <v>0</v>
      </c>
    </row>
    <row r="11">
      <c r="A11" s="529"/>
      <c r="B11" s="546"/>
      <c r="C11" s="531"/>
      <c r="D11" s="531"/>
      <c r="E11" s="532"/>
      <c r="F11" s="532"/>
      <c r="G11" s="533"/>
      <c r="H11" s="533"/>
      <c r="I11" s="534"/>
      <c r="J11" s="534"/>
      <c r="K11" s="535"/>
      <c r="L11" s="535"/>
      <c r="M11" s="536"/>
      <c r="N11" s="536"/>
      <c r="O11" s="537"/>
      <c r="P11" s="538"/>
      <c r="Q11" s="539"/>
      <c r="R11" s="540"/>
      <c r="S11" s="541"/>
      <c r="T11" s="542"/>
      <c r="U11" s="542"/>
      <c r="V11" s="542"/>
      <c r="W11" s="542"/>
      <c r="X11" s="542"/>
      <c r="Y11" s="542"/>
      <c r="Z11" s="542"/>
      <c r="AA11" s="542"/>
      <c r="AB11" s="542"/>
      <c r="AC11" s="542"/>
      <c r="AD11" s="543">
        <f t="shared" si="15"/>
        <v>0</v>
      </c>
      <c r="AE11" s="544">
        <f t="shared" si="16"/>
        <v>0</v>
      </c>
    </row>
    <row r="12">
      <c r="A12" s="547"/>
      <c r="B12" s="548"/>
      <c r="C12" s="549"/>
      <c r="D12" s="549"/>
      <c r="E12" s="550"/>
      <c r="F12" s="550"/>
      <c r="G12" s="551"/>
      <c r="H12" s="551"/>
      <c r="I12" s="552"/>
      <c r="J12" s="552"/>
      <c r="K12" s="553"/>
      <c r="L12" s="553"/>
      <c r="M12" s="554"/>
      <c r="N12" s="554"/>
      <c r="O12" s="555"/>
      <c r="P12" s="556"/>
      <c r="Q12" s="557"/>
      <c r="R12" s="558"/>
      <c r="S12" s="559"/>
      <c r="T12" s="560"/>
      <c r="U12" s="560"/>
      <c r="V12" s="560"/>
      <c r="W12" s="560"/>
      <c r="X12" s="560"/>
      <c r="Y12" s="560"/>
      <c r="Z12" s="560"/>
      <c r="AA12" s="560"/>
      <c r="AB12" s="560"/>
      <c r="AC12" s="560"/>
      <c r="AD12" s="543">
        <f t="shared" si="15"/>
        <v>0</v>
      </c>
      <c r="AE12" s="544">
        <f t="shared" si="16"/>
        <v>0</v>
      </c>
    </row>
    <row r="13">
      <c r="A13" s="547"/>
      <c r="B13" s="548"/>
      <c r="C13" s="531"/>
      <c r="D13" s="531"/>
      <c r="E13" s="550"/>
      <c r="F13" s="550"/>
      <c r="G13" s="551"/>
      <c r="H13" s="551"/>
      <c r="I13" s="552"/>
      <c r="J13" s="552"/>
      <c r="K13" s="553"/>
      <c r="L13" s="553"/>
      <c r="M13" s="554"/>
      <c r="N13" s="554"/>
      <c r="O13" s="555"/>
      <c r="P13" s="556"/>
      <c r="Q13" s="557"/>
      <c r="R13" s="558"/>
      <c r="S13" s="559"/>
      <c r="T13" s="560"/>
      <c r="U13" s="560"/>
      <c r="V13" s="560"/>
      <c r="W13" s="560"/>
      <c r="X13" s="560"/>
      <c r="Y13" s="560"/>
      <c r="Z13" s="560"/>
      <c r="AA13" s="560"/>
      <c r="AB13" s="560"/>
      <c r="AC13" s="560"/>
      <c r="AD13" s="543">
        <f t="shared" si="15"/>
        <v>0</v>
      </c>
      <c r="AE13" s="544">
        <f t="shared" si="16"/>
        <v>0</v>
      </c>
    </row>
    <row r="14">
      <c r="A14" s="547"/>
      <c r="B14" s="548"/>
      <c r="C14" s="549"/>
      <c r="D14" s="549"/>
      <c r="E14" s="550"/>
      <c r="F14" s="550"/>
      <c r="G14" s="551"/>
      <c r="H14" s="551"/>
      <c r="I14" s="552"/>
      <c r="J14" s="552"/>
      <c r="K14" s="553"/>
      <c r="L14" s="553"/>
      <c r="M14" s="554"/>
      <c r="N14" s="554"/>
      <c r="O14" s="555"/>
      <c r="P14" s="556"/>
      <c r="Q14" s="557"/>
      <c r="R14" s="558"/>
      <c r="S14" s="559"/>
      <c r="T14" s="560"/>
      <c r="U14" s="560"/>
      <c r="V14" s="560"/>
      <c r="W14" s="560"/>
      <c r="X14" s="560"/>
      <c r="Y14" s="560"/>
      <c r="Z14" s="560"/>
      <c r="AA14" s="560"/>
      <c r="AB14" s="560"/>
      <c r="AC14" s="560"/>
      <c r="AD14" s="543">
        <f t="shared" si="15"/>
        <v>0</v>
      </c>
      <c r="AE14" s="544">
        <f t="shared" si="16"/>
        <v>0</v>
      </c>
    </row>
    <row r="15">
      <c r="A15" s="561"/>
      <c r="B15" s="548"/>
      <c r="C15" s="549"/>
      <c r="D15" s="549"/>
      <c r="E15" s="550"/>
      <c r="F15" s="550"/>
      <c r="G15" s="551"/>
      <c r="H15" s="551"/>
      <c r="I15" s="552"/>
      <c r="J15" s="552"/>
      <c r="K15" s="553"/>
      <c r="L15" s="553"/>
      <c r="M15" s="554"/>
      <c r="N15" s="554"/>
      <c r="O15" s="555"/>
      <c r="P15" s="556"/>
      <c r="Q15" s="557"/>
      <c r="R15" s="558"/>
      <c r="S15" s="559"/>
      <c r="T15" s="560"/>
      <c r="U15" s="560"/>
      <c r="V15" s="560"/>
      <c r="W15" s="560"/>
      <c r="X15" s="560"/>
      <c r="Y15" s="560"/>
      <c r="Z15" s="560"/>
      <c r="AA15" s="560"/>
      <c r="AB15" s="560"/>
      <c r="AC15" s="560"/>
      <c r="AD15" s="543">
        <f t="shared" si="15"/>
        <v>0</v>
      </c>
      <c r="AE15" s="544">
        <f t="shared" si="16"/>
        <v>0</v>
      </c>
    </row>
    <row r="16">
      <c r="A16" s="547"/>
      <c r="B16" s="548"/>
      <c r="C16" s="549"/>
      <c r="D16" s="549"/>
      <c r="E16" s="550"/>
      <c r="F16" s="550"/>
      <c r="G16" s="551"/>
      <c r="H16" s="551"/>
      <c r="I16" s="552"/>
      <c r="J16" s="552"/>
      <c r="K16" s="553"/>
      <c r="L16" s="553"/>
      <c r="M16" s="554"/>
      <c r="N16" s="554"/>
      <c r="O16" s="555"/>
      <c r="P16" s="556"/>
      <c r="Q16" s="557"/>
      <c r="R16" s="558"/>
      <c r="S16" s="559"/>
      <c r="T16" s="560"/>
      <c r="U16" s="560"/>
      <c r="V16" s="560"/>
      <c r="W16" s="560"/>
      <c r="X16" s="560"/>
      <c r="Y16" s="560"/>
      <c r="Z16" s="560"/>
      <c r="AA16" s="560"/>
      <c r="AB16" s="560"/>
      <c r="AC16" s="560"/>
      <c r="AD16" s="543">
        <f t="shared" si="15"/>
        <v>0</v>
      </c>
      <c r="AE16" s="544">
        <f t="shared" si="16"/>
        <v>0</v>
      </c>
    </row>
    <row r="17">
      <c r="A17" s="562"/>
      <c r="B17" s="548"/>
      <c r="C17" s="549"/>
      <c r="D17" s="549"/>
      <c r="E17" s="550"/>
      <c r="F17" s="550"/>
      <c r="G17" s="551"/>
      <c r="H17" s="551"/>
      <c r="I17" s="552"/>
      <c r="J17" s="552"/>
      <c r="K17" s="553"/>
      <c r="L17" s="553"/>
      <c r="M17" s="554"/>
      <c r="N17" s="554"/>
      <c r="O17" s="555"/>
      <c r="P17" s="556"/>
      <c r="Q17" s="557"/>
      <c r="R17" s="558"/>
      <c r="S17" s="559"/>
      <c r="T17" s="560"/>
      <c r="U17" s="560"/>
      <c r="V17" s="560"/>
      <c r="W17" s="560"/>
      <c r="X17" s="560"/>
      <c r="Y17" s="560"/>
      <c r="Z17" s="560"/>
      <c r="AA17" s="560"/>
      <c r="AB17" s="560"/>
      <c r="AC17" s="560"/>
      <c r="AD17" s="543">
        <f t="shared" si="15"/>
        <v>0</v>
      </c>
      <c r="AE17" s="544">
        <f t="shared" si="16"/>
        <v>0</v>
      </c>
    </row>
    <row r="18">
      <c r="A18" s="547"/>
      <c r="B18" s="548"/>
      <c r="C18" s="549"/>
      <c r="D18" s="549"/>
      <c r="E18" s="550"/>
      <c r="F18" s="550"/>
      <c r="G18" s="551"/>
      <c r="H18" s="551"/>
      <c r="I18" s="552"/>
      <c r="J18" s="552"/>
      <c r="K18" s="553"/>
      <c r="L18" s="553"/>
      <c r="M18" s="554"/>
      <c r="N18" s="554"/>
      <c r="O18" s="555"/>
      <c r="P18" s="556"/>
      <c r="Q18" s="557"/>
      <c r="R18" s="558"/>
      <c r="S18" s="559"/>
      <c r="T18" s="560"/>
      <c r="U18" s="560"/>
      <c r="V18" s="560"/>
      <c r="W18" s="560"/>
      <c r="X18" s="560"/>
      <c r="Y18" s="560"/>
      <c r="Z18" s="560"/>
      <c r="AA18" s="560"/>
      <c r="AB18" s="560"/>
      <c r="AC18" s="560"/>
      <c r="AD18" s="543">
        <f t="shared" si="15"/>
        <v>0</v>
      </c>
      <c r="AE18" s="544">
        <f t="shared" si="16"/>
        <v>0</v>
      </c>
    </row>
    <row r="19">
      <c r="A19" s="547"/>
      <c r="B19" s="548"/>
      <c r="C19" s="549"/>
      <c r="D19" s="549"/>
      <c r="E19" s="550"/>
      <c r="F19" s="550"/>
      <c r="G19" s="551"/>
      <c r="H19" s="551"/>
      <c r="I19" s="552"/>
      <c r="J19" s="552"/>
      <c r="K19" s="553"/>
      <c r="L19" s="553"/>
      <c r="M19" s="554"/>
      <c r="N19" s="554"/>
      <c r="O19" s="555"/>
      <c r="P19" s="556"/>
      <c r="Q19" s="557"/>
      <c r="R19" s="558"/>
      <c r="S19" s="559"/>
      <c r="T19" s="560"/>
      <c r="U19" s="560"/>
      <c r="V19" s="560"/>
      <c r="W19" s="560"/>
      <c r="X19" s="560"/>
      <c r="Y19" s="560"/>
      <c r="Z19" s="560"/>
      <c r="AA19" s="560"/>
      <c r="AB19" s="560"/>
      <c r="AC19" s="560"/>
      <c r="AD19" s="543">
        <f t="shared" si="15"/>
        <v>0</v>
      </c>
      <c r="AE19" s="544">
        <f t="shared" si="16"/>
        <v>0</v>
      </c>
    </row>
    <row r="20">
      <c r="A20" s="547"/>
      <c r="B20" s="548"/>
      <c r="C20" s="549"/>
      <c r="D20" s="549"/>
      <c r="E20" s="550"/>
      <c r="F20" s="550"/>
      <c r="G20" s="551"/>
      <c r="H20" s="551"/>
      <c r="I20" s="552"/>
      <c r="J20" s="552"/>
      <c r="K20" s="553"/>
      <c r="L20" s="553"/>
      <c r="M20" s="554"/>
      <c r="N20" s="554"/>
      <c r="O20" s="555"/>
      <c r="P20" s="556"/>
      <c r="Q20" s="557"/>
      <c r="R20" s="558"/>
      <c r="S20" s="559"/>
      <c r="T20" s="560"/>
      <c r="U20" s="560"/>
      <c r="V20" s="560"/>
      <c r="W20" s="560"/>
      <c r="X20" s="560"/>
      <c r="Y20" s="560"/>
      <c r="Z20" s="560"/>
      <c r="AA20" s="560"/>
      <c r="AB20" s="560"/>
      <c r="AC20" s="560"/>
      <c r="AD20" s="543">
        <f t="shared" si="15"/>
        <v>0</v>
      </c>
      <c r="AE20" s="544">
        <f t="shared" si="16"/>
        <v>0</v>
      </c>
    </row>
    <row r="21">
      <c r="A21" s="547"/>
      <c r="B21" s="548"/>
      <c r="C21" s="549"/>
      <c r="D21" s="549"/>
      <c r="E21" s="550"/>
      <c r="F21" s="550"/>
      <c r="G21" s="551"/>
      <c r="H21" s="551"/>
      <c r="I21" s="552"/>
      <c r="J21" s="552"/>
      <c r="K21" s="553"/>
      <c r="L21" s="553"/>
      <c r="M21" s="554"/>
      <c r="N21" s="554"/>
      <c r="O21" s="555"/>
      <c r="P21" s="556"/>
      <c r="Q21" s="557"/>
      <c r="R21" s="558"/>
      <c r="S21" s="559"/>
      <c r="T21" s="560"/>
      <c r="U21" s="560"/>
      <c r="V21" s="560"/>
      <c r="W21" s="560"/>
      <c r="X21" s="560"/>
      <c r="Y21" s="560"/>
      <c r="Z21" s="560"/>
      <c r="AA21" s="560"/>
      <c r="AB21" s="560"/>
      <c r="AC21" s="560"/>
      <c r="AD21" s="543">
        <f t="shared" si="15"/>
        <v>0</v>
      </c>
      <c r="AE21" s="544">
        <f t="shared" si="16"/>
        <v>0</v>
      </c>
    </row>
    <row r="22">
      <c r="A22" s="547"/>
      <c r="B22" s="548"/>
      <c r="C22" s="531"/>
      <c r="D22" s="549"/>
      <c r="E22" s="550"/>
      <c r="F22" s="550"/>
      <c r="G22" s="551"/>
      <c r="H22" s="551"/>
      <c r="I22" s="552"/>
      <c r="J22" s="552"/>
      <c r="K22" s="553"/>
      <c r="L22" s="553"/>
      <c r="M22" s="554"/>
      <c r="N22" s="554"/>
      <c r="O22" s="555"/>
      <c r="P22" s="556"/>
      <c r="Q22" s="557"/>
      <c r="R22" s="558"/>
      <c r="S22" s="559"/>
      <c r="T22" s="560"/>
      <c r="U22" s="560"/>
      <c r="V22" s="560"/>
      <c r="W22" s="560"/>
      <c r="X22" s="560"/>
      <c r="Y22" s="560"/>
      <c r="Z22" s="560"/>
      <c r="AA22" s="560"/>
      <c r="AB22" s="560"/>
      <c r="AC22" s="560"/>
      <c r="AD22" s="543">
        <f t="shared" si="15"/>
        <v>0</v>
      </c>
      <c r="AE22" s="544">
        <f t="shared" si="16"/>
        <v>0</v>
      </c>
    </row>
    <row r="23">
      <c r="A23" s="547"/>
      <c r="B23" s="548"/>
      <c r="C23" s="549"/>
      <c r="D23" s="549"/>
      <c r="E23" s="550"/>
      <c r="F23" s="550"/>
      <c r="G23" s="551"/>
      <c r="H23" s="551"/>
      <c r="I23" s="552"/>
      <c r="J23" s="552"/>
      <c r="K23" s="553"/>
      <c r="L23" s="553"/>
      <c r="M23" s="554"/>
      <c r="N23" s="554"/>
      <c r="O23" s="555"/>
      <c r="P23" s="556"/>
      <c r="Q23" s="557"/>
      <c r="R23" s="558"/>
      <c r="S23" s="559"/>
      <c r="T23" s="560"/>
      <c r="U23" s="560"/>
      <c r="V23" s="560"/>
      <c r="W23" s="560"/>
      <c r="X23" s="560"/>
      <c r="Y23" s="560"/>
      <c r="Z23" s="560"/>
      <c r="AA23" s="560"/>
      <c r="AB23" s="560"/>
      <c r="AC23" s="560"/>
      <c r="AD23" s="543">
        <f t="shared" si="15"/>
        <v>0</v>
      </c>
      <c r="AE23" s="544">
        <f t="shared" si="16"/>
        <v>0</v>
      </c>
    </row>
    <row r="24">
      <c r="A24" s="547"/>
      <c r="B24" s="548"/>
      <c r="C24" s="549"/>
      <c r="D24" s="549"/>
      <c r="E24" s="550"/>
      <c r="F24" s="550"/>
      <c r="G24" s="551"/>
      <c r="H24" s="551"/>
      <c r="I24" s="552"/>
      <c r="J24" s="552"/>
      <c r="K24" s="553"/>
      <c r="L24" s="553"/>
      <c r="M24" s="554"/>
      <c r="N24" s="554"/>
      <c r="O24" s="555"/>
      <c r="P24" s="556"/>
      <c r="Q24" s="557"/>
      <c r="R24" s="558"/>
      <c r="S24" s="559"/>
      <c r="T24" s="560"/>
      <c r="U24" s="560"/>
      <c r="V24" s="560"/>
      <c r="W24" s="560"/>
      <c r="X24" s="560"/>
      <c r="Y24" s="560"/>
      <c r="Z24" s="560"/>
      <c r="AA24" s="560"/>
      <c r="AB24" s="560"/>
      <c r="AC24" s="560"/>
      <c r="AD24" s="543">
        <f t="shared" si="15"/>
        <v>0</v>
      </c>
      <c r="AE24" s="544">
        <f t="shared" si="16"/>
        <v>0</v>
      </c>
    </row>
    <row r="25">
      <c r="A25" s="547"/>
      <c r="B25" s="548"/>
      <c r="C25" s="549"/>
      <c r="D25" s="549"/>
      <c r="E25" s="550"/>
      <c r="F25" s="550"/>
      <c r="G25" s="551"/>
      <c r="H25" s="551"/>
      <c r="I25" s="552"/>
      <c r="J25" s="552"/>
      <c r="K25" s="553"/>
      <c r="L25" s="553"/>
      <c r="M25" s="554"/>
      <c r="N25" s="554"/>
      <c r="O25" s="555"/>
      <c r="P25" s="556"/>
      <c r="Q25" s="557"/>
      <c r="R25" s="558"/>
      <c r="S25" s="559"/>
      <c r="T25" s="560"/>
      <c r="U25" s="560"/>
      <c r="V25" s="560"/>
      <c r="W25" s="560"/>
      <c r="X25" s="560"/>
      <c r="Y25" s="560"/>
      <c r="Z25" s="560"/>
      <c r="AA25" s="560"/>
      <c r="AB25" s="560"/>
      <c r="AC25" s="560"/>
      <c r="AD25" s="543">
        <f t="shared" si="15"/>
        <v>0</v>
      </c>
      <c r="AE25" s="544">
        <f t="shared" si="16"/>
        <v>0</v>
      </c>
    </row>
    <row r="26">
      <c r="A26" s="547"/>
      <c r="B26" s="548"/>
      <c r="C26" s="549"/>
      <c r="D26" s="549"/>
      <c r="E26" s="550"/>
      <c r="F26" s="550"/>
      <c r="G26" s="551"/>
      <c r="H26" s="551"/>
      <c r="I26" s="552"/>
      <c r="J26" s="552"/>
      <c r="K26" s="553"/>
      <c r="L26" s="553"/>
      <c r="M26" s="554"/>
      <c r="N26" s="554"/>
      <c r="O26" s="555"/>
      <c r="P26" s="556"/>
      <c r="Q26" s="557"/>
      <c r="R26" s="558"/>
      <c r="S26" s="559"/>
      <c r="T26" s="560"/>
      <c r="U26" s="560"/>
      <c r="V26" s="560"/>
      <c r="W26" s="560"/>
      <c r="X26" s="560"/>
      <c r="Y26" s="560"/>
      <c r="Z26" s="560"/>
      <c r="AA26" s="560"/>
      <c r="AB26" s="560"/>
      <c r="AC26" s="560"/>
      <c r="AD26" s="543">
        <f t="shared" si="15"/>
        <v>0</v>
      </c>
      <c r="AE26" s="544">
        <f t="shared" si="16"/>
        <v>0</v>
      </c>
    </row>
    <row r="27">
      <c r="A27" s="547"/>
      <c r="B27" s="548"/>
      <c r="C27" s="549"/>
      <c r="D27" s="549"/>
      <c r="E27" s="550"/>
      <c r="F27" s="550"/>
      <c r="G27" s="551"/>
      <c r="H27" s="551"/>
      <c r="I27" s="552"/>
      <c r="J27" s="552"/>
      <c r="K27" s="553"/>
      <c r="L27" s="553"/>
      <c r="M27" s="554"/>
      <c r="N27" s="554"/>
      <c r="O27" s="555"/>
      <c r="P27" s="556"/>
      <c r="Q27" s="557"/>
      <c r="R27" s="558"/>
      <c r="S27" s="559"/>
      <c r="T27" s="560"/>
      <c r="U27" s="560"/>
      <c r="V27" s="560"/>
      <c r="W27" s="560"/>
      <c r="X27" s="560"/>
      <c r="Y27" s="560"/>
      <c r="Z27" s="560"/>
      <c r="AA27" s="560"/>
      <c r="AB27" s="560"/>
      <c r="AC27" s="560"/>
      <c r="AD27" s="543">
        <f t="shared" si="15"/>
        <v>0</v>
      </c>
      <c r="AE27" s="544">
        <f t="shared" si="16"/>
        <v>0</v>
      </c>
    </row>
    <row r="28">
      <c r="A28" s="529"/>
      <c r="B28" s="563"/>
      <c r="C28" s="549"/>
      <c r="D28" s="564"/>
      <c r="E28" s="550"/>
      <c r="F28" s="550"/>
      <c r="G28" s="551"/>
      <c r="H28" s="551"/>
      <c r="I28" s="552"/>
      <c r="J28" s="552"/>
      <c r="K28" s="553"/>
      <c r="L28" s="553"/>
      <c r="M28" s="554"/>
      <c r="N28" s="554"/>
      <c r="O28" s="555"/>
      <c r="P28" s="556"/>
      <c r="Q28" s="557"/>
      <c r="R28" s="558"/>
      <c r="S28" s="559"/>
      <c r="T28" s="560"/>
      <c r="U28" s="560"/>
      <c r="V28" s="560"/>
      <c r="W28" s="560"/>
      <c r="X28" s="560"/>
      <c r="Y28" s="560"/>
      <c r="Z28" s="560"/>
      <c r="AA28" s="560"/>
      <c r="AB28" s="560"/>
      <c r="AC28" s="560"/>
      <c r="AD28" s="543">
        <f t="shared" si="15"/>
        <v>0</v>
      </c>
      <c r="AE28" s="544">
        <f t="shared" si="16"/>
        <v>0</v>
      </c>
    </row>
    <row r="29">
      <c r="A29" s="547"/>
      <c r="B29" s="548"/>
      <c r="C29" s="549"/>
      <c r="D29" s="549"/>
      <c r="E29" s="550"/>
      <c r="F29" s="550"/>
      <c r="G29" s="551"/>
      <c r="H29" s="551"/>
      <c r="I29" s="552"/>
      <c r="J29" s="552"/>
      <c r="K29" s="553"/>
      <c r="L29" s="553"/>
      <c r="M29" s="554"/>
      <c r="N29" s="554"/>
      <c r="O29" s="555"/>
      <c r="P29" s="556"/>
      <c r="Q29" s="557"/>
      <c r="R29" s="558"/>
      <c r="S29" s="559"/>
      <c r="T29" s="560"/>
      <c r="U29" s="560"/>
      <c r="V29" s="560"/>
      <c r="W29" s="560"/>
      <c r="X29" s="560"/>
      <c r="Y29" s="560"/>
      <c r="Z29" s="560"/>
      <c r="AA29" s="560"/>
      <c r="AB29" s="560"/>
      <c r="AC29" s="560"/>
      <c r="AD29" s="543">
        <f t="shared" si="15"/>
        <v>0</v>
      </c>
      <c r="AE29" s="544">
        <f t="shared" si="16"/>
        <v>0</v>
      </c>
    </row>
    <row r="30">
      <c r="A30" s="565"/>
      <c r="B30" s="566" t="s">
        <v>494</v>
      </c>
      <c r="C30" s="567">
        <f t="shared" ref="C30:L30" si="17">SUM(C3:C29)</f>
        <v>6</v>
      </c>
      <c r="D30" s="568">
        <f t="shared" si="17"/>
        <v>13</v>
      </c>
      <c r="E30" s="569">
        <f t="shared" si="17"/>
        <v>7</v>
      </c>
      <c r="F30" s="569">
        <f t="shared" si="17"/>
        <v>15</v>
      </c>
      <c r="G30" s="570">
        <f t="shared" si="17"/>
        <v>4</v>
      </c>
      <c r="H30" s="570">
        <f t="shared" si="17"/>
        <v>10</v>
      </c>
      <c r="I30" s="571">
        <f t="shared" si="17"/>
        <v>10</v>
      </c>
      <c r="J30" s="571">
        <f t="shared" si="17"/>
        <v>11</v>
      </c>
      <c r="K30" s="572">
        <f t="shared" si="17"/>
        <v>8</v>
      </c>
      <c r="L30" s="572">
        <f t="shared" si="17"/>
        <v>9</v>
      </c>
      <c r="M30" s="573"/>
      <c r="N30" s="573"/>
      <c r="O30" s="574">
        <f t="shared" ref="O30:S30" si="18">SUM(O3:O29)</f>
        <v>0</v>
      </c>
      <c r="P30" s="575">
        <f t="shared" si="18"/>
        <v>0</v>
      </c>
      <c r="Q30" s="576">
        <f t="shared" si="18"/>
        <v>0</v>
      </c>
      <c r="R30" s="577">
        <f t="shared" si="18"/>
        <v>0</v>
      </c>
      <c r="S30" s="578">
        <f t="shared" si="18"/>
        <v>0</v>
      </c>
      <c r="T30" s="579"/>
      <c r="U30" s="579"/>
      <c r="V30" s="579"/>
      <c r="W30" s="579"/>
      <c r="X30" s="579"/>
      <c r="Y30" s="579"/>
      <c r="Z30" s="579"/>
      <c r="AA30" s="579"/>
      <c r="AB30" s="579"/>
      <c r="AC30" s="579"/>
      <c r="AD30" s="580">
        <f t="shared" ref="AD30:AE30" si="19">SUM(AD3:AD29)</f>
        <v>93</v>
      </c>
      <c r="AE30" s="581">
        <f t="shared" si="19"/>
        <v>93</v>
      </c>
    </row>
    <row r="31">
      <c r="A31" s="582"/>
      <c r="B31" s="583" t="s">
        <v>222</v>
      </c>
      <c r="C31" s="584">
        <f>C30*1.5</f>
        <v>9</v>
      </c>
      <c r="D31" s="585">
        <f>D30*1</f>
        <v>13</v>
      </c>
      <c r="E31" s="586">
        <f>E30*1.5</f>
        <v>10.5</v>
      </c>
      <c r="F31" s="586">
        <f>F30*1</f>
        <v>15</v>
      </c>
      <c r="G31" s="587">
        <f>G30*1.5</f>
        <v>6</v>
      </c>
      <c r="H31" s="587">
        <f>H30*1</f>
        <v>10</v>
      </c>
      <c r="I31" s="588">
        <f>I30*1.5</f>
        <v>15</v>
      </c>
      <c r="J31" s="588">
        <f>J30*1</f>
        <v>11</v>
      </c>
      <c r="K31" s="589">
        <f>K30*1.5</f>
        <v>12</v>
      </c>
      <c r="L31" s="589">
        <f>L30*1</f>
        <v>9</v>
      </c>
      <c r="M31" s="590"/>
      <c r="N31" s="590"/>
      <c r="O31" s="591">
        <f t="shared" ref="O31:R31" si="20">O30*1</f>
        <v>0</v>
      </c>
      <c r="P31" s="592">
        <f t="shared" si="20"/>
        <v>0</v>
      </c>
      <c r="Q31" s="593">
        <f t="shared" si="20"/>
        <v>0</v>
      </c>
      <c r="R31" s="594">
        <f t="shared" si="20"/>
        <v>0</v>
      </c>
      <c r="S31" s="595">
        <f>S30*1.5</f>
        <v>0</v>
      </c>
      <c r="T31" s="596"/>
      <c r="U31" s="596"/>
      <c r="V31" s="596"/>
      <c r="W31" s="596"/>
      <c r="X31" s="596"/>
      <c r="Y31" s="596"/>
      <c r="Z31" s="596"/>
      <c r="AA31" s="596"/>
      <c r="AB31" s="596"/>
      <c r="AC31" s="596"/>
      <c r="AD31" s="597"/>
      <c r="AE31" s="597"/>
    </row>
    <row r="32" ht="21.75" customHeight="1">
      <c r="A32" s="598"/>
      <c r="B32" s="599" t="s">
        <v>3</v>
      </c>
      <c r="C32" s="598">
        <f>C31+D31</f>
        <v>22</v>
      </c>
      <c r="E32" s="598">
        <f>E31+F31</f>
        <v>25.5</v>
      </c>
      <c r="G32" s="598">
        <f>G31+H31</f>
        <v>16</v>
      </c>
      <c r="I32" s="598">
        <f>I31+J31</f>
        <v>26</v>
      </c>
      <c r="K32" s="598">
        <f>K31+L31</f>
        <v>21</v>
      </c>
      <c r="M32" s="598"/>
      <c r="N32" s="598"/>
      <c r="O32" s="598">
        <f t="shared" ref="O32:S32" si="21">O31</f>
        <v>0</v>
      </c>
      <c r="P32" s="598">
        <f t="shared" si="21"/>
        <v>0</v>
      </c>
      <c r="Q32" s="598">
        <f t="shared" si="21"/>
        <v>0</v>
      </c>
      <c r="R32" s="598">
        <f t="shared" si="21"/>
        <v>0</v>
      </c>
      <c r="S32" s="598">
        <f t="shared" si="21"/>
        <v>0</v>
      </c>
      <c r="T32" s="598"/>
      <c r="U32" s="598"/>
      <c r="V32" s="598"/>
      <c r="W32" s="598"/>
      <c r="X32" s="598"/>
      <c r="Y32" s="598"/>
      <c r="Z32" s="598"/>
      <c r="AA32" s="598"/>
      <c r="AB32" s="598"/>
      <c r="AC32" s="598"/>
      <c r="AD32" s="598"/>
      <c r="AE32" s="598">
        <f>SUM(C32:S32)</f>
        <v>110.5</v>
      </c>
    </row>
    <row r="33">
      <c r="A33" s="600" t="s">
        <v>495</v>
      </c>
      <c r="B33" s="601" t="s">
        <v>496</v>
      </c>
      <c r="C33" s="601" t="s">
        <v>497</v>
      </c>
      <c r="E33" s="601" t="s">
        <v>498</v>
      </c>
      <c r="G33" s="602" t="s">
        <v>499</v>
      </c>
      <c r="L33" s="601"/>
      <c r="M33" s="601"/>
      <c r="N33" s="601"/>
      <c r="O33" s="602"/>
      <c r="P33" s="602"/>
      <c r="Q33" s="601"/>
      <c r="R33" s="601"/>
      <c r="S33" s="601"/>
      <c r="T33" s="601"/>
      <c r="U33" s="601"/>
      <c r="V33" s="601"/>
      <c r="W33" s="601"/>
      <c r="X33" s="601"/>
      <c r="Y33" s="601"/>
      <c r="Z33" s="601"/>
      <c r="AA33" s="601"/>
      <c r="AB33" s="601"/>
      <c r="AC33" s="601"/>
      <c r="AD33" s="603"/>
      <c r="AE33" s="603"/>
    </row>
    <row r="34">
      <c r="A34" s="604"/>
      <c r="B34" s="605" t="s">
        <v>500</v>
      </c>
      <c r="C34" s="606" t="s">
        <v>501</v>
      </c>
      <c r="L34" s="606"/>
      <c r="M34" s="606"/>
      <c r="N34" s="606"/>
      <c r="O34" s="606"/>
      <c r="P34" s="606"/>
      <c r="Q34" s="606"/>
      <c r="R34" s="607"/>
      <c r="S34" s="607"/>
      <c r="T34" s="607"/>
      <c r="U34" s="607"/>
      <c r="V34" s="607"/>
      <c r="W34" s="607"/>
      <c r="X34" s="607"/>
      <c r="Y34" s="607"/>
      <c r="Z34" s="607"/>
      <c r="AA34" s="607"/>
      <c r="AB34" s="607"/>
      <c r="AC34" s="607"/>
      <c r="AD34" s="608"/>
      <c r="AE34" s="608"/>
    </row>
    <row r="35">
      <c r="A35" s="604"/>
      <c r="B35" s="605" t="s">
        <v>502</v>
      </c>
      <c r="C35" s="606" t="s">
        <v>503</v>
      </c>
      <c r="L35" s="606"/>
      <c r="M35" s="606"/>
      <c r="N35" s="606"/>
      <c r="O35" s="606"/>
      <c r="P35" s="606"/>
      <c r="Q35" s="606"/>
      <c r="R35" s="607"/>
      <c r="S35" s="607"/>
      <c r="T35" s="607"/>
      <c r="U35" s="607"/>
      <c r="V35" s="607"/>
      <c r="W35" s="607"/>
      <c r="X35" s="607"/>
      <c r="Y35" s="607"/>
      <c r="Z35" s="607"/>
      <c r="AA35" s="607"/>
      <c r="AB35" s="607"/>
      <c r="AC35" s="607"/>
      <c r="AD35" s="608"/>
      <c r="AE35" s="608"/>
    </row>
  </sheetData>
  <mergeCells count="16">
    <mergeCell ref="E32:F32"/>
    <mergeCell ref="G32:H32"/>
    <mergeCell ref="C33:D33"/>
    <mergeCell ref="E33:F33"/>
    <mergeCell ref="G33:K33"/>
    <mergeCell ref="C34:K34"/>
    <mergeCell ref="C35:K35"/>
    <mergeCell ref="I32:J32"/>
    <mergeCell ref="K32:L32"/>
    <mergeCell ref="C1:D1"/>
    <mergeCell ref="E1:F1"/>
    <mergeCell ref="G1:H1"/>
    <mergeCell ref="I1:J1"/>
    <mergeCell ref="K1:L1"/>
    <mergeCell ref="M1:N1"/>
    <mergeCell ref="C32:D32"/>
  </mergeCells>
  <dataValidations>
    <dataValidation type="custom" allowBlank="1" showDropDown="1" showErrorMessage="1" sqref="A3:A29 A31:A32 A34:A35">
      <formula1>OR(NOT(ISERROR(DATEVALUE(A3))), AND(ISNUMBER(A3), LEFT(CELL("format", A3))="D"))</formula1>
    </dataValidation>
  </dataValidations>
  <hyperlinks>
    <hyperlink display="CAMPUS_ESTIVO" location="CAMPUS_ESTIVO!A1" ref="B3"/>
    <hyperlink display="CAMPUS_DANZA" location="CAMPUS_DANZA!A1" ref="B4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7.25"/>
    <col customWidth="1" min="3" max="3" width="22.88"/>
    <col customWidth="1" min="4" max="5" width="48.38"/>
  </cols>
  <sheetData>
    <row r="1" ht="15.75" customHeight="1">
      <c r="A1" s="609" t="s">
        <v>504</v>
      </c>
      <c r="B1" s="610" t="s">
        <v>505</v>
      </c>
      <c r="C1" s="610" t="s">
        <v>506</v>
      </c>
      <c r="D1" s="611" t="str">
        <f>IFERROR(__xludf.DUMMYFUNCTION("IMPORTRANGE(""https://docs.google.com/spreadsheets/d/1rXtcffIE32PTdNYBTG2gdh1aoNZ5cmFHr018KdFpoiM/edit?gid=1117629718#gid=1117629718"", ""elenchi!M1:M30"")"),"CHI SCRIVE")</f>
        <v>CHI SCRIVE</v>
      </c>
      <c r="E1" s="612" t="s">
        <v>507</v>
      </c>
    </row>
    <row r="2">
      <c r="A2" s="613" t="s">
        <v>508</v>
      </c>
      <c r="B2" s="614" t="s">
        <v>509</v>
      </c>
      <c r="C2" s="613" t="s">
        <v>510</v>
      </c>
      <c r="D2" s="540" t="str">
        <f>IFERROR(__xludf.DUMMYFUNCTION("""COMPUTED_VALUE"""),"Alexandra")</f>
        <v>Alexandra</v>
      </c>
      <c r="E2" s="615" t="s">
        <v>127</v>
      </c>
    </row>
    <row r="3">
      <c r="A3" s="614" t="s">
        <v>511</v>
      </c>
      <c r="B3" s="616" t="s">
        <v>512</v>
      </c>
      <c r="C3" s="614" t="s">
        <v>513</v>
      </c>
      <c r="D3" s="540" t="str">
        <f>IFERROR(__xludf.DUMMYFUNCTION("""COMPUTED_VALUE"""),"AMM-NE")</f>
        <v>AMM-NE</v>
      </c>
      <c r="E3" s="615" t="s">
        <v>514</v>
      </c>
    </row>
    <row r="4">
      <c r="A4" s="613" t="s">
        <v>488</v>
      </c>
      <c r="B4" s="613" t="s">
        <v>515</v>
      </c>
      <c r="C4" s="614" t="s">
        <v>516</v>
      </c>
      <c r="D4" s="540" t="str">
        <f>IFERROR(__xludf.DUMMYFUNCTION("""COMPUTED_VALUE"""),"Estefany")</f>
        <v>Estefany</v>
      </c>
      <c r="E4" s="615" t="s">
        <v>178</v>
      </c>
    </row>
    <row r="5">
      <c r="A5" s="616"/>
      <c r="B5" s="613" t="s">
        <v>517</v>
      </c>
      <c r="C5" s="613" t="s">
        <v>518</v>
      </c>
      <c r="D5" s="540" t="str">
        <f>IFERROR(__xludf.DUMMYFUNCTION("""COMPUTED_VALUE"""),"Giuditta")</f>
        <v>Giuditta</v>
      </c>
      <c r="E5" s="615" t="s">
        <v>94</v>
      </c>
    </row>
    <row r="6">
      <c r="A6" s="616"/>
      <c r="B6" s="613" t="s">
        <v>519</v>
      </c>
      <c r="C6" s="613" t="s">
        <v>520</v>
      </c>
      <c r="D6" s="540" t="str">
        <f>IFERROR(__xludf.DUMMYFUNCTION("""COMPUTED_VALUE"""),"Joel")</f>
        <v>Joel</v>
      </c>
      <c r="E6" s="615" t="s">
        <v>142</v>
      </c>
    </row>
    <row r="7">
      <c r="A7" s="616"/>
      <c r="B7" s="613" t="s">
        <v>521</v>
      </c>
      <c r="C7" s="613" t="s">
        <v>522</v>
      </c>
      <c r="D7" s="540" t="str">
        <f>IFERROR(__xludf.DUMMYFUNCTION("""COMPUTED_VALUE"""),"Massi")</f>
        <v>Massi</v>
      </c>
      <c r="E7" s="615" t="s">
        <v>523</v>
      </c>
    </row>
    <row r="8">
      <c r="A8" s="616"/>
      <c r="B8" s="616" t="s">
        <v>524</v>
      </c>
      <c r="C8" s="616"/>
      <c r="D8" s="540" t="str">
        <f>IFERROR(__xludf.DUMMYFUNCTION("""COMPUTED_VALUE"""),"Nura")</f>
        <v>Nura</v>
      </c>
      <c r="E8" s="615" t="s">
        <v>101</v>
      </c>
    </row>
    <row r="9">
      <c r="A9" s="616"/>
      <c r="B9" s="613" t="s">
        <v>525</v>
      </c>
      <c r="C9" s="616"/>
      <c r="D9" s="540" t="str">
        <f>IFERROR(__xludf.DUMMYFUNCTION("""COMPUTED_VALUE"""),"Sara")</f>
        <v>Sara</v>
      </c>
      <c r="E9" s="615" t="s">
        <v>526</v>
      </c>
    </row>
    <row r="10">
      <c r="A10" s="616"/>
      <c r="B10" s="614" t="s">
        <v>527</v>
      </c>
      <c r="C10" s="616"/>
      <c r="D10" s="540" t="str">
        <f>IFERROR(__xludf.DUMMYFUNCTION("""COMPUTED_VALUE"""),"Elisa")</f>
        <v>Elisa</v>
      </c>
      <c r="E10" s="615" t="s">
        <v>528</v>
      </c>
    </row>
    <row r="11">
      <c r="A11" s="616"/>
      <c r="B11" s="616" t="s">
        <v>24</v>
      </c>
      <c r="C11" s="616"/>
      <c r="D11" s="540" t="str">
        <f>IFERROR(__xludf.DUMMYFUNCTION("""COMPUTED_VALUE"""),"Kevin")</f>
        <v>Kevin</v>
      </c>
      <c r="E11" s="617"/>
    </row>
    <row r="12">
      <c r="A12" s="616"/>
      <c r="B12" s="613" t="s">
        <v>529</v>
      </c>
      <c r="C12" s="616"/>
      <c r="D12" s="540" t="str">
        <f>IFERROR(__xludf.DUMMYFUNCTION("""COMPUTED_VALUE"""),"Zoila")</f>
        <v>Zoila</v>
      </c>
      <c r="E12" s="617"/>
    </row>
    <row r="13">
      <c r="A13" s="616"/>
      <c r="B13" s="613" t="s">
        <v>530</v>
      </c>
      <c r="C13" s="616"/>
      <c r="D13" s="540" t="str">
        <f>IFERROR(__xludf.DUMMYFUNCTION("""COMPUTED_VALUE"""),"Jasir")</f>
        <v>Jasir</v>
      </c>
      <c r="E13" s="617"/>
    </row>
    <row r="14">
      <c r="A14" s="616"/>
      <c r="B14" s="614" t="s">
        <v>531</v>
      </c>
      <c r="C14" s="616"/>
      <c r="D14" s="540"/>
      <c r="E14" s="617"/>
    </row>
    <row r="15">
      <c r="A15" s="616"/>
      <c r="B15" s="613" t="s">
        <v>532</v>
      </c>
      <c r="C15" s="616"/>
      <c r="D15" s="618"/>
      <c r="E15" s="619"/>
    </row>
    <row r="16">
      <c r="A16" s="616"/>
      <c r="B16" s="616" t="s">
        <v>533</v>
      </c>
      <c r="C16" s="616"/>
      <c r="D16" s="618"/>
      <c r="E16" s="619"/>
    </row>
    <row r="17">
      <c r="A17" s="616"/>
      <c r="B17" s="613" t="s">
        <v>534</v>
      </c>
      <c r="C17" s="616"/>
      <c r="D17" s="618"/>
      <c r="E17" s="619"/>
    </row>
    <row r="18">
      <c r="A18" s="616"/>
      <c r="B18" s="100" t="s">
        <v>535</v>
      </c>
      <c r="C18" s="616"/>
      <c r="D18" s="618"/>
      <c r="E18" s="619"/>
    </row>
    <row r="19">
      <c r="A19" s="616"/>
      <c r="B19" s="100" t="s">
        <v>536</v>
      </c>
      <c r="C19" s="616"/>
      <c r="D19" s="618"/>
      <c r="E19" s="619"/>
    </row>
    <row r="20">
      <c r="A20" s="616"/>
      <c r="B20" s="616"/>
      <c r="C20" s="616"/>
      <c r="D20" s="618"/>
      <c r="E20" s="619"/>
    </row>
    <row r="21">
      <c r="A21" s="616"/>
      <c r="B21" s="616"/>
      <c r="C21" s="616"/>
      <c r="D21" s="620"/>
      <c r="E21" s="619"/>
    </row>
    <row r="22">
      <c r="A22" s="616"/>
      <c r="B22" s="616"/>
      <c r="C22" s="616"/>
      <c r="D22" s="618"/>
      <c r="E22" s="619"/>
    </row>
    <row r="23">
      <c r="A23" s="616"/>
      <c r="B23" s="616"/>
      <c r="C23" s="616"/>
      <c r="D23" s="618"/>
      <c r="E23" s="619"/>
    </row>
    <row r="24">
      <c r="A24" s="616"/>
      <c r="B24" s="616"/>
      <c r="C24" s="616"/>
      <c r="D24" s="618"/>
      <c r="E24" s="619"/>
    </row>
    <row r="25">
      <c r="A25" s="616"/>
      <c r="B25" s="616"/>
      <c r="C25" s="616"/>
      <c r="D25" s="618"/>
      <c r="E25" s="619"/>
    </row>
    <row r="26">
      <c r="A26" s="616"/>
      <c r="B26" s="616"/>
      <c r="C26" s="616"/>
      <c r="D26" s="618"/>
      <c r="E26" s="619"/>
    </row>
    <row r="27">
      <c r="A27" s="616"/>
      <c r="B27" s="616"/>
      <c r="C27" s="616"/>
      <c r="D27" s="618"/>
      <c r="E27" s="619"/>
    </row>
    <row r="28">
      <c r="A28" s="616"/>
      <c r="B28" s="616"/>
      <c r="C28" s="616"/>
      <c r="D28" s="618"/>
      <c r="E28" s="619"/>
    </row>
    <row r="29">
      <c r="A29" s="616"/>
      <c r="B29" s="616"/>
      <c r="C29" s="616"/>
      <c r="D29" s="618"/>
      <c r="E29" s="619"/>
    </row>
    <row r="30">
      <c r="A30" s="616"/>
      <c r="B30" s="616"/>
      <c r="C30" s="616"/>
      <c r="D30" s="618"/>
      <c r="E30" s="619"/>
    </row>
  </sheetData>
  <printOptions/>
  <pageMargins bottom="0.75" footer="0.0" header="0.0" left="0.7" right="0.7" top="0.75"/>
  <pageSetup orientation="landscape"/>
  <drawing r:id="rId4"/>
  <legacyDrawing r:id="rId5"/>
</worksheet>
</file>